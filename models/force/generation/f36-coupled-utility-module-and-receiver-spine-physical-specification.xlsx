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3abac5c4c844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fe8e72cfe5948d7"/>
    <x:sheet xmlns:r="http://schemas.openxmlformats.org/officeDocument/2006/relationships" name="Controls" sheetId="2" r:id="R9a23344722ee4a3c"/>
    <x:sheet xmlns:r="http://schemas.openxmlformats.org/officeDocument/2006/relationships" name="Article Set" sheetId="3" r:id="R279827449bc24824"/>
    <x:sheet xmlns:r="http://schemas.openxmlformats.org/officeDocument/2006/relationships" name="Physical Envelope" sheetId="4" r:id="Raf9b1205eebe4d2a"/>
    <x:sheet xmlns:r="http://schemas.openxmlformats.org/officeDocument/2006/relationships" name="Load Cases" sheetId="5" r:id="Rbd65d1a8c75644c4"/>
    <x:sheet xmlns:r="http://schemas.openxmlformats.org/officeDocument/2006/relationships" name="Receiver Spine" sheetId="6" r:id="Re4956bc27b794496"/>
    <x:sheet xmlns:r="http://schemas.openxmlformats.org/officeDocument/2006/relationships" name="Hydraulic and Sanitary" sheetId="7" r:id="R5c9808c33c3e4ab1"/>
    <x:sheet xmlns:r="http://schemas.openxmlformats.org/officeDocument/2006/relationships" name="Power and Black Start" sheetId="8" r:id="Re4ba831413514891"/>
    <x:sheet xmlns:r="http://schemas.openxmlformats.org/officeDocument/2006/relationships" name="Measurement Plan" sheetId="9" r:id="R55eae00e88f84471"/>
    <x:sheet xmlns:r="http://schemas.openxmlformats.org/officeDocument/2006/relationships" name="Trial Sequences" sheetId="10" r:id="R50f77cc34e7e4af6"/>
    <x:sheet xmlns:r="http://schemas.openxmlformats.org/officeDocument/2006/relationships" name="Fault Campaign" sheetId="11" r:id="R38d7dba58517468f"/>
    <x:sheet xmlns:r="http://schemas.openxmlformats.org/officeDocument/2006/relationships" name="Schedule" sheetId="12" r:id="R172f07ff8c4b4037"/>
    <x:sheet xmlns:r="http://schemas.openxmlformats.org/officeDocument/2006/relationships" name="Capital Draw" sheetId="13" r:id="R8498c41198eb4f58"/>
    <x:sheet xmlns:r="http://schemas.openxmlformats.org/officeDocument/2006/relationships" name="Annual Draw" sheetId="14" r:id="Rcd030837032f42cb"/>
    <x:sheet xmlns:r="http://schemas.openxmlformats.org/officeDocument/2006/relationships" name="Release Gates" sheetId="15" r:id="Rc1a21cd91ad04c77"/>
    <x:sheet xmlns:r="http://schemas.openxmlformats.org/officeDocument/2006/relationships" name="Audit" sheetId="16" r:id="Rc6cf47ce80e24a6c"/>
    <x:sheet xmlns:r="http://schemas.openxmlformats.org/officeDocument/2006/relationships" name="ReadMe" sheetId="17" r:id="R44f99301989048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.0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273444"/>
      <x:name val="Arial"/>
    </x:font>
    <x:font>
      <x:b/>
      <x:sz val="10"/>
      <x:color rgb="FF17324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3">
    <x:border/>
    <x:border>
      <x:bottom style="thin">
        <x:color rgb="FF17324D"/>
      </x:bottom>
    </x:border>
    <x:border>
      <x:bottom style="thin">
        <x:color rgb="FFC8D3DD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73"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</x:dxf>
    <x:dxf>
      <x:font>
        <x:b/>
        <x:color rgb="FF3E632E"/>
      </x:font>
    </x:dxf>
    <x:dxf>
      <x:font>
        <x:color rgb="FF3E632E"/>
      </x:font>
    </x:dxf>
    <x:dxf>
      <x:font>
        <x:color rgb="FF3E632E"/>
      </x:font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9f42dce942482c" /><Relationship Type="http://schemas.openxmlformats.org/officeDocument/2006/relationships/theme" Target="/xl/theme/theme1.xml" Id="R2979197618e443d5" /><Relationship Type="http://schemas.openxmlformats.org/officeDocument/2006/relationships/sharedStrings" Target="/xl/sharedStrings.xml" Id="R561b1099a037479e" /><Relationship Type="http://schemas.openxmlformats.org/officeDocument/2006/relationships/worksheet" Target="/xl/worksheets/sheet1.xml" Id="Rafe8e72cfe5948d7" /><Relationship Type="http://schemas.openxmlformats.org/officeDocument/2006/relationships/worksheet" Target="/xl/worksheets/sheet2.xml" Id="R9a23344722ee4a3c" /><Relationship Type="http://schemas.openxmlformats.org/officeDocument/2006/relationships/worksheet" Target="/xl/worksheets/sheet3.xml" Id="R279827449bc24824" /><Relationship Type="http://schemas.openxmlformats.org/officeDocument/2006/relationships/worksheet" Target="/xl/worksheets/sheet4.xml" Id="Raf9b1205eebe4d2a" /><Relationship Type="http://schemas.openxmlformats.org/officeDocument/2006/relationships/worksheet" Target="/xl/worksheets/sheet5.xml" Id="Rbd65d1a8c75644c4" /><Relationship Type="http://schemas.openxmlformats.org/officeDocument/2006/relationships/worksheet" Target="/xl/worksheets/sheet6.xml" Id="Re4956bc27b794496" /><Relationship Type="http://schemas.openxmlformats.org/officeDocument/2006/relationships/worksheet" Target="/xl/worksheets/sheet7.xml" Id="R5c9808c33c3e4ab1" /><Relationship Type="http://schemas.openxmlformats.org/officeDocument/2006/relationships/worksheet" Target="/xl/worksheets/sheet8.xml" Id="Re4ba831413514891" /><Relationship Type="http://schemas.openxmlformats.org/officeDocument/2006/relationships/worksheet" Target="/xl/worksheets/sheet9.xml" Id="R55eae00e88f84471" /><Relationship Type="http://schemas.openxmlformats.org/officeDocument/2006/relationships/worksheet" Target="/xl/worksheets/sheet10.xml" Id="R50f77cc34e7e4af6" /><Relationship Type="http://schemas.openxmlformats.org/officeDocument/2006/relationships/worksheet" Target="/xl/worksheets/sheet11.xml" Id="R38d7dba58517468f" /><Relationship Type="http://schemas.openxmlformats.org/officeDocument/2006/relationships/worksheet" Target="/xl/worksheets/sheet12.xml" Id="R172f07ff8c4b4037" /><Relationship Type="http://schemas.openxmlformats.org/officeDocument/2006/relationships/worksheet" Target="/xl/worksheets/sheet13.xml" Id="R8498c41198eb4f58" /><Relationship Type="http://schemas.openxmlformats.org/officeDocument/2006/relationships/worksheet" Target="/xl/worksheets/sheet14.xml" Id="Rcd030837032f42cb" /><Relationship Type="http://schemas.openxmlformats.org/officeDocument/2006/relationships/worksheet" Target="/xl/worksheets/sheet15.xml" Id="Rc1a21cd91ad04c77" /><Relationship Type="http://schemas.openxmlformats.org/officeDocument/2006/relationships/worksheet" Target="/xl/worksheets/sheet16.xml" Id="Rc6cf47ce80e24a6c" /><Relationship Type="http://schemas.openxmlformats.org/officeDocument/2006/relationships/worksheet" Target="/xl/worksheets/sheet17.xml" Id="R44f99301989048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40" hidden="0" customWidth="1"/>
    <x:col min="3" max="3" width="4" hidden="0" customWidth="1"/>
    <x:col min="4" max="4" width="22" hidden="0" customWidth="1"/>
    <x:col min="5" max="5" width="18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28" t="str">
        <x:v>CISA-1 | Coupled utility module and receiver-spine specification</x:v>
      </x:c>
      <x:c r="C2" s="8"/>
      <x:c r="D2" s="8"/>
      <x:c r="E2" s="8"/>
      <x:c r="F2" s="8"/>
      <x:c r="G2" s="8"/>
      <x:c r="H2" s="8"/>
    </x:row>
    <x:row r="3">
      <x:c r="B3" s="2" t="str">
        <x:v>First physical article boundary inside MQP-1; all exterior-form authority remains blocked.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17" t="str">
        <x:v>Current authority</x:v>
      </x:c>
      <x:c r="C6" s="17" t="str">
        <x:v>Current authority</x:v>
      </x:c>
      <x:c r="D6" s="17" t="str">
        <x:v>Current authority</x:v>
      </x:c>
      <x:c r="E6" s="17" t="str">
        <x:v>Current authority</x:v>
      </x:c>
      <x:c r="F6" s="17" t="str">
        <x:v>Current authority</x:v>
      </x:c>
      <x:c r="G6" s="17" t="str">
        <x:v>Current authority</x:v>
      </x:c>
      <x:c r="H6" s="17" t="str">
        <x:v>Current authority</x:v>
      </x:c>
    </x:row>
    <x:row r="7">
      <x:c r="B7" s="9" t="str">
        <x:v>Planning disposition</x:v>
      </x:c>
      <x:c r="C7" s="9"/>
      <x:c r="D7" s="9" t="str">
        <x:f>IF(COUNTIFS('Release Gates'!G7:G42,"PASS")=36,"AUTHORIZED","HOLD")</x:f>
        <x:v>AUTHORIZED</x:v>
      </x:c>
      <x:c r="E7" s="8"/>
      <x:c r="F7" s="8"/>
      <x:c r="G7" s="8"/>
      <x:c r="H7" s="8"/>
    </x:row>
    <x:row r="8">
      <x:c r="B8" s="9" t="str">
        <x:v>Physical article authority</x:v>
      </x:c>
      <x:c r="C8" s="9"/>
      <x:c r="D8" s="9" t="str">
        <x:f>IF(COUNTIFS('Release Gates'!G43:G55,"PASS")=13,"AUTHORIZED","HOLD")</x:f>
        <x:v>HOLD</x:v>
      </x:c>
      <x:c r="E8" s="8"/>
      <x:c r="F8" s="8"/>
      <x:c r="G8" s="8"/>
      <x:c r="H8" s="8"/>
    </x:row>
    <x:row r="9">
      <x:c r="B9" s="9" t="str">
        <x:v>CRC-E01 admission</x:v>
      </x:c>
      <x:c r="C9" s="9"/>
      <x:c r="D9" s="9" t="str">
        <x:f>'Release Gates'!H56</x:f>
        <x:v>HOLD</x:v>
      </x:c>
      <x:c r="E9" s="8"/>
      <x:c r="F9" s="8"/>
      <x:c r="G9" s="8"/>
      <x:c r="H9" s="8"/>
    </x:row>
    <x:row r="10">
      <x:c r="B10" s="9" t="str">
        <x:v>Production authority</x:v>
      </x:c>
      <x:c r="C10" s="9"/>
      <x:c r="D10" s="9" t="str">
        <x:f>'Release Gates'!H57</x:f>
        <x:v>BLOCKED</x:v>
      </x:c>
      <x:c r="E10" s="8"/>
      <x:c r="F10" s="8"/>
      <x:c r="G10" s="8"/>
      <x:c r="H10" s="8"/>
    </x:row>
    <x:row r="11">
      <x:c r="B11" s="10" t="str">
        <x:v>Exterior rendering authority</x:v>
      </x:c>
      <x:c r="C11" s="10"/>
      <x:c r="D11" s="10" t="str">
        <x:f>'Release Gates'!H58</x:f>
        <x:v>BLOCKED</x:v>
      </x:c>
      <x:c r="E11" s="8"/>
      <x:c r="F11" s="8"/>
      <x:c r="G11" s="8"/>
      <x:c r="H11" s="8"/>
    </x:row>
    <x:row r="12">
      <x:c r="B12" s="8"/>
      <x:c r="C12" s="8"/>
      <x:c r="D12" s="8"/>
      <x:c r="E12" s="8"/>
      <x:c r="F12" s="8"/>
      <x:c r="G12" s="8"/>
      <x:c r="H12" s="8"/>
    </x:row>
    <x:row r="13">
      <x:c r="B13" s="8"/>
      <x:c r="C13" s="8"/>
      <x:c r="D13" s="8"/>
      <x:c r="E13" s="8"/>
      <x:c r="F13" s="8"/>
      <x:c r="G13" s="8"/>
      <x:c r="H13" s="8"/>
    </x:row>
    <x:row r="14">
      <x:c r="B14" s="17" t="str">
        <x:v>Physical and evidence boundary</x:v>
      </x:c>
      <x:c r="C14" s="17" t="str">
        <x:v>Physical and evidence boundary</x:v>
      </x:c>
      <x:c r="D14" s="17" t="str">
        <x:v>Physical and evidence boundary</x:v>
      </x:c>
      <x:c r="E14" s="17" t="str">
        <x:v>Physical and evidence boundary</x:v>
      </x:c>
      <x:c r="F14" s="17" t="str">
        <x:v>Physical and evidence boundary</x:v>
      </x:c>
      <x:c r="G14" s="17" t="str">
        <x:v>Physical and evidence boundary</x:v>
      </x:c>
      <x:c r="H14" s="17" t="str">
        <x:v>Physical and evidence boundary</x:v>
      </x:c>
    </x:row>
    <x:row r="15">
      <x:c r="B15" s="9" t="str">
        <x:v>Controlled articles</x:v>
      </x:c>
      <x:c r="C15" s="9"/>
      <x:c r="D15" s="19" t="n">
        <x:f>'Article Set'!D14</x:f>
        <x:v>58</x:v>
      </x:c>
      <x:c r="E15" s="9" t="str">
        <x:v>units</x:v>
      </x:c>
      <x:c r="F15" s="8"/>
      <x:c r="G15" s="8"/>
      <x:c r="H15" s="8"/>
    </x:row>
    <x:row r="16">
      <x:c r="B16" s="9" t="str">
        <x:v>Decision trials</x:v>
      </x:c>
      <x:c r="C16" s="9"/>
      <x:c r="D16" s="19" t="n">
        <x:f>'Article Set'!E14</x:f>
        <x:v>50</x:v>
      </x:c>
      <x:c r="E16" s="9" t="str">
        <x:v>trials</x:v>
      </x:c>
      <x:c r="F16" s="8"/>
      <x:c r="G16" s="8"/>
      <x:c r="H16" s="8"/>
    </x:row>
    <x:row r="17">
      <x:c r="B17" s="9" t="str">
        <x:v>Operating mass</x:v>
      </x:c>
      <x:c r="C17" s="9"/>
      <x:c r="D17" s="19" t="n">
        <x:f>'Controls'!$D$13</x:f>
        <x:v>40</x:v>
      </x:c>
      <x:c r="E17" s="9" t="str">
        <x:v>t</x:v>
      </x:c>
      <x:c r="F17" s="8"/>
      <x:c r="G17" s="8"/>
      <x:c r="H17" s="8"/>
    </x:row>
    <x:row r="18">
      <x:c r="B18" s="9" t="str">
        <x:v>Weak-ground support demand</x:v>
      </x:c>
      <x:c r="C18" s="9"/>
      <x:c r="D18" s="19" t="n">
        <x:f>'Load Cases'!D22</x:f>
        <x:v>70.92309374999999</x:v>
      </x:c>
      <x:c r="E18" s="9" t="str">
        <x:v>kPa</x:v>
      </x:c>
      <x:c r="F18" s="8"/>
      <x:c r="G18" s="8"/>
      <x:c r="H18" s="8"/>
    </x:row>
    <x:row r="19">
      <x:c r="B19" s="9" t="str">
        <x:v>Normal service</x:v>
      </x:c>
      <x:c r="C19" s="9"/>
      <x:c r="D19" s="19" t="n">
        <x:f>'Power and Black Start'!C9</x:f>
        <x:v>1.5</x:v>
      </x:c>
      <x:c r="E19" s="9" t="str">
        <x:v>MW</x:v>
      </x:c>
      <x:c r="F19" s="8"/>
      <x:c r="G19" s="8"/>
      <x:c r="H19" s="8"/>
    </x:row>
    <x:row r="20">
      <x:c r="B20" s="9" t="str">
        <x:v>Eight-hour energy</x:v>
      </x:c>
      <x:c r="C20" s="9"/>
      <x:c r="D20" s="19" t="n">
        <x:f>'Power and Black Start'!E9</x:f>
        <x:v>12</x:v>
      </x:c>
      <x:c r="E20" s="9" t="str">
        <x:v>MWh</x:v>
      </x:c>
      <x:c r="F20" s="8"/>
      <x:c r="G20" s="8"/>
      <x:c r="H20" s="8"/>
    </x:row>
    <x:row r="21">
      <x:c r="B21" s="9" t="str">
        <x:v>Paired hydraulic flow</x:v>
      </x:c>
      <x:c r="C21" s="9"/>
      <x:c r="D21" s="19" t="n">
        <x:f>'Hydraulic and Sanitary'!E10</x:f>
        <x:v>0.11574074074074074</x:v>
      </x:c>
      <x:c r="E21" s="9" t="str">
        <x:v>m3/s</x:v>
      </x:c>
      <x:c r="F21" s="8"/>
      <x:c r="G21" s="8"/>
      <x:c r="H21" s="8"/>
    </x:row>
    <x:row r="22">
      <x:c r="B22" s="9" t="str">
        <x:v>Local loop volume</x:v>
      </x:c>
      <x:c r="C22" s="9"/>
      <x:c r="D22" s="19" t="n">
        <x:f>'Hydraulic and Sanitary'!E11</x:f>
        <x:v>4.618141200776995</x:v>
      </x:c>
      <x:c r="E22" s="9" t="str">
        <x:v>m3</x:v>
      </x:c>
      <x:c r="F22" s="8"/>
      <x:c r="G22" s="8"/>
      <x:c r="H22" s="8"/>
    </x:row>
    <x:row r="23">
      <x:c r="B23" s="9" t="str">
        <x:v>Measurement planes</x:v>
      </x:c>
      <x:c r="C23" s="9"/>
      <x:c r="D23" s="19" t="n">
        <x:f>COUNTA('Measurement Plan'!B7:B19)</x:f>
        <x:v>13</x:v>
      </x:c>
      <x:c r="E23" s="9" t="str">
        <x:v>planes</x:v>
      </x:c>
      <x:c r="F23" s="8"/>
      <x:c r="G23" s="8"/>
      <x:c r="H23" s="8"/>
    </x:row>
    <x:row r="24">
      <x:c r="B24" s="9" t="str">
        <x:v>Retained evidence estate</x:v>
      </x:c>
      <x:c r="C24" s="9"/>
      <x:c r="D24" s="19" t="n">
        <x:f>'Measurement Plan'!C28</x:f>
        <x:v>13.215400243200003</x:v>
      </x:c>
      <x:c r="E24" s="9" t="str">
        <x:v>TB</x:v>
      </x:c>
      <x:c r="F24" s="8"/>
      <x:c r="G24" s="8"/>
      <x:c r="H24" s="8"/>
    </x:row>
    <x:row r="25">
      <x:c r="B25" s="10" t="str">
        <x:v>Program duration</x:v>
      </x:c>
      <x:c r="C25" s="10"/>
      <x:c r="D25" s="20" t="n">
        <x:f>MAX(Schedule!E7:E18)</x:f>
        <x:v>36</x:v>
      </x:c>
      <x:c r="E25" s="10" t="str">
        <x:v>months</x:v>
      </x:c>
      <x:c r="F25" s="8"/>
      <x:c r="G25" s="8"/>
      <x:c r="H25" s="8"/>
    </x:row>
    <x:row r="26">
      <x:c r="B26" s="8"/>
      <x:c r="C26" s="8"/>
      <x:c r="D26" s="30"/>
      <x:c r="E26" s="8"/>
      <x:c r="F26" s="8"/>
      <x:c r="G26" s="8"/>
      <x:c r="H26" s="8"/>
    </x:row>
    <x:row r="27">
      <x:c r="B27" s="8"/>
      <x:c r="C27" s="8"/>
      <x:c r="D27" s="30"/>
      <x:c r="E27" s="8"/>
      <x:c r="F27" s="8"/>
      <x:c r="G27" s="8"/>
      <x:c r="H27" s="8"/>
    </x:row>
    <x:row r="28">
      <x:c r="B28" s="8"/>
      <x:c r="C28" s="8"/>
      <x:c r="D28" s="30"/>
      <x:c r="E28" s="8"/>
      <x:c r="F28" s="8"/>
      <x:c r="G28" s="8"/>
      <x:c r="H28" s="8"/>
    </x:row>
    <x:row r="29">
      <x:c r="B29" s="17" t="str">
        <x:v>Resource boundary</x:v>
      </x:c>
      <x:c r="C29" s="17" t="str">
        <x:v>Resource boundary</x:v>
      </x:c>
      <x:c r="D29" s="27" t="str">
        <x:v>Resource boundary</x:v>
      </x:c>
      <x:c r="E29" s="17" t="str">
        <x:v>Resource boundary</x:v>
      </x:c>
      <x:c r="F29" s="17" t="str">
        <x:v>Resource boundary</x:v>
      </x:c>
      <x:c r="G29" s="17" t="str">
        <x:v>Resource boundary</x:v>
      </x:c>
      <x:c r="H29" s="17" t="str">
        <x:v>Resource boundary</x:v>
      </x:c>
    </x:row>
    <x:row r="30">
      <x:c r="B30" s="9" t="str">
        <x:v>CISA capital draw</x:v>
      </x:c>
      <x:c r="C30" s="9"/>
      <x:c r="D30" s="19" t="n">
        <x:f>'Capital Draw'!D18</x:f>
        <x:v>0.96</x:v>
      </x:c>
      <x:c r="E30" s="9" t="str">
        <x:v>USD B</x:v>
      </x:c>
      <x:c r="F30" s="8"/>
      <x:c r="G30" s="8"/>
      <x:c r="H30" s="8"/>
    </x:row>
    <x:row r="31">
      <x:c r="B31" s="9" t="str">
        <x:v>CISA annual draw</x:v>
      </x:c>
      <x:c r="C31" s="9"/>
      <x:c r="D31" s="19" t="n">
        <x:f>'Annual Draw'!D21</x:f>
        <x:v>0.26</x:v>
      </x:c>
      <x:c r="E31" s="9" t="str">
        <x:v>USD B/year</x:v>
      </x:c>
      <x:c r="F31" s="8"/>
      <x:c r="G31" s="8"/>
      <x:c r="H31" s="8"/>
    </x:row>
    <x:row r="32">
      <x:c r="B32" s="9" t="str">
        <x:v>Three-year operating draw</x:v>
      </x:c>
      <x:c r="C32" s="9"/>
      <x:c r="D32" s="19" t="n">
        <x:f>'Annual Draw'!D24</x:f>
        <x:v>0.78</x:v>
      </x:c>
      <x:c r="E32" s="9" t="str">
        <x:v>USD B</x:v>
      </x:c>
      <x:c r="F32" s="8"/>
      <x:c r="G32" s="8"/>
      <x:c r="H32" s="8"/>
    </x:row>
    <x:row r="33">
      <x:c r="B33" s="9" t="str">
        <x:v>Planned workforce</x:v>
      </x:c>
      <x:c r="C33" s="9"/>
      <x:c r="D33" s="19" t="n">
        <x:f>'Controls'!$D$79</x:f>
        <x:v>590</x:v>
      </x:c>
      <x:c r="E33" s="9" t="str">
        <x:v>people</x:v>
      </x:c>
      <x:c r="F33" s="8"/>
      <x:c r="G33" s="8"/>
      <x:c r="H33" s="8"/>
    </x:row>
    <x:row r="34">
      <x:c r="B34" s="10" t="str">
        <x:v>Physical observations</x:v>
      </x:c>
      <x:c r="C34" s="10"/>
      <x:c r="D34" s="20" t="n">
        <x:f>SUM(Controls!D86:D91)</x:f>
        <x:v>0</x:v>
      </x:c>
      <x:c r="E34" s="10" t="str">
        <x:v>count</x:v>
      </x:c>
      <x:c r="F34" s="8"/>
      <x:c r="G34" s="8"/>
      <x:c r="H34" s="8"/>
    </x:row>
    <x:row r="35">
      <x:c r="B35" s="8"/>
      <x:c r="C35" s="8"/>
      <x:c r="D35" s="8"/>
      <x:c r="E35" s="8"/>
      <x:c r="F35" s="8"/>
      <x:c r="G35" s="8"/>
      <x:c r="H35" s="8"/>
    </x:row>
    <x:row r="36">
      <x:c r="B36" s="8"/>
      <x:c r="C36" s="8"/>
      <x:c r="D36" s="8"/>
      <x:c r="E36" s="8"/>
      <x:c r="F36" s="8"/>
      <x:c r="G36" s="8"/>
      <x:c r="H36" s="8"/>
    </x:row>
    <x:row r="37">
      <x:c r="B37" s="17" t="str">
        <x:v>Interpretation</x:v>
      </x:c>
      <x:c r="C37" s="17" t="str">
        <x:v>Interpretation</x:v>
      </x:c>
      <x:c r="D37" s="17" t="str">
        <x:v>Interpretation</x:v>
      </x:c>
      <x:c r="E37" s="17" t="str">
        <x:v>Interpretation</x:v>
      </x:c>
      <x:c r="F37" s="17" t="str">
        <x:v>Interpretation</x:v>
      </x:c>
      <x:c r="G37" s="17" t="str">
        <x:v>Interpretation</x:v>
      </x:c>
      <x:c r="H37" s="17" t="str">
        <x:v>Interpretation</x:v>
      </x:c>
    </x:row>
    <x:row r="38">
      <x:c r="B38" s="31" t="str">
        <x:v>The planning package defines a buildable reference envelope, receiver worlds, coupled hydraulic and power duties, measurement planes, serial article allocation and evidence estate. It does not claim a qualified article. Every physical observation remains zero, so CRC-E01, production and exterior rendering remain unavailable.</x:v>
      </x:c>
      <x:c r="C38" s="31"/>
      <x:c r="D38" s="31"/>
      <x:c r="E38" s="31"/>
      <x:c r="F38" s="31"/>
      <x:c r="G38" s="31"/>
      <x:c r="H38" s="31"/>
    </x:row>
    <x:row r="39">
      <x:c r="B39" s="31"/>
      <x:c r="C39" s="31"/>
      <x:c r="D39" s="31"/>
      <x:c r="E39" s="31"/>
      <x:c r="F39" s="31"/>
      <x:c r="G39" s="31"/>
      <x:c r="H39" s="31"/>
    </x:row>
    <x:row r="40">
      <x:c r="B40" s="31"/>
      <x:c r="C40" s="31"/>
      <x:c r="D40" s="31"/>
      <x:c r="E40" s="31"/>
      <x:c r="F40" s="31"/>
      <x:c r="G40" s="31"/>
      <x:c r="H40" s="31"/>
    </x:row>
    <x:row r="41">
      <x:c r="B41" s="31"/>
      <x:c r="C41" s="31"/>
      <x:c r="D41" s="31"/>
      <x:c r="E41" s="31"/>
      <x:c r="F41" s="31"/>
      <x:c r="G41" s="31"/>
      <x:c r="H41" s="31"/>
    </x:row>
    <x:row r="42">
      <x:c r="B42" s="31"/>
      <x:c r="C42" s="31"/>
      <x:c r="D42" s="31"/>
      <x:c r="E42" s="31"/>
      <x:c r="F42" s="31"/>
      <x:c r="G42" s="31"/>
      <x:c r="H42" s="31"/>
    </x:row>
  </x:sheetData>
  <x:mergeCells>
    <x:mergeCell ref="B2:H2"/>
    <x:mergeCell ref="B3:H3"/>
    <x:mergeCell ref="B6:H6"/>
    <x:mergeCell ref="B14:H14"/>
    <x:mergeCell ref="B29:H29"/>
    <x:mergeCell ref="B37:H37"/>
    <x:mergeCell ref="B38:H42"/>
  </x:mergeCells>
  <x:conditionalFormatting sqref="D7:D11">
    <x:cfRule type="containsText" dxfId="260" priority="1" operator="containsText" text="PASS"/>
    <x:cfRule type="containsText" dxfId="261" priority="2" operator="containsText" text="AUTHORIZED"/>
    <x:cfRule type="containsText" dxfId="262" priority="3" operator="containsText" text="DEFINED"/>
    <x:cfRule type="containsText" dxfId="263" priority="4" operator="containsText" text="READY"/>
    <x:cfRule type="containsText" dxfId="264" priority="5" operator="containsText" text="HOLD"/>
    <x:cfRule type="containsText" dxfId="265" priority="6" operator="containsText" text="OPEN"/>
    <x:cfRule type="containsText" dxfId="266" priority="7" operator="containsText" text="BLOCKED"/>
    <x:cfRule type="containsText" dxfId="267" priority="8" operator="containsText" text="PLANNING"/>
    <x:cfRule type="containsText" dxfId="268" priority="9" operator="containsText" text="FAIL"/>
    <x:cfRule type="containsText" dxfId="269" priority="10" operator="containsText" text="REJECT"/>
    <x:cfRule type="containsText" dxfId="270" priority="11" operator="containsText" text="LATE"/>
    <x:cfRule type="containsText" dxfId="271" priority="12" operator="containsText" text="INCOMPLETE"/>
    <x:cfRule type="containsText" dxfId="272" priority="13" operator="containsText" text="INDETERMINA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8" hidden="0" customWidth="1"/>
    <x:col min="4" max="4" width="20" hidden="0" customWidth="1"/>
    <x:col min="5" max="5" width="18" hidden="0" customWidth="1"/>
    <x:col min="6" max="6" width="16" hidden="0" customWidth="1"/>
    <x:col min="7" max="7" width="28" hidden="0" customWidth="1"/>
  </x:cols>
  <x:sheetData>
    <x:row r="2">
      <x:c r="B2" s="28" t="str">
        <x:v>CISA-1 controls</x:v>
      </x:c>
      <x:c r="C2" s="8"/>
      <x:c r="D2" s="8"/>
      <x:c r="E2" s="8"/>
      <x:c r="F2" s="8"/>
      <x:c r="G2" s="8"/>
    </x:row>
    <x:row r="3">
      <x:c r="B3" s="2" t="str">
        <x:v>Blue values are inherited constraints or explicit planning assumptions. Physical observations remain zero.</x:v>
      </x:c>
      <x:c r="C3" s="8"/>
      <x:c r="D3" s="8"/>
      <x:c r="E3" s="8"/>
      <x:c r="F3" s="8"/>
      <x:c r="G3" s="8"/>
    </x:row>
    <x:row r="4">
      <x:c r="B4" s="29"/>
      <x:c r="C4" s="29"/>
      <x:c r="D4" s="29"/>
      <x:c r="E4" s="29"/>
      <x:c r="F4" s="29"/>
      <x:c r="G4" s="29"/>
    </x:row>
    <x:row r="5">
      <x:c r="B5" s="8"/>
      <x:c r="C5" s="8"/>
      <x:c r="D5" s="8"/>
      <x:c r="E5" s="8"/>
      <x:c r="F5" s="8"/>
      <x:c r="G5" s="8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Maximum transport length</x:v>
      </x:c>
      <x:c r="D7" s="13" t="n">
        <x:v>12</x:v>
      </x:c>
      <x:c r="E7" s="9" t="str">
        <x:v>m</x:v>
      </x:c>
      <x:c r="F7" s="9" t="str">
        <x:v>DESIGN</x:v>
      </x:c>
      <x:c r="G7" s="9" t="str">
        <x:v>Pass 110</x:v>
      </x:c>
    </x:row>
    <x:row r="8">
      <x:c r="B8" s="9" t="str">
        <x:v>C02</x:v>
      </x:c>
      <x:c r="C8" s="9" t="str">
        <x:v>Maximum transport width</x:v>
      </x:c>
      <x:c r="D8" s="13" t="n">
        <x:v>3.6</x:v>
      </x:c>
      <x:c r="E8" s="9" t="str">
        <x:v>m</x:v>
      </x:c>
      <x:c r="F8" s="9" t="str">
        <x:v>DESIGN</x:v>
      </x:c>
      <x:c r="G8" s="9" t="str">
        <x:v>Pass 110</x:v>
      </x:c>
    </x:row>
    <x:row r="9">
      <x:c r="B9" s="9" t="str">
        <x:v>C03</x:v>
      </x:c>
      <x:c r="C9" s="9" t="str">
        <x:v>Maximum transport height</x:v>
      </x:c>
      <x:c r="D9" s="13" t="n">
        <x:v>3.8</x:v>
      </x:c>
      <x:c r="E9" s="9" t="str">
        <x:v>m</x:v>
      </x:c>
      <x:c r="F9" s="9" t="str">
        <x:v>DESIGN</x:v>
      </x:c>
      <x:c r="G9" s="9" t="str">
        <x:v>Pass 110</x:v>
      </x:c>
    </x:row>
    <x:row r="10">
      <x:c r="B10" s="9" t="str">
        <x:v>C04</x:v>
      </x:c>
      <x:c r="C10" s="9" t="str">
        <x:v>Maximum dry mass</x:v>
      </x:c>
      <x:c r="D10" s="13" t="n">
        <x:v>32</x:v>
      </x:c>
      <x:c r="E10" s="9" t="str">
        <x:v>t</x:v>
      </x:c>
      <x:c r="F10" s="9" t="str">
        <x:v>DESIGN</x:v>
      </x:c>
      <x:c r="G10" s="9" t="str">
        <x:v>Pass 110</x:v>
      </x:c>
    </x:row>
    <x:row r="11">
      <x:c r="B11" s="9" t="str">
        <x:v>C05</x:v>
      </x:c>
      <x:c r="C11" s="9" t="str">
        <x:v>Service inventory</x:v>
      </x:c>
      <x:c r="D11" s="13" t="n">
        <x:v>4</x:v>
      </x:c>
      <x:c r="E11" s="9" t="str">
        <x:v>t</x:v>
      </x:c>
      <x:c r="F11" s="9" t="str">
        <x:v>DESIGN</x:v>
      </x:c>
      <x:c r="G11" s="9" t="str">
        <x:v>Pass 110</x:v>
      </x:c>
    </x:row>
    <x:row r="12">
      <x:c r="B12" s="9" t="str">
        <x:v>C06</x:v>
      </x:c>
      <x:c r="C12" s="9" t="str">
        <x:v>Configurable ballast</x:v>
      </x:c>
      <x:c r="D12" s="13" t="n">
        <x:v>4</x:v>
      </x:c>
      <x:c r="E12" s="9" t="str">
        <x:v>t</x:v>
      </x:c>
      <x:c r="F12" s="9" t="str">
        <x:v>DESIGN</x:v>
      </x:c>
      <x:c r="G12" s="9" t="str">
        <x:v>Pass 110</x:v>
      </x:c>
    </x:row>
    <x:row r="13">
      <x:c r="B13" s="9" t="str">
        <x:v>C07</x:v>
      </x:c>
      <x:c r="C13" s="9" t="str">
        <x:v>Maximum operating mass</x:v>
      </x:c>
      <x:c r="D13" s="13" t="n">
        <x:v>40</x:v>
      </x:c>
      <x:c r="E13" s="9" t="str">
        <x:v>t</x:v>
      </x:c>
      <x:c r="F13" s="9" t="str">
        <x:v>DERIVED</x:v>
      </x:c>
      <x:c r="G13" s="9" t="str">
        <x:v>mass balance</x:v>
      </x:c>
    </x:row>
    <x:row r="14">
      <x:c r="B14" s="9" t="str">
        <x:v>C08</x:v>
      </x:c>
      <x:c r="C14" s="9" t="str">
        <x:v>Maximum center-of-gravity height</x:v>
      </x:c>
      <x:c r="D14" s="13" t="n">
        <x:v>2.2</x:v>
      </x:c>
      <x:c r="E14" s="9" t="str">
        <x:v>m</x:v>
      </x:c>
      <x:c r="F14" s="9" t="str">
        <x:v>DESIGN</x:v>
      </x:c>
      <x:c r="G14" s="9" t="str">
        <x:v>Pass 110</x:v>
      </x:c>
    </x:row>
    <x:row r="15">
      <x:c r="B15" s="9" t="str">
        <x:v>C09</x:v>
      </x:c>
      <x:c r="C15" s="9" t="str">
        <x:v>Support zones</x:v>
      </x:c>
      <x:c r="D15" s="13" t="n">
        <x:v>8</x:v>
      </x:c>
      <x:c r="E15" s="9" t="str">
        <x:v>zones</x:v>
      </x:c>
      <x:c r="F15" s="9" t="str">
        <x:v>DESIGN</x:v>
      </x:c>
      <x:c r="G15" s="9" t="str">
        <x:v>Pass 110</x:v>
      </x:c>
    </x:row>
    <x:row r="16">
      <x:c r="B16" s="9" t="str">
        <x:v>C10</x:v>
      </x:c>
      <x:c r="C16" s="9" t="str">
        <x:v>Bearing area per support</x:v>
      </x:c>
      <x:c r="D16" s="13" t="n">
        <x:v>1.6</x:v>
      </x:c>
      <x:c r="E16" s="9" t="str">
        <x:v>m2</x:v>
      </x:c>
      <x:c r="F16" s="9" t="str">
        <x:v>DESIGN</x:v>
      </x:c>
      <x:c r="G16" s="9" t="str">
        <x:v>Pass 110</x:v>
      </x:c>
    </x:row>
    <x:row r="17">
      <x:c r="B17" s="9" t="str">
        <x:v>C11</x:v>
      </x:c>
      <x:c r="C17" s="9" t="str">
        <x:v>Leveling range</x:v>
      </x:c>
      <x:c r="D17" s="13" t="n">
        <x:v>0.4</x:v>
      </x:c>
      <x:c r="E17" s="9" t="str">
        <x:v>m</x:v>
      </x:c>
      <x:c r="F17" s="9" t="str">
        <x:v>DESIGN</x:v>
      </x:c>
      <x:c r="G17" s="9" t="str">
        <x:v>Pass 110</x:v>
      </x:c>
    </x:row>
    <x:row r="18">
      <x:c r="B18" s="9" t="str">
        <x:v>C12</x:v>
      </x:c>
      <x:c r="C18" s="9" t="str">
        <x:v>Primary lift nodes</x:v>
      </x:c>
      <x:c r="D18" s="13" t="n">
        <x:v>4</x:v>
      </x:c>
      <x:c r="E18" s="9" t="str">
        <x:v>nodes</x:v>
      </x:c>
      <x:c r="F18" s="9" t="str">
        <x:v>DESIGN</x:v>
      </x:c>
      <x:c r="G18" s="9" t="str">
        <x:v>Pass 110</x:v>
      </x:c>
    </x:row>
    <x:row r="19">
      <x:c r="B19" s="9" t="str">
        <x:v>C13</x:v>
      </x:c>
      <x:c r="C19" s="9" t="str">
        <x:v>Lift-node working load limit</x:v>
      </x:c>
      <x:c r="D19" s="13" t="n">
        <x:v>196</x:v>
      </x:c>
      <x:c r="E19" s="9" t="str">
        <x:v>kN</x:v>
      </x:c>
      <x:c r="F19" s="9" t="str">
        <x:v>DESIGN</x:v>
      </x:c>
      <x:c r="G19" s="9" t="str">
        <x:v>Pass 110</x:v>
      </x:c>
    </x:row>
    <x:row r="20">
      <x:c r="B20" s="9" t="str">
        <x:v>C14</x:v>
      </x:c>
      <x:c r="C20" s="9" t="str">
        <x:v>Standard gravity</x:v>
      </x:c>
      <x:c r="D20" s="13" t="n">
        <x:v>9.80665</x:v>
      </x:c>
      <x:c r="E20" s="9" t="str">
        <x:v>m/s2</x:v>
      </x:c>
      <x:c r="F20" s="9" t="str">
        <x:v>FROZEN</x:v>
      </x:c>
      <x:c r="G20" s="9" t="str">
        <x:v>public constant</x:v>
      </x:c>
    </x:row>
    <x:row r="21">
      <x:c r="B21" s="9" t="str">
        <x:v>C15</x:v>
      </x:c>
      <x:c r="C21" s="9" t="str">
        <x:v>Operating proof factor</x:v>
      </x:c>
      <x:c r="D21" s="13" t="n">
        <x:v>1.25</x:v>
      </x:c>
      <x:c r="E21" s="9" t="str">
        <x:v>g</x:v>
      </x:c>
      <x:c r="F21" s="9" t="str">
        <x:v>DESIGN</x:v>
      </x:c>
      <x:c r="G21" s="9" t="str">
        <x:v>Pass 110</x:v>
      </x:c>
    </x:row>
    <x:row r="22">
      <x:c r="B22" s="9" t="str">
        <x:v>C16</x:v>
      </x:c>
      <x:c r="C22" s="9" t="str">
        <x:v>Vertical challenge factor</x:v>
      </x:c>
      <x:c r="D22" s="13" t="n">
        <x:v>1.5</x:v>
      </x:c>
      <x:c r="E22" s="9" t="str">
        <x:v>g</x:v>
      </x:c>
      <x:c r="F22" s="9" t="str">
        <x:v>DESIGN</x:v>
      </x:c>
      <x:c r="G22" s="9" t="str">
        <x:v>Pass 110</x:v>
      </x:c>
    </x:row>
    <x:row r="23">
      <x:c r="B23" s="9" t="str">
        <x:v>C17</x:v>
      </x:c>
      <x:c r="C23" s="9" t="str">
        <x:v>Horizontal challenge factor</x:v>
      </x:c>
      <x:c r="D23" s="13" t="n">
        <x:v>0.6</x:v>
      </x:c>
      <x:c r="E23" s="9" t="str">
        <x:v>g</x:v>
      </x:c>
      <x:c r="F23" s="9" t="str">
        <x:v>DESIGN</x:v>
      </x:c>
      <x:c r="G23" s="9" t="str">
        <x:v>Pass 110</x:v>
      </x:c>
    </x:row>
    <x:row r="24">
      <x:c r="B24" s="9" t="str">
        <x:v>C18</x:v>
      </x:c>
      <x:c r="C24" s="9" t="str">
        <x:v>Dry-lift dynamic factor</x:v>
      </x:c>
      <x:c r="D24" s="13" t="n">
        <x:v>1.3</x:v>
      </x:c>
      <x:c r="E24" s="9" t="str">
        <x:v>factor</x:v>
      </x:c>
      <x:c r="F24" s="9" t="str">
        <x:v>DESIGN</x:v>
      </x:c>
      <x:c r="G24" s="9" t="str">
        <x:v>Pass 110</x:v>
      </x:c>
    </x:row>
    <x:row r="25">
      <x:c r="B25" s="9" t="str">
        <x:v>C19</x:v>
      </x:c>
      <x:c r="C25" s="9" t="str">
        <x:v>Support imbalance factor</x:v>
      </x:c>
      <x:c r="D25" s="13" t="n">
        <x:v>1.35</x:v>
      </x:c>
      <x:c r="E25" s="9" t="str">
        <x:v>factor</x:v>
      </x:c>
      <x:c r="F25" s="9" t="str">
        <x:v>DESIGN</x:v>
      </x:c>
      <x:c r="G25" s="9" t="str">
        <x:v>Pass 110</x:v>
      </x:c>
    </x:row>
    <x:row r="26">
      <x:c r="B26" s="9" t="str">
        <x:v>C20</x:v>
      </x:c>
      <x:c r="C26" s="9" t="str">
        <x:v>Weak-ground allowable bearing</x:v>
      </x:c>
      <x:c r="D26" s="13" t="n">
        <x:v>75</x:v>
      </x:c>
      <x:c r="E26" s="9" t="str">
        <x:v>kPa</x:v>
      </x:c>
      <x:c r="F26" s="9" t="str">
        <x:v>DESIGN</x:v>
      </x:c>
      <x:c r="G26" s="9" t="str">
        <x:v>Pass 110</x:v>
      </x:c>
    </x:row>
    <x:row r="27">
      <x:c r="B27" s="9" t="str">
        <x:v>C21</x:v>
      </x:c>
      <x:c r="C27" s="9" t="str">
        <x:v>Effective anchor-line span</x:v>
      </x:c>
      <x:c r="D27" s="13" t="n">
        <x:v>5</x:v>
      </x:c>
      <x:c r="E27" s="9" t="str">
        <x:v>m</x:v>
      </x:c>
      <x:c r="F27" s="9" t="str">
        <x:v>DESIGN</x:v>
      </x:c>
      <x:c r="G27" s="9" t="str">
        <x:v>Pass 110</x:v>
      </x:c>
    </x:row>
    <x:row r="28">
      <x:c r="B28" s="9" t="str">
        <x:v>C22</x:v>
      </x:c>
      <x:c r="C28" s="9" t="str">
        <x:v>Anchor proof target</x:v>
      </x:c>
      <x:c r="D28" s="13" t="n">
        <x:v>200</x:v>
      </x:c>
      <x:c r="E28" s="9" t="str">
        <x:v>kN</x:v>
      </x:c>
      <x:c r="F28" s="9" t="str">
        <x:v>DESIGN</x:v>
      </x:c>
      <x:c r="G28" s="9" t="str">
        <x:v>Pass 110</x:v>
      </x:c>
    </x:row>
    <x:row r="29">
      <x:c r="B29" s="9" t="str">
        <x:v>C23</x:v>
      </x:c>
      <x:c r="C29" s="9" t="str">
        <x:v>Hydraulic bore diameter</x:v>
      </x:c>
      <x:c r="D29" s="13" t="n">
        <x:v>0.35</x:v>
      </x:c>
      <x:c r="E29" s="9" t="str">
        <x:v>m</x:v>
      </x:c>
      <x:c r="F29" s="9" t="str">
        <x:v>FROZEN</x:v>
      </x:c>
      <x:c r="G29" s="9" t="str">
        <x:v>Pass 100</x:v>
      </x:c>
    </x:row>
    <x:row r="30">
      <x:c r="B30" s="9" t="str">
        <x:v>C24</x:v>
      </x:c>
      <x:c r="C30" s="9" t="str">
        <x:v>Daily flow per main</x:v>
      </x:c>
      <x:c r="D30" s="13" t="n">
        <x:v>5000</x:v>
      </x:c>
      <x:c r="E30" s="9" t="str">
        <x:v>m3/day</x:v>
      </x:c>
      <x:c r="F30" s="9" t="str">
        <x:v>FROZEN</x:v>
      </x:c>
      <x:c r="G30" s="9" t="str">
        <x:v>Pass 100</x:v>
      </x:c>
    </x:row>
    <x:row r="31">
      <x:c r="B31" s="9" t="str">
        <x:v>C25</x:v>
      </x:c>
      <x:c r="C31" s="9" t="str">
        <x:v>Parallel hydraulic paths</x:v>
      </x:c>
      <x:c r="D31" s="13" t="n">
        <x:v>2</x:v>
      </x:c>
      <x:c r="E31" s="9" t="str">
        <x:v>paths</x:v>
      </x:c>
      <x:c r="F31" s="9" t="str">
        <x:v>FROZEN</x:v>
      </x:c>
      <x:c r="G31" s="9" t="str">
        <x:v>Pass 100</x:v>
      </x:c>
    </x:row>
    <x:row r="32">
      <x:c r="B32" s="9" t="str">
        <x:v>C26</x:v>
      </x:c>
      <x:c r="C32" s="9" t="str">
        <x:v>Local loop length per path</x:v>
      </x:c>
      <x:c r="D32" s="13" t="n">
        <x:v>24</x:v>
      </x:c>
      <x:c r="E32" s="9" t="str">
        <x:v>m</x:v>
      </x:c>
      <x:c r="F32" s="9" t="str">
        <x:v>DESIGN</x:v>
      </x:c>
      <x:c r="G32" s="9" t="str">
        <x:v>Pass 110</x:v>
      </x:c>
    </x:row>
    <x:row r="33">
      <x:c r="B33" s="9" t="str">
        <x:v>C27</x:v>
      </x:c>
      <x:c r="C33" s="9" t="str">
        <x:v>Working pressure</x:v>
      </x:c>
      <x:c r="D33" s="13" t="n">
        <x:v>0.7</x:v>
      </x:c>
      <x:c r="E33" s="9" t="str">
        <x:v>MPa</x:v>
      </x:c>
      <x:c r="F33" s="9" t="str">
        <x:v>FROZEN</x:v>
      </x:c>
      <x:c r="G33" s="9" t="str">
        <x:v>Pass 100</x:v>
      </x:c>
    </x:row>
    <x:row r="34">
      <x:c r="B34" s="9" t="str">
        <x:v>C28</x:v>
      </x:c>
      <x:c r="C34" s="9" t="str">
        <x:v>Surge pressure</x:v>
      </x:c>
      <x:c r="D34" s="13" t="n">
        <x:v>0.85</x:v>
      </x:c>
      <x:c r="E34" s="9" t="str">
        <x:v>MPa</x:v>
      </x:c>
      <x:c r="F34" s="9" t="str">
        <x:v>FROZEN</x:v>
      </x:c>
      <x:c r="G34" s="9" t="str">
        <x:v>Pass 100</x:v>
      </x:c>
    </x:row>
    <x:row r="35">
      <x:c r="B35" s="9" t="str">
        <x:v>C29</x:v>
      </x:c>
      <x:c r="C35" s="9" t="str">
        <x:v>Proof pressure</x:v>
      </x:c>
      <x:c r="D35" s="13" t="n">
        <x:v>1.05</x:v>
      </x:c>
      <x:c r="E35" s="9" t="str">
        <x:v>MPa</x:v>
      </x:c>
      <x:c r="F35" s="9" t="str">
        <x:v>FROZEN</x:v>
      </x:c>
      <x:c r="G35" s="9" t="str">
        <x:v>Pass 100</x:v>
      </x:c>
    </x:row>
    <x:row r="36">
      <x:c r="B36" s="9" t="str">
        <x:v>C30</x:v>
      </x:c>
      <x:c r="C36" s="9" t="str">
        <x:v>Vacuum challenge</x:v>
      </x:c>
      <x:c r="D36" s="13" t="n">
        <x:v>-0.085</x:v>
      </x:c>
      <x:c r="E36" s="9" t="str">
        <x:v>MPa</x:v>
      </x:c>
      <x:c r="F36" s="9" t="str">
        <x:v>FROZEN</x:v>
      </x:c>
      <x:c r="G36" s="9" t="str">
        <x:v>Pass 100</x:v>
      </x:c>
    </x:row>
    <x:row r="37">
      <x:c r="B37" s="9" t="str">
        <x:v>C31</x:v>
      </x:c>
      <x:c r="C37" s="9" t="str">
        <x:v>Pressure cycles</x:v>
      </x:c>
      <x:c r="D37" s="13" t="n">
        <x:v>50000</x:v>
      </x:c>
      <x:c r="E37" s="9" t="str">
        <x:v>cycles</x:v>
      </x:c>
      <x:c r="F37" s="9" t="str">
        <x:v>FROZEN</x:v>
      </x:c>
      <x:c r="G37" s="9" t="str">
        <x:v>Pass 100</x:v>
      </x:c>
    </x:row>
    <x:row r="38">
      <x:c r="B38" s="9" t="str">
        <x:v>C32</x:v>
      </x:c>
      <x:c r="C38" s="9" t="str">
        <x:v>Axial restraint target</x:v>
      </x:c>
      <x:c r="D38" s="13" t="n">
        <x:v>200</x:v>
      </x:c>
      <x:c r="E38" s="9" t="str">
        <x:v>kN</x:v>
      </x:c>
      <x:c r="F38" s="9" t="str">
        <x:v>FROZEN</x:v>
      </x:c>
      <x:c r="G38" s="9" t="str">
        <x:v>Pass 100</x:v>
      </x:c>
    </x:row>
    <x:row r="39">
      <x:c r="B39" s="9" t="str">
        <x:v>C33</x:v>
      </x:c>
      <x:c r="C39" s="9" t="str">
        <x:v>Leak decision floor</x:v>
      </x:c>
      <x:c r="D39" s="13" t="n">
        <x:v>0.1</x:v>
      </x:c>
      <x:c r="E39" s="9" t="str">
        <x:v>L/h</x:v>
      </x:c>
      <x:c r="F39" s="9" t="str">
        <x:v>FROZEN</x:v>
      </x:c>
      <x:c r="G39" s="9" t="str">
        <x:v>Pass 101</x:v>
      </x:c>
    </x:row>
    <x:row r="40">
      <x:c r="B40" s="9" t="str">
        <x:v>C34</x:v>
      </x:c>
      <x:c r="C40" s="9" t="str">
        <x:v>Leak measurement U95</x:v>
      </x:c>
      <x:c r="D40" s="13" t="n">
        <x:v>0.02</x:v>
      </x:c>
      <x:c r="E40" s="9" t="str">
        <x:v>L/h</x:v>
      </x:c>
      <x:c r="F40" s="9" t="str">
        <x:v>FROZEN</x:v>
      </x:c>
      <x:c r="G40" s="9" t="str">
        <x:v>Pass 102</x:v>
      </x:c>
    </x:row>
    <x:row r="41">
      <x:c r="B41" s="9" t="str">
        <x:v>C35</x:v>
      </x:c>
      <x:c r="C41" s="9" t="str">
        <x:v>Minimum flush volumes</x:v>
      </x:c>
      <x:c r="D41" s="13" t="n">
        <x:v>3</x:v>
      </x:c>
      <x:c r="E41" s="9" t="str">
        <x:v>volumes</x:v>
      </x:c>
      <x:c r="F41" s="9" t="str">
        <x:v>FROZEN</x:v>
      </x:c>
      <x:c r="G41" s="9" t="str">
        <x:v>Pass 102</x:v>
      </x:c>
    </x:row>
    <x:row r="42">
      <x:c r="B42" s="9" t="str">
        <x:v>C36</x:v>
      </x:c>
      <x:c r="C42" s="9" t="str">
        <x:v>Critical bus service</x:v>
      </x:c>
      <x:c r="D42" s="13" t="n">
        <x:v>0.6</x:v>
      </x:c>
      <x:c r="E42" s="9" t="str">
        <x:v>MW</x:v>
      </x:c>
      <x:c r="F42" s="9" t="str">
        <x:v>DESIGN</x:v>
      </x:c>
      <x:c r="G42" s="9" t="str">
        <x:v>Pass 110</x:v>
      </x:c>
    </x:row>
    <x:row r="43">
      <x:c r="B43" s="9" t="str">
        <x:v>C37</x:v>
      </x:c>
      <x:c r="C43" s="9" t="str">
        <x:v>Normal island service</x:v>
      </x:c>
      <x:c r="D43" s="13" t="n">
        <x:v>1.5</x:v>
      </x:c>
      <x:c r="E43" s="9" t="str">
        <x:v>MW</x:v>
      </x:c>
      <x:c r="F43" s="9" t="str">
        <x:v>DESIGN</x:v>
      </x:c>
      <x:c r="G43" s="9" t="str">
        <x:v>Pass 110</x:v>
      </x:c>
    </x:row>
    <x:row r="44">
      <x:c r="B44" s="9" t="str">
        <x:v>C38</x:v>
      </x:c>
      <x:c r="C44" s="9" t="str">
        <x:v>Normal trial duration</x:v>
      </x:c>
      <x:c r="D44" s="13" t="n">
        <x:v>8</x:v>
      </x:c>
      <x:c r="E44" s="9" t="str">
        <x:v>h</x:v>
      </x:c>
      <x:c r="F44" s="9" t="str">
        <x:v>DESIGN</x:v>
      </x:c>
      <x:c r="G44" s="9" t="str">
        <x:v>Pass 110</x:v>
      </x:c>
    </x:row>
    <x:row r="45">
      <x:c r="B45" s="9" t="str">
        <x:v>C39</x:v>
      </x:c>
      <x:c r="C45" s="9" t="str">
        <x:v>Overload service</x:v>
      </x:c>
      <x:c r="D45" s="13" t="n">
        <x:v>2.25</x:v>
      </x:c>
      <x:c r="E45" s="9" t="str">
        <x:v>MW</x:v>
      </x:c>
      <x:c r="F45" s="9" t="str">
        <x:v>DESIGN</x:v>
      </x:c>
      <x:c r="G45" s="9" t="str">
        <x:v>Pass 110</x:v>
      </x:c>
    </x:row>
    <x:row r="46">
      <x:c r="B46" s="9" t="str">
        <x:v>C40</x:v>
      </x:c>
      <x:c r="C46" s="9" t="str">
        <x:v>Overload duration</x:v>
      </x:c>
      <x:c r="D46" s="13" t="n">
        <x:v>10</x:v>
      </x:c>
      <x:c r="E46" s="9" t="str">
        <x:v>min</x:v>
      </x:c>
      <x:c r="F46" s="9" t="str">
        <x:v>DESIGN</x:v>
      </x:c>
      <x:c r="G46" s="9" t="str">
        <x:v>Pass 110</x:v>
      </x:c>
    </x:row>
    <x:row r="47">
      <x:c r="B47" s="9" t="str">
        <x:v>C41</x:v>
      </x:c>
      <x:c r="C47" s="9" t="str">
        <x:v>Transient service</x:v>
      </x:c>
      <x:c r="D47" s="13" t="n">
        <x:v>3</x:v>
      </x:c>
      <x:c r="E47" s="9" t="str">
        <x:v>MW</x:v>
      </x:c>
      <x:c r="F47" s="9" t="str">
        <x:v>DESIGN</x:v>
      </x:c>
      <x:c r="G47" s="9" t="str">
        <x:v>Pass 110</x:v>
      </x:c>
    </x:row>
    <x:row r="48">
      <x:c r="B48" s="9" t="str">
        <x:v>C42</x:v>
      </x:c>
      <x:c r="C48" s="9" t="str">
        <x:v>Transient duration</x:v>
      </x:c>
      <x:c r="D48" s="13" t="n">
        <x:v>10</x:v>
      </x:c>
      <x:c r="E48" s="9" t="str">
        <x:v>s</x:v>
      </x:c>
      <x:c r="F48" s="9" t="str">
        <x:v>DESIGN</x:v>
      </x:c>
      <x:c r="G48" s="9" t="str">
        <x:v>Pass 110</x:v>
      </x:c>
    </x:row>
    <x:row r="49">
      <x:c r="B49" s="9" t="str">
        <x:v>C43</x:v>
      </x:c>
      <x:c r="C49" s="9" t="str">
        <x:v>Deliverable stored energy</x:v>
      </x:c>
      <x:c r="D49" s="13" t="n">
        <x:v>0.4</x:v>
      </x:c>
      <x:c r="E49" s="9" t="str">
        <x:v>MWh</x:v>
      </x:c>
      <x:c r="F49" s="9" t="str">
        <x:v>DESIGN</x:v>
      </x:c>
      <x:c r="G49" s="9" t="str">
        <x:v>Pass 110</x:v>
      </x:c>
    </x:row>
    <x:row r="50">
      <x:c r="B50" s="9" t="str">
        <x:v>C44</x:v>
      </x:c>
      <x:c r="C50" s="9" t="str">
        <x:v>Minimum critical-bus storage</x:v>
      </x:c>
      <x:c r="D50" s="13" t="n">
        <x:v>30</x:v>
      </x:c>
      <x:c r="E50" s="9" t="str">
        <x:v>min</x:v>
      </x:c>
      <x:c r="F50" s="9" t="str">
        <x:v>DESIGN</x:v>
      </x:c>
      <x:c r="G50" s="9" t="str">
        <x:v>Pass 110</x:v>
      </x:c>
    </x:row>
    <x:row r="51">
      <x:c r="B51" s="9" t="str">
        <x:v>C45</x:v>
      </x:c>
      <x:c r="C51" s="9" t="str">
        <x:v>Public feeder voltage</x:v>
      </x:c>
      <x:c r="D51" s="13" t="n">
        <x:v>13.8</x:v>
      </x:c>
      <x:c r="E51" s="9" t="str">
        <x:v>kV</x:v>
      </x:c>
      <x:c r="F51" s="9" t="str">
        <x:v>DESIGN</x:v>
      </x:c>
      <x:c r="G51" s="9" t="str">
        <x:v>Pass 110</x:v>
      </x:c>
    </x:row>
    <x:row r="52">
      <x:c r="B52" s="9" t="str">
        <x:v>C46</x:v>
      </x:c>
      <x:c r="C52" s="9" t="str">
        <x:v>Protected service voltage</x:v>
      </x:c>
      <x:c r="D52" s="13" t="n">
        <x:v>480</x:v>
      </x:c>
      <x:c r="E52" s="9" t="str">
        <x:v>V</x:v>
      </x:c>
      <x:c r="F52" s="9" t="str">
        <x:v>DESIGN</x:v>
      </x:c>
      <x:c r="G52" s="9" t="str">
        <x:v>Pass 110</x:v>
      </x:c>
    </x:row>
    <x:row r="53">
      <x:c r="B53" s="9" t="str">
        <x:v>C47</x:v>
      </x:c>
      <x:c r="C53" s="9" t="str">
        <x:v>Local control authority</x:v>
      </x:c>
      <x:c r="D53" s="13" t="n">
        <x:v>30</x:v>
      </x:c>
      <x:c r="E53" s="9" t="str">
        <x:v>s</x:v>
      </x:c>
      <x:c r="F53" s="9" t="str">
        <x:v>DESIGN</x:v>
      </x:c>
      <x:c r="G53" s="9" t="str">
        <x:v>Pass 110</x:v>
      </x:c>
    </x:row>
    <x:row r="54">
      <x:c r="B54" s="9" t="str">
        <x:v>C48</x:v>
      </x:c>
      <x:c r="C54" s="9" t="str">
        <x:v>Protected critical bus</x:v>
      </x:c>
      <x:c r="D54" s="13" t="n">
        <x:v>90</x:v>
      </x:c>
      <x:c r="E54" s="9" t="str">
        <x:v>s</x:v>
      </x:c>
      <x:c r="F54" s="9" t="str">
        <x:v>DESIGN</x:v>
      </x:c>
      <x:c r="G54" s="9" t="str">
        <x:v>Pass 110</x:v>
      </x:c>
    </x:row>
    <x:row r="55">
      <x:c r="B55" s="9" t="str">
        <x:v>C49</x:v>
      </x:c>
      <x:c r="C55" s="9" t="str">
        <x:v>Isolation and metrology</x:v>
      </x:c>
      <x:c r="D55" s="13" t="n">
        <x:v>5</x:v>
      </x:c>
      <x:c r="E55" s="9" t="str">
        <x:v>min</x:v>
      </x:c>
      <x:c r="F55" s="9" t="str">
        <x:v>DESIGN</x:v>
      </x:c>
      <x:c r="G55" s="9" t="str">
        <x:v>Pass 110</x:v>
      </x:c>
    </x:row>
    <x:row r="56">
      <x:c r="B56" s="9" t="str">
        <x:v>C50</x:v>
      </x:c>
      <x:c r="C56" s="9" t="str">
        <x:v>First critical service</x:v>
      </x:c>
      <x:c r="D56" s="13" t="n">
        <x:v>10</x:v>
      </x:c>
      <x:c r="E56" s="9" t="str">
        <x:v>min</x:v>
      </x:c>
      <x:c r="F56" s="9" t="str">
        <x:v>DESIGN</x:v>
      </x:c>
      <x:c r="G56" s="9" t="str">
        <x:v>Pass 110</x:v>
      </x:c>
    </x:row>
    <x:row r="57">
      <x:c r="B57" s="9" t="str">
        <x:v>C51</x:v>
      </x:c>
      <x:c r="C57" s="9" t="str">
        <x:v>Full normal service</x:v>
      </x:c>
      <x:c r="D57" s="13" t="n">
        <x:v>20</x:v>
      </x:c>
      <x:c r="E57" s="9" t="str">
        <x:v>min</x:v>
      </x:c>
      <x:c r="F57" s="9" t="str">
        <x:v>DESIGN</x:v>
      </x:c>
      <x:c r="G57" s="9" t="str">
        <x:v>Pass 110</x:v>
      </x:c>
    </x:row>
    <x:row r="58">
      <x:c r="B58" s="9" t="str">
        <x:v>C52</x:v>
      </x:c>
      <x:c r="C58" s="9" t="str">
        <x:v>Steady frequency bound</x:v>
      </x:c>
      <x:c r="D58" s="13" t="n">
        <x:v>0.15</x:v>
      </x:c>
      <x:c r="E58" s="9" t="str">
        <x:v>Hz</x:v>
      </x:c>
      <x:c r="F58" s="9" t="str">
        <x:v>DESIGN</x:v>
      </x:c>
      <x:c r="G58" s="9" t="str">
        <x:v>Pass 110</x:v>
      </x:c>
    </x:row>
    <x:row r="59">
      <x:c r="B59" s="9" t="str">
        <x:v>C53</x:v>
      </x:c>
      <x:c r="C59" s="9" t="str">
        <x:v>Steady RMS voltage bound</x:v>
      </x:c>
      <x:c r="D59" s="13" t="n">
        <x:v>0.05</x:v>
      </x:c>
      <x:c r="E59" s="9" t="str">
        <x:v>fraction</x:v>
      </x:c>
      <x:c r="F59" s="9" t="str">
        <x:v>DESIGN</x:v>
      </x:c>
      <x:c r="G59" s="9" t="str">
        <x:v>Pass 110</x:v>
      </x:c>
    </x:row>
    <x:row r="60">
      <x:c r="B60" s="9" t="str">
        <x:v>C54</x:v>
      </x:c>
      <x:c r="C60" s="9" t="str">
        <x:v>Transient frequency bound</x:v>
      </x:c>
      <x:c r="D60" s="13" t="n">
        <x:v>0.5</x:v>
      </x:c>
      <x:c r="E60" s="9" t="str">
        <x:v>Hz</x:v>
      </x:c>
      <x:c r="F60" s="9" t="str">
        <x:v>DESIGN</x:v>
      </x:c>
      <x:c r="G60" s="9" t="str">
        <x:v>Pass 110</x:v>
      </x:c>
    </x:row>
    <x:row r="61">
      <x:c r="B61" s="9" t="str">
        <x:v>C55</x:v>
      </x:c>
      <x:c r="C61" s="9" t="str">
        <x:v>Frequency recovery</x:v>
      </x:c>
      <x:c r="D61" s="13" t="n">
        <x:v>5</x:v>
      </x:c>
      <x:c r="E61" s="9" t="str">
        <x:v>s</x:v>
      </x:c>
      <x:c r="F61" s="9" t="str">
        <x:v>DESIGN</x:v>
      </x:c>
      <x:c r="G61" s="9" t="str">
        <x:v>Pass 110</x:v>
      </x:c>
    </x:row>
    <x:row r="62">
      <x:c r="B62" s="9" t="str">
        <x:v>C56</x:v>
      </x:c>
      <x:c r="C62" s="9" t="str">
        <x:v>Voltage recovery</x:v>
      </x:c>
      <x:c r="D62" s="13" t="n">
        <x:v>2</x:v>
      </x:c>
      <x:c r="E62" s="9" t="str">
        <x:v>s</x:v>
      </x:c>
      <x:c r="F62" s="9" t="str">
        <x:v>DESIGN</x:v>
      </x:c>
      <x:c r="G62" s="9" t="str">
        <x:v>Pass 110</x:v>
      </x:c>
    </x:row>
    <x:row r="63">
      <x:c r="B63" s="9" t="str">
        <x:v>C57</x:v>
      </x:c>
      <x:c r="C63" s="9" t="str">
        <x:v>Selected interface families</x:v>
      </x:c>
      <x:c r="D63" s="13" t="n">
        <x:v>6</x:v>
      </x:c>
      <x:c r="E63" s="9" t="str">
        <x:v>families</x:v>
      </x:c>
      <x:c r="F63" s="9" t="str">
        <x:v>DESIGN</x:v>
      </x:c>
      <x:c r="G63" s="9" t="str">
        <x:v>CISA-1</x:v>
      </x:c>
    </x:row>
    <x:row r="64">
      <x:c r="B64" s="9" t="str">
        <x:v>C58</x:v>
      </x:c>
      <x:c r="C64" s="9" t="str">
        <x:v>Industrial roots</x:v>
      </x:c>
      <x:c r="D64" s="13" t="n">
        <x:v>2</x:v>
      </x:c>
      <x:c r="E64" s="9" t="str">
        <x:v>roots</x:v>
      </x:c>
      <x:c r="F64" s="9" t="str">
        <x:v>FROZEN</x:v>
      </x:c>
      <x:c r="G64" s="9" t="str">
        <x:v>Pass 108</x:v>
      </x:c>
    </x:row>
    <x:row r="65">
      <x:c r="B65" s="9" t="str">
        <x:v>C59</x:v>
      </x:c>
      <x:c r="C65" s="9" t="str">
        <x:v>Serial states per selected family</x:v>
      </x:c>
      <x:c r="D65" s="13" t="n">
        <x:v>3</x:v>
      </x:c>
      <x:c r="E65" s="9" t="str">
        <x:v>states</x:v>
      </x:c>
      <x:c r="F65" s="9" t="str">
        <x:v>DESIGN</x:v>
      </x:c>
      <x:c r="G65" s="9" t="str">
        <x:v>CISA-1</x:v>
      </x:c>
    </x:row>
    <x:row r="66">
      <x:c r="B66" s="9" t="str">
        <x:v>C60</x:v>
      </x:c>
      <x:c r="C66" s="9" t="str">
        <x:v>Interface-pair articles</x:v>
      </x:c>
      <x:c r="D66" s="13" t="n">
        <x:v>36</x:v>
      </x:c>
      <x:c r="E66" s="9" t="str">
        <x:v>units</x:v>
      </x:c>
      <x:c r="F66" s="9" t="str">
        <x:v>DERIVED</x:v>
      </x:c>
      <x:c r="G66" s="9" t="str">
        <x:v>6 x 2 x 3</x:v>
      </x:c>
    </x:row>
    <x:row r="67">
      <x:c r="B67" s="9" t="str">
        <x:v>C61</x:v>
      </x:c>
      <x:c r="C67" s="9" t="str">
        <x:v>Utility-island articles</x:v>
      </x:c>
      <x:c r="D67" s="13" t="n">
        <x:v>4</x:v>
      </x:c>
      <x:c r="E67" s="9" t="str">
        <x:v>units</x:v>
      </x:c>
      <x:c r="F67" s="9" t="str">
        <x:v>DESIGN</x:v>
      </x:c>
      <x:c r="G67" s="9" t="str">
        <x:v>CISA-1</x:v>
      </x:c>
    </x:row>
    <x:row r="68">
      <x:c r="B68" s="9" t="str">
        <x:v>C62</x:v>
      </x:c>
      <x:c r="C68" s="9" t="str">
        <x:v>Receiver-spine articles</x:v>
      </x:c>
      <x:c r="D68" s="13" t="n">
        <x:v>6</x:v>
      </x:c>
      <x:c r="E68" s="9" t="str">
        <x:v>units</x:v>
      </x:c>
      <x:c r="F68" s="9" t="str">
        <x:v>DESIGN</x:v>
      </x:c>
      <x:c r="G68" s="9" t="str">
        <x:v>CISA-1</x:v>
      </x:c>
    </x:row>
    <x:row r="69">
      <x:c r="B69" s="9" t="str">
        <x:v>C63</x:v>
      </x:c>
      <x:c r="C69" s="9" t="str">
        <x:v>Campus-slice articles</x:v>
      </x:c>
      <x:c r="D69" s="13" t="n">
        <x:v>4</x:v>
      </x:c>
      <x:c r="E69" s="9" t="str">
        <x:v>units</x:v>
      </x:c>
      <x:c r="F69" s="9" t="str">
        <x:v>DESIGN</x:v>
      </x:c>
      <x:c r="G69" s="9" t="str">
        <x:v>CISA-1</x:v>
      </x:c>
    </x:row>
    <x:row r="70">
      <x:c r="B70" s="9" t="str">
        <x:v>C64</x:v>
      </x:c>
      <x:c r="C70" s="9" t="str">
        <x:v>Reference and quarantine articles</x:v>
      </x:c>
      <x:c r="D70" s="13" t="n">
        <x:v>8</x:v>
      </x:c>
      <x:c r="E70" s="9" t="str">
        <x:v>units</x:v>
      </x:c>
      <x:c r="F70" s="9" t="str">
        <x:v>DESIGN</x:v>
      </x:c>
      <x:c r="G70" s="9" t="str">
        <x:v>CISA-1</x:v>
      </x:c>
    </x:row>
    <x:row r="71">
      <x:c r="B71" s="9" t="str">
        <x:v>C65</x:v>
      </x:c>
      <x:c r="C71" s="9" t="str">
        <x:v>CISA-1 controlled units</x:v>
      </x:c>
      <x:c r="D71" s="13" t="n">
        <x:v>58</x:v>
      </x:c>
      <x:c r="E71" s="9" t="str">
        <x:v>units</x:v>
      </x:c>
      <x:c r="F71" s="9" t="str">
        <x:v>DERIVED</x:v>
      </x:c>
      <x:c r="G71" s="9" t="str">
        <x:v>article set</x:v>
      </x:c>
    </x:row>
    <x:row r="72">
      <x:c r="B72" s="9" t="str">
        <x:v>C66</x:v>
      </x:c>
      <x:c r="C72" s="9" t="str">
        <x:v>CISA-1 decision trials</x:v>
      </x:c>
      <x:c r="D72" s="13" t="n">
        <x:v>50</x:v>
      </x:c>
      <x:c r="E72" s="9" t="str">
        <x:v>trials</x:v>
      </x:c>
      <x:c r="F72" s="9" t="str">
        <x:v>DERIVED</x:v>
      </x:c>
      <x:c r="G72" s="9" t="str">
        <x:v>trial set</x:v>
      </x:c>
    </x:row>
    <x:row r="73">
      <x:c r="B73" s="9" t="str">
        <x:v>C67</x:v>
      </x:c>
      <x:c r="C73" s="9" t="str">
        <x:v>Sealed fault assignments</x:v>
      </x:c>
      <x:c r="D73" s="13" t="n">
        <x:v>16</x:v>
      </x:c>
      <x:c r="E73" s="9" t="str">
        <x:v>faults</x:v>
      </x:c>
      <x:c r="F73" s="9" t="str">
        <x:v>DESIGN</x:v>
      </x:c>
      <x:c r="G73" s="9" t="str">
        <x:v>eight x two roots</x:v>
      </x:c>
    </x:row>
    <x:row r="74">
      <x:c r="B74" s="9" t="str">
        <x:v>C68</x:v>
      </x:c>
      <x:c r="C74" s="9" t="str">
        <x:v>Clean controls</x:v>
      </x:c>
      <x:c r="D74" s="13" t="n">
        <x:v>16</x:v>
      </x:c>
      <x:c r="E74" s="9" t="str">
        <x:v>controls</x:v>
      </x:c>
      <x:c r="F74" s="9" t="str">
        <x:v>DESIGN</x:v>
      </x:c>
      <x:c r="G74" s="9" t="str">
        <x:v>paired screen</x:v>
      </x:c>
    </x:row>
    <x:row r="75">
      <x:c r="B75" s="9" t="str">
        <x:v>C69</x:v>
      </x:c>
      <x:c r="C75" s="9" t="str">
        <x:v>CISA schedule</x:v>
      </x:c>
      <x:c r="D75" s="13" t="n">
        <x:v>36</x:v>
      </x:c>
      <x:c r="E75" s="9" t="str">
        <x:v>months</x:v>
      </x:c>
      <x:c r="F75" s="9" t="str">
        <x:v>DESIGN</x:v>
      </x:c>
      <x:c r="G75" s="9" t="str">
        <x:v>inside MQP-1</x:v>
      </x:c>
    </x:row>
    <x:row r="76">
      <x:c r="B76" s="9" t="str">
        <x:v>C70</x:v>
      </x:c>
      <x:c r="C76" s="9" t="str">
        <x:v>Minimum cold storage</x:v>
      </x:c>
      <x:c r="D76" s="13" t="n">
        <x:v>12</x:v>
      </x:c>
      <x:c r="E76" s="9" t="str">
        <x:v>months</x:v>
      </x:c>
      <x:c r="F76" s="9" t="str">
        <x:v>DESIGN</x:v>
      </x:c>
      <x:c r="G76" s="9" t="str">
        <x:v>CISA-1</x:v>
      </x:c>
    </x:row>
    <x:row r="77">
      <x:c r="B77" s="9" t="str">
        <x:v>C71</x:v>
      </x:c>
      <x:c r="C77" s="9" t="str">
        <x:v>CISA capital draw</x:v>
      </x:c>
      <x:c r="D77" s="13" t="n">
        <x:v>0.96</x:v>
      </x:c>
      <x:c r="E77" s="9" t="str">
        <x:v>USD B</x:v>
      </x:c>
      <x:c r="F77" s="9" t="str">
        <x:v>DESIGN</x:v>
      </x:c>
      <x:c r="G77" s="9" t="str">
        <x:v>inside MQP-1</x:v>
      </x:c>
    </x:row>
    <x:row r="78">
      <x:c r="B78" s="9" t="str">
        <x:v>C72</x:v>
      </x:c>
      <x:c r="C78" s="9" t="str">
        <x:v>CISA annual operating draw</x:v>
      </x:c>
      <x:c r="D78" s="13" t="n">
        <x:v>0.26</x:v>
      </x:c>
      <x:c r="E78" s="9" t="str">
        <x:v>USD B/year</x:v>
      </x:c>
      <x:c r="F78" s="9" t="str">
        <x:v>DESIGN</x:v>
      </x:c>
      <x:c r="G78" s="9" t="str">
        <x:v>inside MQP-1</x:v>
      </x:c>
    </x:row>
    <x:row r="79">
      <x:c r="B79" s="9" t="str">
        <x:v>C73</x:v>
      </x:c>
      <x:c r="C79" s="9" t="str">
        <x:v>Total planned workforce</x:v>
      </x:c>
      <x:c r="D79" s="13" t="n">
        <x:v>590</x:v>
      </x:c>
      <x:c r="E79" s="9" t="str">
        <x:v>people</x:v>
      </x:c>
      <x:c r="F79" s="9" t="str">
        <x:v>DESIGN</x:v>
      </x:c>
      <x:c r="G79" s="9" t="str">
        <x:v>Pass 110</x:v>
      </x:c>
    </x:row>
    <x:row r="80">
      <x:c r="B80" s="9" t="str">
        <x:v>C74</x:v>
      </x:c>
      <x:c r="C80" s="9" t="str">
        <x:v>Public workforce</x:v>
      </x:c>
      <x:c r="D80" s="13" t="n">
        <x:v>210</x:v>
      </x:c>
      <x:c r="E80" s="9" t="str">
        <x:v>people</x:v>
      </x:c>
      <x:c r="F80" s="9" t="str">
        <x:v>DESIGN</x:v>
      </x:c>
      <x:c r="G80" s="9" t="str">
        <x:v>Pass 110</x:v>
      </x:c>
    </x:row>
    <x:row r="81">
      <x:c r="B81" s="9" t="str">
        <x:v>C75</x:v>
      </x:c>
      <x:c r="C81" s="9" t="str">
        <x:v>Root and affiliate workforce</x:v>
      </x:c>
      <x:c r="D81" s="13" t="n">
        <x:v>380</x:v>
      </x:c>
      <x:c r="E81" s="9" t="str">
        <x:v>people</x:v>
      </x:c>
      <x:c r="F81" s="9" t="str">
        <x:v>DESIGN</x:v>
      </x:c>
      <x:c r="G81" s="9" t="str">
        <x:v>Pass 110</x:v>
      </x:c>
    </x:row>
    <x:row r="82">
      <x:c r="B82" s="9" t="str">
        <x:v>C76</x:v>
      </x:c>
      <x:c r="C82" s="9" t="str">
        <x:v>Derived-product allowance</x:v>
      </x:c>
      <x:c r="D82" s="13" t="n">
        <x:v>0.25</x:v>
      </x:c>
      <x:c r="E82" s="9" t="str">
        <x:v>fraction</x:v>
      </x:c>
      <x:c r="F82" s="9" t="str">
        <x:v>DESIGN</x:v>
      </x:c>
      <x:c r="G82" s="9" t="str">
        <x:v>evidence estate</x:v>
      </x:c>
    </x:row>
    <x:row r="83">
      <x:c r="B83" s="9" t="str">
        <x:v>C77</x:v>
      </x:c>
      <x:c r="C83" s="9" t="str">
        <x:v>Packet and index overhead</x:v>
      </x:c>
      <x:c r="D83" s="13" t="n">
        <x:v>0.06</x:v>
      </x:c>
      <x:c r="E83" s="9" t="str">
        <x:v>fraction</x:v>
      </x:c>
      <x:c r="F83" s="9" t="str">
        <x:v>DESIGN</x:v>
      </x:c>
      <x:c r="G83" s="9" t="str">
        <x:v>evidence estate</x:v>
      </x:c>
    </x:row>
    <x:row r="84">
      <x:c r="B84" s="9" t="str">
        <x:v>C78</x:v>
      </x:c>
      <x:c r="C84" s="9" t="str">
        <x:v>Original authorities</x:v>
      </x:c>
      <x:c r="D84" s="13" t="n">
        <x:v>2</x:v>
      </x:c>
      <x:c r="E84" s="9" t="str">
        <x:v>copies</x:v>
      </x:c>
      <x:c r="F84" s="9" t="str">
        <x:v>DESIGN</x:v>
      </x:c>
      <x:c r="G84" s="9" t="str">
        <x:v>evidence estate</x:v>
      </x:c>
    </x:row>
    <x:row r="85">
      <x:c r="B85" s="9" t="str">
        <x:v>C79</x:v>
      </x:c>
      <x:c r="C85" s="9" t="str">
        <x:v>Root campaigns</x:v>
      </x:c>
      <x:c r="D85" s="13" t="n">
        <x:v>2</x:v>
      </x:c>
      <x:c r="E85" s="9" t="str">
        <x:v>roots</x:v>
      </x:c>
      <x:c r="F85" s="9" t="str">
        <x:v>DESIGN</x:v>
      </x:c>
      <x:c r="G85" s="9" t="str">
        <x:v>evidence estate</x:v>
      </x:c>
    </x:row>
    <x:row r="86">
      <x:c r="B86" s="9" t="str">
        <x:v>C80</x:v>
      </x:c>
      <x:c r="C86" s="9" t="str">
        <x:v>Physical articles accepted</x:v>
      </x:c>
      <x:c r="D86" s="13" t="n">
        <x:v>0</x:v>
      </x:c>
      <x:c r="E86" s="9" t="str">
        <x:v>units</x:v>
      </x:c>
      <x:c r="F86" s="9" t="str">
        <x:v>OPEN</x:v>
      </x:c>
      <x:c r="G86" s="9" t="str">
        <x:v>no observation</x:v>
      </x:c>
    </x:row>
    <x:row r="87">
      <x:c r="B87" s="9" t="str">
        <x:v>C81</x:v>
      </x:c>
      <x:c r="C87" s="9" t="str">
        <x:v>Decision trials completed</x:v>
      </x:c>
      <x:c r="D87" s="13" t="n">
        <x:v>0</x:v>
      </x:c>
      <x:c r="E87" s="9" t="str">
        <x:v>trials</x:v>
      </x:c>
      <x:c r="F87" s="9" t="str">
        <x:v>OPEN</x:v>
      </x:c>
      <x:c r="G87" s="9" t="str">
        <x:v>no observation</x:v>
      </x:c>
    </x:row>
    <x:row r="88">
      <x:c r="B88" s="9" t="str">
        <x:v>C82</x:v>
      </x:c>
      <x:c r="C88" s="9" t="str">
        <x:v>Evidence packages admitted</x:v>
      </x:c>
      <x:c r="D88" s="13" t="n">
        <x:v>0</x:v>
      </x:c>
      <x:c r="E88" s="9" t="str">
        <x:v>packages</x:v>
      </x:c>
      <x:c r="F88" s="9" t="str">
        <x:v>OPEN</x:v>
      </x:c>
      <x:c r="G88" s="9" t="str">
        <x:v>no observation</x:v>
      </x:c>
    </x:row>
    <x:row r="89">
      <x:c r="B89" s="9" t="str">
        <x:v>C83</x:v>
      </x:c>
      <x:c r="C89" s="9" t="str">
        <x:v>Root build packages accepted</x:v>
      </x:c>
      <x:c r="D89" s="13" t="n">
        <x:v>0</x:v>
      </x:c>
      <x:c r="E89" s="9" t="str">
        <x:v>packages</x:v>
      </x:c>
      <x:c r="F89" s="9" t="str">
        <x:v>OPEN</x:v>
      </x:c>
      <x:c r="G89" s="9" t="str">
        <x:v>no observation</x:v>
      </x:c>
    </x:row>
    <x:row r="90">
      <x:c r="B90" s="9" t="str">
        <x:v>C84</x:v>
      </x:c>
      <x:c r="C90" s="9" t="str">
        <x:v>Production authority</x:v>
      </x:c>
      <x:c r="D90" s="13" t="n">
        <x:v>0</x:v>
      </x:c>
      <x:c r="E90" s="9" t="str">
        <x:v>binary</x:v>
      </x:c>
      <x:c r="F90" s="9" t="str">
        <x:v>BLOCKED</x:v>
      </x:c>
      <x:c r="G90" s="9" t="str">
        <x:v>parent chain</x:v>
      </x:c>
    </x:row>
    <x:row r="91">
      <x:c r="B91" s="10" t="str">
        <x:v>C85</x:v>
      </x:c>
      <x:c r="C91" s="10" t="str">
        <x:v>Exterior rendering authority</x:v>
      </x:c>
      <x:c r="D91" s="14" t="n">
        <x:v>0</x:v>
      </x:c>
      <x:c r="E91" s="10" t="str">
        <x:v>binary</x:v>
      </x:c>
      <x:c r="F91" s="10" t="str">
        <x:v>BLOCKED</x:v>
      </x:c>
      <x:c r="G91" s="10" t="str">
        <x:v>parent chain</x:v>
      </x:c>
    </x:row>
    <x:row r="92">
      <x:c r="B92" s="8"/>
      <x:c r="C92" s="8"/>
      <x:c r="D92" s="30"/>
      <x:c r="E92" s="8"/>
      <x:c r="F92" s="8"/>
      <x:c r="G92" s="8"/>
    </x:row>
  </x:sheetData>
  <x:mergeCells>
    <x:mergeCell ref="B2:G2"/>
    <x:mergeCell ref="B3:G3"/>
  </x:mergeCells>
  <x:conditionalFormatting sqref="F7:F91">
    <x:cfRule type="containsText" dxfId="0" priority="1" operator="containsText" text="PASS"/>
    <x:cfRule type="containsText" dxfId="1" priority="2" operator="containsText" text="AUTHORIZED"/>
    <x:cfRule type="containsText" dxfId="2" priority="3" operator="containsText" text="DEFINED"/>
    <x:cfRule type="containsText" dxfId="3" priority="4" operator="containsText" text="READY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BLOCKED"/>
    <x:cfRule type="containsText" dxfId="7" priority="8" operator="containsText" text="PLANNING"/>
    <x:cfRule type="containsText" dxfId="8" priority="9" operator="containsText" text="FAIL"/>
    <x:cfRule type="containsText" dxfId="9" priority="10" operator="containsText" text="REJECT"/>
    <x:cfRule type="containsText" dxfId="10" priority="11" operator="containsText" text="LATE"/>
    <x:cfRule type="containsText" dxfId="11" priority="12" operator="containsText" text="INCOMPLETE"/>
    <x:cfRule type="containsText" dxfId="12" priority="13" operator="containsText" text="INDETERMINATE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1" hidden="0" customWidth="1"/>
    <x:col min="3" max="3" width="47" hidden="0" customWidth="1"/>
    <x:col min="4" max="4" width="16" hidden="0" customWidth="1"/>
    <x:col min="5" max="5" width="16" hidden="0" customWidth="1"/>
    <x:col min="6" max="6" width="18" hidden="0" customWidth="1"/>
    <x:col min="7" max="7" width="16" hidden="0" customWidth="1"/>
    <x:col min="8" max="8" width="16" hidden="0" customWidth="1"/>
    <x:col min="9" max="9" width="14" hidden="0" customWidth="1"/>
    <x:col min="10" max="10" width="22" hidden="0" customWidth="1"/>
  </x:cols>
  <x:sheetData>
    <x:row r="2">
      <x:c r="B2" s="28" t="str">
        <x:v>CISA-1 controlled article set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Fifty-eight dedicated articles drawn from the MQP-1 bank; none receives operational shipset credit.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Class</x:v>
      </x:c>
      <x:c r="C6" s="7" t="str">
        <x:v>Allocation rule</x:v>
      </x:c>
      <x:c r="D6" s="7" t="str">
        <x:v>Required units</x:v>
      </x:c>
      <x:c r="E6" s="7" t="str">
        <x:v>Decision trials</x:v>
      </x:c>
      <x:c r="F6" s="7" t="str">
        <x:v>Physical acceptance</x:v>
      </x:c>
      <x:c r="G6" s="7" t="str">
        <x:v>Planning gate</x:v>
      </x:c>
      <x:c r="H6" s="7" t="str">
        <x:v>Physical state</x:v>
      </x:c>
      <x:c r="I6" s="7" t="str">
        <x:v>Shipset credit</x:v>
      </x:c>
      <x:c r="J6" s="7" t="str">
        <x:v>Disposition</x:v>
      </x:c>
    </x:row>
    <x:row r="7">
      <x:c r="B7" s="9" t="str">
        <x:v>INTERFACE_PAIR</x:v>
      </x:c>
      <x:c r="C7" s="9" t="str">
        <x:v>six families × two roots × three serial states</x:v>
      </x:c>
      <x:c r="D7" s="9" t="n">
        <x:v>36</x:v>
      </x:c>
      <x:c r="E7" s="9" t="n">
        <x:v>36</x:v>
      </x:c>
      <x:c r="F7" s="9" t="n">
        <x:v>0</x:v>
      </x:c>
      <x:c r="G7" s="9" t="str">
        <x:f>IF(AND(D7&gt;0,F7=0),"PASS","FAIL")</x:f>
        <x:v>PASS</x:v>
      </x:c>
      <x:c r="H7" s="9" t="str">
        <x:v>OPEN</x:v>
      </x:c>
      <x:c r="I7" s="9" t="n">
        <x:v>0</x:v>
      </x:c>
      <x:c r="J7" s="9" t="str">
        <x:f>IF(I7=0,"QUALIFICATION ONLY","REJECT")</x:f>
        <x:v>QUALIFICATION ONLY</x:v>
      </x:c>
    </x:row>
    <x:row r="8">
      <x:c r="B8" s="9" t="str">
        <x:v>UTILITY_ISLAND</x:v>
      </x:c>
      <x:c r="C8" s="9" t="str">
        <x:v>two serial assemblies per root</x:v>
      </x:c>
      <x:c r="D8" s="9" t="n">
        <x:v>4</x:v>
      </x:c>
      <x:c r="E8" s="9" t="n">
        <x:v>4</x:v>
      </x:c>
      <x:c r="F8" s="9" t="n">
        <x:v>0</x:v>
      </x:c>
      <x:c r="G8" s="9" t="str">
        <x:f>IF(AND(D8&gt;0,F8=0),"PASS","FAIL")</x:f>
        <x:v>PASS</x:v>
      </x:c>
      <x:c r="H8" s="9" t="str">
        <x:v>OPEN</x:v>
      </x:c>
      <x:c r="I8" s="9" t="n">
        <x:v>0</x:v>
      </x:c>
      <x:c r="J8" s="9" t="str">
        <x:f>IF(I8=0,"QUALIFICATION ONLY","REJECT")</x:f>
        <x:v>QUALIFICATION ONLY</x:v>
      </x:c>
    </x:row>
    <x:row r="9">
      <x:c r="B9" s="9" t="str">
        <x:v>RECEIVER_SPINE</x:v>
      </x:c>
      <x:c r="C9" s="9" t="str">
        <x:v>three receiver worlds × two roots</x:v>
      </x:c>
      <x:c r="D9" s="9" t="n">
        <x:v>6</x:v>
      </x:c>
      <x:c r="E9" s="9" t="n">
        <x:v>6</x:v>
      </x:c>
      <x:c r="F9" s="9" t="n">
        <x:v>0</x:v>
      </x:c>
      <x:c r="G9" s="9" t="str">
        <x:f>IF(AND(D9&gt;0,F9=0),"PASS","FAIL")</x:f>
        <x:v>PASS</x:v>
      </x:c>
      <x:c r="H9" s="9" t="str">
        <x:v>OPEN</x:v>
      </x:c>
      <x:c r="I9" s="9" t="n">
        <x:v>0</x:v>
      </x:c>
      <x:c r="J9" s="9" t="str">
        <x:f>IF(I9=0,"QUALIFICATION ONLY","REJECT")</x:f>
        <x:v>QUALIFICATION ONLY</x:v>
      </x:c>
    </x:row>
    <x:row r="10">
      <x:c r="B10" s="9" t="str">
        <x:v>CAMPUS_SLICE</x:v>
      </x:c>
      <x:c r="C10" s="9" t="str">
        <x:v>two serial slices per root</x:v>
      </x:c>
      <x:c r="D10" s="9" t="n">
        <x:v>4</x:v>
      </x:c>
      <x:c r="E10" s="9" t="n">
        <x:v>4</x:v>
      </x:c>
      <x:c r="F10" s="9" t="n">
        <x:v>0</x:v>
      </x:c>
      <x:c r="G10" s="9" t="str">
        <x:f>IF(AND(D10&gt;0,F10=0),"PASS","FAIL")</x:f>
        <x:v>PASS</x:v>
      </x:c>
      <x:c r="H10" s="9" t="str">
        <x:v>OPEN</x:v>
      </x:c>
      <x:c r="I10" s="9" t="n">
        <x:v>0</x:v>
      </x:c>
      <x:c r="J10" s="9" t="str">
        <x:f>IF(I10=0,"QUALIFICATION ONLY","REJECT")</x:f>
        <x:v>QUALIFICATION ONLY</x:v>
      </x:c>
    </x:row>
    <x:row r="11">
      <x:c r="B11" s="9" t="str">
        <x:v>REFERENCE_TRUTH_QUARANTINE</x:v>
      </x:c>
      <x:c r="C11" s="9" t="str">
        <x:v>four domains × two roots</x:v>
      </x:c>
      <x:c r="D11" s="9" t="n">
        <x:v>8</x:v>
      </x:c>
      <x:c r="E11" s="9" t="n">
        <x:v>0</x:v>
      </x:c>
      <x:c r="F11" s="9" t="n">
        <x:v>0</x:v>
      </x:c>
      <x:c r="G11" s="9" t="str">
        <x:f>IF(AND(D11&gt;0,F11=0),"PASS","FAIL")</x:f>
        <x:v>PASS</x:v>
      </x:c>
      <x:c r="H11" s="9" t="str">
        <x:v>OPEN</x:v>
      </x:c>
      <x:c r="I11" s="9" t="n">
        <x:v>0</x:v>
      </x:c>
      <x:c r="J11" s="9" t="str">
        <x:f>IF(I11=0,"QUALIFICATION ONLY","REJECT")</x:f>
        <x:v>QUALIFICATION ONLY</x:v>
      </x:c>
    </x:row>
    <x:row r="12">
      <x:c r="B12" s="9"/>
      <x:c r="C12" s="9"/>
      <x:c r="D12" s="9"/>
      <x:c r="E12" s="9"/>
      <x:c r="F12" s="9"/>
      <x:c r="G12" s="9"/>
      <x:c r="H12" s="9"/>
      <x:c r="I12" s="9"/>
      <x:c r="J12" s="9"/>
    </x:row>
    <x:row r="13">
      <x:c r="B13" s="9"/>
      <x:c r="C13" s="9"/>
      <x:c r="D13" s="9"/>
      <x:c r="E13" s="9"/>
      <x:c r="F13" s="9"/>
      <x:c r="G13" s="9"/>
      <x:c r="H13" s="9"/>
      <x:c r="I13" s="9"/>
      <x:c r="J13" s="9"/>
    </x:row>
    <x:row r="14">
      <x:c r="B14" s="10" t="str">
        <x:v>CISA-1 total</x:v>
      </x:c>
      <x:c r="C14" s="10" t="str">
        <x:v>sum of all classes</x:v>
      </x:c>
      <x:c r="D14" s="10" t="n">
        <x:f>SUM(D7:D11)</x:f>
        <x:v>58</x:v>
      </x:c>
      <x:c r="E14" s="10" t="n">
        <x:f>SUM(E7:E11)</x:f>
        <x:v>50</x:v>
      </x:c>
      <x:c r="F14" s="10" t="n">
        <x:f>SUM(F7:F11)</x:f>
        <x:v>0</x:v>
      </x:c>
      <x:c r="G14" s="10" t="str">
        <x:f>IF(AND(D14='Controls'!$D$71,E14='Controls'!$D$72,F14=0),"PASS","FAIL")</x:f>
        <x:v>PASS</x:v>
      </x:c>
      <x:c r="H14" s="10" t="str">
        <x:v>OPEN</x:v>
      </x:c>
      <x:c r="I14" s="10" t="n">
        <x:f>SUM(I7:I11)</x:f>
        <x:v>0</x:v>
      </x:c>
      <x:c r="J14" s="10" t="str">
        <x:f>IF(AND(G14="PASS",I14=0),"QUALIFICATION ONLY","REJECT")</x:f>
        <x:v>QUALIFICATION ONLY</x:v>
      </x:c>
    </x:row>
  </x:sheetData>
  <x:mergeCells>
    <x:mergeCell ref="B2:J2"/>
    <x:mergeCell ref="B3:J3"/>
  </x:mergeCells>
  <x:conditionalFormatting sqref="G7:H14">
    <x:cfRule type="containsText" dxfId="13" priority="1" operator="containsText" text="PASS"/>
    <x:cfRule type="containsText" dxfId="14" priority="2" operator="containsText" text="AUTHORIZED"/>
    <x:cfRule type="containsText" dxfId="15" priority="3" operator="containsText" text="DEFINED"/>
    <x:cfRule type="containsText" dxfId="16" priority="4" operator="containsText" text="READY"/>
    <x:cfRule type="containsText" dxfId="17" priority="5" operator="containsText" text="HOLD"/>
    <x:cfRule type="containsText" dxfId="18" priority="6" operator="containsText" text="OPEN"/>
    <x:cfRule type="containsText" dxfId="19" priority="7" operator="containsText" text="BLOCKED"/>
    <x:cfRule type="containsText" dxfId="20" priority="8" operator="containsText" text="PLANNING"/>
    <x:cfRule type="containsText" dxfId="21" priority="9" operator="containsText" text="FAIL"/>
    <x:cfRule type="containsText" dxfId="22" priority="10" operator="containsText" text="REJECT"/>
    <x:cfRule type="containsText" dxfId="23" priority="11" operator="containsText" text="LATE"/>
    <x:cfRule type="containsText" dxfId="24" priority="12" operator="containsText" text="INCOMPLETE"/>
    <x:cfRule type="containsText" dxfId="25" priority="13" operator="containsText" text="INDETERMINA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6" hidden="0" customWidth="1"/>
    <x:col min="4" max="4" width="18" hidden="0" customWidth="1"/>
    <x:col min="5" max="5" width="12" hidden="0" customWidth="1"/>
    <x:col min="6" max="6" width="20" hidden="0" customWidth="1"/>
    <x:col min="7" max="7" width="15" hidden="0" customWidth="1"/>
    <x:col min="8" max="8" width="14" hidden="0" customWidth="1"/>
    <x:col min="9" max="9" width="14" hidden="0" customWidth="1"/>
    <x:col min="10" max="10" width="16" hidden="0" customWidth="1"/>
    <x:col min="11" max="11" width="17" hidden="0" customWidth="1"/>
  </x:cols>
  <x:sheetData>
    <x:row r="2">
      <x:c r="B2" s="28" t="str">
        <x:v>CISA-40 physical envelope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A skeletal, instrumentable article envelope—not an exterior production form.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Quantity</x:v>
      </x:c>
      <x:c r="D6" s="7" t="str">
        <x:v>Target</x:v>
      </x:c>
      <x:c r="E6" s="7" t="str">
        <x:v>Unit</x:v>
      </x:c>
      <x:c r="F6" s="7" t="str">
        <x:v>Derived or observed</x:v>
      </x:c>
      <x:c r="G6" s="7" t="str">
        <x:v>Required</x:v>
      </x:c>
      <x:c r="H6" s="7" t="str">
        <x:v>Tolerance</x:v>
      </x:c>
      <x:c r="I6" s="7" t="str">
        <x:v>Planning gate</x:v>
      </x:c>
      <x:c r="J6" s="7" t="str">
        <x:v>Physical evidence</x:v>
      </x:c>
      <x:c r="K6" s="7" t="str">
        <x:v>Release state</x:v>
      </x:c>
    </x:row>
    <x:row r="7">
      <x:c r="B7" s="9" t="str">
        <x:v>PE01</x:v>
      </x:c>
      <x:c r="C7" s="9" t="str">
        <x:v>Transport length</x:v>
      </x:c>
      <x:c r="D7" s="9" t="n">
        <x:f>'Controls'!$D$7</x:f>
        <x:v>12</x:v>
      </x:c>
      <x:c r="E7" s="9" t="str">
        <x:v>m</x:v>
      </x:c>
      <x:c r="F7" s="9" t="n">
        <x:f>'Controls'!$D$7</x:f>
        <x:v>12</x:v>
      </x:c>
      <x:c r="G7" s="9" t="n">
        <x:v>12</x:v>
      </x:c>
      <x:c r="H7" s="9" t="n">
        <x:v>0</x:v>
      </x:c>
      <x:c r="I7" s="9" t="str">
        <x:v>LE</x:v>
      </x:c>
      <x:c r="J7" s="9" t="str">
        <x:f>IF(I7="LE",IF(D7&lt;=G7+H7,"PASS","FAIL"),IF(I7="GE",IF(D7&gt;=G7-H7,"PASS","FAIL"),IF(ABS(D7-G7)&lt;=H7,"PASS","FAIL")))</x:f>
        <x:v>PASS</x:v>
      </x:c>
      <x:c r="K7" s="9" t="str">
        <x:v>OPEN</x:v>
      </x:c>
    </x:row>
    <x:row r="8">
      <x:c r="B8" s="9" t="str">
        <x:v>PE02</x:v>
      </x:c>
      <x:c r="C8" s="9" t="str">
        <x:v>Transport width</x:v>
      </x:c>
      <x:c r="D8" s="9" t="n">
        <x:f>'Controls'!$D$8</x:f>
        <x:v>3.6</x:v>
      </x:c>
      <x:c r="E8" s="9" t="str">
        <x:v>m</x:v>
      </x:c>
      <x:c r="F8" s="9" t="n">
        <x:f>'Controls'!$D$8</x:f>
        <x:v>3.6</x:v>
      </x:c>
      <x:c r="G8" s="9" t="n">
        <x:v>3.6</x:v>
      </x:c>
      <x:c r="H8" s="9" t="n">
        <x:v>0</x:v>
      </x:c>
      <x:c r="I8" s="9" t="str">
        <x:v>LE</x:v>
      </x:c>
      <x:c r="J8" s="9" t="str">
        <x:f>IF(I8="LE",IF(D8&lt;=G8+H8,"PASS","FAIL"),IF(I8="GE",IF(D8&gt;=G8-H8,"PASS","FAIL"),IF(ABS(D8-G8)&lt;=H8,"PASS","FAIL")))</x:f>
        <x:v>PASS</x:v>
      </x:c>
      <x:c r="K8" s="9" t="str">
        <x:v>OPEN</x:v>
      </x:c>
    </x:row>
    <x:row r="9">
      <x:c r="B9" s="9" t="str">
        <x:v>PE03</x:v>
      </x:c>
      <x:c r="C9" s="9" t="str">
        <x:v>Transport height</x:v>
      </x:c>
      <x:c r="D9" s="9" t="n">
        <x:f>'Controls'!$D$9</x:f>
        <x:v>3.8</x:v>
      </x:c>
      <x:c r="E9" s="9" t="str">
        <x:v>m</x:v>
      </x:c>
      <x:c r="F9" s="9" t="n">
        <x:f>'Controls'!$D$9</x:f>
        <x:v>3.8</x:v>
      </x:c>
      <x:c r="G9" s="9" t="n">
        <x:v>3.8</x:v>
      </x:c>
      <x:c r="H9" s="9" t="n">
        <x:v>0</x:v>
      </x:c>
      <x:c r="I9" s="9" t="str">
        <x:v>LE</x:v>
      </x:c>
      <x:c r="J9" s="9" t="str">
        <x:f>IF(I9="LE",IF(D9&lt;=G9+H9,"PASS","FAIL"),IF(I9="GE",IF(D9&gt;=G9-H9,"PASS","FAIL"),IF(ABS(D9-G9)&lt;=H9,"PASS","FAIL")))</x:f>
        <x:v>PASS</x:v>
      </x:c>
      <x:c r="K9" s="9" t="str">
        <x:v>OPEN</x:v>
      </x:c>
    </x:row>
    <x:row r="10">
      <x:c r="B10" s="9" t="str">
        <x:v>PE04</x:v>
      </x:c>
      <x:c r="C10" s="9" t="str">
        <x:v>Dry mass</x:v>
      </x:c>
      <x:c r="D10" s="9" t="n">
        <x:f>'Controls'!$D$10</x:f>
        <x:v>32</x:v>
      </x:c>
      <x:c r="E10" s="9" t="str">
        <x:v>t</x:v>
      </x:c>
      <x:c r="F10" s="9" t="n">
        <x:f>'Controls'!$D$10</x:f>
        <x:v>32</x:v>
      </x:c>
      <x:c r="G10" s="9" t="n">
        <x:v>32</x:v>
      </x:c>
      <x:c r="H10" s="9" t="n">
        <x:v>0</x:v>
      </x:c>
      <x:c r="I10" s="9" t="str">
        <x:v>LE</x:v>
      </x:c>
      <x:c r="J10" s="9" t="str">
        <x:f>IF(I10="LE",IF(D10&lt;=G10+H10,"PASS","FAIL"),IF(I10="GE",IF(D10&gt;=G10-H10,"PASS","FAIL"),IF(ABS(D10-G10)&lt;=H10,"PASS","FAIL")))</x:f>
        <x:v>PASS</x:v>
      </x:c>
      <x:c r="K10" s="9" t="str">
        <x:v>OPEN</x:v>
      </x:c>
    </x:row>
    <x:row r="11">
      <x:c r="B11" s="9" t="str">
        <x:v>PE05</x:v>
      </x:c>
      <x:c r="C11" s="9" t="str">
        <x:v>Service inventory</x:v>
      </x:c>
      <x:c r="D11" s="9" t="n">
        <x:f>'Controls'!$D$11</x:f>
        <x:v>4</x:v>
      </x:c>
      <x:c r="E11" s="9" t="str">
        <x:v>t</x:v>
      </x:c>
      <x:c r="F11" s="9" t="n">
        <x:f>'Controls'!$D$11</x:f>
        <x:v>4</x:v>
      </x:c>
      <x:c r="G11" s="9" t="n">
        <x:v>4</x:v>
      </x:c>
      <x:c r="H11" s="9" t="n">
        <x:v>0</x:v>
      </x:c>
      <x:c r="I11" s="9" t="str">
        <x:v>EQ</x:v>
      </x:c>
      <x:c r="J11" s="9" t="str">
        <x:f>IF(I11="LE",IF(D11&lt;=G11+H11,"PASS","FAIL"),IF(I11="GE",IF(D11&gt;=G11-H11,"PASS","FAIL"),IF(ABS(D11-G11)&lt;=H11,"PASS","FAIL")))</x:f>
        <x:v>PASS</x:v>
      </x:c>
      <x:c r="K11" s="9" t="str">
        <x:v>OPEN</x:v>
      </x:c>
    </x:row>
    <x:row r="12">
      <x:c r="B12" s="9" t="str">
        <x:v>PE06</x:v>
      </x:c>
      <x:c r="C12" s="9" t="str">
        <x:v>Ballast</x:v>
      </x:c>
      <x:c r="D12" s="9" t="n">
        <x:f>'Controls'!$D$12</x:f>
        <x:v>4</x:v>
      </x:c>
      <x:c r="E12" s="9" t="str">
        <x:v>t</x:v>
      </x:c>
      <x:c r="F12" s="9" t="n">
        <x:f>'Controls'!$D$12</x:f>
        <x:v>4</x:v>
      </x:c>
      <x:c r="G12" s="9" t="n">
        <x:v>4</x:v>
      </x:c>
      <x:c r="H12" s="9" t="n">
        <x:v>0</x:v>
      </x:c>
      <x:c r="I12" s="9" t="str">
        <x:v>EQ</x:v>
      </x:c>
      <x:c r="J12" s="9" t="str">
        <x:f>IF(I12="LE",IF(D12&lt;=G12+H12,"PASS","FAIL"),IF(I12="GE",IF(D12&gt;=G12-H12,"PASS","FAIL"),IF(ABS(D12-G12)&lt;=H12,"PASS","FAIL")))</x:f>
        <x:v>PASS</x:v>
      </x:c>
      <x:c r="K12" s="9" t="str">
        <x:v>OPEN</x:v>
      </x:c>
    </x:row>
    <x:row r="13">
      <x:c r="B13" s="9" t="str">
        <x:v>PE07</x:v>
      </x:c>
      <x:c r="C13" s="9" t="str">
        <x:v>Operating mass balance</x:v>
      </x:c>
      <x:c r="D13" s="9" t="n">
        <x:f>'Controls'!$D$10+'Controls'!$D$11+'Controls'!$D$12</x:f>
        <x:v>40</x:v>
      </x:c>
      <x:c r="E13" s="9" t="str">
        <x:v>t</x:v>
      </x:c>
      <x:c r="F13" s="9" t="n">
        <x:f>'Controls'!$D$13</x:f>
        <x:v>40</x:v>
      </x:c>
      <x:c r="G13" s="9" t="n">
        <x:v>40</x:v>
      </x:c>
      <x:c r="H13" s="9" t="n">
        <x:v>0</x:v>
      </x:c>
      <x:c r="I13" s="9" t="str">
        <x:v>EQ</x:v>
      </x:c>
      <x:c r="J13" s="9" t="str">
        <x:f>IF(I13="LE",IF(D13&lt;=G13+H13,"PASS","FAIL"),IF(I13="GE",IF(D13&gt;=G13-H13,"PASS","FAIL"),IF(ABS(D13-G13)&lt;=H13,"PASS","FAIL")))</x:f>
        <x:v>PASS</x:v>
      </x:c>
      <x:c r="K13" s="9" t="str">
        <x:v>OPEN</x:v>
      </x:c>
    </x:row>
    <x:row r="14">
      <x:c r="B14" s="9" t="str">
        <x:v>PE08</x:v>
      </x:c>
      <x:c r="C14" s="9" t="str">
        <x:v>Center-of-gravity height</x:v>
      </x:c>
      <x:c r="D14" s="9" t="n">
        <x:f>'Controls'!$D$14</x:f>
        <x:v>2.2</x:v>
      </x:c>
      <x:c r="E14" s="9" t="str">
        <x:v>m</x:v>
      </x:c>
      <x:c r="F14" s="9" t="n">
        <x:f>'Controls'!$D$14</x:f>
        <x:v>2.2</x:v>
      </x:c>
      <x:c r="G14" s="9" t="n">
        <x:v>2.2</x:v>
      </x:c>
      <x:c r="H14" s="9" t="n">
        <x:v>0</x:v>
      </x:c>
      <x:c r="I14" s="9" t="str">
        <x:v>LE</x:v>
      </x:c>
      <x:c r="J14" s="9" t="str">
        <x:f>IF(I14="LE",IF(D14&lt;=G14+H14,"PASS","FAIL"),IF(I14="GE",IF(D14&gt;=G14-H14,"PASS","FAIL"),IF(ABS(D14-G14)&lt;=H14,"PASS","FAIL")))</x:f>
        <x:v>PASS</x:v>
      </x:c>
      <x:c r="K14" s="9" t="str">
        <x:v>OPEN</x:v>
      </x:c>
    </x:row>
    <x:row r="15">
      <x:c r="B15" s="9" t="str">
        <x:v>PE09</x:v>
      </x:c>
      <x:c r="C15" s="9" t="str">
        <x:v>Support zones</x:v>
      </x:c>
      <x:c r="D15" s="9" t="n">
        <x:f>'Controls'!$D$15</x:f>
        <x:v>8</x:v>
      </x:c>
      <x:c r="E15" s="9" t="str">
        <x:v>zones</x:v>
      </x:c>
      <x:c r="F15" s="9" t="n">
        <x:f>'Controls'!$D$15</x:f>
        <x:v>8</x:v>
      </x:c>
      <x:c r="G15" s="9" t="n">
        <x:v>8</x:v>
      </x:c>
      <x:c r="H15" s="9" t="n">
        <x:v>0</x:v>
      </x:c>
      <x:c r="I15" s="9" t="str">
        <x:v>EQ</x:v>
      </x:c>
      <x:c r="J15" s="9" t="str">
        <x:f>IF(I15="LE",IF(D15&lt;=G15+H15,"PASS","FAIL"),IF(I15="GE",IF(D15&gt;=G15-H15,"PASS","FAIL"),IF(ABS(D15-G15)&lt;=H15,"PASS","FAIL")))</x:f>
        <x:v>PASS</x:v>
      </x:c>
      <x:c r="K15" s="9" t="str">
        <x:v>OPEN</x:v>
      </x:c>
    </x:row>
    <x:row r="16">
      <x:c r="B16" s="9" t="str">
        <x:v>PE10</x:v>
      </x:c>
      <x:c r="C16" s="9" t="str">
        <x:v>Area per support</x:v>
      </x:c>
      <x:c r="D16" s="9" t="n">
        <x:f>'Controls'!$D$16</x:f>
        <x:v>1.6</x:v>
      </x:c>
      <x:c r="E16" s="9" t="str">
        <x:v>m2</x:v>
      </x:c>
      <x:c r="F16" s="9" t="n">
        <x:f>'Controls'!$D$16</x:f>
        <x:v>1.6</x:v>
      </x:c>
      <x:c r="G16" s="9" t="n">
        <x:v>1.6</x:v>
      </x:c>
      <x:c r="H16" s="9" t="n">
        <x:v>0</x:v>
      </x:c>
      <x:c r="I16" s="9" t="str">
        <x:v>GE</x:v>
      </x:c>
      <x:c r="J16" s="9" t="str">
        <x:f>IF(I16="LE",IF(D16&lt;=G16+H16,"PASS","FAIL"),IF(I16="GE",IF(D16&gt;=G16-H16,"PASS","FAIL"),IF(ABS(D16-G16)&lt;=H16,"PASS","FAIL")))</x:f>
        <x:v>PASS</x:v>
      </x:c>
      <x:c r="K16" s="9" t="str">
        <x:v>OPEN</x:v>
      </x:c>
    </x:row>
    <x:row r="17">
      <x:c r="B17" s="9" t="str">
        <x:v>PE11</x:v>
      </x:c>
      <x:c r="C17" s="9" t="str">
        <x:v>Leveling range</x:v>
      </x:c>
      <x:c r="D17" s="9" t="n">
        <x:f>'Controls'!$D$17</x:f>
        <x:v>0.4</x:v>
      </x:c>
      <x:c r="E17" s="9" t="str">
        <x:v>m</x:v>
      </x:c>
      <x:c r="F17" s="9" t="n">
        <x:f>'Controls'!$D$17</x:f>
        <x:v>0.4</x:v>
      </x:c>
      <x:c r="G17" s="9" t="n">
        <x:v>0.4</x:v>
      </x:c>
      <x:c r="H17" s="9" t="n">
        <x:v>0</x:v>
      </x:c>
      <x:c r="I17" s="9" t="str">
        <x:v>GE</x:v>
      </x:c>
      <x:c r="J17" s="9" t="str">
        <x:f>IF(I17="LE",IF(D17&lt;=G17+H17,"PASS","FAIL"),IF(I17="GE",IF(D17&gt;=G17-H17,"PASS","FAIL"),IF(ABS(D17-G17)&lt;=H17,"PASS","FAIL")))</x:f>
        <x:v>PASS</x:v>
      </x:c>
      <x:c r="K17" s="9" t="str">
        <x:v>OPEN</x:v>
      </x:c>
    </x:row>
    <x:row r="18">
      <x:c r="B18" s="9" t="str">
        <x:v>PE12</x:v>
      </x:c>
      <x:c r="C18" s="9" t="str">
        <x:v>Lift nodes</x:v>
      </x:c>
      <x:c r="D18" s="9" t="n">
        <x:f>'Controls'!$D$18</x:f>
        <x:v>4</x:v>
      </x:c>
      <x:c r="E18" s="9" t="str">
        <x:v>nodes</x:v>
      </x:c>
      <x:c r="F18" s="9" t="n">
        <x:f>'Controls'!$D$18</x:f>
        <x:v>4</x:v>
      </x:c>
      <x:c r="G18" s="9" t="n">
        <x:v>4</x:v>
      </x:c>
      <x:c r="H18" s="9" t="n">
        <x:v>0</x:v>
      </x:c>
      <x:c r="I18" s="9" t="str">
        <x:v>EQ</x:v>
      </x:c>
      <x:c r="J18" s="9" t="str">
        <x:f>IF(I18="LE",IF(D18&lt;=G18+H18,"PASS","FAIL"),IF(I18="GE",IF(D18&gt;=G18-H18,"PASS","FAIL"),IF(ABS(D18-G18)&lt;=H18,"PASS","FAIL")))</x:f>
        <x:v>PASS</x:v>
      </x:c>
      <x:c r="K18" s="9" t="str">
        <x:v>OPEN</x:v>
      </x:c>
    </x:row>
    <x:row r="19">
      <x:c r="B19" s="10" t="str">
        <x:v>PE13</x:v>
      </x:c>
      <x:c r="C19" s="10" t="str">
        <x:v>Lift-node WLL</x:v>
      </x:c>
      <x:c r="D19" s="10" t="n">
        <x:f>'Controls'!$D$19</x:f>
        <x:v>196</x:v>
      </x:c>
      <x:c r="E19" s="10" t="str">
        <x:v>kN</x:v>
      </x:c>
      <x:c r="F19" s="10" t="n">
        <x:f>'Controls'!$D$19</x:f>
        <x:v>196</x:v>
      </x:c>
      <x:c r="G19" s="10" t="n">
        <x:v>196</x:v>
      </x:c>
      <x:c r="H19" s="10" t="n">
        <x:v>0</x:v>
      </x:c>
      <x:c r="I19" s="10" t="str">
        <x:v>GE</x:v>
      </x:c>
      <x:c r="J19" s="10" t="str">
        <x:f>IF(I19="LE",IF(D19&lt;=G19+H19,"PASS","FAIL"),IF(I19="GE",IF(D19&gt;=G19-H19,"PASS","FAIL"),IF(ABS(D19-G19)&lt;=H19,"PASS","FAIL")))</x:f>
        <x:v>PASS</x:v>
      </x:c>
      <x:c r="K19" s="10" t="str">
        <x:v>OPEN</x:v>
      </x:c>
    </x:row>
  </x:sheetData>
  <x:mergeCells>
    <x:mergeCell ref="B2:K2"/>
    <x:mergeCell ref="B3:K3"/>
  </x:mergeCells>
  <x:conditionalFormatting sqref="J7:K19">
    <x:cfRule type="containsText" dxfId="26" priority="1" operator="containsText" text="PASS"/>
    <x:cfRule type="containsText" dxfId="27" priority="2" operator="containsText" text="AUTHORIZED"/>
    <x:cfRule type="containsText" dxfId="28" priority="3" operator="containsText" text="DEFINED"/>
    <x:cfRule type="containsText" dxfId="29" priority="4" operator="containsText" text="READY"/>
    <x:cfRule type="containsText" dxfId="30" priority="5" operator="containsText" text="HOLD"/>
    <x:cfRule type="containsText" dxfId="31" priority="6" operator="containsText" text="OPEN"/>
    <x:cfRule type="containsText" dxfId="32" priority="7" operator="containsText" text="BLOCKED"/>
    <x:cfRule type="containsText" dxfId="33" priority="8" operator="containsText" text="PLANNING"/>
    <x:cfRule type="containsText" dxfId="34" priority="9" operator="containsText" text="FAIL"/>
    <x:cfRule type="containsText" dxfId="35" priority="10" operator="containsText" text="REJECT"/>
    <x:cfRule type="containsText" dxfId="36" priority="11" operator="containsText" text="LATE"/>
    <x:cfRule type="containsText" dxfId="37" priority="12" operator="containsText" text="INCOMPLETE"/>
    <x:cfRule type="containsText" dxfId="38" priority="13" operator="containsText" text="INDETERMINATE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25" hidden="0" customWidth="1"/>
    <x:col min="4" max="4" width="46" hidden="0" customWidth="1"/>
    <x:col min="5" max="5" width="17" hidden="0" customWidth="1"/>
    <x:col min="6" max="6" width="13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7" hidden="0" customWidth="1"/>
  </x:cols>
  <x:sheetData>
    <x:row r="2">
      <x:c r="B2" s="28" t="str">
        <x:v>Structural load cases and margins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3">
      <x:c r="B3" s="2" t="str">
        <x:v>Loads are public stimuli. Root-native structure and fixture responses remain to be observed.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</x:row>
    <x:row r="6">
      <x:c r="B6" s="7" t="str">
        <x:v>Case</x:v>
      </x:c>
      <x:c r="C6" s="7" t="str">
        <x:v>State</x:v>
      </x:c>
      <x:c r="D6" s="7" t="str">
        <x:v>Formula basis</x:v>
      </x:c>
      <x:c r="E6" s="7" t="str">
        <x:v>Demand</x:v>
      </x:c>
      <x:c r="F6" s="7" t="str">
        <x:v>Unit</x:v>
      </x:c>
      <x:c r="G6" s="7" t="str">
        <x:v>Capacity or limit</x:v>
      </x:c>
      <x:c r="H6" s="7" t="str">
        <x:v>Margin</x:v>
      </x:c>
      <x:c r="I6" s="7" t="str">
        <x:v>Required relation</x:v>
      </x:c>
      <x:c r="J6" s="7" t="str">
        <x:v>Planning gate</x:v>
      </x:c>
      <x:c r="K6" s="7" t="str">
        <x:v>Physical observation</x:v>
      </x:c>
      <x:c r="L6" s="7" t="str">
        <x:v>Terminal state</x:v>
      </x:c>
    </x:row>
    <x:row r="7">
      <x:c r="B7" s="9" t="str">
        <x:v>LC01</x:v>
      </x:c>
      <x:c r="C7" s="9" t="str">
        <x:v>level static</x:v>
      </x:c>
      <x:c r="D7" s="9" t="str">
        <x:v>operating mass × g</x:v>
      </x:c>
      <x:c r="E7" s="19" t="n">
        <x:f>'Controls'!$D$13*'Controls'!$D$20</x:f>
        <x:v>392.26599999999996</x:v>
      </x:c>
      <x:c r="F7" s="19" t="str">
        <x:v>kN</x:v>
      </x:c>
      <x:c r="G7" s="19" t="n">
        <x:v>392.266</x:v>
      </x:c>
      <x:c r="H7" s="19" t="n">
        <x:f>G7-E7</x:f>
        <x:v>5.684341886080802e-14</x:v>
      </x:c>
      <x:c r="I7" s="9" t="str">
        <x:v>EQ</x:v>
      </x:c>
      <x:c r="J7" s="9" t="str">
        <x:f>IF(ABS(E7-G7)&lt;0.001,"PASS","FAIL")</x:f>
        <x:v>PASS</x:v>
      </x:c>
      <x:c r="K7" s="9" t="n">
        <x:v>0</x:v>
      </x:c>
      <x:c r="L7" s="9" t="str">
        <x:v>OPEN</x:v>
      </x:c>
    </x:row>
    <x:row r="8">
      <x:c r="B8" s="9" t="str">
        <x:v>LC02</x:v>
      </x:c>
      <x:c r="C8" s="9" t="str">
        <x:v>operating proof</x:v>
      </x:c>
      <x:c r="D8" s="9" t="str">
        <x:v>LC01 × 1.25</x:v>
      </x:c>
      <x:c r="E8" s="19" t="n">
        <x:f>'Controls'!$D$13*'Controls'!$D$20*'Controls'!$D$21</x:f>
        <x:v>490.3325</x:v>
      </x:c>
      <x:c r="F8" s="19" t="str">
        <x:v>kN</x:v>
      </x:c>
      <x:c r="G8" s="19" t="n">
        <x:v>490.333</x:v>
      </x:c>
      <x:c r="H8" s="19" t="n">
        <x:f>G8-E8</x:f>
        <x:v>0.00050000000004502</x:v>
      </x:c>
      <x:c r="I8" s="9" t="str">
        <x:v>EQ</x:v>
      </x:c>
      <x:c r="J8" s="9" t="str">
        <x:f>IF(ABS(E8-G8)&lt;0.001,"PASS","FAIL")</x:f>
        <x:v>PASS</x:v>
      </x:c>
      <x:c r="K8" s="9" t="n">
        <x:v>0</x:v>
      </x:c>
      <x:c r="L8" s="9" t="str">
        <x:v>OPEN</x:v>
      </x:c>
    </x:row>
    <x:row r="9">
      <x:c r="B9" s="9" t="str">
        <x:v>LC03</x:v>
      </x:c>
      <x:c r="C9" s="9" t="str">
        <x:v>vertical challenge</x:v>
      </x:c>
      <x:c r="D9" s="9" t="str">
        <x:v>LC01 × 1.50</x:v>
      </x:c>
      <x:c r="E9" s="19" t="n">
        <x:f>'Controls'!$D$13*'Controls'!$D$20*'Controls'!$D$22</x:f>
        <x:v>588.3989999999999</x:v>
      </x:c>
      <x:c r="F9" s="19" t="str">
        <x:v>kN</x:v>
      </x:c>
      <x:c r="G9" s="19" t="n">
        <x:v>588.399</x:v>
      </x:c>
      <x:c r="H9" s="19" t="n">
        <x:f>G9-E9</x:f>
        <x:v>1.1368683772161603e-13</x:v>
      </x:c>
      <x:c r="I9" s="9" t="str">
        <x:v>EQ</x:v>
      </x:c>
      <x:c r="J9" s="9" t="str">
        <x:f>IF(ABS(E9-G9)&lt;0.001,"PASS","FAIL")</x:f>
        <x:v>PASS</x:v>
      </x:c>
      <x:c r="K9" s="9" t="n">
        <x:v>0</x:v>
      </x:c>
      <x:c r="L9" s="9" t="str">
        <x:v>OPEN</x:v>
      </x:c>
    </x:row>
    <x:row r="10">
      <x:c r="B10" s="9" t="str">
        <x:v>LC04</x:v>
      </x:c>
      <x:c r="C10" s="9" t="str">
        <x:v>lateral challenge</x:v>
      </x:c>
      <x:c r="D10" s="9" t="str">
        <x:v>LC01 × 0.60</x:v>
      </x:c>
      <x:c r="E10" s="19" t="n">
        <x:f>'Controls'!$D$13*'Controls'!$D$20*'Controls'!$D$23</x:f>
        <x:v>235.35959999999997</x:v>
      </x:c>
      <x:c r="F10" s="19" t="str">
        <x:v>kN</x:v>
      </x:c>
      <x:c r="G10" s="19" t="n">
        <x:v>235.36</x:v>
      </x:c>
      <x:c r="H10" s="19" t="n">
        <x:f>G10-E10</x:f>
        <x:v>0.00040000000004170033</x:v>
      </x:c>
      <x:c r="I10" s="9" t="str">
        <x:v>EQ</x:v>
      </x:c>
      <x:c r="J10" s="9" t="str">
        <x:f>IF(ABS(E10-G10)&lt;0.001,"PASS","FAIL")</x:f>
        <x:v>PASS</x:v>
      </x:c>
      <x:c r="K10" s="9" t="n">
        <x:v>0</x:v>
      </x:c>
      <x:c r="L10" s="9" t="str">
        <x:v>OPEN</x:v>
      </x:c>
    </x:row>
    <x:row r="11">
      <x:c r="B11" s="9" t="str">
        <x:v>LC05</x:v>
      </x:c>
      <x:c r="C11" s="9" t="str">
        <x:v>overturning challenge</x:v>
      </x:c>
      <x:c r="D11" s="9" t="str">
        <x:v>LC04 × CG height</x:v>
      </x:c>
      <x:c r="E11" s="19" t="n">
        <x:f>'Controls'!$D$13*'Controls'!$D$20*'Controls'!$D$23*'Controls'!$D$14</x:f>
        <x:v>517.79112</x:v>
      </x:c>
      <x:c r="F11" s="19" t="str">
        <x:v>kN m</x:v>
      </x:c>
      <x:c r="G11" s="19" t="n">
        <x:v>517.791</x:v>
      </x:c>
      <x:c r="H11" s="19" t="n">
        <x:f>G11-E11</x:f>
        <x:v>-0.0001199999999244028</x:v>
      </x:c>
      <x:c r="I11" s="9" t="str">
        <x:v>EQ</x:v>
      </x:c>
      <x:c r="J11" s="9" t="str">
        <x:f>IF(ABS(E11-G11)&lt;0.001,"PASS","FAIL")</x:f>
        <x:v>PASS</x:v>
      </x:c>
      <x:c r="K11" s="9" t="n">
        <x:v>0</x:v>
      </x:c>
      <x:c r="L11" s="9" t="str">
        <x:v>OPEN</x:v>
      </x:c>
    </x:row>
    <x:row r="12">
      <x:c r="B12" s="9" t="str">
        <x:v>LC06</x:v>
      </x:c>
      <x:c r="C12" s="9" t="str">
        <x:v>routine dry lift</x:v>
      </x:c>
      <x:c r="D12" s="9" t="str">
        <x:v>dry mass × g × 1.30</x:v>
      </x:c>
      <x:c r="E12" s="19" t="n">
        <x:f>'Controls'!$D$10*'Controls'!$D$20*'Controls'!$D$24</x:f>
        <x:v>407.95664</x:v>
      </x:c>
      <x:c r="F12" s="19" t="str">
        <x:v>kN</x:v>
      </x:c>
      <x:c r="G12" s="19" t="n">
        <x:v>407.957</x:v>
      </x:c>
      <x:c r="H12" s="19" t="n">
        <x:f>G12-E12</x:f>
        <x:v>0.0003600000000005821</x:v>
      </x:c>
      <x:c r="I12" s="9" t="str">
        <x:v>EQ</x:v>
      </x:c>
      <x:c r="J12" s="9" t="str">
        <x:f>IF(ABS(E12-G12)&lt;0.001,"PASS","FAIL")</x:f>
        <x:v>PASS</x:v>
      </x:c>
      <x:c r="K12" s="9" t="n">
        <x:v>0</x:v>
      </x:c>
      <x:c r="L12" s="9" t="str">
        <x:v>OPEN</x:v>
      </x:c>
    </x:row>
    <x:row r="13">
      <x:c r="B13" s="9" t="str">
        <x:v>LC07</x:v>
      </x:c>
      <x:c r="C13" s="9" t="str">
        <x:v>transport longitudinal</x:v>
      </x:c>
      <x:c r="D13" s="9" t="str">
        <x:v>dry mass × g × 1.00</x:v>
      </x:c>
      <x:c r="E13" s="19" t="n">
        <x:f>'Controls'!$D$10*'Controls'!$D$20</x:f>
        <x:v>313.8128</x:v>
      </x:c>
      <x:c r="F13" s="19" t="str">
        <x:v>kN</x:v>
      </x:c>
      <x:c r="G13" s="19" t="n">
        <x:v>313.813</x:v>
      </x:c>
      <x:c r="H13" s="19" t="n">
        <x:f>G13-E13</x:f>
        <x:v>0.0002000000000066393</x:v>
      </x:c>
      <x:c r="I13" s="9" t="str">
        <x:v>EQ</x:v>
      </x:c>
      <x:c r="J13" s="9" t="str">
        <x:f>IF(ABS(E13-G13)&lt;0.001,"PASS","FAIL")</x:f>
        <x:v>PASS</x:v>
      </x:c>
      <x:c r="K13" s="9" t="n">
        <x:v>0</x:v>
      </x:c>
      <x:c r="L13" s="9" t="str">
        <x:v>OPEN</x:v>
      </x:c>
    </x:row>
    <x:row r="14">
      <x:c r="B14" s="9" t="str">
        <x:v>LC08</x:v>
      </x:c>
      <x:c r="C14" s="9" t="str">
        <x:v>transport lateral</x:v>
      </x:c>
      <x:c r="D14" s="9" t="str">
        <x:v>dry mass × g × 0.50</x:v>
      </x:c>
      <x:c r="E14" s="19" t="n">
        <x:f>'Controls'!$D$10*'Controls'!$D$20*0.5</x:f>
        <x:v>156.9064</x:v>
      </x:c>
      <x:c r="F14" s="19" t="str">
        <x:v>kN</x:v>
      </x:c>
      <x:c r="G14" s="19" t="n">
        <x:v>156.906</x:v>
      </x:c>
      <x:c r="H14" s="19" t="n">
        <x:f>G14-E14</x:f>
        <x:v>-0.0003999999999848569</x:v>
      </x:c>
      <x:c r="I14" s="9" t="str">
        <x:v>EQ</x:v>
      </x:c>
      <x:c r="J14" s="9" t="str">
        <x:f>IF(ABS(E14-G14)&lt;0.001,"PASS","FAIL")</x:f>
        <x:v>PASS</x:v>
      </x:c>
      <x:c r="K14" s="9" t="n">
        <x:v>0</x:v>
      </x:c>
      <x:c r="L14" s="9" t="str">
        <x:v>OPEN</x:v>
      </x:c>
    </x:row>
    <x:row r="15">
      <x:c r="B15" s="9" t="str">
        <x:v>LC09</x:v>
      </x:c>
      <x:c r="C15" s="9" t="str">
        <x:v>transport vertical</x:v>
      </x:c>
      <x:c r="D15" s="9" t="str">
        <x:v>dry mass × g × 0.30</x:v>
      </x:c>
      <x:c r="E15" s="19" t="n">
        <x:f>'Controls'!$D$10*'Controls'!$D$20*0.3</x:f>
        <x:v>94.14384</x:v>
      </x:c>
      <x:c r="F15" s="19" t="str">
        <x:v>kN</x:v>
      </x:c>
      <x:c r="G15" s="19" t="n">
        <x:v>94.144</x:v>
      </x:c>
      <x:c r="H15" s="19" t="n">
        <x:f>G15-E15</x:f>
        <x:v>0.00016000000000815362</x:v>
      </x:c>
      <x:c r="I15" s="9" t="str">
        <x:v>EQ</x:v>
      </x:c>
      <x:c r="J15" s="9" t="str">
        <x:f>IF(ABS(E15-G15)&lt;0.001,"PASS","FAIL")</x:f>
        <x:v>PASS</x:v>
      </x:c>
      <x:c r="K15" s="9" t="n">
        <x:v>0</x:v>
      </x:c>
      <x:c r="L15" s="9" t="str">
        <x:v>OPEN</x:v>
      </x:c>
    </x:row>
    <x:row r="16"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9"/>
    </x:row>
    <x:row r="17"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9"/>
    </x:row>
    <x:row r="18"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9"/>
    </x:row>
    <x:row r="19">
      <x:c r="B19" s="18" t="str">
        <x:v>Derived support, anchor and lift-node checks</x:v>
      </x:c>
      <x:c r="C19" s="18" t="str">
        <x:v>Derived support, anchor and lift-node checks</x:v>
      </x:c>
      <x:c r="D19" s="18" t="str">
        <x:v>Derived support, anchor and lift-node checks</x:v>
      </x:c>
      <x:c r="E19" s="18" t="str">
        <x:v>Derived support, anchor and lift-node checks</x:v>
      </x:c>
      <x:c r="F19" s="18" t="str">
        <x:v>Derived support, anchor and lift-node checks</x:v>
      </x:c>
      <x:c r="G19" s="18" t="str">
        <x:v>Derived support, anchor and lift-node checks</x:v>
      </x:c>
      <x:c r="H19" s="18" t="str">
        <x:v>Derived support, anchor and lift-node checks</x:v>
      </x:c>
      <x:c r="I19" s="18" t="str">
        <x:v>Derived support, anchor and lift-node checks</x:v>
      </x:c>
      <x:c r="J19" s="18" t="str">
        <x:v>Derived support, anchor and lift-node checks</x:v>
      </x:c>
      <x:c r="K19" s="18" t="str">
        <x:v>Derived support, anchor and lift-node checks</x:v>
      </x:c>
      <x:c r="L19" s="18" t="str">
        <x:v>Derived support, anchor and lift-node checks</x:v>
      </x:c>
    </x:row>
    <x:row r="20">
      <x:c r="B20" s="7" t="str">
        <x:v>Check</x:v>
      </x:c>
      <x:c r="C20" s="7" t="str">
        <x:v>Basis</x:v>
      </x:c>
      <x:c r="D20" s="7" t="str">
        <x:v>Demand</x:v>
      </x:c>
      <x:c r="E20" s="7" t="str">
        <x:v>Unit</x:v>
      </x:c>
      <x:c r="F20" s="7" t="str">
        <x:v>Limit</x:v>
      </x:c>
      <x:c r="G20" s="7" t="str">
        <x:v>Margin</x:v>
      </x:c>
      <x:c r="H20" s="7" t="str">
        <x:v>Relation</x:v>
      </x:c>
      <x:c r="I20" s="7" t="str">
        <x:v>Planning gate</x:v>
      </x:c>
      <x:c r="J20" s="7" t="str">
        <x:v>Physical observation</x:v>
      </x:c>
      <x:c r="K20" s="7" t="str">
        <x:v>Terminal state</x:v>
      </x:c>
      <x:c r="L20" s="7" t="str"/>
    </x:row>
    <x:row r="21">
      <x:c r="B21" s="9" t="str">
        <x:v>SC01</x:v>
      </x:c>
      <x:c r="C21" s="9" t="str">
        <x:v>1.25 g, one support unavailable, 1.35 imbalance</x:v>
      </x:c>
      <x:c r="D21" s="19" t="n">
        <x:f>'Controls'!$D$13*'Controls'!$D$20*'Controls'!$D$21*'Controls'!$D$25/(('Controls'!$D$15-1)*'Controls'!$D$16)</x:f>
        <x:v>59.102578125</x:v>
      </x:c>
      <x:c r="E21" s="19" t="str">
        <x:v>kPa</x:v>
      </x:c>
      <x:c r="F21" s="19" t="n">
        <x:f>'Controls'!$D$26</x:f>
        <x:v>75</x:v>
      </x:c>
      <x:c r="G21" s="19" t="n">
        <x:f>F21-D21</x:f>
        <x:v>15.897421875</x:v>
      </x:c>
      <x:c r="H21" s="9" t="str">
        <x:v>LE</x:v>
      </x:c>
      <x:c r="I21" s="9" t="str">
        <x:f>IF(D21&lt;=F21,"PASS","FAIL")</x:f>
        <x:v>PASS</x:v>
      </x:c>
      <x:c r="J21" s="9" t="n">
        <x:v>0</x:v>
      </x:c>
      <x:c r="K21" s="9" t="str">
        <x:v>OPEN</x:v>
      </x:c>
      <x:c r="L21" s="9"/>
    </x:row>
    <x:row r="22">
      <x:c r="B22" s="9" t="str">
        <x:v>SC02</x:v>
      </x:c>
      <x:c r="C22" s="9" t="str">
        <x:v>1.50 g, one support unavailable, 1.35 imbalance</x:v>
      </x:c>
      <x:c r="D22" s="19" t="n">
        <x:f>'Controls'!$D$13*'Controls'!$D$20*'Controls'!$D$22*'Controls'!$D$25/(('Controls'!$D$15-1)*'Controls'!$D$16)</x:f>
        <x:v>70.92309374999999</x:v>
      </x:c>
      <x:c r="E22" s="19" t="str">
        <x:v>kPa</x:v>
      </x:c>
      <x:c r="F22" s="19" t="n">
        <x:f>'Controls'!$D$26</x:f>
        <x:v>75</x:v>
      </x:c>
      <x:c r="G22" s="19" t="n">
        <x:f>F22-D22</x:f>
        <x:v>4.0769062500000075</x:v>
      </x:c>
      <x:c r="H22" s="9" t="str">
        <x:v>LE</x:v>
      </x:c>
      <x:c r="I22" s="9" t="str">
        <x:f>IF(D22&lt;=F22,"PASS","FAIL")</x:f>
        <x:v>PASS</x:v>
      </x:c>
      <x:c r="J22" s="9" t="n">
        <x:v>0</x:v>
      </x:c>
      <x:c r="K22" s="9" t="str">
        <x:v>OPEN</x:v>
      </x:c>
      <x:c r="L22" s="9"/>
    </x:row>
    <x:row r="23">
      <x:c r="B23" s="9" t="str">
        <x:v>SC03</x:v>
      </x:c>
      <x:c r="C23" s="9" t="str">
        <x:v>anchor combined shear and uplift</x:v>
      </x:c>
      <x:c r="D23" s="19" t="n">
        <x:f>((('Controls'!$D$13*'Controls'!$D$20*'Controls'!$D$23/2)^2)+(('Controls'!$D$13*'Controls'!$D$20*'Controls'!$D$23*'Controls'!$D$14/'Controls'!$D$27)^2))^0.5</x:f>
        <x:v>156.7572680486432</x:v>
      </x:c>
      <x:c r="E23" s="19" t="str">
        <x:v>kN</x:v>
      </x:c>
      <x:c r="F23" s="19" t="n">
        <x:f>'Controls'!$D$28</x:f>
        <x:v>200</x:v>
      </x:c>
      <x:c r="G23" s="19" t="n">
        <x:f>F23-D23</x:f>
        <x:v>43.2427319513568</x:v>
      </x:c>
      <x:c r="H23" s="9" t="str">
        <x:v>LE</x:v>
      </x:c>
      <x:c r="I23" s="9" t="str">
        <x:f>IF(D23&lt;=F23,"PASS","FAIL")</x:f>
        <x:v>PASS</x:v>
      </x:c>
      <x:c r="J23" s="9" t="n">
        <x:v>0</x:v>
      </x:c>
      <x:c r="K23" s="9" t="str">
        <x:v>OPEN</x:v>
      </x:c>
      <x:c r="L23" s="9"/>
    </x:row>
    <x:row r="24">
      <x:c r="B24" s="10" t="str">
        <x:v>SC04</x:v>
      </x:c>
      <x:c r="C24" s="10" t="str">
        <x:v>lift node with 1.40 imbalance</x:v>
      </x:c>
      <x:c r="D24" s="20" t="n">
        <x:f>'Controls'!$D$10*'Controls'!$D$20*'Controls'!$D$24/'Controls'!$D$18*1.4</x:f>
        <x:v>142.784824</x:v>
      </x:c>
      <x:c r="E24" s="20" t="str">
        <x:v>kN</x:v>
      </x:c>
      <x:c r="F24" s="20" t="n">
        <x:f>'Controls'!$D$19</x:f>
        <x:v>196</x:v>
      </x:c>
      <x:c r="G24" s="20" t="n">
        <x:f>F24-D24</x:f>
        <x:v>53.215176000000014</x:v>
      </x:c>
      <x:c r="H24" s="10" t="str">
        <x:v>LE</x:v>
      </x:c>
      <x:c r="I24" s="10" t="str">
        <x:f>IF(D24&lt;=F24,"PASS","FAIL")</x:f>
        <x:v>PASS</x:v>
      </x:c>
      <x:c r="J24" s="10" t="n">
        <x:v>0</x:v>
      </x:c>
      <x:c r="K24" s="10" t="str">
        <x:v>OPEN</x:v>
      </x:c>
      <x:c r="L24" s="10"/>
    </x:row>
  </x:sheetData>
  <x:mergeCells>
    <x:mergeCell ref="B2:L2"/>
    <x:mergeCell ref="B3:L3"/>
    <x:mergeCell ref="B19:L19"/>
  </x:mergeCells>
  <x:conditionalFormatting sqref="J7:J15">
    <x:cfRule type="containsText" dxfId="39" priority="1" operator="containsText" text="PASS"/>
    <x:cfRule type="containsText" dxfId="40" priority="2" operator="containsText" text="AUTHORIZED"/>
    <x:cfRule type="containsText" dxfId="41" priority="3" operator="containsText" text="DEFINED"/>
    <x:cfRule type="containsText" dxfId="42" priority="4" operator="containsText" text="READY"/>
    <x:cfRule type="containsText" dxfId="43" priority="5" operator="containsText" text="HOLD"/>
    <x:cfRule type="containsText" dxfId="44" priority="6" operator="containsText" text="OPEN"/>
    <x:cfRule type="containsText" dxfId="45" priority="7" operator="containsText" text="BLOCKED"/>
    <x:cfRule type="containsText" dxfId="46" priority="8" operator="containsText" text="PLANNING"/>
    <x:cfRule type="containsText" dxfId="47" priority="9" operator="containsText" text="FAIL"/>
    <x:cfRule type="containsText" dxfId="48" priority="10" operator="containsText" text="REJECT"/>
    <x:cfRule type="containsText" dxfId="49" priority="11" operator="containsText" text="LATE"/>
    <x:cfRule type="containsText" dxfId="50" priority="12" operator="containsText" text="INCOMPLETE"/>
    <x:cfRule type="containsText" dxfId="51" priority="13" operator="containsText" text="INDETERMINATE"/>
  </x:conditionalFormatting>
  <x:conditionalFormatting sqref="I21:K24">
    <x:cfRule type="containsText" dxfId="52" priority="14" operator="containsText" text="PASS"/>
    <x:cfRule type="containsText" dxfId="53" priority="15" operator="containsText" text="AUTHORIZED"/>
    <x:cfRule type="containsText" dxfId="54" priority="16" operator="containsText" text="DEFINED"/>
    <x:cfRule type="containsText" dxfId="55" priority="17" operator="containsText" text="READY"/>
    <x:cfRule type="containsText" dxfId="56" priority="18" operator="containsText" text="HOLD"/>
    <x:cfRule type="containsText" dxfId="57" priority="19" operator="containsText" text="OPEN"/>
    <x:cfRule type="containsText" dxfId="58" priority="20" operator="containsText" text="BLOCKED"/>
    <x:cfRule type="containsText" dxfId="59" priority="21" operator="containsText" text="PLANNING"/>
    <x:cfRule type="containsText" dxfId="60" priority="22" operator="containsText" text="FAIL"/>
    <x:cfRule type="containsText" dxfId="61" priority="23" operator="containsText" text="REJECT"/>
    <x:cfRule type="containsText" dxfId="62" priority="24" operator="containsText" text="LATE"/>
    <x:cfRule type="containsText" dxfId="63" priority="25" operator="containsText" text="INCOMPLETE"/>
    <x:cfRule type="containsText" dxfId="64" priority="26" operator="containsText" text="INDETERMINATE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34" hidden="0" customWidth="1"/>
    <x:col min="4" max="4" width="19" hidden="0" customWidth="1"/>
    <x:col min="5" max="5" width="20" hidden="0" customWidth="1"/>
    <x:col min="6" max="6" width="34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7" hidden="0" customWidth="1"/>
  </x:cols>
  <x:sheetData>
    <x:row r="2">
      <x:c r="B2" s="28" t="str">
        <x:v>Three receiver-world spines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Each industrial root must close the same receiver stimulus without undeclared local capacity.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World</x:v>
      </x:c>
      <x:c r="C6" s="7" t="str">
        <x:v>Receiver condition</x:v>
      </x:c>
      <x:c r="D6" s="7" t="str">
        <x:v>Bearing limit kPa</x:v>
      </x:c>
      <x:c r="E6" s="7" t="str">
        <x:v>Initial mismatch mm</x:v>
      </x:c>
      <x:c r="F6" s="7" t="str">
        <x:v>Differential mm per 10 m</x:v>
      </x:c>
      <x:c r="G6" s="7" t="str">
        <x:v>Trusted grid</x:v>
      </x:c>
      <x:c r="H6" s="7" t="str">
        <x:v>Trusted network</x:v>
      </x:c>
      <x:c r="I6" s="7" t="str">
        <x:v>Required root trials</x:v>
      </x:c>
      <x:c r="J6" s="7" t="str">
        <x:v>Planning gate</x:v>
      </x:c>
      <x:c r="K6" s="7" t="str">
        <x:v>Physical state</x:v>
      </x:c>
    </x:row>
    <x:row r="7">
      <x:c r="B7" s="9" t="str">
        <x:v>RW1</x:v>
      </x:c>
      <x:c r="C7" s="9" t="str">
        <x:v>damaged hardstand</x:v>
      </x:c>
      <x:c r="D7" s="9" t="n">
        <x:v>300</x:v>
      </x:c>
      <x:c r="E7" s="9" t="n">
        <x:v>25</x:v>
      </x:c>
      <x:c r="F7" s="9" t="n">
        <x:v>0</x:v>
      </x:c>
      <x:c r="G7" s="9" t="n">
        <x:v>0</x:v>
      </x:c>
      <x:c r="H7" s="9" t="n">
        <x:v>0</x:v>
      </x:c>
      <x:c r="I7" s="9" t="n">
        <x:v>2</x:v>
      </x:c>
      <x:c r="J7" s="9" t="str">
        <x:f>IF(AND(H7=0,I7=2,IF(B7="RW2",D7='Controls'!$D$26,1),IF(B7="RW2",F7&lt;='Controls'!$D$17*1000,1)),"PASS","FAIL")</x:f>
        <x:v>PASS</x:v>
      </x:c>
      <x:c r="K7" s="9" t="str">
        <x:v>OPEN</x:v>
      </x:c>
    </x:row>
    <x:row r="8">
      <x:c r="B8" s="9" t="str">
        <x:v>RW2</x:v>
      </x:c>
      <x:c r="C8" s="9" t="str">
        <x:v>settled weak ground</x:v>
      </x:c>
      <x:c r="D8" s="9" t="n">
        <x:v>75</x:v>
      </x:c>
      <x:c r="E8" s="9" t="n">
        <x:v>0</x:v>
      </x:c>
      <x:c r="F8" s="9" t="n">
        <x:v>300</x:v>
      </x:c>
      <x:c r="G8" s="9" t="n">
        <x:v>0</x:v>
      </x:c>
      <x:c r="H8" s="9" t="n">
        <x:v>0</x:v>
      </x:c>
      <x:c r="I8" s="9" t="n">
        <x:v>2</x:v>
      </x:c>
      <x:c r="J8" s="9" t="str">
        <x:f>IF(AND(H8=0,I8=2,IF(B8="RW2",D8='Controls'!$D$26,1),IF(B8="RW2",F8&lt;='Controls'!$D$17*1000,1)),"PASS","FAIL")</x:f>
        <x:v>PASS</x:v>
      </x:c>
      <x:c r="K8" s="9" t="str">
        <x:v>OPEN</x:v>
      </x:c>
    </x:row>
    <x:row r="9">
      <x:c r="B9" s="10" t="str">
        <x:v>RW3</x:v>
      </x:c>
      <x:c r="C9" s="10" t="str">
        <x:v>remote corridor</x:v>
      </x:c>
      <x:c r="D9" s="10" t="n">
        <x:v>150</x:v>
      </x:c>
      <x:c r="E9" s="10" t="n">
        <x:v>150</x:v>
      </x:c>
      <x:c r="F9" s="10" t="n">
        <x:v>0</x:v>
      </x:c>
      <x:c r="G9" s="10" t="n">
        <x:v>0</x:v>
      </x:c>
      <x:c r="H9" s="10" t="n">
        <x:v>0</x:v>
      </x:c>
      <x:c r="I9" s="10" t="n">
        <x:v>2</x:v>
      </x:c>
      <x:c r="J9" s="10" t="str">
        <x:f>IF(AND(H9=0,I9=2,IF(B9="RW2",D9='Controls'!$D$26,1),IF(B9="RW2",F9&lt;='Controls'!$D$17*1000,1)),"PASS","FAIL")</x:f>
        <x:v>PASS</x:v>
      </x:c>
      <x:c r="K9" s="10" t="str">
        <x:v>OPEN</x:v>
      </x:c>
    </x:row>
    <x:row r="10"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B13" s="17" t="str">
        <x:v>Receiver-spine minimum provisions</x:v>
      </x:c>
      <x:c r="C13" s="17" t="str">
        <x:v>Receiver-spine minimum provisions</x:v>
      </x:c>
      <x:c r="D13" s="17" t="str">
        <x:v>Receiver-spine minimum provisions</x:v>
      </x:c>
      <x:c r="E13" s="17" t="str">
        <x:v>Receiver-spine minimum provisions</x:v>
      </x:c>
      <x:c r="F13" s="17" t="str">
        <x:v>Receiver-spine minimum provisions</x:v>
      </x:c>
      <x:c r="G13" s="17" t="str">
        <x:v>Receiver-spine minimum provisions</x:v>
      </x:c>
      <x:c r="H13" s="17" t="str">
        <x:v>Receiver-spine minimum provisions</x:v>
      </x:c>
      <x:c r="I13" s="17" t="str">
        <x:v>Receiver-spine minimum provisions</x:v>
      </x:c>
      <x:c r="J13" s="17" t="str">
        <x:v>Receiver-spine minimum provisions</x:v>
      </x:c>
      <x:c r="K13" s="17" t="str">
        <x:v>Receiver-spine minimum provisions</x:v>
      </x:c>
    </x:row>
    <x:row r="14">
      <x:c r="B14" s="7" t="str">
        <x:v>Provision</x:v>
      </x:c>
      <x:c r="C14" s="7" t="str">
        <x:v>RW1</x:v>
      </x:c>
      <x:c r="D14" s="7" t="str">
        <x:v>RW2</x:v>
      </x:c>
      <x:c r="E14" s="7" t="str">
        <x:v>RW3</x:v>
      </x:c>
      <x:c r="F14" s="7" t="str">
        <x:v>Decision protected</x:v>
      </x:c>
      <x:c r="G14" s="8"/>
      <x:c r="H14" s="8"/>
      <x:c r="I14" s="8"/>
      <x:c r="J14" s="8"/>
      <x:c r="K14" s="8"/>
    </x:row>
    <x:row r="15">
      <x:c r="B15" s="9" t="str">
        <x:v>eight measurable support zones</x:v>
      </x:c>
      <x:c r="C15" s="9" t="n">
        <x:v>1</x:v>
      </x:c>
      <x:c r="D15" s="9" t="n">
        <x:v>1</x:v>
      </x:c>
      <x:c r="E15" s="9" t="n">
        <x:v>1</x:v>
      </x:c>
      <x:c r="F15" s="9" t="str">
        <x:v>reaction and bypass load</x:v>
      </x:c>
      <x:c r="G15" s="8"/>
      <x:c r="H15" s="8"/>
      <x:c r="I15" s="8"/>
      <x:c r="J15" s="8"/>
      <x:c r="K15" s="8"/>
    </x:row>
    <x:row r="16">
      <x:c r="B16" s="9" t="str">
        <x:v>independent datum and pose</x:v>
      </x:c>
      <x:c r="C16" s="9" t="n">
        <x:v>1</x:v>
      </x:c>
      <x:c r="D16" s="9" t="n">
        <x:v>1</x:v>
      </x:c>
      <x:c r="E16" s="9" t="n">
        <x:v>1</x:v>
      </x:c>
      <x:c r="F16" s="9" t="str">
        <x:v>settlement attribution</x:v>
      </x:c>
      <x:c r="G16" s="8"/>
      <x:c r="H16" s="8"/>
      <x:c r="I16" s="8"/>
      <x:c r="J16" s="8"/>
      <x:c r="K16" s="8"/>
    </x:row>
    <x:row r="17">
      <x:c r="B17" s="9" t="str">
        <x:v>anchor or lateral restraint</x:v>
      </x:c>
      <x:c r="C17" s="9" t="n">
        <x:v>1</x:v>
      </x:c>
      <x:c r="D17" s="9" t="n">
        <x:v>1</x:v>
      </x:c>
      <x:c r="E17" s="9" t="n">
        <x:v>1</x:v>
      </x:c>
      <x:c r="F17" s="9" t="str">
        <x:v>overturning attribution</x:v>
      </x:c>
      <x:c r="G17" s="8"/>
      <x:c r="H17" s="8"/>
      <x:c r="I17" s="8"/>
      <x:c r="J17" s="8"/>
      <x:c r="K17" s="8"/>
    </x:row>
    <x:row r="18">
      <x:c r="B18" s="9" t="str">
        <x:v>isolatable hydraulic pair</x:v>
      </x:c>
      <x:c r="C18" s="9" t="n">
        <x:v>1</x:v>
      </x:c>
      <x:c r="D18" s="9" t="n">
        <x:v>1</x:v>
      </x:c>
      <x:c r="E18" s="9" t="n">
        <x:v>1</x:v>
      </x:c>
      <x:c r="F18" s="9" t="str">
        <x:v>full-bore service</x:v>
      </x:c>
      <x:c r="G18" s="8"/>
      <x:c r="H18" s="8"/>
      <x:c r="I18" s="8"/>
      <x:c r="J18" s="8"/>
      <x:c r="K18" s="8"/>
    </x:row>
    <x:row r="19">
      <x:c r="B19" s="9" t="str">
        <x:v>safe electrical dead state</x:v>
      </x:c>
      <x:c r="C19" s="9" t="n">
        <x:v>1</x:v>
      </x:c>
      <x:c r="D19" s="9" t="n">
        <x:v>1</x:v>
      </x:c>
      <x:c r="E19" s="9" t="n">
        <x:v>1</x:v>
      </x:c>
      <x:c r="F19" s="9" t="str">
        <x:v>black start</x:v>
      </x:c>
      <x:c r="G19" s="8"/>
      <x:c r="H19" s="8"/>
      <x:c r="I19" s="8"/>
      <x:c r="J19" s="8"/>
      <x:c r="K19" s="8"/>
    </x:row>
    <x:row r="20">
      <x:c r="B20" s="10" t="str">
        <x:v>two-original evidence custody</x:v>
      </x:c>
      <x:c r="C20" s="10" t="n">
        <x:v>1</x:v>
      </x:c>
      <x:c r="D20" s="10" t="n">
        <x:v>1</x:v>
      </x:c>
      <x:c r="E20" s="10" t="n">
        <x:v>1</x:v>
      </x:c>
      <x:c r="F20" s="10" t="str">
        <x:v>independent replay</x:v>
      </x:c>
      <x:c r="G20" s="8"/>
      <x:c r="H20" s="8"/>
      <x:c r="I20" s="8"/>
      <x:c r="J20" s="8"/>
      <x:c r="K20" s="8"/>
    </x:row>
  </x:sheetData>
  <x:mergeCells>
    <x:mergeCell ref="B2:K2"/>
    <x:mergeCell ref="B3:K3"/>
    <x:mergeCell ref="B13:K13"/>
  </x:mergeCells>
  <x:conditionalFormatting sqref="J7:K9">
    <x:cfRule type="containsText" dxfId="65" priority="1" operator="containsText" text="PASS"/>
    <x:cfRule type="containsText" dxfId="66" priority="2" operator="containsText" text="AUTHORIZED"/>
    <x:cfRule type="containsText" dxfId="67" priority="3" operator="containsText" text="DEFINED"/>
    <x:cfRule type="containsText" dxfId="68" priority="4" operator="containsText" text="READY"/>
    <x:cfRule type="containsText" dxfId="69" priority="5" operator="containsText" text="HOLD"/>
    <x:cfRule type="containsText" dxfId="70" priority="6" operator="containsText" text="OPEN"/>
    <x:cfRule type="containsText" dxfId="71" priority="7" operator="containsText" text="BLOCKED"/>
    <x:cfRule type="containsText" dxfId="72" priority="8" operator="containsText" text="PLANNING"/>
    <x:cfRule type="containsText" dxfId="73" priority="9" operator="containsText" text="FAIL"/>
    <x:cfRule type="containsText" dxfId="74" priority="10" operator="containsText" text="REJECT"/>
    <x:cfRule type="containsText" dxfId="75" priority="11" operator="containsText" text="LATE"/>
    <x:cfRule type="containsText" dxfId="76" priority="12" operator="containsText" text="INCOMPLETE"/>
    <x:cfRule type="containsText" dxfId="77" priority="13" operator="containsText" text="INDETERMINATE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8" hidden="0" customWidth="1"/>
    <x:col min="3" max="3" width="38" hidden="0" customWidth="1"/>
    <x:col min="4" max="4" width="31" hidden="0" customWidth="1"/>
    <x:col min="5" max="5" width="18" hidden="0" customWidth="1"/>
    <x:col min="6" max="6" width="14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7" hidden="0" customWidth="1"/>
  </x:cols>
  <x:sheetData>
    <x:row r="2">
      <x:c r="B2" s="28" t="str">
        <x:v>Paired F36-350 hydraulic and sanitary boundary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Full-diameter local loops establish interface behavior, not ten-kilometre corridor endurance.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ID</x:v>
      </x:c>
      <x:c r="C6" s="7" t="str">
        <x:v>Quantity</x:v>
      </x:c>
      <x:c r="D6" s="7" t="str">
        <x:v>Formula or source</x:v>
      </x:c>
      <x:c r="E6" s="7" t="str">
        <x:v>Value</x:v>
      </x:c>
      <x:c r="F6" s="7" t="str">
        <x:v>Unit</x:v>
      </x:c>
      <x:c r="G6" s="7" t="str">
        <x:v>Requirement</x:v>
      </x:c>
      <x:c r="H6" s="7" t="str">
        <x:v>Relation</x:v>
      </x:c>
      <x:c r="I6" s="7" t="str">
        <x:v>Margin</x:v>
      </x:c>
      <x:c r="J6" s="7" t="str">
        <x:v>Planning gate</x:v>
      </x:c>
      <x:c r="K6" s="7" t="str">
        <x:v>Physical state</x:v>
      </x:c>
    </x:row>
    <x:row r="7">
      <x:c r="B7" s="9" t="str">
        <x:v>HY01</x:v>
      </x:c>
      <x:c r="C7" s="9" t="str">
        <x:v>bore area</x:v>
      </x:c>
      <x:c r="D7" s="9" t="str">
        <x:v>PI()*d^2/4</x:v>
      </x:c>
      <x:c r="E7" s="21" t="n">
        <x:f>PI()*'Controls'!$D$29^2/4</x:f>
        <x:v>0.0962112750161874</x:v>
      </x:c>
      <x:c r="F7" s="21" t="str">
        <x:v>m2</x:v>
      </x:c>
      <x:c r="G7" s="21" t="n">
        <x:v>0.09621</x:v>
      </x:c>
      <x:c r="H7" s="21" t="str">
        <x:v>EQ</x:v>
      </x:c>
      <x:c r="I7" s="21" t="n">
        <x:f>IF(H7="GE",E7-G7,IF(H7="LE",G7-E7,G7-E7))</x:f>
        <x:v>-0.0000012750161873936738</x:v>
      </x:c>
      <x:c r="J7" s="9" t="str">
        <x:f>IF(H7="GE",IF(E7&gt;=G7-0.0001,"PASS","FAIL"),IF(H7="LE",IF(E7&lt;=G7+0.0001,"PASS","FAIL"),IF(ABS(E7-G7)&lt;0.001,"PASS","FAIL")))</x:f>
        <x:v>PASS</x:v>
      </x:c>
      <x:c r="K7" s="9" t="str">
        <x:v>OPEN</x:v>
      </x:c>
    </x:row>
    <x:row r="8">
      <x:c r="B8" s="9" t="str">
        <x:v>HY02</x:v>
      </x:c>
      <x:c r="C8" s="9" t="str">
        <x:v>flow per main</x:v>
      </x:c>
      <x:c r="D8" s="9" t="str">
        <x:v>daily/86400</x:v>
      </x:c>
      <x:c r="E8" s="21" t="n">
        <x:f>'Controls'!$D$30/86400</x:f>
        <x:v>0.05787037037037037</x:v>
      </x:c>
      <x:c r="F8" s="21" t="str">
        <x:v>m3/s</x:v>
      </x:c>
      <x:c r="G8" s="21" t="n">
        <x:v>0.05787</x:v>
      </x:c>
      <x:c r="H8" s="21" t="str">
        <x:v>EQ</x:v>
      </x:c>
      <x:c r="I8" s="21" t="n">
        <x:f>IF(H8="GE",E8-G8,IF(H8="LE",G8-E8,G8-E8))</x:f>
        <x:v>-3.7037037037279674e-7</x:v>
      </x:c>
      <x:c r="J8" s="9" t="str">
        <x:f>IF(H8="GE",IF(E8&gt;=G8-0.0001,"PASS","FAIL"),IF(H8="LE",IF(E8&lt;=G8+0.0001,"PASS","FAIL"),IF(ABS(E8-G8)&lt;0.001,"PASS","FAIL")))</x:f>
        <x:v>PASS</x:v>
      </x:c>
      <x:c r="K8" s="9" t="str">
        <x:v>OPEN</x:v>
      </x:c>
    </x:row>
    <x:row r="9">
      <x:c r="B9" s="9" t="str">
        <x:v>HY03</x:v>
      </x:c>
      <x:c r="C9" s="9" t="str">
        <x:v>velocity per main</x:v>
      </x:c>
      <x:c r="D9" s="9" t="str">
        <x:v>flow/area</x:v>
      </x:c>
      <x:c r="E9" s="21" t="n">
        <x:f>E8/E7</x:f>
        <x:v>0.6014926042777603</x:v>
      </x:c>
      <x:c r="F9" s="21" t="str">
        <x:v>m/s</x:v>
      </x:c>
      <x:c r="G9" s="21" t="n">
        <x:v>0.6015</x:v>
      </x:c>
      <x:c r="H9" s="21" t="str">
        <x:v>EQ</x:v>
      </x:c>
      <x:c r="I9" s="21" t="n">
        <x:f>IF(H9="GE",E9-G9,IF(H9="LE",G9-E9,G9-E9))</x:f>
        <x:v>0.000007395722239733615</x:v>
      </x:c>
      <x:c r="J9" s="9" t="str">
        <x:f>IF(H9="GE",IF(E9&gt;=G9-0.0001,"PASS","FAIL"),IF(H9="LE",IF(E9&lt;=G9+0.0001,"PASS","FAIL"),IF(ABS(E9-G9)&lt;0.001,"PASS","FAIL")))</x:f>
        <x:v>PASS</x:v>
      </x:c>
      <x:c r="K9" s="9" t="str">
        <x:v>OPEN</x:v>
      </x:c>
    </x:row>
    <x:row r="10">
      <x:c r="B10" s="9" t="str">
        <x:v>HY04</x:v>
      </x:c>
      <x:c r="C10" s="9" t="str">
        <x:v>paired flow</x:v>
      </x:c>
      <x:c r="D10" s="9" t="str">
        <x:v>two paths</x:v>
      </x:c>
      <x:c r="E10" s="21" t="n">
        <x:f>E8*'Controls'!$D$31</x:f>
        <x:v>0.11574074074074074</x:v>
      </x:c>
      <x:c r="F10" s="21" t="str">
        <x:v>m3/s</x:v>
      </x:c>
      <x:c r="G10" s="21" t="n">
        <x:v>0.11574</x:v>
      </x:c>
      <x:c r="H10" s="21" t="str">
        <x:v>EQ</x:v>
      </x:c>
      <x:c r="I10" s="21" t="n">
        <x:f>IF(H10="GE",E10-G10,IF(H10="LE",G10-E10,G10-E10))</x:f>
        <x:v>-7.407407407455935e-7</x:v>
      </x:c>
      <x:c r="J10" s="9" t="str">
        <x:f>IF(H10="GE",IF(E10&gt;=G10-0.0001,"PASS","FAIL"),IF(H10="LE",IF(E10&lt;=G10+0.0001,"PASS","FAIL"),IF(ABS(E10-G10)&lt;0.001,"PASS","FAIL")))</x:f>
        <x:v>PASS</x:v>
      </x:c>
      <x:c r="K10" s="9" t="str">
        <x:v>OPEN</x:v>
      </x:c>
    </x:row>
    <x:row r="11">
      <x:c r="B11" s="9" t="str">
        <x:v>HY05</x:v>
      </x:c>
      <x:c r="C11" s="9" t="str">
        <x:v>loop volume</x:v>
      </x:c>
      <x:c r="D11" s="9" t="str">
        <x:v>area × length × paths</x:v>
      </x:c>
      <x:c r="E11" s="21" t="n">
        <x:f>E7*'Controls'!$D$32*'Controls'!$D$31</x:f>
        <x:v>4.618141200776995</x:v>
      </x:c>
      <x:c r="F11" s="21" t="str">
        <x:v>m3</x:v>
      </x:c>
      <x:c r="G11" s="21" t="n">
        <x:v>4.6181</x:v>
      </x:c>
      <x:c r="H11" s="21" t="str">
        <x:v>EQ</x:v>
      </x:c>
      <x:c r="I11" s="21" t="n">
        <x:f>IF(H11="GE",E11-G11,IF(H11="LE",G11-E11,G11-E11))</x:f>
        <x:v>-0.000041200776994543276</x:v>
      </x:c>
      <x:c r="J11" s="9" t="str">
        <x:f>IF(H11="GE",IF(E11&gt;=G11-0.0001,"PASS","FAIL"),IF(H11="LE",IF(E11&lt;=G11+0.0001,"PASS","FAIL"),IF(ABS(E11-G11)&lt;0.001,"PASS","FAIL")))</x:f>
        <x:v>PASS</x:v>
      </x:c>
      <x:c r="K11" s="9" t="str">
        <x:v>OPEN</x:v>
      </x:c>
    </x:row>
    <x:row r="12">
      <x:c r="B12" s="9" t="str">
        <x:v>HY06</x:v>
      </x:c>
      <x:c r="C12" s="9" t="str">
        <x:v>minimum flush</x:v>
      </x:c>
      <x:c r="D12" s="9" t="str">
        <x:v>loop volume × 3</x:v>
      </x:c>
      <x:c r="E12" s="21" t="n">
        <x:f>E11*'Controls'!$D$41</x:f>
        <x:v>13.854423602330984</x:v>
      </x:c>
      <x:c r="F12" s="21" t="str">
        <x:v>m3</x:v>
      </x:c>
      <x:c r="G12" s="21" t="n">
        <x:v>13.8544</x:v>
      </x:c>
      <x:c r="H12" s="21" t="str">
        <x:v>GE</x:v>
      </x:c>
      <x:c r="I12" s="21" t="n">
        <x:f>IF(H12="GE",E12-G12,IF(H12="LE",G12-E12,G12-E12))</x:f>
        <x:v>0.000023602330983862885</x:v>
      </x:c>
      <x:c r="J12" s="9" t="str">
        <x:f>IF(H12="GE",IF(E12&gt;=G12-0.0001,"PASS","FAIL"),IF(H12="LE",IF(E12&lt;=G12+0.0001,"PASS","FAIL"),IF(ABS(E12-G12)&lt;0.001,"PASS","FAIL")))</x:f>
        <x:v>PASS</x:v>
      </x:c>
      <x:c r="K12" s="9" t="str">
        <x:v>OPEN</x:v>
      </x:c>
    </x:row>
    <x:row r="13">
      <x:c r="B13" s="9" t="str">
        <x:v>HY07</x:v>
      </x:c>
      <x:c r="C13" s="9" t="str">
        <x:v>proof end force</x:v>
      </x:c>
      <x:c r="D13" s="9" t="str">
        <x:v>proof MPa × area</x:v>
      </x:c>
      <x:c r="E13" s="21" t="n">
        <x:f>'Controls'!$D$35*1000*E7</x:f>
        <x:v>101.02183876699677</x:v>
      </x:c>
      <x:c r="F13" s="21" t="str">
        <x:v>kN</x:v>
      </x:c>
      <x:c r="G13" s="21" t="n">
        <x:v>101.022</x:v>
      </x:c>
      <x:c r="H13" s="21" t="str">
        <x:v>EQ</x:v>
      </x:c>
      <x:c r="I13" s="21" t="n">
        <x:f>IF(H13="GE",E13-G13,IF(H13="LE",G13-E13,G13-E13))</x:f>
        <x:v>0.00016123300324011325</x:v>
      </x:c>
      <x:c r="J13" s="9" t="str">
        <x:f>IF(H13="GE",IF(E13&gt;=G13-0.0001,"PASS","FAIL"),IF(H13="LE",IF(E13&lt;=G13+0.0001,"PASS","FAIL"),IF(ABS(E13-G13)&lt;0.001,"PASS","FAIL")))</x:f>
        <x:v>PASS</x:v>
      </x:c>
      <x:c r="K13" s="9" t="str">
        <x:v>OPEN</x:v>
      </x:c>
    </x:row>
    <x:row r="14">
      <x:c r="B14" s="9" t="str">
        <x:v>HY08</x:v>
      </x:c>
      <x:c r="C14" s="9" t="str">
        <x:v>restraint margin</x:v>
      </x:c>
      <x:c r="D14" s="9" t="str">
        <x:v>restraint - end force</x:v>
      </x:c>
      <x:c r="E14" s="21" t="n">
        <x:f>'Controls'!$D$38-E13</x:f>
        <x:v>98.97816123300323</x:v>
      </x:c>
      <x:c r="F14" s="21" t="str">
        <x:v>kN</x:v>
      </x:c>
      <x:c r="G14" s="21" t="n">
        <x:v>0</x:v>
      </x:c>
      <x:c r="H14" s="21" t="str">
        <x:v>GE</x:v>
      </x:c>
      <x:c r="I14" s="21" t="n">
        <x:f>IF(H14="GE",E14-G14,IF(H14="LE",G14-E14,G14-E14))</x:f>
        <x:v>98.97816123300323</x:v>
      </x:c>
      <x:c r="J14" s="9" t="str">
        <x:f>IF(H14="GE",IF(E14&gt;=G14-0.0001,"PASS","FAIL"),IF(H14="LE",IF(E14&lt;=G14+0.0001,"PASS","FAIL"),IF(ABS(E14-G14)&lt;0.001,"PASS","FAIL")))</x:f>
        <x:v>PASS</x:v>
      </x:c>
      <x:c r="K14" s="9" t="str">
        <x:v>OPEN</x:v>
      </x:c>
    </x:row>
    <x:row r="15">
      <x:c r="B15" s="9" t="str">
        <x:v>HY09</x:v>
      </x:c>
      <x:c r="C15" s="9" t="str">
        <x:v>leak uncertainty fraction</x:v>
      </x:c>
      <x:c r="D15" s="9" t="str">
        <x:v>U95 / decision floor</x:v>
      </x:c>
      <x:c r="E15" s="21" t="n">
        <x:f>'Controls'!$D$40/'Controls'!$D$39</x:f>
        <x:v>0.19999999999999998</x:v>
      </x:c>
      <x:c r="F15" s="21" t="str">
        <x:v>fraction</x:v>
      </x:c>
      <x:c r="G15" s="21" t="n">
        <x:v>0.2</x:v>
      </x:c>
      <x:c r="H15" s="21" t="str">
        <x:v>LE</x:v>
      </x:c>
      <x:c r="I15" s="21" t="n">
        <x:f>IF(H15="GE",E15-G15,IF(H15="LE",G15-E15,G15-E15))</x:f>
        <x:v>2.7755575615628914e-17</x:v>
      </x:c>
      <x:c r="J15" s="9" t="str">
        <x:f>IF(H15="GE",IF(E15&gt;=G15-0.0001,"PASS","FAIL"),IF(H15="LE",IF(E15&lt;=G15+0.0001,"PASS","FAIL"),IF(ABS(E15-G15)&lt;0.001,"PASS","FAIL")))</x:f>
        <x:v>PASS</x:v>
      </x:c>
      <x:c r="K15" s="9" t="str">
        <x:v>OPEN</x:v>
      </x:c>
    </x:row>
    <x:row r="16">
      <x:c r="B16" s="9" t="str">
        <x:v>HY10</x:v>
      </x:c>
      <x:c r="C16" s="9" t="str">
        <x:v>cycle count</x:v>
      </x:c>
      <x:c r="D16" s="9" t="str">
        <x:v>inherited</x:v>
      </x:c>
      <x:c r="E16" s="21" t="n">
        <x:f>'Controls'!$D$37</x:f>
        <x:v>50000</x:v>
      </x:c>
      <x:c r="F16" s="21" t="str">
        <x:v>cycles</x:v>
      </x:c>
      <x:c r="G16" s="21" t="n">
        <x:v>50000</x:v>
      </x:c>
      <x:c r="H16" s="21" t="str">
        <x:v>GE</x:v>
      </x:c>
      <x:c r="I16" s="21" t="n">
        <x:f>IF(H16="GE",E16-G16,IF(H16="LE",G16-E16,G16-E16))</x:f>
        <x:v>0</x:v>
      </x:c>
      <x:c r="J16" s="9" t="str">
        <x:f>IF(H16="GE",IF(E16&gt;=G16-0.0001,"PASS","FAIL"),IF(H16="LE",IF(E16&lt;=G16+0.0001,"PASS","FAIL"),IF(ABS(E16-G16)&lt;0.001,"PASS","FAIL")))</x:f>
        <x:v>PASS</x:v>
      </x:c>
      <x:c r="K16" s="9" t="str">
        <x:v>OPEN</x:v>
      </x:c>
    </x:row>
    <x:row r="17">
      <x:c r="B17" s="9" t="str">
        <x:v>HY11</x:v>
      </x:c>
      <x:c r="C17" s="9" t="str">
        <x:v>vacuum challenge</x:v>
      </x:c>
      <x:c r="D17" s="9" t="str">
        <x:v>inherited</x:v>
      </x:c>
      <x:c r="E17" s="21" t="n">
        <x:f>'Controls'!$D$36</x:f>
        <x:v>-0.085</x:v>
      </x:c>
      <x:c r="F17" s="21" t="str">
        <x:v>MPa</x:v>
      </x:c>
      <x:c r="G17" s="21" t="n">
        <x:v>-0.085</x:v>
      </x:c>
      <x:c r="H17" s="21" t="str">
        <x:v>EQ</x:v>
      </x:c>
      <x:c r="I17" s="21" t="n">
        <x:f>IF(H17="GE",E17-G17,IF(H17="LE",G17-E17,G17-E17))</x:f>
        <x:v>0</x:v>
      </x:c>
      <x:c r="J17" s="9" t="str">
        <x:f>IF(H17="GE",IF(E17&gt;=G17-0.0001,"PASS","FAIL"),IF(H17="LE",IF(E17&lt;=G17+0.0001,"PASS","FAIL"),IF(ABS(E17-G17)&lt;0.001,"PASS","FAIL")))</x:f>
        <x:v>PASS</x:v>
      </x:c>
      <x:c r="K17" s="9" t="str">
        <x:v>OPEN</x:v>
      </x:c>
    </x:row>
    <x:row r="18">
      <x:c r="B18" s="10" t="str">
        <x:v>HY12</x:v>
      </x:c>
      <x:c r="C18" s="10" t="str">
        <x:v>surge challenge</x:v>
      </x:c>
      <x:c r="D18" s="10" t="str">
        <x:v>inherited</x:v>
      </x:c>
      <x:c r="E18" s="22" t="n">
        <x:f>'Controls'!$D$34</x:f>
        <x:v>0.85</x:v>
      </x:c>
      <x:c r="F18" s="22" t="str">
        <x:v>MPa</x:v>
      </x:c>
      <x:c r="G18" s="22" t="n">
        <x:v>0.85</x:v>
      </x:c>
      <x:c r="H18" s="22" t="str">
        <x:v>GE</x:v>
      </x:c>
      <x:c r="I18" s="22" t="n">
        <x:f>IF(H18="GE",E18-G18,IF(H18="LE",G18-E18,G18-E18))</x:f>
        <x:v>0</x:v>
      </x:c>
      <x:c r="J18" s="10" t="str">
        <x:f>IF(H18="GE",IF(E18&gt;=G18-0.0001,"PASS","FAIL"),IF(H18="LE",IF(E18&lt;=G18+0.0001,"PASS","FAIL"),IF(ABS(E18-G18)&lt;0.001,"PASS","FAIL")))</x:f>
        <x:v>PASS</x:v>
      </x:c>
      <x:c r="K18" s="10" t="str">
        <x:v>OPEN</x:v>
      </x:c>
    </x:row>
    <x:row r="19"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B22" s="17" t="str">
        <x:v>Sanitary release invariants</x:v>
      </x:c>
      <x:c r="C22" s="17" t="str">
        <x:v>Sanitary release invariants</x:v>
      </x:c>
      <x:c r="D22" s="17" t="str">
        <x:v>Sanitary release invariants</x:v>
      </x:c>
      <x:c r="E22" s="17" t="str">
        <x:v>Sanitary release invariants</x:v>
      </x:c>
      <x:c r="F22" s="17" t="str">
        <x:v>Sanitary release invariants</x:v>
      </x:c>
      <x:c r="G22" s="17" t="str">
        <x:v>Sanitary release invariants</x:v>
      </x:c>
      <x:c r="H22" s="17" t="str">
        <x:v>Sanitary release invariants</x:v>
      </x:c>
      <x:c r="I22" s="17" t="str">
        <x:v>Sanitary release invariants</x:v>
      </x:c>
      <x:c r="J22" s="17" t="str">
        <x:v>Sanitary release invariants</x:v>
      </x:c>
      <x:c r="K22" s="17" t="str">
        <x:v>Sanitary release invariants</x:v>
      </x:c>
    </x:row>
    <x:row r="23">
      <x:c r="B23" s="7" t="str">
        <x:v>Invariant</x:v>
      </x:c>
      <x:c r="C23" s="7" t="str">
        <x:v>Required</x:v>
      </x:c>
      <x:c r="D23" s="7" t="str">
        <x:v>Planning state</x:v>
      </x:c>
      <x:c r="E23" s="8"/>
      <x:c r="F23" s="8"/>
      <x:c r="G23" s="8"/>
      <x:c r="H23" s="8"/>
      <x:c r="I23" s="8"/>
      <x:c r="J23" s="8"/>
      <x:c r="K23" s="8"/>
    </x:row>
    <x:row r="24">
      <x:c r="B24" s="9" t="str">
        <x:v>product and waste mechanical incompatibility</x:v>
      </x:c>
      <x:c r="C24" s="9" t="n">
        <x:v>1</x:v>
      </x:c>
      <x:c r="D24" s="9" t="str">
        <x:f>IF(C24=1,"DEFINED","FAIL")</x:f>
        <x:v>DEFINED</x:v>
      </x:c>
      <x:c r="E24" s="8"/>
      <x:c r="F24" s="8"/>
      <x:c r="G24" s="8"/>
      <x:c r="H24" s="8"/>
      <x:c r="I24" s="8"/>
      <x:c r="J24" s="8"/>
      <x:c r="K24" s="8"/>
    </x:row>
    <x:row r="25">
      <x:c r="B25" s="9" t="str">
        <x:v>independent valve-state observation</x:v>
      </x:c>
      <x:c r="C25" s="9" t="n">
        <x:v>1</x:v>
      </x:c>
      <x:c r="D25" s="9" t="str">
        <x:f>IF(C25=1,"DEFINED","FAIL")</x:f>
        <x:v>DEFINED</x:v>
      </x:c>
      <x:c r="E25" s="8"/>
      <x:c r="F25" s="8"/>
      <x:c r="G25" s="8"/>
      <x:c r="H25" s="8"/>
      <x:c r="I25" s="8"/>
      <x:c r="J25" s="8"/>
      <x:c r="K25" s="8"/>
    </x:row>
    <x:row r="26">
      <x:c r="B26" s="9" t="str">
        <x:v>single wrong-command cross-connection detection</x:v>
      </x:c>
      <x:c r="C26" s="9" t="n">
        <x:v>1</x:v>
      </x:c>
      <x:c r="D26" s="9" t="str">
        <x:f>IF(C26=1,"DEFINED","FAIL")</x:f>
        <x:v>DEFINED</x:v>
      </x:c>
      <x:c r="E26" s="8"/>
      <x:c r="F26" s="8"/>
      <x:c r="G26" s="8"/>
      <x:c r="H26" s="8"/>
      <x:c r="I26" s="8"/>
      <x:c r="J26" s="8"/>
      <x:c r="K26" s="8"/>
    </x:row>
    <x:row r="27">
      <x:c r="B27" s="9" t="str">
        <x:v>dead-leg volume declared and verified</x:v>
      </x:c>
      <x:c r="C27" s="9" t="n">
        <x:v>1</x:v>
      </x:c>
      <x:c r="D27" s="9" t="str">
        <x:f>IF(C27=1,"DEFINED","FAIL")</x:f>
        <x:v>DEFINED</x:v>
      </x:c>
      <x:c r="E27" s="8"/>
      <x:c r="F27" s="8"/>
      <x:c r="G27" s="8"/>
      <x:c r="H27" s="8"/>
      <x:c r="I27" s="8"/>
      <x:c r="J27" s="8"/>
      <x:c r="K27" s="8"/>
    </x:row>
    <x:row r="28">
      <x:c r="B28" s="9" t="str">
        <x:v>source, repair, blank and positive controls</x:v>
      </x:c>
      <x:c r="C28" s="9" t="n">
        <x:v>1</x:v>
      </x:c>
      <x:c r="D28" s="9" t="str">
        <x:f>IF(C28=1,"DEFINED","FAIL")</x:f>
        <x:v>DEFINED</x:v>
      </x:c>
      <x:c r="E28" s="8"/>
      <x:c r="F28" s="8"/>
      <x:c r="G28" s="8"/>
      <x:c r="H28" s="8"/>
      <x:c r="I28" s="8"/>
      <x:c r="J28" s="8"/>
      <x:c r="K28" s="8"/>
    </x:row>
    <x:row r="29">
      <x:c r="B29" s="9" t="str">
        <x:v>challenge and waste mass balance</x:v>
      </x:c>
      <x:c r="C29" s="9" t="n">
        <x:v>1</x:v>
      </x:c>
      <x:c r="D29" s="9" t="str">
        <x:f>IF(C29=1,"DEFINED","FAIL")</x:f>
        <x:v>DEFINED</x:v>
      </x:c>
      <x:c r="E29" s="8"/>
      <x:c r="F29" s="8"/>
      <x:c r="G29" s="8"/>
      <x:c r="H29" s="8"/>
      <x:c r="I29" s="8"/>
      <x:c r="J29" s="8"/>
      <x:c r="K29" s="8"/>
    </x:row>
    <x:row r="30">
      <x:c r="B30" s="10" t="str">
        <x:v>missing assay produces INDETERMINATE</x:v>
      </x:c>
      <x:c r="C30" s="10" t="n">
        <x:v>1</x:v>
      </x:c>
      <x:c r="D30" s="10" t="str">
        <x:f>IF(C30=1,"DEFINED","FAIL")</x:f>
        <x:v>DEFINED</x:v>
      </x:c>
      <x:c r="E30" s="8"/>
      <x:c r="F30" s="8"/>
      <x:c r="G30" s="8"/>
      <x:c r="H30" s="8"/>
      <x:c r="I30" s="8"/>
      <x:c r="J30" s="8"/>
      <x:c r="K30" s="8"/>
    </x:row>
  </x:sheetData>
  <x:mergeCells>
    <x:mergeCell ref="B2:K2"/>
    <x:mergeCell ref="B3:K3"/>
    <x:mergeCell ref="B22:K22"/>
  </x:mergeCells>
  <x:conditionalFormatting sqref="J7:K18">
    <x:cfRule type="containsText" dxfId="78" priority="1" operator="containsText" text="PASS"/>
    <x:cfRule type="containsText" dxfId="79" priority="2" operator="containsText" text="AUTHORIZED"/>
    <x:cfRule type="containsText" dxfId="80" priority="3" operator="containsText" text="DEFINED"/>
    <x:cfRule type="containsText" dxfId="81" priority="4" operator="containsText" text="READY"/>
    <x:cfRule type="containsText" dxfId="82" priority="5" operator="containsText" text="HOLD"/>
    <x:cfRule type="containsText" dxfId="83" priority="6" operator="containsText" text="OPEN"/>
    <x:cfRule type="containsText" dxfId="84" priority="7" operator="containsText" text="BLOCKED"/>
    <x:cfRule type="containsText" dxfId="85" priority="8" operator="containsText" text="PLANNING"/>
    <x:cfRule type="containsText" dxfId="86" priority="9" operator="containsText" text="FAIL"/>
    <x:cfRule type="containsText" dxfId="87" priority="10" operator="containsText" text="REJECT"/>
    <x:cfRule type="containsText" dxfId="88" priority="11" operator="containsText" text="LATE"/>
    <x:cfRule type="containsText" dxfId="89" priority="12" operator="containsText" text="INCOMPLETE"/>
    <x:cfRule type="containsText" dxfId="90" priority="13" operator="containsText" text="INDETERMINATE"/>
  </x:conditionalFormatting>
  <x:conditionalFormatting sqref="D24:D30">
    <x:cfRule type="containsText" dxfId="91" priority="14" operator="containsText" text="PASS"/>
    <x:cfRule type="containsText" dxfId="92" priority="15" operator="containsText" text="AUTHORIZED"/>
    <x:cfRule type="containsText" dxfId="93" priority="16" operator="containsText" text="DEFINED"/>
    <x:cfRule type="containsText" dxfId="94" priority="17" operator="containsText" text="READY"/>
    <x:cfRule type="containsText" dxfId="95" priority="18" operator="containsText" text="HOLD"/>
    <x:cfRule type="containsText" dxfId="96" priority="19" operator="containsText" text="OPEN"/>
    <x:cfRule type="containsText" dxfId="97" priority="20" operator="containsText" text="BLOCKED"/>
    <x:cfRule type="containsText" dxfId="98" priority="21" operator="containsText" text="PLANNING"/>
    <x:cfRule type="containsText" dxfId="99" priority="22" operator="containsText" text="FAIL"/>
    <x:cfRule type="containsText" dxfId="100" priority="23" operator="containsText" text="REJECT"/>
    <x:cfRule type="containsText" dxfId="101" priority="24" operator="containsText" text="LATE"/>
    <x:cfRule type="containsText" dxfId="102" priority="25" operator="containsText" text="INCOMPLETE"/>
    <x:cfRule type="containsText" dxfId="103" priority="26" operator="containsText" text="INDETERMINATE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6" hidden="0" customWidth="1"/>
    <x:col min="8" max="8" width="14" hidden="0" customWidth="1"/>
    <x:col min="9" max="9" width="16" hidden="0" customWidth="1"/>
    <x:col min="10" max="10" width="16" hidden="0" customWidth="1"/>
    <x:col min="11" max="11" width="17" hidden="0" customWidth="1"/>
  </x:cols>
  <x:sheetData>
    <x:row r="2">
      <x:c r="B2" s="28" t="str">
        <x:v>Power service and black-start constitution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Local service is attributable only when energy, protection, grounding and time are all observable.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State</x:v>
      </x:c>
      <x:c r="C6" s="7" t="str">
        <x:v>Service</x:v>
      </x:c>
      <x:c r="D6" s="7" t="str">
        <x:v>Duration</x:v>
      </x:c>
      <x:c r="E6" s="7" t="str">
        <x:v>Energy</x:v>
      </x:c>
      <x:c r="F6" s="7" t="str">
        <x:v>Unit</x:v>
      </x:c>
      <x:c r="G6" s="7" t="str">
        <x:v>Requirement</x:v>
      </x:c>
      <x:c r="H6" s="7" t="str">
        <x:v>Relation</x:v>
      </x:c>
      <x:c r="I6" s="7" t="str">
        <x:v>Margin</x:v>
      </x:c>
      <x:c r="J6" s="7" t="str">
        <x:v>Planning gate</x:v>
      </x:c>
      <x:c r="K6" s="7" t="str">
        <x:v>Physical state</x:v>
      </x:c>
    </x:row>
    <x:row r="7">
      <x:c r="B7" s="9" t="str">
        <x:v>critical bus</x:v>
      </x:c>
      <x:c r="C7" s="19" t="n">
        <x:f>'Controls'!$D$42</x:f>
        <x:v>0.6</x:v>
      </x:c>
      <x:c r="D7" s="19" t="n">
        <x:f>'Controls'!$D$50/60</x:f>
        <x:v>0.5</x:v>
      </x:c>
      <x:c r="E7" s="19" t="n">
        <x:f>C7*D7</x:f>
        <x:v>0.3</x:v>
      </x:c>
      <x:c r="F7" s="19" t="str">
        <x:v>MWh</x:v>
      </x:c>
      <x:c r="G7" s="19" t="n">
        <x:v>0.3</x:v>
      </x:c>
      <x:c r="H7" s="19" t="str">
        <x:v>GE</x:v>
      </x:c>
      <x:c r="I7" s="19" t="n">
        <x:f>E7-G7</x:f>
        <x:v>0</x:v>
      </x:c>
      <x:c r="J7" s="9" t="str">
        <x:f>IF(E7&gt;=G7-0.000001,"PASS","FAIL")</x:f>
        <x:v>PASS</x:v>
      </x:c>
      <x:c r="K7" s="9" t="str">
        <x:v>OPEN</x:v>
      </x:c>
    </x:row>
    <x:row r="8">
      <x:c r="B8" s="9" t="str">
        <x:v>stored-energy delivery</x:v>
      </x:c>
      <x:c r="C8" s="19" t="n">
        <x:f>'Controls'!$D$42</x:f>
        <x:v>0.6</x:v>
      </x:c>
      <x:c r="D8" s="19" t="n">
        <x:f>'Controls'!$D$49/'Controls'!$D$42</x:f>
        <x:v>0.6666666666666667</x:v>
      </x:c>
      <x:c r="E8" s="19" t="n">
        <x:f>'Controls'!$D$49</x:f>
        <x:v>0.4</x:v>
      </x:c>
      <x:c r="F8" s="19" t="str">
        <x:v>MWh</x:v>
      </x:c>
      <x:c r="G8" s="19" t="n">
        <x:v>0.4</x:v>
      </x:c>
      <x:c r="H8" s="19" t="str">
        <x:v>GE</x:v>
      </x:c>
      <x:c r="I8" s="19" t="n">
        <x:f>E8-G8</x:f>
        <x:v>0</x:v>
      </x:c>
      <x:c r="J8" s="9" t="str">
        <x:f>IF(E8&gt;=G8-0.000001,"PASS","FAIL")</x:f>
        <x:v>PASS</x:v>
      </x:c>
      <x:c r="K8" s="9" t="str">
        <x:v>OPEN</x:v>
      </x:c>
    </x:row>
    <x:row r="9">
      <x:c r="B9" s="9" t="str">
        <x:v>normal island</x:v>
      </x:c>
      <x:c r="C9" s="19" t="n">
        <x:f>'Controls'!$D$43</x:f>
        <x:v>1.5</x:v>
      </x:c>
      <x:c r="D9" s="19" t="n">
        <x:f>'Controls'!$D$44</x:f>
        <x:v>8</x:v>
      </x:c>
      <x:c r="E9" s="19" t="n">
        <x:f>C9*D9</x:f>
        <x:v>12</x:v>
      </x:c>
      <x:c r="F9" s="19" t="str">
        <x:v>MWh</x:v>
      </x:c>
      <x:c r="G9" s="19" t="n">
        <x:v>12</x:v>
      </x:c>
      <x:c r="H9" s="19" t="str">
        <x:v>GE</x:v>
      </x:c>
      <x:c r="I9" s="19" t="n">
        <x:f>E9-G9</x:f>
        <x:v>0</x:v>
      </x:c>
      <x:c r="J9" s="9" t="str">
        <x:f>IF(E9&gt;=G9-0.000001,"PASS","FAIL")</x:f>
        <x:v>PASS</x:v>
      </x:c>
      <x:c r="K9" s="9" t="str">
        <x:v>OPEN</x:v>
      </x:c>
    </x:row>
    <x:row r="10">
      <x:c r="B10" s="9" t="str">
        <x:v>overload</x:v>
      </x:c>
      <x:c r="C10" s="19" t="n">
        <x:f>'Controls'!$D$45</x:f>
        <x:v>2.25</x:v>
      </x:c>
      <x:c r="D10" s="19" t="n">
        <x:f>'Controls'!$D$46/60</x:f>
        <x:v>0.16666666666666666</x:v>
      </x:c>
      <x:c r="E10" s="19" t="n">
        <x:f>C10*D10</x:f>
        <x:v>0.375</x:v>
      </x:c>
      <x:c r="F10" s="19" t="str">
        <x:v>MWh</x:v>
      </x:c>
      <x:c r="G10" s="19" t="n">
        <x:v>0.375</x:v>
      </x:c>
      <x:c r="H10" s="19" t="str">
        <x:v>GE</x:v>
      </x:c>
      <x:c r="I10" s="19" t="n">
        <x:f>E10-G10</x:f>
        <x:v>0</x:v>
      </x:c>
      <x:c r="J10" s="9" t="str">
        <x:f>IF(E10&gt;=G10-0.000001,"PASS","FAIL")</x:f>
        <x:v>PASS</x:v>
      </x:c>
      <x:c r="K10" s="9" t="str">
        <x:v>OPEN</x:v>
      </x:c>
    </x:row>
    <x:row r="11">
      <x:c r="B11" s="10" t="str">
        <x:v>transient</x:v>
      </x:c>
      <x:c r="C11" s="20" t="n">
        <x:f>'Controls'!$D$47</x:f>
        <x:v>3</x:v>
      </x:c>
      <x:c r="D11" s="20" t="n">
        <x:f>'Controls'!$D$48/3600</x:f>
        <x:v>0.002777777777777778</x:v>
      </x:c>
      <x:c r="E11" s="20" t="n">
        <x:f>C11*D11</x:f>
        <x:v>0.008333333333333333</x:v>
      </x:c>
      <x:c r="F11" s="20" t="str">
        <x:v>MWh</x:v>
      </x:c>
      <x:c r="G11" s="20" t="n">
        <x:v>0.008333</x:v>
      </x:c>
      <x:c r="H11" s="20" t="str">
        <x:v>GE</x:v>
      </x:c>
      <x:c r="I11" s="20" t="n">
        <x:f>E11-G11</x:f>
        <x:v>3.3333333333308846e-7</x:v>
      </x:c>
      <x:c r="J11" s="10" t="str">
        <x:f>IF(E11&gt;=G11-0.000001,"PASS","FAIL")</x:f>
        <x:v>PASS</x:v>
      </x:c>
      <x:c r="K11" s="10" t="str">
        <x:v>OPEN</x:v>
      </x:c>
    </x:row>
    <x:row r="12"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B15" s="17" t="str">
        <x:v>Black-start elapsed-time boundaries</x:v>
      </x:c>
      <x:c r="C15" s="17" t="str">
        <x:v>Black-start elapsed-time boundaries</x:v>
      </x:c>
      <x:c r="D15" s="17" t="str">
        <x:v>Black-start elapsed-time boundaries</x:v>
      </x:c>
      <x:c r="E15" s="17" t="str">
        <x:v>Black-start elapsed-time boundaries</x:v>
      </x:c>
      <x:c r="F15" s="17" t="str">
        <x:v>Black-start elapsed-time boundaries</x:v>
      </x:c>
      <x:c r="G15" s="17" t="str">
        <x:v>Black-start elapsed-time boundaries</x:v>
      </x:c>
      <x:c r="H15" s="17" t="str">
        <x:v>Black-start elapsed-time boundaries</x:v>
      </x:c>
      <x:c r="I15" s="17" t="str">
        <x:v>Black-start elapsed-time boundaries</x:v>
      </x:c>
      <x:c r="J15" s="17" t="str">
        <x:v>Black-start elapsed-time boundaries</x:v>
      </x:c>
      <x:c r="K15" s="17" t="str">
        <x:v>Black-start elapsed-time boundaries</x:v>
      </x:c>
    </x:row>
    <x:row r="16">
      <x:c r="B16" s="7" t="str">
        <x:v>Boundary</x:v>
      </x:c>
      <x:c r="C16" s="7" t="str">
        <x:v>Maximum</x:v>
      </x:c>
      <x:c r="D16" s="7" t="str">
        <x:v>Unit</x:v>
      </x:c>
      <x:c r="E16" s="7" t="str">
        <x:v>Requirement</x:v>
      </x:c>
      <x:c r="F16" s="7" t="str">
        <x:v>Observed</x:v>
      </x:c>
      <x:c r="G16" s="7" t="str">
        <x:v>Planning gate</x:v>
      </x:c>
      <x:c r="H16" s="7" t="str">
        <x:v>Physical state</x:v>
      </x:c>
      <x:c r="I16" s="8"/>
      <x:c r="J16" s="8"/>
      <x:c r="K16" s="8"/>
    </x:row>
    <x:row r="17">
      <x:c r="B17" s="9" t="str">
        <x:v>local control authority</x:v>
      </x:c>
      <x:c r="C17" s="9" t="n">
        <x:f>'Controls'!$D$53</x:f>
        <x:v>30</x:v>
      </x:c>
      <x:c r="D17" s="9" t="str">
        <x:v>s</x:v>
      </x:c>
      <x:c r="E17" s="9" t="n">
        <x:v>30</x:v>
      </x:c>
      <x:c r="F17" s="9" t="n">
        <x:v>0</x:v>
      </x:c>
      <x:c r="G17" s="9" t="str">
        <x:f>IF(C17&lt;=E17,"PASS","FAIL")</x:f>
        <x:v>PASS</x:v>
      </x:c>
      <x:c r="H17" s="9" t="str">
        <x:v>OPEN</x:v>
      </x:c>
      <x:c r="I17" s="8"/>
      <x:c r="J17" s="8"/>
      <x:c r="K17" s="8"/>
    </x:row>
    <x:row r="18">
      <x:c r="B18" s="9" t="str">
        <x:v>protected critical bus</x:v>
      </x:c>
      <x:c r="C18" s="9" t="n">
        <x:f>'Controls'!$D$54</x:f>
        <x:v>90</x:v>
      </x:c>
      <x:c r="D18" s="9" t="str">
        <x:v>s</x:v>
      </x:c>
      <x:c r="E18" s="9" t="n">
        <x:v>90</x:v>
      </x:c>
      <x:c r="F18" s="9" t="n">
        <x:v>0</x:v>
      </x:c>
      <x:c r="G18" s="9" t="str">
        <x:f>IF(C18&lt;=E18,"PASS","FAIL")</x:f>
        <x:v>PASS</x:v>
      </x:c>
      <x:c r="H18" s="9" t="str">
        <x:v>OPEN</x:v>
      </x:c>
      <x:c r="I18" s="8"/>
      <x:c r="J18" s="8"/>
      <x:c r="K18" s="8"/>
    </x:row>
    <x:row r="19">
      <x:c r="B19" s="9" t="str">
        <x:v>hydraulic isolation and metrology</x:v>
      </x:c>
      <x:c r="C19" s="9" t="n">
        <x:f>'Controls'!$D$55</x:f>
        <x:v>5</x:v>
      </x:c>
      <x:c r="D19" s="9" t="str">
        <x:v>min</x:v>
      </x:c>
      <x:c r="E19" s="9" t="n">
        <x:v>5</x:v>
      </x:c>
      <x:c r="F19" s="9" t="n">
        <x:v>0</x:v>
      </x:c>
      <x:c r="G19" s="9" t="str">
        <x:f>IF(C19&lt;=E19,"PASS","FAIL")</x:f>
        <x:v>PASS</x:v>
      </x:c>
      <x:c r="H19" s="9" t="str">
        <x:v>OPEN</x:v>
      </x:c>
      <x:c r="I19" s="8"/>
      <x:c r="J19" s="8"/>
      <x:c r="K19" s="8"/>
    </x:row>
    <x:row r="20">
      <x:c r="B20" s="9" t="str">
        <x:v>first critical service</x:v>
      </x:c>
      <x:c r="C20" s="9" t="n">
        <x:f>'Controls'!$D$56</x:f>
        <x:v>10</x:v>
      </x:c>
      <x:c r="D20" s="9" t="str">
        <x:v>min</x:v>
      </x:c>
      <x:c r="E20" s="9" t="n">
        <x:v>10</x:v>
      </x:c>
      <x:c r="F20" s="9" t="n">
        <x:v>0</x:v>
      </x:c>
      <x:c r="G20" s="9" t="str">
        <x:f>IF(C20&lt;=E20,"PASS","FAIL")</x:f>
        <x:v>PASS</x:v>
      </x:c>
      <x:c r="H20" s="9" t="str">
        <x:v>OPEN</x:v>
      </x:c>
      <x:c r="I20" s="8"/>
      <x:c r="J20" s="8"/>
      <x:c r="K20" s="8"/>
    </x:row>
    <x:row r="21">
      <x:c r="B21" s="10" t="str">
        <x:v>full normal service</x:v>
      </x:c>
      <x:c r="C21" s="10" t="n">
        <x:f>'Controls'!$D$57</x:f>
        <x:v>20</x:v>
      </x:c>
      <x:c r="D21" s="10" t="str">
        <x:v>min</x:v>
      </x:c>
      <x:c r="E21" s="10" t="n">
        <x:v>20</x:v>
      </x:c>
      <x:c r="F21" s="10" t="n">
        <x:v>0</x:v>
      </x:c>
      <x:c r="G21" s="10" t="str">
        <x:f>IF(C21&lt;=E21,"PASS","FAIL")</x:f>
        <x:v>PASS</x:v>
      </x:c>
      <x:c r="H21" s="10" t="str">
        <x:v>OPEN</x:v>
      </x:c>
      <x:c r="I21" s="8"/>
      <x:c r="J21" s="8"/>
      <x:c r="K21" s="8"/>
    </x:row>
    <x:row r="22"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>
      <x:c r="B25" s="17" t="str">
        <x:v>Electrical public boundary</x:v>
      </x:c>
      <x:c r="C25" s="17" t="str">
        <x:v>Electrical public boundary</x:v>
      </x:c>
      <x:c r="D25" s="17" t="str">
        <x:v>Electrical public boundary</x:v>
      </x:c>
      <x:c r="E25" s="17" t="str">
        <x:v>Electrical public boundary</x:v>
      </x:c>
      <x:c r="F25" s="17" t="str">
        <x:v>Electrical public boundary</x:v>
      </x:c>
      <x:c r="G25" s="17" t="str">
        <x:v>Electrical public boundary</x:v>
      </x:c>
      <x:c r="H25" s="17" t="str">
        <x:v>Electrical public boundary</x:v>
      </x:c>
      <x:c r="I25" s="17" t="str">
        <x:v>Electrical public boundary</x:v>
      </x:c>
      <x:c r="J25" s="17" t="str">
        <x:v>Electrical public boundary</x:v>
      </x:c>
      <x:c r="K25" s="17" t="str">
        <x:v>Electrical public boundary</x:v>
      </x:c>
    </x:row>
    <x:row r="26">
      <x:c r="B26" s="7" t="str">
        <x:v>Boundary</x:v>
      </x:c>
      <x:c r="C26" s="7" t="str">
        <x:v>Target</x:v>
      </x:c>
      <x:c r="D26" s="7" t="str">
        <x:v>Unit</x:v>
      </x:c>
      <x:c r="E26" s="7" t="str">
        <x:v>Planning state</x:v>
      </x:c>
      <x:c r="F26" s="8"/>
      <x:c r="G26" s="8"/>
      <x:c r="H26" s="8"/>
      <x:c r="I26" s="8"/>
      <x:c r="J26" s="8"/>
      <x:c r="K26" s="8"/>
    </x:row>
    <x:row r="27">
      <x:c r="B27" s="9" t="str">
        <x:v>public feeder</x:v>
      </x:c>
      <x:c r="C27" s="9" t="n">
        <x:v>13.8</x:v>
      </x:c>
      <x:c r="D27" s="9" t="str">
        <x:v>kV</x:v>
      </x:c>
      <x:c r="E27" s="9" t="str">
        <x:v>DEFINED</x:v>
      </x:c>
      <x:c r="F27" s="8"/>
      <x:c r="G27" s="8"/>
      <x:c r="H27" s="8"/>
      <x:c r="I27" s="8"/>
      <x:c r="J27" s="8"/>
      <x:c r="K27" s="8"/>
    </x:row>
    <x:row r="28">
      <x:c r="B28" s="9" t="str">
        <x:v>protected service</x:v>
      </x:c>
      <x:c r="C28" s="9" t="n">
        <x:v>480</x:v>
      </x:c>
      <x:c r="D28" s="9" t="str">
        <x:v>V</x:v>
      </x:c>
      <x:c r="E28" s="9" t="str">
        <x:v>DEFINED</x:v>
      </x:c>
      <x:c r="F28" s="8"/>
      <x:c r="G28" s="8"/>
      <x:c r="H28" s="8"/>
      <x:c r="I28" s="8"/>
      <x:c r="J28" s="8"/>
      <x:c r="K28" s="8"/>
    </x:row>
    <x:row r="29">
      <x:c r="B29" s="9" t="str">
        <x:v>steady frequency band</x:v>
      </x:c>
      <x:c r="C29" s="9" t="n">
        <x:v>0.15</x:v>
      </x:c>
      <x:c r="D29" s="9" t="str">
        <x:v>Hz</x:v>
      </x:c>
      <x:c r="E29" s="9" t="str">
        <x:v>DEFINED</x:v>
      </x:c>
      <x:c r="F29" s="8"/>
      <x:c r="G29" s="8"/>
      <x:c r="H29" s="8"/>
      <x:c r="I29" s="8"/>
      <x:c r="J29" s="8"/>
      <x:c r="K29" s="8"/>
    </x:row>
    <x:row r="30">
      <x:c r="B30" s="9" t="str">
        <x:v>steady voltage band</x:v>
      </x:c>
      <x:c r="C30" s="9" t="n">
        <x:v>5</x:v>
      </x:c>
      <x:c r="D30" s="9" t="str">
        <x:v>percent</x:v>
      </x:c>
      <x:c r="E30" s="9" t="str">
        <x:v>DEFINED</x:v>
      </x:c>
      <x:c r="F30" s="8"/>
      <x:c r="G30" s="8"/>
      <x:c r="H30" s="8"/>
      <x:c r="I30" s="8"/>
      <x:c r="J30" s="8"/>
      <x:c r="K30" s="8"/>
    </x:row>
    <x:row r="31">
      <x:c r="B31" s="10" t="str">
        <x:v>frequency recovery</x:v>
      </x:c>
      <x:c r="C31" s="10" t="n">
        <x:v>5</x:v>
      </x:c>
      <x:c r="D31" s="10" t="str">
        <x:v>s</x:v>
      </x:c>
      <x:c r="E31" s="10" t="str">
        <x:v>DEFINED</x:v>
      </x:c>
      <x:c r="F31" s="8"/>
      <x:c r="G31" s="8"/>
      <x:c r="H31" s="8"/>
      <x:c r="I31" s="8"/>
      <x:c r="J31" s="8"/>
      <x:c r="K31" s="8"/>
    </x:row>
  </x:sheetData>
  <x:mergeCells>
    <x:mergeCell ref="B2:K2"/>
    <x:mergeCell ref="B3:K3"/>
    <x:mergeCell ref="B15:K15"/>
    <x:mergeCell ref="B25:K25"/>
  </x:mergeCells>
  <x:conditionalFormatting sqref="J7:K11">
    <x:cfRule type="containsText" dxfId="104" priority="1" operator="containsText" text="PASS"/>
    <x:cfRule type="containsText" dxfId="105" priority="2" operator="containsText" text="AUTHORIZED"/>
    <x:cfRule type="containsText" dxfId="106" priority="3" operator="containsText" text="DEFINED"/>
    <x:cfRule type="containsText" dxfId="107" priority="4" operator="containsText" text="READY"/>
    <x:cfRule type="containsText" dxfId="108" priority="5" operator="containsText" text="HOLD"/>
    <x:cfRule type="containsText" dxfId="109" priority="6" operator="containsText" text="OPEN"/>
    <x:cfRule type="containsText" dxfId="110" priority="7" operator="containsText" text="BLOCKED"/>
    <x:cfRule type="containsText" dxfId="111" priority="8" operator="containsText" text="PLANNING"/>
    <x:cfRule type="containsText" dxfId="112" priority="9" operator="containsText" text="FAIL"/>
    <x:cfRule type="containsText" dxfId="113" priority="10" operator="containsText" text="REJECT"/>
    <x:cfRule type="containsText" dxfId="114" priority="11" operator="containsText" text="LATE"/>
    <x:cfRule type="containsText" dxfId="115" priority="12" operator="containsText" text="INCOMPLETE"/>
    <x:cfRule type="containsText" dxfId="116" priority="13" operator="containsText" text="INDETERMINATE"/>
  </x:conditionalFormatting>
  <x:conditionalFormatting sqref="G17:H21">
    <x:cfRule type="containsText" dxfId="117" priority="14" operator="containsText" text="PASS"/>
    <x:cfRule type="containsText" dxfId="118" priority="15" operator="containsText" text="AUTHORIZED"/>
    <x:cfRule type="containsText" dxfId="119" priority="16" operator="containsText" text="DEFINED"/>
    <x:cfRule type="containsText" dxfId="120" priority="17" operator="containsText" text="READY"/>
    <x:cfRule type="containsText" dxfId="121" priority="18" operator="containsText" text="HOLD"/>
    <x:cfRule type="containsText" dxfId="122" priority="19" operator="containsText" text="OPEN"/>
    <x:cfRule type="containsText" dxfId="123" priority="20" operator="containsText" text="BLOCKED"/>
    <x:cfRule type="containsText" dxfId="124" priority="21" operator="containsText" text="PLANNING"/>
    <x:cfRule type="containsText" dxfId="125" priority="22" operator="containsText" text="FAIL"/>
    <x:cfRule type="containsText" dxfId="126" priority="23" operator="containsText" text="REJECT"/>
    <x:cfRule type="containsText" dxfId="127" priority="24" operator="containsText" text="LATE"/>
    <x:cfRule type="containsText" dxfId="128" priority="25" operator="containsText" text="INCOMPLETE"/>
    <x:cfRule type="containsText" dxfId="129" priority="26" operator="containsText" text="INDETERMINATE"/>
  </x:conditionalFormatting>
  <x:conditionalFormatting sqref="E27:E31">
    <x:cfRule type="containsText" dxfId="130" priority="27" operator="containsText" text="PASS"/>
    <x:cfRule type="containsText" dxfId="131" priority="28" operator="containsText" text="AUTHORIZED"/>
    <x:cfRule type="containsText" dxfId="132" priority="29" operator="containsText" text="DEFINED"/>
    <x:cfRule type="containsText" dxfId="133" priority="30" operator="containsText" text="READY"/>
    <x:cfRule type="containsText" dxfId="134" priority="31" operator="containsText" text="HOLD"/>
    <x:cfRule type="containsText" dxfId="135" priority="32" operator="containsText" text="OPEN"/>
    <x:cfRule type="containsText" dxfId="136" priority="33" operator="containsText" text="BLOCKED"/>
    <x:cfRule type="containsText" dxfId="137" priority="34" operator="containsText" text="PLANNING"/>
    <x:cfRule type="containsText" dxfId="138" priority="35" operator="containsText" text="FAIL"/>
    <x:cfRule type="containsText" dxfId="139" priority="36" operator="containsText" text="REJECT"/>
    <x:cfRule type="containsText" dxfId="140" priority="37" operator="containsText" text="LATE"/>
    <x:cfRule type="containsText" dxfId="141" priority="38" operator="containsText" text="INCOMPLETE"/>
    <x:cfRule type="containsText" dxfId="142" priority="39" operator="containsText" text="INDETERMINATE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31" hidden="0" customWidth="1"/>
    <x:col min="4" max="4" width="34" hidden="0" customWidth="1"/>
    <x:col min="5" max="5" width="12" hidden="0" customWidth="1"/>
    <x:col min="6" max="6" width="14" hidden="0" customWidth="1"/>
    <x:col min="7" max="7" width="15" hidden="0" customWidth="1"/>
    <x:col min="8" max="8" width="13" hidden="0" customWidth="1"/>
    <x:col min="9" max="9" width="20" hidden="0" customWidth="1"/>
    <x:col min="10" max="10" width="34" hidden="0" customWidth="1"/>
    <x:col min="11" max="11" width="18" hidden="0" customWidth="1"/>
    <x:col min="12" max="12" width="16" hidden="0" customWidth="1"/>
    <x:col min="13" max="13" width="17" hidden="0" customWidth="1"/>
  </x:cols>
  <x:sheetData>
    <x:row r="2">
      <x:c r="B2" s="28" t="str">
        <x:v>Thirteen physical measurement planes</x:v>
      </x:c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>
      <x:c r="B3" s="2" t="str">
        <x:v>Data volume is computed from channels, rates, byte depth and active windows.</x:v>
      </x:c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B6" s="7" t="str">
        <x:v>Plane</x:v>
      </x:c>
      <x:c r="C6" s="7" t="str">
        <x:v>Boundary</x:v>
      </x:c>
      <x:c r="D6" s="7" t="str">
        <x:v>Acquisition group</x:v>
      </x:c>
      <x:c r="E6" s="7" t="str">
        <x:v>Channels</x:v>
      </x:c>
      <x:c r="F6" s="7" t="str">
        <x:v>Samples/s</x:v>
      </x:c>
      <x:c r="G6" s="7" t="str">
        <x:v>Bytes/sample</x:v>
      </x:c>
      <x:c r="H6" s="7" t="str">
        <x:v>Active h</x:v>
      </x:c>
      <x:c r="I6" s="7" t="str">
        <x:v>Instrument GB/root</x:v>
      </x:c>
      <x:c r="J6" s="7" t="str">
        <x:v>Uncertainty</x:v>
      </x:c>
      <x:c r="K6" s="7" t="str">
        <x:v>Plane registered</x:v>
      </x:c>
      <x:c r="L6" s="7" t="str">
        <x:v>Planning gate</x:v>
      </x:c>
      <x:c r="M6" s="7" t="str">
        <x:v>Physical state</x:v>
      </x:c>
    </x:row>
    <x:row r="7">
      <x:c r="B7" s="9" t="str">
        <x:v>MP00</x:v>
      </x:c>
      <x:c r="C7" s="9" t="str">
        <x:v>transport prestate</x:v>
      </x:c>
      <x:c r="D7" s="9" t="str">
        <x:v>structural load and strain</x:v>
      </x:c>
      <x:c r="E7" s="9" t="n">
        <x:v>40</x:v>
      </x:c>
      <x:c r="F7" s="9" t="n">
        <x:v>2000</x:v>
      </x:c>
      <x:c r="G7" s="9" t="n">
        <x:v>8</x:v>
      </x:c>
      <x:c r="H7" s="9" t="n">
        <x:v>6</x:v>
      </x:c>
      <x:c r="I7" s="19" t="n">
        <x:f>E7*F7*G7*H7*3600/1000000000</x:f>
        <x:v>13.824</x:v>
      </x:c>
      <x:c r="J7" s="9" t="str">
        <x:v>load ±1%; strain ±50 ue</x:v>
      </x:c>
      <x:c r="K7" s="9" t="n">
        <x:v>1</x:v>
      </x:c>
      <x:c r="L7" s="9" t="str">
        <x:f>IF(AND(B7&lt;&gt;"",K7=1,D7&gt;0,E7&gt;0,F7&gt;0,G7&gt;0,H7&gt;0),"PASS","FAIL")</x:f>
        <x:v>PASS</x:v>
      </x:c>
      <x:c r="M7" s="9" t="str">
        <x:v>OPEN</x:v>
      </x:c>
    </x:row>
    <x:row r="8">
      <x:c r="B8" s="9" t="str">
        <x:v>MP01</x:v>
      </x:c>
      <x:c r="C8" s="9" t="str">
        <x:v>receiver ground</x:v>
      </x:c>
      <x:c r="D8" s="9" t="str">
        <x:v>displacement and pose</x:v>
      </x:c>
      <x:c r="E8" s="9" t="n">
        <x:v>24</x:v>
      </x:c>
      <x:c r="F8" s="9" t="n">
        <x:v>200</x:v>
      </x:c>
      <x:c r="G8" s="9" t="n">
        <x:v>8</x:v>
      </x:c>
      <x:c r="H8" s="9" t="n">
        <x:v>6</x:v>
      </x:c>
      <x:c r="I8" s="19" t="n">
        <x:f>E8*F8*G8*H8*3600/1000000000</x:f>
        <x:v>0.82944</x:v>
      </x:c>
      <x:c r="J8" s="9" t="str">
        <x:v>±1 mm; pose ±0.05 deg</x:v>
      </x:c>
      <x:c r="K8" s="9" t="n">
        <x:v>1</x:v>
      </x:c>
      <x:c r="L8" s="9" t="str">
        <x:f>IF(AND(B8&lt;&gt;"",K8=1,D8&gt;0,E8&gt;0,F8&gt;0,G8&gt;0,H8&gt;0),"PASS","FAIL")</x:f>
        <x:v>PASS</x:v>
      </x:c>
      <x:c r="M8" s="9" t="str">
        <x:v>OPEN</x:v>
      </x:c>
    </x:row>
    <x:row r="9">
      <x:c r="B9" s="9" t="str">
        <x:v>MP02</x:v>
      </x:c>
      <x:c r="C9" s="9" t="str">
        <x:v>support zones</x:v>
      </x:c>
      <x:c r="D9" s="9" t="str">
        <x:v>support and anchor reaction</x:v>
      </x:c>
      <x:c r="E9" s="9" t="n">
        <x:v>16</x:v>
      </x:c>
      <x:c r="F9" s="9" t="n">
        <x:v>2000</x:v>
      </x:c>
      <x:c r="G9" s="9" t="n">
        <x:v>8</x:v>
      </x:c>
      <x:c r="H9" s="9" t="n">
        <x:v>6</x:v>
      </x:c>
      <x:c r="I9" s="19" t="n">
        <x:f>E9*F9*G9*H9*3600/1000000000</x:f>
        <x:v>5.5296</x:v>
      </x:c>
      <x:c r="J9" s="9" t="str">
        <x:v>reaction ±2%</x:v>
      </x:c>
      <x:c r="K9" s="9" t="n">
        <x:v>1</x:v>
      </x:c>
      <x:c r="L9" s="9" t="str">
        <x:f>IF(AND(B9&lt;&gt;"",K9=1,D9&gt;0,E9&gt;0,F9&gt;0,G9&gt;0,H9&gt;0),"PASS","FAIL")</x:f>
        <x:v>PASS</x:v>
      </x:c>
      <x:c r="M9" s="9" t="str">
        <x:v>OPEN</x:v>
      </x:c>
    </x:row>
    <x:row r="10">
      <x:c r="B10" s="9" t="str">
        <x:v>MP03</x:v>
      </x:c>
      <x:c r="C10" s="9" t="str">
        <x:v>anchors and structure</x:v>
      </x:c>
      <x:c r="D10" s="9" t="str">
        <x:v>inertial and lift state</x:v>
      </x:c>
      <x:c r="E10" s="9" t="n">
        <x:v>12</x:v>
      </x:c>
      <x:c r="F10" s="9" t="n">
        <x:v>5000</x:v>
      </x:c>
      <x:c r="G10" s="9" t="n">
        <x:v>8</x:v>
      </x:c>
      <x:c r="H10" s="9" t="n">
        <x:v>4</x:v>
      </x:c>
      <x:c r="I10" s="19" t="n">
        <x:f>E10*F10*G10*H10*3600/1000000000</x:f>
        <x:v>6.912</x:v>
      </x:c>
      <x:c r="J10" s="9" t="str">
        <x:v>acceleration ±1%; ≤100 us</x:v>
      </x:c>
      <x:c r="K10" s="9" t="n">
        <x:v>1</x:v>
      </x:c>
      <x:c r="L10" s="9" t="str">
        <x:f>IF(AND(B10&lt;&gt;"",K10=1,D10&gt;0,E10&gt;0,F10&gt;0,G10&gt;0,H10&gt;0),"PASS","FAIL")</x:f>
        <x:v>PASS</x:v>
      </x:c>
      <x:c r="M10" s="9" t="str">
        <x:v>OPEN</x:v>
      </x:c>
    </x:row>
    <x:row r="11">
      <x:c r="B11" s="9" t="str">
        <x:v>MP04</x:v>
      </x:c>
      <x:c r="C11" s="9" t="str">
        <x:v>lift and transfer</x:v>
      </x:c>
      <x:c r="D11" s="9" t="str">
        <x:v>pressure and transient</x:v>
      </x:c>
      <x:c r="E11" s="9" t="n">
        <x:v>16</x:v>
      </x:c>
      <x:c r="F11" s="9" t="n">
        <x:v>5000</x:v>
      </x:c>
      <x:c r="G11" s="9" t="n">
        <x:v>8</x:v>
      </x:c>
      <x:c r="H11" s="9" t="n">
        <x:v>80</x:v>
      </x:c>
      <x:c r="I11" s="19" t="n">
        <x:f>E11*F11*G11*H11*3600/1000000000</x:f>
        <x:v>184.32</x:v>
      </x:c>
      <x:c r="J11" s="9" t="str">
        <x:v>pressure ±1%</x:v>
      </x:c>
      <x:c r="K11" s="9" t="n">
        <x:v>1</x:v>
      </x:c>
      <x:c r="L11" s="9" t="str">
        <x:f>IF(AND(B11&lt;&gt;"",K11=1,D11&gt;0,E11&gt;0,F11&gt;0,G11&gt;0,H11&gt;0),"PASS","FAIL")</x:f>
        <x:v>PASS</x:v>
      </x:c>
      <x:c r="M11" s="9" t="str">
        <x:v>OPEN</x:v>
      </x:c>
    </x:row>
    <x:row r="12">
      <x:c r="B12" s="9" t="str">
        <x:v>MP05</x:v>
      </x:c>
      <x:c r="C12" s="9" t="str">
        <x:v>hydraulic source</x:v>
      </x:c>
      <x:c r="D12" s="9" t="str">
        <x:v>flow and accumulated volume</x:v>
      </x:c>
      <x:c r="E12" s="9" t="n">
        <x:v>8</x:v>
      </x:c>
      <x:c r="F12" s="9" t="n">
        <x:v>500</x:v>
      </x:c>
      <x:c r="G12" s="9" t="n">
        <x:v>8</x:v>
      </x:c>
      <x:c r="H12" s="9" t="n">
        <x:v>80</x:v>
      </x:c>
      <x:c r="I12" s="19" t="n">
        <x:f>E12*F12*G12*H12*3600/1000000000</x:f>
        <x:v>9.216</x:v>
      </x:c>
      <x:c r="J12" s="9" t="str">
        <x:v>flow/volume ±0.5%</x:v>
      </x:c>
      <x:c r="K12" s="9" t="n">
        <x:v>1</x:v>
      </x:c>
      <x:c r="L12" s="9" t="str">
        <x:f>IF(AND(B12&lt;&gt;"",K12=1,D12&gt;0,E12&gt;0,F12&gt;0,G12&gt;0,H12&gt;0),"PASS","FAIL")</x:f>
        <x:v>PASS</x:v>
      </x:c>
      <x:c r="M12" s="9" t="str">
        <x:v>OPEN</x:v>
      </x:c>
    </x:row>
    <x:row r="13">
      <x:c r="B13" s="9" t="str">
        <x:v>MP06</x:v>
      </x:c>
      <x:c r="C13" s="9" t="str">
        <x:v>article hydraulic boundary</x:v>
      </x:c>
      <x:c r="D13" s="9" t="str">
        <x:v>temperature and process state</x:v>
      </x:c>
      <x:c r="E13" s="9" t="n">
        <x:v>16</x:v>
      </x:c>
      <x:c r="F13" s="9" t="n">
        <x:v>10</x:v>
      </x:c>
      <x:c r="G13" s="9" t="n">
        <x:v>8</x:v>
      </x:c>
      <x:c r="H13" s="9" t="n">
        <x:v>80</x:v>
      </x:c>
      <x:c r="I13" s="19" t="n">
        <x:f>E13*F13*G13*H13*3600/1000000000</x:f>
        <x:v>0.36864</x:v>
      </x:c>
      <x:c r="J13" s="9" t="str">
        <x:v>method-specific</x:v>
      </x:c>
      <x:c r="K13" s="9" t="n">
        <x:v>1</x:v>
      </x:c>
      <x:c r="L13" s="9" t="str">
        <x:f>IF(AND(B13&lt;&gt;"",K13=1,D13&gt;0,E13&gt;0,F13&gt;0,G13&gt;0,H13&gt;0),"PASS","FAIL")</x:f>
        <x:v>PASS</x:v>
      </x:c>
      <x:c r="M13" s="9" t="str">
        <x:v>OPEN</x:v>
      </x:c>
    </x:row>
    <x:row r="14">
      <x:c r="B14" s="9" t="str">
        <x:v>MP07</x:v>
      </x:c>
      <x:c r="C14" s="9" t="str">
        <x:v>sanitary and waste</x:v>
      </x:c>
      <x:c r="D14" s="9" t="str">
        <x:v>acoustic and leak event</x:v>
      </x:c>
      <x:c r="E14" s="9" t="n">
        <x:v>12</x:v>
      </x:c>
      <x:c r="F14" s="9" t="n">
        <x:v>20000</x:v>
      </x:c>
      <x:c r="G14" s="9" t="n">
        <x:v>8</x:v>
      </x:c>
      <x:c r="H14" s="9" t="n">
        <x:v>8</x:v>
      </x:c>
      <x:c r="I14" s="19" t="n">
        <x:f>E14*F14*G14*H14*3600/1000000000</x:f>
        <x:v>55.296</x:v>
      </x:c>
      <x:c r="J14" s="9" t="str">
        <x:v>localization ≤5 m</x:v>
      </x:c>
      <x:c r="K14" s="9" t="n">
        <x:v>1</x:v>
      </x:c>
      <x:c r="L14" s="9" t="str">
        <x:f>IF(AND(B14&lt;&gt;"",K14=1,D14&gt;0,E14&gt;0,F14&gt;0,G14&gt;0,H14&gt;0),"PASS","FAIL")</x:f>
        <x:v>PASS</x:v>
      </x:c>
      <x:c r="M14" s="9" t="str">
        <x:v>OPEN</x:v>
      </x:c>
    </x:row>
    <x:row r="15">
      <x:c r="B15" s="9" t="str">
        <x:v>MP08</x:v>
      </x:c>
      <x:c r="C15" s="9" t="str">
        <x:v>generation and storage</x:v>
      </x:c>
      <x:c r="D15" s="9" t="str">
        <x:v>water and sanitary state</x:v>
      </x:c>
      <x:c r="E15" s="9" t="n">
        <x:v>12</x:v>
      </x:c>
      <x:c r="F15" s="9" t="n">
        <x:v>10</x:v>
      </x:c>
      <x:c r="G15" s="9" t="n">
        <x:v>8</x:v>
      </x:c>
      <x:c r="H15" s="9" t="n">
        <x:v>24</x:v>
      </x:c>
      <x:c r="I15" s="19" t="n">
        <x:f>E15*F15*G15*H15*3600/1000000000</x:f>
        <x:v>0.082944</x:v>
      </x:c>
      <x:c r="J15" s="9" t="str">
        <x:v>below half decision margin</x:v>
      </x:c>
      <x:c r="K15" s="9" t="n">
        <x:v>1</x:v>
      </x:c>
      <x:c r="L15" s="9" t="str">
        <x:f>IF(AND(B15&lt;&gt;"",K15=1,D15&gt;0,E15&gt;0,F15&gt;0,G15&gt;0,H15&gt;0),"PASS","FAIL")</x:f>
        <x:v>PASS</x:v>
      </x:c>
      <x:c r="M15" s="9" t="str">
        <x:v>OPEN</x:v>
      </x:c>
    </x:row>
    <x:row r="16">
      <x:c r="B16" s="9" t="str">
        <x:v>MP09</x:v>
      </x:c>
      <x:c r="C16" s="9" t="str">
        <x:v>medium-voltage feeder</x:v>
      </x:c>
      <x:c r="D16" s="9" t="str">
        <x:v>electrical waveform</x:v>
      </x:c>
      <x:c r="E16" s="9" t="n">
        <x:v>24</x:v>
      </x:c>
      <x:c r="F16" s="9" t="n">
        <x:v>100000</x:v>
      </x:c>
      <x:c r="G16" s="9" t="n">
        <x:v>8</x:v>
      </x:c>
      <x:c r="H16" s="9" t="n">
        <x:v>12</x:v>
      </x:c>
      <x:c r="I16" s="19" t="n">
        <x:f>E16*F16*G16*H16*3600/1000000000</x:f>
        <x:v>829.44</x:v>
      </x:c>
      <x:c r="J16" s="9" t="str">
        <x:v>RMS voltage/current ±0.5%</x:v>
      </x:c>
      <x:c r="K16" s="9" t="n">
        <x:v>1</x:v>
      </x:c>
      <x:c r="L16" s="9" t="str">
        <x:f>IF(AND(B16&lt;&gt;"",K16=1,D16&gt;0,E16&gt;0,F16&gt;0,G16&gt;0,H16&gt;0),"PASS","FAIL")</x:f>
        <x:v>PASS</x:v>
      </x:c>
      <x:c r="M16" s="9" t="str">
        <x:v>OPEN</x:v>
      </x:c>
    </x:row>
    <x:row r="17">
      <x:c r="B17" s="9" t="str">
        <x:v>MP10</x:v>
      </x:c>
      <x:c r="C17" s="9" t="str">
        <x:v>critical bus</x:v>
      </x:c>
      <x:c r="D17" s="9" t="str">
        <x:v>power quality and energy</x:v>
      </x:c>
      <x:c r="E17" s="9" t="n">
        <x:v>12</x:v>
      </x:c>
      <x:c r="F17" s="9" t="n">
        <x:v>1000</x:v>
      </x:c>
      <x:c r="G17" s="9" t="n">
        <x:v>8</x:v>
      </x:c>
      <x:c r="H17" s="9" t="n">
        <x:v>12</x:v>
      </x:c>
      <x:c r="I17" s="19" t="n">
        <x:f>E17*F17*G17*H17*3600/1000000000</x:f>
        <x:v>4.1472</x:v>
      </x:c>
      <x:c r="J17" s="9" t="str">
        <x:v>energy ±1%; frequency ±0.01 Hz</x:v>
      </x:c>
      <x:c r="K17" s="9" t="n">
        <x:v>1</x:v>
      </x:c>
      <x:c r="L17" s="9" t="str">
        <x:f>IF(AND(B17&lt;&gt;"",K17=1,D17&gt;0,E17&gt;0,F17&gt;0,G17&gt;0,H17&gt;0),"PASS","FAIL")</x:f>
        <x:v>PASS</x:v>
      </x:c>
      <x:c r="M17" s="9" t="str">
        <x:v>OPEN</x:v>
      </x:c>
    </x:row>
    <x:row r="18">
      <x:c r="B18" s="9" t="str">
        <x:v>MP11</x:v>
      </x:c>
      <x:c r="C18" s="9" t="str">
        <x:v>time, configuration, originals</x:v>
      </x:c>
      <x:c r="D18" s="9" t="str">
        <x:v>time and configuration</x:v>
      </x:c>
      <x:c r="E18" s="9" t="n">
        <x:v>16</x:v>
      </x:c>
      <x:c r="F18" s="9" t="n">
        <x:v>10</x:v>
      </x:c>
      <x:c r="G18" s="9" t="n">
        <x:v>8</x:v>
      </x:c>
      <x:c r="H18" s="9" t="n">
        <x:v>120</x:v>
      </x:c>
      <x:c r="I18" s="19" t="n">
        <x:f>E18*F18*G18*H18*3600/1000000000</x:f>
        <x:v>0.55296</x:v>
      </x:c>
      <x:c r="J18" s="9" t="str">
        <x:v>dynamic order ≤100 us</x:v>
      </x:c>
      <x:c r="K18" s="9" t="n">
        <x:v>1</x:v>
      </x:c>
      <x:c r="L18" s="9" t="str">
        <x:f>IF(AND(B18&lt;&gt;"",K18=1,D18&gt;0,E18&gt;0,F18&gt;0,G18&gt;0,H18&gt;0),"PASS","FAIL")</x:f>
        <x:v>PASS</x:v>
      </x:c>
      <x:c r="M18" s="9" t="str">
        <x:v>OPEN</x:v>
      </x:c>
    </x:row>
    <x:row r="19">
      <x:c r="B19" s="10" t="str">
        <x:v>MP12</x:v>
      </x:c>
      <x:c r="C19" s="10" t="str">
        <x:v>containment and reset</x:v>
      </x:c>
      <x:c r="D19" s="10" t="str">
        <x:v>environment and containment</x:v>
      </x:c>
      <x:c r="E19" s="10" t="n">
        <x:v>16</x:v>
      </x:c>
      <x:c r="F19" s="10" t="n">
        <x:v>10</x:v>
      </x:c>
      <x:c r="G19" s="10" t="n">
        <x:v>8</x:v>
      </x:c>
      <x:c r="H19" s="10" t="n">
        <x:v>120</x:v>
      </x:c>
      <x:c r="I19" s="20" t="n">
        <x:f>E19*F19*G19*H19*3600/1000000000</x:f>
        <x:v>0.55296</x:v>
      </x:c>
      <x:c r="J19" s="10" t="str">
        <x:v>method-specific</x:v>
      </x:c>
      <x:c r="K19" s="10" t="n">
        <x:v>1</x:v>
      </x:c>
      <x:c r="L19" s="10" t="str">
        <x:f>IF(AND(B19&lt;&gt;"",K19=1,D19&gt;0,E19&gt;0,F19&gt;0,G19&gt;0,H19&gt;0),"PASS","FAIL")</x:f>
        <x:v>PASS</x:v>
      </x:c>
      <x:c r="M19" s="10" t="str">
        <x:v>OPEN</x:v>
      </x:c>
    </x:row>
    <x:row r="20"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</x:row>
    <x:row r="21"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</x:row>
    <x:row r="22"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</x:row>
    <x:row r="23">
      <x:c r="B23" s="17" t="str">
        <x:v>Evidence-estate calculation</x:v>
      </x:c>
      <x:c r="C23" s="17" t="str">
        <x:v>Evidence-estate calculation</x:v>
      </x:c>
      <x:c r="D23" s="17" t="str">
        <x:v>Evidence-estate calculation</x:v>
      </x:c>
      <x:c r="E23" s="17" t="str">
        <x:v>Evidence-estate calculation</x:v>
      </x:c>
      <x:c r="F23" s="17" t="str">
        <x:v>Evidence-estate calculation</x:v>
      </x:c>
      <x:c r="G23" s="17" t="str">
        <x:v>Evidence-estate calculation</x:v>
      </x:c>
      <x:c r="H23" s="17" t="str">
        <x:v>Evidence-estate calculation</x:v>
      </x:c>
      <x:c r="I23" s="17" t="str">
        <x:v>Evidence-estate calculation</x:v>
      </x:c>
      <x:c r="J23" s="17" t="str">
        <x:v>Evidence-estate calculation</x:v>
      </x:c>
      <x:c r="K23" s="17" t="str">
        <x:v>Evidence-estate calculation</x:v>
      </x:c>
      <x:c r="L23" s="17" t="str">
        <x:v>Evidence-estate calculation</x:v>
      </x:c>
      <x:c r="M23" s="17" t="str">
        <x:v>Evidence-estate calculation</x:v>
      </x:c>
    </x:row>
    <x:row r="24">
      <x:c r="B24" s="7" t="str">
        <x:v>Component</x:v>
      </x:c>
      <x:c r="C24" s="7" t="str">
        <x:v>Value</x:v>
      </x:c>
      <x:c r="D24" s="7" t="str">
        <x:v>Unit</x:v>
      </x:c>
      <x:c r="E24" s="7" t="str">
        <x:v>Formula basis</x:v>
      </x:c>
      <x:c r="F24" s="7" t="str">
        <x:v>Required</x:v>
      </x:c>
      <x:c r="G24" s="7" t="str">
        <x:v>Margin</x:v>
      </x:c>
      <x:c r="H24" s="7" t="str">
        <x:v>Gate</x:v>
      </x:c>
      <x:c r="I24" s="8"/>
      <x:c r="J24" s="8"/>
      <x:c r="K24" s="8"/>
      <x:c r="L24" s="8"/>
      <x:c r="M24" s="8"/>
    </x:row>
    <x:row r="25">
      <x:c r="B25" s="9" t="str">
        <x:v>instrument records per root</x:v>
      </x:c>
      <x:c r="C25" s="19" t="n">
        <x:f>SUM(I7:I19)</x:f>
        <x:v>1111.071744</x:v>
      </x:c>
      <x:c r="D25" s="19" t="str">
        <x:v>GB</x:v>
      </x:c>
      <x:c r="E25" s="19" t="str">
        <x:v>sum acquisition groups</x:v>
      </x:c>
      <x:c r="F25" s="19" t="n">
        <x:v>1111.072</x:v>
      </x:c>
      <x:c r="G25" s="19" t="n">
        <x:f>C25-F25</x:f>
        <x:v>-0.0002559999998084095</x:v>
      </x:c>
      <x:c r="H25" s="9" t="str">
        <x:f>IF(ABS(G25)&lt;0.01,"PASS","FAIL")</x:f>
        <x:v>PASS</x:v>
      </x:c>
      <x:c r="I25" s="8"/>
      <x:c r="J25" s="8"/>
      <x:c r="K25" s="8"/>
      <x:c r="L25" s="8"/>
      <x:c r="M25" s="8"/>
    </x:row>
    <x:row r="26">
      <x:c r="B26" s="9" t="str">
        <x:v>registered video/spatial per root</x:v>
      </x:c>
      <x:c r="C26" s="19" t="n">
        <x:f>8*8*3600*48/8/1000</x:f>
        <x:v>1382.4</x:v>
      </x:c>
      <x:c r="D26" s="19" t="str">
        <x:v>GB</x:v>
      </x:c>
      <x:c r="E26" s="19" t="str">
        <x:v>8 streams × 8 Mb/s × 48 h</x:v>
      </x:c>
      <x:c r="F26" s="19" t="n">
        <x:v>1382.4</x:v>
      </x:c>
      <x:c r="G26" s="19" t="n">
        <x:f>C26-F26</x:f>
        <x:v>0</x:v>
      </x:c>
      <x:c r="H26" s="9" t="str">
        <x:f>IF(ABS(G26)&lt;0.01,"PASS","FAIL")</x:f>
        <x:v>PASS</x:v>
      </x:c>
      <x:c r="I26" s="8"/>
      <x:c r="J26" s="8"/>
      <x:c r="K26" s="8"/>
      <x:c r="L26" s="8"/>
      <x:c r="M26" s="8"/>
    </x:row>
    <x:row r="27">
      <x:c r="B27" s="9" t="str">
        <x:v>raw per root</x:v>
      </x:c>
      <x:c r="C27" s="19" t="n">
        <x:f>C25+C26</x:f>
        <x:v>2493.4717440000004</x:v>
      </x:c>
      <x:c r="D27" s="19" t="str">
        <x:v>GB</x:v>
      </x:c>
      <x:c r="E27" s="19" t="str">
        <x:v>instrument plus registered video</x:v>
      </x:c>
      <x:c r="F27" s="19" t="n">
        <x:f>F25+F26</x:f>
        <x:v>2493.4719999999998</x:v>
      </x:c>
      <x:c r="G27" s="19" t="n">
        <x:f>C27-F27</x:f>
        <x:v>-0.00025599999935366213</x:v>
      </x:c>
      <x:c r="H27" s="9" t="str">
        <x:f>IF(ABS(G27)&lt;0.01,"PASS","FAIL")</x:f>
        <x:v>PASS</x:v>
      </x:c>
      <x:c r="I27" s="8"/>
      <x:c r="J27" s="8"/>
      <x:c r="K27" s="8"/>
      <x:c r="L27" s="8"/>
      <x:c r="M27" s="8"/>
    </x:row>
    <x:row r="28">
      <x:c r="B28" s="10" t="str">
        <x:v>retained estate</x:v>
      </x:c>
      <x:c r="C28" s="20" t="n">
        <x:f>C27*'Controls'!$D$84*'Controls'!$D$85*(1+'Controls'!$D$82)*(1+'Controls'!$D$83)/1000</x:f>
        <x:v>13.215400243200003</x:v>
      </x:c>
      <x:c r="D28" s="20" t="str">
        <x:v>TB</x:v>
      </x:c>
      <x:c r="E28" s="20" t="str">
        <x:v>raw × roots × originals × derived × overhead</x:v>
      </x:c>
      <x:c r="F28" s="20" t="n">
        <x:v>13.215</x:v>
      </x:c>
      <x:c r="G28" s="20" t="n">
        <x:f>C28-F28</x:f>
        <x:v>0.000400243200003203</x:v>
      </x:c>
      <x:c r="H28" s="10" t="str">
        <x:f>IF(ABS(G28)&lt;0.01,"PASS","FAIL")</x:f>
        <x:v>PASS</x:v>
      </x:c>
      <x:c r="I28" s="8"/>
      <x:c r="J28" s="8"/>
      <x:c r="K28" s="8"/>
      <x:c r="L28" s="8"/>
      <x:c r="M28" s="8"/>
    </x:row>
  </x:sheetData>
  <x:mergeCells>
    <x:mergeCell ref="B2:M2"/>
    <x:mergeCell ref="B3:M3"/>
    <x:mergeCell ref="B23:M23"/>
  </x:mergeCells>
  <x:conditionalFormatting sqref="L7:M19">
    <x:cfRule type="containsText" dxfId="143" priority="1" operator="containsText" text="PASS"/>
    <x:cfRule type="containsText" dxfId="144" priority="2" operator="containsText" text="AUTHORIZED"/>
    <x:cfRule type="containsText" dxfId="145" priority="3" operator="containsText" text="DEFINED"/>
    <x:cfRule type="containsText" dxfId="146" priority="4" operator="containsText" text="READY"/>
    <x:cfRule type="containsText" dxfId="147" priority="5" operator="containsText" text="HOLD"/>
    <x:cfRule type="containsText" dxfId="148" priority="6" operator="containsText" text="OPEN"/>
    <x:cfRule type="containsText" dxfId="149" priority="7" operator="containsText" text="BLOCKED"/>
    <x:cfRule type="containsText" dxfId="150" priority="8" operator="containsText" text="PLANNING"/>
    <x:cfRule type="containsText" dxfId="151" priority="9" operator="containsText" text="FAIL"/>
    <x:cfRule type="containsText" dxfId="152" priority="10" operator="containsText" text="REJECT"/>
    <x:cfRule type="containsText" dxfId="153" priority="11" operator="containsText" text="LATE"/>
    <x:cfRule type="containsText" dxfId="154" priority="12" operator="containsText" text="INCOMPLETE"/>
    <x:cfRule type="containsText" dxfId="155" priority="13" operator="containsText" text="INDETERMINATE"/>
  </x:conditionalFormatting>
  <x:conditionalFormatting sqref="H25:H28">
    <x:cfRule type="containsText" dxfId="156" priority="14" operator="containsText" text="PASS"/>
    <x:cfRule type="containsText" dxfId="157" priority="15" operator="containsText" text="AUTHORIZED"/>
    <x:cfRule type="containsText" dxfId="158" priority="16" operator="containsText" text="DEFINED"/>
    <x:cfRule type="containsText" dxfId="159" priority="17" operator="containsText" text="READY"/>
    <x:cfRule type="containsText" dxfId="160" priority="18" operator="containsText" text="HOLD"/>
    <x:cfRule type="containsText" dxfId="161" priority="19" operator="containsText" text="OPEN"/>
    <x:cfRule type="containsText" dxfId="162" priority="20" operator="containsText" text="BLOCKED"/>
    <x:cfRule type="containsText" dxfId="163" priority="21" operator="containsText" text="PLANNING"/>
    <x:cfRule type="containsText" dxfId="164" priority="22" operator="containsText" text="FAIL"/>
    <x:cfRule type="containsText" dxfId="165" priority="23" operator="containsText" text="REJECT"/>
    <x:cfRule type="containsText" dxfId="166" priority="24" operator="containsText" text="LATE"/>
    <x:cfRule type="containsText" dxfId="167" priority="25" operator="containsText" text="INCOMPLETE"/>
    <x:cfRule type="containsText" dxfId="168" priority="26" operator="containsText" text="INDETERMINATE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6" hidden="0" customWidth="1"/>
    <x:col min="4" max="4" width="47" hidden="0" customWidth="1"/>
    <x:col min="5" max="5" width="42" hidden="0" customWidth="1"/>
    <x:col min="6" max="6" width="13" hidden="0" customWidth="1"/>
    <x:col min="7" max="7" width="13" hidden="0" customWidth="1"/>
    <x:col min="8" max="8" width="14" hidden="0" customWidth="1"/>
    <x:col min="9" max="9" width="16" hidden="0" customWidth="1"/>
    <x:col min="10" max="10" width="17" hidden="0" customWidth="1"/>
  </x:cols>
  <x:sheetData>
    <x:row r="2">
      <x:c r="B2" s="28" t="str">
        <x:v>Sixteen repeatable physical test sequences</x:v>
      </x:c>
      <x:c r="C2" s="8"/>
      <x:c r="D2" s="8"/>
      <x:c r="E2" s="8"/>
      <x:c r="F2" s="8"/>
      <x:c r="G2" s="8"/>
      <x:c r="H2" s="8"/>
      <x:c r="I2" s="8"/>
      <x:c r="J2" s="8"/>
    </x:row>
    <x:row r="3">
      <x:c r="B3" s="2" t="str">
        <x:v>Sequences support fifty serial decisions, but every article retains its own terminal packet.</x:v>
      </x:c>
      <x:c r="C3" s="8"/>
      <x:c r="D3" s="8"/>
      <x:c r="E3" s="8"/>
      <x:c r="F3" s="8"/>
      <x:c r="G3" s="8"/>
      <x:c r="H3" s="8"/>
      <x:c r="I3" s="8"/>
      <x:c r="J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B6" s="7" t="str">
        <x:v>Sequence</x:v>
      </x:c>
      <x:c r="C6" s="7" t="str">
        <x:v>State</x:v>
      </x:c>
      <x:c r="D6" s="7" t="str">
        <x:v>Physical stimulus</x:v>
      </x:c>
      <x:c r="E6" s="7" t="str">
        <x:v>Required result</x:v>
      </x:c>
      <x:c r="F6" s="7" t="str">
        <x:v>Root A</x:v>
      </x:c>
      <x:c r="G6" s="7" t="str">
        <x:v>Root B</x:v>
      </x:c>
      <x:c r="H6" s="7" t="str">
        <x:v>Registered</x:v>
      </x:c>
      <x:c r="I6" s="7" t="str">
        <x:v>Planning gate</x:v>
      </x:c>
      <x:c r="J6" s="7" t="str">
        <x:v>Physical state</x:v>
      </x:c>
    </x:row>
    <x:row r="7" ht="38" customHeight="1">
      <x:c r="B7" s="9" t="str">
        <x:v>TS01</x:v>
      </x:c>
      <x:c r="C7" s="9" t="str">
        <x:v>all</x:v>
      </x:c>
      <x:c r="D7" s="23" t="str">
        <x:v>mass, CG, geometry, custody and reference prestate</x:v>
      </x:c>
      <x:c r="E7" s="23" t="str">
        <x:v>complete attributable start</x:v>
      </x:c>
      <x:c r="F7" s="9" t="n">
        <x:v>1</x:v>
      </x:c>
      <x:c r="G7" s="9" t="n">
        <x:v>1</x:v>
      </x:c>
      <x:c r="H7" s="9" t="n">
        <x:v>1</x:v>
      </x:c>
      <x:c r="I7" s="9" t="str">
        <x:f>IF(AND(F7=1,G7=1,H7=1),"PASS","FAIL")</x:f>
        <x:v>PASS</x:v>
      </x:c>
      <x:c r="J7" s="9" t="str">
        <x:v>OPEN</x:v>
      </x:c>
    </x:row>
    <x:row r="8" ht="38" customHeight="1">
      <x:c r="B8" s="9" t="str">
        <x:v>TS02</x:v>
      </x:c>
      <x:c r="C8" s="9" t="str">
        <x:v>fresh</x:v>
      </x:c>
      <x:c r="D8" s="23" t="str">
        <x:v>1.00 g and 1.25 g vertical support</x:v>
      </x:c>
      <x:c r="E8" s="23" t="str">
        <x:v>bounded reaction and deformation</x:v>
      </x:c>
      <x:c r="F8" s="9" t="n">
        <x:v>1</x:v>
      </x:c>
      <x:c r="G8" s="9" t="n">
        <x:v>1</x:v>
      </x:c>
      <x:c r="H8" s="9" t="n">
        <x:v>1</x:v>
      </x:c>
      <x:c r="I8" s="9" t="str">
        <x:f>IF(AND(F8=1,G8=1,H8=1),"PASS","FAIL")</x:f>
        <x:v>PASS</x:v>
      </x:c>
      <x:c r="J8" s="9" t="str">
        <x:v>OPEN</x:v>
      </x:c>
    </x:row>
    <x:row r="9" ht="38" customHeight="1">
      <x:c r="B9" s="9" t="str">
        <x:v>TS03</x:v>
      </x:c>
      <x:c r="C9" s="9" t="str">
        <x:v>challenge</x:v>
      </x:c>
      <x:c r="D9" s="23" t="str">
        <x:v>1.50 g with one support unavailable</x:v>
      </x:c>
      <x:c r="E9" s="23" t="str">
        <x:v>safe redistribution</x:v>
      </x:c>
      <x:c r="F9" s="9" t="n">
        <x:v>1</x:v>
      </x:c>
      <x:c r="G9" s="9" t="n">
        <x:v>1</x:v>
      </x:c>
      <x:c r="H9" s="9" t="n">
        <x:v>1</x:v>
      </x:c>
      <x:c r="I9" s="9" t="str">
        <x:f>IF(AND(F9=1,G9=1,H9=1),"PASS","FAIL")</x:f>
        <x:v>PASS</x:v>
      </x:c>
      <x:c r="J9" s="9" t="str">
        <x:v>OPEN</x:v>
      </x:c>
    </x:row>
    <x:row r="10" ht="38" customHeight="1">
      <x:c r="B10" s="9" t="str">
        <x:v>TS04</x:v>
      </x:c>
      <x:c r="C10" s="9" t="str">
        <x:v>challenge</x:v>
      </x:c>
      <x:c r="D10" s="23" t="str">
        <x:v>0.60 g lateral and overturning</x:v>
      </x:c>
      <x:c r="E10" s="23" t="str">
        <x:v>attributable anchor response</x:v>
      </x:c>
      <x:c r="F10" s="9" t="n">
        <x:v>1</x:v>
      </x:c>
      <x:c r="G10" s="9" t="n">
        <x:v>1</x:v>
      </x:c>
      <x:c r="H10" s="9" t="n">
        <x:v>1</x:v>
      </x:c>
      <x:c r="I10" s="9" t="str">
        <x:f>IF(AND(F10=1,G10=1,H10=1),"PASS","FAIL")</x:f>
        <x:v>PASS</x:v>
      </x:c>
      <x:c r="J10" s="9" t="str">
        <x:v>OPEN</x:v>
      </x:c>
    </x:row>
    <x:row r="11" ht="38" customHeight="1">
      <x:c r="B11" s="9" t="str">
        <x:v>TS05</x:v>
      </x:c>
      <x:c r="C11" s="9" t="str">
        <x:v>challenge</x:v>
      </x:c>
      <x:c r="D11" s="23" t="str">
        <x:v>300 mm differential over 10 m</x:v>
      </x:c>
      <x:c r="E11" s="23" t="str">
        <x:v>service and evidence continuity</x:v>
      </x:c>
      <x:c r="F11" s="9" t="n">
        <x:v>1</x:v>
      </x:c>
      <x:c r="G11" s="9" t="n">
        <x:v>1</x:v>
      </x:c>
      <x:c r="H11" s="9" t="n">
        <x:v>1</x:v>
      </x:c>
      <x:c r="I11" s="9" t="str">
        <x:f>IF(AND(F11=1,G11=1,H11=1),"PASS","FAIL")</x:f>
        <x:v>PASS</x:v>
      </x:c>
      <x:c r="J11" s="9" t="str">
        <x:v>OPEN</x:v>
      </x:c>
    </x:row>
    <x:row r="12" ht="38" customHeight="1">
      <x:c r="B12" s="9" t="str">
        <x:v>TS06</x:v>
      </x:c>
      <x:c r="C12" s="9" t="str">
        <x:v>fresh</x:v>
      </x:c>
      <x:c r="D12" s="23" t="str">
        <x:v>balanced four-node dry lift</x:v>
      </x:c>
      <x:c r="E12" s="23" t="str">
        <x:v>controlled lift and set-down</x:v>
      </x:c>
      <x:c r="F12" s="9" t="n">
        <x:v>1</x:v>
      </x:c>
      <x:c r="G12" s="9" t="n">
        <x:v>1</x:v>
      </x:c>
      <x:c r="H12" s="9" t="n">
        <x:v>1</x:v>
      </x:c>
      <x:c r="I12" s="9" t="str">
        <x:f>IF(AND(F12=1,G12=1,H12=1),"PASS","FAIL")</x:f>
        <x:v>PASS</x:v>
      </x:c>
      <x:c r="J12" s="9" t="str">
        <x:v>OPEN</x:v>
      </x:c>
    </x:row>
    <x:row r="13" ht="38" customHeight="1">
      <x:c r="B13" s="9" t="str">
        <x:v>TS07</x:v>
      </x:c>
      <x:c r="C13" s="9" t="str">
        <x:v>challenge</x:v>
      </x:c>
      <x:c r="D13" s="23" t="str">
        <x:v>denied node and CG offset</x:v>
      </x:c>
      <x:c r="E13" s="23" t="str">
        <x:v>safe alternate handling</x:v>
      </x:c>
      <x:c r="F13" s="9" t="n">
        <x:v>1</x:v>
      </x:c>
      <x:c r="G13" s="9" t="n">
        <x:v>1</x:v>
      </x:c>
      <x:c r="H13" s="9" t="n">
        <x:v>1</x:v>
      </x:c>
      <x:c r="I13" s="9" t="str">
        <x:f>IF(AND(F13=1,G13=1,H13=1),"PASS","FAIL")</x:f>
        <x:v>PASS</x:v>
      </x:c>
      <x:c r="J13" s="9" t="str">
        <x:v>OPEN</x:v>
      </x:c>
    </x:row>
    <x:row r="14" ht="38" customHeight="1">
      <x:c r="B14" s="9" t="str">
        <x:v>TS08</x:v>
      </x:c>
      <x:c r="C14" s="9" t="str">
        <x:v>cold-reset</x:v>
      </x:c>
      <x:c r="D14" s="23" t="str">
        <x:v>transport and revealed receiver</x:v>
      </x:c>
      <x:c r="E14" s="23" t="str">
        <x:v>prestate survives exposure</x:v>
      </x:c>
      <x:c r="F14" s="9" t="n">
        <x:v>1</x:v>
      </x:c>
      <x:c r="G14" s="9" t="n">
        <x:v>1</x:v>
      </x:c>
      <x:c r="H14" s="9" t="n">
        <x:v>1</x:v>
      </x:c>
      <x:c r="I14" s="9" t="str">
        <x:f>IF(AND(F14=1,G14=1,H14=1),"PASS","FAIL")</x:f>
        <x:v>PASS</x:v>
      </x:c>
      <x:c r="J14" s="9" t="str">
        <x:v>OPEN</x:v>
      </x:c>
    </x:row>
    <x:row r="15" ht="38" customHeight="1">
      <x:c r="B15" s="9" t="str">
        <x:v>TS09</x:v>
      </x:c>
      <x:c r="C15" s="9" t="str">
        <x:v>fresh</x:v>
      </x:c>
      <x:c r="D15" s="23" t="str">
        <x:v>hydraulic service, surge and proof</x:v>
      </x:c>
      <x:c r="E15" s="23" t="str">
        <x:v>flow, pressure and leak close</x:v>
      </x:c>
      <x:c r="F15" s="9" t="n">
        <x:v>1</x:v>
      </x:c>
      <x:c r="G15" s="9" t="n">
        <x:v>1</x:v>
      </x:c>
      <x:c r="H15" s="9" t="n">
        <x:v>1</x:v>
      </x:c>
      <x:c r="I15" s="9" t="str">
        <x:f>IF(AND(F15=1,G15=1,H15=1),"PASS","FAIL")</x:f>
        <x:v>PASS</x:v>
      </x:c>
      <x:c r="J15" s="9" t="str">
        <x:v>OPEN</x:v>
      </x:c>
    </x:row>
    <x:row r="16" ht="38" customHeight="1">
      <x:c r="B16" s="9" t="str">
        <x:v>TS10</x:v>
      </x:c>
      <x:c r="C16" s="9" t="str">
        <x:v>challenge</x:v>
      </x:c>
      <x:c r="D16" s="23" t="str">
        <x:v>vacuum and 50,000 cycles</x:v>
      </x:c>
      <x:c r="E16" s="23" t="str">
        <x:v>closure remains within limit</x:v>
      </x:c>
      <x:c r="F16" s="9" t="n">
        <x:v>1</x:v>
      </x:c>
      <x:c r="G16" s="9" t="n">
        <x:v>1</x:v>
      </x:c>
      <x:c r="H16" s="9" t="n">
        <x:v>1</x:v>
      </x:c>
      <x:c r="I16" s="9" t="str">
        <x:f>IF(AND(F16=1,G16=1,H16=1),"PASS","FAIL")</x:f>
        <x:v>PASS</x:v>
      </x:c>
      <x:c r="J16" s="9" t="str">
        <x:v>OPEN</x:v>
      </x:c>
    </x:row>
    <x:row r="17" ht="38" customHeight="1">
      <x:c r="B17" s="9" t="str">
        <x:v>TS11</x:v>
      </x:c>
      <x:c r="C17" s="9" t="str">
        <x:v>challenge</x:v>
      </x:c>
      <x:c r="D17" s="23" t="str">
        <x:v>wrong valve, dead leg, backflow</x:v>
      </x:c>
      <x:c r="E17" s="23" t="str">
        <x:v>detection, isolation and flush</x:v>
      </x:c>
      <x:c r="F17" s="9" t="n">
        <x:v>1</x:v>
      </x:c>
      <x:c r="G17" s="9" t="n">
        <x:v>1</x:v>
      </x:c>
      <x:c r="H17" s="9" t="n">
        <x:v>1</x:v>
      </x:c>
      <x:c r="I17" s="9" t="str">
        <x:f>IF(AND(F17=1,G17=1,H17=1),"PASS","FAIL")</x:f>
        <x:v>PASS</x:v>
      </x:c>
      <x:c r="J17" s="9" t="str">
        <x:v>OPEN</x:v>
      </x:c>
    </x:row>
    <x:row r="18" ht="38" customHeight="1">
      <x:c r="B18" s="9" t="str">
        <x:v>TS12</x:v>
      </x:c>
      <x:c r="C18" s="9" t="str">
        <x:v>fresh</x:v>
      </x:c>
      <x:c r="D18" s="23" t="str">
        <x:v>dead-state black start to 1.5 MW</x:v>
      </x:c>
      <x:c r="E18" s="23" t="str">
        <x:v>time and service close</x:v>
      </x:c>
      <x:c r="F18" s="9" t="n">
        <x:v>1</x:v>
      </x:c>
      <x:c r="G18" s="9" t="n">
        <x:v>1</x:v>
      </x:c>
      <x:c r="H18" s="9" t="n">
        <x:v>1</x:v>
      </x:c>
      <x:c r="I18" s="9" t="str">
        <x:f>IF(AND(F18=1,G18=1,H18=1),"PASS","FAIL")</x:f>
        <x:v>PASS</x:v>
      </x:c>
      <x:c r="J18" s="9" t="str">
        <x:v>OPEN</x:v>
      </x:c>
    </x:row>
    <x:row r="19" ht="38" customHeight="1">
      <x:c r="B19" s="9" t="str">
        <x:v>TS13</x:v>
      </x:c>
      <x:c r="C19" s="9" t="str">
        <x:v>challenge</x:v>
      </x:c>
      <x:c r="D19" s="23" t="str">
        <x:v>load steps, rejection and mismatch</x:v>
      </x:c>
      <x:c r="E19" s="23" t="str">
        <x:v>stable recovery or isolation</x:v>
      </x:c>
      <x:c r="F19" s="9" t="n">
        <x:v>1</x:v>
      </x:c>
      <x:c r="G19" s="9" t="n">
        <x:v>1</x:v>
      </x:c>
      <x:c r="H19" s="9" t="n">
        <x:v>1</x:v>
      </x:c>
      <x:c r="I19" s="9" t="str">
        <x:f>IF(AND(F19=1,G19=1,H19=1),"PASS","FAIL")</x:f>
        <x:v>PASS</x:v>
      </x:c>
      <x:c r="J19" s="9" t="str">
        <x:v>OPEN</x:v>
      </x:c>
    </x:row>
    <x:row r="20" ht="38" customHeight="1">
      <x:c r="B20" s="9" t="str">
        <x:v>TS14</x:v>
      </x:c>
      <x:c r="C20" s="9" t="str">
        <x:v>challenge</x:v>
      </x:c>
      <x:c r="D20" s="23" t="str">
        <x:v>ground, phase or reference mismatch</x:v>
      </x:c>
      <x:c r="E20" s="23" t="str">
        <x:v>no unsafe energization</x:v>
      </x:c>
      <x:c r="F20" s="9" t="n">
        <x:v>1</x:v>
      </x:c>
      <x:c r="G20" s="9" t="n">
        <x:v>1</x:v>
      </x:c>
      <x:c r="H20" s="9" t="n">
        <x:v>1</x:v>
      </x:c>
      <x:c r="I20" s="9" t="str">
        <x:f>IF(AND(F20=1,G20=1,H20=1),"PASS","FAIL")</x:f>
        <x:v>PASS</x:v>
      </x:c>
      <x:c r="J20" s="9" t="str">
        <x:v>OPEN</x:v>
      </x:c>
    </x:row>
    <x:row r="21" ht="38" customHeight="1">
      <x:c r="B21" s="9" t="str">
        <x:v>TS15</x:v>
      </x:c>
      <x:c r="C21" s="9" t="str">
        <x:v>integrated</x:v>
      </x:c>
      <x:c r="D21" s="23" t="str">
        <x:v>settlement, power and paired flow</x:v>
      </x:c>
      <x:c r="E21" s="23" t="str">
        <x:v>coupled packet closes</x:v>
      </x:c>
      <x:c r="F21" s="9" t="n">
        <x:v>1</x:v>
      </x:c>
      <x:c r="G21" s="9" t="n">
        <x:v>1</x:v>
      </x:c>
      <x:c r="H21" s="9" t="n">
        <x:v>1</x:v>
      </x:c>
      <x:c r="I21" s="9" t="str">
        <x:f>IF(AND(F21=1,G21=1,H21=1),"PASS","FAIL")</x:f>
        <x:v>PASS</x:v>
      </x:c>
      <x:c r="J21" s="9" t="str">
        <x:v>OPEN</x:v>
      </x:c>
    </x:row>
    <x:row r="22" ht="38" customHeight="1">
      <x:c r="B22" s="10" t="str">
        <x:v>TS16</x:v>
      </x:c>
      <x:c r="C22" s="10" t="str">
        <x:v>terminal</x:v>
      </x:c>
      <x:c r="D22" s="24" t="str">
        <x:v>decon, removal, assay and custody</x:v>
      </x:c>
      <x:c r="E22" s="24" t="str">
        <x:v>known terminal state</x:v>
      </x:c>
      <x:c r="F22" s="10" t="n">
        <x:v>1</x:v>
      </x:c>
      <x:c r="G22" s="10" t="n">
        <x:v>1</x:v>
      </x:c>
      <x:c r="H22" s="10" t="n">
        <x:v>1</x:v>
      </x:c>
      <x:c r="I22" s="10" t="str">
        <x:f>IF(AND(F22=1,G22=1,H22=1),"PASS","FAIL")</x:f>
        <x:v>PASS</x:v>
      </x:c>
      <x:c r="J22" s="10" t="str">
        <x:v>OPEN</x:v>
      </x:c>
    </x:row>
  </x:sheetData>
  <x:mergeCells>
    <x:mergeCell ref="B2:J2"/>
    <x:mergeCell ref="B3:J3"/>
  </x:mergeCells>
  <x:conditionalFormatting sqref="I7:J22">
    <x:cfRule type="containsText" dxfId="169" priority="1" operator="containsText" text="PASS"/>
    <x:cfRule type="containsText" dxfId="170" priority="2" operator="containsText" text="AUTHORIZED"/>
    <x:cfRule type="containsText" dxfId="171" priority="3" operator="containsText" text="DEFINED"/>
    <x:cfRule type="containsText" dxfId="172" priority="4" operator="containsText" text="READY"/>
    <x:cfRule type="containsText" dxfId="173" priority="5" operator="containsText" text="HOLD"/>
    <x:cfRule type="containsText" dxfId="174" priority="6" operator="containsText" text="OPEN"/>
    <x:cfRule type="containsText" dxfId="175" priority="7" operator="containsText" text="BLOCKED"/>
    <x:cfRule type="containsText" dxfId="176" priority="8" operator="containsText" text="PLANNING"/>
    <x:cfRule type="containsText" dxfId="177" priority="9" operator="containsText" text="FAIL"/>
    <x:cfRule type="containsText" dxfId="178" priority="10" operator="containsText" text="REJECT"/>
    <x:cfRule type="containsText" dxfId="179" priority="11" operator="containsText" text="LATE"/>
    <x:cfRule type="containsText" dxfId="180" priority="12" operator="containsText" text="INCOMPLETE"/>
    <x:cfRule type="containsText" dxfId="181" priority="13" operator="containsText" text="INDETERMINATE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8" hidden="0" customWidth="1"/>
    <x:col min="3" max="3" width="37" hidden="0" customWidth="1"/>
    <x:col min="4" max="4" width="18" hidden="0" customWidth="1"/>
    <x:col min="5" max="5" width="14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6" hidden="0" customWidth="1"/>
    <x:col min="11" max="11" width="17" hidden="0" customWidth="1"/>
  </x:cols>
  <x:sheetData>
    <x:row r="2">
      <x:c r="B2" s="28" t="str">
        <x:v>Root-balanced sealed fault campaign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Eight mechanisms in both roots receive a matched clean control.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Assignment</x:v>
      </x:c>
      <x:c r="C6" s="7" t="str">
        <x:v>Mechanism</x:v>
      </x:c>
      <x:c r="D6" s="7" t="str">
        <x:v>Interface or plane</x:v>
      </x:c>
      <x:c r="E6" s="7" t="str">
        <x:v>Root</x:v>
      </x:c>
      <x:c r="F6" s="7" t="str">
        <x:v>Fault required</x:v>
      </x:c>
      <x:c r="G6" s="7" t="str">
        <x:v>Clean control</x:v>
      </x:c>
      <x:c r="H6" s="7" t="str">
        <x:v>Fault observed</x:v>
      </x:c>
      <x:c r="I6" s="7" t="str">
        <x:v>Control observed</x:v>
      </x:c>
      <x:c r="J6" s="7" t="str">
        <x:v>Planning gate</x:v>
      </x:c>
      <x:c r="K6" s="7" t="str">
        <x:v>Physical state</x:v>
      </x:c>
    </x:row>
    <x:row r="7">
      <x:c r="B7" s="9" t="str">
        <x:v>FA-FM01-A</x:v>
      </x:c>
      <x:c r="C7" s="9" t="str">
        <x:v>support reaction bypass</x:v>
      </x:c>
      <x:c r="D7" s="9" t="str">
        <x:v>IF01</x:v>
      </x:c>
      <x:c r="E7" s="9" t="str">
        <x:v>ROOT_A</x:v>
      </x:c>
      <x:c r="F7" s="9" t="n">
        <x:v>1</x:v>
      </x:c>
      <x:c r="G7" s="9" t="n">
        <x:v>1</x:v>
      </x:c>
      <x:c r="H7" s="9" t="n">
        <x:v>0</x:v>
      </x:c>
      <x:c r="I7" s="9" t="n">
        <x:v>0</x:v>
      </x:c>
      <x:c r="J7" s="9" t="str">
        <x:f>IF(AND(F7=1,G7=1,COUNTIFS($B$7:$B$22,B7)=1),"PASS","FAIL")</x:f>
        <x:v>PASS</x:v>
      </x:c>
      <x:c r="K7" s="9" t="str">
        <x:v>OPEN</x:v>
      </x:c>
    </x:row>
    <x:row r="8">
      <x:c r="B8" s="9" t="str">
        <x:v>FA-FM01-B</x:v>
      </x:c>
      <x:c r="C8" s="9" t="str">
        <x:v>support reaction bypass</x:v>
      </x:c>
      <x:c r="D8" s="9" t="str">
        <x:v>IF01</x:v>
      </x:c>
      <x:c r="E8" s="9" t="str">
        <x:v>ROOT_B</x:v>
      </x:c>
      <x:c r="F8" s="9" t="n">
        <x:v>1</x:v>
      </x:c>
      <x:c r="G8" s="9" t="n">
        <x:v>1</x:v>
      </x:c>
      <x:c r="H8" s="9" t="n">
        <x:v>0</x:v>
      </x:c>
      <x:c r="I8" s="9" t="n">
        <x:v>0</x:v>
      </x:c>
      <x:c r="J8" s="9" t="str">
        <x:f>IF(AND(F8=1,G8=1,COUNTIFS($B$7:$B$22,B8)=1),"PASS","FAIL")</x:f>
        <x:v>PASS</x:v>
      </x:c>
      <x:c r="K8" s="9" t="str">
        <x:v>OPEN</x:v>
      </x:c>
    </x:row>
    <x:row r="9">
      <x:c r="B9" s="9" t="str">
        <x:v>FA-FM02-A</x:v>
      </x:c>
      <x:c r="C9" s="9" t="str">
        <x:v>denied lift node</x:v>
      </x:c>
      <x:c r="D9" s="9" t="str">
        <x:v>IF02</x:v>
      </x:c>
      <x:c r="E9" s="9" t="str">
        <x:v>ROOT_A</x:v>
      </x:c>
      <x:c r="F9" s="9" t="n">
        <x:v>1</x:v>
      </x:c>
      <x:c r="G9" s="9" t="n">
        <x:v>1</x:v>
      </x:c>
      <x:c r="H9" s="9" t="n">
        <x:v>0</x:v>
      </x:c>
      <x:c r="I9" s="9" t="n">
        <x:v>0</x:v>
      </x:c>
      <x:c r="J9" s="9" t="str">
        <x:f>IF(AND(F9=1,G9=1,COUNTIFS($B$7:$B$22,B9)=1),"PASS","FAIL")</x:f>
        <x:v>PASS</x:v>
      </x:c>
      <x:c r="K9" s="9" t="str">
        <x:v>OPEN</x:v>
      </x:c>
    </x:row>
    <x:row r="10">
      <x:c r="B10" s="9" t="str">
        <x:v>FA-FM02-B</x:v>
      </x:c>
      <x:c r="C10" s="9" t="str">
        <x:v>denied lift node</x:v>
      </x:c>
      <x:c r="D10" s="9" t="str">
        <x:v>IF02</x:v>
      </x:c>
      <x:c r="E10" s="9" t="str">
        <x:v>ROOT_B</x:v>
      </x:c>
      <x:c r="F10" s="9" t="n">
        <x:v>1</x:v>
      </x:c>
      <x:c r="G10" s="9" t="n">
        <x:v>1</x:v>
      </x:c>
      <x:c r="H10" s="9" t="n">
        <x:v>0</x:v>
      </x:c>
      <x:c r="I10" s="9" t="n">
        <x:v>0</x:v>
      </x:c>
      <x:c r="J10" s="9" t="str">
        <x:f>IF(AND(F10=1,G10=1,COUNTIFS($B$7:$B$22,B10)=1),"PASS","FAIL")</x:f>
        <x:v>PASS</x:v>
      </x:c>
      <x:c r="K10" s="9" t="str">
        <x:v>OPEN</x:v>
      </x:c>
    </x:row>
    <x:row r="11">
      <x:c r="B11" s="9" t="str">
        <x:v>FA-FM03-A</x:v>
      </x:c>
      <x:c r="C11" s="9" t="str">
        <x:v>wrong hydraulic valve</x:v>
      </x:c>
      <x:c r="D11" s="9" t="str">
        <x:v>IF03</x:v>
      </x:c>
      <x:c r="E11" s="9" t="str">
        <x:v>ROOT_A</x:v>
      </x:c>
      <x:c r="F11" s="9" t="n">
        <x:v>1</x:v>
      </x:c>
      <x:c r="G11" s="9" t="n">
        <x:v>1</x:v>
      </x:c>
      <x:c r="H11" s="9" t="n">
        <x:v>0</x:v>
      </x:c>
      <x:c r="I11" s="9" t="n">
        <x:v>0</x:v>
      </x:c>
      <x:c r="J11" s="9" t="str">
        <x:f>IF(AND(F11=1,G11=1,COUNTIFS($B$7:$B$22,B11)=1),"PASS","FAIL")</x:f>
        <x:v>PASS</x:v>
      </x:c>
      <x:c r="K11" s="9" t="str">
        <x:v>OPEN</x:v>
      </x:c>
    </x:row>
    <x:row r="12">
      <x:c r="B12" s="9" t="str">
        <x:v>FA-FM03-B</x:v>
      </x:c>
      <x:c r="C12" s="9" t="str">
        <x:v>wrong hydraulic valve</x:v>
      </x:c>
      <x:c r="D12" s="9" t="str">
        <x:v>IF03</x:v>
      </x:c>
      <x:c r="E12" s="9" t="str">
        <x:v>ROOT_B</x:v>
      </x:c>
      <x:c r="F12" s="9" t="n">
        <x:v>1</x:v>
      </x:c>
      <x:c r="G12" s="9" t="n">
        <x:v>1</x:v>
      </x:c>
      <x:c r="H12" s="9" t="n">
        <x:v>0</x:v>
      </x:c>
      <x:c r="I12" s="9" t="n">
        <x:v>0</x:v>
      </x:c>
      <x:c r="J12" s="9" t="str">
        <x:f>IF(AND(F12=1,G12=1,COUNTIFS($B$7:$B$22,B12)=1),"PASS","FAIL")</x:f>
        <x:v>PASS</x:v>
      </x:c>
      <x:c r="K12" s="9" t="str">
        <x:v>OPEN</x:v>
      </x:c>
    </x:row>
    <x:row r="13">
      <x:c r="B13" s="9" t="str">
        <x:v>FA-FM04-A</x:v>
      </x:c>
      <x:c r="C13" s="9" t="str">
        <x:v>protection or phase mismatch</x:v>
      </x:c>
      <x:c r="D13" s="9" t="str">
        <x:v>IF04</x:v>
      </x:c>
      <x:c r="E13" s="9" t="str">
        <x:v>ROOT_A</x:v>
      </x:c>
      <x:c r="F13" s="9" t="n">
        <x:v>1</x:v>
      </x:c>
      <x:c r="G13" s="9" t="n">
        <x:v>1</x:v>
      </x:c>
      <x:c r="H13" s="9" t="n">
        <x:v>0</x:v>
      </x:c>
      <x:c r="I13" s="9" t="n">
        <x:v>0</x:v>
      </x:c>
      <x:c r="J13" s="9" t="str">
        <x:f>IF(AND(F13=1,G13=1,COUNTIFS($B$7:$B$22,B13)=1),"PASS","FAIL")</x:f>
        <x:v>PASS</x:v>
      </x:c>
      <x:c r="K13" s="9" t="str">
        <x:v>OPEN</x:v>
      </x:c>
    </x:row>
    <x:row r="14">
      <x:c r="B14" s="9" t="str">
        <x:v>FA-FM04-B</x:v>
      </x:c>
      <x:c r="C14" s="9" t="str">
        <x:v>protection or phase mismatch</x:v>
      </x:c>
      <x:c r="D14" s="9" t="str">
        <x:v>IF04</x:v>
      </x:c>
      <x:c r="E14" s="9" t="str">
        <x:v>ROOT_B</x:v>
      </x:c>
      <x:c r="F14" s="9" t="n">
        <x:v>1</x:v>
      </x:c>
      <x:c r="G14" s="9" t="n">
        <x:v>1</x:v>
      </x:c>
      <x:c r="H14" s="9" t="n">
        <x:v>0</x:v>
      </x:c>
      <x:c r="I14" s="9" t="n">
        <x:v>0</x:v>
      </x:c>
      <x:c r="J14" s="9" t="str">
        <x:f>IF(AND(F14=1,G14=1,COUNTIFS($B$7:$B$22,B14)=1),"PASS","FAIL")</x:f>
        <x:v>PASS</x:v>
      </x:c>
      <x:c r="K14" s="9" t="str">
        <x:v>OPEN</x:v>
      </x:c>
    </x:row>
    <x:row r="15">
      <x:c r="B15" s="9" t="str">
        <x:v>FA-FM05-A</x:v>
      </x:c>
      <x:c r="C15" s="9" t="str">
        <x:v>sanitary cross-connection</x:v>
      </x:c>
      <x:c r="D15" s="9" t="str">
        <x:v>IF06</x:v>
      </x:c>
      <x:c r="E15" s="9" t="str">
        <x:v>ROOT_A</x:v>
      </x:c>
      <x:c r="F15" s="9" t="n">
        <x:v>1</x:v>
      </x:c>
      <x:c r="G15" s="9" t="n">
        <x:v>1</x:v>
      </x:c>
      <x:c r="H15" s="9" t="n">
        <x:v>0</x:v>
      </x:c>
      <x:c r="I15" s="9" t="n">
        <x:v>0</x:v>
      </x:c>
      <x:c r="J15" s="9" t="str">
        <x:f>IF(AND(F15=1,G15=1,COUNTIFS($B$7:$B$22,B15)=1),"PASS","FAIL")</x:f>
        <x:v>PASS</x:v>
      </x:c>
      <x:c r="K15" s="9" t="str">
        <x:v>OPEN</x:v>
      </x:c>
    </x:row>
    <x:row r="16">
      <x:c r="B16" s="9" t="str">
        <x:v>FA-FM05-B</x:v>
      </x:c>
      <x:c r="C16" s="9" t="str">
        <x:v>sanitary cross-connection</x:v>
      </x:c>
      <x:c r="D16" s="9" t="str">
        <x:v>IF06</x:v>
      </x:c>
      <x:c r="E16" s="9" t="str">
        <x:v>ROOT_B</x:v>
      </x:c>
      <x:c r="F16" s="9" t="n">
        <x:v>1</x:v>
      </x:c>
      <x:c r="G16" s="9" t="n">
        <x:v>1</x:v>
      </x:c>
      <x:c r="H16" s="9" t="n">
        <x:v>0</x:v>
      </x:c>
      <x:c r="I16" s="9" t="n">
        <x:v>0</x:v>
      </x:c>
      <x:c r="J16" s="9" t="str">
        <x:f>IF(AND(F16=1,G16=1,COUNTIFS($B$7:$B$22,B16)=1),"PASS","FAIL")</x:f>
        <x:v>PASS</x:v>
      </x:c>
      <x:c r="K16" s="9" t="str">
        <x:v>OPEN</x:v>
      </x:c>
    </x:row>
    <x:row r="17">
      <x:c r="B17" s="9" t="str">
        <x:v>FA-FM06-A</x:v>
      </x:c>
      <x:c r="C17" s="9" t="str">
        <x:v>containment leak</x:v>
      </x:c>
      <x:c r="D17" s="9" t="str">
        <x:v>IF10</x:v>
      </x:c>
      <x:c r="E17" s="9" t="str">
        <x:v>ROOT_A</x:v>
      </x:c>
      <x:c r="F17" s="9" t="n">
        <x:v>1</x:v>
      </x:c>
      <x:c r="G17" s="9" t="n">
        <x:v>1</x:v>
      </x:c>
      <x:c r="H17" s="9" t="n">
        <x:v>0</x:v>
      </x:c>
      <x:c r="I17" s="9" t="n">
        <x:v>0</x:v>
      </x:c>
      <x:c r="J17" s="9" t="str">
        <x:f>IF(AND(F17=1,G17=1,COUNTIFS($B$7:$B$22,B17)=1),"PASS","FAIL")</x:f>
        <x:v>PASS</x:v>
      </x:c>
      <x:c r="K17" s="9" t="str">
        <x:v>OPEN</x:v>
      </x:c>
    </x:row>
    <x:row r="18">
      <x:c r="B18" s="9" t="str">
        <x:v>FA-FM06-B</x:v>
      </x:c>
      <x:c r="C18" s="9" t="str">
        <x:v>containment leak</x:v>
      </x:c>
      <x:c r="D18" s="9" t="str">
        <x:v>IF10</x:v>
      </x:c>
      <x:c r="E18" s="9" t="str">
        <x:v>ROOT_B</x:v>
      </x:c>
      <x:c r="F18" s="9" t="n">
        <x:v>1</x:v>
      </x:c>
      <x:c r="G18" s="9" t="n">
        <x:v>1</x:v>
      </x:c>
      <x:c r="H18" s="9" t="n">
        <x:v>0</x:v>
      </x:c>
      <x:c r="I18" s="9" t="n">
        <x:v>0</x:v>
      </x:c>
      <x:c r="J18" s="9" t="str">
        <x:f>IF(AND(F18=1,G18=1,COUNTIFS($B$7:$B$22,B18)=1),"PASS","FAIL")</x:f>
        <x:v>PASS</x:v>
      </x:c>
      <x:c r="K18" s="9" t="str">
        <x:v>OPEN</x:v>
      </x:c>
    </x:row>
    <x:row r="19">
      <x:c r="B19" s="9" t="str">
        <x:v>FA-FM07-A</x:v>
      </x:c>
      <x:c r="C19" s="9" t="str">
        <x:v>biased reference channel</x:v>
      </x:c>
      <x:c r="D19" s="9" t="str">
        <x:v>MP11</x:v>
      </x:c>
      <x:c r="E19" s="9" t="str">
        <x:v>ROOT_A</x:v>
      </x:c>
      <x:c r="F19" s="9" t="n">
        <x:v>1</x:v>
      </x:c>
      <x:c r="G19" s="9" t="n">
        <x:v>1</x:v>
      </x:c>
      <x:c r="H19" s="9" t="n">
        <x:v>0</x:v>
      </x:c>
      <x:c r="I19" s="9" t="n">
        <x:v>0</x:v>
      </x:c>
      <x:c r="J19" s="9" t="str">
        <x:f>IF(AND(F19=1,G19=1,COUNTIFS($B$7:$B$22,B19)=1),"PASS","FAIL")</x:f>
        <x:v>PASS</x:v>
      </x:c>
      <x:c r="K19" s="9" t="str">
        <x:v>OPEN</x:v>
      </x:c>
    </x:row>
    <x:row r="20">
      <x:c r="B20" s="9" t="str">
        <x:v>FA-FM07-B</x:v>
      </x:c>
      <x:c r="C20" s="9" t="str">
        <x:v>biased reference channel</x:v>
      </x:c>
      <x:c r="D20" s="9" t="str">
        <x:v>MP11</x:v>
      </x:c>
      <x:c r="E20" s="9" t="str">
        <x:v>ROOT_B</x:v>
      </x:c>
      <x:c r="F20" s="9" t="n">
        <x:v>1</x:v>
      </x:c>
      <x:c r="G20" s="9" t="n">
        <x:v>1</x:v>
      </x:c>
      <x:c r="H20" s="9" t="n">
        <x:v>0</x:v>
      </x:c>
      <x:c r="I20" s="9" t="n">
        <x:v>0</x:v>
      </x:c>
      <x:c r="J20" s="9" t="str">
        <x:f>IF(AND(F20=1,G20=1,COUNTIFS($B$7:$B$22,B20)=1),"PASS","FAIL")</x:f>
        <x:v>PASS</x:v>
      </x:c>
      <x:c r="K20" s="9" t="str">
        <x:v>OPEN</x:v>
      </x:c>
    </x:row>
    <x:row r="21">
      <x:c r="B21" s="9" t="str">
        <x:v>FA-FM08-A</x:v>
      </x:c>
      <x:c r="C21" s="9" t="str">
        <x:v>substituted article identity</x:v>
      </x:c>
      <x:c r="D21" s="9" t="str">
        <x:v>MP00</x:v>
      </x:c>
      <x:c r="E21" s="9" t="str">
        <x:v>ROOT_A</x:v>
      </x:c>
      <x:c r="F21" s="9" t="n">
        <x:v>1</x:v>
      </x:c>
      <x:c r="G21" s="9" t="n">
        <x:v>1</x:v>
      </x:c>
      <x:c r="H21" s="9" t="n">
        <x:v>0</x:v>
      </x:c>
      <x:c r="I21" s="9" t="n">
        <x:v>0</x:v>
      </x:c>
      <x:c r="J21" s="9" t="str">
        <x:f>IF(AND(F21=1,G21=1,COUNTIFS($B$7:$B$22,B21)=1),"PASS","FAIL")</x:f>
        <x:v>PASS</x:v>
      </x:c>
      <x:c r="K21" s="9" t="str">
        <x:v>OPEN</x:v>
      </x:c>
    </x:row>
    <x:row r="22">
      <x:c r="B22" s="10" t="str">
        <x:v>FA-FM08-B</x:v>
      </x:c>
      <x:c r="C22" s="10" t="str">
        <x:v>substituted article identity</x:v>
      </x:c>
      <x:c r="D22" s="10" t="str">
        <x:v>MP00</x:v>
      </x:c>
      <x:c r="E22" s="10" t="str">
        <x:v>ROOT_B</x:v>
      </x:c>
      <x:c r="F22" s="10" t="n">
        <x:v>1</x:v>
      </x:c>
      <x:c r="G22" s="10" t="n">
        <x:v>1</x:v>
      </x:c>
      <x:c r="H22" s="10" t="n">
        <x:v>0</x:v>
      </x:c>
      <x:c r="I22" s="10" t="n">
        <x:v>0</x:v>
      </x:c>
      <x:c r="J22" s="10" t="str">
        <x:f>IF(AND(F22=1,G22=1,COUNTIFS($B$7:$B$22,B22)=1),"PASS","FAIL")</x:f>
        <x:v>PASS</x:v>
      </x:c>
      <x:c r="K22" s="10" t="str">
        <x:v>OPEN</x:v>
      </x:c>
    </x:row>
  </x:sheetData>
  <x:mergeCells>
    <x:mergeCell ref="B2:K2"/>
    <x:mergeCell ref="B3:K3"/>
  </x:mergeCells>
  <x:conditionalFormatting sqref="J7:K22">
    <x:cfRule type="containsText" dxfId="182" priority="1" operator="containsText" text="PASS"/>
    <x:cfRule type="containsText" dxfId="183" priority="2" operator="containsText" text="AUTHORIZED"/>
    <x:cfRule type="containsText" dxfId="184" priority="3" operator="containsText" text="DEFINED"/>
    <x:cfRule type="containsText" dxfId="185" priority="4" operator="containsText" text="READY"/>
    <x:cfRule type="containsText" dxfId="186" priority="5" operator="containsText" text="HOLD"/>
    <x:cfRule type="containsText" dxfId="187" priority="6" operator="containsText" text="OPEN"/>
    <x:cfRule type="containsText" dxfId="188" priority="7" operator="containsText" text="BLOCKED"/>
    <x:cfRule type="containsText" dxfId="189" priority="8" operator="containsText" text="PLANNING"/>
    <x:cfRule type="containsText" dxfId="190" priority="9" operator="containsText" text="FAIL"/>
    <x:cfRule type="containsText" dxfId="191" priority="10" operator="containsText" text="REJECT"/>
    <x:cfRule type="containsText" dxfId="192" priority="11" operator="containsText" text="LATE"/>
    <x:cfRule type="containsText" dxfId="193" priority="12" operator="containsText" text="INCOMPLETE"/>
    <x:cfRule type="containsText" dxfId="194" priority="13" operator="containsText" text="INDETERMINATE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0" hidden="0" customWidth="1"/>
    <x:col min="4" max="4" width="14" hidden="0" customWidth="1"/>
    <x:col min="5" max="5" width="14" hidden="0" customWidth="1"/>
    <x:col min="6" max="6" width="14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7" hidden="0" customWidth="1"/>
  </x:cols>
  <x:sheetData>
    <x:row r="2">
      <x:c r="B2" s="28" t="str">
        <x:v>Thirty-six-month CISA-1 schedule</x:v>
      </x:c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B3" s="2" t="str">
        <x:v>The program remains inside MQP-1's forty-eight-month envelope.</x:v>
      </x:c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B4" s="29"/>
      <x:c r="C4" s="29"/>
      <x:c r="D4" s="29"/>
      <x:c r="E4" s="29"/>
      <x:c r="F4" s="29"/>
      <x:c r="G4" s="29"/>
      <x:c r="H4" s="29"/>
      <x:c r="I4" s="29"/>
      <x:c r="J4" s="29"/>
      <x:c r="K4" s="29"/>
    </x:row>
    <x:row r="5"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B6" s="7" t="str">
        <x:v>Phase</x:v>
      </x:c>
      <x:c r="C6" s="7" t="str">
        <x:v>Work</x:v>
      </x:c>
      <x:c r="D6" s="7" t="str">
        <x:v>Start month</x:v>
      </x:c>
      <x:c r="E6" s="7" t="str">
        <x:v>End month</x:v>
      </x:c>
      <x:c r="F6" s="7" t="str">
        <x:v>Duration</x:v>
      </x:c>
      <x:c r="G6" s="7" t="str">
        <x:v>Cold-storage relevance</x:v>
      </x:c>
      <x:c r="H6" s="7" t="str">
        <x:v>Predecessor</x:v>
      </x:c>
      <x:c r="I6" s="7" t="str">
        <x:v>Required end</x:v>
      </x:c>
      <x:c r="J6" s="7" t="str">
        <x:v>Planning gate</x:v>
      </x:c>
      <x:c r="K6" s="7" t="str">
        <x:v>Physical state</x:v>
      </x:c>
    </x:row>
    <x:row r="7">
      <x:c r="B7" s="9" t="str">
        <x:v>P01</x:v>
      </x:c>
      <x:c r="C7" s="9" t="str">
        <x:v>public requirement freeze</x:v>
      </x:c>
      <x:c r="D7" s="9" t="n">
        <x:v>0</x:v>
      </x:c>
      <x:c r="E7" s="9" t="n">
        <x:v>3</x:v>
      </x:c>
      <x:c r="F7" s="9" t="n">
        <x:f>E7-D7</x:f>
        <x:v>3</x:v>
      </x:c>
      <x:c r="G7" s="9" t="n">
        <x:v>0</x:v>
      </x:c>
      <x:c r="H7" s="9" t="str">
        <x:v>START</x:v>
      </x:c>
      <x:c r="I7" s="9" t="n">
        <x:v>36</x:v>
      </x:c>
      <x:c r="J7" s="9" t="str">
        <x:f>IF(AND(D7&gt;=0,E7&lt;=I7,F7&gt;0,IF(G7=1,F7&gt;='Controls'!$D$76,1)),"PASS","FAIL")</x:f>
        <x:v>PASS</x:v>
      </x:c>
      <x:c r="K7" s="9" t="str">
        <x:v>OPEN</x:v>
      </x:c>
    </x:row>
    <x:row r="8">
      <x:c r="B8" s="9" t="str">
        <x:v>P02</x:v>
      </x:c>
      <x:c r="C8" s="9" t="str">
        <x:v>root concept and hazard review</x:v>
      </x:c>
      <x:c r="D8" s="9" t="n">
        <x:v>2</x:v>
      </x:c>
      <x:c r="E8" s="9" t="n">
        <x:v>8</x:v>
      </x:c>
      <x:c r="F8" s="9" t="n">
        <x:f>E8-D8</x:f>
        <x:v>6</x:v>
      </x:c>
      <x:c r="G8" s="9" t="n">
        <x:v>0</x:v>
      </x:c>
      <x:c r="H8" s="9" t="str">
        <x:v>P01</x:v>
      </x:c>
      <x:c r="I8" s="9" t="n">
        <x:v>36</x:v>
      </x:c>
      <x:c r="J8" s="9" t="str">
        <x:f>IF(AND(D8&gt;=0,E8&lt;=I8,F8&gt;0,IF(G8=1,F8&gt;='Controls'!$D$76,1)),"PASS","FAIL")</x:f>
        <x:v>PASS</x:v>
      </x:c>
      <x:c r="K8" s="9" t="str">
        <x:v>OPEN</x:v>
      </x:c>
    </x:row>
    <x:row r="9">
      <x:c r="B9" s="9" t="str">
        <x:v>P03</x:v>
      </x:c>
      <x:c r="C9" s="9" t="str">
        <x:v>receiver-spine design</x:v>
      </x:c>
      <x:c r="D9" s="9" t="n">
        <x:v>4</x:v>
      </x:c>
      <x:c r="E9" s="9" t="n">
        <x:v>10</x:v>
      </x:c>
      <x:c r="F9" s="9" t="n">
        <x:f>E9-D9</x:f>
        <x:v>6</x:v>
      </x:c>
      <x:c r="G9" s="9" t="n">
        <x:v>0</x:v>
      </x:c>
      <x:c r="H9" s="9" t="str">
        <x:v>P02</x:v>
      </x:c>
      <x:c r="I9" s="9" t="n">
        <x:v>36</x:v>
      </x:c>
      <x:c r="J9" s="9" t="str">
        <x:f>IF(AND(D9&gt;=0,E9&lt;=I9,F9&gt;0,IF(G9=1,F9&gt;='Controls'!$D$76,1)),"PASS","FAIL")</x:f>
        <x:v>PASS</x:v>
      </x:c>
      <x:c r="K9" s="9" t="str">
        <x:v>OPEN</x:v>
      </x:c>
    </x:row>
    <x:row r="10">
      <x:c r="B10" s="9" t="str">
        <x:v>P04</x:v>
      </x:c>
      <x:c r="C10" s="9" t="str">
        <x:v>fixture and truth-system design</x:v>
      </x:c>
      <x:c r="D10" s="9" t="n">
        <x:v>6</x:v>
      </x:c>
      <x:c r="E10" s="9" t="n">
        <x:v>14</x:v>
      </x:c>
      <x:c r="F10" s="9" t="n">
        <x:f>E10-D10</x:f>
        <x:v>8</x:v>
      </x:c>
      <x:c r="G10" s="9" t="n">
        <x:v>0</x:v>
      </x:c>
      <x:c r="H10" s="9" t="str">
        <x:v>P03</x:v>
      </x:c>
      <x:c r="I10" s="9" t="n">
        <x:v>36</x:v>
      </x:c>
      <x:c r="J10" s="9" t="str">
        <x:f>IF(AND(D10&gt;=0,E10&lt;=I10,F10&gt;0,IF(G10=1,F10&gt;='Controls'!$D$76,1)),"PASS","FAIL")</x:f>
        <x:v>PASS</x:v>
      </x:c>
      <x:c r="K10" s="9" t="str">
        <x:v>OPEN</x:v>
      </x:c>
    </x:row>
    <x:row r="11">
      <x:c r="B11" s="9" t="str">
        <x:v>P05</x:v>
      </x:c>
      <x:c r="C11" s="9" t="str">
        <x:v>article build release</x:v>
      </x:c>
      <x:c r="D11" s="9" t="n">
        <x:v>8</x:v>
      </x:c>
      <x:c r="E11" s="9" t="n">
        <x:v>16</x:v>
      </x:c>
      <x:c r="F11" s="9" t="n">
        <x:f>E11-D11</x:f>
        <x:v>8</x:v>
      </x:c>
      <x:c r="G11" s="9" t="n">
        <x:v>0</x:v>
      </x:c>
      <x:c r="H11" s="9" t="str">
        <x:v>P04</x:v>
      </x:c>
      <x:c r="I11" s="9" t="n">
        <x:v>36</x:v>
      </x:c>
      <x:c r="J11" s="9" t="str">
        <x:f>IF(AND(D11&gt;=0,E11&lt;=I11,F11&gt;0,IF(G11=1,F11&gt;='Controls'!$D$76,1)),"PASS","FAIL")</x:f>
        <x:v>PASS</x:v>
      </x:c>
      <x:c r="K11" s="9" t="str">
        <x:v>OPEN</x:v>
      </x:c>
    </x:row>
    <x:row r="12">
      <x:c r="B12" s="9" t="str">
        <x:v>P06</x:v>
      </x:c>
      <x:c r="C12" s="9" t="str">
        <x:v>first serial builds</x:v>
      </x:c>
      <x:c r="D12" s="9" t="n">
        <x:v>12</x:v>
      </x:c>
      <x:c r="E12" s="9" t="n">
        <x:v>20</x:v>
      </x:c>
      <x:c r="F12" s="9" t="n">
        <x:f>E12-D12</x:f>
        <x:v>8</x:v>
      </x:c>
      <x:c r="G12" s="9" t="n">
        <x:v>0</x:v>
      </x:c>
      <x:c r="H12" s="9" t="str">
        <x:v>P05</x:v>
      </x:c>
      <x:c r="I12" s="9" t="n">
        <x:v>36</x:v>
      </x:c>
      <x:c r="J12" s="9" t="str">
        <x:f>IF(AND(D12&gt;=0,E12&lt;=I12,F12&gt;0,IF(G12=1,F12&gt;='Controls'!$D$76,1)),"PASS","FAIL")</x:f>
        <x:v>PASS</x:v>
      </x:c>
      <x:c r="K12" s="9" t="str">
        <x:v>OPEN</x:v>
      </x:c>
    </x:row>
    <x:row r="13">
      <x:c r="B13" s="9" t="str">
        <x:v>P07</x:v>
      </x:c>
      <x:c r="C13" s="9" t="str">
        <x:v>fresh and challenge trials</x:v>
      </x:c>
      <x:c r="D13" s="9" t="n">
        <x:v>16</x:v>
      </x:c>
      <x:c r="E13" s="9" t="n">
        <x:v>24</x:v>
      </x:c>
      <x:c r="F13" s="9" t="n">
        <x:f>E13-D13</x:f>
        <x:v>8</x:v>
      </x:c>
      <x:c r="G13" s="9" t="n">
        <x:v>0</x:v>
      </x:c>
      <x:c r="H13" s="9" t="str">
        <x:v>P06</x:v>
      </x:c>
      <x:c r="I13" s="9" t="n">
        <x:v>36</x:v>
      </x:c>
      <x:c r="J13" s="9" t="str">
        <x:f>IF(AND(D13&gt;=0,E13&lt;=I13,F13&gt;0,IF(G13=1,F13&gt;='Controls'!$D$76,1)),"PASS","FAIL")</x:f>
        <x:v>PASS</x:v>
      </x:c>
      <x:c r="K13" s="9" t="str">
        <x:v>OPEN</x:v>
      </x:c>
    </x:row>
    <x:row r="14">
      <x:c r="B14" s="9" t="str">
        <x:v>P08</x:v>
      </x:c>
      <x:c r="C14" s="9" t="str">
        <x:v>cold cohort storage and exposure</x:v>
      </x:c>
      <x:c r="D14" s="9" t="n">
        <x:v>12</x:v>
      </x:c>
      <x:c r="E14" s="9" t="n">
        <x:v>30</x:v>
      </x:c>
      <x:c r="F14" s="9" t="n">
        <x:f>E14-D14</x:f>
        <x:v>18</x:v>
      </x:c>
      <x:c r="G14" s="9" t="n">
        <x:v>1</x:v>
      </x:c>
      <x:c r="H14" s="9" t="str">
        <x:v>P07</x:v>
      </x:c>
      <x:c r="I14" s="9" t="n">
        <x:v>36</x:v>
      </x:c>
      <x:c r="J14" s="9" t="str">
        <x:f>IF(AND(D14&gt;=0,E14&lt;=I14,F14&gt;0,IF(G14=1,F14&gt;='Controls'!$D$76,1)),"PASS","FAIL")</x:f>
        <x:v>PASS</x:v>
      </x:c>
      <x:c r="K14" s="9" t="str">
        <x:v>OPEN</x:v>
      </x:c>
    </x:row>
    <x:row r="15">
      <x:c r="B15" s="9" t="str">
        <x:v>P09</x:v>
      </x:c>
      <x:c r="C15" s="9" t="str">
        <x:v>receiver and integrated trials</x:v>
      </x:c>
      <x:c r="D15" s="9" t="n">
        <x:v>20</x:v>
      </x:c>
      <x:c r="E15" s="9" t="n">
        <x:v>28</x:v>
      </x:c>
      <x:c r="F15" s="9" t="n">
        <x:f>E15-D15</x:f>
        <x:v>8</x:v>
      </x:c>
      <x:c r="G15" s="9" t="n">
        <x:v>0</x:v>
      </x:c>
      <x:c r="H15" s="9" t="str">
        <x:v>P08</x:v>
      </x:c>
      <x:c r="I15" s="9" t="n">
        <x:v>36</x:v>
      </x:c>
      <x:c r="J15" s="9" t="str">
        <x:f>IF(AND(D15&gt;=0,E15&lt;=I15,F15&gt;0,IF(G15=1,F15&gt;='Controls'!$D$76,1)),"PASS","FAIL")</x:f>
        <x:v>PASS</x:v>
      </x:c>
      <x:c r="K15" s="9" t="str">
        <x:v>OPEN</x:v>
      </x:c>
    </x:row>
    <x:row r="16">
      <x:c r="B16" s="9" t="str">
        <x:v>P10</x:v>
      </x:c>
      <x:c r="C16" s="9" t="str">
        <x:v>fault and clean-control campaign</x:v>
      </x:c>
      <x:c r="D16" s="9" t="n">
        <x:v>24</x:v>
      </x:c>
      <x:c r="E16" s="9" t="n">
        <x:v>32</x:v>
      </x:c>
      <x:c r="F16" s="9" t="n">
        <x:f>E16-D16</x:f>
        <x:v>8</x:v>
      </x:c>
      <x:c r="G16" s="9" t="n">
        <x:v>0</x:v>
      </x:c>
      <x:c r="H16" s="9" t="str">
        <x:v>P09</x:v>
      </x:c>
      <x:c r="I16" s="9" t="n">
        <x:v>36</x:v>
      </x:c>
      <x:c r="J16" s="9" t="str">
        <x:f>IF(AND(D16&gt;=0,E16&lt;=I16,F16&gt;0,IF(G16=1,F16&gt;='Controls'!$D$76,1)),"PASS","FAIL")</x:f>
        <x:v>PASS</x:v>
      </x:c>
      <x:c r="K16" s="9" t="str">
        <x:v>OPEN</x:v>
      </x:c>
    </x:row>
    <x:row r="17">
      <x:c r="B17" s="9" t="str">
        <x:v>P11</x:v>
      </x:c>
      <x:c r="C17" s="9" t="str">
        <x:v>independent replay and reset</x:v>
      </x:c>
      <x:c r="D17" s="9" t="n">
        <x:v>30</x:v>
      </x:c>
      <x:c r="E17" s="9" t="n">
        <x:v>34</x:v>
      </x:c>
      <x:c r="F17" s="9" t="n">
        <x:f>E17-D17</x:f>
        <x:v>4</x:v>
      </x:c>
      <x:c r="G17" s="9" t="n">
        <x:v>0</x:v>
      </x:c>
      <x:c r="H17" s="9" t="str">
        <x:v>P10</x:v>
      </x:c>
      <x:c r="I17" s="9" t="n">
        <x:v>36</x:v>
      </x:c>
      <x:c r="J17" s="9" t="str">
        <x:f>IF(AND(D17&gt;=0,E17&lt;=I17,F17&gt;0,IF(G17=1,F17&gt;='Controls'!$D$76,1)),"PASS","FAIL")</x:f>
        <x:v>PASS</x:v>
      </x:c>
      <x:c r="K17" s="9" t="str">
        <x:v>OPEN</x:v>
      </x:c>
    </x:row>
    <x:row r="18">
      <x:c r="B18" s="10" t="str">
        <x:v>P12</x:v>
      </x:c>
      <x:c r="C18" s="10" t="str">
        <x:v>terminal decision package</x:v>
      </x:c>
      <x:c r="D18" s="10" t="n">
        <x:v>34</x:v>
      </x:c>
      <x:c r="E18" s="10" t="n">
        <x:v>36</x:v>
      </x:c>
      <x:c r="F18" s="10" t="n">
        <x:f>E18-D18</x:f>
        <x:v>2</x:v>
      </x:c>
      <x:c r="G18" s="10" t="n">
        <x:v>0</x:v>
      </x:c>
      <x:c r="H18" s="10" t="str">
        <x:v>P11</x:v>
      </x:c>
      <x:c r="I18" s="10" t="n">
        <x:v>36</x:v>
      </x:c>
      <x:c r="J18" s="10" t="str">
        <x:f>IF(AND(D18&gt;=0,E18&lt;=I18,F18&gt;0,IF(G18=1,F18&gt;='Controls'!$D$76,1)),"PASS","FAIL")</x:f>
        <x:v>PASS</x:v>
      </x:c>
      <x:c r="K18" s="10" t="str">
        <x:v>OPEN</x:v>
      </x:c>
    </x:row>
  </x:sheetData>
  <x:mergeCells>
    <x:mergeCell ref="B2:K2"/>
    <x:mergeCell ref="B3:K3"/>
  </x:mergeCells>
  <x:conditionalFormatting sqref="J7:K18">
    <x:cfRule type="containsText" dxfId="195" priority="1" operator="containsText" text="PASS"/>
    <x:cfRule type="containsText" dxfId="196" priority="2" operator="containsText" text="AUTHORIZED"/>
    <x:cfRule type="containsText" dxfId="197" priority="3" operator="containsText" text="DEFINED"/>
    <x:cfRule type="containsText" dxfId="198" priority="4" operator="containsText" text="READY"/>
    <x:cfRule type="containsText" dxfId="199" priority="5" operator="containsText" text="HOLD"/>
    <x:cfRule type="containsText" dxfId="200" priority="6" operator="containsText" text="OPEN"/>
    <x:cfRule type="containsText" dxfId="201" priority="7" operator="containsText" text="BLOCKED"/>
    <x:cfRule type="containsText" dxfId="202" priority="8" operator="containsText" text="PLANNING"/>
    <x:cfRule type="containsText" dxfId="203" priority="9" operator="containsText" text="FAIL"/>
    <x:cfRule type="containsText" dxfId="204" priority="10" operator="containsText" text="REJECT"/>
    <x:cfRule type="containsText" dxfId="205" priority="11" operator="containsText" text="LATE"/>
    <x:cfRule type="containsText" dxfId="206" priority="12" operator="containsText" text="INCOMPLETE"/>
    <x:cfRule type="containsText" dxfId="207" priority="13" operator="containsText" text="INDETERMINATE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0" hidden="0" customWidth="1"/>
    <x:col min="3" max="3" width="20" hidden="0" customWidth="1"/>
    <x:col min="4" max="4" width="18" hidden="0" customWidth="1"/>
    <x:col min="5" max="5" width="22" hidden="0" customWidth="1"/>
    <x:col min="6" max="6" width="17" hidden="0" customWidth="1"/>
    <x:col min="7" max="7" width="18" hidden="0" customWidth="1"/>
    <x:col min="8" max="8" width="16" hidden="0" customWidth="1"/>
  </x:cols>
  <x:sheetData>
    <x:row r="2">
      <x:c r="B2" s="28" t="str">
        <x:v>CISA-1 capital cross-classification</x:v>
      </x:c>
      <x:c r="C2" s="8"/>
      <x:c r="D2" s="8"/>
      <x:c r="E2" s="8"/>
      <x:c r="F2" s="8"/>
      <x:c r="G2" s="8"/>
      <x:c r="H2" s="8"/>
    </x:row>
    <x:row r="3">
      <x:c r="B3" s="2" t="str">
        <x:v>The CISA draw remains within the USD 3.000B MQP-1 qualification program.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Class</x:v>
      </x:c>
      <x:c r="C6" s="7" t="str">
        <x:v>MQP-1 capital</x:v>
      </x:c>
      <x:c r="D6" s="7" t="str">
        <x:v>CISA-1 draw</x:v>
      </x:c>
      <x:c r="E6" s="7" t="str">
        <x:v>Remaining MQP-1</x:v>
      </x:c>
      <x:c r="F6" s="7" t="str">
        <x:v>Share of CISA</x:v>
      </x:c>
      <x:c r="G6" s="7" t="str">
        <x:v>Reconciliation</x:v>
      </x:c>
      <x:c r="H6" s="7" t="str">
        <x:v>Gate</x:v>
      </x:c>
    </x:row>
    <x:row r="7">
      <x:c r="B7" s="9" t="str">
        <x:v>industrial roots</x:v>
      </x:c>
      <x:c r="C7" s="19" t="n">
        <x:v>0.78</x:v>
      </x:c>
      <x:c r="D7" s="19" t="n">
        <x:v>0.18</x:v>
      </x:c>
      <x:c r="E7" s="19" t="n">
        <x:f>C7-D7</x:f>
        <x:v>0.6000000000000001</x:v>
      </x:c>
      <x:c r="F7" s="19" t="n">
        <x:f>D7/'Controls'!$D$77</x:f>
        <x:v>0.1875</x:v>
      </x:c>
      <x:c r="G7" s="19" t="n">
        <x:f>C7-D7-E7</x:f>
        <x:v>0</x:v>
      </x:c>
      <x:c r="H7" s="9" t="str">
        <x:f>IF(AND(E7&gt;=0,ABS(G7)&lt;0.000001),"PASS","FAIL")</x:f>
        <x:v>PASS</x:v>
      </x:c>
    </x:row>
    <x:row r="8">
      <x:c r="B8" s="9" t="str">
        <x:v>receiver spines</x:v>
      </x:c>
      <x:c r="C8" s="19" t="n">
        <x:v>0.18</x:v>
      </x:c>
      <x:c r="D8" s="19" t="n">
        <x:v>0.12</x:v>
      </x:c>
      <x:c r="E8" s="19" t="n">
        <x:f>C8-D8</x:f>
        <x:v>0.06</x:v>
      </x:c>
      <x:c r="F8" s="19" t="n">
        <x:f>D8/'Controls'!$D$77</x:f>
        <x:v>0.125</x:v>
      </x:c>
      <x:c r="G8" s="19" t="n">
        <x:f>C8-D8-E8</x:f>
        <x:v>0</x:v>
      </x:c>
      <x:c r="H8" s="9" t="str">
        <x:f>IF(AND(E8&gt;=0,ABS(G8)&lt;0.000001),"PASS","FAIL")</x:f>
        <x:v>PASS</x:v>
      </x:c>
    </x:row>
    <x:row r="9">
      <x:c r="B9" s="9" t="str">
        <x:v>arsenals</x:v>
      </x:c>
      <x:c r="C9" s="19" t="n">
        <x:v>0.15</x:v>
      </x:c>
      <x:c r="D9" s="19" t="n">
        <x:v>0.04</x:v>
      </x:c>
      <x:c r="E9" s="19" t="n">
        <x:f>C9-D9</x:f>
        <x:v>0.10999999999999999</x:v>
      </x:c>
      <x:c r="F9" s="19" t="n">
        <x:f>D9/'Controls'!$D$77</x:f>
        <x:v>0.04166666666666667</x:v>
      </x:c>
      <x:c r="G9" s="19" t="n">
        <x:f>C9-D9-E9</x:f>
        <x:v>0</x:v>
      </x:c>
      <x:c r="H9" s="9" t="str">
        <x:f>IF(AND(E9&gt;=0,ABS(G9)&lt;0.000001),"PASS","FAIL")</x:f>
        <x:v>PASS</x:v>
      </x:c>
    </x:row>
    <x:row r="10">
      <x:c r="B10" s="9" t="str">
        <x:v>mobile transport</x:v>
      </x:c>
      <x:c r="C10" s="19" t="n">
        <x:v>0.26</x:v>
      </x:c>
      <x:c r="D10" s="19" t="n">
        <x:v>0.09</x:v>
      </x:c>
      <x:c r="E10" s="19" t="n">
        <x:f>C10-D10</x:f>
        <x:v>0.17</x:v>
      </x:c>
      <x:c r="F10" s="19" t="n">
        <x:f>D10/'Controls'!$D$77</x:f>
        <x:v>0.09375</x:v>
      </x:c>
      <x:c r="G10" s="19" t="n">
        <x:f>C10-D10-E10</x:f>
        <x:v>0</x:v>
      </x:c>
      <x:c r="H10" s="9" t="str">
        <x:f>IF(AND(E10&gt;=0,ABS(G10)&lt;0.000001),"PASS","FAIL")</x:f>
        <x:v>PASS</x:v>
      </x:c>
    </x:row>
    <x:row r="11">
      <x:c r="B11" s="9" t="str">
        <x:v>commissioning</x:v>
      </x:c>
      <x:c r="C11" s="19" t="n">
        <x:v>0.41</x:v>
      </x:c>
      <x:c r="D11" s="19" t="n">
        <x:v>0.14</x:v>
      </x:c>
      <x:c r="E11" s="19" t="n">
        <x:f>C11-D11</x:f>
        <x:v>0.26999999999999996</x:v>
      </x:c>
      <x:c r="F11" s="19" t="n">
        <x:f>D11/'Controls'!$D$77</x:f>
        <x:v>0.14583333333333334</x:v>
      </x:c>
      <x:c r="G11" s="19" t="n">
        <x:f>C11-D11-E11</x:f>
        <x:v>0</x:v>
      </x:c>
      <x:c r="H11" s="9" t="str">
        <x:f>IF(AND(E11&gt;=0,ABS(G11)&lt;0.000001),"PASS","FAIL")</x:f>
        <x:v>PASS</x:v>
      </x:c>
    </x:row>
    <x:row r="12">
      <x:c r="B12" s="9" t="str">
        <x:v>qualification range</x:v>
      </x:c>
      <x:c r="C12" s="19" t="n">
        <x:v>0.45</x:v>
      </x:c>
      <x:c r="D12" s="19" t="n">
        <x:v>0.18</x:v>
      </x:c>
      <x:c r="E12" s="19" t="n">
        <x:f>C12-D12</x:f>
        <x:v>0.27</x:v>
      </x:c>
      <x:c r="F12" s="19" t="n">
        <x:f>D12/'Controls'!$D$77</x:f>
        <x:v>0.1875</x:v>
      </x:c>
      <x:c r="G12" s="19" t="n">
        <x:f>C12-D12-E12</x:f>
        <x:v>0</x:v>
      </x:c>
      <x:c r="H12" s="9" t="str">
        <x:f>IF(AND(E12&gt;=0,ABS(G12)&lt;0.000001),"PASS","FAIL")</x:f>
        <x:v>PASS</x:v>
      </x:c>
    </x:row>
    <x:row r="13">
      <x:c r="B13" s="9" t="str">
        <x:v>environmental closure</x:v>
      </x:c>
      <x:c r="C13" s="19" t="n">
        <x:v>0.24</x:v>
      </x:c>
      <x:c r="D13" s="19" t="n">
        <x:v>0.06</x:v>
      </x:c>
      <x:c r="E13" s="19" t="n">
        <x:f>C13-D13</x:f>
        <x:v>0.18</x:v>
      </x:c>
      <x:c r="F13" s="19" t="n">
        <x:f>D13/'Controls'!$D$77</x:f>
        <x:v>0.0625</x:v>
      </x:c>
      <x:c r="G13" s="19" t="n">
        <x:f>C13-D13-E13</x:f>
        <x:v>0</x:v>
      </x:c>
      <x:c r="H13" s="9" t="str">
        <x:f>IF(AND(E13&gt;=0,ABS(G13)&lt;0.000001),"PASS","FAIL")</x:f>
        <x:v>PASS</x:v>
      </x:c>
    </x:row>
    <x:row r="14">
      <x:c r="B14" s="9" t="str">
        <x:v>data and evidence</x:v>
      </x:c>
      <x:c r="C14" s="19" t="n">
        <x:v>0.21</x:v>
      </x:c>
      <x:c r="D14" s="19" t="n">
        <x:v>0.08</x:v>
      </x:c>
      <x:c r="E14" s="19" t="n">
        <x:f>C14-D14</x:f>
        <x:v>0.13</x:v>
      </x:c>
      <x:c r="F14" s="19" t="n">
        <x:f>D14/'Controls'!$D$77</x:f>
        <x:v>0.08333333333333334</x:v>
      </x:c>
      <x:c r="G14" s="19" t="n">
        <x:f>C14-D14-E14</x:f>
        <x:v>0</x:v>
      </x:c>
      <x:c r="H14" s="9" t="str">
        <x:f>IF(AND(E14&gt;=0,ABS(G14)&lt;0.000001),"PASS","FAIL")</x:f>
        <x:v>PASS</x:v>
      </x:c>
    </x:row>
    <x:row r="15">
      <x:c r="B15" s="9" t="str">
        <x:v>contingency</x:v>
      </x:c>
      <x:c r="C15" s="19" t="n">
        <x:v>0.32</x:v>
      </x:c>
      <x:c r="D15" s="19" t="n">
        <x:v>0.07</x:v>
      </x:c>
      <x:c r="E15" s="19" t="n">
        <x:f>C15-D15</x:f>
        <x:v>0.25</x:v>
      </x:c>
      <x:c r="F15" s="19" t="n">
        <x:f>D15/'Controls'!$D$77</x:f>
        <x:v>0.07291666666666667</x:v>
      </x:c>
      <x:c r="G15" s="19" t="n">
        <x:f>C15-D15-E15</x:f>
        <x:v>0</x:v>
      </x:c>
      <x:c r="H15" s="9" t="str">
        <x:f>IF(AND(E15&gt;=0,ABS(G15)&lt;0.000001),"PASS","FAIL")</x:f>
        <x:v>PASS</x:v>
      </x:c>
    </x:row>
    <x:row r="16">
      <x:c r="B16" s="9"/>
      <x:c r="C16" s="19"/>
      <x:c r="D16" s="19"/>
      <x:c r="E16" s="19"/>
      <x:c r="F16" s="19"/>
      <x:c r="G16" s="19"/>
      <x:c r="H16" s="9"/>
    </x:row>
    <x:row r="17">
      <x:c r="B17" s="9"/>
      <x:c r="C17" s="19"/>
      <x:c r="D17" s="19"/>
      <x:c r="E17" s="19"/>
      <x:c r="F17" s="19"/>
      <x:c r="G17" s="19"/>
      <x:c r="H17" s="9"/>
    </x:row>
    <x:row r="18">
      <x:c r="B18" s="10" t="str">
        <x:v>Total</x:v>
      </x:c>
      <x:c r="C18" s="20" t="n">
        <x:f>SUM(C7:C15)</x:f>
        <x:v>2.9999999999999996</x:v>
      </x:c>
      <x:c r="D18" s="20" t="n">
        <x:f>SUM(D7:D15)</x:f>
        <x:v>0.96</x:v>
      </x:c>
      <x:c r="E18" s="20" t="n">
        <x:f>SUM(E7:E15)</x:f>
        <x:v>2.04</x:v>
      </x:c>
      <x:c r="F18" s="20" t="n">
        <x:f>SUM(F7:F15)</x:f>
        <x:v>1</x:v>
      </x:c>
      <x:c r="G18" s="20" t="n">
        <x:f>C18-D18-E18</x:f>
        <x:v>-4.440892098500626e-16</x:v>
      </x:c>
      <x:c r="H18" s="10" t="str">
        <x:f>IF(AND(ABS(C18-3)&lt;0.000001,ABS(D18-'Controls'!$D$77)&lt;0.000001,ABS(G18)&lt;0.000001),"PASS","FAIL")</x:f>
        <x:v>PASS</x:v>
      </x:c>
    </x:row>
  </x:sheetData>
  <x:mergeCells>
    <x:mergeCell ref="B2:H2"/>
    <x:mergeCell ref="B3:H3"/>
  </x:mergeCells>
  <x:conditionalFormatting sqref="H7:H18">
    <x:cfRule type="containsText" dxfId="208" priority="1" operator="containsText" text="PASS"/>
    <x:cfRule type="containsText" dxfId="209" priority="2" operator="containsText" text="AUTHORIZED"/>
    <x:cfRule type="containsText" dxfId="210" priority="3" operator="containsText" text="DEFINED"/>
    <x:cfRule type="containsText" dxfId="211" priority="4" operator="containsText" text="READY"/>
    <x:cfRule type="containsText" dxfId="212" priority="5" operator="containsText" text="HOLD"/>
    <x:cfRule type="containsText" dxfId="213" priority="6" operator="containsText" text="OPEN"/>
    <x:cfRule type="containsText" dxfId="214" priority="7" operator="containsText" text="BLOCKED"/>
    <x:cfRule type="containsText" dxfId="215" priority="8" operator="containsText" text="PLANNING"/>
    <x:cfRule type="containsText" dxfId="216" priority="9" operator="containsText" text="FAIL"/>
    <x:cfRule type="containsText" dxfId="217" priority="10" operator="containsText" text="REJECT"/>
    <x:cfRule type="containsText" dxfId="218" priority="11" operator="containsText" text="LATE"/>
    <x:cfRule type="containsText" dxfId="219" priority="12" operator="containsText" text="INCOMPLETE"/>
    <x:cfRule type="containsText" dxfId="220" priority="13" operator="containsText" text="INDETERMINATE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0" hidden="0" customWidth="1"/>
    <x:col min="3" max="3" width="20" hidden="0" customWidth="1"/>
    <x:col min="4" max="4" width="18" hidden="0" customWidth="1"/>
    <x:col min="5" max="5" width="22" hidden="0" customWidth="1"/>
    <x:col min="6" max="6" width="17" hidden="0" customWidth="1"/>
    <x:col min="7" max="7" width="18" hidden="0" customWidth="1"/>
    <x:col min="8" max="8" width="16" hidden="0" customWidth="1"/>
  </x:cols>
  <x:sheetData>
    <x:row r="2">
      <x:c r="B2" s="28" t="str">
        <x:v>CISA-1 annual operating cross-classification</x:v>
      </x:c>
      <x:c r="C2" s="8"/>
      <x:c r="D2" s="8"/>
      <x:c r="E2" s="8"/>
      <x:c r="F2" s="8"/>
      <x:c r="G2" s="8"/>
      <x:c r="H2" s="8"/>
    </x:row>
    <x:row r="3">
      <x:c r="B3" s="2" t="str">
        <x:v>The annual draw is a qualification-program allocation, not a fleet operating estimate.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Class</x:v>
      </x:c>
      <x:c r="C6" s="7" t="str">
        <x:v>MQP-1 annual</x:v>
      </x:c>
      <x:c r="D6" s="7" t="str">
        <x:v>CISA-1 draw</x:v>
      </x:c>
      <x:c r="E6" s="7" t="str">
        <x:v>Remaining MQP-1</x:v>
      </x:c>
      <x:c r="F6" s="7" t="str">
        <x:v>Share of CISA</x:v>
      </x:c>
      <x:c r="G6" s="7" t="str">
        <x:v>Reconciliation</x:v>
      </x:c>
      <x:c r="H6" s="7" t="str">
        <x:v>Gate</x:v>
      </x:c>
    </x:row>
    <x:row r="7">
      <x:c r="B7" s="9" t="str">
        <x:v>public people</x:v>
      </x:c>
      <x:c r="C7" s="19" t="n">
        <x:v>0.18</x:v>
      </x:c>
      <x:c r="D7" s="19" t="n">
        <x:v>0.055</x:v>
      </x:c>
      <x:c r="E7" s="19" t="n">
        <x:f>C7-D7</x:f>
        <x:v>0.125</x:v>
      </x:c>
      <x:c r="F7" s="19" t="n">
        <x:f>D7/'Controls'!$D$78</x:f>
        <x:v>0.21153846153846154</x:v>
      </x:c>
      <x:c r="G7" s="19" t="n">
        <x:f>C7-D7-E7</x:f>
        <x:v>0</x:v>
      </x:c>
      <x:c r="H7" s="9" t="str">
        <x:f>IF(AND(E7&gt;=0,ABS(G7)&lt;0.000001),"PASS","FAIL")</x:f>
        <x:v>PASS</x:v>
      </x:c>
    </x:row>
    <x:row r="8">
      <x:c r="B8" s="9" t="str">
        <x:v>root affiliates</x:v>
      </x:c>
      <x:c r="C8" s="19" t="n">
        <x:v>0.16</x:v>
      </x:c>
      <x:c r="D8" s="19" t="n">
        <x:v>0.045</x:v>
      </x:c>
      <x:c r="E8" s="19" t="n">
        <x:f>C8-D8</x:f>
        <x:v>0.115</x:v>
      </x:c>
      <x:c r="F8" s="19" t="n">
        <x:f>D8/'Controls'!$D$78</x:f>
        <x:v>0.17307692307692307</x:v>
      </x:c>
      <x:c r="G8" s="19" t="n">
        <x:f>C8-D8-E8</x:f>
        <x:v>0</x:v>
      </x:c>
      <x:c r="H8" s="9" t="str">
        <x:f>IF(AND(E8&gt;=0,ABS(G8)&lt;0.000001),"PASS","FAIL")</x:f>
        <x:v>PASS</x:v>
      </x:c>
    </x:row>
    <x:row r="9">
      <x:c r="B9" s="9" t="str">
        <x:v>shipset preservation</x:v>
      </x:c>
      <x:c r="C9" s="19" t="n">
        <x:v>0.05</x:v>
      </x:c>
      <x:c r="D9" s="19" t="n">
        <x:v>0</x:v>
      </x:c>
      <x:c r="E9" s="19" t="n">
        <x:f>C9-D9</x:f>
        <x:v>0.05</x:v>
      </x:c>
      <x:c r="F9" s="19" t="n">
        <x:f>D9/'Controls'!$D$78</x:f>
        <x:v>0</x:v>
      </x:c>
      <x:c r="G9" s="19" t="n">
        <x:f>C9-D9-E9</x:f>
        <x:v>0</x:v>
      </x:c>
      <x:c r="H9" s="9" t="str">
        <x:f>IF(AND(E9&gt;=0,ABS(G9)&lt;0.000001),"PASS","FAIL")</x:f>
        <x:v>PASS</x:v>
      </x:c>
    </x:row>
    <x:row r="10">
      <x:c r="B10" s="9" t="str">
        <x:v>receiver upkeep</x:v>
      </x:c>
      <x:c r="C10" s="19" t="n">
        <x:v>0.03</x:v>
      </x:c>
      <x:c r="D10" s="19" t="n">
        <x:v>0.02</x:v>
      </x:c>
      <x:c r="E10" s="19" t="n">
        <x:f>C10-D10</x:f>
        <x:v>0.009999999999999998</x:v>
      </x:c>
      <x:c r="F10" s="19" t="n">
        <x:f>D10/'Controls'!$D$78</x:f>
        <x:v>0.07692307692307693</x:v>
      </x:c>
      <x:c r="G10" s="19" t="n">
        <x:f>C10-D10-E10</x:f>
        <x:v>0</x:v>
      </x:c>
      <x:c r="H10" s="9" t="str">
        <x:f>IF(AND(E10&gt;=0,ABS(G10)&lt;0.000001),"PASS","FAIL")</x:f>
        <x:v>PASS</x:v>
      </x:c>
    </x:row>
    <x:row r="11">
      <x:c r="B11" s="9" t="str">
        <x:v>arsenal upkeep</x:v>
      </x:c>
      <x:c r="C11" s="19" t="n">
        <x:v>0.024</x:v>
      </x:c>
      <x:c r="D11" s="19" t="n">
        <x:v>0.008</x:v>
      </x:c>
      <x:c r="E11" s="19" t="n">
        <x:f>C11-D11</x:f>
        <x:v>0.016</x:v>
      </x:c>
      <x:c r="F11" s="19" t="n">
        <x:f>D11/'Controls'!$D$78</x:f>
        <x:v>0.030769230769230767</x:v>
      </x:c>
      <x:c r="G11" s="19" t="n">
        <x:f>C11-D11-E11</x:f>
        <x:v>0</x:v>
      </x:c>
      <x:c r="H11" s="9" t="str">
        <x:f>IF(AND(E11&gt;=0,ABS(G11)&lt;0.000001),"PASS","FAIL")</x:f>
        <x:v>PASS</x:v>
      </x:c>
    </x:row>
    <x:row r="12">
      <x:c r="B12" s="9" t="str">
        <x:v>root continuity</x:v>
      </x:c>
      <x:c r="C12" s="19" t="n">
        <x:v>0.05</x:v>
      </x:c>
      <x:c r="D12" s="19" t="n">
        <x:v>0.028</x:v>
      </x:c>
      <x:c r="E12" s="19" t="n">
        <x:f>C12-D12</x:f>
        <x:v>0.022000000000000002</x:v>
      </x:c>
      <x:c r="F12" s="19" t="n">
        <x:f>D12/'Controls'!$D$78</x:f>
        <x:v>0.10769230769230768</x:v>
      </x:c>
      <x:c r="G12" s="19" t="n">
        <x:f>C12-D12-E12</x:f>
        <x:v>0</x:v>
      </x:c>
      <x:c r="H12" s="9" t="str">
        <x:f>IF(AND(E12&gt;=0,ABS(G12)&lt;0.000001),"PASS","FAIL")</x:f>
        <x:v>PASS</x:v>
      </x:c>
    </x:row>
    <x:row r="13">
      <x:c r="B13" s="9" t="str">
        <x:v>partial assembly</x:v>
      </x:c>
      <x:c r="C13" s="19" t="n">
        <x:v>0.06</x:v>
      </x:c>
      <x:c r="D13" s="19" t="n">
        <x:v>0.03</x:v>
      </x:c>
      <x:c r="E13" s="19" t="n">
        <x:f>C13-D13</x:f>
        <x:v>0.03</x:v>
      </x:c>
      <x:c r="F13" s="19" t="n">
        <x:f>D13/'Controls'!$D$78</x:f>
        <x:v>0.11538461538461538</x:v>
      </x:c>
      <x:c r="G13" s="19" t="n">
        <x:f>C13-D13-E13</x:f>
        <x:v>0</x:v>
      </x:c>
      <x:c r="H13" s="9" t="str">
        <x:f>IF(AND(E13&gt;=0,ABS(G13)&lt;0.000001),"PASS","FAIL")</x:f>
        <x:v>PASS</x:v>
      </x:c>
    </x:row>
    <x:row r="14">
      <x:c r="B14" s="9" t="str">
        <x:v>cold storage</x:v>
      </x:c>
      <x:c r="C14" s="19" t="n">
        <x:v>0.06</x:v>
      </x:c>
      <x:c r="D14" s="19" t="n">
        <x:v>0.025</x:v>
      </x:c>
      <x:c r="E14" s="19" t="n">
        <x:f>C14-D14</x:f>
        <x:v>0.034999999999999996</x:v>
      </x:c>
      <x:c r="F14" s="19" t="n">
        <x:f>D14/'Controls'!$D$78</x:f>
        <x:v>0.09615384615384616</x:v>
      </x:c>
      <x:c r="G14" s="19" t="n">
        <x:f>C14-D14-E14</x:f>
        <x:v>0</x:v>
      </x:c>
      <x:c r="H14" s="9" t="str">
        <x:f>IF(AND(E14&gt;=0,ABS(G14)&lt;0.000001),"PASS","FAIL")</x:f>
        <x:v>PASS</x:v>
      </x:c>
    </x:row>
    <x:row r="15">
      <x:c r="B15" s="9" t="str">
        <x:v>transport exercise</x:v>
      </x:c>
      <x:c r="C15" s="19" t="n">
        <x:v>0.035</x:v>
      </x:c>
      <x:c r="D15" s="19" t="n">
        <x:v>0.018</x:v>
      </x:c>
      <x:c r="E15" s="19" t="n">
        <x:f>C15-D15</x:f>
        <x:v>0.017000000000000005</x:v>
      </x:c>
      <x:c r="F15" s="19" t="n">
        <x:f>D15/'Controls'!$D$78</x:f>
        <x:v>0.06923076923076922</x:v>
      </x:c>
      <x:c r="G15" s="19" t="n">
        <x:f>C15-D15-E15</x:f>
        <x:v>0</x:v>
      </x:c>
      <x:c r="H15" s="9" t="str">
        <x:f>IF(AND(E15&gt;=0,ABS(G15)&lt;0.000001),"PASS","FAIL")</x:f>
        <x:v>PASS</x:v>
      </x:c>
    </x:row>
    <x:row r="16">
      <x:c r="B16" s="9" t="str">
        <x:v>evidence custody</x:v>
      </x:c>
      <x:c r="C16" s="19" t="n">
        <x:v>0.02</x:v>
      </x:c>
      <x:c r="D16" s="19" t="n">
        <x:v>0.014</x:v>
      </x:c>
      <x:c r="E16" s="19" t="n">
        <x:f>C16-D16</x:f>
        <x:v>0.006</x:v>
      </x:c>
      <x:c r="F16" s="19" t="n">
        <x:f>D16/'Controls'!$D$78</x:f>
        <x:v>0.05384615384615384</x:v>
      </x:c>
      <x:c r="G16" s="19" t="n">
        <x:f>C16-D16-E16</x:f>
        <x:v>0</x:v>
      </x:c>
      <x:c r="H16" s="9" t="str">
        <x:f>IF(AND(E16&gt;=0,ABS(G16)&lt;0.000001),"PASS","FAIL")</x:f>
        <x:v>PASS</x:v>
      </x:c>
    </x:row>
    <x:row r="17">
      <x:c r="B17" s="9" t="str">
        <x:v>environmental closure</x:v>
      </x:c>
      <x:c r="C17" s="19" t="n">
        <x:v>0.018</x:v>
      </x:c>
      <x:c r="D17" s="19" t="n">
        <x:v>0.007</x:v>
      </x:c>
      <x:c r="E17" s="19" t="n">
        <x:f>C17-D17</x:f>
        <x:v>0.011</x:v>
      </x:c>
      <x:c r="F17" s="19" t="n">
        <x:f>D17/'Controls'!$D$78</x:f>
        <x:v>0.02692307692307692</x:v>
      </x:c>
      <x:c r="G17" s="19" t="n">
        <x:f>C17-D17-E17</x:f>
        <x:v>0</x:v>
      </x:c>
      <x:c r="H17" s="9" t="str">
        <x:f>IF(AND(E17&gt;=0,ABS(G17)&lt;0.000001),"PASS","FAIL")</x:f>
        <x:v>PASS</x:v>
      </x:c>
    </x:row>
    <x:row r="18">
      <x:c r="B18" s="9" t="str">
        <x:v>surge reserve</x:v>
      </x:c>
      <x:c r="C18" s="19" t="n">
        <x:v>0.033</x:v>
      </x:c>
      <x:c r="D18" s="19" t="n">
        <x:v>0.01</x:v>
      </x:c>
      <x:c r="E18" s="19" t="n">
        <x:f>C18-D18</x:f>
        <x:v>0.023</x:v>
      </x:c>
      <x:c r="F18" s="19" t="n">
        <x:f>D18/'Controls'!$D$78</x:f>
        <x:v>0.038461538461538464</x:v>
      </x:c>
      <x:c r="G18" s="19" t="n">
        <x:f>C18-D18-E18</x:f>
        <x:v>0</x:v>
      </x:c>
      <x:c r="H18" s="9" t="str">
        <x:f>IF(AND(E18&gt;=0,ABS(G18)&lt;0.000001),"PASS","FAIL")</x:f>
        <x:v>PASS</x:v>
      </x:c>
    </x:row>
    <x:row r="19">
      <x:c r="B19" s="9"/>
      <x:c r="C19" s="19"/>
      <x:c r="D19" s="19"/>
      <x:c r="E19" s="19"/>
      <x:c r="F19" s="19"/>
      <x:c r="G19" s="19"/>
      <x:c r="H19" s="9"/>
    </x:row>
    <x:row r="20">
      <x:c r="B20" s="9"/>
      <x:c r="C20" s="19"/>
      <x:c r="D20" s="19"/>
      <x:c r="E20" s="19"/>
      <x:c r="F20" s="19"/>
      <x:c r="G20" s="19"/>
      <x:c r="H20" s="9"/>
    </x:row>
    <x:row r="21">
      <x:c r="B21" s="9" t="str">
        <x:v>Annual total</x:v>
      </x:c>
      <x:c r="C21" s="19" t="n">
        <x:f>SUM(C7:C18)</x:f>
        <x:v>0.72</x:v>
      </x:c>
      <x:c r="D21" s="19" t="n">
        <x:f>SUM(D7:D18)</x:f>
        <x:v>0.26</x:v>
      </x:c>
      <x:c r="E21" s="19" t="n">
        <x:f>SUM(E7:E18)</x:f>
        <x:v>0.46</x:v>
      </x:c>
      <x:c r="F21" s="19" t="n">
        <x:f>SUM(F7:F18)</x:f>
        <x:v>1</x:v>
      </x:c>
      <x:c r="G21" s="19" t="n">
        <x:f>C21-D21-E21</x:f>
        <x:v>-5.551115123125783e-17</x:v>
      </x:c>
      <x:c r="H21" s="9" t="str">
        <x:f>IF(AND(ABS(C21-0.720)&lt;0.000001,ABS(D21-'Controls'!$D$78)&lt;0.000001,ABS(G21)&lt;0.000001),"PASS","FAIL")</x:f>
        <x:v>PASS</x:v>
      </x:c>
    </x:row>
    <x:row r="22">
      <x:c r="B22" s="9"/>
      <x:c r="C22" s="19"/>
      <x:c r="D22" s="19"/>
      <x:c r="E22" s="19"/>
      <x:c r="F22" s="19"/>
      <x:c r="G22" s="19"/>
      <x:c r="H22" s="9"/>
    </x:row>
    <x:row r="23">
      <x:c r="B23" s="9"/>
      <x:c r="C23" s="19"/>
      <x:c r="D23" s="19"/>
      <x:c r="E23" s="19"/>
      <x:c r="F23" s="19"/>
      <x:c r="G23" s="19"/>
      <x:c r="H23" s="9"/>
    </x:row>
    <x:row r="24">
      <x:c r="B24" s="10" t="str">
        <x:v>Three-year operating draw</x:v>
      </x:c>
      <x:c r="C24" s="20"/>
      <x:c r="D24" s="20" t="n">
        <x:f>D21*3</x:f>
        <x:v>0.78</x:v>
      </x:c>
      <x:c r="E24" s="20" t="str">
        <x:v>USD B</x:v>
      </x:c>
      <x:c r="F24" s="20"/>
      <x:c r="G24" s="20"/>
      <x:c r="H24" s="10" t="str">
        <x:f>IF(ABS(D24-0.780)&lt;0.000001,"PASS","FAIL")</x:f>
        <x:v>PASS</x:v>
      </x:c>
    </x:row>
  </x:sheetData>
  <x:mergeCells>
    <x:mergeCell ref="B2:H2"/>
    <x:mergeCell ref="B3:H3"/>
  </x:mergeCells>
  <x:conditionalFormatting sqref="H7:H24">
    <x:cfRule type="containsText" dxfId="221" priority="1" operator="containsText" text="PASS"/>
    <x:cfRule type="containsText" dxfId="222" priority="2" operator="containsText" text="AUTHORIZED"/>
    <x:cfRule type="containsText" dxfId="223" priority="3" operator="containsText" text="DEFINED"/>
    <x:cfRule type="containsText" dxfId="224" priority="4" operator="containsText" text="READY"/>
    <x:cfRule type="containsText" dxfId="225" priority="5" operator="containsText" text="HOLD"/>
    <x:cfRule type="containsText" dxfId="226" priority="6" operator="containsText" text="OPEN"/>
    <x:cfRule type="containsText" dxfId="227" priority="7" operator="containsText" text="BLOCKED"/>
    <x:cfRule type="containsText" dxfId="228" priority="8" operator="containsText" text="PLANNING"/>
    <x:cfRule type="containsText" dxfId="229" priority="9" operator="containsText" text="FAIL"/>
    <x:cfRule type="containsText" dxfId="230" priority="10" operator="containsText" text="REJECT"/>
    <x:cfRule type="containsText" dxfId="231" priority="11" operator="containsText" text="LATE"/>
    <x:cfRule type="containsText" dxfId="232" priority="12" operator="containsText" text="INCOMPLETE"/>
    <x:cfRule type="containsText" dxfId="233" priority="13" operator="containsText" text="INDETERMINATE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</x:cols>
  <x:sheetData>
    <x:row r="2">
      <x:c r="B2" s="28" t="str">
        <x:v>CISA-1 release constitution</x:v>
      </x:c>
      <x:c r="C2" s="8"/>
      <x:c r="D2" s="8"/>
      <x:c r="E2" s="8"/>
      <x:c r="F2" s="8"/>
      <x:c r="G2" s="8"/>
      <x:c r="H2" s="8"/>
    </x:row>
    <x:row r="3">
      <x:c r="B3" s="2" t="str">
        <x:v>Planning completeness cannot substitute for a physical observation or admit CRC-E01.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Gate</x:v>
      </x:c>
      <x:c r="C6" s="7" t="str">
        <x:v>Phase</x:v>
      </x:c>
      <x:c r="D6" s="7" t="str">
        <x:v>Requirement</x:v>
      </x:c>
      <x:c r="E6" s="7" t="str">
        <x:v>Observed</x:v>
      </x:c>
      <x:c r="F6" s="7" t="str">
        <x:v>Required</x:v>
      </x:c>
      <x:c r="G6" s="7" t="str">
        <x:v>Evidence gate</x:v>
      </x:c>
      <x:c r="H6" s="7" t="str">
        <x:v>Disposition</x:v>
      </x:c>
    </x:row>
    <x:row r="7">
      <x:c r="B7" s="9" t="str">
        <x:v>G01</x:v>
      </x:c>
      <x:c r="C7" s="9" t="str">
        <x:v>Planning</x:v>
      </x:c>
      <x:c r="D7" s="9" t="str">
        <x:v>Article total</x:v>
      </x:c>
      <x:c r="E7" s="19" t="n">
        <x:f>'Article Set'!D14</x:f>
        <x:v>58</x:v>
      </x:c>
      <x:c r="F7" s="19" t="n">
        <x:v>58</x:v>
      </x:c>
      <x:c r="G7" s="9" t="str">
        <x:f>IF(ISNUMBER(E7),IF(ABS(E7-F7)&lt;0.01,"PASS","FAIL"),IF(E7=F7,"PASS","FAIL"))</x:f>
        <x:v>PASS</x:v>
      </x:c>
      <x:c r="H7" s="9" t="str">
        <x:f>IF(G7="PASS","AUTHORIZED","HOLD")</x:f>
        <x:v>AUTHORIZED</x:v>
      </x:c>
    </x:row>
    <x:row r="8">
      <x:c r="B8" s="9" t="str">
        <x:v>G02</x:v>
      </x:c>
      <x:c r="C8" s="9" t="str">
        <x:v>Planning</x:v>
      </x:c>
      <x:c r="D8" s="9" t="str">
        <x:v>Decision-trial total</x:v>
      </x:c>
      <x:c r="E8" s="19" t="n">
        <x:f>'Article Set'!E14</x:f>
        <x:v>50</x:v>
      </x:c>
      <x:c r="F8" s="19" t="n">
        <x:v>50</x:v>
      </x:c>
      <x:c r="G8" s="9" t="str">
        <x:f>IF(ISNUMBER(E8),IF(ABS(E8-F8)&lt;0.01,"PASS","FAIL"),IF(E8=F8,"PASS","FAIL"))</x:f>
        <x:v>PASS</x:v>
      </x:c>
      <x:c r="H8" s="9" t="str">
        <x:f>IF(G8="PASS","AUTHORIZED","HOLD")</x:f>
        <x:v>AUTHORIZED</x:v>
      </x:c>
    </x:row>
    <x:row r="9">
      <x:c r="B9" s="9" t="str">
        <x:v>G03</x:v>
      </x:c>
      <x:c r="C9" s="9" t="str">
        <x:v>Planning</x:v>
      </x:c>
      <x:c r="D9" s="9" t="str">
        <x:v>Article allocation planning gates</x:v>
      </x:c>
      <x:c r="E9" s="19" t="n">
        <x:f>COUNTIFS('Article Set'!G7:G11,"PASS")</x:f>
        <x:v>5</x:v>
      </x:c>
      <x:c r="F9" s="19" t="n">
        <x:v>5</x:v>
      </x:c>
      <x:c r="G9" s="9" t="str">
        <x:f>IF(ISNUMBER(E9),IF(ABS(E9-F9)&lt;0.01,"PASS","FAIL"),IF(E9=F9,"PASS","FAIL"))</x:f>
        <x:v>PASS</x:v>
      </x:c>
      <x:c r="H9" s="9" t="str">
        <x:f>IF(G9="PASS","AUTHORIZED","HOLD")</x:f>
        <x:v>AUTHORIZED</x:v>
      </x:c>
    </x:row>
    <x:row r="10">
      <x:c r="B10" s="9" t="str">
        <x:v>G04</x:v>
      </x:c>
      <x:c r="C10" s="9" t="str">
        <x:v>Planning</x:v>
      </x:c>
      <x:c r="D10" s="9" t="str">
        <x:v>Envelope planning gates</x:v>
      </x:c>
      <x:c r="E10" s="19" t="n">
        <x:f>COUNTIFS('Physical Envelope'!J7:J19,"PASS")</x:f>
        <x:v>13</x:v>
      </x:c>
      <x:c r="F10" s="19" t="n">
        <x:v>13</x:v>
      </x:c>
      <x:c r="G10" s="9" t="str">
        <x:f>IF(ISNUMBER(E10),IF(ABS(E10-F10)&lt;0.01,"PASS","FAIL"),IF(E10=F10,"PASS","FAIL"))</x:f>
        <x:v>PASS</x:v>
      </x:c>
      <x:c r="H10" s="9" t="str">
        <x:f>IF(G10="PASS","AUTHORIZED","HOLD")</x:f>
        <x:v>AUTHORIZED</x:v>
      </x:c>
    </x:row>
    <x:row r="11">
      <x:c r="B11" s="9" t="str">
        <x:v>G05</x:v>
      </x:c>
      <x:c r="C11" s="9" t="str">
        <x:v>Planning</x:v>
      </x:c>
      <x:c r="D11" s="9" t="str">
        <x:v>Load-case exact values</x:v>
      </x:c>
      <x:c r="E11" s="19" t="n">
        <x:f>COUNTIFS('Load Cases'!J7:J15,"PASS")</x:f>
        <x:v>9</x:v>
      </x:c>
      <x:c r="F11" s="19" t="n">
        <x:v>9</x:v>
      </x:c>
      <x:c r="G11" s="9" t="str">
        <x:f>IF(ISNUMBER(E11),IF(ABS(E11-F11)&lt;0.01,"PASS","FAIL"),IF(E11=F11,"PASS","FAIL"))</x:f>
        <x:v>PASS</x:v>
      </x:c>
      <x:c r="H11" s="9" t="str">
        <x:f>IF(G11="PASS","AUTHORIZED","HOLD")</x:f>
        <x:v>AUTHORIZED</x:v>
      </x:c>
    </x:row>
    <x:row r="12">
      <x:c r="B12" s="9" t="str">
        <x:v>G06</x:v>
      </x:c>
      <x:c r="C12" s="9" t="str">
        <x:v>Planning</x:v>
      </x:c>
      <x:c r="D12" s="9" t="str">
        <x:v>Support, anchor and lift margins</x:v>
      </x:c>
      <x:c r="E12" s="19" t="n">
        <x:f>COUNTIFS('Load Cases'!I21:I24,"PASS")</x:f>
        <x:v>4</x:v>
      </x:c>
      <x:c r="F12" s="19" t="n">
        <x:v>4</x:v>
      </x:c>
      <x:c r="G12" s="9" t="str">
        <x:f>IF(ISNUMBER(E12),IF(ABS(E12-F12)&lt;0.01,"PASS","FAIL"),IF(E12=F12,"PASS","FAIL"))</x:f>
        <x:v>PASS</x:v>
      </x:c>
      <x:c r="H12" s="9" t="str">
        <x:f>IF(G12="PASS","AUTHORIZED","HOLD")</x:f>
        <x:v>AUTHORIZED</x:v>
      </x:c>
    </x:row>
    <x:row r="13">
      <x:c r="B13" s="9" t="str">
        <x:v>G07</x:v>
      </x:c>
      <x:c r="C13" s="9" t="str">
        <x:v>Planning</x:v>
      </x:c>
      <x:c r="D13" s="9" t="str">
        <x:v>Receiver worlds</x:v>
      </x:c>
      <x:c r="E13" s="19" t="n">
        <x:f>COUNTIFS('Receiver Spine'!J7:J9,"PASS")</x:f>
        <x:v>3</x:v>
      </x:c>
      <x:c r="F13" s="19" t="n">
        <x:v>3</x:v>
      </x:c>
      <x:c r="G13" s="9" t="str">
        <x:f>IF(ISNUMBER(E13),IF(ABS(E13-F13)&lt;0.01,"PASS","FAIL"),IF(E13=F13,"PASS","FAIL"))</x:f>
        <x:v>PASS</x:v>
      </x:c>
      <x:c r="H13" s="9" t="str">
        <x:f>IF(G13="PASS","AUTHORIZED","HOLD")</x:f>
        <x:v>AUTHORIZED</x:v>
      </x:c>
    </x:row>
    <x:row r="14">
      <x:c r="B14" s="9" t="str">
        <x:v>G08</x:v>
      </x:c>
      <x:c r="C14" s="9" t="str">
        <x:v>Planning</x:v>
      </x:c>
      <x:c r="D14" s="9" t="str">
        <x:v>Receiver provisions</x:v>
      </x:c>
      <x:c r="E14" s="19" t="n">
        <x:f>SUM('Receiver Spine'!C15:E20)</x:f>
        <x:v>18</x:v>
      </x:c>
      <x:c r="F14" s="19" t="n">
        <x:v>18</x:v>
      </x:c>
      <x:c r="G14" s="9" t="str">
        <x:f>IF(ISNUMBER(E14),IF(ABS(E14-F14)&lt;0.01,"PASS","FAIL"),IF(E14=F14,"PASS","FAIL"))</x:f>
        <x:v>PASS</x:v>
      </x:c>
      <x:c r="H14" s="9" t="str">
        <x:f>IF(G14="PASS","AUTHORIZED","HOLD")</x:f>
        <x:v>AUTHORIZED</x:v>
      </x:c>
    </x:row>
    <x:row r="15">
      <x:c r="B15" s="9" t="str">
        <x:v>G09</x:v>
      </x:c>
      <x:c r="C15" s="9" t="str">
        <x:v>Planning</x:v>
      </x:c>
      <x:c r="D15" s="9" t="str">
        <x:v>Hydraulic planning gates</x:v>
      </x:c>
      <x:c r="E15" s="19" t="n">
        <x:f>COUNTIFS('Hydraulic and Sanitary'!J7:J18,"PASS")</x:f>
        <x:v>12</x:v>
      </x:c>
      <x:c r="F15" s="19" t="n">
        <x:v>12</x:v>
      </x:c>
      <x:c r="G15" s="9" t="str">
        <x:f>IF(ISNUMBER(E15),IF(ABS(E15-F15)&lt;0.01,"PASS","FAIL"),IF(E15=F15,"PASS","FAIL"))</x:f>
        <x:v>PASS</x:v>
      </x:c>
      <x:c r="H15" s="9" t="str">
        <x:f>IF(G15="PASS","AUTHORIZED","HOLD")</x:f>
        <x:v>AUTHORIZED</x:v>
      </x:c>
    </x:row>
    <x:row r="16">
      <x:c r="B16" s="9" t="str">
        <x:v>G10</x:v>
      </x:c>
      <x:c r="C16" s="9" t="str">
        <x:v>Planning</x:v>
      </x:c>
      <x:c r="D16" s="9" t="str">
        <x:v>Sanitary invariants</x:v>
      </x:c>
      <x:c r="E16" s="19" t="n">
        <x:f>COUNTIFS('Hydraulic and Sanitary'!D24:D30,"DEFINED")</x:f>
        <x:v>7</x:v>
      </x:c>
      <x:c r="F16" s="19" t="n">
        <x:v>7</x:v>
      </x:c>
      <x:c r="G16" s="9" t="str">
        <x:f>IF(ISNUMBER(E16),IF(ABS(E16-F16)&lt;0.01,"PASS","FAIL"),IF(E16=F16,"PASS","FAIL"))</x:f>
        <x:v>PASS</x:v>
      </x:c>
      <x:c r="H16" s="9" t="str">
        <x:f>IF(G16="PASS","AUTHORIZED","HOLD")</x:f>
        <x:v>AUTHORIZED</x:v>
      </x:c>
    </x:row>
    <x:row r="17">
      <x:c r="B17" s="9" t="str">
        <x:v>G11</x:v>
      </x:c>
      <x:c r="C17" s="9" t="str">
        <x:v>Planning</x:v>
      </x:c>
      <x:c r="D17" s="9" t="str">
        <x:v>Power service gates</x:v>
      </x:c>
      <x:c r="E17" s="19" t="n">
        <x:f>COUNTIFS('Power and Black Start'!J7:J11,"PASS")</x:f>
        <x:v>5</x:v>
      </x:c>
      <x:c r="F17" s="19" t="n">
        <x:v>5</x:v>
      </x:c>
      <x:c r="G17" s="9" t="str">
        <x:f>IF(ISNUMBER(E17),IF(ABS(E17-F17)&lt;0.01,"PASS","FAIL"),IF(E17=F17,"PASS","FAIL"))</x:f>
        <x:v>PASS</x:v>
      </x:c>
      <x:c r="H17" s="9" t="str">
        <x:f>IF(G17="PASS","AUTHORIZED","HOLD")</x:f>
        <x:v>AUTHORIZED</x:v>
      </x:c>
    </x:row>
    <x:row r="18">
      <x:c r="B18" s="9" t="str">
        <x:v>G12</x:v>
      </x:c>
      <x:c r="C18" s="9" t="str">
        <x:v>Planning</x:v>
      </x:c>
      <x:c r="D18" s="9" t="str">
        <x:v>Black-start planning gates</x:v>
      </x:c>
      <x:c r="E18" s="19" t="n">
        <x:f>COUNTIFS('Power and Black Start'!G17:G21,"PASS")</x:f>
        <x:v>5</x:v>
      </x:c>
      <x:c r="F18" s="19" t="n">
        <x:v>5</x:v>
      </x:c>
      <x:c r="G18" s="9" t="str">
        <x:f>IF(ISNUMBER(E18),IF(ABS(E18-F18)&lt;0.01,"PASS","FAIL"),IF(E18=F18,"PASS","FAIL"))</x:f>
        <x:v>PASS</x:v>
      </x:c>
      <x:c r="H18" s="9" t="str">
        <x:f>IF(G18="PASS","AUTHORIZED","HOLD")</x:f>
        <x:v>AUTHORIZED</x:v>
      </x:c>
    </x:row>
    <x:row r="19">
      <x:c r="B19" s="9" t="str">
        <x:v>G13</x:v>
      </x:c>
      <x:c r="C19" s="9" t="str">
        <x:v>Planning</x:v>
      </x:c>
      <x:c r="D19" s="9" t="str">
        <x:v>Measurement planes</x:v>
      </x:c>
      <x:c r="E19" s="19" t="n">
        <x:f>COUNTA('Measurement Plan'!B7:B19)</x:f>
        <x:v>13</x:v>
      </x:c>
      <x:c r="F19" s="19" t="n">
        <x:v>13</x:v>
      </x:c>
      <x:c r="G19" s="9" t="str">
        <x:f>IF(ISNUMBER(E19),IF(ABS(E19-F19)&lt;0.01,"PASS","FAIL"),IF(E19=F19,"PASS","FAIL"))</x:f>
        <x:v>PASS</x:v>
      </x:c>
      <x:c r="H19" s="9" t="str">
        <x:f>IF(G19="PASS","AUTHORIZED","HOLD")</x:f>
        <x:v>AUTHORIZED</x:v>
      </x:c>
    </x:row>
    <x:row r="20">
      <x:c r="B20" s="9" t="str">
        <x:v>G14</x:v>
      </x:c>
      <x:c r="C20" s="9" t="str">
        <x:v>Planning</x:v>
      </x:c>
      <x:c r="D20" s="9" t="str">
        <x:v>Measurement planning gates</x:v>
      </x:c>
      <x:c r="E20" s="19" t="n">
        <x:f>COUNTIFS('Measurement Plan'!L7:L19,"PASS")</x:f>
        <x:v>13</x:v>
      </x:c>
      <x:c r="F20" s="19" t="n">
        <x:v>13</x:v>
      </x:c>
      <x:c r="G20" s="9" t="str">
        <x:f>IF(ISNUMBER(E20),IF(ABS(E20-F20)&lt;0.01,"PASS","FAIL"),IF(E20=F20,"PASS","FAIL"))</x:f>
        <x:v>PASS</x:v>
      </x:c>
      <x:c r="H20" s="9" t="str">
        <x:f>IF(G20="PASS","AUTHORIZED","HOLD")</x:f>
        <x:v>AUTHORIZED</x:v>
      </x:c>
    </x:row>
    <x:row r="21">
      <x:c r="B21" s="9" t="str">
        <x:v>G15</x:v>
      </x:c>
      <x:c r="C21" s="9" t="str">
        <x:v>Planning</x:v>
      </x:c>
      <x:c r="D21" s="9" t="str">
        <x:v>Instrument estate GB/root</x:v>
      </x:c>
      <x:c r="E21" s="19" t="n">
        <x:f>'Measurement Plan'!C25</x:f>
        <x:v>1111.071744</x:v>
      </x:c>
      <x:c r="F21" s="19" t="n">
        <x:v>1111.072</x:v>
      </x:c>
      <x:c r="G21" s="9" t="str">
        <x:f>IF(ISNUMBER(E21),IF(ABS(E21-F21)&lt;0.01,"PASS","FAIL"),IF(E21=F21,"PASS","FAIL"))</x:f>
        <x:v>PASS</x:v>
      </x:c>
      <x:c r="H21" s="9" t="str">
        <x:f>IF(G21="PASS","AUTHORIZED","HOLD")</x:f>
        <x:v>AUTHORIZED</x:v>
      </x:c>
    </x:row>
    <x:row r="22">
      <x:c r="B22" s="9" t="str">
        <x:v>G16</x:v>
      </x:c>
      <x:c r="C22" s="9" t="str">
        <x:v>Planning</x:v>
      </x:c>
      <x:c r="D22" s="9" t="str">
        <x:v>Video/spatial estate GB/root</x:v>
      </x:c>
      <x:c r="E22" s="19" t="n">
        <x:f>'Measurement Plan'!C26</x:f>
        <x:v>1382.4</x:v>
      </x:c>
      <x:c r="F22" s="19" t="n">
        <x:v>1382.4</x:v>
      </x:c>
      <x:c r="G22" s="9" t="str">
        <x:f>IF(ISNUMBER(E22),IF(ABS(E22-F22)&lt;0.01,"PASS","FAIL"),IF(E22=F22,"PASS","FAIL"))</x:f>
        <x:v>PASS</x:v>
      </x:c>
      <x:c r="H22" s="9" t="str">
        <x:f>IF(G22="PASS","AUTHORIZED","HOLD")</x:f>
        <x:v>AUTHORIZED</x:v>
      </x:c>
    </x:row>
    <x:row r="23">
      <x:c r="B23" s="9" t="str">
        <x:v>G17</x:v>
      </x:c>
      <x:c r="C23" s="9" t="str">
        <x:v>Planning</x:v>
      </x:c>
      <x:c r="D23" s="9" t="str">
        <x:v>Retained estate TB</x:v>
      </x:c>
      <x:c r="E23" s="19" t="n">
        <x:f>'Measurement Plan'!C28</x:f>
        <x:v>13.215400243200003</x:v>
      </x:c>
      <x:c r="F23" s="19" t="n">
        <x:v>13.215</x:v>
      </x:c>
      <x:c r="G23" s="9" t="str">
        <x:f>IF(ISNUMBER(E23),IF(ABS(E23-F23)&lt;0.01,"PASS","FAIL"),IF(E23=F23,"PASS","FAIL"))</x:f>
        <x:v>PASS</x:v>
      </x:c>
      <x:c r="H23" s="9" t="str">
        <x:f>IF(G23="PASS","AUTHORIZED","HOLD")</x:f>
        <x:v>AUTHORIZED</x:v>
      </x:c>
    </x:row>
    <x:row r="24">
      <x:c r="B24" s="9" t="str">
        <x:v>G18</x:v>
      </x:c>
      <x:c r="C24" s="9" t="str">
        <x:v>Planning</x:v>
      </x:c>
      <x:c r="D24" s="9" t="str">
        <x:v>Trial sequences</x:v>
      </x:c>
      <x:c r="E24" s="19" t="n">
        <x:f>COUNTA('Trial Sequences'!B7:B22)</x:f>
        <x:v>16</x:v>
      </x:c>
      <x:c r="F24" s="19" t="n">
        <x:v>16</x:v>
      </x:c>
      <x:c r="G24" s="9" t="str">
        <x:f>IF(ISNUMBER(E24),IF(ABS(E24-F24)&lt;0.01,"PASS","FAIL"),IF(E24=F24,"PASS","FAIL"))</x:f>
        <x:v>PASS</x:v>
      </x:c>
      <x:c r="H24" s="9" t="str">
        <x:f>IF(G24="PASS","AUTHORIZED","HOLD")</x:f>
        <x:v>AUTHORIZED</x:v>
      </x:c>
    </x:row>
    <x:row r="25">
      <x:c r="B25" s="9" t="str">
        <x:v>G19</x:v>
      </x:c>
      <x:c r="C25" s="9" t="str">
        <x:v>Planning</x:v>
      </x:c>
      <x:c r="D25" s="9" t="str">
        <x:v>Trial sequence planning gates</x:v>
      </x:c>
      <x:c r="E25" s="19" t="n">
        <x:f>COUNTIFS('Trial Sequences'!I7:I22,"PASS")</x:f>
        <x:v>16</x:v>
      </x:c>
      <x:c r="F25" s="19" t="n">
        <x:v>16</x:v>
      </x:c>
      <x:c r="G25" s="9" t="str">
        <x:f>IF(ISNUMBER(E25),IF(ABS(E25-F25)&lt;0.01,"PASS","FAIL"),IF(E25=F25,"PASS","FAIL"))</x:f>
        <x:v>PASS</x:v>
      </x:c>
      <x:c r="H25" s="9" t="str">
        <x:f>IF(G25="PASS","AUTHORIZED","HOLD")</x:f>
        <x:v>AUTHORIZED</x:v>
      </x:c>
    </x:row>
    <x:row r="26">
      <x:c r="B26" s="9" t="str">
        <x:v>G20</x:v>
      </x:c>
      <x:c r="C26" s="9" t="str">
        <x:v>Planning</x:v>
      </x:c>
      <x:c r="D26" s="9" t="str">
        <x:v>Fault assignments</x:v>
      </x:c>
      <x:c r="E26" s="19" t="n">
        <x:f>COUNTA('Fault Campaign'!B7:B22)</x:f>
        <x:v>16</x:v>
      </x:c>
      <x:c r="F26" s="19" t="n">
        <x:v>16</x:v>
      </x:c>
      <x:c r="G26" s="9" t="str">
        <x:f>IF(ISNUMBER(E26),IF(ABS(E26-F26)&lt;0.01,"PASS","FAIL"),IF(E26=F26,"PASS","FAIL"))</x:f>
        <x:v>PASS</x:v>
      </x:c>
      <x:c r="H26" s="9" t="str">
        <x:f>IF(G26="PASS","AUTHORIZED","HOLD")</x:f>
        <x:v>AUTHORIZED</x:v>
      </x:c>
    </x:row>
    <x:row r="27">
      <x:c r="B27" s="9" t="str">
        <x:v>G21</x:v>
      </x:c>
      <x:c r="C27" s="9" t="str">
        <x:v>Planning</x:v>
      </x:c>
      <x:c r="D27" s="9" t="str">
        <x:v>Fault planning gates</x:v>
      </x:c>
      <x:c r="E27" s="19" t="n">
        <x:f>COUNTIFS('Fault Campaign'!J7:J22,"PASS")</x:f>
        <x:v>16</x:v>
      </x:c>
      <x:c r="F27" s="19" t="n">
        <x:v>16</x:v>
      </x:c>
      <x:c r="G27" s="9" t="str">
        <x:f>IF(ISNUMBER(E27),IF(ABS(E27-F27)&lt;0.01,"PASS","FAIL"),IF(E27=F27,"PASS","FAIL"))</x:f>
        <x:v>PASS</x:v>
      </x:c>
      <x:c r="H27" s="9" t="str">
        <x:f>IF(G27="PASS","AUTHORIZED","HOLD")</x:f>
        <x:v>AUTHORIZED</x:v>
      </x:c>
    </x:row>
    <x:row r="28">
      <x:c r="B28" s="9" t="str">
        <x:v>G22</x:v>
      </x:c>
      <x:c r="C28" s="9" t="str">
        <x:v>Planning</x:v>
      </x:c>
      <x:c r="D28" s="9" t="str">
        <x:v>Clean-control commitments</x:v>
      </x:c>
      <x:c r="E28" s="19" t="n">
        <x:f>SUM('Fault Campaign'!G7:G22)</x:f>
        <x:v>16</x:v>
      </x:c>
      <x:c r="F28" s="19" t="n">
        <x:v>16</x:v>
      </x:c>
      <x:c r="G28" s="9" t="str">
        <x:f>IF(ISNUMBER(E28),IF(ABS(E28-F28)&lt;0.01,"PASS","FAIL"),IF(E28=F28,"PASS","FAIL"))</x:f>
        <x:v>PASS</x:v>
      </x:c>
      <x:c r="H28" s="9" t="str">
        <x:f>IF(G28="PASS","AUTHORIZED","HOLD")</x:f>
        <x:v>AUTHORIZED</x:v>
      </x:c>
    </x:row>
    <x:row r="29">
      <x:c r="B29" s="9" t="str">
        <x:v>G23</x:v>
      </x:c>
      <x:c r="C29" s="9" t="str">
        <x:v>Planning</x:v>
      </x:c>
      <x:c r="D29" s="9" t="str">
        <x:v>Schedule phases</x:v>
      </x:c>
      <x:c r="E29" s="19" t="n">
        <x:f>COUNTA(Schedule!B7:B18)</x:f>
        <x:v>12</x:v>
      </x:c>
      <x:c r="F29" s="19" t="n">
        <x:v>12</x:v>
      </x:c>
      <x:c r="G29" s="9" t="str">
        <x:f>IF(ISNUMBER(E29),IF(ABS(E29-F29)&lt;0.01,"PASS","FAIL"),IF(E29=F29,"PASS","FAIL"))</x:f>
        <x:v>PASS</x:v>
      </x:c>
      <x:c r="H29" s="9" t="str">
        <x:f>IF(G29="PASS","AUTHORIZED","HOLD")</x:f>
        <x:v>AUTHORIZED</x:v>
      </x:c>
    </x:row>
    <x:row r="30">
      <x:c r="B30" s="9" t="str">
        <x:v>G24</x:v>
      </x:c>
      <x:c r="C30" s="9" t="str">
        <x:v>Planning</x:v>
      </x:c>
      <x:c r="D30" s="9" t="str">
        <x:v>Schedule gates</x:v>
      </x:c>
      <x:c r="E30" s="19" t="n">
        <x:f>COUNTIFS(Schedule!J7:J18,"PASS")</x:f>
        <x:v>12</x:v>
      </x:c>
      <x:c r="F30" s="19" t="n">
        <x:v>12</x:v>
      </x:c>
      <x:c r="G30" s="9" t="str">
        <x:f>IF(ISNUMBER(E30),IF(ABS(E30-F30)&lt;0.01,"PASS","FAIL"),IF(E30=F30,"PASS","FAIL"))</x:f>
        <x:v>PASS</x:v>
      </x:c>
      <x:c r="H30" s="9" t="str">
        <x:f>IF(G30="PASS","AUTHORIZED","HOLD")</x:f>
        <x:v>AUTHORIZED</x:v>
      </x:c>
    </x:row>
    <x:row r="31">
      <x:c r="B31" s="9" t="str">
        <x:v>G25</x:v>
      </x:c>
      <x:c r="C31" s="9" t="str">
        <x:v>Planning</x:v>
      </x:c>
      <x:c r="D31" s="9" t="str">
        <x:v>Schedule end month</x:v>
      </x:c>
      <x:c r="E31" s="19" t="n">
        <x:f>MAX(Schedule!E7:E18)</x:f>
        <x:v>36</x:v>
      </x:c>
      <x:c r="F31" s="19" t="n">
        <x:v>36</x:v>
      </x:c>
      <x:c r="G31" s="9" t="str">
        <x:f>IF(ISNUMBER(E31),IF(ABS(E31-F31)&lt;0.01,"PASS","FAIL"),IF(E31=F31,"PASS","FAIL"))</x:f>
        <x:v>PASS</x:v>
      </x:c>
      <x:c r="H31" s="9" t="str">
        <x:f>IF(G31="PASS","AUTHORIZED","HOLD")</x:f>
        <x:v>AUTHORIZED</x:v>
      </x:c>
    </x:row>
    <x:row r="32">
      <x:c r="B32" s="9" t="str">
        <x:v>G26</x:v>
      </x:c>
      <x:c r="C32" s="9" t="str">
        <x:v>Planning</x:v>
      </x:c>
      <x:c r="D32" s="9" t="str">
        <x:v>Cold-storage duration</x:v>
      </x:c>
      <x:c r="E32" s="19" t="n">
        <x:f>Schedule!F14</x:f>
        <x:v>18</x:v>
      </x:c>
      <x:c r="F32" s="19" t="n">
        <x:v>18</x:v>
      </x:c>
      <x:c r="G32" s="9" t="str">
        <x:f>IF(ISNUMBER(E32),IF(ABS(E32-F32)&lt;0.01,"PASS","FAIL"),IF(E32=F32,"PASS","FAIL"))</x:f>
        <x:v>PASS</x:v>
      </x:c>
      <x:c r="H32" s="9" t="str">
        <x:f>IF(G32="PASS","AUTHORIZED","HOLD")</x:f>
        <x:v>AUTHORIZED</x:v>
      </x:c>
    </x:row>
    <x:row r="33">
      <x:c r="B33" s="9" t="str">
        <x:v>G27</x:v>
      </x:c>
      <x:c r="C33" s="9" t="str">
        <x:v>Planning</x:v>
      </x:c>
      <x:c r="D33" s="9" t="str">
        <x:v>CISA capital</x:v>
      </x:c>
      <x:c r="E33" s="19" t="n">
        <x:f>'Capital Draw'!D18</x:f>
        <x:v>0.96</x:v>
      </x:c>
      <x:c r="F33" s="19" t="n">
        <x:v>0.96</x:v>
      </x:c>
      <x:c r="G33" s="9" t="str">
        <x:f>IF(ISNUMBER(E33),IF(ABS(E33-F33)&lt;0.01,"PASS","FAIL"),IF(E33=F33,"PASS","FAIL"))</x:f>
        <x:v>PASS</x:v>
      </x:c>
      <x:c r="H33" s="9" t="str">
        <x:f>IF(G33="PASS","AUTHORIZED","HOLD")</x:f>
        <x:v>AUTHORIZED</x:v>
      </x:c>
    </x:row>
    <x:row r="34">
      <x:c r="B34" s="9" t="str">
        <x:v>G28</x:v>
      </x:c>
      <x:c r="C34" s="9" t="str">
        <x:v>Planning</x:v>
      </x:c>
      <x:c r="D34" s="9" t="str">
        <x:v>MQP-1 capital</x:v>
      </x:c>
      <x:c r="E34" s="19" t="n">
        <x:f>'Capital Draw'!C18</x:f>
        <x:v>2.9999999999999996</x:v>
      </x:c>
      <x:c r="F34" s="19" t="n">
        <x:v>3</x:v>
      </x:c>
      <x:c r="G34" s="9" t="str">
        <x:f>IF(ISNUMBER(E34),IF(ABS(E34-F34)&lt;0.01,"PASS","FAIL"),IF(E34=F34,"PASS","FAIL"))</x:f>
        <x:v>PASS</x:v>
      </x:c>
      <x:c r="H34" s="9" t="str">
        <x:f>IF(G34="PASS","AUTHORIZED","HOLD")</x:f>
        <x:v>AUTHORIZED</x:v>
      </x:c>
    </x:row>
    <x:row r="35">
      <x:c r="B35" s="9" t="str">
        <x:v>G29</x:v>
      </x:c>
      <x:c r="C35" s="9" t="str">
        <x:v>Planning</x:v>
      </x:c>
      <x:c r="D35" s="9" t="str">
        <x:v>Capital reconciliation</x:v>
      </x:c>
      <x:c r="E35" s="19" t="str">
        <x:f>'Capital Draw'!H18</x:f>
        <x:v>PASS</x:v>
      </x:c>
      <x:c r="F35" s="19" t="str">
        <x:v>PASS</x:v>
      </x:c>
      <x:c r="G35" s="9" t="str">
        <x:f>IF(ISNUMBER(E35),IF(ABS(E35-F35)&lt;0.01,"PASS","FAIL"),IF(E35=F35,"PASS","FAIL"))</x:f>
        <x:v>PASS</x:v>
      </x:c>
      <x:c r="H35" s="9" t="str">
        <x:f>IF(G35="PASS","AUTHORIZED","HOLD")</x:f>
        <x:v>AUTHORIZED</x:v>
      </x:c>
    </x:row>
    <x:row r="36">
      <x:c r="B36" s="9" t="str">
        <x:v>G30</x:v>
      </x:c>
      <x:c r="C36" s="9" t="str">
        <x:v>Planning</x:v>
      </x:c>
      <x:c r="D36" s="9" t="str">
        <x:v>CISA annual draw</x:v>
      </x:c>
      <x:c r="E36" s="19" t="n">
        <x:f>'Annual Draw'!D21</x:f>
        <x:v>0.26</x:v>
      </x:c>
      <x:c r="F36" s="19" t="n">
        <x:v>0.26</x:v>
      </x:c>
      <x:c r="G36" s="9" t="str">
        <x:f>IF(ISNUMBER(E36),IF(ABS(E36-F36)&lt;0.01,"PASS","FAIL"),IF(E36=F36,"PASS","FAIL"))</x:f>
        <x:v>PASS</x:v>
      </x:c>
      <x:c r="H36" s="9" t="str">
        <x:f>IF(G36="PASS","AUTHORIZED","HOLD")</x:f>
        <x:v>AUTHORIZED</x:v>
      </x:c>
    </x:row>
    <x:row r="37">
      <x:c r="B37" s="9" t="str">
        <x:v>G31</x:v>
      </x:c>
      <x:c r="C37" s="9" t="str">
        <x:v>Planning</x:v>
      </x:c>
      <x:c r="D37" s="9" t="str">
        <x:v>MQP-1 annual draw</x:v>
      </x:c>
      <x:c r="E37" s="19" t="n">
        <x:f>'Annual Draw'!C21</x:f>
        <x:v>0.72</x:v>
      </x:c>
      <x:c r="F37" s="19" t="n">
        <x:v>0.72</x:v>
      </x:c>
      <x:c r="G37" s="9" t="str">
        <x:f>IF(ISNUMBER(E37),IF(ABS(E37-F37)&lt;0.01,"PASS","FAIL"),IF(E37=F37,"PASS","FAIL"))</x:f>
        <x:v>PASS</x:v>
      </x:c>
      <x:c r="H37" s="9" t="str">
        <x:f>IF(G37="PASS","AUTHORIZED","HOLD")</x:f>
        <x:v>AUTHORIZED</x:v>
      </x:c>
    </x:row>
    <x:row r="38">
      <x:c r="B38" s="9" t="str">
        <x:v>G32</x:v>
      </x:c>
      <x:c r="C38" s="9" t="str">
        <x:v>Planning</x:v>
      </x:c>
      <x:c r="D38" s="9" t="str">
        <x:v>Annual reconciliation</x:v>
      </x:c>
      <x:c r="E38" s="19" t="str">
        <x:f>'Annual Draw'!H21</x:f>
        <x:v>PASS</x:v>
      </x:c>
      <x:c r="F38" s="19" t="str">
        <x:v>PASS</x:v>
      </x:c>
      <x:c r="G38" s="9" t="str">
        <x:f>IF(ISNUMBER(E38),IF(ABS(E38-F38)&lt;0.01,"PASS","FAIL"),IF(E38=F38,"PASS","FAIL"))</x:f>
        <x:v>PASS</x:v>
      </x:c>
      <x:c r="H38" s="9" t="str">
        <x:f>IF(G38="PASS","AUTHORIZED","HOLD")</x:f>
        <x:v>AUTHORIZED</x:v>
      </x:c>
    </x:row>
    <x:row r="39">
      <x:c r="B39" s="9" t="str">
        <x:v>G33</x:v>
      </x:c>
      <x:c r="C39" s="9" t="str">
        <x:v>Planning</x:v>
      </x:c>
      <x:c r="D39" s="9" t="str">
        <x:v>Three-year operating draw</x:v>
      </x:c>
      <x:c r="E39" s="19" t="n">
        <x:f>'Annual Draw'!D24</x:f>
        <x:v>0.78</x:v>
      </x:c>
      <x:c r="F39" s="19" t="n">
        <x:v>0.78</x:v>
      </x:c>
      <x:c r="G39" s="9" t="str">
        <x:f>IF(ISNUMBER(E39),IF(ABS(E39-F39)&lt;0.01,"PASS","FAIL"),IF(E39=F39,"PASS","FAIL"))</x:f>
        <x:v>PASS</x:v>
      </x:c>
      <x:c r="H39" s="9" t="str">
        <x:f>IF(G39="PASS","AUTHORIZED","HOLD")</x:f>
        <x:v>AUTHORIZED</x:v>
      </x:c>
    </x:row>
    <x:row r="40">
      <x:c r="B40" s="9" t="str">
        <x:v>G34</x:v>
      </x:c>
      <x:c r="C40" s="9" t="str">
        <x:v>Planning</x:v>
      </x:c>
      <x:c r="D40" s="9" t="str">
        <x:v>Workforce total</x:v>
      </x:c>
      <x:c r="E40" s="19" t="n">
        <x:f>'Controls'!$D$80+'Controls'!$D$81</x:f>
        <x:v>590</x:v>
      </x:c>
      <x:c r="F40" s="19" t="n">
        <x:v>590</x:v>
      </x:c>
      <x:c r="G40" s="9" t="str">
        <x:f>IF(ISNUMBER(E40),IF(ABS(E40-F40)&lt;0.01,"PASS","FAIL"),IF(E40=F40,"PASS","FAIL"))</x:f>
        <x:v>PASS</x:v>
      </x:c>
      <x:c r="H40" s="9" t="str">
        <x:f>IF(G40="PASS","AUTHORIZED","HOLD")</x:f>
        <x:v>AUTHORIZED</x:v>
      </x:c>
    </x:row>
    <x:row r="41">
      <x:c r="B41" s="9" t="str">
        <x:v>G35</x:v>
      </x:c>
      <x:c r="C41" s="9" t="str">
        <x:v>Planning</x:v>
      </x:c>
      <x:c r="D41" s="9" t="str">
        <x:v>Physical baselines</x:v>
      </x:c>
      <x:c r="E41" s="19" t="n">
        <x:f>SUM(Controls!D86:D91)</x:f>
        <x:v>0</x:v>
      </x:c>
      <x:c r="F41" s="19" t="n">
        <x:v>0</x:v>
      </x:c>
      <x:c r="G41" s="9" t="str">
        <x:f>IF(ISNUMBER(E41),IF(ABS(E41-F41)&lt;0.01,"PASS","FAIL"),IF(E41=F41,"PASS","FAIL"))</x:f>
        <x:v>PASS</x:v>
      </x:c>
      <x:c r="H41" s="9" t="str">
        <x:f>IF(G41="PASS","AUTHORIZED","HOLD")</x:f>
        <x:v>AUTHORIZED</x:v>
      </x:c>
    </x:row>
    <x:row r="42">
      <x:c r="B42" s="9" t="str">
        <x:v>G36</x:v>
      </x:c>
      <x:c r="C42" s="9" t="str">
        <x:v>Planning</x:v>
      </x:c>
      <x:c r="D42" s="9" t="str">
        <x:v>Shipset credit</x:v>
      </x:c>
      <x:c r="E42" s="19" t="n">
        <x:f>SUM('Article Set'!I7:I11)</x:f>
        <x:v>0</x:v>
      </x:c>
      <x:c r="F42" s="19" t="n">
        <x:v>0</x:v>
      </x:c>
      <x:c r="G42" s="9" t="str">
        <x:f>IF(ISNUMBER(E42),IF(ABS(E42-F42)&lt;0.01,"PASS","FAIL"),IF(E42=F42,"PASS","FAIL"))</x:f>
        <x:v>PASS</x:v>
      </x:c>
      <x:c r="H42" s="9" t="str">
        <x:f>IF(G42="PASS","AUTHORIZED","HOLD")</x:f>
        <x:v>AUTHORIZED</x:v>
      </x:c>
    </x:row>
    <x:row r="43">
      <x:c r="B43" s="9" t="str">
        <x:v>G37</x:v>
      </x:c>
      <x:c r="C43" s="9" t="str">
        <x:v>Physical</x:v>
      </x:c>
      <x:c r="D43" s="9" t="str">
        <x:v>Root build packages accepted</x:v>
      </x:c>
      <x:c r="E43" s="19" t="n">
        <x:f>'Controls'!$D$89</x:f>
        <x:v>0</x:v>
      </x:c>
      <x:c r="F43" s="19" t="n">
        <x:v>2</x:v>
      </x:c>
      <x:c r="G43" s="9" t="str">
        <x:f>IF(E43=F43,"PASS","OPEN")</x:f>
        <x:v>OPEN</x:v>
      </x:c>
      <x:c r="H43" s="9" t="str">
        <x:f>IF(G43="PASS","AUTHORIZED",IF(OR(B43="G51",B43="G52"),"BLOCKED","HOLD"))</x:f>
        <x:v>HOLD</x:v>
      </x:c>
    </x:row>
    <x:row r="44">
      <x:c r="B44" s="9" t="str">
        <x:v>G38</x:v>
      </x:c>
      <x:c r="C44" s="9" t="str">
        <x:v>Physical</x:v>
      </x:c>
      <x:c r="D44" s="9" t="str">
        <x:v>Articles physically accepted</x:v>
      </x:c>
      <x:c r="E44" s="19" t="n">
        <x:f>IF(SUM('Article Set'!F7:F11)='Controls'!$D$71,'Controls'!$D$86,0)</x:f>
        <x:v>0</x:v>
      </x:c>
      <x:c r="F44" s="19" t="n">
        <x:v>58</x:v>
      </x:c>
      <x:c r="G44" s="9" t="str">
        <x:f>IF(E44=F44,"PASS","OPEN")</x:f>
        <x:v>OPEN</x:v>
      </x:c>
      <x:c r="H44" s="9" t="str">
        <x:f>IF(G44="PASS","AUTHORIZED",IF(OR(B44="G51",B44="G52"),"BLOCKED","HOLD"))</x:f>
        <x:v>HOLD</x:v>
      </x:c>
    </x:row>
    <x:row r="45">
      <x:c r="B45" s="9" t="str">
        <x:v>G39</x:v>
      </x:c>
      <x:c r="C45" s="9" t="str">
        <x:v>Physical</x:v>
      </x:c>
      <x:c r="D45" s="9" t="str">
        <x:v>Decision trials completed</x:v>
      </x:c>
      <x:c r="E45" s="19" t="n">
        <x:f>'Controls'!$D$87</x:f>
        <x:v>0</x:v>
      </x:c>
      <x:c r="F45" s="19" t="n">
        <x:v>50</x:v>
      </x:c>
      <x:c r="G45" s="9" t="str">
        <x:f>IF(E45=F45,"PASS","OPEN")</x:f>
        <x:v>OPEN</x:v>
      </x:c>
      <x:c r="H45" s="9" t="str">
        <x:f>IF(G45="PASS","AUTHORIZED",IF(OR(B45="G51",B45="G52"),"BLOCKED","HOLD"))</x:f>
        <x:v>HOLD</x:v>
      </x:c>
    </x:row>
    <x:row r="46">
      <x:c r="B46" s="9" t="str">
        <x:v>G40</x:v>
      </x:c>
      <x:c r="C46" s="9" t="str">
        <x:v>Physical</x:v>
      </x:c>
      <x:c r="D46" s="9" t="str">
        <x:v>Fault observations complete</x:v>
      </x:c>
      <x:c r="E46" s="19" t="n">
        <x:f>SUM('Fault Campaign'!H7:H22)</x:f>
        <x:v>0</x:v>
      </x:c>
      <x:c r="F46" s="19" t="n">
        <x:v>16</x:v>
      </x:c>
      <x:c r="G46" s="9" t="str">
        <x:f>IF(E46=F46,"PASS","OPEN")</x:f>
        <x:v>OPEN</x:v>
      </x:c>
      <x:c r="H46" s="9" t="str">
        <x:f>IF(G46="PASS","AUTHORIZED",IF(OR(B46="G51",B46="G52"),"BLOCKED","HOLD"))</x:f>
        <x:v>HOLD</x:v>
      </x:c>
    </x:row>
    <x:row r="47">
      <x:c r="B47" s="9" t="str">
        <x:v>G41</x:v>
      </x:c>
      <x:c r="C47" s="9" t="str">
        <x:v>Physical</x:v>
      </x:c>
      <x:c r="D47" s="9" t="str">
        <x:v>Clean controls complete</x:v>
      </x:c>
      <x:c r="E47" s="19" t="n">
        <x:f>SUM('Fault Campaign'!I7:I22)</x:f>
        <x:v>0</x:v>
      </x:c>
      <x:c r="F47" s="19" t="n">
        <x:v>16</x:v>
      </x:c>
      <x:c r="G47" s="9" t="str">
        <x:f>IF(E47=F47,"PASS","OPEN")</x:f>
        <x:v>OPEN</x:v>
      </x:c>
      <x:c r="H47" s="9" t="str">
        <x:f>IF(G47="PASS","AUTHORIZED",IF(OR(B47="G51",B47="G52"),"BLOCKED","HOLD"))</x:f>
        <x:v>HOLD</x:v>
      </x:c>
    </x:row>
    <x:row r="48">
      <x:c r="B48" s="9" t="str">
        <x:v>G42</x:v>
      </x:c>
      <x:c r="C48" s="9" t="str">
        <x:v>Physical</x:v>
      </x:c>
      <x:c r="D48" s="9" t="str">
        <x:v>Physical envelope observations</x:v>
      </x:c>
      <x:c r="E48" s="19" t="n">
        <x:f>SUM('Physical Envelope'!K7:K19)</x:f>
        <x:v>0</x:v>
      </x:c>
      <x:c r="F48" s="19" t="n">
        <x:v>13</x:v>
      </x:c>
      <x:c r="G48" s="9" t="str">
        <x:f>IF(E48=F48,"PASS","OPEN")</x:f>
        <x:v>OPEN</x:v>
      </x:c>
      <x:c r="H48" s="9" t="str">
        <x:f>IF(G48="PASS","AUTHORIZED",IF(OR(B48="G51",B48="G52"),"BLOCKED","HOLD"))</x:f>
        <x:v>HOLD</x:v>
      </x:c>
    </x:row>
    <x:row r="49">
      <x:c r="B49" s="9" t="str">
        <x:v>G43</x:v>
      </x:c>
      <x:c r="C49" s="9" t="str">
        <x:v>Physical</x:v>
      </x:c>
      <x:c r="D49" s="9" t="str">
        <x:v>Load-case observations</x:v>
      </x:c>
      <x:c r="E49" s="19" t="n">
        <x:f>SUM('Load Cases'!K7:K15)</x:f>
        <x:v>0</x:v>
      </x:c>
      <x:c r="F49" s="19" t="n">
        <x:v>9</x:v>
      </x:c>
      <x:c r="G49" s="9" t="str">
        <x:f>IF(E49=F49,"PASS","OPEN")</x:f>
        <x:v>OPEN</x:v>
      </x:c>
      <x:c r="H49" s="9" t="str">
        <x:f>IF(G49="PASS","AUTHORIZED",IF(OR(B49="G51",B49="G52"),"BLOCKED","HOLD"))</x:f>
        <x:v>HOLD</x:v>
      </x:c>
    </x:row>
    <x:row r="50">
      <x:c r="B50" s="9" t="str">
        <x:v>G44</x:v>
      </x:c>
      <x:c r="C50" s="9" t="str">
        <x:v>Physical</x:v>
      </x:c>
      <x:c r="D50" s="9" t="str">
        <x:v>Support checks observed</x:v>
      </x:c>
      <x:c r="E50" s="19" t="n">
        <x:f>SUM('Load Cases'!J21:J24)</x:f>
        <x:v>0</x:v>
      </x:c>
      <x:c r="F50" s="19" t="n">
        <x:v>4</x:v>
      </x:c>
      <x:c r="G50" s="9" t="str">
        <x:f>IF(E50=F50,"PASS","OPEN")</x:f>
        <x:v>OPEN</x:v>
      </x:c>
      <x:c r="H50" s="9" t="str">
        <x:f>IF(G50="PASS","AUTHORIZED",IF(OR(B50="G51",B50="G52"),"BLOCKED","HOLD"))</x:f>
        <x:v>HOLD</x:v>
      </x:c>
    </x:row>
    <x:row r="51">
      <x:c r="B51" s="9" t="str">
        <x:v>G45</x:v>
      </x:c>
      <x:c r="C51" s="9" t="str">
        <x:v>Physical</x:v>
      </x:c>
      <x:c r="D51" s="9" t="str">
        <x:v>Hydraulic observations</x:v>
      </x:c>
      <x:c r="E51" s="19" t="n">
        <x:f>COUNTIFS('Hydraulic and Sanitary'!K7:K18,"ADMITTED")</x:f>
        <x:v>0</x:v>
      </x:c>
      <x:c r="F51" s="19" t="n">
        <x:v>12</x:v>
      </x:c>
      <x:c r="G51" s="9" t="str">
        <x:f>IF(E51=F51,"PASS","OPEN")</x:f>
        <x:v>OPEN</x:v>
      </x:c>
      <x:c r="H51" s="9" t="str">
        <x:f>IF(G51="PASS","AUTHORIZED",IF(OR(B51="G51",B51="G52"),"BLOCKED","HOLD"))</x:f>
        <x:v>HOLD</x:v>
      </x:c>
    </x:row>
    <x:row r="52">
      <x:c r="B52" s="9" t="str">
        <x:v>G46</x:v>
      </x:c>
      <x:c r="C52" s="9" t="str">
        <x:v>Physical</x:v>
      </x:c>
      <x:c r="D52" s="9" t="str">
        <x:v>Power observations</x:v>
      </x:c>
      <x:c r="E52" s="19" t="n">
        <x:f>COUNTIFS('Power and Black Start'!K7:K11,"ADMITTED")</x:f>
        <x:v>0</x:v>
      </x:c>
      <x:c r="F52" s="19" t="n">
        <x:v>5</x:v>
      </x:c>
      <x:c r="G52" s="9" t="str">
        <x:f>IF(E52=F52,"PASS","OPEN")</x:f>
        <x:v>OPEN</x:v>
      </x:c>
      <x:c r="H52" s="9" t="str">
        <x:f>IF(G52="PASS","AUTHORIZED",IF(OR(B52="G51",B52="G52"),"BLOCKED","HOLD"))</x:f>
        <x:v>HOLD</x:v>
      </x:c>
    </x:row>
    <x:row r="53">
      <x:c r="B53" s="9" t="str">
        <x:v>G47</x:v>
      </x:c>
      <x:c r="C53" s="9" t="str">
        <x:v>Physical</x:v>
      </x:c>
      <x:c r="D53" s="9" t="str">
        <x:v>Measurement-plane observations</x:v>
      </x:c>
      <x:c r="E53" s="19" t="n">
        <x:f>COUNTIFS('Measurement Plan'!M7:M19,"ADMITTED")</x:f>
        <x:v>0</x:v>
      </x:c>
      <x:c r="F53" s="19" t="n">
        <x:v>13</x:v>
      </x:c>
      <x:c r="G53" s="9" t="str">
        <x:f>IF(E53=F53,"PASS","OPEN")</x:f>
        <x:v>OPEN</x:v>
      </x:c>
      <x:c r="H53" s="9" t="str">
        <x:f>IF(G53="PASS","AUTHORIZED",IF(OR(B53="G51",B53="G52"),"BLOCKED","HOLD"))</x:f>
        <x:v>HOLD</x:v>
      </x:c>
    </x:row>
    <x:row r="54">
      <x:c r="B54" s="9" t="str">
        <x:v>G48</x:v>
      </x:c>
      <x:c r="C54" s="9" t="str">
        <x:v>Physical</x:v>
      </x:c>
      <x:c r="D54" s="9" t="str">
        <x:v>Trial-sequence observations</x:v>
      </x:c>
      <x:c r="E54" s="19" t="n">
        <x:f>COUNTIFS('Trial Sequences'!J7:J22,"ADMITTED")</x:f>
        <x:v>0</x:v>
      </x:c>
      <x:c r="F54" s="19" t="n">
        <x:v>16</x:v>
      </x:c>
      <x:c r="G54" s="9" t="str">
        <x:f>IF(E54=F54,"PASS","OPEN")</x:f>
        <x:v>OPEN</x:v>
      </x:c>
      <x:c r="H54" s="9" t="str">
        <x:f>IF(G54="PASS","AUTHORIZED",IF(OR(B54="G51",B54="G52"),"BLOCKED","HOLD"))</x:f>
        <x:v>HOLD</x:v>
      </x:c>
    </x:row>
    <x:row r="55">
      <x:c r="B55" s="9" t="str">
        <x:v>G49</x:v>
      </x:c>
      <x:c r="C55" s="9" t="str">
        <x:v>Physical</x:v>
      </x:c>
      <x:c r="D55" s="9" t="str">
        <x:v>Evidence packages admitted</x:v>
      </x:c>
      <x:c r="E55" s="19" t="n">
        <x:f>'Controls'!$D$88</x:f>
        <x:v>0</x:v>
      </x:c>
      <x:c r="F55" s="19" t="n">
        <x:v>2</x:v>
      </x:c>
      <x:c r="G55" s="9" t="str">
        <x:f>IF(E55=F55,"PASS","OPEN")</x:f>
        <x:v>OPEN</x:v>
      </x:c>
      <x:c r="H55" s="9" t="str">
        <x:f>IF(G55="PASS","AUTHORIZED",IF(OR(B55="G51",B55="G52"),"BLOCKED","HOLD"))</x:f>
        <x:v>HOLD</x:v>
      </x:c>
    </x:row>
    <x:row r="56">
      <x:c r="B56" s="9" t="str">
        <x:v>G50</x:v>
      </x:c>
      <x:c r="C56" s="9" t="str">
        <x:v>Physical</x:v>
      </x:c>
      <x:c r="D56" s="9" t="str">
        <x:v>CRC-E01 admission</x:v>
      </x:c>
      <x:c r="E56" s="19" t="n">
        <x:f>IF(COUNTIFS(G43:G55,"PASS")=13,1,0)</x:f>
        <x:v>0</x:v>
      </x:c>
      <x:c r="F56" s="19" t="n">
        <x:v>1</x:v>
      </x:c>
      <x:c r="G56" s="9" t="str">
        <x:f>IF(E56=F56,"PASS","OPEN")</x:f>
        <x:v>OPEN</x:v>
      </x:c>
      <x:c r="H56" s="9" t="str">
        <x:f>IF(G56="PASS","AUTHORIZED",IF(OR(B56="G51",B56="G52"),"BLOCKED","HOLD"))</x:f>
        <x:v>HOLD</x:v>
      </x:c>
    </x:row>
    <x:row r="57">
      <x:c r="B57" s="9" t="str">
        <x:v>G51</x:v>
      </x:c>
      <x:c r="C57" s="9" t="str">
        <x:v>Physical</x:v>
      </x:c>
      <x:c r="D57" s="9" t="str">
        <x:v>Production authority</x:v>
      </x:c>
      <x:c r="E57" s="19" t="n">
        <x:f>IF(AND('Controls'!$D$90=1,G56="PASS"),1,0)</x:f>
        <x:v>0</x:v>
      </x:c>
      <x:c r="F57" s="19" t="n">
        <x:v>1</x:v>
      </x:c>
      <x:c r="G57" s="9" t="str">
        <x:f>IF(E57=F57,"PASS","OPEN")</x:f>
        <x:v>OPEN</x:v>
      </x:c>
      <x:c r="H57" s="9" t="str">
        <x:f>IF(G57="PASS","AUTHORIZED",IF(OR(B57="G51",B57="G52"),"BLOCKED","HOLD"))</x:f>
        <x:v>BLOCKED</x:v>
      </x:c>
    </x:row>
    <x:row r="58">
      <x:c r="B58" s="10" t="str">
        <x:v>G52</x:v>
      </x:c>
      <x:c r="C58" s="10" t="str">
        <x:v>Physical</x:v>
      </x:c>
      <x:c r="D58" s="10" t="str">
        <x:v>Exterior rendering authority</x:v>
      </x:c>
      <x:c r="E58" s="20" t="n">
        <x:f>IF(AND('Controls'!$D$91=1,G57="PASS"),1,0)</x:f>
        <x:v>0</x:v>
      </x:c>
      <x:c r="F58" s="20" t="n">
        <x:v>1</x:v>
      </x:c>
      <x:c r="G58" s="10" t="str">
        <x:f>IF(E58=F58,"PASS","OPEN")</x:f>
        <x:v>OPEN</x:v>
      </x:c>
      <x:c r="H58" s="10" t="str">
        <x:f>IF(G58="PASS","AUTHORIZED",IF(OR(B58="G51",B58="G52"),"BLOCKED","HOLD"))</x:f>
        <x:v>BLOCKED</x:v>
      </x:c>
    </x:row>
  </x:sheetData>
  <x:mergeCells>
    <x:mergeCell ref="B2:H2"/>
    <x:mergeCell ref="B3:H3"/>
  </x:mergeCells>
  <x:conditionalFormatting sqref="G7:H58">
    <x:cfRule type="containsText" dxfId="234" priority="1" operator="containsText" text="PASS"/>
    <x:cfRule type="containsText" dxfId="235" priority="2" operator="containsText" text="AUTHORIZED"/>
    <x:cfRule type="containsText" dxfId="236" priority="3" operator="containsText" text="DEFINED"/>
    <x:cfRule type="containsText" dxfId="237" priority="4" operator="containsText" text="READY"/>
    <x:cfRule type="containsText" dxfId="238" priority="5" operator="containsText" text="HOLD"/>
    <x:cfRule type="containsText" dxfId="239" priority="6" operator="containsText" text="OPEN"/>
    <x:cfRule type="containsText" dxfId="240" priority="7" operator="containsText" text="BLOCKED"/>
    <x:cfRule type="containsText" dxfId="241" priority="8" operator="containsText" text="PLANNING"/>
    <x:cfRule type="containsText" dxfId="242" priority="9" operator="containsText" text="FAIL"/>
    <x:cfRule type="containsText" dxfId="243" priority="10" operator="containsText" text="REJECT"/>
    <x:cfRule type="containsText" dxfId="244" priority="11" operator="containsText" text="LATE"/>
    <x:cfRule type="containsText" dxfId="245" priority="12" operator="containsText" text="INCOMPLETE"/>
    <x:cfRule type="containsText" dxfId="246" priority="13" operator="containsText" text="INDETERMINATE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18" hidden="0" customWidth="1"/>
    <x:col min="4" max="4" width="49" hidden="0" customWidth="1"/>
    <x:col min="5" max="5" width="18" hidden="0" customWidth="1"/>
    <x:col min="6" max="6" width="18" hidden="0" customWidth="1"/>
    <x:col min="7" max="7" width="16" hidden="0" customWidth="1"/>
  </x:cols>
  <x:sheetData>
    <x:row r="2">
      <x:c r="B2" s="28" t="str">
        <x:v>Independent terminal audit</x:v>
      </x:c>
      <x:c r="C2" s="8"/>
      <x:c r="D2" s="8"/>
      <x:c r="E2" s="8"/>
      <x:c r="F2" s="8"/>
      <x:c r="G2" s="8"/>
    </x:row>
    <x:row r="3">
      <x:c r="B3" s="2" t="str">
        <x:v>This sheet observes source tables and release logic; no business or release formula depends on it.</x:v>
      </x:c>
      <x:c r="C3" s="8"/>
      <x:c r="D3" s="8"/>
      <x:c r="E3" s="8"/>
      <x:c r="F3" s="8"/>
      <x:c r="G3" s="8"/>
    </x:row>
    <x:row r="4">
      <x:c r="B4" s="29"/>
      <x:c r="C4" s="29"/>
      <x:c r="D4" s="29"/>
      <x:c r="E4" s="29"/>
      <x:c r="F4" s="29"/>
      <x:c r="G4" s="29"/>
    </x:row>
    <x:row r="5">
      <x:c r="B5" s="8"/>
      <x:c r="C5" s="8"/>
      <x:c r="D5" s="8"/>
      <x:c r="E5" s="8"/>
      <x:c r="F5" s="8"/>
      <x:c r="G5" s="8"/>
    </x:row>
    <x:row r="6">
      <x:c r="B6" s="7" t="str">
        <x:v>Check</x:v>
      </x:c>
      <x:c r="C6" s="7" t="str">
        <x:v>Family</x:v>
      </x:c>
      <x:c r="D6" s="7" t="str">
        <x:v>Assertion</x:v>
      </x:c>
      <x:c r="E6" s="7" t="str">
        <x:v>Actual</x:v>
      </x:c>
      <x:c r="F6" s="7" t="str">
        <x:v>Expected</x:v>
      </x:c>
      <x:c r="G6" s="7" t="str">
        <x:v>Result</x:v>
      </x:c>
    </x:row>
    <x:row r="7">
      <x:c r="B7" s="9" t="str">
        <x:v>A001</x:v>
      </x:c>
      <x:c r="C7" s="9" t="str">
        <x:v>Controls</x:v>
      </x:c>
      <x:c r="D7" s="9" t="str">
        <x:v>Operating mass balance</x:v>
      </x:c>
      <x:c r="E7" s="19" t="n">
        <x:f>'Controls'!$D$10+'Controls'!$D$11+'Controls'!$D$12</x:f>
        <x:v>40</x:v>
      </x:c>
      <x:c r="F7" s="19" t="n">
        <x:v>40</x:v>
      </x:c>
      <x:c r="G7" s="9" t="str">
        <x:f>IF(ISNUMBER(E7),IF(ABS(E7-F7)&lt;0.01,"PASS","FAIL"),IF(E7=F7,"PASS","FAIL"))</x:f>
        <x:v>PASS</x:v>
      </x:c>
    </x:row>
    <x:row r="8">
      <x:c r="B8" s="9" t="str">
        <x:v>A002</x:v>
      </x:c>
      <x:c r="C8" s="9" t="str">
        <x:v>Controls</x:v>
      </x:c>
      <x:c r="D8" s="9" t="str">
        <x:v>Workforce balance</x:v>
      </x:c>
      <x:c r="E8" s="19" t="n">
        <x:f>'Controls'!$D$80+'Controls'!$D$81</x:f>
        <x:v>590</x:v>
      </x:c>
      <x:c r="F8" s="19" t="n">
        <x:v>590</x:v>
      </x:c>
      <x:c r="G8" s="9" t="str">
        <x:f>IF(ISNUMBER(E8),IF(ABS(E8-F8)&lt;0.01,"PASS","FAIL"),IF(E8=F8,"PASS","FAIL"))</x:f>
        <x:v>PASS</x:v>
      </x:c>
    </x:row>
    <x:row r="9">
      <x:c r="B9" s="9" t="str">
        <x:v>A003</x:v>
      </x:c>
      <x:c r="C9" s="9" t="str">
        <x:v>Articles</x:v>
      </x:c>
      <x:c r="D9" s="9" t="str">
        <x:v>Controlled units</x:v>
      </x:c>
      <x:c r="E9" s="19" t="n">
        <x:f>'Article Set'!D14</x:f>
        <x:v>58</x:v>
      </x:c>
      <x:c r="F9" s="19" t="n">
        <x:v>58</x:v>
      </x:c>
      <x:c r="G9" s="9" t="str">
        <x:f>IF(ISNUMBER(E9),IF(ABS(E9-F9)&lt;0.01,"PASS","FAIL"),IF(E9=F9,"PASS","FAIL"))</x:f>
        <x:v>PASS</x:v>
      </x:c>
    </x:row>
    <x:row r="10">
      <x:c r="B10" s="9" t="str">
        <x:v>A004</x:v>
      </x:c>
      <x:c r="C10" s="9" t="str">
        <x:v>Articles</x:v>
      </x:c>
      <x:c r="D10" s="9" t="str">
        <x:v>Decision trials</x:v>
      </x:c>
      <x:c r="E10" s="19" t="n">
        <x:f>'Article Set'!E14</x:f>
        <x:v>50</x:v>
      </x:c>
      <x:c r="F10" s="19" t="n">
        <x:v>50</x:v>
      </x:c>
      <x:c r="G10" s="9" t="str">
        <x:f>IF(ISNUMBER(E10),IF(ABS(E10-F10)&lt;0.01,"PASS","FAIL"),IF(E10=F10,"PASS","FAIL"))</x:f>
        <x:v>PASS</x:v>
      </x:c>
    </x:row>
    <x:row r="11">
      <x:c r="B11" s="9" t="str">
        <x:v>A005</x:v>
      </x:c>
      <x:c r="C11" s="9" t="str">
        <x:v>Envelope</x:v>
      </x:c>
      <x:c r="D11" s="9" t="str">
        <x:v>Envelope planning gates</x:v>
      </x:c>
      <x:c r="E11" s="19" t="n">
        <x:f>COUNTIFS('Physical Envelope'!J7:J19,"PASS")</x:f>
        <x:v>13</x:v>
      </x:c>
      <x:c r="F11" s="19" t="n">
        <x:v>13</x:v>
      </x:c>
      <x:c r="G11" s="9" t="str">
        <x:f>IF(ISNUMBER(E11),IF(ABS(E11-F11)&lt;0.01,"PASS","FAIL"),IF(E11=F11,"PASS","FAIL"))</x:f>
        <x:v>PASS</x:v>
      </x:c>
    </x:row>
    <x:row r="12">
      <x:c r="B12" s="9" t="str">
        <x:v>A006</x:v>
      </x:c>
      <x:c r="C12" s="9" t="str">
        <x:v>Structure</x:v>
      </x:c>
      <x:c r="D12" s="9" t="str">
        <x:v>Load cases</x:v>
      </x:c>
      <x:c r="E12" s="19" t="n">
        <x:f>COUNTIFS('Load Cases'!J7:J15,"PASS")</x:f>
        <x:v>9</x:v>
      </x:c>
      <x:c r="F12" s="19" t="n">
        <x:v>9</x:v>
      </x:c>
      <x:c r="G12" s="9" t="str">
        <x:f>IF(ISNUMBER(E12),IF(ABS(E12-F12)&lt;0.01,"PASS","FAIL"),IF(E12=F12,"PASS","FAIL"))</x:f>
        <x:v>PASS</x:v>
      </x:c>
    </x:row>
    <x:row r="13">
      <x:c r="B13" s="9" t="str">
        <x:v>A007</x:v>
      </x:c>
      <x:c r="C13" s="9" t="str">
        <x:v>Structure</x:v>
      </x:c>
      <x:c r="D13" s="9" t="str">
        <x:v>Engineering checks</x:v>
      </x:c>
      <x:c r="E13" s="19" t="n">
        <x:f>COUNTIFS('Load Cases'!I21:I24,"PASS")</x:f>
        <x:v>4</x:v>
      </x:c>
      <x:c r="F13" s="19" t="n">
        <x:v>4</x:v>
      </x:c>
      <x:c r="G13" s="9" t="str">
        <x:f>IF(ISNUMBER(E13),IF(ABS(E13-F13)&lt;0.01,"PASS","FAIL"),IF(E13=F13,"PASS","FAIL"))</x:f>
        <x:v>PASS</x:v>
      </x:c>
    </x:row>
    <x:row r="14">
      <x:c r="B14" s="9" t="str">
        <x:v>A008</x:v>
      </x:c>
      <x:c r="C14" s="9" t="str">
        <x:v>Hydraulic</x:v>
      </x:c>
      <x:c r="D14" s="9" t="str">
        <x:v>Paired flow m3/s</x:v>
      </x:c>
      <x:c r="E14" s="19" t="n">
        <x:f>'Hydraulic and Sanitary'!E10</x:f>
        <x:v>0.11574074074074074</x:v>
      </x:c>
      <x:c r="F14" s="19" t="n">
        <x:v>0.11574</x:v>
      </x:c>
      <x:c r="G14" s="9" t="str">
        <x:f>IF(ISNUMBER(E14),IF(ABS(E14-F14)&lt;0.01,"PASS","FAIL"),IF(E14=F14,"PASS","FAIL"))</x:f>
        <x:v>PASS</x:v>
      </x:c>
    </x:row>
    <x:row r="15">
      <x:c r="B15" s="9" t="str">
        <x:v>A009</x:v>
      </x:c>
      <x:c r="C15" s="9" t="str">
        <x:v>Hydraulic</x:v>
      </x:c>
      <x:c r="D15" s="9" t="str">
        <x:v>Local loop volume m3</x:v>
      </x:c>
      <x:c r="E15" s="19" t="n">
        <x:f>'Hydraulic and Sanitary'!E11</x:f>
        <x:v>4.618141200776995</x:v>
      </x:c>
      <x:c r="F15" s="19" t="n">
        <x:v>4.6181</x:v>
      </x:c>
      <x:c r="G15" s="9" t="str">
        <x:f>IF(ISNUMBER(E15),IF(ABS(E15-F15)&lt;0.01,"PASS","FAIL"),IF(E15=F15,"PASS","FAIL"))</x:f>
        <x:v>PASS</x:v>
      </x:c>
    </x:row>
    <x:row r="16">
      <x:c r="B16" s="9" t="str">
        <x:v>A010</x:v>
      </x:c>
      <x:c r="C16" s="9" t="str">
        <x:v>Hydraulic</x:v>
      </x:c>
      <x:c r="D16" s="9" t="str">
        <x:v>Three-volume flush m3</x:v>
      </x:c>
      <x:c r="E16" s="19" t="n">
        <x:f>'Hydraulic and Sanitary'!E12</x:f>
        <x:v>13.854423602330984</x:v>
      </x:c>
      <x:c r="F16" s="19" t="n">
        <x:v>13.8544</x:v>
      </x:c>
      <x:c r="G16" s="9" t="str">
        <x:f>IF(ISNUMBER(E16),IF(ABS(E16-F16)&lt;0.01,"PASS","FAIL"),IF(E16=F16,"PASS","FAIL"))</x:f>
        <x:v>PASS</x:v>
      </x:c>
    </x:row>
    <x:row r="17">
      <x:c r="B17" s="9" t="str">
        <x:v>A011</x:v>
      </x:c>
      <x:c r="C17" s="9" t="str">
        <x:v>Hydraulic</x:v>
      </x:c>
      <x:c r="D17" s="9" t="str">
        <x:v>Pressure end force kN</x:v>
      </x:c>
      <x:c r="E17" s="19" t="n">
        <x:f>'Hydraulic and Sanitary'!E13</x:f>
        <x:v>101.02183876699677</x:v>
      </x:c>
      <x:c r="F17" s="19" t="n">
        <x:v>101.022</x:v>
      </x:c>
      <x:c r="G17" s="9" t="str">
        <x:f>IF(ISNUMBER(E17),IF(ABS(E17-F17)&lt;0.01,"PASS","FAIL"),IF(E17=F17,"PASS","FAIL"))</x:f>
        <x:v>PASS</x:v>
      </x:c>
    </x:row>
    <x:row r="18">
      <x:c r="B18" s="9" t="str">
        <x:v>A012</x:v>
      </x:c>
      <x:c r="C18" s="9" t="str">
        <x:v>Power</x:v>
      </x:c>
      <x:c r="D18" s="9" t="str">
        <x:v>Normal energy MWh</x:v>
      </x:c>
      <x:c r="E18" s="19" t="n">
        <x:f>'Power and Black Start'!E9</x:f>
        <x:v>12</x:v>
      </x:c>
      <x:c r="F18" s="19" t="n">
        <x:v>12</x:v>
      </x:c>
      <x:c r="G18" s="9" t="str">
        <x:f>IF(ISNUMBER(E18),IF(ABS(E18-F18)&lt;0.01,"PASS","FAIL"),IF(E18=F18,"PASS","FAIL"))</x:f>
        <x:v>PASS</x:v>
      </x:c>
    </x:row>
    <x:row r="19">
      <x:c r="B19" s="9" t="str">
        <x:v>A013</x:v>
      </x:c>
      <x:c r="C19" s="9" t="str">
        <x:v>Power</x:v>
      </x:c>
      <x:c r="D19" s="9" t="str">
        <x:v>Stored energy minutes</x:v>
      </x:c>
      <x:c r="E19" s="19" t="n">
        <x:f>'Power and Black Start'!D8*60</x:f>
        <x:v>40.00000000000001</x:v>
      </x:c>
      <x:c r="F19" s="19" t="n">
        <x:v>40</x:v>
      </x:c>
      <x:c r="G19" s="9" t="str">
        <x:f>IF(ISNUMBER(E19),IF(ABS(E19-F19)&lt;0.01,"PASS","FAIL"),IF(E19=F19,"PASS","FAIL"))</x:f>
        <x:v>PASS</x:v>
      </x:c>
    </x:row>
    <x:row r="20">
      <x:c r="B20" s="9" t="str">
        <x:v>A014</x:v>
      </x:c>
      <x:c r="C20" s="9" t="str">
        <x:v>Evidence</x:v>
      </x:c>
      <x:c r="D20" s="9" t="str">
        <x:v>Measurement planes</x:v>
      </x:c>
      <x:c r="E20" s="19" t="n">
        <x:f>COUNTA('Measurement Plan'!B7:B19)</x:f>
        <x:v>13</x:v>
      </x:c>
      <x:c r="F20" s="19" t="n">
        <x:v>13</x:v>
      </x:c>
      <x:c r="G20" s="9" t="str">
        <x:f>IF(ISNUMBER(E20),IF(ABS(E20-F20)&lt;0.01,"PASS","FAIL"),IF(E20=F20,"PASS","FAIL"))</x:f>
        <x:v>PASS</x:v>
      </x:c>
    </x:row>
    <x:row r="21">
      <x:c r="B21" s="9" t="str">
        <x:v>A015</x:v>
      </x:c>
      <x:c r="C21" s="9" t="str">
        <x:v>Evidence</x:v>
      </x:c>
      <x:c r="D21" s="9" t="str">
        <x:v>Instrument GB/root</x:v>
      </x:c>
      <x:c r="E21" s="19" t="n">
        <x:f>'Measurement Plan'!C25</x:f>
        <x:v>1111.071744</x:v>
      </x:c>
      <x:c r="F21" s="19" t="n">
        <x:v>1111.072</x:v>
      </x:c>
      <x:c r="G21" s="9" t="str">
        <x:f>IF(ISNUMBER(E21),IF(ABS(E21-F21)&lt;0.01,"PASS","FAIL"),IF(E21=F21,"PASS","FAIL"))</x:f>
        <x:v>PASS</x:v>
      </x:c>
    </x:row>
    <x:row r="22">
      <x:c r="B22" s="9" t="str">
        <x:v>A016</x:v>
      </x:c>
      <x:c r="C22" s="9" t="str">
        <x:v>Evidence</x:v>
      </x:c>
      <x:c r="D22" s="9" t="str">
        <x:v>Retained TB</x:v>
      </x:c>
      <x:c r="E22" s="19" t="n">
        <x:f>'Measurement Plan'!C28</x:f>
        <x:v>13.215400243200003</x:v>
      </x:c>
      <x:c r="F22" s="19" t="n">
        <x:v>13.215</x:v>
      </x:c>
      <x:c r="G22" s="9" t="str">
        <x:f>IF(ISNUMBER(E22),IF(ABS(E22-F22)&lt;0.01,"PASS","FAIL"),IF(E22=F22,"PASS","FAIL"))</x:f>
        <x:v>PASS</x:v>
      </x:c>
    </x:row>
    <x:row r="23">
      <x:c r="B23" s="9" t="str">
        <x:v>A017</x:v>
      </x:c>
      <x:c r="C23" s="9" t="str">
        <x:v>Trials</x:v>
      </x:c>
      <x:c r="D23" s="9" t="str">
        <x:v>Sequences</x:v>
      </x:c>
      <x:c r="E23" s="19" t="n">
        <x:f>COUNTA('Trial Sequences'!B7:B22)</x:f>
        <x:v>16</x:v>
      </x:c>
      <x:c r="F23" s="19" t="n">
        <x:v>16</x:v>
      </x:c>
      <x:c r="G23" s="9" t="str">
        <x:f>IF(ISNUMBER(E23),IF(ABS(E23-F23)&lt;0.01,"PASS","FAIL"),IF(E23=F23,"PASS","FAIL"))</x:f>
        <x:v>PASS</x:v>
      </x:c>
    </x:row>
    <x:row r="24">
      <x:c r="B24" s="9" t="str">
        <x:v>A018</x:v>
      </x:c>
      <x:c r="C24" s="9" t="str">
        <x:v>Fault</x:v>
      </x:c>
      <x:c r="D24" s="9" t="str">
        <x:v>Fault rows</x:v>
      </x:c>
      <x:c r="E24" s="19" t="n">
        <x:f>COUNTA('Fault Campaign'!B7:B22)</x:f>
        <x:v>16</x:v>
      </x:c>
      <x:c r="F24" s="19" t="n">
        <x:v>16</x:v>
      </x:c>
      <x:c r="G24" s="9" t="str">
        <x:f>IF(ISNUMBER(E24),IF(ABS(E24-F24)&lt;0.01,"PASS","FAIL"),IF(E24=F24,"PASS","FAIL"))</x:f>
        <x:v>PASS</x:v>
      </x:c>
    </x:row>
    <x:row r="25">
      <x:c r="B25" s="9" t="str">
        <x:v>A019</x:v>
      </x:c>
      <x:c r="C25" s="9" t="str">
        <x:v>Schedule</x:v>
      </x:c>
      <x:c r="D25" s="9" t="str">
        <x:v>End month</x:v>
      </x:c>
      <x:c r="E25" s="19" t="n">
        <x:f>MAX(Schedule!E7:E18)</x:f>
        <x:v>36</x:v>
      </x:c>
      <x:c r="F25" s="19" t="n">
        <x:v>36</x:v>
      </x:c>
      <x:c r="G25" s="9" t="str">
        <x:f>IF(ISNUMBER(E25),IF(ABS(E25-F25)&lt;0.01,"PASS","FAIL"),IF(E25=F25,"PASS","FAIL"))</x:f>
        <x:v>PASS</x:v>
      </x:c>
    </x:row>
    <x:row r="26">
      <x:c r="B26" s="9" t="str">
        <x:v>A020</x:v>
      </x:c>
      <x:c r="C26" s="9" t="str">
        <x:v>Schedule</x:v>
      </x:c>
      <x:c r="D26" s="9" t="str">
        <x:v>Cold duration</x:v>
      </x:c>
      <x:c r="E26" s="19" t="n">
        <x:f>Schedule!F14</x:f>
        <x:v>18</x:v>
      </x:c>
      <x:c r="F26" s="19" t="n">
        <x:v>18</x:v>
      </x:c>
      <x:c r="G26" s="9" t="str">
        <x:f>IF(ISNUMBER(E26),IF(ABS(E26-F26)&lt;0.01,"PASS","FAIL"),IF(E26=F26,"PASS","FAIL"))</x:f>
        <x:v>PASS</x:v>
      </x:c>
    </x:row>
    <x:row r="27">
      <x:c r="B27" s="9" t="str">
        <x:v>A021</x:v>
      </x:c>
      <x:c r="C27" s="9" t="str">
        <x:v>Finance</x:v>
      </x:c>
      <x:c r="D27" s="9" t="str">
        <x:v>CISA capital</x:v>
      </x:c>
      <x:c r="E27" s="19" t="n">
        <x:f>'Capital Draw'!D18</x:f>
        <x:v>0.96</x:v>
      </x:c>
      <x:c r="F27" s="19" t="n">
        <x:v>0.96</x:v>
      </x:c>
      <x:c r="G27" s="9" t="str">
        <x:f>IF(ISNUMBER(E27),IF(ABS(E27-F27)&lt;0.01,"PASS","FAIL"),IF(E27=F27,"PASS","FAIL"))</x:f>
        <x:v>PASS</x:v>
      </x:c>
    </x:row>
    <x:row r="28">
      <x:c r="B28" s="9" t="str">
        <x:v>A022</x:v>
      </x:c>
      <x:c r="C28" s="9" t="str">
        <x:v>Finance</x:v>
      </x:c>
      <x:c r="D28" s="9" t="str">
        <x:v>CISA annual</x:v>
      </x:c>
      <x:c r="E28" s="19" t="n">
        <x:f>'Annual Draw'!D21</x:f>
        <x:v>0.26</x:v>
      </x:c>
      <x:c r="F28" s="19" t="n">
        <x:v>0.26</x:v>
      </x:c>
      <x:c r="G28" s="9" t="str">
        <x:f>IF(ISNUMBER(E28),IF(ABS(E28-F28)&lt;0.01,"PASS","FAIL"),IF(E28=F28,"PASS","FAIL"))</x:f>
        <x:v>PASS</x:v>
      </x:c>
    </x:row>
    <x:row r="29">
      <x:c r="B29" s="9" t="str">
        <x:v>A023</x:v>
      </x:c>
      <x:c r="C29" s="9" t="str">
        <x:v>Finance</x:v>
      </x:c>
      <x:c r="D29" s="9" t="str">
        <x:v>Three-year operating</x:v>
      </x:c>
      <x:c r="E29" s="19" t="n">
        <x:f>'Annual Draw'!D24</x:f>
        <x:v>0.78</x:v>
      </x:c>
      <x:c r="F29" s="19" t="n">
        <x:v>0.78</x:v>
      </x:c>
      <x:c r="G29" s="9" t="str">
        <x:f>IF(ISNUMBER(E29),IF(ABS(E29-F29)&lt;0.01,"PASS","FAIL"),IF(E29=F29,"PASS","FAIL"))</x:f>
        <x:v>PASS</x:v>
      </x:c>
    </x:row>
    <x:row r="30">
      <x:c r="B30" s="9" t="str">
        <x:v>A024</x:v>
      </x:c>
      <x:c r="C30" s="9" t="str">
        <x:v>Authority</x:v>
      </x:c>
      <x:c r="D30" s="9" t="str">
        <x:v>Planning gates passed</x:v>
      </x:c>
      <x:c r="E30" s="19" t="n">
        <x:f>COUNTIFS('Release Gates'!G7:G42,"PASS")</x:f>
        <x:v>36</x:v>
      </x:c>
      <x:c r="F30" s="19" t="n">
        <x:v>36</x:v>
      </x:c>
      <x:c r="G30" s="9" t="str">
        <x:f>IF(ISNUMBER(E30),IF(ABS(E30-F30)&lt;0.01,"PASS","FAIL"),IF(E30=F30,"PASS","FAIL"))</x:f>
        <x:v>PASS</x:v>
      </x:c>
    </x:row>
    <x:row r="31">
      <x:c r="B31" s="9" t="str">
        <x:v>A025</x:v>
      </x:c>
      <x:c r="C31" s="9" t="str">
        <x:v>Authority</x:v>
      </x:c>
      <x:c r="D31" s="9" t="str">
        <x:v>Physical gates open or blocked</x:v>
      </x:c>
      <x:c r="E31" s="19" t="n">
        <x:f>COUNTIFS('Release Gates'!G43:G58,"OPEN")</x:f>
        <x:v>16</x:v>
      </x:c>
      <x:c r="F31" s="19" t="n">
        <x:v>16</x:v>
      </x:c>
      <x:c r="G31" s="9" t="str">
        <x:f>IF(ISNUMBER(E31),IF(ABS(E31-F31)&lt;0.01,"PASS","FAIL"),IF(E31=F31,"PASS","FAIL"))</x:f>
        <x:v>PASS</x:v>
      </x:c>
    </x:row>
    <x:row r="32">
      <x:c r="B32" s="9" t="str">
        <x:v>A026</x:v>
      </x:c>
      <x:c r="C32" s="9" t="str">
        <x:v>Authority</x:v>
      </x:c>
      <x:c r="D32" s="9" t="str">
        <x:v>Production disposition</x:v>
      </x:c>
      <x:c r="E32" s="19" t="str">
        <x:f>'Release Gates'!H57</x:f>
        <x:v>BLOCKED</x:v>
      </x:c>
      <x:c r="F32" s="19" t="str">
        <x:v>BLOCKED</x:v>
      </x:c>
      <x:c r="G32" s="9" t="str">
        <x:f>IF(ISNUMBER(E32),IF(ABS(E32-F32)&lt;0.01,"PASS","FAIL"),IF(E32=F32,"PASS","FAIL"))</x:f>
        <x:v>PASS</x:v>
      </x:c>
    </x:row>
    <x:row r="33">
      <x:c r="B33" s="9" t="str">
        <x:v>A027</x:v>
      </x:c>
      <x:c r="C33" s="9" t="str">
        <x:v>Authority</x:v>
      </x:c>
      <x:c r="D33" s="9" t="str">
        <x:v>Rendering disposition</x:v>
      </x:c>
      <x:c r="E33" s="19" t="str">
        <x:f>'Release Gates'!H58</x:f>
        <x:v>BLOCKED</x:v>
      </x:c>
      <x:c r="F33" s="19" t="str">
        <x:v>BLOCKED</x:v>
      </x:c>
      <x:c r="G33" s="9" t="str">
        <x:f>IF(ISNUMBER(E33),IF(ABS(E33-F33)&lt;0.01,"PASS","FAIL"),IF(E33=F33,"PASS","FAIL"))</x:f>
        <x:v>PASS</x:v>
      </x:c>
    </x:row>
    <x:row r="34">
      <x:c r="B34" s="9" t="str">
        <x:v>A028</x:v>
      </x:c>
      <x:c r="C34" s="9" t="str">
        <x:v>Release</x:v>
      </x:c>
      <x:c r="D34" s="9" t="str">
        <x:v>Release gate 01 baseline</x:v>
      </x:c>
      <x:c r="E34" s="19" t="str">
        <x:f>'Release Gates'!G7</x:f>
        <x:v>PASS</x:v>
      </x:c>
      <x:c r="F34" s="19" t="str">
        <x:v>PASS</x:v>
      </x:c>
      <x:c r="G34" s="9" t="str">
        <x:f>IF(ISNUMBER(E34),IF(ABS(E34-F34)&lt;0.01,"PASS","FAIL"),IF(E34=F34,"PASS","FAIL"))</x:f>
        <x:v>PASS</x:v>
      </x:c>
    </x:row>
    <x:row r="35">
      <x:c r="B35" s="9" t="str">
        <x:v>A029</x:v>
      </x:c>
      <x:c r="C35" s="9" t="str">
        <x:v>Release</x:v>
      </x:c>
      <x:c r="D35" s="9" t="str">
        <x:v>Release gate 02 baseline</x:v>
      </x:c>
      <x:c r="E35" s="19" t="str">
        <x:f>'Release Gates'!G8</x:f>
        <x:v>PASS</x:v>
      </x:c>
      <x:c r="F35" s="19" t="str">
        <x:v>PASS</x:v>
      </x:c>
      <x:c r="G35" s="9" t="str">
        <x:f>IF(ISNUMBER(E35),IF(ABS(E35-F35)&lt;0.01,"PASS","FAIL"),IF(E35=F35,"PASS","FAIL"))</x:f>
        <x:v>PASS</x:v>
      </x:c>
    </x:row>
    <x:row r="36">
      <x:c r="B36" s="9" t="str">
        <x:v>A030</x:v>
      </x:c>
      <x:c r="C36" s="9" t="str">
        <x:v>Release</x:v>
      </x:c>
      <x:c r="D36" s="9" t="str">
        <x:v>Release gate 03 baseline</x:v>
      </x:c>
      <x:c r="E36" s="19" t="str">
        <x:f>'Release Gates'!G9</x:f>
        <x:v>PASS</x:v>
      </x:c>
      <x:c r="F36" s="19" t="str">
        <x:v>PASS</x:v>
      </x:c>
      <x:c r="G36" s="9" t="str">
        <x:f>IF(ISNUMBER(E36),IF(ABS(E36-F36)&lt;0.01,"PASS","FAIL"),IF(E36=F36,"PASS","FAIL"))</x:f>
        <x:v>PASS</x:v>
      </x:c>
    </x:row>
    <x:row r="37">
      <x:c r="B37" s="9" t="str">
        <x:v>A031</x:v>
      </x:c>
      <x:c r="C37" s="9" t="str">
        <x:v>Release</x:v>
      </x:c>
      <x:c r="D37" s="9" t="str">
        <x:v>Release gate 04 baseline</x:v>
      </x:c>
      <x:c r="E37" s="19" t="str">
        <x:f>'Release Gates'!G10</x:f>
        <x:v>PASS</x:v>
      </x:c>
      <x:c r="F37" s="19" t="str">
        <x:v>PASS</x:v>
      </x:c>
      <x:c r="G37" s="9" t="str">
        <x:f>IF(ISNUMBER(E37),IF(ABS(E37-F37)&lt;0.01,"PASS","FAIL"),IF(E37=F37,"PASS","FAIL"))</x:f>
        <x:v>PASS</x:v>
      </x:c>
    </x:row>
    <x:row r="38">
      <x:c r="B38" s="9" t="str">
        <x:v>A032</x:v>
      </x:c>
      <x:c r="C38" s="9" t="str">
        <x:v>Release</x:v>
      </x:c>
      <x:c r="D38" s="9" t="str">
        <x:v>Release gate 05 baseline</x:v>
      </x:c>
      <x:c r="E38" s="19" t="str">
        <x:f>'Release Gates'!G11</x:f>
        <x:v>PASS</x:v>
      </x:c>
      <x:c r="F38" s="19" t="str">
        <x:v>PASS</x:v>
      </x:c>
      <x:c r="G38" s="9" t="str">
        <x:f>IF(ISNUMBER(E38),IF(ABS(E38-F38)&lt;0.01,"PASS","FAIL"),IF(E38=F38,"PASS","FAIL"))</x:f>
        <x:v>PASS</x:v>
      </x:c>
    </x:row>
    <x:row r="39">
      <x:c r="B39" s="9" t="str">
        <x:v>A033</x:v>
      </x:c>
      <x:c r="C39" s="9" t="str">
        <x:v>Release</x:v>
      </x:c>
      <x:c r="D39" s="9" t="str">
        <x:v>Release gate 06 baseline</x:v>
      </x:c>
      <x:c r="E39" s="19" t="str">
        <x:f>'Release Gates'!G12</x:f>
        <x:v>PASS</x:v>
      </x:c>
      <x:c r="F39" s="19" t="str">
        <x:v>PASS</x:v>
      </x:c>
      <x:c r="G39" s="9" t="str">
        <x:f>IF(ISNUMBER(E39),IF(ABS(E39-F39)&lt;0.01,"PASS","FAIL"),IF(E39=F39,"PASS","FAIL"))</x:f>
        <x:v>PASS</x:v>
      </x:c>
    </x:row>
    <x:row r="40">
      <x:c r="B40" s="9" t="str">
        <x:v>A034</x:v>
      </x:c>
      <x:c r="C40" s="9" t="str">
        <x:v>Release</x:v>
      </x:c>
      <x:c r="D40" s="9" t="str">
        <x:v>Release gate 07 baseline</x:v>
      </x:c>
      <x:c r="E40" s="19" t="str">
        <x:f>'Release Gates'!G13</x:f>
        <x:v>PASS</x:v>
      </x:c>
      <x:c r="F40" s="19" t="str">
        <x:v>PASS</x:v>
      </x:c>
      <x:c r="G40" s="9" t="str">
        <x:f>IF(ISNUMBER(E40),IF(ABS(E40-F40)&lt;0.01,"PASS","FAIL"),IF(E40=F40,"PASS","FAIL"))</x:f>
        <x:v>PASS</x:v>
      </x:c>
    </x:row>
    <x:row r="41">
      <x:c r="B41" s="9" t="str">
        <x:v>A035</x:v>
      </x:c>
      <x:c r="C41" s="9" t="str">
        <x:v>Release</x:v>
      </x:c>
      <x:c r="D41" s="9" t="str">
        <x:v>Release gate 08 baseline</x:v>
      </x:c>
      <x:c r="E41" s="19" t="str">
        <x:f>'Release Gates'!G14</x:f>
        <x:v>PASS</x:v>
      </x:c>
      <x:c r="F41" s="19" t="str">
        <x:v>PASS</x:v>
      </x:c>
      <x:c r="G41" s="9" t="str">
        <x:f>IF(ISNUMBER(E41),IF(ABS(E41-F41)&lt;0.01,"PASS","FAIL"),IF(E41=F41,"PASS","FAIL"))</x:f>
        <x:v>PASS</x:v>
      </x:c>
    </x:row>
    <x:row r="42">
      <x:c r="B42" s="9" t="str">
        <x:v>A036</x:v>
      </x:c>
      <x:c r="C42" s="9" t="str">
        <x:v>Release</x:v>
      </x:c>
      <x:c r="D42" s="9" t="str">
        <x:v>Release gate 09 baseline</x:v>
      </x:c>
      <x:c r="E42" s="19" t="str">
        <x:f>'Release Gates'!G15</x:f>
        <x:v>PASS</x:v>
      </x:c>
      <x:c r="F42" s="19" t="str">
        <x:v>PASS</x:v>
      </x:c>
      <x:c r="G42" s="9" t="str">
        <x:f>IF(ISNUMBER(E42),IF(ABS(E42-F42)&lt;0.01,"PASS","FAIL"),IF(E42=F42,"PASS","FAIL"))</x:f>
        <x:v>PASS</x:v>
      </x:c>
    </x:row>
    <x:row r="43">
      <x:c r="B43" s="9" t="str">
        <x:v>A037</x:v>
      </x:c>
      <x:c r="C43" s="9" t="str">
        <x:v>Release</x:v>
      </x:c>
      <x:c r="D43" s="9" t="str">
        <x:v>Release gate 10 baseline</x:v>
      </x:c>
      <x:c r="E43" s="19" t="str">
        <x:f>'Release Gates'!G16</x:f>
        <x:v>PASS</x:v>
      </x:c>
      <x:c r="F43" s="19" t="str">
        <x:v>PASS</x:v>
      </x:c>
      <x:c r="G43" s="9" t="str">
        <x:f>IF(ISNUMBER(E43),IF(ABS(E43-F43)&lt;0.01,"PASS","FAIL"),IF(E43=F43,"PASS","FAIL"))</x:f>
        <x:v>PASS</x:v>
      </x:c>
    </x:row>
    <x:row r="44">
      <x:c r="B44" s="9" t="str">
        <x:v>A038</x:v>
      </x:c>
      <x:c r="C44" s="9" t="str">
        <x:v>Release</x:v>
      </x:c>
      <x:c r="D44" s="9" t="str">
        <x:v>Release gate 11 baseline</x:v>
      </x:c>
      <x:c r="E44" s="19" t="str">
        <x:f>'Release Gates'!G17</x:f>
        <x:v>PASS</x:v>
      </x:c>
      <x:c r="F44" s="19" t="str">
        <x:v>PASS</x:v>
      </x:c>
      <x:c r="G44" s="9" t="str">
        <x:f>IF(ISNUMBER(E44),IF(ABS(E44-F44)&lt;0.01,"PASS","FAIL"),IF(E44=F44,"PASS","FAIL"))</x:f>
        <x:v>PASS</x:v>
      </x:c>
    </x:row>
    <x:row r="45">
      <x:c r="B45" s="9" t="str">
        <x:v>A039</x:v>
      </x:c>
      <x:c r="C45" s="9" t="str">
        <x:v>Release</x:v>
      </x:c>
      <x:c r="D45" s="9" t="str">
        <x:v>Release gate 12 baseline</x:v>
      </x:c>
      <x:c r="E45" s="19" t="str">
        <x:f>'Release Gates'!G18</x:f>
        <x:v>PASS</x:v>
      </x:c>
      <x:c r="F45" s="19" t="str">
        <x:v>PASS</x:v>
      </x:c>
      <x:c r="G45" s="9" t="str">
        <x:f>IF(ISNUMBER(E45),IF(ABS(E45-F45)&lt;0.01,"PASS","FAIL"),IF(E45=F45,"PASS","FAIL"))</x:f>
        <x:v>PASS</x:v>
      </x:c>
    </x:row>
    <x:row r="46">
      <x:c r="B46" s="9" t="str">
        <x:v>A040</x:v>
      </x:c>
      <x:c r="C46" s="9" t="str">
        <x:v>Release</x:v>
      </x:c>
      <x:c r="D46" s="9" t="str">
        <x:v>Release gate 13 baseline</x:v>
      </x:c>
      <x:c r="E46" s="19" t="str">
        <x:f>'Release Gates'!G19</x:f>
        <x:v>PASS</x:v>
      </x:c>
      <x:c r="F46" s="19" t="str">
        <x:v>PASS</x:v>
      </x:c>
      <x:c r="G46" s="9" t="str">
        <x:f>IF(ISNUMBER(E46),IF(ABS(E46-F46)&lt;0.01,"PASS","FAIL"),IF(E46=F46,"PASS","FAIL"))</x:f>
        <x:v>PASS</x:v>
      </x:c>
    </x:row>
    <x:row r="47">
      <x:c r="B47" s="9" t="str">
        <x:v>A041</x:v>
      </x:c>
      <x:c r="C47" s="9" t="str">
        <x:v>Release</x:v>
      </x:c>
      <x:c r="D47" s="9" t="str">
        <x:v>Release gate 14 baseline</x:v>
      </x:c>
      <x:c r="E47" s="19" t="str">
        <x:f>'Release Gates'!G20</x:f>
        <x:v>PASS</x:v>
      </x:c>
      <x:c r="F47" s="19" t="str">
        <x:v>PASS</x:v>
      </x:c>
      <x:c r="G47" s="9" t="str">
        <x:f>IF(ISNUMBER(E47),IF(ABS(E47-F47)&lt;0.01,"PASS","FAIL"),IF(E47=F47,"PASS","FAIL"))</x:f>
        <x:v>PASS</x:v>
      </x:c>
    </x:row>
    <x:row r="48">
      <x:c r="B48" s="9" t="str">
        <x:v>A042</x:v>
      </x:c>
      <x:c r="C48" s="9" t="str">
        <x:v>Release</x:v>
      </x:c>
      <x:c r="D48" s="9" t="str">
        <x:v>Release gate 15 baseline</x:v>
      </x:c>
      <x:c r="E48" s="19" t="str">
        <x:f>'Release Gates'!G21</x:f>
        <x:v>PASS</x:v>
      </x:c>
      <x:c r="F48" s="19" t="str">
        <x:v>PASS</x:v>
      </x:c>
      <x:c r="G48" s="9" t="str">
        <x:f>IF(ISNUMBER(E48),IF(ABS(E48-F48)&lt;0.01,"PASS","FAIL"),IF(E48=F48,"PASS","FAIL"))</x:f>
        <x:v>PASS</x:v>
      </x:c>
    </x:row>
    <x:row r="49">
      <x:c r="B49" s="9" t="str">
        <x:v>A043</x:v>
      </x:c>
      <x:c r="C49" s="9" t="str">
        <x:v>Release</x:v>
      </x:c>
      <x:c r="D49" s="9" t="str">
        <x:v>Release gate 16 baseline</x:v>
      </x:c>
      <x:c r="E49" s="19" t="str">
        <x:f>'Release Gates'!G22</x:f>
        <x:v>PASS</x:v>
      </x:c>
      <x:c r="F49" s="19" t="str">
        <x:v>PASS</x:v>
      </x:c>
      <x:c r="G49" s="9" t="str">
        <x:f>IF(ISNUMBER(E49),IF(ABS(E49-F49)&lt;0.01,"PASS","FAIL"),IF(E49=F49,"PASS","FAIL"))</x:f>
        <x:v>PASS</x:v>
      </x:c>
    </x:row>
    <x:row r="50">
      <x:c r="B50" s="9" t="str">
        <x:v>A044</x:v>
      </x:c>
      <x:c r="C50" s="9" t="str">
        <x:v>Release</x:v>
      </x:c>
      <x:c r="D50" s="9" t="str">
        <x:v>Release gate 17 baseline</x:v>
      </x:c>
      <x:c r="E50" s="19" t="str">
        <x:f>'Release Gates'!G23</x:f>
        <x:v>PASS</x:v>
      </x:c>
      <x:c r="F50" s="19" t="str">
        <x:v>PASS</x:v>
      </x:c>
      <x:c r="G50" s="9" t="str">
        <x:f>IF(ISNUMBER(E50),IF(ABS(E50-F50)&lt;0.01,"PASS","FAIL"),IF(E50=F50,"PASS","FAIL"))</x:f>
        <x:v>PASS</x:v>
      </x:c>
    </x:row>
    <x:row r="51">
      <x:c r="B51" s="9" t="str">
        <x:v>A045</x:v>
      </x:c>
      <x:c r="C51" s="9" t="str">
        <x:v>Release</x:v>
      </x:c>
      <x:c r="D51" s="9" t="str">
        <x:v>Release gate 18 baseline</x:v>
      </x:c>
      <x:c r="E51" s="19" t="str">
        <x:f>'Release Gates'!G24</x:f>
        <x:v>PASS</x:v>
      </x:c>
      <x:c r="F51" s="19" t="str">
        <x:v>PASS</x:v>
      </x:c>
      <x:c r="G51" s="9" t="str">
        <x:f>IF(ISNUMBER(E51),IF(ABS(E51-F51)&lt;0.01,"PASS","FAIL"),IF(E51=F51,"PASS","FAIL"))</x:f>
        <x:v>PASS</x:v>
      </x:c>
    </x:row>
    <x:row r="52">
      <x:c r="B52" s="9" t="str">
        <x:v>A046</x:v>
      </x:c>
      <x:c r="C52" s="9" t="str">
        <x:v>Release</x:v>
      </x:c>
      <x:c r="D52" s="9" t="str">
        <x:v>Release gate 19 baseline</x:v>
      </x:c>
      <x:c r="E52" s="19" t="str">
        <x:f>'Release Gates'!G25</x:f>
        <x:v>PASS</x:v>
      </x:c>
      <x:c r="F52" s="19" t="str">
        <x:v>PASS</x:v>
      </x:c>
      <x:c r="G52" s="9" t="str">
        <x:f>IF(ISNUMBER(E52),IF(ABS(E52-F52)&lt;0.01,"PASS","FAIL"),IF(E52=F52,"PASS","FAIL"))</x:f>
        <x:v>PASS</x:v>
      </x:c>
    </x:row>
    <x:row r="53">
      <x:c r="B53" s="9" t="str">
        <x:v>A047</x:v>
      </x:c>
      <x:c r="C53" s="9" t="str">
        <x:v>Release</x:v>
      </x:c>
      <x:c r="D53" s="9" t="str">
        <x:v>Release gate 20 baseline</x:v>
      </x:c>
      <x:c r="E53" s="19" t="str">
        <x:f>'Release Gates'!G26</x:f>
        <x:v>PASS</x:v>
      </x:c>
      <x:c r="F53" s="19" t="str">
        <x:v>PASS</x:v>
      </x:c>
      <x:c r="G53" s="9" t="str">
        <x:f>IF(ISNUMBER(E53),IF(ABS(E53-F53)&lt;0.01,"PASS","FAIL"),IF(E53=F53,"PASS","FAIL"))</x:f>
        <x:v>PASS</x:v>
      </x:c>
    </x:row>
    <x:row r="54">
      <x:c r="B54" s="9" t="str">
        <x:v>A048</x:v>
      </x:c>
      <x:c r="C54" s="9" t="str">
        <x:v>Release</x:v>
      </x:c>
      <x:c r="D54" s="9" t="str">
        <x:v>Release gate 21 baseline</x:v>
      </x:c>
      <x:c r="E54" s="19" t="str">
        <x:f>'Release Gates'!G27</x:f>
        <x:v>PASS</x:v>
      </x:c>
      <x:c r="F54" s="19" t="str">
        <x:v>PASS</x:v>
      </x:c>
      <x:c r="G54" s="9" t="str">
        <x:f>IF(ISNUMBER(E54),IF(ABS(E54-F54)&lt;0.01,"PASS","FAIL"),IF(E54=F54,"PASS","FAIL"))</x:f>
        <x:v>PASS</x:v>
      </x:c>
    </x:row>
    <x:row r="55">
      <x:c r="B55" s="9" t="str">
        <x:v>A049</x:v>
      </x:c>
      <x:c r="C55" s="9" t="str">
        <x:v>Release</x:v>
      </x:c>
      <x:c r="D55" s="9" t="str">
        <x:v>Release gate 22 baseline</x:v>
      </x:c>
      <x:c r="E55" s="19" t="str">
        <x:f>'Release Gates'!G28</x:f>
        <x:v>PASS</x:v>
      </x:c>
      <x:c r="F55" s="19" t="str">
        <x:v>PASS</x:v>
      </x:c>
      <x:c r="G55" s="9" t="str">
        <x:f>IF(ISNUMBER(E55),IF(ABS(E55-F55)&lt;0.01,"PASS","FAIL"),IF(E55=F55,"PASS","FAIL"))</x:f>
        <x:v>PASS</x:v>
      </x:c>
    </x:row>
    <x:row r="56">
      <x:c r="B56" s="9" t="str">
        <x:v>A050</x:v>
      </x:c>
      <x:c r="C56" s="9" t="str">
        <x:v>Release</x:v>
      </x:c>
      <x:c r="D56" s="9" t="str">
        <x:v>Release gate 23 baseline</x:v>
      </x:c>
      <x:c r="E56" s="19" t="str">
        <x:f>'Release Gates'!G29</x:f>
        <x:v>PASS</x:v>
      </x:c>
      <x:c r="F56" s="19" t="str">
        <x:v>PASS</x:v>
      </x:c>
      <x:c r="G56" s="9" t="str">
        <x:f>IF(ISNUMBER(E56),IF(ABS(E56-F56)&lt;0.01,"PASS","FAIL"),IF(E56=F56,"PASS","FAIL"))</x:f>
        <x:v>PASS</x:v>
      </x:c>
    </x:row>
    <x:row r="57">
      <x:c r="B57" s="9" t="str">
        <x:v>A051</x:v>
      </x:c>
      <x:c r="C57" s="9" t="str">
        <x:v>Release</x:v>
      </x:c>
      <x:c r="D57" s="9" t="str">
        <x:v>Release gate 24 baseline</x:v>
      </x:c>
      <x:c r="E57" s="19" t="str">
        <x:f>'Release Gates'!G30</x:f>
        <x:v>PASS</x:v>
      </x:c>
      <x:c r="F57" s="19" t="str">
        <x:v>PASS</x:v>
      </x:c>
      <x:c r="G57" s="9" t="str">
        <x:f>IF(ISNUMBER(E57),IF(ABS(E57-F57)&lt;0.01,"PASS","FAIL"),IF(E57=F57,"PASS","FAIL"))</x:f>
        <x:v>PASS</x:v>
      </x:c>
    </x:row>
    <x:row r="58">
      <x:c r="B58" s="9" t="str">
        <x:v>A052</x:v>
      </x:c>
      <x:c r="C58" s="9" t="str">
        <x:v>Release</x:v>
      </x:c>
      <x:c r="D58" s="9" t="str">
        <x:v>Release gate 25 baseline</x:v>
      </x:c>
      <x:c r="E58" s="19" t="str">
        <x:f>'Release Gates'!G31</x:f>
        <x:v>PASS</x:v>
      </x:c>
      <x:c r="F58" s="19" t="str">
        <x:v>PASS</x:v>
      </x:c>
      <x:c r="G58" s="9" t="str">
        <x:f>IF(ISNUMBER(E58),IF(ABS(E58-F58)&lt;0.01,"PASS","FAIL"),IF(E58=F58,"PASS","FAIL"))</x:f>
        <x:v>PASS</x:v>
      </x:c>
    </x:row>
    <x:row r="59">
      <x:c r="B59" s="9" t="str">
        <x:v>A053</x:v>
      </x:c>
      <x:c r="C59" s="9" t="str">
        <x:v>Release</x:v>
      </x:c>
      <x:c r="D59" s="9" t="str">
        <x:v>Release gate 26 baseline</x:v>
      </x:c>
      <x:c r="E59" s="19" t="str">
        <x:f>'Release Gates'!G32</x:f>
        <x:v>PASS</x:v>
      </x:c>
      <x:c r="F59" s="19" t="str">
        <x:v>PASS</x:v>
      </x:c>
      <x:c r="G59" s="9" t="str">
        <x:f>IF(ISNUMBER(E59),IF(ABS(E59-F59)&lt;0.01,"PASS","FAIL"),IF(E59=F59,"PASS","FAIL"))</x:f>
        <x:v>PASS</x:v>
      </x:c>
    </x:row>
    <x:row r="60">
      <x:c r="B60" s="9" t="str">
        <x:v>A054</x:v>
      </x:c>
      <x:c r="C60" s="9" t="str">
        <x:v>Release</x:v>
      </x:c>
      <x:c r="D60" s="9" t="str">
        <x:v>Release gate 27 baseline</x:v>
      </x:c>
      <x:c r="E60" s="19" t="str">
        <x:f>'Release Gates'!G33</x:f>
        <x:v>PASS</x:v>
      </x:c>
      <x:c r="F60" s="19" t="str">
        <x:v>PASS</x:v>
      </x:c>
      <x:c r="G60" s="9" t="str">
        <x:f>IF(ISNUMBER(E60),IF(ABS(E60-F60)&lt;0.01,"PASS","FAIL"),IF(E60=F60,"PASS","FAIL"))</x:f>
        <x:v>PASS</x:v>
      </x:c>
    </x:row>
    <x:row r="61">
      <x:c r="B61" s="9" t="str">
        <x:v>A055</x:v>
      </x:c>
      <x:c r="C61" s="9" t="str">
        <x:v>Release</x:v>
      </x:c>
      <x:c r="D61" s="9" t="str">
        <x:v>Release gate 28 baseline</x:v>
      </x:c>
      <x:c r="E61" s="19" t="str">
        <x:f>'Release Gates'!G34</x:f>
        <x:v>PASS</x:v>
      </x:c>
      <x:c r="F61" s="19" t="str">
        <x:v>PASS</x:v>
      </x:c>
      <x:c r="G61" s="9" t="str">
        <x:f>IF(ISNUMBER(E61),IF(ABS(E61-F61)&lt;0.01,"PASS","FAIL"),IF(E61=F61,"PASS","FAIL"))</x:f>
        <x:v>PASS</x:v>
      </x:c>
    </x:row>
    <x:row r="62">
      <x:c r="B62" s="9" t="str">
        <x:v>A056</x:v>
      </x:c>
      <x:c r="C62" s="9" t="str">
        <x:v>Release</x:v>
      </x:c>
      <x:c r="D62" s="9" t="str">
        <x:v>Release gate 29 baseline</x:v>
      </x:c>
      <x:c r="E62" s="19" t="str">
        <x:f>'Release Gates'!G35</x:f>
        <x:v>PASS</x:v>
      </x:c>
      <x:c r="F62" s="19" t="str">
        <x:v>PASS</x:v>
      </x:c>
      <x:c r="G62" s="9" t="str">
        <x:f>IF(ISNUMBER(E62),IF(ABS(E62-F62)&lt;0.01,"PASS","FAIL"),IF(E62=F62,"PASS","FAIL"))</x:f>
        <x:v>PASS</x:v>
      </x:c>
    </x:row>
    <x:row r="63">
      <x:c r="B63" s="9" t="str">
        <x:v>A057</x:v>
      </x:c>
      <x:c r="C63" s="9" t="str">
        <x:v>Release</x:v>
      </x:c>
      <x:c r="D63" s="9" t="str">
        <x:v>Release gate 30 baseline</x:v>
      </x:c>
      <x:c r="E63" s="19" t="str">
        <x:f>'Release Gates'!G36</x:f>
        <x:v>PASS</x:v>
      </x:c>
      <x:c r="F63" s="19" t="str">
        <x:v>PASS</x:v>
      </x:c>
      <x:c r="G63" s="9" t="str">
        <x:f>IF(ISNUMBER(E63),IF(ABS(E63-F63)&lt;0.01,"PASS","FAIL"),IF(E63=F63,"PASS","FAIL"))</x:f>
        <x:v>PASS</x:v>
      </x:c>
    </x:row>
    <x:row r="64">
      <x:c r="B64" s="9" t="str">
        <x:v>A058</x:v>
      </x:c>
      <x:c r="C64" s="9" t="str">
        <x:v>Release</x:v>
      </x:c>
      <x:c r="D64" s="9" t="str">
        <x:v>Release gate 31 baseline</x:v>
      </x:c>
      <x:c r="E64" s="19" t="str">
        <x:f>'Release Gates'!G37</x:f>
        <x:v>PASS</x:v>
      </x:c>
      <x:c r="F64" s="19" t="str">
        <x:v>PASS</x:v>
      </x:c>
      <x:c r="G64" s="9" t="str">
        <x:f>IF(ISNUMBER(E64),IF(ABS(E64-F64)&lt;0.01,"PASS","FAIL"),IF(E64=F64,"PASS","FAIL"))</x:f>
        <x:v>PASS</x:v>
      </x:c>
    </x:row>
    <x:row r="65">
      <x:c r="B65" s="9" t="str">
        <x:v>A059</x:v>
      </x:c>
      <x:c r="C65" s="9" t="str">
        <x:v>Release</x:v>
      </x:c>
      <x:c r="D65" s="9" t="str">
        <x:v>Release gate 32 baseline</x:v>
      </x:c>
      <x:c r="E65" s="19" t="str">
        <x:f>'Release Gates'!G38</x:f>
        <x:v>PASS</x:v>
      </x:c>
      <x:c r="F65" s="19" t="str">
        <x:v>PASS</x:v>
      </x:c>
      <x:c r="G65" s="9" t="str">
        <x:f>IF(ISNUMBER(E65),IF(ABS(E65-F65)&lt;0.01,"PASS","FAIL"),IF(E65=F65,"PASS","FAIL"))</x:f>
        <x:v>PASS</x:v>
      </x:c>
    </x:row>
    <x:row r="66">
      <x:c r="B66" s="9" t="str">
        <x:v>A060</x:v>
      </x:c>
      <x:c r="C66" s="9" t="str">
        <x:v>Release</x:v>
      </x:c>
      <x:c r="D66" s="9" t="str">
        <x:v>Release gate 33 baseline</x:v>
      </x:c>
      <x:c r="E66" s="19" t="str">
        <x:f>'Release Gates'!G39</x:f>
        <x:v>PASS</x:v>
      </x:c>
      <x:c r="F66" s="19" t="str">
        <x:v>PASS</x:v>
      </x:c>
      <x:c r="G66" s="9" t="str">
        <x:f>IF(ISNUMBER(E66),IF(ABS(E66-F66)&lt;0.01,"PASS","FAIL"),IF(E66=F66,"PASS","FAIL"))</x:f>
        <x:v>PASS</x:v>
      </x:c>
    </x:row>
    <x:row r="67">
      <x:c r="B67" s="9" t="str">
        <x:v>A061</x:v>
      </x:c>
      <x:c r="C67" s="9" t="str">
        <x:v>Release</x:v>
      </x:c>
      <x:c r="D67" s="9" t="str">
        <x:v>Release gate 34 baseline</x:v>
      </x:c>
      <x:c r="E67" s="19" t="str">
        <x:f>'Release Gates'!G40</x:f>
        <x:v>PASS</x:v>
      </x:c>
      <x:c r="F67" s="19" t="str">
        <x:v>PASS</x:v>
      </x:c>
      <x:c r="G67" s="9" t="str">
        <x:f>IF(ISNUMBER(E67),IF(ABS(E67-F67)&lt;0.01,"PASS","FAIL"),IF(E67=F67,"PASS","FAIL"))</x:f>
        <x:v>PASS</x:v>
      </x:c>
    </x:row>
    <x:row r="68">
      <x:c r="B68" s="9" t="str">
        <x:v>A062</x:v>
      </x:c>
      <x:c r="C68" s="9" t="str">
        <x:v>Release</x:v>
      </x:c>
      <x:c r="D68" s="9" t="str">
        <x:v>Release gate 35 baseline</x:v>
      </x:c>
      <x:c r="E68" s="19" t="str">
        <x:f>'Release Gates'!G41</x:f>
        <x:v>PASS</x:v>
      </x:c>
      <x:c r="F68" s="19" t="str">
        <x:v>PASS</x:v>
      </x:c>
      <x:c r="G68" s="9" t="str">
        <x:f>IF(ISNUMBER(E68),IF(ABS(E68-F68)&lt;0.01,"PASS","FAIL"),IF(E68=F68,"PASS","FAIL"))</x:f>
        <x:v>PASS</x:v>
      </x:c>
    </x:row>
    <x:row r="69">
      <x:c r="B69" s="9" t="str">
        <x:v>A063</x:v>
      </x:c>
      <x:c r="C69" s="9" t="str">
        <x:v>Release</x:v>
      </x:c>
      <x:c r="D69" s="9" t="str">
        <x:v>Release gate 36 baseline</x:v>
      </x:c>
      <x:c r="E69" s="19" t="str">
        <x:f>'Release Gates'!G42</x:f>
        <x:v>PASS</x:v>
      </x:c>
      <x:c r="F69" s="19" t="str">
        <x:v>PASS</x:v>
      </x:c>
      <x:c r="G69" s="9" t="str">
        <x:f>IF(ISNUMBER(E69),IF(ABS(E69-F69)&lt;0.01,"PASS","FAIL"),IF(E69=F69,"PASS","FAIL"))</x:f>
        <x:v>PASS</x:v>
      </x:c>
    </x:row>
    <x:row r="70">
      <x:c r="B70" s="9" t="str">
        <x:v>A064</x:v>
      </x:c>
      <x:c r="C70" s="9" t="str">
        <x:v>Release</x:v>
      </x:c>
      <x:c r="D70" s="9" t="str">
        <x:v>Release gate 37 baseline</x:v>
      </x:c>
      <x:c r="E70" s="19" t="str">
        <x:f>'Release Gates'!G43</x:f>
        <x:v>OPEN</x:v>
      </x:c>
      <x:c r="F70" s="19" t="str">
        <x:v>OPEN</x:v>
      </x:c>
      <x:c r="G70" s="9" t="str">
        <x:f>IF(ISNUMBER(E70),IF(ABS(E70-F70)&lt;0.01,"PASS","FAIL"),IF(E70=F70,"PASS","FAIL"))</x:f>
        <x:v>PASS</x:v>
      </x:c>
    </x:row>
    <x:row r="71">
      <x:c r="B71" s="9" t="str">
        <x:v>A065</x:v>
      </x:c>
      <x:c r="C71" s="9" t="str">
        <x:v>Release</x:v>
      </x:c>
      <x:c r="D71" s="9" t="str">
        <x:v>Release gate 38 baseline</x:v>
      </x:c>
      <x:c r="E71" s="19" t="str">
        <x:f>'Release Gates'!G44</x:f>
        <x:v>OPEN</x:v>
      </x:c>
      <x:c r="F71" s="19" t="str">
        <x:v>OPEN</x:v>
      </x:c>
      <x:c r="G71" s="9" t="str">
        <x:f>IF(ISNUMBER(E71),IF(ABS(E71-F71)&lt;0.01,"PASS","FAIL"),IF(E71=F71,"PASS","FAIL"))</x:f>
        <x:v>PASS</x:v>
      </x:c>
    </x:row>
    <x:row r="72">
      <x:c r="B72" s="9" t="str">
        <x:v>A066</x:v>
      </x:c>
      <x:c r="C72" s="9" t="str">
        <x:v>Release</x:v>
      </x:c>
      <x:c r="D72" s="9" t="str">
        <x:v>Release gate 39 baseline</x:v>
      </x:c>
      <x:c r="E72" s="19" t="str">
        <x:f>'Release Gates'!G45</x:f>
        <x:v>OPEN</x:v>
      </x:c>
      <x:c r="F72" s="19" t="str">
        <x:v>OPEN</x:v>
      </x:c>
      <x:c r="G72" s="9" t="str">
        <x:f>IF(ISNUMBER(E72),IF(ABS(E72-F72)&lt;0.01,"PASS","FAIL"),IF(E72=F72,"PASS","FAIL"))</x:f>
        <x:v>PASS</x:v>
      </x:c>
    </x:row>
    <x:row r="73">
      <x:c r="B73" s="9" t="str">
        <x:v>A067</x:v>
      </x:c>
      <x:c r="C73" s="9" t="str">
        <x:v>Release</x:v>
      </x:c>
      <x:c r="D73" s="9" t="str">
        <x:v>Release gate 40 baseline</x:v>
      </x:c>
      <x:c r="E73" s="19" t="str">
        <x:f>'Release Gates'!G46</x:f>
        <x:v>OPEN</x:v>
      </x:c>
      <x:c r="F73" s="19" t="str">
        <x:v>OPEN</x:v>
      </x:c>
      <x:c r="G73" s="9" t="str">
        <x:f>IF(ISNUMBER(E73),IF(ABS(E73-F73)&lt;0.01,"PASS","FAIL"),IF(E73=F73,"PASS","FAIL"))</x:f>
        <x:v>PASS</x:v>
      </x:c>
    </x:row>
    <x:row r="74">
      <x:c r="B74" s="9" t="str">
        <x:v>A068</x:v>
      </x:c>
      <x:c r="C74" s="9" t="str">
        <x:v>Release</x:v>
      </x:c>
      <x:c r="D74" s="9" t="str">
        <x:v>Release gate 41 baseline</x:v>
      </x:c>
      <x:c r="E74" s="19" t="str">
        <x:f>'Release Gates'!G47</x:f>
        <x:v>OPEN</x:v>
      </x:c>
      <x:c r="F74" s="19" t="str">
        <x:v>OPEN</x:v>
      </x:c>
      <x:c r="G74" s="9" t="str">
        <x:f>IF(ISNUMBER(E74),IF(ABS(E74-F74)&lt;0.01,"PASS","FAIL"),IF(E74=F74,"PASS","FAIL"))</x:f>
        <x:v>PASS</x:v>
      </x:c>
    </x:row>
    <x:row r="75">
      <x:c r="B75" s="9" t="str">
        <x:v>A069</x:v>
      </x:c>
      <x:c r="C75" s="9" t="str">
        <x:v>Release</x:v>
      </x:c>
      <x:c r="D75" s="9" t="str">
        <x:v>Release gate 42 baseline</x:v>
      </x:c>
      <x:c r="E75" s="19" t="str">
        <x:f>'Release Gates'!G48</x:f>
        <x:v>OPEN</x:v>
      </x:c>
      <x:c r="F75" s="19" t="str">
        <x:v>OPEN</x:v>
      </x:c>
      <x:c r="G75" s="9" t="str">
        <x:f>IF(ISNUMBER(E75),IF(ABS(E75-F75)&lt;0.01,"PASS","FAIL"),IF(E75=F75,"PASS","FAIL"))</x:f>
        <x:v>PASS</x:v>
      </x:c>
    </x:row>
    <x:row r="76">
      <x:c r="B76" s="9" t="str">
        <x:v>A070</x:v>
      </x:c>
      <x:c r="C76" s="9" t="str">
        <x:v>Release</x:v>
      </x:c>
      <x:c r="D76" s="9" t="str">
        <x:v>Release gate 43 baseline</x:v>
      </x:c>
      <x:c r="E76" s="19" t="str">
        <x:f>'Release Gates'!G49</x:f>
        <x:v>OPEN</x:v>
      </x:c>
      <x:c r="F76" s="19" t="str">
        <x:v>OPEN</x:v>
      </x:c>
      <x:c r="G76" s="9" t="str">
        <x:f>IF(ISNUMBER(E76),IF(ABS(E76-F76)&lt;0.01,"PASS","FAIL"),IF(E76=F76,"PASS","FAIL"))</x:f>
        <x:v>PASS</x:v>
      </x:c>
    </x:row>
    <x:row r="77">
      <x:c r="B77" s="9" t="str">
        <x:v>A071</x:v>
      </x:c>
      <x:c r="C77" s="9" t="str">
        <x:v>Release</x:v>
      </x:c>
      <x:c r="D77" s="9" t="str">
        <x:v>Release gate 44 baseline</x:v>
      </x:c>
      <x:c r="E77" s="19" t="str">
        <x:f>'Release Gates'!G50</x:f>
        <x:v>OPEN</x:v>
      </x:c>
      <x:c r="F77" s="19" t="str">
        <x:v>OPEN</x:v>
      </x:c>
      <x:c r="G77" s="9" t="str">
        <x:f>IF(ISNUMBER(E77),IF(ABS(E77-F77)&lt;0.01,"PASS","FAIL"),IF(E77=F77,"PASS","FAIL"))</x:f>
        <x:v>PASS</x:v>
      </x:c>
    </x:row>
    <x:row r="78">
      <x:c r="B78" s="9" t="str">
        <x:v>A072</x:v>
      </x:c>
      <x:c r="C78" s="9" t="str">
        <x:v>Release</x:v>
      </x:c>
      <x:c r="D78" s="9" t="str">
        <x:v>Release gate 45 baseline</x:v>
      </x:c>
      <x:c r="E78" s="19" t="str">
        <x:f>'Release Gates'!G51</x:f>
        <x:v>OPEN</x:v>
      </x:c>
      <x:c r="F78" s="19" t="str">
        <x:v>OPEN</x:v>
      </x:c>
      <x:c r="G78" s="9" t="str">
        <x:f>IF(ISNUMBER(E78),IF(ABS(E78-F78)&lt;0.01,"PASS","FAIL"),IF(E78=F78,"PASS","FAIL"))</x:f>
        <x:v>PASS</x:v>
      </x:c>
    </x:row>
    <x:row r="79">
      <x:c r="B79" s="9" t="str">
        <x:v>A073</x:v>
      </x:c>
      <x:c r="C79" s="9" t="str">
        <x:v>Release</x:v>
      </x:c>
      <x:c r="D79" s="9" t="str">
        <x:v>Release gate 46 baseline</x:v>
      </x:c>
      <x:c r="E79" s="19" t="str">
        <x:f>'Release Gates'!G52</x:f>
        <x:v>OPEN</x:v>
      </x:c>
      <x:c r="F79" s="19" t="str">
        <x:v>OPEN</x:v>
      </x:c>
      <x:c r="G79" s="9" t="str">
        <x:f>IF(ISNUMBER(E79),IF(ABS(E79-F79)&lt;0.01,"PASS","FAIL"),IF(E79=F79,"PASS","FAIL"))</x:f>
        <x:v>PASS</x:v>
      </x:c>
    </x:row>
    <x:row r="80">
      <x:c r="B80" s="9" t="str">
        <x:v>A074</x:v>
      </x:c>
      <x:c r="C80" s="9" t="str">
        <x:v>Release</x:v>
      </x:c>
      <x:c r="D80" s="9" t="str">
        <x:v>Release gate 47 baseline</x:v>
      </x:c>
      <x:c r="E80" s="19" t="str">
        <x:f>'Release Gates'!G53</x:f>
        <x:v>OPEN</x:v>
      </x:c>
      <x:c r="F80" s="19" t="str">
        <x:v>OPEN</x:v>
      </x:c>
      <x:c r="G80" s="9" t="str">
        <x:f>IF(ISNUMBER(E80),IF(ABS(E80-F80)&lt;0.01,"PASS","FAIL"),IF(E80=F80,"PASS","FAIL"))</x:f>
        <x:v>PASS</x:v>
      </x:c>
    </x:row>
    <x:row r="81">
      <x:c r="B81" s="9" t="str">
        <x:v>A075</x:v>
      </x:c>
      <x:c r="C81" s="9" t="str">
        <x:v>Release</x:v>
      </x:c>
      <x:c r="D81" s="9" t="str">
        <x:v>Release gate 48 baseline</x:v>
      </x:c>
      <x:c r="E81" s="19" t="str">
        <x:f>'Release Gates'!G54</x:f>
        <x:v>OPEN</x:v>
      </x:c>
      <x:c r="F81" s="19" t="str">
        <x:v>OPEN</x:v>
      </x:c>
      <x:c r="G81" s="9" t="str">
        <x:f>IF(ISNUMBER(E81),IF(ABS(E81-F81)&lt;0.01,"PASS","FAIL"),IF(E81=F81,"PASS","FAIL"))</x:f>
        <x:v>PASS</x:v>
      </x:c>
    </x:row>
    <x:row r="82">
      <x:c r="B82" s="9" t="str">
        <x:v>A076</x:v>
      </x:c>
      <x:c r="C82" s="9" t="str">
        <x:v>Release</x:v>
      </x:c>
      <x:c r="D82" s="9" t="str">
        <x:v>Release gate 49 baseline</x:v>
      </x:c>
      <x:c r="E82" s="19" t="str">
        <x:f>'Release Gates'!G55</x:f>
        <x:v>OPEN</x:v>
      </x:c>
      <x:c r="F82" s="19" t="str">
        <x:v>OPEN</x:v>
      </x:c>
      <x:c r="G82" s="9" t="str">
        <x:f>IF(ISNUMBER(E82),IF(ABS(E82-F82)&lt;0.01,"PASS","FAIL"),IF(E82=F82,"PASS","FAIL"))</x:f>
        <x:v>PASS</x:v>
      </x:c>
    </x:row>
    <x:row r="83">
      <x:c r="B83" s="9" t="str">
        <x:v>A077</x:v>
      </x:c>
      <x:c r="C83" s="9" t="str">
        <x:v>Release</x:v>
      </x:c>
      <x:c r="D83" s="9" t="str">
        <x:v>Release gate 50 baseline</x:v>
      </x:c>
      <x:c r="E83" s="19" t="str">
        <x:f>'Release Gates'!G56</x:f>
        <x:v>OPEN</x:v>
      </x:c>
      <x:c r="F83" s="19" t="str">
        <x:v>OPEN</x:v>
      </x:c>
      <x:c r="G83" s="9" t="str">
        <x:f>IF(ISNUMBER(E83),IF(ABS(E83-F83)&lt;0.01,"PASS","FAIL"),IF(E83=F83,"PASS","FAIL"))</x:f>
        <x:v>PASS</x:v>
      </x:c>
    </x:row>
    <x:row r="84">
      <x:c r="B84" s="9" t="str">
        <x:v>A078</x:v>
      </x:c>
      <x:c r="C84" s="9" t="str">
        <x:v>Release</x:v>
      </x:c>
      <x:c r="D84" s="9" t="str">
        <x:v>Release gate 51 baseline</x:v>
      </x:c>
      <x:c r="E84" s="19" t="str">
        <x:f>'Release Gates'!G57</x:f>
        <x:v>OPEN</x:v>
      </x:c>
      <x:c r="F84" s="19" t="str">
        <x:v>OPEN</x:v>
      </x:c>
      <x:c r="G84" s="9" t="str">
        <x:f>IF(ISNUMBER(E84),IF(ABS(E84-F84)&lt;0.01,"PASS","FAIL"),IF(E84=F84,"PASS","FAIL"))</x:f>
        <x:v>PASS</x:v>
      </x:c>
    </x:row>
    <x:row r="85">
      <x:c r="B85" s="10" t="str">
        <x:v>A079</x:v>
      </x:c>
      <x:c r="C85" s="10" t="str">
        <x:v>Release</x:v>
      </x:c>
      <x:c r="D85" s="10" t="str">
        <x:v>Release gate 52 baseline</x:v>
      </x:c>
      <x:c r="E85" s="20" t="str">
        <x:f>'Release Gates'!G58</x:f>
        <x:v>OPEN</x:v>
      </x:c>
      <x:c r="F85" s="20" t="str">
        <x:v>OPEN</x:v>
      </x:c>
      <x:c r="G85" s="10" t="str">
        <x:f>IF(ISNUMBER(E85),IF(ABS(E85-F85)&lt;0.01,"PASS","FAIL"),IF(E85=F85,"PASS","FAIL"))</x:f>
        <x:v>PASS</x:v>
      </x:c>
    </x:row>
  </x:sheetData>
  <x:mergeCells>
    <x:mergeCell ref="B2:G2"/>
    <x:mergeCell ref="B3:G3"/>
  </x:mergeCells>
  <x:conditionalFormatting sqref="G7:G85">
    <x:cfRule type="containsText" dxfId="247" priority="1" operator="containsText" text="PASS"/>
    <x:cfRule type="containsText" dxfId="248" priority="2" operator="containsText" text="AUTHORIZED"/>
    <x:cfRule type="containsText" dxfId="249" priority="3" operator="containsText" text="DEFINED"/>
    <x:cfRule type="containsText" dxfId="250" priority="4" operator="containsText" text="READY"/>
    <x:cfRule type="containsText" dxfId="251" priority="5" operator="containsText" text="HOLD"/>
    <x:cfRule type="containsText" dxfId="252" priority="6" operator="containsText" text="OPEN"/>
    <x:cfRule type="containsText" dxfId="253" priority="7" operator="containsText" text="BLOCKED"/>
    <x:cfRule type="containsText" dxfId="254" priority="8" operator="containsText" text="PLANNING"/>
    <x:cfRule type="containsText" dxfId="255" priority="9" operator="containsText" text="FAIL"/>
    <x:cfRule type="containsText" dxfId="256" priority="10" operator="containsText" text="REJECT"/>
    <x:cfRule type="containsText" dxfId="257" priority="11" operator="containsText" text="LATE"/>
    <x:cfRule type="containsText" dxfId="258" priority="12" operator="containsText" text="INCOMPLETE"/>
    <x:cfRule type="containsText" dxfId="259" priority="13" operator="containsText" text="INDETERMINATE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5D6B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5" hidden="0" customWidth="1"/>
    <x:col min="3" max="3" width="110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2">
      <x:c r="B2" s="28" t="str">
        <x:v>Workbook method and use</x:v>
      </x:c>
      <x:c r="C2" s="8"/>
      <x:c r="D2" s="8"/>
      <x:c r="E2" s="8"/>
      <x:c r="F2" s="8"/>
      <x:c r="G2" s="8"/>
      <x:c r="H2" s="8"/>
    </x:row>
    <x:row r="3">
      <x:c r="B3" s="2" t="str">
        <x:v>CISA-1 planning instrument | research artifact, not a procurement or operational authority</x:v>
      </x:c>
      <x:c r="C3" s="8"/>
      <x:c r="D3" s="8"/>
      <x:c r="E3" s="8"/>
      <x:c r="F3" s="8"/>
      <x:c r="G3" s="8"/>
      <x:c r="H3" s="8"/>
    </x:row>
    <x:row r="4">
      <x:c r="B4" s="29"/>
      <x:c r="C4" s="29"/>
      <x:c r="D4" s="29"/>
      <x:c r="E4" s="29"/>
      <x:c r="F4" s="29"/>
      <x:c r="G4" s="29"/>
      <x:c r="H4" s="29"/>
    </x:row>
    <x:row r="5">
      <x:c r="B5" s="8"/>
      <x:c r="C5" s="8"/>
      <x:c r="D5" s="8"/>
      <x:c r="E5" s="8"/>
      <x:c r="F5" s="8"/>
      <x:c r="G5" s="8"/>
      <x:c r="H5" s="8"/>
    </x:row>
    <x:row r="6">
      <x:c r="B6" s="7" t="str">
        <x:v>Topic</x:v>
      </x:c>
      <x:c r="C6" s="7" t="str">
        <x:v>Method</x:v>
      </x:c>
      <x:c r="D6" s="8"/>
      <x:c r="E6" s="8"/>
      <x:c r="F6" s="8"/>
      <x:c r="G6" s="8"/>
      <x:c r="H6" s="8"/>
    </x:row>
    <x:row r="7" ht="50" customHeight="1">
      <x:c r="B7" s="9" t="str">
        <x:v>Purpose</x:v>
      </x:c>
      <x:c r="C7" s="23" t="str">
        <x:v>Convert the MQP-1 constitution into a first coupled physical article, receiver and measurement specification.</x:v>
      </x:c>
      <x:c r="D7" s="8"/>
      <x:c r="E7" s="8"/>
      <x:c r="F7" s="8"/>
      <x:c r="G7" s="8"/>
      <x:c r="H7" s="8"/>
    </x:row>
    <x:row r="8" ht="50" customHeight="1">
      <x:c r="B8" s="9" t="str">
        <x:v>Authority boundary</x:v>
      </x:c>
      <x:c r="C8" s="23" t="str">
        <x:v>Planning AUTHORIZED means the workbook is internally reconciled. It does not mean an article was built, a trial run or a service admitted.</x:v>
      </x:c>
      <x:c r="D8" s="8"/>
      <x:c r="E8" s="8"/>
      <x:c r="F8" s="8"/>
      <x:c r="G8" s="8"/>
      <x:c r="H8" s="8"/>
    </x:row>
    <x:row r="9" ht="50" customHeight="1">
      <x:c r="B9" s="9" t="str">
        <x:v>Physical envelope</x:v>
      </x:c>
      <x:c r="C9" s="23" t="str">
        <x:v>CISA-40 is a skeletal qualification envelope. It is not a production-module exterior.</x:v>
      </x:c>
      <x:c r="D9" s="8"/>
      <x:c r="E9" s="8"/>
      <x:c r="F9" s="8"/>
      <x:c r="G9" s="8"/>
      <x:c r="H9" s="8"/>
    </x:row>
    <x:row r="10" ht="50" customHeight="1">
      <x:c r="B10" s="9" t="str">
        <x:v>Root competition</x:v>
      </x:c>
      <x:c r="C10" s="23" t="str">
        <x:v>ROOT_A and ROOT_B may use unlike structures, handling, conduit, power, protection and controls while meeting common public service states.</x:v>
      </x:c>
      <x:c r="D10" s="8"/>
      <x:c r="E10" s="8"/>
      <x:c r="F10" s="8"/>
      <x:c r="G10" s="8"/>
      <x:c r="H10" s="8"/>
    </x:row>
    <x:row r="11" ht="50" customHeight="1">
      <x:c r="B11" s="9" t="str">
        <x:v>Receiver worlds</x:v>
      </x:c>
      <x:c r="C11" s="23" t="str">
        <x:v>RW1 hardstand, RW2 weak ground and RW3 remote corridor expose different bearing, datum and utility assumptions.</x:v>
      </x:c>
      <x:c r="D11" s="8"/>
      <x:c r="E11" s="8"/>
      <x:c r="F11" s="8"/>
      <x:c r="G11" s="8"/>
      <x:c r="H11" s="8"/>
    </x:row>
    <x:row r="12" ht="50" customHeight="1">
      <x:c r="B12" s="9" t="str">
        <x:v>Hydraulics</x:v>
      </x:c>
      <x:c r="C12" s="23" t="str">
        <x:v>The paired 24 m F36-350 loops establish local interface and sanitary behavior only; they do not establish a 10 km corridor.</x:v>
      </x:c>
      <x:c r="D12" s="8"/>
      <x:c r="E12" s="8"/>
      <x:c r="F12" s="8"/>
      <x:c r="G12" s="8"/>
      <x:c r="H12" s="8"/>
    </x:row>
    <x:row r="13" ht="50" customHeight="1">
      <x:c r="B13" s="9" t="str">
        <x:v>Power</x:v>
      </x:c>
      <x:c r="C13" s="23" t="str">
        <x:v>A 1.5 MW eight-hour run and 0.4 MWh deliverable stored-energy state establish local coupled behavior only; they do not establish 168-hour endurance.</x:v>
      </x:c>
      <x:c r="D13" s="8"/>
      <x:c r="E13" s="8"/>
      <x:c r="F13" s="8"/>
      <x:c r="G13" s="8"/>
      <x:c r="H13" s="8"/>
    </x:row>
    <x:row r="14" ht="50" customHeight="1">
      <x:c r="B14" s="9" t="str">
        <x:v>Evidence</x:v>
      </x:c>
      <x:c r="C14" s="23" t="str">
        <x:v>Thirteen planes and explicit capture windows yield a calculated 13.215 TB retained estate across two roots and two original authorities.</x:v>
      </x:c>
      <x:c r="D14" s="8"/>
      <x:c r="E14" s="8"/>
      <x:c r="F14" s="8"/>
      <x:c r="G14" s="8"/>
      <x:c r="H14" s="8"/>
    </x:row>
    <x:row r="15" ht="50" customHeight="1">
      <x:c r="B15" s="9" t="str">
        <x:v>Finance</x:v>
      </x:c>
      <x:c r="C15" s="23" t="str">
        <x:v>Capital and annual values are cross-classifications inside MQP-1. They are not appropriations, obligations or outturn forecasts.</x:v>
      </x:c>
      <x:c r="D15" s="8"/>
      <x:c r="E15" s="8"/>
      <x:c r="F15" s="8"/>
      <x:c r="G15" s="8"/>
      <x:c r="H15" s="8"/>
    </x:row>
    <x:row r="16" ht="50" customHeight="1">
      <x:c r="B16" s="9" t="str">
        <x:v>Release</x:v>
      </x:c>
      <x:c r="C16" s="23" t="str">
        <x:v>Physical observations remain zero. CRC-E01, production and exterior rendering are separately blocked.</x:v>
      </x:c>
      <x:c r="D16" s="8"/>
      <x:c r="E16" s="8"/>
      <x:c r="F16" s="8"/>
      <x:c r="G16" s="8"/>
      <x:c r="H16" s="8"/>
    </x:row>
    <x:row r="17" ht="50" customHeight="1">
      <x:c r="B17" s="9" t="str">
        <x:v>Next pass</x:v>
      </x:c>
      <x:c r="C17" s="23" t="str">
        <x:v>Internal functional build-release and measurement drawings may follow; exterior renderings may not.</x:v>
      </x:c>
      <x:c r="D17" s="8"/>
      <x:c r="E17" s="8"/>
      <x:c r="F17" s="8"/>
      <x:c r="G17" s="8"/>
      <x:c r="H17" s="8"/>
    </x:row>
    <x:row r="18" ht="50" customHeight="1">
      <x:c r="B18" s="10" t="str">
        <x:v>Audit</x:v>
      </x:c>
      <x:c r="C18" s="24" t="str">
        <x:v>The Audit sheet is terminal and independent; no build or release formula depends on it.</x:v>
      </x:c>
      <x:c r="D18" s="8"/>
      <x:c r="E18" s="8"/>
      <x:c r="F18" s="8"/>
      <x:c r="G18" s="8"/>
      <x:c r="H18" s="8"/>
    </x:row>
  </x:sheetData>
  <x:mergeCells>
    <x:mergeCell ref="B2:H2"/>
    <x:mergeCell ref="B3:H3"/>
  </x:mergeCells>
  <x:pageMargins left="0.7" right="0.7" top="0.75" bottom="0.75" header="0.3" footer="0.3"/>
</x:worksheet>
</file>