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bc0f30e36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715cb437f3e743bd"/>
    <x:sheet xmlns:r="http://schemas.openxmlformats.org/officeDocument/2006/relationships" name="Controls" sheetId="2" r:id="R1ef99ec2e61748a8"/>
    <x:sheet xmlns:r="http://schemas.openxmlformats.org/officeDocument/2006/relationships" name="Architecture Gates" sheetId="3" r:id="Rce7c72da050f46c3"/>
    <x:sheet xmlns:r="http://schemas.openxmlformats.org/officeDocument/2006/relationships" name="Enterprise Classes" sheetId="4" r:id="R95fe9f3599d24d0c"/>
    <x:sheet xmlns:r="http://schemas.openxmlformats.org/officeDocument/2006/relationships" name="Charter Law" sheetId="5" r:id="R707d6c46a22b4202"/>
    <x:sheet xmlns:r="http://schemas.openxmlformats.org/officeDocument/2006/relationships" name="Root Charters" sheetId="6" r:id="Rdf30bc40182a4544"/>
    <x:sheet xmlns:r="http://schemas.openxmlformats.org/officeDocument/2006/relationships" name="Root Economics" sheetId="7" r:id="R76f97ae8613b4234"/>
    <x:sheet xmlns:r="http://schemas.openxmlformats.org/officeDocument/2006/relationships" name="Control Separation" sheetId="8" r:id="R1678acbf53114905"/>
    <x:sheet xmlns:r="http://schemas.openxmlformats.org/officeDocument/2006/relationships" name="Dependency Pools" sheetId="9" r:id="Ra8fa28051a9f4333"/>
    <x:sheet xmlns:r="http://schemas.openxmlformats.org/officeDocument/2006/relationships" name="Public Estate" sheetId="10" r:id="R2b3ad6d986f444d4"/>
    <x:sheet xmlns:r="http://schemas.openxmlformats.org/officeDocument/2006/relationships" name="Fallback Cells" sheetId="11" r:id="R7c0aab69da284e5a"/>
    <x:sheet xmlns:r="http://schemas.openxmlformats.org/officeDocument/2006/relationships" name="Fallback Lattice" sheetId="12" r:id="R61b8a52d49d9487c"/>
    <x:sheet xmlns:r="http://schemas.openxmlformats.org/officeDocument/2006/relationships" name="Fallback Coverage" sheetId="13" r:id="R43335b929e9b4618"/>
    <x:sheet xmlns:r="http://schemas.openxmlformats.org/officeDocument/2006/relationships" name="Capital Instruments" sheetId="14" r:id="Rbf5f95b0c00b464b"/>
    <x:sheet xmlns:r="http://schemas.openxmlformats.org/officeDocument/2006/relationships" name="Account Matrix" sheetId="15" r:id="Rf09c359377374110"/>
    <x:sheet xmlns:r="http://schemas.openxmlformats.org/officeDocument/2006/relationships" name="Wave Schedule" sheetId="16" r:id="Recf481654f294976"/>
    <x:sheet xmlns:r="http://schemas.openxmlformats.org/officeDocument/2006/relationships" name="Failure Law" sheetId="17" r:id="Rf1f213a8bb504a85"/>
    <x:sheet xmlns:r="http://schemas.openxmlformats.org/officeDocument/2006/relationships" name="Export Gates" sheetId="18" r:id="R148c8bba38404f72"/>
    <x:sheet xmlns:r="http://schemas.openxmlformats.org/officeDocument/2006/relationships" name="Innovation Program" sheetId="19" r:id="R1faf786ef9f54aaf"/>
    <x:sheet xmlns:r="http://schemas.openxmlformats.org/officeDocument/2006/relationships" name="Audit" sheetId="20" r:id="R68569d04945e46c9"/>
    <x:sheet xmlns:r="http://schemas.openxmlformats.org/officeDocument/2006/relationships" name="Sources" sheetId="21" r:id="R2a011098f1d44a68"/>
    <x:sheet xmlns:r="http://schemas.openxmlformats.org/officeDocument/2006/relationships" name="Read Me" sheetId="22" r:id="Re249d4261089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8">
    <x:font>
      <x:sz val="11"/>
      <x:name val="Carlito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b/>
      <x:sz val="10"/>
      <x:color rgb="FF008000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</x:fills>
  <x:borders count="17">
    <x:border/>
    <x:border>
      <x:bottom style="thin">
        <x:color rgb="FF2E5D7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  <x:border>
      <x:left style="thin">
        <x:color rgb="FF2E5D7B"/>
      </x:left>
      <x:top style="thin">
        <x:color rgb="FF2E5D7B"/>
      </x:top>
    </x:border>
    <x:border>
      <x:top style="thin">
        <x:color rgb="FF2E5D7B"/>
      </x:top>
    </x:border>
    <x:border>
      <x:right style="thin">
        <x:color rgb="FF2E5D7B"/>
      </x:right>
      <x:top style="thin">
        <x:color rgb="FF2E5D7B"/>
      </x:top>
    </x:border>
    <x:border>
      <x:left style="thin">
        <x:color rgb="FF2E5D7B"/>
      </x:left>
      <x:bottom style="thin">
        <x:color rgb="FF2E5D7B"/>
      </x:bottom>
    </x:border>
    <x:border>
      <x:right style="thin">
        <x:color rgb="FF2E5D7B"/>
      </x:right>
      <x:bottom style="thin">
        <x:color rgb="FF2E5D7B"/>
      </x:bottom>
    </x:border>
    <x:border>
      <x:left style="thin">
        <x:color rgb="FF2E5D7B"/>
      </x:left>
      <x:top style="thin">
        <x:color rgb="FF2E5D7B"/>
      </x:top>
      <x:bottom style="thin">
        <x:color rgb="FF2E5D7B"/>
      </x:bottom>
    </x:border>
    <x:border>
      <x:right style="thin">
        <x:color rgb="FF2E5D7B"/>
      </x:right>
      <x:top style="thin">
        <x:color rgb="FF2E5D7B"/>
      </x:top>
      <x:bottom style="thin">
        <x:color rgb="FF2E5D7B"/>
      </x:bottom>
    </x:border>
    <x:border>
      <x:left style="thin">
        <x:color rgb="FF2E5D7B"/>
      </x:left>
    </x:border>
    <x:border>
      <x:right style="thin">
        <x:color rgb="FF2E5D7B"/>
      </x:right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" xfId="0" applyNumberFormat="1" applyFont="1" applyFill="1" applyBorder="1"/>
    <x:xf numFmtId="0" fontId="5" fillId="4" borderId="12" xfId="0" applyNumberFormat="1" applyFont="1" applyFill="1" applyBorder="1"/>
    <x:xf numFmtId="0" fontId="6" fillId="4" borderId="10" xfId="0" applyNumberFormat="1" applyFont="1" applyFill="1" applyBorder="1"/>
    <x:xf numFmtId="0" fontId="6" fillId="4" borderId="12" xfId="0" applyNumberFormat="1" applyFont="1" applyFill="1" applyBorder="1"/>
    <x:xf numFmtId="200" fontId="6" fillId="4" borderId="10" xfId="0" applyNumberFormat="1" applyFont="1" applyFill="1" applyBorder="1"/>
    <x:xf numFmtId="200" fontId="6" fillId="4" borderId="12" xfId="0" applyNumberFormat="1" applyFont="1" applyFill="1" applyBorder="1"/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7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200" fontId="4" fillId="3" borderId="6" xfId="0" applyNumberFormat="1" applyFont="1" applyFill="1" applyBorder="1" applyAlignment="1">
      <x:alignment vertical="top" wrapText="1"/>
    </x:xf>
    <x:xf numFmtId="200" fontId="4" fillId="3" borderId="7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6" fillId="4" borderId="14" xfId="0" applyNumberFormat="1" applyFont="1" applyFill="1" applyBorder="1"/>
    <x:xf numFmtId="200" fontId="6" fillId="4" borderId="14" xfId="0" applyNumberFormat="1" applyFont="1" applyFill="1" applyBorder="1"/>
    <x:xf numFmtId="200" fontId="4" fillId="3" borderId="0" xfId="0" applyNumberFormat="1" applyFont="1" applyFill="1" applyBorder="1"/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vertical="center"/>
    </x:xf>
    <x:xf numFmtId="200" fontId="3" fillId="3" borderId="5" xfId="0" applyNumberFormat="1" applyFont="1" applyFill="1" applyBorder="1" applyAlignment="1">
      <x:alignment vertical="center"/>
    </x:xf>
    <x:xf numFmtId="200" fontId="3" fillId="3" borderId="6" xfId="0" applyNumberFormat="1" applyFont="1" applyFill="1" applyBorder="1" applyAlignment="1">
      <x:alignment vertical="center"/>
    </x:xf>
    <x:xf numFmtId="200" fontId="3" fillId="3" borderId="7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/>
    <x:xf numFmtId="200" fontId="4" fillId="4" borderId="0" xfId="0" applyNumberFormat="1" applyFont="1" applyFill="1" applyBorder="1"/>
    <x:xf numFmtId="200" fontId="0" fillId="4" borderId="0" xfId="0" applyNumberFormat="1" applyFont="1" applyFill="1" applyBorder="1"/>
    <x:xf numFmtId="200" fontId="5" fillId="4" borderId="0" xfId="0" applyNumberFormat="1" applyFont="1" applyFill="1" applyBorder="1"/>
    <x:xf numFmtId="200" fontId="5" fillId="4" borderId="9" xfId="0" applyNumberFormat="1" applyFont="1" applyFill="1" applyBorder="1"/>
    <x:xf numFmtId="200" fontId="5" fillId="4" borderId="10" xfId="0" applyNumberFormat="1" applyFont="1" applyFill="1" applyBorder="1"/>
    <x:xf numFmtId="0" fontId="5" fillId="4" borderId="15" xfId="0" applyNumberFormat="1" applyFont="1" applyFill="1" applyBorder="1"/>
    <x:xf numFmtId="200" fontId="5" fillId="4" borderId="16" xfId="0" applyNumberFormat="1" applyFont="1" applyFill="1" applyBorder="1"/>
    <x:xf numFmtId="200" fontId="5" fillId="4" borderId="1" xfId="0" applyNumberFormat="1" applyFont="1" applyFill="1" applyBorder="1"/>
    <x:xf numFmtId="200" fontId="5" fillId="4" borderId="12" xfId="0" applyNumberFormat="1" applyFont="1" applyFill="1" applyBorder="1"/>
    <x:xf numFmtId="201" fontId="7" fillId="0" borderId="0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91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cc7d96ad34e80" /><Relationship Type="http://schemas.openxmlformats.org/officeDocument/2006/relationships/theme" Target="/xl/theme/theme1.xml" Id="R1624cedc9c764c60" /><Relationship Type="http://schemas.openxmlformats.org/officeDocument/2006/relationships/sharedStrings" Target="/xl/sharedStrings.xml" Id="Rf0cad74e2c144d5f" /><Relationship Type="http://schemas.openxmlformats.org/officeDocument/2006/relationships/worksheet" Target="/xl/worksheets/sheet1.xml" Id="R715cb437f3e743bd" /><Relationship Type="http://schemas.openxmlformats.org/officeDocument/2006/relationships/worksheet" Target="/xl/worksheets/sheet2.xml" Id="R1ef99ec2e61748a8" /><Relationship Type="http://schemas.openxmlformats.org/officeDocument/2006/relationships/worksheet" Target="/xl/worksheets/sheet3.xml" Id="Rce7c72da050f46c3" /><Relationship Type="http://schemas.openxmlformats.org/officeDocument/2006/relationships/worksheet" Target="/xl/worksheets/sheet4.xml" Id="R95fe9f3599d24d0c" /><Relationship Type="http://schemas.openxmlformats.org/officeDocument/2006/relationships/worksheet" Target="/xl/worksheets/sheet5.xml" Id="R707d6c46a22b4202" /><Relationship Type="http://schemas.openxmlformats.org/officeDocument/2006/relationships/worksheet" Target="/xl/worksheets/sheet6.xml" Id="Rdf30bc40182a4544" /><Relationship Type="http://schemas.openxmlformats.org/officeDocument/2006/relationships/worksheet" Target="/xl/worksheets/sheet7.xml" Id="R76f97ae8613b4234" /><Relationship Type="http://schemas.openxmlformats.org/officeDocument/2006/relationships/worksheet" Target="/xl/worksheets/sheet8.xml" Id="R1678acbf53114905" /><Relationship Type="http://schemas.openxmlformats.org/officeDocument/2006/relationships/worksheet" Target="/xl/worksheets/sheet9.xml" Id="Ra8fa28051a9f4333" /><Relationship Type="http://schemas.openxmlformats.org/officeDocument/2006/relationships/worksheet" Target="/xl/worksheets/sheet10.xml" Id="R2b3ad6d986f444d4" /><Relationship Type="http://schemas.openxmlformats.org/officeDocument/2006/relationships/worksheet" Target="/xl/worksheets/sheet11.xml" Id="R7c0aab69da284e5a" /><Relationship Type="http://schemas.openxmlformats.org/officeDocument/2006/relationships/worksheet" Target="/xl/worksheets/sheet12.xml" Id="R61b8a52d49d9487c" /><Relationship Type="http://schemas.openxmlformats.org/officeDocument/2006/relationships/worksheet" Target="/xl/worksheets/sheet13.xml" Id="R43335b929e9b4618" /><Relationship Type="http://schemas.openxmlformats.org/officeDocument/2006/relationships/worksheet" Target="/xl/worksheets/sheet14.xml" Id="Rbf5f95b0c00b464b" /><Relationship Type="http://schemas.openxmlformats.org/officeDocument/2006/relationships/worksheet" Target="/xl/worksheets/sheet15.xml" Id="Rf09c359377374110" /><Relationship Type="http://schemas.openxmlformats.org/officeDocument/2006/relationships/worksheet" Target="/xl/worksheets/sheet16.xml" Id="Recf481654f294976" /><Relationship Type="http://schemas.openxmlformats.org/officeDocument/2006/relationships/worksheet" Target="/xl/worksheets/sheet17.xml" Id="Rf1f213a8bb504a85" /><Relationship Type="http://schemas.openxmlformats.org/officeDocument/2006/relationships/worksheet" Target="/xl/worksheets/sheet18.xml" Id="R148c8bba38404f72" /><Relationship Type="http://schemas.openxmlformats.org/officeDocument/2006/relationships/worksheet" Target="/xl/worksheets/sheet19.xml" Id="R1faf786ef9f54aaf" /><Relationship Type="http://schemas.openxmlformats.org/officeDocument/2006/relationships/worksheet" Target="/xl/worksheets/sheet20.xml" Id="R68569d04945e46c9" /><Relationship Type="http://schemas.openxmlformats.org/officeDocument/2006/relationships/worksheet" Target="/xl/worksheets/sheet21.xml" Id="R2a011098f1d44a68" /><Relationship Type="http://schemas.openxmlformats.org/officeDocument/2006/relationships/worksheet" Target="/xl/worksheets/sheet22.xml" Id="Re249d42610894d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9df96325d942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Hard gates passed by architecture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Hard gates passed</c:v>
          </c:tx>
          <c:spPr>
            <a:solidFill xmlns:a="http://schemas.openxmlformats.org/drawingml/2006/main">
              <a:srgbClr val="2E5D7B"/>
            </a:solidFill>
          </c:spPr>
          <c:cat>
            <c:strRef>
              <c:f>'Decision'!$A$20:$A$24</c:f>
              <c:strCache>
                <c:ptCount val="0"/>
              </c:strCache>
            </c:strRef>
          </c:cat>
          <c:val>
            <c:numRef>
              <c:f>'Decision'!$B$20:$B$24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9df96325d942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a93d9f6d4e4a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1" hidden="0" customWidth="1"/>
    <x:col min="3" max="3" width="6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2" ht="24" customHeight="1">
      <x:c r="A2" s="1" t="str">
        <x:v>Chartered root-house market and production constitution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>
      <x:c r="A5" s="8" t="str">
        <x:v>Decision metric</x:v>
      </x:c>
      <x:c r="B5" s="9" t="str">
        <x:v>Result</x:v>
      </x:c>
      <x:c r="C5" s="10" t="str">
        <x:v>Interpretation</x:v>
      </x:c>
    </x:row>
    <x:row r="6">
      <x:c r="A6" s="13" t="str">
        <x:v>Selected architecture</x:v>
      </x:c>
      <x:c r="B6" s="13" t="str">
        <x:f>INDEX('Architecture Gates'!$A$5:$A$9,MATCH(12,'Architecture Gates'!$N$5:$N$9,0))</x:f>
        <x:v>Chartered root-house commonwealth</x:v>
      </x:c>
      <x:c r="C6" s="40" t="str">
        <x:v>Only design that passes all twelve hard gates</x:v>
      </x:c>
    </x:row>
    <x:row r="7">
      <x:c r="A7" s="14" t="str">
        <x:v>Independent root houses</x:v>
      </x:c>
      <x:c r="B7" s="14" t="n">
        <x:f>Controls!B14</x:f>
        <x:v>24</x:v>
      </x:c>
      <x:c r="C7" s="41" t="str">
        <x:v>One beneficial-control group per root</x:v>
      </x:c>
    </x:row>
    <x:row r="8">
      <x:c r="A8" s="14" t="str">
        <x:v>Public reproduction cells</x:v>
      </x:c>
      <x:c r="B8" s="14" t="n">
        <x:f>Controls!B15</x:f>
        <x:v>24</x:v>
      </x:c>
      <x:c r="C8" s="41" t="str">
        <x:v>Four functional cells per mission system</x:v>
      </x:c>
    </x:row>
    <x:row r="9">
      <x:c r="A9" s="14" t="str">
        <x:v>Root-to-cell qualifications</x:v>
      </x:c>
      <x:c r="B9" s="14" t="n">
        <x:f>ROWS('Fallback Lattice'!A5:A52)</x:f>
        <x:v>48</x:v>
      </x:c>
      <x:c r="C9" s="41" t="str">
        <x:v>Two public fallback routes per root</x:v>
      </x:c>
    </x:row>
    <x:row r="10">
      <x:c r="A10" s="14" t="str">
        <x:v>Public productive estate (USD B)</x:v>
      </x:c>
      <x:c r="B10" s="58" t="n">
        <x:f>'Capital Instruments'!B7</x:f>
        <x:v>250</x:v>
      </x:c>
      <x:c r="C10" s="41" t="str">
        <x:v>Tooling, rights, lines and outside reproducibility</x:v>
      </x:c>
    </x:row>
    <x:row r="11">
      <x:c r="A11" s="14" t="str">
        <x:v>Minimum root mission exposure (USD B)</x:v>
      </x:c>
      <x:c r="B11" s="58" t="n">
        <x:f>'Root Economics'!F31</x:f>
        <x:v>13.65</x:v>
      </x:c>
      <x:c r="C11" s="41" t="str">
        <x:v>Twenty-five-year ceiling; not revenue</x:v>
      </x:c>
    </x:row>
    <x:row r="12">
      <x:c r="A12" s="14" t="str">
        <x:v>Maximum root mission exposure (USD B)</x:v>
      </x:c>
      <x:c r="B12" s="58" t="n">
        <x:f>'Root Economics'!F32</x:f>
        <x:v>38.25</x:v>
      </x:c>
      <x:c r="C12" s="41" t="str">
        <x:v>Twenty-five-year ceiling; not revenue</x:v>
      </x:c>
    </x:row>
    <x:row r="13">
      <x:c r="A13" s="14" t="str">
        <x:v>Chartered roots</x:v>
      </x:c>
      <x:c r="B13" s="14" t="n">
        <x:f>COUNTIFS('Root Charters'!J5:J28,"CHARTERED")</x:f>
        <x:v>0</x:v>
      </x:c>
      <x:c r="C13" s="41" t="str">
        <x:v>No implementation identities are admitted</x:v>
      </x:c>
    </x:row>
    <x:row r="14">
      <x:c r="A14" s="14" t="str">
        <x:v>Fallback-ready roots</x:v>
      </x:c>
      <x:c r="B14" s="14" t="n">
        <x:f>COUNTIFS('Fallback Coverage'!J5:J28,"READY")</x:f>
        <x:v>0</x:v>
      </x:c>
      <x:c r="C14" s="41" t="str">
        <x:v>No cell, lot or evidence identity is admitted</x:v>
      </x:c>
    </x:row>
    <x:row r="15">
      <x:c r="A15" s="14" t="str">
        <x:v>Export eligibility</x:v>
      </x:c>
      <x:c r="B15" s="14" t="str">
        <x:f>'Export Gates'!B17</x:f>
        <x:v>BLOCKED</x:v>
      </x:c>
      <x:c r="C15" s="41" t="str">
        <x:v>All ten gates are source-empty</x:v>
      </x:c>
    </x:row>
    <x:row r="16">
      <x:c r="A16" s="15" t="str">
        <x:v>Released authority (USD B)</x:v>
      </x:c>
      <x:c r="B16" s="59" t="n">
        <x:f>0</x:f>
        <x:v>0</x:v>
      </x:c>
      <x:c r="C16" s="42" t="str">
        <x:v>A constitutional model releases no money</x:v>
      </x:c>
    </x:row>
    <x:row r="19">
      <x:c r="A19" s="8" t="str">
        <x:v>Architecture</x:v>
      </x:c>
      <x:c r="B19" s="10" t="str">
        <x:v>Hard gates passed</x:v>
      </x:c>
    </x:row>
    <x:row r="20">
      <x:c r="A20" s="51" t="str">
        <x:f>'Architecture Gates'!A5</x:f>
        <x:v>Six integrated civil primes</x:v>
      </x:c>
      <x:c r="B20" s="90" t="n">
        <x:f>'Architecture Gates'!N5</x:f>
        <x:v>4</x:v>
      </x:c>
    </x:row>
    <x:row r="21">
      <x:c r="A21" s="51" t="str">
        <x:f>'Architecture Gates'!A6</x:f>
        <x:v>Twenty-four protected cost-plus contractors</x:v>
      </x:c>
      <x:c r="B21" s="90" t="n">
        <x:f>'Architecture Gates'!N6</x:f>
        <x:v>8</x:v>
      </x:c>
    </x:row>
    <x:row r="22">
      <x:c r="A22" s="51" t="str">
        <x:f>'Architecture Gates'!A7</x:f>
        <x:v>Single sovereign production service</x:v>
      </x:c>
      <x:c r="B22" s="90" t="n">
        <x:f>'Architecture Gates'!N7</x:f>
        <x:v>8</x:v>
      </x:c>
    </x:row>
    <x:row r="23">
      <x:c r="A23" s="51" t="str">
        <x:f>'Architecture Gates'!A8</x:f>
        <x:v>Merchant mobilization and export market</x:v>
      </x:c>
      <x:c r="B23" s="90" t="n">
        <x:f>'Architecture Gates'!N8</x:f>
        <x:v>2</x:v>
      </x:c>
    </x:row>
    <x:row r="24">
      <x:c r="A24" s="51" t="str">
        <x:f>'Architecture Gates'!A9</x:f>
        <x:v>Chartered root-house commonwealth</x:v>
      </x:c>
      <x:c r="B24" s="90" t="n">
        <x:f>'Architecture Gates'!N9</x:f>
        <x:v>12</x:v>
      </x:c>
    </x:row>
  </x:sheetData>
  <x:conditionalFormatting sqref="B6:B16">
    <x:cfRule type="containsText" dxfId="77" priority="1" operator="containsText" text="FAIL"/>
    <x:cfRule type="containsText" dxfId="78" priority="2" operator="containsText" text="BREACH"/>
    <x:cfRule type="containsText" dxfId="79" priority="3" operator="containsText" text="COLLISION"/>
    <x:cfRule type="containsText" dxfId="80" priority="4" operator="containsText" text="BLOCKED"/>
    <x:cfRule type="containsText" dxfId="81" priority="5" operator="containsText" text="SOURCE EMPTY"/>
    <x:cfRule type="containsText" dxfId="82" priority="6" operator="containsText" text="PASS"/>
    <x:cfRule type="containsText" dxfId="83" priority="7" operator="containsText" text="READY"/>
  </x:conditionalFormatting>
  <x:pageMargins left="0.7" right="0.7" top="0.75" bottom="0.75" header="0.3" footer="0.3"/>
  <x:drawing xmlns:r="http://schemas.openxmlformats.org/officeDocument/2006/relationships" r:id="Rbda93d9f6d4e4a5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52" hidden="0" customWidth="1"/>
    <x:col min="3" max="3" width="58" hidden="0" customWidth="1"/>
  </x:cols>
  <x:sheetData>
    <x:row r="2" ht="24" customHeight="1">
      <x:c r="A2" s="1" t="str">
        <x:v>Constitutional controls</x:v>
      </x:c>
      <x:c r="B2" s="1"/>
      <x:c r="C2" s="1"/>
      <x:c r="D2" s="1"/>
      <x:c r="E2" s="1"/>
      <x:c r="F2" s="1"/>
      <x:c r="G2" s="1"/>
    </x:row>
    <x:row r="3">
      <x:c r="A3" s="2"/>
      <x:c r="B3" s="2"/>
      <x:c r="C3" s="2"/>
      <x:c r="D3" s="2"/>
      <x:c r="E3" s="2"/>
      <x:c r="F3" s="2"/>
      <x:c r="G3" s="2"/>
    </x:row>
    <x:row r="5">
      <x:c r="A5" s="8" t="str">
        <x:v>Control</x:v>
      </x:c>
      <x:c r="B5" s="9" t="str">
        <x:v>Value</x:v>
      </x:c>
      <x:c r="C5" s="10" t="str">
        <x:v>Meaning</x:v>
      </x:c>
    </x:row>
    <x:row r="6">
      <x:c r="A6" s="13" t="str">
        <x:v>Program capitalization (USD B)</x:v>
      </x:c>
      <x:c r="B6" s="22" t="n">
        <x:v>1000</x:v>
      </x:c>
      <x:c r="C6" s="40" t="str">
        <x:v>One conserved 25-year technology and proving envelope</x:v>
      </x:c>
    </x:row>
    <x:row r="7">
      <x:c r="A7" s="14" t="str">
        <x:v>Mission-system account (USD B)</x:v>
      </x:c>
      <x:c r="B7" s="23" t="n">
        <x:v>550</x:v>
      </x:c>
      <x:c r="C7" s="41" t="str">
        <x:v>Root learning, integration and formation work</x:v>
      </x:c>
    </x:row>
    <x:row r="8">
      <x:c r="A8" s="14" t="str">
        <x:v>Service technical bases (USD B)</x:v>
      </x:c>
      <x:c r="B8" s="23" t="n">
        <x:v>150</x:v>
      </x:c>
      <x:c r="C8" s="41" t="str">
        <x:v>Professions, release, schools and lifecycle competence</x:v>
      </x:c>
    </x:row>
    <x:row r="9">
      <x:c r="A9" s="14" t="str">
        <x:v>National common capacity (USD B)</x:v>
      </x:c>
      <x:c r="B9" s="23" t="n">
        <x:v>150</x:v>
      </x:c>
      <x:c r="C9" s="41" t="str">
        <x:v>Mobility, sustainment, receivers and common reserves</x:v>
      </x:c>
    </x:row>
    <x:row r="10">
      <x:c r="A10" s="14" t="str">
        <x:v>Sovereign technical estate (USD B)</x:v>
      </x:c>
      <x:c r="B10" s="23" t="n">
        <x:v>100</x:v>
      </x:c>
      <x:c r="C10" s="41" t="str">
        <x:v>Independent truth, public rights and industrial options</x:v>
      </x:c>
    </x:row>
    <x:row r="11">
      <x:c r="A11" s="14" t="str">
        <x:v>Failure reserve (USD B)</x:v>
      </x:c>
      <x:c r="B11" s="23" t="n">
        <x:v>50</x:v>
      </x:c>
      <x:c r="C11" s="41" t="str">
        <x:v>Replacement, second source and recharter authority</x:v>
      </x:c>
    </x:row>
    <x:row r="12">
      <x:c r="A12" s="14" t="str">
        <x:v>Mission systems</x:v>
      </x:c>
      <x:c r="B12" s="23" t="n">
        <x:v>6</x:v>
      </x:c>
      <x:c r="C12" s="41" t="str">
        <x:v>Independent complete service chains</x:v>
      </x:c>
    </x:row>
    <x:row r="13">
      <x:c r="A13" s="14" t="str">
        <x:v>Roots per mission system</x:v>
      </x:c>
      <x:c r="B13" s="23" t="n">
        <x:v>4</x:v>
      </x:c>
      <x:c r="C13" s="41" t="str">
        <x:v>Unlike complete configurations</x:v>
      </x:c>
    </x:row>
    <x:row r="14">
      <x:c r="A14" s="14" t="str">
        <x:v>Independent root houses</x:v>
      </x:c>
      <x:c r="B14" s="23" t="n">
        <x:v>24</x:v>
      </x:c>
      <x:c r="C14" s="41" t="str">
        <x:v>One beneficial-control group per root</x:v>
      </x:c>
    </x:row>
    <x:row r="15">
      <x:c r="A15" s="14" t="str">
        <x:v>Public reproduction cells</x:v>
      </x:c>
      <x:c r="B15" s="23" t="n">
        <x:v>24</x:v>
      </x:c>
      <x:c r="C15" s="41" t="str">
        <x:v>Four functional cells per mission system</x:v>
      </x:c>
    </x:row>
    <x:row r="16">
      <x:c r="A16" s="14" t="str">
        <x:v>Roots qualified per cell</x:v>
      </x:c>
      <x:c r="B16" s="23" t="n">
        <x:v>2</x:v>
      </x:c>
      <x:c r="C16" s="41" t="str">
        <x:v>Pass 175 shared-tool/provider ceiling</x:v>
      </x:c>
    </x:row>
    <x:row r="17">
      <x:c r="A17" s="14" t="str">
        <x:v>Fallback cells per root</x:v>
      </x:c>
      <x:c r="B17" s="23" t="n">
        <x:v>2</x:v>
      </x:c>
      <x:c r="C17" s="41" t="str">
        <x:v>Two independent public reproduction routes</x:v>
      </x:c>
    </x:row>
    <x:row r="18">
      <x:c r="A18" s="14" t="str">
        <x:v>Shared provider exposure cap</x:v>
      </x:c>
      <x:c r="B18" s="23" t="n">
        <x:v>2</x:v>
      </x:c>
      <x:c r="C18" s="41" t="str">
        <x:v>Maximum roots per provider, region or toolchain</x:v>
      </x:c>
    </x:row>
    <x:row r="19">
      <x:c r="A19" s="14" t="str">
        <x:v>Root control-group cap</x:v>
      </x:c>
      <x:c r="B19" s="23" t="n">
        <x:v>1</x:v>
      </x:c>
      <x:c r="C19" s="41" t="str">
        <x:v>No beneficial, governance, cross-default or decisive-chain overlap</x:v>
      </x:c>
    </x:row>
    <x:row r="20">
      <x:c r="A20" s="15" t="str">
        <x:v>Program horizon (years)</x:v>
      </x:c>
      <x:c r="B20" s="24" t="n">
        <x:v>25</x:v>
      </x:c>
      <x:c r="C20" s="42" t="str">
        <x:v>Constant 2026 dollars; undiscounted</x:v>
      </x:c>
    </x:row>
    <x:row r="23">
      <x:c r="A23" s="8" t="str">
        <x:v>System</x:v>
      </x:c>
      <x:c r="B23" s="9" t="str">
        <x:v>Mission</x:v>
      </x:c>
      <x:c r="C23" s="10" t="str">
        <x:v>Mission-system allocation (USD B)</x:v>
      </x:c>
    </x:row>
    <x:row r="24">
      <x:c r="A24" s="13" t="str">
        <x:v>MS-ET</x:v>
      </x:c>
      <x:c r="B24" s="13" t="str">
        <x:v>Enter a broken theater</x:v>
      </x:c>
      <x:c r="C24" s="22" t="n">
        <x:v>89</x:v>
      </x:c>
    </x:row>
    <x:row r="25">
      <x:c r="A25" s="14" t="str">
        <x:v>MS-CT</x:v>
      </x:c>
      <x:c r="B25" s="14" t="str">
        <x:v>Reach occupied civil terrain</x:v>
      </x:c>
      <x:c r="C25" s="23" t="n">
        <x:v>91.9</x:v>
      </x:c>
    </x:row>
    <x:row r="26">
      <x:c r="A26" s="14" t="str">
        <x:v>MS-HC</x:v>
      </x:c>
      <x:c r="B26" s="14" t="str">
        <x:v>Control an active hazard</x:v>
      </x:c>
      <x:c r="C26" s="23" t="n">
        <x:v>54.6</x:v>
      </x:c>
    </x:row>
    <x:row r="27">
      <x:c r="A27" s="14" t="str">
        <x:v>MS-LF</x:v>
      </x:c>
      <x:c r="B27" s="14" t="str">
        <x:v>Produce and distribute lifelines</x:v>
      </x:c>
      <x:c r="C27" s="23" t="n">
        <x:v>72</x:v>
      </x:c>
    </x:row>
    <x:row r="28">
      <x:c r="A28" s="14" t="str">
        <x:v>MS-HU</x:v>
      </x:c>
      <x:c r="B28" s="14" t="str">
        <x:v>Preserve care and human continuity</x:v>
      </x:c>
      <x:c r="C28" s="23" t="n">
        <x:v>153</x:v>
      </x:c>
    </x:row>
    <x:row r="29">
      <x:c r="A29" s="15" t="str">
        <x:v>MS-RT</x:v>
      </x:c>
      <x:c r="B29" s="15" t="str">
        <x:v>Sustain, transfer and regenerate</x:v>
      </x:c>
      <x:c r="C29" s="24" t="n">
        <x:v>89.4</x:v>
      </x:c>
    </x:row>
    <x:row r="30">
      <x:c r="A30" s="27" t="str">
        <x:v>Displayed system total</x:v>
      </x:c>
      <x:c r="B30" s="28" t="str"/>
      <x:c r="C30" s="35" t="n">
        <x:f>SUM(C24:C29)</x:f>
        <x:v>549.9</x:v>
      </x:c>
    </x:row>
    <x:row r="31">
      <x:c r="A31" s="30" t="str">
        <x:v>Mission-account rounding remainder</x:v>
      </x:c>
      <x:c r="B31" s="31" t="str"/>
      <x:c r="C31" s="36" t="n">
        <x:f>B7-C30</x:f>
        <x:v>0.10000000000002274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6" hidden="0" customWidth="1"/>
    <x:col min="11" max="11" width="17" hidden="0" customWidth="1"/>
    <x:col min="12" max="12" width="19" hidden="0" customWidth="1"/>
    <x:col min="13" max="13" width="18" hidden="0" customWidth="1"/>
    <x:col min="14" max="14" width="12" hidden="0" customWidth="1"/>
    <x:col min="15" max="15" width="48" hidden="0" customWidth="1"/>
  </x:cols>
  <x:sheetData>
    <x:row r="2" ht="24" customHeight="1">
      <x:c r="A2" s="1" t="str">
        <x:v>Market architecture gate test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8" customHeight="1">
      <x:c r="A4" s="8" t="str">
        <x:v>Architecture</x:v>
      </x:c>
      <x:c r="B4" s="9" t="str">
        <x:v>Civil allocation authority</x:v>
      </x:c>
      <x:c r="C4" s="9" t="str">
        <x:v>Complete mission integration</x:v>
      </x:c>
      <x:c r="D4" s="9" t="str">
        <x:v>Twenty-four independent root controls</x:v>
      </x:c>
      <x:c r="E4" s="9" t="str">
        <x:v>Public technical rights</x:v>
      </x:c>
      <x:c r="F4" s="9" t="str">
        <x:v>Cold reproduction outside incumbent</x:v>
      </x:c>
      <x:c r="G4" s="9" t="str">
        <x:v>Public fallback after firm failure</x:v>
      </x:c>
      <x:c r="H4" s="9" t="str">
        <x:v>Supplier and site N-1</x:v>
      </x:c>
      <x:c r="I4" s="9" t="str">
        <x:v>Capital independence and no cross-default</x:v>
      </x:c>
      <x:c r="J4" s="9" t="str">
        <x:v>Entrant path after initial award</x:v>
      </x:c>
      <x:c r="K4" s="9" t="str">
        <x:v>Readiness paid and reserved separately</x:v>
      </x:c>
      <x:c r="L4" s="9" t="str">
        <x:v>Export preserves domestic reserve and host authority</x:v>
      </x:c>
      <x:c r="M4" s="9" t="str">
        <x:v>Automatic step-in and recharter</x:v>
      </x:c>
      <x:c r="N4" s="9" t="str">
        <x:v>Gates passed</x:v>
      </x:c>
      <x:c r="O4" s="10" t="str">
        <x:v>Disposition</x:v>
      </x:c>
    </x:row>
    <x:row r="5" ht="46" customHeight="1">
      <x:c r="A5" s="40" t="str">
        <x:v>Six integrated civil primes</x:v>
      </x:c>
      <x:c r="B5" s="13" t="str">
        <x:v>PASS</x:v>
      </x:c>
      <x:c r="C5" s="13" t="str">
        <x:v>PASS</x:v>
      </x:c>
      <x:c r="D5" s="13" t="str">
        <x:v>FAIL</x:v>
      </x:c>
      <x:c r="E5" s="13" t="str">
        <x:v>FAIL</x:v>
      </x:c>
      <x:c r="F5" s="13" t="str">
        <x:v>FAIL</x:v>
      </x:c>
      <x:c r="G5" s="13" t="str">
        <x:v>FAIL</x:v>
      </x:c>
      <x:c r="H5" s="13" t="str">
        <x:v>FAIL</x:v>
      </x:c>
      <x:c r="I5" s="13" t="str">
        <x:v>FAIL</x:v>
      </x:c>
      <x:c r="J5" s="13" t="str">
        <x:v>FAIL</x:v>
      </x:c>
      <x:c r="K5" s="13" t="str">
        <x:v>PASS</x:v>
      </x:c>
      <x:c r="L5" s="13" t="str">
        <x:v>PASS</x:v>
      </x:c>
      <x:c r="M5" s="13" t="str">
        <x:v>FAIL</x:v>
      </x:c>
      <x:c r="N5" s="46" t="n">
        <x:f>COUNTIFS(B5:M5,"PASS")</x:f>
        <x:v>4</x:v>
      </x:c>
      <x:c r="O5" s="40" t="str">
        <x:v>Reject: one failure can remove several mission systems</x:v>
      </x:c>
    </x:row>
    <x:row r="6" ht="46" customHeight="1">
      <x:c r="A6" s="41" t="str">
        <x:v>Twenty-four protected cost-plus contractors</x:v>
      </x:c>
      <x:c r="B6" s="14" t="str">
        <x:v>PASS</x:v>
      </x:c>
      <x:c r="C6" s="14" t="str">
        <x:v>PASS</x:v>
      </x:c>
      <x:c r="D6" s="14" t="str">
        <x:v>PASS</x:v>
      </x:c>
      <x:c r="E6" s="14" t="str">
        <x:v>PASS</x:v>
      </x:c>
      <x:c r="F6" s="14" t="str">
        <x:v>FAIL</x:v>
      </x:c>
      <x:c r="G6" s="14" t="str">
        <x:v>FAIL</x:v>
      </x:c>
      <x:c r="H6" s="14" t="str">
        <x:v>PASS</x:v>
      </x:c>
      <x:c r="I6" s="14" t="str">
        <x:v>PASS</x:v>
      </x:c>
      <x:c r="J6" s="14" t="str">
        <x:v>FAIL</x:v>
      </x:c>
      <x:c r="K6" s="14" t="str">
        <x:v>PASS</x:v>
      </x:c>
      <x:c r="L6" s="14" t="str">
        <x:v>PASS</x:v>
      </x:c>
      <x:c r="M6" s="14" t="str">
        <x:v>FAIL</x:v>
      </x:c>
      <x:c r="N6" s="47" t="n">
        <x:f>COUNTIFS(B6:M6,"PASS")</x:f>
        <x:v>8</x:v>
      </x:c>
      <x:c r="O6" s="41" t="str">
        <x:v>Reject: protects incumbents but cannot reproduce or replace them</x:v>
      </x:c>
    </x:row>
    <x:row r="7" ht="46" customHeight="1">
      <x:c r="A7" s="41" t="str">
        <x:v>Single sovereign production service</x:v>
      </x:c>
      <x:c r="B7" s="14" t="str">
        <x:v>PASS</x:v>
      </x:c>
      <x:c r="C7" s="14" t="str">
        <x:v>PASS</x:v>
      </x:c>
      <x:c r="D7" s="14" t="str">
        <x:v>FAIL</x:v>
      </x:c>
      <x:c r="E7" s="14" t="str">
        <x:v>PASS</x:v>
      </x:c>
      <x:c r="F7" s="14" t="str">
        <x:v>PASS</x:v>
      </x:c>
      <x:c r="G7" s="14" t="str">
        <x:v>PASS</x:v>
      </x:c>
      <x:c r="H7" s="14" t="str">
        <x:v>PASS</x:v>
      </x:c>
      <x:c r="I7" s="14" t="str">
        <x:v>FAIL</x:v>
      </x:c>
      <x:c r="J7" s="14" t="str">
        <x:v>FAIL</x:v>
      </x:c>
      <x:c r="K7" s="14" t="str">
        <x:v>PASS</x:v>
      </x:c>
      <x:c r="L7" s="14" t="str">
        <x:v>PASS</x:v>
      </x:c>
      <x:c r="M7" s="14" t="str">
        <x:v>FAIL</x:v>
      </x:c>
      <x:c r="N7" s="47" t="n">
        <x:f>COUNTIFS(B7:M7,"PASS")</x:f>
        <x:v>8</x:v>
      </x:c>
      <x:c r="O7" s="41" t="str">
        <x:v>Reject: public control collapses rival roots into one toolchain</x:v>
      </x:c>
    </x:row>
    <x:row r="8" ht="46" customHeight="1">
      <x:c r="A8" s="41" t="str">
        <x:v>Merchant mobilization and export market</x:v>
      </x:c>
      <x:c r="B8" s="14" t="str">
        <x:v>FAIL</x:v>
      </x:c>
      <x:c r="C8" s="14" t="str">
        <x:v>FAIL</x:v>
      </x:c>
      <x:c r="D8" s="14" t="str">
        <x:v>FAIL</x:v>
      </x:c>
      <x:c r="E8" s="14" t="str">
        <x:v>FAIL</x:v>
      </x:c>
      <x:c r="F8" s="14" t="str">
        <x:v>FAIL</x:v>
      </x:c>
      <x:c r="G8" s="14" t="str">
        <x:v>FAIL</x:v>
      </x:c>
      <x:c r="H8" s="14" t="str">
        <x:v>FAIL</x:v>
      </x:c>
      <x:c r="I8" s="14" t="str">
        <x:v>PASS</x:v>
      </x:c>
      <x:c r="J8" s="14" t="str">
        <x:v>PASS</x:v>
      </x:c>
      <x:c r="K8" s="14" t="str">
        <x:v>FAIL</x:v>
      </x:c>
      <x:c r="L8" s="14" t="str">
        <x:v>FAIL</x:v>
      </x:c>
      <x:c r="M8" s="14" t="str">
        <x:v>FAIL</x:v>
      </x:c>
      <x:c r="N8" s="47" t="n">
        <x:f>COUNTIFS(B8:M8,"PASS")</x:f>
        <x:v>2</x:v>
      </x:c>
      <x:c r="O8" s="41" t="str">
        <x:v>Reject: capacity follows commercial demand, not public readiness</x:v>
      </x:c>
    </x:row>
    <x:row r="9" ht="46" customHeight="1">
      <x:c r="A9" s="42" t="str">
        <x:v>Chartered root-house commonwealth</x:v>
      </x:c>
      <x:c r="B9" s="15" t="str">
        <x:v>PASS</x:v>
      </x:c>
      <x:c r="C9" s="15" t="str">
        <x:v>PASS</x:v>
      </x:c>
      <x:c r="D9" s="15" t="str">
        <x:v>PASS</x:v>
      </x:c>
      <x:c r="E9" s="15" t="str">
        <x:v>PASS</x:v>
      </x:c>
      <x:c r="F9" s="15" t="str">
        <x:v>PASS</x:v>
      </x:c>
      <x:c r="G9" s="15" t="str">
        <x:v>PASS</x:v>
      </x:c>
      <x:c r="H9" s="15" t="str">
        <x:v>PASS</x:v>
      </x:c>
      <x:c r="I9" s="15" t="str">
        <x:v>PASS</x:v>
      </x:c>
      <x:c r="J9" s="15" t="str">
        <x:v>PASS</x:v>
      </x:c>
      <x:c r="K9" s="15" t="str">
        <x:v>PASS</x:v>
      </x:c>
      <x:c r="L9" s="15" t="str">
        <x:v>PASS</x:v>
      </x:c>
      <x:c r="M9" s="15" t="str">
        <x:v>PASS</x:v>
      </x:c>
      <x:c r="N9" s="48" t="n">
        <x:f>COUNTIFS(B9:M9,"PASS")</x:f>
        <x:v>12</x:v>
      </x:c>
      <x:c r="O9" s="42" t="str">
        <x:v>Select: every hard gate passes without root aggregation</x:v>
      </x:c>
    </x:row>
  </x:sheetData>
  <x:conditionalFormatting sqref="B5:M9">
    <x:cfRule type="containsText" dxfId="0" priority="1" operator="containsText" text="FAIL"/>
    <x:cfRule type="containsText" dxfId="1" priority="2" operator="containsText" text="BREACH"/>
    <x:cfRule type="containsText" dxfId="2" priority="3" operator="containsText" text="COLLISION"/>
    <x:cfRule type="containsText" dxfId="3" priority="4" operator="containsText" text="BLOCKED"/>
    <x:cfRule type="containsText" dxfId="4" priority="5" operator="containsText" text="SOURCE EMPTY"/>
    <x:cfRule type="containsText" dxfId="5" priority="6" operator="containsText" text="PASS"/>
    <x:cfRule type="containsText" dxfId="6" priority="7" operator="containsText" text="READY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45" hidden="0" customWidth="1"/>
    <x:col min="4" max="4" width="43" hidden="0" customWidth="1"/>
    <x:col min="5" max="5" width="48" hidden="0" customWidth="1"/>
    <x:col min="6" max="6" width="33" hidden="0" customWidth="1"/>
  </x:cols>
  <x:sheetData>
    <x:row r="2" ht="24" customHeight="1">
      <x:c r="A2" s="1" t="str">
        <x:v>Enterprise ecology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4">
      <x:c r="A4" s="8" t="str">
        <x:v>Enterprise class</x:v>
      </x:c>
      <x:c r="B4" s="9" t="str">
        <x:v>Constitutional quantity</x:v>
      </x:c>
      <x:c r="C4" s="9" t="str">
        <x:v>Economic function</x:v>
      </x:c>
      <x:c r="D4" s="9" t="str">
        <x:v>Permitted scale path</x:v>
      </x:c>
      <x:c r="E4" s="9" t="str">
        <x:v>Prohibited scale path</x:v>
      </x:c>
      <x:c r="F4" s="10" t="str">
        <x:v>Public counterparty</x:v>
      </x:c>
    </x:row>
    <x:row r="5" ht="58" customHeight="1">
      <x:c r="A5" s="40" t="str">
        <x:v>Chartered Root Houses</x:v>
      </x:c>
      <x:c r="B5" s="40" t="str">
        <x:v>24</x:v>
      </x:c>
      <x:c r="C5" s="40" t="str">
        <x:v>Own one complete configuration and its service liability</x:v>
      </x:c>
      <x:c r="D5" s="40" t="str">
        <x:v>Depth, geography, civil use and exports within that root</x:v>
      </x:c>
      <x:c r="E5" s="40" t="str">
        <x:v>Ownership, governance or decisive work in another root</x:v>
      </x:c>
      <x:c r="F5" s="40" t="str">
        <x:v>Mission System Command</x:v>
      </x:c>
    </x:row>
    <x:row r="6" ht="58" customHeight="1">
      <x:c r="A6" s="41" t="str">
        <x:v>Public-interface suppliers</x:v>
      </x:c>
      <x:c r="B6" s="41" t="str">
        <x:v>Open entry</x:v>
      </x:c>
      <x:c r="C6" s="41" t="str">
        <x:v>Compete for non-decisive modules against public seams</x:v>
      </x:c>
      <x:c r="D6" s="41" t="str">
        <x:v>Many customers with qualified alternatives</x:v>
      </x:c>
      <x:c r="E6" s="41" t="str">
        <x:v>Becoming an irreplaceable signer, tool or evidence custodian</x:v>
      </x:c>
      <x:c r="F6" s="41" t="str">
        <x:v>Operating service</x:v>
      </x:c>
    </x:row>
    <x:row r="7" ht="58" customHeight="1">
      <x:c r="A7" s="41" t="str">
        <x:v>Receiver-system enterprises</x:v>
      </x:c>
      <x:c r="B7" s="41" t="str">
        <x:v>Open entry</x:v>
      </x:c>
      <x:c r="C7" s="41" t="str">
        <x:v>Prepare cities, ports, utilities and hospitals to accept service</x:v>
      </x:c>
      <x:c r="D7" s="41" t="str">
        <x:v>Local and partner demand</x:v>
      </x:c>
      <x:c r="E7" s="41" t="str">
        <x:v>Claiming deployed-force readiness without exclusive reservation</x:v>
      </x:c>
      <x:c r="F7" s="41" t="str">
        <x:v>Civil Resilience Authority</x:v>
      </x:c>
    </x:row>
    <x:row r="8" ht="58" customHeight="1">
      <x:c r="A8" s="41" t="str">
        <x:v>Civil Capacity Reserve operators</x:v>
      </x:c>
      <x:c r="B8" s="41" t="str">
        <x:v>Open after qualification</x:v>
      </x:c>
      <x:c r="C8" s="41" t="str">
        <x:v>Maintain mobilizable commercial capacity under public configuration</x:v>
      </x:c>
      <x:c r="D8" s="41" t="str">
        <x:v>Routine civil work plus availability fees</x:v>
      </x:c>
      <x:c r="E8" s="41" t="str">
        <x:v>Uncertified post-event rental or double commitment</x:v>
      </x:c>
      <x:c r="F8" s="41" t="str">
        <x:v>Joint Capacity Authority</x:v>
      </x:c>
    </x:row>
    <x:row r="9" ht="58" customHeight="1">
      <x:c r="A9" s="41" t="str">
        <x:v>Public arsenal operators</x:v>
      </x:c>
      <x:c r="B9" s="41" t="str">
        <x:v>24 functional cells</x:v>
      </x:c>
      <x:c r="C9" s="41" t="str">
        <x:v>Operate publicly titled reproduction and repair cells</x:v>
      </x:c>
      <x:c r="D9" s="41" t="str">
        <x:v>Competitive operating franchises</x:v>
      </x:c>
      <x:c r="E9" s="41" t="str">
        <x:v>Beneficial control of a Root House or evidence authority</x:v>
      </x:c>
      <x:c r="F9" s="41" t="str">
        <x:v>Industrial Mobilization Administration</x:v>
      </x:c>
    </x:row>
    <x:row r="10" ht="58" customHeight="1">
      <x:c r="A10" s="41" t="str">
        <x:v>Reproduction challengers</x:v>
      </x:c>
      <x:c r="B10" s="41" t="str">
        <x:v>At least 6 live pathways</x:v>
      </x:c>
      <x:c r="C10" s="41" t="str">
        <x:v>Rebuild failed or stagnant roots from public packages</x:v>
      </x:c>
      <x:c r="D10" s="41" t="str">
        <x:v>Recharter and outside production</x:v>
      </x:c>
      <x:c r="E10" s="41" t="str">
        <x:v>Acquiring a second live root</x:v>
      </x:c>
      <x:c r="F10" s="41" t="str">
        <x:v>Resilience Production Trust</x:v>
      </x:c>
    </x:row>
    <x:row r="11" ht="58" customHeight="1">
      <x:c r="A11" s="41" t="str">
        <x:v>Partner production houses</x:v>
      </x:c>
      <x:c r="B11" s="41" t="str">
        <x:v>Gate-limited</x:v>
      </x:c>
      <x:c r="C11" s="41" t="str">
        <x:v>Build recipient-owned capacity and mutual reserve</x:v>
      </x:c>
      <x:c r="D11" s="41" t="str">
        <x:v>Whole-service, module and production licenses</x:v>
      </x:c>
      <x:c r="E11" s="41" t="str">
        <x:v>Consuming domestic replacement reservation</x:v>
      </x:c>
      <x:c r="F11" s="41" t="str">
        <x:v>Export and Mutual Capacity Office</x:v>
      </x:c>
    </x:row>
    <x:row r="12" ht="58" customHeight="1">
      <x:c r="A12" s="42" t="str">
        <x:v>Public software and metrology custodians</x:v>
      </x:c>
      <x:c r="B12" s="42" t="str">
        <x:v>Function-limited</x:v>
      </x:c>
      <x:c r="C12" s="42" t="str">
        <x:v>Maintain interfaces, signing, calibration and custody</x:v>
      </x:c>
      <x:c r="D12" s="42" t="str">
        <x:v>Shared public infrastructure</x:v>
      </x:c>
      <x:c r="E12" s="42" t="str">
        <x:v>Integrating, producing or selecting candidate roots</x:v>
      </x:c>
      <x:c r="F12" s="42" t="str">
        <x:v>Resilience Proving Service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68" hidden="0" customWidth="1"/>
    <x:col min="4" max="4" width="22" hidden="0" customWidth="1"/>
    <x:col min="5" max="5" width="36" hidden="0" customWidth="1"/>
  </x:cols>
  <x:sheetData>
    <x:row r="2" ht="24" customHeight="1">
      <x:c r="A2" s="1" t="str">
        <x:v>Root-house charter law</x:v>
      </x:c>
      <x:c r="B2" s="1"/>
      <x:c r="C2" s="1"/>
      <x:c r="D2" s="1"/>
      <x:c r="E2" s="1"/>
    </x:row>
    <x:row r="3">
      <x:c r="A3" s="2"/>
      <x:c r="B3" s="2"/>
      <x:c r="C3" s="2"/>
      <x:c r="D3" s="2"/>
      <x:c r="E3" s="2"/>
    </x:row>
    <x:row r="4">
      <x:c r="A4" s="8" t="str">
        <x:v>Clause</x:v>
      </x:c>
      <x:c r="B4" s="9" t="str">
        <x:v>Rule</x:v>
      </x:c>
      <x:c r="C4" s="9" t="str">
        <x:v>Operative test</x:v>
      </x:c>
      <x:c r="D4" s="9" t="str">
        <x:v>Automatic breach action</x:v>
      </x:c>
      <x:c r="E4" s="10" t="str">
        <x:v>Issuing authority</x:v>
      </x:c>
    </x:row>
    <x:row r="5" ht="48" customHeight="1">
      <x:c r="A5" s="40" t="str">
        <x:v>CL-01</x:v>
      </x:c>
      <x:c r="B5" s="40" t="str">
        <x:v>One root, one control group</x:v>
      </x:c>
      <x:c r="C5" s="40" t="str">
        <x:v>Beneficial control may govern only one of twenty-four roots</x:v>
      </x:c>
      <x:c r="D5" s="40" t="str">
        <x:v>RECEIVERSHIP</x:v>
      </x:c>
      <x:c r="E5" s="40" t="str">
        <x:v>Competition and Ancestry Inspectorate</x:v>
      </x:c>
    </x:row>
    <x:row r="6" ht="48" customHeight="1">
      <x:c r="A6" s="41" t="str">
        <x:v>CL-02</x:v>
      </x:c>
      <x:c r="B6" s="41" t="str">
        <x:v>No cross-root governance</x:v>
      </x:c>
      <x:c r="C6" s="41" t="str">
        <x:v>Board rights, vetoes and management services cannot cross roots</x:v>
      </x:c>
      <x:c r="D6" s="41" t="str">
        <x:v>SUSPEND CHARTER</x:v>
      </x:c>
      <x:c r="E6" s="41" t="str">
        <x:v>Root Charter Registry</x:v>
      </x:c>
    </x:row>
    <x:row r="7" ht="48" customHeight="1">
      <x:c r="A7" s="41" t="str">
        <x:v>CL-03</x:v>
      </x:c>
      <x:c r="B7" s="41" t="str">
        <x:v>No cross-default</x:v>
      </x:c>
      <x:c r="C7" s="41" t="str">
        <x:v>Debt at one root cannot accelerate or seize another root</x:v>
      </x:c>
      <x:c r="D7" s="41" t="str">
        <x:v>SEVER CAPITAL</x:v>
      </x:c>
      <x:c r="E7" s="41" t="str">
        <x:v>Department Capital Board</x:v>
      </x:c>
    </x:row>
    <x:row r="8" ht="48" customHeight="1">
      <x:c r="A8" s="41" t="str">
        <x:v>CL-04</x:v>
      </x:c>
      <x:c r="B8" s="41" t="str">
        <x:v>Complete-service liability</x:v>
      </x:c>
      <x:c r="C8" s="41" t="str">
        <x:v>A Root House remains responsible for every route in its mission system</x:v>
      </x:c>
      <x:c r="D8" s="41" t="str">
        <x:v>WITHHOLD WARRANT</x:v>
      </x:c>
      <x:c r="E8" s="41" t="str">
        <x:v>Mission System Command</x:v>
      </x:c>
    </x:row>
    <x:row r="9" ht="48" customHeight="1">
      <x:c r="A9" s="41" t="str">
        <x:v>CL-05</x:v>
      </x:c>
      <x:c r="B9" s="41" t="str">
        <x:v>Public foreground rights</x:v>
      </x:c>
      <x:c r="C9" s="41" t="str">
        <x:v>Publicly funded configuration, evidence and emergency-use rights remain available</x:v>
      </x:c>
      <x:c r="D9" s="41" t="str">
        <x:v>STEP IN</x:v>
      </x:c>
      <x:c r="E9" s="41" t="str">
        <x:v>Resilience Production Trust</x:v>
      </x:c>
    </x:row>
    <x:row r="10" ht="48" customHeight="1">
      <x:c r="A10" s="41" t="str">
        <x:v>CL-06</x:v>
      </x:c>
      <x:c r="B10" s="41" t="str">
        <x:v>Paid adverse evidence</x:v>
      </x:c>
      <x:c r="C10" s="41" t="str">
        <x:v>Valid failure earns contracted learning payment and cannot be concealed</x:v>
      </x:c>
      <x:c r="D10" s="41" t="str">
        <x:v>RETURN TO PROOF</x:v>
      </x:c>
      <x:c r="E10" s="41" t="str">
        <x:v>Resilience Proving Service</x:v>
      </x:c>
    </x:row>
    <x:row r="11" ht="48" customHeight="1">
      <x:c r="A11" s="41" t="str">
        <x:v>CL-07</x:v>
      </x:c>
      <x:c r="B11" s="41" t="str">
        <x:v>Outside cold reproduction</x:v>
      </x:c>
      <x:c r="C11" s="41" t="str">
        <x:v>Production credit requires an independently operated cold lot</x:v>
      </x:c>
      <x:c r="D11" s="41" t="str">
        <x:v>REMOVE W7</x:v>
      </x:c>
      <x:c r="E11" s="41" t="str">
        <x:v>Industrial Mobilization Administration</x:v>
      </x:c>
    </x:row>
    <x:row r="12" ht="48" customHeight="1">
      <x:c r="A12" s="41" t="str">
        <x:v>CL-08</x:v>
      </x:c>
      <x:c r="B12" s="41" t="str">
        <x:v>Two public fallback routes</x:v>
      </x:c>
      <x:c r="C12" s="41" t="str">
        <x:v>Every root qualifies on two independent reproduction cells</x:v>
      </x:c>
      <x:c r="D12" s="41" t="str">
        <x:v>HOLD SCALE</x:v>
      </x:c>
      <x:c r="E12" s="41" t="str">
        <x:v>Resilience Production Trust</x:v>
      </x:c>
    </x:row>
    <x:row r="13" ht="48" customHeight="1">
      <x:c r="A13" s="41" t="str">
        <x:v>CL-09</x:v>
      </x:c>
      <x:c r="B13" s="41" t="str">
        <x:v>Separate readiness commodity</x:v>
      </x:c>
      <x:c r="C13" s="41" t="str">
        <x:v>Capacity earns readiness credit only through exclusive reservation</x:v>
      </x:c>
      <x:c r="D13" s="41" t="str">
        <x:v>ZERO CREDIT</x:v>
      </x:c>
      <x:c r="E13" s="41" t="str">
        <x:v>Joint Capacity Authority</x:v>
      </x:c>
    </x:row>
    <x:row r="14" ht="48" customHeight="1">
      <x:c r="A14" s="41" t="str">
        <x:v>CL-10</x:v>
      </x:c>
      <x:c r="B14" s="41" t="str">
        <x:v>Public interfaces</x:v>
      </x:c>
      <x:c r="C14" s="41" t="str">
        <x:v>No Root House may own the only service, evidence or receiver seam</x:v>
      </x:c>
      <x:c r="D14" s="41" t="str">
        <x:v>OPEN INTERFACE</x:v>
      </x:c>
      <x:c r="E14" s="41" t="str">
        <x:v>Operating service</x:v>
      </x:c>
    </x:row>
    <x:row r="15" ht="48" customHeight="1">
      <x:c r="A15" s="41" t="str">
        <x:v>CL-11</x:v>
      </x:c>
      <x:c r="B15" s="41" t="str">
        <x:v>Continuity receivership</x:v>
      </x:c>
      <x:c r="C15" s="41" t="str">
        <x:v>Insolvency or control failure transfers public assets without evidence loss</x:v>
      </x:c>
      <x:c r="D15" s="41" t="str">
        <x:v>RECHARTER</x:v>
      </x:c>
      <x:c r="E15" s="41" t="str">
        <x:v>Industrial Mobilization Administration</x:v>
      </x:c>
    </x:row>
    <x:row r="16" ht="48" customHeight="1">
      <x:c r="A16" s="42" t="str">
        <x:v>CL-12</x:v>
      </x:c>
      <x:c r="B16" s="42" t="str">
        <x:v>Export domestic priority</x:v>
      </x:c>
      <x:c r="C16" s="42" t="str">
        <x:v>Exports remain outside domestic readiness and cannot consume replacement reserve</x:v>
      </x:c>
      <x:c r="D16" s="42" t="str">
        <x:v>STOP EXPORT</x:v>
      </x:c>
      <x:c r="E16" s="42" t="str">
        <x:v>Civil Resilience Authority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6" hidden="0" customWidth="1"/>
    <x:col min="4" max="4" width="18" hidden="0" customWidth="1"/>
    <x:col min="5" max="5" width="23" hidden="0" customWidth="1"/>
    <x:col min="6" max="6" width="23" hidden="0" customWidth="1"/>
    <x:col min="7" max="7" width="22" hidden="0" customWidth="1"/>
    <x:col min="8" max="8" width="21" hidden="0" customWidth="1"/>
    <x:col min="9" max="9" width="18" hidden="0" customWidth="1"/>
    <x:col min="10" max="10" width="18" hidden="0" customWidth="1"/>
  </x:cols>
  <x:sheetData>
    <x:row r="2" ht="24" customHeight="1">
      <x:c r="A2" s="1" t="str">
        <x:v>Twenty-four root-house charter register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8" t="str">
        <x:v>Root</x:v>
      </x:c>
      <x:c r="B4" s="9" t="str">
        <x:v>System</x:v>
      </x:c>
      <x:c r="C4" s="9" t="str">
        <x:v>Configuration thesis</x:v>
      </x:c>
      <x:c r="D4" s="9" t="str">
        <x:v>Sponsor ID</x:v>
      </x:c>
      <x:c r="E4" s="9" t="str">
        <x:v>Beneficial-control ID</x:v>
      </x:c>
      <x:c r="F4" s="9" t="str">
        <x:v>Governance-capital ID</x:v>
      </x:c>
      <x:c r="G4" s="9" t="str">
        <x:v>Cross-default group</x:v>
      </x:c>
      <x:c r="H4" s="9" t="str">
        <x:v>Decisive-chain ID</x:v>
      </x:c>
      <x:c r="I4" s="9" t="str">
        <x:v>Charter decision</x:v>
      </x:c>
      <x:c r="J4" s="10" t="str">
        <x:v>Computed state</x:v>
      </x:c>
    </x:row>
    <x:row r="5">
      <x:c r="A5" s="13" t="str">
        <x:v>TE-A</x:v>
      </x:c>
      <x:c r="B5" s="13" t="str">
        <x:v>MS-ET</x:v>
      </x:c>
      <x:c r="C5" s="40" t="str">
        <x:v>Oceanic mass bridge</x:v>
      </x:c>
      <x:c r="D5" s="16"/>
      <x:c r="E5" s="16"/>
      <x:c r="F5" s="16"/>
      <x:c r="G5" s="16"/>
      <x:c r="H5" s="16"/>
      <x:c r="I5" s="16"/>
      <x:c r="J5" s="13" t="str">
        <x:f>IF(COUNTA(D5:I5)&lt;6,"SOURCE EMPTY",IF(OR(COUNTIFS($E$5:$E$28,E5)&gt;1,COUNTIFS($F$5:$F$28,F5)&gt;1,COUNTIFS($G$5:$G$28,G5)&gt;1,COUNTIFS($H$5:$H$28,H5)&gt;1),"COLLISION",IF(I5="ISSUED","CHARTERED",IF(I5="DENIED","DENIED","HOLD"))))</x:f>
        <x:v>SOURCE EMPTY</x:v>
      </x:c>
    </x:row>
    <x:row r="6">
      <x:c r="A6" s="14" t="str">
        <x:v>TE-B</x:v>
      </x:c>
      <x:c r="B6" s="14" t="str">
        <x:v>MS-ET</x:v>
      </x:c>
      <x:c r="C6" s="41" t="str">
        <x:v>Buoyant air bridge</x:v>
      </x:c>
      <x:c r="D6" s="17"/>
      <x:c r="E6" s="17"/>
      <x:c r="F6" s="17"/>
      <x:c r="G6" s="17"/>
      <x:c r="H6" s="17"/>
      <x:c r="I6" s="17"/>
      <x:c r="J6" s="14" t="str">
        <x:f>IF(COUNTA(D6:I6)&lt;6,"SOURCE EMPTY",IF(OR(COUNTIFS($E$5:$E$28,E6)&gt;1,COUNTIFS($F$5:$F$28,F6)&gt;1,COUNTIFS($G$5:$G$28,G6)&gt;1,COUNTIFS($H$5:$H$28,H6)&gt;1),"COLLISION",IF(I6="ISSUED","CHARTERED",IF(I6="DENIED","DENIED","HOLD"))))</x:f>
        <x:v>SOURCE EMPTY</x:v>
      </x:c>
    </x:row>
    <x:row r="7">
      <x:c r="A7" s="14" t="str">
        <x:v>TE-C</x:v>
      </x:c>
      <x:c r="B7" s="14" t="str">
        <x:v>MS-ET</x:v>
      </x:c>
      <x:c r="C7" s="41" t="str">
        <x:v>Austere surface bridge</x:v>
      </x:c>
      <x:c r="D7" s="17"/>
      <x:c r="E7" s="17"/>
      <x:c r="F7" s="17"/>
      <x:c r="G7" s="17"/>
      <x:c r="H7" s="17"/>
      <x:c r="I7" s="17"/>
      <x:c r="J7" s="14" t="str">
        <x:f>IF(COUNTA(D7:I7)&lt;6,"SOURCE EMPTY",IF(OR(COUNTIFS($E$5:$E$28,E7)&gt;1,COUNTIFS($F$5:$F$28,F7)&gt;1,COUNTIFS($G$5:$G$28,G7)&gt;1,COUNTIFS($H$5:$H$28,H7)&gt;1),"COLLISION",IF(I7="ISSUED","CHARTERED",IF(I7="DENIED","DENIED","HOLD"))))</x:f>
        <x:v>SOURCE EMPTY</x:v>
      </x:c>
    </x:row>
    <x:row r="8">
      <x:c r="A8" s="14" t="str">
        <x:v>TE-D</x:v>
      </x:c>
      <x:c r="B8" s="14" t="str">
        <x:v>MS-ET</x:v>
      </x:c>
      <x:c r="C8" s="41" t="str">
        <x:v>Amphibious autonomous mesh</x:v>
      </x:c>
      <x:c r="D8" s="17"/>
      <x:c r="E8" s="17"/>
      <x:c r="F8" s="17"/>
      <x:c r="G8" s="17"/>
      <x:c r="H8" s="17"/>
      <x:c r="I8" s="17"/>
      <x:c r="J8" s="14" t="str">
        <x:f>IF(COUNTA(D8:I8)&lt;6,"SOURCE EMPTY",IF(OR(COUNTIFS($E$5:$E$28,E8)&gt;1,COUNTIFS($F$5:$F$28,F8)&gt;1,COUNTIFS($G$5:$G$28,G8)&gt;1,COUNTIFS($H$5:$H$28,H8)&gt;1),"COLLISION",IF(I8="ISSUED","CHARTERED",IF(I8="DENIED","DENIED","HOLD"))))</x:f>
        <x:v>SOURCE EMPTY</x:v>
      </x:c>
    </x:row>
    <x:row r="9">
      <x:c r="A9" s="14" t="str">
        <x:v>CT-A</x:v>
      </x:c>
      <x:c r="B9" s="14" t="str">
        <x:v>MS-CT</x:v>
      </x:c>
      <x:c r="C9" s="41" t="str">
        <x:v>Civic edge grid</x:v>
      </x:c>
      <x:c r="D9" s="17"/>
      <x:c r="E9" s="17"/>
      <x:c r="F9" s="17"/>
      <x:c r="G9" s="17"/>
      <x:c r="H9" s="17"/>
      <x:c r="I9" s="17"/>
      <x:c r="J9" s="14" t="str">
        <x:f>IF(COUNTA(D9:I9)&lt;6,"SOURCE EMPTY",IF(OR(COUNTIFS($E$5:$E$28,E9)&gt;1,COUNTIFS($F$5:$F$28,F9)&gt;1,COUNTIFS($G$5:$G$28,G9)&gt;1,COUNTIFS($H$5:$H$28,H9)&gt;1),"COLLISION",IF(I9="ISSUED","CHARTERED",IF(I9="DENIED","DENIED","HOLD"))))</x:f>
        <x:v>SOURCE EMPTY</x:v>
      </x:c>
    </x:row>
    <x:row r="10">
      <x:c r="A10" s="14" t="str">
        <x:v>CT-B</x:v>
      </x:c>
      <x:c r="B10" s="14" t="str">
        <x:v>MS-CT</x:v>
      </x:c>
      <x:c r="C10" s="41" t="str">
        <x:v>Air-and-skin reach</x:v>
      </x:c>
      <x:c r="D10" s="17"/>
      <x:c r="E10" s="17"/>
      <x:c r="F10" s="17"/>
      <x:c r="G10" s="17"/>
      <x:c r="H10" s="17"/>
      <x:c r="I10" s="17"/>
      <x:c r="J10" s="14" t="str">
        <x:f>IF(COUNTA(D10:I10)&lt;6,"SOURCE EMPTY",IF(OR(COUNTIFS($E$5:$E$28,E10)&gt;1,COUNTIFS($F$5:$F$28,F10)&gt;1,COUNTIFS($G$5:$G$28,G10)&gt;1,COUNTIFS($H$5:$H$28,H10)&gt;1),"COLLISION",IF(I10="ISSUED","CHARTERED",IF(I10="DENIED","DENIED","HOLD"))))</x:f>
        <x:v>SOURCE EMPTY</x:v>
      </x:c>
    </x:row>
    <x:row r="11">
      <x:c r="A11" s="14" t="str">
        <x:v>CT-C</x:v>
      </x:c>
      <x:c r="B11" s="14" t="str">
        <x:v>MS-CT</x:v>
      </x:c>
      <x:c r="C11" s="41" t="str">
        <x:v>Building utility spine</x:v>
      </x:c>
      <x:c r="D11" s="17"/>
      <x:c r="E11" s="17"/>
      <x:c r="F11" s="17"/>
      <x:c r="G11" s="17"/>
      <x:c r="H11" s="17"/>
      <x:c r="I11" s="17"/>
      <x:c r="J11" s="14" t="str">
        <x:f>IF(COUNTA(D11:I11)&lt;6,"SOURCE EMPTY",IF(OR(COUNTIFS($E$5:$E$28,E11)&gt;1,COUNTIFS($F$5:$F$28,F11)&gt;1,COUNTIFS($G$5:$G$28,G11)&gt;1,COUNTIFS($H$5:$H$28,H11)&gt;1),"COLLISION",IF(I11="ISSUED","CHARTERED",IF(I11="DENIED","DENIED","HOLD"))))</x:f>
        <x:v>SOURCE EMPTY</x:v>
      </x:c>
    </x:row>
    <x:row r="12">
      <x:c r="A12" s="14" t="str">
        <x:v>CT-D</x:v>
      </x:c>
      <x:c r="B12" s="14" t="str">
        <x:v>MS-CT</x:v>
      </x:c>
      <x:c r="C12" s="41" t="str">
        <x:v>Neighborhood machine swarm</x:v>
      </x:c>
      <x:c r="D12" s="17"/>
      <x:c r="E12" s="17"/>
      <x:c r="F12" s="17"/>
      <x:c r="G12" s="17"/>
      <x:c r="H12" s="17"/>
      <x:c r="I12" s="17"/>
      <x:c r="J12" s="14" t="str">
        <x:f>IF(COUNTA(D12:I12)&lt;6,"SOURCE EMPTY",IF(OR(COUNTIFS($E$5:$E$28,E12)&gt;1,COUNTIFS($F$5:$F$28,F12)&gt;1,COUNTIFS($G$5:$G$28,G12)&gt;1,COUNTIFS($H$5:$H$28,H12)&gt;1),"COLLISION",IF(I12="ISSUED","CHARTERED",IF(I12="DENIED","DENIED","HOLD"))))</x:f>
        <x:v>SOURCE EMPTY</x:v>
      </x:c>
    </x:row>
    <x:row r="13">
      <x:c r="A13" s="14" t="str">
        <x:v>HC-A</x:v>
      </x:c>
      <x:c r="B13" s="14" t="str">
        <x:v>MS-HC</x:v>
      </x:c>
      <x:c r="C13" s="41" t="str">
        <x:v>Atmospheric control wing</x:v>
      </x:c>
      <x:c r="D13" s="17"/>
      <x:c r="E13" s="17"/>
      <x:c r="F13" s="17"/>
      <x:c r="G13" s="17"/>
      <x:c r="H13" s="17"/>
      <x:c r="I13" s="17"/>
      <x:c r="J13" s="14" t="str">
        <x:f>IF(COUNTA(D13:I13)&lt;6,"SOURCE EMPTY",IF(OR(COUNTIFS($E$5:$E$28,E13)&gt;1,COUNTIFS($F$5:$F$28,F13)&gt;1,COUNTIFS($G$5:$G$28,G13)&gt;1,COUNTIFS($H$5:$H$28,H13)&gt;1),"COLLISION",IF(I13="ISSUED","CHARTERED",IF(I13="DENIED","DENIED","HOLD"))))</x:f>
        <x:v>SOURCE EMPTY</x:v>
      </x:c>
    </x:row>
    <x:row r="14">
      <x:c r="A14" s="14" t="str">
        <x:v>HC-B</x:v>
      </x:c>
      <x:c r="B14" s="14" t="str">
        <x:v>MS-HC</x:v>
      </x:c>
      <x:c r="C14" s="41" t="str">
        <x:v>Fluid intervention lattice</x:v>
      </x:c>
      <x:c r="D14" s="17"/>
      <x:c r="E14" s="17"/>
      <x:c r="F14" s="17"/>
      <x:c r="G14" s="17"/>
      <x:c r="H14" s="17"/>
      <x:c r="I14" s="17"/>
      <x:c r="J14" s="14" t="str">
        <x:f>IF(COUNTA(D14:I14)&lt;6,"SOURCE EMPTY",IF(OR(COUNTIFS($E$5:$E$28,E14)&gt;1,COUNTIFS($F$5:$F$28,F14)&gt;1,COUNTIFS($G$5:$G$28,G14)&gt;1,COUNTIFS($H$5:$H$28,H14)&gt;1),"COLLISION",IF(I14="ISSUED","CHARTERED",IF(I14="DENIED","DENIED","HOLD"))))</x:f>
        <x:v>SOURCE EMPTY</x:v>
      </x:c>
    </x:row>
    <x:row r="15">
      <x:c r="A15" s="14" t="str">
        <x:v>HC-C</x:v>
      </x:c>
      <x:c r="B15" s="14" t="str">
        <x:v>MS-HC</x:v>
      </x:c>
      <x:c r="C15" s="41" t="str">
        <x:v>Autonomous terrain corps</x:v>
      </x:c>
      <x:c r="D15" s="17"/>
      <x:c r="E15" s="17"/>
      <x:c r="F15" s="17"/>
      <x:c r="G15" s="17"/>
      <x:c r="H15" s="17"/>
      <x:c r="I15" s="17"/>
      <x:c r="J15" s="14" t="str">
        <x:f>IF(COUNTA(D15:I15)&lt;6,"SOURCE EMPTY",IF(OR(COUNTIFS($E$5:$E$28,E15)&gt;1,COUNTIFS($F$5:$F$28,F15)&gt;1,COUNTIFS($G$5:$G$28,G15)&gt;1,COUNTIFS($H$5:$H$28,H15)&gt;1),"COLLISION",IF(I15="ISSUED","CHARTERED",IF(I15="DENIED","DENIED","HOLD"))))</x:f>
        <x:v>SOURCE EMPTY</x:v>
      </x:c>
    </x:row>
    <x:row r="16">
      <x:c r="A16" s="14" t="str">
        <x:v>HC-D</x:v>
      </x:c>
      <x:c r="B16" s="14" t="str">
        <x:v>MS-HC</x:v>
      </x:c>
      <x:c r="C16" s="41" t="str">
        <x:v>Distributed control field</x:v>
      </x:c>
      <x:c r="D16" s="17"/>
      <x:c r="E16" s="17"/>
      <x:c r="F16" s="17"/>
      <x:c r="G16" s="17"/>
      <x:c r="H16" s="17"/>
      <x:c r="I16" s="17"/>
      <x:c r="J16" s="14" t="str">
        <x:f>IF(COUNTA(D16:I16)&lt;6,"SOURCE EMPTY",IF(OR(COUNTIFS($E$5:$E$28,E16)&gt;1,COUNTIFS($F$5:$F$28,F16)&gt;1,COUNTIFS($G$5:$G$28,G16)&gt;1,COUNTIFS($H$5:$H$28,H16)&gt;1),"COLLISION",IF(I16="ISSUED","CHARTERED",IF(I16="DENIED","DENIED","HOLD"))))</x:f>
        <x:v>SOURCE EMPTY</x:v>
      </x:c>
    </x:row>
    <x:row r="17">
      <x:c r="A17" s="14" t="str">
        <x:v>LF-A</x:v>
      </x:c>
      <x:c r="B17" s="14" t="str">
        <x:v>MS-LF</x:v>
      </x:c>
      <x:c r="C17" s="41" t="str">
        <x:v>Oceanic nuclear utility</x:v>
      </x:c>
      <x:c r="D17" s="17"/>
      <x:c r="E17" s="17"/>
      <x:c r="F17" s="17"/>
      <x:c r="G17" s="17"/>
      <x:c r="H17" s="17"/>
      <x:c r="I17" s="17"/>
      <x:c r="J17" s="14" t="str">
        <x:f>IF(COUNTA(D17:I17)&lt;6,"SOURCE EMPTY",IF(OR(COUNTIFS($E$5:$E$28,E17)&gt;1,COUNTIFS($F$5:$F$28,F17)&gt;1,COUNTIFS($G$5:$G$28,G17)&gt;1,COUNTIFS($H$5:$H$28,H17)&gt;1),"COLLISION",IF(I17="ISSUED","CHARTERED",IF(I17="DENIED","DENIED","HOLD"))))</x:f>
        <x:v>SOURCE EMPTY</x:v>
      </x:c>
    </x:row>
    <x:row r="18">
      <x:c r="A18" s="14" t="str">
        <x:v>LF-B</x:v>
      </x:c>
      <x:c r="B18" s="14" t="str">
        <x:v>MS-LF</x:v>
      </x:c>
      <x:c r="C18" s="41" t="str">
        <x:v>Inland geothermal train</x:v>
      </x:c>
      <x:c r="D18" s="17"/>
      <x:c r="E18" s="17"/>
      <x:c r="F18" s="17"/>
      <x:c r="G18" s="17"/>
      <x:c r="H18" s="17"/>
      <x:c r="I18" s="17"/>
      <x:c r="J18" s="14" t="str">
        <x:f>IF(COUNTA(D18:I18)&lt;6,"SOURCE EMPTY",IF(OR(COUNTIFS($E$5:$E$28,E18)&gt;1,COUNTIFS($F$5:$F$28,F18)&gt;1,COUNTIFS($G$5:$G$28,G18)&gt;1,COUNTIFS($H$5:$H$28,H18)&gt;1),"COLLISION",IF(I18="ISSUED","CHARTERED",IF(I18="DENIED","DENIED","HOLD"))))</x:f>
        <x:v>SOURCE EMPTY</x:v>
      </x:c>
    </x:row>
    <x:row r="19">
      <x:c r="A19" s="14" t="str">
        <x:v>LF-C</x:v>
      </x:c>
      <x:c r="B19" s="14" t="str">
        <x:v>MS-LF</x:v>
      </x:c>
      <x:c r="C19" s="41" t="str">
        <x:v>Renewable electrochemical swarm</x:v>
      </x:c>
      <x:c r="D19" s="17"/>
      <x:c r="E19" s="17"/>
      <x:c r="F19" s="17"/>
      <x:c r="G19" s="17"/>
      <x:c r="H19" s="17"/>
      <x:c r="I19" s="17"/>
      <x:c r="J19" s="14" t="str">
        <x:f>IF(COUNTA(D19:I19)&lt;6,"SOURCE EMPTY",IF(OR(COUNTIFS($E$5:$E$28,E19)&gt;1,COUNTIFS($F$5:$F$28,F19)&gt;1,COUNTIFS($G$5:$G$28,G19)&gt;1,COUNTIFS($H$5:$H$28,H19)&gt;1),"COLLISION",IF(I19="ISSUED","CHARTERED",IF(I19="DENIED","DENIED","HOLD"))))</x:f>
        <x:v>SOURCE EMPTY</x:v>
      </x:c>
    </x:row>
    <x:row r="20">
      <x:c r="A20" s="14" t="str">
        <x:v>LF-D</x:v>
      </x:c>
      <x:c r="B20" s="14" t="str">
        <x:v>MS-LF</x:v>
      </x:c>
      <x:c r="C20" s="41" t="str">
        <x:v>Synthetic-fuel service fleet</x:v>
      </x:c>
      <x:c r="D20" s="17"/>
      <x:c r="E20" s="17"/>
      <x:c r="F20" s="17"/>
      <x:c r="G20" s="17"/>
      <x:c r="H20" s="17"/>
      <x:c r="I20" s="17"/>
      <x:c r="J20" s="14" t="str">
        <x:f>IF(COUNTA(D20:I20)&lt;6,"SOURCE EMPTY",IF(OR(COUNTIFS($E$5:$E$28,E20)&gt;1,COUNTIFS($F$5:$F$28,F20)&gt;1,COUNTIFS($G$5:$G$28,G20)&gt;1,COUNTIFS($H$5:$H$28,H20)&gt;1),"COLLISION",IF(I20="ISSUED","CHARTERED",IF(I20="DENIED","DENIED","HOLD"))))</x:f>
        <x:v>SOURCE EMPTY</x:v>
      </x:c>
    </x:row>
    <x:row r="21">
      <x:c r="A21" s="14" t="str">
        <x:v>HU-A</x:v>
      </x:c>
      <x:c r="B21" s="14" t="str">
        <x:v>MS-HU</x:v>
      </x:c>
      <x:c r="C21" s="41" t="str">
        <x:v>Clinical continuity campus</x:v>
      </x:c>
      <x:c r="D21" s="17"/>
      <x:c r="E21" s="17"/>
      <x:c r="F21" s="17"/>
      <x:c r="G21" s="17"/>
      <x:c r="H21" s="17"/>
      <x:c r="I21" s="17"/>
      <x:c r="J21" s="14" t="str">
        <x:f>IF(COUNTA(D21:I21)&lt;6,"SOURCE EMPTY",IF(OR(COUNTIFS($E$5:$E$28,E21)&gt;1,COUNTIFS($F$5:$F$28,F21)&gt;1,COUNTIFS($G$5:$G$28,G21)&gt;1,COUNTIFS($H$5:$H$28,H21)&gt;1),"COLLISION",IF(I21="ISSUED","CHARTERED",IF(I21="DENIED","DENIED","HOLD"))))</x:f>
        <x:v>SOURCE EMPTY</x:v>
      </x:c>
    </x:row>
    <x:row r="22">
      <x:c r="A22" s="14" t="str">
        <x:v>HU-B</x:v>
      </x:c>
      <x:c r="B22" s="14" t="str">
        <x:v>MS-HU</x:v>
      </x:c>
      <x:c r="C22" s="41" t="str">
        <x:v>Neighborhood care fabric</x:v>
      </x:c>
      <x:c r="D22" s="17"/>
      <x:c r="E22" s="17"/>
      <x:c r="F22" s="17"/>
      <x:c r="G22" s="17"/>
      <x:c r="H22" s="17"/>
      <x:c r="I22" s="17"/>
      <x:c r="J22" s="14" t="str">
        <x:f>IF(COUNTA(D22:I22)&lt;6,"SOURCE EMPTY",IF(OR(COUNTIFS($E$5:$E$28,E22)&gt;1,COUNTIFS($F$5:$F$28,F22)&gt;1,COUNTIFS($G$5:$G$28,G22)&gt;1,COUNTIFS($H$5:$H$28,H22)&gt;1),"COLLISION",IF(I22="ISSUED","CHARTERED",IF(I22="DENIED","DENIED","HOLD"))))</x:f>
        <x:v>SOURCE EMPTY</x:v>
      </x:c>
    </x:row>
    <x:row r="23">
      <x:c r="A23" s="14" t="str">
        <x:v>HU-C</x:v>
      </x:c>
      <x:c r="B23" s="14" t="str">
        <x:v>MS-HU</x:v>
      </x:c>
      <x:c r="C23" s="41" t="str">
        <x:v>Mobile care network</x:v>
      </x:c>
      <x:c r="D23" s="17"/>
      <x:c r="E23" s="17"/>
      <x:c r="F23" s="17"/>
      <x:c r="G23" s="17"/>
      <x:c r="H23" s="17"/>
      <x:c r="I23" s="17"/>
      <x:c r="J23" s="14" t="str">
        <x:f>IF(COUNTA(D23:I23)&lt;6,"SOURCE EMPTY",IF(OR(COUNTIFS($E$5:$E$28,E23)&gt;1,COUNTIFS($F$5:$F$28,F23)&gt;1,COUNTIFS($G$5:$G$28,G23)&gt;1,COUNTIFS($H$5:$H$28,H23)&gt;1),"COLLISION",IF(I23="ISSUED","CHARTERED",IF(I23="DENIED","DENIED","HOLD"))))</x:f>
        <x:v>SOURCE EMPTY</x:v>
      </x:c>
    </x:row>
    <x:row r="24">
      <x:c r="A24" s="14" t="str">
        <x:v>HU-D</x:v>
      </x:c>
      <x:c r="B24" s="14" t="str">
        <x:v>MS-HU</x:v>
      </x:c>
      <x:c r="C24" s="41" t="str">
        <x:v>Host-building conversion system</x:v>
      </x:c>
      <x:c r="D24" s="17"/>
      <x:c r="E24" s="17"/>
      <x:c r="F24" s="17"/>
      <x:c r="G24" s="17"/>
      <x:c r="H24" s="17"/>
      <x:c r="I24" s="17"/>
      <x:c r="J24" s="14" t="str">
        <x:f>IF(COUNTA(D24:I24)&lt;6,"SOURCE EMPTY",IF(OR(COUNTIFS($E$5:$E$28,E24)&gt;1,COUNTIFS($F$5:$F$28,F24)&gt;1,COUNTIFS($G$5:$G$28,G24)&gt;1,COUNTIFS($H$5:$H$28,H24)&gt;1),"COLLISION",IF(I24="ISSUED","CHARTERED",IF(I24="DENIED","DENIED","HOLD"))))</x:f>
        <x:v>SOURCE EMPTY</x:v>
      </x:c>
    </x:row>
    <x:row r="25">
      <x:c r="A25" s="14" t="str">
        <x:v>RT-A</x:v>
      </x:c>
      <x:c r="B25" s="14" t="str">
        <x:v>MS-RT</x:v>
      </x:c>
      <x:c r="C25" s="41" t="str">
        <x:v>Heavy arsenal base</x:v>
      </x:c>
      <x:c r="D25" s="17"/>
      <x:c r="E25" s="17"/>
      <x:c r="F25" s="17"/>
      <x:c r="G25" s="17"/>
      <x:c r="H25" s="17"/>
      <x:c r="I25" s="17"/>
      <x:c r="J25" s="14" t="str">
        <x:f>IF(COUNTA(D25:I25)&lt;6,"SOURCE EMPTY",IF(OR(COUNTIFS($E$5:$E$28,E25)&gt;1,COUNTIFS($F$5:$F$28,F25)&gt;1,COUNTIFS($G$5:$G$28,G25)&gt;1,COUNTIFS($H$5:$H$28,H25)&gt;1),"COLLISION",IF(I25="ISSUED","CHARTERED",IF(I25="DENIED","DENIED","HOLD"))))</x:f>
        <x:v>SOURCE EMPTY</x:v>
      </x:c>
    </x:row>
    <x:row r="26">
      <x:c r="A26" s="14" t="str">
        <x:v>RT-B</x:v>
      </x:c>
      <x:c r="B26" s="14" t="str">
        <x:v>MS-RT</x:v>
      </x:c>
      <x:c r="C26" s="41" t="str">
        <x:v>Distributed microfactory mesh</x:v>
      </x:c>
      <x:c r="D26" s="17"/>
      <x:c r="E26" s="17"/>
      <x:c r="F26" s="17"/>
      <x:c r="G26" s="17"/>
      <x:c r="H26" s="17"/>
      <x:c r="I26" s="17"/>
      <x:c r="J26" s="14" t="str">
        <x:f>IF(COUNTA(D26:I26)&lt;6,"SOURCE EMPTY",IF(OR(COUNTIFS($E$5:$E$28,E26)&gt;1,COUNTIFS($F$5:$F$28,F26)&gt;1,COUNTIFS($G$5:$G$28,G26)&gt;1,COUNTIFS($H$5:$H$28,H26)&gt;1),"COLLISION",IF(I26="ISSUED","CHARTERED",IF(I26="DENIED","DENIED","HOLD"))))</x:f>
        <x:v>SOURCE EMPTY</x:v>
      </x:c>
    </x:row>
    <x:row r="27">
      <x:c r="A27" s="14" t="str">
        <x:v>RT-C</x:v>
      </x:c>
      <x:c r="B27" s="14" t="str">
        <x:v>MS-RT</x:v>
      </x:c>
      <x:c r="C27" s="41" t="str">
        <x:v>Exchange and remanufacture network</x:v>
      </x:c>
      <x:c r="D27" s="17"/>
      <x:c r="E27" s="17"/>
      <x:c r="F27" s="17"/>
      <x:c r="G27" s="17"/>
      <x:c r="H27" s="17"/>
      <x:c r="I27" s="17"/>
      <x:c r="J27" s="14" t="str">
        <x:f>IF(COUNTA(D27:I27)&lt;6,"SOURCE EMPTY",IF(OR(COUNTIFS($E$5:$E$28,E27)&gt;1,COUNTIFS($F$5:$F$28,F27)&gt;1,COUNTIFS($G$5:$G$28,G27)&gt;1,COUNTIFS($H$5:$H$28,H27)&gt;1),"COLLISION",IF(I27="ISSUED","CHARTERED",IF(I27="DENIED","DENIED","HOLD"))))</x:f>
        <x:v>SOURCE EMPTY</x:v>
      </x:c>
    </x:row>
    <x:row r="28">
      <x:c r="A28" s="15" t="str">
        <x:v>RT-D</x:v>
      </x:c>
      <x:c r="B28" s="15" t="str">
        <x:v>MS-RT</x:v>
      </x:c>
      <x:c r="C28" s="42" t="str">
        <x:v>Closed-loop sustainment fleet</x:v>
      </x:c>
      <x:c r="D28" s="18"/>
      <x:c r="E28" s="18"/>
      <x:c r="F28" s="18"/>
      <x:c r="G28" s="18"/>
      <x:c r="H28" s="18"/>
      <x:c r="I28" s="18"/>
      <x:c r="J28" s="15" t="str">
        <x:f>IF(COUNTA(D28:I28)&lt;6,"SOURCE EMPTY",IF(OR(COUNTIFS($E$5:$E$28,E28)&gt;1,COUNTIFS($F$5:$F$28,F28)&gt;1,COUNTIFS($G$5:$G$28,G28)&gt;1,COUNTIFS($H$5:$H$28,H28)&gt;1),"COLLISION",IF(I28="ISSUED","CHARTERED",IF(I28="DENIED","DENIED","HOLD"))))</x:f>
        <x:v>SOURCE EMPTY</x:v>
      </x:c>
    </x:row>
  </x:sheetData>
  <x:conditionalFormatting sqref="J5:J28">
    <x:cfRule type="containsText" dxfId="7" priority="1" operator="containsText" text="FAIL"/>
    <x:cfRule type="containsText" dxfId="8" priority="2" operator="containsText" text="BREACH"/>
    <x:cfRule type="containsText" dxfId="9" priority="3" operator="containsText" text="COLLISION"/>
    <x:cfRule type="containsText" dxfId="10" priority="4" operator="containsText" text="BLOCKED"/>
    <x:cfRule type="containsText" dxfId="11" priority="5" operator="containsText" text="SOURCE EMPTY"/>
    <x:cfRule type="containsText" dxfId="12" priority="6" operator="containsText" text="PASS"/>
    <x:cfRule type="containsText" dxfId="13" priority="7" operator="containsText" text="READY"/>
  </x:conditionalFormatting>
  <x:dataValidations count="1">
    <x:dataValidation type="list" sqref="I5:I28">
      <x:formula1>"ISSUED,HOLD,DENIED"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1" hidden="0" customWidth="1"/>
    <x:col min="4" max="4" width="16" hidden="0" customWidth="1"/>
    <x:col min="5" max="5" width="24" hidden="0" customWidth="1"/>
    <x:col min="6" max="6" width="21" hidden="0" customWidth="1"/>
    <x:col min="7" max="7" width="62" hidden="0" customWidth="1"/>
  </x:cols>
  <x:sheetData>
    <x:row r="2" ht="24" customHeight="1">
      <x:c r="A2" s="1" t="str">
        <x:v>Root-house public program exposure</x:v>
      </x:c>
      <x:c r="B2" s="1"/>
      <x:c r="C2" s="1"/>
      <x:c r="D2" s="1"/>
      <x:c r="E2" s="1"/>
      <x:c r="F2" s="1"/>
      <x:c r="G2" s="1"/>
    </x:row>
    <x:row r="3">
      <x:c r="A3" s="2"/>
      <x:c r="B3" s="2"/>
      <x:c r="C3" s="2"/>
      <x:c r="D3" s="2"/>
      <x:c r="E3" s="2"/>
      <x:c r="F3" s="2"/>
      <x:c r="G3" s="2"/>
    </x:row>
    <x:row r="4">
      <x:c r="A4" s="8" t="str">
        <x:v>Root</x:v>
      </x:c>
      <x:c r="B4" s="9" t="str">
        <x:v>System</x:v>
      </x:c>
      <x:c r="C4" s="9" t="str">
        <x:v>System allocation (USD B)</x:v>
      </x:c>
      <x:c r="D4" s="9" t="str">
        <x:v>Roots in system</x:v>
      </x:c>
      <x:c r="E4" s="9" t="str">
        <x:v>25-year mission exposure (USD B)</x:v>
      </x:c>
      <x:c r="F4" s="9" t="str">
        <x:v>Annual average (USD B)</x:v>
      </x:c>
      <x:c r="G4" s="10" t="str">
        <x:v>Interpretation</x:v>
      </x:c>
    </x:row>
    <x:row r="5">
      <x:c r="A5" s="13" t="str">
        <x:v>TE-A</x:v>
      </x:c>
      <x:c r="B5" s="13" t="str">
        <x:v>MS-ET</x:v>
      </x:c>
      <x:c r="C5" s="57" t="n">
        <x:f>INDEX(Controls!$C$24:$C$29,MATCH(B5,Controls!$A$24:$A$29,0))</x:f>
        <x:v>89</x:v>
      </x:c>
      <x:c r="D5" s="57" t="n">
        <x:f>Controls!$B$13</x:f>
        <x:v>4</x:v>
      </x:c>
      <x:c r="E5" s="57" t="n">
        <x:f>C5/D5</x:f>
        <x:v>22.25</x:v>
      </x:c>
      <x:c r="F5" s="57" t="n">
        <x:f>E5/Controls!$B$20</x:f>
        <x:v>0.89</x:v>
      </x:c>
      <x:c r="G5" s="40" t="str">
        <x:v>Ceiling for public mission-system exposure; not revenue, enterprise value or an earned payment</x:v>
      </x:c>
    </x:row>
    <x:row r="6">
      <x:c r="A6" s="14" t="str">
        <x:v>TE-B</x:v>
      </x:c>
      <x:c r="B6" s="14" t="str">
        <x:v>MS-ET</x:v>
      </x:c>
      <x:c r="C6" s="58" t="n">
        <x:f>INDEX(Controls!$C$24:$C$29,MATCH(B6,Controls!$A$24:$A$29,0))</x:f>
        <x:v>89</x:v>
      </x:c>
      <x:c r="D6" s="58" t="n">
        <x:f>Controls!$B$13</x:f>
        <x:v>4</x:v>
      </x:c>
      <x:c r="E6" s="58" t="n">
        <x:f>C6/D6</x:f>
        <x:v>22.25</x:v>
      </x:c>
      <x:c r="F6" s="58" t="n">
        <x:f>E6/Controls!$B$20</x:f>
        <x:v>0.89</x:v>
      </x:c>
      <x:c r="G6" s="41" t="str">
        <x:v>Ceiling for public mission-system exposure; not revenue, enterprise value or an earned payment</x:v>
      </x:c>
    </x:row>
    <x:row r="7">
      <x:c r="A7" s="14" t="str">
        <x:v>TE-C</x:v>
      </x:c>
      <x:c r="B7" s="14" t="str">
        <x:v>MS-ET</x:v>
      </x:c>
      <x:c r="C7" s="58" t="n">
        <x:f>INDEX(Controls!$C$24:$C$29,MATCH(B7,Controls!$A$24:$A$29,0))</x:f>
        <x:v>89</x:v>
      </x:c>
      <x:c r="D7" s="58" t="n">
        <x:f>Controls!$B$13</x:f>
        <x:v>4</x:v>
      </x:c>
      <x:c r="E7" s="58" t="n">
        <x:f>C7/D7</x:f>
        <x:v>22.25</x:v>
      </x:c>
      <x:c r="F7" s="58" t="n">
        <x:f>E7/Controls!$B$20</x:f>
        <x:v>0.89</x:v>
      </x:c>
      <x:c r="G7" s="41" t="str">
        <x:v>Ceiling for public mission-system exposure; not revenue, enterprise value or an earned payment</x:v>
      </x:c>
    </x:row>
    <x:row r="8">
      <x:c r="A8" s="14" t="str">
        <x:v>TE-D</x:v>
      </x:c>
      <x:c r="B8" s="14" t="str">
        <x:v>MS-ET</x:v>
      </x:c>
      <x:c r="C8" s="58" t="n">
        <x:f>INDEX(Controls!$C$24:$C$29,MATCH(B8,Controls!$A$24:$A$29,0))</x:f>
        <x:v>89</x:v>
      </x:c>
      <x:c r="D8" s="58" t="n">
        <x:f>Controls!$B$13</x:f>
        <x:v>4</x:v>
      </x:c>
      <x:c r="E8" s="58" t="n">
        <x:f>C8/D8</x:f>
        <x:v>22.25</x:v>
      </x:c>
      <x:c r="F8" s="58" t="n">
        <x:f>E8/Controls!$B$20</x:f>
        <x:v>0.89</x:v>
      </x:c>
      <x:c r="G8" s="41" t="str">
        <x:v>Ceiling for public mission-system exposure; not revenue, enterprise value or an earned payment</x:v>
      </x:c>
    </x:row>
    <x:row r="9">
      <x:c r="A9" s="14" t="str">
        <x:v>CT-A</x:v>
      </x:c>
      <x:c r="B9" s="14" t="str">
        <x:v>MS-CT</x:v>
      </x:c>
      <x:c r="C9" s="58" t="n">
        <x:f>INDEX(Controls!$C$24:$C$29,MATCH(B9,Controls!$A$24:$A$29,0))</x:f>
        <x:v>91.9</x:v>
      </x:c>
      <x:c r="D9" s="58" t="n">
        <x:f>Controls!$B$13</x:f>
        <x:v>4</x:v>
      </x:c>
      <x:c r="E9" s="58" t="n">
        <x:f>C9/D9</x:f>
        <x:v>22.975</x:v>
      </x:c>
      <x:c r="F9" s="58" t="n">
        <x:f>E9/Controls!$B$20</x:f>
        <x:v>0.919</x:v>
      </x:c>
      <x:c r="G9" s="41" t="str">
        <x:v>Ceiling for public mission-system exposure; not revenue, enterprise value or an earned payment</x:v>
      </x:c>
    </x:row>
    <x:row r="10">
      <x:c r="A10" s="14" t="str">
        <x:v>CT-B</x:v>
      </x:c>
      <x:c r="B10" s="14" t="str">
        <x:v>MS-CT</x:v>
      </x:c>
      <x:c r="C10" s="58" t="n">
        <x:f>INDEX(Controls!$C$24:$C$29,MATCH(B10,Controls!$A$24:$A$29,0))</x:f>
        <x:v>91.9</x:v>
      </x:c>
      <x:c r="D10" s="58" t="n">
        <x:f>Controls!$B$13</x:f>
        <x:v>4</x:v>
      </x:c>
      <x:c r="E10" s="58" t="n">
        <x:f>C10/D10</x:f>
        <x:v>22.975</x:v>
      </x:c>
      <x:c r="F10" s="58" t="n">
        <x:f>E10/Controls!$B$20</x:f>
        <x:v>0.919</x:v>
      </x:c>
      <x:c r="G10" s="41" t="str">
        <x:v>Ceiling for public mission-system exposure; not revenue, enterprise value or an earned payment</x:v>
      </x:c>
    </x:row>
    <x:row r="11">
      <x:c r="A11" s="14" t="str">
        <x:v>CT-C</x:v>
      </x:c>
      <x:c r="B11" s="14" t="str">
        <x:v>MS-CT</x:v>
      </x:c>
      <x:c r="C11" s="58" t="n">
        <x:f>INDEX(Controls!$C$24:$C$29,MATCH(B11,Controls!$A$24:$A$29,0))</x:f>
        <x:v>91.9</x:v>
      </x:c>
      <x:c r="D11" s="58" t="n">
        <x:f>Controls!$B$13</x:f>
        <x:v>4</x:v>
      </x:c>
      <x:c r="E11" s="58" t="n">
        <x:f>C11/D11</x:f>
        <x:v>22.975</x:v>
      </x:c>
      <x:c r="F11" s="58" t="n">
        <x:f>E11/Controls!$B$20</x:f>
        <x:v>0.919</x:v>
      </x:c>
      <x:c r="G11" s="41" t="str">
        <x:v>Ceiling for public mission-system exposure; not revenue, enterprise value or an earned payment</x:v>
      </x:c>
    </x:row>
    <x:row r="12">
      <x:c r="A12" s="14" t="str">
        <x:v>CT-D</x:v>
      </x:c>
      <x:c r="B12" s="14" t="str">
        <x:v>MS-CT</x:v>
      </x:c>
      <x:c r="C12" s="58" t="n">
        <x:f>INDEX(Controls!$C$24:$C$29,MATCH(B12,Controls!$A$24:$A$29,0))</x:f>
        <x:v>91.9</x:v>
      </x:c>
      <x:c r="D12" s="58" t="n">
        <x:f>Controls!$B$13</x:f>
        <x:v>4</x:v>
      </x:c>
      <x:c r="E12" s="58" t="n">
        <x:f>C12/D12</x:f>
        <x:v>22.975</x:v>
      </x:c>
      <x:c r="F12" s="58" t="n">
        <x:f>E12/Controls!$B$20</x:f>
        <x:v>0.919</x:v>
      </x:c>
      <x:c r="G12" s="41" t="str">
        <x:v>Ceiling for public mission-system exposure; not revenue, enterprise value or an earned payment</x:v>
      </x:c>
    </x:row>
    <x:row r="13">
      <x:c r="A13" s="14" t="str">
        <x:v>HC-A</x:v>
      </x:c>
      <x:c r="B13" s="14" t="str">
        <x:v>MS-HC</x:v>
      </x:c>
      <x:c r="C13" s="58" t="n">
        <x:f>INDEX(Controls!$C$24:$C$29,MATCH(B13,Controls!$A$24:$A$29,0))</x:f>
        <x:v>54.6</x:v>
      </x:c>
      <x:c r="D13" s="58" t="n">
        <x:f>Controls!$B$13</x:f>
        <x:v>4</x:v>
      </x:c>
      <x:c r="E13" s="58" t="n">
        <x:f>C13/D13</x:f>
        <x:v>13.65</x:v>
      </x:c>
      <x:c r="F13" s="58" t="n">
        <x:f>E13/Controls!$B$20</x:f>
        <x:v>0.546</x:v>
      </x:c>
      <x:c r="G13" s="41" t="str">
        <x:v>Ceiling for public mission-system exposure; not revenue, enterprise value or an earned payment</x:v>
      </x:c>
    </x:row>
    <x:row r="14">
      <x:c r="A14" s="14" t="str">
        <x:v>HC-B</x:v>
      </x:c>
      <x:c r="B14" s="14" t="str">
        <x:v>MS-HC</x:v>
      </x:c>
      <x:c r="C14" s="58" t="n">
        <x:f>INDEX(Controls!$C$24:$C$29,MATCH(B14,Controls!$A$24:$A$29,0))</x:f>
        <x:v>54.6</x:v>
      </x:c>
      <x:c r="D14" s="58" t="n">
        <x:f>Controls!$B$13</x:f>
        <x:v>4</x:v>
      </x:c>
      <x:c r="E14" s="58" t="n">
        <x:f>C14/D14</x:f>
        <x:v>13.65</x:v>
      </x:c>
      <x:c r="F14" s="58" t="n">
        <x:f>E14/Controls!$B$20</x:f>
        <x:v>0.546</x:v>
      </x:c>
      <x:c r="G14" s="41" t="str">
        <x:v>Ceiling for public mission-system exposure; not revenue, enterprise value or an earned payment</x:v>
      </x:c>
    </x:row>
    <x:row r="15">
      <x:c r="A15" s="14" t="str">
        <x:v>HC-C</x:v>
      </x:c>
      <x:c r="B15" s="14" t="str">
        <x:v>MS-HC</x:v>
      </x:c>
      <x:c r="C15" s="58" t="n">
        <x:f>INDEX(Controls!$C$24:$C$29,MATCH(B15,Controls!$A$24:$A$29,0))</x:f>
        <x:v>54.6</x:v>
      </x:c>
      <x:c r="D15" s="58" t="n">
        <x:f>Controls!$B$13</x:f>
        <x:v>4</x:v>
      </x:c>
      <x:c r="E15" s="58" t="n">
        <x:f>C15/D15</x:f>
        <x:v>13.65</x:v>
      </x:c>
      <x:c r="F15" s="58" t="n">
        <x:f>E15/Controls!$B$20</x:f>
        <x:v>0.546</x:v>
      </x:c>
      <x:c r="G15" s="41" t="str">
        <x:v>Ceiling for public mission-system exposure; not revenue, enterprise value or an earned payment</x:v>
      </x:c>
    </x:row>
    <x:row r="16">
      <x:c r="A16" s="14" t="str">
        <x:v>HC-D</x:v>
      </x:c>
      <x:c r="B16" s="14" t="str">
        <x:v>MS-HC</x:v>
      </x:c>
      <x:c r="C16" s="58" t="n">
        <x:f>INDEX(Controls!$C$24:$C$29,MATCH(B16,Controls!$A$24:$A$29,0))</x:f>
        <x:v>54.6</x:v>
      </x:c>
      <x:c r="D16" s="58" t="n">
        <x:f>Controls!$B$13</x:f>
        <x:v>4</x:v>
      </x:c>
      <x:c r="E16" s="58" t="n">
        <x:f>C16/D16</x:f>
        <x:v>13.65</x:v>
      </x:c>
      <x:c r="F16" s="58" t="n">
        <x:f>E16/Controls!$B$20</x:f>
        <x:v>0.546</x:v>
      </x:c>
      <x:c r="G16" s="41" t="str">
        <x:v>Ceiling for public mission-system exposure; not revenue, enterprise value or an earned payment</x:v>
      </x:c>
    </x:row>
    <x:row r="17">
      <x:c r="A17" s="14" t="str">
        <x:v>LF-A</x:v>
      </x:c>
      <x:c r="B17" s="14" t="str">
        <x:v>MS-LF</x:v>
      </x:c>
      <x:c r="C17" s="58" t="n">
        <x:f>INDEX(Controls!$C$24:$C$29,MATCH(B17,Controls!$A$24:$A$29,0))</x:f>
        <x:v>72</x:v>
      </x:c>
      <x:c r="D17" s="58" t="n">
        <x:f>Controls!$B$13</x:f>
        <x:v>4</x:v>
      </x:c>
      <x:c r="E17" s="58" t="n">
        <x:f>C17/D17</x:f>
        <x:v>18</x:v>
      </x:c>
      <x:c r="F17" s="58" t="n">
        <x:f>E17/Controls!$B$20</x:f>
        <x:v>0.72</x:v>
      </x:c>
      <x:c r="G17" s="41" t="str">
        <x:v>Ceiling for public mission-system exposure; not revenue, enterprise value or an earned payment</x:v>
      </x:c>
    </x:row>
    <x:row r="18">
      <x:c r="A18" s="14" t="str">
        <x:v>LF-B</x:v>
      </x:c>
      <x:c r="B18" s="14" t="str">
        <x:v>MS-LF</x:v>
      </x:c>
      <x:c r="C18" s="58" t="n">
        <x:f>INDEX(Controls!$C$24:$C$29,MATCH(B18,Controls!$A$24:$A$29,0))</x:f>
        <x:v>72</x:v>
      </x:c>
      <x:c r="D18" s="58" t="n">
        <x:f>Controls!$B$13</x:f>
        <x:v>4</x:v>
      </x:c>
      <x:c r="E18" s="58" t="n">
        <x:f>C18/D18</x:f>
        <x:v>18</x:v>
      </x:c>
      <x:c r="F18" s="58" t="n">
        <x:f>E18/Controls!$B$20</x:f>
        <x:v>0.72</x:v>
      </x:c>
      <x:c r="G18" s="41" t="str">
        <x:v>Ceiling for public mission-system exposure; not revenue, enterprise value or an earned payment</x:v>
      </x:c>
    </x:row>
    <x:row r="19">
      <x:c r="A19" s="14" t="str">
        <x:v>LF-C</x:v>
      </x:c>
      <x:c r="B19" s="14" t="str">
        <x:v>MS-LF</x:v>
      </x:c>
      <x:c r="C19" s="58" t="n">
        <x:f>INDEX(Controls!$C$24:$C$29,MATCH(B19,Controls!$A$24:$A$29,0))</x:f>
        <x:v>72</x:v>
      </x:c>
      <x:c r="D19" s="58" t="n">
        <x:f>Controls!$B$13</x:f>
        <x:v>4</x:v>
      </x:c>
      <x:c r="E19" s="58" t="n">
        <x:f>C19/D19</x:f>
        <x:v>18</x:v>
      </x:c>
      <x:c r="F19" s="58" t="n">
        <x:f>E19/Controls!$B$20</x:f>
        <x:v>0.72</x:v>
      </x:c>
      <x:c r="G19" s="41" t="str">
        <x:v>Ceiling for public mission-system exposure; not revenue, enterprise value or an earned payment</x:v>
      </x:c>
    </x:row>
    <x:row r="20">
      <x:c r="A20" s="14" t="str">
        <x:v>LF-D</x:v>
      </x:c>
      <x:c r="B20" s="14" t="str">
        <x:v>MS-LF</x:v>
      </x:c>
      <x:c r="C20" s="58" t="n">
        <x:f>INDEX(Controls!$C$24:$C$29,MATCH(B20,Controls!$A$24:$A$29,0))</x:f>
        <x:v>72</x:v>
      </x:c>
      <x:c r="D20" s="58" t="n">
        <x:f>Controls!$B$13</x:f>
        <x:v>4</x:v>
      </x:c>
      <x:c r="E20" s="58" t="n">
        <x:f>C20/D20</x:f>
        <x:v>18</x:v>
      </x:c>
      <x:c r="F20" s="58" t="n">
        <x:f>E20/Controls!$B$20</x:f>
        <x:v>0.72</x:v>
      </x:c>
      <x:c r="G20" s="41" t="str">
        <x:v>Ceiling for public mission-system exposure; not revenue, enterprise value or an earned payment</x:v>
      </x:c>
    </x:row>
    <x:row r="21">
      <x:c r="A21" s="14" t="str">
        <x:v>HU-A</x:v>
      </x:c>
      <x:c r="B21" s="14" t="str">
        <x:v>MS-HU</x:v>
      </x:c>
      <x:c r="C21" s="58" t="n">
        <x:f>INDEX(Controls!$C$24:$C$29,MATCH(B21,Controls!$A$24:$A$29,0))</x:f>
        <x:v>153</x:v>
      </x:c>
      <x:c r="D21" s="58" t="n">
        <x:f>Controls!$B$13</x:f>
        <x:v>4</x:v>
      </x:c>
      <x:c r="E21" s="58" t="n">
        <x:f>C21/D21</x:f>
        <x:v>38.25</x:v>
      </x:c>
      <x:c r="F21" s="58" t="n">
        <x:f>E21/Controls!$B$20</x:f>
        <x:v>1.53</x:v>
      </x:c>
      <x:c r="G21" s="41" t="str">
        <x:v>Ceiling for public mission-system exposure; not revenue, enterprise value or an earned payment</x:v>
      </x:c>
    </x:row>
    <x:row r="22">
      <x:c r="A22" s="14" t="str">
        <x:v>HU-B</x:v>
      </x:c>
      <x:c r="B22" s="14" t="str">
        <x:v>MS-HU</x:v>
      </x:c>
      <x:c r="C22" s="58" t="n">
        <x:f>INDEX(Controls!$C$24:$C$29,MATCH(B22,Controls!$A$24:$A$29,0))</x:f>
        <x:v>153</x:v>
      </x:c>
      <x:c r="D22" s="58" t="n">
        <x:f>Controls!$B$13</x:f>
        <x:v>4</x:v>
      </x:c>
      <x:c r="E22" s="58" t="n">
        <x:f>C22/D22</x:f>
        <x:v>38.25</x:v>
      </x:c>
      <x:c r="F22" s="58" t="n">
        <x:f>E22/Controls!$B$20</x:f>
        <x:v>1.53</x:v>
      </x:c>
      <x:c r="G22" s="41" t="str">
        <x:v>Ceiling for public mission-system exposure; not revenue, enterprise value or an earned payment</x:v>
      </x:c>
    </x:row>
    <x:row r="23">
      <x:c r="A23" s="14" t="str">
        <x:v>HU-C</x:v>
      </x:c>
      <x:c r="B23" s="14" t="str">
        <x:v>MS-HU</x:v>
      </x:c>
      <x:c r="C23" s="58" t="n">
        <x:f>INDEX(Controls!$C$24:$C$29,MATCH(B23,Controls!$A$24:$A$29,0))</x:f>
        <x:v>153</x:v>
      </x:c>
      <x:c r="D23" s="58" t="n">
        <x:f>Controls!$B$13</x:f>
        <x:v>4</x:v>
      </x:c>
      <x:c r="E23" s="58" t="n">
        <x:f>C23/D23</x:f>
        <x:v>38.25</x:v>
      </x:c>
      <x:c r="F23" s="58" t="n">
        <x:f>E23/Controls!$B$20</x:f>
        <x:v>1.53</x:v>
      </x:c>
      <x:c r="G23" s="41" t="str">
        <x:v>Ceiling for public mission-system exposure; not revenue, enterprise value or an earned payment</x:v>
      </x:c>
    </x:row>
    <x:row r="24">
      <x:c r="A24" s="14" t="str">
        <x:v>HU-D</x:v>
      </x:c>
      <x:c r="B24" s="14" t="str">
        <x:v>MS-HU</x:v>
      </x:c>
      <x:c r="C24" s="58" t="n">
        <x:f>INDEX(Controls!$C$24:$C$29,MATCH(B24,Controls!$A$24:$A$29,0))</x:f>
        <x:v>153</x:v>
      </x:c>
      <x:c r="D24" s="58" t="n">
        <x:f>Controls!$B$13</x:f>
        <x:v>4</x:v>
      </x:c>
      <x:c r="E24" s="58" t="n">
        <x:f>C24/D24</x:f>
        <x:v>38.25</x:v>
      </x:c>
      <x:c r="F24" s="58" t="n">
        <x:f>E24/Controls!$B$20</x:f>
        <x:v>1.53</x:v>
      </x:c>
      <x:c r="G24" s="41" t="str">
        <x:v>Ceiling for public mission-system exposure; not revenue, enterprise value or an earned payment</x:v>
      </x:c>
    </x:row>
    <x:row r="25">
      <x:c r="A25" s="14" t="str">
        <x:v>RT-A</x:v>
      </x:c>
      <x:c r="B25" s="14" t="str">
        <x:v>MS-RT</x:v>
      </x:c>
      <x:c r="C25" s="58" t="n">
        <x:f>INDEX(Controls!$C$24:$C$29,MATCH(B25,Controls!$A$24:$A$29,0))</x:f>
        <x:v>89.4</x:v>
      </x:c>
      <x:c r="D25" s="58" t="n">
        <x:f>Controls!$B$13</x:f>
        <x:v>4</x:v>
      </x:c>
      <x:c r="E25" s="58" t="n">
        <x:f>C25/D25</x:f>
        <x:v>22.35</x:v>
      </x:c>
      <x:c r="F25" s="58" t="n">
        <x:f>E25/Controls!$B$20</x:f>
        <x:v>0.894</x:v>
      </x:c>
      <x:c r="G25" s="41" t="str">
        <x:v>Ceiling for public mission-system exposure; not revenue, enterprise value or an earned payment</x:v>
      </x:c>
    </x:row>
    <x:row r="26">
      <x:c r="A26" s="14" t="str">
        <x:v>RT-B</x:v>
      </x:c>
      <x:c r="B26" s="14" t="str">
        <x:v>MS-RT</x:v>
      </x:c>
      <x:c r="C26" s="58" t="n">
        <x:f>INDEX(Controls!$C$24:$C$29,MATCH(B26,Controls!$A$24:$A$29,0))</x:f>
        <x:v>89.4</x:v>
      </x:c>
      <x:c r="D26" s="58" t="n">
        <x:f>Controls!$B$13</x:f>
        <x:v>4</x:v>
      </x:c>
      <x:c r="E26" s="58" t="n">
        <x:f>C26/D26</x:f>
        <x:v>22.35</x:v>
      </x:c>
      <x:c r="F26" s="58" t="n">
        <x:f>E26/Controls!$B$20</x:f>
        <x:v>0.894</x:v>
      </x:c>
      <x:c r="G26" s="41" t="str">
        <x:v>Ceiling for public mission-system exposure; not revenue, enterprise value or an earned payment</x:v>
      </x:c>
    </x:row>
    <x:row r="27">
      <x:c r="A27" s="14" t="str">
        <x:v>RT-C</x:v>
      </x:c>
      <x:c r="B27" s="14" t="str">
        <x:v>MS-RT</x:v>
      </x:c>
      <x:c r="C27" s="58" t="n">
        <x:f>INDEX(Controls!$C$24:$C$29,MATCH(B27,Controls!$A$24:$A$29,0))</x:f>
        <x:v>89.4</x:v>
      </x:c>
      <x:c r="D27" s="58" t="n">
        <x:f>Controls!$B$13</x:f>
        <x:v>4</x:v>
      </x:c>
      <x:c r="E27" s="58" t="n">
        <x:f>C27/D27</x:f>
        <x:v>22.35</x:v>
      </x:c>
      <x:c r="F27" s="58" t="n">
        <x:f>E27/Controls!$B$20</x:f>
        <x:v>0.894</x:v>
      </x:c>
      <x:c r="G27" s="41" t="str">
        <x:v>Ceiling for public mission-system exposure; not revenue, enterprise value or an earned payment</x:v>
      </x:c>
    </x:row>
    <x:row r="28">
      <x:c r="A28" s="15" t="str">
        <x:v>RT-D</x:v>
      </x:c>
      <x:c r="B28" s="15" t="str">
        <x:v>MS-RT</x:v>
      </x:c>
      <x:c r="C28" s="59" t="n">
        <x:f>INDEX(Controls!$C$24:$C$29,MATCH(B28,Controls!$A$24:$A$29,0))</x:f>
        <x:v>89.4</x:v>
      </x:c>
      <x:c r="D28" s="59" t="n">
        <x:f>Controls!$B$13</x:f>
        <x:v>4</x:v>
      </x:c>
      <x:c r="E28" s="59" t="n">
        <x:f>C28/D28</x:f>
        <x:v>22.35</x:v>
      </x:c>
      <x:c r="F28" s="59" t="n">
        <x:f>E28/Controls!$B$20</x:f>
        <x:v>0.894</x:v>
      </x:c>
      <x:c r="G28" s="42" t="str">
        <x:v>Ceiling for public mission-system exposure; not revenue, enterprise value or an earned payment</x:v>
      </x:c>
    </x:row>
    <x:row r="30">
      <x:c r="F30" s="8" t="str">
        <x:v>Value</x:v>
      </x:c>
      <x:c r="G30" s="10" t="str">
        <x:v>Metric</x:v>
      </x:c>
    </x:row>
    <x:row r="31">
      <x:c r="F31" s="54" t="n">
        <x:f>MIN(E5:E28)</x:f>
        <x:v>13.65</x:v>
      </x:c>
      <x:c r="G31" t="str">
        <x:v>Minimum root exposure (USD B)</x:v>
      </x:c>
    </x:row>
    <x:row r="32">
      <x:c r="F32" s="54" t="n">
        <x:f>MAX(E5:E28)</x:f>
        <x:v>38.25</x:v>
      </x:c>
      <x:c r="G32" t="str">
        <x:v>Maximum root exposure (USD B)</x:v>
      </x:c>
    </x:row>
    <x:row r="33">
      <x:c r="F33" s="54" t="n">
        <x:f>SUM(E5:E28)</x:f>
        <x:v>549.9000000000001</x:v>
      </x:c>
      <x:c r="G33" t="str">
        <x:v>Displayed root exposure total (USD B)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23" hidden="0" customWidth="1"/>
    <x:col min="5" max="5" width="24" hidden="0" customWidth="1"/>
    <x:col min="6" max="6" width="9" hidden="0" customWidth="1"/>
    <x:col min="7" max="7" width="15" hidden="0" customWidth="1"/>
    <x:col min="8" max="8" width="18" hidden="0" customWidth="1"/>
  </x:cols>
  <x:sheetData>
    <x:row r="2" ht="24" customHeight="1">
      <x:c r="A2" s="1" t="str">
        <x:v>Root-control separation ledger</x:v>
      </x:c>
      <x:c r="B2" s="1"/>
      <x:c r="C2" s="1"/>
      <x:c r="D2" s="1"/>
      <x:c r="E2" s="1"/>
      <x:c r="F2" s="1"/>
      <x:c r="G2" s="1"/>
      <x:c r="H2" s="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8" t="str">
        <x:v>Record</x:v>
      </x:c>
      <x:c r="B4" s="9" t="str">
        <x:v>Root</x:v>
      </x:c>
      <x:c r="C4" s="9" t="str">
        <x:v>System</x:v>
      </x:c>
      <x:c r="D4" s="9" t="str">
        <x:v>Control domain</x:v>
      </x:c>
      <x:c r="E4" s="9" t="str">
        <x:v>Observed identity</x:v>
      </x:c>
      <x:c r="F4" s="9" t="str">
        <x:v>Cap</x:v>
      </x:c>
      <x:c r="G4" s="9" t="str">
        <x:v>Observed uses</x:v>
      </x:c>
      <x:c r="H4" s="10" t="str">
        <x:v>State</x:v>
      </x:c>
    </x:row>
    <x:row r="5">
      <x:c r="A5" s="13" t="str">
        <x:v>TE-A-CS1</x:v>
      </x:c>
      <x:c r="B5" s="13" t="str">
        <x:v>TE-A</x:v>
      </x:c>
      <x:c r="C5" s="13" t="str">
        <x:v>MS-ET</x:v>
      </x:c>
      <x:c r="D5" s="13" t="str">
        <x:v>Beneficial control</x:v>
      </x:c>
      <x:c r="E5" s="13" t="str">
        <x:f>IF('Root Charters'!E5="","",'Root Charters'!E5)</x:f>
      </x:c>
      <x:c r="F5" s="16" t="n">
        <x:v>1</x:v>
      </x:c>
      <x:c r="G5" s="13" t="str">
        <x:f>IF(E5="","",COUNTIFS($D$5:$D$100,D5,$E$5:$E$100,E5))</x:f>
      </x:c>
      <x:c r="H5" s="13" t="str">
        <x:f>IF(E5="","SOURCE EMPTY",IF(G5&gt;F5,"COLLISION","DISTINCT"))</x:f>
        <x:v>SOURCE EMPTY</x:v>
      </x:c>
    </x:row>
    <x:row r="6">
      <x:c r="A6" s="14" t="str">
        <x:v>TE-A-CS2</x:v>
      </x:c>
      <x:c r="B6" s="14" t="str">
        <x:v>TE-A</x:v>
      </x:c>
      <x:c r="C6" s="14" t="str">
        <x:v>MS-ET</x:v>
      </x:c>
      <x:c r="D6" s="14" t="str">
        <x:v>Governance capital</x:v>
      </x:c>
      <x:c r="E6" s="14" t="str">
        <x:f>IF('Root Charters'!F5="","",'Root Charters'!F5)</x:f>
      </x:c>
      <x:c r="F6" s="17" t="n">
        <x:v>1</x:v>
      </x:c>
      <x:c r="G6" s="14" t="str">
        <x:f>IF(E6="","",COUNTIFS($D$5:$D$100,D6,$E$5:$E$100,E6))</x:f>
      </x:c>
      <x:c r="H6" s="14" t="str">
        <x:f>IF(E6="","SOURCE EMPTY",IF(G6&gt;F6,"COLLISION","DISTINCT"))</x:f>
        <x:v>SOURCE EMPTY</x:v>
      </x:c>
    </x:row>
    <x:row r="7">
      <x:c r="A7" s="14" t="str">
        <x:v>TE-A-CS3</x:v>
      </x:c>
      <x:c r="B7" s="14" t="str">
        <x:v>TE-A</x:v>
      </x:c>
      <x:c r="C7" s="14" t="str">
        <x:v>MS-ET</x:v>
      </x:c>
      <x:c r="D7" s="14" t="str">
        <x:v>Cross-default</x:v>
      </x:c>
      <x:c r="E7" s="14" t="str">
        <x:f>IF('Root Charters'!G5="","",'Root Charters'!G5)</x:f>
      </x:c>
      <x:c r="F7" s="17" t="n">
        <x:v>1</x:v>
      </x:c>
      <x:c r="G7" s="14" t="str">
        <x:f>IF(E7="","",COUNTIFS($D$5:$D$100,D7,$E$5:$E$100,E7))</x:f>
      </x:c>
      <x:c r="H7" s="14" t="str">
        <x:f>IF(E7="","SOURCE EMPTY",IF(G7&gt;F7,"COLLISION","DISTINCT"))</x:f>
        <x:v>SOURCE EMPTY</x:v>
      </x:c>
    </x:row>
    <x:row r="8">
      <x:c r="A8" s="14" t="str">
        <x:v>TE-A-CS4</x:v>
      </x:c>
      <x:c r="B8" s="14" t="str">
        <x:v>TE-A</x:v>
      </x:c>
      <x:c r="C8" s="14" t="str">
        <x:v>MS-ET</x:v>
      </x:c>
      <x:c r="D8" s="14" t="str">
        <x:v>Decisive chain</x:v>
      </x:c>
      <x:c r="E8" s="14" t="str">
        <x:f>IF('Root Charters'!H5="","",'Root Charters'!H5)</x:f>
      </x:c>
      <x:c r="F8" s="17" t="n">
        <x:v>1</x:v>
      </x:c>
      <x:c r="G8" s="14" t="str">
        <x:f>IF(E8="","",COUNTIFS($D$5:$D$100,D8,$E$5:$E$100,E8))</x:f>
      </x:c>
      <x:c r="H8" s="14" t="str">
        <x:f>IF(E8="","SOURCE EMPTY",IF(G8&gt;F8,"COLLISION","DISTINCT"))</x:f>
        <x:v>SOURCE EMPTY</x:v>
      </x:c>
    </x:row>
    <x:row r="9">
      <x:c r="A9" s="14" t="str">
        <x:v>TE-B-CS1</x:v>
      </x:c>
      <x:c r="B9" s="14" t="str">
        <x:v>TE-B</x:v>
      </x:c>
      <x:c r="C9" s="14" t="str">
        <x:v>MS-ET</x:v>
      </x:c>
      <x:c r="D9" s="14" t="str">
        <x:v>Beneficial control</x:v>
      </x:c>
      <x:c r="E9" s="14" t="str">
        <x:f>IF('Root Charters'!E6="","",'Root Charters'!E6)</x:f>
      </x:c>
      <x:c r="F9" s="17" t="n">
        <x:v>1</x:v>
      </x:c>
      <x:c r="G9" s="14" t="str">
        <x:f>IF(E9="","",COUNTIFS($D$5:$D$100,D9,$E$5:$E$100,E9))</x:f>
      </x:c>
      <x:c r="H9" s="14" t="str">
        <x:f>IF(E9="","SOURCE EMPTY",IF(G9&gt;F9,"COLLISION","DISTINCT"))</x:f>
        <x:v>SOURCE EMPTY</x:v>
      </x:c>
    </x:row>
    <x:row r="10">
      <x:c r="A10" s="14" t="str">
        <x:v>TE-B-CS2</x:v>
      </x:c>
      <x:c r="B10" s="14" t="str">
        <x:v>TE-B</x:v>
      </x:c>
      <x:c r="C10" s="14" t="str">
        <x:v>MS-ET</x:v>
      </x:c>
      <x:c r="D10" s="14" t="str">
        <x:v>Governance capital</x:v>
      </x:c>
      <x:c r="E10" s="14" t="str">
        <x:f>IF('Root Charters'!F6="","",'Root Charters'!F6)</x:f>
      </x:c>
      <x:c r="F10" s="17" t="n">
        <x:v>1</x:v>
      </x:c>
      <x:c r="G10" s="14" t="str">
        <x:f>IF(E10="","",COUNTIFS($D$5:$D$100,D10,$E$5:$E$100,E10))</x:f>
      </x:c>
      <x:c r="H10" s="14" t="str">
        <x:f>IF(E10="","SOURCE EMPTY",IF(G10&gt;F10,"COLLISION","DISTINCT"))</x:f>
        <x:v>SOURCE EMPTY</x:v>
      </x:c>
    </x:row>
    <x:row r="11">
      <x:c r="A11" s="14" t="str">
        <x:v>TE-B-CS3</x:v>
      </x:c>
      <x:c r="B11" s="14" t="str">
        <x:v>TE-B</x:v>
      </x:c>
      <x:c r="C11" s="14" t="str">
        <x:v>MS-ET</x:v>
      </x:c>
      <x:c r="D11" s="14" t="str">
        <x:v>Cross-default</x:v>
      </x:c>
      <x:c r="E11" s="14" t="str">
        <x:f>IF('Root Charters'!G6="","",'Root Charters'!G6)</x:f>
      </x:c>
      <x:c r="F11" s="17" t="n">
        <x:v>1</x:v>
      </x:c>
      <x:c r="G11" s="14" t="str">
        <x:f>IF(E11="","",COUNTIFS($D$5:$D$100,D11,$E$5:$E$100,E11))</x:f>
      </x:c>
      <x:c r="H11" s="14" t="str">
        <x:f>IF(E11="","SOURCE EMPTY",IF(G11&gt;F11,"COLLISION","DISTINCT"))</x:f>
        <x:v>SOURCE EMPTY</x:v>
      </x:c>
    </x:row>
    <x:row r="12">
      <x:c r="A12" s="14" t="str">
        <x:v>TE-B-CS4</x:v>
      </x:c>
      <x:c r="B12" s="14" t="str">
        <x:v>TE-B</x:v>
      </x:c>
      <x:c r="C12" s="14" t="str">
        <x:v>MS-ET</x:v>
      </x:c>
      <x:c r="D12" s="14" t="str">
        <x:v>Decisive chain</x:v>
      </x:c>
      <x:c r="E12" s="14" t="str">
        <x:f>IF('Root Charters'!H6="","",'Root Charters'!H6)</x:f>
      </x:c>
      <x:c r="F12" s="17" t="n">
        <x:v>1</x:v>
      </x:c>
      <x:c r="G12" s="14" t="str">
        <x:f>IF(E12="","",COUNTIFS($D$5:$D$100,D12,$E$5:$E$100,E12))</x:f>
      </x:c>
      <x:c r="H12" s="14" t="str">
        <x:f>IF(E12="","SOURCE EMPTY",IF(G12&gt;F12,"COLLISION","DISTINCT"))</x:f>
        <x:v>SOURCE EMPTY</x:v>
      </x:c>
    </x:row>
    <x:row r="13">
      <x:c r="A13" s="14" t="str">
        <x:v>TE-C-CS1</x:v>
      </x:c>
      <x:c r="B13" s="14" t="str">
        <x:v>TE-C</x:v>
      </x:c>
      <x:c r="C13" s="14" t="str">
        <x:v>MS-ET</x:v>
      </x:c>
      <x:c r="D13" s="14" t="str">
        <x:v>Beneficial control</x:v>
      </x:c>
      <x:c r="E13" s="14" t="str">
        <x:f>IF('Root Charters'!E7="","",'Root Charters'!E7)</x:f>
      </x:c>
      <x:c r="F13" s="17" t="n">
        <x:v>1</x:v>
      </x:c>
      <x:c r="G13" s="14" t="str">
        <x:f>IF(E13="","",COUNTIFS($D$5:$D$100,D13,$E$5:$E$100,E13))</x:f>
      </x:c>
      <x:c r="H13" s="14" t="str">
        <x:f>IF(E13="","SOURCE EMPTY",IF(G13&gt;F13,"COLLISION","DISTINCT"))</x:f>
        <x:v>SOURCE EMPTY</x:v>
      </x:c>
    </x:row>
    <x:row r="14">
      <x:c r="A14" s="14" t="str">
        <x:v>TE-C-CS2</x:v>
      </x:c>
      <x:c r="B14" s="14" t="str">
        <x:v>TE-C</x:v>
      </x:c>
      <x:c r="C14" s="14" t="str">
        <x:v>MS-ET</x:v>
      </x:c>
      <x:c r="D14" s="14" t="str">
        <x:v>Governance capital</x:v>
      </x:c>
      <x:c r="E14" s="14" t="str">
        <x:f>IF('Root Charters'!F7="","",'Root Charters'!F7)</x:f>
      </x:c>
      <x:c r="F14" s="17" t="n">
        <x:v>1</x:v>
      </x:c>
      <x:c r="G14" s="14" t="str">
        <x:f>IF(E14="","",COUNTIFS($D$5:$D$100,D14,$E$5:$E$100,E14))</x:f>
      </x:c>
      <x:c r="H14" s="14" t="str">
        <x:f>IF(E14="","SOURCE EMPTY",IF(G14&gt;F14,"COLLISION","DISTINCT"))</x:f>
        <x:v>SOURCE EMPTY</x:v>
      </x:c>
    </x:row>
    <x:row r="15">
      <x:c r="A15" s="14" t="str">
        <x:v>TE-C-CS3</x:v>
      </x:c>
      <x:c r="B15" s="14" t="str">
        <x:v>TE-C</x:v>
      </x:c>
      <x:c r="C15" s="14" t="str">
        <x:v>MS-ET</x:v>
      </x:c>
      <x:c r="D15" s="14" t="str">
        <x:v>Cross-default</x:v>
      </x:c>
      <x:c r="E15" s="14" t="str">
        <x:f>IF('Root Charters'!G7="","",'Root Charters'!G7)</x:f>
      </x:c>
      <x:c r="F15" s="17" t="n">
        <x:v>1</x:v>
      </x:c>
      <x:c r="G15" s="14" t="str">
        <x:f>IF(E15="","",COUNTIFS($D$5:$D$100,D15,$E$5:$E$100,E15))</x:f>
      </x:c>
      <x:c r="H15" s="14" t="str">
        <x:f>IF(E15="","SOURCE EMPTY",IF(G15&gt;F15,"COLLISION","DISTINCT"))</x:f>
        <x:v>SOURCE EMPTY</x:v>
      </x:c>
    </x:row>
    <x:row r="16">
      <x:c r="A16" s="14" t="str">
        <x:v>TE-C-CS4</x:v>
      </x:c>
      <x:c r="B16" s="14" t="str">
        <x:v>TE-C</x:v>
      </x:c>
      <x:c r="C16" s="14" t="str">
        <x:v>MS-ET</x:v>
      </x:c>
      <x:c r="D16" s="14" t="str">
        <x:v>Decisive chain</x:v>
      </x:c>
      <x:c r="E16" s="14" t="str">
        <x:f>IF('Root Charters'!H7="","",'Root Charters'!H7)</x:f>
      </x:c>
      <x:c r="F16" s="17" t="n">
        <x:v>1</x:v>
      </x:c>
      <x:c r="G16" s="14" t="str">
        <x:f>IF(E16="","",COUNTIFS($D$5:$D$100,D16,$E$5:$E$100,E16))</x:f>
      </x:c>
      <x:c r="H16" s="14" t="str">
        <x:f>IF(E16="","SOURCE EMPTY",IF(G16&gt;F16,"COLLISION","DISTINCT"))</x:f>
        <x:v>SOURCE EMPTY</x:v>
      </x:c>
    </x:row>
    <x:row r="17">
      <x:c r="A17" s="14" t="str">
        <x:v>TE-D-CS1</x:v>
      </x:c>
      <x:c r="B17" s="14" t="str">
        <x:v>TE-D</x:v>
      </x:c>
      <x:c r="C17" s="14" t="str">
        <x:v>MS-ET</x:v>
      </x:c>
      <x:c r="D17" s="14" t="str">
        <x:v>Beneficial control</x:v>
      </x:c>
      <x:c r="E17" s="14" t="str">
        <x:f>IF('Root Charters'!E8="","",'Root Charters'!E8)</x:f>
      </x:c>
      <x:c r="F17" s="17" t="n">
        <x:v>1</x:v>
      </x:c>
      <x:c r="G17" s="14" t="str">
        <x:f>IF(E17="","",COUNTIFS($D$5:$D$100,D17,$E$5:$E$100,E17))</x:f>
      </x:c>
      <x:c r="H17" s="14" t="str">
        <x:f>IF(E17="","SOURCE EMPTY",IF(G17&gt;F17,"COLLISION","DISTINCT"))</x:f>
        <x:v>SOURCE EMPTY</x:v>
      </x:c>
    </x:row>
    <x:row r="18">
      <x:c r="A18" s="14" t="str">
        <x:v>TE-D-CS2</x:v>
      </x:c>
      <x:c r="B18" s="14" t="str">
        <x:v>TE-D</x:v>
      </x:c>
      <x:c r="C18" s="14" t="str">
        <x:v>MS-ET</x:v>
      </x:c>
      <x:c r="D18" s="14" t="str">
        <x:v>Governance capital</x:v>
      </x:c>
      <x:c r="E18" s="14" t="str">
        <x:f>IF('Root Charters'!F8="","",'Root Charters'!F8)</x:f>
      </x:c>
      <x:c r="F18" s="17" t="n">
        <x:v>1</x:v>
      </x:c>
      <x:c r="G18" s="14" t="str">
        <x:f>IF(E18="","",COUNTIFS($D$5:$D$100,D18,$E$5:$E$100,E18))</x:f>
      </x:c>
      <x:c r="H18" s="14" t="str">
        <x:f>IF(E18="","SOURCE EMPTY",IF(G18&gt;F18,"COLLISION","DISTINCT"))</x:f>
        <x:v>SOURCE EMPTY</x:v>
      </x:c>
    </x:row>
    <x:row r="19">
      <x:c r="A19" s="14" t="str">
        <x:v>TE-D-CS3</x:v>
      </x:c>
      <x:c r="B19" s="14" t="str">
        <x:v>TE-D</x:v>
      </x:c>
      <x:c r="C19" s="14" t="str">
        <x:v>MS-ET</x:v>
      </x:c>
      <x:c r="D19" s="14" t="str">
        <x:v>Cross-default</x:v>
      </x:c>
      <x:c r="E19" s="14" t="str">
        <x:f>IF('Root Charters'!G8="","",'Root Charters'!G8)</x:f>
      </x:c>
      <x:c r="F19" s="17" t="n">
        <x:v>1</x:v>
      </x:c>
      <x:c r="G19" s="14" t="str">
        <x:f>IF(E19="","",COUNTIFS($D$5:$D$100,D19,$E$5:$E$100,E19))</x:f>
      </x:c>
      <x:c r="H19" s="14" t="str">
        <x:f>IF(E19="","SOURCE EMPTY",IF(G19&gt;F19,"COLLISION","DISTINCT"))</x:f>
        <x:v>SOURCE EMPTY</x:v>
      </x:c>
    </x:row>
    <x:row r="20">
      <x:c r="A20" s="14" t="str">
        <x:v>TE-D-CS4</x:v>
      </x:c>
      <x:c r="B20" s="14" t="str">
        <x:v>TE-D</x:v>
      </x:c>
      <x:c r="C20" s="14" t="str">
        <x:v>MS-ET</x:v>
      </x:c>
      <x:c r="D20" s="14" t="str">
        <x:v>Decisive chain</x:v>
      </x:c>
      <x:c r="E20" s="14" t="str">
        <x:f>IF('Root Charters'!H8="","",'Root Charters'!H8)</x:f>
      </x:c>
      <x:c r="F20" s="17" t="n">
        <x:v>1</x:v>
      </x:c>
      <x:c r="G20" s="14" t="str">
        <x:f>IF(E20="","",COUNTIFS($D$5:$D$100,D20,$E$5:$E$100,E20))</x:f>
      </x:c>
      <x:c r="H20" s="14" t="str">
        <x:f>IF(E20="","SOURCE EMPTY",IF(G20&gt;F20,"COLLISION","DISTINCT"))</x:f>
        <x:v>SOURCE EMPTY</x:v>
      </x:c>
    </x:row>
    <x:row r="21">
      <x:c r="A21" s="14" t="str">
        <x:v>CT-A-CS1</x:v>
      </x:c>
      <x:c r="B21" s="14" t="str">
        <x:v>CT-A</x:v>
      </x:c>
      <x:c r="C21" s="14" t="str">
        <x:v>MS-CT</x:v>
      </x:c>
      <x:c r="D21" s="14" t="str">
        <x:v>Beneficial control</x:v>
      </x:c>
      <x:c r="E21" s="14" t="str">
        <x:f>IF('Root Charters'!E9="","",'Root Charters'!E9)</x:f>
      </x:c>
      <x:c r="F21" s="17" t="n">
        <x:v>1</x:v>
      </x:c>
      <x:c r="G21" s="14" t="str">
        <x:f>IF(E21="","",COUNTIFS($D$5:$D$100,D21,$E$5:$E$100,E21))</x:f>
      </x:c>
      <x:c r="H21" s="14" t="str">
        <x:f>IF(E21="","SOURCE EMPTY",IF(G21&gt;F21,"COLLISION","DISTINCT"))</x:f>
        <x:v>SOURCE EMPTY</x:v>
      </x:c>
    </x:row>
    <x:row r="22">
      <x:c r="A22" s="14" t="str">
        <x:v>CT-A-CS2</x:v>
      </x:c>
      <x:c r="B22" s="14" t="str">
        <x:v>CT-A</x:v>
      </x:c>
      <x:c r="C22" s="14" t="str">
        <x:v>MS-CT</x:v>
      </x:c>
      <x:c r="D22" s="14" t="str">
        <x:v>Governance capital</x:v>
      </x:c>
      <x:c r="E22" s="14" t="str">
        <x:f>IF('Root Charters'!F9="","",'Root Charters'!F9)</x:f>
      </x:c>
      <x:c r="F22" s="17" t="n">
        <x:v>1</x:v>
      </x:c>
      <x:c r="G22" s="14" t="str">
        <x:f>IF(E22="","",COUNTIFS($D$5:$D$100,D22,$E$5:$E$100,E22))</x:f>
      </x:c>
      <x:c r="H22" s="14" t="str">
        <x:f>IF(E22="","SOURCE EMPTY",IF(G22&gt;F22,"COLLISION","DISTINCT"))</x:f>
        <x:v>SOURCE EMPTY</x:v>
      </x:c>
    </x:row>
    <x:row r="23">
      <x:c r="A23" s="14" t="str">
        <x:v>CT-A-CS3</x:v>
      </x:c>
      <x:c r="B23" s="14" t="str">
        <x:v>CT-A</x:v>
      </x:c>
      <x:c r="C23" s="14" t="str">
        <x:v>MS-CT</x:v>
      </x:c>
      <x:c r="D23" s="14" t="str">
        <x:v>Cross-default</x:v>
      </x:c>
      <x:c r="E23" s="14" t="str">
        <x:f>IF('Root Charters'!G9="","",'Root Charters'!G9)</x:f>
      </x:c>
      <x:c r="F23" s="17" t="n">
        <x:v>1</x:v>
      </x:c>
      <x:c r="G23" s="14" t="str">
        <x:f>IF(E23="","",COUNTIFS($D$5:$D$100,D23,$E$5:$E$100,E23))</x:f>
      </x:c>
      <x:c r="H23" s="14" t="str">
        <x:f>IF(E23="","SOURCE EMPTY",IF(G23&gt;F23,"COLLISION","DISTINCT"))</x:f>
        <x:v>SOURCE EMPTY</x:v>
      </x:c>
    </x:row>
    <x:row r="24">
      <x:c r="A24" s="14" t="str">
        <x:v>CT-A-CS4</x:v>
      </x:c>
      <x:c r="B24" s="14" t="str">
        <x:v>CT-A</x:v>
      </x:c>
      <x:c r="C24" s="14" t="str">
        <x:v>MS-CT</x:v>
      </x:c>
      <x:c r="D24" s="14" t="str">
        <x:v>Decisive chain</x:v>
      </x:c>
      <x:c r="E24" s="14" t="str">
        <x:f>IF('Root Charters'!H9="","",'Root Charters'!H9)</x:f>
      </x:c>
      <x:c r="F24" s="17" t="n">
        <x:v>1</x:v>
      </x:c>
      <x:c r="G24" s="14" t="str">
        <x:f>IF(E24="","",COUNTIFS($D$5:$D$100,D24,$E$5:$E$100,E24))</x:f>
      </x:c>
      <x:c r="H24" s="14" t="str">
        <x:f>IF(E24="","SOURCE EMPTY",IF(G24&gt;F24,"COLLISION","DISTINCT"))</x:f>
        <x:v>SOURCE EMPTY</x:v>
      </x:c>
    </x:row>
    <x:row r="25">
      <x:c r="A25" s="14" t="str">
        <x:v>CT-B-CS1</x:v>
      </x:c>
      <x:c r="B25" s="14" t="str">
        <x:v>CT-B</x:v>
      </x:c>
      <x:c r="C25" s="14" t="str">
        <x:v>MS-CT</x:v>
      </x:c>
      <x:c r="D25" s="14" t="str">
        <x:v>Beneficial control</x:v>
      </x:c>
      <x:c r="E25" s="14" t="str">
        <x:f>IF('Root Charters'!E10="","",'Root Charters'!E10)</x:f>
      </x:c>
      <x:c r="F25" s="17" t="n">
        <x:v>1</x:v>
      </x:c>
      <x:c r="G25" s="14" t="str">
        <x:f>IF(E25="","",COUNTIFS($D$5:$D$100,D25,$E$5:$E$100,E25))</x:f>
      </x:c>
      <x:c r="H25" s="14" t="str">
        <x:f>IF(E25="","SOURCE EMPTY",IF(G25&gt;F25,"COLLISION","DISTINCT"))</x:f>
        <x:v>SOURCE EMPTY</x:v>
      </x:c>
    </x:row>
    <x:row r="26">
      <x:c r="A26" s="14" t="str">
        <x:v>CT-B-CS2</x:v>
      </x:c>
      <x:c r="B26" s="14" t="str">
        <x:v>CT-B</x:v>
      </x:c>
      <x:c r="C26" s="14" t="str">
        <x:v>MS-CT</x:v>
      </x:c>
      <x:c r="D26" s="14" t="str">
        <x:v>Governance capital</x:v>
      </x:c>
      <x:c r="E26" s="14" t="str">
        <x:f>IF('Root Charters'!F10="","",'Root Charters'!F10)</x:f>
      </x:c>
      <x:c r="F26" s="17" t="n">
        <x:v>1</x:v>
      </x:c>
      <x:c r="G26" s="14" t="str">
        <x:f>IF(E26="","",COUNTIFS($D$5:$D$100,D26,$E$5:$E$100,E26))</x:f>
      </x:c>
      <x:c r="H26" s="14" t="str">
        <x:f>IF(E26="","SOURCE EMPTY",IF(G26&gt;F26,"COLLISION","DISTINCT"))</x:f>
        <x:v>SOURCE EMPTY</x:v>
      </x:c>
    </x:row>
    <x:row r="27">
      <x:c r="A27" s="14" t="str">
        <x:v>CT-B-CS3</x:v>
      </x:c>
      <x:c r="B27" s="14" t="str">
        <x:v>CT-B</x:v>
      </x:c>
      <x:c r="C27" s="14" t="str">
        <x:v>MS-CT</x:v>
      </x:c>
      <x:c r="D27" s="14" t="str">
        <x:v>Cross-default</x:v>
      </x:c>
      <x:c r="E27" s="14" t="str">
        <x:f>IF('Root Charters'!G10="","",'Root Charters'!G10)</x:f>
      </x:c>
      <x:c r="F27" s="17" t="n">
        <x:v>1</x:v>
      </x:c>
      <x:c r="G27" s="14" t="str">
        <x:f>IF(E27="","",COUNTIFS($D$5:$D$100,D27,$E$5:$E$100,E27))</x:f>
      </x:c>
      <x:c r="H27" s="14" t="str">
        <x:f>IF(E27="","SOURCE EMPTY",IF(G27&gt;F27,"COLLISION","DISTINCT"))</x:f>
        <x:v>SOURCE EMPTY</x:v>
      </x:c>
    </x:row>
    <x:row r="28">
      <x:c r="A28" s="14" t="str">
        <x:v>CT-B-CS4</x:v>
      </x:c>
      <x:c r="B28" s="14" t="str">
        <x:v>CT-B</x:v>
      </x:c>
      <x:c r="C28" s="14" t="str">
        <x:v>MS-CT</x:v>
      </x:c>
      <x:c r="D28" s="14" t="str">
        <x:v>Decisive chain</x:v>
      </x:c>
      <x:c r="E28" s="14" t="str">
        <x:f>IF('Root Charters'!H10="","",'Root Charters'!H10)</x:f>
      </x:c>
      <x:c r="F28" s="17" t="n">
        <x:v>1</x:v>
      </x:c>
      <x:c r="G28" s="14" t="str">
        <x:f>IF(E28="","",COUNTIFS($D$5:$D$100,D28,$E$5:$E$100,E28))</x:f>
      </x:c>
      <x:c r="H28" s="14" t="str">
        <x:f>IF(E28="","SOURCE EMPTY",IF(G28&gt;F28,"COLLISION","DISTINCT"))</x:f>
        <x:v>SOURCE EMPTY</x:v>
      </x:c>
    </x:row>
    <x:row r="29">
      <x:c r="A29" s="14" t="str">
        <x:v>CT-C-CS1</x:v>
      </x:c>
      <x:c r="B29" s="14" t="str">
        <x:v>CT-C</x:v>
      </x:c>
      <x:c r="C29" s="14" t="str">
        <x:v>MS-CT</x:v>
      </x:c>
      <x:c r="D29" s="14" t="str">
        <x:v>Beneficial control</x:v>
      </x:c>
      <x:c r="E29" s="14" t="str">
        <x:f>IF('Root Charters'!E11="","",'Root Charters'!E11)</x:f>
      </x:c>
      <x:c r="F29" s="17" t="n">
        <x:v>1</x:v>
      </x:c>
      <x:c r="G29" s="14" t="str">
        <x:f>IF(E29="","",COUNTIFS($D$5:$D$100,D29,$E$5:$E$100,E29))</x:f>
      </x:c>
      <x:c r="H29" s="14" t="str">
        <x:f>IF(E29="","SOURCE EMPTY",IF(G29&gt;F29,"COLLISION","DISTINCT"))</x:f>
        <x:v>SOURCE EMPTY</x:v>
      </x:c>
    </x:row>
    <x:row r="30">
      <x:c r="A30" s="14" t="str">
        <x:v>CT-C-CS2</x:v>
      </x:c>
      <x:c r="B30" s="14" t="str">
        <x:v>CT-C</x:v>
      </x:c>
      <x:c r="C30" s="14" t="str">
        <x:v>MS-CT</x:v>
      </x:c>
      <x:c r="D30" s="14" t="str">
        <x:v>Governance capital</x:v>
      </x:c>
      <x:c r="E30" s="14" t="str">
        <x:f>IF('Root Charters'!F11="","",'Root Charters'!F11)</x:f>
      </x:c>
      <x:c r="F30" s="17" t="n">
        <x:v>1</x:v>
      </x:c>
      <x:c r="G30" s="14" t="str">
        <x:f>IF(E30="","",COUNTIFS($D$5:$D$100,D30,$E$5:$E$100,E30))</x:f>
      </x:c>
      <x:c r="H30" s="14" t="str">
        <x:f>IF(E30="","SOURCE EMPTY",IF(G30&gt;F30,"COLLISION","DISTINCT"))</x:f>
        <x:v>SOURCE EMPTY</x:v>
      </x:c>
    </x:row>
    <x:row r="31">
      <x:c r="A31" s="14" t="str">
        <x:v>CT-C-CS3</x:v>
      </x:c>
      <x:c r="B31" s="14" t="str">
        <x:v>CT-C</x:v>
      </x:c>
      <x:c r="C31" s="14" t="str">
        <x:v>MS-CT</x:v>
      </x:c>
      <x:c r="D31" s="14" t="str">
        <x:v>Cross-default</x:v>
      </x:c>
      <x:c r="E31" s="14" t="str">
        <x:f>IF('Root Charters'!G11="","",'Root Charters'!G11)</x:f>
      </x:c>
      <x:c r="F31" s="17" t="n">
        <x:v>1</x:v>
      </x:c>
      <x:c r="G31" s="14" t="str">
        <x:f>IF(E31="","",COUNTIFS($D$5:$D$100,D31,$E$5:$E$100,E31))</x:f>
      </x:c>
      <x:c r="H31" s="14" t="str">
        <x:f>IF(E31="","SOURCE EMPTY",IF(G31&gt;F31,"COLLISION","DISTINCT"))</x:f>
        <x:v>SOURCE EMPTY</x:v>
      </x:c>
    </x:row>
    <x:row r="32">
      <x:c r="A32" s="14" t="str">
        <x:v>CT-C-CS4</x:v>
      </x:c>
      <x:c r="B32" s="14" t="str">
        <x:v>CT-C</x:v>
      </x:c>
      <x:c r="C32" s="14" t="str">
        <x:v>MS-CT</x:v>
      </x:c>
      <x:c r="D32" s="14" t="str">
        <x:v>Decisive chain</x:v>
      </x:c>
      <x:c r="E32" s="14" t="str">
        <x:f>IF('Root Charters'!H11="","",'Root Charters'!H11)</x:f>
      </x:c>
      <x:c r="F32" s="17" t="n">
        <x:v>1</x:v>
      </x:c>
      <x:c r="G32" s="14" t="str">
        <x:f>IF(E32="","",COUNTIFS($D$5:$D$100,D32,$E$5:$E$100,E32))</x:f>
      </x:c>
      <x:c r="H32" s="14" t="str">
        <x:f>IF(E32="","SOURCE EMPTY",IF(G32&gt;F32,"COLLISION","DISTINCT"))</x:f>
        <x:v>SOURCE EMPTY</x:v>
      </x:c>
    </x:row>
    <x:row r="33">
      <x:c r="A33" s="14" t="str">
        <x:v>CT-D-CS1</x:v>
      </x:c>
      <x:c r="B33" s="14" t="str">
        <x:v>CT-D</x:v>
      </x:c>
      <x:c r="C33" s="14" t="str">
        <x:v>MS-CT</x:v>
      </x:c>
      <x:c r="D33" s="14" t="str">
        <x:v>Beneficial control</x:v>
      </x:c>
      <x:c r="E33" s="14" t="str">
        <x:f>IF('Root Charters'!E12="","",'Root Charters'!E12)</x:f>
      </x:c>
      <x:c r="F33" s="17" t="n">
        <x:v>1</x:v>
      </x:c>
      <x:c r="G33" s="14" t="str">
        <x:f>IF(E33="","",COUNTIFS($D$5:$D$100,D33,$E$5:$E$100,E33))</x:f>
      </x:c>
      <x:c r="H33" s="14" t="str">
        <x:f>IF(E33="","SOURCE EMPTY",IF(G33&gt;F33,"COLLISION","DISTINCT"))</x:f>
        <x:v>SOURCE EMPTY</x:v>
      </x:c>
    </x:row>
    <x:row r="34">
      <x:c r="A34" s="14" t="str">
        <x:v>CT-D-CS2</x:v>
      </x:c>
      <x:c r="B34" s="14" t="str">
        <x:v>CT-D</x:v>
      </x:c>
      <x:c r="C34" s="14" t="str">
        <x:v>MS-CT</x:v>
      </x:c>
      <x:c r="D34" s="14" t="str">
        <x:v>Governance capital</x:v>
      </x:c>
      <x:c r="E34" s="14" t="str">
        <x:f>IF('Root Charters'!F12="","",'Root Charters'!F12)</x:f>
      </x:c>
      <x:c r="F34" s="17" t="n">
        <x:v>1</x:v>
      </x:c>
      <x:c r="G34" s="14" t="str">
        <x:f>IF(E34="","",COUNTIFS($D$5:$D$100,D34,$E$5:$E$100,E34))</x:f>
      </x:c>
      <x:c r="H34" s="14" t="str">
        <x:f>IF(E34="","SOURCE EMPTY",IF(G34&gt;F34,"COLLISION","DISTINCT"))</x:f>
        <x:v>SOURCE EMPTY</x:v>
      </x:c>
    </x:row>
    <x:row r="35">
      <x:c r="A35" s="14" t="str">
        <x:v>CT-D-CS3</x:v>
      </x:c>
      <x:c r="B35" s="14" t="str">
        <x:v>CT-D</x:v>
      </x:c>
      <x:c r="C35" s="14" t="str">
        <x:v>MS-CT</x:v>
      </x:c>
      <x:c r="D35" s="14" t="str">
        <x:v>Cross-default</x:v>
      </x:c>
      <x:c r="E35" s="14" t="str">
        <x:f>IF('Root Charters'!G12="","",'Root Charters'!G12)</x:f>
      </x:c>
      <x:c r="F35" s="17" t="n">
        <x:v>1</x:v>
      </x:c>
      <x:c r="G35" s="14" t="str">
        <x:f>IF(E35="","",COUNTIFS($D$5:$D$100,D35,$E$5:$E$100,E35))</x:f>
      </x:c>
      <x:c r="H35" s="14" t="str">
        <x:f>IF(E35="","SOURCE EMPTY",IF(G35&gt;F35,"COLLISION","DISTINCT"))</x:f>
        <x:v>SOURCE EMPTY</x:v>
      </x:c>
    </x:row>
    <x:row r="36">
      <x:c r="A36" s="14" t="str">
        <x:v>CT-D-CS4</x:v>
      </x:c>
      <x:c r="B36" s="14" t="str">
        <x:v>CT-D</x:v>
      </x:c>
      <x:c r="C36" s="14" t="str">
        <x:v>MS-CT</x:v>
      </x:c>
      <x:c r="D36" s="14" t="str">
        <x:v>Decisive chain</x:v>
      </x:c>
      <x:c r="E36" s="14" t="str">
        <x:f>IF('Root Charters'!H12="","",'Root Charters'!H12)</x:f>
      </x:c>
      <x:c r="F36" s="17" t="n">
        <x:v>1</x:v>
      </x:c>
      <x:c r="G36" s="14" t="str">
        <x:f>IF(E36="","",COUNTIFS($D$5:$D$100,D36,$E$5:$E$100,E36))</x:f>
      </x:c>
      <x:c r="H36" s="14" t="str">
        <x:f>IF(E36="","SOURCE EMPTY",IF(G36&gt;F36,"COLLISION","DISTINCT"))</x:f>
        <x:v>SOURCE EMPTY</x:v>
      </x:c>
    </x:row>
    <x:row r="37">
      <x:c r="A37" s="14" t="str">
        <x:v>HC-A-CS1</x:v>
      </x:c>
      <x:c r="B37" s="14" t="str">
        <x:v>HC-A</x:v>
      </x:c>
      <x:c r="C37" s="14" t="str">
        <x:v>MS-HC</x:v>
      </x:c>
      <x:c r="D37" s="14" t="str">
        <x:v>Beneficial control</x:v>
      </x:c>
      <x:c r="E37" s="14" t="str">
        <x:f>IF('Root Charters'!E13="","",'Root Charters'!E13)</x:f>
      </x:c>
      <x:c r="F37" s="17" t="n">
        <x:v>1</x:v>
      </x:c>
      <x:c r="G37" s="14" t="str">
        <x:f>IF(E37="","",COUNTIFS($D$5:$D$100,D37,$E$5:$E$100,E37))</x:f>
      </x:c>
      <x:c r="H37" s="14" t="str">
        <x:f>IF(E37="","SOURCE EMPTY",IF(G37&gt;F37,"COLLISION","DISTINCT"))</x:f>
        <x:v>SOURCE EMPTY</x:v>
      </x:c>
    </x:row>
    <x:row r="38">
      <x:c r="A38" s="14" t="str">
        <x:v>HC-A-CS2</x:v>
      </x:c>
      <x:c r="B38" s="14" t="str">
        <x:v>HC-A</x:v>
      </x:c>
      <x:c r="C38" s="14" t="str">
        <x:v>MS-HC</x:v>
      </x:c>
      <x:c r="D38" s="14" t="str">
        <x:v>Governance capital</x:v>
      </x:c>
      <x:c r="E38" s="14" t="str">
        <x:f>IF('Root Charters'!F13="","",'Root Charters'!F13)</x:f>
      </x:c>
      <x:c r="F38" s="17" t="n">
        <x:v>1</x:v>
      </x:c>
      <x:c r="G38" s="14" t="str">
        <x:f>IF(E38="","",COUNTIFS($D$5:$D$100,D38,$E$5:$E$100,E38))</x:f>
      </x:c>
      <x:c r="H38" s="14" t="str">
        <x:f>IF(E38="","SOURCE EMPTY",IF(G38&gt;F38,"COLLISION","DISTINCT"))</x:f>
        <x:v>SOURCE EMPTY</x:v>
      </x:c>
    </x:row>
    <x:row r="39">
      <x:c r="A39" s="14" t="str">
        <x:v>HC-A-CS3</x:v>
      </x:c>
      <x:c r="B39" s="14" t="str">
        <x:v>HC-A</x:v>
      </x:c>
      <x:c r="C39" s="14" t="str">
        <x:v>MS-HC</x:v>
      </x:c>
      <x:c r="D39" s="14" t="str">
        <x:v>Cross-default</x:v>
      </x:c>
      <x:c r="E39" s="14" t="str">
        <x:f>IF('Root Charters'!G13="","",'Root Charters'!G13)</x:f>
      </x:c>
      <x:c r="F39" s="17" t="n">
        <x:v>1</x:v>
      </x:c>
      <x:c r="G39" s="14" t="str">
        <x:f>IF(E39="","",COUNTIFS($D$5:$D$100,D39,$E$5:$E$100,E39))</x:f>
      </x:c>
      <x:c r="H39" s="14" t="str">
        <x:f>IF(E39="","SOURCE EMPTY",IF(G39&gt;F39,"COLLISION","DISTINCT"))</x:f>
        <x:v>SOURCE EMPTY</x:v>
      </x:c>
    </x:row>
    <x:row r="40">
      <x:c r="A40" s="14" t="str">
        <x:v>HC-A-CS4</x:v>
      </x:c>
      <x:c r="B40" s="14" t="str">
        <x:v>HC-A</x:v>
      </x:c>
      <x:c r="C40" s="14" t="str">
        <x:v>MS-HC</x:v>
      </x:c>
      <x:c r="D40" s="14" t="str">
        <x:v>Decisive chain</x:v>
      </x:c>
      <x:c r="E40" s="14" t="str">
        <x:f>IF('Root Charters'!H13="","",'Root Charters'!H13)</x:f>
      </x:c>
      <x:c r="F40" s="17" t="n">
        <x:v>1</x:v>
      </x:c>
      <x:c r="G40" s="14" t="str">
        <x:f>IF(E40="","",COUNTIFS($D$5:$D$100,D40,$E$5:$E$100,E40))</x:f>
      </x:c>
      <x:c r="H40" s="14" t="str">
        <x:f>IF(E40="","SOURCE EMPTY",IF(G40&gt;F40,"COLLISION","DISTINCT"))</x:f>
        <x:v>SOURCE EMPTY</x:v>
      </x:c>
    </x:row>
    <x:row r="41">
      <x:c r="A41" s="14" t="str">
        <x:v>HC-B-CS1</x:v>
      </x:c>
      <x:c r="B41" s="14" t="str">
        <x:v>HC-B</x:v>
      </x:c>
      <x:c r="C41" s="14" t="str">
        <x:v>MS-HC</x:v>
      </x:c>
      <x:c r="D41" s="14" t="str">
        <x:v>Beneficial control</x:v>
      </x:c>
      <x:c r="E41" s="14" t="str">
        <x:f>IF('Root Charters'!E14="","",'Root Charters'!E14)</x:f>
      </x:c>
      <x:c r="F41" s="17" t="n">
        <x:v>1</x:v>
      </x:c>
      <x:c r="G41" s="14" t="str">
        <x:f>IF(E41="","",COUNTIFS($D$5:$D$100,D41,$E$5:$E$100,E41))</x:f>
      </x:c>
      <x:c r="H41" s="14" t="str">
        <x:f>IF(E41="","SOURCE EMPTY",IF(G41&gt;F41,"COLLISION","DISTINCT"))</x:f>
        <x:v>SOURCE EMPTY</x:v>
      </x:c>
    </x:row>
    <x:row r="42">
      <x:c r="A42" s="14" t="str">
        <x:v>HC-B-CS2</x:v>
      </x:c>
      <x:c r="B42" s="14" t="str">
        <x:v>HC-B</x:v>
      </x:c>
      <x:c r="C42" s="14" t="str">
        <x:v>MS-HC</x:v>
      </x:c>
      <x:c r="D42" s="14" t="str">
        <x:v>Governance capital</x:v>
      </x:c>
      <x:c r="E42" s="14" t="str">
        <x:f>IF('Root Charters'!F14="","",'Root Charters'!F14)</x:f>
      </x:c>
      <x:c r="F42" s="17" t="n">
        <x:v>1</x:v>
      </x:c>
      <x:c r="G42" s="14" t="str">
        <x:f>IF(E42="","",COUNTIFS($D$5:$D$100,D42,$E$5:$E$100,E42))</x:f>
      </x:c>
      <x:c r="H42" s="14" t="str">
        <x:f>IF(E42="","SOURCE EMPTY",IF(G42&gt;F42,"COLLISION","DISTINCT"))</x:f>
        <x:v>SOURCE EMPTY</x:v>
      </x:c>
    </x:row>
    <x:row r="43">
      <x:c r="A43" s="14" t="str">
        <x:v>HC-B-CS3</x:v>
      </x:c>
      <x:c r="B43" s="14" t="str">
        <x:v>HC-B</x:v>
      </x:c>
      <x:c r="C43" s="14" t="str">
        <x:v>MS-HC</x:v>
      </x:c>
      <x:c r="D43" s="14" t="str">
        <x:v>Cross-default</x:v>
      </x:c>
      <x:c r="E43" s="14" t="str">
        <x:f>IF('Root Charters'!G14="","",'Root Charters'!G14)</x:f>
      </x:c>
      <x:c r="F43" s="17" t="n">
        <x:v>1</x:v>
      </x:c>
      <x:c r="G43" s="14" t="str">
        <x:f>IF(E43="","",COUNTIFS($D$5:$D$100,D43,$E$5:$E$100,E43))</x:f>
      </x:c>
      <x:c r="H43" s="14" t="str">
        <x:f>IF(E43="","SOURCE EMPTY",IF(G43&gt;F43,"COLLISION","DISTINCT"))</x:f>
        <x:v>SOURCE EMPTY</x:v>
      </x:c>
    </x:row>
    <x:row r="44">
      <x:c r="A44" s="14" t="str">
        <x:v>HC-B-CS4</x:v>
      </x:c>
      <x:c r="B44" s="14" t="str">
        <x:v>HC-B</x:v>
      </x:c>
      <x:c r="C44" s="14" t="str">
        <x:v>MS-HC</x:v>
      </x:c>
      <x:c r="D44" s="14" t="str">
        <x:v>Decisive chain</x:v>
      </x:c>
      <x:c r="E44" s="14" t="str">
        <x:f>IF('Root Charters'!H14="","",'Root Charters'!H14)</x:f>
      </x:c>
      <x:c r="F44" s="17" t="n">
        <x:v>1</x:v>
      </x:c>
      <x:c r="G44" s="14" t="str">
        <x:f>IF(E44="","",COUNTIFS($D$5:$D$100,D44,$E$5:$E$100,E44))</x:f>
      </x:c>
      <x:c r="H44" s="14" t="str">
        <x:f>IF(E44="","SOURCE EMPTY",IF(G44&gt;F44,"COLLISION","DISTINCT"))</x:f>
        <x:v>SOURCE EMPTY</x:v>
      </x:c>
    </x:row>
    <x:row r="45">
      <x:c r="A45" s="14" t="str">
        <x:v>HC-C-CS1</x:v>
      </x:c>
      <x:c r="B45" s="14" t="str">
        <x:v>HC-C</x:v>
      </x:c>
      <x:c r="C45" s="14" t="str">
        <x:v>MS-HC</x:v>
      </x:c>
      <x:c r="D45" s="14" t="str">
        <x:v>Beneficial control</x:v>
      </x:c>
      <x:c r="E45" s="14" t="str">
        <x:f>IF('Root Charters'!E15="","",'Root Charters'!E15)</x:f>
      </x:c>
      <x:c r="F45" s="17" t="n">
        <x:v>1</x:v>
      </x:c>
      <x:c r="G45" s="14" t="str">
        <x:f>IF(E45="","",COUNTIFS($D$5:$D$100,D45,$E$5:$E$100,E45))</x:f>
      </x:c>
      <x:c r="H45" s="14" t="str">
        <x:f>IF(E45="","SOURCE EMPTY",IF(G45&gt;F45,"COLLISION","DISTINCT"))</x:f>
        <x:v>SOURCE EMPTY</x:v>
      </x:c>
    </x:row>
    <x:row r="46">
      <x:c r="A46" s="14" t="str">
        <x:v>HC-C-CS2</x:v>
      </x:c>
      <x:c r="B46" s="14" t="str">
        <x:v>HC-C</x:v>
      </x:c>
      <x:c r="C46" s="14" t="str">
        <x:v>MS-HC</x:v>
      </x:c>
      <x:c r="D46" s="14" t="str">
        <x:v>Governance capital</x:v>
      </x:c>
      <x:c r="E46" s="14" t="str">
        <x:f>IF('Root Charters'!F15="","",'Root Charters'!F15)</x:f>
      </x:c>
      <x:c r="F46" s="17" t="n">
        <x:v>1</x:v>
      </x:c>
      <x:c r="G46" s="14" t="str">
        <x:f>IF(E46="","",COUNTIFS($D$5:$D$100,D46,$E$5:$E$100,E46))</x:f>
      </x:c>
      <x:c r="H46" s="14" t="str">
        <x:f>IF(E46="","SOURCE EMPTY",IF(G46&gt;F46,"COLLISION","DISTINCT"))</x:f>
        <x:v>SOURCE EMPTY</x:v>
      </x:c>
    </x:row>
    <x:row r="47">
      <x:c r="A47" s="14" t="str">
        <x:v>HC-C-CS3</x:v>
      </x:c>
      <x:c r="B47" s="14" t="str">
        <x:v>HC-C</x:v>
      </x:c>
      <x:c r="C47" s="14" t="str">
        <x:v>MS-HC</x:v>
      </x:c>
      <x:c r="D47" s="14" t="str">
        <x:v>Cross-default</x:v>
      </x:c>
      <x:c r="E47" s="14" t="str">
        <x:f>IF('Root Charters'!G15="","",'Root Charters'!G15)</x:f>
      </x:c>
      <x:c r="F47" s="17" t="n">
        <x:v>1</x:v>
      </x:c>
      <x:c r="G47" s="14" t="str">
        <x:f>IF(E47="","",COUNTIFS($D$5:$D$100,D47,$E$5:$E$100,E47))</x:f>
      </x:c>
      <x:c r="H47" s="14" t="str">
        <x:f>IF(E47="","SOURCE EMPTY",IF(G47&gt;F47,"COLLISION","DISTINCT"))</x:f>
        <x:v>SOURCE EMPTY</x:v>
      </x:c>
    </x:row>
    <x:row r="48">
      <x:c r="A48" s="14" t="str">
        <x:v>HC-C-CS4</x:v>
      </x:c>
      <x:c r="B48" s="14" t="str">
        <x:v>HC-C</x:v>
      </x:c>
      <x:c r="C48" s="14" t="str">
        <x:v>MS-HC</x:v>
      </x:c>
      <x:c r="D48" s="14" t="str">
        <x:v>Decisive chain</x:v>
      </x:c>
      <x:c r="E48" s="14" t="str">
        <x:f>IF('Root Charters'!H15="","",'Root Charters'!H15)</x:f>
      </x:c>
      <x:c r="F48" s="17" t="n">
        <x:v>1</x:v>
      </x:c>
      <x:c r="G48" s="14" t="str">
        <x:f>IF(E48="","",COUNTIFS($D$5:$D$100,D48,$E$5:$E$100,E48))</x:f>
      </x:c>
      <x:c r="H48" s="14" t="str">
        <x:f>IF(E48="","SOURCE EMPTY",IF(G48&gt;F48,"COLLISION","DISTINCT"))</x:f>
        <x:v>SOURCE EMPTY</x:v>
      </x:c>
    </x:row>
    <x:row r="49">
      <x:c r="A49" s="14" t="str">
        <x:v>HC-D-CS1</x:v>
      </x:c>
      <x:c r="B49" s="14" t="str">
        <x:v>HC-D</x:v>
      </x:c>
      <x:c r="C49" s="14" t="str">
        <x:v>MS-HC</x:v>
      </x:c>
      <x:c r="D49" s="14" t="str">
        <x:v>Beneficial control</x:v>
      </x:c>
      <x:c r="E49" s="14" t="str">
        <x:f>IF('Root Charters'!E16="","",'Root Charters'!E16)</x:f>
      </x:c>
      <x:c r="F49" s="17" t="n">
        <x:v>1</x:v>
      </x:c>
      <x:c r="G49" s="14" t="str">
        <x:f>IF(E49="","",COUNTIFS($D$5:$D$100,D49,$E$5:$E$100,E49))</x:f>
      </x:c>
      <x:c r="H49" s="14" t="str">
        <x:f>IF(E49="","SOURCE EMPTY",IF(G49&gt;F49,"COLLISION","DISTINCT"))</x:f>
        <x:v>SOURCE EMPTY</x:v>
      </x:c>
    </x:row>
    <x:row r="50">
      <x:c r="A50" s="14" t="str">
        <x:v>HC-D-CS2</x:v>
      </x:c>
      <x:c r="B50" s="14" t="str">
        <x:v>HC-D</x:v>
      </x:c>
      <x:c r="C50" s="14" t="str">
        <x:v>MS-HC</x:v>
      </x:c>
      <x:c r="D50" s="14" t="str">
        <x:v>Governance capital</x:v>
      </x:c>
      <x:c r="E50" s="14" t="str">
        <x:f>IF('Root Charters'!F16="","",'Root Charters'!F16)</x:f>
      </x:c>
      <x:c r="F50" s="17" t="n">
        <x:v>1</x:v>
      </x:c>
      <x:c r="G50" s="14" t="str">
        <x:f>IF(E50="","",COUNTIFS($D$5:$D$100,D50,$E$5:$E$100,E50))</x:f>
      </x:c>
      <x:c r="H50" s="14" t="str">
        <x:f>IF(E50="","SOURCE EMPTY",IF(G50&gt;F50,"COLLISION","DISTINCT"))</x:f>
        <x:v>SOURCE EMPTY</x:v>
      </x:c>
    </x:row>
    <x:row r="51">
      <x:c r="A51" s="14" t="str">
        <x:v>HC-D-CS3</x:v>
      </x:c>
      <x:c r="B51" s="14" t="str">
        <x:v>HC-D</x:v>
      </x:c>
      <x:c r="C51" s="14" t="str">
        <x:v>MS-HC</x:v>
      </x:c>
      <x:c r="D51" s="14" t="str">
        <x:v>Cross-default</x:v>
      </x:c>
      <x:c r="E51" s="14" t="str">
        <x:f>IF('Root Charters'!G16="","",'Root Charters'!G16)</x:f>
      </x:c>
      <x:c r="F51" s="17" t="n">
        <x:v>1</x:v>
      </x:c>
      <x:c r="G51" s="14" t="str">
        <x:f>IF(E51="","",COUNTIFS($D$5:$D$100,D51,$E$5:$E$100,E51))</x:f>
      </x:c>
      <x:c r="H51" s="14" t="str">
        <x:f>IF(E51="","SOURCE EMPTY",IF(G51&gt;F51,"COLLISION","DISTINCT"))</x:f>
        <x:v>SOURCE EMPTY</x:v>
      </x:c>
    </x:row>
    <x:row r="52">
      <x:c r="A52" s="14" t="str">
        <x:v>HC-D-CS4</x:v>
      </x:c>
      <x:c r="B52" s="14" t="str">
        <x:v>HC-D</x:v>
      </x:c>
      <x:c r="C52" s="14" t="str">
        <x:v>MS-HC</x:v>
      </x:c>
      <x:c r="D52" s="14" t="str">
        <x:v>Decisive chain</x:v>
      </x:c>
      <x:c r="E52" s="14" t="str">
        <x:f>IF('Root Charters'!H16="","",'Root Charters'!H16)</x:f>
      </x:c>
      <x:c r="F52" s="17" t="n">
        <x:v>1</x:v>
      </x:c>
      <x:c r="G52" s="14" t="str">
        <x:f>IF(E52="","",COUNTIFS($D$5:$D$100,D52,$E$5:$E$100,E52))</x:f>
      </x:c>
      <x:c r="H52" s="14" t="str">
        <x:f>IF(E52="","SOURCE EMPTY",IF(G52&gt;F52,"COLLISION","DISTINCT"))</x:f>
        <x:v>SOURCE EMPTY</x:v>
      </x:c>
    </x:row>
    <x:row r="53">
      <x:c r="A53" s="14" t="str">
        <x:v>LF-A-CS1</x:v>
      </x:c>
      <x:c r="B53" s="14" t="str">
        <x:v>LF-A</x:v>
      </x:c>
      <x:c r="C53" s="14" t="str">
        <x:v>MS-LF</x:v>
      </x:c>
      <x:c r="D53" s="14" t="str">
        <x:v>Beneficial control</x:v>
      </x:c>
      <x:c r="E53" s="14" t="str">
        <x:f>IF('Root Charters'!E17="","",'Root Charters'!E17)</x:f>
      </x:c>
      <x:c r="F53" s="17" t="n">
        <x:v>1</x:v>
      </x:c>
      <x:c r="G53" s="14" t="str">
        <x:f>IF(E53="","",COUNTIFS($D$5:$D$100,D53,$E$5:$E$100,E53))</x:f>
      </x:c>
      <x:c r="H53" s="14" t="str">
        <x:f>IF(E53="","SOURCE EMPTY",IF(G53&gt;F53,"COLLISION","DISTINCT"))</x:f>
        <x:v>SOURCE EMPTY</x:v>
      </x:c>
    </x:row>
    <x:row r="54">
      <x:c r="A54" s="14" t="str">
        <x:v>LF-A-CS2</x:v>
      </x:c>
      <x:c r="B54" s="14" t="str">
        <x:v>LF-A</x:v>
      </x:c>
      <x:c r="C54" s="14" t="str">
        <x:v>MS-LF</x:v>
      </x:c>
      <x:c r="D54" s="14" t="str">
        <x:v>Governance capital</x:v>
      </x:c>
      <x:c r="E54" s="14" t="str">
        <x:f>IF('Root Charters'!F17="","",'Root Charters'!F17)</x:f>
      </x:c>
      <x:c r="F54" s="17" t="n">
        <x:v>1</x:v>
      </x:c>
      <x:c r="G54" s="14" t="str">
        <x:f>IF(E54="","",COUNTIFS($D$5:$D$100,D54,$E$5:$E$100,E54))</x:f>
      </x:c>
      <x:c r="H54" s="14" t="str">
        <x:f>IF(E54="","SOURCE EMPTY",IF(G54&gt;F54,"COLLISION","DISTINCT"))</x:f>
        <x:v>SOURCE EMPTY</x:v>
      </x:c>
    </x:row>
    <x:row r="55">
      <x:c r="A55" s="14" t="str">
        <x:v>LF-A-CS3</x:v>
      </x:c>
      <x:c r="B55" s="14" t="str">
        <x:v>LF-A</x:v>
      </x:c>
      <x:c r="C55" s="14" t="str">
        <x:v>MS-LF</x:v>
      </x:c>
      <x:c r="D55" s="14" t="str">
        <x:v>Cross-default</x:v>
      </x:c>
      <x:c r="E55" s="14" t="str">
        <x:f>IF('Root Charters'!G17="","",'Root Charters'!G17)</x:f>
      </x:c>
      <x:c r="F55" s="17" t="n">
        <x:v>1</x:v>
      </x:c>
      <x:c r="G55" s="14" t="str">
        <x:f>IF(E55="","",COUNTIFS($D$5:$D$100,D55,$E$5:$E$100,E55))</x:f>
      </x:c>
      <x:c r="H55" s="14" t="str">
        <x:f>IF(E55="","SOURCE EMPTY",IF(G55&gt;F55,"COLLISION","DISTINCT"))</x:f>
        <x:v>SOURCE EMPTY</x:v>
      </x:c>
    </x:row>
    <x:row r="56">
      <x:c r="A56" s="14" t="str">
        <x:v>LF-A-CS4</x:v>
      </x:c>
      <x:c r="B56" s="14" t="str">
        <x:v>LF-A</x:v>
      </x:c>
      <x:c r="C56" s="14" t="str">
        <x:v>MS-LF</x:v>
      </x:c>
      <x:c r="D56" s="14" t="str">
        <x:v>Decisive chain</x:v>
      </x:c>
      <x:c r="E56" s="14" t="str">
        <x:f>IF('Root Charters'!H17="","",'Root Charters'!H17)</x:f>
      </x:c>
      <x:c r="F56" s="17" t="n">
        <x:v>1</x:v>
      </x:c>
      <x:c r="G56" s="14" t="str">
        <x:f>IF(E56="","",COUNTIFS($D$5:$D$100,D56,$E$5:$E$100,E56))</x:f>
      </x:c>
      <x:c r="H56" s="14" t="str">
        <x:f>IF(E56="","SOURCE EMPTY",IF(G56&gt;F56,"COLLISION","DISTINCT"))</x:f>
        <x:v>SOURCE EMPTY</x:v>
      </x:c>
    </x:row>
    <x:row r="57">
      <x:c r="A57" s="14" t="str">
        <x:v>LF-B-CS1</x:v>
      </x:c>
      <x:c r="B57" s="14" t="str">
        <x:v>LF-B</x:v>
      </x:c>
      <x:c r="C57" s="14" t="str">
        <x:v>MS-LF</x:v>
      </x:c>
      <x:c r="D57" s="14" t="str">
        <x:v>Beneficial control</x:v>
      </x:c>
      <x:c r="E57" s="14" t="str">
        <x:f>IF('Root Charters'!E18="","",'Root Charters'!E18)</x:f>
      </x:c>
      <x:c r="F57" s="17" t="n">
        <x:v>1</x:v>
      </x:c>
      <x:c r="G57" s="14" t="str">
        <x:f>IF(E57="","",COUNTIFS($D$5:$D$100,D57,$E$5:$E$100,E57))</x:f>
      </x:c>
      <x:c r="H57" s="14" t="str">
        <x:f>IF(E57="","SOURCE EMPTY",IF(G57&gt;F57,"COLLISION","DISTINCT"))</x:f>
        <x:v>SOURCE EMPTY</x:v>
      </x:c>
    </x:row>
    <x:row r="58">
      <x:c r="A58" s="14" t="str">
        <x:v>LF-B-CS2</x:v>
      </x:c>
      <x:c r="B58" s="14" t="str">
        <x:v>LF-B</x:v>
      </x:c>
      <x:c r="C58" s="14" t="str">
        <x:v>MS-LF</x:v>
      </x:c>
      <x:c r="D58" s="14" t="str">
        <x:v>Governance capital</x:v>
      </x:c>
      <x:c r="E58" s="14" t="str">
        <x:f>IF('Root Charters'!F18="","",'Root Charters'!F18)</x:f>
      </x:c>
      <x:c r="F58" s="17" t="n">
        <x:v>1</x:v>
      </x:c>
      <x:c r="G58" s="14" t="str">
        <x:f>IF(E58="","",COUNTIFS($D$5:$D$100,D58,$E$5:$E$100,E58))</x:f>
      </x:c>
      <x:c r="H58" s="14" t="str">
        <x:f>IF(E58="","SOURCE EMPTY",IF(G58&gt;F58,"COLLISION","DISTINCT"))</x:f>
        <x:v>SOURCE EMPTY</x:v>
      </x:c>
    </x:row>
    <x:row r="59">
      <x:c r="A59" s="14" t="str">
        <x:v>LF-B-CS3</x:v>
      </x:c>
      <x:c r="B59" s="14" t="str">
        <x:v>LF-B</x:v>
      </x:c>
      <x:c r="C59" s="14" t="str">
        <x:v>MS-LF</x:v>
      </x:c>
      <x:c r="D59" s="14" t="str">
        <x:v>Cross-default</x:v>
      </x:c>
      <x:c r="E59" s="14" t="str">
        <x:f>IF('Root Charters'!G18="","",'Root Charters'!G18)</x:f>
      </x:c>
      <x:c r="F59" s="17" t="n">
        <x:v>1</x:v>
      </x:c>
      <x:c r="G59" s="14" t="str">
        <x:f>IF(E59="","",COUNTIFS($D$5:$D$100,D59,$E$5:$E$100,E59))</x:f>
      </x:c>
      <x:c r="H59" s="14" t="str">
        <x:f>IF(E59="","SOURCE EMPTY",IF(G59&gt;F59,"COLLISION","DISTINCT"))</x:f>
        <x:v>SOURCE EMPTY</x:v>
      </x:c>
    </x:row>
    <x:row r="60">
      <x:c r="A60" s="14" t="str">
        <x:v>LF-B-CS4</x:v>
      </x:c>
      <x:c r="B60" s="14" t="str">
        <x:v>LF-B</x:v>
      </x:c>
      <x:c r="C60" s="14" t="str">
        <x:v>MS-LF</x:v>
      </x:c>
      <x:c r="D60" s="14" t="str">
        <x:v>Decisive chain</x:v>
      </x:c>
      <x:c r="E60" s="14" t="str">
        <x:f>IF('Root Charters'!H18="","",'Root Charters'!H18)</x:f>
      </x:c>
      <x:c r="F60" s="17" t="n">
        <x:v>1</x:v>
      </x:c>
      <x:c r="G60" s="14" t="str">
        <x:f>IF(E60="","",COUNTIFS($D$5:$D$100,D60,$E$5:$E$100,E60))</x:f>
      </x:c>
      <x:c r="H60" s="14" t="str">
        <x:f>IF(E60="","SOURCE EMPTY",IF(G60&gt;F60,"COLLISION","DISTINCT"))</x:f>
        <x:v>SOURCE EMPTY</x:v>
      </x:c>
    </x:row>
    <x:row r="61">
      <x:c r="A61" s="14" t="str">
        <x:v>LF-C-CS1</x:v>
      </x:c>
      <x:c r="B61" s="14" t="str">
        <x:v>LF-C</x:v>
      </x:c>
      <x:c r="C61" s="14" t="str">
        <x:v>MS-LF</x:v>
      </x:c>
      <x:c r="D61" s="14" t="str">
        <x:v>Beneficial control</x:v>
      </x:c>
      <x:c r="E61" s="14" t="str">
        <x:f>IF('Root Charters'!E19="","",'Root Charters'!E19)</x:f>
      </x:c>
      <x:c r="F61" s="17" t="n">
        <x:v>1</x:v>
      </x:c>
      <x:c r="G61" s="14" t="str">
        <x:f>IF(E61="","",COUNTIFS($D$5:$D$100,D61,$E$5:$E$100,E61))</x:f>
      </x:c>
      <x:c r="H61" s="14" t="str">
        <x:f>IF(E61="","SOURCE EMPTY",IF(G61&gt;F61,"COLLISION","DISTINCT"))</x:f>
        <x:v>SOURCE EMPTY</x:v>
      </x:c>
    </x:row>
    <x:row r="62">
      <x:c r="A62" s="14" t="str">
        <x:v>LF-C-CS2</x:v>
      </x:c>
      <x:c r="B62" s="14" t="str">
        <x:v>LF-C</x:v>
      </x:c>
      <x:c r="C62" s="14" t="str">
        <x:v>MS-LF</x:v>
      </x:c>
      <x:c r="D62" s="14" t="str">
        <x:v>Governance capital</x:v>
      </x:c>
      <x:c r="E62" s="14" t="str">
        <x:f>IF('Root Charters'!F19="","",'Root Charters'!F19)</x:f>
      </x:c>
      <x:c r="F62" s="17" t="n">
        <x:v>1</x:v>
      </x:c>
      <x:c r="G62" s="14" t="str">
        <x:f>IF(E62="","",COUNTIFS($D$5:$D$100,D62,$E$5:$E$100,E62))</x:f>
      </x:c>
      <x:c r="H62" s="14" t="str">
        <x:f>IF(E62="","SOURCE EMPTY",IF(G62&gt;F62,"COLLISION","DISTINCT"))</x:f>
        <x:v>SOURCE EMPTY</x:v>
      </x:c>
    </x:row>
    <x:row r="63">
      <x:c r="A63" s="14" t="str">
        <x:v>LF-C-CS3</x:v>
      </x:c>
      <x:c r="B63" s="14" t="str">
        <x:v>LF-C</x:v>
      </x:c>
      <x:c r="C63" s="14" t="str">
        <x:v>MS-LF</x:v>
      </x:c>
      <x:c r="D63" s="14" t="str">
        <x:v>Cross-default</x:v>
      </x:c>
      <x:c r="E63" s="14" t="str">
        <x:f>IF('Root Charters'!G19="","",'Root Charters'!G19)</x:f>
      </x:c>
      <x:c r="F63" s="17" t="n">
        <x:v>1</x:v>
      </x:c>
      <x:c r="G63" s="14" t="str">
        <x:f>IF(E63="","",COUNTIFS($D$5:$D$100,D63,$E$5:$E$100,E63))</x:f>
      </x:c>
      <x:c r="H63" s="14" t="str">
        <x:f>IF(E63="","SOURCE EMPTY",IF(G63&gt;F63,"COLLISION","DISTINCT"))</x:f>
        <x:v>SOURCE EMPTY</x:v>
      </x:c>
    </x:row>
    <x:row r="64">
      <x:c r="A64" s="14" t="str">
        <x:v>LF-C-CS4</x:v>
      </x:c>
      <x:c r="B64" s="14" t="str">
        <x:v>LF-C</x:v>
      </x:c>
      <x:c r="C64" s="14" t="str">
        <x:v>MS-LF</x:v>
      </x:c>
      <x:c r="D64" s="14" t="str">
        <x:v>Decisive chain</x:v>
      </x:c>
      <x:c r="E64" s="14" t="str">
        <x:f>IF('Root Charters'!H19="","",'Root Charters'!H19)</x:f>
      </x:c>
      <x:c r="F64" s="17" t="n">
        <x:v>1</x:v>
      </x:c>
      <x:c r="G64" s="14" t="str">
        <x:f>IF(E64="","",COUNTIFS($D$5:$D$100,D64,$E$5:$E$100,E64))</x:f>
      </x:c>
      <x:c r="H64" s="14" t="str">
        <x:f>IF(E64="","SOURCE EMPTY",IF(G64&gt;F64,"COLLISION","DISTINCT"))</x:f>
        <x:v>SOURCE EMPTY</x:v>
      </x:c>
    </x:row>
    <x:row r="65">
      <x:c r="A65" s="14" t="str">
        <x:v>LF-D-CS1</x:v>
      </x:c>
      <x:c r="B65" s="14" t="str">
        <x:v>LF-D</x:v>
      </x:c>
      <x:c r="C65" s="14" t="str">
        <x:v>MS-LF</x:v>
      </x:c>
      <x:c r="D65" s="14" t="str">
        <x:v>Beneficial control</x:v>
      </x:c>
      <x:c r="E65" s="14" t="str">
        <x:f>IF('Root Charters'!E20="","",'Root Charters'!E20)</x:f>
      </x:c>
      <x:c r="F65" s="17" t="n">
        <x:v>1</x:v>
      </x:c>
      <x:c r="G65" s="14" t="str">
        <x:f>IF(E65="","",COUNTIFS($D$5:$D$100,D65,$E$5:$E$100,E65))</x:f>
      </x:c>
      <x:c r="H65" s="14" t="str">
        <x:f>IF(E65="","SOURCE EMPTY",IF(G65&gt;F65,"COLLISION","DISTINCT"))</x:f>
        <x:v>SOURCE EMPTY</x:v>
      </x:c>
    </x:row>
    <x:row r="66">
      <x:c r="A66" s="14" t="str">
        <x:v>LF-D-CS2</x:v>
      </x:c>
      <x:c r="B66" s="14" t="str">
        <x:v>LF-D</x:v>
      </x:c>
      <x:c r="C66" s="14" t="str">
        <x:v>MS-LF</x:v>
      </x:c>
      <x:c r="D66" s="14" t="str">
        <x:v>Governance capital</x:v>
      </x:c>
      <x:c r="E66" s="14" t="str">
        <x:f>IF('Root Charters'!F20="","",'Root Charters'!F20)</x:f>
      </x:c>
      <x:c r="F66" s="17" t="n">
        <x:v>1</x:v>
      </x:c>
      <x:c r="G66" s="14" t="str">
        <x:f>IF(E66="","",COUNTIFS($D$5:$D$100,D66,$E$5:$E$100,E66))</x:f>
      </x:c>
      <x:c r="H66" s="14" t="str">
        <x:f>IF(E66="","SOURCE EMPTY",IF(G66&gt;F66,"COLLISION","DISTINCT"))</x:f>
        <x:v>SOURCE EMPTY</x:v>
      </x:c>
    </x:row>
    <x:row r="67">
      <x:c r="A67" s="14" t="str">
        <x:v>LF-D-CS3</x:v>
      </x:c>
      <x:c r="B67" s="14" t="str">
        <x:v>LF-D</x:v>
      </x:c>
      <x:c r="C67" s="14" t="str">
        <x:v>MS-LF</x:v>
      </x:c>
      <x:c r="D67" s="14" t="str">
        <x:v>Cross-default</x:v>
      </x:c>
      <x:c r="E67" s="14" t="str">
        <x:f>IF('Root Charters'!G20="","",'Root Charters'!G20)</x:f>
      </x:c>
      <x:c r="F67" s="17" t="n">
        <x:v>1</x:v>
      </x:c>
      <x:c r="G67" s="14" t="str">
        <x:f>IF(E67="","",COUNTIFS($D$5:$D$100,D67,$E$5:$E$100,E67))</x:f>
      </x:c>
      <x:c r="H67" s="14" t="str">
        <x:f>IF(E67="","SOURCE EMPTY",IF(G67&gt;F67,"COLLISION","DISTINCT"))</x:f>
        <x:v>SOURCE EMPTY</x:v>
      </x:c>
    </x:row>
    <x:row r="68">
      <x:c r="A68" s="14" t="str">
        <x:v>LF-D-CS4</x:v>
      </x:c>
      <x:c r="B68" s="14" t="str">
        <x:v>LF-D</x:v>
      </x:c>
      <x:c r="C68" s="14" t="str">
        <x:v>MS-LF</x:v>
      </x:c>
      <x:c r="D68" s="14" t="str">
        <x:v>Decisive chain</x:v>
      </x:c>
      <x:c r="E68" s="14" t="str">
        <x:f>IF('Root Charters'!H20="","",'Root Charters'!H20)</x:f>
      </x:c>
      <x:c r="F68" s="17" t="n">
        <x:v>1</x:v>
      </x:c>
      <x:c r="G68" s="14" t="str">
        <x:f>IF(E68="","",COUNTIFS($D$5:$D$100,D68,$E$5:$E$100,E68))</x:f>
      </x:c>
      <x:c r="H68" s="14" t="str">
        <x:f>IF(E68="","SOURCE EMPTY",IF(G68&gt;F68,"COLLISION","DISTINCT"))</x:f>
        <x:v>SOURCE EMPTY</x:v>
      </x:c>
    </x:row>
    <x:row r="69">
      <x:c r="A69" s="14" t="str">
        <x:v>HU-A-CS1</x:v>
      </x:c>
      <x:c r="B69" s="14" t="str">
        <x:v>HU-A</x:v>
      </x:c>
      <x:c r="C69" s="14" t="str">
        <x:v>MS-HU</x:v>
      </x:c>
      <x:c r="D69" s="14" t="str">
        <x:v>Beneficial control</x:v>
      </x:c>
      <x:c r="E69" s="14" t="str">
        <x:f>IF('Root Charters'!E21="","",'Root Charters'!E21)</x:f>
      </x:c>
      <x:c r="F69" s="17" t="n">
        <x:v>1</x:v>
      </x:c>
      <x:c r="G69" s="14" t="str">
        <x:f>IF(E69="","",COUNTIFS($D$5:$D$100,D69,$E$5:$E$100,E69))</x:f>
      </x:c>
      <x:c r="H69" s="14" t="str">
        <x:f>IF(E69="","SOURCE EMPTY",IF(G69&gt;F69,"COLLISION","DISTINCT"))</x:f>
        <x:v>SOURCE EMPTY</x:v>
      </x:c>
    </x:row>
    <x:row r="70">
      <x:c r="A70" s="14" t="str">
        <x:v>HU-A-CS2</x:v>
      </x:c>
      <x:c r="B70" s="14" t="str">
        <x:v>HU-A</x:v>
      </x:c>
      <x:c r="C70" s="14" t="str">
        <x:v>MS-HU</x:v>
      </x:c>
      <x:c r="D70" s="14" t="str">
        <x:v>Governance capital</x:v>
      </x:c>
      <x:c r="E70" s="14" t="str">
        <x:f>IF('Root Charters'!F21="","",'Root Charters'!F21)</x:f>
      </x:c>
      <x:c r="F70" s="17" t="n">
        <x:v>1</x:v>
      </x:c>
      <x:c r="G70" s="14" t="str">
        <x:f>IF(E70="","",COUNTIFS($D$5:$D$100,D70,$E$5:$E$100,E70))</x:f>
      </x:c>
      <x:c r="H70" s="14" t="str">
        <x:f>IF(E70="","SOURCE EMPTY",IF(G70&gt;F70,"COLLISION","DISTINCT"))</x:f>
        <x:v>SOURCE EMPTY</x:v>
      </x:c>
    </x:row>
    <x:row r="71">
      <x:c r="A71" s="14" t="str">
        <x:v>HU-A-CS3</x:v>
      </x:c>
      <x:c r="B71" s="14" t="str">
        <x:v>HU-A</x:v>
      </x:c>
      <x:c r="C71" s="14" t="str">
        <x:v>MS-HU</x:v>
      </x:c>
      <x:c r="D71" s="14" t="str">
        <x:v>Cross-default</x:v>
      </x:c>
      <x:c r="E71" s="14" t="str">
        <x:f>IF('Root Charters'!G21="","",'Root Charters'!G21)</x:f>
      </x:c>
      <x:c r="F71" s="17" t="n">
        <x:v>1</x:v>
      </x:c>
      <x:c r="G71" s="14" t="str">
        <x:f>IF(E71="","",COUNTIFS($D$5:$D$100,D71,$E$5:$E$100,E71))</x:f>
      </x:c>
      <x:c r="H71" s="14" t="str">
        <x:f>IF(E71="","SOURCE EMPTY",IF(G71&gt;F71,"COLLISION","DISTINCT"))</x:f>
        <x:v>SOURCE EMPTY</x:v>
      </x:c>
    </x:row>
    <x:row r="72">
      <x:c r="A72" s="14" t="str">
        <x:v>HU-A-CS4</x:v>
      </x:c>
      <x:c r="B72" s="14" t="str">
        <x:v>HU-A</x:v>
      </x:c>
      <x:c r="C72" s="14" t="str">
        <x:v>MS-HU</x:v>
      </x:c>
      <x:c r="D72" s="14" t="str">
        <x:v>Decisive chain</x:v>
      </x:c>
      <x:c r="E72" s="14" t="str">
        <x:f>IF('Root Charters'!H21="","",'Root Charters'!H21)</x:f>
      </x:c>
      <x:c r="F72" s="17" t="n">
        <x:v>1</x:v>
      </x:c>
      <x:c r="G72" s="14" t="str">
        <x:f>IF(E72="","",COUNTIFS($D$5:$D$100,D72,$E$5:$E$100,E72))</x:f>
      </x:c>
      <x:c r="H72" s="14" t="str">
        <x:f>IF(E72="","SOURCE EMPTY",IF(G72&gt;F72,"COLLISION","DISTINCT"))</x:f>
        <x:v>SOURCE EMPTY</x:v>
      </x:c>
    </x:row>
    <x:row r="73">
      <x:c r="A73" s="14" t="str">
        <x:v>HU-B-CS1</x:v>
      </x:c>
      <x:c r="B73" s="14" t="str">
        <x:v>HU-B</x:v>
      </x:c>
      <x:c r="C73" s="14" t="str">
        <x:v>MS-HU</x:v>
      </x:c>
      <x:c r="D73" s="14" t="str">
        <x:v>Beneficial control</x:v>
      </x:c>
      <x:c r="E73" s="14" t="str">
        <x:f>IF('Root Charters'!E22="","",'Root Charters'!E22)</x:f>
      </x:c>
      <x:c r="F73" s="17" t="n">
        <x:v>1</x:v>
      </x:c>
      <x:c r="G73" s="14" t="str">
        <x:f>IF(E73="","",COUNTIFS($D$5:$D$100,D73,$E$5:$E$100,E73))</x:f>
      </x:c>
      <x:c r="H73" s="14" t="str">
        <x:f>IF(E73="","SOURCE EMPTY",IF(G73&gt;F73,"COLLISION","DISTINCT"))</x:f>
        <x:v>SOURCE EMPTY</x:v>
      </x:c>
    </x:row>
    <x:row r="74">
      <x:c r="A74" s="14" t="str">
        <x:v>HU-B-CS2</x:v>
      </x:c>
      <x:c r="B74" s="14" t="str">
        <x:v>HU-B</x:v>
      </x:c>
      <x:c r="C74" s="14" t="str">
        <x:v>MS-HU</x:v>
      </x:c>
      <x:c r="D74" s="14" t="str">
        <x:v>Governance capital</x:v>
      </x:c>
      <x:c r="E74" s="14" t="str">
        <x:f>IF('Root Charters'!F22="","",'Root Charters'!F22)</x:f>
      </x:c>
      <x:c r="F74" s="17" t="n">
        <x:v>1</x:v>
      </x:c>
      <x:c r="G74" s="14" t="str">
        <x:f>IF(E74="","",COUNTIFS($D$5:$D$100,D74,$E$5:$E$100,E74))</x:f>
      </x:c>
      <x:c r="H74" s="14" t="str">
        <x:f>IF(E74="","SOURCE EMPTY",IF(G74&gt;F74,"COLLISION","DISTINCT"))</x:f>
        <x:v>SOURCE EMPTY</x:v>
      </x:c>
    </x:row>
    <x:row r="75">
      <x:c r="A75" s="14" t="str">
        <x:v>HU-B-CS3</x:v>
      </x:c>
      <x:c r="B75" s="14" t="str">
        <x:v>HU-B</x:v>
      </x:c>
      <x:c r="C75" s="14" t="str">
        <x:v>MS-HU</x:v>
      </x:c>
      <x:c r="D75" s="14" t="str">
        <x:v>Cross-default</x:v>
      </x:c>
      <x:c r="E75" s="14" t="str">
        <x:f>IF('Root Charters'!G22="","",'Root Charters'!G22)</x:f>
      </x:c>
      <x:c r="F75" s="17" t="n">
        <x:v>1</x:v>
      </x:c>
      <x:c r="G75" s="14" t="str">
        <x:f>IF(E75="","",COUNTIFS($D$5:$D$100,D75,$E$5:$E$100,E75))</x:f>
      </x:c>
      <x:c r="H75" s="14" t="str">
        <x:f>IF(E75="","SOURCE EMPTY",IF(G75&gt;F75,"COLLISION","DISTINCT"))</x:f>
        <x:v>SOURCE EMPTY</x:v>
      </x:c>
    </x:row>
    <x:row r="76">
      <x:c r="A76" s="14" t="str">
        <x:v>HU-B-CS4</x:v>
      </x:c>
      <x:c r="B76" s="14" t="str">
        <x:v>HU-B</x:v>
      </x:c>
      <x:c r="C76" s="14" t="str">
        <x:v>MS-HU</x:v>
      </x:c>
      <x:c r="D76" s="14" t="str">
        <x:v>Decisive chain</x:v>
      </x:c>
      <x:c r="E76" s="14" t="str">
        <x:f>IF('Root Charters'!H22="","",'Root Charters'!H22)</x:f>
      </x:c>
      <x:c r="F76" s="17" t="n">
        <x:v>1</x:v>
      </x:c>
      <x:c r="G76" s="14" t="str">
        <x:f>IF(E76="","",COUNTIFS($D$5:$D$100,D76,$E$5:$E$100,E76))</x:f>
      </x:c>
      <x:c r="H76" s="14" t="str">
        <x:f>IF(E76="","SOURCE EMPTY",IF(G76&gt;F76,"COLLISION","DISTINCT"))</x:f>
        <x:v>SOURCE EMPTY</x:v>
      </x:c>
    </x:row>
    <x:row r="77">
      <x:c r="A77" s="14" t="str">
        <x:v>HU-C-CS1</x:v>
      </x:c>
      <x:c r="B77" s="14" t="str">
        <x:v>HU-C</x:v>
      </x:c>
      <x:c r="C77" s="14" t="str">
        <x:v>MS-HU</x:v>
      </x:c>
      <x:c r="D77" s="14" t="str">
        <x:v>Beneficial control</x:v>
      </x:c>
      <x:c r="E77" s="14" t="str">
        <x:f>IF('Root Charters'!E23="","",'Root Charters'!E23)</x:f>
      </x:c>
      <x:c r="F77" s="17" t="n">
        <x:v>1</x:v>
      </x:c>
      <x:c r="G77" s="14" t="str">
        <x:f>IF(E77="","",COUNTIFS($D$5:$D$100,D77,$E$5:$E$100,E77))</x:f>
      </x:c>
      <x:c r="H77" s="14" t="str">
        <x:f>IF(E77="","SOURCE EMPTY",IF(G77&gt;F77,"COLLISION","DISTINCT"))</x:f>
        <x:v>SOURCE EMPTY</x:v>
      </x:c>
    </x:row>
    <x:row r="78">
      <x:c r="A78" s="14" t="str">
        <x:v>HU-C-CS2</x:v>
      </x:c>
      <x:c r="B78" s="14" t="str">
        <x:v>HU-C</x:v>
      </x:c>
      <x:c r="C78" s="14" t="str">
        <x:v>MS-HU</x:v>
      </x:c>
      <x:c r="D78" s="14" t="str">
        <x:v>Governance capital</x:v>
      </x:c>
      <x:c r="E78" s="14" t="str">
        <x:f>IF('Root Charters'!F23="","",'Root Charters'!F23)</x:f>
      </x:c>
      <x:c r="F78" s="17" t="n">
        <x:v>1</x:v>
      </x:c>
      <x:c r="G78" s="14" t="str">
        <x:f>IF(E78="","",COUNTIFS($D$5:$D$100,D78,$E$5:$E$100,E78))</x:f>
      </x:c>
      <x:c r="H78" s="14" t="str">
        <x:f>IF(E78="","SOURCE EMPTY",IF(G78&gt;F78,"COLLISION","DISTINCT"))</x:f>
        <x:v>SOURCE EMPTY</x:v>
      </x:c>
    </x:row>
    <x:row r="79">
      <x:c r="A79" s="14" t="str">
        <x:v>HU-C-CS3</x:v>
      </x:c>
      <x:c r="B79" s="14" t="str">
        <x:v>HU-C</x:v>
      </x:c>
      <x:c r="C79" s="14" t="str">
        <x:v>MS-HU</x:v>
      </x:c>
      <x:c r="D79" s="14" t="str">
        <x:v>Cross-default</x:v>
      </x:c>
      <x:c r="E79" s="14" t="str">
        <x:f>IF('Root Charters'!G23="","",'Root Charters'!G23)</x:f>
      </x:c>
      <x:c r="F79" s="17" t="n">
        <x:v>1</x:v>
      </x:c>
      <x:c r="G79" s="14" t="str">
        <x:f>IF(E79="","",COUNTIFS($D$5:$D$100,D79,$E$5:$E$100,E79))</x:f>
      </x:c>
      <x:c r="H79" s="14" t="str">
        <x:f>IF(E79="","SOURCE EMPTY",IF(G79&gt;F79,"COLLISION","DISTINCT"))</x:f>
        <x:v>SOURCE EMPTY</x:v>
      </x:c>
    </x:row>
    <x:row r="80">
      <x:c r="A80" s="14" t="str">
        <x:v>HU-C-CS4</x:v>
      </x:c>
      <x:c r="B80" s="14" t="str">
        <x:v>HU-C</x:v>
      </x:c>
      <x:c r="C80" s="14" t="str">
        <x:v>MS-HU</x:v>
      </x:c>
      <x:c r="D80" s="14" t="str">
        <x:v>Decisive chain</x:v>
      </x:c>
      <x:c r="E80" s="14" t="str">
        <x:f>IF('Root Charters'!H23="","",'Root Charters'!H23)</x:f>
      </x:c>
      <x:c r="F80" s="17" t="n">
        <x:v>1</x:v>
      </x:c>
      <x:c r="G80" s="14" t="str">
        <x:f>IF(E80="","",COUNTIFS($D$5:$D$100,D80,$E$5:$E$100,E80))</x:f>
      </x:c>
      <x:c r="H80" s="14" t="str">
        <x:f>IF(E80="","SOURCE EMPTY",IF(G80&gt;F80,"COLLISION","DISTINCT"))</x:f>
        <x:v>SOURCE EMPTY</x:v>
      </x:c>
    </x:row>
    <x:row r="81">
      <x:c r="A81" s="14" t="str">
        <x:v>HU-D-CS1</x:v>
      </x:c>
      <x:c r="B81" s="14" t="str">
        <x:v>HU-D</x:v>
      </x:c>
      <x:c r="C81" s="14" t="str">
        <x:v>MS-HU</x:v>
      </x:c>
      <x:c r="D81" s="14" t="str">
        <x:v>Beneficial control</x:v>
      </x:c>
      <x:c r="E81" s="14" t="str">
        <x:f>IF('Root Charters'!E24="","",'Root Charters'!E24)</x:f>
      </x:c>
      <x:c r="F81" s="17" t="n">
        <x:v>1</x:v>
      </x:c>
      <x:c r="G81" s="14" t="str">
        <x:f>IF(E81="","",COUNTIFS($D$5:$D$100,D81,$E$5:$E$100,E81))</x:f>
      </x:c>
      <x:c r="H81" s="14" t="str">
        <x:f>IF(E81="","SOURCE EMPTY",IF(G81&gt;F81,"COLLISION","DISTINCT"))</x:f>
        <x:v>SOURCE EMPTY</x:v>
      </x:c>
    </x:row>
    <x:row r="82">
      <x:c r="A82" s="14" t="str">
        <x:v>HU-D-CS2</x:v>
      </x:c>
      <x:c r="B82" s="14" t="str">
        <x:v>HU-D</x:v>
      </x:c>
      <x:c r="C82" s="14" t="str">
        <x:v>MS-HU</x:v>
      </x:c>
      <x:c r="D82" s="14" t="str">
        <x:v>Governance capital</x:v>
      </x:c>
      <x:c r="E82" s="14" t="str">
        <x:f>IF('Root Charters'!F24="","",'Root Charters'!F24)</x:f>
      </x:c>
      <x:c r="F82" s="17" t="n">
        <x:v>1</x:v>
      </x:c>
      <x:c r="G82" s="14" t="str">
        <x:f>IF(E82="","",COUNTIFS($D$5:$D$100,D82,$E$5:$E$100,E82))</x:f>
      </x:c>
      <x:c r="H82" s="14" t="str">
        <x:f>IF(E82="","SOURCE EMPTY",IF(G82&gt;F82,"COLLISION","DISTINCT"))</x:f>
        <x:v>SOURCE EMPTY</x:v>
      </x:c>
    </x:row>
    <x:row r="83">
      <x:c r="A83" s="14" t="str">
        <x:v>HU-D-CS3</x:v>
      </x:c>
      <x:c r="B83" s="14" t="str">
        <x:v>HU-D</x:v>
      </x:c>
      <x:c r="C83" s="14" t="str">
        <x:v>MS-HU</x:v>
      </x:c>
      <x:c r="D83" s="14" t="str">
        <x:v>Cross-default</x:v>
      </x:c>
      <x:c r="E83" s="14" t="str">
        <x:f>IF('Root Charters'!G24="","",'Root Charters'!G24)</x:f>
      </x:c>
      <x:c r="F83" s="17" t="n">
        <x:v>1</x:v>
      </x:c>
      <x:c r="G83" s="14" t="str">
        <x:f>IF(E83="","",COUNTIFS($D$5:$D$100,D83,$E$5:$E$100,E83))</x:f>
      </x:c>
      <x:c r="H83" s="14" t="str">
        <x:f>IF(E83="","SOURCE EMPTY",IF(G83&gt;F83,"COLLISION","DISTINCT"))</x:f>
        <x:v>SOURCE EMPTY</x:v>
      </x:c>
    </x:row>
    <x:row r="84">
      <x:c r="A84" s="14" t="str">
        <x:v>HU-D-CS4</x:v>
      </x:c>
      <x:c r="B84" s="14" t="str">
        <x:v>HU-D</x:v>
      </x:c>
      <x:c r="C84" s="14" t="str">
        <x:v>MS-HU</x:v>
      </x:c>
      <x:c r="D84" s="14" t="str">
        <x:v>Decisive chain</x:v>
      </x:c>
      <x:c r="E84" s="14" t="str">
        <x:f>IF('Root Charters'!H24="","",'Root Charters'!H24)</x:f>
      </x:c>
      <x:c r="F84" s="17" t="n">
        <x:v>1</x:v>
      </x:c>
      <x:c r="G84" s="14" t="str">
        <x:f>IF(E84="","",COUNTIFS($D$5:$D$100,D84,$E$5:$E$100,E84))</x:f>
      </x:c>
      <x:c r="H84" s="14" t="str">
        <x:f>IF(E84="","SOURCE EMPTY",IF(G84&gt;F84,"COLLISION","DISTINCT"))</x:f>
        <x:v>SOURCE EMPTY</x:v>
      </x:c>
    </x:row>
    <x:row r="85">
      <x:c r="A85" s="14" t="str">
        <x:v>RT-A-CS1</x:v>
      </x:c>
      <x:c r="B85" s="14" t="str">
        <x:v>RT-A</x:v>
      </x:c>
      <x:c r="C85" s="14" t="str">
        <x:v>MS-RT</x:v>
      </x:c>
      <x:c r="D85" s="14" t="str">
        <x:v>Beneficial control</x:v>
      </x:c>
      <x:c r="E85" s="14" t="str">
        <x:f>IF('Root Charters'!E25="","",'Root Charters'!E25)</x:f>
      </x:c>
      <x:c r="F85" s="17" t="n">
        <x:v>1</x:v>
      </x:c>
      <x:c r="G85" s="14" t="str">
        <x:f>IF(E85="","",COUNTIFS($D$5:$D$100,D85,$E$5:$E$100,E85))</x:f>
      </x:c>
      <x:c r="H85" s="14" t="str">
        <x:f>IF(E85="","SOURCE EMPTY",IF(G85&gt;F85,"COLLISION","DISTINCT"))</x:f>
        <x:v>SOURCE EMPTY</x:v>
      </x:c>
    </x:row>
    <x:row r="86">
      <x:c r="A86" s="14" t="str">
        <x:v>RT-A-CS2</x:v>
      </x:c>
      <x:c r="B86" s="14" t="str">
        <x:v>RT-A</x:v>
      </x:c>
      <x:c r="C86" s="14" t="str">
        <x:v>MS-RT</x:v>
      </x:c>
      <x:c r="D86" s="14" t="str">
        <x:v>Governance capital</x:v>
      </x:c>
      <x:c r="E86" s="14" t="str">
        <x:f>IF('Root Charters'!F25="","",'Root Charters'!F25)</x:f>
      </x:c>
      <x:c r="F86" s="17" t="n">
        <x:v>1</x:v>
      </x:c>
      <x:c r="G86" s="14" t="str">
        <x:f>IF(E86="","",COUNTIFS($D$5:$D$100,D86,$E$5:$E$100,E86))</x:f>
      </x:c>
      <x:c r="H86" s="14" t="str">
        <x:f>IF(E86="","SOURCE EMPTY",IF(G86&gt;F86,"COLLISION","DISTINCT"))</x:f>
        <x:v>SOURCE EMPTY</x:v>
      </x:c>
    </x:row>
    <x:row r="87">
      <x:c r="A87" s="14" t="str">
        <x:v>RT-A-CS3</x:v>
      </x:c>
      <x:c r="B87" s="14" t="str">
        <x:v>RT-A</x:v>
      </x:c>
      <x:c r="C87" s="14" t="str">
        <x:v>MS-RT</x:v>
      </x:c>
      <x:c r="D87" s="14" t="str">
        <x:v>Cross-default</x:v>
      </x:c>
      <x:c r="E87" s="14" t="str">
        <x:f>IF('Root Charters'!G25="","",'Root Charters'!G25)</x:f>
      </x:c>
      <x:c r="F87" s="17" t="n">
        <x:v>1</x:v>
      </x:c>
      <x:c r="G87" s="14" t="str">
        <x:f>IF(E87="","",COUNTIFS($D$5:$D$100,D87,$E$5:$E$100,E87))</x:f>
      </x:c>
      <x:c r="H87" s="14" t="str">
        <x:f>IF(E87="","SOURCE EMPTY",IF(G87&gt;F87,"COLLISION","DISTINCT"))</x:f>
        <x:v>SOURCE EMPTY</x:v>
      </x:c>
    </x:row>
    <x:row r="88">
      <x:c r="A88" s="14" t="str">
        <x:v>RT-A-CS4</x:v>
      </x:c>
      <x:c r="B88" s="14" t="str">
        <x:v>RT-A</x:v>
      </x:c>
      <x:c r="C88" s="14" t="str">
        <x:v>MS-RT</x:v>
      </x:c>
      <x:c r="D88" s="14" t="str">
        <x:v>Decisive chain</x:v>
      </x:c>
      <x:c r="E88" s="14" t="str">
        <x:f>IF('Root Charters'!H25="","",'Root Charters'!H25)</x:f>
      </x:c>
      <x:c r="F88" s="17" t="n">
        <x:v>1</x:v>
      </x:c>
      <x:c r="G88" s="14" t="str">
        <x:f>IF(E88="","",COUNTIFS($D$5:$D$100,D88,$E$5:$E$100,E88))</x:f>
      </x:c>
      <x:c r="H88" s="14" t="str">
        <x:f>IF(E88="","SOURCE EMPTY",IF(G88&gt;F88,"COLLISION","DISTINCT"))</x:f>
        <x:v>SOURCE EMPTY</x:v>
      </x:c>
    </x:row>
    <x:row r="89">
      <x:c r="A89" s="14" t="str">
        <x:v>RT-B-CS1</x:v>
      </x:c>
      <x:c r="B89" s="14" t="str">
        <x:v>RT-B</x:v>
      </x:c>
      <x:c r="C89" s="14" t="str">
        <x:v>MS-RT</x:v>
      </x:c>
      <x:c r="D89" s="14" t="str">
        <x:v>Beneficial control</x:v>
      </x:c>
      <x:c r="E89" s="14" t="str">
        <x:f>IF('Root Charters'!E26="","",'Root Charters'!E26)</x:f>
      </x:c>
      <x:c r="F89" s="17" t="n">
        <x:v>1</x:v>
      </x:c>
      <x:c r="G89" s="14" t="str">
        <x:f>IF(E89="","",COUNTIFS($D$5:$D$100,D89,$E$5:$E$100,E89))</x:f>
      </x:c>
      <x:c r="H89" s="14" t="str">
        <x:f>IF(E89="","SOURCE EMPTY",IF(G89&gt;F89,"COLLISION","DISTINCT"))</x:f>
        <x:v>SOURCE EMPTY</x:v>
      </x:c>
    </x:row>
    <x:row r="90">
      <x:c r="A90" s="14" t="str">
        <x:v>RT-B-CS2</x:v>
      </x:c>
      <x:c r="B90" s="14" t="str">
        <x:v>RT-B</x:v>
      </x:c>
      <x:c r="C90" s="14" t="str">
        <x:v>MS-RT</x:v>
      </x:c>
      <x:c r="D90" s="14" t="str">
        <x:v>Governance capital</x:v>
      </x:c>
      <x:c r="E90" s="14" t="str">
        <x:f>IF('Root Charters'!F26="","",'Root Charters'!F26)</x:f>
      </x:c>
      <x:c r="F90" s="17" t="n">
        <x:v>1</x:v>
      </x:c>
      <x:c r="G90" s="14" t="str">
        <x:f>IF(E90="","",COUNTIFS($D$5:$D$100,D90,$E$5:$E$100,E90))</x:f>
      </x:c>
      <x:c r="H90" s="14" t="str">
        <x:f>IF(E90="","SOURCE EMPTY",IF(G90&gt;F90,"COLLISION","DISTINCT"))</x:f>
        <x:v>SOURCE EMPTY</x:v>
      </x:c>
    </x:row>
    <x:row r="91">
      <x:c r="A91" s="14" t="str">
        <x:v>RT-B-CS3</x:v>
      </x:c>
      <x:c r="B91" s="14" t="str">
        <x:v>RT-B</x:v>
      </x:c>
      <x:c r="C91" s="14" t="str">
        <x:v>MS-RT</x:v>
      </x:c>
      <x:c r="D91" s="14" t="str">
        <x:v>Cross-default</x:v>
      </x:c>
      <x:c r="E91" s="14" t="str">
        <x:f>IF('Root Charters'!G26="","",'Root Charters'!G26)</x:f>
      </x:c>
      <x:c r="F91" s="17" t="n">
        <x:v>1</x:v>
      </x:c>
      <x:c r="G91" s="14" t="str">
        <x:f>IF(E91="","",COUNTIFS($D$5:$D$100,D91,$E$5:$E$100,E91))</x:f>
      </x:c>
      <x:c r="H91" s="14" t="str">
        <x:f>IF(E91="","SOURCE EMPTY",IF(G91&gt;F91,"COLLISION","DISTINCT"))</x:f>
        <x:v>SOURCE EMPTY</x:v>
      </x:c>
    </x:row>
    <x:row r="92">
      <x:c r="A92" s="14" t="str">
        <x:v>RT-B-CS4</x:v>
      </x:c>
      <x:c r="B92" s="14" t="str">
        <x:v>RT-B</x:v>
      </x:c>
      <x:c r="C92" s="14" t="str">
        <x:v>MS-RT</x:v>
      </x:c>
      <x:c r="D92" s="14" t="str">
        <x:v>Decisive chain</x:v>
      </x:c>
      <x:c r="E92" s="14" t="str">
        <x:f>IF('Root Charters'!H26="","",'Root Charters'!H26)</x:f>
      </x:c>
      <x:c r="F92" s="17" t="n">
        <x:v>1</x:v>
      </x:c>
      <x:c r="G92" s="14" t="str">
        <x:f>IF(E92="","",COUNTIFS($D$5:$D$100,D92,$E$5:$E$100,E92))</x:f>
      </x:c>
      <x:c r="H92" s="14" t="str">
        <x:f>IF(E92="","SOURCE EMPTY",IF(G92&gt;F92,"COLLISION","DISTINCT"))</x:f>
        <x:v>SOURCE EMPTY</x:v>
      </x:c>
    </x:row>
    <x:row r="93">
      <x:c r="A93" s="14" t="str">
        <x:v>RT-C-CS1</x:v>
      </x:c>
      <x:c r="B93" s="14" t="str">
        <x:v>RT-C</x:v>
      </x:c>
      <x:c r="C93" s="14" t="str">
        <x:v>MS-RT</x:v>
      </x:c>
      <x:c r="D93" s="14" t="str">
        <x:v>Beneficial control</x:v>
      </x:c>
      <x:c r="E93" s="14" t="str">
        <x:f>IF('Root Charters'!E27="","",'Root Charters'!E27)</x:f>
      </x:c>
      <x:c r="F93" s="17" t="n">
        <x:v>1</x:v>
      </x:c>
      <x:c r="G93" s="14" t="str">
        <x:f>IF(E93="","",COUNTIFS($D$5:$D$100,D93,$E$5:$E$100,E93))</x:f>
      </x:c>
      <x:c r="H93" s="14" t="str">
        <x:f>IF(E93="","SOURCE EMPTY",IF(G93&gt;F93,"COLLISION","DISTINCT"))</x:f>
        <x:v>SOURCE EMPTY</x:v>
      </x:c>
    </x:row>
    <x:row r="94">
      <x:c r="A94" s="14" t="str">
        <x:v>RT-C-CS2</x:v>
      </x:c>
      <x:c r="B94" s="14" t="str">
        <x:v>RT-C</x:v>
      </x:c>
      <x:c r="C94" s="14" t="str">
        <x:v>MS-RT</x:v>
      </x:c>
      <x:c r="D94" s="14" t="str">
        <x:v>Governance capital</x:v>
      </x:c>
      <x:c r="E94" s="14" t="str">
        <x:f>IF('Root Charters'!F27="","",'Root Charters'!F27)</x:f>
      </x:c>
      <x:c r="F94" s="17" t="n">
        <x:v>1</x:v>
      </x:c>
      <x:c r="G94" s="14" t="str">
        <x:f>IF(E94="","",COUNTIFS($D$5:$D$100,D94,$E$5:$E$100,E94))</x:f>
      </x:c>
      <x:c r="H94" s="14" t="str">
        <x:f>IF(E94="","SOURCE EMPTY",IF(G94&gt;F94,"COLLISION","DISTINCT"))</x:f>
        <x:v>SOURCE EMPTY</x:v>
      </x:c>
    </x:row>
    <x:row r="95">
      <x:c r="A95" s="14" t="str">
        <x:v>RT-C-CS3</x:v>
      </x:c>
      <x:c r="B95" s="14" t="str">
        <x:v>RT-C</x:v>
      </x:c>
      <x:c r="C95" s="14" t="str">
        <x:v>MS-RT</x:v>
      </x:c>
      <x:c r="D95" s="14" t="str">
        <x:v>Cross-default</x:v>
      </x:c>
      <x:c r="E95" s="14" t="str">
        <x:f>IF('Root Charters'!G27="","",'Root Charters'!G27)</x:f>
      </x:c>
      <x:c r="F95" s="17" t="n">
        <x:v>1</x:v>
      </x:c>
      <x:c r="G95" s="14" t="str">
        <x:f>IF(E95="","",COUNTIFS($D$5:$D$100,D95,$E$5:$E$100,E95))</x:f>
      </x:c>
      <x:c r="H95" s="14" t="str">
        <x:f>IF(E95="","SOURCE EMPTY",IF(G95&gt;F95,"COLLISION","DISTINCT"))</x:f>
        <x:v>SOURCE EMPTY</x:v>
      </x:c>
    </x:row>
    <x:row r="96">
      <x:c r="A96" s="14" t="str">
        <x:v>RT-C-CS4</x:v>
      </x:c>
      <x:c r="B96" s="14" t="str">
        <x:v>RT-C</x:v>
      </x:c>
      <x:c r="C96" s="14" t="str">
        <x:v>MS-RT</x:v>
      </x:c>
      <x:c r="D96" s="14" t="str">
        <x:v>Decisive chain</x:v>
      </x:c>
      <x:c r="E96" s="14" t="str">
        <x:f>IF('Root Charters'!H27="","",'Root Charters'!H27)</x:f>
      </x:c>
      <x:c r="F96" s="17" t="n">
        <x:v>1</x:v>
      </x:c>
      <x:c r="G96" s="14" t="str">
        <x:f>IF(E96="","",COUNTIFS($D$5:$D$100,D96,$E$5:$E$100,E96))</x:f>
      </x:c>
      <x:c r="H96" s="14" t="str">
        <x:f>IF(E96="","SOURCE EMPTY",IF(G96&gt;F96,"COLLISION","DISTINCT"))</x:f>
        <x:v>SOURCE EMPTY</x:v>
      </x:c>
    </x:row>
    <x:row r="97">
      <x:c r="A97" s="14" t="str">
        <x:v>RT-D-CS1</x:v>
      </x:c>
      <x:c r="B97" s="14" t="str">
        <x:v>RT-D</x:v>
      </x:c>
      <x:c r="C97" s="14" t="str">
        <x:v>MS-RT</x:v>
      </x:c>
      <x:c r="D97" s="14" t="str">
        <x:v>Beneficial control</x:v>
      </x:c>
      <x:c r="E97" s="14" t="str">
        <x:f>IF('Root Charters'!E28="","",'Root Charters'!E28)</x:f>
      </x:c>
      <x:c r="F97" s="17" t="n">
        <x:v>1</x:v>
      </x:c>
      <x:c r="G97" s="14" t="str">
        <x:f>IF(E97="","",COUNTIFS($D$5:$D$100,D97,$E$5:$E$100,E97))</x:f>
      </x:c>
      <x:c r="H97" s="14" t="str">
        <x:f>IF(E97="","SOURCE EMPTY",IF(G97&gt;F97,"COLLISION","DISTINCT"))</x:f>
        <x:v>SOURCE EMPTY</x:v>
      </x:c>
    </x:row>
    <x:row r="98">
      <x:c r="A98" s="14" t="str">
        <x:v>RT-D-CS2</x:v>
      </x:c>
      <x:c r="B98" s="14" t="str">
        <x:v>RT-D</x:v>
      </x:c>
      <x:c r="C98" s="14" t="str">
        <x:v>MS-RT</x:v>
      </x:c>
      <x:c r="D98" s="14" t="str">
        <x:v>Governance capital</x:v>
      </x:c>
      <x:c r="E98" s="14" t="str">
        <x:f>IF('Root Charters'!F28="","",'Root Charters'!F28)</x:f>
      </x:c>
      <x:c r="F98" s="17" t="n">
        <x:v>1</x:v>
      </x:c>
      <x:c r="G98" s="14" t="str">
        <x:f>IF(E98="","",COUNTIFS($D$5:$D$100,D98,$E$5:$E$100,E98))</x:f>
      </x:c>
      <x:c r="H98" s="14" t="str">
        <x:f>IF(E98="","SOURCE EMPTY",IF(G98&gt;F98,"COLLISION","DISTINCT"))</x:f>
        <x:v>SOURCE EMPTY</x:v>
      </x:c>
    </x:row>
    <x:row r="99">
      <x:c r="A99" s="14" t="str">
        <x:v>RT-D-CS3</x:v>
      </x:c>
      <x:c r="B99" s="14" t="str">
        <x:v>RT-D</x:v>
      </x:c>
      <x:c r="C99" s="14" t="str">
        <x:v>MS-RT</x:v>
      </x:c>
      <x:c r="D99" s="14" t="str">
        <x:v>Cross-default</x:v>
      </x:c>
      <x:c r="E99" s="14" t="str">
        <x:f>IF('Root Charters'!G28="","",'Root Charters'!G28)</x:f>
      </x:c>
      <x:c r="F99" s="17" t="n">
        <x:v>1</x:v>
      </x:c>
      <x:c r="G99" s="14" t="str">
        <x:f>IF(E99="","",COUNTIFS($D$5:$D$100,D99,$E$5:$E$100,E99))</x:f>
      </x:c>
      <x:c r="H99" s="14" t="str">
        <x:f>IF(E99="","SOURCE EMPTY",IF(G99&gt;F99,"COLLISION","DISTINCT"))</x:f>
        <x:v>SOURCE EMPTY</x:v>
      </x:c>
    </x:row>
    <x:row r="100">
      <x:c r="A100" s="15" t="str">
        <x:v>RT-D-CS4</x:v>
      </x:c>
      <x:c r="B100" s="15" t="str">
        <x:v>RT-D</x:v>
      </x:c>
      <x:c r="C100" s="15" t="str">
        <x:v>MS-RT</x:v>
      </x:c>
      <x:c r="D100" s="15" t="str">
        <x:v>Decisive chain</x:v>
      </x:c>
      <x:c r="E100" s="15" t="str">
        <x:f>IF('Root Charters'!H28="","",'Root Charters'!H28)</x:f>
      </x:c>
      <x:c r="F100" s="18" t="n">
        <x:v>1</x:v>
      </x:c>
      <x:c r="G100" s="15" t="str">
        <x:f>IF(E100="","",COUNTIFS($D$5:$D$100,D100,$E$5:$E$100,E100))</x:f>
      </x:c>
      <x:c r="H100" s="15" t="str">
        <x:f>IF(E100="","SOURCE EMPTY",IF(G100&gt;F100,"COLLISION","DISTINCT"))</x:f>
        <x:v>SOURCE EMPTY</x:v>
      </x:c>
    </x:row>
  </x:sheetData>
  <x:conditionalFormatting sqref="H5:H100">
    <x:cfRule type="containsText" dxfId="14" priority="1" operator="containsText" text="FAIL"/>
    <x:cfRule type="containsText" dxfId="15" priority="2" operator="containsText" text="BREACH"/>
    <x:cfRule type="containsText" dxfId="16" priority="3" operator="containsText" text="COLLISION"/>
    <x:cfRule type="containsText" dxfId="17" priority="4" operator="containsText" text="BLOCKED"/>
    <x:cfRule type="containsText" dxfId="18" priority="5" operator="containsText" text="SOURCE EMPTY"/>
    <x:cfRule type="containsText" dxfId="19" priority="6" operator="containsText" text="PASS"/>
    <x:cfRule type="containsText" dxfId="20" priority="7" operator="containsText" text="READY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25" hidden="0" customWidth="1"/>
    <x:col min="5" max="5" width="19" hidden="0" customWidth="1"/>
    <x:col min="6" max="6" width="18" hidden="0" customWidth="1"/>
    <x:col min="7" max="7" width="18" hidden="0" customWidth="1"/>
    <x:col min="8" max="8" width="23" hidden="0" customWidth="1"/>
    <x:col min="9" max="9" width="8" hidden="0" customWidth="1"/>
    <x:col min="10" max="10" width="13" hidden="0" customWidth="1"/>
    <x:col min="11" max="11" width="13" hidden="0" customWidth="1"/>
    <x:col min="12" max="12" width="12" hidden="0" customWidth="1"/>
    <x:col min="13" max="13" width="18" hidden="0" customWidth="1"/>
  </x:cols>
  <x:sheetData>
    <x:row r="2" ht="24" customHeight="1">
      <x:c r="A2" s="1" t="str">
        <x:v>Shared-dependency exposure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8" t="str">
        <x:v>Record</x:v>
      </x:c>
      <x:c r="B4" s="9" t="str">
        <x:v>Root</x:v>
      </x:c>
      <x:c r="C4" s="9" t="str">
        <x:v>System</x:v>
      </x:c>
      <x:c r="D4" s="9" t="str">
        <x:v>Dependency class</x:v>
      </x:c>
      <x:c r="E4" s="9" t="str">
        <x:v>Provider ID</x:v>
      </x:c>
      <x:c r="F4" s="9" t="str">
        <x:v>Region ID</x:v>
      </x:c>
      <x:c r="G4" s="9" t="str">
        <x:v>Toolchain ID</x:v>
      </x:c>
      <x:c r="H4" s="9" t="str">
        <x:v>Qualified alternate ID</x:v>
      </x:c>
      <x:c r="I4" s="9" t="str">
        <x:v>Cap</x:v>
      </x:c>
      <x:c r="J4" s="9" t="str">
        <x:v>Provider uses</x:v>
      </x:c>
      <x:c r="K4" s="9" t="str">
        <x:v>Region uses</x:v>
      </x:c>
      <x:c r="L4" s="9" t="str">
        <x:v>Tool uses</x:v>
      </x:c>
      <x:c r="M4" s="10" t="str">
        <x:v>State</x:v>
      </x:c>
    </x:row>
    <x:row r="5">
      <x:c r="A5" s="13" t="str">
        <x:v>TE-A-DP1</x:v>
      </x:c>
      <x:c r="B5" s="13" t="str">
        <x:v>TE-A</x:v>
      </x:c>
      <x:c r="C5" s="13" t="str">
        <x:v>MS-ET</x:v>
      </x:c>
      <x:c r="D5" s="13" t="str">
        <x:v>Critical feedstock</x:v>
      </x:c>
      <x:c r="E5" s="16"/>
      <x:c r="F5" s="16"/>
      <x:c r="G5" s="16"/>
      <x:c r="H5" s="16"/>
      <x:c r="I5" s="16" t="n">
        <x:v>2</x:v>
      </x:c>
      <x:c r="J5" s="13" t="str">
        <x:f>IF(E5="","",COUNTIFS($E$5:$E$76,E5))</x:f>
      </x:c>
      <x:c r="K5" s="13" t="str">
        <x:f>IF(F5="","",COUNTIFS($F$5:$F$76,F5))</x:f>
      </x:c>
      <x:c r="L5" s="13" t="str">
        <x:f>IF(G5="","",COUNTIFS($G$5:$G$76,G5))</x:f>
      </x:c>
      <x:c r="M5" s="13" t="str">
        <x:f>IF(COUNTA(E5:H5)&lt;4,"SOURCE EMPTY",IF(OR(E5=H5,J5&gt;I5,K5&gt;I5,L5&gt;I5),"BREACH","COMPLIANT"))</x:f>
        <x:v>SOURCE EMPTY</x:v>
      </x:c>
    </x:row>
    <x:row r="6">
      <x:c r="A6" s="14" t="str">
        <x:v>TE-A-DP2</x:v>
      </x:c>
      <x:c r="B6" s="14" t="str">
        <x:v>TE-A</x:v>
      </x:c>
      <x:c r="C6" s="14" t="str">
        <x:v>MS-ET</x:v>
      </x:c>
      <x:c r="D6" s="14" t="str">
        <x:v>Public-interface component</x:v>
      </x:c>
      <x:c r="E6" s="17"/>
      <x:c r="F6" s="17"/>
      <x:c r="G6" s="17"/>
      <x:c r="H6" s="17"/>
      <x:c r="I6" s="17" t="n">
        <x:v>2</x:v>
      </x:c>
      <x:c r="J6" s="14" t="str">
        <x:f>IF(E6="","",COUNTIFS($E$5:$E$76,E6))</x:f>
      </x:c>
      <x:c r="K6" s="14" t="str">
        <x:f>IF(F6="","",COUNTIFS($F$5:$F$76,F6))</x:f>
      </x:c>
      <x:c r="L6" s="14" t="str">
        <x:f>IF(G6="","",COUNTIFS($G$5:$G$76,G6))</x:f>
      </x:c>
      <x:c r="M6" s="14" t="str">
        <x:f>IF(COUNTA(E6:H6)&lt;4,"SOURCE EMPTY",IF(OR(E6=H6,J6&gt;I6,K6&gt;I6,L6&gt;I6),"BREACH","COMPLIANT"))</x:f>
        <x:v>SOURCE EMPTY</x:v>
      </x:c>
    </x:row>
    <x:row r="7">
      <x:c r="A7" s="14" t="str">
        <x:v>TE-A-DP3</x:v>
      </x:c>
      <x:c r="B7" s="14" t="str">
        <x:v>TE-A</x:v>
      </x:c>
      <x:c r="C7" s="14" t="str">
        <x:v>MS-ET</x:v>
      </x:c>
      <x:c r="D7" s="14" t="str">
        <x:v>Production service</x:v>
      </x:c>
      <x:c r="E7" s="17"/>
      <x:c r="F7" s="17"/>
      <x:c r="G7" s="17"/>
      <x:c r="H7" s="17"/>
      <x:c r="I7" s="17" t="n">
        <x:v>2</x:v>
      </x:c>
      <x:c r="J7" s="14" t="str">
        <x:f>IF(E7="","",COUNTIFS($E$5:$E$76,E7))</x:f>
      </x:c>
      <x:c r="K7" s="14" t="str">
        <x:f>IF(F7="","",COUNTIFS($F$5:$F$76,F7))</x:f>
      </x:c>
      <x:c r="L7" s="14" t="str">
        <x:f>IF(G7="","",COUNTIFS($G$5:$G$76,G7))</x:f>
      </x:c>
      <x:c r="M7" s="14" t="str">
        <x:f>IF(COUNTA(E7:H7)&lt;4,"SOURCE EMPTY",IF(OR(E7=H7,J7&gt;I7,K7&gt;I7,L7&gt;I7),"BREACH","COMPLIANT"))</x:f>
        <x:v>SOURCE EMPTY</x:v>
      </x:c>
    </x:row>
    <x:row r="8">
      <x:c r="A8" s="14" t="str">
        <x:v>TE-B-DP1</x:v>
      </x:c>
      <x:c r="B8" s="14" t="str">
        <x:v>TE-B</x:v>
      </x:c>
      <x:c r="C8" s="14" t="str">
        <x:v>MS-ET</x:v>
      </x:c>
      <x:c r="D8" s="14" t="str">
        <x:v>Critical feedstock</x:v>
      </x:c>
      <x:c r="E8" s="17"/>
      <x:c r="F8" s="17"/>
      <x:c r="G8" s="17"/>
      <x:c r="H8" s="17"/>
      <x:c r="I8" s="17" t="n">
        <x:v>2</x:v>
      </x:c>
      <x:c r="J8" s="14" t="str">
        <x:f>IF(E8="","",COUNTIFS($E$5:$E$76,E8))</x:f>
      </x:c>
      <x:c r="K8" s="14" t="str">
        <x:f>IF(F8="","",COUNTIFS($F$5:$F$76,F8))</x:f>
      </x:c>
      <x:c r="L8" s="14" t="str">
        <x:f>IF(G8="","",COUNTIFS($G$5:$G$76,G8))</x:f>
      </x:c>
      <x:c r="M8" s="14" t="str">
        <x:f>IF(COUNTA(E8:H8)&lt;4,"SOURCE EMPTY",IF(OR(E8=H8,J8&gt;I8,K8&gt;I8,L8&gt;I8),"BREACH","COMPLIANT"))</x:f>
        <x:v>SOURCE EMPTY</x:v>
      </x:c>
    </x:row>
    <x:row r="9">
      <x:c r="A9" s="14" t="str">
        <x:v>TE-B-DP2</x:v>
      </x:c>
      <x:c r="B9" s="14" t="str">
        <x:v>TE-B</x:v>
      </x:c>
      <x:c r="C9" s="14" t="str">
        <x:v>MS-ET</x:v>
      </x:c>
      <x:c r="D9" s="14" t="str">
        <x:v>Public-interface component</x:v>
      </x:c>
      <x:c r="E9" s="17"/>
      <x:c r="F9" s="17"/>
      <x:c r="G9" s="17"/>
      <x:c r="H9" s="17"/>
      <x:c r="I9" s="17" t="n">
        <x:v>2</x:v>
      </x:c>
      <x:c r="J9" s="14" t="str">
        <x:f>IF(E9="","",COUNTIFS($E$5:$E$76,E9))</x:f>
      </x:c>
      <x:c r="K9" s="14" t="str">
        <x:f>IF(F9="","",COUNTIFS($F$5:$F$76,F9))</x:f>
      </x:c>
      <x:c r="L9" s="14" t="str">
        <x:f>IF(G9="","",COUNTIFS($G$5:$G$76,G9))</x:f>
      </x:c>
      <x:c r="M9" s="14" t="str">
        <x:f>IF(COUNTA(E9:H9)&lt;4,"SOURCE EMPTY",IF(OR(E9=H9,J9&gt;I9,K9&gt;I9,L9&gt;I9),"BREACH","COMPLIANT"))</x:f>
        <x:v>SOURCE EMPTY</x:v>
      </x:c>
    </x:row>
    <x:row r="10">
      <x:c r="A10" s="14" t="str">
        <x:v>TE-B-DP3</x:v>
      </x:c>
      <x:c r="B10" s="14" t="str">
        <x:v>TE-B</x:v>
      </x:c>
      <x:c r="C10" s="14" t="str">
        <x:v>MS-ET</x:v>
      </x:c>
      <x:c r="D10" s="14" t="str">
        <x:v>Production service</x:v>
      </x:c>
      <x:c r="E10" s="17"/>
      <x:c r="F10" s="17"/>
      <x:c r="G10" s="17"/>
      <x:c r="H10" s="17"/>
      <x:c r="I10" s="17" t="n">
        <x:v>2</x:v>
      </x:c>
      <x:c r="J10" s="14" t="str">
        <x:f>IF(E10="","",COUNTIFS($E$5:$E$76,E10))</x:f>
      </x:c>
      <x:c r="K10" s="14" t="str">
        <x:f>IF(F10="","",COUNTIFS($F$5:$F$76,F10))</x:f>
      </x:c>
      <x:c r="L10" s="14" t="str">
        <x:f>IF(G10="","",COUNTIFS($G$5:$G$76,G10))</x:f>
      </x:c>
      <x:c r="M10" s="14" t="str">
        <x:f>IF(COUNTA(E10:H10)&lt;4,"SOURCE EMPTY",IF(OR(E10=H10,J10&gt;I10,K10&gt;I10,L10&gt;I10),"BREACH","COMPLIANT"))</x:f>
        <x:v>SOURCE EMPTY</x:v>
      </x:c>
    </x:row>
    <x:row r="11">
      <x:c r="A11" s="14" t="str">
        <x:v>TE-C-DP1</x:v>
      </x:c>
      <x:c r="B11" s="14" t="str">
        <x:v>TE-C</x:v>
      </x:c>
      <x:c r="C11" s="14" t="str">
        <x:v>MS-ET</x:v>
      </x:c>
      <x:c r="D11" s="14" t="str">
        <x:v>Critical feedstock</x:v>
      </x:c>
      <x:c r="E11" s="17"/>
      <x:c r="F11" s="17"/>
      <x:c r="G11" s="17"/>
      <x:c r="H11" s="17"/>
      <x:c r="I11" s="17" t="n">
        <x:v>2</x:v>
      </x:c>
      <x:c r="J11" s="14" t="str">
        <x:f>IF(E11="","",COUNTIFS($E$5:$E$76,E11))</x:f>
      </x:c>
      <x:c r="K11" s="14" t="str">
        <x:f>IF(F11="","",COUNTIFS($F$5:$F$76,F11))</x:f>
      </x:c>
      <x:c r="L11" s="14" t="str">
        <x:f>IF(G11="","",COUNTIFS($G$5:$G$76,G11))</x:f>
      </x:c>
      <x:c r="M11" s="14" t="str">
        <x:f>IF(COUNTA(E11:H11)&lt;4,"SOURCE EMPTY",IF(OR(E11=H11,J11&gt;I11,K11&gt;I11,L11&gt;I11),"BREACH","COMPLIANT"))</x:f>
        <x:v>SOURCE EMPTY</x:v>
      </x:c>
    </x:row>
    <x:row r="12">
      <x:c r="A12" s="14" t="str">
        <x:v>TE-C-DP2</x:v>
      </x:c>
      <x:c r="B12" s="14" t="str">
        <x:v>TE-C</x:v>
      </x:c>
      <x:c r="C12" s="14" t="str">
        <x:v>MS-ET</x:v>
      </x:c>
      <x:c r="D12" s="14" t="str">
        <x:v>Public-interface component</x:v>
      </x:c>
      <x:c r="E12" s="17"/>
      <x:c r="F12" s="17"/>
      <x:c r="G12" s="17"/>
      <x:c r="H12" s="17"/>
      <x:c r="I12" s="17" t="n">
        <x:v>2</x:v>
      </x:c>
      <x:c r="J12" s="14" t="str">
        <x:f>IF(E12="","",COUNTIFS($E$5:$E$76,E12))</x:f>
      </x:c>
      <x:c r="K12" s="14" t="str">
        <x:f>IF(F12="","",COUNTIFS($F$5:$F$76,F12))</x:f>
      </x:c>
      <x:c r="L12" s="14" t="str">
        <x:f>IF(G12="","",COUNTIFS($G$5:$G$76,G12))</x:f>
      </x:c>
      <x:c r="M12" s="14" t="str">
        <x:f>IF(COUNTA(E12:H12)&lt;4,"SOURCE EMPTY",IF(OR(E12=H12,J12&gt;I12,K12&gt;I12,L12&gt;I12),"BREACH","COMPLIANT"))</x:f>
        <x:v>SOURCE EMPTY</x:v>
      </x:c>
    </x:row>
    <x:row r="13">
      <x:c r="A13" s="14" t="str">
        <x:v>TE-C-DP3</x:v>
      </x:c>
      <x:c r="B13" s="14" t="str">
        <x:v>TE-C</x:v>
      </x:c>
      <x:c r="C13" s="14" t="str">
        <x:v>MS-ET</x:v>
      </x:c>
      <x:c r="D13" s="14" t="str">
        <x:v>Production service</x:v>
      </x:c>
      <x:c r="E13" s="17"/>
      <x:c r="F13" s="17"/>
      <x:c r="G13" s="17"/>
      <x:c r="H13" s="17"/>
      <x:c r="I13" s="17" t="n">
        <x:v>2</x:v>
      </x:c>
      <x:c r="J13" s="14" t="str">
        <x:f>IF(E13="","",COUNTIFS($E$5:$E$76,E13))</x:f>
      </x:c>
      <x:c r="K13" s="14" t="str">
        <x:f>IF(F13="","",COUNTIFS($F$5:$F$76,F13))</x:f>
      </x:c>
      <x:c r="L13" s="14" t="str">
        <x:f>IF(G13="","",COUNTIFS($G$5:$G$76,G13))</x:f>
      </x:c>
      <x:c r="M13" s="14" t="str">
        <x:f>IF(COUNTA(E13:H13)&lt;4,"SOURCE EMPTY",IF(OR(E13=H13,J13&gt;I13,K13&gt;I13,L13&gt;I13),"BREACH","COMPLIANT"))</x:f>
        <x:v>SOURCE EMPTY</x:v>
      </x:c>
    </x:row>
    <x:row r="14">
      <x:c r="A14" s="14" t="str">
        <x:v>TE-D-DP1</x:v>
      </x:c>
      <x:c r="B14" s="14" t="str">
        <x:v>TE-D</x:v>
      </x:c>
      <x:c r="C14" s="14" t="str">
        <x:v>MS-ET</x:v>
      </x:c>
      <x:c r="D14" s="14" t="str">
        <x:v>Critical feedstock</x:v>
      </x:c>
      <x:c r="E14" s="17"/>
      <x:c r="F14" s="17"/>
      <x:c r="G14" s="17"/>
      <x:c r="H14" s="17"/>
      <x:c r="I14" s="17" t="n">
        <x:v>2</x:v>
      </x:c>
      <x:c r="J14" s="14" t="str">
        <x:f>IF(E14="","",COUNTIFS($E$5:$E$76,E14))</x:f>
      </x:c>
      <x:c r="K14" s="14" t="str">
        <x:f>IF(F14="","",COUNTIFS($F$5:$F$76,F14))</x:f>
      </x:c>
      <x:c r="L14" s="14" t="str">
        <x:f>IF(G14="","",COUNTIFS($G$5:$G$76,G14))</x:f>
      </x:c>
      <x:c r="M14" s="14" t="str">
        <x:f>IF(COUNTA(E14:H14)&lt;4,"SOURCE EMPTY",IF(OR(E14=H14,J14&gt;I14,K14&gt;I14,L14&gt;I14),"BREACH","COMPLIANT"))</x:f>
        <x:v>SOURCE EMPTY</x:v>
      </x:c>
    </x:row>
    <x:row r="15">
      <x:c r="A15" s="14" t="str">
        <x:v>TE-D-DP2</x:v>
      </x:c>
      <x:c r="B15" s="14" t="str">
        <x:v>TE-D</x:v>
      </x:c>
      <x:c r="C15" s="14" t="str">
        <x:v>MS-ET</x:v>
      </x:c>
      <x:c r="D15" s="14" t="str">
        <x:v>Public-interface component</x:v>
      </x:c>
      <x:c r="E15" s="17"/>
      <x:c r="F15" s="17"/>
      <x:c r="G15" s="17"/>
      <x:c r="H15" s="17"/>
      <x:c r="I15" s="17" t="n">
        <x:v>2</x:v>
      </x:c>
      <x:c r="J15" s="14" t="str">
        <x:f>IF(E15="","",COUNTIFS($E$5:$E$76,E15))</x:f>
      </x:c>
      <x:c r="K15" s="14" t="str">
        <x:f>IF(F15="","",COUNTIFS($F$5:$F$76,F15))</x:f>
      </x:c>
      <x:c r="L15" s="14" t="str">
        <x:f>IF(G15="","",COUNTIFS($G$5:$G$76,G15))</x:f>
      </x:c>
      <x:c r="M15" s="14" t="str">
        <x:f>IF(COUNTA(E15:H15)&lt;4,"SOURCE EMPTY",IF(OR(E15=H15,J15&gt;I15,K15&gt;I15,L15&gt;I15),"BREACH","COMPLIANT"))</x:f>
        <x:v>SOURCE EMPTY</x:v>
      </x:c>
    </x:row>
    <x:row r="16">
      <x:c r="A16" s="14" t="str">
        <x:v>TE-D-DP3</x:v>
      </x:c>
      <x:c r="B16" s="14" t="str">
        <x:v>TE-D</x:v>
      </x:c>
      <x:c r="C16" s="14" t="str">
        <x:v>MS-ET</x:v>
      </x:c>
      <x:c r="D16" s="14" t="str">
        <x:v>Production service</x:v>
      </x:c>
      <x:c r="E16" s="17"/>
      <x:c r="F16" s="17"/>
      <x:c r="G16" s="17"/>
      <x:c r="H16" s="17"/>
      <x:c r="I16" s="17" t="n">
        <x:v>2</x:v>
      </x:c>
      <x:c r="J16" s="14" t="str">
        <x:f>IF(E16="","",COUNTIFS($E$5:$E$76,E16))</x:f>
      </x:c>
      <x:c r="K16" s="14" t="str">
        <x:f>IF(F16="","",COUNTIFS($F$5:$F$76,F16))</x:f>
      </x:c>
      <x:c r="L16" s="14" t="str">
        <x:f>IF(G16="","",COUNTIFS($G$5:$G$76,G16))</x:f>
      </x:c>
      <x:c r="M16" s="14" t="str">
        <x:f>IF(COUNTA(E16:H16)&lt;4,"SOURCE EMPTY",IF(OR(E16=H16,J16&gt;I16,K16&gt;I16,L16&gt;I16),"BREACH","COMPLIANT"))</x:f>
        <x:v>SOURCE EMPTY</x:v>
      </x:c>
    </x:row>
    <x:row r="17">
      <x:c r="A17" s="14" t="str">
        <x:v>CT-A-DP1</x:v>
      </x:c>
      <x:c r="B17" s="14" t="str">
        <x:v>CT-A</x:v>
      </x:c>
      <x:c r="C17" s="14" t="str">
        <x:v>MS-CT</x:v>
      </x:c>
      <x:c r="D17" s="14" t="str">
        <x:v>Critical feedstock</x:v>
      </x:c>
      <x:c r="E17" s="17"/>
      <x:c r="F17" s="17"/>
      <x:c r="G17" s="17"/>
      <x:c r="H17" s="17"/>
      <x:c r="I17" s="17" t="n">
        <x:v>2</x:v>
      </x:c>
      <x:c r="J17" s="14" t="str">
        <x:f>IF(E17="","",COUNTIFS($E$5:$E$76,E17))</x:f>
      </x:c>
      <x:c r="K17" s="14" t="str">
        <x:f>IF(F17="","",COUNTIFS($F$5:$F$76,F17))</x:f>
      </x:c>
      <x:c r="L17" s="14" t="str">
        <x:f>IF(G17="","",COUNTIFS($G$5:$G$76,G17))</x:f>
      </x:c>
      <x:c r="M17" s="14" t="str">
        <x:f>IF(COUNTA(E17:H17)&lt;4,"SOURCE EMPTY",IF(OR(E17=H17,J17&gt;I17,K17&gt;I17,L17&gt;I17),"BREACH","COMPLIANT"))</x:f>
        <x:v>SOURCE EMPTY</x:v>
      </x:c>
    </x:row>
    <x:row r="18">
      <x:c r="A18" s="14" t="str">
        <x:v>CT-A-DP2</x:v>
      </x:c>
      <x:c r="B18" s="14" t="str">
        <x:v>CT-A</x:v>
      </x:c>
      <x:c r="C18" s="14" t="str">
        <x:v>MS-CT</x:v>
      </x:c>
      <x:c r="D18" s="14" t="str">
        <x:v>Public-interface component</x:v>
      </x:c>
      <x:c r="E18" s="17"/>
      <x:c r="F18" s="17"/>
      <x:c r="G18" s="17"/>
      <x:c r="H18" s="17"/>
      <x:c r="I18" s="17" t="n">
        <x:v>2</x:v>
      </x:c>
      <x:c r="J18" s="14" t="str">
        <x:f>IF(E18="","",COUNTIFS($E$5:$E$76,E18))</x:f>
      </x:c>
      <x:c r="K18" s="14" t="str">
        <x:f>IF(F18="","",COUNTIFS($F$5:$F$76,F18))</x:f>
      </x:c>
      <x:c r="L18" s="14" t="str">
        <x:f>IF(G18="","",COUNTIFS($G$5:$G$76,G18))</x:f>
      </x:c>
      <x:c r="M18" s="14" t="str">
        <x:f>IF(COUNTA(E18:H18)&lt;4,"SOURCE EMPTY",IF(OR(E18=H18,J18&gt;I18,K18&gt;I18,L18&gt;I18),"BREACH","COMPLIANT"))</x:f>
        <x:v>SOURCE EMPTY</x:v>
      </x:c>
    </x:row>
    <x:row r="19">
      <x:c r="A19" s="14" t="str">
        <x:v>CT-A-DP3</x:v>
      </x:c>
      <x:c r="B19" s="14" t="str">
        <x:v>CT-A</x:v>
      </x:c>
      <x:c r="C19" s="14" t="str">
        <x:v>MS-CT</x:v>
      </x:c>
      <x:c r="D19" s="14" t="str">
        <x:v>Production service</x:v>
      </x:c>
      <x:c r="E19" s="17"/>
      <x:c r="F19" s="17"/>
      <x:c r="G19" s="17"/>
      <x:c r="H19" s="17"/>
      <x:c r="I19" s="17" t="n">
        <x:v>2</x:v>
      </x:c>
      <x:c r="J19" s="14" t="str">
        <x:f>IF(E19="","",COUNTIFS($E$5:$E$76,E19))</x:f>
      </x:c>
      <x:c r="K19" s="14" t="str">
        <x:f>IF(F19="","",COUNTIFS($F$5:$F$76,F19))</x:f>
      </x:c>
      <x:c r="L19" s="14" t="str">
        <x:f>IF(G19="","",COUNTIFS($G$5:$G$76,G19))</x:f>
      </x:c>
      <x:c r="M19" s="14" t="str">
        <x:f>IF(COUNTA(E19:H19)&lt;4,"SOURCE EMPTY",IF(OR(E19=H19,J19&gt;I19,K19&gt;I19,L19&gt;I19),"BREACH","COMPLIANT"))</x:f>
        <x:v>SOURCE EMPTY</x:v>
      </x:c>
    </x:row>
    <x:row r="20">
      <x:c r="A20" s="14" t="str">
        <x:v>CT-B-DP1</x:v>
      </x:c>
      <x:c r="B20" s="14" t="str">
        <x:v>CT-B</x:v>
      </x:c>
      <x:c r="C20" s="14" t="str">
        <x:v>MS-CT</x:v>
      </x:c>
      <x:c r="D20" s="14" t="str">
        <x:v>Critical feedstock</x:v>
      </x:c>
      <x:c r="E20" s="17"/>
      <x:c r="F20" s="17"/>
      <x:c r="G20" s="17"/>
      <x:c r="H20" s="17"/>
      <x:c r="I20" s="17" t="n">
        <x:v>2</x:v>
      </x:c>
      <x:c r="J20" s="14" t="str">
        <x:f>IF(E20="","",COUNTIFS($E$5:$E$76,E20))</x:f>
      </x:c>
      <x:c r="K20" s="14" t="str">
        <x:f>IF(F20="","",COUNTIFS($F$5:$F$76,F20))</x:f>
      </x:c>
      <x:c r="L20" s="14" t="str">
        <x:f>IF(G20="","",COUNTIFS($G$5:$G$76,G20))</x:f>
      </x:c>
      <x:c r="M20" s="14" t="str">
        <x:f>IF(COUNTA(E20:H20)&lt;4,"SOURCE EMPTY",IF(OR(E20=H20,J20&gt;I20,K20&gt;I20,L20&gt;I20),"BREACH","COMPLIANT"))</x:f>
        <x:v>SOURCE EMPTY</x:v>
      </x:c>
    </x:row>
    <x:row r="21">
      <x:c r="A21" s="14" t="str">
        <x:v>CT-B-DP2</x:v>
      </x:c>
      <x:c r="B21" s="14" t="str">
        <x:v>CT-B</x:v>
      </x:c>
      <x:c r="C21" s="14" t="str">
        <x:v>MS-CT</x:v>
      </x:c>
      <x:c r="D21" s="14" t="str">
        <x:v>Public-interface component</x:v>
      </x:c>
      <x:c r="E21" s="17"/>
      <x:c r="F21" s="17"/>
      <x:c r="G21" s="17"/>
      <x:c r="H21" s="17"/>
      <x:c r="I21" s="17" t="n">
        <x:v>2</x:v>
      </x:c>
      <x:c r="J21" s="14" t="str">
        <x:f>IF(E21="","",COUNTIFS($E$5:$E$76,E21))</x:f>
      </x:c>
      <x:c r="K21" s="14" t="str">
        <x:f>IF(F21="","",COUNTIFS($F$5:$F$76,F21))</x:f>
      </x:c>
      <x:c r="L21" s="14" t="str">
        <x:f>IF(G21="","",COUNTIFS($G$5:$G$76,G21))</x:f>
      </x:c>
      <x:c r="M21" s="14" t="str">
        <x:f>IF(COUNTA(E21:H21)&lt;4,"SOURCE EMPTY",IF(OR(E21=H21,J21&gt;I21,K21&gt;I21,L21&gt;I21),"BREACH","COMPLIANT"))</x:f>
        <x:v>SOURCE EMPTY</x:v>
      </x:c>
    </x:row>
    <x:row r="22">
      <x:c r="A22" s="14" t="str">
        <x:v>CT-B-DP3</x:v>
      </x:c>
      <x:c r="B22" s="14" t="str">
        <x:v>CT-B</x:v>
      </x:c>
      <x:c r="C22" s="14" t="str">
        <x:v>MS-CT</x:v>
      </x:c>
      <x:c r="D22" s="14" t="str">
        <x:v>Production service</x:v>
      </x:c>
      <x:c r="E22" s="17"/>
      <x:c r="F22" s="17"/>
      <x:c r="G22" s="17"/>
      <x:c r="H22" s="17"/>
      <x:c r="I22" s="17" t="n">
        <x:v>2</x:v>
      </x:c>
      <x:c r="J22" s="14" t="str">
        <x:f>IF(E22="","",COUNTIFS($E$5:$E$76,E22))</x:f>
      </x:c>
      <x:c r="K22" s="14" t="str">
        <x:f>IF(F22="","",COUNTIFS($F$5:$F$76,F22))</x:f>
      </x:c>
      <x:c r="L22" s="14" t="str">
        <x:f>IF(G22="","",COUNTIFS($G$5:$G$76,G22))</x:f>
      </x:c>
      <x:c r="M22" s="14" t="str">
        <x:f>IF(COUNTA(E22:H22)&lt;4,"SOURCE EMPTY",IF(OR(E22=H22,J22&gt;I22,K22&gt;I22,L22&gt;I22),"BREACH","COMPLIANT"))</x:f>
        <x:v>SOURCE EMPTY</x:v>
      </x:c>
    </x:row>
    <x:row r="23">
      <x:c r="A23" s="14" t="str">
        <x:v>CT-C-DP1</x:v>
      </x:c>
      <x:c r="B23" s="14" t="str">
        <x:v>CT-C</x:v>
      </x:c>
      <x:c r="C23" s="14" t="str">
        <x:v>MS-CT</x:v>
      </x:c>
      <x:c r="D23" s="14" t="str">
        <x:v>Critical feedstock</x:v>
      </x:c>
      <x:c r="E23" s="17"/>
      <x:c r="F23" s="17"/>
      <x:c r="G23" s="17"/>
      <x:c r="H23" s="17"/>
      <x:c r="I23" s="17" t="n">
        <x:v>2</x:v>
      </x:c>
      <x:c r="J23" s="14" t="str">
        <x:f>IF(E23="","",COUNTIFS($E$5:$E$76,E23))</x:f>
      </x:c>
      <x:c r="K23" s="14" t="str">
        <x:f>IF(F23="","",COUNTIFS($F$5:$F$76,F23))</x:f>
      </x:c>
      <x:c r="L23" s="14" t="str">
        <x:f>IF(G23="","",COUNTIFS($G$5:$G$76,G23))</x:f>
      </x:c>
      <x:c r="M23" s="14" t="str">
        <x:f>IF(COUNTA(E23:H23)&lt;4,"SOURCE EMPTY",IF(OR(E23=H23,J23&gt;I23,K23&gt;I23,L23&gt;I23),"BREACH","COMPLIANT"))</x:f>
        <x:v>SOURCE EMPTY</x:v>
      </x:c>
    </x:row>
    <x:row r="24">
      <x:c r="A24" s="14" t="str">
        <x:v>CT-C-DP2</x:v>
      </x:c>
      <x:c r="B24" s="14" t="str">
        <x:v>CT-C</x:v>
      </x:c>
      <x:c r="C24" s="14" t="str">
        <x:v>MS-CT</x:v>
      </x:c>
      <x:c r="D24" s="14" t="str">
        <x:v>Public-interface component</x:v>
      </x:c>
      <x:c r="E24" s="17"/>
      <x:c r="F24" s="17"/>
      <x:c r="G24" s="17"/>
      <x:c r="H24" s="17"/>
      <x:c r="I24" s="17" t="n">
        <x:v>2</x:v>
      </x:c>
      <x:c r="J24" s="14" t="str">
        <x:f>IF(E24="","",COUNTIFS($E$5:$E$76,E24))</x:f>
      </x:c>
      <x:c r="K24" s="14" t="str">
        <x:f>IF(F24="","",COUNTIFS($F$5:$F$76,F24))</x:f>
      </x:c>
      <x:c r="L24" s="14" t="str">
        <x:f>IF(G24="","",COUNTIFS($G$5:$G$76,G24))</x:f>
      </x:c>
      <x:c r="M24" s="14" t="str">
        <x:f>IF(COUNTA(E24:H24)&lt;4,"SOURCE EMPTY",IF(OR(E24=H24,J24&gt;I24,K24&gt;I24,L24&gt;I24),"BREACH","COMPLIANT"))</x:f>
        <x:v>SOURCE EMPTY</x:v>
      </x:c>
    </x:row>
    <x:row r="25">
      <x:c r="A25" s="14" t="str">
        <x:v>CT-C-DP3</x:v>
      </x:c>
      <x:c r="B25" s="14" t="str">
        <x:v>CT-C</x:v>
      </x:c>
      <x:c r="C25" s="14" t="str">
        <x:v>MS-CT</x:v>
      </x:c>
      <x:c r="D25" s="14" t="str">
        <x:v>Production service</x:v>
      </x:c>
      <x:c r="E25" s="17"/>
      <x:c r="F25" s="17"/>
      <x:c r="G25" s="17"/>
      <x:c r="H25" s="17"/>
      <x:c r="I25" s="17" t="n">
        <x:v>2</x:v>
      </x:c>
      <x:c r="J25" s="14" t="str">
        <x:f>IF(E25="","",COUNTIFS($E$5:$E$76,E25))</x:f>
      </x:c>
      <x:c r="K25" s="14" t="str">
        <x:f>IF(F25="","",COUNTIFS($F$5:$F$76,F25))</x:f>
      </x:c>
      <x:c r="L25" s="14" t="str">
        <x:f>IF(G25="","",COUNTIFS($G$5:$G$76,G25))</x:f>
      </x:c>
      <x:c r="M25" s="14" t="str">
        <x:f>IF(COUNTA(E25:H25)&lt;4,"SOURCE EMPTY",IF(OR(E25=H25,J25&gt;I25,K25&gt;I25,L25&gt;I25),"BREACH","COMPLIANT"))</x:f>
        <x:v>SOURCE EMPTY</x:v>
      </x:c>
    </x:row>
    <x:row r="26">
      <x:c r="A26" s="14" t="str">
        <x:v>CT-D-DP1</x:v>
      </x:c>
      <x:c r="B26" s="14" t="str">
        <x:v>CT-D</x:v>
      </x:c>
      <x:c r="C26" s="14" t="str">
        <x:v>MS-CT</x:v>
      </x:c>
      <x:c r="D26" s="14" t="str">
        <x:v>Critical feedstock</x:v>
      </x:c>
      <x:c r="E26" s="17"/>
      <x:c r="F26" s="17"/>
      <x:c r="G26" s="17"/>
      <x:c r="H26" s="17"/>
      <x:c r="I26" s="17" t="n">
        <x:v>2</x:v>
      </x:c>
      <x:c r="J26" s="14" t="str">
        <x:f>IF(E26="","",COUNTIFS($E$5:$E$76,E26))</x:f>
      </x:c>
      <x:c r="K26" s="14" t="str">
        <x:f>IF(F26="","",COUNTIFS($F$5:$F$76,F26))</x:f>
      </x:c>
      <x:c r="L26" s="14" t="str">
        <x:f>IF(G26="","",COUNTIFS($G$5:$G$76,G26))</x:f>
      </x:c>
      <x:c r="M26" s="14" t="str">
        <x:f>IF(COUNTA(E26:H26)&lt;4,"SOURCE EMPTY",IF(OR(E26=H26,J26&gt;I26,K26&gt;I26,L26&gt;I26),"BREACH","COMPLIANT"))</x:f>
        <x:v>SOURCE EMPTY</x:v>
      </x:c>
    </x:row>
    <x:row r="27">
      <x:c r="A27" s="14" t="str">
        <x:v>CT-D-DP2</x:v>
      </x:c>
      <x:c r="B27" s="14" t="str">
        <x:v>CT-D</x:v>
      </x:c>
      <x:c r="C27" s="14" t="str">
        <x:v>MS-CT</x:v>
      </x:c>
      <x:c r="D27" s="14" t="str">
        <x:v>Public-interface component</x:v>
      </x:c>
      <x:c r="E27" s="17"/>
      <x:c r="F27" s="17"/>
      <x:c r="G27" s="17"/>
      <x:c r="H27" s="17"/>
      <x:c r="I27" s="17" t="n">
        <x:v>2</x:v>
      </x:c>
      <x:c r="J27" s="14" t="str">
        <x:f>IF(E27="","",COUNTIFS($E$5:$E$76,E27))</x:f>
      </x:c>
      <x:c r="K27" s="14" t="str">
        <x:f>IF(F27="","",COUNTIFS($F$5:$F$76,F27))</x:f>
      </x:c>
      <x:c r="L27" s="14" t="str">
        <x:f>IF(G27="","",COUNTIFS($G$5:$G$76,G27))</x:f>
      </x:c>
      <x:c r="M27" s="14" t="str">
        <x:f>IF(COUNTA(E27:H27)&lt;4,"SOURCE EMPTY",IF(OR(E27=H27,J27&gt;I27,K27&gt;I27,L27&gt;I27),"BREACH","COMPLIANT"))</x:f>
        <x:v>SOURCE EMPTY</x:v>
      </x:c>
    </x:row>
    <x:row r="28">
      <x:c r="A28" s="14" t="str">
        <x:v>CT-D-DP3</x:v>
      </x:c>
      <x:c r="B28" s="14" t="str">
        <x:v>CT-D</x:v>
      </x:c>
      <x:c r="C28" s="14" t="str">
        <x:v>MS-CT</x:v>
      </x:c>
      <x:c r="D28" s="14" t="str">
        <x:v>Production service</x:v>
      </x:c>
      <x:c r="E28" s="17"/>
      <x:c r="F28" s="17"/>
      <x:c r="G28" s="17"/>
      <x:c r="H28" s="17"/>
      <x:c r="I28" s="17" t="n">
        <x:v>2</x:v>
      </x:c>
      <x:c r="J28" s="14" t="str">
        <x:f>IF(E28="","",COUNTIFS($E$5:$E$76,E28))</x:f>
      </x:c>
      <x:c r="K28" s="14" t="str">
        <x:f>IF(F28="","",COUNTIFS($F$5:$F$76,F28))</x:f>
      </x:c>
      <x:c r="L28" s="14" t="str">
        <x:f>IF(G28="","",COUNTIFS($G$5:$G$76,G28))</x:f>
      </x:c>
      <x:c r="M28" s="14" t="str">
        <x:f>IF(COUNTA(E28:H28)&lt;4,"SOURCE EMPTY",IF(OR(E28=H28,J28&gt;I28,K28&gt;I28,L28&gt;I28),"BREACH","COMPLIANT"))</x:f>
        <x:v>SOURCE EMPTY</x:v>
      </x:c>
    </x:row>
    <x:row r="29">
      <x:c r="A29" s="14" t="str">
        <x:v>HC-A-DP1</x:v>
      </x:c>
      <x:c r="B29" s="14" t="str">
        <x:v>HC-A</x:v>
      </x:c>
      <x:c r="C29" s="14" t="str">
        <x:v>MS-HC</x:v>
      </x:c>
      <x:c r="D29" s="14" t="str">
        <x:v>Critical feedstock</x:v>
      </x:c>
      <x:c r="E29" s="17"/>
      <x:c r="F29" s="17"/>
      <x:c r="G29" s="17"/>
      <x:c r="H29" s="17"/>
      <x:c r="I29" s="17" t="n">
        <x:v>2</x:v>
      </x:c>
      <x:c r="J29" s="14" t="str">
        <x:f>IF(E29="","",COUNTIFS($E$5:$E$76,E29))</x:f>
      </x:c>
      <x:c r="K29" s="14" t="str">
        <x:f>IF(F29="","",COUNTIFS($F$5:$F$76,F29))</x:f>
      </x:c>
      <x:c r="L29" s="14" t="str">
        <x:f>IF(G29="","",COUNTIFS($G$5:$G$76,G29))</x:f>
      </x:c>
      <x:c r="M29" s="14" t="str">
        <x:f>IF(COUNTA(E29:H29)&lt;4,"SOURCE EMPTY",IF(OR(E29=H29,J29&gt;I29,K29&gt;I29,L29&gt;I29),"BREACH","COMPLIANT"))</x:f>
        <x:v>SOURCE EMPTY</x:v>
      </x:c>
    </x:row>
    <x:row r="30">
      <x:c r="A30" s="14" t="str">
        <x:v>HC-A-DP2</x:v>
      </x:c>
      <x:c r="B30" s="14" t="str">
        <x:v>HC-A</x:v>
      </x:c>
      <x:c r="C30" s="14" t="str">
        <x:v>MS-HC</x:v>
      </x:c>
      <x:c r="D30" s="14" t="str">
        <x:v>Public-interface component</x:v>
      </x:c>
      <x:c r="E30" s="17"/>
      <x:c r="F30" s="17"/>
      <x:c r="G30" s="17"/>
      <x:c r="H30" s="17"/>
      <x:c r="I30" s="17" t="n">
        <x:v>2</x:v>
      </x:c>
      <x:c r="J30" s="14" t="str">
        <x:f>IF(E30="","",COUNTIFS($E$5:$E$76,E30))</x:f>
      </x:c>
      <x:c r="K30" s="14" t="str">
        <x:f>IF(F30="","",COUNTIFS($F$5:$F$76,F30))</x:f>
      </x:c>
      <x:c r="L30" s="14" t="str">
        <x:f>IF(G30="","",COUNTIFS($G$5:$G$76,G30))</x:f>
      </x:c>
      <x:c r="M30" s="14" t="str">
        <x:f>IF(COUNTA(E30:H30)&lt;4,"SOURCE EMPTY",IF(OR(E30=H30,J30&gt;I30,K30&gt;I30,L30&gt;I30),"BREACH","COMPLIANT"))</x:f>
        <x:v>SOURCE EMPTY</x:v>
      </x:c>
    </x:row>
    <x:row r="31">
      <x:c r="A31" s="14" t="str">
        <x:v>HC-A-DP3</x:v>
      </x:c>
      <x:c r="B31" s="14" t="str">
        <x:v>HC-A</x:v>
      </x:c>
      <x:c r="C31" s="14" t="str">
        <x:v>MS-HC</x:v>
      </x:c>
      <x:c r="D31" s="14" t="str">
        <x:v>Production service</x:v>
      </x:c>
      <x:c r="E31" s="17"/>
      <x:c r="F31" s="17"/>
      <x:c r="G31" s="17"/>
      <x:c r="H31" s="17"/>
      <x:c r="I31" s="17" t="n">
        <x:v>2</x:v>
      </x:c>
      <x:c r="J31" s="14" t="str">
        <x:f>IF(E31="","",COUNTIFS($E$5:$E$76,E31))</x:f>
      </x:c>
      <x:c r="K31" s="14" t="str">
        <x:f>IF(F31="","",COUNTIFS($F$5:$F$76,F31))</x:f>
      </x:c>
      <x:c r="L31" s="14" t="str">
        <x:f>IF(G31="","",COUNTIFS($G$5:$G$76,G31))</x:f>
      </x:c>
      <x:c r="M31" s="14" t="str">
        <x:f>IF(COUNTA(E31:H31)&lt;4,"SOURCE EMPTY",IF(OR(E31=H31,J31&gt;I31,K31&gt;I31,L31&gt;I31),"BREACH","COMPLIANT"))</x:f>
        <x:v>SOURCE EMPTY</x:v>
      </x:c>
    </x:row>
    <x:row r="32">
      <x:c r="A32" s="14" t="str">
        <x:v>HC-B-DP1</x:v>
      </x:c>
      <x:c r="B32" s="14" t="str">
        <x:v>HC-B</x:v>
      </x:c>
      <x:c r="C32" s="14" t="str">
        <x:v>MS-HC</x:v>
      </x:c>
      <x:c r="D32" s="14" t="str">
        <x:v>Critical feedstock</x:v>
      </x:c>
      <x:c r="E32" s="17"/>
      <x:c r="F32" s="17"/>
      <x:c r="G32" s="17"/>
      <x:c r="H32" s="17"/>
      <x:c r="I32" s="17" t="n">
        <x:v>2</x:v>
      </x:c>
      <x:c r="J32" s="14" t="str">
        <x:f>IF(E32="","",COUNTIFS($E$5:$E$76,E32))</x:f>
      </x:c>
      <x:c r="K32" s="14" t="str">
        <x:f>IF(F32="","",COUNTIFS($F$5:$F$76,F32))</x:f>
      </x:c>
      <x:c r="L32" s="14" t="str">
        <x:f>IF(G32="","",COUNTIFS($G$5:$G$76,G32))</x:f>
      </x:c>
      <x:c r="M32" s="14" t="str">
        <x:f>IF(COUNTA(E32:H32)&lt;4,"SOURCE EMPTY",IF(OR(E32=H32,J32&gt;I32,K32&gt;I32,L32&gt;I32),"BREACH","COMPLIANT"))</x:f>
        <x:v>SOURCE EMPTY</x:v>
      </x:c>
    </x:row>
    <x:row r="33">
      <x:c r="A33" s="14" t="str">
        <x:v>HC-B-DP2</x:v>
      </x:c>
      <x:c r="B33" s="14" t="str">
        <x:v>HC-B</x:v>
      </x:c>
      <x:c r="C33" s="14" t="str">
        <x:v>MS-HC</x:v>
      </x:c>
      <x:c r="D33" s="14" t="str">
        <x:v>Public-interface component</x:v>
      </x:c>
      <x:c r="E33" s="17"/>
      <x:c r="F33" s="17"/>
      <x:c r="G33" s="17"/>
      <x:c r="H33" s="17"/>
      <x:c r="I33" s="17" t="n">
        <x:v>2</x:v>
      </x:c>
      <x:c r="J33" s="14" t="str">
        <x:f>IF(E33="","",COUNTIFS($E$5:$E$76,E33))</x:f>
      </x:c>
      <x:c r="K33" s="14" t="str">
        <x:f>IF(F33="","",COUNTIFS($F$5:$F$76,F33))</x:f>
      </x:c>
      <x:c r="L33" s="14" t="str">
        <x:f>IF(G33="","",COUNTIFS($G$5:$G$76,G33))</x:f>
      </x:c>
      <x:c r="M33" s="14" t="str">
        <x:f>IF(COUNTA(E33:H33)&lt;4,"SOURCE EMPTY",IF(OR(E33=H33,J33&gt;I33,K33&gt;I33,L33&gt;I33),"BREACH","COMPLIANT"))</x:f>
        <x:v>SOURCE EMPTY</x:v>
      </x:c>
    </x:row>
    <x:row r="34">
      <x:c r="A34" s="14" t="str">
        <x:v>HC-B-DP3</x:v>
      </x:c>
      <x:c r="B34" s="14" t="str">
        <x:v>HC-B</x:v>
      </x:c>
      <x:c r="C34" s="14" t="str">
        <x:v>MS-HC</x:v>
      </x:c>
      <x:c r="D34" s="14" t="str">
        <x:v>Production service</x:v>
      </x:c>
      <x:c r="E34" s="17"/>
      <x:c r="F34" s="17"/>
      <x:c r="G34" s="17"/>
      <x:c r="H34" s="17"/>
      <x:c r="I34" s="17" t="n">
        <x:v>2</x:v>
      </x:c>
      <x:c r="J34" s="14" t="str">
        <x:f>IF(E34="","",COUNTIFS($E$5:$E$76,E34))</x:f>
      </x:c>
      <x:c r="K34" s="14" t="str">
        <x:f>IF(F34="","",COUNTIFS($F$5:$F$76,F34))</x:f>
      </x:c>
      <x:c r="L34" s="14" t="str">
        <x:f>IF(G34="","",COUNTIFS($G$5:$G$76,G34))</x:f>
      </x:c>
      <x:c r="M34" s="14" t="str">
        <x:f>IF(COUNTA(E34:H34)&lt;4,"SOURCE EMPTY",IF(OR(E34=H34,J34&gt;I34,K34&gt;I34,L34&gt;I34),"BREACH","COMPLIANT"))</x:f>
        <x:v>SOURCE EMPTY</x:v>
      </x:c>
    </x:row>
    <x:row r="35">
      <x:c r="A35" s="14" t="str">
        <x:v>HC-C-DP1</x:v>
      </x:c>
      <x:c r="B35" s="14" t="str">
        <x:v>HC-C</x:v>
      </x:c>
      <x:c r="C35" s="14" t="str">
        <x:v>MS-HC</x:v>
      </x:c>
      <x:c r="D35" s="14" t="str">
        <x:v>Critical feedstock</x:v>
      </x:c>
      <x:c r="E35" s="17"/>
      <x:c r="F35" s="17"/>
      <x:c r="G35" s="17"/>
      <x:c r="H35" s="17"/>
      <x:c r="I35" s="17" t="n">
        <x:v>2</x:v>
      </x:c>
      <x:c r="J35" s="14" t="str">
        <x:f>IF(E35="","",COUNTIFS($E$5:$E$76,E35))</x:f>
      </x:c>
      <x:c r="K35" s="14" t="str">
        <x:f>IF(F35="","",COUNTIFS($F$5:$F$76,F35))</x:f>
      </x:c>
      <x:c r="L35" s="14" t="str">
        <x:f>IF(G35="","",COUNTIFS($G$5:$G$76,G35))</x:f>
      </x:c>
      <x:c r="M35" s="14" t="str">
        <x:f>IF(COUNTA(E35:H35)&lt;4,"SOURCE EMPTY",IF(OR(E35=H35,J35&gt;I35,K35&gt;I35,L35&gt;I35),"BREACH","COMPLIANT"))</x:f>
        <x:v>SOURCE EMPTY</x:v>
      </x:c>
    </x:row>
    <x:row r="36">
      <x:c r="A36" s="14" t="str">
        <x:v>HC-C-DP2</x:v>
      </x:c>
      <x:c r="B36" s="14" t="str">
        <x:v>HC-C</x:v>
      </x:c>
      <x:c r="C36" s="14" t="str">
        <x:v>MS-HC</x:v>
      </x:c>
      <x:c r="D36" s="14" t="str">
        <x:v>Public-interface component</x:v>
      </x:c>
      <x:c r="E36" s="17"/>
      <x:c r="F36" s="17"/>
      <x:c r="G36" s="17"/>
      <x:c r="H36" s="17"/>
      <x:c r="I36" s="17" t="n">
        <x:v>2</x:v>
      </x:c>
      <x:c r="J36" s="14" t="str">
        <x:f>IF(E36="","",COUNTIFS($E$5:$E$76,E36))</x:f>
      </x:c>
      <x:c r="K36" s="14" t="str">
        <x:f>IF(F36="","",COUNTIFS($F$5:$F$76,F36))</x:f>
      </x:c>
      <x:c r="L36" s="14" t="str">
        <x:f>IF(G36="","",COUNTIFS($G$5:$G$76,G36))</x:f>
      </x:c>
      <x:c r="M36" s="14" t="str">
        <x:f>IF(COUNTA(E36:H36)&lt;4,"SOURCE EMPTY",IF(OR(E36=H36,J36&gt;I36,K36&gt;I36,L36&gt;I36),"BREACH","COMPLIANT"))</x:f>
        <x:v>SOURCE EMPTY</x:v>
      </x:c>
    </x:row>
    <x:row r="37">
      <x:c r="A37" s="14" t="str">
        <x:v>HC-C-DP3</x:v>
      </x:c>
      <x:c r="B37" s="14" t="str">
        <x:v>HC-C</x:v>
      </x:c>
      <x:c r="C37" s="14" t="str">
        <x:v>MS-HC</x:v>
      </x:c>
      <x:c r="D37" s="14" t="str">
        <x:v>Production service</x:v>
      </x:c>
      <x:c r="E37" s="17"/>
      <x:c r="F37" s="17"/>
      <x:c r="G37" s="17"/>
      <x:c r="H37" s="17"/>
      <x:c r="I37" s="17" t="n">
        <x:v>2</x:v>
      </x:c>
      <x:c r="J37" s="14" t="str">
        <x:f>IF(E37="","",COUNTIFS($E$5:$E$76,E37))</x:f>
      </x:c>
      <x:c r="K37" s="14" t="str">
        <x:f>IF(F37="","",COUNTIFS($F$5:$F$76,F37))</x:f>
      </x:c>
      <x:c r="L37" s="14" t="str">
        <x:f>IF(G37="","",COUNTIFS($G$5:$G$76,G37))</x:f>
      </x:c>
      <x:c r="M37" s="14" t="str">
        <x:f>IF(COUNTA(E37:H37)&lt;4,"SOURCE EMPTY",IF(OR(E37=H37,J37&gt;I37,K37&gt;I37,L37&gt;I37),"BREACH","COMPLIANT"))</x:f>
        <x:v>SOURCE EMPTY</x:v>
      </x:c>
    </x:row>
    <x:row r="38">
      <x:c r="A38" s="14" t="str">
        <x:v>HC-D-DP1</x:v>
      </x:c>
      <x:c r="B38" s="14" t="str">
        <x:v>HC-D</x:v>
      </x:c>
      <x:c r="C38" s="14" t="str">
        <x:v>MS-HC</x:v>
      </x:c>
      <x:c r="D38" s="14" t="str">
        <x:v>Critical feedstock</x:v>
      </x:c>
      <x:c r="E38" s="17"/>
      <x:c r="F38" s="17"/>
      <x:c r="G38" s="17"/>
      <x:c r="H38" s="17"/>
      <x:c r="I38" s="17" t="n">
        <x:v>2</x:v>
      </x:c>
      <x:c r="J38" s="14" t="str">
        <x:f>IF(E38="","",COUNTIFS($E$5:$E$76,E38))</x:f>
      </x:c>
      <x:c r="K38" s="14" t="str">
        <x:f>IF(F38="","",COUNTIFS($F$5:$F$76,F38))</x:f>
      </x:c>
      <x:c r="L38" s="14" t="str">
        <x:f>IF(G38="","",COUNTIFS($G$5:$G$76,G38))</x:f>
      </x:c>
      <x:c r="M38" s="14" t="str">
        <x:f>IF(COUNTA(E38:H38)&lt;4,"SOURCE EMPTY",IF(OR(E38=H38,J38&gt;I38,K38&gt;I38,L38&gt;I38),"BREACH","COMPLIANT"))</x:f>
        <x:v>SOURCE EMPTY</x:v>
      </x:c>
    </x:row>
    <x:row r="39">
      <x:c r="A39" s="14" t="str">
        <x:v>HC-D-DP2</x:v>
      </x:c>
      <x:c r="B39" s="14" t="str">
        <x:v>HC-D</x:v>
      </x:c>
      <x:c r="C39" s="14" t="str">
        <x:v>MS-HC</x:v>
      </x:c>
      <x:c r="D39" s="14" t="str">
        <x:v>Public-interface component</x:v>
      </x:c>
      <x:c r="E39" s="17"/>
      <x:c r="F39" s="17"/>
      <x:c r="G39" s="17"/>
      <x:c r="H39" s="17"/>
      <x:c r="I39" s="17" t="n">
        <x:v>2</x:v>
      </x:c>
      <x:c r="J39" s="14" t="str">
        <x:f>IF(E39="","",COUNTIFS($E$5:$E$76,E39))</x:f>
      </x:c>
      <x:c r="K39" s="14" t="str">
        <x:f>IF(F39="","",COUNTIFS($F$5:$F$76,F39))</x:f>
      </x:c>
      <x:c r="L39" s="14" t="str">
        <x:f>IF(G39="","",COUNTIFS($G$5:$G$76,G39))</x:f>
      </x:c>
      <x:c r="M39" s="14" t="str">
        <x:f>IF(COUNTA(E39:H39)&lt;4,"SOURCE EMPTY",IF(OR(E39=H39,J39&gt;I39,K39&gt;I39,L39&gt;I39),"BREACH","COMPLIANT"))</x:f>
        <x:v>SOURCE EMPTY</x:v>
      </x:c>
    </x:row>
    <x:row r="40">
      <x:c r="A40" s="14" t="str">
        <x:v>HC-D-DP3</x:v>
      </x:c>
      <x:c r="B40" s="14" t="str">
        <x:v>HC-D</x:v>
      </x:c>
      <x:c r="C40" s="14" t="str">
        <x:v>MS-HC</x:v>
      </x:c>
      <x:c r="D40" s="14" t="str">
        <x:v>Production service</x:v>
      </x:c>
      <x:c r="E40" s="17"/>
      <x:c r="F40" s="17"/>
      <x:c r="G40" s="17"/>
      <x:c r="H40" s="17"/>
      <x:c r="I40" s="17" t="n">
        <x:v>2</x:v>
      </x:c>
      <x:c r="J40" s="14" t="str">
        <x:f>IF(E40="","",COUNTIFS($E$5:$E$76,E40))</x:f>
      </x:c>
      <x:c r="K40" s="14" t="str">
        <x:f>IF(F40="","",COUNTIFS($F$5:$F$76,F40))</x:f>
      </x:c>
      <x:c r="L40" s="14" t="str">
        <x:f>IF(G40="","",COUNTIFS($G$5:$G$76,G40))</x:f>
      </x:c>
      <x:c r="M40" s="14" t="str">
        <x:f>IF(COUNTA(E40:H40)&lt;4,"SOURCE EMPTY",IF(OR(E40=H40,J40&gt;I40,K40&gt;I40,L40&gt;I40),"BREACH","COMPLIANT"))</x:f>
        <x:v>SOURCE EMPTY</x:v>
      </x:c>
    </x:row>
    <x:row r="41">
      <x:c r="A41" s="14" t="str">
        <x:v>LF-A-DP1</x:v>
      </x:c>
      <x:c r="B41" s="14" t="str">
        <x:v>LF-A</x:v>
      </x:c>
      <x:c r="C41" s="14" t="str">
        <x:v>MS-LF</x:v>
      </x:c>
      <x:c r="D41" s="14" t="str">
        <x:v>Critical feedstock</x:v>
      </x:c>
      <x:c r="E41" s="17"/>
      <x:c r="F41" s="17"/>
      <x:c r="G41" s="17"/>
      <x:c r="H41" s="17"/>
      <x:c r="I41" s="17" t="n">
        <x:v>2</x:v>
      </x:c>
      <x:c r="J41" s="14" t="str">
        <x:f>IF(E41="","",COUNTIFS($E$5:$E$76,E41))</x:f>
      </x:c>
      <x:c r="K41" s="14" t="str">
        <x:f>IF(F41="","",COUNTIFS($F$5:$F$76,F41))</x:f>
      </x:c>
      <x:c r="L41" s="14" t="str">
        <x:f>IF(G41="","",COUNTIFS($G$5:$G$76,G41))</x:f>
      </x:c>
      <x:c r="M41" s="14" t="str">
        <x:f>IF(COUNTA(E41:H41)&lt;4,"SOURCE EMPTY",IF(OR(E41=H41,J41&gt;I41,K41&gt;I41,L41&gt;I41),"BREACH","COMPLIANT"))</x:f>
        <x:v>SOURCE EMPTY</x:v>
      </x:c>
    </x:row>
    <x:row r="42">
      <x:c r="A42" s="14" t="str">
        <x:v>LF-A-DP2</x:v>
      </x:c>
      <x:c r="B42" s="14" t="str">
        <x:v>LF-A</x:v>
      </x:c>
      <x:c r="C42" s="14" t="str">
        <x:v>MS-LF</x:v>
      </x:c>
      <x:c r="D42" s="14" t="str">
        <x:v>Public-interface component</x:v>
      </x:c>
      <x:c r="E42" s="17"/>
      <x:c r="F42" s="17"/>
      <x:c r="G42" s="17"/>
      <x:c r="H42" s="17"/>
      <x:c r="I42" s="17" t="n">
        <x:v>2</x:v>
      </x:c>
      <x:c r="J42" s="14" t="str">
        <x:f>IF(E42="","",COUNTIFS($E$5:$E$76,E42))</x:f>
      </x:c>
      <x:c r="K42" s="14" t="str">
        <x:f>IF(F42="","",COUNTIFS($F$5:$F$76,F42))</x:f>
      </x:c>
      <x:c r="L42" s="14" t="str">
        <x:f>IF(G42="","",COUNTIFS($G$5:$G$76,G42))</x:f>
      </x:c>
      <x:c r="M42" s="14" t="str">
        <x:f>IF(COUNTA(E42:H42)&lt;4,"SOURCE EMPTY",IF(OR(E42=H42,J42&gt;I42,K42&gt;I42,L42&gt;I42),"BREACH","COMPLIANT"))</x:f>
        <x:v>SOURCE EMPTY</x:v>
      </x:c>
    </x:row>
    <x:row r="43">
      <x:c r="A43" s="14" t="str">
        <x:v>LF-A-DP3</x:v>
      </x:c>
      <x:c r="B43" s="14" t="str">
        <x:v>LF-A</x:v>
      </x:c>
      <x:c r="C43" s="14" t="str">
        <x:v>MS-LF</x:v>
      </x:c>
      <x:c r="D43" s="14" t="str">
        <x:v>Production service</x:v>
      </x:c>
      <x:c r="E43" s="17"/>
      <x:c r="F43" s="17"/>
      <x:c r="G43" s="17"/>
      <x:c r="H43" s="17"/>
      <x:c r="I43" s="17" t="n">
        <x:v>2</x:v>
      </x:c>
      <x:c r="J43" s="14" t="str">
        <x:f>IF(E43="","",COUNTIFS($E$5:$E$76,E43))</x:f>
      </x:c>
      <x:c r="K43" s="14" t="str">
        <x:f>IF(F43="","",COUNTIFS($F$5:$F$76,F43))</x:f>
      </x:c>
      <x:c r="L43" s="14" t="str">
        <x:f>IF(G43="","",COUNTIFS($G$5:$G$76,G43))</x:f>
      </x:c>
      <x:c r="M43" s="14" t="str">
        <x:f>IF(COUNTA(E43:H43)&lt;4,"SOURCE EMPTY",IF(OR(E43=H43,J43&gt;I43,K43&gt;I43,L43&gt;I43),"BREACH","COMPLIANT"))</x:f>
        <x:v>SOURCE EMPTY</x:v>
      </x:c>
    </x:row>
    <x:row r="44">
      <x:c r="A44" s="14" t="str">
        <x:v>LF-B-DP1</x:v>
      </x:c>
      <x:c r="B44" s="14" t="str">
        <x:v>LF-B</x:v>
      </x:c>
      <x:c r="C44" s="14" t="str">
        <x:v>MS-LF</x:v>
      </x:c>
      <x:c r="D44" s="14" t="str">
        <x:v>Critical feedstock</x:v>
      </x:c>
      <x:c r="E44" s="17"/>
      <x:c r="F44" s="17"/>
      <x:c r="G44" s="17"/>
      <x:c r="H44" s="17"/>
      <x:c r="I44" s="17" t="n">
        <x:v>2</x:v>
      </x:c>
      <x:c r="J44" s="14" t="str">
        <x:f>IF(E44="","",COUNTIFS($E$5:$E$76,E44))</x:f>
      </x:c>
      <x:c r="K44" s="14" t="str">
        <x:f>IF(F44="","",COUNTIFS($F$5:$F$76,F44))</x:f>
      </x:c>
      <x:c r="L44" s="14" t="str">
        <x:f>IF(G44="","",COUNTIFS($G$5:$G$76,G44))</x:f>
      </x:c>
      <x:c r="M44" s="14" t="str">
        <x:f>IF(COUNTA(E44:H44)&lt;4,"SOURCE EMPTY",IF(OR(E44=H44,J44&gt;I44,K44&gt;I44,L44&gt;I44),"BREACH","COMPLIANT"))</x:f>
        <x:v>SOURCE EMPTY</x:v>
      </x:c>
    </x:row>
    <x:row r="45">
      <x:c r="A45" s="14" t="str">
        <x:v>LF-B-DP2</x:v>
      </x:c>
      <x:c r="B45" s="14" t="str">
        <x:v>LF-B</x:v>
      </x:c>
      <x:c r="C45" s="14" t="str">
        <x:v>MS-LF</x:v>
      </x:c>
      <x:c r="D45" s="14" t="str">
        <x:v>Public-interface component</x:v>
      </x:c>
      <x:c r="E45" s="17"/>
      <x:c r="F45" s="17"/>
      <x:c r="G45" s="17"/>
      <x:c r="H45" s="17"/>
      <x:c r="I45" s="17" t="n">
        <x:v>2</x:v>
      </x:c>
      <x:c r="J45" s="14" t="str">
        <x:f>IF(E45="","",COUNTIFS($E$5:$E$76,E45))</x:f>
      </x:c>
      <x:c r="K45" s="14" t="str">
        <x:f>IF(F45="","",COUNTIFS($F$5:$F$76,F45))</x:f>
      </x:c>
      <x:c r="L45" s="14" t="str">
        <x:f>IF(G45="","",COUNTIFS($G$5:$G$76,G45))</x:f>
      </x:c>
      <x:c r="M45" s="14" t="str">
        <x:f>IF(COUNTA(E45:H45)&lt;4,"SOURCE EMPTY",IF(OR(E45=H45,J45&gt;I45,K45&gt;I45,L45&gt;I45),"BREACH","COMPLIANT"))</x:f>
        <x:v>SOURCE EMPTY</x:v>
      </x:c>
    </x:row>
    <x:row r="46">
      <x:c r="A46" s="14" t="str">
        <x:v>LF-B-DP3</x:v>
      </x:c>
      <x:c r="B46" s="14" t="str">
        <x:v>LF-B</x:v>
      </x:c>
      <x:c r="C46" s="14" t="str">
        <x:v>MS-LF</x:v>
      </x:c>
      <x:c r="D46" s="14" t="str">
        <x:v>Production service</x:v>
      </x:c>
      <x:c r="E46" s="17"/>
      <x:c r="F46" s="17"/>
      <x:c r="G46" s="17"/>
      <x:c r="H46" s="17"/>
      <x:c r="I46" s="17" t="n">
        <x:v>2</x:v>
      </x:c>
      <x:c r="J46" s="14" t="str">
        <x:f>IF(E46="","",COUNTIFS($E$5:$E$76,E46))</x:f>
      </x:c>
      <x:c r="K46" s="14" t="str">
        <x:f>IF(F46="","",COUNTIFS($F$5:$F$76,F46))</x:f>
      </x:c>
      <x:c r="L46" s="14" t="str">
        <x:f>IF(G46="","",COUNTIFS($G$5:$G$76,G46))</x:f>
      </x:c>
      <x:c r="M46" s="14" t="str">
        <x:f>IF(COUNTA(E46:H46)&lt;4,"SOURCE EMPTY",IF(OR(E46=H46,J46&gt;I46,K46&gt;I46,L46&gt;I46),"BREACH","COMPLIANT"))</x:f>
        <x:v>SOURCE EMPTY</x:v>
      </x:c>
    </x:row>
    <x:row r="47">
      <x:c r="A47" s="14" t="str">
        <x:v>LF-C-DP1</x:v>
      </x:c>
      <x:c r="B47" s="14" t="str">
        <x:v>LF-C</x:v>
      </x:c>
      <x:c r="C47" s="14" t="str">
        <x:v>MS-LF</x:v>
      </x:c>
      <x:c r="D47" s="14" t="str">
        <x:v>Critical feedstock</x:v>
      </x:c>
      <x:c r="E47" s="17"/>
      <x:c r="F47" s="17"/>
      <x:c r="G47" s="17"/>
      <x:c r="H47" s="17"/>
      <x:c r="I47" s="17" t="n">
        <x:v>2</x:v>
      </x:c>
      <x:c r="J47" s="14" t="str">
        <x:f>IF(E47="","",COUNTIFS($E$5:$E$76,E47))</x:f>
      </x:c>
      <x:c r="K47" s="14" t="str">
        <x:f>IF(F47="","",COUNTIFS($F$5:$F$76,F47))</x:f>
      </x:c>
      <x:c r="L47" s="14" t="str">
        <x:f>IF(G47="","",COUNTIFS($G$5:$G$76,G47))</x:f>
      </x:c>
      <x:c r="M47" s="14" t="str">
        <x:f>IF(COUNTA(E47:H47)&lt;4,"SOURCE EMPTY",IF(OR(E47=H47,J47&gt;I47,K47&gt;I47,L47&gt;I47),"BREACH","COMPLIANT"))</x:f>
        <x:v>SOURCE EMPTY</x:v>
      </x:c>
    </x:row>
    <x:row r="48">
      <x:c r="A48" s="14" t="str">
        <x:v>LF-C-DP2</x:v>
      </x:c>
      <x:c r="B48" s="14" t="str">
        <x:v>LF-C</x:v>
      </x:c>
      <x:c r="C48" s="14" t="str">
        <x:v>MS-LF</x:v>
      </x:c>
      <x:c r="D48" s="14" t="str">
        <x:v>Public-interface component</x:v>
      </x:c>
      <x:c r="E48" s="17"/>
      <x:c r="F48" s="17"/>
      <x:c r="G48" s="17"/>
      <x:c r="H48" s="17"/>
      <x:c r="I48" s="17" t="n">
        <x:v>2</x:v>
      </x:c>
      <x:c r="J48" s="14" t="str">
        <x:f>IF(E48="","",COUNTIFS($E$5:$E$76,E48))</x:f>
      </x:c>
      <x:c r="K48" s="14" t="str">
        <x:f>IF(F48="","",COUNTIFS($F$5:$F$76,F48))</x:f>
      </x:c>
      <x:c r="L48" s="14" t="str">
        <x:f>IF(G48="","",COUNTIFS($G$5:$G$76,G48))</x:f>
      </x:c>
      <x:c r="M48" s="14" t="str">
        <x:f>IF(COUNTA(E48:H48)&lt;4,"SOURCE EMPTY",IF(OR(E48=H48,J48&gt;I48,K48&gt;I48,L48&gt;I48),"BREACH","COMPLIANT"))</x:f>
        <x:v>SOURCE EMPTY</x:v>
      </x:c>
    </x:row>
    <x:row r="49">
      <x:c r="A49" s="14" t="str">
        <x:v>LF-C-DP3</x:v>
      </x:c>
      <x:c r="B49" s="14" t="str">
        <x:v>LF-C</x:v>
      </x:c>
      <x:c r="C49" s="14" t="str">
        <x:v>MS-LF</x:v>
      </x:c>
      <x:c r="D49" s="14" t="str">
        <x:v>Production service</x:v>
      </x:c>
      <x:c r="E49" s="17"/>
      <x:c r="F49" s="17"/>
      <x:c r="G49" s="17"/>
      <x:c r="H49" s="17"/>
      <x:c r="I49" s="17" t="n">
        <x:v>2</x:v>
      </x:c>
      <x:c r="J49" s="14" t="str">
        <x:f>IF(E49="","",COUNTIFS($E$5:$E$76,E49))</x:f>
      </x:c>
      <x:c r="K49" s="14" t="str">
        <x:f>IF(F49="","",COUNTIFS($F$5:$F$76,F49))</x:f>
      </x:c>
      <x:c r="L49" s="14" t="str">
        <x:f>IF(G49="","",COUNTIFS($G$5:$G$76,G49))</x:f>
      </x:c>
      <x:c r="M49" s="14" t="str">
        <x:f>IF(COUNTA(E49:H49)&lt;4,"SOURCE EMPTY",IF(OR(E49=H49,J49&gt;I49,K49&gt;I49,L49&gt;I49),"BREACH","COMPLIANT"))</x:f>
        <x:v>SOURCE EMPTY</x:v>
      </x:c>
    </x:row>
    <x:row r="50">
      <x:c r="A50" s="14" t="str">
        <x:v>LF-D-DP1</x:v>
      </x:c>
      <x:c r="B50" s="14" t="str">
        <x:v>LF-D</x:v>
      </x:c>
      <x:c r="C50" s="14" t="str">
        <x:v>MS-LF</x:v>
      </x:c>
      <x:c r="D50" s="14" t="str">
        <x:v>Critical feedstock</x:v>
      </x:c>
      <x:c r="E50" s="17"/>
      <x:c r="F50" s="17"/>
      <x:c r="G50" s="17"/>
      <x:c r="H50" s="17"/>
      <x:c r="I50" s="17" t="n">
        <x:v>2</x:v>
      </x:c>
      <x:c r="J50" s="14" t="str">
        <x:f>IF(E50="","",COUNTIFS($E$5:$E$76,E50))</x:f>
      </x:c>
      <x:c r="K50" s="14" t="str">
        <x:f>IF(F50="","",COUNTIFS($F$5:$F$76,F50))</x:f>
      </x:c>
      <x:c r="L50" s="14" t="str">
        <x:f>IF(G50="","",COUNTIFS($G$5:$G$76,G50))</x:f>
      </x:c>
      <x:c r="M50" s="14" t="str">
        <x:f>IF(COUNTA(E50:H50)&lt;4,"SOURCE EMPTY",IF(OR(E50=H50,J50&gt;I50,K50&gt;I50,L50&gt;I50),"BREACH","COMPLIANT"))</x:f>
        <x:v>SOURCE EMPTY</x:v>
      </x:c>
    </x:row>
    <x:row r="51">
      <x:c r="A51" s="14" t="str">
        <x:v>LF-D-DP2</x:v>
      </x:c>
      <x:c r="B51" s="14" t="str">
        <x:v>LF-D</x:v>
      </x:c>
      <x:c r="C51" s="14" t="str">
        <x:v>MS-LF</x:v>
      </x:c>
      <x:c r="D51" s="14" t="str">
        <x:v>Public-interface component</x:v>
      </x:c>
      <x:c r="E51" s="17"/>
      <x:c r="F51" s="17"/>
      <x:c r="G51" s="17"/>
      <x:c r="H51" s="17"/>
      <x:c r="I51" s="17" t="n">
        <x:v>2</x:v>
      </x:c>
      <x:c r="J51" s="14" t="str">
        <x:f>IF(E51="","",COUNTIFS($E$5:$E$76,E51))</x:f>
      </x:c>
      <x:c r="K51" s="14" t="str">
        <x:f>IF(F51="","",COUNTIFS($F$5:$F$76,F51))</x:f>
      </x:c>
      <x:c r="L51" s="14" t="str">
        <x:f>IF(G51="","",COUNTIFS($G$5:$G$76,G51))</x:f>
      </x:c>
      <x:c r="M51" s="14" t="str">
        <x:f>IF(COUNTA(E51:H51)&lt;4,"SOURCE EMPTY",IF(OR(E51=H51,J51&gt;I51,K51&gt;I51,L51&gt;I51),"BREACH","COMPLIANT"))</x:f>
        <x:v>SOURCE EMPTY</x:v>
      </x:c>
    </x:row>
    <x:row r="52">
      <x:c r="A52" s="14" t="str">
        <x:v>LF-D-DP3</x:v>
      </x:c>
      <x:c r="B52" s="14" t="str">
        <x:v>LF-D</x:v>
      </x:c>
      <x:c r="C52" s="14" t="str">
        <x:v>MS-LF</x:v>
      </x:c>
      <x:c r="D52" s="14" t="str">
        <x:v>Production service</x:v>
      </x:c>
      <x:c r="E52" s="17"/>
      <x:c r="F52" s="17"/>
      <x:c r="G52" s="17"/>
      <x:c r="H52" s="17"/>
      <x:c r="I52" s="17" t="n">
        <x:v>2</x:v>
      </x:c>
      <x:c r="J52" s="14" t="str">
        <x:f>IF(E52="","",COUNTIFS($E$5:$E$76,E52))</x:f>
      </x:c>
      <x:c r="K52" s="14" t="str">
        <x:f>IF(F52="","",COUNTIFS($F$5:$F$76,F52))</x:f>
      </x:c>
      <x:c r="L52" s="14" t="str">
        <x:f>IF(G52="","",COUNTIFS($G$5:$G$76,G52))</x:f>
      </x:c>
      <x:c r="M52" s="14" t="str">
        <x:f>IF(COUNTA(E52:H52)&lt;4,"SOURCE EMPTY",IF(OR(E52=H52,J52&gt;I52,K52&gt;I52,L52&gt;I52),"BREACH","COMPLIANT"))</x:f>
        <x:v>SOURCE EMPTY</x:v>
      </x:c>
    </x:row>
    <x:row r="53">
      <x:c r="A53" s="14" t="str">
        <x:v>HU-A-DP1</x:v>
      </x:c>
      <x:c r="B53" s="14" t="str">
        <x:v>HU-A</x:v>
      </x:c>
      <x:c r="C53" s="14" t="str">
        <x:v>MS-HU</x:v>
      </x:c>
      <x:c r="D53" s="14" t="str">
        <x:v>Critical feedstock</x:v>
      </x:c>
      <x:c r="E53" s="17"/>
      <x:c r="F53" s="17"/>
      <x:c r="G53" s="17"/>
      <x:c r="H53" s="17"/>
      <x:c r="I53" s="17" t="n">
        <x:v>2</x:v>
      </x:c>
      <x:c r="J53" s="14" t="str">
        <x:f>IF(E53="","",COUNTIFS($E$5:$E$76,E53))</x:f>
      </x:c>
      <x:c r="K53" s="14" t="str">
        <x:f>IF(F53="","",COUNTIFS($F$5:$F$76,F53))</x:f>
      </x:c>
      <x:c r="L53" s="14" t="str">
        <x:f>IF(G53="","",COUNTIFS($G$5:$G$76,G53))</x:f>
      </x:c>
      <x:c r="M53" s="14" t="str">
        <x:f>IF(COUNTA(E53:H53)&lt;4,"SOURCE EMPTY",IF(OR(E53=H53,J53&gt;I53,K53&gt;I53,L53&gt;I53),"BREACH","COMPLIANT"))</x:f>
        <x:v>SOURCE EMPTY</x:v>
      </x:c>
    </x:row>
    <x:row r="54">
      <x:c r="A54" s="14" t="str">
        <x:v>HU-A-DP2</x:v>
      </x:c>
      <x:c r="B54" s="14" t="str">
        <x:v>HU-A</x:v>
      </x:c>
      <x:c r="C54" s="14" t="str">
        <x:v>MS-HU</x:v>
      </x:c>
      <x:c r="D54" s="14" t="str">
        <x:v>Public-interface component</x:v>
      </x:c>
      <x:c r="E54" s="17"/>
      <x:c r="F54" s="17"/>
      <x:c r="G54" s="17"/>
      <x:c r="H54" s="17"/>
      <x:c r="I54" s="17" t="n">
        <x:v>2</x:v>
      </x:c>
      <x:c r="J54" s="14" t="str">
        <x:f>IF(E54="","",COUNTIFS($E$5:$E$76,E54))</x:f>
      </x:c>
      <x:c r="K54" s="14" t="str">
        <x:f>IF(F54="","",COUNTIFS($F$5:$F$76,F54))</x:f>
      </x:c>
      <x:c r="L54" s="14" t="str">
        <x:f>IF(G54="","",COUNTIFS($G$5:$G$76,G54))</x:f>
      </x:c>
      <x:c r="M54" s="14" t="str">
        <x:f>IF(COUNTA(E54:H54)&lt;4,"SOURCE EMPTY",IF(OR(E54=H54,J54&gt;I54,K54&gt;I54,L54&gt;I54),"BREACH","COMPLIANT"))</x:f>
        <x:v>SOURCE EMPTY</x:v>
      </x:c>
    </x:row>
    <x:row r="55">
      <x:c r="A55" s="14" t="str">
        <x:v>HU-A-DP3</x:v>
      </x:c>
      <x:c r="B55" s="14" t="str">
        <x:v>HU-A</x:v>
      </x:c>
      <x:c r="C55" s="14" t="str">
        <x:v>MS-HU</x:v>
      </x:c>
      <x:c r="D55" s="14" t="str">
        <x:v>Production service</x:v>
      </x:c>
      <x:c r="E55" s="17"/>
      <x:c r="F55" s="17"/>
      <x:c r="G55" s="17"/>
      <x:c r="H55" s="17"/>
      <x:c r="I55" s="17" t="n">
        <x:v>2</x:v>
      </x:c>
      <x:c r="J55" s="14" t="str">
        <x:f>IF(E55="","",COUNTIFS($E$5:$E$76,E55))</x:f>
      </x:c>
      <x:c r="K55" s="14" t="str">
        <x:f>IF(F55="","",COUNTIFS($F$5:$F$76,F55))</x:f>
      </x:c>
      <x:c r="L55" s="14" t="str">
        <x:f>IF(G55="","",COUNTIFS($G$5:$G$76,G55))</x:f>
      </x:c>
      <x:c r="M55" s="14" t="str">
        <x:f>IF(COUNTA(E55:H55)&lt;4,"SOURCE EMPTY",IF(OR(E55=H55,J55&gt;I55,K55&gt;I55,L55&gt;I55),"BREACH","COMPLIANT"))</x:f>
        <x:v>SOURCE EMPTY</x:v>
      </x:c>
    </x:row>
    <x:row r="56">
      <x:c r="A56" s="14" t="str">
        <x:v>HU-B-DP1</x:v>
      </x:c>
      <x:c r="B56" s="14" t="str">
        <x:v>HU-B</x:v>
      </x:c>
      <x:c r="C56" s="14" t="str">
        <x:v>MS-HU</x:v>
      </x:c>
      <x:c r="D56" s="14" t="str">
        <x:v>Critical feedstock</x:v>
      </x:c>
      <x:c r="E56" s="17"/>
      <x:c r="F56" s="17"/>
      <x:c r="G56" s="17"/>
      <x:c r="H56" s="17"/>
      <x:c r="I56" s="17" t="n">
        <x:v>2</x:v>
      </x:c>
      <x:c r="J56" s="14" t="str">
        <x:f>IF(E56="","",COUNTIFS($E$5:$E$76,E56))</x:f>
      </x:c>
      <x:c r="K56" s="14" t="str">
        <x:f>IF(F56="","",COUNTIFS($F$5:$F$76,F56))</x:f>
      </x:c>
      <x:c r="L56" s="14" t="str">
        <x:f>IF(G56="","",COUNTIFS($G$5:$G$76,G56))</x:f>
      </x:c>
      <x:c r="M56" s="14" t="str">
        <x:f>IF(COUNTA(E56:H56)&lt;4,"SOURCE EMPTY",IF(OR(E56=H56,J56&gt;I56,K56&gt;I56,L56&gt;I56),"BREACH","COMPLIANT"))</x:f>
        <x:v>SOURCE EMPTY</x:v>
      </x:c>
    </x:row>
    <x:row r="57">
      <x:c r="A57" s="14" t="str">
        <x:v>HU-B-DP2</x:v>
      </x:c>
      <x:c r="B57" s="14" t="str">
        <x:v>HU-B</x:v>
      </x:c>
      <x:c r="C57" s="14" t="str">
        <x:v>MS-HU</x:v>
      </x:c>
      <x:c r="D57" s="14" t="str">
        <x:v>Public-interface component</x:v>
      </x:c>
      <x:c r="E57" s="17"/>
      <x:c r="F57" s="17"/>
      <x:c r="G57" s="17"/>
      <x:c r="H57" s="17"/>
      <x:c r="I57" s="17" t="n">
        <x:v>2</x:v>
      </x:c>
      <x:c r="J57" s="14" t="str">
        <x:f>IF(E57="","",COUNTIFS($E$5:$E$76,E57))</x:f>
      </x:c>
      <x:c r="K57" s="14" t="str">
        <x:f>IF(F57="","",COUNTIFS($F$5:$F$76,F57))</x:f>
      </x:c>
      <x:c r="L57" s="14" t="str">
        <x:f>IF(G57="","",COUNTIFS($G$5:$G$76,G57))</x:f>
      </x:c>
      <x:c r="M57" s="14" t="str">
        <x:f>IF(COUNTA(E57:H57)&lt;4,"SOURCE EMPTY",IF(OR(E57=H57,J57&gt;I57,K57&gt;I57,L57&gt;I57),"BREACH","COMPLIANT"))</x:f>
        <x:v>SOURCE EMPTY</x:v>
      </x:c>
    </x:row>
    <x:row r="58">
      <x:c r="A58" s="14" t="str">
        <x:v>HU-B-DP3</x:v>
      </x:c>
      <x:c r="B58" s="14" t="str">
        <x:v>HU-B</x:v>
      </x:c>
      <x:c r="C58" s="14" t="str">
        <x:v>MS-HU</x:v>
      </x:c>
      <x:c r="D58" s="14" t="str">
        <x:v>Production service</x:v>
      </x:c>
      <x:c r="E58" s="17"/>
      <x:c r="F58" s="17"/>
      <x:c r="G58" s="17"/>
      <x:c r="H58" s="17"/>
      <x:c r="I58" s="17" t="n">
        <x:v>2</x:v>
      </x:c>
      <x:c r="J58" s="14" t="str">
        <x:f>IF(E58="","",COUNTIFS($E$5:$E$76,E58))</x:f>
      </x:c>
      <x:c r="K58" s="14" t="str">
        <x:f>IF(F58="","",COUNTIFS($F$5:$F$76,F58))</x:f>
      </x:c>
      <x:c r="L58" s="14" t="str">
        <x:f>IF(G58="","",COUNTIFS($G$5:$G$76,G58))</x:f>
      </x:c>
      <x:c r="M58" s="14" t="str">
        <x:f>IF(COUNTA(E58:H58)&lt;4,"SOURCE EMPTY",IF(OR(E58=H58,J58&gt;I58,K58&gt;I58,L58&gt;I58),"BREACH","COMPLIANT"))</x:f>
        <x:v>SOURCE EMPTY</x:v>
      </x:c>
    </x:row>
    <x:row r="59">
      <x:c r="A59" s="14" t="str">
        <x:v>HU-C-DP1</x:v>
      </x:c>
      <x:c r="B59" s="14" t="str">
        <x:v>HU-C</x:v>
      </x:c>
      <x:c r="C59" s="14" t="str">
        <x:v>MS-HU</x:v>
      </x:c>
      <x:c r="D59" s="14" t="str">
        <x:v>Critical feedstock</x:v>
      </x:c>
      <x:c r="E59" s="17"/>
      <x:c r="F59" s="17"/>
      <x:c r="G59" s="17"/>
      <x:c r="H59" s="17"/>
      <x:c r="I59" s="17" t="n">
        <x:v>2</x:v>
      </x:c>
      <x:c r="J59" s="14" t="str">
        <x:f>IF(E59="","",COUNTIFS($E$5:$E$76,E59))</x:f>
      </x:c>
      <x:c r="K59" s="14" t="str">
        <x:f>IF(F59="","",COUNTIFS($F$5:$F$76,F59))</x:f>
      </x:c>
      <x:c r="L59" s="14" t="str">
        <x:f>IF(G59="","",COUNTIFS($G$5:$G$76,G59))</x:f>
      </x:c>
      <x:c r="M59" s="14" t="str">
        <x:f>IF(COUNTA(E59:H59)&lt;4,"SOURCE EMPTY",IF(OR(E59=H59,J59&gt;I59,K59&gt;I59,L59&gt;I59),"BREACH","COMPLIANT"))</x:f>
        <x:v>SOURCE EMPTY</x:v>
      </x:c>
    </x:row>
    <x:row r="60">
      <x:c r="A60" s="14" t="str">
        <x:v>HU-C-DP2</x:v>
      </x:c>
      <x:c r="B60" s="14" t="str">
        <x:v>HU-C</x:v>
      </x:c>
      <x:c r="C60" s="14" t="str">
        <x:v>MS-HU</x:v>
      </x:c>
      <x:c r="D60" s="14" t="str">
        <x:v>Public-interface component</x:v>
      </x:c>
      <x:c r="E60" s="17"/>
      <x:c r="F60" s="17"/>
      <x:c r="G60" s="17"/>
      <x:c r="H60" s="17"/>
      <x:c r="I60" s="17" t="n">
        <x:v>2</x:v>
      </x:c>
      <x:c r="J60" s="14" t="str">
        <x:f>IF(E60="","",COUNTIFS($E$5:$E$76,E60))</x:f>
      </x:c>
      <x:c r="K60" s="14" t="str">
        <x:f>IF(F60="","",COUNTIFS($F$5:$F$76,F60))</x:f>
      </x:c>
      <x:c r="L60" s="14" t="str">
        <x:f>IF(G60="","",COUNTIFS($G$5:$G$76,G60))</x:f>
      </x:c>
      <x:c r="M60" s="14" t="str">
        <x:f>IF(COUNTA(E60:H60)&lt;4,"SOURCE EMPTY",IF(OR(E60=H60,J60&gt;I60,K60&gt;I60,L60&gt;I60),"BREACH","COMPLIANT"))</x:f>
        <x:v>SOURCE EMPTY</x:v>
      </x:c>
    </x:row>
    <x:row r="61">
      <x:c r="A61" s="14" t="str">
        <x:v>HU-C-DP3</x:v>
      </x:c>
      <x:c r="B61" s="14" t="str">
        <x:v>HU-C</x:v>
      </x:c>
      <x:c r="C61" s="14" t="str">
        <x:v>MS-HU</x:v>
      </x:c>
      <x:c r="D61" s="14" t="str">
        <x:v>Production service</x:v>
      </x:c>
      <x:c r="E61" s="17"/>
      <x:c r="F61" s="17"/>
      <x:c r="G61" s="17"/>
      <x:c r="H61" s="17"/>
      <x:c r="I61" s="17" t="n">
        <x:v>2</x:v>
      </x:c>
      <x:c r="J61" s="14" t="str">
        <x:f>IF(E61="","",COUNTIFS($E$5:$E$76,E61))</x:f>
      </x:c>
      <x:c r="K61" s="14" t="str">
        <x:f>IF(F61="","",COUNTIFS($F$5:$F$76,F61))</x:f>
      </x:c>
      <x:c r="L61" s="14" t="str">
        <x:f>IF(G61="","",COUNTIFS($G$5:$G$76,G61))</x:f>
      </x:c>
      <x:c r="M61" s="14" t="str">
        <x:f>IF(COUNTA(E61:H61)&lt;4,"SOURCE EMPTY",IF(OR(E61=H61,J61&gt;I61,K61&gt;I61,L61&gt;I61),"BREACH","COMPLIANT"))</x:f>
        <x:v>SOURCE EMPTY</x:v>
      </x:c>
    </x:row>
    <x:row r="62">
      <x:c r="A62" s="14" t="str">
        <x:v>HU-D-DP1</x:v>
      </x:c>
      <x:c r="B62" s="14" t="str">
        <x:v>HU-D</x:v>
      </x:c>
      <x:c r="C62" s="14" t="str">
        <x:v>MS-HU</x:v>
      </x:c>
      <x:c r="D62" s="14" t="str">
        <x:v>Critical feedstock</x:v>
      </x:c>
      <x:c r="E62" s="17"/>
      <x:c r="F62" s="17"/>
      <x:c r="G62" s="17"/>
      <x:c r="H62" s="17"/>
      <x:c r="I62" s="17" t="n">
        <x:v>2</x:v>
      </x:c>
      <x:c r="J62" s="14" t="str">
        <x:f>IF(E62="","",COUNTIFS($E$5:$E$76,E62))</x:f>
      </x:c>
      <x:c r="K62" s="14" t="str">
        <x:f>IF(F62="","",COUNTIFS($F$5:$F$76,F62))</x:f>
      </x:c>
      <x:c r="L62" s="14" t="str">
        <x:f>IF(G62="","",COUNTIFS($G$5:$G$76,G62))</x:f>
      </x:c>
      <x:c r="M62" s="14" t="str">
        <x:f>IF(COUNTA(E62:H62)&lt;4,"SOURCE EMPTY",IF(OR(E62=H62,J62&gt;I62,K62&gt;I62,L62&gt;I62),"BREACH","COMPLIANT"))</x:f>
        <x:v>SOURCE EMPTY</x:v>
      </x:c>
    </x:row>
    <x:row r="63">
      <x:c r="A63" s="14" t="str">
        <x:v>HU-D-DP2</x:v>
      </x:c>
      <x:c r="B63" s="14" t="str">
        <x:v>HU-D</x:v>
      </x:c>
      <x:c r="C63" s="14" t="str">
        <x:v>MS-HU</x:v>
      </x:c>
      <x:c r="D63" s="14" t="str">
        <x:v>Public-interface component</x:v>
      </x:c>
      <x:c r="E63" s="17"/>
      <x:c r="F63" s="17"/>
      <x:c r="G63" s="17"/>
      <x:c r="H63" s="17"/>
      <x:c r="I63" s="17" t="n">
        <x:v>2</x:v>
      </x:c>
      <x:c r="J63" s="14" t="str">
        <x:f>IF(E63="","",COUNTIFS($E$5:$E$76,E63))</x:f>
      </x:c>
      <x:c r="K63" s="14" t="str">
        <x:f>IF(F63="","",COUNTIFS($F$5:$F$76,F63))</x:f>
      </x:c>
      <x:c r="L63" s="14" t="str">
        <x:f>IF(G63="","",COUNTIFS($G$5:$G$76,G63))</x:f>
      </x:c>
      <x:c r="M63" s="14" t="str">
        <x:f>IF(COUNTA(E63:H63)&lt;4,"SOURCE EMPTY",IF(OR(E63=H63,J63&gt;I63,K63&gt;I63,L63&gt;I63),"BREACH","COMPLIANT"))</x:f>
        <x:v>SOURCE EMPTY</x:v>
      </x:c>
    </x:row>
    <x:row r="64">
      <x:c r="A64" s="14" t="str">
        <x:v>HU-D-DP3</x:v>
      </x:c>
      <x:c r="B64" s="14" t="str">
        <x:v>HU-D</x:v>
      </x:c>
      <x:c r="C64" s="14" t="str">
        <x:v>MS-HU</x:v>
      </x:c>
      <x:c r="D64" s="14" t="str">
        <x:v>Production service</x:v>
      </x:c>
      <x:c r="E64" s="17"/>
      <x:c r="F64" s="17"/>
      <x:c r="G64" s="17"/>
      <x:c r="H64" s="17"/>
      <x:c r="I64" s="17" t="n">
        <x:v>2</x:v>
      </x:c>
      <x:c r="J64" s="14" t="str">
        <x:f>IF(E64="","",COUNTIFS($E$5:$E$76,E64))</x:f>
      </x:c>
      <x:c r="K64" s="14" t="str">
        <x:f>IF(F64="","",COUNTIFS($F$5:$F$76,F64))</x:f>
      </x:c>
      <x:c r="L64" s="14" t="str">
        <x:f>IF(G64="","",COUNTIFS($G$5:$G$76,G64))</x:f>
      </x:c>
      <x:c r="M64" s="14" t="str">
        <x:f>IF(COUNTA(E64:H64)&lt;4,"SOURCE EMPTY",IF(OR(E64=H64,J64&gt;I64,K64&gt;I64,L64&gt;I64),"BREACH","COMPLIANT"))</x:f>
        <x:v>SOURCE EMPTY</x:v>
      </x:c>
    </x:row>
    <x:row r="65">
      <x:c r="A65" s="14" t="str">
        <x:v>RT-A-DP1</x:v>
      </x:c>
      <x:c r="B65" s="14" t="str">
        <x:v>RT-A</x:v>
      </x:c>
      <x:c r="C65" s="14" t="str">
        <x:v>MS-RT</x:v>
      </x:c>
      <x:c r="D65" s="14" t="str">
        <x:v>Critical feedstock</x:v>
      </x:c>
      <x:c r="E65" s="17"/>
      <x:c r="F65" s="17"/>
      <x:c r="G65" s="17"/>
      <x:c r="H65" s="17"/>
      <x:c r="I65" s="17" t="n">
        <x:v>2</x:v>
      </x:c>
      <x:c r="J65" s="14" t="str">
        <x:f>IF(E65="","",COUNTIFS($E$5:$E$76,E65))</x:f>
      </x:c>
      <x:c r="K65" s="14" t="str">
        <x:f>IF(F65="","",COUNTIFS($F$5:$F$76,F65))</x:f>
      </x:c>
      <x:c r="L65" s="14" t="str">
        <x:f>IF(G65="","",COUNTIFS($G$5:$G$76,G65))</x:f>
      </x:c>
      <x:c r="M65" s="14" t="str">
        <x:f>IF(COUNTA(E65:H65)&lt;4,"SOURCE EMPTY",IF(OR(E65=H65,J65&gt;I65,K65&gt;I65,L65&gt;I65),"BREACH","COMPLIANT"))</x:f>
        <x:v>SOURCE EMPTY</x:v>
      </x:c>
    </x:row>
    <x:row r="66">
      <x:c r="A66" s="14" t="str">
        <x:v>RT-A-DP2</x:v>
      </x:c>
      <x:c r="B66" s="14" t="str">
        <x:v>RT-A</x:v>
      </x:c>
      <x:c r="C66" s="14" t="str">
        <x:v>MS-RT</x:v>
      </x:c>
      <x:c r="D66" s="14" t="str">
        <x:v>Public-interface component</x:v>
      </x:c>
      <x:c r="E66" s="17"/>
      <x:c r="F66" s="17"/>
      <x:c r="G66" s="17"/>
      <x:c r="H66" s="17"/>
      <x:c r="I66" s="17" t="n">
        <x:v>2</x:v>
      </x:c>
      <x:c r="J66" s="14" t="str">
        <x:f>IF(E66="","",COUNTIFS($E$5:$E$76,E66))</x:f>
      </x:c>
      <x:c r="K66" s="14" t="str">
        <x:f>IF(F66="","",COUNTIFS($F$5:$F$76,F66))</x:f>
      </x:c>
      <x:c r="L66" s="14" t="str">
        <x:f>IF(G66="","",COUNTIFS($G$5:$G$76,G66))</x:f>
      </x:c>
      <x:c r="M66" s="14" t="str">
        <x:f>IF(COUNTA(E66:H66)&lt;4,"SOURCE EMPTY",IF(OR(E66=H66,J66&gt;I66,K66&gt;I66,L66&gt;I66),"BREACH","COMPLIANT"))</x:f>
        <x:v>SOURCE EMPTY</x:v>
      </x:c>
    </x:row>
    <x:row r="67">
      <x:c r="A67" s="14" t="str">
        <x:v>RT-A-DP3</x:v>
      </x:c>
      <x:c r="B67" s="14" t="str">
        <x:v>RT-A</x:v>
      </x:c>
      <x:c r="C67" s="14" t="str">
        <x:v>MS-RT</x:v>
      </x:c>
      <x:c r="D67" s="14" t="str">
        <x:v>Production service</x:v>
      </x:c>
      <x:c r="E67" s="17"/>
      <x:c r="F67" s="17"/>
      <x:c r="G67" s="17"/>
      <x:c r="H67" s="17"/>
      <x:c r="I67" s="17" t="n">
        <x:v>2</x:v>
      </x:c>
      <x:c r="J67" s="14" t="str">
        <x:f>IF(E67="","",COUNTIFS($E$5:$E$76,E67))</x:f>
      </x:c>
      <x:c r="K67" s="14" t="str">
        <x:f>IF(F67="","",COUNTIFS($F$5:$F$76,F67))</x:f>
      </x:c>
      <x:c r="L67" s="14" t="str">
        <x:f>IF(G67="","",COUNTIFS($G$5:$G$76,G67))</x:f>
      </x:c>
      <x:c r="M67" s="14" t="str">
        <x:f>IF(COUNTA(E67:H67)&lt;4,"SOURCE EMPTY",IF(OR(E67=H67,J67&gt;I67,K67&gt;I67,L67&gt;I67),"BREACH","COMPLIANT"))</x:f>
        <x:v>SOURCE EMPTY</x:v>
      </x:c>
    </x:row>
    <x:row r="68">
      <x:c r="A68" s="14" t="str">
        <x:v>RT-B-DP1</x:v>
      </x:c>
      <x:c r="B68" s="14" t="str">
        <x:v>RT-B</x:v>
      </x:c>
      <x:c r="C68" s="14" t="str">
        <x:v>MS-RT</x:v>
      </x:c>
      <x:c r="D68" s="14" t="str">
        <x:v>Critical feedstock</x:v>
      </x:c>
      <x:c r="E68" s="17"/>
      <x:c r="F68" s="17"/>
      <x:c r="G68" s="17"/>
      <x:c r="H68" s="17"/>
      <x:c r="I68" s="17" t="n">
        <x:v>2</x:v>
      </x:c>
      <x:c r="J68" s="14" t="str">
        <x:f>IF(E68="","",COUNTIFS($E$5:$E$76,E68))</x:f>
      </x:c>
      <x:c r="K68" s="14" t="str">
        <x:f>IF(F68="","",COUNTIFS($F$5:$F$76,F68))</x:f>
      </x:c>
      <x:c r="L68" s="14" t="str">
        <x:f>IF(G68="","",COUNTIFS($G$5:$G$76,G68))</x:f>
      </x:c>
      <x:c r="M68" s="14" t="str">
        <x:f>IF(COUNTA(E68:H68)&lt;4,"SOURCE EMPTY",IF(OR(E68=H68,J68&gt;I68,K68&gt;I68,L68&gt;I68),"BREACH","COMPLIANT"))</x:f>
        <x:v>SOURCE EMPTY</x:v>
      </x:c>
    </x:row>
    <x:row r="69">
      <x:c r="A69" s="14" t="str">
        <x:v>RT-B-DP2</x:v>
      </x:c>
      <x:c r="B69" s="14" t="str">
        <x:v>RT-B</x:v>
      </x:c>
      <x:c r="C69" s="14" t="str">
        <x:v>MS-RT</x:v>
      </x:c>
      <x:c r="D69" s="14" t="str">
        <x:v>Public-interface component</x:v>
      </x:c>
      <x:c r="E69" s="17"/>
      <x:c r="F69" s="17"/>
      <x:c r="G69" s="17"/>
      <x:c r="H69" s="17"/>
      <x:c r="I69" s="17" t="n">
        <x:v>2</x:v>
      </x:c>
      <x:c r="J69" s="14" t="str">
        <x:f>IF(E69="","",COUNTIFS($E$5:$E$76,E69))</x:f>
      </x:c>
      <x:c r="K69" s="14" t="str">
        <x:f>IF(F69="","",COUNTIFS($F$5:$F$76,F69))</x:f>
      </x:c>
      <x:c r="L69" s="14" t="str">
        <x:f>IF(G69="","",COUNTIFS($G$5:$G$76,G69))</x:f>
      </x:c>
      <x:c r="M69" s="14" t="str">
        <x:f>IF(COUNTA(E69:H69)&lt;4,"SOURCE EMPTY",IF(OR(E69=H69,J69&gt;I69,K69&gt;I69,L69&gt;I69),"BREACH","COMPLIANT"))</x:f>
        <x:v>SOURCE EMPTY</x:v>
      </x:c>
    </x:row>
    <x:row r="70">
      <x:c r="A70" s="14" t="str">
        <x:v>RT-B-DP3</x:v>
      </x:c>
      <x:c r="B70" s="14" t="str">
        <x:v>RT-B</x:v>
      </x:c>
      <x:c r="C70" s="14" t="str">
        <x:v>MS-RT</x:v>
      </x:c>
      <x:c r="D70" s="14" t="str">
        <x:v>Production service</x:v>
      </x:c>
      <x:c r="E70" s="17"/>
      <x:c r="F70" s="17"/>
      <x:c r="G70" s="17"/>
      <x:c r="H70" s="17"/>
      <x:c r="I70" s="17" t="n">
        <x:v>2</x:v>
      </x:c>
      <x:c r="J70" s="14" t="str">
        <x:f>IF(E70="","",COUNTIFS($E$5:$E$76,E70))</x:f>
      </x:c>
      <x:c r="K70" s="14" t="str">
        <x:f>IF(F70="","",COUNTIFS($F$5:$F$76,F70))</x:f>
      </x:c>
      <x:c r="L70" s="14" t="str">
        <x:f>IF(G70="","",COUNTIFS($G$5:$G$76,G70))</x:f>
      </x:c>
      <x:c r="M70" s="14" t="str">
        <x:f>IF(COUNTA(E70:H70)&lt;4,"SOURCE EMPTY",IF(OR(E70=H70,J70&gt;I70,K70&gt;I70,L70&gt;I70),"BREACH","COMPLIANT"))</x:f>
        <x:v>SOURCE EMPTY</x:v>
      </x:c>
    </x:row>
    <x:row r="71">
      <x:c r="A71" s="14" t="str">
        <x:v>RT-C-DP1</x:v>
      </x:c>
      <x:c r="B71" s="14" t="str">
        <x:v>RT-C</x:v>
      </x:c>
      <x:c r="C71" s="14" t="str">
        <x:v>MS-RT</x:v>
      </x:c>
      <x:c r="D71" s="14" t="str">
        <x:v>Critical feedstock</x:v>
      </x:c>
      <x:c r="E71" s="17"/>
      <x:c r="F71" s="17"/>
      <x:c r="G71" s="17"/>
      <x:c r="H71" s="17"/>
      <x:c r="I71" s="17" t="n">
        <x:v>2</x:v>
      </x:c>
      <x:c r="J71" s="14" t="str">
        <x:f>IF(E71="","",COUNTIFS($E$5:$E$76,E71))</x:f>
      </x:c>
      <x:c r="K71" s="14" t="str">
        <x:f>IF(F71="","",COUNTIFS($F$5:$F$76,F71))</x:f>
      </x:c>
      <x:c r="L71" s="14" t="str">
        <x:f>IF(G71="","",COUNTIFS($G$5:$G$76,G71))</x:f>
      </x:c>
      <x:c r="M71" s="14" t="str">
        <x:f>IF(COUNTA(E71:H71)&lt;4,"SOURCE EMPTY",IF(OR(E71=H71,J71&gt;I71,K71&gt;I71,L71&gt;I71),"BREACH","COMPLIANT"))</x:f>
        <x:v>SOURCE EMPTY</x:v>
      </x:c>
    </x:row>
    <x:row r="72">
      <x:c r="A72" s="14" t="str">
        <x:v>RT-C-DP2</x:v>
      </x:c>
      <x:c r="B72" s="14" t="str">
        <x:v>RT-C</x:v>
      </x:c>
      <x:c r="C72" s="14" t="str">
        <x:v>MS-RT</x:v>
      </x:c>
      <x:c r="D72" s="14" t="str">
        <x:v>Public-interface component</x:v>
      </x:c>
      <x:c r="E72" s="17"/>
      <x:c r="F72" s="17"/>
      <x:c r="G72" s="17"/>
      <x:c r="H72" s="17"/>
      <x:c r="I72" s="17" t="n">
        <x:v>2</x:v>
      </x:c>
      <x:c r="J72" s="14" t="str">
        <x:f>IF(E72="","",COUNTIFS($E$5:$E$76,E72))</x:f>
      </x:c>
      <x:c r="K72" s="14" t="str">
        <x:f>IF(F72="","",COUNTIFS($F$5:$F$76,F72))</x:f>
      </x:c>
      <x:c r="L72" s="14" t="str">
        <x:f>IF(G72="","",COUNTIFS($G$5:$G$76,G72))</x:f>
      </x:c>
      <x:c r="M72" s="14" t="str">
        <x:f>IF(COUNTA(E72:H72)&lt;4,"SOURCE EMPTY",IF(OR(E72=H72,J72&gt;I72,K72&gt;I72,L72&gt;I72),"BREACH","COMPLIANT"))</x:f>
        <x:v>SOURCE EMPTY</x:v>
      </x:c>
    </x:row>
    <x:row r="73">
      <x:c r="A73" s="14" t="str">
        <x:v>RT-C-DP3</x:v>
      </x:c>
      <x:c r="B73" s="14" t="str">
        <x:v>RT-C</x:v>
      </x:c>
      <x:c r="C73" s="14" t="str">
        <x:v>MS-RT</x:v>
      </x:c>
      <x:c r="D73" s="14" t="str">
        <x:v>Production service</x:v>
      </x:c>
      <x:c r="E73" s="17"/>
      <x:c r="F73" s="17"/>
      <x:c r="G73" s="17"/>
      <x:c r="H73" s="17"/>
      <x:c r="I73" s="17" t="n">
        <x:v>2</x:v>
      </x:c>
      <x:c r="J73" s="14" t="str">
        <x:f>IF(E73="","",COUNTIFS($E$5:$E$76,E73))</x:f>
      </x:c>
      <x:c r="K73" s="14" t="str">
        <x:f>IF(F73="","",COUNTIFS($F$5:$F$76,F73))</x:f>
      </x:c>
      <x:c r="L73" s="14" t="str">
        <x:f>IF(G73="","",COUNTIFS($G$5:$G$76,G73))</x:f>
      </x:c>
      <x:c r="M73" s="14" t="str">
        <x:f>IF(COUNTA(E73:H73)&lt;4,"SOURCE EMPTY",IF(OR(E73=H73,J73&gt;I73,K73&gt;I73,L73&gt;I73),"BREACH","COMPLIANT"))</x:f>
        <x:v>SOURCE EMPTY</x:v>
      </x:c>
    </x:row>
    <x:row r="74">
      <x:c r="A74" s="14" t="str">
        <x:v>RT-D-DP1</x:v>
      </x:c>
      <x:c r="B74" s="14" t="str">
        <x:v>RT-D</x:v>
      </x:c>
      <x:c r="C74" s="14" t="str">
        <x:v>MS-RT</x:v>
      </x:c>
      <x:c r="D74" s="14" t="str">
        <x:v>Critical feedstock</x:v>
      </x:c>
      <x:c r="E74" s="17"/>
      <x:c r="F74" s="17"/>
      <x:c r="G74" s="17"/>
      <x:c r="H74" s="17"/>
      <x:c r="I74" s="17" t="n">
        <x:v>2</x:v>
      </x:c>
      <x:c r="J74" s="14" t="str">
        <x:f>IF(E74="","",COUNTIFS($E$5:$E$76,E74))</x:f>
      </x:c>
      <x:c r="K74" s="14" t="str">
        <x:f>IF(F74="","",COUNTIFS($F$5:$F$76,F74))</x:f>
      </x:c>
      <x:c r="L74" s="14" t="str">
        <x:f>IF(G74="","",COUNTIFS($G$5:$G$76,G74))</x:f>
      </x:c>
      <x:c r="M74" s="14" t="str">
        <x:f>IF(COUNTA(E74:H74)&lt;4,"SOURCE EMPTY",IF(OR(E74=H74,J74&gt;I74,K74&gt;I74,L74&gt;I74),"BREACH","COMPLIANT"))</x:f>
        <x:v>SOURCE EMPTY</x:v>
      </x:c>
    </x:row>
    <x:row r="75">
      <x:c r="A75" s="14" t="str">
        <x:v>RT-D-DP2</x:v>
      </x:c>
      <x:c r="B75" s="14" t="str">
        <x:v>RT-D</x:v>
      </x:c>
      <x:c r="C75" s="14" t="str">
        <x:v>MS-RT</x:v>
      </x:c>
      <x:c r="D75" s="14" t="str">
        <x:v>Public-interface component</x:v>
      </x:c>
      <x:c r="E75" s="17"/>
      <x:c r="F75" s="17"/>
      <x:c r="G75" s="17"/>
      <x:c r="H75" s="17"/>
      <x:c r="I75" s="17" t="n">
        <x:v>2</x:v>
      </x:c>
      <x:c r="J75" s="14" t="str">
        <x:f>IF(E75="","",COUNTIFS($E$5:$E$76,E75))</x:f>
      </x:c>
      <x:c r="K75" s="14" t="str">
        <x:f>IF(F75="","",COUNTIFS($F$5:$F$76,F75))</x:f>
      </x:c>
      <x:c r="L75" s="14" t="str">
        <x:f>IF(G75="","",COUNTIFS($G$5:$G$76,G75))</x:f>
      </x:c>
      <x:c r="M75" s="14" t="str">
        <x:f>IF(COUNTA(E75:H75)&lt;4,"SOURCE EMPTY",IF(OR(E75=H75,J75&gt;I75,K75&gt;I75,L75&gt;I75),"BREACH","COMPLIANT"))</x:f>
        <x:v>SOURCE EMPTY</x:v>
      </x:c>
    </x:row>
    <x:row r="76">
      <x:c r="A76" s="15" t="str">
        <x:v>RT-D-DP3</x:v>
      </x:c>
      <x:c r="B76" s="15" t="str">
        <x:v>RT-D</x:v>
      </x:c>
      <x:c r="C76" s="15" t="str">
        <x:v>MS-RT</x:v>
      </x:c>
      <x:c r="D76" s="15" t="str">
        <x:v>Production service</x:v>
      </x:c>
      <x:c r="E76" s="18"/>
      <x:c r="F76" s="18"/>
      <x:c r="G76" s="18"/>
      <x:c r="H76" s="18"/>
      <x:c r="I76" s="18" t="n">
        <x:v>2</x:v>
      </x:c>
      <x:c r="J76" s="15" t="str">
        <x:f>IF(E76="","",COUNTIFS($E$5:$E$76,E76))</x:f>
      </x:c>
      <x:c r="K76" s="15" t="str">
        <x:f>IF(F76="","",COUNTIFS($F$5:$F$76,F76))</x:f>
      </x:c>
      <x:c r="L76" s="15" t="str">
        <x:f>IF(G76="","",COUNTIFS($G$5:$G$76,G76))</x:f>
      </x:c>
      <x:c r="M76" s="15" t="str">
        <x:f>IF(COUNTA(E76:H76)&lt;4,"SOURCE EMPTY",IF(OR(E76=H76,J76&gt;I76,K76&gt;I76,L76&gt;I76),"BREACH","COMPLIANT"))</x:f>
        <x:v>SOURCE EMPTY</x:v>
      </x:c>
    </x:row>
  </x:sheetData>
  <x:conditionalFormatting sqref="M5:M76">
    <x:cfRule type="containsText" dxfId="21" priority="1" operator="containsText" text="FAIL"/>
    <x:cfRule type="containsText" dxfId="22" priority="2" operator="containsText" text="BREACH"/>
    <x:cfRule type="containsText" dxfId="23" priority="3" operator="containsText" text="COLLISION"/>
    <x:cfRule type="containsText" dxfId="24" priority="4" operator="containsText" text="BLOCKED"/>
    <x:cfRule type="containsText" dxfId="25" priority="5" operator="containsText" text="SOURCE EMPTY"/>
    <x:cfRule type="containsText" dxfId="26" priority="6" operator="containsText" text="PASS"/>
    <x:cfRule type="containsText" dxfId="27" priority="7" operator="containsText" text="READY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3" hidden="0" customWidth="1"/>
    <x:col min="3" max="3" width="48" hidden="0" customWidth="1"/>
    <x:col min="4" max="4" width="39" hidden="0" customWidth="1"/>
    <x:col min="5" max="5" width="21" hidden="0" customWidth="1"/>
    <x:col min="6" max="6" width="18" hidden="0" customWidth="1"/>
    <x:col min="7" max="7" width="18" hidden="0" customWidth="1"/>
  </x:cols>
  <x:sheetData>
    <x:row r="2" ht="24" customHeight="1">
      <x:c r="A2" s="1" t="str">
        <x:v>Public productive estate</x:v>
      </x:c>
      <x:c r="B2" s="1"/>
      <x:c r="C2" s="1"/>
      <x:c r="D2" s="1"/>
      <x:c r="E2" s="1"/>
      <x:c r="F2" s="1"/>
      <x:c r="G2" s="1"/>
    </x:row>
    <x:row r="3">
      <x:c r="A3" s="2"/>
      <x:c r="B3" s="2"/>
      <x:c r="C3" s="2"/>
      <x:c r="D3" s="2"/>
      <x:c r="E3" s="2"/>
      <x:c r="F3" s="2"/>
      <x:c r="G3" s="2"/>
    </x:row>
    <x:row r="4">
      <x:c r="A4" s="8" t="str">
        <x:v>Asset class</x:v>
      </x:c>
      <x:c r="B4" s="9" t="str">
        <x:v>Public title rule</x:v>
      </x:c>
      <x:c r="C4" s="9" t="str">
        <x:v>Private use right</x:v>
      </x:c>
      <x:c r="D4" s="9" t="str">
        <x:v>Step-in action</x:v>
      </x:c>
      <x:c r="E4" s="9" t="str">
        <x:v>Asset registry ID</x:v>
      </x:c>
      <x:c r="F4" s="9" t="str">
        <x:v>Custody ID</x:v>
      </x:c>
      <x:c r="G4" s="10" t="str">
        <x:v>State</x:v>
      </x:c>
    </x:row>
    <x:row r="5" ht="56" customHeight="1">
      <x:c r="A5" s="40" t="str">
        <x:v>Production technical-data package</x:v>
      </x:c>
      <x:c r="B5" s="40" t="str">
        <x:v>Public title to funded foreground configuration</x:v>
      </x:c>
      <x:c r="C5" s="40" t="str">
        <x:v>Licensed civil and export use</x:v>
      </x:c>
      <x:c r="D5" s="40" t="str">
        <x:v>Release package to qualified alternate</x:v>
      </x:c>
      <x:c r="E5" s="16"/>
      <x:c r="F5" s="16"/>
      <x:c r="G5" s="13" t="str">
        <x:f>IF(COUNTA(E5:F5)&lt;2,"SOURCE EMPTY","REGISTERED")</x:f>
        <x:v>SOURCE EMPTY</x:v>
      </x:c>
    </x:row>
    <x:row r="6" ht="56" customHeight="1">
      <x:c r="A6" s="41" t="str">
        <x:v>Unique production tooling</x:v>
      </x:c>
      <x:c r="B6" s="41" t="str">
        <x:v>Trust title where public capital creates the asset</x:v>
      </x:c>
      <x:c r="C6" s="41" t="str">
        <x:v>Incumbent operating preference while warrants remain positive</x:v>
      </x:c>
      <x:c r="D6" s="41" t="str">
        <x:v>Transfer custody or activate public operator</x:v>
      </x:c>
      <x:c r="E6" s="17"/>
      <x:c r="F6" s="17"/>
      <x:c r="G6" s="14" t="str">
        <x:f>IF(COUNTA(E6:F6)&lt;2,"SOURCE EMPTY","REGISTERED")</x:f>
        <x:v>SOURCE EMPTY</x:v>
      </x:c>
    </x:row>
    <x:row r="7" ht="56" customHeight="1">
      <x:c r="A7" s="41" t="str">
        <x:v>Root-specific tooling capsule</x:v>
      </x:c>
      <x:c r="B7" s="41" t="str">
        <x:v>Sealed public custody</x:v>
      </x:c>
      <x:c r="C7" s="41" t="str">
        <x:v>Incumbent may update under configuration control</x:v>
      </x:c>
      <x:c r="D7" s="41" t="str">
        <x:v>Install in qualified fallback cell</x:v>
      </x:c>
      <x:c r="E7" s="17"/>
      <x:c r="F7" s="17"/>
      <x:c r="G7" s="14" t="str">
        <x:f>IF(COUNTA(E7:F7)&lt;2,"SOURCE EMPTY","REGISTERED")</x:f>
        <x:v>SOURCE EMPTY</x:v>
      </x:c>
    </x:row>
    <x:row r="8" ht="56" customHeight="1">
      <x:c r="A8" s="41" t="str">
        <x:v>Qualification reference articles</x:v>
      </x:c>
      <x:c r="B8" s="41" t="str">
        <x:v>Sovereign evidence estate</x:v>
      </x:c>
      <x:c r="C8" s="41" t="str">
        <x:v>Access under blind protocol</x:v>
      </x:c>
      <x:c r="D8" s="41" t="str">
        <x:v>Issue to outside reproducer</x:v>
      </x:c>
      <x:c r="E8" s="17"/>
      <x:c r="F8" s="17"/>
      <x:c r="G8" s="14" t="str">
        <x:f>IF(COUNTA(E8:F8)&lt;2,"SOURCE EMPTY","REGISTERED")</x:f>
        <x:v>SOURCE EMPTY</x:v>
      </x:c>
    </x:row>
    <x:row r="9" ht="56" customHeight="1">
      <x:c r="A9" s="41" t="str">
        <x:v>Process and material genealogy</x:v>
      </x:c>
      <x:c r="B9" s="41" t="str">
        <x:v>Append-only public record</x:v>
      </x:c>
      <x:c r="C9" s="41" t="str">
        <x:v>Firm protects unrelated background know-how</x:v>
      </x:c>
      <x:c r="D9" s="41" t="str">
        <x:v>Disclose mission-relevant chain</x:v>
      </x:c>
      <x:c r="E9" s="17"/>
      <x:c r="F9" s="17"/>
      <x:c r="G9" s="14" t="str">
        <x:f>IF(COUNTA(E9:F9)&lt;2,"SOURCE EMPTY","REGISTERED")</x:f>
        <x:v>SOURCE EMPTY</x:v>
      </x:c>
    </x:row>
    <x:row r="10" ht="56" customHeight="1">
      <x:c r="A10" s="41" t="str">
        <x:v>Configuration signing roots</x:v>
      </x:c>
      <x:c r="B10" s="41" t="str">
        <x:v>Independent public custody</x:v>
      </x:c>
      <x:c r="C10" s="41" t="str">
        <x:v>Firm receives bounded signing delegation</x:v>
      </x:c>
      <x:c r="D10" s="41" t="str">
        <x:v>Revoke and reissue delegation</x:v>
      </x:c>
      <x:c r="E10" s="17"/>
      <x:c r="F10" s="17"/>
      <x:c r="G10" s="14" t="str">
        <x:f>IF(COUNTA(E10:F10)&lt;2,"SOURCE EMPTY","REGISTERED")</x:f>
        <x:v>SOURCE EMPTY</x:v>
      </x:c>
    </x:row>
    <x:row r="11" ht="56" customHeight="1">
      <x:c r="A11" s="41" t="str">
        <x:v>Repair and spare patterns</x:v>
      </x:c>
      <x:c r="B11" s="41" t="str">
        <x:v>Public emergency and sustainment license</x:v>
      </x:c>
      <x:c r="C11" s="41" t="str">
        <x:v>Commercial improvements may earn royalties</x:v>
      </x:c>
      <x:c r="D11" s="41" t="str">
        <x:v>Authorize arsenal production</x:v>
      </x:c>
      <x:c r="E11" s="17"/>
      <x:c r="F11" s="17"/>
      <x:c r="G11" s="14" t="str">
        <x:f>IF(COUNTA(E11:F11)&lt;2,"SOURCE EMPTY","REGISTERED")</x:f>
        <x:v>SOURCE EMPTY</x:v>
      </x:c>
    </x:row>
    <x:row r="12" ht="56" customHeight="1">
      <x:c r="A12" s="41" t="str">
        <x:v>Workforce qualification packages</x:v>
      </x:c>
      <x:c r="B12" s="41" t="str">
        <x:v>Portable public credential graph</x:v>
      </x:c>
      <x:c r="C12" s="41" t="str">
        <x:v>Employer retains ordinary employment rights</x:v>
      </x:c>
      <x:c r="D12" s="41" t="str">
        <x:v>Transfer credentials without noncompete</x:v>
      </x:c>
      <x:c r="E12" s="17"/>
      <x:c r="F12" s="17"/>
      <x:c r="G12" s="14" t="str">
        <x:f>IF(COUNTA(E12:F12)&lt;2,"SOURCE EMPTY","REGISTERED")</x:f>
        <x:v>SOURCE EMPTY</x:v>
      </x:c>
    </x:row>
    <x:row r="13" ht="56" customHeight="1">
      <x:c r="A13" s="41" t="str">
        <x:v>Critical material buffers</x:v>
      </x:c>
      <x:c r="B13" s="41" t="str">
        <x:v>Public reservation and rotation title</x:v>
      </x:c>
      <x:c r="C13" s="41" t="str">
        <x:v>Supplier may operate inventory</x:v>
      </x:c>
      <x:c r="D13" s="41" t="str">
        <x:v>Redirect stock to replacement root</x:v>
      </x:c>
      <x:c r="E13" s="17"/>
      <x:c r="F13" s="17"/>
      <x:c r="G13" s="14" t="str">
        <x:f>IF(COUNTA(E13:F13)&lt;2,"SOURCE EMPTY","REGISTERED")</x:f>
        <x:v>SOURCE EMPTY</x:v>
      </x:c>
    </x:row>
    <x:row r="14" ht="56" customHeight="1">
      <x:c r="A14" s="42" t="str">
        <x:v>Receiver-interface standards</x:v>
      </x:c>
      <x:c r="B14" s="42" t="str">
        <x:v>Open public seam</x:v>
      </x:c>
      <x:c r="C14" s="42" t="str">
        <x:v>Competitive implementation</x:v>
      </x:c>
      <x:c r="D14" s="42" t="str">
        <x:v>Publish and qualify alternate</x:v>
      </x:c>
      <x:c r="E14" s="18"/>
      <x:c r="F14" s="18"/>
      <x:c r="G14" s="15" t="str">
        <x:f>IF(COUNTA(E14:F14)&lt;2,"SOURCE EMPTY","REGISTERED")</x:f>
        <x:v>SOURCE EMPTY</x:v>
      </x:c>
    </x:row>
  </x:sheetData>
  <x:conditionalFormatting sqref="G5:G14">
    <x:cfRule type="containsText" dxfId="28" priority="1" operator="containsText" text="FAIL"/>
    <x:cfRule type="containsText" dxfId="29" priority="2" operator="containsText" text="BREACH"/>
    <x:cfRule type="containsText" dxfId="30" priority="3" operator="containsText" text="COLLISION"/>
    <x:cfRule type="containsText" dxfId="31" priority="4" operator="containsText" text="BLOCKED"/>
    <x:cfRule type="containsText" dxfId="32" priority="5" operator="containsText" text="SOURCE EMPTY"/>
    <x:cfRule type="containsText" dxfId="33" priority="6" operator="containsText" text="PASS"/>
    <x:cfRule type="containsText" dxfId="34" priority="7" operator="containsText" text="READY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3" hidden="0" customWidth="1"/>
    <x:col min="4" max="4" width="23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2" ht="24" customHeight="1">
      <x:c r="A2" s="1" t="str">
        <x:v>Public reproduction cells</x:v>
      </x:c>
      <x:c r="B2" s="1"/>
      <x:c r="C2" s="1"/>
      <x:c r="D2" s="1"/>
      <x:c r="E2" s="1"/>
      <x:c r="F2" s="1"/>
      <x:c r="G2" s="1"/>
      <x:c r="H2" s="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8" t="str">
        <x:v>Cell</x:v>
      </x:c>
      <x:c r="B4" s="9" t="str">
        <x:v>System</x:v>
      </x:c>
      <x:c r="C4" s="9" t="str">
        <x:v>Root pair</x:v>
      </x:c>
      <x:c r="D4" s="9" t="str">
        <x:v>Operator-control ID</x:v>
      </x:c>
      <x:c r="E4" s="9" t="str">
        <x:v>Site ID</x:v>
      </x:c>
      <x:c r="F4" s="9" t="str">
        <x:v>Utility-island ID</x:v>
      </x:c>
      <x:c r="G4" s="9" t="str">
        <x:v>Custody ID</x:v>
      </x:c>
      <x:c r="H4" s="10" t="str">
        <x:v>State</x:v>
      </x:c>
    </x:row>
    <x:row r="5">
      <x:c r="A5" s="13" t="str">
        <x:v>ET-CELL-1</x:v>
      </x:c>
      <x:c r="B5" s="13" t="str">
        <x:v>MS-ET</x:v>
      </x:c>
      <x:c r="C5" s="13" t="str">
        <x:v>A + B</x:v>
      </x:c>
      <x:c r="D5" s="16"/>
      <x:c r="E5" s="16"/>
      <x:c r="F5" s="16"/>
      <x:c r="G5" s="16"/>
      <x:c r="H5" s="13" t="str">
        <x:f>IF(COUNTA(D5:G5)&lt;4,"SOURCE EMPTY",IF(COUNTIFS($D$5:$D$28,D5)&gt;2,"COLLISION","REGISTERED"))</x:f>
        <x:v>SOURCE EMPTY</x:v>
      </x:c>
    </x:row>
    <x:row r="6">
      <x:c r="A6" s="14" t="str">
        <x:v>ET-CELL-2</x:v>
      </x:c>
      <x:c r="B6" s="14" t="str">
        <x:v>MS-ET</x:v>
      </x:c>
      <x:c r="C6" s="14" t="str">
        <x:v>C + D</x:v>
      </x:c>
      <x:c r="D6" s="17"/>
      <x:c r="E6" s="17"/>
      <x:c r="F6" s="17"/>
      <x:c r="G6" s="17"/>
      <x:c r="H6" s="14" t="str">
        <x:f>IF(COUNTA(D6:G6)&lt;4,"SOURCE EMPTY",IF(COUNTIFS($D$5:$D$28,D6)&gt;2,"COLLISION","REGISTERED"))</x:f>
        <x:v>SOURCE EMPTY</x:v>
      </x:c>
    </x:row>
    <x:row r="7">
      <x:c r="A7" s="14" t="str">
        <x:v>ET-CELL-3</x:v>
      </x:c>
      <x:c r="B7" s="14" t="str">
        <x:v>MS-ET</x:v>
      </x:c>
      <x:c r="C7" s="14" t="str">
        <x:v>A + C</x:v>
      </x:c>
      <x:c r="D7" s="17"/>
      <x:c r="E7" s="17"/>
      <x:c r="F7" s="17"/>
      <x:c r="G7" s="17"/>
      <x:c r="H7" s="14" t="str">
        <x:f>IF(COUNTA(D7:G7)&lt;4,"SOURCE EMPTY",IF(COUNTIFS($D$5:$D$28,D7)&gt;2,"COLLISION","REGISTERED"))</x:f>
        <x:v>SOURCE EMPTY</x:v>
      </x:c>
    </x:row>
    <x:row r="8">
      <x:c r="A8" s="14" t="str">
        <x:v>ET-CELL-4</x:v>
      </x:c>
      <x:c r="B8" s="14" t="str">
        <x:v>MS-ET</x:v>
      </x:c>
      <x:c r="C8" s="14" t="str">
        <x:v>B + D</x:v>
      </x:c>
      <x:c r="D8" s="17"/>
      <x:c r="E8" s="17"/>
      <x:c r="F8" s="17"/>
      <x:c r="G8" s="17"/>
      <x:c r="H8" s="14" t="str">
        <x:f>IF(COUNTA(D8:G8)&lt;4,"SOURCE EMPTY",IF(COUNTIFS($D$5:$D$28,D8)&gt;2,"COLLISION","REGISTERED"))</x:f>
        <x:v>SOURCE EMPTY</x:v>
      </x:c>
    </x:row>
    <x:row r="9">
      <x:c r="A9" s="14" t="str">
        <x:v>CT-CELL-1</x:v>
      </x:c>
      <x:c r="B9" s="14" t="str">
        <x:v>MS-CT</x:v>
      </x:c>
      <x:c r="C9" s="14" t="str">
        <x:v>A + B</x:v>
      </x:c>
      <x:c r="D9" s="17"/>
      <x:c r="E9" s="17"/>
      <x:c r="F9" s="17"/>
      <x:c r="G9" s="17"/>
      <x:c r="H9" s="14" t="str">
        <x:f>IF(COUNTA(D9:G9)&lt;4,"SOURCE EMPTY",IF(COUNTIFS($D$5:$D$28,D9)&gt;2,"COLLISION","REGISTERED"))</x:f>
        <x:v>SOURCE EMPTY</x:v>
      </x:c>
    </x:row>
    <x:row r="10">
      <x:c r="A10" s="14" t="str">
        <x:v>CT-CELL-2</x:v>
      </x:c>
      <x:c r="B10" s="14" t="str">
        <x:v>MS-CT</x:v>
      </x:c>
      <x:c r="C10" s="14" t="str">
        <x:v>C + D</x:v>
      </x:c>
      <x:c r="D10" s="17"/>
      <x:c r="E10" s="17"/>
      <x:c r="F10" s="17"/>
      <x:c r="G10" s="17"/>
      <x:c r="H10" s="14" t="str">
        <x:f>IF(COUNTA(D10:G10)&lt;4,"SOURCE EMPTY",IF(COUNTIFS($D$5:$D$28,D10)&gt;2,"COLLISION","REGISTERED"))</x:f>
        <x:v>SOURCE EMPTY</x:v>
      </x:c>
    </x:row>
    <x:row r="11">
      <x:c r="A11" s="14" t="str">
        <x:v>CT-CELL-3</x:v>
      </x:c>
      <x:c r="B11" s="14" t="str">
        <x:v>MS-CT</x:v>
      </x:c>
      <x:c r="C11" s="14" t="str">
        <x:v>A + C</x:v>
      </x:c>
      <x:c r="D11" s="17"/>
      <x:c r="E11" s="17"/>
      <x:c r="F11" s="17"/>
      <x:c r="G11" s="17"/>
      <x:c r="H11" s="14" t="str">
        <x:f>IF(COUNTA(D11:G11)&lt;4,"SOURCE EMPTY",IF(COUNTIFS($D$5:$D$28,D11)&gt;2,"COLLISION","REGISTERED"))</x:f>
        <x:v>SOURCE EMPTY</x:v>
      </x:c>
    </x:row>
    <x:row r="12">
      <x:c r="A12" s="14" t="str">
        <x:v>CT-CELL-4</x:v>
      </x:c>
      <x:c r="B12" s="14" t="str">
        <x:v>MS-CT</x:v>
      </x:c>
      <x:c r="C12" s="14" t="str">
        <x:v>B + D</x:v>
      </x:c>
      <x:c r="D12" s="17"/>
      <x:c r="E12" s="17"/>
      <x:c r="F12" s="17"/>
      <x:c r="G12" s="17"/>
      <x:c r="H12" s="14" t="str">
        <x:f>IF(COUNTA(D12:G12)&lt;4,"SOURCE EMPTY",IF(COUNTIFS($D$5:$D$28,D12)&gt;2,"COLLISION","REGISTERED"))</x:f>
        <x:v>SOURCE EMPTY</x:v>
      </x:c>
    </x:row>
    <x:row r="13">
      <x:c r="A13" s="14" t="str">
        <x:v>HC-CELL-1</x:v>
      </x:c>
      <x:c r="B13" s="14" t="str">
        <x:v>MS-HC</x:v>
      </x:c>
      <x:c r="C13" s="14" t="str">
        <x:v>A + B</x:v>
      </x:c>
      <x:c r="D13" s="17"/>
      <x:c r="E13" s="17"/>
      <x:c r="F13" s="17"/>
      <x:c r="G13" s="17"/>
      <x:c r="H13" s="14" t="str">
        <x:f>IF(COUNTA(D13:G13)&lt;4,"SOURCE EMPTY",IF(COUNTIFS($D$5:$D$28,D13)&gt;2,"COLLISION","REGISTERED"))</x:f>
        <x:v>SOURCE EMPTY</x:v>
      </x:c>
    </x:row>
    <x:row r="14">
      <x:c r="A14" s="14" t="str">
        <x:v>HC-CELL-2</x:v>
      </x:c>
      <x:c r="B14" s="14" t="str">
        <x:v>MS-HC</x:v>
      </x:c>
      <x:c r="C14" s="14" t="str">
        <x:v>C + D</x:v>
      </x:c>
      <x:c r="D14" s="17"/>
      <x:c r="E14" s="17"/>
      <x:c r="F14" s="17"/>
      <x:c r="G14" s="17"/>
      <x:c r="H14" s="14" t="str">
        <x:f>IF(COUNTA(D14:G14)&lt;4,"SOURCE EMPTY",IF(COUNTIFS($D$5:$D$28,D14)&gt;2,"COLLISION","REGISTERED"))</x:f>
        <x:v>SOURCE EMPTY</x:v>
      </x:c>
    </x:row>
    <x:row r="15">
      <x:c r="A15" s="14" t="str">
        <x:v>HC-CELL-3</x:v>
      </x:c>
      <x:c r="B15" s="14" t="str">
        <x:v>MS-HC</x:v>
      </x:c>
      <x:c r="C15" s="14" t="str">
        <x:v>A + C</x:v>
      </x:c>
      <x:c r="D15" s="17"/>
      <x:c r="E15" s="17"/>
      <x:c r="F15" s="17"/>
      <x:c r="G15" s="17"/>
      <x:c r="H15" s="14" t="str">
        <x:f>IF(COUNTA(D15:G15)&lt;4,"SOURCE EMPTY",IF(COUNTIFS($D$5:$D$28,D15)&gt;2,"COLLISION","REGISTERED"))</x:f>
        <x:v>SOURCE EMPTY</x:v>
      </x:c>
    </x:row>
    <x:row r="16">
      <x:c r="A16" s="14" t="str">
        <x:v>HC-CELL-4</x:v>
      </x:c>
      <x:c r="B16" s="14" t="str">
        <x:v>MS-HC</x:v>
      </x:c>
      <x:c r="C16" s="14" t="str">
        <x:v>B + D</x:v>
      </x:c>
      <x:c r="D16" s="17"/>
      <x:c r="E16" s="17"/>
      <x:c r="F16" s="17"/>
      <x:c r="G16" s="17"/>
      <x:c r="H16" s="14" t="str">
        <x:f>IF(COUNTA(D16:G16)&lt;4,"SOURCE EMPTY",IF(COUNTIFS($D$5:$D$28,D16)&gt;2,"COLLISION","REGISTERED"))</x:f>
        <x:v>SOURCE EMPTY</x:v>
      </x:c>
    </x:row>
    <x:row r="17">
      <x:c r="A17" s="14" t="str">
        <x:v>LF-CELL-1</x:v>
      </x:c>
      <x:c r="B17" s="14" t="str">
        <x:v>MS-LF</x:v>
      </x:c>
      <x:c r="C17" s="14" t="str">
        <x:v>A + B</x:v>
      </x:c>
      <x:c r="D17" s="17"/>
      <x:c r="E17" s="17"/>
      <x:c r="F17" s="17"/>
      <x:c r="G17" s="17"/>
      <x:c r="H17" s="14" t="str">
        <x:f>IF(COUNTA(D17:G17)&lt;4,"SOURCE EMPTY",IF(COUNTIFS($D$5:$D$28,D17)&gt;2,"COLLISION","REGISTERED"))</x:f>
        <x:v>SOURCE EMPTY</x:v>
      </x:c>
    </x:row>
    <x:row r="18">
      <x:c r="A18" s="14" t="str">
        <x:v>LF-CELL-2</x:v>
      </x:c>
      <x:c r="B18" s="14" t="str">
        <x:v>MS-LF</x:v>
      </x:c>
      <x:c r="C18" s="14" t="str">
        <x:v>C + D</x:v>
      </x:c>
      <x:c r="D18" s="17"/>
      <x:c r="E18" s="17"/>
      <x:c r="F18" s="17"/>
      <x:c r="G18" s="17"/>
      <x:c r="H18" s="14" t="str">
        <x:f>IF(COUNTA(D18:G18)&lt;4,"SOURCE EMPTY",IF(COUNTIFS($D$5:$D$28,D18)&gt;2,"COLLISION","REGISTERED"))</x:f>
        <x:v>SOURCE EMPTY</x:v>
      </x:c>
    </x:row>
    <x:row r="19">
      <x:c r="A19" s="14" t="str">
        <x:v>LF-CELL-3</x:v>
      </x:c>
      <x:c r="B19" s="14" t="str">
        <x:v>MS-LF</x:v>
      </x:c>
      <x:c r="C19" s="14" t="str">
        <x:v>A + C</x:v>
      </x:c>
      <x:c r="D19" s="17"/>
      <x:c r="E19" s="17"/>
      <x:c r="F19" s="17"/>
      <x:c r="G19" s="17"/>
      <x:c r="H19" s="14" t="str">
        <x:f>IF(COUNTA(D19:G19)&lt;4,"SOURCE EMPTY",IF(COUNTIFS($D$5:$D$28,D19)&gt;2,"COLLISION","REGISTERED"))</x:f>
        <x:v>SOURCE EMPTY</x:v>
      </x:c>
    </x:row>
    <x:row r="20">
      <x:c r="A20" s="14" t="str">
        <x:v>LF-CELL-4</x:v>
      </x:c>
      <x:c r="B20" s="14" t="str">
        <x:v>MS-LF</x:v>
      </x:c>
      <x:c r="C20" s="14" t="str">
        <x:v>B + D</x:v>
      </x:c>
      <x:c r="D20" s="17"/>
      <x:c r="E20" s="17"/>
      <x:c r="F20" s="17"/>
      <x:c r="G20" s="17"/>
      <x:c r="H20" s="14" t="str">
        <x:f>IF(COUNTA(D20:G20)&lt;4,"SOURCE EMPTY",IF(COUNTIFS($D$5:$D$28,D20)&gt;2,"COLLISION","REGISTERED"))</x:f>
        <x:v>SOURCE EMPTY</x:v>
      </x:c>
    </x:row>
    <x:row r="21">
      <x:c r="A21" s="14" t="str">
        <x:v>HU-CELL-1</x:v>
      </x:c>
      <x:c r="B21" s="14" t="str">
        <x:v>MS-HU</x:v>
      </x:c>
      <x:c r="C21" s="14" t="str">
        <x:v>A + B</x:v>
      </x:c>
      <x:c r="D21" s="17"/>
      <x:c r="E21" s="17"/>
      <x:c r="F21" s="17"/>
      <x:c r="G21" s="17"/>
      <x:c r="H21" s="14" t="str">
        <x:f>IF(COUNTA(D21:G21)&lt;4,"SOURCE EMPTY",IF(COUNTIFS($D$5:$D$28,D21)&gt;2,"COLLISION","REGISTERED"))</x:f>
        <x:v>SOURCE EMPTY</x:v>
      </x:c>
    </x:row>
    <x:row r="22">
      <x:c r="A22" s="14" t="str">
        <x:v>HU-CELL-2</x:v>
      </x:c>
      <x:c r="B22" s="14" t="str">
        <x:v>MS-HU</x:v>
      </x:c>
      <x:c r="C22" s="14" t="str">
        <x:v>C + D</x:v>
      </x:c>
      <x:c r="D22" s="17"/>
      <x:c r="E22" s="17"/>
      <x:c r="F22" s="17"/>
      <x:c r="G22" s="17"/>
      <x:c r="H22" s="14" t="str">
        <x:f>IF(COUNTA(D22:G22)&lt;4,"SOURCE EMPTY",IF(COUNTIFS($D$5:$D$28,D22)&gt;2,"COLLISION","REGISTERED"))</x:f>
        <x:v>SOURCE EMPTY</x:v>
      </x:c>
    </x:row>
    <x:row r="23">
      <x:c r="A23" s="14" t="str">
        <x:v>HU-CELL-3</x:v>
      </x:c>
      <x:c r="B23" s="14" t="str">
        <x:v>MS-HU</x:v>
      </x:c>
      <x:c r="C23" s="14" t="str">
        <x:v>A + C</x:v>
      </x:c>
      <x:c r="D23" s="17"/>
      <x:c r="E23" s="17"/>
      <x:c r="F23" s="17"/>
      <x:c r="G23" s="17"/>
      <x:c r="H23" s="14" t="str">
        <x:f>IF(COUNTA(D23:G23)&lt;4,"SOURCE EMPTY",IF(COUNTIFS($D$5:$D$28,D23)&gt;2,"COLLISION","REGISTERED"))</x:f>
        <x:v>SOURCE EMPTY</x:v>
      </x:c>
    </x:row>
    <x:row r="24">
      <x:c r="A24" s="14" t="str">
        <x:v>HU-CELL-4</x:v>
      </x:c>
      <x:c r="B24" s="14" t="str">
        <x:v>MS-HU</x:v>
      </x:c>
      <x:c r="C24" s="14" t="str">
        <x:v>B + D</x:v>
      </x:c>
      <x:c r="D24" s="17"/>
      <x:c r="E24" s="17"/>
      <x:c r="F24" s="17"/>
      <x:c r="G24" s="17"/>
      <x:c r="H24" s="14" t="str">
        <x:f>IF(COUNTA(D24:G24)&lt;4,"SOURCE EMPTY",IF(COUNTIFS($D$5:$D$28,D24)&gt;2,"COLLISION","REGISTERED"))</x:f>
        <x:v>SOURCE EMPTY</x:v>
      </x:c>
    </x:row>
    <x:row r="25">
      <x:c r="A25" s="14" t="str">
        <x:v>RT-CELL-1</x:v>
      </x:c>
      <x:c r="B25" s="14" t="str">
        <x:v>MS-RT</x:v>
      </x:c>
      <x:c r="C25" s="14" t="str">
        <x:v>A + B</x:v>
      </x:c>
      <x:c r="D25" s="17"/>
      <x:c r="E25" s="17"/>
      <x:c r="F25" s="17"/>
      <x:c r="G25" s="17"/>
      <x:c r="H25" s="14" t="str">
        <x:f>IF(COUNTA(D25:G25)&lt;4,"SOURCE EMPTY",IF(COUNTIFS($D$5:$D$28,D25)&gt;2,"COLLISION","REGISTERED"))</x:f>
        <x:v>SOURCE EMPTY</x:v>
      </x:c>
    </x:row>
    <x:row r="26">
      <x:c r="A26" s="14" t="str">
        <x:v>RT-CELL-2</x:v>
      </x:c>
      <x:c r="B26" s="14" t="str">
        <x:v>MS-RT</x:v>
      </x:c>
      <x:c r="C26" s="14" t="str">
        <x:v>C + D</x:v>
      </x:c>
      <x:c r="D26" s="17"/>
      <x:c r="E26" s="17"/>
      <x:c r="F26" s="17"/>
      <x:c r="G26" s="17"/>
      <x:c r="H26" s="14" t="str">
        <x:f>IF(COUNTA(D26:G26)&lt;4,"SOURCE EMPTY",IF(COUNTIFS($D$5:$D$28,D26)&gt;2,"COLLISION","REGISTERED"))</x:f>
        <x:v>SOURCE EMPTY</x:v>
      </x:c>
    </x:row>
    <x:row r="27">
      <x:c r="A27" s="14" t="str">
        <x:v>RT-CELL-3</x:v>
      </x:c>
      <x:c r="B27" s="14" t="str">
        <x:v>MS-RT</x:v>
      </x:c>
      <x:c r="C27" s="14" t="str">
        <x:v>A + C</x:v>
      </x:c>
      <x:c r="D27" s="17"/>
      <x:c r="E27" s="17"/>
      <x:c r="F27" s="17"/>
      <x:c r="G27" s="17"/>
      <x:c r="H27" s="14" t="str">
        <x:f>IF(COUNTA(D27:G27)&lt;4,"SOURCE EMPTY",IF(COUNTIFS($D$5:$D$28,D27)&gt;2,"COLLISION","REGISTERED"))</x:f>
        <x:v>SOURCE EMPTY</x:v>
      </x:c>
    </x:row>
    <x:row r="28">
      <x:c r="A28" s="15" t="str">
        <x:v>RT-CELL-4</x:v>
      </x:c>
      <x:c r="B28" s="15" t="str">
        <x:v>MS-RT</x:v>
      </x:c>
      <x:c r="C28" s="15" t="str">
        <x:v>B + D</x:v>
      </x:c>
      <x:c r="D28" s="18"/>
      <x:c r="E28" s="18"/>
      <x:c r="F28" s="18"/>
      <x:c r="G28" s="18"/>
      <x:c r="H28" s="15" t="str">
        <x:f>IF(COUNTA(D28:G28)&lt;4,"SOURCE EMPTY",IF(COUNTIFS($D$5:$D$28,D28)&gt;2,"COLLISION","REGISTERED"))</x:f>
        <x:v>SOURCE EMPTY</x:v>
      </x:c>
    </x:row>
  </x:sheetData>
  <x:conditionalFormatting sqref="H5:H28">
    <x:cfRule type="containsText" dxfId="35" priority="1" operator="containsText" text="FAIL"/>
    <x:cfRule type="containsText" dxfId="36" priority="2" operator="containsText" text="BREACH"/>
    <x:cfRule type="containsText" dxfId="37" priority="3" operator="containsText" text="COLLISION"/>
    <x:cfRule type="containsText" dxfId="38" priority="4" operator="containsText" text="BLOCKED"/>
    <x:cfRule type="containsText" dxfId="39" priority="5" operator="containsText" text="SOURCE EMPTY"/>
    <x:cfRule type="containsText" dxfId="40" priority="6" operator="containsText" text="PASS"/>
    <x:cfRule type="containsText" dxfId="41" priority="7" operator="containsText" text="READY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6" hidden="0" customWidth="1"/>
    <x:col min="5" max="5" width="18" hidden="0" customWidth="1"/>
    <x:col min="6" max="6" width="21" hidden="0" customWidth="1"/>
    <x:col min="7" max="7" width="18" hidden="0" customWidth="1"/>
    <x:col min="8" max="8" width="21" hidden="0" customWidth="1"/>
    <x:col min="9" max="9" width="18" hidden="0" customWidth="1"/>
    <x:col min="10" max="10" width="18" hidden="0" customWidth="1"/>
    <x:col min="11" max="11" width="11" hidden="0" customWidth="1"/>
    <x:col min="12" max="12" width="18" hidden="0" customWidth="1"/>
  </x:cols>
  <x:sheetData>
    <x:row r="2" ht="24" customHeight="1">
      <x:c r="A2" s="1" t="str">
        <x:v>Root-to-cell reproduction qualifications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8" t="str">
        <x:v>Qualification</x:v>
      </x:c>
      <x:c r="B4" s="9" t="str">
        <x:v>Root</x:v>
      </x:c>
      <x:c r="C4" s="9" t="str">
        <x:v>System</x:v>
      </x:c>
      <x:c r="D4" s="9" t="str">
        <x:v>Cell</x:v>
      </x:c>
      <x:c r="E4" s="9" t="str">
        <x:v>Cell state</x:v>
      </x:c>
      <x:c r="F4" s="9" t="str">
        <x:v>Operator ID</x:v>
      </x:c>
      <x:c r="G4" s="9" t="str">
        <x:v>Site ID</x:v>
      </x:c>
      <x:c r="H4" s="9" t="str">
        <x:v>Tooling package</x:v>
      </x:c>
      <x:c r="I4" s="9" t="str">
        <x:v>Cold lot</x:v>
      </x:c>
      <x:c r="J4" s="9" t="str">
        <x:v>Evidence ID</x:v>
      </x:c>
      <x:c r="K4" s="9" t="str">
        <x:v>Result</x:v>
      </x:c>
      <x:c r="L4" s="10" t="str">
        <x:v>State</x:v>
      </x:c>
    </x:row>
    <x:row r="5">
      <x:c r="A5" s="13" t="str">
        <x:v>TE-A-ET-CELL-1</x:v>
      </x:c>
      <x:c r="B5" s="13" t="str">
        <x:v>TE-A</x:v>
      </x:c>
      <x:c r="C5" s="13" t="str">
        <x:v>MS-ET</x:v>
      </x:c>
      <x:c r="D5" s="13" t="str">
        <x:v>ET-CELL-1</x:v>
      </x:c>
      <x:c r="E5" s="13" t="str">
        <x:f>INDEX('Fallback Cells'!$H$5:$H$28,MATCH(D5,'Fallback Cells'!$A$5:$A$28,0))</x:f>
        <x:v>SOURCE EMPTY</x:v>
      </x:c>
      <x:c r="F5" s="13" t="str">
        <x:f>IF(INDEX('Fallback Cells'!$D$5:$D$28,MATCH(D5,'Fallback Cells'!$A$5:$A$28,0))="","",INDEX('Fallback Cells'!$D$5:$D$28,MATCH(D5,'Fallback Cells'!$A$5:$A$28,0)))</x:f>
      </x:c>
      <x:c r="G5" s="13" t="str">
        <x:f>IF(INDEX('Fallback Cells'!$E$5:$E$28,MATCH(D5,'Fallback Cells'!$A$5:$A$28,0))="","",INDEX('Fallback Cells'!$E$5:$E$28,MATCH(D5,'Fallback Cells'!$A$5:$A$28,0)))</x:f>
      </x:c>
      <x:c r="H5" s="16"/>
      <x:c r="I5" s="16"/>
      <x:c r="J5" s="16"/>
      <x:c r="K5" s="16"/>
      <x:c r="L5" s="13" t="str">
        <x:f>IF(OR(E5&lt;&gt;"REGISTERED",COUNTA(H5:K5)&lt;4),"SOURCE EMPTY",IF(K5="PASS","QUALIFIED","FAILED"))</x:f>
        <x:v>SOURCE EMPTY</x:v>
      </x:c>
    </x:row>
    <x:row r="6">
      <x:c r="A6" s="14" t="str">
        <x:v>TE-B-ET-CELL-1</x:v>
      </x:c>
      <x:c r="B6" s="14" t="str">
        <x:v>TE-B</x:v>
      </x:c>
      <x:c r="C6" s="14" t="str">
        <x:v>MS-ET</x:v>
      </x:c>
      <x:c r="D6" s="14" t="str">
        <x:v>ET-CELL-1</x:v>
      </x:c>
      <x:c r="E6" s="14" t="str">
        <x:f>INDEX('Fallback Cells'!$H$5:$H$28,MATCH(D6,'Fallback Cells'!$A$5:$A$28,0))</x:f>
        <x:v>SOURCE EMPTY</x:v>
      </x:c>
      <x:c r="F6" s="14" t="str">
        <x:f>IF(INDEX('Fallback Cells'!$D$5:$D$28,MATCH(D6,'Fallback Cells'!$A$5:$A$28,0))="","",INDEX('Fallback Cells'!$D$5:$D$28,MATCH(D6,'Fallback Cells'!$A$5:$A$28,0)))</x:f>
      </x:c>
      <x:c r="G6" s="14" t="str">
        <x:f>IF(INDEX('Fallback Cells'!$E$5:$E$28,MATCH(D6,'Fallback Cells'!$A$5:$A$28,0))="","",INDEX('Fallback Cells'!$E$5:$E$28,MATCH(D6,'Fallback Cells'!$A$5:$A$28,0)))</x:f>
      </x:c>
      <x:c r="H6" s="17"/>
      <x:c r="I6" s="17"/>
      <x:c r="J6" s="17"/>
      <x:c r="K6" s="17"/>
      <x:c r="L6" s="14" t="str">
        <x:f>IF(OR(E6&lt;&gt;"REGISTERED",COUNTA(H6:K6)&lt;4),"SOURCE EMPTY",IF(K6="PASS","QUALIFIED","FAILED"))</x:f>
        <x:v>SOURCE EMPTY</x:v>
      </x:c>
    </x:row>
    <x:row r="7">
      <x:c r="A7" s="14" t="str">
        <x:v>TE-C-ET-CELL-2</x:v>
      </x:c>
      <x:c r="B7" s="14" t="str">
        <x:v>TE-C</x:v>
      </x:c>
      <x:c r="C7" s="14" t="str">
        <x:v>MS-ET</x:v>
      </x:c>
      <x:c r="D7" s="14" t="str">
        <x:v>ET-CELL-2</x:v>
      </x:c>
      <x:c r="E7" s="14" t="str">
        <x:f>INDEX('Fallback Cells'!$H$5:$H$28,MATCH(D7,'Fallback Cells'!$A$5:$A$28,0))</x:f>
        <x:v>SOURCE EMPTY</x:v>
      </x:c>
      <x:c r="F7" s="14" t="str">
        <x:f>IF(INDEX('Fallback Cells'!$D$5:$D$28,MATCH(D7,'Fallback Cells'!$A$5:$A$28,0))="","",INDEX('Fallback Cells'!$D$5:$D$28,MATCH(D7,'Fallback Cells'!$A$5:$A$28,0)))</x:f>
      </x:c>
      <x:c r="G7" s="14" t="str">
        <x:f>IF(INDEX('Fallback Cells'!$E$5:$E$28,MATCH(D7,'Fallback Cells'!$A$5:$A$28,0))="","",INDEX('Fallback Cells'!$E$5:$E$28,MATCH(D7,'Fallback Cells'!$A$5:$A$28,0)))</x:f>
      </x:c>
      <x:c r="H7" s="17"/>
      <x:c r="I7" s="17"/>
      <x:c r="J7" s="17"/>
      <x:c r="K7" s="17"/>
      <x:c r="L7" s="14" t="str">
        <x:f>IF(OR(E7&lt;&gt;"REGISTERED",COUNTA(H7:K7)&lt;4),"SOURCE EMPTY",IF(K7="PASS","QUALIFIED","FAILED"))</x:f>
        <x:v>SOURCE EMPTY</x:v>
      </x:c>
    </x:row>
    <x:row r="8">
      <x:c r="A8" s="14" t="str">
        <x:v>TE-D-ET-CELL-2</x:v>
      </x:c>
      <x:c r="B8" s="14" t="str">
        <x:v>TE-D</x:v>
      </x:c>
      <x:c r="C8" s="14" t="str">
        <x:v>MS-ET</x:v>
      </x:c>
      <x:c r="D8" s="14" t="str">
        <x:v>ET-CELL-2</x:v>
      </x:c>
      <x:c r="E8" s="14" t="str">
        <x:f>INDEX('Fallback Cells'!$H$5:$H$28,MATCH(D8,'Fallback Cells'!$A$5:$A$28,0))</x:f>
        <x:v>SOURCE EMPTY</x:v>
      </x:c>
      <x:c r="F8" s="14" t="str">
        <x:f>IF(INDEX('Fallback Cells'!$D$5:$D$28,MATCH(D8,'Fallback Cells'!$A$5:$A$28,0))="","",INDEX('Fallback Cells'!$D$5:$D$28,MATCH(D8,'Fallback Cells'!$A$5:$A$28,0)))</x:f>
      </x:c>
      <x:c r="G8" s="14" t="str">
        <x:f>IF(INDEX('Fallback Cells'!$E$5:$E$28,MATCH(D8,'Fallback Cells'!$A$5:$A$28,0))="","",INDEX('Fallback Cells'!$E$5:$E$28,MATCH(D8,'Fallback Cells'!$A$5:$A$28,0)))</x:f>
      </x:c>
      <x:c r="H8" s="17"/>
      <x:c r="I8" s="17"/>
      <x:c r="J8" s="17"/>
      <x:c r="K8" s="17"/>
      <x:c r="L8" s="14" t="str">
        <x:f>IF(OR(E8&lt;&gt;"REGISTERED",COUNTA(H8:K8)&lt;4),"SOURCE EMPTY",IF(K8="PASS","QUALIFIED","FAILED"))</x:f>
        <x:v>SOURCE EMPTY</x:v>
      </x:c>
    </x:row>
    <x:row r="9">
      <x:c r="A9" s="14" t="str">
        <x:v>TE-A-ET-CELL-3</x:v>
      </x:c>
      <x:c r="B9" s="14" t="str">
        <x:v>TE-A</x:v>
      </x:c>
      <x:c r="C9" s="14" t="str">
        <x:v>MS-ET</x:v>
      </x:c>
      <x:c r="D9" s="14" t="str">
        <x:v>ET-CELL-3</x:v>
      </x:c>
      <x:c r="E9" s="14" t="str">
        <x:f>INDEX('Fallback Cells'!$H$5:$H$28,MATCH(D9,'Fallback Cells'!$A$5:$A$28,0))</x:f>
        <x:v>SOURCE EMPTY</x:v>
      </x:c>
      <x:c r="F9" s="14" t="str">
        <x:f>IF(INDEX('Fallback Cells'!$D$5:$D$28,MATCH(D9,'Fallback Cells'!$A$5:$A$28,0))="","",INDEX('Fallback Cells'!$D$5:$D$28,MATCH(D9,'Fallback Cells'!$A$5:$A$28,0)))</x:f>
      </x:c>
      <x:c r="G9" s="14" t="str">
        <x:f>IF(INDEX('Fallback Cells'!$E$5:$E$28,MATCH(D9,'Fallback Cells'!$A$5:$A$28,0))="","",INDEX('Fallback Cells'!$E$5:$E$28,MATCH(D9,'Fallback Cells'!$A$5:$A$28,0)))</x:f>
      </x:c>
      <x:c r="H9" s="17"/>
      <x:c r="I9" s="17"/>
      <x:c r="J9" s="17"/>
      <x:c r="K9" s="17"/>
      <x:c r="L9" s="14" t="str">
        <x:f>IF(OR(E9&lt;&gt;"REGISTERED",COUNTA(H9:K9)&lt;4),"SOURCE EMPTY",IF(K9="PASS","QUALIFIED","FAILED"))</x:f>
        <x:v>SOURCE EMPTY</x:v>
      </x:c>
    </x:row>
    <x:row r="10">
      <x:c r="A10" s="14" t="str">
        <x:v>TE-C-ET-CELL-3</x:v>
      </x:c>
      <x:c r="B10" s="14" t="str">
        <x:v>TE-C</x:v>
      </x:c>
      <x:c r="C10" s="14" t="str">
        <x:v>MS-ET</x:v>
      </x:c>
      <x:c r="D10" s="14" t="str">
        <x:v>ET-CELL-3</x:v>
      </x:c>
      <x:c r="E10" s="14" t="str">
        <x:f>INDEX('Fallback Cells'!$H$5:$H$28,MATCH(D10,'Fallback Cells'!$A$5:$A$28,0))</x:f>
        <x:v>SOURCE EMPTY</x:v>
      </x:c>
      <x:c r="F10" s="14" t="str">
        <x:f>IF(INDEX('Fallback Cells'!$D$5:$D$28,MATCH(D10,'Fallback Cells'!$A$5:$A$28,0))="","",INDEX('Fallback Cells'!$D$5:$D$28,MATCH(D10,'Fallback Cells'!$A$5:$A$28,0)))</x:f>
      </x:c>
      <x:c r="G10" s="14" t="str">
        <x:f>IF(INDEX('Fallback Cells'!$E$5:$E$28,MATCH(D10,'Fallback Cells'!$A$5:$A$28,0))="","",INDEX('Fallback Cells'!$E$5:$E$28,MATCH(D10,'Fallback Cells'!$A$5:$A$28,0)))</x:f>
      </x:c>
      <x:c r="H10" s="17"/>
      <x:c r="I10" s="17"/>
      <x:c r="J10" s="17"/>
      <x:c r="K10" s="17"/>
      <x:c r="L10" s="14" t="str">
        <x:f>IF(OR(E10&lt;&gt;"REGISTERED",COUNTA(H10:K10)&lt;4),"SOURCE EMPTY",IF(K10="PASS","QUALIFIED","FAILED"))</x:f>
        <x:v>SOURCE EMPTY</x:v>
      </x:c>
    </x:row>
    <x:row r="11">
      <x:c r="A11" s="14" t="str">
        <x:v>TE-B-ET-CELL-4</x:v>
      </x:c>
      <x:c r="B11" s="14" t="str">
        <x:v>TE-B</x:v>
      </x:c>
      <x:c r="C11" s="14" t="str">
        <x:v>MS-ET</x:v>
      </x:c>
      <x:c r="D11" s="14" t="str">
        <x:v>ET-CELL-4</x:v>
      </x:c>
      <x:c r="E11" s="14" t="str">
        <x:f>INDEX('Fallback Cells'!$H$5:$H$28,MATCH(D11,'Fallback Cells'!$A$5:$A$28,0))</x:f>
        <x:v>SOURCE EMPTY</x:v>
      </x:c>
      <x:c r="F11" s="14" t="str">
        <x:f>IF(INDEX('Fallback Cells'!$D$5:$D$28,MATCH(D11,'Fallback Cells'!$A$5:$A$28,0))="","",INDEX('Fallback Cells'!$D$5:$D$28,MATCH(D11,'Fallback Cells'!$A$5:$A$28,0)))</x:f>
      </x:c>
      <x:c r="G11" s="14" t="str">
        <x:f>IF(INDEX('Fallback Cells'!$E$5:$E$28,MATCH(D11,'Fallback Cells'!$A$5:$A$28,0))="","",INDEX('Fallback Cells'!$E$5:$E$28,MATCH(D11,'Fallback Cells'!$A$5:$A$28,0)))</x:f>
      </x:c>
      <x:c r="H11" s="17"/>
      <x:c r="I11" s="17"/>
      <x:c r="J11" s="17"/>
      <x:c r="K11" s="17"/>
      <x:c r="L11" s="14" t="str">
        <x:f>IF(OR(E11&lt;&gt;"REGISTERED",COUNTA(H11:K11)&lt;4),"SOURCE EMPTY",IF(K11="PASS","QUALIFIED","FAILED"))</x:f>
        <x:v>SOURCE EMPTY</x:v>
      </x:c>
    </x:row>
    <x:row r="12">
      <x:c r="A12" s="14" t="str">
        <x:v>TE-D-ET-CELL-4</x:v>
      </x:c>
      <x:c r="B12" s="14" t="str">
        <x:v>TE-D</x:v>
      </x:c>
      <x:c r="C12" s="14" t="str">
        <x:v>MS-ET</x:v>
      </x:c>
      <x:c r="D12" s="14" t="str">
        <x:v>ET-CELL-4</x:v>
      </x:c>
      <x:c r="E12" s="14" t="str">
        <x:f>INDEX('Fallback Cells'!$H$5:$H$28,MATCH(D12,'Fallback Cells'!$A$5:$A$28,0))</x:f>
        <x:v>SOURCE EMPTY</x:v>
      </x:c>
      <x:c r="F12" s="14" t="str">
        <x:f>IF(INDEX('Fallback Cells'!$D$5:$D$28,MATCH(D12,'Fallback Cells'!$A$5:$A$28,0))="","",INDEX('Fallback Cells'!$D$5:$D$28,MATCH(D12,'Fallback Cells'!$A$5:$A$28,0)))</x:f>
      </x:c>
      <x:c r="G12" s="14" t="str">
        <x:f>IF(INDEX('Fallback Cells'!$E$5:$E$28,MATCH(D12,'Fallback Cells'!$A$5:$A$28,0))="","",INDEX('Fallback Cells'!$E$5:$E$28,MATCH(D12,'Fallback Cells'!$A$5:$A$28,0)))</x:f>
      </x:c>
      <x:c r="H12" s="17"/>
      <x:c r="I12" s="17"/>
      <x:c r="J12" s="17"/>
      <x:c r="K12" s="17"/>
      <x:c r="L12" s="14" t="str">
        <x:f>IF(OR(E12&lt;&gt;"REGISTERED",COUNTA(H12:K12)&lt;4),"SOURCE EMPTY",IF(K12="PASS","QUALIFIED","FAILED"))</x:f>
        <x:v>SOURCE EMPTY</x:v>
      </x:c>
    </x:row>
    <x:row r="13">
      <x:c r="A13" s="14" t="str">
        <x:v>CT-A-CT-CELL-1</x:v>
      </x:c>
      <x:c r="B13" s="14" t="str">
        <x:v>CT-A</x:v>
      </x:c>
      <x:c r="C13" s="14" t="str">
        <x:v>MS-CT</x:v>
      </x:c>
      <x:c r="D13" s="14" t="str">
        <x:v>CT-CELL-1</x:v>
      </x:c>
      <x:c r="E13" s="14" t="str">
        <x:f>INDEX('Fallback Cells'!$H$5:$H$28,MATCH(D13,'Fallback Cells'!$A$5:$A$28,0))</x:f>
        <x:v>SOURCE EMPTY</x:v>
      </x:c>
      <x:c r="F13" s="14" t="str">
        <x:f>IF(INDEX('Fallback Cells'!$D$5:$D$28,MATCH(D13,'Fallback Cells'!$A$5:$A$28,0))="","",INDEX('Fallback Cells'!$D$5:$D$28,MATCH(D13,'Fallback Cells'!$A$5:$A$28,0)))</x:f>
      </x:c>
      <x:c r="G13" s="14" t="str">
        <x:f>IF(INDEX('Fallback Cells'!$E$5:$E$28,MATCH(D13,'Fallback Cells'!$A$5:$A$28,0))="","",INDEX('Fallback Cells'!$E$5:$E$28,MATCH(D13,'Fallback Cells'!$A$5:$A$28,0)))</x:f>
      </x:c>
      <x:c r="H13" s="17"/>
      <x:c r="I13" s="17"/>
      <x:c r="J13" s="17"/>
      <x:c r="K13" s="17"/>
      <x:c r="L13" s="14" t="str">
        <x:f>IF(OR(E13&lt;&gt;"REGISTERED",COUNTA(H13:K13)&lt;4),"SOURCE EMPTY",IF(K13="PASS","QUALIFIED","FAILED"))</x:f>
        <x:v>SOURCE EMPTY</x:v>
      </x:c>
    </x:row>
    <x:row r="14">
      <x:c r="A14" s="14" t="str">
        <x:v>CT-B-CT-CELL-1</x:v>
      </x:c>
      <x:c r="B14" s="14" t="str">
        <x:v>CT-B</x:v>
      </x:c>
      <x:c r="C14" s="14" t="str">
        <x:v>MS-CT</x:v>
      </x:c>
      <x:c r="D14" s="14" t="str">
        <x:v>CT-CELL-1</x:v>
      </x:c>
      <x:c r="E14" s="14" t="str">
        <x:f>INDEX('Fallback Cells'!$H$5:$H$28,MATCH(D14,'Fallback Cells'!$A$5:$A$28,0))</x:f>
        <x:v>SOURCE EMPTY</x:v>
      </x:c>
      <x:c r="F14" s="14" t="str">
        <x:f>IF(INDEX('Fallback Cells'!$D$5:$D$28,MATCH(D14,'Fallback Cells'!$A$5:$A$28,0))="","",INDEX('Fallback Cells'!$D$5:$D$28,MATCH(D14,'Fallback Cells'!$A$5:$A$28,0)))</x:f>
      </x:c>
      <x:c r="G14" s="14" t="str">
        <x:f>IF(INDEX('Fallback Cells'!$E$5:$E$28,MATCH(D14,'Fallback Cells'!$A$5:$A$28,0))="","",INDEX('Fallback Cells'!$E$5:$E$28,MATCH(D14,'Fallback Cells'!$A$5:$A$28,0)))</x:f>
      </x:c>
      <x:c r="H14" s="17"/>
      <x:c r="I14" s="17"/>
      <x:c r="J14" s="17"/>
      <x:c r="K14" s="17"/>
      <x:c r="L14" s="14" t="str">
        <x:f>IF(OR(E14&lt;&gt;"REGISTERED",COUNTA(H14:K14)&lt;4),"SOURCE EMPTY",IF(K14="PASS","QUALIFIED","FAILED"))</x:f>
        <x:v>SOURCE EMPTY</x:v>
      </x:c>
    </x:row>
    <x:row r="15">
      <x:c r="A15" s="14" t="str">
        <x:v>CT-C-CT-CELL-2</x:v>
      </x:c>
      <x:c r="B15" s="14" t="str">
        <x:v>CT-C</x:v>
      </x:c>
      <x:c r="C15" s="14" t="str">
        <x:v>MS-CT</x:v>
      </x:c>
      <x:c r="D15" s="14" t="str">
        <x:v>CT-CELL-2</x:v>
      </x:c>
      <x:c r="E15" s="14" t="str">
        <x:f>INDEX('Fallback Cells'!$H$5:$H$28,MATCH(D15,'Fallback Cells'!$A$5:$A$28,0))</x:f>
        <x:v>SOURCE EMPTY</x:v>
      </x:c>
      <x:c r="F15" s="14" t="str">
        <x:f>IF(INDEX('Fallback Cells'!$D$5:$D$28,MATCH(D15,'Fallback Cells'!$A$5:$A$28,0))="","",INDEX('Fallback Cells'!$D$5:$D$28,MATCH(D15,'Fallback Cells'!$A$5:$A$28,0)))</x:f>
      </x:c>
      <x:c r="G15" s="14" t="str">
        <x:f>IF(INDEX('Fallback Cells'!$E$5:$E$28,MATCH(D15,'Fallback Cells'!$A$5:$A$28,0))="","",INDEX('Fallback Cells'!$E$5:$E$28,MATCH(D15,'Fallback Cells'!$A$5:$A$28,0)))</x:f>
      </x:c>
      <x:c r="H15" s="17"/>
      <x:c r="I15" s="17"/>
      <x:c r="J15" s="17"/>
      <x:c r="K15" s="17"/>
      <x:c r="L15" s="14" t="str">
        <x:f>IF(OR(E15&lt;&gt;"REGISTERED",COUNTA(H15:K15)&lt;4),"SOURCE EMPTY",IF(K15="PASS","QUALIFIED","FAILED"))</x:f>
        <x:v>SOURCE EMPTY</x:v>
      </x:c>
    </x:row>
    <x:row r="16">
      <x:c r="A16" s="14" t="str">
        <x:v>CT-D-CT-CELL-2</x:v>
      </x:c>
      <x:c r="B16" s="14" t="str">
        <x:v>CT-D</x:v>
      </x:c>
      <x:c r="C16" s="14" t="str">
        <x:v>MS-CT</x:v>
      </x:c>
      <x:c r="D16" s="14" t="str">
        <x:v>CT-CELL-2</x:v>
      </x:c>
      <x:c r="E16" s="14" t="str">
        <x:f>INDEX('Fallback Cells'!$H$5:$H$28,MATCH(D16,'Fallback Cells'!$A$5:$A$28,0))</x:f>
        <x:v>SOURCE EMPTY</x:v>
      </x:c>
      <x:c r="F16" s="14" t="str">
        <x:f>IF(INDEX('Fallback Cells'!$D$5:$D$28,MATCH(D16,'Fallback Cells'!$A$5:$A$28,0))="","",INDEX('Fallback Cells'!$D$5:$D$28,MATCH(D16,'Fallback Cells'!$A$5:$A$28,0)))</x:f>
      </x:c>
      <x:c r="G16" s="14" t="str">
        <x:f>IF(INDEX('Fallback Cells'!$E$5:$E$28,MATCH(D16,'Fallback Cells'!$A$5:$A$28,0))="","",INDEX('Fallback Cells'!$E$5:$E$28,MATCH(D16,'Fallback Cells'!$A$5:$A$28,0)))</x:f>
      </x:c>
      <x:c r="H16" s="17"/>
      <x:c r="I16" s="17"/>
      <x:c r="J16" s="17"/>
      <x:c r="K16" s="17"/>
      <x:c r="L16" s="14" t="str">
        <x:f>IF(OR(E16&lt;&gt;"REGISTERED",COUNTA(H16:K16)&lt;4),"SOURCE EMPTY",IF(K16="PASS","QUALIFIED","FAILED"))</x:f>
        <x:v>SOURCE EMPTY</x:v>
      </x:c>
    </x:row>
    <x:row r="17">
      <x:c r="A17" s="14" t="str">
        <x:v>CT-A-CT-CELL-3</x:v>
      </x:c>
      <x:c r="B17" s="14" t="str">
        <x:v>CT-A</x:v>
      </x:c>
      <x:c r="C17" s="14" t="str">
        <x:v>MS-CT</x:v>
      </x:c>
      <x:c r="D17" s="14" t="str">
        <x:v>CT-CELL-3</x:v>
      </x:c>
      <x:c r="E17" s="14" t="str">
        <x:f>INDEX('Fallback Cells'!$H$5:$H$28,MATCH(D17,'Fallback Cells'!$A$5:$A$28,0))</x:f>
        <x:v>SOURCE EMPTY</x:v>
      </x:c>
      <x:c r="F17" s="14" t="str">
        <x:f>IF(INDEX('Fallback Cells'!$D$5:$D$28,MATCH(D17,'Fallback Cells'!$A$5:$A$28,0))="","",INDEX('Fallback Cells'!$D$5:$D$28,MATCH(D17,'Fallback Cells'!$A$5:$A$28,0)))</x:f>
      </x:c>
      <x:c r="G17" s="14" t="str">
        <x:f>IF(INDEX('Fallback Cells'!$E$5:$E$28,MATCH(D17,'Fallback Cells'!$A$5:$A$28,0))="","",INDEX('Fallback Cells'!$E$5:$E$28,MATCH(D17,'Fallback Cells'!$A$5:$A$28,0)))</x:f>
      </x:c>
      <x:c r="H17" s="17"/>
      <x:c r="I17" s="17"/>
      <x:c r="J17" s="17"/>
      <x:c r="K17" s="17"/>
      <x:c r="L17" s="14" t="str">
        <x:f>IF(OR(E17&lt;&gt;"REGISTERED",COUNTA(H17:K17)&lt;4),"SOURCE EMPTY",IF(K17="PASS","QUALIFIED","FAILED"))</x:f>
        <x:v>SOURCE EMPTY</x:v>
      </x:c>
    </x:row>
    <x:row r="18">
      <x:c r="A18" s="14" t="str">
        <x:v>CT-C-CT-CELL-3</x:v>
      </x:c>
      <x:c r="B18" s="14" t="str">
        <x:v>CT-C</x:v>
      </x:c>
      <x:c r="C18" s="14" t="str">
        <x:v>MS-CT</x:v>
      </x:c>
      <x:c r="D18" s="14" t="str">
        <x:v>CT-CELL-3</x:v>
      </x:c>
      <x:c r="E18" s="14" t="str">
        <x:f>INDEX('Fallback Cells'!$H$5:$H$28,MATCH(D18,'Fallback Cells'!$A$5:$A$28,0))</x:f>
        <x:v>SOURCE EMPTY</x:v>
      </x:c>
      <x:c r="F18" s="14" t="str">
        <x:f>IF(INDEX('Fallback Cells'!$D$5:$D$28,MATCH(D18,'Fallback Cells'!$A$5:$A$28,0))="","",INDEX('Fallback Cells'!$D$5:$D$28,MATCH(D18,'Fallback Cells'!$A$5:$A$28,0)))</x:f>
      </x:c>
      <x:c r="G18" s="14" t="str">
        <x:f>IF(INDEX('Fallback Cells'!$E$5:$E$28,MATCH(D18,'Fallback Cells'!$A$5:$A$28,0))="","",INDEX('Fallback Cells'!$E$5:$E$28,MATCH(D18,'Fallback Cells'!$A$5:$A$28,0)))</x:f>
      </x:c>
      <x:c r="H18" s="17"/>
      <x:c r="I18" s="17"/>
      <x:c r="J18" s="17"/>
      <x:c r="K18" s="17"/>
      <x:c r="L18" s="14" t="str">
        <x:f>IF(OR(E18&lt;&gt;"REGISTERED",COUNTA(H18:K18)&lt;4),"SOURCE EMPTY",IF(K18="PASS","QUALIFIED","FAILED"))</x:f>
        <x:v>SOURCE EMPTY</x:v>
      </x:c>
    </x:row>
    <x:row r="19">
      <x:c r="A19" s="14" t="str">
        <x:v>CT-B-CT-CELL-4</x:v>
      </x:c>
      <x:c r="B19" s="14" t="str">
        <x:v>CT-B</x:v>
      </x:c>
      <x:c r="C19" s="14" t="str">
        <x:v>MS-CT</x:v>
      </x:c>
      <x:c r="D19" s="14" t="str">
        <x:v>CT-CELL-4</x:v>
      </x:c>
      <x:c r="E19" s="14" t="str">
        <x:f>INDEX('Fallback Cells'!$H$5:$H$28,MATCH(D19,'Fallback Cells'!$A$5:$A$28,0))</x:f>
        <x:v>SOURCE EMPTY</x:v>
      </x:c>
      <x:c r="F19" s="14" t="str">
        <x:f>IF(INDEX('Fallback Cells'!$D$5:$D$28,MATCH(D19,'Fallback Cells'!$A$5:$A$28,0))="","",INDEX('Fallback Cells'!$D$5:$D$28,MATCH(D19,'Fallback Cells'!$A$5:$A$28,0)))</x:f>
      </x:c>
      <x:c r="G19" s="14" t="str">
        <x:f>IF(INDEX('Fallback Cells'!$E$5:$E$28,MATCH(D19,'Fallback Cells'!$A$5:$A$28,0))="","",INDEX('Fallback Cells'!$E$5:$E$28,MATCH(D19,'Fallback Cells'!$A$5:$A$28,0)))</x:f>
      </x:c>
      <x:c r="H19" s="17"/>
      <x:c r="I19" s="17"/>
      <x:c r="J19" s="17"/>
      <x:c r="K19" s="17"/>
      <x:c r="L19" s="14" t="str">
        <x:f>IF(OR(E19&lt;&gt;"REGISTERED",COUNTA(H19:K19)&lt;4),"SOURCE EMPTY",IF(K19="PASS","QUALIFIED","FAILED"))</x:f>
        <x:v>SOURCE EMPTY</x:v>
      </x:c>
    </x:row>
    <x:row r="20">
      <x:c r="A20" s="14" t="str">
        <x:v>CT-D-CT-CELL-4</x:v>
      </x:c>
      <x:c r="B20" s="14" t="str">
        <x:v>CT-D</x:v>
      </x:c>
      <x:c r="C20" s="14" t="str">
        <x:v>MS-CT</x:v>
      </x:c>
      <x:c r="D20" s="14" t="str">
        <x:v>CT-CELL-4</x:v>
      </x:c>
      <x:c r="E20" s="14" t="str">
        <x:f>INDEX('Fallback Cells'!$H$5:$H$28,MATCH(D20,'Fallback Cells'!$A$5:$A$28,0))</x:f>
        <x:v>SOURCE EMPTY</x:v>
      </x:c>
      <x:c r="F20" s="14" t="str">
        <x:f>IF(INDEX('Fallback Cells'!$D$5:$D$28,MATCH(D20,'Fallback Cells'!$A$5:$A$28,0))="","",INDEX('Fallback Cells'!$D$5:$D$28,MATCH(D20,'Fallback Cells'!$A$5:$A$28,0)))</x:f>
      </x:c>
      <x:c r="G20" s="14" t="str">
        <x:f>IF(INDEX('Fallback Cells'!$E$5:$E$28,MATCH(D20,'Fallback Cells'!$A$5:$A$28,0))="","",INDEX('Fallback Cells'!$E$5:$E$28,MATCH(D20,'Fallback Cells'!$A$5:$A$28,0)))</x:f>
      </x:c>
      <x:c r="H20" s="17"/>
      <x:c r="I20" s="17"/>
      <x:c r="J20" s="17"/>
      <x:c r="K20" s="17"/>
      <x:c r="L20" s="14" t="str">
        <x:f>IF(OR(E20&lt;&gt;"REGISTERED",COUNTA(H20:K20)&lt;4),"SOURCE EMPTY",IF(K20="PASS","QUALIFIED","FAILED"))</x:f>
        <x:v>SOURCE EMPTY</x:v>
      </x:c>
    </x:row>
    <x:row r="21">
      <x:c r="A21" s="14" t="str">
        <x:v>HC-A-HC-CELL-1</x:v>
      </x:c>
      <x:c r="B21" s="14" t="str">
        <x:v>HC-A</x:v>
      </x:c>
      <x:c r="C21" s="14" t="str">
        <x:v>MS-HC</x:v>
      </x:c>
      <x:c r="D21" s="14" t="str">
        <x:v>HC-CELL-1</x:v>
      </x:c>
      <x:c r="E21" s="14" t="str">
        <x:f>INDEX('Fallback Cells'!$H$5:$H$28,MATCH(D21,'Fallback Cells'!$A$5:$A$28,0))</x:f>
        <x:v>SOURCE EMPTY</x:v>
      </x:c>
      <x:c r="F21" s="14" t="str">
        <x:f>IF(INDEX('Fallback Cells'!$D$5:$D$28,MATCH(D21,'Fallback Cells'!$A$5:$A$28,0))="","",INDEX('Fallback Cells'!$D$5:$D$28,MATCH(D21,'Fallback Cells'!$A$5:$A$28,0)))</x:f>
      </x:c>
      <x:c r="G21" s="14" t="str">
        <x:f>IF(INDEX('Fallback Cells'!$E$5:$E$28,MATCH(D21,'Fallback Cells'!$A$5:$A$28,0))="","",INDEX('Fallback Cells'!$E$5:$E$28,MATCH(D21,'Fallback Cells'!$A$5:$A$28,0)))</x:f>
      </x:c>
      <x:c r="H21" s="17"/>
      <x:c r="I21" s="17"/>
      <x:c r="J21" s="17"/>
      <x:c r="K21" s="17"/>
      <x:c r="L21" s="14" t="str">
        <x:f>IF(OR(E21&lt;&gt;"REGISTERED",COUNTA(H21:K21)&lt;4),"SOURCE EMPTY",IF(K21="PASS","QUALIFIED","FAILED"))</x:f>
        <x:v>SOURCE EMPTY</x:v>
      </x:c>
    </x:row>
    <x:row r="22">
      <x:c r="A22" s="14" t="str">
        <x:v>HC-B-HC-CELL-1</x:v>
      </x:c>
      <x:c r="B22" s="14" t="str">
        <x:v>HC-B</x:v>
      </x:c>
      <x:c r="C22" s="14" t="str">
        <x:v>MS-HC</x:v>
      </x:c>
      <x:c r="D22" s="14" t="str">
        <x:v>HC-CELL-1</x:v>
      </x:c>
      <x:c r="E22" s="14" t="str">
        <x:f>INDEX('Fallback Cells'!$H$5:$H$28,MATCH(D22,'Fallback Cells'!$A$5:$A$28,0))</x:f>
        <x:v>SOURCE EMPTY</x:v>
      </x:c>
      <x:c r="F22" s="14" t="str">
        <x:f>IF(INDEX('Fallback Cells'!$D$5:$D$28,MATCH(D22,'Fallback Cells'!$A$5:$A$28,0))="","",INDEX('Fallback Cells'!$D$5:$D$28,MATCH(D22,'Fallback Cells'!$A$5:$A$28,0)))</x:f>
      </x:c>
      <x:c r="G22" s="14" t="str">
        <x:f>IF(INDEX('Fallback Cells'!$E$5:$E$28,MATCH(D22,'Fallback Cells'!$A$5:$A$28,0))="","",INDEX('Fallback Cells'!$E$5:$E$28,MATCH(D22,'Fallback Cells'!$A$5:$A$28,0)))</x:f>
      </x:c>
      <x:c r="H22" s="17"/>
      <x:c r="I22" s="17"/>
      <x:c r="J22" s="17"/>
      <x:c r="K22" s="17"/>
      <x:c r="L22" s="14" t="str">
        <x:f>IF(OR(E22&lt;&gt;"REGISTERED",COUNTA(H22:K22)&lt;4),"SOURCE EMPTY",IF(K22="PASS","QUALIFIED","FAILED"))</x:f>
        <x:v>SOURCE EMPTY</x:v>
      </x:c>
    </x:row>
    <x:row r="23">
      <x:c r="A23" s="14" t="str">
        <x:v>HC-C-HC-CELL-2</x:v>
      </x:c>
      <x:c r="B23" s="14" t="str">
        <x:v>HC-C</x:v>
      </x:c>
      <x:c r="C23" s="14" t="str">
        <x:v>MS-HC</x:v>
      </x:c>
      <x:c r="D23" s="14" t="str">
        <x:v>HC-CELL-2</x:v>
      </x:c>
      <x:c r="E23" s="14" t="str">
        <x:f>INDEX('Fallback Cells'!$H$5:$H$28,MATCH(D23,'Fallback Cells'!$A$5:$A$28,0))</x:f>
        <x:v>SOURCE EMPTY</x:v>
      </x:c>
      <x:c r="F23" s="14" t="str">
        <x:f>IF(INDEX('Fallback Cells'!$D$5:$D$28,MATCH(D23,'Fallback Cells'!$A$5:$A$28,0))="","",INDEX('Fallback Cells'!$D$5:$D$28,MATCH(D23,'Fallback Cells'!$A$5:$A$28,0)))</x:f>
      </x:c>
      <x:c r="G23" s="14" t="str">
        <x:f>IF(INDEX('Fallback Cells'!$E$5:$E$28,MATCH(D23,'Fallback Cells'!$A$5:$A$28,0))="","",INDEX('Fallback Cells'!$E$5:$E$28,MATCH(D23,'Fallback Cells'!$A$5:$A$28,0)))</x:f>
      </x:c>
      <x:c r="H23" s="17"/>
      <x:c r="I23" s="17"/>
      <x:c r="J23" s="17"/>
      <x:c r="K23" s="17"/>
      <x:c r="L23" s="14" t="str">
        <x:f>IF(OR(E23&lt;&gt;"REGISTERED",COUNTA(H23:K23)&lt;4),"SOURCE EMPTY",IF(K23="PASS","QUALIFIED","FAILED"))</x:f>
        <x:v>SOURCE EMPTY</x:v>
      </x:c>
    </x:row>
    <x:row r="24">
      <x:c r="A24" s="14" t="str">
        <x:v>HC-D-HC-CELL-2</x:v>
      </x:c>
      <x:c r="B24" s="14" t="str">
        <x:v>HC-D</x:v>
      </x:c>
      <x:c r="C24" s="14" t="str">
        <x:v>MS-HC</x:v>
      </x:c>
      <x:c r="D24" s="14" t="str">
        <x:v>HC-CELL-2</x:v>
      </x:c>
      <x:c r="E24" s="14" t="str">
        <x:f>INDEX('Fallback Cells'!$H$5:$H$28,MATCH(D24,'Fallback Cells'!$A$5:$A$28,0))</x:f>
        <x:v>SOURCE EMPTY</x:v>
      </x:c>
      <x:c r="F24" s="14" t="str">
        <x:f>IF(INDEX('Fallback Cells'!$D$5:$D$28,MATCH(D24,'Fallback Cells'!$A$5:$A$28,0))="","",INDEX('Fallback Cells'!$D$5:$D$28,MATCH(D24,'Fallback Cells'!$A$5:$A$28,0)))</x:f>
      </x:c>
      <x:c r="G24" s="14" t="str">
        <x:f>IF(INDEX('Fallback Cells'!$E$5:$E$28,MATCH(D24,'Fallback Cells'!$A$5:$A$28,0))="","",INDEX('Fallback Cells'!$E$5:$E$28,MATCH(D24,'Fallback Cells'!$A$5:$A$28,0)))</x:f>
      </x:c>
      <x:c r="H24" s="17"/>
      <x:c r="I24" s="17"/>
      <x:c r="J24" s="17"/>
      <x:c r="K24" s="17"/>
      <x:c r="L24" s="14" t="str">
        <x:f>IF(OR(E24&lt;&gt;"REGISTERED",COUNTA(H24:K24)&lt;4),"SOURCE EMPTY",IF(K24="PASS","QUALIFIED","FAILED"))</x:f>
        <x:v>SOURCE EMPTY</x:v>
      </x:c>
    </x:row>
    <x:row r="25">
      <x:c r="A25" s="14" t="str">
        <x:v>HC-A-HC-CELL-3</x:v>
      </x:c>
      <x:c r="B25" s="14" t="str">
        <x:v>HC-A</x:v>
      </x:c>
      <x:c r="C25" s="14" t="str">
        <x:v>MS-HC</x:v>
      </x:c>
      <x:c r="D25" s="14" t="str">
        <x:v>HC-CELL-3</x:v>
      </x:c>
      <x:c r="E25" s="14" t="str">
        <x:f>INDEX('Fallback Cells'!$H$5:$H$28,MATCH(D25,'Fallback Cells'!$A$5:$A$28,0))</x:f>
        <x:v>SOURCE EMPTY</x:v>
      </x:c>
      <x:c r="F25" s="14" t="str">
        <x:f>IF(INDEX('Fallback Cells'!$D$5:$D$28,MATCH(D25,'Fallback Cells'!$A$5:$A$28,0))="","",INDEX('Fallback Cells'!$D$5:$D$28,MATCH(D25,'Fallback Cells'!$A$5:$A$28,0)))</x:f>
      </x:c>
      <x:c r="G25" s="14" t="str">
        <x:f>IF(INDEX('Fallback Cells'!$E$5:$E$28,MATCH(D25,'Fallback Cells'!$A$5:$A$28,0))="","",INDEX('Fallback Cells'!$E$5:$E$28,MATCH(D25,'Fallback Cells'!$A$5:$A$28,0)))</x:f>
      </x:c>
      <x:c r="H25" s="17"/>
      <x:c r="I25" s="17"/>
      <x:c r="J25" s="17"/>
      <x:c r="K25" s="17"/>
      <x:c r="L25" s="14" t="str">
        <x:f>IF(OR(E25&lt;&gt;"REGISTERED",COUNTA(H25:K25)&lt;4),"SOURCE EMPTY",IF(K25="PASS","QUALIFIED","FAILED"))</x:f>
        <x:v>SOURCE EMPTY</x:v>
      </x:c>
    </x:row>
    <x:row r="26">
      <x:c r="A26" s="14" t="str">
        <x:v>HC-C-HC-CELL-3</x:v>
      </x:c>
      <x:c r="B26" s="14" t="str">
        <x:v>HC-C</x:v>
      </x:c>
      <x:c r="C26" s="14" t="str">
        <x:v>MS-HC</x:v>
      </x:c>
      <x:c r="D26" s="14" t="str">
        <x:v>HC-CELL-3</x:v>
      </x:c>
      <x:c r="E26" s="14" t="str">
        <x:f>INDEX('Fallback Cells'!$H$5:$H$28,MATCH(D26,'Fallback Cells'!$A$5:$A$28,0))</x:f>
        <x:v>SOURCE EMPTY</x:v>
      </x:c>
      <x:c r="F26" s="14" t="str">
        <x:f>IF(INDEX('Fallback Cells'!$D$5:$D$28,MATCH(D26,'Fallback Cells'!$A$5:$A$28,0))="","",INDEX('Fallback Cells'!$D$5:$D$28,MATCH(D26,'Fallback Cells'!$A$5:$A$28,0)))</x:f>
      </x:c>
      <x:c r="G26" s="14" t="str">
        <x:f>IF(INDEX('Fallback Cells'!$E$5:$E$28,MATCH(D26,'Fallback Cells'!$A$5:$A$28,0))="","",INDEX('Fallback Cells'!$E$5:$E$28,MATCH(D26,'Fallback Cells'!$A$5:$A$28,0)))</x:f>
      </x:c>
      <x:c r="H26" s="17"/>
      <x:c r="I26" s="17"/>
      <x:c r="J26" s="17"/>
      <x:c r="K26" s="17"/>
      <x:c r="L26" s="14" t="str">
        <x:f>IF(OR(E26&lt;&gt;"REGISTERED",COUNTA(H26:K26)&lt;4),"SOURCE EMPTY",IF(K26="PASS","QUALIFIED","FAILED"))</x:f>
        <x:v>SOURCE EMPTY</x:v>
      </x:c>
    </x:row>
    <x:row r="27">
      <x:c r="A27" s="14" t="str">
        <x:v>HC-B-HC-CELL-4</x:v>
      </x:c>
      <x:c r="B27" s="14" t="str">
        <x:v>HC-B</x:v>
      </x:c>
      <x:c r="C27" s="14" t="str">
        <x:v>MS-HC</x:v>
      </x:c>
      <x:c r="D27" s="14" t="str">
        <x:v>HC-CELL-4</x:v>
      </x:c>
      <x:c r="E27" s="14" t="str">
        <x:f>INDEX('Fallback Cells'!$H$5:$H$28,MATCH(D27,'Fallback Cells'!$A$5:$A$28,0))</x:f>
        <x:v>SOURCE EMPTY</x:v>
      </x:c>
      <x:c r="F27" s="14" t="str">
        <x:f>IF(INDEX('Fallback Cells'!$D$5:$D$28,MATCH(D27,'Fallback Cells'!$A$5:$A$28,0))="","",INDEX('Fallback Cells'!$D$5:$D$28,MATCH(D27,'Fallback Cells'!$A$5:$A$28,0)))</x:f>
      </x:c>
      <x:c r="G27" s="14" t="str">
        <x:f>IF(INDEX('Fallback Cells'!$E$5:$E$28,MATCH(D27,'Fallback Cells'!$A$5:$A$28,0))="","",INDEX('Fallback Cells'!$E$5:$E$28,MATCH(D27,'Fallback Cells'!$A$5:$A$28,0)))</x:f>
      </x:c>
      <x:c r="H27" s="17"/>
      <x:c r="I27" s="17"/>
      <x:c r="J27" s="17"/>
      <x:c r="K27" s="17"/>
      <x:c r="L27" s="14" t="str">
        <x:f>IF(OR(E27&lt;&gt;"REGISTERED",COUNTA(H27:K27)&lt;4),"SOURCE EMPTY",IF(K27="PASS","QUALIFIED","FAILED"))</x:f>
        <x:v>SOURCE EMPTY</x:v>
      </x:c>
    </x:row>
    <x:row r="28">
      <x:c r="A28" s="14" t="str">
        <x:v>HC-D-HC-CELL-4</x:v>
      </x:c>
      <x:c r="B28" s="14" t="str">
        <x:v>HC-D</x:v>
      </x:c>
      <x:c r="C28" s="14" t="str">
        <x:v>MS-HC</x:v>
      </x:c>
      <x:c r="D28" s="14" t="str">
        <x:v>HC-CELL-4</x:v>
      </x:c>
      <x:c r="E28" s="14" t="str">
        <x:f>INDEX('Fallback Cells'!$H$5:$H$28,MATCH(D28,'Fallback Cells'!$A$5:$A$28,0))</x:f>
        <x:v>SOURCE EMPTY</x:v>
      </x:c>
      <x:c r="F28" s="14" t="str">
        <x:f>IF(INDEX('Fallback Cells'!$D$5:$D$28,MATCH(D28,'Fallback Cells'!$A$5:$A$28,0))="","",INDEX('Fallback Cells'!$D$5:$D$28,MATCH(D28,'Fallback Cells'!$A$5:$A$28,0)))</x:f>
      </x:c>
      <x:c r="G28" s="14" t="str">
        <x:f>IF(INDEX('Fallback Cells'!$E$5:$E$28,MATCH(D28,'Fallback Cells'!$A$5:$A$28,0))="","",INDEX('Fallback Cells'!$E$5:$E$28,MATCH(D28,'Fallback Cells'!$A$5:$A$28,0)))</x:f>
      </x:c>
      <x:c r="H28" s="17"/>
      <x:c r="I28" s="17"/>
      <x:c r="J28" s="17"/>
      <x:c r="K28" s="17"/>
      <x:c r="L28" s="14" t="str">
        <x:f>IF(OR(E28&lt;&gt;"REGISTERED",COUNTA(H28:K28)&lt;4),"SOURCE EMPTY",IF(K28="PASS","QUALIFIED","FAILED"))</x:f>
        <x:v>SOURCE EMPTY</x:v>
      </x:c>
    </x:row>
    <x:row r="29">
      <x:c r="A29" s="14" t="str">
        <x:v>LF-A-LF-CELL-1</x:v>
      </x:c>
      <x:c r="B29" s="14" t="str">
        <x:v>LF-A</x:v>
      </x:c>
      <x:c r="C29" s="14" t="str">
        <x:v>MS-LF</x:v>
      </x:c>
      <x:c r="D29" s="14" t="str">
        <x:v>LF-CELL-1</x:v>
      </x:c>
      <x:c r="E29" s="14" t="str">
        <x:f>INDEX('Fallback Cells'!$H$5:$H$28,MATCH(D29,'Fallback Cells'!$A$5:$A$28,0))</x:f>
        <x:v>SOURCE EMPTY</x:v>
      </x:c>
      <x:c r="F29" s="14" t="str">
        <x:f>IF(INDEX('Fallback Cells'!$D$5:$D$28,MATCH(D29,'Fallback Cells'!$A$5:$A$28,0))="","",INDEX('Fallback Cells'!$D$5:$D$28,MATCH(D29,'Fallback Cells'!$A$5:$A$28,0)))</x:f>
      </x:c>
      <x:c r="G29" s="14" t="str">
        <x:f>IF(INDEX('Fallback Cells'!$E$5:$E$28,MATCH(D29,'Fallback Cells'!$A$5:$A$28,0))="","",INDEX('Fallback Cells'!$E$5:$E$28,MATCH(D29,'Fallback Cells'!$A$5:$A$28,0)))</x:f>
      </x:c>
      <x:c r="H29" s="17"/>
      <x:c r="I29" s="17"/>
      <x:c r="J29" s="17"/>
      <x:c r="K29" s="17"/>
      <x:c r="L29" s="14" t="str">
        <x:f>IF(OR(E29&lt;&gt;"REGISTERED",COUNTA(H29:K29)&lt;4),"SOURCE EMPTY",IF(K29="PASS","QUALIFIED","FAILED"))</x:f>
        <x:v>SOURCE EMPTY</x:v>
      </x:c>
    </x:row>
    <x:row r="30">
      <x:c r="A30" s="14" t="str">
        <x:v>LF-B-LF-CELL-1</x:v>
      </x:c>
      <x:c r="B30" s="14" t="str">
        <x:v>LF-B</x:v>
      </x:c>
      <x:c r="C30" s="14" t="str">
        <x:v>MS-LF</x:v>
      </x:c>
      <x:c r="D30" s="14" t="str">
        <x:v>LF-CELL-1</x:v>
      </x:c>
      <x:c r="E30" s="14" t="str">
        <x:f>INDEX('Fallback Cells'!$H$5:$H$28,MATCH(D30,'Fallback Cells'!$A$5:$A$28,0))</x:f>
        <x:v>SOURCE EMPTY</x:v>
      </x:c>
      <x:c r="F30" s="14" t="str">
        <x:f>IF(INDEX('Fallback Cells'!$D$5:$D$28,MATCH(D30,'Fallback Cells'!$A$5:$A$28,0))="","",INDEX('Fallback Cells'!$D$5:$D$28,MATCH(D30,'Fallback Cells'!$A$5:$A$28,0)))</x:f>
      </x:c>
      <x:c r="G30" s="14" t="str">
        <x:f>IF(INDEX('Fallback Cells'!$E$5:$E$28,MATCH(D30,'Fallback Cells'!$A$5:$A$28,0))="","",INDEX('Fallback Cells'!$E$5:$E$28,MATCH(D30,'Fallback Cells'!$A$5:$A$28,0)))</x:f>
      </x:c>
      <x:c r="H30" s="17"/>
      <x:c r="I30" s="17"/>
      <x:c r="J30" s="17"/>
      <x:c r="K30" s="17"/>
      <x:c r="L30" s="14" t="str">
        <x:f>IF(OR(E30&lt;&gt;"REGISTERED",COUNTA(H30:K30)&lt;4),"SOURCE EMPTY",IF(K30="PASS","QUALIFIED","FAILED"))</x:f>
        <x:v>SOURCE EMPTY</x:v>
      </x:c>
    </x:row>
    <x:row r="31">
      <x:c r="A31" s="14" t="str">
        <x:v>LF-C-LF-CELL-2</x:v>
      </x:c>
      <x:c r="B31" s="14" t="str">
        <x:v>LF-C</x:v>
      </x:c>
      <x:c r="C31" s="14" t="str">
        <x:v>MS-LF</x:v>
      </x:c>
      <x:c r="D31" s="14" t="str">
        <x:v>LF-CELL-2</x:v>
      </x:c>
      <x:c r="E31" s="14" t="str">
        <x:f>INDEX('Fallback Cells'!$H$5:$H$28,MATCH(D31,'Fallback Cells'!$A$5:$A$28,0))</x:f>
        <x:v>SOURCE EMPTY</x:v>
      </x:c>
      <x:c r="F31" s="14" t="str">
        <x:f>IF(INDEX('Fallback Cells'!$D$5:$D$28,MATCH(D31,'Fallback Cells'!$A$5:$A$28,0))="","",INDEX('Fallback Cells'!$D$5:$D$28,MATCH(D31,'Fallback Cells'!$A$5:$A$28,0)))</x:f>
      </x:c>
      <x:c r="G31" s="14" t="str">
        <x:f>IF(INDEX('Fallback Cells'!$E$5:$E$28,MATCH(D31,'Fallback Cells'!$A$5:$A$28,0))="","",INDEX('Fallback Cells'!$E$5:$E$28,MATCH(D31,'Fallback Cells'!$A$5:$A$28,0)))</x:f>
      </x:c>
      <x:c r="H31" s="17"/>
      <x:c r="I31" s="17"/>
      <x:c r="J31" s="17"/>
      <x:c r="K31" s="17"/>
      <x:c r="L31" s="14" t="str">
        <x:f>IF(OR(E31&lt;&gt;"REGISTERED",COUNTA(H31:K31)&lt;4),"SOURCE EMPTY",IF(K31="PASS","QUALIFIED","FAILED"))</x:f>
        <x:v>SOURCE EMPTY</x:v>
      </x:c>
    </x:row>
    <x:row r="32">
      <x:c r="A32" s="14" t="str">
        <x:v>LF-D-LF-CELL-2</x:v>
      </x:c>
      <x:c r="B32" s="14" t="str">
        <x:v>LF-D</x:v>
      </x:c>
      <x:c r="C32" s="14" t="str">
        <x:v>MS-LF</x:v>
      </x:c>
      <x:c r="D32" s="14" t="str">
        <x:v>LF-CELL-2</x:v>
      </x:c>
      <x:c r="E32" s="14" t="str">
        <x:f>INDEX('Fallback Cells'!$H$5:$H$28,MATCH(D32,'Fallback Cells'!$A$5:$A$28,0))</x:f>
        <x:v>SOURCE EMPTY</x:v>
      </x:c>
      <x:c r="F32" s="14" t="str">
        <x:f>IF(INDEX('Fallback Cells'!$D$5:$D$28,MATCH(D32,'Fallback Cells'!$A$5:$A$28,0))="","",INDEX('Fallback Cells'!$D$5:$D$28,MATCH(D32,'Fallback Cells'!$A$5:$A$28,0)))</x:f>
      </x:c>
      <x:c r="G32" s="14" t="str">
        <x:f>IF(INDEX('Fallback Cells'!$E$5:$E$28,MATCH(D32,'Fallback Cells'!$A$5:$A$28,0))="","",INDEX('Fallback Cells'!$E$5:$E$28,MATCH(D32,'Fallback Cells'!$A$5:$A$28,0)))</x:f>
      </x:c>
      <x:c r="H32" s="17"/>
      <x:c r="I32" s="17"/>
      <x:c r="J32" s="17"/>
      <x:c r="K32" s="17"/>
      <x:c r="L32" s="14" t="str">
        <x:f>IF(OR(E32&lt;&gt;"REGISTERED",COUNTA(H32:K32)&lt;4),"SOURCE EMPTY",IF(K32="PASS","QUALIFIED","FAILED"))</x:f>
        <x:v>SOURCE EMPTY</x:v>
      </x:c>
    </x:row>
    <x:row r="33">
      <x:c r="A33" s="14" t="str">
        <x:v>LF-A-LF-CELL-3</x:v>
      </x:c>
      <x:c r="B33" s="14" t="str">
        <x:v>LF-A</x:v>
      </x:c>
      <x:c r="C33" s="14" t="str">
        <x:v>MS-LF</x:v>
      </x:c>
      <x:c r="D33" s="14" t="str">
        <x:v>LF-CELL-3</x:v>
      </x:c>
      <x:c r="E33" s="14" t="str">
        <x:f>INDEX('Fallback Cells'!$H$5:$H$28,MATCH(D33,'Fallback Cells'!$A$5:$A$28,0))</x:f>
        <x:v>SOURCE EMPTY</x:v>
      </x:c>
      <x:c r="F33" s="14" t="str">
        <x:f>IF(INDEX('Fallback Cells'!$D$5:$D$28,MATCH(D33,'Fallback Cells'!$A$5:$A$28,0))="","",INDEX('Fallback Cells'!$D$5:$D$28,MATCH(D33,'Fallback Cells'!$A$5:$A$28,0)))</x:f>
      </x:c>
      <x:c r="G33" s="14" t="str">
        <x:f>IF(INDEX('Fallback Cells'!$E$5:$E$28,MATCH(D33,'Fallback Cells'!$A$5:$A$28,0))="","",INDEX('Fallback Cells'!$E$5:$E$28,MATCH(D33,'Fallback Cells'!$A$5:$A$28,0)))</x:f>
      </x:c>
      <x:c r="H33" s="17"/>
      <x:c r="I33" s="17"/>
      <x:c r="J33" s="17"/>
      <x:c r="K33" s="17"/>
      <x:c r="L33" s="14" t="str">
        <x:f>IF(OR(E33&lt;&gt;"REGISTERED",COUNTA(H33:K33)&lt;4),"SOURCE EMPTY",IF(K33="PASS","QUALIFIED","FAILED"))</x:f>
        <x:v>SOURCE EMPTY</x:v>
      </x:c>
    </x:row>
    <x:row r="34">
      <x:c r="A34" s="14" t="str">
        <x:v>LF-C-LF-CELL-3</x:v>
      </x:c>
      <x:c r="B34" s="14" t="str">
        <x:v>LF-C</x:v>
      </x:c>
      <x:c r="C34" s="14" t="str">
        <x:v>MS-LF</x:v>
      </x:c>
      <x:c r="D34" s="14" t="str">
        <x:v>LF-CELL-3</x:v>
      </x:c>
      <x:c r="E34" s="14" t="str">
        <x:f>INDEX('Fallback Cells'!$H$5:$H$28,MATCH(D34,'Fallback Cells'!$A$5:$A$28,0))</x:f>
        <x:v>SOURCE EMPTY</x:v>
      </x:c>
      <x:c r="F34" s="14" t="str">
        <x:f>IF(INDEX('Fallback Cells'!$D$5:$D$28,MATCH(D34,'Fallback Cells'!$A$5:$A$28,0))="","",INDEX('Fallback Cells'!$D$5:$D$28,MATCH(D34,'Fallback Cells'!$A$5:$A$28,0)))</x:f>
      </x:c>
      <x:c r="G34" s="14" t="str">
        <x:f>IF(INDEX('Fallback Cells'!$E$5:$E$28,MATCH(D34,'Fallback Cells'!$A$5:$A$28,0))="","",INDEX('Fallback Cells'!$E$5:$E$28,MATCH(D34,'Fallback Cells'!$A$5:$A$28,0)))</x:f>
      </x:c>
      <x:c r="H34" s="17"/>
      <x:c r="I34" s="17"/>
      <x:c r="J34" s="17"/>
      <x:c r="K34" s="17"/>
      <x:c r="L34" s="14" t="str">
        <x:f>IF(OR(E34&lt;&gt;"REGISTERED",COUNTA(H34:K34)&lt;4),"SOURCE EMPTY",IF(K34="PASS","QUALIFIED","FAILED"))</x:f>
        <x:v>SOURCE EMPTY</x:v>
      </x:c>
    </x:row>
    <x:row r="35">
      <x:c r="A35" s="14" t="str">
        <x:v>LF-B-LF-CELL-4</x:v>
      </x:c>
      <x:c r="B35" s="14" t="str">
        <x:v>LF-B</x:v>
      </x:c>
      <x:c r="C35" s="14" t="str">
        <x:v>MS-LF</x:v>
      </x:c>
      <x:c r="D35" s="14" t="str">
        <x:v>LF-CELL-4</x:v>
      </x:c>
      <x:c r="E35" s="14" t="str">
        <x:f>INDEX('Fallback Cells'!$H$5:$H$28,MATCH(D35,'Fallback Cells'!$A$5:$A$28,0))</x:f>
        <x:v>SOURCE EMPTY</x:v>
      </x:c>
      <x:c r="F35" s="14" t="str">
        <x:f>IF(INDEX('Fallback Cells'!$D$5:$D$28,MATCH(D35,'Fallback Cells'!$A$5:$A$28,0))="","",INDEX('Fallback Cells'!$D$5:$D$28,MATCH(D35,'Fallback Cells'!$A$5:$A$28,0)))</x:f>
      </x:c>
      <x:c r="G35" s="14" t="str">
        <x:f>IF(INDEX('Fallback Cells'!$E$5:$E$28,MATCH(D35,'Fallback Cells'!$A$5:$A$28,0))="","",INDEX('Fallback Cells'!$E$5:$E$28,MATCH(D35,'Fallback Cells'!$A$5:$A$28,0)))</x:f>
      </x:c>
      <x:c r="H35" s="17"/>
      <x:c r="I35" s="17"/>
      <x:c r="J35" s="17"/>
      <x:c r="K35" s="17"/>
      <x:c r="L35" s="14" t="str">
        <x:f>IF(OR(E35&lt;&gt;"REGISTERED",COUNTA(H35:K35)&lt;4),"SOURCE EMPTY",IF(K35="PASS","QUALIFIED","FAILED"))</x:f>
        <x:v>SOURCE EMPTY</x:v>
      </x:c>
    </x:row>
    <x:row r="36">
      <x:c r="A36" s="14" t="str">
        <x:v>LF-D-LF-CELL-4</x:v>
      </x:c>
      <x:c r="B36" s="14" t="str">
        <x:v>LF-D</x:v>
      </x:c>
      <x:c r="C36" s="14" t="str">
        <x:v>MS-LF</x:v>
      </x:c>
      <x:c r="D36" s="14" t="str">
        <x:v>LF-CELL-4</x:v>
      </x:c>
      <x:c r="E36" s="14" t="str">
        <x:f>INDEX('Fallback Cells'!$H$5:$H$28,MATCH(D36,'Fallback Cells'!$A$5:$A$28,0))</x:f>
        <x:v>SOURCE EMPTY</x:v>
      </x:c>
      <x:c r="F36" s="14" t="str">
        <x:f>IF(INDEX('Fallback Cells'!$D$5:$D$28,MATCH(D36,'Fallback Cells'!$A$5:$A$28,0))="","",INDEX('Fallback Cells'!$D$5:$D$28,MATCH(D36,'Fallback Cells'!$A$5:$A$28,0)))</x:f>
      </x:c>
      <x:c r="G36" s="14" t="str">
        <x:f>IF(INDEX('Fallback Cells'!$E$5:$E$28,MATCH(D36,'Fallback Cells'!$A$5:$A$28,0))="","",INDEX('Fallback Cells'!$E$5:$E$28,MATCH(D36,'Fallback Cells'!$A$5:$A$28,0)))</x:f>
      </x:c>
      <x:c r="H36" s="17"/>
      <x:c r="I36" s="17"/>
      <x:c r="J36" s="17"/>
      <x:c r="K36" s="17"/>
      <x:c r="L36" s="14" t="str">
        <x:f>IF(OR(E36&lt;&gt;"REGISTERED",COUNTA(H36:K36)&lt;4),"SOURCE EMPTY",IF(K36="PASS","QUALIFIED","FAILED"))</x:f>
        <x:v>SOURCE EMPTY</x:v>
      </x:c>
    </x:row>
    <x:row r="37">
      <x:c r="A37" s="14" t="str">
        <x:v>HU-A-HU-CELL-1</x:v>
      </x:c>
      <x:c r="B37" s="14" t="str">
        <x:v>HU-A</x:v>
      </x:c>
      <x:c r="C37" s="14" t="str">
        <x:v>MS-HU</x:v>
      </x:c>
      <x:c r="D37" s="14" t="str">
        <x:v>HU-CELL-1</x:v>
      </x:c>
      <x:c r="E37" s="14" t="str">
        <x:f>INDEX('Fallback Cells'!$H$5:$H$28,MATCH(D37,'Fallback Cells'!$A$5:$A$28,0))</x:f>
        <x:v>SOURCE EMPTY</x:v>
      </x:c>
      <x:c r="F37" s="14" t="str">
        <x:f>IF(INDEX('Fallback Cells'!$D$5:$D$28,MATCH(D37,'Fallback Cells'!$A$5:$A$28,0))="","",INDEX('Fallback Cells'!$D$5:$D$28,MATCH(D37,'Fallback Cells'!$A$5:$A$28,0)))</x:f>
      </x:c>
      <x:c r="G37" s="14" t="str">
        <x:f>IF(INDEX('Fallback Cells'!$E$5:$E$28,MATCH(D37,'Fallback Cells'!$A$5:$A$28,0))="","",INDEX('Fallback Cells'!$E$5:$E$28,MATCH(D37,'Fallback Cells'!$A$5:$A$28,0)))</x:f>
      </x:c>
      <x:c r="H37" s="17"/>
      <x:c r="I37" s="17"/>
      <x:c r="J37" s="17"/>
      <x:c r="K37" s="17"/>
      <x:c r="L37" s="14" t="str">
        <x:f>IF(OR(E37&lt;&gt;"REGISTERED",COUNTA(H37:K37)&lt;4),"SOURCE EMPTY",IF(K37="PASS","QUALIFIED","FAILED"))</x:f>
        <x:v>SOURCE EMPTY</x:v>
      </x:c>
    </x:row>
    <x:row r="38">
      <x:c r="A38" s="14" t="str">
        <x:v>HU-B-HU-CELL-1</x:v>
      </x:c>
      <x:c r="B38" s="14" t="str">
        <x:v>HU-B</x:v>
      </x:c>
      <x:c r="C38" s="14" t="str">
        <x:v>MS-HU</x:v>
      </x:c>
      <x:c r="D38" s="14" t="str">
        <x:v>HU-CELL-1</x:v>
      </x:c>
      <x:c r="E38" s="14" t="str">
        <x:f>INDEX('Fallback Cells'!$H$5:$H$28,MATCH(D38,'Fallback Cells'!$A$5:$A$28,0))</x:f>
        <x:v>SOURCE EMPTY</x:v>
      </x:c>
      <x:c r="F38" s="14" t="str">
        <x:f>IF(INDEX('Fallback Cells'!$D$5:$D$28,MATCH(D38,'Fallback Cells'!$A$5:$A$28,0))="","",INDEX('Fallback Cells'!$D$5:$D$28,MATCH(D38,'Fallback Cells'!$A$5:$A$28,0)))</x:f>
      </x:c>
      <x:c r="G38" s="14" t="str">
        <x:f>IF(INDEX('Fallback Cells'!$E$5:$E$28,MATCH(D38,'Fallback Cells'!$A$5:$A$28,0))="","",INDEX('Fallback Cells'!$E$5:$E$28,MATCH(D38,'Fallback Cells'!$A$5:$A$28,0)))</x:f>
      </x:c>
      <x:c r="H38" s="17"/>
      <x:c r="I38" s="17"/>
      <x:c r="J38" s="17"/>
      <x:c r="K38" s="17"/>
      <x:c r="L38" s="14" t="str">
        <x:f>IF(OR(E38&lt;&gt;"REGISTERED",COUNTA(H38:K38)&lt;4),"SOURCE EMPTY",IF(K38="PASS","QUALIFIED","FAILED"))</x:f>
        <x:v>SOURCE EMPTY</x:v>
      </x:c>
    </x:row>
    <x:row r="39">
      <x:c r="A39" s="14" t="str">
        <x:v>HU-C-HU-CELL-2</x:v>
      </x:c>
      <x:c r="B39" s="14" t="str">
        <x:v>HU-C</x:v>
      </x:c>
      <x:c r="C39" s="14" t="str">
        <x:v>MS-HU</x:v>
      </x:c>
      <x:c r="D39" s="14" t="str">
        <x:v>HU-CELL-2</x:v>
      </x:c>
      <x:c r="E39" s="14" t="str">
        <x:f>INDEX('Fallback Cells'!$H$5:$H$28,MATCH(D39,'Fallback Cells'!$A$5:$A$28,0))</x:f>
        <x:v>SOURCE EMPTY</x:v>
      </x:c>
      <x:c r="F39" s="14" t="str">
        <x:f>IF(INDEX('Fallback Cells'!$D$5:$D$28,MATCH(D39,'Fallback Cells'!$A$5:$A$28,0))="","",INDEX('Fallback Cells'!$D$5:$D$28,MATCH(D39,'Fallback Cells'!$A$5:$A$28,0)))</x:f>
      </x:c>
      <x:c r="G39" s="14" t="str">
        <x:f>IF(INDEX('Fallback Cells'!$E$5:$E$28,MATCH(D39,'Fallback Cells'!$A$5:$A$28,0))="","",INDEX('Fallback Cells'!$E$5:$E$28,MATCH(D39,'Fallback Cells'!$A$5:$A$28,0)))</x:f>
      </x:c>
      <x:c r="H39" s="17"/>
      <x:c r="I39" s="17"/>
      <x:c r="J39" s="17"/>
      <x:c r="K39" s="17"/>
      <x:c r="L39" s="14" t="str">
        <x:f>IF(OR(E39&lt;&gt;"REGISTERED",COUNTA(H39:K39)&lt;4),"SOURCE EMPTY",IF(K39="PASS","QUALIFIED","FAILED"))</x:f>
        <x:v>SOURCE EMPTY</x:v>
      </x:c>
    </x:row>
    <x:row r="40">
      <x:c r="A40" s="14" t="str">
        <x:v>HU-D-HU-CELL-2</x:v>
      </x:c>
      <x:c r="B40" s="14" t="str">
        <x:v>HU-D</x:v>
      </x:c>
      <x:c r="C40" s="14" t="str">
        <x:v>MS-HU</x:v>
      </x:c>
      <x:c r="D40" s="14" t="str">
        <x:v>HU-CELL-2</x:v>
      </x:c>
      <x:c r="E40" s="14" t="str">
        <x:f>INDEX('Fallback Cells'!$H$5:$H$28,MATCH(D40,'Fallback Cells'!$A$5:$A$28,0))</x:f>
        <x:v>SOURCE EMPTY</x:v>
      </x:c>
      <x:c r="F40" s="14" t="str">
        <x:f>IF(INDEX('Fallback Cells'!$D$5:$D$28,MATCH(D40,'Fallback Cells'!$A$5:$A$28,0))="","",INDEX('Fallback Cells'!$D$5:$D$28,MATCH(D40,'Fallback Cells'!$A$5:$A$28,0)))</x:f>
      </x:c>
      <x:c r="G40" s="14" t="str">
        <x:f>IF(INDEX('Fallback Cells'!$E$5:$E$28,MATCH(D40,'Fallback Cells'!$A$5:$A$28,0))="","",INDEX('Fallback Cells'!$E$5:$E$28,MATCH(D40,'Fallback Cells'!$A$5:$A$28,0)))</x:f>
      </x:c>
      <x:c r="H40" s="17"/>
      <x:c r="I40" s="17"/>
      <x:c r="J40" s="17"/>
      <x:c r="K40" s="17"/>
      <x:c r="L40" s="14" t="str">
        <x:f>IF(OR(E40&lt;&gt;"REGISTERED",COUNTA(H40:K40)&lt;4),"SOURCE EMPTY",IF(K40="PASS","QUALIFIED","FAILED"))</x:f>
        <x:v>SOURCE EMPTY</x:v>
      </x:c>
    </x:row>
    <x:row r="41">
      <x:c r="A41" s="14" t="str">
        <x:v>HU-A-HU-CELL-3</x:v>
      </x:c>
      <x:c r="B41" s="14" t="str">
        <x:v>HU-A</x:v>
      </x:c>
      <x:c r="C41" s="14" t="str">
        <x:v>MS-HU</x:v>
      </x:c>
      <x:c r="D41" s="14" t="str">
        <x:v>HU-CELL-3</x:v>
      </x:c>
      <x:c r="E41" s="14" t="str">
        <x:f>INDEX('Fallback Cells'!$H$5:$H$28,MATCH(D41,'Fallback Cells'!$A$5:$A$28,0))</x:f>
        <x:v>SOURCE EMPTY</x:v>
      </x:c>
      <x:c r="F41" s="14" t="str">
        <x:f>IF(INDEX('Fallback Cells'!$D$5:$D$28,MATCH(D41,'Fallback Cells'!$A$5:$A$28,0))="","",INDEX('Fallback Cells'!$D$5:$D$28,MATCH(D41,'Fallback Cells'!$A$5:$A$28,0)))</x:f>
      </x:c>
      <x:c r="G41" s="14" t="str">
        <x:f>IF(INDEX('Fallback Cells'!$E$5:$E$28,MATCH(D41,'Fallback Cells'!$A$5:$A$28,0))="","",INDEX('Fallback Cells'!$E$5:$E$28,MATCH(D41,'Fallback Cells'!$A$5:$A$28,0)))</x:f>
      </x:c>
      <x:c r="H41" s="17"/>
      <x:c r="I41" s="17"/>
      <x:c r="J41" s="17"/>
      <x:c r="K41" s="17"/>
      <x:c r="L41" s="14" t="str">
        <x:f>IF(OR(E41&lt;&gt;"REGISTERED",COUNTA(H41:K41)&lt;4),"SOURCE EMPTY",IF(K41="PASS","QUALIFIED","FAILED"))</x:f>
        <x:v>SOURCE EMPTY</x:v>
      </x:c>
    </x:row>
    <x:row r="42">
      <x:c r="A42" s="14" t="str">
        <x:v>HU-C-HU-CELL-3</x:v>
      </x:c>
      <x:c r="B42" s="14" t="str">
        <x:v>HU-C</x:v>
      </x:c>
      <x:c r="C42" s="14" t="str">
        <x:v>MS-HU</x:v>
      </x:c>
      <x:c r="D42" s="14" t="str">
        <x:v>HU-CELL-3</x:v>
      </x:c>
      <x:c r="E42" s="14" t="str">
        <x:f>INDEX('Fallback Cells'!$H$5:$H$28,MATCH(D42,'Fallback Cells'!$A$5:$A$28,0))</x:f>
        <x:v>SOURCE EMPTY</x:v>
      </x:c>
      <x:c r="F42" s="14" t="str">
        <x:f>IF(INDEX('Fallback Cells'!$D$5:$D$28,MATCH(D42,'Fallback Cells'!$A$5:$A$28,0))="","",INDEX('Fallback Cells'!$D$5:$D$28,MATCH(D42,'Fallback Cells'!$A$5:$A$28,0)))</x:f>
      </x:c>
      <x:c r="G42" s="14" t="str">
        <x:f>IF(INDEX('Fallback Cells'!$E$5:$E$28,MATCH(D42,'Fallback Cells'!$A$5:$A$28,0))="","",INDEX('Fallback Cells'!$E$5:$E$28,MATCH(D42,'Fallback Cells'!$A$5:$A$28,0)))</x:f>
      </x:c>
      <x:c r="H42" s="17"/>
      <x:c r="I42" s="17"/>
      <x:c r="J42" s="17"/>
      <x:c r="K42" s="17"/>
      <x:c r="L42" s="14" t="str">
        <x:f>IF(OR(E42&lt;&gt;"REGISTERED",COUNTA(H42:K42)&lt;4),"SOURCE EMPTY",IF(K42="PASS","QUALIFIED","FAILED"))</x:f>
        <x:v>SOURCE EMPTY</x:v>
      </x:c>
    </x:row>
    <x:row r="43">
      <x:c r="A43" s="14" t="str">
        <x:v>HU-B-HU-CELL-4</x:v>
      </x:c>
      <x:c r="B43" s="14" t="str">
        <x:v>HU-B</x:v>
      </x:c>
      <x:c r="C43" s="14" t="str">
        <x:v>MS-HU</x:v>
      </x:c>
      <x:c r="D43" s="14" t="str">
        <x:v>HU-CELL-4</x:v>
      </x:c>
      <x:c r="E43" s="14" t="str">
        <x:f>INDEX('Fallback Cells'!$H$5:$H$28,MATCH(D43,'Fallback Cells'!$A$5:$A$28,0))</x:f>
        <x:v>SOURCE EMPTY</x:v>
      </x:c>
      <x:c r="F43" s="14" t="str">
        <x:f>IF(INDEX('Fallback Cells'!$D$5:$D$28,MATCH(D43,'Fallback Cells'!$A$5:$A$28,0))="","",INDEX('Fallback Cells'!$D$5:$D$28,MATCH(D43,'Fallback Cells'!$A$5:$A$28,0)))</x:f>
      </x:c>
      <x:c r="G43" s="14" t="str">
        <x:f>IF(INDEX('Fallback Cells'!$E$5:$E$28,MATCH(D43,'Fallback Cells'!$A$5:$A$28,0))="","",INDEX('Fallback Cells'!$E$5:$E$28,MATCH(D43,'Fallback Cells'!$A$5:$A$28,0)))</x:f>
      </x:c>
      <x:c r="H43" s="17"/>
      <x:c r="I43" s="17"/>
      <x:c r="J43" s="17"/>
      <x:c r="K43" s="17"/>
      <x:c r="L43" s="14" t="str">
        <x:f>IF(OR(E43&lt;&gt;"REGISTERED",COUNTA(H43:K43)&lt;4),"SOURCE EMPTY",IF(K43="PASS","QUALIFIED","FAILED"))</x:f>
        <x:v>SOURCE EMPTY</x:v>
      </x:c>
    </x:row>
    <x:row r="44">
      <x:c r="A44" s="14" t="str">
        <x:v>HU-D-HU-CELL-4</x:v>
      </x:c>
      <x:c r="B44" s="14" t="str">
        <x:v>HU-D</x:v>
      </x:c>
      <x:c r="C44" s="14" t="str">
        <x:v>MS-HU</x:v>
      </x:c>
      <x:c r="D44" s="14" t="str">
        <x:v>HU-CELL-4</x:v>
      </x:c>
      <x:c r="E44" s="14" t="str">
        <x:f>INDEX('Fallback Cells'!$H$5:$H$28,MATCH(D44,'Fallback Cells'!$A$5:$A$28,0))</x:f>
        <x:v>SOURCE EMPTY</x:v>
      </x:c>
      <x:c r="F44" s="14" t="str">
        <x:f>IF(INDEX('Fallback Cells'!$D$5:$D$28,MATCH(D44,'Fallback Cells'!$A$5:$A$28,0))="","",INDEX('Fallback Cells'!$D$5:$D$28,MATCH(D44,'Fallback Cells'!$A$5:$A$28,0)))</x:f>
      </x:c>
      <x:c r="G44" s="14" t="str">
        <x:f>IF(INDEX('Fallback Cells'!$E$5:$E$28,MATCH(D44,'Fallback Cells'!$A$5:$A$28,0))="","",INDEX('Fallback Cells'!$E$5:$E$28,MATCH(D44,'Fallback Cells'!$A$5:$A$28,0)))</x:f>
      </x:c>
      <x:c r="H44" s="17"/>
      <x:c r="I44" s="17"/>
      <x:c r="J44" s="17"/>
      <x:c r="K44" s="17"/>
      <x:c r="L44" s="14" t="str">
        <x:f>IF(OR(E44&lt;&gt;"REGISTERED",COUNTA(H44:K44)&lt;4),"SOURCE EMPTY",IF(K44="PASS","QUALIFIED","FAILED"))</x:f>
        <x:v>SOURCE EMPTY</x:v>
      </x:c>
    </x:row>
    <x:row r="45">
      <x:c r="A45" s="14" t="str">
        <x:v>RT-A-RT-CELL-1</x:v>
      </x:c>
      <x:c r="B45" s="14" t="str">
        <x:v>RT-A</x:v>
      </x:c>
      <x:c r="C45" s="14" t="str">
        <x:v>MS-RT</x:v>
      </x:c>
      <x:c r="D45" s="14" t="str">
        <x:v>RT-CELL-1</x:v>
      </x:c>
      <x:c r="E45" s="14" t="str">
        <x:f>INDEX('Fallback Cells'!$H$5:$H$28,MATCH(D45,'Fallback Cells'!$A$5:$A$28,0))</x:f>
        <x:v>SOURCE EMPTY</x:v>
      </x:c>
      <x:c r="F45" s="14" t="str">
        <x:f>IF(INDEX('Fallback Cells'!$D$5:$D$28,MATCH(D45,'Fallback Cells'!$A$5:$A$28,0))="","",INDEX('Fallback Cells'!$D$5:$D$28,MATCH(D45,'Fallback Cells'!$A$5:$A$28,0)))</x:f>
      </x:c>
      <x:c r="G45" s="14" t="str">
        <x:f>IF(INDEX('Fallback Cells'!$E$5:$E$28,MATCH(D45,'Fallback Cells'!$A$5:$A$28,0))="","",INDEX('Fallback Cells'!$E$5:$E$28,MATCH(D45,'Fallback Cells'!$A$5:$A$28,0)))</x:f>
      </x:c>
      <x:c r="H45" s="17"/>
      <x:c r="I45" s="17"/>
      <x:c r="J45" s="17"/>
      <x:c r="K45" s="17"/>
      <x:c r="L45" s="14" t="str">
        <x:f>IF(OR(E45&lt;&gt;"REGISTERED",COUNTA(H45:K45)&lt;4),"SOURCE EMPTY",IF(K45="PASS","QUALIFIED","FAILED"))</x:f>
        <x:v>SOURCE EMPTY</x:v>
      </x:c>
    </x:row>
    <x:row r="46">
      <x:c r="A46" s="14" t="str">
        <x:v>RT-B-RT-CELL-1</x:v>
      </x:c>
      <x:c r="B46" s="14" t="str">
        <x:v>RT-B</x:v>
      </x:c>
      <x:c r="C46" s="14" t="str">
        <x:v>MS-RT</x:v>
      </x:c>
      <x:c r="D46" s="14" t="str">
        <x:v>RT-CELL-1</x:v>
      </x:c>
      <x:c r="E46" s="14" t="str">
        <x:f>INDEX('Fallback Cells'!$H$5:$H$28,MATCH(D46,'Fallback Cells'!$A$5:$A$28,0))</x:f>
        <x:v>SOURCE EMPTY</x:v>
      </x:c>
      <x:c r="F46" s="14" t="str">
        <x:f>IF(INDEX('Fallback Cells'!$D$5:$D$28,MATCH(D46,'Fallback Cells'!$A$5:$A$28,0))="","",INDEX('Fallback Cells'!$D$5:$D$28,MATCH(D46,'Fallback Cells'!$A$5:$A$28,0)))</x:f>
      </x:c>
      <x:c r="G46" s="14" t="str">
        <x:f>IF(INDEX('Fallback Cells'!$E$5:$E$28,MATCH(D46,'Fallback Cells'!$A$5:$A$28,0))="","",INDEX('Fallback Cells'!$E$5:$E$28,MATCH(D46,'Fallback Cells'!$A$5:$A$28,0)))</x:f>
      </x:c>
      <x:c r="H46" s="17"/>
      <x:c r="I46" s="17"/>
      <x:c r="J46" s="17"/>
      <x:c r="K46" s="17"/>
      <x:c r="L46" s="14" t="str">
        <x:f>IF(OR(E46&lt;&gt;"REGISTERED",COUNTA(H46:K46)&lt;4),"SOURCE EMPTY",IF(K46="PASS","QUALIFIED","FAILED"))</x:f>
        <x:v>SOURCE EMPTY</x:v>
      </x:c>
    </x:row>
    <x:row r="47">
      <x:c r="A47" s="14" t="str">
        <x:v>RT-C-RT-CELL-2</x:v>
      </x:c>
      <x:c r="B47" s="14" t="str">
        <x:v>RT-C</x:v>
      </x:c>
      <x:c r="C47" s="14" t="str">
        <x:v>MS-RT</x:v>
      </x:c>
      <x:c r="D47" s="14" t="str">
        <x:v>RT-CELL-2</x:v>
      </x:c>
      <x:c r="E47" s="14" t="str">
        <x:f>INDEX('Fallback Cells'!$H$5:$H$28,MATCH(D47,'Fallback Cells'!$A$5:$A$28,0))</x:f>
        <x:v>SOURCE EMPTY</x:v>
      </x:c>
      <x:c r="F47" s="14" t="str">
        <x:f>IF(INDEX('Fallback Cells'!$D$5:$D$28,MATCH(D47,'Fallback Cells'!$A$5:$A$28,0))="","",INDEX('Fallback Cells'!$D$5:$D$28,MATCH(D47,'Fallback Cells'!$A$5:$A$28,0)))</x:f>
      </x:c>
      <x:c r="G47" s="14" t="str">
        <x:f>IF(INDEX('Fallback Cells'!$E$5:$E$28,MATCH(D47,'Fallback Cells'!$A$5:$A$28,0))="","",INDEX('Fallback Cells'!$E$5:$E$28,MATCH(D47,'Fallback Cells'!$A$5:$A$28,0)))</x:f>
      </x:c>
      <x:c r="H47" s="17"/>
      <x:c r="I47" s="17"/>
      <x:c r="J47" s="17"/>
      <x:c r="K47" s="17"/>
      <x:c r="L47" s="14" t="str">
        <x:f>IF(OR(E47&lt;&gt;"REGISTERED",COUNTA(H47:K47)&lt;4),"SOURCE EMPTY",IF(K47="PASS","QUALIFIED","FAILED"))</x:f>
        <x:v>SOURCE EMPTY</x:v>
      </x:c>
    </x:row>
    <x:row r="48">
      <x:c r="A48" s="14" t="str">
        <x:v>RT-D-RT-CELL-2</x:v>
      </x:c>
      <x:c r="B48" s="14" t="str">
        <x:v>RT-D</x:v>
      </x:c>
      <x:c r="C48" s="14" t="str">
        <x:v>MS-RT</x:v>
      </x:c>
      <x:c r="D48" s="14" t="str">
        <x:v>RT-CELL-2</x:v>
      </x:c>
      <x:c r="E48" s="14" t="str">
        <x:f>INDEX('Fallback Cells'!$H$5:$H$28,MATCH(D48,'Fallback Cells'!$A$5:$A$28,0))</x:f>
        <x:v>SOURCE EMPTY</x:v>
      </x:c>
      <x:c r="F48" s="14" t="str">
        <x:f>IF(INDEX('Fallback Cells'!$D$5:$D$28,MATCH(D48,'Fallback Cells'!$A$5:$A$28,0))="","",INDEX('Fallback Cells'!$D$5:$D$28,MATCH(D48,'Fallback Cells'!$A$5:$A$28,0)))</x:f>
      </x:c>
      <x:c r="G48" s="14" t="str">
        <x:f>IF(INDEX('Fallback Cells'!$E$5:$E$28,MATCH(D48,'Fallback Cells'!$A$5:$A$28,0))="","",INDEX('Fallback Cells'!$E$5:$E$28,MATCH(D48,'Fallback Cells'!$A$5:$A$28,0)))</x:f>
      </x:c>
      <x:c r="H48" s="17"/>
      <x:c r="I48" s="17"/>
      <x:c r="J48" s="17"/>
      <x:c r="K48" s="17"/>
      <x:c r="L48" s="14" t="str">
        <x:f>IF(OR(E48&lt;&gt;"REGISTERED",COUNTA(H48:K48)&lt;4),"SOURCE EMPTY",IF(K48="PASS","QUALIFIED","FAILED"))</x:f>
        <x:v>SOURCE EMPTY</x:v>
      </x:c>
    </x:row>
    <x:row r="49">
      <x:c r="A49" s="14" t="str">
        <x:v>RT-A-RT-CELL-3</x:v>
      </x:c>
      <x:c r="B49" s="14" t="str">
        <x:v>RT-A</x:v>
      </x:c>
      <x:c r="C49" s="14" t="str">
        <x:v>MS-RT</x:v>
      </x:c>
      <x:c r="D49" s="14" t="str">
        <x:v>RT-CELL-3</x:v>
      </x:c>
      <x:c r="E49" s="14" t="str">
        <x:f>INDEX('Fallback Cells'!$H$5:$H$28,MATCH(D49,'Fallback Cells'!$A$5:$A$28,0))</x:f>
        <x:v>SOURCE EMPTY</x:v>
      </x:c>
      <x:c r="F49" s="14" t="str">
        <x:f>IF(INDEX('Fallback Cells'!$D$5:$D$28,MATCH(D49,'Fallback Cells'!$A$5:$A$28,0))="","",INDEX('Fallback Cells'!$D$5:$D$28,MATCH(D49,'Fallback Cells'!$A$5:$A$28,0)))</x:f>
      </x:c>
      <x:c r="G49" s="14" t="str">
        <x:f>IF(INDEX('Fallback Cells'!$E$5:$E$28,MATCH(D49,'Fallback Cells'!$A$5:$A$28,0))="","",INDEX('Fallback Cells'!$E$5:$E$28,MATCH(D49,'Fallback Cells'!$A$5:$A$28,0)))</x:f>
      </x:c>
      <x:c r="H49" s="17"/>
      <x:c r="I49" s="17"/>
      <x:c r="J49" s="17"/>
      <x:c r="K49" s="17"/>
      <x:c r="L49" s="14" t="str">
        <x:f>IF(OR(E49&lt;&gt;"REGISTERED",COUNTA(H49:K49)&lt;4),"SOURCE EMPTY",IF(K49="PASS","QUALIFIED","FAILED"))</x:f>
        <x:v>SOURCE EMPTY</x:v>
      </x:c>
    </x:row>
    <x:row r="50">
      <x:c r="A50" s="14" t="str">
        <x:v>RT-C-RT-CELL-3</x:v>
      </x:c>
      <x:c r="B50" s="14" t="str">
        <x:v>RT-C</x:v>
      </x:c>
      <x:c r="C50" s="14" t="str">
        <x:v>MS-RT</x:v>
      </x:c>
      <x:c r="D50" s="14" t="str">
        <x:v>RT-CELL-3</x:v>
      </x:c>
      <x:c r="E50" s="14" t="str">
        <x:f>INDEX('Fallback Cells'!$H$5:$H$28,MATCH(D50,'Fallback Cells'!$A$5:$A$28,0))</x:f>
        <x:v>SOURCE EMPTY</x:v>
      </x:c>
      <x:c r="F50" s="14" t="str">
        <x:f>IF(INDEX('Fallback Cells'!$D$5:$D$28,MATCH(D50,'Fallback Cells'!$A$5:$A$28,0))="","",INDEX('Fallback Cells'!$D$5:$D$28,MATCH(D50,'Fallback Cells'!$A$5:$A$28,0)))</x:f>
      </x:c>
      <x:c r="G50" s="14" t="str">
        <x:f>IF(INDEX('Fallback Cells'!$E$5:$E$28,MATCH(D50,'Fallback Cells'!$A$5:$A$28,0))="","",INDEX('Fallback Cells'!$E$5:$E$28,MATCH(D50,'Fallback Cells'!$A$5:$A$28,0)))</x:f>
      </x:c>
      <x:c r="H50" s="17"/>
      <x:c r="I50" s="17"/>
      <x:c r="J50" s="17"/>
      <x:c r="K50" s="17"/>
      <x:c r="L50" s="14" t="str">
        <x:f>IF(OR(E50&lt;&gt;"REGISTERED",COUNTA(H50:K50)&lt;4),"SOURCE EMPTY",IF(K50="PASS","QUALIFIED","FAILED"))</x:f>
        <x:v>SOURCE EMPTY</x:v>
      </x:c>
    </x:row>
    <x:row r="51">
      <x:c r="A51" s="14" t="str">
        <x:v>RT-B-RT-CELL-4</x:v>
      </x:c>
      <x:c r="B51" s="14" t="str">
        <x:v>RT-B</x:v>
      </x:c>
      <x:c r="C51" s="14" t="str">
        <x:v>MS-RT</x:v>
      </x:c>
      <x:c r="D51" s="14" t="str">
        <x:v>RT-CELL-4</x:v>
      </x:c>
      <x:c r="E51" s="14" t="str">
        <x:f>INDEX('Fallback Cells'!$H$5:$H$28,MATCH(D51,'Fallback Cells'!$A$5:$A$28,0))</x:f>
        <x:v>SOURCE EMPTY</x:v>
      </x:c>
      <x:c r="F51" s="14" t="str">
        <x:f>IF(INDEX('Fallback Cells'!$D$5:$D$28,MATCH(D51,'Fallback Cells'!$A$5:$A$28,0))="","",INDEX('Fallback Cells'!$D$5:$D$28,MATCH(D51,'Fallback Cells'!$A$5:$A$28,0)))</x:f>
      </x:c>
      <x:c r="G51" s="14" t="str">
        <x:f>IF(INDEX('Fallback Cells'!$E$5:$E$28,MATCH(D51,'Fallback Cells'!$A$5:$A$28,0))="","",INDEX('Fallback Cells'!$E$5:$E$28,MATCH(D51,'Fallback Cells'!$A$5:$A$28,0)))</x:f>
      </x:c>
      <x:c r="H51" s="17"/>
      <x:c r="I51" s="17"/>
      <x:c r="J51" s="17"/>
      <x:c r="K51" s="17"/>
      <x:c r="L51" s="14" t="str">
        <x:f>IF(OR(E51&lt;&gt;"REGISTERED",COUNTA(H51:K51)&lt;4),"SOURCE EMPTY",IF(K51="PASS","QUALIFIED","FAILED"))</x:f>
        <x:v>SOURCE EMPTY</x:v>
      </x:c>
    </x:row>
    <x:row r="52">
      <x:c r="A52" s="15" t="str">
        <x:v>RT-D-RT-CELL-4</x:v>
      </x:c>
      <x:c r="B52" s="15" t="str">
        <x:v>RT-D</x:v>
      </x:c>
      <x:c r="C52" s="15" t="str">
        <x:v>MS-RT</x:v>
      </x:c>
      <x:c r="D52" s="15" t="str">
        <x:v>RT-CELL-4</x:v>
      </x:c>
      <x:c r="E52" s="15" t="str">
        <x:f>INDEX('Fallback Cells'!$H$5:$H$28,MATCH(D52,'Fallback Cells'!$A$5:$A$28,0))</x:f>
        <x:v>SOURCE EMPTY</x:v>
      </x:c>
      <x:c r="F52" s="15" t="str">
        <x:f>IF(INDEX('Fallback Cells'!$D$5:$D$28,MATCH(D52,'Fallback Cells'!$A$5:$A$28,0))="","",INDEX('Fallback Cells'!$D$5:$D$28,MATCH(D52,'Fallback Cells'!$A$5:$A$28,0)))</x:f>
      </x:c>
      <x:c r="G52" s="15" t="str">
        <x:f>IF(INDEX('Fallback Cells'!$E$5:$E$28,MATCH(D52,'Fallback Cells'!$A$5:$A$28,0))="","",INDEX('Fallback Cells'!$E$5:$E$28,MATCH(D52,'Fallback Cells'!$A$5:$A$28,0)))</x:f>
      </x:c>
      <x:c r="H52" s="18"/>
      <x:c r="I52" s="18"/>
      <x:c r="J52" s="18"/>
      <x:c r="K52" s="18"/>
      <x:c r="L52" s="15" t="str">
        <x:f>IF(OR(E52&lt;&gt;"REGISTERED",COUNTA(H52:K52)&lt;4),"SOURCE EMPTY",IF(K52="PASS","QUALIFIED","FAILED"))</x:f>
        <x:v>SOURCE EMPTY</x:v>
      </x:c>
    </x:row>
  </x:sheetData>
  <x:conditionalFormatting sqref="E5:E52">
    <x:cfRule type="containsText" dxfId="42" priority="1" operator="containsText" text="FAIL"/>
    <x:cfRule type="containsText" dxfId="43" priority="2" operator="containsText" text="BREACH"/>
    <x:cfRule type="containsText" dxfId="44" priority="3" operator="containsText" text="COLLISION"/>
    <x:cfRule type="containsText" dxfId="45" priority="4" operator="containsText" text="BLOCKED"/>
    <x:cfRule type="containsText" dxfId="46" priority="5" operator="containsText" text="SOURCE EMPTY"/>
    <x:cfRule type="containsText" dxfId="47" priority="6" operator="containsText" text="PASS"/>
    <x:cfRule type="containsText" dxfId="48" priority="7" operator="containsText" text="READY"/>
  </x:conditionalFormatting>
  <x:conditionalFormatting sqref="L5:L52">
    <x:cfRule type="containsText" dxfId="49" priority="8" operator="containsText" text="FAIL"/>
    <x:cfRule type="containsText" dxfId="50" priority="9" operator="containsText" text="BREACH"/>
    <x:cfRule type="containsText" dxfId="51" priority="10" operator="containsText" text="COLLISION"/>
    <x:cfRule type="containsText" dxfId="52" priority="11" operator="containsText" text="BLOCKED"/>
    <x:cfRule type="containsText" dxfId="53" priority="12" operator="containsText" text="SOURCE EMPTY"/>
    <x:cfRule type="containsText" dxfId="54" priority="13" operator="containsText" text="PASS"/>
    <x:cfRule type="containsText" dxfId="55" priority="14" operator="containsText" text="READY"/>
  </x:conditionalFormatting>
  <x:dataValidations count="1">
    <x:dataValidation type="list" sqref="K5:K52">
      <x:formula1>"PASS,FAIL"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</x:cols>
  <x:sheetData>
    <x:row r="2" ht="24" customHeight="1">
      <x:c r="A2" s="1" t="str">
        <x:v>Root fallback coverage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8" t="str">
        <x:v>Root</x:v>
      </x:c>
      <x:c r="B4" s="9" t="str">
        <x:v>System</x:v>
      </x:c>
      <x:c r="C4" s="9" t="str">
        <x:v>Cell 1</x:v>
      </x:c>
      <x:c r="D4" s="9" t="str">
        <x:v>Cell 2</x:v>
      </x:c>
      <x:c r="E4" s="9" t="str">
        <x:v>Assigned records</x:v>
      </x:c>
      <x:c r="F4" s="9" t="str">
        <x:v>Qualified records</x:v>
      </x:c>
      <x:c r="G4" s="9" t="str">
        <x:v>Site 1</x:v>
      </x:c>
      <x:c r="H4" s="9" t="str">
        <x:v>Site 2</x:v>
      </x:c>
      <x:c r="I4" s="9" t="str">
        <x:v>Site separation</x:v>
      </x:c>
      <x:c r="J4" s="10" t="str">
        <x:v>Root fallback state</x:v>
      </x:c>
    </x:row>
    <x:row r="5">
      <x:c r="A5" s="13" t="str">
        <x:v>TE-A</x:v>
      </x:c>
      <x:c r="B5" s="13" t="str">
        <x:v>MS-ET</x:v>
      </x:c>
      <x:c r="C5" s="13" t="str">
        <x:v>ET-CELL-1</x:v>
      </x:c>
      <x:c r="D5" s="13" t="str">
        <x:v>ET-CELL-3</x:v>
      </x:c>
      <x:c r="E5" s="13" t="n">
        <x:f>COUNTIFS('Fallback Lattice'!$B$5:$B$52,A5)</x:f>
        <x:v>2</x:v>
      </x:c>
      <x:c r="F5" s="13" t="n">
        <x:f>COUNTIFS('Fallback Lattice'!$B$5:$B$52,A5,'Fallback Lattice'!$L$5:$L$52,"QUALIFIED")</x:f>
        <x:v>0</x:v>
      </x:c>
      <x:c r="G5" s="13" t="str">
        <x:f>IF(INDEX('Fallback Cells'!$E$5:$E$28,MATCH(C5,'Fallback Cells'!$A$5:$A$28,0))="","",INDEX('Fallback Cells'!$E$5:$E$28,MATCH(C5,'Fallback Cells'!$A$5:$A$28,0)))</x:f>
      </x:c>
      <x:c r="H5" s="13" t="str">
        <x:f>IF(INDEX('Fallback Cells'!$E$5:$E$28,MATCH(D5,'Fallback Cells'!$A$5:$A$28,0))="","",INDEX('Fallback Cells'!$E$5:$E$28,MATCH(D5,'Fallback Cells'!$A$5:$A$28,0)))</x:f>
      </x:c>
      <x:c r="I5" s="13" t="str">
        <x:f>IF(OR(G5="",H5=""),"SOURCE EMPTY",IF(G5=H5,"COLLISION","DISTINCT"))</x:f>
        <x:v>SOURCE EMPTY</x:v>
      </x:c>
      <x:c r="J5" s="13" t="str">
        <x:f>IF(E5&lt;&gt;2,"DESIGN ERROR",IF(OR(F5&lt;2,I5="SOURCE EMPTY"),"SOURCE EMPTY",IF(I5="COLLISION","COLLISION","READY")))</x:f>
        <x:v>SOURCE EMPTY</x:v>
      </x:c>
    </x:row>
    <x:row r="6">
      <x:c r="A6" s="14" t="str">
        <x:v>TE-B</x:v>
      </x:c>
      <x:c r="B6" s="14" t="str">
        <x:v>MS-ET</x:v>
      </x:c>
      <x:c r="C6" s="14" t="str">
        <x:v>ET-CELL-1</x:v>
      </x:c>
      <x:c r="D6" s="14" t="str">
        <x:v>ET-CELL-4</x:v>
      </x:c>
      <x:c r="E6" s="14" t="n">
        <x:f>COUNTIFS('Fallback Lattice'!$B$5:$B$52,A6)</x:f>
        <x:v>2</x:v>
      </x:c>
      <x:c r="F6" s="14" t="n">
        <x:f>COUNTIFS('Fallback Lattice'!$B$5:$B$52,A6,'Fallback Lattice'!$L$5:$L$52,"QUALIFIED")</x:f>
        <x:v>0</x:v>
      </x:c>
      <x:c r="G6" s="14" t="str">
        <x:f>IF(INDEX('Fallback Cells'!$E$5:$E$28,MATCH(C6,'Fallback Cells'!$A$5:$A$28,0))="","",INDEX('Fallback Cells'!$E$5:$E$28,MATCH(C6,'Fallback Cells'!$A$5:$A$28,0)))</x:f>
      </x:c>
      <x:c r="H6" s="14" t="str">
        <x:f>IF(INDEX('Fallback Cells'!$E$5:$E$28,MATCH(D6,'Fallback Cells'!$A$5:$A$28,0))="","",INDEX('Fallback Cells'!$E$5:$E$28,MATCH(D6,'Fallback Cells'!$A$5:$A$28,0)))</x:f>
      </x:c>
      <x:c r="I6" s="14" t="str">
        <x:f>IF(OR(G6="",H6=""),"SOURCE EMPTY",IF(G6=H6,"COLLISION","DISTINCT"))</x:f>
        <x:v>SOURCE EMPTY</x:v>
      </x:c>
      <x:c r="J6" s="14" t="str">
        <x:f>IF(E6&lt;&gt;2,"DESIGN ERROR",IF(OR(F6&lt;2,I6="SOURCE EMPTY"),"SOURCE EMPTY",IF(I6="COLLISION","COLLISION","READY")))</x:f>
        <x:v>SOURCE EMPTY</x:v>
      </x:c>
    </x:row>
    <x:row r="7">
      <x:c r="A7" s="14" t="str">
        <x:v>TE-C</x:v>
      </x:c>
      <x:c r="B7" s="14" t="str">
        <x:v>MS-ET</x:v>
      </x:c>
      <x:c r="C7" s="14" t="str">
        <x:v>ET-CELL-2</x:v>
      </x:c>
      <x:c r="D7" s="14" t="str">
        <x:v>ET-CELL-3</x:v>
      </x:c>
      <x:c r="E7" s="14" t="n">
        <x:f>COUNTIFS('Fallback Lattice'!$B$5:$B$52,A7)</x:f>
        <x:v>2</x:v>
      </x:c>
      <x:c r="F7" s="14" t="n">
        <x:f>COUNTIFS('Fallback Lattice'!$B$5:$B$52,A7,'Fallback Lattice'!$L$5:$L$52,"QUALIFIED")</x:f>
        <x:v>0</x:v>
      </x:c>
      <x:c r="G7" s="14" t="str">
        <x:f>IF(INDEX('Fallback Cells'!$E$5:$E$28,MATCH(C7,'Fallback Cells'!$A$5:$A$28,0))="","",INDEX('Fallback Cells'!$E$5:$E$28,MATCH(C7,'Fallback Cells'!$A$5:$A$28,0)))</x:f>
      </x:c>
      <x:c r="H7" s="14" t="str">
        <x:f>IF(INDEX('Fallback Cells'!$E$5:$E$28,MATCH(D7,'Fallback Cells'!$A$5:$A$28,0))="","",INDEX('Fallback Cells'!$E$5:$E$28,MATCH(D7,'Fallback Cells'!$A$5:$A$28,0)))</x:f>
      </x:c>
      <x:c r="I7" s="14" t="str">
        <x:f>IF(OR(G7="",H7=""),"SOURCE EMPTY",IF(G7=H7,"COLLISION","DISTINCT"))</x:f>
        <x:v>SOURCE EMPTY</x:v>
      </x:c>
      <x:c r="J7" s="14" t="str">
        <x:f>IF(E7&lt;&gt;2,"DESIGN ERROR",IF(OR(F7&lt;2,I7="SOURCE EMPTY"),"SOURCE EMPTY",IF(I7="COLLISION","COLLISION","READY")))</x:f>
        <x:v>SOURCE EMPTY</x:v>
      </x:c>
    </x:row>
    <x:row r="8">
      <x:c r="A8" s="14" t="str">
        <x:v>TE-D</x:v>
      </x:c>
      <x:c r="B8" s="14" t="str">
        <x:v>MS-ET</x:v>
      </x:c>
      <x:c r="C8" s="14" t="str">
        <x:v>ET-CELL-2</x:v>
      </x:c>
      <x:c r="D8" s="14" t="str">
        <x:v>ET-CELL-4</x:v>
      </x:c>
      <x:c r="E8" s="14" t="n">
        <x:f>COUNTIFS('Fallback Lattice'!$B$5:$B$52,A8)</x:f>
        <x:v>2</x:v>
      </x:c>
      <x:c r="F8" s="14" t="n">
        <x:f>COUNTIFS('Fallback Lattice'!$B$5:$B$52,A8,'Fallback Lattice'!$L$5:$L$52,"QUALIFIED")</x:f>
        <x:v>0</x:v>
      </x:c>
      <x:c r="G8" s="14" t="str">
        <x:f>IF(INDEX('Fallback Cells'!$E$5:$E$28,MATCH(C8,'Fallback Cells'!$A$5:$A$28,0))="","",INDEX('Fallback Cells'!$E$5:$E$28,MATCH(C8,'Fallback Cells'!$A$5:$A$28,0)))</x:f>
      </x:c>
      <x:c r="H8" s="14" t="str">
        <x:f>IF(INDEX('Fallback Cells'!$E$5:$E$28,MATCH(D8,'Fallback Cells'!$A$5:$A$28,0))="","",INDEX('Fallback Cells'!$E$5:$E$28,MATCH(D8,'Fallback Cells'!$A$5:$A$28,0)))</x:f>
      </x:c>
      <x:c r="I8" s="14" t="str">
        <x:f>IF(OR(G8="",H8=""),"SOURCE EMPTY",IF(G8=H8,"COLLISION","DISTINCT"))</x:f>
        <x:v>SOURCE EMPTY</x:v>
      </x:c>
      <x:c r="J8" s="14" t="str">
        <x:f>IF(E8&lt;&gt;2,"DESIGN ERROR",IF(OR(F8&lt;2,I8="SOURCE EMPTY"),"SOURCE EMPTY",IF(I8="COLLISION","COLLISION","READY")))</x:f>
        <x:v>SOURCE EMPTY</x:v>
      </x:c>
    </x:row>
    <x:row r="9">
      <x:c r="A9" s="14" t="str">
        <x:v>CT-A</x:v>
      </x:c>
      <x:c r="B9" s="14" t="str">
        <x:v>MS-CT</x:v>
      </x:c>
      <x:c r="C9" s="14" t="str">
        <x:v>CT-CELL-1</x:v>
      </x:c>
      <x:c r="D9" s="14" t="str">
        <x:v>CT-CELL-3</x:v>
      </x:c>
      <x:c r="E9" s="14" t="n">
        <x:f>COUNTIFS('Fallback Lattice'!$B$5:$B$52,A9)</x:f>
        <x:v>2</x:v>
      </x:c>
      <x:c r="F9" s="14" t="n">
        <x:f>COUNTIFS('Fallback Lattice'!$B$5:$B$52,A9,'Fallback Lattice'!$L$5:$L$52,"QUALIFIED")</x:f>
        <x:v>0</x:v>
      </x:c>
      <x:c r="G9" s="14" t="str">
        <x:f>IF(INDEX('Fallback Cells'!$E$5:$E$28,MATCH(C9,'Fallback Cells'!$A$5:$A$28,0))="","",INDEX('Fallback Cells'!$E$5:$E$28,MATCH(C9,'Fallback Cells'!$A$5:$A$28,0)))</x:f>
      </x:c>
      <x:c r="H9" s="14" t="str">
        <x:f>IF(INDEX('Fallback Cells'!$E$5:$E$28,MATCH(D9,'Fallback Cells'!$A$5:$A$28,0))="","",INDEX('Fallback Cells'!$E$5:$E$28,MATCH(D9,'Fallback Cells'!$A$5:$A$28,0)))</x:f>
      </x:c>
      <x:c r="I9" s="14" t="str">
        <x:f>IF(OR(G9="",H9=""),"SOURCE EMPTY",IF(G9=H9,"COLLISION","DISTINCT"))</x:f>
        <x:v>SOURCE EMPTY</x:v>
      </x:c>
      <x:c r="J9" s="14" t="str">
        <x:f>IF(E9&lt;&gt;2,"DESIGN ERROR",IF(OR(F9&lt;2,I9="SOURCE EMPTY"),"SOURCE EMPTY",IF(I9="COLLISION","COLLISION","READY")))</x:f>
        <x:v>SOURCE EMPTY</x:v>
      </x:c>
    </x:row>
    <x:row r="10">
      <x:c r="A10" s="14" t="str">
        <x:v>CT-B</x:v>
      </x:c>
      <x:c r="B10" s="14" t="str">
        <x:v>MS-CT</x:v>
      </x:c>
      <x:c r="C10" s="14" t="str">
        <x:v>CT-CELL-1</x:v>
      </x:c>
      <x:c r="D10" s="14" t="str">
        <x:v>CT-CELL-4</x:v>
      </x:c>
      <x:c r="E10" s="14" t="n">
        <x:f>COUNTIFS('Fallback Lattice'!$B$5:$B$52,A10)</x:f>
        <x:v>2</x:v>
      </x:c>
      <x:c r="F10" s="14" t="n">
        <x:f>COUNTIFS('Fallback Lattice'!$B$5:$B$52,A10,'Fallback Lattice'!$L$5:$L$52,"QUALIFIED")</x:f>
        <x:v>0</x:v>
      </x:c>
      <x:c r="G10" s="14" t="str">
        <x:f>IF(INDEX('Fallback Cells'!$E$5:$E$28,MATCH(C10,'Fallback Cells'!$A$5:$A$28,0))="","",INDEX('Fallback Cells'!$E$5:$E$28,MATCH(C10,'Fallback Cells'!$A$5:$A$28,0)))</x:f>
      </x:c>
      <x:c r="H10" s="14" t="str">
        <x:f>IF(INDEX('Fallback Cells'!$E$5:$E$28,MATCH(D10,'Fallback Cells'!$A$5:$A$28,0))="","",INDEX('Fallback Cells'!$E$5:$E$28,MATCH(D10,'Fallback Cells'!$A$5:$A$28,0)))</x:f>
      </x:c>
      <x:c r="I10" s="14" t="str">
        <x:f>IF(OR(G10="",H10=""),"SOURCE EMPTY",IF(G10=H10,"COLLISION","DISTINCT"))</x:f>
        <x:v>SOURCE EMPTY</x:v>
      </x:c>
      <x:c r="J10" s="14" t="str">
        <x:f>IF(E10&lt;&gt;2,"DESIGN ERROR",IF(OR(F10&lt;2,I10="SOURCE EMPTY"),"SOURCE EMPTY",IF(I10="COLLISION","COLLISION","READY")))</x:f>
        <x:v>SOURCE EMPTY</x:v>
      </x:c>
    </x:row>
    <x:row r="11">
      <x:c r="A11" s="14" t="str">
        <x:v>CT-C</x:v>
      </x:c>
      <x:c r="B11" s="14" t="str">
        <x:v>MS-CT</x:v>
      </x:c>
      <x:c r="C11" s="14" t="str">
        <x:v>CT-CELL-2</x:v>
      </x:c>
      <x:c r="D11" s="14" t="str">
        <x:v>CT-CELL-3</x:v>
      </x:c>
      <x:c r="E11" s="14" t="n">
        <x:f>COUNTIFS('Fallback Lattice'!$B$5:$B$52,A11)</x:f>
        <x:v>2</x:v>
      </x:c>
      <x:c r="F11" s="14" t="n">
        <x:f>COUNTIFS('Fallback Lattice'!$B$5:$B$52,A11,'Fallback Lattice'!$L$5:$L$52,"QUALIFIED")</x:f>
        <x:v>0</x:v>
      </x:c>
      <x:c r="G11" s="14" t="str">
        <x:f>IF(INDEX('Fallback Cells'!$E$5:$E$28,MATCH(C11,'Fallback Cells'!$A$5:$A$28,0))="","",INDEX('Fallback Cells'!$E$5:$E$28,MATCH(C11,'Fallback Cells'!$A$5:$A$28,0)))</x:f>
      </x:c>
      <x:c r="H11" s="14" t="str">
        <x:f>IF(INDEX('Fallback Cells'!$E$5:$E$28,MATCH(D11,'Fallback Cells'!$A$5:$A$28,0))="","",INDEX('Fallback Cells'!$E$5:$E$28,MATCH(D11,'Fallback Cells'!$A$5:$A$28,0)))</x:f>
      </x:c>
      <x:c r="I11" s="14" t="str">
        <x:f>IF(OR(G11="",H11=""),"SOURCE EMPTY",IF(G11=H11,"COLLISION","DISTINCT"))</x:f>
        <x:v>SOURCE EMPTY</x:v>
      </x:c>
      <x:c r="J11" s="14" t="str">
        <x:f>IF(E11&lt;&gt;2,"DESIGN ERROR",IF(OR(F11&lt;2,I11="SOURCE EMPTY"),"SOURCE EMPTY",IF(I11="COLLISION","COLLISION","READY")))</x:f>
        <x:v>SOURCE EMPTY</x:v>
      </x:c>
    </x:row>
    <x:row r="12">
      <x:c r="A12" s="14" t="str">
        <x:v>CT-D</x:v>
      </x:c>
      <x:c r="B12" s="14" t="str">
        <x:v>MS-CT</x:v>
      </x:c>
      <x:c r="C12" s="14" t="str">
        <x:v>CT-CELL-2</x:v>
      </x:c>
      <x:c r="D12" s="14" t="str">
        <x:v>CT-CELL-4</x:v>
      </x:c>
      <x:c r="E12" s="14" t="n">
        <x:f>COUNTIFS('Fallback Lattice'!$B$5:$B$52,A12)</x:f>
        <x:v>2</x:v>
      </x:c>
      <x:c r="F12" s="14" t="n">
        <x:f>COUNTIFS('Fallback Lattice'!$B$5:$B$52,A12,'Fallback Lattice'!$L$5:$L$52,"QUALIFIED")</x:f>
        <x:v>0</x:v>
      </x:c>
      <x:c r="G12" s="14" t="str">
        <x:f>IF(INDEX('Fallback Cells'!$E$5:$E$28,MATCH(C12,'Fallback Cells'!$A$5:$A$28,0))="","",INDEX('Fallback Cells'!$E$5:$E$28,MATCH(C12,'Fallback Cells'!$A$5:$A$28,0)))</x:f>
      </x:c>
      <x:c r="H12" s="14" t="str">
        <x:f>IF(INDEX('Fallback Cells'!$E$5:$E$28,MATCH(D12,'Fallback Cells'!$A$5:$A$28,0))="","",INDEX('Fallback Cells'!$E$5:$E$28,MATCH(D12,'Fallback Cells'!$A$5:$A$28,0)))</x:f>
      </x:c>
      <x:c r="I12" s="14" t="str">
        <x:f>IF(OR(G12="",H12=""),"SOURCE EMPTY",IF(G12=H12,"COLLISION","DISTINCT"))</x:f>
        <x:v>SOURCE EMPTY</x:v>
      </x:c>
      <x:c r="J12" s="14" t="str">
        <x:f>IF(E12&lt;&gt;2,"DESIGN ERROR",IF(OR(F12&lt;2,I12="SOURCE EMPTY"),"SOURCE EMPTY",IF(I12="COLLISION","COLLISION","READY")))</x:f>
        <x:v>SOURCE EMPTY</x:v>
      </x:c>
    </x:row>
    <x:row r="13">
      <x:c r="A13" s="14" t="str">
        <x:v>HC-A</x:v>
      </x:c>
      <x:c r="B13" s="14" t="str">
        <x:v>MS-HC</x:v>
      </x:c>
      <x:c r="C13" s="14" t="str">
        <x:v>HC-CELL-1</x:v>
      </x:c>
      <x:c r="D13" s="14" t="str">
        <x:v>HC-CELL-3</x:v>
      </x:c>
      <x:c r="E13" s="14" t="n">
        <x:f>COUNTIFS('Fallback Lattice'!$B$5:$B$52,A13)</x:f>
        <x:v>2</x:v>
      </x:c>
      <x:c r="F13" s="14" t="n">
        <x:f>COUNTIFS('Fallback Lattice'!$B$5:$B$52,A13,'Fallback Lattice'!$L$5:$L$52,"QUALIFIED")</x:f>
        <x:v>0</x:v>
      </x:c>
      <x:c r="G13" s="14" t="str">
        <x:f>IF(INDEX('Fallback Cells'!$E$5:$E$28,MATCH(C13,'Fallback Cells'!$A$5:$A$28,0))="","",INDEX('Fallback Cells'!$E$5:$E$28,MATCH(C13,'Fallback Cells'!$A$5:$A$28,0)))</x:f>
      </x:c>
      <x:c r="H13" s="14" t="str">
        <x:f>IF(INDEX('Fallback Cells'!$E$5:$E$28,MATCH(D13,'Fallback Cells'!$A$5:$A$28,0))="","",INDEX('Fallback Cells'!$E$5:$E$28,MATCH(D13,'Fallback Cells'!$A$5:$A$28,0)))</x:f>
      </x:c>
      <x:c r="I13" s="14" t="str">
        <x:f>IF(OR(G13="",H13=""),"SOURCE EMPTY",IF(G13=H13,"COLLISION","DISTINCT"))</x:f>
        <x:v>SOURCE EMPTY</x:v>
      </x:c>
      <x:c r="J13" s="14" t="str">
        <x:f>IF(E13&lt;&gt;2,"DESIGN ERROR",IF(OR(F13&lt;2,I13="SOURCE EMPTY"),"SOURCE EMPTY",IF(I13="COLLISION","COLLISION","READY")))</x:f>
        <x:v>SOURCE EMPTY</x:v>
      </x:c>
    </x:row>
    <x:row r="14">
      <x:c r="A14" s="14" t="str">
        <x:v>HC-B</x:v>
      </x:c>
      <x:c r="B14" s="14" t="str">
        <x:v>MS-HC</x:v>
      </x:c>
      <x:c r="C14" s="14" t="str">
        <x:v>HC-CELL-1</x:v>
      </x:c>
      <x:c r="D14" s="14" t="str">
        <x:v>HC-CELL-4</x:v>
      </x:c>
      <x:c r="E14" s="14" t="n">
        <x:f>COUNTIFS('Fallback Lattice'!$B$5:$B$52,A14)</x:f>
        <x:v>2</x:v>
      </x:c>
      <x:c r="F14" s="14" t="n">
        <x:f>COUNTIFS('Fallback Lattice'!$B$5:$B$52,A14,'Fallback Lattice'!$L$5:$L$52,"QUALIFIED")</x:f>
        <x:v>0</x:v>
      </x:c>
      <x:c r="G14" s="14" t="str">
        <x:f>IF(INDEX('Fallback Cells'!$E$5:$E$28,MATCH(C14,'Fallback Cells'!$A$5:$A$28,0))="","",INDEX('Fallback Cells'!$E$5:$E$28,MATCH(C14,'Fallback Cells'!$A$5:$A$28,0)))</x:f>
      </x:c>
      <x:c r="H14" s="14" t="str">
        <x:f>IF(INDEX('Fallback Cells'!$E$5:$E$28,MATCH(D14,'Fallback Cells'!$A$5:$A$28,0))="","",INDEX('Fallback Cells'!$E$5:$E$28,MATCH(D14,'Fallback Cells'!$A$5:$A$28,0)))</x:f>
      </x:c>
      <x:c r="I14" s="14" t="str">
        <x:f>IF(OR(G14="",H14=""),"SOURCE EMPTY",IF(G14=H14,"COLLISION","DISTINCT"))</x:f>
        <x:v>SOURCE EMPTY</x:v>
      </x:c>
      <x:c r="J14" s="14" t="str">
        <x:f>IF(E14&lt;&gt;2,"DESIGN ERROR",IF(OR(F14&lt;2,I14="SOURCE EMPTY"),"SOURCE EMPTY",IF(I14="COLLISION","COLLISION","READY")))</x:f>
        <x:v>SOURCE EMPTY</x:v>
      </x:c>
    </x:row>
    <x:row r="15">
      <x:c r="A15" s="14" t="str">
        <x:v>HC-C</x:v>
      </x:c>
      <x:c r="B15" s="14" t="str">
        <x:v>MS-HC</x:v>
      </x:c>
      <x:c r="C15" s="14" t="str">
        <x:v>HC-CELL-2</x:v>
      </x:c>
      <x:c r="D15" s="14" t="str">
        <x:v>HC-CELL-3</x:v>
      </x:c>
      <x:c r="E15" s="14" t="n">
        <x:f>COUNTIFS('Fallback Lattice'!$B$5:$B$52,A15)</x:f>
        <x:v>2</x:v>
      </x:c>
      <x:c r="F15" s="14" t="n">
        <x:f>COUNTIFS('Fallback Lattice'!$B$5:$B$52,A15,'Fallback Lattice'!$L$5:$L$52,"QUALIFIED")</x:f>
        <x:v>0</x:v>
      </x:c>
      <x:c r="G15" s="14" t="str">
        <x:f>IF(INDEX('Fallback Cells'!$E$5:$E$28,MATCH(C15,'Fallback Cells'!$A$5:$A$28,0))="","",INDEX('Fallback Cells'!$E$5:$E$28,MATCH(C15,'Fallback Cells'!$A$5:$A$28,0)))</x:f>
      </x:c>
      <x:c r="H15" s="14" t="str">
        <x:f>IF(INDEX('Fallback Cells'!$E$5:$E$28,MATCH(D15,'Fallback Cells'!$A$5:$A$28,0))="","",INDEX('Fallback Cells'!$E$5:$E$28,MATCH(D15,'Fallback Cells'!$A$5:$A$28,0)))</x:f>
      </x:c>
      <x:c r="I15" s="14" t="str">
        <x:f>IF(OR(G15="",H15=""),"SOURCE EMPTY",IF(G15=H15,"COLLISION","DISTINCT"))</x:f>
        <x:v>SOURCE EMPTY</x:v>
      </x:c>
      <x:c r="J15" s="14" t="str">
        <x:f>IF(E15&lt;&gt;2,"DESIGN ERROR",IF(OR(F15&lt;2,I15="SOURCE EMPTY"),"SOURCE EMPTY",IF(I15="COLLISION","COLLISION","READY")))</x:f>
        <x:v>SOURCE EMPTY</x:v>
      </x:c>
    </x:row>
    <x:row r="16">
      <x:c r="A16" s="14" t="str">
        <x:v>HC-D</x:v>
      </x:c>
      <x:c r="B16" s="14" t="str">
        <x:v>MS-HC</x:v>
      </x:c>
      <x:c r="C16" s="14" t="str">
        <x:v>HC-CELL-2</x:v>
      </x:c>
      <x:c r="D16" s="14" t="str">
        <x:v>HC-CELL-4</x:v>
      </x:c>
      <x:c r="E16" s="14" t="n">
        <x:f>COUNTIFS('Fallback Lattice'!$B$5:$B$52,A16)</x:f>
        <x:v>2</x:v>
      </x:c>
      <x:c r="F16" s="14" t="n">
        <x:f>COUNTIFS('Fallback Lattice'!$B$5:$B$52,A16,'Fallback Lattice'!$L$5:$L$52,"QUALIFIED")</x:f>
        <x:v>0</x:v>
      </x:c>
      <x:c r="G16" s="14" t="str">
        <x:f>IF(INDEX('Fallback Cells'!$E$5:$E$28,MATCH(C16,'Fallback Cells'!$A$5:$A$28,0))="","",INDEX('Fallback Cells'!$E$5:$E$28,MATCH(C16,'Fallback Cells'!$A$5:$A$28,0)))</x:f>
      </x:c>
      <x:c r="H16" s="14" t="str">
        <x:f>IF(INDEX('Fallback Cells'!$E$5:$E$28,MATCH(D16,'Fallback Cells'!$A$5:$A$28,0))="","",INDEX('Fallback Cells'!$E$5:$E$28,MATCH(D16,'Fallback Cells'!$A$5:$A$28,0)))</x:f>
      </x:c>
      <x:c r="I16" s="14" t="str">
        <x:f>IF(OR(G16="",H16=""),"SOURCE EMPTY",IF(G16=H16,"COLLISION","DISTINCT"))</x:f>
        <x:v>SOURCE EMPTY</x:v>
      </x:c>
      <x:c r="J16" s="14" t="str">
        <x:f>IF(E16&lt;&gt;2,"DESIGN ERROR",IF(OR(F16&lt;2,I16="SOURCE EMPTY"),"SOURCE EMPTY",IF(I16="COLLISION","COLLISION","READY")))</x:f>
        <x:v>SOURCE EMPTY</x:v>
      </x:c>
    </x:row>
    <x:row r="17">
      <x:c r="A17" s="14" t="str">
        <x:v>LF-A</x:v>
      </x:c>
      <x:c r="B17" s="14" t="str">
        <x:v>MS-LF</x:v>
      </x:c>
      <x:c r="C17" s="14" t="str">
        <x:v>LF-CELL-1</x:v>
      </x:c>
      <x:c r="D17" s="14" t="str">
        <x:v>LF-CELL-3</x:v>
      </x:c>
      <x:c r="E17" s="14" t="n">
        <x:f>COUNTIFS('Fallback Lattice'!$B$5:$B$52,A17)</x:f>
        <x:v>2</x:v>
      </x:c>
      <x:c r="F17" s="14" t="n">
        <x:f>COUNTIFS('Fallback Lattice'!$B$5:$B$52,A17,'Fallback Lattice'!$L$5:$L$52,"QUALIFIED")</x:f>
        <x:v>0</x:v>
      </x:c>
      <x:c r="G17" s="14" t="str">
        <x:f>IF(INDEX('Fallback Cells'!$E$5:$E$28,MATCH(C17,'Fallback Cells'!$A$5:$A$28,0))="","",INDEX('Fallback Cells'!$E$5:$E$28,MATCH(C17,'Fallback Cells'!$A$5:$A$28,0)))</x:f>
      </x:c>
      <x:c r="H17" s="14" t="str">
        <x:f>IF(INDEX('Fallback Cells'!$E$5:$E$28,MATCH(D17,'Fallback Cells'!$A$5:$A$28,0))="","",INDEX('Fallback Cells'!$E$5:$E$28,MATCH(D17,'Fallback Cells'!$A$5:$A$28,0)))</x:f>
      </x:c>
      <x:c r="I17" s="14" t="str">
        <x:f>IF(OR(G17="",H17=""),"SOURCE EMPTY",IF(G17=H17,"COLLISION","DISTINCT"))</x:f>
        <x:v>SOURCE EMPTY</x:v>
      </x:c>
      <x:c r="J17" s="14" t="str">
        <x:f>IF(E17&lt;&gt;2,"DESIGN ERROR",IF(OR(F17&lt;2,I17="SOURCE EMPTY"),"SOURCE EMPTY",IF(I17="COLLISION","COLLISION","READY")))</x:f>
        <x:v>SOURCE EMPTY</x:v>
      </x:c>
    </x:row>
    <x:row r="18">
      <x:c r="A18" s="14" t="str">
        <x:v>LF-B</x:v>
      </x:c>
      <x:c r="B18" s="14" t="str">
        <x:v>MS-LF</x:v>
      </x:c>
      <x:c r="C18" s="14" t="str">
        <x:v>LF-CELL-1</x:v>
      </x:c>
      <x:c r="D18" s="14" t="str">
        <x:v>LF-CELL-4</x:v>
      </x:c>
      <x:c r="E18" s="14" t="n">
        <x:f>COUNTIFS('Fallback Lattice'!$B$5:$B$52,A18)</x:f>
        <x:v>2</x:v>
      </x:c>
      <x:c r="F18" s="14" t="n">
        <x:f>COUNTIFS('Fallback Lattice'!$B$5:$B$52,A18,'Fallback Lattice'!$L$5:$L$52,"QUALIFIED")</x:f>
        <x:v>0</x:v>
      </x:c>
      <x:c r="G18" s="14" t="str">
        <x:f>IF(INDEX('Fallback Cells'!$E$5:$E$28,MATCH(C18,'Fallback Cells'!$A$5:$A$28,0))="","",INDEX('Fallback Cells'!$E$5:$E$28,MATCH(C18,'Fallback Cells'!$A$5:$A$28,0)))</x:f>
      </x:c>
      <x:c r="H18" s="14" t="str">
        <x:f>IF(INDEX('Fallback Cells'!$E$5:$E$28,MATCH(D18,'Fallback Cells'!$A$5:$A$28,0))="","",INDEX('Fallback Cells'!$E$5:$E$28,MATCH(D18,'Fallback Cells'!$A$5:$A$28,0)))</x:f>
      </x:c>
      <x:c r="I18" s="14" t="str">
        <x:f>IF(OR(G18="",H18=""),"SOURCE EMPTY",IF(G18=H18,"COLLISION","DISTINCT"))</x:f>
        <x:v>SOURCE EMPTY</x:v>
      </x:c>
      <x:c r="J18" s="14" t="str">
        <x:f>IF(E18&lt;&gt;2,"DESIGN ERROR",IF(OR(F18&lt;2,I18="SOURCE EMPTY"),"SOURCE EMPTY",IF(I18="COLLISION","COLLISION","READY")))</x:f>
        <x:v>SOURCE EMPTY</x:v>
      </x:c>
    </x:row>
    <x:row r="19">
      <x:c r="A19" s="14" t="str">
        <x:v>LF-C</x:v>
      </x:c>
      <x:c r="B19" s="14" t="str">
        <x:v>MS-LF</x:v>
      </x:c>
      <x:c r="C19" s="14" t="str">
        <x:v>LF-CELL-2</x:v>
      </x:c>
      <x:c r="D19" s="14" t="str">
        <x:v>LF-CELL-3</x:v>
      </x:c>
      <x:c r="E19" s="14" t="n">
        <x:f>COUNTIFS('Fallback Lattice'!$B$5:$B$52,A19)</x:f>
        <x:v>2</x:v>
      </x:c>
      <x:c r="F19" s="14" t="n">
        <x:f>COUNTIFS('Fallback Lattice'!$B$5:$B$52,A19,'Fallback Lattice'!$L$5:$L$52,"QUALIFIED")</x:f>
        <x:v>0</x:v>
      </x:c>
      <x:c r="G19" s="14" t="str">
        <x:f>IF(INDEX('Fallback Cells'!$E$5:$E$28,MATCH(C19,'Fallback Cells'!$A$5:$A$28,0))="","",INDEX('Fallback Cells'!$E$5:$E$28,MATCH(C19,'Fallback Cells'!$A$5:$A$28,0)))</x:f>
      </x:c>
      <x:c r="H19" s="14" t="str">
        <x:f>IF(INDEX('Fallback Cells'!$E$5:$E$28,MATCH(D19,'Fallback Cells'!$A$5:$A$28,0))="","",INDEX('Fallback Cells'!$E$5:$E$28,MATCH(D19,'Fallback Cells'!$A$5:$A$28,0)))</x:f>
      </x:c>
      <x:c r="I19" s="14" t="str">
        <x:f>IF(OR(G19="",H19=""),"SOURCE EMPTY",IF(G19=H19,"COLLISION","DISTINCT"))</x:f>
        <x:v>SOURCE EMPTY</x:v>
      </x:c>
      <x:c r="J19" s="14" t="str">
        <x:f>IF(E19&lt;&gt;2,"DESIGN ERROR",IF(OR(F19&lt;2,I19="SOURCE EMPTY"),"SOURCE EMPTY",IF(I19="COLLISION","COLLISION","READY")))</x:f>
        <x:v>SOURCE EMPTY</x:v>
      </x:c>
    </x:row>
    <x:row r="20">
      <x:c r="A20" s="14" t="str">
        <x:v>LF-D</x:v>
      </x:c>
      <x:c r="B20" s="14" t="str">
        <x:v>MS-LF</x:v>
      </x:c>
      <x:c r="C20" s="14" t="str">
        <x:v>LF-CELL-2</x:v>
      </x:c>
      <x:c r="D20" s="14" t="str">
        <x:v>LF-CELL-4</x:v>
      </x:c>
      <x:c r="E20" s="14" t="n">
        <x:f>COUNTIFS('Fallback Lattice'!$B$5:$B$52,A20)</x:f>
        <x:v>2</x:v>
      </x:c>
      <x:c r="F20" s="14" t="n">
        <x:f>COUNTIFS('Fallback Lattice'!$B$5:$B$52,A20,'Fallback Lattice'!$L$5:$L$52,"QUALIFIED")</x:f>
        <x:v>0</x:v>
      </x:c>
      <x:c r="G20" s="14" t="str">
        <x:f>IF(INDEX('Fallback Cells'!$E$5:$E$28,MATCH(C20,'Fallback Cells'!$A$5:$A$28,0))="","",INDEX('Fallback Cells'!$E$5:$E$28,MATCH(C20,'Fallback Cells'!$A$5:$A$28,0)))</x:f>
      </x:c>
      <x:c r="H20" s="14" t="str">
        <x:f>IF(INDEX('Fallback Cells'!$E$5:$E$28,MATCH(D20,'Fallback Cells'!$A$5:$A$28,0))="","",INDEX('Fallback Cells'!$E$5:$E$28,MATCH(D20,'Fallback Cells'!$A$5:$A$28,0)))</x:f>
      </x:c>
      <x:c r="I20" s="14" t="str">
        <x:f>IF(OR(G20="",H20=""),"SOURCE EMPTY",IF(G20=H20,"COLLISION","DISTINCT"))</x:f>
        <x:v>SOURCE EMPTY</x:v>
      </x:c>
      <x:c r="J20" s="14" t="str">
        <x:f>IF(E20&lt;&gt;2,"DESIGN ERROR",IF(OR(F20&lt;2,I20="SOURCE EMPTY"),"SOURCE EMPTY",IF(I20="COLLISION","COLLISION","READY")))</x:f>
        <x:v>SOURCE EMPTY</x:v>
      </x:c>
    </x:row>
    <x:row r="21">
      <x:c r="A21" s="14" t="str">
        <x:v>HU-A</x:v>
      </x:c>
      <x:c r="B21" s="14" t="str">
        <x:v>MS-HU</x:v>
      </x:c>
      <x:c r="C21" s="14" t="str">
        <x:v>HU-CELL-1</x:v>
      </x:c>
      <x:c r="D21" s="14" t="str">
        <x:v>HU-CELL-3</x:v>
      </x:c>
      <x:c r="E21" s="14" t="n">
        <x:f>COUNTIFS('Fallback Lattice'!$B$5:$B$52,A21)</x:f>
        <x:v>2</x:v>
      </x:c>
      <x:c r="F21" s="14" t="n">
        <x:f>COUNTIFS('Fallback Lattice'!$B$5:$B$52,A21,'Fallback Lattice'!$L$5:$L$52,"QUALIFIED")</x:f>
        <x:v>0</x:v>
      </x:c>
      <x:c r="G21" s="14" t="str">
        <x:f>IF(INDEX('Fallback Cells'!$E$5:$E$28,MATCH(C21,'Fallback Cells'!$A$5:$A$28,0))="","",INDEX('Fallback Cells'!$E$5:$E$28,MATCH(C21,'Fallback Cells'!$A$5:$A$28,0)))</x:f>
      </x:c>
      <x:c r="H21" s="14" t="str">
        <x:f>IF(INDEX('Fallback Cells'!$E$5:$E$28,MATCH(D21,'Fallback Cells'!$A$5:$A$28,0))="","",INDEX('Fallback Cells'!$E$5:$E$28,MATCH(D21,'Fallback Cells'!$A$5:$A$28,0)))</x:f>
      </x:c>
      <x:c r="I21" s="14" t="str">
        <x:f>IF(OR(G21="",H21=""),"SOURCE EMPTY",IF(G21=H21,"COLLISION","DISTINCT"))</x:f>
        <x:v>SOURCE EMPTY</x:v>
      </x:c>
      <x:c r="J21" s="14" t="str">
        <x:f>IF(E21&lt;&gt;2,"DESIGN ERROR",IF(OR(F21&lt;2,I21="SOURCE EMPTY"),"SOURCE EMPTY",IF(I21="COLLISION","COLLISION","READY")))</x:f>
        <x:v>SOURCE EMPTY</x:v>
      </x:c>
    </x:row>
    <x:row r="22">
      <x:c r="A22" s="14" t="str">
        <x:v>HU-B</x:v>
      </x:c>
      <x:c r="B22" s="14" t="str">
        <x:v>MS-HU</x:v>
      </x:c>
      <x:c r="C22" s="14" t="str">
        <x:v>HU-CELL-1</x:v>
      </x:c>
      <x:c r="D22" s="14" t="str">
        <x:v>HU-CELL-4</x:v>
      </x:c>
      <x:c r="E22" s="14" t="n">
        <x:f>COUNTIFS('Fallback Lattice'!$B$5:$B$52,A22)</x:f>
        <x:v>2</x:v>
      </x:c>
      <x:c r="F22" s="14" t="n">
        <x:f>COUNTIFS('Fallback Lattice'!$B$5:$B$52,A22,'Fallback Lattice'!$L$5:$L$52,"QUALIFIED")</x:f>
        <x:v>0</x:v>
      </x:c>
      <x:c r="G22" s="14" t="str">
        <x:f>IF(INDEX('Fallback Cells'!$E$5:$E$28,MATCH(C22,'Fallback Cells'!$A$5:$A$28,0))="","",INDEX('Fallback Cells'!$E$5:$E$28,MATCH(C22,'Fallback Cells'!$A$5:$A$28,0)))</x:f>
      </x:c>
      <x:c r="H22" s="14" t="str">
        <x:f>IF(INDEX('Fallback Cells'!$E$5:$E$28,MATCH(D22,'Fallback Cells'!$A$5:$A$28,0))="","",INDEX('Fallback Cells'!$E$5:$E$28,MATCH(D22,'Fallback Cells'!$A$5:$A$28,0)))</x:f>
      </x:c>
      <x:c r="I22" s="14" t="str">
        <x:f>IF(OR(G22="",H22=""),"SOURCE EMPTY",IF(G22=H22,"COLLISION","DISTINCT"))</x:f>
        <x:v>SOURCE EMPTY</x:v>
      </x:c>
      <x:c r="J22" s="14" t="str">
        <x:f>IF(E22&lt;&gt;2,"DESIGN ERROR",IF(OR(F22&lt;2,I22="SOURCE EMPTY"),"SOURCE EMPTY",IF(I22="COLLISION","COLLISION","READY")))</x:f>
        <x:v>SOURCE EMPTY</x:v>
      </x:c>
    </x:row>
    <x:row r="23">
      <x:c r="A23" s="14" t="str">
        <x:v>HU-C</x:v>
      </x:c>
      <x:c r="B23" s="14" t="str">
        <x:v>MS-HU</x:v>
      </x:c>
      <x:c r="C23" s="14" t="str">
        <x:v>HU-CELL-2</x:v>
      </x:c>
      <x:c r="D23" s="14" t="str">
        <x:v>HU-CELL-3</x:v>
      </x:c>
      <x:c r="E23" s="14" t="n">
        <x:f>COUNTIFS('Fallback Lattice'!$B$5:$B$52,A23)</x:f>
        <x:v>2</x:v>
      </x:c>
      <x:c r="F23" s="14" t="n">
        <x:f>COUNTIFS('Fallback Lattice'!$B$5:$B$52,A23,'Fallback Lattice'!$L$5:$L$52,"QUALIFIED")</x:f>
        <x:v>0</x:v>
      </x:c>
      <x:c r="G23" s="14" t="str">
        <x:f>IF(INDEX('Fallback Cells'!$E$5:$E$28,MATCH(C23,'Fallback Cells'!$A$5:$A$28,0))="","",INDEX('Fallback Cells'!$E$5:$E$28,MATCH(C23,'Fallback Cells'!$A$5:$A$28,0)))</x:f>
      </x:c>
      <x:c r="H23" s="14" t="str">
        <x:f>IF(INDEX('Fallback Cells'!$E$5:$E$28,MATCH(D23,'Fallback Cells'!$A$5:$A$28,0))="","",INDEX('Fallback Cells'!$E$5:$E$28,MATCH(D23,'Fallback Cells'!$A$5:$A$28,0)))</x:f>
      </x:c>
      <x:c r="I23" s="14" t="str">
        <x:f>IF(OR(G23="",H23=""),"SOURCE EMPTY",IF(G23=H23,"COLLISION","DISTINCT"))</x:f>
        <x:v>SOURCE EMPTY</x:v>
      </x:c>
      <x:c r="J23" s="14" t="str">
        <x:f>IF(E23&lt;&gt;2,"DESIGN ERROR",IF(OR(F23&lt;2,I23="SOURCE EMPTY"),"SOURCE EMPTY",IF(I23="COLLISION","COLLISION","READY")))</x:f>
        <x:v>SOURCE EMPTY</x:v>
      </x:c>
    </x:row>
    <x:row r="24">
      <x:c r="A24" s="14" t="str">
        <x:v>HU-D</x:v>
      </x:c>
      <x:c r="B24" s="14" t="str">
        <x:v>MS-HU</x:v>
      </x:c>
      <x:c r="C24" s="14" t="str">
        <x:v>HU-CELL-2</x:v>
      </x:c>
      <x:c r="D24" s="14" t="str">
        <x:v>HU-CELL-4</x:v>
      </x:c>
      <x:c r="E24" s="14" t="n">
        <x:f>COUNTIFS('Fallback Lattice'!$B$5:$B$52,A24)</x:f>
        <x:v>2</x:v>
      </x:c>
      <x:c r="F24" s="14" t="n">
        <x:f>COUNTIFS('Fallback Lattice'!$B$5:$B$52,A24,'Fallback Lattice'!$L$5:$L$52,"QUALIFIED")</x:f>
        <x:v>0</x:v>
      </x:c>
      <x:c r="G24" s="14" t="str">
        <x:f>IF(INDEX('Fallback Cells'!$E$5:$E$28,MATCH(C24,'Fallback Cells'!$A$5:$A$28,0))="","",INDEX('Fallback Cells'!$E$5:$E$28,MATCH(C24,'Fallback Cells'!$A$5:$A$28,0)))</x:f>
      </x:c>
      <x:c r="H24" s="14" t="str">
        <x:f>IF(INDEX('Fallback Cells'!$E$5:$E$28,MATCH(D24,'Fallback Cells'!$A$5:$A$28,0))="","",INDEX('Fallback Cells'!$E$5:$E$28,MATCH(D24,'Fallback Cells'!$A$5:$A$28,0)))</x:f>
      </x:c>
      <x:c r="I24" s="14" t="str">
        <x:f>IF(OR(G24="",H24=""),"SOURCE EMPTY",IF(G24=H24,"COLLISION","DISTINCT"))</x:f>
        <x:v>SOURCE EMPTY</x:v>
      </x:c>
      <x:c r="J24" s="14" t="str">
        <x:f>IF(E24&lt;&gt;2,"DESIGN ERROR",IF(OR(F24&lt;2,I24="SOURCE EMPTY"),"SOURCE EMPTY",IF(I24="COLLISION","COLLISION","READY")))</x:f>
        <x:v>SOURCE EMPTY</x:v>
      </x:c>
    </x:row>
    <x:row r="25">
      <x:c r="A25" s="14" t="str">
        <x:v>RT-A</x:v>
      </x:c>
      <x:c r="B25" s="14" t="str">
        <x:v>MS-RT</x:v>
      </x:c>
      <x:c r="C25" s="14" t="str">
        <x:v>RT-CELL-1</x:v>
      </x:c>
      <x:c r="D25" s="14" t="str">
        <x:v>RT-CELL-3</x:v>
      </x:c>
      <x:c r="E25" s="14" t="n">
        <x:f>COUNTIFS('Fallback Lattice'!$B$5:$B$52,A25)</x:f>
        <x:v>2</x:v>
      </x:c>
      <x:c r="F25" s="14" t="n">
        <x:f>COUNTIFS('Fallback Lattice'!$B$5:$B$52,A25,'Fallback Lattice'!$L$5:$L$52,"QUALIFIED")</x:f>
        <x:v>0</x:v>
      </x:c>
      <x:c r="G25" s="14" t="str">
        <x:f>IF(INDEX('Fallback Cells'!$E$5:$E$28,MATCH(C25,'Fallback Cells'!$A$5:$A$28,0))="","",INDEX('Fallback Cells'!$E$5:$E$28,MATCH(C25,'Fallback Cells'!$A$5:$A$28,0)))</x:f>
      </x:c>
      <x:c r="H25" s="14" t="str">
        <x:f>IF(INDEX('Fallback Cells'!$E$5:$E$28,MATCH(D25,'Fallback Cells'!$A$5:$A$28,0))="","",INDEX('Fallback Cells'!$E$5:$E$28,MATCH(D25,'Fallback Cells'!$A$5:$A$28,0)))</x:f>
      </x:c>
      <x:c r="I25" s="14" t="str">
        <x:f>IF(OR(G25="",H25=""),"SOURCE EMPTY",IF(G25=H25,"COLLISION","DISTINCT"))</x:f>
        <x:v>SOURCE EMPTY</x:v>
      </x:c>
      <x:c r="J25" s="14" t="str">
        <x:f>IF(E25&lt;&gt;2,"DESIGN ERROR",IF(OR(F25&lt;2,I25="SOURCE EMPTY"),"SOURCE EMPTY",IF(I25="COLLISION","COLLISION","READY")))</x:f>
        <x:v>SOURCE EMPTY</x:v>
      </x:c>
    </x:row>
    <x:row r="26">
      <x:c r="A26" s="14" t="str">
        <x:v>RT-B</x:v>
      </x:c>
      <x:c r="B26" s="14" t="str">
        <x:v>MS-RT</x:v>
      </x:c>
      <x:c r="C26" s="14" t="str">
        <x:v>RT-CELL-1</x:v>
      </x:c>
      <x:c r="D26" s="14" t="str">
        <x:v>RT-CELL-4</x:v>
      </x:c>
      <x:c r="E26" s="14" t="n">
        <x:f>COUNTIFS('Fallback Lattice'!$B$5:$B$52,A26)</x:f>
        <x:v>2</x:v>
      </x:c>
      <x:c r="F26" s="14" t="n">
        <x:f>COUNTIFS('Fallback Lattice'!$B$5:$B$52,A26,'Fallback Lattice'!$L$5:$L$52,"QUALIFIED")</x:f>
        <x:v>0</x:v>
      </x:c>
      <x:c r="G26" s="14" t="str">
        <x:f>IF(INDEX('Fallback Cells'!$E$5:$E$28,MATCH(C26,'Fallback Cells'!$A$5:$A$28,0))="","",INDEX('Fallback Cells'!$E$5:$E$28,MATCH(C26,'Fallback Cells'!$A$5:$A$28,0)))</x:f>
      </x:c>
      <x:c r="H26" s="14" t="str">
        <x:f>IF(INDEX('Fallback Cells'!$E$5:$E$28,MATCH(D26,'Fallback Cells'!$A$5:$A$28,0))="","",INDEX('Fallback Cells'!$E$5:$E$28,MATCH(D26,'Fallback Cells'!$A$5:$A$28,0)))</x:f>
      </x:c>
      <x:c r="I26" s="14" t="str">
        <x:f>IF(OR(G26="",H26=""),"SOURCE EMPTY",IF(G26=H26,"COLLISION","DISTINCT"))</x:f>
        <x:v>SOURCE EMPTY</x:v>
      </x:c>
      <x:c r="J26" s="14" t="str">
        <x:f>IF(E26&lt;&gt;2,"DESIGN ERROR",IF(OR(F26&lt;2,I26="SOURCE EMPTY"),"SOURCE EMPTY",IF(I26="COLLISION","COLLISION","READY")))</x:f>
        <x:v>SOURCE EMPTY</x:v>
      </x:c>
    </x:row>
    <x:row r="27">
      <x:c r="A27" s="14" t="str">
        <x:v>RT-C</x:v>
      </x:c>
      <x:c r="B27" s="14" t="str">
        <x:v>MS-RT</x:v>
      </x:c>
      <x:c r="C27" s="14" t="str">
        <x:v>RT-CELL-2</x:v>
      </x:c>
      <x:c r="D27" s="14" t="str">
        <x:v>RT-CELL-3</x:v>
      </x:c>
      <x:c r="E27" s="14" t="n">
        <x:f>COUNTIFS('Fallback Lattice'!$B$5:$B$52,A27)</x:f>
        <x:v>2</x:v>
      </x:c>
      <x:c r="F27" s="14" t="n">
        <x:f>COUNTIFS('Fallback Lattice'!$B$5:$B$52,A27,'Fallback Lattice'!$L$5:$L$52,"QUALIFIED")</x:f>
        <x:v>0</x:v>
      </x:c>
      <x:c r="G27" s="14" t="str">
        <x:f>IF(INDEX('Fallback Cells'!$E$5:$E$28,MATCH(C27,'Fallback Cells'!$A$5:$A$28,0))="","",INDEX('Fallback Cells'!$E$5:$E$28,MATCH(C27,'Fallback Cells'!$A$5:$A$28,0)))</x:f>
      </x:c>
      <x:c r="H27" s="14" t="str">
        <x:f>IF(INDEX('Fallback Cells'!$E$5:$E$28,MATCH(D27,'Fallback Cells'!$A$5:$A$28,0))="","",INDEX('Fallback Cells'!$E$5:$E$28,MATCH(D27,'Fallback Cells'!$A$5:$A$28,0)))</x:f>
      </x:c>
      <x:c r="I27" s="14" t="str">
        <x:f>IF(OR(G27="",H27=""),"SOURCE EMPTY",IF(G27=H27,"COLLISION","DISTINCT"))</x:f>
        <x:v>SOURCE EMPTY</x:v>
      </x:c>
      <x:c r="J27" s="14" t="str">
        <x:f>IF(E27&lt;&gt;2,"DESIGN ERROR",IF(OR(F27&lt;2,I27="SOURCE EMPTY"),"SOURCE EMPTY",IF(I27="COLLISION","COLLISION","READY")))</x:f>
        <x:v>SOURCE EMPTY</x:v>
      </x:c>
    </x:row>
    <x:row r="28">
      <x:c r="A28" s="15" t="str">
        <x:v>RT-D</x:v>
      </x:c>
      <x:c r="B28" s="15" t="str">
        <x:v>MS-RT</x:v>
      </x:c>
      <x:c r="C28" s="15" t="str">
        <x:v>RT-CELL-2</x:v>
      </x:c>
      <x:c r="D28" s="15" t="str">
        <x:v>RT-CELL-4</x:v>
      </x:c>
      <x:c r="E28" s="15" t="n">
        <x:f>COUNTIFS('Fallback Lattice'!$B$5:$B$52,A28)</x:f>
        <x:v>2</x:v>
      </x:c>
      <x:c r="F28" s="15" t="n">
        <x:f>COUNTIFS('Fallback Lattice'!$B$5:$B$52,A28,'Fallback Lattice'!$L$5:$L$52,"QUALIFIED")</x:f>
        <x:v>0</x:v>
      </x:c>
      <x:c r="G28" s="15" t="str">
        <x:f>IF(INDEX('Fallback Cells'!$E$5:$E$28,MATCH(C28,'Fallback Cells'!$A$5:$A$28,0))="","",INDEX('Fallback Cells'!$E$5:$E$28,MATCH(C28,'Fallback Cells'!$A$5:$A$28,0)))</x:f>
      </x:c>
      <x:c r="H28" s="15" t="str">
        <x:f>IF(INDEX('Fallback Cells'!$E$5:$E$28,MATCH(D28,'Fallback Cells'!$A$5:$A$28,0))="","",INDEX('Fallback Cells'!$E$5:$E$28,MATCH(D28,'Fallback Cells'!$A$5:$A$28,0)))</x:f>
      </x:c>
      <x:c r="I28" s="15" t="str">
        <x:f>IF(OR(G28="",H28=""),"SOURCE EMPTY",IF(G28=H28,"COLLISION","DISTINCT"))</x:f>
        <x:v>SOURCE EMPTY</x:v>
      </x:c>
      <x:c r="J28" s="15" t="str">
        <x:f>IF(E28&lt;&gt;2,"DESIGN ERROR",IF(OR(F28&lt;2,I28="SOURCE EMPTY"),"SOURCE EMPTY",IF(I28="COLLISION","COLLISION","READY")))</x:f>
        <x:v>SOURCE EMPTY</x:v>
      </x:c>
    </x:row>
  </x:sheetData>
  <x:conditionalFormatting sqref="I5:J28">
    <x:cfRule type="containsText" dxfId="56" priority="1" operator="containsText" text="FAIL"/>
    <x:cfRule type="containsText" dxfId="57" priority="2" operator="containsText" text="BREACH"/>
    <x:cfRule type="containsText" dxfId="58" priority="3" operator="containsText" text="COLLISION"/>
    <x:cfRule type="containsText" dxfId="59" priority="4" operator="containsText" text="BLOCKED"/>
    <x:cfRule type="containsText" dxfId="60" priority="5" operator="containsText" text="SOURCE EMPTY"/>
    <x:cfRule type="containsText" dxfId="61" priority="6" operator="containsText" text="PASS"/>
    <x:cfRule type="containsText" dxfId="62" priority="7" operator="containsText" text="READY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6" hidden="0" customWidth="1"/>
    <x:col min="4" max="4" width="52" hidden="0" customWidth="1"/>
    <x:col min="5" max="5" width="39" hidden="0" customWidth="1"/>
    <x:col min="6" max="6" width="48" hidden="0" customWidth="1"/>
  </x:cols>
  <x:sheetData>
    <x:row r="2" ht="24" customHeight="1">
      <x:c r="A2" s="1" t="str">
        <x:v>Capability-capital instruments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4">
      <x:c r="A4" s="8" t="str">
        <x:v>Instrument</x:v>
      </x:c>
      <x:c r="B4" s="9" t="str">
        <x:v>25-year authority (USD B)</x:v>
      </x:c>
      <x:c r="C4" s="9" t="str">
        <x:v>Warrant span</x:v>
      </x:c>
      <x:c r="D4" s="9" t="str">
        <x:v>Economic object</x:v>
      </x:c>
      <x:c r="E4" s="9" t="str">
        <x:v>Payment basis</x:v>
      </x:c>
      <x:c r="F4" s="10" t="str">
        <x:v>Forbidden inference</x:v>
      </x:c>
    </x:row>
    <x:row r="5" ht="60" customHeight="1">
      <x:c r="A5" s="40" t="str">
        <x:v>Contest and option capital</x:v>
      </x:c>
      <x:c r="B5" s="66" t="n">
        <x:v>200</x:v>
      </x:c>
      <x:c r="C5" s="40" t="str">
        <x:v>W1-W4</x:v>
      </x:c>
      <x:c r="D5" s="40" t="str">
        <x:v>Competing concepts, complete baselines and controlled configurations</x:v>
      </x:c>
      <x:c r="E5" s="40" t="str">
        <x:v>Paid learning and preserved option</x:v>
      </x:c>
      <x:c r="F5" s="40" t="str">
        <x:v>Cannot imply proof or production</x:v>
      </x:c>
    </x:row>
    <x:row r="6" ht="60" customHeight="1">
      <x:c r="A6" s="41" t="str">
        <x:v>Proof and qualification capital</x:v>
      </x:c>
      <x:c r="B6" s="67" t="n">
        <x:v>200</x:v>
      </x:c>
      <x:c r="C6" s="41" t="str">
        <x:v>W5-W6</x:v>
      </x:c>
      <x:c r="D6" s="41" t="str">
        <x:v>Independent safety release, hostile worlds and evidence disposition</x:v>
      </x:c>
      <x:c r="E6" s="41" t="str">
        <x:v>Accepted evidence package</x:v>
      </x:c>
      <x:c r="F6" s="41" t="str">
        <x:v>Positive output cannot waive adverse evidence</x:v>
      </x:c>
    </x:row>
    <x:row r="7" ht="60" customHeight="1">
      <x:c r="A7" s="41" t="str">
        <x:v>Public productive estate</x:v>
      </x:c>
      <x:c r="B7" s="67" t="n">
        <x:v>250</x:v>
      </x:c>
      <x:c r="C7" s="41" t="str">
        <x:v>W7</x:v>
      </x:c>
      <x:c r="D7" s="41" t="str">
        <x:v>Tooling, rights, lines, materials and outside reproducibility</x:v>
      </x:c>
      <x:c r="E7" s="41" t="str">
        <x:v>Qualified cold lot and registered estate</x:v>
      </x:c>
      <x:c r="F7" s="41" t="str">
        <x:v>Delivered prototype cannot imply reproducibility</x:v>
      </x:c>
    </x:row>
    <x:row r="8" ht="60" customHeight="1">
      <x:c r="A8" s="41" t="str">
        <x:v>Initial formation demand</x:v>
      </x:c>
      <x:c r="B8" s="67" t="n">
        <x:v>230</x:v>
      </x:c>
      <x:c r="C8" s="41" t="str">
        <x:v>W8-W11</x:v>
      </x:c>
      <x:c r="D8" s="41" t="str">
        <x:v>Certified formations, exclusive reservation, employment and public acceptance</x:v>
      </x:c>
      <x:c r="E8" s="41" t="str">
        <x:v>Accepted formation or service stage</x:v>
      </x:c>
      <x:c r="F8" s="41" t="str">
        <x:v>Inventory cannot imply readiness</x:v>
      </x:c>
    </x:row>
    <x:row r="9" ht="60" customHeight="1">
      <x:c r="A9" s="42" t="str">
        <x:v>Availability and regeneration options</x:v>
      </x:c>
      <x:c r="B9" s="68" t="n">
        <x:v>120</x:v>
      </x:c>
      <x:c r="C9" s="42" t="str">
        <x:v>W8-W12</x:v>
      </x:c>
      <x:c r="D9" s="42" t="str">
        <x:v>Reserved capacity, replacement, recharter and force regeneration</x:v>
      </x:c>
      <x:c r="E9" s="42" t="str">
        <x:v>Verified readiness interval or regenerated state</x:v>
      </x:c>
      <x:c r="F9" s="42" t="str">
        <x:v>Standby payment cannot buy missing certification</x:v>
      </x:c>
    </x:row>
    <x:row r="11">
      <x:c r="A11" s="69" t="str">
        <x:v>Conserved total</x:v>
      </x:c>
      <x:c r="B11" s="72" t="n">
        <x:f>SUM(B5:B9)</x:f>
        <x:v>1000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21" hidden="0" customWidth="1"/>
    <x:col min="4" max="4" width="21" hidden="0" customWidth="1"/>
    <x:col min="5" max="5" width="18" hidden="0" customWidth="1"/>
    <x:col min="6" max="6" width="24" hidden="0" customWidth="1"/>
    <x:col min="7" max="7" width="14" hidden="0" customWidth="1"/>
    <x:col min="8" max="8" width="16" hidden="0" customWidth="1"/>
    <x:col min="9" max="9" width="13" hidden="0" customWidth="1"/>
  </x:cols>
  <x:sheetData>
    <x:row r="2" ht="24" customHeight="1">
      <x:c r="A2" s="1" t="str">
        <x:v>Five-account capital-instrument crosswalk (USD B)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8" t="str">
        <x:v>Appropriation account</x:v>
      </x:c>
      <x:c r="B4" s="9" t="str">
        <x:v>Contest and option</x:v>
      </x:c>
      <x:c r="C4" s="9" t="str">
        <x:v>Proof and qualification</x:v>
      </x:c>
      <x:c r="D4" s="9" t="str">
        <x:v>Public productive estate</x:v>
      </x:c>
      <x:c r="E4" s="9" t="str">
        <x:v>Initial formations</x:v>
      </x:c>
      <x:c r="F4" s="9" t="str">
        <x:v>Availability and regeneration</x:v>
      </x:c>
      <x:c r="G4" s="9" t="str">
        <x:v>Row total</x:v>
      </x:c>
      <x:c r="H4" s="9" t="str">
        <x:v>Account target</x:v>
      </x:c>
      <x:c r="I4" s="10" t="str">
        <x:v>Difference</x:v>
      </x:c>
    </x:row>
    <x:row r="5">
      <x:c r="A5" s="13" t="str">
        <x:v>Mission systems</x:v>
      </x:c>
      <x:c r="B5" s="77" t="n">
        <x:v>130</x:v>
      </x:c>
      <x:c r="C5" s="77" t="n">
        <x:v>100</x:v>
      </x:c>
      <x:c r="D5" s="77" t="n">
        <x:v>130</x:v>
      </x:c>
      <x:c r="E5" s="77" t="n">
        <x:v>160</x:v>
      </x:c>
      <x:c r="F5" s="77" t="n">
        <x:v>30</x:v>
      </x:c>
      <x:c r="G5" s="57" t="n">
        <x:f>SUM(B5:F5)</x:f>
        <x:v>550</x:v>
      </x:c>
      <x:c r="H5" s="77" t="n">
        <x:v>550</x:v>
      </x:c>
      <x:c r="I5" s="57" t="n">
        <x:f>G5-H5</x:f>
        <x:v>0</x:v>
      </x:c>
    </x:row>
    <x:row r="6">
      <x:c r="A6" s="14" t="str">
        <x:v>Service technical bases</x:v>
      </x:c>
      <x:c r="B6" s="78" t="n">
        <x:v>20</x:v>
      </x:c>
      <x:c r="C6" s="78" t="n">
        <x:v>30</x:v>
      </x:c>
      <x:c r="D6" s="78" t="n">
        <x:v>40</x:v>
      </x:c>
      <x:c r="E6" s="78" t="n">
        <x:v>30</x:v>
      </x:c>
      <x:c r="F6" s="78" t="n">
        <x:v>30</x:v>
      </x:c>
      <x:c r="G6" s="58" t="n">
        <x:f>SUM(B6:F6)</x:f>
        <x:v>150</x:v>
      </x:c>
      <x:c r="H6" s="78" t="n">
        <x:v>150</x:v>
      </x:c>
      <x:c r="I6" s="58" t="n">
        <x:f>G6-H6</x:f>
        <x:v>0</x:v>
      </x:c>
    </x:row>
    <x:row r="7">
      <x:c r="A7" s="14" t="str">
        <x:v>National common capacity</x:v>
      </x:c>
      <x:c r="B7" s="78" t="n">
        <x:v>20</x:v>
      </x:c>
      <x:c r="C7" s="78" t="n">
        <x:v>20</x:v>
      </x:c>
      <x:c r="D7" s="78" t="n">
        <x:v>40</x:v>
      </x:c>
      <x:c r="E7" s="78" t="n">
        <x:v>40</x:v>
      </x:c>
      <x:c r="F7" s="78" t="n">
        <x:v>30</x:v>
      </x:c>
      <x:c r="G7" s="58" t="n">
        <x:f>SUM(B7:F7)</x:f>
        <x:v>150</x:v>
      </x:c>
      <x:c r="H7" s="78" t="n">
        <x:v>150</x:v>
      </x:c>
      <x:c r="I7" s="58" t="n">
        <x:f>G7-H7</x:f>
        <x:v>0</x:v>
      </x:c>
    </x:row>
    <x:row r="8">
      <x:c r="A8" s="14" t="str">
        <x:v>Sovereign technical estate</x:v>
      </x:c>
      <x:c r="B8" s="78" t="n">
        <x:v>30</x:v>
      </x:c>
      <x:c r="C8" s="78" t="n">
        <x:v>40</x:v>
      </x:c>
      <x:c r="D8" s="78" t="n">
        <x:v>20</x:v>
      </x:c>
      <x:c r="E8" s="78" t="n">
        <x:v>0</x:v>
      </x:c>
      <x:c r="F8" s="78" t="n">
        <x:v>10</x:v>
      </x:c>
      <x:c r="G8" s="58" t="n">
        <x:f>SUM(B8:F8)</x:f>
        <x:v>100</x:v>
      </x:c>
      <x:c r="H8" s="78" t="n">
        <x:v>100</x:v>
      </x:c>
      <x:c r="I8" s="58" t="n">
        <x:f>G8-H8</x:f>
        <x:v>0</x:v>
      </x:c>
    </x:row>
    <x:row r="9">
      <x:c r="A9" s="15" t="str">
        <x:v>Competitive failure reserve</x:v>
      </x:c>
      <x:c r="B9" s="79" t="n">
        <x:v>0</x:v>
      </x:c>
      <x:c r="C9" s="79" t="n">
        <x:v>10</x:v>
      </x:c>
      <x:c r="D9" s="79" t="n">
        <x:v>20</x:v>
      </x:c>
      <x:c r="E9" s="79" t="n">
        <x:v>0</x:v>
      </x:c>
      <x:c r="F9" s="79" t="n">
        <x:v>20</x:v>
      </x:c>
      <x:c r="G9" s="59" t="n">
        <x:f>SUM(B9:F9)</x:f>
        <x:v>50</x:v>
      </x:c>
      <x:c r="H9" s="79" t="n">
        <x:v>50</x:v>
      </x:c>
      <x:c r="I9" s="59" t="n">
        <x:f>G9-H9</x:f>
        <x:v>0</x:v>
      </x:c>
    </x:row>
    <x:row r="10">
      <x:c r="A10" s="27" t="str">
        <x:v>Instrument total</x:v>
      </x:c>
      <x:c r="B10" s="84" t="n">
        <x:f>SUM(B5:B9)</x:f>
        <x:v>200</x:v>
      </x:c>
      <x:c r="C10" s="84" t="n">
        <x:f>SUM(C5:C9)</x:f>
        <x:v>200</x:v>
      </x:c>
      <x:c r="D10" s="84" t="n">
        <x:f>SUM(D5:D9)</x:f>
        <x:v>250</x:v>
      </x:c>
      <x:c r="E10" s="84" t="n">
        <x:f>SUM(E5:E9)</x:f>
        <x:v>230</x:v>
      </x:c>
      <x:c r="F10" s="84" t="n">
        <x:f>SUM(F5:F9)</x:f>
        <x:v>120</x:v>
      </x:c>
      <x:c r="G10" s="84" t="n">
        <x:f>SUM(G5:G9)</x:f>
        <x:v>1000</x:v>
      </x:c>
      <x:c r="H10" s="84" t="n">
        <x:v>1000</x:v>
      </x:c>
      <x:c r="I10" s="85" t="n">
        <x:f>G10-H10</x:f>
        <x:v>0</x:v>
      </x:c>
    </x:row>
    <x:row r="11">
      <x:c r="A11" s="86" t="str">
        <x:v>Instrument target</x:v>
      </x:c>
      <x:c r="B11" s="83" t="n">
        <x:f>'Capital Instruments'!B5</x:f>
        <x:v>200</x:v>
      </x:c>
      <x:c r="C11" s="83" t="n">
        <x:f>'Capital Instruments'!B6</x:f>
        <x:v>200</x:v>
      </x:c>
      <x:c r="D11" s="83" t="n">
        <x:f>'Capital Instruments'!B7</x:f>
        <x:v>250</x:v>
      </x:c>
      <x:c r="E11" s="83" t="n">
        <x:f>'Capital Instruments'!B8</x:f>
        <x:v>230</x:v>
      </x:c>
      <x:c r="F11" s="83" t="n">
        <x:f>'Capital Instruments'!B9</x:f>
        <x:v>120</x:v>
      </x:c>
      <x:c r="G11" s="83"/>
      <x:c r="H11" s="83"/>
      <x:c r="I11" s="87"/>
    </x:row>
    <x:row r="12">
      <x:c r="A12" s="30" t="str">
        <x:v>Difference</x:v>
      </x:c>
      <x:c r="B12" s="88" t="n">
        <x:f>B10-B11</x:f>
        <x:v>0</x:v>
      </x:c>
      <x:c r="C12" s="88" t="n">
        <x:f>C10-C11</x:f>
        <x:v>0</x:v>
      </x:c>
      <x:c r="D12" s="88" t="n">
        <x:f>D10-D11</x:f>
        <x:v>0</x:v>
      </x:c>
      <x:c r="E12" s="88" t="n">
        <x:f>E10-E11</x:f>
        <x:v>0</x:v>
      </x:c>
      <x:c r="F12" s="88" t="n">
        <x:f>F10-F11</x:f>
        <x:v>0</x:v>
      </x:c>
      <x:c r="G12" s="88"/>
      <x:c r="H12" s="88"/>
      <x:c r="I12" s="8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21" hidden="0" customWidth="1"/>
    <x:col min="5" max="5" width="21" hidden="0" customWidth="1"/>
    <x:col min="6" max="6" width="18" hidden="0" customWidth="1"/>
    <x:col min="7" max="7" width="24" hidden="0" customWidth="1"/>
    <x:col min="8" max="8" width="13" hidden="0" customWidth="1"/>
    <x:col min="9" max="9" width="14" hidden="0" customWidth="1"/>
    <x:col min="10" max="10" width="13" hidden="0" customWidth="1"/>
  </x:cols>
  <x:sheetData>
    <x:row r="2" ht="24" customHeight="1">
      <x:c r="A2" s="1" t="str">
        <x:v>Capital instruments by development wave (USD B)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8" t="str">
        <x:v>Wave</x:v>
      </x:c>
      <x:c r="B4" s="9" t="str">
        <x:v>Capability state</x:v>
      </x:c>
      <x:c r="C4" s="9" t="str">
        <x:v>Contest and option</x:v>
      </x:c>
      <x:c r="D4" s="9" t="str">
        <x:v>Proof and qualification</x:v>
      </x:c>
      <x:c r="E4" s="9" t="str">
        <x:v>Public productive estate</x:v>
      </x:c>
      <x:c r="F4" s="9" t="str">
        <x:v>Initial formations</x:v>
      </x:c>
      <x:c r="G4" s="9" t="str">
        <x:v>Availability and regeneration</x:v>
      </x:c>
      <x:c r="H4" s="9" t="str">
        <x:v>Row total</x:v>
      </x:c>
      <x:c r="I4" s="9" t="str">
        <x:v>Wave target</x:v>
      </x:c>
      <x:c r="J4" s="10" t="str">
        <x:v>Difference</x:v>
      </x:c>
    </x:row>
    <x:row r="5">
      <x:c r="A5" s="13" t="str">
        <x:v>Wave 1</x:v>
      </x:c>
      <x:c r="B5" s="13" t="str">
        <x:v>G0-G1</x:v>
      </x:c>
      <x:c r="C5" s="77" t="n">
        <x:v>120</x:v>
      </x:c>
      <x:c r="D5" s="77" t="n">
        <x:v>50</x:v>
      </x:c>
      <x:c r="E5" s="77" t="n">
        <x:v>20</x:v>
      </x:c>
      <x:c r="F5" s="77" t="n">
        <x:v>0</x:v>
      </x:c>
      <x:c r="G5" s="77" t="n">
        <x:v>10</x:v>
      </x:c>
      <x:c r="H5" s="57" t="n">
        <x:f>SUM(C5:G5)</x:f>
        <x:v>200</x:v>
      </x:c>
      <x:c r="I5" s="77" t="n">
        <x:v>200</x:v>
      </x:c>
      <x:c r="J5" s="57" t="n">
        <x:f>H5-I5</x:f>
        <x:v>0</x:v>
      </x:c>
    </x:row>
    <x:row r="6">
      <x:c r="A6" s="14" t="str">
        <x:v>Wave 2</x:v>
      </x:c>
      <x:c r="B6" s="14" t="str">
        <x:v>G2-G3</x:v>
      </x:c>
      <x:c r="C6" s="78" t="n">
        <x:v>60</x:v>
      </x:c>
      <x:c r="D6" s="78" t="n">
        <x:v>100</x:v>
      </x:c>
      <x:c r="E6" s="78" t="n">
        <x:v>90</x:v>
      </x:c>
      <x:c r="F6" s="78" t="n">
        <x:v>30</x:v>
      </x:c>
      <x:c r="G6" s="78" t="n">
        <x:v>20</x:v>
      </x:c>
      <x:c r="H6" s="58" t="n">
        <x:f>SUM(C6:G6)</x:f>
        <x:v>300</x:v>
      </x:c>
      <x:c r="I6" s="78" t="n">
        <x:v>300</x:v>
      </x:c>
      <x:c r="J6" s="58" t="n">
        <x:f>H6-I6</x:f>
        <x:v>0</x:v>
      </x:c>
    </x:row>
    <x:row r="7">
      <x:c r="A7" s="14" t="str">
        <x:v>Wave 3</x:v>
      </x:c>
      <x:c r="B7" s="14" t="str">
        <x:v>G4</x:v>
      </x:c>
      <x:c r="C7" s="78" t="n">
        <x:v>20</x:v>
      </x:c>
      <x:c r="D7" s="78" t="n">
        <x:v>40</x:v>
      </x:c>
      <x:c r="E7" s="78" t="n">
        <x:v>90</x:v>
      </x:c>
      <x:c r="F7" s="78" t="n">
        <x:v>70</x:v>
      </x:c>
      <x:c r="G7" s="78" t="n">
        <x:v>30</x:v>
      </x:c>
      <x:c r="H7" s="58" t="n">
        <x:f>SUM(C7:G7)</x:f>
        <x:v>250</x:v>
      </x:c>
      <x:c r="I7" s="78" t="n">
        <x:v>250</x:v>
      </x:c>
      <x:c r="J7" s="58" t="n">
        <x:f>H7-I7</x:f>
        <x:v>0</x:v>
      </x:c>
    </x:row>
    <x:row r="8">
      <x:c r="A8" s="14" t="str">
        <x:v>Wave 4</x:v>
      </x:c>
      <x:c r="B8" s="14" t="str">
        <x:v>G5</x:v>
      </x:c>
      <x:c r="C8" s="78" t="n">
        <x:v>0</x:v>
      </x:c>
      <x:c r="D8" s="78" t="n">
        <x:v>10</x:v>
      </x:c>
      <x:c r="E8" s="78" t="n">
        <x:v>40</x:v>
      </x:c>
      <x:c r="F8" s="78" t="n">
        <x:v>70</x:v>
      </x:c>
      <x:c r="G8" s="78" t="n">
        <x:v>30</x:v>
      </x:c>
      <x:c r="H8" s="58" t="n">
        <x:f>SUM(C8:G8)</x:f>
        <x:v>150</x:v>
      </x:c>
      <x:c r="I8" s="78" t="n">
        <x:v>150</x:v>
      </x:c>
      <x:c r="J8" s="58" t="n">
        <x:f>H8-I8</x:f>
        <x:v>0</x:v>
      </x:c>
    </x:row>
    <x:row r="9">
      <x:c r="A9" s="15" t="str">
        <x:v>Wave 5</x:v>
      </x:c>
      <x:c r="B9" s="15" t="str">
        <x:v>Regenerate</x:v>
      </x:c>
      <x:c r="C9" s="79" t="n">
        <x:v>0</x:v>
      </x:c>
      <x:c r="D9" s="79" t="n">
        <x:v>0</x:v>
      </x:c>
      <x:c r="E9" s="79" t="n">
        <x:v>10</x:v>
      </x:c>
      <x:c r="F9" s="79" t="n">
        <x:v>60</x:v>
      </x:c>
      <x:c r="G9" s="79" t="n">
        <x:v>30</x:v>
      </x:c>
      <x:c r="H9" s="59" t="n">
        <x:f>SUM(C9:G9)</x:f>
        <x:v>100</x:v>
      </x:c>
      <x:c r="I9" s="79" t="n">
        <x:v>100</x:v>
      </x:c>
      <x:c r="J9" s="59" t="n">
        <x:f>H9-I9</x:f>
        <x:v>0</x:v>
      </x:c>
    </x:row>
    <x:row r="10">
      <x:c r="A10" s="27" t="str">
        <x:v>Instrument total</x:v>
      </x:c>
      <x:c r="B10" s="28" t="str"/>
      <x:c r="C10" s="84" t="n">
        <x:f>SUM(C5:C9)</x:f>
        <x:v>200</x:v>
      </x:c>
      <x:c r="D10" s="84" t="n">
        <x:f>SUM(D5:D9)</x:f>
        <x:v>200</x:v>
      </x:c>
      <x:c r="E10" s="84" t="n">
        <x:f>SUM(E5:E9)</x:f>
        <x:v>250</x:v>
      </x:c>
      <x:c r="F10" s="84" t="n">
        <x:f>SUM(F5:F9)</x:f>
        <x:v>230</x:v>
      </x:c>
      <x:c r="G10" s="84" t="n">
        <x:f>SUM(G5:G9)</x:f>
        <x:v>120</x:v>
      </x:c>
      <x:c r="H10" s="84" t="n">
        <x:f>SUM(H5:H9)</x:f>
        <x:v>1000</x:v>
      </x:c>
      <x:c r="I10" s="84" t="n">
        <x:v>1000</x:v>
      </x:c>
      <x:c r="J10" s="85" t="n">
        <x:f>H10-I10</x:f>
        <x:v>0</x:v>
      </x:c>
    </x:row>
    <x:row r="11">
      <x:c r="A11" s="86" t="str">
        <x:v>Instrument target</x:v>
      </x:c>
      <x:c r="B11" s="26" t="str"/>
      <x:c r="C11" s="83" t="n">
        <x:f>'Capital Instruments'!B5</x:f>
        <x:v>200</x:v>
      </x:c>
      <x:c r="D11" s="83" t="n">
        <x:f>'Capital Instruments'!B6</x:f>
        <x:v>200</x:v>
      </x:c>
      <x:c r="E11" s="83" t="n">
        <x:f>'Capital Instruments'!B7</x:f>
        <x:v>250</x:v>
      </x:c>
      <x:c r="F11" s="83" t="n">
        <x:f>'Capital Instruments'!B8</x:f>
        <x:v>230</x:v>
      </x:c>
      <x:c r="G11" s="83" t="n">
        <x:f>'Capital Instruments'!B9</x:f>
        <x:v>120</x:v>
      </x:c>
      <x:c r="H11" s="83"/>
      <x:c r="I11" s="83"/>
      <x:c r="J11" s="87"/>
    </x:row>
    <x:row r="12">
      <x:c r="A12" s="30" t="str">
        <x:v>Difference</x:v>
      </x:c>
      <x:c r="B12" s="31" t="str"/>
      <x:c r="C12" s="88" t="n">
        <x:f>C10-C11</x:f>
        <x:v>0</x:v>
      </x:c>
      <x:c r="D12" s="88" t="n">
        <x:f>D10-D11</x:f>
        <x:v>0</x:v>
      </x:c>
      <x:c r="E12" s="88" t="n">
        <x:f>E10-E11</x:f>
        <x:v>0</x:v>
      </x:c>
      <x:c r="F12" s="88" t="n">
        <x:f>F10-F11</x:f>
        <x:v>0</x:v>
      </x:c>
      <x:c r="G12" s="88" t="n">
        <x:f>G10-G11</x:f>
        <x:v>0</x:v>
      </x:c>
      <x:c r="H12" s="88"/>
      <x:c r="I12" s="88"/>
      <x:c r="J12" s="8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7" hidden="0" customWidth="1"/>
    <x:col min="3" max="3" width="23" hidden="0" customWidth="1"/>
    <x:col min="4" max="4" width="43" hidden="0" customWidth="1"/>
    <x:col min="5" max="5" width="49" hidden="0" customWidth="1"/>
  </x:cols>
  <x:sheetData>
    <x:row r="2" ht="24" customHeight="1">
      <x:c r="A2" s="1" t="str">
        <x:v>Failure and continuity law</x:v>
      </x:c>
      <x:c r="B2" s="1"/>
      <x:c r="C2" s="1"/>
      <x:c r="D2" s="1"/>
      <x:c r="E2" s="1"/>
    </x:row>
    <x:row r="3">
      <x:c r="A3" s="2"/>
      <x:c r="B3" s="2"/>
      <x:c r="C3" s="2"/>
      <x:c r="D3" s="2"/>
      <x:c r="E3" s="2"/>
    </x:row>
    <x:row r="4">
      <x:c r="A4" s="8" t="str">
        <x:v>Rule</x:v>
      </x:c>
      <x:c r="B4" s="9" t="str">
        <x:v>Trigger</x:v>
      </x:c>
      <x:c r="C4" s="9" t="str">
        <x:v>Automatic action</x:v>
      </x:c>
      <x:c r="D4" s="9" t="str">
        <x:v>Permitted successor</x:v>
      </x:c>
      <x:c r="E4" s="10" t="str">
        <x:v>Forbidden response</x:v>
      </x:c>
    </x:row>
    <x:row r="5" ht="48" customHeight="1">
      <x:c r="A5" s="40" t="str">
        <x:v>FR-01</x:v>
      </x:c>
      <x:c r="B5" s="40" t="str">
        <x:v>Insolvency</x:v>
      </x:c>
      <x:c r="C5" s="40" t="str">
        <x:v>STEP IN</x:v>
      </x:c>
      <x:c r="D5" s="40" t="str">
        <x:v>Continuity receivership</x:v>
      </x:c>
      <x:c r="E5" s="40" t="str">
        <x:v>Allow creditor seizure of public estate</x:v>
      </x:c>
    </x:row>
    <x:row r="6" ht="48" customHeight="1">
      <x:c r="A6" s="41" t="str">
        <x:v>FR-02</x:v>
      </x:c>
      <x:c r="B6" s="41" t="str">
        <x:v>Merger or beneficial-control breach</x:v>
      </x:c>
      <x:c r="C6" s="41" t="str">
        <x:v>SUSPEND CHARTER</x:v>
      </x:c>
      <x:c r="D6" s="41" t="str">
        <x:v>Independent recharter</x:v>
      </x:c>
      <x:c r="E6" s="41" t="str">
        <x:v>Combine live roots</x:v>
      </x:c>
    </x:row>
    <x:row r="7" ht="48" customHeight="1">
      <x:c r="A7" s="41" t="str">
        <x:v>FR-03</x:v>
      </x:c>
      <x:c r="B7" s="41" t="str">
        <x:v>Cross-default or common collateral</x:v>
      </x:c>
      <x:c r="C7" s="41" t="str">
        <x:v>SEVER CAPITAL</x:v>
      </x:c>
      <x:c r="D7" s="41" t="str">
        <x:v>Ring-fenced refinancing</x:v>
      </x:c>
      <x:c r="E7" s="41" t="str">
        <x:v>Accelerate another root</x:v>
      </x:c>
    </x:row>
    <x:row r="8" ht="48" customHeight="1">
      <x:c r="A8" s="41" t="str">
        <x:v>FR-04</x:v>
      </x:c>
      <x:c r="B8" s="41" t="str">
        <x:v>Refusal to provide public package</x:v>
      </x:c>
      <x:c r="C8" s="41" t="str">
        <x:v>OPEN ESCROW</x:v>
      </x:c>
      <x:c r="D8" s="41" t="str">
        <x:v>Qualified outside reproducer</x:v>
      </x:c>
      <x:c r="E8" s="41" t="str">
        <x:v>Pay again for funded rights</x:v>
      </x:c>
    </x:row>
    <x:row r="9" ht="48" customHeight="1">
      <x:c r="A9" s="41" t="str">
        <x:v>FR-05</x:v>
      </x:c>
      <x:c r="B9" s="41" t="str">
        <x:v>Cold-production failure</x:v>
      </x:c>
      <x:c r="C9" s="41" t="str">
        <x:v>REMOVE W7</x:v>
      </x:c>
      <x:c r="D9" s="41" t="str">
        <x:v>Repair line and repeat cold lot</x:v>
      </x:c>
      <x:c r="E9" s="41" t="str">
        <x:v>Count incumbent output as reproduction</x:v>
      </x:c>
    </x:row>
    <x:row r="10" ht="48" customHeight="1">
      <x:c r="A10" s="41" t="str">
        <x:v>FR-06</x:v>
      </x:c>
      <x:c r="B10" s="41" t="str">
        <x:v>Readiness reservation conflict</x:v>
      </x:c>
      <x:c r="C10" s="41" t="str">
        <x:v>ZERO CREDIT</x:v>
      </x:c>
      <x:c r="D10" s="41" t="str">
        <x:v>Reallocate certified capacity</x:v>
      </x:c>
      <x:c r="E10" s="41" t="str">
        <x:v>Double count inventory</x:v>
      </x:c>
    </x:row>
    <x:row r="11" ht="48" customHeight="1">
      <x:c r="A11" s="41" t="str">
        <x:v>FR-07</x:v>
      </x:c>
      <x:c r="B11" s="41" t="str">
        <x:v>Safety or rights stop</x:v>
      </x:c>
      <x:c r="C11" s="41" t="str">
        <x:v>RETURN TO W5</x:v>
      </x:c>
      <x:c r="D11" s="41" t="str">
        <x:v>Correct configuration and re-prove</x:v>
      </x:c>
      <x:c r="E11" s="41" t="str">
        <x:v>Use urgency as waiver</x:v>
      </x:c>
    </x:row>
    <x:row r="12" ht="48" customHeight="1">
      <x:c r="A12" s="41" t="str">
        <x:v>FR-08</x:v>
      </x:c>
      <x:c r="B12" s="41" t="str">
        <x:v>Adverse balance result</x:v>
      </x:c>
      <x:c r="C12" s="41" t="str">
        <x:v>RESIZE</x:v>
      </x:c>
      <x:c r="D12" s="41" t="str">
        <x:v>Reconstituted baseline</x:v>
      </x:c>
      <x:c r="E12" s="41" t="str">
        <x:v>Average away failed account</x:v>
      </x:c>
    </x:row>
    <x:row r="13" ht="48" customHeight="1">
      <x:c r="A13" s="41" t="str">
        <x:v>FR-09</x:v>
      </x:c>
      <x:c r="B13" s="41" t="str">
        <x:v>Adverse keystone result</x:v>
      </x:c>
      <x:c r="C13" s="41" t="str">
        <x:v>KILL LINEAGE</x:v>
      </x:c>
      <x:c r="D13" s="41" t="str">
        <x:v>New root competition</x:v>
      </x:c>
      <x:c r="E13" s="41" t="str">
        <x:v>Rename failed lineage</x:v>
      </x:c>
    </x:row>
    <x:row r="14" ht="48" customHeight="1">
      <x:c r="A14" s="41" t="str">
        <x:v>FR-10</x:v>
      </x:c>
      <x:c r="B14" s="41" t="str">
        <x:v>Configuration-signing compromise</x:v>
      </x:c>
      <x:c r="C14" s="41" t="str">
        <x:v>REVOKE KEYS</x:v>
      </x:c>
      <x:c r="D14" s="41" t="str">
        <x:v>Public reissue and full inventory audit</x:v>
      </x:c>
      <x:c r="E14" s="41" t="str">
        <x:v>Trust unsigned fleet state</x:v>
      </x:c>
    </x:row>
    <x:row r="15" ht="48" customHeight="1">
      <x:c r="A15" s="41" t="str">
        <x:v>FR-11</x:v>
      </x:c>
      <x:c r="B15" s="41" t="str">
        <x:v>Supplier exposure above cap</x:v>
      </x:c>
      <x:c r="C15" s="41" t="str">
        <x:v>DISALLOW DEPENDENCY</x:v>
      </x:c>
      <x:c r="D15" s="41" t="str">
        <x:v>Qualify unrelated alternate</x:v>
      </x:c>
      <x:c r="E15" s="41" t="str">
        <x:v>Treat purchase order as independence</x:v>
      </x:c>
    </x:row>
    <x:row r="16" ht="48" customHeight="1">
      <x:c r="A16" s="42" t="str">
        <x:v>FR-12</x:v>
      </x:c>
      <x:c r="B16" s="42" t="str">
        <x:v>Export consumes domestic reserve</x:v>
      </x:c>
      <x:c r="C16" s="42" t="str">
        <x:v>STOP EXPORT</x:v>
      </x:c>
      <x:c r="D16" s="42" t="str">
        <x:v>Restore domestic replacement capacity</x:v>
      </x:c>
      <x:c r="E16" s="42" t="str">
        <x:v>Credit partner capacity domestically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65" hidden="0" customWidth="1"/>
    <x:col min="3" max="3" width="35" hidden="0" customWidth="1"/>
    <x:col min="4" max="4" width="20" hidden="0" customWidth="1"/>
    <x:col min="5" max="5" width="14" hidden="0" customWidth="1"/>
    <x:col min="6" max="6" width="16" hidden="0" customWidth="1"/>
  </x:cols>
  <x:sheetData>
    <x:row r="2" ht="24" customHeight="1">
      <x:c r="A2" s="1" t="str">
        <x:v>Export and mutual-capacity gate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4">
      <x:c r="A4" s="8" t="str">
        <x:v>Gate</x:v>
      </x:c>
      <x:c r="B4" s="9" t="str">
        <x:v>Noncompensatory condition</x:v>
      </x:c>
      <x:c r="C4" s="9" t="str">
        <x:v>Issuer</x:v>
      </x:c>
      <x:c r="D4" s="9" t="str">
        <x:v>Evidence ID</x:v>
      </x:c>
      <x:c r="E4" s="9" t="str">
        <x:v>Decision</x:v>
      </x:c>
      <x:c r="F4" s="10" t="str">
        <x:v>State</x:v>
      </x:c>
    </x:row>
    <x:row r="5">
      <x:c r="A5" s="13" t="str">
        <x:v>EX-01</x:v>
      </x:c>
      <x:c r="B5" s="40" t="str">
        <x:v>Domestic replacement capacity conserved</x:v>
      </x:c>
      <x:c r="C5" s="13" t="str">
        <x:v>Joint Capacity Authority</x:v>
      </x:c>
      <x:c r="D5" s="16"/>
      <x:c r="E5" s="16"/>
      <x:c r="F5" s="13" t="str">
        <x:f>IF(OR(D5="",E5=""),"BLOCKED",IF(E5="PASS","PASS","FAIL"))</x:f>
        <x:v>BLOCKED</x:v>
      </x:c>
    </x:row>
    <x:row r="6">
      <x:c r="A6" s="14" t="str">
        <x:v>EX-02</x:v>
      </x:c>
      <x:c r="B6" s="41" t="str">
        <x:v>Export inventory excluded from domestic readiness</x:v>
      </x:c>
      <x:c r="C6" s="14" t="str">
        <x:v>Joint Capacity Authority</x:v>
      </x:c>
      <x:c r="D6" s="17"/>
      <x:c r="E6" s="17"/>
      <x:c r="F6" s="14" t="str">
        <x:f>IF(OR(D6="",E6=""),"BLOCKED",IF(E6="PASS","PASS","FAIL"))</x:f>
        <x:v>BLOCKED</x:v>
      </x:c>
    </x:row>
    <x:row r="7">
      <x:c r="A7" s="14" t="str">
        <x:v>EX-03</x:v>
      </x:c>
      <x:c r="B7" s="41" t="str">
        <x:v>Recipient civil authority and allocation law accepted</x:v>
      </x:c>
      <x:c r="C7" s="14" t="str">
        <x:v>Civil Resilience Authority</x:v>
      </x:c>
      <x:c r="D7" s="17"/>
      <x:c r="E7" s="17"/>
      <x:c r="F7" s="14" t="str">
        <x:f>IF(OR(D7="",E7=""),"BLOCKED",IF(E7="PASS","PASS","FAIL"))</x:f>
        <x:v>BLOCKED</x:v>
      </x:c>
    </x:row>
    <x:row r="8">
      <x:c r="A8" s="14" t="str">
        <x:v>EX-04</x:v>
      </x:c>
      <x:c r="B8" s="41" t="str">
        <x:v>End-use, custody and transfer chain registered</x:v>
      </x:c>
      <x:c r="C8" s="14" t="str">
        <x:v>Civil Resilience Authority</x:v>
      </x:c>
      <x:c r="D8" s="17"/>
      <x:c r="E8" s="17"/>
      <x:c r="F8" s="14" t="str">
        <x:f>IF(OR(D8="",E8=""),"BLOCKED",IF(E8="PASS","PASS","FAIL"))</x:f>
        <x:v>BLOCKED</x:v>
      </x:c>
    </x:row>
    <x:row r="9">
      <x:c r="A9" s="14" t="str">
        <x:v>EX-05</x:v>
      </x:c>
      <x:c r="B9" s="41" t="str">
        <x:v>Safety, rights and environmental limits accepted</x:v>
      </x:c>
      <x:c r="C9" s="14" t="str">
        <x:v>Operating service</x:v>
      </x:c>
      <x:c r="D9" s="17"/>
      <x:c r="E9" s="17"/>
      <x:c r="F9" s="14" t="str">
        <x:f>IF(OR(D9="",E9=""),"BLOCKED",IF(E9="PASS","PASS","FAIL"))</x:f>
        <x:v>BLOCKED</x:v>
      </x:c>
    </x:row>
    <x:row r="10">
      <x:c r="A10" s="14" t="str">
        <x:v>EX-06</x:v>
      </x:c>
      <x:c r="B10" s="41" t="str">
        <x:v>Configuration support and withdrawal obligations funded</x:v>
      </x:c>
      <x:c r="C10" s="14" t="str">
        <x:v>Strategic Sustainment Command</x:v>
      </x:c>
      <x:c r="D10" s="17"/>
      <x:c r="E10" s="17"/>
      <x:c r="F10" s="14" t="str">
        <x:f>IF(OR(D10="",E10=""),"BLOCKED",IF(E10="PASS","PASS","FAIL"))</x:f>
        <x:v>BLOCKED</x:v>
      </x:c>
    </x:row>
    <x:row r="11">
      <x:c r="A11" s="14" t="str">
        <x:v>EX-07</x:v>
      </x:c>
      <x:c r="B11" s="41" t="str">
        <x:v>Recipient data, repair and evidence rights established</x:v>
      </x:c>
      <x:c r="C11" s="14" t="str">
        <x:v>Resilience Production Trust</x:v>
      </x:c>
      <x:c r="D11" s="17"/>
      <x:c r="E11" s="17"/>
      <x:c r="F11" s="14" t="str">
        <x:f>IF(OR(D11="",E11=""),"BLOCKED",IF(E11="PASS","PASS","FAIL"))</x:f>
        <x:v>BLOCKED</x:v>
      </x:c>
    </x:row>
    <x:row r="12">
      <x:c r="A12" s="14" t="str">
        <x:v>EX-08</x:v>
      </x:c>
      <x:c r="B12" s="41" t="str">
        <x:v>Partner workforce and receiver system certified</x:v>
      </x:c>
      <x:c r="C12" s="14" t="str">
        <x:v>Operating service</x:v>
      </x:c>
      <x:c r="D12" s="17"/>
      <x:c r="E12" s="17"/>
      <x:c r="F12" s="14" t="str">
        <x:f>IF(OR(D12="",E12=""),"BLOCKED",IF(E12="PASS","PASS","FAIL"))</x:f>
        <x:v>BLOCKED</x:v>
      </x:c>
    </x:row>
    <x:row r="13">
      <x:c r="A13" s="14" t="str">
        <x:v>EX-09</x:v>
      </x:c>
      <x:c r="B13" s="41" t="str">
        <x:v>Partner production ancestry does not collapse a domestic root</x:v>
      </x:c>
      <x:c r="C13" s="14" t="str">
        <x:v>Competition and Ancestry Inspectorate</x:v>
      </x:c>
      <x:c r="D13" s="17"/>
      <x:c r="E13" s="17"/>
      <x:c r="F13" s="14" t="str">
        <x:f>IF(OR(D13="",E13=""),"BLOCKED",IF(E13="PASS","PASS","FAIL"))</x:f>
        <x:v>BLOCKED</x:v>
      </x:c>
    </x:row>
    <x:row r="14">
      <x:c r="A14" s="15" t="str">
        <x:v>EX-10</x:v>
      </x:c>
      <x:c r="B14" s="42" t="str">
        <x:v>End-of-life, residual and return custody accepted</x:v>
      </x:c>
      <x:c r="C14" s="15" t="str">
        <x:v>Strategic Sustainment Command</x:v>
      </x:c>
      <x:c r="D14" s="18"/>
      <x:c r="E14" s="18"/>
      <x:c r="F14" s="15" t="str">
        <x:f>IF(OR(D14="",E14=""),"BLOCKED",IF(E14="PASS","PASS","FAIL"))</x:f>
        <x:v>BLOCKED</x:v>
      </x:c>
    </x:row>
    <x:row r="17">
      <x:c r="A17" s="69" t="str">
        <x:v>Export eligibility</x:v>
      </x:c>
      <x:c r="B17" s="71" t="str">
        <x:f>IF(COUNTIFS(F5:F14,"PASS")=10,"ELIGIBLE","BLOCKED")</x:f>
        <x:v>BLOCKED</x:v>
      </x:c>
    </x:row>
  </x:sheetData>
  <x:conditionalFormatting sqref="F5:F14">
    <x:cfRule type="containsText" dxfId="63" priority="1" operator="containsText" text="FAIL"/>
    <x:cfRule type="containsText" dxfId="64" priority="2" operator="containsText" text="BREACH"/>
    <x:cfRule type="containsText" dxfId="65" priority="3" operator="containsText" text="COLLISION"/>
    <x:cfRule type="containsText" dxfId="66" priority="4" operator="containsText" text="BLOCKED"/>
    <x:cfRule type="containsText" dxfId="67" priority="5" operator="containsText" text="SOURCE EMPTY"/>
    <x:cfRule type="containsText" dxfId="68" priority="6" operator="containsText" text="PASS"/>
    <x:cfRule type="containsText" dxfId="69" priority="7" operator="containsText" text="READY"/>
  </x:conditionalFormatting>
  <x:conditionalFormatting sqref="B17:B17">
    <x:cfRule type="containsText" dxfId="70" priority="8" operator="containsText" text="FAIL"/>
    <x:cfRule type="containsText" dxfId="71" priority="9" operator="containsText" text="BREACH"/>
    <x:cfRule type="containsText" dxfId="72" priority="10" operator="containsText" text="COLLISION"/>
    <x:cfRule type="containsText" dxfId="73" priority="11" operator="containsText" text="BLOCKED"/>
    <x:cfRule type="containsText" dxfId="74" priority="12" operator="containsText" text="SOURCE EMPTY"/>
    <x:cfRule type="containsText" dxfId="75" priority="13" operator="containsText" text="PASS"/>
    <x:cfRule type="containsText" dxfId="76" priority="14" operator="containsText" text="READY"/>
  </x:conditionalFormatting>
  <x:dataValidations count="1">
    <x:dataValidation type="list" sqref="E5:E14">
      <x:formula1>"PASS,FAIL"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7" hidden="0" customWidth="1"/>
    <x:col min="3" max="3" width="72" hidden="0" customWidth="1"/>
    <x:col min="4" max="4" width="17" hidden="0" customWidth="1"/>
    <x:col min="5" max="5" width="48" hidden="0" customWidth="1"/>
  </x:cols>
  <x:sheetData>
    <x:row r="2" ht="24" customHeight="1">
      <x:c r="A2" s="1" t="str">
        <x:v>Sovereign industrial technology program</x:v>
      </x:c>
      <x:c r="B2" s="1"/>
      <x:c r="C2" s="1"/>
      <x:c r="D2" s="1"/>
      <x:c r="E2" s="1"/>
    </x:row>
    <x:row r="3">
      <x:c r="A3" s="2"/>
      <x:c r="B3" s="2"/>
      <x:c r="C3" s="2"/>
      <x:c r="D3" s="2"/>
      <x:c r="E3" s="2"/>
    </x:row>
    <x:row r="4">
      <x:c r="A4" s="8" t="str">
        <x:v>Pass 185 program</x:v>
      </x:c>
      <x:c r="B4" s="9" t="str">
        <x:v>Market-production application</x:v>
      </x:c>
      <x:c r="C4" s="9" t="str">
        <x:v>First-principles physical advance</x:v>
      </x:c>
      <x:c r="D4" s="9" t="str">
        <x:v>Authority (USD B)</x:v>
      </x:c>
      <x:c r="E4" s="10" t="str">
        <x:v>Fiscal treatment</x:v>
      </x:c>
    </x:row>
    <x:row r="5" ht="62" customHeight="1">
      <x:c r="A5" s="40" t="str">
        <x:v>Programmable denial worlds</x:v>
      </x:c>
      <x:c r="B5" s="40" t="str">
        <x:v>Factory and supply-chain denial environments</x:v>
      </x:c>
      <x:c r="C5" s="40" t="str">
        <x:v>Full production cells that can lose power, data, material and labor while preserving safe state</x:v>
      </x:c>
      <x:c r="D5" s="77" t="n">
        <x:v>10</x:v>
      </x:c>
      <x:c r="E5" s="40" t="str">
        <x:v>Cross-classification of the existing USD 100B sovereign account</x:v>
      </x:c>
    </x:row>
    <x:row r="6" ht="62" customHeight="1">
      <x:c r="A6" s="41" t="str">
        <x:v>Matched counterfactual environments</x:v>
      </x:c>
      <x:c r="B6" s="41" t="str">
        <x:v>Process-route comparison factories</x:v>
      </x:c>
      <x:c r="C6" s="41" t="str">
        <x:v>Parallel identical lots with unlike process, site and operator roots</x:v>
      </x:c>
      <x:c r="D6" s="78" t="n">
        <x:v>8</x:v>
      </x:c>
      <x:c r="E6" s="41" t="str">
        <x:v>Cross-classification of the existing USD 100B sovereign account</x:v>
      </x:c>
    </x:row>
    <x:row r="7" ht="62" customHeight="1">
      <x:c r="A7" s="41" t="str">
        <x:v>Cold reconstruction factories</x:v>
      </x:c>
      <x:c r="B7" s="41" t="str">
        <x:v>Robotic reconfigurable production cells</x:v>
      </x:c>
      <x:c r="C7" s="41" t="str">
        <x:v>Root-specific tooling capsules that create a qualified lot from sealed public packages</x:v>
      </x:c>
      <x:c r="D7" s="78" t="n">
        <x:v>8</x:v>
      </x:c>
      <x:c r="E7" s="41" t="str">
        <x:v>Cross-classification of the existing USD 100B sovereign account</x:v>
      </x:c>
    </x:row>
    <x:row r="8" ht="62" customHeight="1">
      <x:c r="A8" s="41" t="str">
        <x:v>Public metrology and custody</x:v>
      </x:c>
      <x:c r="B8" s="41" t="str">
        <x:v>Portable sovereign measurement lattice</x:v>
      </x:c>
      <x:c r="C8" s="41" t="str">
        <x:v>Calibration and evidence chains that survive factory and network loss</x:v>
      </x:c>
      <x:c r="D8" s="78" t="n">
        <x:v>7</x:v>
      </x:c>
      <x:c r="E8" s="41" t="str">
        <x:v>Cross-classification of the existing USD 100B sovereign account</x:v>
      </x:c>
    </x:row>
    <x:row r="9" ht="62" customHeight="1">
      <x:c r="A9" s="41" t="str">
        <x:v>Industrial-ancestry observation</x:v>
      </x:c>
      <x:c r="B9" s="41" t="str">
        <x:v>Material and process genealogy sensors</x:v>
      </x:c>
      <x:c r="C9" s="41" t="str">
        <x:v>Physical provenance through feedstock, firmware, tool, operator and lot</x:v>
      </x:c>
      <x:c r="D9" s="78" t="n">
        <x:v>7</x:v>
      </x:c>
      <x:c r="E9" s="41" t="str">
        <x:v>Cross-classification of the existing USD 100B sovereign account</x:v>
      </x:c>
    </x:row>
    <x:row r="10" ht="62" customHeight="1">
      <x:c r="A10" s="41" t="str">
        <x:v>Authority provenance</x:v>
      </x:c>
      <x:c r="B10" s="41" t="str">
        <x:v>Live charter and control graph</x:v>
      </x:c>
      <x:c r="C10" s="41" t="str">
        <x:v>Machine-verifiable beneficial control, governance, collateral and signing authority</x:v>
      </x:c>
      <x:c r="D10" s="78" t="n">
        <x:v>7</x:v>
      </x:c>
      <x:c r="E10" s="41" t="str">
        <x:v>Cross-classification of the existing USD 100B sovereign account</x:v>
      </x:c>
    </x:row>
    <x:row r="11" ht="62" customHeight="1">
      <x:c r="A11" s="41" t="str">
        <x:v>Machine-readable service contracts</x:v>
      </x:c>
      <x:c r="B11" s="41" t="str">
        <x:v>Demand-to-production service compiler</x:v>
      </x:c>
      <x:c r="C11" s="41" t="str">
        <x:v>Translate public deficits into lots, formations, receiver work and return obligations</x:v>
      </x:c>
      <x:c r="D11" s="78" t="n">
        <x:v>7</x:v>
      </x:c>
      <x:c r="E11" s="41" t="str">
        <x:v>Cross-classification of the existing USD 100B sovereign account</x:v>
      </x:c>
    </x:row>
    <x:row r="12" ht="62" customHeight="1">
      <x:c r="A12" s="41" t="str">
        <x:v>Dynamic serial reservation</x:v>
      </x:c>
      <x:c r="B12" s="41" t="str">
        <x:v>Production and readiness reservation exchange</x:v>
      </x:c>
      <x:c r="C12" s="41" t="str">
        <x:v>Exclusive time-place calls across factories, inventory, crews and partner capacity</x:v>
      </x:c>
      <x:c r="D12" s="78" t="n">
        <x:v>6</x:v>
      </x:c>
      <x:c r="E12" s="41" t="str">
        <x:v>Cross-classification of the existing USD 100B sovereign account</x:v>
      </x:c>
    </x:row>
    <x:row r="13" ht="62" customHeight="1">
      <x:c r="A13" s="41" t="str">
        <x:v>Open-interface verification</x:v>
      </x:c>
      <x:c r="B13" s="41" t="str">
        <x:v>Universal qualification fixtures</x:v>
      </x:c>
      <x:c r="C13" s="41" t="str">
        <x:v>Candidate-neutral mechanical, fluid, electrical, data and evidence interfaces</x:v>
      </x:c>
      <x:c r="D13" s="78" t="n">
        <x:v>6</x:v>
      </x:c>
      <x:c r="E13" s="41" t="str">
        <x:v>Cross-classification of the existing USD 100B sovereign account</x:v>
      </x:c>
    </x:row>
    <x:row r="14" ht="62" customHeight="1">
      <x:c r="A14" s="41" t="str">
        <x:v>Synthetic civil populations</x:v>
      </x:c>
      <x:c r="B14" s="41" t="str">
        <x:v>Receiver and workforce demand twins</x:v>
      </x:c>
      <x:c r="C14" s="41" t="str">
        <x:v>Test output against household, hospital, utility and workforce states before production</x:v>
      </x:c>
      <x:c r="D14" s="78" t="n">
        <x:v>6</x:v>
      </x:c>
      <x:c r="E14" s="41" t="str">
        <x:v>Cross-classification of the existing USD 100B sovereign account</x:v>
      </x:c>
    </x:row>
    <x:row r="15" ht="62" customHeight="1">
      <x:c r="A15" s="41" t="str">
        <x:v>Relationship-state instruments</x:v>
      </x:c>
      <x:c r="B15" s="41" t="str">
        <x:v>Capital and supplier concentration observatory</x:v>
      </x:c>
      <x:c r="C15" s="41" t="str">
        <x:v>Detect indirect control, cross-default, common tools and hidden root dependence</x:v>
      </x:c>
      <x:c r="D15" s="78" t="n">
        <x:v>6</x:v>
      </x:c>
      <x:c r="E15" s="41" t="str">
        <x:v>Cross-classification of the existing USD 100B sovereign account</x:v>
      </x:c>
    </x:row>
    <x:row r="16" ht="62" customHeight="1">
      <x:c r="A16" s="41" t="str">
        <x:v>Causal service telemetry</x:v>
      </x:c>
      <x:c r="B16" s="41" t="str">
        <x:v>Factory-to-public-effect trace</x:v>
      </x:c>
      <x:c r="C16" s="41" t="str">
        <x:v>Link process state and configuration to delivered service without substituting output for proof</x:v>
      </x:c>
      <x:c r="D16" s="78" t="n">
        <x:v>5</x:v>
      </x:c>
      <x:c r="E16" s="41" t="str">
        <x:v>Cross-classification of the existing USD 100B sovereign account</x:v>
      </x:c>
    </x:row>
    <x:row r="17" ht="62" customHeight="1">
      <x:c r="A17" s="41" t="str">
        <x:v>Self-forming standards</x:v>
      </x:c>
      <x:c r="B17" s="41" t="str">
        <x:v>Versioned public interface synthesis</x:v>
      </x:c>
      <x:c r="C17" s="41" t="str">
        <x:v>Update seams from evidence without inheriting a candidate design</x:v>
      </x:c>
      <x:c r="D17" s="78" t="n">
        <x:v>5</x:v>
      </x:c>
      <x:c r="E17" s="41" t="str">
        <x:v>Cross-classification of the existing USD 100B sovereign account</x:v>
      </x:c>
    </x:row>
    <x:row r="18" ht="62" customHeight="1">
      <x:c r="A18" s="41" t="str">
        <x:v>Adverse-evidence incentives</x:v>
      </x:c>
      <x:c r="B18" s="41" t="str">
        <x:v>Failure dividend and learning contract</x:v>
      </x:c>
      <x:c r="C18" s="41" t="str">
        <x:v>Pay valid negative evidence while returning unused scale capital</x:v>
      </x:c>
      <x:c r="D18" s="78" t="n">
        <x:v>5</x:v>
      </x:c>
      <x:c r="E18" s="41" t="str">
        <x:v>Cross-classification of the existing USD 100B sovereign account</x:v>
      </x:c>
    </x:row>
    <x:row r="19" ht="62" customHeight="1">
      <x:c r="A19" s="41" t="str">
        <x:v>Rapid recertification</x:v>
      </x:c>
      <x:c r="B19" s="41" t="str">
        <x:v>Continuity receivership and recharter twin</x:v>
      </x:c>
      <x:c r="C19" s="41" t="str">
        <x:v>Transfer public estate, workforce credentials and configuration without erasing failure</x:v>
      </x:c>
      <x:c r="D19" s="78" t="n">
        <x:v>4</x:v>
      </x:c>
      <x:c r="E19" s="41" t="str">
        <x:v>Cross-classification of the existing USD 100B sovereign account</x:v>
      </x:c>
    </x:row>
    <x:row r="20" ht="62" customHeight="1">
      <x:c r="A20" s="42" t="str">
        <x:v>Regenerative calibration roots</x:v>
      </x:c>
      <x:c r="B20" s="42" t="str">
        <x:v>Self-restoring reference and spare factories</x:v>
      </x:c>
      <x:c r="C20" s="42" t="str">
        <x:v>Rebuild measurement, signing, repair and qualification infrastructure after loss</x:v>
      </x:c>
      <x:c r="D20" s="79" t="n">
        <x:v>3</x:v>
      </x:c>
      <x:c r="E20" s="42" t="str">
        <x:v>Cross-classification of the existing USD 100B sovereign account</x:v>
      </x:c>
    </x:row>
    <x:row r="22">
      <x:c r="A22" s="69" t="str">
        <x:v>Authority total</x:v>
      </x:c>
      <x:c r="B22" s="72" t="n">
        <x:f>SUM(D5:D20)</x:f>
        <x:v>100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72" hidden="0" customWidth="1"/>
    <x:col min="4" max="4" width="16" hidden="0" customWidth="1"/>
    <x:col min="5" max="5" width="13" hidden="0" customWidth="1"/>
  </x:cols>
  <x:sheetData>
    <x:row r="2" ht="24" customHeight="1">
      <x:c r="A2" s="1" t="str">
        <x:v>Terminal audit register (419 checks)</x:v>
      </x:c>
      <x:c r="B2" s="1"/>
      <x:c r="C2" s="1"/>
      <x:c r="D2" s="1"/>
      <x:c r="E2" s="1"/>
    </x:row>
    <x:row r="3">
      <x:c r="A3" s="2"/>
      <x:c r="B3" s="2"/>
      <x:c r="C3" s="2"/>
      <x:c r="D3" s="2"/>
      <x:c r="E3" s="2"/>
    </x:row>
    <x:row r="4">
      <x:c r="A4" s="8" t="str">
        <x:v>Audit</x:v>
      </x:c>
      <x:c r="B4" s="9" t="str">
        <x:v>Domain</x:v>
      </x:c>
      <x:c r="C4" s="9" t="str">
        <x:v>Requirement</x:v>
      </x:c>
      <x:c r="D4" s="9" t="str">
        <x:v>Formula state</x:v>
      </x:c>
      <x:c r="E4" s="10" t="str">
        <x:v>Expected</x:v>
      </x:c>
    </x:row>
    <x:row r="5">
      <x:c r="A5" s="13" t="str">
        <x:v>AU-001</x:v>
      </x:c>
      <x:c r="B5" s="13" t="str">
        <x:v>Architecture</x:v>
      </x:c>
      <x:c r="C5" s="13" t="str">
        <x:v>Selected architecture passes Civil allocation authority</x:v>
      </x:c>
      <x:c r="D5" s="13" t="str">
        <x:f>IF('Architecture Gates'!B9="PASS","PASS","FAIL")</x:f>
        <x:v>PASS</x:v>
      </x:c>
      <x:c r="E5" s="13" t="str">
        <x:v>PASS</x:v>
      </x:c>
    </x:row>
    <x:row r="6">
      <x:c r="A6" s="14" t="str">
        <x:v>AU-002</x:v>
      </x:c>
      <x:c r="B6" s="14" t="str">
        <x:v>Architecture</x:v>
      </x:c>
      <x:c r="C6" s="14" t="str">
        <x:v>Selected architecture passes Complete mission integration</x:v>
      </x:c>
      <x:c r="D6" s="14" t="str">
        <x:f>IF('Architecture Gates'!C9="PASS","PASS","FAIL")</x:f>
        <x:v>PASS</x:v>
      </x:c>
      <x:c r="E6" s="14" t="str">
        <x:v>PASS</x:v>
      </x:c>
    </x:row>
    <x:row r="7">
      <x:c r="A7" s="14" t="str">
        <x:v>AU-003</x:v>
      </x:c>
      <x:c r="B7" s="14" t="str">
        <x:v>Architecture</x:v>
      </x:c>
      <x:c r="C7" s="14" t="str">
        <x:v>Selected architecture passes Twenty-four independent root controls</x:v>
      </x:c>
      <x:c r="D7" s="14" t="str">
        <x:f>IF('Architecture Gates'!D9="PASS","PASS","FAIL")</x:f>
        <x:v>PASS</x:v>
      </x:c>
      <x:c r="E7" s="14" t="str">
        <x:v>PASS</x:v>
      </x:c>
    </x:row>
    <x:row r="8">
      <x:c r="A8" s="14" t="str">
        <x:v>AU-004</x:v>
      </x:c>
      <x:c r="B8" s="14" t="str">
        <x:v>Architecture</x:v>
      </x:c>
      <x:c r="C8" s="14" t="str">
        <x:v>Selected architecture passes Public technical rights</x:v>
      </x:c>
      <x:c r="D8" s="14" t="str">
        <x:f>IF('Architecture Gates'!E9="PASS","PASS","FAIL")</x:f>
        <x:v>PASS</x:v>
      </x:c>
      <x:c r="E8" s="14" t="str">
        <x:v>PASS</x:v>
      </x:c>
    </x:row>
    <x:row r="9">
      <x:c r="A9" s="14" t="str">
        <x:v>AU-005</x:v>
      </x:c>
      <x:c r="B9" s="14" t="str">
        <x:v>Architecture</x:v>
      </x:c>
      <x:c r="C9" s="14" t="str">
        <x:v>Selected architecture passes Cold reproduction outside incumbent</x:v>
      </x:c>
      <x:c r="D9" s="14" t="str">
        <x:f>IF('Architecture Gates'!F9="PASS","PASS","FAIL")</x:f>
        <x:v>PASS</x:v>
      </x:c>
      <x:c r="E9" s="14" t="str">
        <x:v>PASS</x:v>
      </x:c>
    </x:row>
    <x:row r="10">
      <x:c r="A10" s="14" t="str">
        <x:v>AU-006</x:v>
      </x:c>
      <x:c r="B10" s="14" t="str">
        <x:v>Architecture</x:v>
      </x:c>
      <x:c r="C10" s="14" t="str">
        <x:v>Selected architecture passes Public fallback after firm failure</x:v>
      </x:c>
      <x:c r="D10" s="14" t="str">
        <x:f>IF('Architecture Gates'!G9="PASS","PASS","FAIL")</x:f>
        <x:v>PASS</x:v>
      </x:c>
      <x:c r="E10" s="14" t="str">
        <x:v>PASS</x:v>
      </x:c>
    </x:row>
    <x:row r="11">
      <x:c r="A11" s="14" t="str">
        <x:v>AU-007</x:v>
      </x:c>
      <x:c r="B11" s="14" t="str">
        <x:v>Architecture</x:v>
      </x:c>
      <x:c r="C11" s="14" t="str">
        <x:v>Selected architecture passes Supplier and site N-1</x:v>
      </x:c>
      <x:c r="D11" s="14" t="str">
        <x:f>IF('Architecture Gates'!H9="PASS","PASS","FAIL")</x:f>
        <x:v>PASS</x:v>
      </x:c>
      <x:c r="E11" s="14" t="str">
        <x:v>PASS</x:v>
      </x:c>
    </x:row>
    <x:row r="12">
      <x:c r="A12" s="14" t="str">
        <x:v>AU-008</x:v>
      </x:c>
      <x:c r="B12" s="14" t="str">
        <x:v>Architecture</x:v>
      </x:c>
      <x:c r="C12" s="14" t="str">
        <x:v>Selected architecture passes Capital independence and no cross-default</x:v>
      </x:c>
      <x:c r="D12" s="14" t="str">
        <x:f>IF('Architecture Gates'!I9="PASS","PASS","FAIL")</x:f>
        <x:v>PASS</x:v>
      </x:c>
      <x:c r="E12" s="14" t="str">
        <x:v>PASS</x:v>
      </x:c>
    </x:row>
    <x:row r="13">
      <x:c r="A13" s="14" t="str">
        <x:v>AU-009</x:v>
      </x:c>
      <x:c r="B13" s="14" t="str">
        <x:v>Architecture</x:v>
      </x:c>
      <x:c r="C13" s="14" t="str">
        <x:v>Selected architecture passes Entrant path after initial award</x:v>
      </x:c>
      <x:c r="D13" s="14" t="str">
        <x:f>IF('Architecture Gates'!J9="PASS","PASS","FAIL")</x:f>
        <x:v>PASS</x:v>
      </x:c>
      <x:c r="E13" s="14" t="str">
        <x:v>PASS</x:v>
      </x:c>
    </x:row>
    <x:row r="14">
      <x:c r="A14" s="14" t="str">
        <x:v>AU-010</x:v>
      </x:c>
      <x:c r="B14" s="14" t="str">
        <x:v>Architecture</x:v>
      </x:c>
      <x:c r="C14" s="14" t="str">
        <x:v>Selected architecture passes Readiness paid and reserved separately</x:v>
      </x:c>
      <x:c r="D14" s="14" t="str">
        <x:f>IF('Architecture Gates'!K9="PASS","PASS","FAIL")</x:f>
        <x:v>PASS</x:v>
      </x:c>
      <x:c r="E14" s="14" t="str">
        <x:v>PASS</x:v>
      </x:c>
    </x:row>
    <x:row r="15">
      <x:c r="A15" s="14" t="str">
        <x:v>AU-011</x:v>
      </x:c>
      <x:c r="B15" s="14" t="str">
        <x:v>Architecture</x:v>
      </x:c>
      <x:c r="C15" s="14" t="str">
        <x:v>Selected architecture passes Export preserves domestic reserve and host authority</x:v>
      </x:c>
      <x:c r="D15" s="14" t="str">
        <x:f>IF('Architecture Gates'!L9="PASS","PASS","FAIL")</x:f>
        <x:v>PASS</x:v>
      </x:c>
      <x:c r="E15" s="14" t="str">
        <x:v>PASS</x:v>
      </x:c>
    </x:row>
    <x:row r="16">
      <x:c r="A16" s="14" t="str">
        <x:v>AU-012</x:v>
      </x:c>
      <x:c r="B16" s="14" t="str">
        <x:v>Architecture</x:v>
      </x:c>
      <x:c r="C16" s="14" t="str">
        <x:v>Selected architecture passes Automatic step-in and recharter</x:v>
      </x:c>
      <x:c r="D16" s="14" t="str">
        <x:f>IF('Architecture Gates'!M9="PASS","PASS","FAIL")</x:f>
        <x:v>PASS</x:v>
      </x:c>
      <x:c r="E16" s="14" t="str">
        <x:v>PASS</x:v>
      </x:c>
    </x:row>
    <x:row r="17">
      <x:c r="A17" s="14" t="str">
        <x:v>AU-013</x:v>
      </x:c>
      <x:c r="B17" s="14" t="str">
        <x:v>Architecture</x:v>
      </x:c>
      <x:c r="C17" s="14" t="str">
        <x:v>Rejected alternative 1 lacks at least one gate</x:v>
      </x:c>
      <x:c r="D17" s="14" t="str">
        <x:f>IF('Architecture Gates'!N5&lt;12,"PASS","FAIL")</x:f>
        <x:v>PASS</x:v>
      </x:c>
      <x:c r="E17" s="14" t="str">
        <x:v>PASS</x:v>
      </x:c>
    </x:row>
    <x:row r="18">
      <x:c r="A18" s="14" t="str">
        <x:v>AU-014</x:v>
      </x:c>
      <x:c r="B18" s="14" t="str">
        <x:v>Architecture</x:v>
      </x:c>
      <x:c r="C18" s="14" t="str">
        <x:v>Rejected alternative 2 lacks at least one gate</x:v>
      </x:c>
      <x:c r="D18" s="14" t="str">
        <x:f>IF('Architecture Gates'!N6&lt;12,"PASS","FAIL")</x:f>
        <x:v>PASS</x:v>
      </x:c>
      <x:c r="E18" s="14" t="str">
        <x:v>PASS</x:v>
      </x:c>
    </x:row>
    <x:row r="19">
      <x:c r="A19" s="14" t="str">
        <x:v>AU-015</x:v>
      </x:c>
      <x:c r="B19" s="14" t="str">
        <x:v>Architecture</x:v>
      </x:c>
      <x:c r="C19" s="14" t="str">
        <x:v>Rejected alternative 3 lacks at least one gate</x:v>
      </x:c>
      <x:c r="D19" s="14" t="str">
        <x:f>IF('Architecture Gates'!N7&lt;12,"PASS","FAIL")</x:f>
        <x:v>PASS</x:v>
      </x:c>
      <x:c r="E19" s="14" t="str">
        <x:v>PASS</x:v>
      </x:c>
    </x:row>
    <x:row r="20">
      <x:c r="A20" s="14" t="str">
        <x:v>AU-016</x:v>
      </x:c>
      <x:c r="B20" s="14" t="str">
        <x:v>Architecture</x:v>
      </x:c>
      <x:c r="C20" s="14" t="str">
        <x:v>Rejected alternative 4 lacks at least one gate</x:v>
      </x:c>
      <x:c r="D20" s="14" t="str">
        <x:f>IF('Architecture Gates'!N8&lt;12,"PASS","FAIL")</x:f>
        <x:v>PASS</x:v>
      </x:c>
      <x:c r="E20" s="14" t="str">
        <x:v>PASS</x:v>
      </x:c>
    </x:row>
    <x:row r="21">
      <x:c r="A21" s="14" t="str">
        <x:v>AU-017</x:v>
      </x:c>
      <x:c r="B21" s="14" t="str">
        <x:v>Charter law</x:v>
      </x:c>
      <x:c r="C21" s="14" t="str">
        <x:v>Clause 1 has an automatic action</x:v>
      </x:c>
      <x:c r="D21" s="14" t="str">
        <x:f>IF('Charter Law'!D5&lt;&gt;"","PASS","FAIL")</x:f>
        <x:v>PASS</x:v>
      </x:c>
      <x:c r="E21" s="14" t="str">
        <x:v>PASS</x:v>
      </x:c>
    </x:row>
    <x:row r="22">
      <x:c r="A22" s="14" t="str">
        <x:v>AU-018</x:v>
      </x:c>
      <x:c r="B22" s="14" t="str">
        <x:v>Charter law</x:v>
      </x:c>
      <x:c r="C22" s="14" t="str">
        <x:v>Clause 2 has an automatic action</x:v>
      </x:c>
      <x:c r="D22" s="14" t="str">
        <x:f>IF('Charter Law'!D6&lt;&gt;"","PASS","FAIL")</x:f>
        <x:v>PASS</x:v>
      </x:c>
      <x:c r="E22" s="14" t="str">
        <x:v>PASS</x:v>
      </x:c>
    </x:row>
    <x:row r="23">
      <x:c r="A23" s="14" t="str">
        <x:v>AU-019</x:v>
      </x:c>
      <x:c r="B23" s="14" t="str">
        <x:v>Charter law</x:v>
      </x:c>
      <x:c r="C23" s="14" t="str">
        <x:v>Clause 3 has an automatic action</x:v>
      </x:c>
      <x:c r="D23" s="14" t="str">
        <x:f>IF('Charter Law'!D7&lt;&gt;"","PASS","FAIL")</x:f>
        <x:v>PASS</x:v>
      </x:c>
      <x:c r="E23" s="14" t="str">
        <x:v>PASS</x:v>
      </x:c>
    </x:row>
    <x:row r="24">
      <x:c r="A24" s="14" t="str">
        <x:v>AU-020</x:v>
      </x:c>
      <x:c r="B24" s="14" t="str">
        <x:v>Charter law</x:v>
      </x:c>
      <x:c r="C24" s="14" t="str">
        <x:v>Clause 4 has an automatic action</x:v>
      </x:c>
      <x:c r="D24" s="14" t="str">
        <x:f>IF('Charter Law'!D8&lt;&gt;"","PASS","FAIL")</x:f>
        <x:v>PASS</x:v>
      </x:c>
      <x:c r="E24" s="14" t="str">
        <x:v>PASS</x:v>
      </x:c>
    </x:row>
    <x:row r="25">
      <x:c r="A25" s="14" t="str">
        <x:v>AU-021</x:v>
      </x:c>
      <x:c r="B25" s="14" t="str">
        <x:v>Charter law</x:v>
      </x:c>
      <x:c r="C25" s="14" t="str">
        <x:v>Clause 5 has an automatic action</x:v>
      </x:c>
      <x:c r="D25" s="14" t="str">
        <x:f>IF('Charter Law'!D9&lt;&gt;"","PASS","FAIL")</x:f>
        <x:v>PASS</x:v>
      </x:c>
      <x:c r="E25" s="14" t="str">
        <x:v>PASS</x:v>
      </x:c>
    </x:row>
    <x:row r="26">
      <x:c r="A26" s="14" t="str">
        <x:v>AU-022</x:v>
      </x:c>
      <x:c r="B26" s="14" t="str">
        <x:v>Charter law</x:v>
      </x:c>
      <x:c r="C26" s="14" t="str">
        <x:v>Clause 6 has an automatic action</x:v>
      </x:c>
      <x:c r="D26" s="14" t="str">
        <x:f>IF('Charter Law'!D10&lt;&gt;"","PASS","FAIL")</x:f>
        <x:v>PASS</x:v>
      </x:c>
      <x:c r="E26" s="14" t="str">
        <x:v>PASS</x:v>
      </x:c>
    </x:row>
    <x:row r="27">
      <x:c r="A27" s="14" t="str">
        <x:v>AU-023</x:v>
      </x:c>
      <x:c r="B27" s="14" t="str">
        <x:v>Charter law</x:v>
      </x:c>
      <x:c r="C27" s="14" t="str">
        <x:v>Clause 7 has an automatic action</x:v>
      </x:c>
      <x:c r="D27" s="14" t="str">
        <x:f>IF('Charter Law'!D11&lt;&gt;"","PASS","FAIL")</x:f>
        <x:v>PASS</x:v>
      </x:c>
      <x:c r="E27" s="14" t="str">
        <x:v>PASS</x:v>
      </x:c>
    </x:row>
    <x:row r="28">
      <x:c r="A28" s="14" t="str">
        <x:v>AU-024</x:v>
      </x:c>
      <x:c r="B28" s="14" t="str">
        <x:v>Charter law</x:v>
      </x:c>
      <x:c r="C28" s="14" t="str">
        <x:v>Clause 8 has an automatic action</x:v>
      </x:c>
      <x:c r="D28" s="14" t="str">
        <x:f>IF('Charter Law'!D12&lt;&gt;"","PASS","FAIL")</x:f>
        <x:v>PASS</x:v>
      </x:c>
      <x:c r="E28" s="14" t="str">
        <x:v>PASS</x:v>
      </x:c>
    </x:row>
    <x:row r="29">
      <x:c r="A29" s="14" t="str">
        <x:v>AU-025</x:v>
      </x:c>
      <x:c r="B29" s="14" t="str">
        <x:v>Charter law</x:v>
      </x:c>
      <x:c r="C29" s="14" t="str">
        <x:v>Clause 9 has an automatic action</x:v>
      </x:c>
      <x:c r="D29" s="14" t="str">
        <x:f>IF('Charter Law'!D13&lt;&gt;"","PASS","FAIL")</x:f>
        <x:v>PASS</x:v>
      </x:c>
      <x:c r="E29" s="14" t="str">
        <x:v>PASS</x:v>
      </x:c>
    </x:row>
    <x:row r="30">
      <x:c r="A30" s="14" t="str">
        <x:v>AU-026</x:v>
      </x:c>
      <x:c r="B30" s="14" t="str">
        <x:v>Charter law</x:v>
      </x:c>
      <x:c r="C30" s="14" t="str">
        <x:v>Clause 10 has an automatic action</x:v>
      </x:c>
      <x:c r="D30" s="14" t="str">
        <x:f>IF('Charter Law'!D14&lt;&gt;"","PASS","FAIL")</x:f>
        <x:v>PASS</x:v>
      </x:c>
      <x:c r="E30" s="14" t="str">
        <x:v>PASS</x:v>
      </x:c>
    </x:row>
    <x:row r="31">
      <x:c r="A31" s="14" t="str">
        <x:v>AU-027</x:v>
      </x:c>
      <x:c r="B31" s="14" t="str">
        <x:v>Charter law</x:v>
      </x:c>
      <x:c r="C31" s="14" t="str">
        <x:v>Clause 11 has an automatic action</x:v>
      </x:c>
      <x:c r="D31" s="14" t="str">
        <x:f>IF('Charter Law'!D15&lt;&gt;"","PASS","FAIL")</x:f>
        <x:v>PASS</x:v>
      </x:c>
      <x:c r="E31" s="14" t="str">
        <x:v>PASS</x:v>
      </x:c>
    </x:row>
    <x:row r="32">
      <x:c r="A32" s="14" t="str">
        <x:v>AU-028</x:v>
      </x:c>
      <x:c r="B32" s="14" t="str">
        <x:v>Charter law</x:v>
      </x:c>
      <x:c r="C32" s="14" t="str">
        <x:v>Clause 12 has an automatic action</x:v>
      </x:c>
      <x:c r="D32" s="14" t="str">
        <x:f>IF('Charter Law'!D16&lt;&gt;"","PASS","FAIL")</x:f>
        <x:v>PASS</x:v>
      </x:c>
      <x:c r="E32" s="14" t="str">
        <x:v>PASS</x:v>
      </x:c>
    </x:row>
    <x:row r="33">
      <x:c r="A33" s="14" t="str">
        <x:v>AU-029</x:v>
      </x:c>
      <x:c r="B33" s="14" t="str">
        <x:v>Enterprise</x:v>
      </x:c>
      <x:c r="C33" s="14" t="str">
        <x:v>Enterprise class 1 has a prohibited scale path</x:v>
      </x:c>
      <x:c r="D33" s="14" t="str">
        <x:f>IF('Enterprise Classes'!E5&lt;&gt;"","PASS","FAIL")</x:f>
        <x:v>PASS</x:v>
      </x:c>
      <x:c r="E33" s="14" t="str">
        <x:v>PASS</x:v>
      </x:c>
    </x:row>
    <x:row r="34">
      <x:c r="A34" s="14" t="str">
        <x:v>AU-030</x:v>
      </x:c>
      <x:c r="B34" s="14" t="str">
        <x:v>Enterprise</x:v>
      </x:c>
      <x:c r="C34" s="14" t="str">
        <x:v>Enterprise class 2 has a prohibited scale path</x:v>
      </x:c>
      <x:c r="D34" s="14" t="str">
        <x:f>IF('Enterprise Classes'!E6&lt;&gt;"","PASS","FAIL")</x:f>
        <x:v>PASS</x:v>
      </x:c>
      <x:c r="E34" s="14" t="str">
        <x:v>PASS</x:v>
      </x:c>
    </x:row>
    <x:row r="35">
      <x:c r="A35" s="14" t="str">
        <x:v>AU-031</x:v>
      </x:c>
      <x:c r="B35" s="14" t="str">
        <x:v>Enterprise</x:v>
      </x:c>
      <x:c r="C35" s="14" t="str">
        <x:v>Enterprise class 3 has a prohibited scale path</x:v>
      </x:c>
      <x:c r="D35" s="14" t="str">
        <x:f>IF('Enterprise Classes'!E7&lt;&gt;"","PASS","FAIL")</x:f>
        <x:v>PASS</x:v>
      </x:c>
      <x:c r="E35" s="14" t="str">
        <x:v>PASS</x:v>
      </x:c>
    </x:row>
    <x:row r="36">
      <x:c r="A36" s="14" t="str">
        <x:v>AU-032</x:v>
      </x:c>
      <x:c r="B36" s="14" t="str">
        <x:v>Enterprise</x:v>
      </x:c>
      <x:c r="C36" s="14" t="str">
        <x:v>Enterprise class 4 has a prohibited scale path</x:v>
      </x:c>
      <x:c r="D36" s="14" t="str">
        <x:f>IF('Enterprise Classes'!E8&lt;&gt;"","PASS","FAIL")</x:f>
        <x:v>PASS</x:v>
      </x:c>
      <x:c r="E36" s="14" t="str">
        <x:v>PASS</x:v>
      </x:c>
    </x:row>
    <x:row r="37">
      <x:c r="A37" s="14" t="str">
        <x:v>AU-033</x:v>
      </x:c>
      <x:c r="B37" s="14" t="str">
        <x:v>Enterprise</x:v>
      </x:c>
      <x:c r="C37" s="14" t="str">
        <x:v>Enterprise class 5 has a prohibited scale path</x:v>
      </x:c>
      <x:c r="D37" s="14" t="str">
        <x:f>IF('Enterprise Classes'!E9&lt;&gt;"","PASS","FAIL")</x:f>
        <x:v>PASS</x:v>
      </x:c>
      <x:c r="E37" s="14" t="str">
        <x:v>PASS</x:v>
      </x:c>
    </x:row>
    <x:row r="38">
      <x:c r="A38" s="14" t="str">
        <x:v>AU-034</x:v>
      </x:c>
      <x:c r="B38" s="14" t="str">
        <x:v>Enterprise</x:v>
      </x:c>
      <x:c r="C38" s="14" t="str">
        <x:v>Enterprise class 6 has a prohibited scale path</x:v>
      </x:c>
      <x:c r="D38" s="14" t="str">
        <x:f>IF('Enterprise Classes'!E10&lt;&gt;"","PASS","FAIL")</x:f>
        <x:v>PASS</x:v>
      </x:c>
      <x:c r="E38" s="14" t="str">
        <x:v>PASS</x:v>
      </x:c>
    </x:row>
    <x:row r="39">
      <x:c r="A39" s="14" t="str">
        <x:v>AU-035</x:v>
      </x:c>
      <x:c r="B39" s="14" t="str">
        <x:v>Enterprise</x:v>
      </x:c>
      <x:c r="C39" s="14" t="str">
        <x:v>Enterprise class 7 has a prohibited scale path</x:v>
      </x:c>
      <x:c r="D39" s="14" t="str">
        <x:f>IF('Enterprise Classes'!E11&lt;&gt;"","PASS","FAIL")</x:f>
        <x:v>PASS</x:v>
      </x:c>
      <x:c r="E39" s="14" t="str">
        <x:v>PASS</x:v>
      </x:c>
    </x:row>
    <x:row r="40">
      <x:c r="A40" s="14" t="str">
        <x:v>AU-036</x:v>
      </x:c>
      <x:c r="B40" s="14" t="str">
        <x:v>Enterprise</x:v>
      </x:c>
      <x:c r="C40" s="14" t="str">
        <x:v>Enterprise class 8 has a prohibited scale path</x:v>
      </x:c>
      <x:c r="D40" s="14" t="str">
        <x:f>IF('Enterprise Classes'!E12&lt;&gt;"","PASS","FAIL")</x:f>
        <x:v>PASS</x:v>
      </x:c>
      <x:c r="E40" s="14" t="str">
        <x:v>PASS</x:v>
      </x:c>
    </x:row>
    <x:row r="41">
      <x:c r="A41" s="14" t="str">
        <x:v>AU-037</x:v>
      </x:c>
      <x:c r="B41" s="14" t="str">
        <x:v>Root charter</x:v>
      </x:c>
      <x:c r="C41" s="14" t="str">
        <x:v>Root row 5 remains source-empty</x:v>
      </x:c>
      <x:c r="D41" s="14" t="str">
        <x:f>IF('Root Charters'!J5="SOURCE EMPTY","PASS","FAIL")</x:f>
        <x:v>PASS</x:v>
      </x:c>
      <x:c r="E41" s="14" t="str">
        <x:v>PASS</x:v>
      </x:c>
    </x:row>
    <x:row r="42">
      <x:c r="A42" s="14" t="str">
        <x:v>AU-038</x:v>
      </x:c>
      <x:c r="B42" s="14" t="str">
        <x:v>Root charter</x:v>
      </x:c>
      <x:c r="C42" s="14" t="str">
        <x:v>Root row 6 remains source-empty</x:v>
      </x:c>
      <x:c r="D42" s="14" t="str">
        <x:f>IF('Root Charters'!J6="SOURCE EMPTY","PASS","FAIL")</x:f>
        <x:v>PASS</x:v>
      </x:c>
      <x:c r="E42" s="14" t="str">
        <x:v>PASS</x:v>
      </x:c>
    </x:row>
    <x:row r="43">
      <x:c r="A43" s="14" t="str">
        <x:v>AU-039</x:v>
      </x:c>
      <x:c r="B43" s="14" t="str">
        <x:v>Root charter</x:v>
      </x:c>
      <x:c r="C43" s="14" t="str">
        <x:v>Root row 7 remains source-empty</x:v>
      </x:c>
      <x:c r="D43" s="14" t="str">
        <x:f>IF('Root Charters'!J7="SOURCE EMPTY","PASS","FAIL")</x:f>
        <x:v>PASS</x:v>
      </x:c>
      <x:c r="E43" s="14" t="str">
        <x:v>PASS</x:v>
      </x:c>
    </x:row>
    <x:row r="44">
      <x:c r="A44" s="14" t="str">
        <x:v>AU-040</x:v>
      </x:c>
      <x:c r="B44" s="14" t="str">
        <x:v>Root charter</x:v>
      </x:c>
      <x:c r="C44" s="14" t="str">
        <x:v>Root row 8 remains source-empty</x:v>
      </x:c>
      <x:c r="D44" s="14" t="str">
        <x:f>IF('Root Charters'!J8="SOURCE EMPTY","PASS","FAIL")</x:f>
        <x:v>PASS</x:v>
      </x:c>
      <x:c r="E44" s="14" t="str">
        <x:v>PASS</x:v>
      </x:c>
    </x:row>
    <x:row r="45">
      <x:c r="A45" s="14" t="str">
        <x:v>AU-041</x:v>
      </x:c>
      <x:c r="B45" s="14" t="str">
        <x:v>Root charter</x:v>
      </x:c>
      <x:c r="C45" s="14" t="str">
        <x:v>Root row 9 remains source-empty</x:v>
      </x:c>
      <x:c r="D45" s="14" t="str">
        <x:f>IF('Root Charters'!J9="SOURCE EMPTY","PASS","FAIL")</x:f>
        <x:v>PASS</x:v>
      </x:c>
      <x:c r="E45" s="14" t="str">
        <x:v>PASS</x:v>
      </x:c>
    </x:row>
    <x:row r="46">
      <x:c r="A46" s="14" t="str">
        <x:v>AU-042</x:v>
      </x:c>
      <x:c r="B46" s="14" t="str">
        <x:v>Root charter</x:v>
      </x:c>
      <x:c r="C46" s="14" t="str">
        <x:v>Root row 10 remains source-empty</x:v>
      </x:c>
      <x:c r="D46" s="14" t="str">
        <x:f>IF('Root Charters'!J10="SOURCE EMPTY","PASS","FAIL")</x:f>
        <x:v>PASS</x:v>
      </x:c>
      <x:c r="E46" s="14" t="str">
        <x:v>PASS</x:v>
      </x:c>
    </x:row>
    <x:row r="47">
      <x:c r="A47" s="14" t="str">
        <x:v>AU-043</x:v>
      </x:c>
      <x:c r="B47" s="14" t="str">
        <x:v>Root charter</x:v>
      </x:c>
      <x:c r="C47" s="14" t="str">
        <x:v>Root row 11 remains source-empty</x:v>
      </x:c>
      <x:c r="D47" s="14" t="str">
        <x:f>IF('Root Charters'!J11="SOURCE EMPTY","PASS","FAIL")</x:f>
        <x:v>PASS</x:v>
      </x:c>
      <x:c r="E47" s="14" t="str">
        <x:v>PASS</x:v>
      </x:c>
    </x:row>
    <x:row r="48">
      <x:c r="A48" s="14" t="str">
        <x:v>AU-044</x:v>
      </x:c>
      <x:c r="B48" s="14" t="str">
        <x:v>Root charter</x:v>
      </x:c>
      <x:c r="C48" s="14" t="str">
        <x:v>Root row 12 remains source-empty</x:v>
      </x:c>
      <x:c r="D48" s="14" t="str">
        <x:f>IF('Root Charters'!J12="SOURCE EMPTY","PASS","FAIL")</x:f>
        <x:v>PASS</x:v>
      </x:c>
      <x:c r="E48" s="14" t="str">
        <x:v>PASS</x:v>
      </x:c>
    </x:row>
    <x:row r="49">
      <x:c r="A49" s="14" t="str">
        <x:v>AU-045</x:v>
      </x:c>
      <x:c r="B49" s="14" t="str">
        <x:v>Root charter</x:v>
      </x:c>
      <x:c r="C49" s="14" t="str">
        <x:v>Root row 13 remains source-empty</x:v>
      </x:c>
      <x:c r="D49" s="14" t="str">
        <x:f>IF('Root Charters'!J13="SOURCE EMPTY","PASS","FAIL")</x:f>
        <x:v>PASS</x:v>
      </x:c>
      <x:c r="E49" s="14" t="str">
        <x:v>PASS</x:v>
      </x:c>
    </x:row>
    <x:row r="50">
      <x:c r="A50" s="14" t="str">
        <x:v>AU-046</x:v>
      </x:c>
      <x:c r="B50" s="14" t="str">
        <x:v>Root charter</x:v>
      </x:c>
      <x:c r="C50" s="14" t="str">
        <x:v>Root row 14 remains source-empty</x:v>
      </x:c>
      <x:c r="D50" s="14" t="str">
        <x:f>IF('Root Charters'!J14="SOURCE EMPTY","PASS","FAIL")</x:f>
        <x:v>PASS</x:v>
      </x:c>
      <x:c r="E50" s="14" t="str">
        <x:v>PASS</x:v>
      </x:c>
    </x:row>
    <x:row r="51">
      <x:c r="A51" s="14" t="str">
        <x:v>AU-047</x:v>
      </x:c>
      <x:c r="B51" s="14" t="str">
        <x:v>Root charter</x:v>
      </x:c>
      <x:c r="C51" s="14" t="str">
        <x:v>Root row 15 remains source-empty</x:v>
      </x:c>
      <x:c r="D51" s="14" t="str">
        <x:f>IF('Root Charters'!J15="SOURCE EMPTY","PASS","FAIL")</x:f>
        <x:v>PASS</x:v>
      </x:c>
      <x:c r="E51" s="14" t="str">
        <x:v>PASS</x:v>
      </x:c>
    </x:row>
    <x:row r="52">
      <x:c r="A52" s="14" t="str">
        <x:v>AU-048</x:v>
      </x:c>
      <x:c r="B52" s="14" t="str">
        <x:v>Root charter</x:v>
      </x:c>
      <x:c r="C52" s="14" t="str">
        <x:v>Root row 16 remains source-empty</x:v>
      </x:c>
      <x:c r="D52" s="14" t="str">
        <x:f>IF('Root Charters'!J16="SOURCE EMPTY","PASS","FAIL")</x:f>
        <x:v>PASS</x:v>
      </x:c>
      <x:c r="E52" s="14" t="str">
        <x:v>PASS</x:v>
      </x:c>
    </x:row>
    <x:row r="53">
      <x:c r="A53" s="14" t="str">
        <x:v>AU-049</x:v>
      </x:c>
      <x:c r="B53" s="14" t="str">
        <x:v>Root charter</x:v>
      </x:c>
      <x:c r="C53" s="14" t="str">
        <x:v>Root row 17 remains source-empty</x:v>
      </x:c>
      <x:c r="D53" s="14" t="str">
        <x:f>IF('Root Charters'!J17="SOURCE EMPTY","PASS","FAIL")</x:f>
        <x:v>PASS</x:v>
      </x:c>
      <x:c r="E53" s="14" t="str">
        <x:v>PASS</x:v>
      </x:c>
    </x:row>
    <x:row r="54">
      <x:c r="A54" s="14" t="str">
        <x:v>AU-050</x:v>
      </x:c>
      <x:c r="B54" s="14" t="str">
        <x:v>Root charter</x:v>
      </x:c>
      <x:c r="C54" s="14" t="str">
        <x:v>Root row 18 remains source-empty</x:v>
      </x:c>
      <x:c r="D54" s="14" t="str">
        <x:f>IF('Root Charters'!J18="SOURCE EMPTY","PASS","FAIL")</x:f>
        <x:v>PASS</x:v>
      </x:c>
      <x:c r="E54" s="14" t="str">
        <x:v>PASS</x:v>
      </x:c>
    </x:row>
    <x:row r="55">
      <x:c r="A55" s="14" t="str">
        <x:v>AU-051</x:v>
      </x:c>
      <x:c r="B55" s="14" t="str">
        <x:v>Root charter</x:v>
      </x:c>
      <x:c r="C55" s="14" t="str">
        <x:v>Root row 19 remains source-empty</x:v>
      </x:c>
      <x:c r="D55" s="14" t="str">
        <x:f>IF('Root Charters'!J19="SOURCE EMPTY","PASS","FAIL")</x:f>
        <x:v>PASS</x:v>
      </x:c>
      <x:c r="E55" s="14" t="str">
        <x:v>PASS</x:v>
      </x:c>
    </x:row>
    <x:row r="56">
      <x:c r="A56" s="14" t="str">
        <x:v>AU-052</x:v>
      </x:c>
      <x:c r="B56" s="14" t="str">
        <x:v>Root charter</x:v>
      </x:c>
      <x:c r="C56" s="14" t="str">
        <x:v>Root row 20 remains source-empty</x:v>
      </x:c>
      <x:c r="D56" s="14" t="str">
        <x:f>IF('Root Charters'!J20="SOURCE EMPTY","PASS","FAIL")</x:f>
        <x:v>PASS</x:v>
      </x:c>
      <x:c r="E56" s="14" t="str">
        <x:v>PASS</x:v>
      </x:c>
    </x:row>
    <x:row r="57">
      <x:c r="A57" s="14" t="str">
        <x:v>AU-053</x:v>
      </x:c>
      <x:c r="B57" s="14" t="str">
        <x:v>Root charter</x:v>
      </x:c>
      <x:c r="C57" s="14" t="str">
        <x:v>Root row 21 remains source-empty</x:v>
      </x:c>
      <x:c r="D57" s="14" t="str">
        <x:f>IF('Root Charters'!J21="SOURCE EMPTY","PASS","FAIL")</x:f>
        <x:v>PASS</x:v>
      </x:c>
      <x:c r="E57" s="14" t="str">
        <x:v>PASS</x:v>
      </x:c>
    </x:row>
    <x:row r="58">
      <x:c r="A58" s="14" t="str">
        <x:v>AU-054</x:v>
      </x:c>
      <x:c r="B58" s="14" t="str">
        <x:v>Root charter</x:v>
      </x:c>
      <x:c r="C58" s="14" t="str">
        <x:v>Root row 22 remains source-empty</x:v>
      </x:c>
      <x:c r="D58" s="14" t="str">
        <x:f>IF('Root Charters'!J22="SOURCE EMPTY","PASS","FAIL")</x:f>
        <x:v>PASS</x:v>
      </x:c>
      <x:c r="E58" s="14" t="str">
        <x:v>PASS</x:v>
      </x:c>
    </x:row>
    <x:row r="59">
      <x:c r="A59" s="14" t="str">
        <x:v>AU-055</x:v>
      </x:c>
      <x:c r="B59" s="14" t="str">
        <x:v>Root charter</x:v>
      </x:c>
      <x:c r="C59" s="14" t="str">
        <x:v>Root row 23 remains source-empty</x:v>
      </x:c>
      <x:c r="D59" s="14" t="str">
        <x:f>IF('Root Charters'!J23="SOURCE EMPTY","PASS","FAIL")</x:f>
        <x:v>PASS</x:v>
      </x:c>
      <x:c r="E59" s="14" t="str">
        <x:v>PASS</x:v>
      </x:c>
    </x:row>
    <x:row r="60">
      <x:c r="A60" s="14" t="str">
        <x:v>AU-056</x:v>
      </x:c>
      <x:c r="B60" s="14" t="str">
        <x:v>Root charter</x:v>
      </x:c>
      <x:c r="C60" s="14" t="str">
        <x:v>Root row 24 remains source-empty</x:v>
      </x:c>
      <x:c r="D60" s="14" t="str">
        <x:f>IF('Root Charters'!J24="SOURCE EMPTY","PASS","FAIL")</x:f>
        <x:v>PASS</x:v>
      </x:c>
      <x:c r="E60" s="14" t="str">
        <x:v>PASS</x:v>
      </x:c>
    </x:row>
    <x:row r="61">
      <x:c r="A61" s="14" t="str">
        <x:v>AU-057</x:v>
      </x:c>
      <x:c r="B61" s="14" t="str">
        <x:v>Root charter</x:v>
      </x:c>
      <x:c r="C61" s="14" t="str">
        <x:v>Root row 25 remains source-empty</x:v>
      </x:c>
      <x:c r="D61" s="14" t="str">
        <x:f>IF('Root Charters'!J25="SOURCE EMPTY","PASS","FAIL")</x:f>
        <x:v>PASS</x:v>
      </x:c>
      <x:c r="E61" s="14" t="str">
        <x:v>PASS</x:v>
      </x:c>
    </x:row>
    <x:row r="62">
      <x:c r="A62" s="14" t="str">
        <x:v>AU-058</x:v>
      </x:c>
      <x:c r="B62" s="14" t="str">
        <x:v>Root charter</x:v>
      </x:c>
      <x:c r="C62" s="14" t="str">
        <x:v>Root row 26 remains source-empty</x:v>
      </x:c>
      <x:c r="D62" s="14" t="str">
        <x:f>IF('Root Charters'!J26="SOURCE EMPTY","PASS","FAIL")</x:f>
        <x:v>PASS</x:v>
      </x:c>
      <x:c r="E62" s="14" t="str">
        <x:v>PASS</x:v>
      </x:c>
    </x:row>
    <x:row r="63">
      <x:c r="A63" s="14" t="str">
        <x:v>AU-059</x:v>
      </x:c>
      <x:c r="B63" s="14" t="str">
        <x:v>Root charter</x:v>
      </x:c>
      <x:c r="C63" s="14" t="str">
        <x:v>Root row 27 remains source-empty</x:v>
      </x:c>
      <x:c r="D63" s="14" t="str">
        <x:f>IF('Root Charters'!J27="SOURCE EMPTY","PASS","FAIL")</x:f>
        <x:v>PASS</x:v>
      </x:c>
      <x:c r="E63" s="14" t="str">
        <x:v>PASS</x:v>
      </x:c>
    </x:row>
    <x:row r="64">
      <x:c r="A64" s="14" t="str">
        <x:v>AU-060</x:v>
      </x:c>
      <x:c r="B64" s="14" t="str">
        <x:v>Root charter</x:v>
      </x:c>
      <x:c r="C64" s="14" t="str">
        <x:v>Root row 28 remains source-empty</x:v>
      </x:c>
      <x:c r="D64" s="14" t="str">
        <x:f>IF('Root Charters'!J28="SOURCE EMPTY","PASS","FAIL")</x:f>
        <x:v>PASS</x:v>
      </x:c>
      <x:c r="E64" s="14" t="str">
        <x:v>PASS</x:v>
      </x:c>
    </x:row>
    <x:row r="65">
      <x:c r="A65" s="14" t="str">
        <x:v>AU-061</x:v>
      </x:c>
      <x:c r="B65" s="14" t="str">
        <x:v>Control separation</x:v>
      </x:c>
      <x:c r="C65" s="14" t="str">
        <x:v>Control record 1 remains source-empty</x:v>
      </x:c>
      <x:c r="D65" s="14" t="str">
        <x:f>IF('Control Separation'!H5="SOURCE EMPTY","PASS","FAIL")</x:f>
        <x:v>PASS</x:v>
      </x:c>
      <x:c r="E65" s="14" t="str">
        <x:v>PASS</x:v>
      </x:c>
    </x:row>
    <x:row r="66">
      <x:c r="A66" s="14" t="str">
        <x:v>AU-062</x:v>
      </x:c>
      <x:c r="B66" s="14" t="str">
        <x:v>Control separation</x:v>
      </x:c>
      <x:c r="C66" s="14" t="str">
        <x:v>Control record 2 remains source-empty</x:v>
      </x:c>
      <x:c r="D66" s="14" t="str">
        <x:f>IF('Control Separation'!H6="SOURCE EMPTY","PASS","FAIL")</x:f>
        <x:v>PASS</x:v>
      </x:c>
      <x:c r="E66" s="14" t="str">
        <x:v>PASS</x:v>
      </x:c>
    </x:row>
    <x:row r="67">
      <x:c r="A67" s="14" t="str">
        <x:v>AU-063</x:v>
      </x:c>
      <x:c r="B67" s="14" t="str">
        <x:v>Control separation</x:v>
      </x:c>
      <x:c r="C67" s="14" t="str">
        <x:v>Control record 3 remains source-empty</x:v>
      </x:c>
      <x:c r="D67" s="14" t="str">
        <x:f>IF('Control Separation'!H7="SOURCE EMPTY","PASS","FAIL")</x:f>
        <x:v>PASS</x:v>
      </x:c>
      <x:c r="E67" s="14" t="str">
        <x:v>PASS</x:v>
      </x:c>
    </x:row>
    <x:row r="68">
      <x:c r="A68" s="14" t="str">
        <x:v>AU-064</x:v>
      </x:c>
      <x:c r="B68" s="14" t="str">
        <x:v>Control separation</x:v>
      </x:c>
      <x:c r="C68" s="14" t="str">
        <x:v>Control record 4 remains source-empty</x:v>
      </x:c>
      <x:c r="D68" s="14" t="str">
        <x:f>IF('Control Separation'!H8="SOURCE EMPTY","PASS","FAIL")</x:f>
        <x:v>PASS</x:v>
      </x:c>
      <x:c r="E68" s="14" t="str">
        <x:v>PASS</x:v>
      </x:c>
    </x:row>
    <x:row r="69">
      <x:c r="A69" s="14" t="str">
        <x:v>AU-065</x:v>
      </x:c>
      <x:c r="B69" s="14" t="str">
        <x:v>Control separation</x:v>
      </x:c>
      <x:c r="C69" s="14" t="str">
        <x:v>Control record 5 remains source-empty</x:v>
      </x:c>
      <x:c r="D69" s="14" t="str">
        <x:f>IF('Control Separation'!H9="SOURCE EMPTY","PASS","FAIL")</x:f>
        <x:v>PASS</x:v>
      </x:c>
      <x:c r="E69" s="14" t="str">
        <x:v>PASS</x:v>
      </x:c>
    </x:row>
    <x:row r="70">
      <x:c r="A70" s="14" t="str">
        <x:v>AU-066</x:v>
      </x:c>
      <x:c r="B70" s="14" t="str">
        <x:v>Control separation</x:v>
      </x:c>
      <x:c r="C70" s="14" t="str">
        <x:v>Control record 6 remains source-empty</x:v>
      </x:c>
      <x:c r="D70" s="14" t="str">
        <x:f>IF('Control Separation'!H10="SOURCE EMPTY","PASS","FAIL")</x:f>
        <x:v>PASS</x:v>
      </x:c>
      <x:c r="E70" s="14" t="str">
        <x:v>PASS</x:v>
      </x:c>
    </x:row>
    <x:row r="71">
      <x:c r="A71" s="14" t="str">
        <x:v>AU-067</x:v>
      </x:c>
      <x:c r="B71" s="14" t="str">
        <x:v>Control separation</x:v>
      </x:c>
      <x:c r="C71" s="14" t="str">
        <x:v>Control record 7 remains source-empty</x:v>
      </x:c>
      <x:c r="D71" s="14" t="str">
        <x:f>IF('Control Separation'!H11="SOURCE EMPTY","PASS","FAIL")</x:f>
        <x:v>PASS</x:v>
      </x:c>
      <x:c r="E71" s="14" t="str">
        <x:v>PASS</x:v>
      </x:c>
    </x:row>
    <x:row r="72">
      <x:c r="A72" s="14" t="str">
        <x:v>AU-068</x:v>
      </x:c>
      <x:c r="B72" s="14" t="str">
        <x:v>Control separation</x:v>
      </x:c>
      <x:c r="C72" s="14" t="str">
        <x:v>Control record 8 remains source-empty</x:v>
      </x:c>
      <x:c r="D72" s="14" t="str">
        <x:f>IF('Control Separation'!H12="SOURCE EMPTY","PASS","FAIL")</x:f>
        <x:v>PASS</x:v>
      </x:c>
      <x:c r="E72" s="14" t="str">
        <x:v>PASS</x:v>
      </x:c>
    </x:row>
    <x:row r="73">
      <x:c r="A73" s="14" t="str">
        <x:v>AU-069</x:v>
      </x:c>
      <x:c r="B73" s="14" t="str">
        <x:v>Control separation</x:v>
      </x:c>
      <x:c r="C73" s="14" t="str">
        <x:v>Control record 9 remains source-empty</x:v>
      </x:c>
      <x:c r="D73" s="14" t="str">
        <x:f>IF('Control Separation'!H13="SOURCE EMPTY","PASS","FAIL")</x:f>
        <x:v>PASS</x:v>
      </x:c>
      <x:c r="E73" s="14" t="str">
        <x:v>PASS</x:v>
      </x:c>
    </x:row>
    <x:row r="74">
      <x:c r="A74" s="14" t="str">
        <x:v>AU-070</x:v>
      </x:c>
      <x:c r="B74" s="14" t="str">
        <x:v>Control separation</x:v>
      </x:c>
      <x:c r="C74" s="14" t="str">
        <x:v>Control record 10 remains source-empty</x:v>
      </x:c>
      <x:c r="D74" s="14" t="str">
        <x:f>IF('Control Separation'!H14="SOURCE EMPTY","PASS","FAIL")</x:f>
        <x:v>PASS</x:v>
      </x:c>
      <x:c r="E74" s="14" t="str">
        <x:v>PASS</x:v>
      </x:c>
    </x:row>
    <x:row r="75">
      <x:c r="A75" s="14" t="str">
        <x:v>AU-071</x:v>
      </x:c>
      <x:c r="B75" s="14" t="str">
        <x:v>Control separation</x:v>
      </x:c>
      <x:c r="C75" s="14" t="str">
        <x:v>Control record 11 remains source-empty</x:v>
      </x:c>
      <x:c r="D75" s="14" t="str">
        <x:f>IF('Control Separation'!H15="SOURCE EMPTY","PASS","FAIL")</x:f>
        <x:v>PASS</x:v>
      </x:c>
      <x:c r="E75" s="14" t="str">
        <x:v>PASS</x:v>
      </x:c>
    </x:row>
    <x:row r="76">
      <x:c r="A76" s="14" t="str">
        <x:v>AU-072</x:v>
      </x:c>
      <x:c r="B76" s="14" t="str">
        <x:v>Control separation</x:v>
      </x:c>
      <x:c r="C76" s="14" t="str">
        <x:v>Control record 12 remains source-empty</x:v>
      </x:c>
      <x:c r="D76" s="14" t="str">
        <x:f>IF('Control Separation'!H16="SOURCE EMPTY","PASS","FAIL")</x:f>
        <x:v>PASS</x:v>
      </x:c>
      <x:c r="E76" s="14" t="str">
        <x:v>PASS</x:v>
      </x:c>
    </x:row>
    <x:row r="77">
      <x:c r="A77" s="14" t="str">
        <x:v>AU-073</x:v>
      </x:c>
      <x:c r="B77" s="14" t="str">
        <x:v>Control separation</x:v>
      </x:c>
      <x:c r="C77" s="14" t="str">
        <x:v>Control record 13 remains source-empty</x:v>
      </x:c>
      <x:c r="D77" s="14" t="str">
        <x:f>IF('Control Separation'!H17="SOURCE EMPTY","PASS","FAIL")</x:f>
        <x:v>PASS</x:v>
      </x:c>
      <x:c r="E77" s="14" t="str">
        <x:v>PASS</x:v>
      </x:c>
    </x:row>
    <x:row r="78">
      <x:c r="A78" s="14" t="str">
        <x:v>AU-074</x:v>
      </x:c>
      <x:c r="B78" s="14" t="str">
        <x:v>Control separation</x:v>
      </x:c>
      <x:c r="C78" s="14" t="str">
        <x:v>Control record 14 remains source-empty</x:v>
      </x:c>
      <x:c r="D78" s="14" t="str">
        <x:f>IF('Control Separation'!H18="SOURCE EMPTY","PASS","FAIL")</x:f>
        <x:v>PASS</x:v>
      </x:c>
      <x:c r="E78" s="14" t="str">
        <x:v>PASS</x:v>
      </x:c>
    </x:row>
    <x:row r="79">
      <x:c r="A79" s="14" t="str">
        <x:v>AU-075</x:v>
      </x:c>
      <x:c r="B79" s="14" t="str">
        <x:v>Control separation</x:v>
      </x:c>
      <x:c r="C79" s="14" t="str">
        <x:v>Control record 15 remains source-empty</x:v>
      </x:c>
      <x:c r="D79" s="14" t="str">
        <x:f>IF('Control Separation'!H19="SOURCE EMPTY","PASS","FAIL")</x:f>
        <x:v>PASS</x:v>
      </x:c>
      <x:c r="E79" s="14" t="str">
        <x:v>PASS</x:v>
      </x:c>
    </x:row>
    <x:row r="80">
      <x:c r="A80" s="14" t="str">
        <x:v>AU-076</x:v>
      </x:c>
      <x:c r="B80" s="14" t="str">
        <x:v>Control separation</x:v>
      </x:c>
      <x:c r="C80" s="14" t="str">
        <x:v>Control record 16 remains source-empty</x:v>
      </x:c>
      <x:c r="D80" s="14" t="str">
        <x:f>IF('Control Separation'!H20="SOURCE EMPTY","PASS","FAIL")</x:f>
        <x:v>PASS</x:v>
      </x:c>
      <x:c r="E80" s="14" t="str">
        <x:v>PASS</x:v>
      </x:c>
    </x:row>
    <x:row r="81">
      <x:c r="A81" s="14" t="str">
        <x:v>AU-077</x:v>
      </x:c>
      <x:c r="B81" s="14" t="str">
        <x:v>Control separation</x:v>
      </x:c>
      <x:c r="C81" s="14" t="str">
        <x:v>Control record 17 remains source-empty</x:v>
      </x:c>
      <x:c r="D81" s="14" t="str">
        <x:f>IF('Control Separation'!H21="SOURCE EMPTY","PASS","FAIL")</x:f>
        <x:v>PASS</x:v>
      </x:c>
      <x:c r="E81" s="14" t="str">
        <x:v>PASS</x:v>
      </x:c>
    </x:row>
    <x:row r="82">
      <x:c r="A82" s="14" t="str">
        <x:v>AU-078</x:v>
      </x:c>
      <x:c r="B82" s="14" t="str">
        <x:v>Control separation</x:v>
      </x:c>
      <x:c r="C82" s="14" t="str">
        <x:v>Control record 18 remains source-empty</x:v>
      </x:c>
      <x:c r="D82" s="14" t="str">
        <x:f>IF('Control Separation'!H22="SOURCE EMPTY","PASS","FAIL")</x:f>
        <x:v>PASS</x:v>
      </x:c>
      <x:c r="E82" s="14" t="str">
        <x:v>PASS</x:v>
      </x:c>
    </x:row>
    <x:row r="83">
      <x:c r="A83" s="14" t="str">
        <x:v>AU-079</x:v>
      </x:c>
      <x:c r="B83" s="14" t="str">
        <x:v>Control separation</x:v>
      </x:c>
      <x:c r="C83" s="14" t="str">
        <x:v>Control record 19 remains source-empty</x:v>
      </x:c>
      <x:c r="D83" s="14" t="str">
        <x:f>IF('Control Separation'!H23="SOURCE EMPTY","PASS","FAIL")</x:f>
        <x:v>PASS</x:v>
      </x:c>
      <x:c r="E83" s="14" t="str">
        <x:v>PASS</x:v>
      </x:c>
    </x:row>
    <x:row r="84">
      <x:c r="A84" s="14" t="str">
        <x:v>AU-080</x:v>
      </x:c>
      <x:c r="B84" s="14" t="str">
        <x:v>Control separation</x:v>
      </x:c>
      <x:c r="C84" s="14" t="str">
        <x:v>Control record 20 remains source-empty</x:v>
      </x:c>
      <x:c r="D84" s="14" t="str">
        <x:f>IF('Control Separation'!H24="SOURCE EMPTY","PASS","FAIL")</x:f>
        <x:v>PASS</x:v>
      </x:c>
      <x:c r="E84" s="14" t="str">
        <x:v>PASS</x:v>
      </x:c>
    </x:row>
    <x:row r="85">
      <x:c r="A85" s="14" t="str">
        <x:v>AU-081</x:v>
      </x:c>
      <x:c r="B85" s="14" t="str">
        <x:v>Control separation</x:v>
      </x:c>
      <x:c r="C85" s="14" t="str">
        <x:v>Control record 21 remains source-empty</x:v>
      </x:c>
      <x:c r="D85" s="14" t="str">
        <x:f>IF('Control Separation'!H25="SOURCE EMPTY","PASS","FAIL")</x:f>
        <x:v>PASS</x:v>
      </x:c>
      <x:c r="E85" s="14" t="str">
        <x:v>PASS</x:v>
      </x:c>
    </x:row>
    <x:row r="86">
      <x:c r="A86" s="14" t="str">
        <x:v>AU-082</x:v>
      </x:c>
      <x:c r="B86" s="14" t="str">
        <x:v>Control separation</x:v>
      </x:c>
      <x:c r="C86" s="14" t="str">
        <x:v>Control record 22 remains source-empty</x:v>
      </x:c>
      <x:c r="D86" s="14" t="str">
        <x:f>IF('Control Separation'!H26="SOURCE EMPTY","PASS","FAIL")</x:f>
        <x:v>PASS</x:v>
      </x:c>
      <x:c r="E86" s="14" t="str">
        <x:v>PASS</x:v>
      </x:c>
    </x:row>
    <x:row r="87">
      <x:c r="A87" s="14" t="str">
        <x:v>AU-083</x:v>
      </x:c>
      <x:c r="B87" s="14" t="str">
        <x:v>Control separation</x:v>
      </x:c>
      <x:c r="C87" s="14" t="str">
        <x:v>Control record 23 remains source-empty</x:v>
      </x:c>
      <x:c r="D87" s="14" t="str">
        <x:f>IF('Control Separation'!H27="SOURCE EMPTY","PASS","FAIL")</x:f>
        <x:v>PASS</x:v>
      </x:c>
      <x:c r="E87" s="14" t="str">
        <x:v>PASS</x:v>
      </x:c>
    </x:row>
    <x:row r="88">
      <x:c r="A88" s="14" t="str">
        <x:v>AU-084</x:v>
      </x:c>
      <x:c r="B88" s="14" t="str">
        <x:v>Control separation</x:v>
      </x:c>
      <x:c r="C88" s="14" t="str">
        <x:v>Control record 24 remains source-empty</x:v>
      </x:c>
      <x:c r="D88" s="14" t="str">
        <x:f>IF('Control Separation'!H28="SOURCE EMPTY","PASS","FAIL")</x:f>
        <x:v>PASS</x:v>
      </x:c>
      <x:c r="E88" s="14" t="str">
        <x:v>PASS</x:v>
      </x:c>
    </x:row>
    <x:row r="89">
      <x:c r="A89" s="14" t="str">
        <x:v>AU-085</x:v>
      </x:c>
      <x:c r="B89" s="14" t="str">
        <x:v>Control separation</x:v>
      </x:c>
      <x:c r="C89" s="14" t="str">
        <x:v>Control record 25 remains source-empty</x:v>
      </x:c>
      <x:c r="D89" s="14" t="str">
        <x:f>IF('Control Separation'!H29="SOURCE EMPTY","PASS","FAIL")</x:f>
        <x:v>PASS</x:v>
      </x:c>
      <x:c r="E89" s="14" t="str">
        <x:v>PASS</x:v>
      </x:c>
    </x:row>
    <x:row r="90">
      <x:c r="A90" s="14" t="str">
        <x:v>AU-086</x:v>
      </x:c>
      <x:c r="B90" s="14" t="str">
        <x:v>Control separation</x:v>
      </x:c>
      <x:c r="C90" s="14" t="str">
        <x:v>Control record 26 remains source-empty</x:v>
      </x:c>
      <x:c r="D90" s="14" t="str">
        <x:f>IF('Control Separation'!H30="SOURCE EMPTY","PASS","FAIL")</x:f>
        <x:v>PASS</x:v>
      </x:c>
      <x:c r="E90" s="14" t="str">
        <x:v>PASS</x:v>
      </x:c>
    </x:row>
    <x:row r="91">
      <x:c r="A91" s="14" t="str">
        <x:v>AU-087</x:v>
      </x:c>
      <x:c r="B91" s="14" t="str">
        <x:v>Control separation</x:v>
      </x:c>
      <x:c r="C91" s="14" t="str">
        <x:v>Control record 27 remains source-empty</x:v>
      </x:c>
      <x:c r="D91" s="14" t="str">
        <x:f>IF('Control Separation'!H31="SOURCE EMPTY","PASS","FAIL")</x:f>
        <x:v>PASS</x:v>
      </x:c>
      <x:c r="E91" s="14" t="str">
        <x:v>PASS</x:v>
      </x:c>
    </x:row>
    <x:row r="92">
      <x:c r="A92" s="14" t="str">
        <x:v>AU-088</x:v>
      </x:c>
      <x:c r="B92" s="14" t="str">
        <x:v>Control separation</x:v>
      </x:c>
      <x:c r="C92" s="14" t="str">
        <x:v>Control record 28 remains source-empty</x:v>
      </x:c>
      <x:c r="D92" s="14" t="str">
        <x:f>IF('Control Separation'!H32="SOURCE EMPTY","PASS","FAIL")</x:f>
        <x:v>PASS</x:v>
      </x:c>
      <x:c r="E92" s="14" t="str">
        <x:v>PASS</x:v>
      </x:c>
    </x:row>
    <x:row r="93">
      <x:c r="A93" s="14" t="str">
        <x:v>AU-089</x:v>
      </x:c>
      <x:c r="B93" s="14" t="str">
        <x:v>Control separation</x:v>
      </x:c>
      <x:c r="C93" s="14" t="str">
        <x:v>Control record 29 remains source-empty</x:v>
      </x:c>
      <x:c r="D93" s="14" t="str">
        <x:f>IF('Control Separation'!H33="SOURCE EMPTY","PASS","FAIL")</x:f>
        <x:v>PASS</x:v>
      </x:c>
      <x:c r="E93" s="14" t="str">
        <x:v>PASS</x:v>
      </x:c>
    </x:row>
    <x:row r="94">
      <x:c r="A94" s="14" t="str">
        <x:v>AU-090</x:v>
      </x:c>
      <x:c r="B94" s="14" t="str">
        <x:v>Control separation</x:v>
      </x:c>
      <x:c r="C94" s="14" t="str">
        <x:v>Control record 30 remains source-empty</x:v>
      </x:c>
      <x:c r="D94" s="14" t="str">
        <x:f>IF('Control Separation'!H34="SOURCE EMPTY","PASS","FAIL")</x:f>
        <x:v>PASS</x:v>
      </x:c>
      <x:c r="E94" s="14" t="str">
        <x:v>PASS</x:v>
      </x:c>
    </x:row>
    <x:row r="95">
      <x:c r="A95" s="14" t="str">
        <x:v>AU-091</x:v>
      </x:c>
      <x:c r="B95" s="14" t="str">
        <x:v>Control separation</x:v>
      </x:c>
      <x:c r="C95" s="14" t="str">
        <x:v>Control record 31 remains source-empty</x:v>
      </x:c>
      <x:c r="D95" s="14" t="str">
        <x:f>IF('Control Separation'!H35="SOURCE EMPTY","PASS","FAIL")</x:f>
        <x:v>PASS</x:v>
      </x:c>
      <x:c r="E95" s="14" t="str">
        <x:v>PASS</x:v>
      </x:c>
    </x:row>
    <x:row r="96">
      <x:c r="A96" s="14" t="str">
        <x:v>AU-092</x:v>
      </x:c>
      <x:c r="B96" s="14" t="str">
        <x:v>Control separation</x:v>
      </x:c>
      <x:c r="C96" s="14" t="str">
        <x:v>Control record 32 remains source-empty</x:v>
      </x:c>
      <x:c r="D96" s="14" t="str">
        <x:f>IF('Control Separation'!H36="SOURCE EMPTY","PASS","FAIL")</x:f>
        <x:v>PASS</x:v>
      </x:c>
      <x:c r="E96" s="14" t="str">
        <x:v>PASS</x:v>
      </x:c>
    </x:row>
    <x:row r="97">
      <x:c r="A97" s="14" t="str">
        <x:v>AU-093</x:v>
      </x:c>
      <x:c r="B97" s="14" t="str">
        <x:v>Control separation</x:v>
      </x:c>
      <x:c r="C97" s="14" t="str">
        <x:v>Control record 33 remains source-empty</x:v>
      </x:c>
      <x:c r="D97" s="14" t="str">
        <x:f>IF('Control Separation'!H37="SOURCE EMPTY","PASS","FAIL")</x:f>
        <x:v>PASS</x:v>
      </x:c>
      <x:c r="E97" s="14" t="str">
        <x:v>PASS</x:v>
      </x:c>
    </x:row>
    <x:row r="98">
      <x:c r="A98" s="14" t="str">
        <x:v>AU-094</x:v>
      </x:c>
      <x:c r="B98" s="14" t="str">
        <x:v>Control separation</x:v>
      </x:c>
      <x:c r="C98" s="14" t="str">
        <x:v>Control record 34 remains source-empty</x:v>
      </x:c>
      <x:c r="D98" s="14" t="str">
        <x:f>IF('Control Separation'!H38="SOURCE EMPTY","PASS","FAIL")</x:f>
        <x:v>PASS</x:v>
      </x:c>
      <x:c r="E98" s="14" t="str">
        <x:v>PASS</x:v>
      </x:c>
    </x:row>
    <x:row r="99">
      <x:c r="A99" s="14" t="str">
        <x:v>AU-095</x:v>
      </x:c>
      <x:c r="B99" s="14" t="str">
        <x:v>Control separation</x:v>
      </x:c>
      <x:c r="C99" s="14" t="str">
        <x:v>Control record 35 remains source-empty</x:v>
      </x:c>
      <x:c r="D99" s="14" t="str">
        <x:f>IF('Control Separation'!H39="SOURCE EMPTY","PASS","FAIL")</x:f>
        <x:v>PASS</x:v>
      </x:c>
      <x:c r="E99" s="14" t="str">
        <x:v>PASS</x:v>
      </x:c>
    </x:row>
    <x:row r="100">
      <x:c r="A100" s="14" t="str">
        <x:v>AU-096</x:v>
      </x:c>
      <x:c r="B100" s="14" t="str">
        <x:v>Control separation</x:v>
      </x:c>
      <x:c r="C100" s="14" t="str">
        <x:v>Control record 36 remains source-empty</x:v>
      </x:c>
      <x:c r="D100" s="14" t="str">
        <x:f>IF('Control Separation'!H40="SOURCE EMPTY","PASS","FAIL")</x:f>
        <x:v>PASS</x:v>
      </x:c>
      <x:c r="E100" s="14" t="str">
        <x:v>PASS</x:v>
      </x:c>
    </x:row>
    <x:row r="101">
      <x:c r="A101" s="14" t="str">
        <x:v>AU-097</x:v>
      </x:c>
      <x:c r="B101" s="14" t="str">
        <x:v>Control separation</x:v>
      </x:c>
      <x:c r="C101" s="14" t="str">
        <x:v>Control record 37 remains source-empty</x:v>
      </x:c>
      <x:c r="D101" s="14" t="str">
        <x:f>IF('Control Separation'!H41="SOURCE EMPTY","PASS","FAIL")</x:f>
        <x:v>PASS</x:v>
      </x:c>
      <x:c r="E101" s="14" t="str">
        <x:v>PASS</x:v>
      </x:c>
    </x:row>
    <x:row r="102">
      <x:c r="A102" s="14" t="str">
        <x:v>AU-098</x:v>
      </x:c>
      <x:c r="B102" s="14" t="str">
        <x:v>Control separation</x:v>
      </x:c>
      <x:c r="C102" s="14" t="str">
        <x:v>Control record 38 remains source-empty</x:v>
      </x:c>
      <x:c r="D102" s="14" t="str">
        <x:f>IF('Control Separation'!H42="SOURCE EMPTY","PASS","FAIL")</x:f>
        <x:v>PASS</x:v>
      </x:c>
      <x:c r="E102" s="14" t="str">
        <x:v>PASS</x:v>
      </x:c>
    </x:row>
    <x:row r="103">
      <x:c r="A103" s="14" t="str">
        <x:v>AU-099</x:v>
      </x:c>
      <x:c r="B103" s="14" t="str">
        <x:v>Control separation</x:v>
      </x:c>
      <x:c r="C103" s="14" t="str">
        <x:v>Control record 39 remains source-empty</x:v>
      </x:c>
      <x:c r="D103" s="14" t="str">
        <x:f>IF('Control Separation'!H43="SOURCE EMPTY","PASS","FAIL")</x:f>
        <x:v>PASS</x:v>
      </x:c>
      <x:c r="E103" s="14" t="str">
        <x:v>PASS</x:v>
      </x:c>
    </x:row>
    <x:row r="104">
      <x:c r="A104" s="14" t="str">
        <x:v>AU-100</x:v>
      </x:c>
      <x:c r="B104" s="14" t="str">
        <x:v>Control separation</x:v>
      </x:c>
      <x:c r="C104" s="14" t="str">
        <x:v>Control record 40 remains source-empty</x:v>
      </x:c>
      <x:c r="D104" s="14" t="str">
        <x:f>IF('Control Separation'!H44="SOURCE EMPTY","PASS","FAIL")</x:f>
        <x:v>PASS</x:v>
      </x:c>
      <x:c r="E104" s="14" t="str">
        <x:v>PASS</x:v>
      </x:c>
    </x:row>
    <x:row r="105">
      <x:c r="A105" s="14" t="str">
        <x:v>AU-101</x:v>
      </x:c>
      <x:c r="B105" s="14" t="str">
        <x:v>Control separation</x:v>
      </x:c>
      <x:c r="C105" s="14" t="str">
        <x:v>Control record 41 remains source-empty</x:v>
      </x:c>
      <x:c r="D105" s="14" t="str">
        <x:f>IF('Control Separation'!H45="SOURCE EMPTY","PASS","FAIL")</x:f>
        <x:v>PASS</x:v>
      </x:c>
      <x:c r="E105" s="14" t="str">
        <x:v>PASS</x:v>
      </x:c>
    </x:row>
    <x:row r="106">
      <x:c r="A106" s="14" t="str">
        <x:v>AU-102</x:v>
      </x:c>
      <x:c r="B106" s="14" t="str">
        <x:v>Control separation</x:v>
      </x:c>
      <x:c r="C106" s="14" t="str">
        <x:v>Control record 42 remains source-empty</x:v>
      </x:c>
      <x:c r="D106" s="14" t="str">
        <x:f>IF('Control Separation'!H46="SOURCE EMPTY","PASS","FAIL")</x:f>
        <x:v>PASS</x:v>
      </x:c>
      <x:c r="E106" s="14" t="str">
        <x:v>PASS</x:v>
      </x:c>
    </x:row>
    <x:row r="107">
      <x:c r="A107" s="14" t="str">
        <x:v>AU-103</x:v>
      </x:c>
      <x:c r="B107" s="14" t="str">
        <x:v>Control separation</x:v>
      </x:c>
      <x:c r="C107" s="14" t="str">
        <x:v>Control record 43 remains source-empty</x:v>
      </x:c>
      <x:c r="D107" s="14" t="str">
        <x:f>IF('Control Separation'!H47="SOURCE EMPTY","PASS","FAIL")</x:f>
        <x:v>PASS</x:v>
      </x:c>
      <x:c r="E107" s="14" t="str">
        <x:v>PASS</x:v>
      </x:c>
    </x:row>
    <x:row r="108">
      <x:c r="A108" s="14" t="str">
        <x:v>AU-104</x:v>
      </x:c>
      <x:c r="B108" s="14" t="str">
        <x:v>Control separation</x:v>
      </x:c>
      <x:c r="C108" s="14" t="str">
        <x:v>Control record 44 remains source-empty</x:v>
      </x:c>
      <x:c r="D108" s="14" t="str">
        <x:f>IF('Control Separation'!H48="SOURCE EMPTY","PASS","FAIL")</x:f>
        <x:v>PASS</x:v>
      </x:c>
      <x:c r="E108" s="14" t="str">
        <x:v>PASS</x:v>
      </x:c>
    </x:row>
    <x:row r="109">
      <x:c r="A109" s="14" t="str">
        <x:v>AU-105</x:v>
      </x:c>
      <x:c r="B109" s="14" t="str">
        <x:v>Control separation</x:v>
      </x:c>
      <x:c r="C109" s="14" t="str">
        <x:v>Control record 45 remains source-empty</x:v>
      </x:c>
      <x:c r="D109" s="14" t="str">
        <x:f>IF('Control Separation'!H49="SOURCE EMPTY","PASS","FAIL")</x:f>
        <x:v>PASS</x:v>
      </x:c>
      <x:c r="E109" s="14" t="str">
        <x:v>PASS</x:v>
      </x:c>
    </x:row>
    <x:row r="110">
      <x:c r="A110" s="14" t="str">
        <x:v>AU-106</x:v>
      </x:c>
      <x:c r="B110" s="14" t="str">
        <x:v>Control separation</x:v>
      </x:c>
      <x:c r="C110" s="14" t="str">
        <x:v>Control record 46 remains source-empty</x:v>
      </x:c>
      <x:c r="D110" s="14" t="str">
        <x:f>IF('Control Separation'!H50="SOURCE EMPTY","PASS","FAIL")</x:f>
        <x:v>PASS</x:v>
      </x:c>
      <x:c r="E110" s="14" t="str">
        <x:v>PASS</x:v>
      </x:c>
    </x:row>
    <x:row r="111">
      <x:c r="A111" s="14" t="str">
        <x:v>AU-107</x:v>
      </x:c>
      <x:c r="B111" s="14" t="str">
        <x:v>Control separation</x:v>
      </x:c>
      <x:c r="C111" s="14" t="str">
        <x:v>Control record 47 remains source-empty</x:v>
      </x:c>
      <x:c r="D111" s="14" t="str">
        <x:f>IF('Control Separation'!H51="SOURCE EMPTY","PASS","FAIL")</x:f>
        <x:v>PASS</x:v>
      </x:c>
      <x:c r="E111" s="14" t="str">
        <x:v>PASS</x:v>
      </x:c>
    </x:row>
    <x:row r="112">
      <x:c r="A112" s="14" t="str">
        <x:v>AU-108</x:v>
      </x:c>
      <x:c r="B112" s="14" t="str">
        <x:v>Control separation</x:v>
      </x:c>
      <x:c r="C112" s="14" t="str">
        <x:v>Control record 48 remains source-empty</x:v>
      </x:c>
      <x:c r="D112" s="14" t="str">
        <x:f>IF('Control Separation'!H52="SOURCE EMPTY","PASS","FAIL")</x:f>
        <x:v>PASS</x:v>
      </x:c>
      <x:c r="E112" s="14" t="str">
        <x:v>PASS</x:v>
      </x:c>
    </x:row>
    <x:row r="113">
      <x:c r="A113" s="14" t="str">
        <x:v>AU-109</x:v>
      </x:c>
      <x:c r="B113" s="14" t="str">
        <x:v>Control separation</x:v>
      </x:c>
      <x:c r="C113" s="14" t="str">
        <x:v>Control record 49 remains source-empty</x:v>
      </x:c>
      <x:c r="D113" s="14" t="str">
        <x:f>IF('Control Separation'!H53="SOURCE EMPTY","PASS","FAIL")</x:f>
        <x:v>PASS</x:v>
      </x:c>
      <x:c r="E113" s="14" t="str">
        <x:v>PASS</x:v>
      </x:c>
    </x:row>
    <x:row r="114">
      <x:c r="A114" s="14" t="str">
        <x:v>AU-110</x:v>
      </x:c>
      <x:c r="B114" s="14" t="str">
        <x:v>Control separation</x:v>
      </x:c>
      <x:c r="C114" s="14" t="str">
        <x:v>Control record 50 remains source-empty</x:v>
      </x:c>
      <x:c r="D114" s="14" t="str">
        <x:f>IF('Control Separation'!H54="SOURCE EMPTY","PASS","FAIL")</x:f>
        <x:v>PASS</x:v>
      </x:c>
      <x:c r="E114" s="14" t="str">
        <x:v>PASS</x:v>
      </x:c>
    </x:row>
    <x:row r="115">
      <x:c r="A115" s="14" t="str">
        <x:v>AU-111</x:v>
      </x:c>
      <x:c r="B115" s="14" t="str">
        <x:v>Control separation</x:v>
      </x:c>
      <x:c r="C115" s="14" t="str">
        <x:v>Control record 51 remains source-empty</x:v>
      </x:c>
      <x:c r="D115" s="14" t="str">
        <x:f>IF('Control Separation'!H55="SOURCE EMPTY","PASS","FAIL")</x:f>
        <x:v>PASS</x:v>
      </x:c>
      <x:c r="E115" s="14" t="str">
        <x:v>PASS</x:v>
      </x:c>
    </x:row>
    <x:row r="116">
      <x:c r="A116" s="14" t="str">
        <x:v>AU-112</x:v>
      </x:c>
      <x:c r="B116" s="14" t="str">
        <x:v>Control separation</x:v>
      </x:c>
      <x:c r="C116" s="14" t="str">
        <x:v>Control record 52 remains source-empty</x:v>
      </x:c>
      <x:c r="D116" s="14" t="str">
        <x:f>IF('Control Separation'!H56="SOURCE EMPTY","PASS","FAIL")</x:f>
        <x:v>PASS</x:v>
      </x:c>
      <x:c r="E116" s="14" t="str">
        <x:v>PASS</x:v>
      </x:c>
    </x:row>
    <x:row r="117">
      <x:c r="A117" s="14" t="str">
        <x:v>AU-113</x:v>
      </x:c>
      <x:c r="B117" s="14" t="str">
        <x:v>Control separation</x:v>
      </x:c>
      <x:c r="C117" s="14" t="str">
        <x:v>Control record 53 remains source-empty</x:v>
      </x:c>
      <x:c r="D117" s="14" t="str">
        <x:f>IF('Control Separation'!H57="SOURCE EMPTY","PASS","FAIL")</x:f>
        <x:v>PASS</x:v>
      </x:c>
      <x:c r="E117" s="14" t="str">
        <x:v>PASS</x:v>
      </x:c>
    </x:row>
    <x:row r="118">
      <x:c r="A118" s="14" t="str">
        <x:v>AU-114</x:v>
      </x:c>
      <x:c r="B118" s="14" t="str">
        <x:v>Control separation</x:v>
      </x:c>
      <x:c r="C118" s="14" t="str">
        <x:v>Control record 54 remains source-empty</x:v>
      </x:c>
      <x:c r="D118" s="14" t="str">
        <x:f>IF('Control Separation'!H58="SOURCE EMPTY","PASS","FAIL")</x:f>
        <x:v>PASS</x:v>
      </x:c>
      <x:c r="E118" s="14" t="str">
        <x:v>PASS</x:v>
      </x:c>
    </x:row>
    <x:row r="119">
      <x:c r="A119" s="14" t="str">
        <x:v>AU-115</x:v>
      </x:c>
      <x:c r="B119" s="14" t="str">
        <x:v>Control separation</x:v>
      </x:c>
      <x:c r="C119" s="14" t="str">
        <x:v>Control record 55 remains source-empty</x:v>
      </x:c>
      <x:c r="D119" s="14" t="str">
        <x:f>IF('Control Separation'!H59="SOURCE EMPTY","PASS","FAIL")</x:f>
        <x:v>PASS</x:v>
      </x:c>
      <x:c r="E119" s="14" t="str">
        <x:v>PASS</x:v>
      </x:c>
    </x:row>
    <x:row r="120">
      <x:c r="A120" s="14" t="str">
        <x:v>AU-116</x:v>
      </x:c>
      <x:c r="B120" s="14" t="str">
        <x:v>Control separation</x:v>
      </x:c>
      <x:c r="C120" s="14" t="str">
        <x:v>Control record 56 remains source-empty</x:v>
      </x:c>
      <x:c r="D120" s="14" t="str">
        <x:f>IF('Control Separation'!H60="SOURCE EMPTY","PASS","FAIL")</x:f>
        <x:v>PASS</x:v>
      </x:c>
      <x:c r="E120" s="14" t="str">
        <x:v>PASS</x:v>
      </x:c>
    </x:row>
    <x:row r="121">
      <x:c r="A121" s="14" t="str">
        <x:v>AU-117</x:v>
      </x:c>
      <x:c r="B121" s="14" t="str">
        <x:v>Control separation</x:v>
      </x:c>
      <x:c r="C121" s="14" t="str">
        <x:v>Control record 57 remains source-empty</x:v>
      </x:c>
      <x:c r="D121" s="14" t="str">
        <x:f>IF('Control Separation'!H61="SOURCE EMPTY","PASS","FAIL")</x:f>
        <x:v>PASS</x:v>
      </x:c>
      <x:c r="E121" s="14" t="str">
        <x:v>PASS</x:v>
      </x:c>
    </x:row>
    <x:row r="122">
      <x:c r="A122" s="14" t="str">
        <x:v>AU-118</x:v>
      </x:c>
      <x:c r="B122" s="14" t="str">
        <x:v>Control separation</x:v>
      </x:c>
      <x:c r="C122" s="14" t="str">
        <x:v>Control record 58 remains source-empty</x:v>
      </x:c>
      <x:c r="D122" s="14" t="str">
        <x:f>IF('Control Separation'!H62="SOURCE EMPTY","PASS","FAIL")</x:f>
        <x:v>PASS</x:v>
      </x:c>
      <x:c r="E122" s="14" t="str">
        <x:v>PASS</x:v>
      </x:c>
    </x:row>
    <x:row r="123">
      <x:c r="A123" s="14" t="str">
        <x:v>AU-119</x:v>
      </x:c>
      <x:c r="B123" s="14" t="str">
        <x:v>Control separation</x:v>
      </x:c>
      <x:c r="C123" s="14" t="str">
        <x:v>Control record 59 remains source-empty</x:v>
      </x:c>
      <x:c r="D123" s="14" t="str">
        <x:f>IF('Control Separation'!H63="SOURCE EMPTY","PASS","FAIL")</x:f>
        <x:v>PASS</x:v>
      </x:c>
      <x:c r="E123" s="14" t="str">
        <x:v>PASS</x:v>
      </x:c>
    </x:row>
    <x:row r="124">
      <x:c r="A124" s="14" t="str">
        <x:v>AU-120</x:v>
      </x:c>
      <x:c r="B124" s="14" t="str">
        <x:v>Control separation</x:v>
      </x:c>
      <x:c r="C124" s="14" t="str">
        <x:v>Control record 60 remains source-empty</x:v>
      </x:c>
      <x:c r="D124" s="14" t="str">
        <x:f>IF('Control Separation'!H64="SOURCE EMPTY","PASS","FAIL")</x:f>
        <x:v>PASS</x:v>
      </x:c>
      <x:c r="E124" s="14" t="str">
        <x:v>PASS</x:v>
      </x:c>
    </x:row>
    <x:row r="125">
      <x:c r="A125" s="14" t="str">
        <x:v>AU-121</x:v>
      </x:c>
      <x:c r="B125" s="14" t="str">
        <x:v>Control separation</x:v>
      </x:c>
      <x:c r="C125" s="14" t="str">
        <x:v>Control record 61 remains source-empty</x:v>
      </x:c>
      <x:c r="D125" s="14" t="str">
        <x:f>IF('Control Separation'!H65="SOURCE EMPTY","PASS","FAIL")</x:f>
        <x:v>PASS</x:v>
      </x:c>
      <x:c r="E125" s="14" t="str">
        <x:v>PASS</x:v>
      </x:c>
    </x:row>
    <x:row r="126">
      <x:c r="A126" s="14" t="str">
        <x:v>AU-122</x:v>
      </x:c>
      <x:c r="B126" s="14" t="str">
        <x:v>Control separation</x:v>
      </x:c>
      <x:c r="C126" s="14" t="str">
        <x:v>Control record 62 remains source-empty</x:v>
      </x:c>
      <x:c r="D126" s="14" t="str">
        <x:f>IF('Control Separation'!H66="SOURCE EMPTY","PASS","FAIL")</x:f>
        <x:v>PASS</x:v>
      </x:c>
      <x:c r="E126" s="14" t="str">
        <x:v>PASS</x:v>
      </x:c>
    </x:row>
    <x:row r="127">
      <x:c r="A127" s="14" t="str">
        <x:v>AU-123</x:v>
      </x:c>
      <x:c r="B127" s="14" t="str">
        <x:v>Control separation</x:v>
      </x:c>
      <x:c r="C127" s="14" t="str">
        <x:v>Control record 63 remains source-empty</x:v>
      </x:c>
      <x:c r="D127" s="14" t="str">
        <x:f>IF('Control Separation'!H67="SOURCE EMPTY","PASS","FAIL")</x:f>
        <x:v>PASS</x:v>
      </x:c>
      <x:c r="E127" s="14" t="str">
        <x:v>PASS</x:v>
      </x:c>
    </x:row>
    <x:row r="128">
      <x:c r="A128" s="14" t="str">
        <x:v>AU-124</x:v>
      </x:c>
      <x:c r="B128" s="14" t="str">
        <x:v>Control separation</x:v>
      </x:c>
      <x:c r="C128" s="14" t="str">
        <x:v>Control record 64 remains source-empty</x:v>
      </x:c>
      <x:c r="D128" s="14" t="str">
        <x:f>IF('Control Separation'!H68="SOURCE EMPTY","PASS","FAIL")</x:f>
        <x:v>PASS</x:v>
      </x:c>
      <x:c r="E128" s="14" t="str">
        <x:v>PASS</x:v>
      </x:c>
    </x:row>
    <x:row r="129">
      <x:c r="A129" s="14" t="str">
        <x:v>AU-125</x:v>
      </x:c>
      <x:c r="B129" s="14" t="str">
        <x:v>Control separation</x:v>
      </x:c>
      <x:c r="C129" s="14" t="str">
        <x:v>Control record 65 remains source-empty</x:v>
      </x:c>
      <x:c r="D129" s="14" t="str">
        <x:f>IF('Control Separation'!H69="SOURCE EMPTY","PASS","FAIL")</x:f>
        <x:v>PASS</x:v>
      </x:c>
      <x:c r="E129" s="14" t="str">
        <x:v>PASS</x:v>
      </x:c>
    </x:row>
    <x:row r="130">
      <x:c r="A130" s="14" t="str">
        <x:v>AU-126</x:v>
      </x:c>
      <x:c r="B130" s="14" t="str">
        <x:v>Control separation</x:v>
      </x:c>
      <x:c r="C130" s="14" t="str">
        <x:v>Control record 66 remains source-empty</x:v>
      </x:c>
      <x:c r="D130" s="14" t="str">
        <x:f>IF('Control Separation'!H70="SOURCE EMPTY","PASS","FAIL")</x:f>
        <x:v>PASS</x:v>
      </x:c>
      <x:c r="E130" s="14" t="str">
        <x:v>PASS</x:v>
      </x:c>
    </x:row>
    <x:row r="131">
      <x:c r="A131" s="14" t="str">
        <x:v>AU-127</x:v>
      </x:c>
      <x:c r="B131" s="14" t="str">
        <x:v>Control separation</x:v>
      </x:c>
      <x:c r="C131" s="14" t="str">
        <x:v>Control record 67 remains source-empty</x:v>
      </x:c>
      <x:c r="D131" s="14" t="str">
        <x:f>IF('Control Separation'!H71="SOURCE EMPTY","PASS","FAIL")</x:f>
        <x:v>PASS</x:v>
      </x:c>
      <x:c r="E131" s="14" t="str">
        <x:v>PASS</x:v>
      </x:c>
    </x:row>
    <x:row r="132">
      <x:c r="A132" s="14" t="str">
        <x:v>AU-128</x:v>
      </x:c>
      <x:c r="B132" s="14" t="str">
        <x:v>Control separation</x:v>
      </x:c>
      <x:c r="C132" s="14" t="str">
        <x:v>Control record 68 remains source-empty</x:v>
      </x:c>
      <x:c r="D132" s="14" t="str">
        <x:f>IF('Control Separation'!H72="SOURCE EMPTY","PASS","FAIL")</x:f>
        <x:v>PASS</x:v>
      </x:c>
      <x:c r="E132" s="14" t="str">
        <x:v>PASS</x:v>
      </x:c>
    </x:row>
    <x:row r="133">
      <x:c r="A133" s="14" t="str">
        <x:v>AU-129</x:v>
      </x:c>
      <x:c r="B133" s="14" t="str">
        <x:v>Control separation</x:v>
      </x:c>
      <x:c r="C133" s="14" t="str">
        <x:v>Control record 69 remains source-empty</x:v>
      </x:c>
      <x:c r="D133" s="14" t="str">
        <x:f>IF('Control Separation'!H73="SOURCE EMPTY","PASS","FAIL")</x:f>
        <x:v>PASS</x:v>
      </x:c>
      <x:c r="E133" s="14" t="str">
        <x:v>PASS</x:v>
      </x:c>
    </x:row>
    <x:row r="134">
      <x:c r="A134" s="14" t="str">
        <x:v>AU-130</x:v>
      </x:c>
      <x:c r="B134" s="14" t="str">
        <x:v>Control separation</x:v>
      </x:c>
      <x:c r="C134" s="14" t="str">
        <x:v>Control record 70 remains source-empty</x:v>
      </x:c>
      <x:c r="D134" s="14" t="str">
        <x:f>IF('Control Separation'!H74="SOURCE EMPTY","PASS","FAIL")</x:f>
        <x:v>PASS</x:v>
      </x:c>
      <x:c r="E134" s="14" t="str">
        <x:v>PASS</x:v>
      </x:c>
    </x:row>
    <x:row r="135">
      <x:c r="A135" s="14" t="str">
        <x:v>AU-131</x:v>
      </x:c>
      <x:c r="B135" s="14" t="str">
        <x:v>Control separation</x:v>
      </x:c>
      <x:c r="C135" s="14" t="str">
        <x:v>Control record 71 remains source-empty</x:v>
      </x:c>
      <x:c r="D135" s="14" t="str">
        <x:f>IF('Control Separation'!H75="SOURCE EMPTY","PASS","FAIL")</x:f>
        <x:v>PASS</x:v>
      </x:c>
      <x:c r="E135" s="14" t="str">
        <x:v>PASS</x:v>
      </x:c>
    </x:row>
    <x:row r="136">
      <x:c r="A136" s="14" t="str">
        <x:v>AU-132</x:v>
      </x:c>
      <x:c r="B136" s="14" t="str">
        <x:v>Control separation</x:v>
      </x:c>
      <x:c r="C136" s="14" t="str">
        <x:v>Control record 72 remains source-empty</x:v>
      </x:c>
      <x:c r="D136" s="14" t="str">
        <x:f>IF('Control Separation'!H76="SOURCE EMPTY","PASS","FAIL")</x:f>
        <x:v>PASS</x:v>
      </x:c>
      <x:c r="E136" s="14" t="str">
        <x:v>PASS</x:v>
      </x:c>
    </x:row>
    <x:row r="137">
      <x:c r="A137" s="14" t="str">
        <x:v>AU-133</x:v>
      </x:c>
      <x:c r="B137" s="14" t="str">
        <x:v>Control separation</x:v>
      </x:c>
      <x:c r="C137" s="14" t="str">
        <x:v>Control record 73 remains source-empty</x:v>
      </x:c>
      <x:c r="D137" s="14" t="str">
        <x:f>IF('Control Separation'!H77="SOURCE EMPTY","PASS","FAIL")</x:f>
        <x:v>PASS</x:v>
      </x:c>
      <x:c r="E137" s="14" t="str">
        <x:v>PASS</x:v>
      </x:c>
    </x:row>
    <x:row r="138">
      <x:c r="A138" s="14" t="str">
        <x:v>AU-134</x:v>
      </x:c>
      <x:c r="B138" s="14" t="str">
        <x:v>Control separation</x:v>
      </x:c>
      <x:c r="C138" s="14" t="str">
        <x:v>Control record 74 remains source-empty</x:v>
      </x:c>
      <x:c r="D138" s="14" t="str">
        <x:f>IF('Control Separation'!H78="SOURCE EMPTY","PASS","FAIL")</x:f>
        <x:v>PASS</x:v>
      </x:c>
      <x:c r="E138" s="14" t="str">
        <x:v>PASS</x:v>
      </x:c>
    </x:row>
    <x:row r="139">
      <x:c r="A139" s="14" t="str">
        <x:v>AU-135</x:v>
      </x:c>
      <x:c r="B139" s="14" t="str">
        <x:v>Control separation</x:v>
      </x:c>
      <x:c r="C139" s="14" t="str">
        <x:v>Control record 75 remains source-empty</x:v>
      </x:c>
      <x:c r="D139" s="14" t="str">
        <x:f>IF('Control Separation'!H79="SOURCE EMPTY","PASS","FAIL")</x:f>
        <x:v>PASS</x:v>
      </x:c>
      <x:c r="E139" s="14" t="str">
        <x:v>PASS</x:v>
      </x:c>
    </x:row>
    <x:row r="140">
      <x:c r="A140" s="14" t="str">
        <x:v>AU-136</x:v>
      </x:c>
      <x:c r="B140" s="14" t="str">
        <x:v>Control separation</x:v>
      </x:c>
      <x:c r="C140" s="14" t="str">
        <x:v>Control record 76 remains source-empty</x:v>
      </x:c>
      <x:c r="D140" s="14" t="str">
        <x:f>IF('Control Separation'!H80="SOURCE EMPTY","PASS","FAIL")</x:f>
        <x:v>PASS</x:v>
      </x:c>
      <x:c r="E140" s="14" t="str">
        <x:v>PASS</x:v>
      </x:c>
    </x:row>
    <x:row r="141">
      <x:c r="A141" s="14" t="str">
        <x:v>AU-137</x:v>
      </x:c>
      <x:c r="B141" s="14" t="str">
        <x:v>Control separation</x:v>
      </x:c>
      <x:c r="C141" s="14" t="str">
        <x:v>Control record 77 remains source-empty</x:v>
      </x:c>
      <x:c r="D141" s="14" t="str">
        <x:f>IF('Control Separation'!H81="SOURCE EMPTY","PASS","FAIL")</x:f>
        <x:v>PASS</x:v>
      </x:c>
      <x:c r="E141" s="14" t="str">
        <x:v>PASS</x:v>
      </x:c>
    </x:row>
    <x:row r="142">
      <x:c r="A142" s="14" t="str">
        <x:v>AU-138</x:v>
      </x:c>
      <x:c r="B142" s="14" t="str">
        <x:v>Control separation</x:v>
      </x:c>
      <x:c r="C142" s="14" t="str">
        <x:v>Control record 78 remains source-empty</x:v>
      </x:c>
      <x:c r="D142" s="14" t="str">
        <x:f>IF('Control Separation'!H82="SOURCE EMPTY","PASS","FAIL")</x:f>
        <x:v>PASS</x:v>
      </x:c>
      <x:c r="E142" s="14" t="str">
        <x:v>PASS</x:v>
      </x:c>
    </x:row>
    <x:row r="143">
      <x:c r="A143" s="14" t="str">
        <x:v>AU-139</x:v>
      </x:c>
      <x:c r="B143" s="14" t="str">
        <x:v>Control separation</x:v>
      </x:c>
      <x:c r="C143" s="14" t="str">
        <x:v>Control record 79 remains source-empty</x:v>
      </x:c>
      <x:c r="D143" s="14" t="str">
        <x:f>IF('Control Separation'!H83="SOURCE EMPTY","PASS","FAIL")</x:f>
        <x:v>PASS</x:v>
      </x:c>
      <x:c r="E143" s="14" t="str">
        <x:v>PASS</x:v>
      </x:c>
    </x:row>
    <x:row r="144">
      <x:c r="A144" s="14" t="str">
        <x:v>AU-140</x:v>
      </x:c>
      <x:c r="B144" s="14" t="str">
        <x:v>Control separation</x:v>
      </x:c>
      <x:c r="C144" s="14" t="str">
        <x:v>Control record 80 remains source-empty</x:v>
      </x:c>
      <x:c r="D144" s="14" t="str">
        <x:f>IF('Control Separation'!H84="SOURCE EMPTY","PASS","FAIL")</x:f>
        <x:v>PASS</x:v>
      </x:c>
      <x:c r="E144" s="14" t="str">
        <x:v>PASS</x:v>
      </x:c>
    </x:row>
    <x:row r="145">
      <x:c r="A145" s="14" t="str">
        <x:v>AU-141</x:v>
      </x:c>
      <x:c r="B145" s="14" t="str">
        <x:v>Control separation</x:v>
      </x:c>
      <x:c r="C145" s="14" t="str">
        <x:v>Control record 81 remains source-empty</x:v>
      </x:c>
      <x:c r="D145" s="14" t="str">
        <x:f>IF('Control Separation'!H85="SOURCE EMPTY","PASS","FAIL")</x:f>
        <x:v>PASS</x:v>
      </x:c>
      <x:c r="E145" s="14" t="str">
        <x:v>PASS</x:v>
      </x:c>
    </x:row>
    <x:row r="146">
      <x:c r="A146" s="14" t="str">
        <x:v>AU-142</x:v>
      </x:c>
      <x:c r="B146" s="14" t="str">
        <x:v>Control separation</x:v>
      </x:c>
      <x:c r="C146" s="14" t="str">
        <x:v>Control record 82 remains source-empty</x:v>
      </x:c>
      <x:c r="D146" s="14" t="str">
        <x:f>IF('Control Separation'!H86="SOURCE EMPTY","PASS","FAIL")</x:f>
        <x:v>PASS</x:v>
      </x:c>
      <x:c r="E146" s="14" t="str">
        <x:v>PASS</x:v>
      </x:c>
    </x:row>
    <x:row r="147">
      <x:c r="A147" s="14" t="str">
        <x:v>AU-143</x:v>
      </x:c>
      <x:c r="B147" s="14" t="str">
        <x:v>Control separation</x:v>
      </x:c>
      <x:c r="C147" s="14" t="str">
        <x:v>Control record 83 remains source-empty</x:v>
      </x:c>
      <x:c r="D147" s="14" t="str">
        <x:f>IF('Control Separation'!H87="SOURCE EMPTY","PASS","FAIL")</x:f>
        <x:v>PASS</x:v>
      </x:c>
      <x:c r="E147" s="14" t="str">
        <x:v>PASS</x:v>
      </x:c>
    </x:row>
    <x:row r="148">
      <x:c r="A148" s="14" t="str">
        <x:v>AU-144</x:v>
      </x:c>
      <x:c r="B148" s="14" t="str">
        <x:v>Control separation</x:v>
      </x:c>
      <x:c r="C148" s="14" t="str">
        <x:v>Control record 84 remains source-empty</x:v>
      </x:c>
      <x:c r="D148" s="14" t="str">
        <x:f>IF('Control Separation'!H88="SOURCE EMPTY","PASS","FAIL")</x:f>
        <x:v>PASS</x:v>
      </x:c>
      <x:c r="E148" s="14" t="str">
        <x:v>PASS</x:v>
      </x:c>
    </x:row>
    <x:row r="149">
      <x:c r="A149" s="14" t="str">
        <x:v>AU-145</x:v>
      </x:c>
      <x:c r="B149" s="14" t="str">
        <x:v>Control separation</x:v>
      </x:c>
      <x:c r="C149" s="14" t="str">
        <x:v>Control record 85 remains source-empty</x:v>
      </x:c>
      <x:c r="D149" s="14" t="str">
        <x:f>IF('Control Separation'!H89="SOURCE EMPTY","PASS","FAIL")</x:f>
        <x:v>PASS</x:v>
      </x:c>
      <x:c r="E149" s="14" t="str">
        <x:v>PASS</x:v>
      </x:c>
    </x:row>
    <x:row r="150">
      <x:c r="A150" s="14" t="str">
        <x:v>AU-146</x:v>
      </x:c>
      <x:c r="B150" s="14" t="str">
        <x:v>Control separation</x:v>
      </x:c>
      <x:c r="C150" s="14" t="str">
        <x:v>Control record 86 remains source-empty</x:v>
      </x:c>
      <x:c r="D150" s="14" t="str">
        <x:f>IF('Control Separation'!H90="SOURCE EMPTY","PASS","FAIL")</x:f>
        <x:v>PASS</x:v>
      </x:c>
      <x:c r="E150" s="14" t="str">
        <x:v>PASS</x:v>
      </x:c>
    </x:row>
    <x:row r="151">
      <x:c r="A151" s="14" t="str">
        <x:v>AU-147</x:v>
      </x:c>
      <x:c r="B151" s="14" t="str">
        <x:v>Control separation</x:v>
      </x:c>
      <x:c r="C151" s="14" t="str">
        <x:v>Control record 87 remains source-empty</x:v>
      </x:c>
      <x:c r="D151" s="14" t="str">
        <x:f>IF('Control Separation'!H91="SOURCE EMPTY","PASS","FAIL")</x:f>
        <x:v>PASS</x:v>
      </x:c>
      <x:c r="E151" s="14" t="str">
        <x:v>PASS</x:v>
      </x:c>
    </x:row>
    <x:row r="152">
      <x:c r="A152" s="14" t="str">
        <x:v>AU-148</x:v>
      </x:c>
      <x:c r="B152" s="14" t="str">
        <x:v>Control separation</x:v>
      </x:c>
      <x:c r="C152" s="14" t="str">
        <x:v>Control record 88 remains source-empty</x:v>
      </x:c>
      <x:c r="D152" s="14" t="str">
        <x:f>IF('Control Separation'!H92="SOURCE EMPTY","PASS","FAIL")</x:f>
        <x:v>PASS</x:v>
      </x:c>
      <x:c r="E152" s="14" t="str">
        <x:v>PASS</x:v>
      </x:c>
    </x:row>
    <x:row r="153">
      <x:c r="A153" s="14" t="str">
        <x:v>AU-149</x:v>
      </x:c>
      <x:c r="B153" s="14" t="str">
        <x:v>Control separation</x:v>
      </x:c>
      <x:c r="C153" s="14" t="str">
        <x:v>Control record 89 remains source-empty</x:v>
      </x:c>
      <x:c r="D153" s="14" t="str">
        <x:f>IF('Control Separation'!H93="SOURCE EMPTY","PASS","FAIL")</x:f>
        <x:v>PASS</x:v>
      </x:c>
      <x:c r="E153" s="14" t="str">
        <x:v>PASS</x:v>
      </x:c>
    </x:row>
    <x:row r="154">
      <x:c r="A154" s="14" t="str">
        <x:v>AU-150</x:v>
      </x:c>
      <x:c r="B154" s="14" t="str">
        <x:v>Control separation</x:v>
      </x:c>
      <x:c r="C154" s="14" t="str">
        <x:v>Control record 90 remains source-empty</x:v>
      </x:c>
      <x:c r="D154" s="14" t="str">
        <x:f>IF('Control Separation'!H94="SOURCE EMPTY","PASS","FAIL")</x:f>
        <x:v>PASS</x:v>
      </x:c>
      <x:c r="E154" s="14" t="str">
        <x:v>PASS</x:v>
      </x:c>
    </x:row>
    <x:row r="155">
      <x:c r="A155" s="14" t="str">
        <x:v>AU-151</x:v>
      </x:c>
      <x:c r="B155" s="14" t="str">
        <x:v>Control separation</x:v>
      </x:c>
      <x:c r="C155" s="14" t="str">
        <x:v>Control record 91 remains source-empty</x:v>
      </x:c>
      <x:c r="D155" s="14" t="str">
        <x:f>IF('Control Separation'!H95="SOURCE EMPTY","PASS","FAIL")</x:f>
        <x:v>PASS</x:v>
      </x:c>
      <x:c r="E155" s="14" t="str">
        <x:v>PASS</x:v>
      </x:c>
    </x:row>
    <x:row r="156">
      <x:c r="A156" s="14" t="str">
        <x:v>AU-152</x:v>
      </x:c>
      <x:c r="B156" s="14" t="str">
        <x:v>Control separation</x:v>
      </x:c>
      <x:c r="C156" s="14" t="str">
        <x:v>Control record 92 remains source-empty</x:v>
      </x:c>
      <x:c r="D156" s="14" t="str">
        <x:f>IF('Control Separation'!H96="SOURCE EMPTY","PASS","FAIL")</x:f>
        <x:v>PASS</x:v>
      </x:c>
      <x:c r="E156" s="14" t="str">
        <x:v>PASS</x:v>
      </x:c>
    </x:row>
    <x:row r="157">
      <x:c r="A157" s="14" t="str">
        <x:v>AU-153</x:v>
      </x:c>
      <x:c r="B157" s="14" t="str">
        <x:v>Control separation</x:v>
      </x:c>
      <x:c r="C157" s="14" t="str">
        <x:v>Control record 93 remains source-empty</x:v>
      </x:c>
      <x:c r="D157" s="14" t="str">
        <x:f>IF('Control Separation'!H97="SOURCE EMPTY","PASS","FAIL")</x:f>
        <x:v>PASS</x:v>
      </x:c>
      <x:c r="E157" s="14" t="str">
        <x:v>PASS</x:v>
      </x:c>
    </x:row>
    <x:row r="158">
      <x:c r="A158" s="14" t="str">
        <x:v>AU-154</x:v>
      </x:c>
      <x:c r="B158" s="14" t="str">
        <x:v>Control separation</x:v>
      </x:c>
      <x:c r="C158" s="14" t="str">
        <x:v>Control record 94 remains source-empty</x:v>
      </x:c>
      <x:c r="D158" s="14" t="str">
        <x:f>IF('Control Separation'!H98="SOURCE EMPTY","PASS","FAIL")</x:f>
        <x:v>PASS</x:v>
      </x:c>
      <x:c r="E158" s="14" t="str">
        <x:v>PASS</x:v>
      </x:c>
    </x:row>
    <x:row r="159">
      <x:c r="A159" s="14" t="str">
        <x:v>AU-155</x:v>
      </x:c>
      <x:c r="B159" s="14" t="str">
        <x:v>Control separation</x:v>
      </x:c>
      <x:c r="C159" s="14" t="str">
        <x:v>Control record 95 remains source-empty</x:v>
      </x:c>
      <x:c r="D159" s="14" t="str">
        <x:f>IF('Control Separation'!H99="SOURCE EMPTY","PASS","FAIL")</x:f>
        <x:v>PASS</x:v>
      </x:c>
      <x:c r="E159" s="14" t="str">
        <x:v>PASS</x:v>
      </x:c>
    </x:row>
    <x:row r="160">
      <x:c r="A160" s="14" t="str">
        <x:v>AU-156</x:v>
      </x:c>
      <x:c r="B160" s="14" t="str">
        <x:v>Control separation</x:v>
      </x:c>
      <x:c r="C160" s="14" t="str">
        <x:v>Control record 96 remains source-empty</x:v>
      </x:c>
      <x:c r="D160" s="14" t="str">
        <x:f>IF('Control Separation'!H100="SOURCE EMPTY","PASS","FAIL")</x:f>
        <x:v>PASS</x:v>
      </x:c>
      <x:c r="E160" s="14" t="str">
        <x:v>PASS</x:v>
      </x:c>
    </x:row>
    <x:row r="161">
      <x:c r="A161" s="14" t="str">
        <x:v>AU-157</x:v>
      </x:c>
      <x:c r="B161" s="14" t="str">
        <x:v>Dependency</x:v>
      </x:c>
      <x:c r="C161" s="14" t="str">
        <x:v>Dependency record 1 remains source-empty</x:v>
      </x:c>
      <x:c r="D161" s="14" t="str">
        <x:f>IF('Dependency Pools'!M5="SOURCE EMPTY","PASS","FAIL")</x:f>
        <x:v>PASS</x:v>
      </x:c>
      <x:c r="E161" s="14" t="str">
        <x:v>PASS</x:v>
      </x:c>
    </x:row>
    <x:row r="162">
      <x:c r="A162" s="14" t="str">
        <x:v>AU-158</x:v>
      </x:c>
      <x:c r="B162" s="14" t="str">
        <x:v>Dependency</x:v>
      </x:c>
      <x:c r="C162" s="14" t="str">
        <x:v>Dependency record 2 remains source-empty</x:v>
      </x:c>
      <x:c r="D162" s="14" t="str">
        <x:f>IF('Dependency Pools'!M6="SOURCE EMPTY","PASS","FAIL")</x:f>
        <x:v>PASS</x:v>
      </x:c>
      <x:c r="E162" s="14" t="str">
        <x:v>PASS</x:v>
      </x:c>
    </x:row>
    <x:row r="163">
      <x:c r="A163" s="14" t="str">
        <x:v>AU-159</x:v>
      </x:c>
      <x:c r="B163" s="14" t="str">
        <x:v>Dependency</x:v>
      </x:c>
      <x:c r="C163" s="14" t="str">
        <x:v>Dependency record 3 remains source-empty</x:v>
      </x:c>
      <x:c r="D163" s="14" t="str">
        <x:f>IF('Dependency Pools'!M7="SOURCE EMPTY","PASS","FAIL")</x:f>
        <x:v>PASS</x:v>
      </x:c>
      <x:c r="E163" s="14" t="str">
        <x:v>PASS</x:v>
      </x:c>
    </x:row>
    <x:row r="164">
      <x:c r="A164" s="14" t="str">
        <x:v>AU-160</x:v>
      </x:c>
      <x:c r="B164" s="14" t="str">
        <x:v>Dependency</x:v>
      </x:c>
      <x:c r="C164" s="14" t="str">
        <x:v>Dependency record 4 remains source-empty</x:v>
      </x:c>
      <x:c r="D164" s="14" t="str">
        <x:f>IF('Dependency Pools'!M8="SOURCE EMPTY","PASS","FAIL")</x:f>
        <x:v>PASS</x:v>
      </x:c>
      <x:c r="E164" s="14" t="str">
        <x:v>PASS</x:v>
      </x:c>
    </x:row>
    <x:row r="165">
      <x:c r="A165" s="14" t="str">
        <x:v>AU-161</x:v>
      </x:c>
      <x:c r="B165" s="14" t="str">
        <x:v>Dependency</x:v>
      </x:c>
      <x:c r="C165" s="14" t="str">
        <x:v>Dependency record 5 remains source-empty</x:v>
      </x:c>
      <x:c r="D165" s="14" t="str">
        <x:f>IF('Dependency Pools'!M9="SOURCE EMPTY","PASS","FAIL")</x:f>
        <x:v>PASS</x:v>
      </x:c>
      <x:c r="E165" s="14" t="str">
        <x:v>PASS</x:v>
      </x:c>
    </x:row>
    <x:row r="166">
      <x:c r="A166" s="14" t="str">
        <x:v>AU-162</x:v>
      </x:c>
      <x:c r="B166" s="14" t="str">
        <x:v>Dependency</x:v>
      </x:c>
      <x:c r="C166" s="14" t="str">
        <x:v>Dependency record 6 remains source-empty</x:v>
      </x:c>
      <x:c r="D166" s="14" t="str">
        <x:f>IF('Dependency Pools'!M10="SOURCE EMPTY","PASS","FAIL")</x:f>
        <x:v>PASS</x:v>
      </x:c>
      <x:c r="E166" s="14" t="str">
        <x:v>PASS</x:v>
      </x:c>
    </x:row>
    <x:row r="167">
      <x:c r="A167" s="14" t="str">
        <x:v>AU-163</x:v>
      </x:c>
      <x:c r="B167" s="14" t="str">
        <x:v>Dependency</x:v>
      </x:c>
      <x:c r="C167" s="14" t="str">
        <x:v>Dependency record 7 remains source-empty</x:v>
      </x:c>
      <x:c r="D167" s="14" t="str">
        <x:f>IF('Dependency Pools'!M11="SOURCE EMPTY","PASS","FAIL")</x:f>
        <x:v>PASS</x:v>
      </x:c>
      <x:c r="E167" s="14" t="str">
        <x:v>PASS</x:v>
      </x:c>
    </x:row>
    <x:row r="168">
      <x:c r="A168" s="14" t="str">
        <x:v>AU-164</x:v>
      </x:c>
      <x:c r="B168" s="14" t="str">
        <x:v>Dependency</x:v>
      </x:c>
      <x:c r="C168" s="14" t="str">
        <x:v>Dependency record 8 remains source-empty</x:v>
      </x:c>
      <x:c r="D168" s="14" t="str">
        <x:f>IF('Dependency Pools'!M12="SOURCE EMPTY","PASS","FAIL")</x:f>
        <x:v>PASS</x:v>
      </x:c>
      <x:c r="E168" s="14" t="str">
        <x:v>PASS</x:v>
      </x:c>
    </x:row>
    <x:row r="169">
      <x:c r="A169" s="14" t="str">
        <x:v>AU-165</x:v>
      </x:c>
      <x:c r="B169" s="14" t="str">
        <x:v>Dependency</x:v>
      </x:c>
      <x:c r="C169" s="14" t="str">
        <x:v>Dependency record 9 remains source-empty</x:v>
      </x:c>
      <x:c r="D169" s="14" t="str">
        <x:f>IF('Dependency Pools'!M13="SOURCE EMPTY","PASS","FAIL")</x:f>
        <x:v>PASS</x:v>
      </x:c>
      <x:c r="E169" s="14" t="str">
        <x:v>PASS</x:v>
      </x:c>
    </x:row>
    <x:row r="170">
      <x:c r="A170" s="14" t="str">
        <x:v>AU-166</x:v>
      </x:c>
      <x:c r="B170" s="14" t="str">
        <x:v>Dependency</x:v>
      </x:c>
      <x:c r="C170" s="14" t="str">
        <x:v>Dependency record 10 remains source-empty</x:v>
      </x:c>
      <x:c r="D170" s="14" t="str">
        <x:f>IF('Dependency Pools'!M14="SOURCE EMPTY","PASS","FAIL")</x:f>
        <x:v>PASS</x:v>
      </x:c>
      <x:c r="E170" s="14" t="str">
        <x:v>PASS</x:v>
      </x:c>
    </x:row>
    <x:row r="171">
      <x:c r="A171" s="14" t="str">
        <x:v>AU-167</x:v>
      </x:c>
      <x:c r="B171" s="14" t="str">
        <x:v>Dependency</x:v>
      </x:c>
      <x:c r="C171" s="14" t="str">
        <x:v>Dependency record 11 remains source-empty</x:v>
      </x:c>
      <x:c r="D171" s="14" t="str">
        <x:f>IF('Dependency Pools'!M15="SOURCE EMPTY","PASS","FAIL")</x:f>
        <x:v>PASS</x:v>
      </x:c>
      <x:c r="E171" s="14" t="str">
        <x:v>PASS</x:v>
      </x:c>
    </x:row>
    <x:row r="172">
      <x:c r="A172" s="14" t="str">
        <x:v>AU-168</x:v>
      </x:c>
      <x:c r="B172" s="14" t="str">
        <x:v>Dependency</x:v>
      </x:c>
      <x:c r="C172" s="14" t="str">
        <x:v>Dependency record 12 remains source-empty</x:v>
      </x:c>
      <x:c r="D172" s="14" t="str">
        <x:f>IF('Dependency Pools'!M16="SOURCE EMPTY","PASS","FAIL")</x:f>
        <x:v>PASS</x:v>
      </x:c>
      <x:c r="E172" s="14" t="str">
        <x:v>PASS</x:v>
      </x:c>
    </x:row>
    <x:row r="173">
      <x:c r="A173" s="14" t="str">
        <x:v>AU-169</x:v>
      </x:c>
      <x:c r="B173" s="14" t="str">
        <x:v>Dependency</x:v>
      </x:c>
      <x:c r="C173" s="14" t="str">
        <x:v>Dependency record 13 remains source-empty</x:v>
      </x:c>
      <x:c r="D173" s="14" t="str">
        <x:f>IF('Dependency Pools'!M17="SOURCE EMPTY","PASS","FAIL")</x:f>
        <x:v>PASS</x:v>
      </x:c>
      <x:c r="E173" s="14" t="str">
        <x:v>PASS</x:v>
      </x:c>
    </x:row>
    <x:row r="174">
      <x:c r="A174" s="14" t="str">
        <x:v>AU-170</x:v>
      </x:c>
      <x:c r="B174" s="14" t="str">
        <x:v>Dependency</x:v>
      </x:c>
      <x:c r="C174" s="14" t="str">
        <x:v>Dependency record 14 remains source-empty</x:v>
      </x:c>
      <x:c r="D174" s="14" t="str">
        <x:f>IF('Dependency Pools'!M18="SOURCE EMPTY","PASS","FAIL")</x:f>
        <x:v>PASS</x:v>
      </x:c>
      <x:c r="E174" s="14" t="str">
        <x:v>PASS</x:v>
      </x:c>
    </x:row>
    <x:row r="175">
      <x:c r="A175" s="14" t="str">
        <x:v>AU-171</x:v>
      </x:c>
      <x:c r="B175" s="14" t="str">
        <x:v>Dependency</x:v>
      </x:c>
      <x:c r="C175" s="14" t="str">
        <x:v>Dependency record 15 remains source-empty</x:v>
      </x:c>
      <x:c r="D175" s="14" t="str">
        <x:f>IF('Dependency Pools'!M19="SOURCE EMPTY","PASS","FAIL")</x:f>
        <x:v>PASS</x:v>
      </x:c>
      <x:c r="E175" s="14" t="str">
        <x:v>PASS</x:v>
      </x:c>
    </x:row>
    <x:row r="176">
      <x:c r="A176" s="14" t="str">
        <x:v>AU-172</x:v>
      </x:c>
      <x:c r="B176" s="14" t="str">
        <x:v>Dependency</x:v>
      </x:c>
      <x:c r="C176" s="14" t="str">
        <x:v>Dependency record 16 remains source-empty</x:v>
      </x:c>
      <x:c r="D176" s="14" t="str">
        <x:f>IF('Dependency Pools'!M20="SOURCE EMPTY","PASS","FAIL")</x:f>
        <x:v>PASS</x:v>
      </x:c>
      <x:c r="E176" s="14" t="str">
        <x:v>PASS</x:v>
      </x:c>
    </x:row>
    <x:row r="177">
      <x:c r="A177" s="14" t="str">
        <x:v>AU-173</x:v>
      </x:c>
      <x:c r="B177" s="14" t="str">
        <x:v>Dependency</x:v>
      </x:c>
      <x:c r="C177" s="14" t="str">
        <x:v>Dependency record 17 remains source-empty</x:v>
      </x:c>
      <x:c r="D177" s="14" t="str">
        <x:f>IF('Dependency Pools'!M21="SOURCE EMPTY","PASS","FAIL")</x:f>
        <x:v>PASS</x:v>
      </x:c>
      <x:c r="E177" s="14" t="str">
        <x:v>PASS</x:v>
      </x:c>
    </x:row>
    <x:row r="178">
      <x:c r="A178" s="14" t="str">
        <x:v>AU-174</x:v>
      </x:c>
      <x:c r="B178" s="14" t="str">
        <x:v>Dependency</x:v>
      </x:c>
      <x:c r="C178" s="14" t="str">
        <x:v>Dependency record 18 remains source-empty</x:v>
      </x:c>
      <x:c r="D178" s="14" t="str">
        <x:f>IF('Dependency Pools'!M22="SOURCE EMPTY","PASS","FAIL")</x:f>
        <x:v>PASS</x:v>
      </x:c>
      <x:c r="E178" s="14" t="str">
        <x:v>PASS</x:v>
      </x:c>
    </x:row>
    <x:row r="179">
      <x:c r="A179" s="14" t="str">
        <x:v>AU-175</x:v>
      </x:c>
      <x:c r="B179" s="14" t="str">
        <x:v>Dependency</x:v>
      </x:c>
      <x:c r="C179" s="14" t="str">
        <x:v>Dependency record 19 remains source-empty</x:v>
      </x:c>
      <x:c r="D179" s="14" t="str">
        <x:f>IF('Dependency Pools'!M23="SOURCE EMPTY","PASS","FAIL")</x:f>
        <x:v>PASS</x:v>
      </x:c>
      <x:c r="E179" s="14" t="str">
        <x:v>PASS</x:v>
      </x:c>
    </x:row>
    <x:row r="180">
      <x:c r="A180" s="14" t="str">
        <x:v>AU-176</x:v>
      </x:c>
      <x:c r="B180" s="14" t="str">
        <x:v>Dependency</x:v>
      </x:c>
      <x:c r="C180" s="14" t="str">
        <x:v>Dependency record 20 remains source-empty</x:v>
      </x:c>
      <x:c r="D180" s="14" t="str">
        <x:f>IF('Dependency Pools'!M24="SOURCE EMPTY","PASS","FAIL")</x:f>
        <x:v>PASS</x:v>
      </x:c>
      <x:c r="E180" s="14" t="str">
        <x:v>PASS</x:v>
      </x:c>
    </x:row>
    <x:row r="181">
      <x:c r="A181" s="14" t="str">
        <x:v>AU-177</x:v>
      </x:c>
      <x:c r="B181" s="14" t="str">
        <x:v>Dependency</x:v>
      </x:c>
      <x:c r="C181" s="14" t="str">
        <x:v>Dependency record 21 remains source-empty</x:v>
      </x:c>
      <x:c r="D181" s="14" t="str">
        <x:f>IF('Dependency Pools'!M25="SOURCE EMPTY","PASS","FAIL")</x:f>
        <x:v>PASS</x:v>
      </x:c>
      <x:c r="E181" s="14" t="str">
        <x:v>PASS</x:v>
      </x:c>
    </x:row>
    <x:row r="182">
      <x:c r="A182" s="14" t="str">
        <x:v>AU-178</x:v>
      </x:c>
      <x:c r="B182" s="14" t="str">
        <x:v>Dependency</x:v>
      </x:c>
      <x:c r="C182" s="14" t="str">
        <x:v>Dependency record 22 remains source-empty</x:v>
      </x:c>
      <x:c r="D182" s="14" t="str">
        <x:f>IF('Dependency Pools'!M26="SOURCE EMPTY","PASS","FAIL")</x:f>
        <x:v>PASS</x:v>
      </x:c>
      <x:c r="E182" s="14" t="str">
        <x:v>PASS</x:v>
      </x:c>
    </x:row>
    <x:row r="183">
      <x:c r="A183" s="14" t="str">
        <x:v>AU-179</x:v>
      </x:c>
      <x:c r="B183" s="14" t="str">
        <x:v>Dependency</x:v>
      </x:c>
      <x:c r="C183" s="14" t="str">
        <x:v>Dependency record 23 remains source-empty</x:v>
      </x:c>
      <x:c r="D183" s="14" t="str">
        <x:f>IF('Dependency Pools'!M27="SOURCE EMPTY","PASS","FAIL")</x:f>
        <x:v>PASS</x:v>
      </x:c>
      <x:c r="E183" s="14" t="str">
        <x:v>PASS</x:v>
      </x:c>
    </x:row>
    <x:row r="184">
      <x:c r="A184" s="14" t="str">
        <x:v>AU-180</x:v>
      </x:c>
      <x:c r="B184" s="14" t="str">
        <x:v>Dependency</x:v>
      </x:c>
      <x:c r="C184" s="14" t="str">
        <x:v>Dependency record 24 remains source-empty</x:v>
      </x:c>
      <x:c r="D184" s="14" t="str">
        <x:f>IF('Dependency Pools'!M28="SOURCE EMPTY","PASS","FAIL")</x:f>
        <x:v>PASS</x:v>
      </x:c>
      <x:c r="E184" s="14" t="str">
        <x:v>PASS</x:v>
      </x:c>
    </x:row>
    <x:row r="185">
      <x:c r="A185" s="14" t="str">
        <x:v>AU-181</x:v>
      </x:c>
      <x:c r="B185" s="14" t="str">
        <x:v>Dependency</x:v>
      </x:c>
      <x:c r="C185" s="14" t="str">
        <x:v>Dependency record 25 remains source-empty</x:v>
      </x:c>
      <x:c r="D185" s="14" t="str">
        <x:f>IF('Dependency Pools'!M29="SOURCE EMPTY","PASS","FAIL")</x:f>
        <x:v>PASS</x:v>
      </x:c>
      <x:c r="E185" s="14" t="str">
        <x:v>PASS</x:v>
      </x:c>
    </x:row>
    <x:row r="186">
      <x:c r="A186" s="14" t="str">
        <x:v>AU-182</x:v>
      </x:c>
      <x:c r="B186" s="14" t="str">
        <x:v>Dependency</x:v>
      </x:c>
      <x:c r="C186" s="14" t="str">
        <x:v>Dependency record 26 remains source-empty</x:v>
      </x:c>
      <x:c r="D186" s="14" t="str">
        <x:f>IF('Dependency Pools'!M30="SOURCE EMPTY","PASS","FAIL")</x:f>
        <x:v>PASS</x:v>
      </x:c>
      <x:c r="E186" s="14" t="str">
        <x:v>PASS</x:v>
      </x:c>
    </x:row>
    <x:row r="187">
      <x:c r="A187" s="14" t="str">
        <x:v>AU-183</x:v>
      </x:c>
      <x:c r="B187" s="14" t="str">
        <x:v>Dependency</x:v>
      </x:c>
      <x:c r="C187" s="14" t="str">
        <x:v>Dependency record 27 remains source-empty</x:v>
      </x:c>
      <x:c r="D187" s="14" t="str">
        <x:f>IF('Dependency Pools'!M31="SOURCE EMPTY","PASS","FAIL")</x:f>
        <x:v>PASS</x:v>
      </x:c>
      <x:c r="E187" s="14" t="str">
        <x:v>PASS</x:v>
      </x:c>
    </x:row>
    <x:row r="188">
      <x:c r="A188" s="14" t="str">
        <x:v>AU-184</x:v>
      </x:c>
      <x:c r="B188" s="14" t="str">
        <x:v>Dependency</x:v>
      </x:c>
      <x:c r="C188" s="14" t="str">
        <x:v>Dependency record 28 remains source-empty</x:v>
      </x:c>
      <x:c r="D188" s="14" t="str">
        <x:f>IF('Dependency Pools'!M32="SOURCE EMPTY","PASS","FAIL")</x:f>
        <x:v>PASS</x:v>
      </x:c>
      <x:c r="E188" s="14" t="str">
        <x:v>PASS</x:v>
      </x:c>
    </x:row>
    <x:row r="189">
      <x:c r="A189" s="14" t="str">
        <x:v>AU-185</x:v>
      </x:c>
      <x:c r="B189" s="14" t="str">
        <x:v>Dependency</x:v>
      </x:c>
      <x:c r="C189" s="14" t="str">
        <x:v>Dependency record 29 remains source-empty</x:v>
      </x:c>
      <x:c r="D189" s="14" t="str">
        <x:f>IF('Dependency Pools'!M33="SOURCE EMPTY","PASS","FAIL")</x:f>
        <x:v>PASS</x:v>
      </x:c>
      <x:c r="E189" s="14" t="str">
        <x:v>PASS</x:v>
      </x:c>
    </x:row>
    <x:row r="190">
      <x:c r="A190" s="14" t="str">
        <x:v>AU-186</x:v>
      </x:c>
      <x:c r="B190" s="14" t="str">
        <x:v>Dependency</x:v>
      </x:c>
      <x:c r="C190" s="14" t="str">
        <x:v>Dependency record 30 remains source-empty</x:v>
      </x:c>
      <x:c r="D190" s="14" t="str">
        <x:f>IF('Dependency Pools'!M34="SOURCE EMPTY","PASS","FAIL")</x:f>
        <x:v>PASS</x:v>
      </x:c>
      <x:c r="E190" s="14" t="str">
        <x:v>PASS</x:v>
      </x:c>
    </x:row>
    <x:row r="191">
      <x:c r="A191" s="14" t="str">
        <x:v>AU-187</x:v>
      </x:c>
      <x:c r="B191" s="14" t="str">
        <x:v>Dependency</x:v>
      </x:c>
      <x:c r="C191" s="14" t="str">
        <x:v>Dependency record 31 remains source-empty</x:v>
      </x:c>
      <x:c r="D191" s="14" t="str">
        <x:f>IF('Dependency Pools'!M35="SOURCE EMPTY","PASS","FAIL")</x:f>
        <x:v>PASS</x:v>
      </x:c>
      <x:c r="E191" s="14" t="str">
        <x:v>PASS</x:v>
      </x:c>
    </x:row>
    <x:row r="192">
      <x:c r="A192" s="14" t="str">
        <x:v>AU-188</x:v>
      </x:c>
      <x:c r="B192" s="14" t="str">
        <x:v>Dependency</x:v>
      </x:c>
      <x:c r="C192" s="14" t="str">
        <x:v>Dependency record 32 remains source-empty</x:v>
      </x:c>
      <x:c r="D192" s="14" t="str">
        <x:f>IF('Dependency Pools'!M36="SOURCE EMPTY","PASS","FAIL")</x:f>
        <x:v>PASS</x:v>
      </x:c>
      <x:c r="E192" s="14" t="str">
        <x:v>PASS</x:v>
      </x:c>
    </x:row>
    <x:row r="193">
      <x:c r="A193" s="14" t="str">
        <x:v>AU-189</x:v>
      </x:c>
      <x:c r="B193" s="14" t="str">
        <x:v>Dependency</x:v>
      </x:c>
      <x:c r="C193" s="14" t="str">
        <x:v>Dependency record 33 remains source-empty</x:v>
      </x:c>
      <x:c r="D193" s="14" t="str">
        <x:f>IF('Dependency Pools'!M37="SOURCE EMPTY","PASS","FAIL")</x:f>
        <x:v>PASS</x:v>
      </x:c>
      <x:c r="E193" s="14" t="str">
        <x:v>PASS</x:v>
      </x:c>
    </x:row>
    <x:row r="194">
      <x:c r="A194" s="14" t="str">
        <x:v>AU-190</x:v>
      </x:c>
      <x:c r="B194" s="14" t="str">
        <x:v>Dependency</x:v>
      </x:c>
      <x:c r="C194" s="14" t="str">
        <x:v>Dependency record 34 remains source-empty</x:v>
      </x:c>
      <x:c r="D194" s="14" t="str">
        <x:f>IF('Dependency Pools'!M38="SOURCE EMPTY","PASS","FAIL")</x:f>
        <x:v>PASS</x:v>
      </x:c>
      <x:c r="E194" s="14" t="str">
        <x:v>PASS</x:v>
      </x:c>
    </x:row>
    <x:row r="195">
      <x:c r="A195" s="14" t="str">
        <x:v>AU-191</x:v>
      </x:c>
      <x:c r="B195" s="14" t="str">
        <x:v>Dependency</x:v>
      </x:c>
      <x:c r="C195" s="14" t="str">
        <x:v>Dependency record 35 remains source-empty</x:v>
      </x:c>
      <x:c r="D195" s="14" t="str">
        <x:f>IF('Dependency Pools'!M39="SOURCE EMPTY","PASS","FAIL")</x:f>
        <x:v>PASS</x:v>
      </x:c>
      <x:c r="E195" s="14" t="str">
        <x:v>PASS</x:v>
      </x:c>
    </x:row>
    <x:row r="196">
      <x:c r="A196" s="14" t="str">
        <x:v>AU-192</x:v>
      </x:c>
      <x:c r="B196" s="14" t="str">
        <x:v>Dependency</x:v>
      </x:c>
      <x:c r="C196" s="14" t="str">
        <x:v>Dependency record 36 remains source-empty</x:v>
      </x:c>
      <x:c r="D196" s="14" t="str">
        <x:f>IF('Dependency Pools'!M40="SOURCE EMPTY","PASS","FAIL")</x:f>
        <x:v>PASS</x:v>
      </x:c>
      <x:c r="E196" s="14" t="str">
        <x:v>PASS</x:v>
      </x:c>
    </x:row>
    <x:row r="197">
      <x:c r="A197" s="14" t="str">
        <x:v>AU-193</x:v>
      </x:c>
      <x:c r="B197" s="14" t="str">
        <x:v>Dependency</x:v>
      </x:c>
      <x:c r="C197" s="14" t="str">
        <x:v>Dependency record 37 remains source-empty</x:v>
      </x:c>
      <x:c r="D197" s="14" t="str">
        <x:f>IF('Dependency Pools'!M41="SOURCE EMPTY","PASS","FAIL")</x:f>
        <x:v>PASS</x:v>
      </x:c>
      <x:c r="E197" s="14" t="str">
        <x:v>PASS</x:v>
      </x:c>
    </x:row>
    <x:row r="198">
      <x:c r="A198" s="14" t="str">
        <x:v>AU-194</x:v>
      </x:c>
      <x:c r="B198" s="14" t="str">
        <x:v>Dependency</x:v>
      </x:c>
      <x:c r="C198" s="14" t="str">
        <x:v>Dependency record 38 remains source-empty</x:v>
      </x:c>
      <x:c r="D198" s="14" t="str">
        <x:f>IF('Dependency Pools'!M42="SOURCE EMPTY","PASS","FAIL")</x:f>
        <x:v>PASS</x:v>
      </x:c>
      <x:c r="E198" s="14" t="str">
        <x:v>PASS</x:v>
      </x:c>
    </x:row>
    <x:row r="199">
      <x:c r="A199" s="14" t="str">
        <x:v>AU-195</x:v>
      </x:c>
      <x:c r="B199" s="14" t="str">
        <x:v>Dependency</x:v>
      </x:c>
      <x:c r="C199" s="14" t="str">
        <x:v>Dependency record 39 remains source-empty</x:v>
      </x:c>
      <x:c r="D199" s="14" t="str">
        <x:f>IF('Dependency Pools'!M43="SOURCE EMPTY","PASS","FAIL")</x:f>
        <x:v>PASS</x:v>
      </x:c>
      <x:c r="E199" s="14" t="str">
        <x:v>PASS</x:v>
      </x:c>
    </x:row>
    <x:row r="200">
      <x:c r="A200" s="14" t="str">
        <x:v>AU-196</x:v>
      </x:c>
      <x:c r="B200" s="14" t="str">
        <x:v>Dependency</x:v>
      </x:c>
      <x:c r="C200" s="14" t="str">
        <x:v>Dependency record 40 remains source-empty</x:v>
      </x:c>
      <x:c r="D200" s="14" t="str">
        <x:f>IF('Dependency Pools'!M44="SOURCE EMPTY","PASS","FAIL")</x:f>
        <x:v>PASS</x:v>
      </x:c>
      <x:c r="E200" s="14" t="str">
        <x:v>PASS</x:v>
      </x:c>
    </x:row>
    <x:row r="201">
      <x:c r="A201" s="14" t="str">
        <x:v>AU-197</x:v>
      </x:c>
      <x:c r="B201" s="14" t="str">
        <x:v>Dependency</x:v>
      </x:c>
      <x:c r="C201" s="14" t="str">
        <x:v>Dependency record 41 remains source-empty</x:v>
      </x:c>
      <x:c r="D201" s="14" t="str">
        <x:f>IF('Dependency Pools'!M45="SOURCE EMPTY","PASS","FAIL")</x:f>
        <x:v>PASS</x:v>
      </x:c>
      <x:c r="E201" s="14" t="str">
        <x:v>PASS</x:v>
      </x:c>
    </x:row>
    <x:row r="202">
      <x:c r="A202" s="14" t="str">
        <x:v>AU-198</x:v>
      </x:c>
      <x:c r="B202" s="14" t="str">
        <x:v>Dependency</x:v>
      </x:c>
      <x:c r="C202" s="14" t="str">
        <x:v>Dependency record 42 remains source-empty</x:v>
      </x:c>
      <x:c r="D202" s="14" t="str">
        <x:f>IF('Dependency Pools'!M46="SOURCE EMPTY","PASS","FAIL")</x:f>
        <x:v>PASS</x:v>
      </x:c>
      <x:c r="E202" s="14" t="str">
        <x:v>PASS</x:v>
      </x:c>
    </x:row>
    <x:row r="203">
      <x:c r="A203" s="14" t="str">
        <x:v>AU-199</x:v>
      </x:c>
      <x:c r="B203" s="14" t="str">
        <x:v>Dependency</x:v>
      </x:c>
      <x:c r="C203" s="14" t="str">
        <x:v>Dependency record 43 remains source-empty</x:v>
      </x:c>
      <x:c r="D203" s="14" t="str">
        <x:f>IF('Dependency Pools'!M47="SOURCE EMPTY","PASS","FAIL")</x:f>
        <x:v>PASS</x:v>
      </x:c>
      <x:c r="E203" s="14" t="str">
        <x:v>PASS</x:v>
      </x:c>
    </x:row>
    <x:row r="204">
      <x:c r="A204" s="14" t="str">
        <x:v>AU-200</x:v>
      </x:c>
      <x:c r="B204" s="14" t="str">
        <x:v>Dependency</x:v>
      </x:c>
      <x:c r="C204" s="14" t="str">
        <x:v>Dependency record 44 remains source-empty</x:v>
      </x:c>
      <x:c r="D204" s="14" t="str">
        <x:f>IF('Dependency Pools'!M48="SOURCE EMPTY","PASS","FAIL")</x:f>
        <x:v>PASS</x:v>
      </x:c>
      <x:c r="E204" s="14" t="str">
        <x:v>PASS</x:v>
      </x:c>
    </x:row>
    <x:row r="205">
      <x:c r="A205" s="14" t="str">
        <x:v>AU-201</x:v>
      </x:c>
      <x:c r="B205" s="14" t="str">
        <x:v>Dependency</x:v>
      </x:c>
      <x:c r="C205" s="14" t="str">
        <x:v>Dependency record 45 remains source-empty</x:v>
      </x:c>
      <x:c r="D205" s="14" t="str">
        <x:f>IF('Dependency Pools'!M49="SOURCE EMPTY","PASS","FAIL")</x:f>
        <x:v>PASS</x:v>
      </x:c>
      <x:c r="E205" s="14" t="str">
        <x:v>PASS</x:v>
      </x:c>
    </x:row>
    <x:row r="206">
      <x:c r="A206" s="14" t="str">
        <x:v>AU-202</x:v>
      </x:c>
      <x:c r="B206" s="14" t="str">
        <x:v>Dependency</x:v>
      </x:c>
      <x:c r="C206" s="14" t="str">
        <x:v>Dependency record 46 remains source-empty</x:v>
      </x:c>
      <x:c r="D206" s="14" t="str">
        <x:f>IF('Dependency Pools'!M50="SOURCE EMPTY","PASS","FAIL")</x:f>
        <x:v>PASS</x:v>
      </x:c>
      <x:c r="E206" s="14" t="str">
        <x:v>PASS</x:v>
      </x:c>
    </x:row>
    <x:row r="207">
      <x:c r="A207" s="14" t="str">
        <x:v>AU-203</x:v>
      </x:c>
      <x:c r="B207" s="14" t="str">
        <x:v>Dependency</x:v>
      </x:c>
      <x:c r="C207" s="14" t="str">
        <x:v>Dependency record 47 remains source-empty</x:v>
      </x:c>
      <x:c r="D207" s="14" t="str">
        <x:f>IF('Dependency Pools'!M51="SOURCE EMPTY","PASS","FAIL")</x:f>
        <x:v>PASS</x:v>
      </x:c>
      <x:c r="E207" s="14" t="str">
        <x:v>PASS</x:v>
      </x:c>
    </x:row>
    <x:row r="208">
      <x:c r="A208" s="14" t="str">
        <x:v>AU-204</x:v>
      </x:c>
      <x:c r="B208" s="14" t="str">
        <x:v>Dependency</x:v>
      </x:c>
      <x:c r="C208" s="14" t="str">
        <x:v>Dependency record 48 remains source-empty</x:v>
      </x:c>
      <x:c r="D208" s="14" t="str">
        <x:f>IF('Dependency Pools'!M52="SOURCE EMPTY","PASS","FAIL")</x:f>
        <x:v>PASS</x:v>
      </x:c>
      <x:c r="E208" s="14" t="str">
        <x:v>PASS</x:v>
      </x:c>
    </x:row>
    <x:row r="209">
      <x:c r="A209" s="14" t="str">
        <x:v>AU-205</x:v>
      </x:c>
      <x:c r="B209" s="14" t="str">
        <x:v>Dependency</x:v>
      </x:c>
      <x:c r="C209" s="14" t="str">
        <x:v>Dependency record 49 remains source-empty</x:v>
      </x:c>
      <x:c r="D209" s="14" t="str">
        <x:f>IF('Dependency Pools'!M53="SOURCE EMPTY","PASS","FAIL")</x:f>
        <x:v>PASS</x:v>
      </x:c>
      <x:c r="E209" s="14" t="str">
        <x:v>PASS</x:v>
      </x:c>
    </x:row>
    <x:row r="210">
      <x:c r="A210" s="14" t="str">
        <x:v>AU-206</x:v>
      </x:c>
      <x:c r="B210" s="14" t="str">
        <x:v>Dependency</x:v>
      </x:c>
      <x:c r="C210" s="14" t="str">
        <x:v>Dependency record 50 remains source-empty</x:v>
      </x:c>
      <x:c r="D210" s="14" t="str">
        <x:f>IF('Dependency Pools'!M54="SOURCE EMPTY","PASS","FAIL")</x:f>
        <x:v>PASS</x:v>
      </x:c>
      <x:c r="E210" s="14" t="str">
        <x:v>PASS</x:v>
      </x:c>
    </x:row>
    <x:row r="211">
      <x:c r="A211" s="14" t="str">
        <x:v>AU-207</x:v>
      </x:c>
      <x:c r="B211" s="14" t="str">
        <x:v>Dependency</x:v>
      </x:c>
      <x:c r="C211" s="14" t="str">
        <x:v>Dependency record 51 remains source-empty</x:v>
      </x:c>
      <x:c r="D211" s="14" t="str">
        <x:f>IF('Dependency Pools'!M55="SOURCE EMPTY","PASS","FAIL")</x:f>
        <x:v>PASS</x:v>
      </x:c>
      <x:c r="E211" s="14" t="str">
        <x:v>PASS</x:v>
      </x:c>
    </x:row>
    <x:row r="212">
      <x:c r="A212" s="14" t="str">
        <x:v>AU-208</x:v>
      </x:c>
      <x:c r="B212" s="14" t="str">
        <x:v>Dependency</x:v>
      </x:c>
      <x:c r="C212" s="14" t="str">
        <x:v>Dependency record 52 remains source-empty</x:v>
      </x:c>
      <x:c r="D212" s="14" t="str">
        <x:f>IF('Dependency Pools'!M56="SOURCE EMPTY","PASS","FAIL")</x:f>
        <x:v>PASS</x:v>
      </x:c>
      <x:c r="E212" s="14" t="str">
        <x:v>PASS</x:v>
      </x:c>
    </x:row>
    <x:row r="213">
      <x:c r="A213" s="14" t="str">
        <x:v>AU-209</x:v>
      </x:c>
      <x:c r="B213" s="14" t="str">
        <x:v>Dependency</x:v>
      </x:c>
      <x:c r="C213" s="14" t="str">
        <x:v>Dependency record 53 remains source-empty</x:v>
      </x:c>
      <x:c r="D213" s="14" t="str">
        <x:f>IF('Dependency Pools'!M57="SOURCE EMPTY","PASS","FAIL")</x:f>
        <x:v>PASS</x:v>
      </x:c>
      <x:c r="E213" s="14" t="str">
        <x:v>PASS</x:v>
      </x:c>
    </x:row>
    <x:row r="214">
      <x:c r="A214" s="14" t="str">
        <x:v>AU-210</x:v>
      </x:c>
      <x:c r="B214" s="14" t="str">
        <x:v>Dependency</x:v>
      </x:c>
      <x:c r="C214" s="14" t="str">
        <x:v>Dependency record 54 remains source-empty</x:v>
      </x:c>
      <x:c r="D214" s="14" t="str">
        <x:f>IF('Dependency Pools'!M58="SOURCE EMPTY","PASS","FAIL")</x:f>
        <x:v>PASS</x:v>
      </x:c>
      <x:c r="E214" s="14" t="str">
        <x:v>PASS</x:v>
      </x:c>
    </x:row>
    <x:row r="215">
      <x:c r="A215" s="14" t="str">
        <x:v>AU-211</x:v>
      </x:c>
      <x:c r="B215" s="14" t="str">
        <x:v>Dependency</x:v>
      </x:c>
      <x:c r="C215" s="14" t="str">
        <x:v>Dependency record 55 remains source-empty</x:v>
      </x:c>
      <x:c r="D215" s="14" t="str">
        <x:f>IF('Dependency Pools'!M59="SOURCE EMPTY","PASS","FAIL")</x:f>
        <x:v>PASS</x:v>
      </x:c>
      <x:c r="E215" s="14" t="str">
        <x:v>PASS</x:v>
      </x:c>
    </x:row>
    <x:row r="216">
      <x:c r="A216" s="14" t="str">
        <x:v>AU-212</x:v>
      </x:c>
      <x:c r="B216" s="14" t="str">
        <x:v>Dependency</x:v>
      </x:c>
      <x:c r="C216" s="14" t="str">
        <x:v>Dependency record 56 remains source-empty</x:v>
      </x:c>
      <x:c r="D216" s="14" t="str">
        <x:f>IF('Dependency Pools'!M60="SOURCE EMPTY","PASS","FAIL")</x:f>
        <x:v>PASS</x:v>
      </x:c>
      <x:c r="E216" s="14" t="str">
        <x:v>PASS</x:v>
      </x:c>
    </x:row>
    <x:row r="217">
      <x:c r="A217" s="14" t="str">
        <x:v>AU-213</x:v>
      </x:c>
      <x:c r="B217" s="14" t="str">
        <x:v>Dependency</x:v>
      </x:c>
      <x:c r="C217" s="14" t="str">
        <x:v>Dependency record 57 remains source-empty</x:v>
      </x:c>
      <x:c r="D217" s="14" t="str">
        <x:f>IF('Dependency Pools'!M61="SOURCE EMPTY","PASS","FAIL")</x:f>
        <x:v>PASS</x:v>
      </x:c>
      <x:c r="E217" s="14" t="str">
        <x:v>PASS</x:v>
      </x:c>
    </x:row>
    <x:row r="218">
      <x:c r="A218" s="14" t="str">
        <x:v>AU-214</x:v>
      </x:c>
      <x:c r="B218" s="14" t="str">
        <x:v>Dependency</x:v>
      </x:c>
      <x:c r="C218" s="14" t="str">
        <x:v>Dependency record 58 remains source-empty</x:v>
      </x:c>
      <x:c r="D218" s="14" t="str">
        <x:f>IF('Dependency Pools'!M62="SOURCE EMPTY","PASS","FAIL")</x:f>
        <x:v>PASS</x:v>
      </x:c>
      <x:c r="E218" s="14" t="str">
        <x:v>PASS</x:v>
      </x:c>
    </x:row>
    <x:row r="219">
      <x:c r="A219" s="14" t="str">
        <x:v>AU-215</x:v>
      </x:c>
      <x:c r="B219" s="14" t="str">
        <x:v>Dependency</x:v>
      </x:c>
      <x:c r="C219" s="14" t="str">
        <x:v>Dependency record 59 remains source-empty</x:v>
      </x:c>
      <x:c r="D219" s="14" t="str">
        <x:f>IF('Dependency Pools'!M63="SOURCE EMPTY","PASS","FAIL")</x:f>
        <x:v>PASS</x:v>
      </x:c>
      <x:c r="E219" s="14" t="str">
        <x:v>PASS</x:v>
      </x:c>
    </x:row>
    <x:row r="220">
      <x:c r="A220" s="14" t="str">
        <x:v>AU-216</x:v>
      </x:c>
      <x:c r="B220" s="14" t="str">
        <x:v>Dependency</x:v>
      </x:c>
      <x:c r="C220" s="14" t="str">
        <x:v>Dependency record 60 remains source-empty</x:v>
      </x:c>
      <x:c r="D220" s="14" t="str">
        <x:f>IF('Dependency Pools'!M64="SOURCE EMPTY","PASS","FAIL")</x:f>
        <x:v>PASS</x:v>
      </x:c>
      <x:c r="E220" s="14" t="str">
        <x:v>PASS</x:v>
      </x:c>
    </x:row>
    <x:row r="221">
      <x:c r="A221" s="14" t="str">
        <x:v>AU-217</x:v>
      </x:c>
      <x:c r="B221" s="14" t="str">
        <x:v>Dependency</x:v>
      </x:c>
      <x:c r="C221" s="14" t="str">
        <x:v>Dependency record 61 remains source-empty</x:v>
      </x:c>
      <x:c r="D221" s="14" t="str">
        <x:f>IF('Dependency Pools'!M65="SOURCE EMPTY","PASS","FAIL")</x:f>
        <x:v>PASS</x:v>
      </x:c>
      <x:c r="E221" s="14" t="str">
        <x:v>PASS</x:v>
      </x:c>
    </x:row>
    <x:row r="222">
      <x:c r="A222" s="14" t="str">
        <x:v>AU-218</x:v>
      </x:c>
      <x:c r="B222" s="14" t="str">
        <x:v>Dependency</x:v>
      </x:c>
      <x:c r="C222" s="14" t="str">
        <x:v>Dependency record 62 remains source-empty</x:v>
      </x:c>
      <x:c r="D222" s="14" t="str">
        <x:f>IF('Dependency Pools'!M66="SOURCE EMPTY","PASS","FAIL")</x:f>
        <x:v>PASS</x:v>
      </x:c>
      <x:c r="E222" s="14" t="str">
        <x:v>PASS</x:v>
      </x:c>
    </x:row>
    <x:row r="223">
      <x:c r="A223" s="14" t="str">
        <x:v>AU-219</x:v>
      </x:c>
      <x:c r="B223" s="14" t="str">
        <x:v>Dependency</x:v>
      </x:c>
      <x:c r="C223" s="14" t="str">
        <x:v>Dependency record 63 remains source-empty</x:v>
      </x:c>
      <x:c r="D223" s="14" t="str">
        <x:f>IF('Dependency Pools'!M67="SOURCE EMPTY","PASS","FAIL")</x:f>
        <x:v>PASS</x:v>
      </x:c>
      <x:c r="E223" s="14" t="str">
        <x:v>PASS</x:v>
      </x:c>
    </x:row>
    <x:row r="224">
      <x:c r="A224" s="14" t="str">
        <x:v>AU-220</x:v>
      </x:c>
      <x:c r="B224" s="14" t="str">
        <x:v>Dependency</x:v>
      </x:c>
      <x:c r="C224" s="14" t="str">
        <x:v>Dependency record 64 remains source-empty</x:v>
      </x:c>
      <x:c r="D224" s="14" t="str">
        <x:f>IF('Dependency Pools'!M68="SOURCE EMPTY","PASS","FAIL")</x:f>
        <x:v>PASS</x:v>
      </x:c>
      <x:c r="E224" s="14" t="str">
        <x:v>PASS</x:v>
      </x:c>
    </x:row>
    <x:row r="225">
      <x:c r="A225" s="14" t="str">
        <x:v>AU-221</x:v>
      </x:c>
      <x:c r="B225" s="14" t="str">
        <x:v>Dependency</x:v>
      </x:c>
      <x:c r="C225" s="14" t="str">
        <x:v>Dependency record 65 remains source-empty</x:v>
      </x:c>
      <x:c r="D225" s="14" t="str">
        <x:f>IF('Dependency Pools'!M69="SOURCE EMPTY","PASS","FAIL")</x:f>
        <x:v>PASS</x:v>
      </x:c>
      <x:c r="E225" s="14" t="str">
        <x:v>PASS</x:v>
      </x:c>
    </x:row>
    <x:row r="226">
      <x:c r="A226" s="14" t="str">
        <x:v>AU-222</x:v>
      </x:c>
      <x:c r="B226" s="14" t="str">
        <x:v>Dependency</x:v>
      </x:c>
      <x:c r="C226" s="14" t="str">
        <x:v>Dependency record 66 remains source-empty</x:v>
      </x:c>
      <x:c r="D226" s="14" t="str">
        <x:f>IF('Dependency Pools'!M70="SOURCE EMPTY","PASS","FAIL")</x:f>
        <x:v>PASS</x:v>
      </x:c>
      <x:c r="E226" s="14" t="str">
        <x:v>PASS</x:v>
      </x:c>
    </x:row>
    <x:row r="227">
      <x:c r="A227" s="14" t="str">
        <x:v>AU-223</x:v>
      </x:c>
      <x:c r="B227" s="14" t="str">
        <x:v>Dependency</x:v>
      </x:c>
      <x:c r="C227" s="14" t="str">
        <x:v>Dependency record 67 remains source-empty</x:v>
      </x:c>
      <x:c r="D227" s="14" t="str">
        <x:f>IF('Dependency Pools'!M71="SOURCE EMPTY","PASS","FAIL")</x:f>
        <x:v>PASS</x:v>
      </x:c>
      <x:c r="E227" s="14" t="str">
        <x:v>PASS</x:v>
      </x:c>
    </x:row>
    <x:row r="228">
      <x:c r="A228" s="14" t="str">
        <x:v>AU-224</x:v>
      </x:c>
      <x:c r="B228" s="14" t="str">
        <x:v>Dependency</x:v>
      </x:c>
      <x:c r="C228" s="14" t="str">
        <x:v>Dependency record 68 remains source-empty</x:v>
      </x:c>
      <x:c r="D228" s="14" t="str">
        <x:f>IF('Dependency Pools'!M72="SOURCE EMPTY","PASS","FAIL")</x:f>
        <x:v>PASS</x:v>
      </x:c>
      <x:c r="E228" s="14" t="str">
        <x:v>PASS</x:v>
      </x:c>
    </x:row>
    <x:row r="229">
      <x:c r="A229" s="14" t="str">
        <x:v>AU-225</x:v>
      </x:c>
      <x:c r="B229" s="14" t="str">
        <x:v>Dependency</x:v>
      </x:c>
      <x:c r="C229" s="14" t="str">
        <x:v>Dependency record 69 remains source-empty</x:v>
      </x:c>
      <x:c r="D229" s="14" t="str">
        <x:f>IF('Dependency Pools'!M73="SOURCE EMPTY","PASS","FAIL")</x:f>
        <x:v>PASS</x:v>
      </x:c>
      <x:c r="E229" s="14" t="str">
        <x:v>PASS</x:v>
      </x:c>
    </x:row>
    <x:row r="230">
      <x:c r="A230" s="14" t="str">
        <x:v>AU-226</x:v>
      </x:c>
      <x:c r="B230" s="14" t="str">
        <x:v>Dependency</x:v>
      </x:c>
      <x:c r="C230" s="14" t="str">
        <x:v>Dependency record 70 remains source-empty</x:v>
      </x:c>
      <x:c r="D230" s="14" t="str">
        <x:f>IF('Dependency Pools'!M74="SOURCE EMPTY","PASS","FAIL")</x:f>
        <x:v>PASS</x:v>
      </x:c>
      <x:c r="E230" s="14" t="str">
        <x:v>PASS</x:v>
      </x:c>
    </x:row>
    <x:row r="231">
      <x:c r="A231" s="14" t="str">
        <x:v>AU-227</x:v>
      </x:c>
      <x:c r="B231" s="14" t="str">
        <x:v>Dependency</x:v>
      </x:c>
      <x:c r="C231" s="14" t="str">
        <x:v>Dependency record 71 remains source-empty</x:v>
      </x:c>
      <x:c r="D231" s="14" t="str">
        <x:f>IF('Dependency Pools'!M75="SOURCE EMPTY","PASS","FAIL")</x:f>
        <x:v>PASS</x:v>
      </x:c>
      <x:c r="E231" s="14" t="str">
        <x:v>PASS</x:v>
      </x:c>
    </x:row>
    <x:row r="232">
      <x:c r="A232" s="14" t="str">
        <x:v>AU-228</x:v>
      </x:c>
      <x:c r="B232" s="14" t="str">
        <x:v>Dependency</x:v>
      </x:c>
      <x:c r="C232" s="14" t="str">
        <x:v>Dependency record 72 remains source-empty</x:v>
      </x:c>
      <x:c r="D232" s="14" t="str">
        <x:f>IF('Dependency Pools'!M76="SOURCE EMPTY","PASS","FAIL")</x:f>
        <x:v>PASS</x:v>
      </x:c>
      <x:c r="E232" s="14" t="str">
        <x:v>PASS</x:v>
      </x:c>
    </x:row>
    <x:row r="233">
      <x:c r="A233" s="14" t="str">
        <x:v>AU-229</x:v>
      </x:c>
      <x:c r="B233" s="14" t="str">
        <x:v>Public estate</x:v>
      </x:c>
      <x:c r="C233" s="14" t="str">
        <x:v>Estate record 1 remains source-empty</x:v>
      </x:c>
      <x:c r="D233" s="14" t="str">
        <x:f>IF('Public Estate'!G5="SOURCE EMPTY","PASS","FAIL")</x:f>
        <x:v>PASS</x:v>
      </x:c>
      <x:c r="E233" s="14" t="str">
        <x:v>PASS</x:v>
      </x:c>
    </x:row>
    <x:row r="234">
      <x:c r="A234" s="14" t="str">
        <x:v>AU-230</x:v>
      </x:c>
      <x:c r="B234" s="14" t="str">
        <x:v>Public estate</x:v>
      </x:c>
      <x:c r="C234" s="14" t="str">
        <x:v>Estate record 2 remains source-empty</x:v>
      </x:c>
      <x:c r="D234" s="14" t="str">
        <x:f>IF('Public Estate'!G6="SOURCE EMPTY","PASS","FAIL")</x:f>
        <x:v>PASS</x:v>
      </x:c>
      <x:c r="E234" s="14" t="str">
        <x:v>PASS</x:v>
      </x:c>
    </x:row>
    <x:row r="235">
      <x:c r="A235" s="14" t="str">
        <x:v>AU-231</x:v>
      </x:c>
      <x:c r="B235" s="14" t="str">
        <x:v>Public estate</x:v>
      </x:c>
      <x:c r="C235" s="14" t="str">
        <x:v>Estate record 3 remains source-empty</x:v>
      </x:c>
      <x:c r="D235" s="14" t="str">
        <x:f>IF('Public Estate'!G7="SOURCE EMPTY","PASS","FAIL")</x:f>
        <x:v>PASS</x:v>
      </x:c>
      <x:c r="E235" s="14" t="str">
        <x:v>PASS</x:v>
      </x:c>
    </x:row>
    <x:row r="236">
      <x:c r="A236" s="14" t="str">
        <x:v>AU-232</x:v>
      </x:c>
      <x:c r="B236" s="14" t="str">
        <x:v>Public estate</x:v>
      </x:c>
      <x:c r="C236" s="14" t="str">
        <x:v>Estate record 4 remains source-empty</x:v>
      </x:c>
      <x:c r="D236" s="14" t="str">
        <x:f>IF('Public Estate'!G8="SOURCE EMPTY","PASS","FAIL")</x:f>
        <x:v>PASS</x:v>
      </x:c>
      <x:c r="E236" s="14" t="str">
        <x:v>PASS</x:v>
      </x:c>
    </x:row>
    <x:row r="237">
      <x:c r="A237" s="14" t="str">
        <x:v>AU-233</x:v>
      </x:c>
      <x:c r="B237" s="14" t="str">
        <x:v>Public estate</x:v>
      </x:c>
      <x:c r="C237" s="14" t="str">
        <x:v>Estate record 5 remains source-empty</x:v>
      </x:c>
      <x:c r="D237" s="14" t="str">
        <x:f>IF('Public Estate'!G9="SOURCE EMPTY","PASS","FAIL")</x:f>
        <x:v>PASS</x:v>
      </x:c>
      <x:c r="E237" s="14" t="str">
        <x:v>PASS</x:v>
      </x:c>
    </x:row>
    <x:row r="238">
      <x:c r="A238" s="14" t="str">
        <x:v>AU-234</x:v>
      </x:c>
      <x:c r="B238" s="14" t="str">
        <x:v>Public estate</x:v>
      </x:c>
      <x:c r="C238" s="14" t="str">
        <x:v>Estate record 6 remains source-empty</x:v>
      </x:c>
      <x:c r="D238" s="14" t="str">
        <x:f>IF('Public Estate'!G10="SOURCE EMPTY","PASS","FAIL")</x:f>
        <x:v>PASS</x:v>
      </x:c>
      <x:c r="E238" s="14" t="str">
        <x:v>PASS</x:v>
      </x:c>
    </x:row>
    <x:row r="239">
      <x:c r="A239" s="14" t="str">
        <x:v>AU-235</x:v>
      </x:c>
      <x:c r="B239" s="14" t="str">
        <x:v>Public estate</x:v>
      </x:c>
      <x:c r="C239" s="14" t="str">
        <x:v>Estate record 7 remains source-empty</x:v>
      </x:c>
      <x:c r="D239" s="14" t="str">
        <x:f>IF('Public Estate'!G11="SOURCE EMPTY","PASS","FAIL")</x:f>
        <x:v>PASS</x:v>
      </x:c>
      <x:c r="E239" s="14" t="str">
        <x:v>PASS</x:v>
      </x:c>
    </x:row>
    <x:row r="240">
      <x:c r="A240" s="14" t="str">
        <x:v>AU-236</x:v>
      </x:c>
      <x:c r="B240" s="14" t="str">
        <x:v>Public estate</x:v>
      </x:c>
      <x:c r="C240" s="14" t="str">
        <x:v>Estate record 8 remains source-empty</x:v>
      </x:c>
      <x:c r="D240" s="14" t="str">
        <x:f>IF('Public Estate'!G12="SOURCE EMPTY","PASS","FAIL")</x:f>
        <x:v>PASS</x:v>
      </x:c>
      <x:c r="E240" s="14" t="str">
        <x:v>PASS</x:v>
      </x:c>
    </x:row>
    <x:row r="241">
      <x:c r="A241" s="14" t="str">
        <x:v>AU-237</x:v>
      </x:c>
      <x:c r="B241" s="14" t="str">
        <x:v>Public estate</x:v>
      </x:c>
      <x:c r="C241" s="14" t="str">
        <x:v>Estate record 9 remains source-empty</x:v>
      </x:c>
      <x:c r="D241" s="14" t="str">
        <x:f>IF('Public Estate'!G13="SOURCE EMPTY","PASS","FAIL")</x:f>
        <x:v>PASS</x:v>
      </x:c>
      <x:c r="E241" s="14" t="str">
        <x:v>PASS</x:v>
      </x:c>
    </x:row>
    <x:row r="242">
      <x:c r="A242" s="14" t="str">
        <x:v>AU-238</x:v>
      </x:c>
      <x:c r="B242" s="14" t="str">
        <x:v>Public estate</x:v>
      </x:c>
      <x:c r="C242" s="14" t="str">
        <x:v>Estate record 10 remains source-empty</x:v>
      </x:c>
      <x:c r="D242" s="14" t="str">
        <x:f>IF('Public Estate'!G14="SOURCE EMPTY","PASS","FAIL")</x:f>
        <x:v>PASS</x:v>
      </x:c>
      <x:c r="E242" s="14" t="str">
        <x:v>PASS</x:v>
      </x:c>
    </x:row>
    <x:row r="243">
      <x:c r="A243" s="14" t="str">
        <x:v>AU-239</x:v>
      </x:c>
      <x:c r="B243" s="14" t="str">
        <x:v>Fallback cell</x:v>
      </x:c>
      <x:c r="C243" s="14" t="str">
        <x:v>Cell 1 remains source-empty</x:v>
      </x:c>
      <x:c r="D243" s="14" t="str">
        <x:f>IF('Fallback Cells'!H5="SOURCE EMPTY","PASS","FAIL")</x:f>
        <x:v>PASS</x:v>
      </x:c>
      <x:c r="E243" s="14" t="str">
        <x:v>PASS</x:v>
      </x:c>
    </x:row>
    <x:row r="244">
      <x:c r="A244" s="14" t="str">
        <x:v>AU-240</x:v>
      </x:c>
      <x:c r="B244" s="14" t="str">
        <x:v>Fallback cell</x:v>
      </x:c>
      <x:c r="C244" s="14" t="str">
        <x:v>Cell 2 remains source-empty</x:v>
      </x:c>
      <x:c r="D244" s="14" t="str">
        <x:f>IF('Fallback Cells'!H6="SOURCE EMPTY","PASS","FAIL")</x:f>
        <x:v>PASS</x:v>
      </x:c>
      <x:c r="E244" s="14" t="str">
        <x:v>PASS</x:v>
      </x:c>
    </x:row>
    <x:row r="245">
      <x:c r="A245" s="14" t="str">
        <x:v>AU-241</x:v>
      </x:c>
      <x:c r="B245" s="14" t="str">
        <x:v>Fallback cell</x:v>
      </x:c>
      <x:c r="C245" s="14" t="str">
        <x:v>Cell 3 remains source-empty</x:v>
      </x:c>
      <x:c r="D245" s="14" t="str">
        <x:f>IF('Fallback Cells'!H7="SOURCE EMPTY","PASS","FAIL")</x:f>
        <x:v>PASS</x:v>
      </x:c>
      <x:c r="E245" s="14" t="str">
        <x:v>PASS</x:v>
      </x:c>
    </x:row>
    <x:row r="246">
      <x:c r="A246" s="14" t="str">
        <x:v>AU-242</x:v>
      </x:c>
      <x:c r="B246" s="14" t="str">
        <x:v>Fallback cell</x:v>
      </x:c>
      <x:c r="C246" s="14" t="str">
        <x:v>Cell 4 remains source-empty</x:v>
      </x:c>
      <x:c r="D246" s="14" t="str">
        <x:f>IF('Fallback Cells'!H8="SOURCE EMPTY","PASS","FAIL")</x:f>
        <x:v>PASS</x:v>
      </x:c>
      <x:c r="E246" s="14" t="str">
        <x:v>PASS</x:v>
      </x:c>
    </x:row>
    <x:row r="247">
      <x:c r="A247" s="14" t="str">
        <x:v>AU-243</x:v>
      </x:c>
      <x:c r="B247" s="14" t="str">
        <x:v>Fallback cell</x:v>
      </x:c>
      <x:c r="C247" s="14" t="str">
        <x:v>Cell 5 remains source-empty</x:v>
      </x:c>
      <x:c r="D247" s="14" t="str">
        <x:f>IF('Fallback Cells'!H9="SOURCE EMPTY","PASS","FAIL")</x:f>
        <x:v>PASS</x:v>
      </x:c>
      <x:c r="E247" s="14" t="str">
        <x:v>PASS</x:v>
      </x:c>
    </x:row>
    <x:row r="248">
      <x:c r="A248" s="14" t="str">
        <x:v>AU-244</x:v>
      </x:c>
      <x:c r="B248" s="14" t="str">
        <x:v>Fallback cell</x:v>
      </x:c>
      <x:c r="C248" s="14" t="str">
        <x:v>Cell 6 remains source-empty</x:v>
      </x:c>
      <x:c r="D248" s="14" t="str">
        <x:f>IF('Fallback Cells'!H10="SOURCE EMPTY","PASS","FAIL")</x:f>
        <x:v>PASS</x:v>
      </x:c>
      <x:c r="E248" s="14" t="str">
        <x:v>PASS</x:v>
      </x:c>
    </x:row>
    <x:row r="249">
      <x:c r="A249" s="14" t="str">
        <x:v>AU-245</x:v>
      </x:c>
      <x:c r="B249" s="14" t="str">
        <x:v>Fallback cell</x:v>
      </x:c>
      <x:c r="C249" s="14" t="str">
        <x:v>Cell 7 remains source-empty</x:v>
      </x:c>
      <x:c r="D249" s="14" t="str">
        <x:f>IF('Fallback Cells'!H11="SOURCE EMPTY","PASS","FAIL")</x:f>
        <x:v>PASS</x:v>
      </x:c>
      <x:c r="E249" s="14" t="str">
        <x:v>PASS</x:v>
      </x:c>
    </x:row>
    <x:row r="250">
      <x:c r="A250" s="14" t="str">
        <x:v>AU-246</x:v>
      </x:c>
      <x:c r="B250" s="14" t="str">
        <x:v>Fallback cell</x:v>
      </x:c>
      <x:c r="C250" s="14" t="str">
        <x:v>Cell 8 remains source-empty</x:v>
      </x:c>
      <x:c r="D250" s="14" t="str">
        <x:f>IF('Fallback Cells'!H12="SOURCE EMPTY","PASS","FAIL")</x:f>
        <x:v>PASS</x:v>
      </x:c>
      <x:c r="E250" s="14" t="str">
        <x:v>PASS</x:v>
      </x:c>
    </x:row>
    <x:row r="251">
      <x:c r="A251" s="14" t="str">
        <x:v>AU-247</x:v>
      </x:c>
      <x:c r="B251" s="14" t="str">
        <x:v>Fallback cell</x:v>
      </x:c>
      <x:c r="C251" s="14" t="str">
        <x:v>Cell 9 remains source-empty</x:v>
      </x:c>
      <x:c r="D251" s="14" t="str">
        <x:f>IF('Fallback Cells'!H13="SOURCE EMPTY","PASS","FAIL")</x:f>
        <x:v>PASS</x:v>
      </x:c>
      <x:c r="E251" s="14" t="str">
        <x:v>PASS</x:v>
      </x:c>
    </x:row>
    <x:row r="252">
      <x:c r="A252" s="14" t="str">
        <x:v>AU-248</x:v>
      </x:c>
      <x:c r="B252" s="14" t="str">
        <x:v>Fallback cell</x:v>
      </x:c>
      <x:c r="C252" s="14" t="str">
        <x:v>Cell 10 remains source-empty</x:v>
      </x:c>
      <x:c r="D252" s="14" t="str">
        <x:f>IF('Fallback Cells'!H14="SOURCE EMPTY","PASS","FAIL")</x:f>
        <x:v>PASS</x:v>
      </x:c>
      <x:c r="E252" s="14" t="str">
        <x:v>PASS</x:v>
      </x:c>
    </x:row>
    <x:row r="253">
      <x:c r="A253" s="14" t="str">
        <x:v>AU-249</x:v>
      </x:c>
      <x:c r="B253" s="14" t="str">
        <x:v>Fallback cell</x:v>
      </x:c>
      <x:c r="C253" s="14" t="str">
        <x:v>Cell 11 remains source-empty</x:v>
      </x:c>
      <x:c r="D253" s="14" t="str">
        <x:f>IF('Fallback Cells'!H15="SOURCE EMPTY","PASS","FAIL")</x:f>
        <x:v>PASS</x:v>
      </x:c>
      <x:c r="E253" s="14" t="str">
        <x:v>PASS</x:v>
      </x:c>
    </x:row>
    <x:row r="254">
      <x:c r="A254" s="14" t="str">
        <x:v>AU-250</x:v>
      </x:c>
      <x:c r="B254" s="14" t="str">
        <x:v>Fallback cell</x:v>
      </x:c>
      <x:c r="C254" s="14" t="str">
        <x:v>Cell 12 remains source-empty</x:v>
      </x:c>
      <x:c r="D254" s="14" t="str">
        <x:f>IF('Fallback Cells'!H16="SOURCE EMPTY","PASS","FAIL")</x:f>
        <x:v>PASS</x:v>
      </x:c>
      <x:c r="E254" s="14" t="str">
        <x:v>PASS</x:v>
      </x:c>
    </x:row>
    <x:row r="255">
      <x:c r="A255" s="14" t="str">
        <x:v>AU-251</x:v>
      </x:c>
      <x:c r="B255" s="14" t="str">
        <x:v>Fallback cell</x:v>
      </x:c>
      <x:c r="C255" s="14" t="str">
        <x:v>Cell 13 remains source-empty</x:v>
      </x:c>
      <x:c r="D255" s="14" t="str">
        <x:f>IF('Fallback Cells'!H17="SOURCE EMPTY","PASS","FAIL")</x:f>
        <x:v>PASS</x:v>
      </x:c>
      <x:c r="E255" s="14" t="str">
        <x:v>PASS</x:v>
      </x:c>
    </x:row>
    <x:row r="256">
      <x:c r="A256" s="14" t="str">
        <x:v>AU-252</x:v>
      </x:c>
      <x:c r="B256" s="14" t="str">
        <x:v>Fallback cell</x:v>
      </x:c>
      <x:c r="C256" s="14" t="str">
        <x:v>Cell 14 remains source-empty</x:v>
      </x:c>
      <x:c r="D256" s="14" t="str">
        <x:f>IF('Fallback Cells'!H18="SOURCE EMPTY","PASS","FAIL")</x:f>
        <x:v>PASS</x:v>
      </x:c>
      <x:c r="E256" s="14" t="str">
        <x:v>PASS</x:v>
      </x:c>
    </x:row>
    <x:row r="257">
      <x:c r="A257" s="14" t="str">
        <x:v>AU-253</x:v>
      </x:c>
      <x:c r="B257" s="14" t="str">
        <x:v>Fallback cell</x:v>
      </x:c>
      <x:c r="C257" s="14" t="str">
        <x:v>Cell 15 remains source-empty</x:v>
      </x:c>
      <x:c r="D257" s="14" t="str">
        <x:f>IF('Fallback Cells'!H19="SOURCE EMPTY","PASS","FAIL")</x:f>
        <x:v>PASS</x:v>
      </x:c>
      <x:c r="E257" s="14" t="str">
        <x:v>PASS</x:v>
      </x:c>
    </x:row>
    <x:row r="258">
      <x:c r="A258" s="14" t="str">
        <x:v>AU-254</x:v>
      </x:c>
      <x:c r="B258" s="14" t="str">
        <x:v>Fallback cell</x:v>
      </x:c>
      <x:c r="C258" s="14" t="str">
        <x:v>Cell 16 remains source-empty</x:v>
      </x:c>
      <x:c r="D258" s="14" t="str">
        <x:f>IF('Fallback Cells'!H20="SOURCE EMPTY","PASS","FAIL")</x:f>
        <x:v>PASS</x:v>
      </x:c>
      <x:c r="E258" s="14" t="str">
        <x:v>PASS</x:v>
      </x:c>
    </x:row>
    <x:row r="259">
      <x:c r="A259" s="14" t="str">
        <x:v>AU-255</x:v>
      </x:c>
      <x:c r="B259" s="14" t="str">
        <x:v>Fallback cell</x:v>
      </x:c>
      <x:c r="C259" s="14" t="str">
        <x:v>Cell 17 remains source-empty</x:v>
      </x:c>
      <x:c r="D259" s="14" t="str">
        <x:f>IF('Fallback Cells'!H21="SOURCE EMPTY","PASS","FAIL")</x:f>
        <x:v>PASS</x:v>
      </x:c>
      <x:c r="E259" s="14" t="str">
        <x:v>PASS</x:v>
      </x:c>
    </x:row>
    <x:row r="260">
      <x:c r="A260" s="14" t="str">
        <x:v>AU-256</x:v>
      </x:c>
      <x:c r="B260" s="14" t="str">
        <x:v>Fallback cell</x:v>
      </x:c>
      <x:c r="C260" s="14" t="str">
        <x:v>Cell 18 remains source-empty</x:v>
      </x:c>
      <x:c r="D260" s="14" t="str">
        <x:f>IF('Fallback Cells'!H22="SOURCE EMPTY","PASS","FAIL")</x:f>
        <x:v>PASS</x:v>
      </x:c>
      <x:c r="E260" s="14" t="str">
        <x:v>PASS</x:v>
      </x:c>
    </x:row>
    <x:row r="261">
      <x:c r="A261" s="14" t="str">
        <x:v>AU-257</x:v>
      </x:c>
      <x:c r="B261" s="14" t="str">
        <x:v>Fallback cell</x:v>
      </x:c>
      <x:c r="C261" s="14" t="str">
        <x:v>Cell 19 remains source-empty</x:v>
      </x:c>
      <x:c r="D261" s="14" t="str">
        <x:f>IF('Fallback Cells'!H23="SOURCE EMPTY","PASS","FAIL")</x:f>
        <x:v>PASS</x:v>
      </x:c>
      <x:c r="E261" s="14" t="str">
        <x:v>PASS</x:v>
      </x:c>
    </x:row>
    <x:row r="262">
      <x:c r="A262" s="14" t="str">
        <x:v>AU-258</x:v>
      </x:c>
      <x:c r="B262" s="14" t="str">
        <x:v>Fallback cell</x:v>
      </x:c>
      <x:c r="C262" s="14" t="str">
        <x:v>Cell 20 remains source-empty</x:v>
      </x:c>
      <x:c r="D262" s="14" t="str">
        <x:f>IF('Fallback Cells'!H24="SOURCE EMPTY","PASS","FAIL")</x:f>
        <x:v>PASS</x:v>
      </x:c>
      <x:c r="E262" s="14" t="str">
        <x:v>PASS</x:v>
      </x:c>
    </x:row>
    <x:row r="263">
      <x:c r="A263" s="14" t="str">
        <x:v>AU-259</x:v>
      </x:c>
      <x:c r="B263" s="14" t="str">
        <x:v>Fallback cell</x:v>
      </x:c>
      <x:c r="C263" s="14" t="str">
        <x:v>Cell 21 remains source-empty</x:v>
      </x:c>
      <x:c r="D263" s="14" t="str">
        <x:f>IF('Fallback Cells'!H25="SOURCE EMPTY","PASS","FAIL")</x:f>
        <x:v>PASS</x:v>
      </x:c>
      <x:c r="E263" s="14" t="str">
        <x:v>PASS</x:v>
      </x:c>
    </x:row>
    <x:row r="264">
      <x:c r="A264" s="14" t="str">
        <x:v>AU-260</x:v>
      </x:c>
      <x:c r="B264" s="14" t="str">
        <x:v>Fallback cell</x:v>
      </x:c>
      <x:c r="C264" s="14" t="str">
        <x:v>Cell 22 remains source-empty</x:v>
      </x:c>
      <x:c r="D264" s="14" t="str">
        <x:f>IF('Fallback Cells'!H26="SOURCE EMPTY","PASS","FAIL")</x:f>
        <x:v>PASS</x:v>
      </x:c>
      <x:c r="E264" s="14" t="str">
        <x:v>PASS</x:v>
      </x:c>
    </x:row>
    <x:row r="265">
      <x:c r="A265" s="14" t="str">
        <x:v>AU-261</x:v>
      </x:c>
      <x:c r="B265" s="14" t="str">
        <x:v>Fallback cell</x:v>
      </x:c>
      <x:c r="C265" s="14" t="str">
        <x:v>Cell 23 remains source-empty</x:v>
      </x:c>
      <x:c r="D265" s="14" t="str">
        <x:f>IF('Fallback Cells'!H27="SOURCE EMPTY","PASS","FAIL")</x:f>
        <x:v>PASS</x:v>
      </x:c>
      <x:c r="E265" s="14" t="str">
        <x:v>PASS</x:v>
      </x:c>
    </x:row>
    <x:row r="266">
      <x:c r="A266" s="14" t="str">
        <x:v>AU-262</x:v>
      </x:c>
      <x:c r="B266" s="14" t="str">
        <x:v>Fallback cell</x:v>
      </x:c>
      <x:c r="C266" s="14" t="str">
        <x:v>Cell 24 remains source-empty</x:v>
      </x:c>
      <x:c r="D266" s="14" t="str">
        <x:f>IF('Fallback Cells'!H28="SOURCE EMPTY","PASS","FAIL")</x:f>
        <x:v>PASS</x:v>
      </x:c>
      <x:c r="E266" s="14" t="str">
        <x:v>PASS</x:v>
      </x:c>
    </x:row>
    <x:row r="267">
      <x:c r="A267" s="14" t="str">
        <x:v>AU-263</x:v>
      </x:c>
      <x:c r="B267" s="14" t="str">
        <x:v>Fallback qualification</x:v>
      </x:c>
      <x:c r="C267" s="14" t="str">
        <x:v>Qualification 1 remains source-empty</x:v>
      </x:c>
      <x:c r="D267" s="14" t="str">
        <x:f>IF('Fallback Lattice'!L5="SOURCE EMPTY","PASS","FAIL")</x:f>
        <x:v>PASS</x:v>
      </x:c>
      <x:c r="E267" s="14" t="str">
        <x:v>PASS</x:v>
      </x:c>
    </x:row>
    <x:row r="268">
      <x:c r="A268" s="14" t="str">
        <x:v>AU-264</x:v>
      </x:c>
      <x:c r="B268" s="14" t="str">
        <x:v>Fallback qualification</x:v>
      </x:c>
      <x:c r="C268" s="14" t="str">
        <x:v>Qualification 2 remains source-empty</x:v>
      </x:c>
      <x:c r="D268" s="14" t="str">
        <x:f>IF('Fallback Lattice'!L6="SOURCE EMPTY","PASS","FAIL")</x:f>
        <x:v>PASS</x:v>
      </x:c>
      <x:c r="E268" s="14" t="str">
        <x:v>PASS</x:v>
      </x:c>
    </x:row>
    <x:row r="269">
      <x:c r="A269" s="14" t="str">
        <x:v>AU-265</x:v>
      </x:c>
      <x:c r="B269" s="14" t="str">
        <x:v>Fallback qualification</x:v>
      </x:c>
      <x:c r="C269" s="14" t="str">
        <x:v>Qualification 3 remains source-empty</x:v>
      </x:c>
      <x:c r="D269" s="14" t="str">
        <x:f>IF('Fallback Lattice'!L7="SOURCE EMPTY","PASS","FAIL")</x:f>
        <x:v>PASS</x:v>
      </x:c>
      <x:c r="E269" s="14" t="str">
        <x:v>PASS</x:v>
      </x:c>
    </x:row>
    <x:row r="270">
      <x:c r="A270" s="14" t="str">
        <x:v>AU-266</x:v>
      </x:c>
      <x:c r="B270" s="14" t="str">
        <x:v>Fallback qualification</x:v>
      </x:c>
      <x:c r="C270" s="14" t="str">
        <x:v>Qualification 4 remains source-empty</x:v>
      </x:c>
      <x:c r="D270" s="14" t="str">
        <x:f>IF('Fallback Lattice'!L8="SOURCE EMPTY","PASS","FAIL")</x:f>
        <x:v>PASS</x:v>
      </x:c>
      <x:c r="E270" s="14" t="str">
        <x:v>PASS</x:v>
      </x:c>
    </x:row>
    <x:row r="271">
      <x:c r="A271" s="14" t="str">
        <x:v>AU-267</x:v>
      </x:c>
      <x:c r="B271" s="14" t="str">
        <x:v>Fallback qualification</x:v>
      </x:c>
      <x:c r="C271" s="14" t="str">
        <x:v>Qualification 5 remains source-empty</x:v>
      </x:c>
      <x:c r="D271" s="14" t="str">
        <x:f>IF('Fallback Lattice'!L9="SOURCE EMPTY","PASS","FAIL")</x:f>
        <x:v>PASS</x:v>
      </x:c>
      <x:c r="E271" s="14" t="str">
        <x:v>PASS</x:v>
      </x:c>
    </x:row>
    <x:row r="272">
      <x:c r="A272" s="14" t="str">
        <x:v>AU-268</x:v>
      </x:c>
      <x:c r="B272" s="14" t="str">
        <x:v>Fallback qualification</x:v>
      </x:c>
      <x:c r="C272" s="14" t="str">
        <x:v>Qualification 6 remains source-empty</x:v>
      </x:c>
      <x:c r="D272" s="14" t="str">
        <x:f>IF('Fallback Lattice'!L10="SOURCE EMPTY","PASS","FAIL")</x:f>
        <x:v>PASS</x:v>
      </x:c>
      <x:c r="E272" s="14" t="str">
        <x:v>PASS</x:v>
      </x:c>
    </x:row>
    <x:row r="273">
      <x:c r="A273" s="14" t="str">
        <x:v>AU-269</x:v>
      </x:c>
      <x:c r="B273" s="14" t="str">
        <x:v>Fallback qualification</x:v>
      </x:c>
      <x:c r="C273" s="14" t="str">
        <x:v>Qualification 7 remains source-empty</x:v>
      </x:c>
      <x:c r="D273" s="14" t="str">
        <x:f>IF('Fallback Lattice'!L11="SOURCE EMPTY","PASS","FAIL")</x:f>
        <x:v>PASS</x:v>
      </x:c>
      <x:c r="E273" s="14" t="str">
        <x:v>PASS</x:v>
      </x:c>
    </x:row>
    <x:row r="274">
      <x:c r="A274" s="14" t="str">
        <x:v>AU-270</x:v>
      </x:c>
      <x:c r="B274" s="14" t="str">
        <x:v>Fallback qualification</x:v>
      </x:c>
      <x:c r="C274" s="14" t="str">
        <x:v>Qualification 8 remains source-empty</x:v>
      </x:c>
      <x:c r="D274" s="14" t="str">
        <x:f>IF('Fallback Lattice'!L12="SOURCE EMPTY","PASS","FAIL")</x:f>
        <x:v>PASS</x:v>
      </x:c>
      <x:c r="E274" s="14" t="str">
        <x:v>PASS</x:v>
      </x:c>
    </x:row>
    <x:row r="275">
      <x:c r="A275" s="14" t="str">
        <x:v>AU-271</x:v>
      </x:c>
      <x:c r="B275" s="14" t="str">
        <x:v>Fallback qualification</x:v>
      </x:c>
      <x:c r="C275" s="14" t="str">
        <x:v>Qualification 9 remains source-empty</x:v>
      </x:c>
      <x:c r="D275" s="14" t="str">
        <x:f>IF('Fallback Lattice'!L13="SOURCE EMPTY","PASS","FAIL")</x:f>
        <x:v>PASS</x:v>
      </x:c>
      <x:c r="E275" s="14" t="str">
        <x:v>PASS</x:v>
      </x:c>
    </x:row>
    <x:row r="276">
      <x:c r="A276" s="14" t="str">
        <x:v>AU-272</x:v>
      </x:c>
      <x:c r="B276" s="14" t="str">
        <x:v>Fallback qualification</x:v>
      </x:c>
      <x:c r="C276" s="14" t="str">
        <x:v>Qualification 10 remains source-empty</x:v>
      </x:c>
      <x:c r="D276" s="14" t="str">
        <x:f>IF('Fallback Lattice'!L14="SOURCE EMPTY","PASS","FAIL")</x:f>
        <x:v>PASS</x:v>
      </x:c>
      <x:c r="E276" s="14" t="str">
        <x:v>PASS</x:v>
      </x:c>
    </x:row>
    <x:row r="277">
      <x:c r="A277" s="14" t="str">
        <x:v>AU-273</x:v>
      </x:c>
      <x:c r="B277" s="14" t="str">
        <x:v>Fallback qualification</x:v>
      </x:c>
      <x:c r="C277" s="14" t="str">
        <x:v>Qualification 11 remains source-empty</x:v>
      </x:c>
      <x:c r="D277" s="14" t="str">
        <x:f>IF('Fallback Lattice'!L15="SOURCE EMPTY","PASS","FAIL")</x:f>
        <x:v>PASS</x:v>
      </x:c>
      <x:c r="E277" s="14" t="str">
        <x:v>PASS</x:v>
      </x:c>
    </x:row>
    <x:row r="278">
      <x:c r="A278" s="14" t="str">
        <x:v>AU-274</x:v>
      </x:c>
      <x:c r="B278" s="14" t="str">
        <x:v>Fallback qualification</x:v>
      </x:c>
      <x:c r="C278" s="14" t="str">
        <x:v>Qualification 12 remains source-empty</x:v>
      </x:c>
      <x:c r="D278" s="14" t="str">
        <x:f>IF('Fallback Lattice'!L16="SOURCE EMPTY","PASS","FAIL")</x:f>
        <x:v>PASS</x:v>
      </x:c>
      <x:c r="E278" s="14" t="str">
        <x:v>PASS</x:v>
      </x:c>
    </x:row>
    <x:row r="279">
      <x:c r="A279" s="14" t="str">
        <x:v>AU-275</x:v>
      </x:c>
      <x:c r="B279" s="14" t="str">
        <x:v>Fallback qualification</x:v>
      </x:c>
      <x:c r="C279" s="14" t="str">
        <x:v>Qualification 13 remains source-empty</x:v>
      </x:c>
      <x:c r="D279" s="14" t="str">
        <x:f>IF('Fallback Lattice'!L17="SOURCE EMPTY","PASS","FAIL")</x:f>
        <x:v>PASS</x:v>
      </x:c>
      <x:c r="E279" s="14" t="str">
        <x:v>PASS</x:v>
      </x:c>
    </x:row>
    <x:row r="280">
      <x:c r="A280" s="14" t="str">
        <x:v>AU-276</x:v>
      </x:c>
      <x:c r="B280" s="14" t="str">
        <x:v>Fallback qualification</x:v>
      </x:c>
      <x:c r="C280" s="14" t="str">
        <x:v>Qualification 14 remains source-empty</x:v>
      </x:c>
      <x:c r="D280" s="14" t="str">
        <x:f>IF('Fallback Lattice'!L18="SOURCE EMPTY","PASS","FAIL")</x:f>
        <x:v>PASS</x:v>
      </x:c>
      <x:c r="E280" s="14" t="str">
        <x:v>PASS</x:v>
      </x:c>
    </x:row>
    <x:row r="281">
      <x:c r="A281" s="14" t="str">
        <x:v>AU-277</x:v>
      </x:c>
      <x:c r="B281" s="14" t="str">
        <x:v>Fallback qualification</x:v>
      </x:c>
      <x:c r="C281" s="14" t="str">
        <x:v>Qualification 15 remains source-empty</x:v>
      </x:c>
      <x:c r="D281" s="14" t="str">
        <x:f>IF('Fallback Lattice'!L19="SOURCE EMPTY","PASS","FAIL")</x:f>
        <x:v>PASS</x:v>
      </x:c>
      <x:c r="E281" s="14" t="str">
        <x:v>PASS</x:v>
      </x:c>
    </x:row>
    <x:row r="282">
      <x:c r="A282" s="14" t="str">
        <x:v>AU-278</x:v>
      </x:c>
      <x:c r="B282" s="14" t="str">
        <x:v>Fallback qualification</x:v>
      </x:c>
      <x:c r="C282" s="14" t="str">
        <x:v>Qualification 16 remains source-empty</x:v>
      </x:c>
      <x:c r="D282" s="14" t="str">
        <x:f>IF('Fallback Lattice'!L20="SOURCE EMPTY","PASS","FAIL")</x:f>
        <x:v>PASS</x:v>
      </x:c>
      <x:c r="E282" s="14" t="str">
        <x:v>PASS</x:v>
      </x:c>
    </x:row>
    <x:row r="283">
      <x:c r="A283" s="14" t="str">
        <x:v>AU-279</x:v>
      </x:c>
      <x:c r="B283" s="14" t="str">
        <x:v>Fallback qualification</x:v>
      </x:c>
      <x:c r="C283" s="14" t="str">
        <x:v>Qualification 17 remains source-empty</x:v>
      </x:c>
      <x:c r="D283" s="14" t="str">
        <x:f>IF('Fallback Lattice'!L21="SOURCE EMPTY","PASS","FAIL")</x:f>
        <x:v>PASS</x:v>
      </x:c>
      <x:c r="E283" s="14" t="str">
        <x:v>PASS</x:v>
      </x:c>
    </x:row>
    <x:row r="284">
      <x:c r="A284" s="14" t="str">
        <x:v>AU-280</x:v>
      </x:c>
      <x:c r="B284" s="14" t="str">
        <x:v>Fallback qualification</x:v>
      </x:c>
      <x:c r="C284" s="14" t="str">
        <x:v>Qualification 18 remains source-empty</x:v>
      </x:c>
      <x:c r="D284" s="14" t="str">
        <x:f>IF('Fallback Lattice'!L22="SOURCE EMPTY","PASS","FAIL")</x:f>
        <x:v>PASS</x:v>
      </x:c>
      <x:c r="E284" s="14" t="str">
        <x:v>PASS</x:v>
      </x:c>
    </x:row>
    <x:row r="285">
      <x:c r="A285" s="14" t="str">
        <x:v>AU-281</x:v>
      </x:c>
      <x:c r="B285" s="14" t="str">
        <x:v>Fallback qualification</x:v>
      </x:c>
      <x:c r="C285" s="14" t="str">
        <x:v>Qualification 19 remains source-empty</x:v>
      </x:c>
      <x:c r="D285" s="14" t="str">
        <x:f>IF('Fallback Lattice'!L23="SOURCE EMPTY","PASS","FAIL")</x:f>
        <x:v>PASS</x:v>
      </x:c>
      <x:c r="E285" s="14" t="str">
        <x:v>PASS</x:v>
      </x:c>
    </x:row>
    <x:row r="286">
      <x:c r="A286" s="14" t="str">
        <x:v>AU-282</x:v>
      </x:c>
      <x:c r="B286" s="14" t="str">
        <x:v>Fallback qualification</x:v>
      </x:c>
      <x:c r="C286" s="14" t="str">
        <x:v>Qualification 20 remains source-empty</x:v>
      </x:c>
      <x:c r="D286" s="14" t="str">
        <x:f>IF('Fallback Lattice'!L24="SOURCE EMPTY","PASS","FAIL")</x:f>
        <x:v>PASS</x:v>
      </x:c>
      <x:c r="E286" s="14" t="str">
        <x:v>PASS</x:v>
      </x:c>
    </x:row>
    <x:row r="287">
      <x:c r="A287" s="14" t="str">
        <x:v>AU-283</x:v>
      </x:c>
      <x:c r="B287" s="14" t="str">
        <x:v>Fallback qualification</x:v>
      </x:c>
      <x:c r="C287" s="14" t="str">
        <x:v>Qualification 21 remains source-empty</x:v>
      </x:c>
      <x:c r="D287" s="14" t="str">
        <x:f>IF('Fallback Lattice'!L25="SOURCE EMPTY","PASS","FAIL")</x:f>
        <x:v>PASS</x:v>
      </x:c>
      <x:c r="E287" s="14" t="str">
        <x:v>PASS</x:v>
      </x:c>
    </x:row>
    <x:row r="288">
      <x:c r="A288" s="14" t="str">
        <x:v>AU-284</x:v>
      </x:c>
      <x:c r="B288" s="14" t="str">
        <x:v>Fallback qualification</x:v>
      </x:c>
      <x:c r="C288" s="14" t="str">
        <x:v>Qualification 22 remains source-empty</x:v>
      </x:c>
      <x:c r="D288" s="14" t="str">
        <x:f>IF('Fallback Lattice'!L26="SOURCE EMPTY","PASS","FAIL")</x:f>
        <x:v>PASS</x:v>
      </x:c>
      <x:c r="E288" s="14" t="str">
        <x:v>PASS</x:v>
      </x:c>
    </x:row>
    <x:row r="289">
      <x:c r="A289" s="14" t="str">
        <x:v>AU-285</x:v>
      </x:c>
      <x:c r="B289" s="14" t="str">
        <x:v>Fallback qualification</x:v>
      </x:c>
      <x:c r="C289" s="14" t="str">
        <x:v>Qualification 23 remains source-empty</x:v>
      </x:c>
      <x:c r="D289" s="14" t="str">
        <x:f>IF('Fallback Lattice'!L27="SOURCE EMPTY","PASS","FAIL")</x:f>
        <x:v>PASS</x:v>
      </x:c>
      <x:c r="E289" s="14" t="str">
        <x:v>PASS</x:v>
      </x:c>
    </x:row>
    <x:row r="290">
      <x:c r="A290" s="14" t="str">
        <x:v>AU-286</x:v>
      </x:c>
      <x:c r="B290" s="14" t="str">
        <x:v>Fallback qualification</x:v>
      </x:c>
      <x:c r="C290" s="14" t="str">
        <x:v>Qualification 24 remains source-empty</x:v>
      </x:c>
      <x:c r="D290" s="14" t="str">
        <x:f>IF('Fallback Lattice'!L28="SOURCE EMPTY","PASS","FAIL")</x:f>
        <x:v>PASS</x:v>
      </x:c>
      <x:c r="E290" s="14" t="str">
        <x:v>PASS</x:v>
      </x:c>
    </x:row>
    <x:row r="291">
      <x:c r="A291" s="14" t="str">
        <x:v>AU-287</x:v>
      </x:c>
      <x:c r="B291" s="14" t="str">
        <x:v>Fallback qualification</x:v>
      </x:c>
      <x:c r="C291" s="14" t="str">
        <x:v>Qualification 25 remains source-empty</x:v>
      </x:c>
      <x:c r="D291" s="14" t="str">
        <x:f>IF('Fallback Lattice'!L29="SOURCE EMPTY","PASS","FAIL")</x:f>
        <x:v>PASS</x:v>
      </x:c>
      <x:c r="E291" s="14" t="str">
        <x:v>PASS</x:v>
      </x:c>
    </x:row>
    <x:row r="292">
      <x:c r="A292" s="14" t="str">
        <x:v>AU-288</x:v>
      </x:c>
      <x:c r="B292" s="14" t="str">
        <x:v>Fallback qualification</x:v>
      </x:c>
      <x:c r="C292" s="14" t="str">
        <x:v>Qualification 26 remains source-empty</x:v>
      </x:c>
      <x:c r="D292" s="14" t="str">
        <x:f>IF('Fallback Lattice'!L30="SOURCE EMPTY","PASS","FAIL")</x:f>
        <x:v>PASS</x:v>
      </x:c>
      <x:c r="E292" s="14" t="str">
        <x:v>PASS</x:v>
      </x:c>
    </x:row>
    <x:row r="293">
      <x:c r="A293" s="14" t="str">
        <x:v>AU-289</x:v>
      </x:c>
      <x:c r="B293" s="14" t="str">
        <x:v>Fallback qualification</x:v>
      </x:c>
      <x:c r="C293" s="14" t="str">
        <x:v>Qualification 27 remains source-empty</x:v>
      </x:c>
      <x:c r="D293" s="14" t="str">
        <x:f>IF('Fallback Lattice'!L31="SOURCE EMPTY","PASS","FAIL")</x:f>
        <x:v>PASS</x:v>
      </x:c>
      <x:c r="E293" s="14" t="str">
        <x:v>PASS</x:v>
      </x:c>
    </x:row>
    <x:row r="294">
      <x:c r="A294" s="14" t="str">
        <x:v>AU-290</x:v>
      </x:c>
      <x:c r="B294" s="14" t="str">
        <x:v>Fallback qualification</x:v>
      </x:c>
      <x:c r="C294" s="14" t="str">
        <x:v>Qualification 28 remains source-empty</x:v>
      </x:c>
      <x:c r="D294" s="14" t="str">
        <x:f>IF('Fallback Lattice'!L32="SOURCE EMPTY","PASS","FAIL")</x:f>
        <x:v>PASS</x:v>
      </x:c>
      <x:c r="E294" s="14" t="str">
        <x:v>PASS</x:v>
      </x:c>
    </x:row>
    <x:row r="295">
      <x:c r="A295" s="14" t="str">
        <x:v>AU-291</x:v>
      </x:c>
      <x:c r="B295" s="14" t="str">
        <x:v>Fallback qualification</x:v>
      </x:c>
      <x:c r="C295" s="14" t="str">
        <x:v>Qualification 29 remains source-empty</x:v>
      </x:c>
      <x:c r="D295" s="14" t="str">
        <x:f>IF('Fallback Lattice'!L33="SOURCE EMPTY","PASS","FAIL")</x:f>
        <x:v>PASS</x:v>
      </x:c>
      <x:c r="E295" s="14" t="str">
        <x:v>PASS</x:v>
      </x:c>
    </x:row>
    <x:row r="296">
      <x:c r="A296" s="14" t="str">
        <x:v>AU-292</x:v>
      </x:c>
      <x:c r="B296" s="14" t="str">
        <x:v>Fallback qualification</x:v>
      </x:c>
      <x:c r="C296" s="14" t="str">
        <x:v>Qualification 30 remains source-empty</x:v>
      </x:c>
      <x:c r="D296" s="14" t="str">
        <x:f>IF('Fallback Lattice'!L34="SOURCE EMPTY","PASS","FAIL")</x:f>
        <x:v>PASS</x:v>
      </x:c>
      <x:c r="E296" s="14" t="str">
        <x:v>PASS</x:v>
      </x:c>
    </x:row>
    <x:row r="297">
      <x:c r="A297" s="14" t="str">
        <x:v>AU-293</x:v>
      </x:c>
      <x:c r="B297" s="14" t="str">
        <x:v>Fallback qualification</x:v>
      </x:c>
      <x:c r="C297" s="14" t="str">
        <x:v>Qualification 31 remains source-empty</x:v>
      </x:c>
      <x:c r="D297" s="14" t="str">
        <x:f>IF('Fallback Lattice'!L35="SOURCE EMPTY","PASS","FAIL")</x:f>
        <x:v>PASS</x:v>
      </x:c>
      <x:c r="E297" s="14" t="str">
        <x:v>PASS</x:v>
      </x:c>
    </x:row>
    <x:row r="298">
      <x:c r="A298" s="14" t="str">
        <x:v>AU-294</x:v>
      </x:c>
      <x:c r="B298" s="14" t="str">
        <x:v>Fallback qualification</x:v>
      </x:c>
      <x:c r="C298" s="14" t="str">
        <x:v>Qualification 32 remains source-empty</x:v>
      </x:c>
      <x:c r="D298" s="14" t="str">
        <x:f>IF('Fallback Lattice'!L36="SOURCE EMPTY","PASS","FAIL")</x:f>
        <x:v>PASS</x:v>
      </x:c>
      <x:c r="E298" s="14" t="str">
        <x:v>PASS</x:v>
      </x:c>
    </x:row>
    <x:row r="299">
      <x:c r="A299" s="14" t="str">
        <x:v>AU-295</x:v>
      </x:c>
      <x:c r="B299" s="14" t="str">
        <x:v>Fallback qualification</x:v>
      </x:c>
      <x:c r="C299" s="14" t="str">
        <x:v>Qualification 33 remains source-empty</x:v>
      </x:c>
      <x:c r="D299" s="14" t="str">
        <x:f>IF('Fallback Lattice'!L37="SOURCE EMPTY","PASS","FAIL")</x:f>
        <x:v>PASS</x:v>
      </x:c>
      <x:c r="E299" s="14" t="str">
        <x:v>PASS</x:v>
      </x:c>
    </x:row>
    <x:row r="300">
      <x:c r="A300" s="14" t="str">
        <x:v>AU-296</x:v>
      </x:c>
      <x:c r="B300" s="14" t="str">
        <x:v>Fallback qualification</x:v>
      </x:c>
      <x:c r="C300" s="14" t="str">
        <x:v>Qualification 34 remains source-empty</x:v>
      </x:c>
      <x:c r="D300" s="14" t="str">
        <x:f>IF('Fallback Lattice'!L38="SOURCE EMPTY","PASS","FAIL")</x:f>
        <x:v>PASS</x:v>
      </x:c>
      <x:c r="E300" s="14" t="str">
        <x:v>PASS</x:v>
      </x:c>
    </x:row>
    <x:row r="301">
      <x:c r="A301" s="14" t="str">
        <x:v>AU-297</x:v>
      </x:c>
      <x:c r="B301" s="14" t="str">
        <x:v>Fallback qualification</x:v>
      </x:c>
      <x:c r="C301" s="14" t="str">
        <x:v>Qualification 35 remains source-empty</x:v>
      </x:c>
      <x:c r="D301" s="14" t="str">
        <x:f>IF('Fallback Lattice'!L39="SOURCE EMPTY","PASS","FAIL")</x:f>
        <x:v>PASS</x:v>
      </x:c>
      <x:c r="E301" s="14" t="str">
        <x:v>PASS</x:v>
      </x:c>
    </x:row>
    <x:row r="302">
      <x:c r="A302" s="14" t="str">
        <x:v>AU-298</x:v>
      </x:c>
      <x:c r="B302" s="14" t="str">
        <x:v>Fallback qualification</x:v>
      </x:c>
      <x:c r="C302" s="14" t="str">
        <x:v>Qualification 36 remains source-empty</x:v>
      </x:c>
      <x:c r="D302" s="14" t="str">
        <x:f>IF('Fallback Lattice'!L40="SOURCE EMPTY","PASS","FAIL")</x:f>
        <x:v>PASS</x:v>
      </x:c>
      <x:c r="E302" s="14" t="str">
        <x:v>PASS</x:v>
      </x:c>
    </x:row>
    <x:row r="303">
      <x:c r="A303" s="14" t="str">
        <x:v>AU-299</x:v>
      </x:c>
      <x:c r="B303" s="14" t="str">
        <x:v>Fallback qualification</x:v>
      </x:c>
      <x:c r="C303" s="14" t="str">
        <x:v>Qualification 37 remains source-empty</x:v>
      </x:c>
      <x:c r="D303" s="14" t="str">
        <x:f>IF('Fallback Lattice'!L41="SOURCE EMPTY","PASS","FAIL")</x:f>
        <x:v>PASS</x:v>
      </x:c>
      <x:c r="E303" s="14" t="str">
        <x:v>PASS</x:v>
      </x:c>
    </x:row>
    <x:row r="304">
      <x:c r="A304" s="14" t="str">
        <x:v>AU-300</x:v>
      </x:c>
      <x:c r="B304" s="14" t="str">
        <x:v>Fallback qualification</x:v>
      </x:c>
      <x:c r="C304" s="14" t="str">
        <x:v>Qualification 38 remains source-empty</x:v>
      </x:c>
      <x:c r="D304" s="14" t="str">
        <x:f>IF('Fallback Lattice'!L42="SOURCE EMPTY","PASS","FAIL")</x:f>
        <x:v>PASS</x:v>
      </x:c>
      <x:c r="E304" s="14" t="str">
        <x:v>PASS</x:v>
      </x:c>
    </x:row>
    <x:row r="305">
      <x:c r="A305" s="14" t="str">
        <x:v>AU-301</x:v>
      </x:c>
      <x:c r="B305" s="14" t="str">
        <x:v>Fallback qualification</x:v>
      </x:c>
      <x:c r="C305" s="14" t="str">
        <x:v>Qualification 39 remains source-empty</x:v>
      </x:c>
      <x:c r="D305" s="14" t="str">
        <x:f>IF('Fallback Lattice'!L43="SOURCE EMPTY","PASS","FAIL")</x:f>
        <x:v>PASS</x:v>
      </x:c>
      <x:c r="E305" s="14" t="str">
        <x:v>PASS</x:v>
      </x:c>
    </x:row>
    <x:row r="306">
      <x:c r="A306" s="14" t="str">
        <x:v>AU-302</x:v>
      </x:c>
      <x:c r="B306" s="14" t="str">
        <x:v>Fallback qualification</x:v>
      </x:c>
      <x:c r="C306" s="14" t="str">
        <x:v>Qualification 40 remains source-empty</x:v>
      </x:c>
      <x:c r="D306" s="14" t="str">
        <x:f>IF('Fallback Lattice'!L44="SOURCE EMPTY","PASS","FAIL")</x:f>
        <x:v>PASS</x:v>
      </x:c>
      <x:c r="E306" s="14" t="str">
        <x:v>PASS</x:v>
      </x:c>
    </x:row>
    <x:row r="307">
      <x:c r="A307" s="14" t="str">
        <x:v>AU-303</x:v>
      </x:c>
      <x:c r="B307" s="14" t="str">
        <x:v>Fallback qualification</x:v>
      </x:c>
      <x:c r="C307" s="14" t="str">
        <x:v>Qualification 41 remains source-empty</x:v>
      </x:c>
      <x:c r="D307" s="14" t="str">
        <x:f>IF('Fallback Lattice'!L45="SOURCE EMPTY","PASS","FAIL")</x:f>
        <x:v>PASS</x:v>
      </x:c>
      <x:c r="E307" s="14" t="str">
        <x:v>PASS</x:v>
      </x:c>
    </x:row>
    <x:row r="308">
      <x:c r="A308" s="14" t="str">
        <x:v>AU-304</x:v>
      </x:c>
      <x:c r="B308" s="14" t="str">
        <x:v>Fallback qualification</x:v>
      </x:c>
      <x:c r="C308" s="14" t="str">
        <x:v>Qualification 42 remains source-empty</x:v>
      </x:c>
      <x:c r="D308" s="14" t="str">
        <x:f>IF('Fallback Lattice'!L46="SOURCE EMPTY","PASS","FAIL")</x:f>
        <x:v>PASS</x:v>
      </x:c>
      <x:c r="E308" s="14" t="str">
        <x:v>PASS</x:v>
      </x:c>
    </x:row>
    <x:row r="309">
      <x:c r="A309" s="14" t="str">
        <x:v>AU-305</x:v>
      </x:c>
      <x:c r="B309" s="14" t="str">
        <x:v>Fallback qualification</x:v>
      </x:c>
      <x:c r="C309" s="14" t="str">
        <x:v>Qualification 43 remains source-empty</x:v>
      </x:c>
      <x:c r="D309" s="14" t="str">
        <x:f>IF('Fallback Lattice'!L47="SOURCE EMPTY","PASS","FAIL")</x:f>
        <x:v>PASS</x:v>
      </x:c>
      <x:c r="E309" s="14" t="str">
        <x:v>PASS</x:v>
      </x:c>
    </x:row>
    <x:row r="310">
      <x:c r="A310" s="14" t="str">
        <x:v>AU-306</x:v>
      </x:c>
      <x:c r="B310" s="14" t="str">
        <x:v>Fallback qualification</x:v>
      </x:c>
      <x:c r="C310" s="14" t="str">
        <x:v>Qualification 44 remains source-empty</x:v>
      </x:c>
      <x:c r="D310" s="14" t="str">
        <x:f>IF('Fallback Lattice'!L48="SOURCE EMPTY","PASS","FAIL")</x:f>
        <x:v>PASS</x:v>
      </x:c>
      <x:c r="E310" s="14" t="str">
        <x:v>PASS</x:v>
      </x:c>
    </x:row>
    <x:row r="311">
      <x:c r="A311" s="14" t="str">
        <x:v>AU-307</x:v>
      </x:c>
      <x:c r="B311" s="14" t="str">
        <x:v>Fallback qualification</x:v>
      </x:c>
      <x:c r="C311" s="14" t="str">
        <x:v>Qualification 45 remains source-empty</x:v>
      </x:c>
      <x:c r="D311" s="14" t="str">
        <x:f>IF('Fallback Lattice'!L49="SOURCE EMPTY","PASS","FAIL")</x:f>
        <x:v>PASS</x:v>
      </x:c>
      <x:c r="E311" s="14" t="str">
        <x:v>PASS</x:v>
      </x:c>
    </x:row>
    <x:row r="312">
      <x:c r="A312" s="14" t="str">
        <x:v>AU-308</x:v>
      </x:c>
      <x:c r="B312" s="14" t="str">
        <x:v>Fallback qualification</x:v>
      </x:c>
      <x:c r="C312" s="14" t="str">
        <x:v>Qualification 46 remains source-empty</x:v>
      </x:c>
      <x:c r="D312" s="14" t="str">
        <x:f>IF('Fallback Lattice'!L50="SOURCE EMPTY","PASS","FAIL")</x:f>
        <x:v>PASS</x:v>
      </x:c>
      <x:c r="E312" s="14" t="str">
        <x:v>PASS</x:v>
      </x:c>
    </x:row>
    <x:row r="313">
      <x:c r="A313" s="14" t="str">
        <x:v>AU-309</x:v>
      </x:c>
      <x:c r="B313" s="14" t="str">
        <x:v>Fallback qualification</x:v>
      </x:c>
      <x:c r="C313" s="14" t="str">
        <x:v>Qualification 47 remains source-empty</x:v>
      </x:c>
      <x:c r="D313" s="14" t="str">
        <x:f>IF('Fallback Lattice'!L51="SOURCE EMPTY","PASS","FAIL")</x:f>
        <x:v>PASS</x:v>
      </x:c>
      <x:c r="E313" s="14" t="str">
        <x:v>PASS</x:v>
      </x:c>
    </x:row>
    <x:row r="314">
      <x:c r="A314" s="14" t="str">
        <x:v>AU-310</x:v>
      </x:c>
      <x:c r="B314" s="14" t="str">
        <x:v>Fallback qualification</x:v>
      </x:c>
      <x:c r="C314" s="14" t="str">
        <x:v>Qualification 48 remains source-empty</x:v>
      </x:c>
      <x:c r="D314" s="14" t="str">
        <x:f>IF('Fallback Lattice'!L52="SOURCE EMPTY","PASS","FAIL")</x:f>
        <x:v>PASS</x:v>
      </x:c>
      <x:c r="E314" s="14" t="str">
        <x:v>PASS</x:v>
      </x:c>
    </x:row>
    <x:row r="315">
      <x:c r="A315" s="14" t="str">
        <x:v>AU-311</x:v>
      </x:c>
      <x:c r="B315" s="14" t="str">
        <x:v>Fallback coverage</x:v>
      </x:c>
      <x:c r="C315" s="14" t="str">
        <x:v>Root 1 has two designed records and zero admitted qualifications</x:v>
      </x:c>
      <x:c r="D315" s="14" t="str">
        <x:f>IF(AND('Fallback Coverage'!E5=2,'Fallback Coverage'!F5=0,'Fallback Coverage'!J5="SOURCE EMPTY"),"PASS","FAIL")</x:f>
        <x:v>PASS</x:v>
      </x:c>
      <x:c r="E315" s="14" t="str">
        <x:v>PASS</x:v>
      </x:c>
    </x:row>
    <x:row r="316">
      <x:c r="A316" s="14" t="str">
        <x:v>AU-312</x:v>
      </x:c>
      <x:c r="B316" s="14" t="str">
        <x:v>Fallback coverage</x:v>
      </x:c>
      <x:c r="C316" s="14" t="str">
        <x:v>Root 2 has two designed records and zero admitted qualifications</x:v>
      </x:c>
      <x:c r="D316" s="14" t="str">
        <x:f>IF(AND('Fallback Coverage'!E6=2,'Fallback Coverage'!F6=0,'Fallback Coverage'!J6="SOURCE EMPTY"),"PASS","FAIL")</x:f>
        <x:v>PASS</x:v>
      </x:c>
      <x:c r="E316" s="14" t="str">
        <x:v>PASS</x:v>
      </x:c>
    </x:row>
    <x:row r="317">
      <x:c r="A317" s="14" t="str">
        <x:v>AU-313</x:v>
      </x:c>
      <x:c r="B317" s="14" t="str">
        <x:v>Fallback coverage</x:v>
      </x:c>
      <x:c r="C317" s="14" t="str">
        <x:v>Root 3 has two designed records and zero admitted qualifications</x:v>
      </x:c>
      <x:c r="D317" s="14" t="str">
        <x:f>IF(AND('Fallback Coverage'!E7=2,'Fallback Coverage'!F7=0,'Fallback Coverage'!J7="SOURCE EMPTY"),"PASS","FAIL")</x:f>
        <x:v>PASS</x:v>
      </x:c>
      <x:c r="E317" s="14" t="str">
        <x:v>PASS</x:v>
      </x:c>
    </x:row>
    <x:row r="318">
      <x:c r="A318" s="14" t="str">
        <x:v>AU-314</x:v>
      </x:c>
      <x:c r="B318" s="14" t="str">
        <x:v>Fallback coverage</x:v>
      </x:c>
      <x:c r="C318" s="14" t="str">
        <x:v>Root 4 has two designed records and zero admitted qualifications</x:v>
      </x:c>
      <x:c r="D318" s="14" t="str">
        <x:f>IF(AND('Fallback Coverage'!E8=2,'Fallback Coverage'!F8=0,'Fallback Coverage'!J8="SOURCE EMPTY"),"PASS","FAIL")</x:f>
        <x:v>PASS</x:v>
      </x:c>
      <x:c r="E318" s="14" t="str">
        <x:v>PASS</x:v>
      </x:c>
    </x:row>
    <x:row r="319">
      <x:c r="A319" s="14" t="str">
        <x:v>AU-315</x:v>
      </x:c>
      <x:c r="B319" s="14" t="str">
        <x:v>Fallback coverage</x:v>
      </x:c>
      <x:c r="C319" s="14" t="str">
        <x:v>Root 5 has two designed records and zero admitted qualifications</x:v>
      </x:c>
      <x:c r="D319" s="14" t="str">
        <x:f>IF(AND('Fallback Coverage'!E9=2,'Fallback Coverage'!F9=0,'Fallback Coverage'!J9="SOURCE EMPTY"),"PASS","FAIL")</x:f>
        <x:v>PASS</x:v>
      </x:c>
      <x:c r="E319" s="14" t="str">
        <x:v>PASS</x:v>
      </x:c>
    </x:row>
    <x:row r="320">
      <x:c r="A320" s="14" t="str">
        <x:v>AU-316</x:v>
      </x:c>
      <x:c r="B320" s="14" t="str">
        <x:v>Fallback coverage</x:v>
      </x:c>
      <x:c r="C320" s="14" t="str">
        <x:v>Root 6 has two designed records and zero admitted qualifications</x:v>
      </x:c>
      <x:c r="D320" s="14" t="str">
        <x:f>IF(AND('Fallback Coverage'!E10=2,'Fallback Coverage'!F10=0,'Fallback Coverage'!J10="SOURCE EMPTY"),"PASS","FAIL")</x:f>
        <x:v>PASS</x:v>
      </x:c>
      <x:c r="E320" s="14" t="str">
        <x:v>PASS</x:v>
      </x:c>
    </x:row>
    <x:row r="321">
      <x:c r="A321" s="14" t="str">
        <x:v>AU-317</x:v>
      </x:c>
      <x:c r="B321" s="14" t="str">
        <x:v>Fallback coverage</x:v>
      </x:c>
      <x:c r="C321" s="14" t="str">
        <x:v>Root 7 has two designed records and zero admitted qualifications</x:v>
      </x:c>
      <x:c r="D321" s="14" t="str">
        <x:f>IF(AND('Fallback Coverage'!E11=2,'Fallback Coverage'!F11=0,'Fallback Coverage'!J11="SOURCE EMPTY"),"PASS","FAIL")</x:f>
        <x:v>PASS</x:v>
      </x:c>
      <x:c r="E321" s="14" t="str">
        <x:v>PASS</x:v>
      </x:c>
    </x:row>
    <x:row r="322">
      <x:c r="A322" s="14" t="str">
        <x:v>AU-318</x:v>
      </x:c>
      <x:c r="B322" s="14" t="str">
        <x:v>Fallback coverage</x:v>
      </x:c>
      <x:c r="C322" s="14" t="str">
        <x:v>Root 8 has two designed records and zero admitted qualifications</x:v>
      </x:c>
      <x:c r="D322" s="14" t="str">
        <x:f>IF(AND('Fallback Coverage'!E12=2,'Fallback Coverage'!F12=0,'Fallback Coverage'!J12="SOURCE EMPTY"),"PASS","FAIL")</x:f>
        <x:v>PASS</x:v>
      </x:c>
      <x:c r="E322" s="14" t="str">
        <x:v>PASS</x:v>
      </x:c>
    </x:row>
    <x:row r="323">
      <x:c r="A323" s="14" t="str">
        <x:v>AU-319</x:v>
      </x:c>
      <x:c r="B323" s="14" t="str">
        <x:v>Fallback coverage</x:v>
      </x:c>
      <x:c r="C323" s="14" t="str">
        <x:v>Root 9 has two designed records and zero admitted qualifications</x:v>
      </x:c>
      <x:c r="D323" s="14" t="str">
        <x:f>IF(AND('Fallback Coverage'!E13=2,'Fallback Coverage'!F13=0,'Fallback Coverage'!J13="SOURCE EMPTY"),"PASS","FAIL")</x:f>
        <x:v>PASS</x:v>
      </x:c>
      <x:c r="E323" s="14" t="str">
        <x:v>PASS</x:v>
      </x:c>
    </x:row>
    <x:row r="324">
      <x:c r="A324" s="14" t="str">
        <x:v>AU-320</x:v>
      </x:c>
      <x:c r="B324" s="14" t="str">
        <x:v>Fallback coverage</x:v>
      </x:c>
      <x:c r="C324" s="14" t="str">
        <x:v>Root 10 has two designed records and zero admitted qualifications</x:v>
      </x:c>
      <x:c r="D324" s="14" t="str">
        <x:f>IF(AND('Fallback Coverage'!E14=2,'Fallback Coverage'!F14=0,'Fallback Coverage'!J14="SOURCE EMPTY"),"PASS","FAIL")</x:f>
        <x:v>PASS</x:v>
      </x:c>
      <x:c r="E324" s="14" t="str">
        <x:v>PASS</x:v>
      </x:c>
    </x:row>
    <x:row r="325">
      <x:c r="A325" s="14" t="str">
        <x:v>AU-321</x:v>
      </x:c>
      <x:c r="B325" s="14" t="str">
        <x:v>Fallback coverage</x:v>
      </x:c>
      <x:c r="C325" s="14" t="str">
        <x:v>Root 11 has two designed records and zero admitted qualifications</x:v>
      </x:c>
      <x:c r="D325" s="14" t="str">
        <x:f>IF(AND('Fallback Coverage'!E15=2,'Fallback Coverage'!F15=0,'Fallback Coverage'!J15="SOURCE EMPTY"),"PASS","FAIL")</x:f>
        <x:v>PASS</x:v>
      </x:c>
      <x:c r="E325" s="14" t="str">
        <x:v>PASS</x:v>
      </x:c>
    </x:row>
    <x:row r="326">
      <x:c r="A326" s="14" t="str">
        <x:v>AU-322</x:v>
      </x:c>
      <x:c r="B326" s="14" t="str">
        <x:v>Fallback coverage</x:v>
      </x:c>
      <x:c r="C326" s="14" t="str">
        <x:v>Root 12 has two designed records and zero admitted qualifications</x:v>
      </x:c>
      <x:c r="D326" s="14" t="str">
        <x:f>IF(AND('Fallback Coverage'!E16=2,'Fallback Coverage'!F16=0,'Fallback Coverage'!J16="SOURCE EMPTY"),"PASS","FAIL")</x:f>
        <x:v>PASS</x:v>
      </x:c>
      <x:c r="E326" s="14" t="str">
        <x:v>PASS</x:v>
      </x:c>
    </x:row>
    <x:row r="327">
      <x:c r="A327" s="14" t="str">
        <x:v>AU-323</x:v>
      </x:c>
      <x:c r="B327" s="14" t="str">
        <x:v>Fallback coverage</x:v>
      </x:c>
      <x:c r="C327" s="14" t="str">
        <x:v>Root 13 has two designed records and zero admitted qualifications</x:v>
      </x:c>
      <x:c r="D327" s="14" t="str">
        <x:f>IF(AND('Fallback Coverage'!E17=2,'Fallback Coverage'!F17=0,'Fallback Coverage'!J17="SOURCE EMPTY"),"PASS","FAIL")</x:f>
        <x:v>PASS</x:v>
      </x:c>
      <x:c r="E327" s="14" t="str">
        <x:v>PASS</x:v>
      </x:c>
    </x:row>
    <x:row r="328">
      <x:c r="A328" s="14" t="str">
        <x:v>AU-324</x:v>
      </x:c>
      <x:c r="B328" s="14" t="str">
        <x:v>Fallback coverage</x:v>
      </x:c>
      <x:c r="C328" s="14" t="str">
        <x:v>Root 14 has two designed records and zero admitted qualifications</x:v>
      </x:c>
      <x:c r="D328" s="14" t="str">
        <x:f>IF(AND('Fallback Coverage'!E18=2,'Fallback Coverage'!F18=0,'Fallback Coverage'!J18="SOURCE EMPTY"),"PASS","FAIL")</x:f>
        <x:v>PASS</x:v>
      </x:c>
      <x:c r="E328" s="14" t="str">
        <x:v>PASS</x:v>
      </x:c>
    </x:row>
    <x:row r="329">
      <x:c r="A329" s="14" t="str">
        <x:v>AU-325</x:v>
      </x:c>
      <x:c r="B329" s="14" t="str">
        <x:v>Fallback coverage</x:v>
      </x:c>
      <x:c r="C329" s="14" t="str">
        <x:v>Root 15 has two designed records and zero admitted qualifications</x:v>
      </x:c>
      <x:c r="D329" s="14" t="str">
        <x:f>IF(AND('Fallback Coverage'!E19=2,'Fallback Coverage'!F19=0,'Fallback Coverage'!J19="SOURCE EMPTY"),"PASS","FAIL")</x:f>
        <x:v>PASS</x:v>
      </x:c>
      <x:c r="E329" s="14" t="str">
        <x:v>PASS</x:v>
      </x:c>
    </x:row>
    <x:row r="330">
      <x:c r="A330" s="14" t="str">
        <x:v>AU-326</x:v>
      </x:c>
      <x:c r="B330" s="14" t="str">
        <x:v>Fallback coverage</x:v>
      </x:c>
      <x:c r="C330" s="14" t="str">
        <x:v>Root 16 has two designed records and zero admitted qualifications</x:v>
      </x:c>
      <x:c r="D330" s="14" t="str">
        <x:f>IF(AND('Fallback Coverage'!E20=2,'Fallback Coverage'!F20=0,'Fallback Coverage'!J20="SOURCE EMPTY"),"PASS","FAIL")</x:f>
        <x:v>PASS</x:v>
      </x:c>
      <x:c r="E330" s="14" t="str">
        <x:v>PASS</x:v>
      </x:c>
    </x:row>
    <x:row r="331">
      <x:c r="A331" s="14" t="str">
        <x:v>AU-327</x:v>
      </x:c>
      <x:c r="B331" s="14" t="str">
        <x:v>Fallback coverage</x:v>
      </x:c>
      <x:c r="C331" s="14" t="str">
        <x:v>Root 17 has two designed records and zero admitted qualifications</x:v>
      </x:c>
      <x:c r="D331" s="14" t="str">
        <x:f>IF(AND('Fallback Coverage'!E21=2,'Fallback Coverage'!F21=0,'Fallback Coverage'!J21="SOURCE EMPTY"),"PASS","FAIL")</x:f>
        <x:v>PASS</x:v>
      </x:c>
      <x:c r="E331" s="14" t="str">
        <x:v>PASS</x:v>
      </x:c>
    </x:row>
    <x:row r="332">
      <x:c r="A332" s="14" t="str">
        <x:v>AU-328</x:v>
      </x:c>
      <x:c r="B332" s="14" t="str">
        <x:v>Fallback coverage</x:v>
      </x:c>
      <x:c r="C332" s="14" t="str">
        <x:v>Root 18 has two designed records and zero admitted qualifications</x:v>
      </x:c>
      <x:c r="D332" s="14" t="str">
        <x:f>IF(AND('Fallback Coverage'!E22=2,'Fallback Coverage'!F22=0,'Fallback Coverage'!J22="SOURCE EMPTY"),"PASS","FAIL")</x:f>
        <x:v>PASS</x:v>
      </x:c>
      <x:c r="E332" s="14" t="str">
        <x:v>PASS</x:v>
      </x:c>
    </x:row>
    <x:row r="333">
      <x:c r="A333" s="14" t="str">
        <x:v>AU-329</x:v>
      </x:c>
      <x:c r="B333" s="14" t="str">
        <x:v>Fallback coverage</x:v>
      </x:c>
      <x:c r="C333" s="14" t="str">
        <x:v>Root 19 has two designed records and zero admitted qualifications</x:v>
      </x:c>
      <x:c r="D333" s="14" t="str">
        <x:f>IF(AND('Fallback Coverage'!E23=2,'Fallback Coverage'!F23=0,'Fallback Coverage'!J23="SOURCE EMPTY"),"PASS","FAIL")</x:f>
        <x:v>PASS</x:v>
      </x:c>
      <x:c r="E333" s="14" t="str">
        <x:v>PASS</x:v>
      </x:c>
    </x:row>
    <x:row r="334">
      <x:c r="A334" s="14" t="str">
        <x:v>AU-330</x:v>
      </x:c>
      <x:c r="B334" s="14" t="str">
        <x:v>Fallback coverage</x:v>
      </x:c>
      <x:c r="C334" s="14" t="str">
        <x:v>Root 20 has two designed records and zero admitted qualifications</x:v>
      </x:c>
      <x:c r="D334" s="14" t="str">
        <x:f>IF(AND('Fallback Coverage'!E24=2,'Fallback Coverage'!F24=0,'Fallback Coverage'!J24="SOURCE EMPTY"),"PASS","FAIL")</x:f>
        <x:v>PASS</x:v>
      </x:c>
      <x:c r="E334" s="14" t="str">
        <x:v>PASS</x:v>
      </x:c>
    </x:row>
    <x:row r="335">
      <x:c r="A335" s="14" t="str">
        <x:v>AU-331</x:v>
      </x:c>
      <x:c r="B335" s="14" t="str">
        <x:v>Fallback coverage</x:v>
      </x:c>
      <x:c r="C335" s="14" t="str">
        <x:v>Root 21 has two designed records and zero admitted qualifications</x:v>
      </x:c>
      <x:c r="D335" s="14" t="str">
        <x:f>IF(AND('Fallback Coverage'!E25=2,'Fallback Coverage'!F25=0,'Fallback Coverage'!J25="SOURCE EMPTY"),"PASS","FAIL")</x:f>
        <x:v>PASS</x:v>
      </x:c>
      <x:c r="E335" s="14" t="str">
        <x:v>PASS</x:v>
      </x:c>
    </x:row>
    <x:row r="336">
      <x:c r="A336" s="14" t="str">
        <x:v>AU-332</x:v>
      </x:c>
      <x:c r="B336" s="14" t="str">
        <x:v>Fallback coverage</x:v>
      </x:c>
      <x:c r="C336" s="14" t="str">
        <x:v>Root 22 has two designed records and zero admitted qualifications</x:v>
      </x:c>
      <x:c r="D336" s="14" t="str">
        <x:f>IF(AND('Fallback Coverage'!E26=2,'Fallback Coverage'!F26=0,'Fallback Coverage'!J26="SOURCE EMPTY"),"PASS","FAIL")</x:f>
        <x:v>PASS</x:v>
      </x:c>
      <x:c r="E336" s="14" t="str">
        <x:v>PASS</x:v>
      </x:c>
    </x:row>
    <x:row r="337">
      <x:c r="A337" s="14" t="str">
        <x:v>AU-333</x:v>
      </x:c>
      <x:c r="B337" s="14" t="str">
        <x:v>Fallback coverage</x:v>
      </x:c>
      <x:c r="C337" s="14" t="str">
        <x:v>Root 23 has two designed records and zero admitted qualifications</x:v>
      </x:c>
      <x:c r="D337" s="14" t="str">
        <x:f>IF(AND('Fallback Coverage'!E27=2,'Fallback Coverage'!F27=0,'Fallback Coverage'!J27="SOURCE EMPTY"),"PASS","FAIL")</x:f>
        <x:v>PASS</x:v>
      </x:c>
      <x:c r="E337" s="14" t="str">
        <x:v>PASS</x:v>
      </x:c>
    </x:row>
    <x:row r="338">
      <x:c r="A338" s="14" t="str">
        <x:v>AU-334</x:v>
      </x:c>
      <x:c r="B338" s="14" t="str">
        <x:v>Fallback coverage</x:v>
      </x:c>
      <x:c r="C338" s="14" t="str">
        <x:v>Root 24 has two designed records and zero admitted qualifications</x:v>
      </x:c>
      <x:c r="D338" s="14" t="str">
        <x:f>IF(AND('Fallback Coverage'!E28=2,'Fallback Coverage'!F28=0,'Fallback Coverage'!J28="SOURCE EMPTY"),"PASS","FAIL")</x:f>
        <x:v>PASS</x:v>
      </x:c>
      <x:c r="E338" s="14" t="str">
        <x:v>PASS</x:v>
      </x:c>
    </x:row>
    <x:row r="339">
      <x:c r="A339" s="14" t="str">
        <x:v>AU-335</x:v>
      </x:c>
      <x:c r="B339" s="14" t="str">
        <x:v>Fiscal accounts</x:v>
      </x:c>
      <x:c r="C339" s="14" t="str">
        <x:v>Account row 1 reconciles</x:v>
      </x:c>
      <x:c r="D339" s="14" t="str">
        <x:f>IF('Account Matrix'!I5=0,"PASS","FAIL")</x:f>
        <x:v>PASS</x:v>
      </x:c>
      <x:c r="E339" s="14" t="str">
        <x:v>PASS</x:v>
      </x:c>
    </x:row>
    <x:row r="340">
      <x:c r="A340" s="14" t="str">
        <x:v>AU-336</x:v>
      </x:c>
      <x:c r="B340" s="14" t="str">
        <x:v>Fiscal accounts</x:v>
      </x:c>
      <x:c r="C340" s="14" t="str">
        <x:v>Account row 2 reconciles</x:v>
      </x:c>
      <x:c r="D340" s="14" t="str">
        <x:f>IF('Account Matrix'!I6=0,"PASS","FAIL")</x:f>
        <x:v>PASS</x:v>
      </x:c>
      <x:c r="E340" s="14" t="str">
        <x:v>PASS</x:v>
      </x:c>
    </x:row>
    <x:row r="341">
      <x:c r="A341" s="14" t="str">
        <x:v>AU-337</x:v>
      </x:c>
      <x:c r="B341" s="14" t="str">
        <x:v>Fiscal accounts</x:v>
      </x:c>
      <x:c r="C341" s="14" t="str">
        <x:v>Account row 3 reconciles</x:v>
      </x:c>
      <x:c r="D341" s="14" t="str">
        <x:f>IF('Account Matrix'!I7=0,"PASS","FAIL")</x:f>
        <x:v>PASS</x:v>
      </x:c>
      <x:c r="E341" s="14" t="str">
        <x:v>PASS</x:v>
      </x:c>
    </x:row>
    <x:row r="342">
      <x:c r="A342" s="14" t="str">
        <x:v>AU-338</x:v>
      </x:c>
      <x:c r="B342" s="14" t="str">
        <x:v>Fiscal accounts</x:v>
      </x:c>
      <x:c r="C342" s="14" t="str">
        <x:v>Account row 4 reconciles</x:v>
      </x:c>
      <x:c r="D342" s="14" t="str">
        <x:f>IF('Account Matrix'!I8=0,"PASS","FAIL")</x:f>
        <x:v>PASS</x:v>
      </x:c>
      <x:c r="E342" s="14" t="str">
        <x:v>PASS</x:v>
      </x:c>
    </x:row>
    <x:row r="343">
      <x:c r="A343" s="14" t="str">
        <x:v>AU-339</x:v>
      </x:c>
      <x:c r="B343" s="14" t="str">
        <x:v>Fiscal accounts</x:v>
      </x:c>
      <x:c r="C343" s="14" t="str">
        <x:v>Account row 5 reconciles</x:v>
      </x:c>
      <x:c r="D343" s="14" t="str">
        <x:f>IF('Account Matrix'!I9=0,"PASS","FAIL")</x:f>
        <x:v>PASS</x:v>
      </x:c>
      <x:c r="E343" s="14" t="str">
        <x:v>PASS</x:v>
      </x:c>
    </x:row>
    <x:row r="344">
      <x:c r="A344" s="14" t="str">
        <x:v>AU-340</x:v>
      </x:c>
      <x:c r="B344" s="14" t="str">
        <x:v>Fiscal instruments</x:v>
      </x:c>
      <x:c r="C344" s="14" t="str">
        <x:v>Instrument column B reconciles</x:v>
      </x:c>
      <x:c r="D344" s="14" t="str">
        <x:f>IF('Account Matrix'!B12=0,"PASS","FAIL")</x:f>
        <x:v>PASS</x:v>
      </x:c>
      <x:c r="E344" s="14" t="str">
        <x:v>PASS</x:v>
      </x:c>
    </x:row>
    <x:row r="345">
      <x:c r="A345" s="14" t="str">
        <x:v>AU-341</x:v>
      </x:c>
      <x:c r="B345" s="14" t="str">
        <x:v>Fiscal instruments</x:v>
      </x:c>
      <x:c r="C345" s="14" t="str">
        <x:v>Instrument column C reconciles</x:v>
      </x:c>
      <x:c r="D345" s="14" t="str">
        <x:f>IF('Account Matrix'!C12=0,"PASS","FAIL")</x:f>
        <x:v>PASS</x:v>
      </x:c>
      <x:c r="E345" s="14" t="str">
        <x:v>PASS</x:v>
      </x:c>
    </x:row>
    <x:row r="346">
      <x:c r="A346" s="14" t="str">
        <x:v>AU-342</x:v>
      </x:c>
      <x:c r="B346" s="14" t="str">
        <x:v>Fiscal instruments</x:v>
      </x:c>
      <x:c r="C346" s="14" t="str">
        <x:v>Instrument column D reconciles</x:v>
      </x:c>
      <x:c r="D346" s="14" t="str">
        <x:f>IF('Account Matrix'!D12=0,"PASS","FAIL")</x:f>
        <x:v>PASS</x:v>
      </x:c>
      <x:c r="E346" s="14" t="str">
        <x:v>PASS</x:v>
      </x:c>
    </x:row>
    <x:row r="347">
      <x:c r="A347" s="14" t="str">
        <x:v>AU-343</x:v>
      </x:c>
      <x:c r="B347" s="14" t="str">
        <x:v>Fiscal instruments</x:v>
      </x:c>
      <x:c r="C347" s="14" t="str">
        <x:v>Instrument column E reconciles</x:v>
      </x:c>
      <x:c r="D347" s="14" t="str">
        <x:f>IF('Account Matrix'!E12=0,"PASS","FAIL")</x:f>
        <x:v>PASS</x:v>
      </x:c>
      <x:c r="E347" s="14" t="str">
        <x:v>PASS</x:v>
      </x:c>
    </x:row>
    <x:row r="348">
      <x:c r="A348" s="14" t="str">
        <x:v>AU-344</x:v>
      </x:c>
      <x:c r="B348" s="14" t="str">
        <x:v>Fiscal instruments</x:v>
      </x:c>
      <x:c r="C348" s="14" t="str">
        <x:v>Instrument column F reconciles</x:v>
      </x:c>
      <x:c r="D348" s="14" t="str">
        <x:f>IF('Account Matrix'!F12=0,"PASS","FAIL")</x:f>
        <x:v>PASS</x:v>
      </x:c>
      <x:c r="E348" s="14" t="str">
        <x:v>PASS</x:v>
      </x:c>
    </x:row>
    <x:row r="349">
      <x:c r="A349" s="14" t="str">
        <x:v>AU-345</x:v>
      </x:c>
      <x:c r="B349" s="14" t="str">
        <x:v>Fiscal total</x:v>
      </x:c>
      <x:c r="C349" s="14" t="str">
        <x:v>Account matrix conserves USD 1.00T</x:v>
      </x:c>
      <x:c r="D349" s="14" t="str">
        <x:f>IF('Account Matrix'!I10=0,"PASS","FAIL")</x:f>
        <x:v>PASS</x:v>
      </x:c>
      <x:c r="E349" s="14" t="str">
        <x:v>PASS</x:v>
      </x:c>
    </x:row>
    <x:row r="350">
      <x:c r="A350" s="14" t="str">
        <x:v>AU-346</x:v>
      </x:c>
      <x:c r="B350" s="14" t="str">
        <x:v>Fiscal waves</x:v>
      </x:c>
      <x:c r="C350" s="14" t="str">
        <x:v>Wave row 1 reconciles</x:v>
      </x:c>
      <x:c r="D350" s="14" t="str">
        <x:f>IF('Wave Schedule'!J5=0,"PASS","FAIL")</x:f>
        <x:v>PASS</x:v>
      </x:c>
      <x:c r="E350" s="14" t="str">
        <x:v>PASS</x:v>
      </x:c>
    </x:row>
    <x:row r="351">
      <x:c r="A351" s="14" t="str">
        <x:v>AU-347</x:v>
      </x:c>
      <x:c r="B351" s="14" t="str">
        <x:v>Fiscal waves</x:v>
      </x:c>
      <x:c r="C351" s="14" t="str">
        <x:v>Wave row 2 reconciles</x:v>
      </x:c>
      <x:c r="D351" s="14" t="str">
        <x:f>IF('Wave Schedule'!J6=0,"PASS","FAIL")</x:f>
        <x:v>PASS</x:v>
      </x:c>
      <x:c r="E351" s="14" t="str">
        <x:v>PASS</x:v>
      </x:c>
    </x:row>
    <x:row r="352">
      <x:c r="A352" s="14" t="str">
        <x:v>AU-348</x:v>
      </x:c>
      <x:c r="B352" s="14" t="str">
        <x:v>Fiscal waves</x:v>
      </x:c>
      <x:c r="C352" s="14" t="str">
        <x:v>Wave row 3 reconciles</x:v>
      </x:c>
      <x:c r="D352" s="14" t="str">
        <x:f>IF('Wave Schedule'!J7=0,"PASS","FAIL")</x:f>
        <x:v>PASS</x:v>
      </x:c>
      <x:c r="E352" s="14" t="str">
        <x:v>PASS</x:v>
      </x:c>
    </x:row>
    <x:row r="353">
      <x:c r="A353" s="14" t="str">
        <x:v>AU-349</x:v>
      </x:c>
      <x:c r="B353" s="14" t="str">
        <x:v>Fiscal waves</x:v>
      </x:c>
      <x:c r="C353" s="14" t="str">
        <x:v>Wave row 4 reconciles</x:v>
      </x:c>
      <x:c r="D353" s="14" t="str">
        <x:f>IF('Wave Schedule'!J8=0,"PASS","FAIL")</x:f>
        <x:v>PASS</x:v>
      </x:c>
      <x:c r="E353" s="14" t="str">
        <x:v>PASS</x:v>
      </x:c>
    </x:row>
    <x:row r="354">
      <x:c r="A354" s="14" t="str">
        <x:v>AU-350</x:v>
      </x:c>
      <x:c r="B354" s="14" t="str">
        <x:v>Fiscal waves</x:v>
      </x:c>
      <x:c r="C354" s="14" t="str">
        <x:v>Wave row 5 reconciles</x:v>
      </x:c>
      <x:c r="D354" s="14" t="str">
        <x:f>IF('Wave Schedule'!J9=0,"PASS","FAIL")</x:f>
        <x:v>PASS</x:v>
      </x:c>
      <x:c r="E354" s="14" t="str">
        <x:v>PASS</x:v>
      </x:c>
    </x:row>
    <x:row r="355">
      <x:c r="A355" s="14" t="str">
        <x:v>AU-351</x:v>
      </x:c>
      <x:c r="B355" s="14" t="str">
        <x:v>Fiscal waves</x:v>
      </x:c>
      <x:c r="C355" s="14" t="str">
        <x:v>Wave instrument column C reconciles</x:v>
      </x:c>
      <x:c r="D355" s="14" t="str">
        <x:f>IF('Wave Schedule'!C12=0,"PASS","FAIL")</x:f>
        <x:v>PASS</x:v>
      </x:c>
      <x:c r="E355" s="14" t="str">
        <x:v>PASS</x:v>
      </x:c>
    </x:row>
    <x:row r="356">
      <x:c r="A356" s="14" t="str">
        <x:v>AU-352</x:v>
      </x:c>
      <x:c r="B356" s="14" t="str">
        <x:v>Fiscal waves</x:v>
      </x:c>
      <x:c r="C356" s="14" t="str">
        <x:v>Wave instrument column D reconciles</x:v>
      </x:c>
      <x:c r="D356" s="14" t="str">
        <x:f>IF('Wave Schedule'!D12=0,"PASS","FAIL")</x:f>
        <x:v>PASS</x:v>
      </x:c>
      <x:c r="E356" s="14" t="str">
        <x:v>PASS</x:v>
      </x:c>
    </x:row>
    <x:row r="357">
      <x:c r="A357" s="14" t="str">
        <x:v>AU-353</x:v>
      </x:c>
      <x:c r="B357" s="14" t="str">
        <x:v>Fiscal waves</x:v>
      </x:c>
      <x:c r="C357" s="14" t="str">
        <x:v>Wave instrument column E reconciles</x:v>
      </x:c>
      <x:c r="D357" s="14" t="str">
        <x:f>IF('Wave Schedule'!E12=0,"PASS","FAIL")</x:f>
        <x:v>PASS</x:v>
      </x:c>
      <x:c r="E357" s="14" t="str">
        <x:v>PASS</x:v>
      </x:c>
    </x:row>
    <x:row r="358">
      <x:c r="A358" s="14" t="str">
        <x:v>AU-354</x:v>
      </x:c>
      <x:c r="B358" s="14" t="str">
        <x:v>Fiscal waves</x:v>
      </x:c>
      <x:c r="C358" s="14" t="str">
        <x:v>Wave instrument column F reconciles</x:v>
      </x:c>
      <x:c r="D358" s="14" t="str">
        <x:f>IF('Wave Schedule'!F12=0,"PASS","FAIL")</x:f>
        <x:v>PASS</x:v>
      </x:c>
      <x:c r="E358" s="14" t="str">
        <x:v>PASS</x:v>
      </x:c>
    </x:row>
    <x:row r="359">
      <x:c r="A359" s="14" t="str">
        <x:v>AU-355</x:v>
      </x:c>
      <x:c r="B359" s="14" t="str">
        <x:v>Fiscal waves</x:v>
      </x:c>
      <x:c r="C359" s="14" t="str">
        <x:v>Wave instrument column G reconciles</x:v>
      </x:c>
      <x:c r="D359" s="14" t="str">
        <x:f>IF('Wave Schedule'!G12=0,"PASS","FAIL")</x:f>
        <x:v>PASS</x:v>
      </x:c>
      <x:c r="E359" s="14" t="str">
        <x:v>PASS</x:v>
      </x:c>
    </x:row>
    <x:row r="360">
      <x:c r="A360" s="14" t="str">
        <x:v>AU-356</x:v>
      </x:c>
      <x:c r="B360" s="14" t="str">
        <x:v>Fiscal waves</x:v>
      </x:c>
      <x:c r="C360" s="14" t="str">
        <x:v>Wave schedule conserves USD 1.00T</x:v>
      </x:c>
      <x:c r="D360" s="14" t="str">
        <x:f>IF('Wave Schedule'!J10=0,"PASS","FAIL")</x:f>
        <x:v>PASS</x:v>
      </x:c>
      <x:c r="E360" s="14" t="str">
        <x:v>PASS</x:v>
      </x:c>
    </x:row>
    <x:row r="361">
      <x:c r="A361" s="14" t="str">
        <x:v>AU-357</x:v>
      </x:c>
      <x:c r="B361" s="14" t="str">
        <x:v>Failure law</x:v>
      </x:c>
      <x:c r="C361" s="14" t="str">
        <x:v>Failure rule 1 has an automatic action</x:v>
      </x:c>
      <x:c r="D361" s="14" t="str">
        <x:f>IF('Failure Law'!C5&lt;&gt;"","PASS","FAIL")</x:f>
        <x:v>PASS</x:v>
      </x:c>
      <x:c r="E361" s="14" t="str">
        <x:v>PASS</x:v>
      </x:c>
    </x:row>
    <x:row r="362">
      <x:c r="A362" s="14" t="str">
        <x:v>AU-358</x:v>
      </x:c>
      <x:c r="B362" s="14" t="str">
        <x:v>Failure law</x:v>
      </x:c>
      <x:c r="C362" s="14" t="str">
        <x:v>Failure rule 2 has an automatic action</x:v>
      </x:c>
      <x:c r="D362" s="14" t="str">
        <x:f>IF('Failure Law'!C6&lt;&gt;"","PASS","FAIL")</x:f>
        <x:v>PASS</x:v>
      </x:c>
      <x:c r="E362" s="14" t="str">
        <x:v>PASS</x:v>
      </x:c>
    </x:row>
    <x:row r="363">
      <x:c r="A363" s="14" t="str">
        <x:v>AU-359</x:v>
      </x:c>
      <x:c r="B363" s="14" t="str">
        <x:v>Failure law</x:v>
      </x:c>
      <x:c r="C363" s="14" t="str">
        <x:v>Failure rule 3 has an automatic action</x:v>
      </x:c>
      <x:c r="D363" s="14" t="str">
        <x:f>IF('Failure Law'!C7&lt;&gt;"","PASS","FAIL")</x:f>
        <x:v>PASS</x:v>
      </x:c>
      <x:c r="E363" s="14" t="str">
        <x:v>PASS</x:v>
      </x:c>
    </x:row>
    <x:row r="364">
      <x:c r="A364" s="14" t="str">
        <x:v>AU-360</x:v>
      </x:c>
      <x:c r="B364" s="14" t="str">
        <x:v>Failure law</x:v>
      </x:c>
      <x:c r="C364" s="14" t="str">
        <x:v>Failure rule 4 has an automatic action</x:v>
      </x:c>
      <x:c r="D364" s="14" t="str">
        <x:f>IF('Failure Law'!C8&lt;&gt;"","PASS","FAIL")</x:f>
        <x:v>PASS</x:v>
      </x:c>
      <x:c r="E364" s="14" t="str">
        <x:v>PASS</x:v>
      </x:c>
    </x:row>
    <x:row r="365">
      <x:c r="A365" s="14" t="str">
        <x:v>AU-361</x:v>
      </x:c>
      <x:c r="B365" s="14" t="str">
        <x:v>Failure law</x:v>
      </x:c>
      <x:c r="C365" s="14" t="str">
        <x:v>Failure rule 5 has an automatic action</x:v>
      </x:c>
      <x:c r="D365" s="14" t="str">
        <x:f>IF('Failure Law'!C9&lt;&gt;"","PASS","FAIL")</x:f>
        <x:v>PASS</x:v>
      </x:c>
      <x:c r="E365" s="14" t="str">
        <x:v>PASS</x:v>
      </x:c>
    </x:row>
    <x:row r="366">
      <x:c r="A366" s="14" t="str">
        <x:v>AU-362</x:v>
      </x:c>
      <x:c r="B366" s="14" t="str">
        <x:v>Failure law</x:v>
      </x:c>
      <x:c r="C366" s="14" t="str">
        <x:v>Failure rule 6 has an automatic action</x:v>
      </x:c>
      <x:c r="D366" s="14" t="str">
        <x:f>IF('Failure Law'!C10&lt;&gt;"","PASS","FAIL")</x:f>
        <x:v>PASS</x:v>
      </x:c>
      <x:c r="E366" s="14" t="str">
        <x:v>PASS</x:v>
      </x:c>
    </x:row>
    <x:row r="367">
      <x:c r="A367" s="14" t="str">
        <x:v>AU-363</x:v>
      </x:c>
      <x:c r="B367" s="14" t="str">
        <x:v>Failure law</x:v>
      </x:c>
      <x:c r="C367" s="14" t="str">
        <x:v>Failure rule 7 has an automatic action</x:v>
      </x:c>
      <x:c r="D367" s="14" t="str">
        <x:f>IF('Failure Law'!C11&lt;&gt;"","PASS","FAIL")</x:f>
        <x:v>PASS</x:v>
      </x:c>
      <x:c r="E367" s="14" t="str">
        <x:v>PASS</x:v>
      </x:c>
    </x:row>
    <x:row r="368">
      <x:c r="A368" s="14" t="str">
        <x:v>AU-364</x:v>
      </x:c>
      <x:c r="B368" s="14" t="str">
        <x:v>Failure law</x:v>
      </x:c>
      <x:c r="C368" s="14" t="str">
        <x:v>Failure rule 8 has an automatic action</x:v>
      </x:c>
      <x:c r="D368" s="14" t="str">
        <x:f>IF('Failure Law'!C12&lt;&gt;"","PASS","FAIL")</x:f>
        <x:v>PASS</x:v>
      </x:c>
      <x:c r="E368" s="14" t="str">
        <x:v>PASS</x:v>
      </x:c>
    </x:row>
    <x:row r="369">
      <x:c r="A369" s="14" t="str">
        <x:v>AU-365</x:v>
      </x:c>
      <x:c r="B369" s="14" t="str">
        <x:v>Failure law</x:v>
      </x:c>
      <x:c r="C369" s="14" t="str">
        <x:v>Failure rule 9 has an automatic action</x:v>
      </x:c>
      <x:c r="D369" s="14" t="str">
        <x:f>IF('Failure Law'!C13&lt;&gt;"","PASS","FAIL")</x:f>
        <x:v>PASS</x:v>
      </x:c>
      <x:c r="E369" s="14" t="str">
        <x:v>PASS</x:v>
      </x:c>
    </x:row>
    <x:row r="370">
      <x:c r="A370" s="14" t="str">
        <x:v>AU-366</x:v>
      </x:c>
      <x:c r="B370" s="14" t="str">
        <x:v>Failure law</x:v>
      </x:c>
      <x:c r="C370" s="14" t="str">
        <x:v>Failure rule 10 has an automatic action</x:v>
      </x:c>
      <x:c r="D370" s="14" t="str">
        <x:f>IF('Failure Law'!C14&lt;&gt;"","PASS","FAIL")</x:f>
        <x:v>PASS</x:v>
      </x:c>
      <x:c r="E370" s="14" t="str">
        <x:v>PASS</x:v>
      </x:c>
    </x:row>
    <x:row r="371">
      <x:c r="A371" s="14" t="str">
        <x:v>AU-367</x:v>
      </x:c>
      <x:c r="B371" s="14" t="str">
        <x:v>Failure law</x:v>
      </x:c>
      <x:c r="C371" s="14" t="str">
        <x:v>Failure rule 11 has an automatic action</x:v>
      </x:c>
      <x:c r="D371" s="14" t="str">
        <x:f>IF('Failure Law'!C15&lt;&gt;"","PASS","FAIL")</x:f>
        <x:v>PASS</x:v>
      </x:c>
      <x:c r="E371" s="14" t="str">
        <x:v>PASS</x:v>
      </x:c>
    </x:row>
    <x:row r="372">
      <x:c r="A372" s="14" t="str">
        <x:v>AU-368</x:v>
      </x:c>
      <x:c r="B372" s="14" t="str">
        <x:v>Failure law</x:v>
      </x:c>
      <x:c r="C372" s="14" t="str">
        <x:v>Failure rule 12 has an automatic action</x:v>
      </x:c>
      <x:c r="D372" s="14" t="str">
        <x:f>IF('Failure Law'!C16&lt;&gt;"","PASS","FAIL")</x:f>
        <x:v>PASS</x:v>
      </x:c>
      <x:c r="E372" s="14" t="str">
        <x:v>PASS</x:v>
      </x:c>
    </x:row>
    <x:row r="373">
      <x:c r="A373" s="14" t="str">
        <x:v>AU-369</x:v>
      </x:c>
      <x:c r="B373" s="14" t="str">
        <x:v>Export</x:v>
      </x:c>
      <x:c r="C373" s="14" t="str">
        <x:v>Export gate 1 remains blocked without evidence</x:v>
      </x:c>
      <x:c r="D373" s="14" t="str">
        <x:f>IF('Export Gates'!F5="BLOCKED","PASS","FAIL")</x:f>
        <x:v>PASS</x:v>
      </x:c>
      <x:c r="E373" s="14" t="str">
        <x:v>PASS</x:v>
      </x:c>
    </x:row>
    <x:row r="374">
      <x:c r="A374" s="14" t="str">
        <x:v>AU-370</x:v>
      </x:c>
      <x:c r="B374" s="14" t="str">
        <x:v>Export</x:v>
      </x:c>
      <x:c r="C374" s="14" t="str">
        <x:v>Export gate 2 remains blocked without evidence</x:v>
      </x:c>
      <x:c r="D374" s="14" t="str">
        <x:f>IF('Export Gates'!F6="BLOCKED","PASS","FAIL")</x:f>
        <x:v>PASS</x:v>
      </x:c>
      <x:c r="E374" s="14" t="str">
        <x:v>PASS</x:v>
      </x:c>
    </x:row>
    <x:row r="375">
      <x:c r="A375" s="14" t="str">
        <x:v>AU-371</x:v>
      </x:c>
      <x:c r="B375" s="14" t="str">
        <x:v>Export</x:v>
      </x:c>
      <x:c r="C375" s="14" t="str">
        <x:v>Export gate 3 remains blocked without evidence</x:v>
      </x:c>
      <x:c r="D375" s="14" t="str">
        <x:f>IF('Export Gates'!F7="BLOCKED","PASS","FAIL")</x:f>
        <x:v>PASS</x:v>
      </x:c>
      <x:c r="E375" s="14" t="str">
        <x:v>PASS</x:v>
      </x:c>
    </x:row>
    <x:row r="376">
      <x:c r="A376" s="14" t="str">
        <x:v>AU-372</x:v>
      </x:c>
      <x:c r="B376" s="14" t="str">
        <x:v>Export</x:v>
      </x:c>
      <x:c r="C376" s="14" t="str">
        <x:v>Export gate 4 remains blocked without evidence</x:v>
      </x:c>
      <x:c r="D376" s="14" t="str">
        <x:f>IF('Export Gates'!F8="BLOCKED","PASS","FAIL")</x:f>
        <x:v>PASS</x:v>
      </x:c>
      <x:c r="E376" s="14" t="str">
        <x:v>PASS</x:v>
      </x:c>
    </x:row>
    <x:row r="377">
      <x:c r="A377" s="14" t="str">
        <x:v>AU-373</x:v>
      </x:c>
      <x:c r="B377" s="14" t="str">
        <x:v>Export</x:v>
      </x:c>
      <x:c r="C377" s="14" t="str">
        <x:v>Export gate 5 remains blocked without evidence</x:v>
      </x:c>
      <x:c r="D377" s="14" t="str">
        <x:f>IF('Export Gates'!F9="BLOCKED","PASS","FAIL")</x:f>
        <x:v>PASS</x:v>
      </x:c>
      <x:c r="E377" s="14" t="str">
        <x:v>PASS</x:v>
      </x:c>
    </x:row>
    <x:row r="378">
      <x:c r="A378" s="14" t="str">
        <x:v>AU-374</x:v>
      </x:c>
      <x:c r="B378" s="14" t="str">
        <x:v>Export</x:v>
      </x:c>
      <x:c r="C378" s="14" t="str">
        <x:v>Export gate 6 remains blocked without evidence</x:v>
      </x:c>
      <x:c r="D378" s="14" t="str">
        <x:f>IF('Export Gates'!F10="BLOCKED","PASS","FAIL")</x:f>
        <x:v>PASS</x:v>
      </x:c>
      <x:c r="E378" s="14" t="str">
        <x:v>PASS</x:v>
      </x:c>
    </x:row>
    <x:row r="379">
      <x:c r="A379" s="14" t="str">
        <x:v>AU-375</x:v>
      </x:c>
      <x:c r="B379" s="14" t="str">
        <x:v>Export</x:v>
      </x:c>
      <x:c r="C379" s="14" t="str">
        <x:v>Export gate 7 remains blocked without evidence</x:v>
      </x:c>
      <x:c r="D379" s="14" t="str">
        <x:f>IF('Export Gates'!F11="BLOCKED","PASS","FAIL")</x:f>
        <x:v>PASS</x:v>
      </x:c>
      <x:c r="E379" s="14" t="str">
        <x:v>PASS</x:v>
      </x:c>
    </x:row>
    <x:row r="380">
      <x:c r="A380" s="14" t="str">
        <x:v>AU-376</x:v>
      </x:c>
      <x:c r="B380" s="14" t="str">
        <x:v>Export</x:v>
      </x:c>
      <x:c r="C380" s="14" t="str">
        <x:v>Export gate 8 remains blocked without evidence</x:v>
      </x:c>
      <x:c r="D380" s="14" t="str">
        <x:f>IF('Export Gates'!F12="BLOCKED","PASS","FAIL")</x:f>
        <x:v>PASS</x:v>
      </x:c>
      <x:c r="E380" s="14" t="str">
        <x:v>PASS</x:v>
      </x:c>
    </x:row>
    <x:row r="381">
      <x:c r="A381" s="14" t="str">
        <x:v>AU-377</x:v>
      </x:c>
      <x:c r="B381" s="14" t="str">
        <x:v>Export</x:v>
      </x:c>
      <x:c r="C381" s="14" t="str">
        <x:v>Export gate 9 remains blocked without evidence</x:v>
      </x:c>
      <x:c r="D381" s="14" t="str">
        <x:f>IF('Export Gates'!F13="BLOCKED","PASS","FAIL")</x:f>
        <x:v>PASS</x:v>
      </x:c>
      <x:c r="E381" s="14" t="str">
        <x:v>PASS</x:v>
      </x:c>
    </x:row>
    <x:row r="382">
      <x:c r="A382" s="14" t="str">
        <x:v>AU-378</x:v>
      </x:c>
      <x:c r="B382" s="14" t="str">
        <x:v>Export</x:v>
      </x:c>
      <x:c r="C382" s="14" t="str">
        <x:v>Export gate 10 remains blocked without evidence</x:v>
      </x:c>
      <x:c r="D382" s="14" t="str">
        <x:f>IF('Export Gates'!F14="BLOCKED","PASS","FAIL")</x:f>
        <x:v>PASS</x:v>
      </x:c>
      <x:c r="E382" s="14" t="str">
        <x:v>PASS</x:v>
      </x:c>
    </x:row>
    <x:row r="383">
      <x:c r="A383" s="14" t="str">
        <x:v>AU-379</x:v>
      </x:c>
      <x:c r="B383" s="14" t="str">
        <x:v>Innovation</x:v>
      </x:c>
      <x:c r="C383" s="14" t="str">
        <x:v>Innovation program 1 has an application and physical advance</x:v>
      </x:c>
      <x:c r="D383" s="14" t="str">
        <x:f>IF(AND('Innovation Program'!B5&lt;&gt;"",'Innovation Program'!C5&lt;&gt;""),"PASS","FAIL")</x:f>
        <x:v>PASS</x:v>
      </x:c>
      <x:c r="E383" s="14" t="str">
        <x:v>PASS</x:v>
      </x:c>
    </x:row>
    <x:row r="384">
      <x:c r="A384" s="14" t="str">
        <x:v>AU-380</x:v>
      </x:c>
      <x:c r="B384" s="14" t="str">
        <x:v>Innovation</x:v>
      </x:c>
      <x:c r="C384" s="14" t="str">
        <x:v>Innovation program 2 has an application and physical advance</x:v>
      </x:c>
      <x:c r="D384" s="14" t="str">
        <x:f>IF(AND('Innovation Program'!B6&lt;&gt;"",'Innovation Program'!C6&lt;&gt;""),"PASS","FAIL")</x:f>
        <x:v>PASS</x:v>
      </x:c>
      <x:c r="E384" s="14" t="str">
        <x:v>PASS</x:v>
      </x:c>
    </x:row>
    <x:row r="385">
      <x:c r="A385" s="14" t="str">
        <x:v>AU-381</x:v>
      </x:c>
      <x:c r="B385" s="14" t="str">
        <x:v>Innovation</x:v>
      </x:c>
      <x:c r="C385" s="14" t="str">
        <x:v>Innovation program 3 has an application and physical advance</x:v>
      </x:c>
      <x:c r="D385" s="14" t="str">
        <x:f>IF(AND('Innovation Program'!B7&lt;&gt;"",'Innovation Program'!C7&lt;&gt;""),"PASS","FAIL")</x:f>
        <x:v>PASS</x:v>
      </x:c>
      <x:c r="E385" s="14" t="str">
        <x:v>PASS</x:v>
      </x:c>
    </x:row>
    <x:row r="386">
      <x:c r="A386" s="14" t="str">
        <x:v>AU-382</x:v>
      </x:c>
      <x:c r="B386" s="14" t="str">
        <x:v>Innovation</x:v>
      </x:c>
      <x:c r="C386" s="14" t="str">
        <x:v>Innovation program 4 has an application and physical advance</x:v>
      </x:c>
      <x:c r="D386" s="14" t="str">
        <x:f>IF(AND('Innovation Program'!B8&lt;&gt;"",'Innovation Program'!C8&lt;&gt;""),"PASS","FAIL")</x:f>
        <x:v>PASS</x:v>
      </x:c>
      <x:c r="E386" s="14" t="str">
        <x:v>PASS</x:v>
      </x:c>
    </x:row>
    <x:row r="387">
      <x:c r="A387" s="14" t="str">
        <x:v>AU-383</x:v>
      </x:c>
      <x:c r="B387" s="14" t="str">
        <x:v>Innovation</x:v>
      </x:c>
      <x:c r="C387" s="14" t="str">
        <x:v>Innovation program 5 has an application and physical advance</x:v>
      </x:c>
      <x:c r="D387" s="14" t="str">
        <x:f>IF(AND('Innovation Program'!B9&lt;&gt;"",'Innovation Program'!C9&lt;&gt;""),"PASS","FAIL")</x:f>
        <x:v>PASS</x:v>
      </x:c>
      <x:c r="E387" s="14" t="str">
        <x:v>PASS</x:v>
      </x:c>
    </x:row>
    <x:row r="388">
      <x:c r="A388" s="14" t="str">
        <x:v>AU-384</x:v>
      </x:c>
      <x:c r="B388" s="14" t="str">
        <x:v>Innovation</x:v>
      </x:c>
      <x:c r="C388" s="14" t="str">
        <x:v>Innovation program 6 has an application and physical advance</x:v>
      </x:c>
      <x:c r="D388" s="14" t="str">
        <x:f>IF(AND('Innovation Program'!B10&lt;&gt;"",'Innovation Program'!C10&lt;&gt;""),"PASS","FAIL")</x:f>
        <x:v>PASS</x:v>
      </x:c>
      <x:c r="E388" s="14" t="str">
        <x:v>PASS</x:v>
      </x:c>
    </x:row>
    <x:row r="389">
      <x:c r="A389" s="14" t="str">
        <x:v>AU-385</x:v>
      </x:c>
      <x:c r="B389" s="14" t="str">
        <x:v>Innovation</x:v>
      </x:c>
      <x:c r="C389" s="14" t="str">
        <x:v>Innovation program 7 has an application and physical advance</x:v>
      </x:c>
      <x:c r="D389" s="14" t="str">
        <x:f>IF(AND('Innovation Program'!B11&lt;&gt;"",'Innovation Program'!C11&lt;&gt;""),"PASS","FAIL")</x:f>
        <x:v>PASS</x:v>
      </x:c>
      <x:c r="E389" s="14" t="str">
        <x:v>PASS</x:v>
      </x:c>
    </x:row>
    <x:row r="390">
      <x:c r="A390" s="14" t="str">
        <x:v>AU-386</x:v>
      </x:c>
      <x:c r="B390" s="14" t="str">
        <x:v>Innovation</x:v>
      </x:c>
      <x:c r="C390" s="14" t="str">
        <x:v>Innovation program 8 has an application and physical advance</x:v>
      </x:c>
      <x:c r="D390" s="14" t="str">
        <x:f>IF(AND('Innovation Program'!B12&lt;&gt;"",'Innovation Program'!C12&lt;&gt;""),"PASS","FAIL")</x:f>
        <x:v>PASS</x:v>
      </x:c>
      <x:c r="E390" s="14" t="str">
        <x:v>PASS</x:v>
      </x:c>
    </x:row>
    <x:row r="391">
      <x:c r="A391" s="14" t="str">
        <x:v>AU-387</x:v>
      </x:c>
      <x:c r="B391" s="14" t="str">
        <x:v>Innovation</x:v>
      </x:c>
      <x:c r="C391" s="14" t="str">
        <x:v>Innovation program 9 has an application and physical advance</x:v>
      </x:c>
      <x:c r="D391" s="14" t="str">
        <x:f>IF(AND('Innovation Program'!B13&lt;&gt;"",'Innovation Program'!C13&lt;&gt;""),"PASS","FAIL")</x:f>
        <x:v>PASS</x:v>
      </x:c>
      <x:c r="E391" s="14" t="str">
        <x:v>PASS</x:v>
      </x:c>
    </x:row>
    <x:row r="392">
      <x:c r="A392" s="14" t="str">
        <x:v>AU-388</x:v>
      </x:c>
      <x:c r="B392" s="14" t="str">
        <x:v>Innovation</x:v>
      </x:c>
      <x:c r="C392" s="14" t="str">
        <x:v>Innovation program 10 has an application and physical advance</x:v>
      </x:c>
      <x:c r="D392" s="14" t="str">
        <x:f>IF(AND('Innovation Program'!B14&lt;&gt;"",'Innovation Program'!C14&lt;&gt;""),"PASS","FAIL")</x:f>
        <x:v>PASS</x:v>
      </x:c>
      <x:c r="E392" s="14" t="str">
        <x:v>PASS</x:v>
      </x:c>
    </x:row>
    <x:row r="393">
      <x:c r="A393" s="14" t="str">
        <x:v>AU-389</x:v>
      </x:c>
      <x:c r="B393" s="14" t="str">
        <x:v>Innovation</x:v>
      </x:c>
      <x:c r="C393" s="14" t="str">
        <x:v>Innovation program 11 has an application and physical advance</x:v>
      </x:c>
      <x:c r="D393" s="14" t="str">
        <x:f>IF(AND('Innovation Program'!B15&lt;&gt;"",'Innovation Program'!C15&lt;&gt;""),"PASS","FAIL")</x:f>
        <x:v>PASS</x:v>
      </x:c>
      <x:c r="E393" s="14" t="str">
        <x:v>PASS</x:v>
      </x:c>
    </x:row>
    <x:row r="394">
      <x:c r="A394" s="14" t="str">
        <x:v>AU-390</x:v>
      </x:c>
      <x:c r="B394" s="14" t="str">
        <x:v>Innovation</x:v>
      </x:c>
      <x:c r="C394" s="14" t="str">
        <x:v>Innovation program 12 has an application and physical advance</x:v>
      </x:c>
      <x:c r="D394" s="14" t="str">
        <x:f>IF(AND('Innovation Program'!B16&lt;&gt;"",'Innovation Program'!C16&lt;&gt;""),"PASS","FAIL")</x:f>
        <x:v>PASS</x:v>
      </x:c>
      <x:c r="E394" s="14" t="str">
        <x:v>PASS</x:v>
      </x:c>
    </x:row>
    <x:row r="395">
      <x:c r="A395" s="14" t="str">
        <x:v>AU-391</x:v>
      </x:c>
      <x:c r="B395" s="14" t="str">
        <x:v>Innovation</x:v>
      </x:c>
      <x:c r="C395" s="14" t="str">
        <x:v>Innovation program 13 has an application and physical advance</x:v>
      </x:c>
      <x:c r="D395" s="14" t="str">
        <x:f>IF(AND('Innovation Program'!B17&lt;&gt;"",'Innovation Program'!C17&lt;&gt;""),"PASS","FAIL")</x:f>
        <x:v>PASS</x:v>
      </x:c>
      <x:c r="E395" s="14" t="str">
        <x:v>PASS</x:v>
      </x:c>
    </x:row>
    <x:row r="396">
      <x:c r="A396" s="14" t="str">
        <x:v>AU-392</x:v>
      </x:c>
      <x:c r="B396" s="14" t="str">
        <x:v>Innovation</x:v>
      </x:c>
      <x:c r="C396" s="14" t="str">
        <x:v>Innovation program 14 has an application and physical advance</x:v>
      </x:c>
      <x:c r="D396" s="14" t="str">
        <x:f>IF(AND('Innovation Program'!B18&lt;&gt;"",'Innovation Program'!C18&lt;&gt;""),"PASS","FAIL")</x:f>
        <x:v>PASS</x:v>
      </x:c>
      <x:c r="E396" s="14" t="str">
        <x:v>PASS</x:v>
      </x:c>
    </x:row>
    <x:row r="397">
      <x:c r="A397" s="14" t="str">
        <x:v>AU-393</x:v>
      </x:c>
      <x:c r="B397" s="14" t="str">
        <x:v>Innovation</x:v>
      </x:c>
      <x:c r="C397" s="14" t="str">
        <x:v>Innovation program 15 has an application and physical advance</x:v>
      </x:c>
      <x:c r="D397" s="14" t="str">
        <x:f>IF(AND('Innovation Program'!B19&lt;&gt;"",'Innovation Program'!C19&lt;&gt;""),"PASS","FAIL")</x:f>
        <x:v>PASS</x:v>
      </x:c>
      <x:c r="E397" s="14" t="str">
        <x:v>PASS</x:v>
      </x:c>
    </x:row>
    <x:row r="398">
      <x:c r="A398" s="14" t="str">
        <x:v>AU-394</x:v>
      </x:c>
      <x:c r="B398" s="14" t="str">
        <x:v>Innovation</x:v>
      </x:c>
      <x:c r="C398" s="14" t="str">
        <x:v>Innovation program 16 has an application and physical advance</x:v>
      </x:c>
      <x:c r="D398" s="14" t="str">
        <x:f>IF(AND('Innovation Program'!B20&lt;&gt;"",'Innovation Program'!C20&lt;&gt;""),"PASS","FAIL")</x:f>
        <x:v>PASS</x:v>
      </x:c>
      <x:c r="E398" s="14" t="str">
        <x:v>PASS</x:v>
      </x:c>
    </x:row>
    <x:row r="399">
      <x:c r="A399" s="14" t="str">
        <x:v>AU-395</x:v>
      </x:c>
      <x:c r="B399" s="14" t="str">
        <x:v>Innovation</x:v>
      </x:c>
      <x:c r="C399" s="14" t="str">
        <x:v>Innovation crosswalk conserves USD 100B</x:v>
      </x:c>
      <x:c r="D399" s="14" t="str">
        <x:f>IF('Innovation Program'!B22=100,"PASS","FAIL")</x:f>
        <x:v>PASS</x:v>
      </x:c>
      <x:c r="E399" s="14" t="str">
        <x:v>PASS</x:v>
      </x:c>
    </x:row>
    <x:row r="400">
      <x:c r="A400" s="14" t="str">
        <x:v>AU-396</x:v>
      </x:c>
      <x:c r="B400" s="14" t="str">
        <x:v>Root economics</x:v>
      </x:c>
      <x:c r="C400" s="14" t="str">
        <x:v>Root exposure 1 is positive and uses four roots</x:v>
      </x:c>
      <x:c r="D400" s="14" t="str">
        <x:f>IF(AND('Root Economics'!D5=4,'Root Economics'!E5&gt;0),"PASS","FAIL")</x:f>
        <x:v>PASS</x:v>
      </x:c>
      <x:c r="E400" s="14" t="str">
        <x:v>PASS</x:v>
      </x:c>
    </x:row>
    <x:row r="401">
      <x:c r="A401" s="14" t="str">
        <x:v>AU-397</x:v>
      </x:c>
      <x:c r="B401" s="14" t="str">
        <x:v>Root economics</x:v>
      </x:c>
      <x:c r="C401" s="14" t="str">
        <x:v>Root exposure 2 is positive and uses four roots</x:v>
      </x:c>
      <x:c r="D401" s="14" t="str">
        <x:f>IF(AND('Root Economics'!D6=4,'Root Economics'!E6&gt;0),"PASS","FAIL")</x:f>
        <x:v>PASS</x:v>
      </x:c>
      <x:c r="E401" s="14" t="str">
        <x:v>PASS</x:v>
      </x:c>
    </x:row>
    <x:row r="402">
      <x:c r="A402" s="14" t="str">
        <x:v>AU-398</x:v>
      </x:c>
      <x:c r="B402" s="14" t="str">
        <x:v>Root economics</x:v>
      </x:c>
      <x:c r="C402" s="14" t="str">
        <x:v>Root exposure 3 is positive and uses four roots</x:v>
      </x:c>
      <x:c r="D402" s="14" t="str">
        <x:f>IF(AND('Root Economics'!D7=4,'Root Economics'!E7&gt;0),"PASS","FAIL")</x:f>
        <x:v>PASS</x:v>
      </x:c>
      <x:c r="E402" s="14" t="str">
        <x:v>PASS</x:v>
      </x:c>
    </x:row>
    <x:row r="403">
      <x:c r="A403" s="14" t="str">
        <x:v>AU-399</x:v>
      </x:c>
      <x:c r="B403" s="14" t="str">
        <x:v>Root economics</x:v>
      </x:c>
      <x:c r="C403" s="14" t="str">
        <x:v>Root exposure 4 is positive and uses four roots</x:v>
      </x:c>
      <x:c r="D403" s="14" t="str">
        <x:f>IF(AND('Root Economics'!D8=4,'Root Economics'!E8&gt;0),"PASS","FAIL")</x:f>
        <x:v>PASS</x:v>
      </x:c>
      <x:c r="E403" s="14" t="str">
        <x:v>PASS</x:v>
      </x:c>
    </x:row>
    <x:row r="404">
      <x:c r="A404" s="14" t="str">
        <x:v>AU-400</x:v>
      </x:c>
      <x:c r="B404" s="14" t="str">
        <x:v>Root economics</x:v>
      </x:c>
      <x:c r="C404" s="14" t="str">
        <x:v>Root exposure 5 is positive and uses four roots</x:v>
      </x:c>
      <x:c r="D404" s="14" t="str">
        <x:f>IF(AND('Root Economics'!D9=4,'Root Economics'!E9&gt;0),"PASS","FAIL")</x:f>
        <x:v>PASS</x:v>
      </x:c>
      <x:c r="E404" s="14" t="str">
        <x:v>PASS</x:v>
      </x:c>
    </x:row>
    <x:row r="405">
      <x:c r="A405" s="14" t="str">
        <x:v>AU-401</x:v>
      </x:c>
      <x:c r="B405" s="14" t="str">
        <x:v>Root economics</x:v>
      </x:c>
      <x:c r="C405" s="14" t="str">
        <x:v>Root exposure 6 is positive and uses four roots</x:v>
      </x:c>
      <x:c r="D405" s="14" t="str">
        <x:f>IF(AND('Root Economics'!D10=4,'Root Economics'!E10&gt;0),"PASS","FAIL")</x:f>
        <x:v>PASS</x:v>
      </x:c>
      <x:c r="E405" s="14" t="str">
        <x:v>PASS</x:v>
      </x:c>
    </x:row>
    <x:row r="406">
      <x:c r="A406" s="14" t="str">
        <x:v>AU-402</x:v>
      </x:c>
      <x:c r="B406" s="14" t="str">
        <x:v>Root economics</x:v>
      </x:c>
      <x:c r="C406" s="14" t="str">
        <x:v>Root exposure 7 is positive and uses four roots</x:v>
      </x:c>
      <x:c r="D406" s="14" t="str">
        <x:f>IF(AND('Root Economics'!D11=4,'Root Economics'!E11&gt;0),"PASS","FAIL")</x:f>
        <x:v>PASS</x:v>
      </x:c>
      <x:c r="E406" s="14" t="str">
        <x:v>PASS</x:v>
      </x:c>
    </x:row>
    <x:row r="407">
      <x:c r="A407" s="14" t="str">
        <x:v>AU-403</x:v>
      </x:c>
      <x:c r="B407" s="14" t="str">
        <x:v>Root economics</x:v>
      </x:c>
      <x:c r="C407" s="14" t="str">
        <x:v>Root exposure 8 is positive and uses four roots</x:v>
      </x:c>
      <x:c r="D407" s="14" t="str">
        <x:f>IF(AND('Root Economics'!D12=4,'Root Economics'!E12&gt;0),"PASS","FAIL")</x:f>
        <x:v>PASS</x:v>
      </x:c>
      <x:c r="E407" s="14" t="str">
        <x:v>PASS</x:v>
      </x:c>
    </x:row>
    <x:row r="408">
      <x:c r="A408" s="14" t="str">
        <x:v>AU-404</x:v>
      </x:c>
      <x:c r="B408" s="14" t="str">
        <x:v>Root economics</x:v>
      </x:c>
      <x:c r="C408" s="14" t="str">
        <x:v>Root exposure 9 is positive and uses four roots</x:v>
      </x:c>
      <x:c r="D408" s="14" t="str">
        <x:f>IF(AND('Root Economics'!D13=4,'Root Economics'!E13&gt;0),"PASS","FAIL")</x:f>
        <x:v>PASS</x:v>
      </x:c>
      <x:c r="E408" s="14" t="str">
        <x:v>PASS</x:v>
      </x:c>
    </x:row>
    <x:row r="409">
      <x:c r="A409" s="14" t="str">
        <x:v>AU-405</x:v>
      </x:c>
      <x:c r="B409" s="14" t="str">
        <x:v>Root economics</x:v>
      </x:c>
      <x:c r="C409" s="14" t="str">
        <x:v>Root exposure 10 is positive and uses four roots</x:v>
      </x:c>
      <x:c r="D409" s="14" t="str">
        <x:f>IF(AND('Root Economics'!D14=4,'Root Economics'!E14&gt;0),"PASS","FAIL")</x:f>
        <x:v>PASS</x:v>
      </x:c>
      <x:c r="E409" s="14" t="str">
        <x:v>PASS</x:v>
      </x:c>
    </x:row>
    <x:row r="410">
      <x:c r="A410" s="14" t="str">
        <x:v>AU-406</x:v>
      </x:c>
      <x:c r="B410" s="14" t="str">
        <x:v>Root economics</x:v>
      </x:c>
      <x:c r="C410" s="14" t="str">
        <x:v>Root exposure 11 is positive and uses four roots</x:v>
      </x:c>
      <x:c r="D410" s="14" t="str">
        <x:f>IF(AND('Root Economics'!D15=4,'Root Economics'!E15&gt;0),"PASS","FAIL")</x:f>
        <x:v>PASS</x:v>
      </x:c>
      <x:c r="E410" s="14" t="str">
        <x:v>PASS</x:v>
      </x:c>
    </x:row>
    <x:row r="411">
      <x:c r="A411" s="14" t="str">
        <x:v>AU-407</x:v>
      </x:c>
      <x:c r="B411" s="14" t="str">
        <x:v>Root economics</x:v>
      </x:c>
      <x:c r="C411" s="14" t="str">
        <x:v>Root exposure 12 is positive and uses four roots</x:v>
      </x:c>
      <x:c r="D411" s="14" t="str">
        <x:f>IF(AND('Root Economics'!D16=4,'Root Economics'!E16&gt;0),"PASS","FAIL")</x:f>
        <x:v>PASS</x:v>
      </x:c>
      <x:c r="E411" s="14" t="str">
        <x:v>PASS</x:v>
      </x:c>
    </x:row>
    <x:row r="412">
      <x:c r="A412" s="14" t="str">
        <x:v>AU-408</x:v>
      </x:c>
      <x:c r="B412" s="14" t="str">
        <x:v>Root economics</x:v>
      </x:c>
      <x:c r="C412" s="14" t="str">
        <x:v>Root exposure 13 is positive and uses four roots</x:v>
      </x:c>
      <x:c r="D412" s="14" t="str">
        <x:f>IF(AND('Root Economics'!D17=4,'Root Economics'!E17&gt;0),"PASS","FAIL")</x:f>
        <x:v>PASS</x:v>
      </x:c>
      <x:c r="E412" s="14" t="str">
        <x:v>PASS</x:v>
      </x:c>
    </x:row>
    <x:row r="413">
      <x:c r="A413" s="14" t="str">
        <x:v>AU-409</x:v>
      </x:c>
      <x:c r="B413" s="14" t="str">
        <x:v>Root economics</x:v>
      </x:c>
      <x:c r="C413" s="14" t="str">
        <x:v>Root exposure 14 is positive and uses four roots</x:v>
      </x:c>
      <x:c r="D413" s="14" t="str">
        <x:f>IF(AND('Root Economics'!D18=4,'Root Economics'!E18&gt;0),"PASS","FAIL")</x:f>
        <x:v>PASS</x:v>
      </x:c>
      <x:c r="E413" s="14" t="str">
        <x:v>PASS</x:v>
      </x:c>
    </x:row>
    <x:row r="414">
      <x:c r="A414" s="14" t="str">
        <x:v>AU-410</x:v>
      </x:c>
      <x:c r="B414" s="14" t="str">
        <x:v>Root economics</x:v>
      </x:c>
      <x:c r="C414" s="14" t="str">
        <x:v>Root exposure 15 is positive and uses four roots</x:v>
      </x:c>
      <x:c r="D414" s="14" t="str">
        <x:f>IF(AND('Root Economics'!D19=4,'Root Economics'!E19&gt;0),"PASS","FAIL")</x:f>
        <x:v>PASS</x:v>
      </x:c>
      <x:c r="E414" s="14" t="str">
        <x:v>PASS</x:v>
      </x:c>
    </x:row>
    <x:row r="415">
      <x:c r="A415" s="14" t="str">
        <x:v>AU-411</x:v>
      </x:c>
      <x:c r="B415" s="14" t="str">
        <x:v>Root economics</x:v>
      </x:c>
      <x:c r="C415" s="14" t="str">
        <x:v>Root exposure 16 is positive and uses four roots</x:v>
      </x:c>
      <x:c r="D415" s="14" t="str">
        <x:f>IF(AND('Root Economics'!D20=4,'Root Economics'!E20&gt;0),"PASS","FAIL")</x:f>
        <x:v>PASS</x:v>
      </x:c>
      <x:c r="E415" s="14" t="str">
        <x:v>PASS</x:v>
      </x:c>
    </x:row>
    <x:row r="416">
      <x:c r="A416" s="14" t="str">
        <x:v>AU-412</x:v>
      </x:c>
      <x:c r="B416" s="14" t="str">
        <x:v>Root economics</x:v>
      </x:c>
      <x:c r="C416" s="14" t="str">
        <x:v>Root exposure 17 is positive and uses four roots</x:v>
      </x:c>
      <x:c r="D416" s="14" t="str">
        <x:f>IF(AND('Root Economics'!D21=4,'Root Economics'!E21&gt;0),"PASS","FAIL")</x:f>
        <x:v>PASS</x:v>
      </x:c>
      <x:c r="E416" s="14" t="str">
        <x:v>PASS</x:v>
      </x:c>
    </x:row>
    <x:row r="417">
      <x:c r="A417" s="14" t="str">
        <x:v>AU-413</x:v>
      </x:c>
      <x:c r="B417" s="14" t="str">
        <x:v>Root economics</x:v>
      </x:c>
      <x:c r="C417" s="14" t="str">
        <x:v>Root exposure 18 is positive and uses four roots</x:v>
      </x:c>
      <x:c r="D417" s="14" t="str">
        <x:f>IF(AND('Root Economics'!D22=4,'Root Economics'!E22&gt;0),"PASS","FAIL")</x:f>
        <x:v>PASS</x:v>
      </x:c>
      <x:c r="E417" s="14" t="str">
        <x:v>PASS</x:v>
      </x:c>
    </x:row>
    <x:row r="418">
      <x:c r="A418" s="14" t="str">
        <x:v>AU-414</x:v>
      </x:c>
      <x:c r="B418" s="14" t="str">
        <x:v>Root economics</x:v>
      </x:c>
      <x:c r="C418" s="14" t="str">
        <x:v>Root exposure 19 is positive and uses four roots</x:v>
      </x:c>
      <x:c r="D418" s="14" t="str">
        <x:f>IF(AND('Root Economics'!D23=4,'Root Economics'!E23&gt;0),"PASS","FAIL")</x:f>
        <x:v>PASS</x:v>
      </x:c>
      <x:c r="E418" s="14" t="str">
        <x:v>PASS</x:v>
      </x:c>
    </x:row>
    <x:row r="419">
      <x:c r="A419" s="14" t="str">
        <x:v>AU-415</x:v>
      </x:c>
      <x:c r="B419" s="14" t="str">
        <x:v>Root economics</x:v>
      </x:c>
      <x:c r="C419" s="14" t="str">
        <x:v>Root exposure 20 is positive and uses four roots</x:v>
      </x:c>
      <x:c r="D419" s="14" t="str">
        <x:f>IF(AND('Root Economics'!D24=4,'Root Economics'!E24&gt;0),"PASS","FAIL")</x:f>
        <x:v>PASS</x:v>
      </x:c>
      <x:c r="E419" s="14" t="str">
        <x:v>PASS</x:v>
      </x:c>
    </x:row>
    <x:row r="420">
      <x:c r="A420" s="14" t="str">
        <x:v>AU-416</x:v>
      </x:c>
      <x:c r="B420" s="14" t="str">
        <x:v>Root economics</x:v>
      </x:c>
      <x:c r="C420" s="14" t="str">
        <x:v>Root exposure 21 is positive and uses four roots</x:v>
      </x:c>
      <x:c r="D420" s="14" t="str">
        <x:f>IF(AND('Root Economics'!D25=4,'Root Economics'!E25&gt;0),"PASS","FAIL")</x:f>
        <x:v>PASS</x:v>
      </x:c>
      <x:c r="E420" s="14" t="str">
        <x:v>PASS</x:v>
      </x:c>
    </x:row>
    <x:row r="421">
      <x:c r="A421" s="14" t="str">
        <x:v>AU-417</x:v>
      </x:c>
      <x:c r="B421" s="14" t="str">
        <x:v>Root economics</x:v>
      </x:c>
      <x:c r="C421" s="14" t="str">
        <x:v>Root exposure 22 is positive and uses four roots</x:v>
      </x:c>
      <x:c r="D421" s="14" t="str">
        <x:f>IF(AND('Root Economics'!D26=4,'Root Economics'!E26&gt;0),"PASS","FAIL")</x:f>
        <x:v>PASS</x:v>
      </x:c>
      <x:c r="E421" s="14" t="str">
        <x:v>PASS</x:v>
      </x:c>
    </x:row>
    <x:row r="422">
      <x:c r="A422" s="14" t="str">
        <x:v>AU-418</x:v>
      </x:c>
      <x:c r="B422" s="14" t="str">
        <x:v>Root economics</x:v>
      </x:c>
      <x:c r="C422" s="14" t="str">
        <x:v>Root exposure 23 is positive and uses four roots</x:v>
      </x:c>
      <x:c r="D422" s="14" t="str">
        <x:f>IF(AND('Root Economics'!D27=4,'Root Economics'!E27&gt;0),"PASS","FAIL")</x:f>
        <x:v>PASS</x:v>
      </x:c>
      <x:c r="E422" s="14" t="str">
        <x:v>PASS</x:v>
      </x:c>
    </x:row>
    <x:row r="423">
      <x:c r="A423" s="15" t="str">
        <x:v>AU-419</x:v>
      </x:c>
      <x:c r="B423" s="15" t="str">
        <x:v>Root economics</x:v>
      </x:c>
      <x:c r="C423" s="15" t="str">
        <x:v>Root exposure 24 is positive and uses four roots</x:v>
      </x:c>
      <x:c r="D423" s="15" t="str">
        <x:f>IF(AND('Root Economics'!D28=4,'Root Economics'!E28&gt;0),"PASS","FAIL")</x:f>
        <x:v>PASS</x:v>
      </x:c>
      <x:c r="E423" s="15" t="str">
        <x:v>PASS</x:v>
      </x:c>
    </x:row>
  </x:sheetData>
  <x:conditionalFormatting sqref="D5:D423">
    <x:cfRule type="containsText" dxfId="84" priority="1" operator="containsText" text="FAIL"/>
    <x:cfRule type="containsText" dxfId="85" priority="2" operator="containsText" text="BREACH"/>
    <x:cfRule type="containsText" dxfId="86" priority="3" operator="containsText" text="COLLISION"/>
    <x:cfRule type="containsText" dxfId="87" priority="4" operator="containsText" text="BLOCKED"/>
    <x:cfRule type="containsText" dxfId="88" priority="5" operator="containsText" text="SOURCE EMPTY"/>
    <x:cfRule type="containsText" dxfId="89" priority="6" operator="containsText" text="PASS"/>
    <x:cfRule type="containsText" dxfId="90" priority="7" operator="containsText" text="READY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8" hidden="0" customWidth="1"/>
    <x:col min="3" max="3" width="59" hidden="0" customWidth="1"/>
    <x:col min="4" max="4" width="13" hidden="0" customWidth="1"/>
    <x:col min="5" max="5" width="34" hidden="0" customWidth="1"/>
  </x:cols>
  <x:sheetData>
    <x:row r="2" ht="24" customHeight="1">
      <x:c r="A2" s="1" t="str">
        <x:v>Internal source register</x:v>
      </x:c>
      <x:c r="B2" s="1"/>
      <x:c r="C2" s="1"/>
      <x:c r="D2" s="1"/>
      <x:c r="E2" s="1"/>
    </x:row>
    <x:row r="3">
      <x:c r="A3" s="2"/>
      <x:c r="B3" s="2"/>
      <x:c r="C3" s="2"/>
      <x:c r="D3" s="2"/>
      <x:c r="E3" s="2"/>
    </x:row>
    <x:row r="4">
      <x:c r="A4" s="8" t="str">
        <x:v>Source</x:v>
      </x:c>
      <x:c r="B4" s="9" t="str">
        <x:v>Title</x:v>
      </x:c>
      <x:c r="C4" s="9" t="str">
        <x:v>Research role</x:v>
      </x:c>
      <x:c r="D4" s="9" t="str">
        <x:v>Status</x:v>
      </x:c>
      <x:c r="E4" s="10" t="str">
        <x:v>Access note</x:v>
      </x:c>
    </x:row>
    <x:row r="5" ht="50" customHeight="1">
      <x:c r="A5" s="40" t="str">
        <x:v>Pass 166</x:v>
      </x:c>
      <x:c r="B5" s="40" t="str">
        <x:v>Joint mission-system appropriation, reservation and accountability constitution</x:v>
      </x:c>
      <x:c r="C5" s="40" t="str">
        <x:v>Five exclusive accounts and anti-double-counting</x:v>
      </x:c>
      <x:c r="D5" s="40" t="str">
        <x:v>Internal</x:v>
      </x:c>
      <x:c r="E5" s="40" t="str">
        <x:v>Repository Markdown and workbook</x:v>
      </x:c>
    </x:row>
    <x:row r="6" ht="50" customHeight="1">
      <x:c r="A6" s="41" t="str">
        <x:v>Pass 168</x:v>
      </x:c>
      <x:c r="B6" s="41" t="str">
        <x:v>Six mission-system portfolio topology and technology competition constitution</x:v>
      </x:c>
      <x:c r="C6" s="41" t="str">
        <x:v>Six systems and USD 550B displayed allocation</x:v>
      </x:c>
      <x:c r="D6" s="41" t="str">
        <x:v>Internal</x:v>
      </x:c>
      <x:c r="E6" s="41" t="str">
        <x:v>Repository Markdown and workbook</x:v>
      </x:c>
    </x:row>
    <x:row r="7" ht="50" customHeight="1">
      <x:c r="A7" s="41" t="str">
        <x:v>Pass 171</x:v>
      </x:c>
      <x:c r="B7" s="41" t="str">
        <x:v>Six-system coupled development wavefront</x:v>
      </x:c>
      <x:c r="C7" s="41" t="str">
        <x:v>Five waves and 25-year sequence</x:v>
      </x:c>
      <x:c r="D7" s="41" t="str">
        <x:v>Internal</x:v>
      </x:c>
      <x:c r="E7" s="41" t="str">
        <x:v>Repository Markdown and workbook</x:v>
      </x:c>
    </x:row>
    <x:row r="8" ht="50" customHeight="1">
      <x:c r="A8" s="41" t="str">
        <x:v>Pass 175</x:v>
      </x:c>
      <x:c r="B8" s="41" t="str">
        <x:v>Twenty-four-root diversity and G3 technical-freeze constitution</x:v>
      </x:c>
      <x:c r="C8" s="41" t="str">
        <x:v>Root independence and two-root shared-provider cap</x:v>
      </x:c>
      <x:c r="D8" s="41" t="str">
        <x:v>Internal</x:v>
      </x:c>
      <x:c r="E8" s="41" t="str">
        <x:v>Repository Markdown and workbook</x:v>
      </x:c>
    </x:row>
    <x:row r="9" ht="50" customHeight="1">
      <x:c r="A9" s="41" t="str">
        <x:v>Pass 184</x:v>
      </x:c>
      <x:c r="B9" s="41" t="str">
        <x:v>Resilience Proving Service and synchronized proof-wave return</x:v>
      </x:c>
      <x:c r="C9" s="41" t="str">
        <x:v>Outside reproduction and independent evidence</x:v>
      </x:c>
      <x:c r="D9" s="41" t="str">
        <x:v>Internal</x:v>
      </x:c>
      <x:c r="E9" s="41" t="str">
        <x:v>Repository Markdown and workbook</x:v>
      </x:c>
    </x:row>
    <x:row r="10" ht="50" customHeight="1">
      <x:c r="A10" s="41" t="str">
        <x:v>Pass 185</x:v>
      </x:c>
      <x:c r="B10" s="41" t="str">
        <x:v>Industrial command constitution and capability-warrant state machine</x:v>
      </x:c>
      <x:c r="C10" s="41" t="str">
        <x:v>Ten institutions, twelve warrants and five accounts</x:v>
      </x:c>
      <x:c r="D10" s="41" t="str">
        <x:v>Internal</x:v>
      </x:c>
      <x:c r="E10" s="41" t="str">
        <x:v>Repository Markdown and workbook</x:v>
      </x:c>
    </x:row>
    <x:row r="11" ht="50" customHeight="1">
      <x:c r="A11" s="41" t="str">
        <x:v>F36 RBV-1</x:v>
      </x:c>
      <x:c r="B11" s="41" t="str">
        <x:v>National fire-control service guarantee, basing, force allocation and mature economy constitution</x:v>
      </x:c>
      <x:c r="C11" s="41" t="str">
        <x:v>Public builder, competing roots, export object and continuity</x:v>
      </x:c>
      <x:c r="D11" s="41" t="str">
        <x:v>Internal</x:v>
      </x:c>
      <x:c r="E11" s="41" t="str">
        <x:v>Repository Markdown and workbook</x:v>
      </x:c>
    </x:row>
    <x:row r="12" ht="50" customHeight="1">
      <x:c r="A12" s="41" t="str">
        <x:v>F36 NCFC-1</x:v>
      </x:c>
      <x:c r="B12" s="41" t="str">
        <x:v>National common-force decomposition and availability-contract constitution</x:v>
      </x:c>
      <x:c r="C12" s="41" t="str">
        <x:v>Enterprise ecology, public interfaces and export services</x:v>
      </x:c>
      <x:c r="D12" s="41" t="str">
        <x:v>Internal</x:v>
      </x:c>
      <x:c r="E12" s="41" t="str">
        <x:v>Repository Markdown and workbook</x:v>
      </x:c>
    </x:row>
    <x:row r="13" ht="50" customHeight="1">
      <x:c r="A13" s="42" t="str">
        <x:v>Project mandate</x:v>
      </x:c>
      <x:c r="B13" s="42" t="str">
        <x:v>Research program</x:v>
      </x:c>
      <x:c r="C13" s="42" t="str">
        <x:v>USD 1.00T is an illustrative capitalization constraint</x:v>
      </x:c>
      <x:c r="D13" s="42" t="str">
        <x:v>Internal</x:v>
      </x:c>
      <x:c r="E13" s="42" t="str">
        <x:v>Repository Markdown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  <x:col min="3" max="3" width="3" hidden="0" customWidth="1"/>
    <x:col min="4" max="4" width="3" hidden="0" customWidth="1"/>
  </x:cols>
  <x:sheetData>
    <x:row r="2" ht="24" customHeight="1">
      <x:c r="A2" s="1" t="str">
        <x:v>Model use and limits</x:v>
      </x:c>
      <x:c r="B2" s="1"/>
      <x:c r="C2" s="1"/>
      <x:c r="D2" s="1"/>
    </x:row>
    <x:row r="3">
      <x:c r="A3" s="2"/>
      <x:c r="B3" s="2"/>
      <x:c r="C3" s="2"/>
      <x:c r="D3" s="2"/>
    </x:row>
    <x:row r="5" ht="66" customHeight="1">
      <x:c r="A5" s="91" t="str">
        <x:v>Purpose</x:v>
      </x:c>
      <x:c r="B5" s="40" t="str">
        <x:v>Test a Department-level market and production constitution that can create large complete-system firms without allowing capital, tooling, suppliers, evidence or exports to collapse twenty-four roots.</x:v>
      </x:c>
    </x:row>
    <x:row r="6" ht="66" customHeight="1">
      <x:c r="A6" s="92" t="str">
        <x:v>Decision</x:v>
      </x:c>
      <x:c r="B6" s="41" t="str">
        <x:v>Only the chartered root-house commonwealth passes all twelve hard gates. It separates root ownership, public productive assets, independent proof, readiness reservations, continuity receivership and partner production.</x:v>
      </x:c>
    </x:row>
    <x:row r="7" ht="66" customHeight="1">
      <x:c r="A7" s="92" t="str">
        <x:v>Editable inputs</x:v>
      </x:c>
      <x:c r="B7" s="41" t="str">
        <x:v>Yellow cells are design inputs or implementation evidence. Empty identities are intentional. Populate them only with commissioned firms, control groups, cells, sites, lots and evidence records.</x:v>
      </x:c>
    </x:row>
    <x:row r="8" ht="66" customHeight="1">
      <x:c r="A8" s="92" t="str">
        <x:v>Financial treatment</x:v>
      </x:c>
      <x:c r="B8" s="41" t="str">
        <x:v>The USD 1.00T matrix is a cross-classification of the inherited program, not a new cost estimate. Root exposure is a ceiling on public mission-system authority, not revenue, market value or an earned payment.</x:v>
      </x:c>
    </x:row>
    <x:row r="9" ht="66" customHeight="1">
      <x:c r="A9" s="92" t="str">
        <x:v>Fallback meaning</x:v>
      </x:c>
      <x:c r="B9" s="41" t="str">
        <x:v>Twenty-four functional public cells create forty-eight qualifications. Every root must cold-produce on two independent cells and those cells must occupy different sites before fallback readiness exists.</x:v>
      </x:c>
    </x:row>
    <x:row r="10" ht="66" customHeight="1">
      <x:c r="A10" s="92" t="str">
        <x:v>Export meaning</x:v>
      </x:c>
      <x:c r="B10" s="41" t="str">
        <x:v>The workbook sizes no export market and recognizes no export revenue. It defines the ten conditions that must be proved before partner production or deployment can be eligible.</x:v>
      </x:c>
    </x:row>
    <x:row r="11" ht="66" customHeight="1">
      <x:c r="A11" s="92" t="str">
        <x:v>No release</x:v>
      </x:c>
      <x:c r="B11" s="41" t="str">
        <x:v>All firm, ownership, cell, lot, evidence and export identities are source-empty. No root is chartered, no fallback route is qualified, exports remain blocked and released authority is zero.</x:v>
      </x:c>
    </x:row>
    <x:row r="12" ht="66" customHeight="1">
      <x:c r="A12" s="92" t="str">
        <x:v>Scope boundary</x:v>
      </x:c>
      <x:c r="B12" s="41" t="str">
        <x:v>Procurement, named sites, force credit, G3, Cascadia G4 and exterior rendering remain blocked. The model defines constitutional requirements, not a solicitation or investment recommendation.</x:v>
      </x:c>
    </x:row>
    <x:row r="13" ht="66" customHeight="1">
      <x:c r="A13" s="93" t="str">
        <x:v>Refresh</x:v>
      </x:c>
      <x:c r="B13" s="42" t="str">
        <x:v>Change only yellow inputs. Recalculate in Excel or LibreOffice. Review computed states and the terminal Audit tab. Audit formulas observe the model and do not supply business logic.</x:v>
      </x:c>
    </x:row>
  </x:sheetData>
  <x:pageMargins left="0.7" right="0.7" top="0.75" bottom="0.75" header="0.3" footer="0.3"/>
</x:worksheet>
</file>