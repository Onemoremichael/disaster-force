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tables/table27.xml" ContentType="application/vnd.openxmlformats-officedocument.spreadsheetml.table+xml"/>
  <Override PartName="/xl/worksheets/sheet27.xml" ContentType="application/vnd.openxmlformats-officedocument.spreadsheetml.worksheet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d4c51c772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d3ba762bb8d64304"/>
    <x:sheet xmlns:r="http://schemas.openxmlformats.org/officeDocument/2006/relationships" name="Assumptions" sheetId="2" r:id="Rce124a060aeb43da"/>
    <x:sheet xmlns:r="http://schemas.openxmlformats.org/officeDocument/2006/relationships" name="Truth Roots" sheetId="3" r:id="Rc3e4735d04d34227"/>
    <x:sheet xmlns:r="http://schemas.openxmlformats.org/officeDocument/2006/relationships" name="Module Bank" sheetId="4" r:id="R1c07da2cc93f48ba"/>
    <x:sheet xmlns:r="http://schemas.openxmlformats.org/officeDocument/2006/relationships" name="Qualification Cycles" sheetId="5" r:id="R182299b216b34be2"/>
    <x:sheet xmlns:r="http://schemas.openxmlformats.org/officeDocument/2006/relationships" name="Cell Map" sheetId="6" r:id="R73ae50826ede4616"/>
    <x:sheet xmlns:r="http://schemas.openxmlformats.org/officeDocument/2006/relationships" name="Water Lots" sheetId="7" r:id="R8886adb8b9fe497f"/>
    <x:sheet xmlns:r="http://schemas.openxmlformats.org/officeDocument/2006/relationships" name="Event Register" sheetId="8" r:id="Rfa104e270ce7401d"/>
    <x:sheet xmlns:r="http://schemas.openxmlformats.org/officeDocument/2006/relationships" name="Event Gates" sheetId="9" r:id="Rce76d229e2ee436a"/>
    <x:sheet xmlns:r="http://schemas.openxmlformats.org/officeDocument/2006/relationships" name="Volume Ledger" sheetId="10" r:id="R875e1e3854dc44d9"/>
    <x:sheet xmlns:r="http://schemas.openxmlformats.org/officeDocument/2006/relationships" name="Zone Field" sheetId="11" r:id="R157fde91c459410f"/>
    <x:sheet xmlns:r="http://schemas.openxmlformats.org/officeDocument/2006/relationships" name="Zone Summary" sheetId="12" r:id="Rd1a6313c023d4d82"/>
    <x:sheet xmlns:r="http://schemas.openxmlformats.org/officeDocument/2006/relationships" name="Safeing" sheetId="13" r:id="R9c722ae4c8664537"/>
    <x:sheet xmlns:r="http://schemas.openxmlformats.org/officeDocument/2006/relationships" name="Evidence Objects" sheetId="14" r:id="Rd914a9e8e6224c0d"/>
    <x:sheet xmlns:r="http://schemas.openxmlformats.org/officeDocument/2006/relationships" name="Measurements" sheetId="15" r:id="Rcc61c51748254da3"/>
    <x:sheet xmlns:r="http://schemas.openxmlformats.org/officeDocument/2006/relationships" name="Return" sheetId="16" r:id="R3f086a5fc50848cb"/>
    <x:sheet xmlns:r="http://schemas.openxmlformats.org/officeDocument/2006/relationships" name="Replay" sheetId="17" r:id="R8568a8f9be7345ad"/>
    <x:sheet xmlns:r="http://schemas.openxmlformats.org/officeDocument/2006/relationships" name="Class Decision" sheetId="18" r:id="R9f3a7d9009c24066"/>
    <x:sheet xmlns:r="http://schemas.openxmlformats.org/officeDocument/2006/relationships" name="Schedule" sheetId="19" r:id="Rd42842c4c36249a8"/>
    <x:sheet xmlns:r="http://schemas.openxmlformats.org/officeDocument/2006/relationships" name="Capacity" sheetId="20" r:id="Re767b8cd82c54525"/>
    <x:sheet xmlns:r="http://schemas.openxmlformats.org/officeDocument/2006/relationships" name="Evidence" sheetId="21" r:id="Rb2523110e19b4376"/>
    <x:sheet xmlns:r="http://schemas.openxmlformats.org/officeDocument/2006/relationships" name="Workforce" sheetId="22" r:id="R34d664dc4bde4a9b"/>
    <x:sheet xmlns:r="http://schemas.openxmlformats.org/officeDocument/2006/relationships" name="Technology" sheetId="23" r:id="R07fe217377b54a5e"/>
    <x:sheet xmlns:r="http://schemas.openxmlformats.org/officeDocument/2006/relationships" name="Finance" sheetId="24" r:id="Rb5fe40646a694a25"/>
    <x:sheet xmlns:r="http://schemas.openxmlformats.org/officeDocument/2006/relationships" name="Cases" sheetId="25" r:id="R3bd7f718c2d74861"/>
    <x:sheet xmlns:r="http://schemas.openxmlformats.org/officeDocument/2006/relationships" name="Audit" sheetId="26" r:id="R90cca06d4fa64715"/>
    <x:sheet xmlns:r="http://schemas.openxmlformats.org/officeDocument/2006/relationships" name="Sources" sheetId="27" r:id="R7b5188d71c44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0.0"/>
    <x:numFmt numFmtId="202" formatCode="#,##0"/>
    <x:numFmt numFmtId="203" formatCode="$#,##0"/>
    <x:numFmt numFmtId="204" formatCode="$#,##0.0"/>
    <x:numFmt numFmtId="205" formatCode="0.0%"/>
  </x:numFmts>
  <x:fonts count="6">
    <x:font>
      <x:sz val="11"/>
      <x:name val="Carlito"/>
    </x:font>
    <x:font>
      <x:b/>
      <x:sz val="15"/>
      <x:color rgb="FF19354F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sz val="10"/>
      <x:color rgb="FF344054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54F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BDD7E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5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0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ece792f404d7c" /><Relationship Type="http://schemas.openxmlformats.org/officeDocument/2006/relationships/theme" Target="/xl/theme/theme1.xml" Id="Re93beff9a13e416c" /><Relationship Type="http://schemas.openxmlformats.org/officeDocument/2006/relationships/sharedStrings" Target="/xl/sharedStrings.xml" Id="Rfa50f39567a644c1" /><Relationship Type="http://schemas.openxmlformats.org/officeDocument/2006/relationships/worksheet" Target="/xl/worksheets/sheet1.xml" Id="Rd3ba762bb8d64304" /><Relationship Type="http://schemas.openxmlformats.org/officeDocument/2006/relationships/worksheet" Target="/xl/worksheets/sheet2.xml" Id="Rce124a060aeb43da" /><Relationship Type="http://schemas.openxmlformats.org/officeDocument/2006/relationships/worksheet" Target="/xl/worksheets/sheet3.xml" Id="Rc3e4735d04d34227" /><Relationship Type="http://schemas.openxmlformats.org/officeDocument/2006/relationships/worksheet" Target="/xl/worksheets/sheet4.xml" Id="R1c07da2cc93f48ba" /><Relationship Type="http://schemas.openxmlformats.org/officeDocument/2006/relationships/worksheet" Target="/xl/worksheets/sheet5.xml" Id="R182299b216b34be2" /><Relationship Type="http://schemas.openxmlformats.org/officeDocument/2006/relationships/worksheet" Target="/xl/worksheets/sheet6.xml" Id="R73ae50826ede4616" /><Relationship Type="http://schemas.openxmlformats.org/officeDocument/2006/relationships/worksheet" Target="/xl/worksheets/sheet7.xml" Id="R8886adb8b9fe497f" /><Relationship Type="http://schemas.openxmlformats.org/officeDocument/2006/relationships/worksheet" Target="/xl/worksheets/sheet8.xml" Id="Rfa104e270ce7401d" /><Relationship Type="http://schemas.openxmlformats.org/officeDocument/2006/relationships/worksheet" Target="/xl/worksheets/sheet9.xml" Id="Rce76d229e2ee436a" /><Relationship Type="http://schemas.openxmlformats.org/officeDocument/2006/relationships/worksheet" Target="/xl/worksheets/sheet10.xml" Id="R875e1e3854dc44d9" /><Relationship Type="http://schemas.openxmlformats.org/officeDocument/2006/relationships/worksheet" Target="/xl/worksheets/sheet11.xml" Id="R157fde91c459410f" /><Relationship Type="http://schemas.openxmlformats.org/officeDocument/2006/relationships/worksheet" Target="/xl/worksheets/sheet12.xml" Id="Rd1a6313c023d4d82" /><Relationship Type="http://schemas.openxmlformats.org/officeDocument/2006/relationships/worksheet" Target="/xl/worksheets/sheet13.xml" Id="R9c722ae4c8664537" /><Relationship Type="http://schemas.openxmlformats.org/officeDocument/2006/relationships/worksheet" Target="/xl/worksheets/sheet14.xml" Id="Rd914a9e8e6224c0d" /><Relationship Type="http://schemas.openxmlformats.org/officeDocument/2006/relationships/worksheet" Target="/xl/worksheets/sheet15.xml" Id="Rcc61c51748254da3" /><Relationship Type="http://schemas.openxmlformats.org/officeDocument/2006/relationships/worksheet" Target="/xl/worksheets/sheet16.xml" Id="R3f086a5fc50848cb" /><Relationship Type="http://schemas.openxmlformats.org/officeDocument/2006/relationships/worksheet" Target="/xl/worksheets/sheet17.xml" Id="R8568a8f9be7345ad" /><Relationship Type="http://schemas.openxmlformats.org/officeDocument/2006/relationships/worksheet" Target="/xl/worksheets/sheet18.xml" Id="R9f3a7d9009c24066" /><Relationship Type="http://schemas.openxmlformats.org/officeDocument/2006/relationships/worksheet" Target="/xl/worksheets/sheet19.xml" Id="Rd42842c4c36249a8" /><Relationship Type="http://schemas.openxmlformats.org/officeDocument/2006/relationships/worksheet" Target="/xl/worksheets/sheet20.xml" Id="Re767b8cd82c54525" /><Relationship Type="http://schemas.openxmlformats.org/officeDocument/2006/relationships/worksheet" Target="/xl/worksheets/sheet21.xml" Id="Rb2523110e19b4376" /><Relationship Type="http://schemas.openxmlformats.org/officeDocument/2006/relationships/worksheet" Target="/xl/worksheets/sheet22.xml" Id="R34d664dc4bde4a9b" /><Relationship Type="http://schemas.openxmlformats.org/officeDocument/2006/relationships/worksheet" Target="/xl/worksheets/sheet23.xml" Id="R07fe217377b54a5e" /><Relationship Type="http://schemas.openxmlformats.org/officeDocument/2006/relationships/worksheet" Target="/xl/worksheets/sheet24.xml" Id="Rb5fe40646a694a25" /><Relationship Type="http://schemas.openxmlformats.org/officeDocument/2006/relationships/worksheet" Target="/xl/worksheets/sheet25.xml" Id="R3bd7f718c2d74861" /><Relationship Type="http://schemas.openxmlformats.org/officeDocument/2006/relationships/worksheet" Target="/xl/worksheets/sheet26.xml" Id="R90cca06d4fa64715" /><Relationship Type="http://schemas.openxmlformats.org/officeDocument/2006/relationships/worksheet" Target="/xl/worksheets/sheet27.xml" Id="R7b5188d71c444c14" /></Relationships>
</file>

<file path=xl/tables/table1.xml><?xml version="1.0" encoding="utf-8"?>
<x:table xmlns:x="http://schemas.openxmlformats.org/spreadsheetml/2006/main" id="28" name="ExecutiveTable" displayName="ExecutiveTable" ref="A6:C31" headerRowCount="1" totalsRowCount="0" totalsRowShown="0">
  <x:tableColumns count="3">
    <x:tableColumn id="1" name="Decision object"/>
    <x:tableColumn id="2" name="Value"/>
    <x:tableColumn id="3" name="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biAssumptions" displayName="RbiAssumptions" ref="A7:E84" headerRowCount="1" totalsRowCount="0" totalsRowShown="0">
  <x:tableColumns count="5">
    <x:tableColumn id="1" name="Parameter"/>
    <x:tableColumn id="2" name="Value"/>
    <x:tableColumn id="3" name="Unit"/>
    <x:tableColumn id="4" name="Role"/>
    <x:tableColumn id="5" name="Interna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ruthRootTable" displayName="TruthRootTable" ref="A5:I7" headerRowCount="1" totalsRowCount="0" totalsRowShown="0">
  <x:tableColumns count="9">
    <x:tableColumn id="1" name="Root"/>
    <x:tableColumn id="2" name="Decisive principle"/>
    <x:tableColumn id="3" name="Issue apparatus"/>
    <x:tableColumn id="4" name="Return apparatus"/>
    <x:tableColumn id="5" name="Primary susceptibility"/>
    <x:tableColumn id="6" name="Prohibited shared dependency"/>
    <x:tableColumn id="7" name="Operational acceptance"/>
    <x:tableColumn id="8" name="Outside replay"/>
    <x:tableColumn id="9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ModuleBankTable" displayName="ModuleBankTable" ref="A5:L23" headerRowCount="1" totalsRowCount="0" totalsRowShown="0">
  <x:tableColumns count="12">
    <x:tableColumn id="1" name="Module"/>
    <x:tableColumn id="2" name="Role"/>
    <x:tableColumn id="3" name="Truth root"/>
    <x:tableColumn id="4" name="Lineage"/>
    <x:tableColumn id="5" name="Campus"/>
    <x:tableColumn id="6" name="Exact cell"/>
    <x:tableColumn id="7" name="Geometry"/>
    <x:tableColumn id="8" name="Custody"/>
    <x:tableColumn id="9" name="Evidence"/>
    <x:tableColumn id="10" name="Safeing"/>
    <x:tableColumn id="11" name="Qualification passes"/>
    <x:tableColumn id="12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QualificationCycleTable" displayName="QualificationCycleTable" ref="A7:U71" headerRowCount="1" totalsRowCount="0" totalsRowShown="0">
  <x:tableColumns count="21">
    <x:tableColumn id="1" name="Cycle"/>
    <x:tableColumn id="2" name="Module"/>
    <x:tableColumn id="3" name="Truth root"/>
    <x:tableColumn id="4" name="Lineage"/>
    <x:tableColumn id="5" name="Campus"/>
    <x:tableColumn id="6" name="Challenge"/>
    <x:tableColumn id="7" name="Delivered m³"/>
    <x:tableColumn id="8" name="Mean flow m³/min"/>
    <x:tableColumn id="9" name="Duration error s"/>
    <x:tableColumn id="10" name="Pressure MPa"/>
    <x:tableColumn id="11" name="Zone coefficient"/>
    <x:tableColumn id="12" name="Accounted fraction"/>
    <x:tableColumn id="13" name="Identity recovery"/>
    <x:tableColumn id="14" name="Unrelated fraction"/>
    <x:tableColumn id="15" name="Abort cessation s"/>
    <x:tableColumn id="16" name="Post-abort m³"/>
    <x:tableColumn id="17" name="Gates closed"/>
    <x:tableColumn id="18" name="Records bound"/>
    <x:tableColumn id="19" name="Safeing paths"/>
    <x:tableColumn id="20" name="Replay decisions"/>
    <x:tableColumn id="21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CellMapTable" displayName="CellMapTable" ref="A5:I17" headerRowCount="1" totalsRowCount="0" totalsRowShown="0">
  <x:tableColumns count="9">
    <x:tableColumn id="1" name="Cell"/>
    <x:tableColumn id="2" name="Rig"/>
    <x:tableColumn id="3" name="Campus"/>
    <x:tableColumn id="4" name="Truth root"/>
    <x:tableColumn id="5" name="Lineage"/>
    <x:tableColumn id="6" name="Module"/>
    <x:tableColumn id="7" name="Primary event"/>
    <x:tableColumn id="8" name="Credit count"/>
    <x:tableColumn id="9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WaterLotTable" displayName="WaterLotTable" ref="A5:N23" headerRowCount="1" totalsRowCount="0" totalsRowShown="0">
  <x:tableColumns count="14">
    <x:tableColumn id="1" name="Water lot"/>
    <x:tableColumn id="2" name="Role"/>
    <x:tableColumn id="3" name="Truth root"/>
    <x:tableColumn id="4" name="Assigned event"/>
    <x:tableColumn id="5" name="Gross m³"/>
    <x:tableColumn id="6" name="Issue m³"/>
    <x:tableColumn id="7" name="Assay m³"/>
    <x:tableColumn id="8" name="Conditioning m³"/>
    <x:tableColumn id="9" name="Quarantine m³"/>
    <x:tableColumn id="10" name="Origin"/>
    <x:tableColumn id="11" name="Properties"/>
    <x:tableColumn id="12" name="Seal"/>
    <x:tableColumn id="13" name="Laboratory decision"/>
    <x:tableColumn id="14" name="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EventRegisterTable" displayName="EventRegisterTable" ref="A7:AB23" headerRowCount="1" totalsRowCount="0" totalsRowShown="0">
  <x:tableColumns count="28">
    <x:tableColumn id="1" name="Event"/>
    <x:tableColumn id="2" name="Role"/>
    <x:tableColumn id="3" name="Truth root"/>
    <x:tableColumn id="4" name="Exact cell"/>
    <x:tableColumn id="5" name="Module"/>
    <x:tableColumn id="6" name="Water lot"/>
    <x:tableColumn id="7" name="Source kg"/>
    <x:tableColumn id="8" name="Ignition state"/>
    <x:tableColumn id="9" name="Delivered m³"/>
    <x:tableColumn id="10" name="Mean flow m³/min"/>
    <x:tableColumn id="11" name="Duration error s"/>
    <x:tableColumn id="12" name="Pressure MPa"/>
    <x:tableColumn id="13" name="Zone coefficient"/>
    <x:tableColumn id="14" name="Accounted fraction"/>
    <x:tableColumn id="15" name="Identity recovery"/>
    <x:tableColumn id="16" name="Unrelated fraction"/>
    <x:tableColumn id="17" name="Unexplained m³"/>
    <x:tableColumn id="18" name="Retained at 24 h m³"/>
    <x:tableColumn id="19" name="Abort cessation s"/>
    <x:tableColumn id="20" name="Post-abort m³"/>
    <x:tableColumn id="21" name="Casualty m³"/>
    <x:tableColumn id="22" name="Gates"/>
    <x:tableColumn id="23" name="Evidence"/>
    <x:tableColumn id="24" name="Return"/>
    <x:tableColumn id="25" name="Replay"/>
    <x:tableColumn id="26" name="Lot state"/>
    <x:tableColumn id="27" name="Module state"/>
    <x:tableColumn id="28" name="Disposi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EventGateTable" displayName="EventGateTable" ref="A5:D21" headerRowCount="1" totalsRowCount="0" totalsRowShown="0">
  <x:tableColumns count="4">
    <x:tableColumn id="1" name="Event"/>
    <x:tableColumn id="2" name="Required gates"/>
    <x:tableColumn id="3" name="Closed gates"/>
    <x:tableColumn id="4" name="St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VolumeLedgerTable" displayName="VolumeLedgerTable" ref="A5:M21" headerRowCount="1" totalsRowCount="0" totalsRowShown="0">
  <x:tableColumns count="13">
    <x:tableColumn id="1" name="Event"/>
    <x:tableColumn id="2" name="Issue m³"/>
    <x:tableColumn id="3" name="Recovered m³"/>
    <x:tableColumn id="4" name="Retained 24 h m³"/>
    <x:tableColumn id="5" name="Sample m³"/>
    <x:tableColumn id="6" name="Quarantine m³"/>
    <x:tableColumn id="7" name="Casualty m³"/>
    <x:tableColumn id="8" name="Vapor m³"/>
    <x:tableColumn id="9" name="Environment m³"/>
    <x:tableColumn id="10" name="Accounted m³"/>
    <x:tableColumn id="11" name="Unexplained m³"/>
    <x:tableColumn id="12" name="Accounted fraction"/>
    <x:tableColumn id="13" name="St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ZoneFieldTable" displayName="ZoneFieldTable" ref="A5:G261" headerRowCount="1" totalsRowCount="0" totalsRowShown="0">
  <x:tableColumns count="7">
    <x:tableColumn id="1" name="Event"/>
    <x:tableColumn id="2" name="Zone"/>
    <x:tableColumn id="3" name="Area m²"/>
    <x:tableColumn id="4" name="Target m³"/>
    <x:tableColumn id="5" name="Observed m³"/>
    <x:tableColumn id="6" name="Deviation m³"/>
    <x:tableColumn id="7" name="St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ZoneSummaryTable" displayName="ZoneSummaryTable" ref="A5:F21" headerRowCount="1" totalsRowCount="0" totalsRowShown="0">
  <x:tableColumns count="6">
    <x:tableColumn id="1" name="Event"/>
    <x:tableColumn id="2" name="Observed zones"/>
    <x:tableColumn id="3" name="Mean m³"/>
    <x:tableColumn id="4" name="Standard deviation m³"/>
    <x:tableColumn id="5" name="Coefficient"/>
    <x:tableColumn id="6" name="St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SafeingTable" displayName="SafeingTable" ref="A5:F17" headerRowCount="1" totalsRowCount="0" totalsRowShown="0">
  <x:tableColumns count="6">
    <x:tableColumn id="1" name="Path"/>
    <x:tableColumn id="2" name="Domain"/>
    <x:tableColumn id="3" name="Physical isolation"/>
    <x:tableColumn id="4" name="Stored-energy verified"/>
    <x:tableColumn id="5" name="Independent authority"/>
    <x:tableColumn id="6" name="St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EvidenceObjectTable" displayName="EvidenceObjectTable" ref="A5:J21" headerRowCount="1" totalsRowCount="0" totalsRowShown="0">
  <x:tableColumns count="10">
    <x:tableColumn id="1" name="Event"/>
    <x:tableColumn id="2" name="Required records"/>
    <x:tableColumn id="3" name="Bound records"/>
    <x:tableColumn id="4" name="Required channels"/>
    <x:tableColumn id="5" name="Active channels"/>
    <x:tableColumn id="6" name="Required originals"/>
    <x:tableColumn id="7" name="Immutable originals"/>
    <x:tableColumn id="8" name="Packet review"/>
    <x:tableColumn id="9" name="Safeing accepted"/>
    <x:tableColumn id="10" name="St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MeasurementTable" displayName="MeasurementTable" ref="A5:E197" headerRowCount="1" totalsRowCount="0" totalsRowShown="0">
  <x:tableColumns count="5">
    <x:tableColumn id="1" name="Channel"/>
    <x:tableColumn id="2" name="Registry role"/>
    <x:tableColumn id="3" name="Domain"/>
    <x:tableColumn id="4" name="Witness role"/>
    <x:tableColumn id="5" name="Sta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ReturnTable" displayName="ReturnTable" ref="A5:M21" headerRowCount="1" totalsRowCount="0" totalsRowShown="0">
  <x:tableColumns count="13">
    <x:tableColumn id="1" name="Event"/>
    <x:tableColumn id="2" name="Required hours"/>
    <x:tableColumn id="3" name="Elapsed hours"/>
    <x:tableColumn id="4" name="Required decisions"/>
    <x:tableColumn id="5" name="Closed decisions"/>
    <x:tableColumn id="6" name="Retained m³"/>
    <x:tableColumn id="7" name="Identity recovery"/>
    <x:tableColumn id="8" name="Unrelated fraction"/>
    <x:tableColumn id="9" name="Seal"/>
    <x:tableColumn id="10" name="Custody"/>
    <x:tableColumn id="11" name="Replay"/>
    <x:tableColumn id="12" name="Authority"/>
    <x:tableColumn id="13" name="Sta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ReplayTable" displayName="ReplayTable" ref="A5:E21" headerRowCount="1" totalsRowCount="0" totalsRowShown="0">
  <x:tableColumns count="5">
    <x:tableColumn id="1" name="Event"/>
    <x:tableColumn id="2" name="Required decisions"/>
    <x:tableColumn id="3" name="Closed decisions"/>
    <x:tableColumn id="4" name="Authority"/>
    <x:tableColumn id="5" name="St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ClassDecisionTable" displayName="ClassDecisionTable" ref="A5:C14" headerRowCount="1" totalsRowCount="0" totalsRowShown="0">
  <x:tableColumns count="3">
    <x:tableColumn id="1" name="Metric"/>
    <x:tableColumn id="2" name="Value"/>
    <x:tableColumn id="3" name="Decision rul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ScheduleTable" displayName="ScheduleTable" ref="A5:D18" headerRowCount="1" totalsRowCount="0" totalsRowShown="0">
  <x:tableColumns count="4">
    <x:tableColumn id="1" name="Schedule object"/>
    <x:tableColumn id="2" name="Primary weeks"/>
    <x:tableColumn id="3" name="Maximum weeks"/>
    <x:tableColumn id="4" name="Decision meaning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CapacityTable" displayName="CapacityTable" ref="A5:D18" headerRowCount="1" totalsRowCount="0" totalsRowShown="0">
  <x:tableColumns count="4">
    <x:tableColumn id="1" name="Identity"/>
    <x:tableColumn id="2" name="Value"/>
    <x:tableColumn id="3" name="Unit"/>
    <x:tableColumn id="4" name="Interpretat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EvidenceTable" displayName="EvidenceTable" ref="A5:D9" headerRowCount="1" totalsRowCount="0" totalsRowShown="0">
  <x:tableColumns count="4">
    <x:tableColumn id="1" name="Evidence object"/>
    <x:tableColumn id="2" name="Count"/>
    <x:tableColumn id="3" name="GB each"/>
    <x:tableColumn id="4" name="Allocated GB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WorkforceTable" displayName="WorkforceTable" ref="A5:D9" headerRowCount="1" totalsRowCount="0" totalsRowShown="0">
  <x:tableColumns count="4">
    <x:tableColumn id="1" name="Formation object"/>
    <x:tableColumn id="2" name="Positions"/>
    <x:tableColumn id="3" name="Parent envelope"/>
    <x:tableColumn id="4" name="Stat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TechnologyTable" displayName="TechnologyTable" ref="A5:D9" headerRowCount="1" totalsRowCount="0" totalsRowShown="0">
  <x:tableColumns count="4">
    <x:tableColumn id="1" name="Technology object"/>
    <x:tableColumn id="2" name="USD M"/>
    <x:tableColumn id="3" name="Parent envelope"/>
    <x:tableColumn id="4" name="Interpretati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FinanceTable" displayName="FinanceTable" ref="A5:D21" headerRowCount="1" totalsRowCount="0" totalsRowShown="0">
  <x:tableColumns count="4">
    <x:tableColumn id="1" name="Financial identity"/>
    <x:tableColumn id="2" name="USD M"/>
    <x:tableColumn id="3" name="Unit"/>
    <x:tableColumn id="4" name="Interpretation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CapitalObjectTable" displayName="CapitalObjectTable" ref="A24:D33" headerRowCount="1" totalsRowCount="0" totalsRowShown="0">
  <x:tableColumns count="4">
    <x:tableColumn id="1" name="ER-02 capital object"/>
    <x:tableColumn id="2" name="USD M"/>
    <x:tableColumn id="3" name="Share"/>
    <x:tableColumn id="4" name="Purpos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CaseTable" displayName="CaseTable" ref="A5:F155" headerRowCount="1" totalsRowCount="0" totalsRowShown="0">
  <x:tableColumns count="6">
    <x:tableColumn id="1" name="Case"/>
    <x:tableColumn id="2" name="Category"/>
    <x:tableColumn id="3" name="Perturbation"/>
    <x:tableColumn id="4" name="Expected response"/>
    <x:tableColumn id="5" name="Owning sheet"/>
    <x:tableColumn id="6" name="State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AuditTable" displayName="AuditTable" ref="A5:H305" headerRowCount="1" totalsRowCount="0" totalsRowShown="0">
  <x:tableColumns count="8">
    <x:tableColumn id="1" name="Audit"/>
    <x:tableColumn id="2" name="Family"/>
    <x:tableColumn id="3" name="Case or object"/>
    <x:tableColumn id="4" name="Assertion"/>
    <x:tableColumn id="5" name="Expected"/>
    <x:tableColumn id="6" name="Observed"/>
    <x:tableColumn id="7" name="State"/>
    <x:tableColumn id="8" name="Owner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7" name="SourceTable" displayName="SourceTable" ref="A5:E14" headerRowCount="1" totalsRowCount="0" totalsRowShown="0">
  <x:tableColumns count="5">
    <x:tableColumn id="1" name="ID"/>
    <x:tableColumn id="2" name="Research object"/>
    <x:tableColumn id="3" name="Repository path"/>
    <x:tableColumn id="4" name="Use in RBI-1"/>
    <x:tableColumn id="5" name="External 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fb2c0abe0045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c6ee9cd1634a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7946295ae549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38ff6534634e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b598109bdd47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5f3fb4cf7749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cb70f425fdd42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2290bc4689543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ba196c2246941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6222929a0b246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cc2647f7b434a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9cdc8fe5d1d4e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8a3c1f0002b45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e9d1ee28bb84d4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b7cbc85858f460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654d1d8e7214dc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81b1ce48599457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fc7cafd7cef4d1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951c532009746c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c8f3d32d7d8493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9bf64c054e1148b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7306f520520c4ad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3e8ff1386d5435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2c96a12adb8b4fd3" /><Relationship Type="http://schemas.openxmlformats.org/officeDocument/2006/relationships/table" Target="/xl/tables/table25.xml" Id="R20e47332d33647b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6.xml" Id="R8ce597e953a2479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7.xml" Id="Rb3ee0e44596f4bb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8.xml" Id="R738775e0404240b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63" hidden="0" customWidth="1"/>
  </x:cols>
  <x:sheetData>
    <x:row r="2" ht="24" customHeight="1">
      <x:c r="A2" s="1" t="str">
        <x:v>RBI-1 | Water-only reference system and ER-02 class constitution</x:v>
      </x:c>
    </x:row>
    <x:row r="4" ht="34" customHeight="1">
      <x:c r="A4" s="15" t="str">
        <x:v>Planning workbook, not achieved evidence. Yellow cells are observations or authority decisions; blank evidence keeps the class blocked.</x:v>
      </x:c>
      <x:c r="B4" s="22"/>
      <x:c r="C4" s="22"/>
    </x:row>
    <x:row r="6">
      <x:c r="A6" s="8" t="str">
        <x:v>Decision object</x:v>
      </x:c>
      <x:c r="B6" s="8" t="str">
        <x:v>Value</x:v>
      </x:c>
      <x:c r="C6" s="8" t="str">
        <x:v>Meaning</x:v>
      </x:c>
    </x:row>
    <x:row r="7" ht="28" customHeight="1">
      <x:c r="A7" s="24" t="str">
        <x:v>Class</x:v>
      </x:c>
      <x:c r="B7" s="24" t="str">
        <x:v>ER-02-QUALIFIED</x:v>
      </x:c>
      <x:c r="C7" s="24" t="str">
        <x:v>clean-water issue, custody, return, and evidence only</x:v>
      </x:c>
    </x:row>
    <x:row r="8" ht="28" customHeight="1">
      <x:c r="A8" s="24" t="str">
        <x:v>Full event volume</x:v>
      </x:c>
      <x:c r="B8" s="25" t="n">
        <x:f>'Assumptions'!B9</x:f>
        <x:v>24</x:v>
      </x:c>
      <x:c r="C8" s="24" t="str">
        <x:v>m³</x:v>
      </x:c>
    </x:row>
    <x:row r="9" ht="28" customHeight="1">
      <x:c r="A9" s="24" t="str">
        <x:v>Full event water mass</x:v>
      </x:c>
      <x:c r="B9" s="25" t="n">
        <x:f>Capacity!B6</x:f>
        <x:v>23.952</x:v>
      </x:c>
      <x:c r="C9" s="24" t="str">
        <x:v>metric tonnes</x:v>
      </x:c>
    </x:row>
    <x:row r="10" ht="28" customHeight="1">
      <x:c r="A10" s="24" t="str">
        <x:v>Truth roots</x:v>
      </x:c>
      <x:c r="B10" s="25" t="n">
        <x:f>COUNTA('Truth Roots'!A6:A7)</x:f>
        <x:v>2</x:v>
      </x:c>
      <x:c r="C10" s="24" t="str">
        <x:v>gravimetric batch and surveyed displacement</x:v>
      </x:c>
    </x:row>
    <x:row r="11" ht="28" customHeight="1">
      <x:c r="A11" s="24" t="str">
        <x:v>Reference modules</x:v>
      </x:c>
      <x:c r="B11" s="25" t="n">
        <x:f>COUNTA('Module Bank'!A6:A23)</x:f>
        <x:v>18</x:v>
      </x:c>
      <x:c r="C11" s="24" t="str">
        <x:v>12 active, 4 spare, 2 forensic</x:v>
      </x:c>
    </x:row>
    <x:row r="12" ht="28" customHeight="1">
      <x:c r="A12" s="24" t="str">
        <x:v>Qualification cycles</x:v>
      </x:c>
      <x:c r="B12" s="25" t="n">
        <x:f>'Assumptions'!B22</x:f>
        <x:v>64</x:v>
      </x:c>
      <x:c r="C12" s="24" t="str">
        <x:v>64 full-volume cycles</x:v>
      </x:c>
    </x:row>
    <x:row r="13" ht="28" customHeight="1">
      <x:c r="A13" s="24" t="str">
        <x:v>Qualification throughput</x:v>
      </x:c>
      <x:c r="B13" s="25" t="n">
        <x:f>Capacity!B13</x:f>
        <x:v>1536</x:v>
      </x:c>
      <x:c r="C13" s="24" t="str">
        <x:v>m³</x:v>
      </x:c>
    </x:row>
    <x:row r="14" ht="28" customHeight="1">
      <x:c r="A14" s="24" t="str">
        <x:v>Required / maximum events</x:v>
      </x:c>
      <x:c r="B14" s="25" t="str">
        <x:f>'Assumptions'!B23&amp;" / "&amp;'Assumptions'!B25</x:f>
        <x:v>12 / 16</x:v>
      </x:c>
      <x:c r="C14" s="24" t="str">
        <x:v>12 exact cells; four reserve positions</x:v>
      </x:c>
    </x:row>
    <x:row r="15" ht="28" customHeight="1">
      <x:c r="A15" s="24" t="str">
        <x:v>Maximum governed throughput</x:v>
      </x:c>
      <x:c r="B15" s="25" t="n">
        <x:f>Capacity!B16</x:f>
        <x:v>1920</x:v>
      </x:c>
      <x:c r="C15" s="24" t="str">
        <x:v>m³</x:v>
      </x:c>
    </x:row>
    <x:row r="16" ht="28" customHeight="1">
      <x:c r="A16" s="24" t="str">
        <x:v>Evidence allocation</x:v>
      </x:c>
      <x:c r="B16" s="25" t="n">
        <x:f>Evidence!D8</x:f>
        <x:v>30720</x:v>
      </x:c>
      <x:c r="C16" s="24" t="str">
        <x:v>GB before provision</x:v>
      </x:c>
    </x:row>
    <x:row r="17" ht="28" customHeight="1">
      <x:c r="A17" s="24" t="str">
        <x:v>Wet return</x:v>
      </x:c>
      <x:c r="B17" s="25" t="n">
        <x:f>'Assumptions'!B48</x:f>
        <x:v>336</x:v>
      </x:c>
      <x:c r="C17" s="24" t="str">
        <x:v>hours</x:v>
      </x:c>
    </x:row>
    <x:row r="18" ht="28" customHeight="1">
      <x:c r="A18" s="24" t="str">
        <x:v>ER-02 schedule</x:v>
      </x:c>
      <x:c r="B18" s="25" t="str">
        <x:f>Schedule!B12&amp;" / "&amp;Schedule!C12</x:f>
        <x:v>34 / 36</x:v>
      </x:c>
      <x:c r="C18" s="24" t="str">
        <x:v>primary / maximum weeks</x:v>
      </x:c>
    </x:row>
    <x:row r="19" ht="28" customHeight="1">
      <x:c r="A19" s="24" t="str">
        <x:v>Corrected parent floor</x:v>
      </x:c>
      <x:c r="B19" s="25" t="str">
        <x:f>Schedule!B15&amp;" / "&amp;Schedule!C15</x:f>
        <x:v>175 / 195</x:v>
      </x:c>
      <x:c r="C19" s="24" t="str">
        <x:v>primary / maximum weeks</x:v>
      </x:c>
    </x:row>
    <x:row r="20" ht="28" customHeight="1">
      <x:c r="A20" s="24" t="str">
        <x:v>Parent variance</x:v>
      </x:c>
      <x:c r="B20" s="25" t="str">
        <x:f>Schedule!B17&amp;" / "&amp;Schedule!C17</x:f>
        <x:v>19 / 39</x:v>
      </x:c>
      <x:c r="C20" s="24" t="str">
        <x:v>weeks beyond 156-week screen</x:v>
      </x:c>
    </x:row>
    <x:row r="21" ht="28" customHeight="1">
      <x:c r="A21" s="24" t="str">
        <x:v>Concurrent positions</x:v>
      </x:c>
      <x:c r="B21" s="25" t="n">
        <x:f>Workforce!B8</x:f>
        <x:v>390</x:v>
      </x:c>
      <x:c r="C21" s="24" t="str">
        <x:v>ER-02 execution plus RBH sustainment</x:v>
      </x:c>
    </x:row>
    <x:row r="22" ht="28" customHeight="1">
      <x:c r="A22" s="24" t="str">
        <x:v>Capital allocation</x:v>
      </x:c>
      <x:c r="B22" s="25" t="n">
        <x:f>Finance!B8</x:f>
        <x:v>260</x:v>
      </x:c>
      <x:c r="C22" s="24" t="str">
        <x:v>USD M</x:v>
      </x:c>
    </x:row>
    <x:row r="23" ht="28" customHeight="1">
      <x:c r="A23" s="24" t="str">
        <x:v>Concurrent annual requirement</x:v>
      </x:c>
      <x:c r="B23" s="25" t="n">
        <x:f>Finance!B13</x:f>
        <x:v>56</x:v>
      </x:c>
      <x:c r="C23" s="24" t="str">
        <x:v>USD M/year</x:v>
      </x:c>
    </x:row>
    <x:row r="24" ht="28" customHeight="1">
      <x:c r="A24" s="24" t="str">
        <x:v>Technology allocation</x:v>
      </x:c>
      <x:c r="B24" s="25" t="n">
        <x:f>Technology!B7</x:f>
        <x:v>90</x:v>
      </x:c>
      <x:c r="C24" s="24" t="str">
        <x:v>USD M</x:v>
      </x:c>
    </x:row>
    <x:row r="25" ht="28" customHeight="1">
      <x:c r="A25" s="24" t="str">
        <x:v>Technology remaining</x:v>
      </x:c>
      <x:c r="B25" s="25" t="n">
        <x:f>Technology!B9</x:f>
        <x:v>50</x:v>
      </x:c>
      <x:c r="C25" s="24" t="str">
        <x:v>USD M; parent rebase required</x:v>
      </x:c>
    </x:row>
    <x:row r="26" ht="28" customHeight="1">
      <x:c r="A26" s="24" t="str">
        <x:v>Required event credits</x:v>
      </x:c>
      <x:c r="B26" s="25" t="n">
        <x:f>COUNTIF('Event Register'!AB8:AB23,"CREDIT")</x:f>
        <x:v>0</x:v>
      </x:c>
      <x:c r="C26" s="24" t="str">
        <x:v>must equal twelve</x:v>
      </x:c>
    </x:row>
    <x:row r="27" ht="28" customHeight="1">
      <x:c r="A27" s="24" t="str">
        <x:v>Class authority</x:v>
      </x:c>
      <x:c r="B27" s="25" t="str">
        <x:f>'Class Decision'!B14</x:f>
        <x:v>BLOCKED</x:v>
      </x:c>
      <x:c r="C27" s="24" t="str">
        <x:v>blocked until every registered condition closes</x:v>
      </x:c>
    </x:row>
    <x:row r="28" ht="28" customHeight="1">
      <x:c r="A28" s="24" t="str">
        <x:v>Next admissible object</x:v>
      </x:c>
      <x:c r="B28" s="25" t="str">
        <x:v>RBJ-1</x:v>
      </x:c>
      <x:c r="C28" s="24" t="str">
        <x:v>ER-03 dual-ancestry competition and parent rebase</x:v>
      </x:c>
    </x:row>
    <x:row r="29" ht="28" customHeight="1">
      <x:c r="A29" s="24" t="str">
        <x:v>Source state</x:v>
      </x:c>
      <x:c r="B29" s="25" t="str">
        <x:v>NUMERIC ZERO REQUIRED</x:v>
      </x:c>
      <x:c r="C29" s="24" t="str">
        <x:v>source is measured at zero, never inferred</x:v>
      </x:c>
    </x:row>
    <x:row r="30" ht="28" customHeight="1">
      <x:c r="A30" s="24" t="str">
        <x:v>Ignition state</x:v>
      </x:c>
      <x:c r="B30" s="25" t="str">
        <x:v>PROHIBITED</x:v>
      </x:c>
      <x:c r="C30" s="24" t="str">
        <x:v>no igniter or flame authority in ER-02</x:v>
      </x:c>
    </x:row>
    <x:row r="31" ht="28" customHeight="1">
      <x:c r="A31" s="24" t="str">
        <x:v>Rendering state</x:v>
      </x:c>
      <x:c r="B31" s="25" t="str">
        <x:v>DEFERRED</x:v>
      </x:c>
      <x:c r="C31" s="24" t="str">
        <x:v>vehicle renderings wait for first-principles constitution</x:v>
      </x:c>
    </x:row>
  </x:sheetData>
  <x:mergeCells>
    <x:mergeCell ref="A2:C2"/>
    <x:mergeCell ref="A4:C4"/>
  </x:mergeCells>
  <x:conditionalFormatting sqref="B7:B31">
    <x:cfRule type="containsText" dxfId="95" priority="1" operator="containsText" text="DENY"/>
    <x:cfRule type="containsText" dxfId="96" priority="2" operator="containsText" text="ADVERSE"/>
    <x:cfRule type="containsText" dxfId="97" priority="3" operator="containsText" text="FAIL"/>
    <x:cfRule type="containsText" dxfId="98" priority="4" operator="containsText" text="OPEN"/>
    <x:cfRule type="containsText" dxfId="9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53fb2c0abe0045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28" hidden="0" customWidth="1"/>
    <x:col min="5" max="5" width="16" hidden="0" customWidth="1"/>
  </x:cols>
  <x:sheetData>
    <x:row r="2" ht="24" customHeight="1">
      <x:c r="A2" s="1" t="str">
        <x:v>RBI-1 registered planning assumptions</x:v>
      </x:c>
    </x:row>
    <x:row r="4" ht="22" customHeight="1">
      <x:c r="A4" s="2"/>
      <x:c r="B4" s="2"/>
      <x:c r="C4" s="2"/>
      <x:c r="D4" s="2"/>
      <x:c r="E4" s="2"/>
    </x:row>
    <x:row r="5" ht="30" customHeight="1">
      <x:c r="A5" s="4" t="str">
        <x:v>Blue values are declared planning inputs from the internal research chain. Physical observations remain blank in their owning registers.</x:v>
      </x:c>
      <x:c r="B5" s="23"/>
      <x:c r="C5" s="23"/>
      <x:c r="D5" s="23"/>
      <x:c r="E5" s="23"/>
    </x:row>
    <x:row r="7">
      <x:c r="A7" s="8" t="str">
        <x:v>Parameter</x:v>
      </x:c>
      <x:c r="B7" s="8" t="str">
        <x:v>Value</x:v>
      </x:c>
      <x:c r="C7" s="8" t="str">
        <x:v>Unit</x:v>
      </x:c>
      <x:c r="D7" s="8" t="str">
        <x:v>Role</x:v>
      </x:c>
      <x:c r="E7" s="8" t="str">
        <x:v>Internal source</x:v>
      </x:c>
    </x:row>
    <x:row r="8">
      <x:c r="A8" s="10" t="str">
        <x:v>Reference water density</x:v>
      </x:c>
      <x:c r="B8" s="13" t="n">
        <x:v>998</x:v>
      </x:c>
      <x:c r="C8" s="10" t="str">
        <x:v>kg/m³</x:v>
      </x:c>
      <x:c r="D8" s="10" t="str">
        <x:v>mass screen</x:v>
      </x:c>
      <x:c r="E8" s="10" t="str">
        <x:v>RBI-1</x:v>
      </x:c>
    </x:row>
    <x:row r="9">
      <x:c r="A9" s="10" t="str">
        <x:v>Event issue volume</x:v>
      </x:c>
      <x:c r="B9" s="13" t="n">
        <x:v>24</x:v>
      </x:c>
      <x:c r="C9" s="10" t="str">
        <x:v>m³</x:v>
      </x:c>
      <x:c r="D9" s="10" t="str">
        <x:v>ER-02 proposition</x:v>
      </x:c>
      <x:c r="E9" s="10" t="str">
        <x:v>RBG-1</x:v>
      </x:c>
    </x:row>
    <x:row r="10">
      <x:c r="A10" s="10" t="str">
        <x:v>Issue flow</x:v>
      </x:c>
      <x:c r="B10" s="13" t="n">
        <x:v>3</x:v>
      </x:c>
      <x:c r="C10" s="10" t="str">
        <x:v>m³/min</x:v>
      </x:c>
      <x:c r="D10" s="10" t="str">
        <x:v>public boundary</x:v>
      </x:c>
      <x:c r="E10" s="10" t="str">
        <x:v>RFP-1</x:v>
      </x:c>
    </x:row>
    <x:row r="11">
      <x:c r="A11" s="10" t="str">
        <x:v>Boundary pressure</x:v>
      </x:c>
      <x:c r="B11" s="13" t="n">
        <x:v>1.2</x:v>
      </x:c>
      <x:c r="C11" s="10" t="str">
        <x:v>MPa</x:v>
      </x:c>
      <x:c r="D11" s="10" t="str">
        <x:v>public boundary</x:v>
      </x:c>
      <x:c r="E11" s="10" t="str">
        <x:v>RFP-1</x:v>
      </x:c>
    </x:row>
    <x:row r="12">
      <x:c r="A12" s="10" t="str">
        <x:v>Pump efficiency screen</x:v>
      </x:c>
      <x:c r="B12" s="13" t="n">
        <x:v>0.7</x:v>
      </x:c>
      <x:c r="C12" s="10" t="str">
        <x:v>ratio</x:v>
      </x:c>
      <x:c r="D12" s="10" t="str">
        <x:v>energy screen</x:v>
      </x:c>
      <x:c r="E12" s="10" t="str">
        <x:v>RBI-1</x:v>
      </x:c>
    </x:row>
    <x:row r="13">
      <x:c r="A13" s="10" t="str">
        <x:v>Reference field area</x:v>
      </x:c>
      <x:c r="B13" s="13" t="n">
        <x:v>6.25</x:v>
      </x:c>
      <x:c r="C13" s="10" t="str">
        <x:v>m²</x:v>
      </x:c>
      <x:c r="D13" s="10" t="str">
        <x:v>ER-02 bound</x:v>
      </x:c>
      <x:c r="E13" s="10" t="str">
        <x:v>RBG-1</x:v>
      </x:c>
    </x:row>
    <x:row r="14">
      <x:c r="A14" s="10" t="str">
        <x:v>Field witness zones</x:v>
      </x:c>
      <x:c r="B14" s="13" t="n">
        <x:v>16</x:v>
      </x:c>
      <x:c r="C14" s="10" t="str">
        <x:v>count</x:v>
      </x:c>
      <x:c r="D14" s="10" t="str">
        <x:v>distribution truth</x:v>
      </x:c>
      <x:c r="E14" s="10" t="str">
        <x:v>RBI-1</x:v>
      </x:c>
    </x:row>
    <x:row r="15">
      <x:c r="A15" s="10" t="str">
        <x:v>Return capacity</x:v>
      </x:c>
      <x:c r="B15" s="13" t="n">
        <x:v>4</x:v>
      </x:c>
      <x:c r="C15" s="10" t="str">
        <x:v>m³/min</x:v>
      </x:c>
      <x:c r="D15" s="10" t="str">
        <x:v>reference module</x:v>
      </x:c>
      <x:c r="E15" s="10" t="str">
        <x:v>RBI-1</x:v>
      </x:c>
    </x:row>
    <x:row r="16">
      <x:c r="A16" s="10" t="str">
        <x:v>Return-cell volume</x:v>
      </x:c>
      <x:c r="B16" s="13" t="n">
        <x:v>30</x:v>
      </x:c>
      <x:c r="C16" s="10" t="str">
        <x:v>m³</x:v>
      </x:c>
      <x:c r="D16" s="10" t="str">
        <x:v>reference module</x:v>
      </x:c>
      <x:c r="E16" s="10" t="str">
        <x:v>RBI-1</x:v>
      </x:c>
    </x:row>
    <x:row r="17">
      <x:c r="A17" s="10" t="str">
        <x:v>Active modules</x:v>
      </x:c>
      <x:c r="B17" s="13" t="n">
        <x:v>12</x:v>
      </x:c>
      <x:c r="C17" s="10" t="str">
        <x:v>count</x:v>
      </x:c>
      <x:c r="D17" s="10" t="str">
        <x:v>exact cells</x:v>
      </x:c>
      <x:c r="E17" s="10" t="str">
        <x:v>RBI-1</x:v>
      </x:c>
    </x:row>
    <x:row r="18">
      <x:c r="A18" s="10" t="str">
        <x:v>Operational spares</x:v>
      </x:c>
      <x:c r="B18" s="13" t="n">
        <x:v>4</x:v>
      </x:c>
      <x:c r="C18" s="10" t="str">
        <x:v>count</x:v>
      </x:c>
      <x:c r="D18" s="10" t="str">
        <x:v>same lineage</x:v>
      </x:c>
      <x:c r="E18" s="10" t="str">
        <x:v>RBI-1</x:v>
      </x:c>
    </x:row>
    <x:row r="19">
      <x:c r="A19" s="10" t="str">
        <x:v>Forensic references</x:v>
      </x:c>
      <x:c r="B19" s="13" t="n">
        <x:v>2</x:v>
      </x:c>
      <x:c r="C19" s="10" t="str">
        <x:v>count</x:v>
      </x:c>
      <x:c r="D19" s="10" t="str">
        <x:v>dry sealed</x:v>
      </x:c>
      <x:c r="E19" s="10" t="str">
        <x:v>RBI-1</x:v>
      </x:c>
    </x:row>
    <x:row r="20">
      <x:c r="A20" s="10" t="str">
        <x:v>Wettable modules</x:v>
      </x:c>
      <x:c r="B20" s="13" t="n">
        <x:v>16</x:v>
      </x:c>
      <x:c r="C20" s="10" t="str">
        <x:v>count</x:v>
      </x:c>
      <x:c r="D20" s="10" t="str">
        <x:v>active plus spares</x:v>
      </x:c>
      <x:c r="E20" s="10" t="str">
        <x:v>RBI-1</x:v>
      </x:c>
    </x:row>
    <x:row r="21">
      <x:c r="A21" s="10" t="str">
        <x:v>Qualification cycles per module</x:v>
      </x:c>
      <x:c r="B21" s="13" t="n">
        <x:v>4</x:v>
      </x:c>
      <x:c r="C21" s="10" t="str">
        <x:v>count</x:v>
      </x:c>
      <x:c r="D21" s="10" t="str">
        <x:v>challenge families</x:v>
      </x:c>
      <x:c r="E21" s="10" t="str">
        <x:v>RBI-1</x:v>
      </x:c>
    </x:row>
    <x:row r="22">
      <x:c r="A22" s="10" t="str">
        <x:v>Required qualification cycles</x:v>
      </x:c>
      <x:c r="B22" s="13" t="n">
        <x:v>64</x:v>
      </x:c>
      <x:c r="C22" s="10" t="str">
        <x:v>count</x:v>
      </x:c>
      <x:c r="D22" s="10" t="str">
        <x:v>full-volume denominator</x:v>
      </x:c>
      <x:c r="E22" s="10" t="str">
        <x:v>RBI-1</x:v>
      </x:c>
    </x:row>
    <x:row r="23">
      <x:c r="A23" s="10" t="str">
        <x:v>Required class events</x:v>
      </x:c>
      <x:c r="B23" s="13" t="n">
        <x:v>12</x:v>
      </x:c>
      <x:c r="C23" s="10" t="str">
        <x:v>count</x:v>
      </x:c>
      <x:c r="D23" s="10" t="str">
        <x:v>one per exact cell</x:v>
      </x:c>
      <x:c r="E23" s="10" t="str">
        <x:v>RBG-1</x:v>
      </x:c>
    </x:row>
    <x:row r="24">
      <x:c r="A24" s="10" t="str">
        <x:v>Reserve events</x:v>
      </x:c>
      <x:c r="B24" s="13" t="n">
        <x:v>4</x:v>
      </x:c>
      <x:c r="C24" s="10" t="str">
        <x:v>count</x:v>
      </x:c>
      <x:c r="D24" s="10" t="str">
        <x:v>invalidity only</x:v>
      </x:c>
      <x:c r="E24" s="10" t="str">
        <x:v>RBG-1</x:v>
      </x:c>
    </x:row>
    <x:row r="25">
      <x:c r="A25" s="10" t="str">
        <x:v>Maximum class events</x:v>
      </x:c>
      <x:c r="B25" s="13" t="n">
        <x:v>16</x:v>
      </x:c>
      <x:c r="C25" s="10" t="str">
        <x:v>count</x:v>
      </x:c>
      <x:c r="D25" s="10" t="str">
        <x:v>class capacity</x:v>
      </x:c>
      <x:c r="E25" s="10" t="str">
        <x:v>RBG-1</x:v>
      </x:c>
    </x:row>
    <x:row r="26">
      <x:c r="A26" s="10" t="str">
        <x:v>Water-lot positions</x:v>
      </x:c>
      <x:c r="B26" s="13" t="n">
        <x:v>18</x:v>
      </x:c>
      <x:c r="C26" s="10" t="str">
        <x:v>count</x:v>
      </x:c>
      <x:c r="D26" s="10" t="str">
        <x:v>primary, reserve, reference</x:v>
      </x:c>
      <x:c r="E26" s="10" t="str">
        <x:v>RBI-1</x:v>
      </x:c>
    </x:row>
    <x:row r="27">
      <x:c r="A27" s="10" t="str">
        <x:v>Water-lot volume</x:v>
      </x:c>
      <x:c r="B27" s="13" t="n">
        <x:v>25</x:v>
      </x:c>
      <x:c r="C27" s="10" t="str">
        <x:v>m³</x:v>
      </x:c>
      <x:c r="D27" s="10" t="str">
        <x:v>gross custody</x:v>
      </x:c>
      <x:c r="E27" s="10" t="str">
        <x:v>RBI-1</x:v>
      </x:c>
    </x:row>
    <x:row r="28">
      <x:c r="A28" s="10" t="str">
        <x:v>Lot event allocation</x:v>
      </x:c>
      <x:c r="B28" s="13" t="n">
        <x:v>24</x:v>
      </x:c>
      <x:c r="C28" s="10" t="str">
        <x:v>m³</x:v>
      </x:c>
      <x:c r="D28" s="10" t="str">
        <x:v>issue</x:v>
      </x:c>
      <x:c r="E28" s="10" t="str">
        <x:v>RBI-1</x:v>
      </x:c>
    </x:row>
    <x:row r="29">
      <x:c r="A29" s="10" t="str">
        <x:v>Lot assay allocation</x:v>
      </x:c>
      <x:c r="B29" s="13" t="n">
        <x:v>0.25</x:v>
      </x:c>
      <x:c r="C29" s="10" t="str">
        <x:v>m³</x:v>
      </x:c>
      <x:c r="D29" s="10" t="str">
        <x:v>assay and sample</x:v>
      </x:c>
      <x:c r="E29" s="10" t="str">
        <x:v>RBI-1</x:v>
      </x:c>
    </x:row>
    <x:row r="30">
      <x:c r="A30" s="10" t="str">
        <x:v>Lot conditioning allocation</x:v>
      </x:c>
      <x:c r="B30" s="13" t="n">
        <x:v>0.25</x:v>
      </x:c>
      <x:c r="C30" s="10" t="str">
        <x:v>m³</x:v>
      </x:c>
      <x:c r="D30" s="10" t="str">
        <x:v>line preparation</x:v>
      </x:c>
      <x:c r="E30" s="10" t="str">
        <x:v>RBI-1</x:v>
      </x:c>
    </x:row>
    <x:row r="31">
      <x:c r="A31" s="10" t="str">
        <x:v>Lot quarantine allocation</x:v>
      </x:c>
      <x:c r="B31" s="13" t="n">
        <x:v>0.5</x:v>
      </x:c>
      <x:c r="C31" s="10" t="str">
        <x:v>m³</x:v>
      </x:c>
      <x:c r="D31" s="10" t="str">
        <x:v>discrepancy capacity</x:v>
      </x:c>
      <x:c r="E31" s="10" t="str">
        <x:v>RBI-1</x:v>
      </x:c>
    </x:row>
    <x:row r="32">
      <x:c r="A32" s="10" t="str">
        <x:v>Delivered-volume lower</x:v>
      </x:c>
      <x:c r="B32" s="13" t="n">
        <x:v>23.976</x:v>
      </x:c>
      <x:c r="C32" s="10" t="str">
        <x:v>m³</x:v>
      </x:c>
      <x:c r="D32" s="10" t="str">
        <x:v>acceptance</x:v>
      </x:c>
      <x:c r="E32" s="10" t="str">
        <x:v>RBI-1</x:v>
      </x:c>
    </x:row>
    <x:row r="33">
      <x:c r="A33" s="10" t="str">
        <x:v>Delivered-volume upper</x:v>
      </x:c>
      <x:c r="B33" s="13" t="n">
        <x:v>24.024</x:v>
      </x:c>
      <x:c r="C33" s="10" t="str">
        <x:v>m³</x:v>
      </x:c>
      <x:c r="D33" s="10" t="str">
        <x:v>acceptance</x:v>
      </x:c>
      <x:c r="E33" s="10" t="str">
        <x:v>RBI-1</x:v>
      </x:c>
    </x:row>
    <x:row r="34">
      <x:c r="A34" s="10" t="str">
        <x:v>Mean-flow lower</x:v>
      </x:c>
      <x:c r="B34" s="13" t="n">
        <x:v>2.94</x:v>
      </x:c>
      <x:c r="C34" s="10" t="str">
        <x:v>m³/min</x:v>
      </x:c>
      <x:c r="D34" s="10" t="str">
        <x:v>acceptance</x:v>
      </x:c>
      <x:c r="E34" s="10" t="str">
        <x:v>RBI-1</x:v>
      </x:c>
    </x:row>
    <x:row r="35">
      <x:c r="A35" s="10" t="str">
        <x:v>Mean-flow upper</x:v>
      </x:c>
      <x:c r="B35" s="13" t="n">
        <x:v>3.06</x:v>
      </x:c>
      <x:c r="C35" s="10" t="str">
        <x:v>m³/min</x:v>
      </x:c>
      <x:c r="D35" s="10" t="str">
        <x:v>acceptance</x:v>
      </x:c>
      <x:c r="E35" s="10" t="str">
        <x:v>RBI-1</x:v>
      </x:c>
    </x:row>
    <x:row r="36">
      <x:c r="A36" s="10" t="str">
        <x:v>Issue duration</x:v>
      </x:c>
      <x:c r="B36" s="13" t="n">
        <x:v>480</x:v>
      </x:c>
      <x:c r="C36" s="10" t="str">
        <x:v>s</x:v>
      </x:c>
      <x:c r="D36" s="10" t="str">
        <x:v>event definition</x:v>
      </x:c>
      <x:c r="E36" s="10" t="str">
        <x:v>RBI-1</x:v>
      </x:c>
    </x:row>
    <x:row r="37">
      <x:c r="A37" s="10" t="str">
        <x:v>Duration-error maximum</x:v>
      </x:c>
      <x:c r="B37" s="13" t="n">
        <x:v>4.8</x:v>
      </x:c>
      <x:c r="C37" s="10" t="str">
        <x:v>s</x:v>
      </x:c>
      <x:c r="D37" s="10" t="str">
        <x:v>acceptance</x:v>
      </x:c>
      <x:c r="E37" s="10" t="str">
        <x:v>RBI-1</x:v>
      </x:c>
    </x:row>
    <x:row r="38">
      <x:c r="A38" s="10" t="str">
        <x:v>Pressure lower</x:v>
      </x:c>
      <x:c r="B38" s="13" t="n">
        <x:v>1.14</x:v>
      </x:c>
      <x:c r="C38" s="10" t="str">
        <x:v>MPa</x:v>
      </x:c>
      <x:c r="D38" s="10" t="str">
        <x:v>acceptance</x:v>
      </x:c>
      <x:c r="E38" s="10" t="str">
        <x:v>RBI-1</x:v>
      </x:c>
    </x:row>
    <x:row r="39">
      <x:c r="A39" s="10" t="str">
        <x:v>Pressure upper</x:v>
      </x:c>
      <x:c r="B39" s="13" t="n">
        <x:v>1.2</x:v>
      </x:c>
      <x:c r="C39" s="10" t="str">
        <x:v>MPa</x:v>
      </x:c>
      <x:c r="D39" s="10" t="str">
        <x:v>acceptance</x:v>
      </x:c>
      <x:c r="E39" s="10" t="str">
        <x:v>RBI-1</x:v>
      </x:c>
    </x:row>
    <x:row r="40">
      <x:c r="A40" s="10" t="str">
        <x:v>Zone coefficient maximum</x:v>
      </x:c>
      <x:c r="B40" s="13" t="n">
        <x:v>0.05</x:v>
      </x:c>
      <x:c r="C40" s="10" t="str">
        <x:v>ratio</x:v>
      </x:c>
      <x:c r="D40" s="10" t="str">
        <x:v>acceptance</x:v>
      </x:c>
      <x:c r="E40" s="10" t="str">
        <x:v>RBI-1</x:v>
      </x:c>
    </x:row>
    <x:row r="41">
      <x:c r="A41" s="10" t="str">
        <x:v>Accounted fraction minimum</x:v>
      </x:c>
      <x:c r="B41" s="13" t="n">
        <x:v>0.999</x:v>
      </x:c>
      <x:c r="C41" s="10" t="str">
        <x:v>ratio</x:v>
      </x:c>
      <x:c r="D41" s="10" t="str">
        <x:v>acceptance</x:v>
      </x:c>
      <x:c r="E41" s="10" t="str">
        <x:v>RBI-1</x:v>
      </x:c>
    </x:row>
    <x:row r="42">
      <x:c r="A42" s="10" t="str">
        <x:v>Identity recovery minimum</x:v>
      </x:c>
      <x:c r="B42" s="13" t="n">
        <x:v>0.995</x:v>
      </x:c>
      <x:c r="C42" s="10" t="str">
        <x:v>ratio</x:v>
      </x:c>
      <x:c r="D42" s="10" t="str">
        <x:v>acceptance</x:v>
      </x:c>
      <x:c r="E42" s="10" t="str">
        <x:v>RBG-1</x:v>
      </x:c>
    </x:row>
    <x:row r="43">
      <x:c r="A43" s="10" t="str">
        <x:v>Unrelated-path maximum</x:v>
      </x:c>
      <x:c r="B43" s="13" t="n">
        <x:v>0.005</x:v>
      </x:c>
      <x:c r="C43" s="10" t="str">
        <x:v>ratio</x:v>
      </x:c>
      <x:c r="D43" s="10" t="str">
        <x:v>acceptance</x:v>
      </x:c>
      <x:c r="E43" s="10" t="str">
        <x:v>RBG-1</x:v>
      </x:c>
    </x:row>
    <x:row r="44">
      <x:c r="A44" s="10" t="str">
        <x:v>Unexplained volume maximum</x:v>
      </x:c>
      <x:c r="B44" s="13" t="n">
        <x:v>0.024</x:v>
      </x:c>
      <x:c r="C44" s="10" t="str">
        <x:v>m³</x:v>
      </x:c>
      <x:c r="D44" s="10" t="str">
        <x:v>acceptance</x:v>
      </x:c>
      <x:c r="E44" s="10" t="str">
        <x:v>RBI-1</x:v>
      </x:c>
    </x:row>
    <x:row r="45">
      <x:c r="A45" s="10" t="str">
        <x:v>Retained volume at 24 h maximum</x:v>
      </x:c>
      <x:c r="B45" s="13" t="n">
        <x:v>0.12</x:v>
      </x:c>
      <x:c r="C45" s="10" t="str">
        <x:v>m³</x:v>
      </x:c>
      <x:c r="D45" s="10" t="str">
        <x:v>acceptance</x:v>
      </x:c>
      <x:c r="E45" s="10" t="str">
        <x:v>RBI-1</x:v>
      </x:c>
    </x:row>
    <x:row r="46">
      <x:c r="A46" s="10" t="str">
        <x:v>Abort cessation maximum</x:v>
      </x:c>
      <x:c r="B46" s="13" t="n">
        <x:v>5</x:v>
      </x:c>
      <x:c r="C46" s="10" t="str">
        <x:v>s</x:v>
      </x:c>
      <x:c r="D46" s="10" t="str">
        <x:v>acceptance</x:v>
      </x:c>
      <x:c r="E46" s="10" t="str">
        <x:v>RBI-1</x:v>
      </x:c>
    </x:row>
    <x:row r="47">
      <x:c r="A47" s="10" t="str">
        <x:v>Post-abort volume maximum</x:v>
      </x:c>
      <x:c r="B47" s="13" t="n">
        <x:v>0.25</x:v>
      </x:c>
      <x:c r="C47" s="10" t="str">
        <x:v>m³</x:v>
      </x:c>
      <x:c r="D47" s="10" t="str">
        <x:v>acceptance</x:v>
      </x:c>
      <x:c r="E47" s="10" t="str">
        <x:v>RBI-1</x:v>
      </x:c>
    </x:row>
    <x:row r="48">
      <x:c r="A48" s="10" t="str">
        <x:v>Wet return</x:v>
      </x:c>
      <x:c r="B48" s="13" t="n">
        <x:v>336</x:v>
      </x:c>
      <x:c r="C48" s="10" t="str">
        <x:v>h</x:v>
      </x:c>
      <x:c r="D48" s="10" t="str">
        <x:v>module baseline</x:v>
      </x:c>
      <x:c r="E48" s="10" t="str">
        <x:v>RBI-1</x:v>
      </x:c>
    </x:row>
    <x:row r="49">
      <x:c r="A49" s="10" t="str">
        <x:v>Class gates per event</x:v>
      </x:c>
      <x:c r="B49" s="13" t="n">
        <x:v>48</x:v>
      </x:c>
      <x:c r="C49" s="10" t="str">
        <x:v>count</x:v>
      </x:c>
      <x:c r="D49" s="10" t="str">
        <x:v>event closure</x:v>
      </x:c>
      <x:c r="E49" s="10" t="str">
        <x:v>RBI-1</x:v>
      </x:c>
    </x:row>
    <x:row r="50">
      <x:c r="A50" s="10" t="str">
        <x:v>Evidence records per event</x:v>
      </x:c>
      <x:c r="B50" s="13" t="n">
        <x:v>192</x:v>
      </x:c>
      <x:c r="C50" s="10" t="str">
        <x:v>count</x:v>
      </x:c>
      <x:c r="D50" s="10" t="str">
        <x:v>event closure</x:v>
      </x:c>
      <x:c r="E50" s="10" t="str">
        <x:v>RBI-1</x:v>
      </x:c>
    </x:row>
    <x:row r="51">
      <x:c r="A51" s="10" t="str">
        <x:v>Active measurement channels</x:v>
      </x:c>
      <x:c r="B51" s="13" t="n">
        <x:v>192</x:v>
      </x:c>
      <x:c r="C51" s="10" t="str">
        <x:v>count</x:v>
      </x:c>
      <x:c r="D51" s="10" t="str">
        <x:v>event closure</x:v>
      </x:c>
      <x:c r="E51" s="10" t="str">
        <x:v>RBI-1</x:v>
      </x:c>
    </x:row>
    <x:row r="52">
      <x:c r="A52" s="10" t="str">
        <x:v>Physical safeing paths</x:v>
      </x:c>
      <x:c r="B52" s="13" t="n">
        <x:v>12</x:v>
      </x:c>
      <x:c r="C52" s="10" t="str">
        <x:v>count</x:v>
      </x:c>
      <x:c r="D52" s="10" t="str">
        <x:v>event closure</x:v>
      </x:c>
      <x:c r="E52" s="10" t="str">
        <x:v>RBI-1</x:v>
      </x:c>
    </x:row>
    <x:row r="53">
      <x:c r="A53" s="10" t="str">
        <x:v>Replay decisions per event</x:v>
      </x:c>
      <x:c r="B53" s="13" t="n">
        <x:v>12</x:v>
      </x:c>
      <x:c r="C53" s="10" t="str">
        <x:v>count</x:v>
      </x:c>
      <x:c r="D53" s="10" t="str">
        <x:v>event closure</x:v>
      </x:c>
      <x:c r="E53" s="10" t="str">
        <x:v>RBI-1</x:v>
      </x:c>
    </x:row>
    <x:row r="54">
      <x:c r="A54" s="10" t="str">
        <x:v>Qualification evidence per cycle</x:v>
      </x:c>
      <x:c r="B54" s="13" t="n">
        <x:v>240</x:v>
      </x:c>
      <x:c r="C54" s="10" t="str">
        <x:v>GB</x:v>
      </x:c>
      <x:c r="D54" s="10" t="str">
        <x:v>allocated capacity</x:v>
      </x:c>
      <x:c r="E54" s="10" t="str">
        <x:v>RBI-1</x:v>
      </x:c>
    </x:row>
    <x:row r="55">
      <x:c r="A55" s="10" t="str">
        <x:v>Class evidence per event</x:v>
      </x:c>
      <x:c r="B55" s="13" t="n">
        <x:v>960</x:v>
      </x:c>
      <x:c r="C55" s="10" t="str">
        <x:v>GB</x:v>
      </x:c>
      <x:c r="D55" s="10" t="str">
        <x:v>allocated capacity</x:v>
      </x:c>
      <x:c r="E55" s="10" t="str">
        <x:v>RBI-1</x:v>
      </x:c>
    </x:row>
    <x:row r="56">
      <x:c r="A56" s="10" t="str">
        <x:v>Evidence provision</x:v>
      </x:c>
      <x:c r="B56" s="13" t="n">
        <x:v>40000</x:v>
      </x:c>
      <x:c r="C56" s="10" t="str">
        <x:v>GB</x:v>
      </x:c>
      <x:c r="D56" s="10" t="str">
        <x:v>program capacity</x:v>
      </x:c>
      <x:c r="E56" s="10" t="str">
        <x:v>RBI-1</x:v>
      </x:c>
    </x:row>
    <x:row r="57">
      <x:c r="A57" s="10" t="str">
        <x:v>Module construction</x:v>
      </x:c>
      <x:c r="B57" s="13" t="n">
        <x:v>12</x:v>
      </x:c>
      <x:c r="C57" s="10" t="str">
        <x:v>weeks</x:v>
      </x:c>
      <x:c r="D57" s="10" t="str">
        <x:v>schedule</x:v>
      </x:c>
      <x:c r="E57" s="10" t="str">
        <x:v>RBI-1</x:v>
      </x:c>
    </x:row>
    <x:row r="58">
      <x:c r="A58" s="10" t="str">
        <x:v>Qualification campaign</x:v>
      </x:c>
      <x:c r="B58" s="13" t="n">
        <x:v>8</x:v>
      </x:c>
      <x:c r="C58" s="10" t="str">
        <x:v>weeks</x:v>
      </x:c>
      <x:c r="D58" s="10" t="str">
        <x:v>schedule</x:v>
      </x:c>
      <x:c r="E58" s="10" t="str">
        <x:v>RBI-1</x:v>
      </x:c>
    </x:row>
    <x:row r="59">
      <x:c r="A59" s="10" t="str">
        <x:v>Qualification review</x:v>
      </x:c>
      <x:c r="B59" s="13" t="n">
        <x:v>4</x:v>
      </x:c>
      <x:c r="C59" s="10" t="str">
        <x:v>weeks</x:v>
      </x:c>
      <x:c r="D59" s="10" t="str">
        <x:v>schedule</x:v>
      </x:c>
      <x:c r="E59" s="10" t="str">
        <x:v>RBI-1</x:v>
      </x:c>
    </x:row>
    <x:row r="60">
      <x:c r="A60" s="10" t="str">
        <x:v>Primary issue</x:v>
      </x:c>
      <x:c r="B60" s="13" t="n">
        <x:v>6</x:v>
      </x:c>
      <x:c r="C60" s="10" t="str">
        <x:v>weeks</x:v>
      </x:c>
      <x:c r="D60" s="10" t="str">
        <x:v>two per week</x:v>
      </x:c>
      <x:c r="E60" s="10" t="str">
        <x:v>RBI-1</x:v>
      </x:c>
    </x:row>
    <x:row r="61">
      <x:c r="A61" s="10" t="str">
        <x:v>Reserve issue extension</x:v>
      </x:c>
      <x:c r="B61" s="13" t="n">
        <x:v>2</x:v>
      </x:c>
      <x:c r="C61" s="10" t="str">
        <x:v>weeks</x:v>
      </x:c>
      <x:c r="D61" s="10" t="str">
        <x:v>four reserves</x:v>
      </x:c>
      <x:c r="E61" s="10" t="str">
        <x:v>RBI-1</x:v>
      </x:c>
    </x:row>
    <x:row r="62">
      <x:c r="A62" s="10" t="str">
        <x:v>Last wet return</x:v>
      </x:c>
      <x:c r="B62" s="13" t="n">
        <x:v>2</x:v>
      </x:c>
      <x:c r="C62" s="10" t="str">
        <x:v>weeks</x:v>
      </x:c>
      <x:c r="D62" s="10" t="str">
        <x:v>schedule</x:v>
      </x:c>
      <x:c r="E62" s="10" t="str">
        <x:v>RBI-1</x:v>
      </x:c>
    </x:row>
    <x:row r="63">
      <x:c r="A63" s="10" t="str">
        <x:v>Class review</x:v>
      </x:c>
      <x:c r="B63" s="13" t="n">
        <x:v>2</x:v>
      </x:c>
      <x:c r="C63" s="10" t="str">
        <x:v>weeks</x:v>
      </x:c>
      <x:c r="D63" s="10" t="str">
        <x:v>schedule</x:v>
      </x:c>
      <x:c r="E63" s="10" t="str">
        <x:v>RBI-1</x:v>
      </x:c>
    </x:row>
    <x:row r="64">
      <x:c r="A64" s="10" t="str">
        <x:v>Stage duration</x:v>
      </x:c>
      <x:c r="B64" s="13" t="n">
        <x:v>18</x:v>
      </x:c>
      <x:c r="C64" s="10" t="str">
        <x:v>months</x:v>
      </x:c>
      <x:c r="D64" s="10" t="str">
        <x:v>allocation</x:v>
      </x:c>
      <x:c r="E64" s="10" t="str">
        <x:v>RBI-1</x:v>
      </x:c>
    </x:row>
    <x:row r="65">
      <x:c r="A65" s="10" t="str">
        <x:v>RBI execution positions</x:v>
      </x:c>
      <x:c r="B65" s="13" t="n">
        <x:v>330</x:v>
      </x:c>
      <x:c r="C65" s="10" t="str">
        <x:v>positions</x:v>
      </x:c>
      <x:c r="D65" s="10" t="str">
        <x:v>formation</x:v>
      </x:c>
      <x:c r="E65" s="10" t="str">
        <x:v>RBI-1</x:v>
      </x:c>
    </x:row>
    <x:row r="66">
      <x:c r="A66" s="10" t="str">
        <x:v>RBH sustainment positions</x:v>
      </x:c>
      <x:c r="B66" s="13" t="n">
        <x:v>60</x:v>
      </x:c>
      <x:c r="C66" s="10" t="str">
        <x:v>positions</x:v>
      </x:c>
      <x:c r="D66" s="10" t="str">
        <x:v>concurrent requirement</x:v>
      </x:c>
      <x:c r="E66" s="10" t="str">
        <x:v>RBI-1</x:v>
      </x:c>
    </x:row>
    <x:row r="67">
      <x:c r="A67" s="10" t="str">
        <x:v>RBI capital allocation</x:v>
      </x:c>
      <x:c r="B67" s="13" t="n">
        <x:v>260</x:v>
      </x:c>
      <x:c r="C67" s="10" t="str">
        <x:v>USD M</x:v>
      </x:c>
      <x:c r="D67" s="10" t="str">
        <x:v>RAS-3R subset</x:v>
      </x:c>
      <x:c r="E67" s="10" t="str">
        <x:v>RBI-1</x:v>
      </x:c>
    </x:row>
    <x:row r="68">
      <x:c r="A68" s="10" t="str">
        <x:v>RBI annual support</x:v>
      </x:c>
      <x:c r="B68" s="13" t="n">
        <x:v>48</x:v>
      </x:c>
      <x:c r="C68" s="10" t="str">
        <x:v>USD M/year</x:v>
      </x:c>
      <x:c r="D68" s="10" t="str">
        <x:v>stage run rate</x:v>
      </x:c>
      <x:c r="E68" s="10" t="str">
        <x:v>RBI-1</x:v>
      </x:c>
    </x:row>
    <x:row r="69">
      <x:c r="A69" s="10" t="str">
        <x:v>RBH sustainment support</x:v>
      </x:c>
      <x:c r="B69" s="13" t="n">
        <x:v>8</x:v>
      </x:c>
      <x:c r="C69" s="10" t="str">
        <x:v>USD M/year</x:v>
      </x:c>
      <x:c r="D69" s="10" t="str">
        <x:v>concurrent run rate</x:v>
      </x:c>
      <x:c r="E69" s="10" t="str">
        <x:v>RBI-1</x:v>
      </x:c>
    </x:row>
    <x:row r="70">
      <x:c r="A70" s="10" t="str">
        <x:v>RBI technology allocation</x:v>
      </x:c>
      <x:c r="B70" s="13" t="n">
        <x:v>90</x:v>
      </x:c>
      <x:c r="C70" s="10" t="str">
        <x:v>USD M</x:v>
      </x:c>
      <x:c r="D70" s="10" t="str">
        <x:v>RAS-3R subset</x:v>
      </x:c>
      <x:c r="E70" s="10" t="str">
        <x:v>RBI-1</x:v>
      </x:c>
    </x:row>
    <x:row r="71">
      <x:c r="A71" s="10" t="str">
        <x:v>RAS-3R capital increment</x:v>
      </x:c>
      <x:c r="B71" s="13" t="n">
        <x:v>1100</x:v>
      </x:c>
      <x:c r="C71" s="10" t="str">
        <x:v>USD M</x:v>
      </x:c>
      <x:c r="D71" s="10" t="str">
        <x:v>parent increment</x:v>
      </x:c>
      <x:c r="E71" s="10" t="str">
        <x:v>RBG-1</x:v>
      </x:c>
    </x:row>
    <x:row r="72">
      <x:c r="A72" s="10" t="str">
        <x:v>RAS-3R annual increment</x:v>
      </x:c>
      <x:c r="B72" s="13" t="n">
        <x:v>67</x:v>
      </x:c>
      <x:c r="C72" s="10" t="str">
        <x:v>USD M/year</x:v>
      </x:c>
      <x:c r="D72" s="10" t="str">
        <x:v>parent increment</x:v>
      </x:c>
      <x:c r="E72" s="10" t="str">
        <x:v>RBG-1</x:v>
      </x:c>
    </x:row>
    <x:row r="73">
      <x:c r="A73" s="10" t="str">
        <x:v>RAS-3R technology increment</x:v>
      </x:c>
      <x:c r="B73" s="13" t="n">
        <x:v>235</x:v>
      </x:c>
      <x:c r="C73" s="10" t="str">
        <x:v>USD M</x:v>
      </x:c>
      <x:c r="D73" s="10" t="str">
        <x:v>parent increment</x:v>
      </x:c>
      <x:c r="E73" s="10" t="str">
        <x:v>RBG-1</x:v>
      </x:c>
    </x:row>
    <x:row r="74">
      <x:c r="A74" s="10" t="str">
        <x:v>RAS-3R positions</x:v>
      </x:c>
      <x:c r="B74" s="13" t="n">
        <x:v>720</x:v>
      </x:c>
      <x:c r="C74" s="10" t="str">
        <x:v>positions</x:v>
      </x:c>
      <x:c r="D74" s="10" t="str">
        <x:v>parent formation</x:v>
      </x:c>
      <x:c r="E74" s="10" t="str">
        <x:v>RBG-1</x:v>
      </x:c>
    </x:row>
    <x:row r="75">
      <x:c r="A75" s="10" t="str">
        <x:v>RBH capital allocation</x:v>
      </x:c>
      <x:c r="B75" s="13" t="n">
        <x:v>180</x:v>
      </x:c>
      <x:c r="C75" s="10" t="str">
        <x:v>USD M</x:v>
      </x:c>
      <x:c r="D75" s="10" t="str">
        <x:v>prior child</x:v>
      </x:c>
      <x:c r="E75" s="10" t="str">
        <x:v>RBH-1</x:v>
      </x:c>
    </x:row>
    <x:row r="76">
      <x:c r="A76" s="10" t="str">
        <x:v>RBH technology allocation</x:v>
      </x:c>
      <x:c r="B76" s="13" t="n">
        <x:v>95</x:v>
      </x:c>
      <x:c r="C76" s="10" t="str">
        <x:v>USD M</x:v>
      </x:c>
      <x:c r="D76" s="10" t="str">
        <x:v>prior child</x:v>
      </x:c>
      <x:c r="E76" s="10" t="str">
        <x:v>RBH-1</x:v>
      </x:c>
    </x:row>
    <x:row r="77">
      <x:c r="A77" s="10" t="str">
        <x:v>RBH primary weeks</x:v>
      </x:c>
      <x:c r="B77" s="13" t="n">
        <x:v>37</x:v>
      </x:c>
      <x:c r="C77" s="10" t="str">
        <x:v>weeks</x:v>
      </x:c>
      <x:c r="D77" s="10" t="str">
        <x:v>prior child</x:v>
      </x:c>
      <x:c r="E77" s="10" t="str">
        <x:v>RBH-1</x:v>
      </x:c>
    </x:row>
    <x:row r="78">
      <x:c r="A78" s="10" t="str">
        <x:v>RBH maximum weeks</x:v>
      </x:c>
      <x:c r="B78" s="13" t="n">
        <x:v>39</x:v>
      </x:c>
      <x:c r="C78" s="10" t="str">
        <x:v>weeks</x:v>
      </x:c>
      <x:c r="D78" s="10" t="str">
        <x:v>prior child</x:v>
      </x:c>
      <x:c r="E78" s="10" t="str">
        <x:v>RBH-1</x:v>
      </x:c>
    </x:row>
    <x:row r="79">
      <x:c r="A79" s="10" t="str">
        <x:v>Inherited later-rung primary</x:v>
      </x:c>
      <x:c r="B79" s="13" t="n">
        <x:v>13</x:v>
      </x:c>
      <x:c r="C79" s="10" t="str">
        <x:v>weeks/rung</x:v>
      </x:c>
      <x:c r="D79" s="10" t="str">
        <x:v>parent estimate</x:v>
      </x:c>
      <x:c r="E79" s="10" t="str">
        <x:v>RBG-1</x:v>
      </x:c>
    </x:row>
    <x:row r="80">
      <x:c r="A80" s="10" t="str">
        <x:v>Inherited later-rung maximum</x:v>
      </x:c>
      <x:c r="B80" s="13" t="n">
        <x:v>15</x:v>
      </x:c>
      <x:c r="C80" s="10" t="str">
        <x:v>weeks/rung</x:v>
      </x:c>
      <x:c r="D80" s="10" t="str">
        <x:v>parent estimate</x:v>
      </x:c>
      <x:c r="E80" s="10" t="str">
        <x:v>RBG-1</x:v>
      </x:c>
    </x:row>
    <x:row r="81">
      <x:c r="A81" s="10" t="str">
        <x:v>Physical rungs</x:v>
      </x:c>
      <x:c r="B81" s="13" t="n">
        <x:v>10</x:v>
      </x:c>
      <x:c r="C81" s="10" t="str">
        <x:v>count</x:v>
      </x:c>
      <x:c r="D81" s="10" t="str">
        <x:v>parent ladder</x:v>
      </x:c>
      <x:c r="E81" s="10" t="str">
        <x:v>RBG-1</x:v>
      </x:c>
    </x:row>
    <x:row r="82">
      <x:c r="A82" s="10" t="str">
        <x:v>Qualification stock volume</x:v>
      </x:c>
      <x:c r="B82" s="13" t="n">
        <x:v>30</x:v>
      </x:c>
      <x:c r="C82" s="10" t="str">
        <x:v>m³</x:v>
      </x:c>
      <x:c r="D82" s="10" t="str">
        <x:v>per campus stock</x:v>
      </x:c>
      <x:c r="E82" s="10" t="str">
        <x:v>RBI-1</x:v>
      </x:c>
    </x:row>
    <x:row r="83">
      <x:c r="A83" s="10" t="str">
        <x:v>Qualification stocks</x:v>
      </x:c>
      <x:c r="B83" s="13" t="n">
        <x:v>6</x:v>
      </x:c>
      <x:c r="C83" s="10" t="str">
        <x:v>count</x:v>
      </x:c>
      <x:c r="D83" s="10" t="str">
        <x:v>two per campus</x:v>
      </x:c>
      <x:c r="E83" s="10" t="str">
        <x:v>RBI-1</x:v>
      </x:c>
    </x:row>
    <x:row r="84">
      <x:c r="A84" s="10" t="str">
        <x:v>Parent calendar boundary</x:v>
      </x:c>
      <x:c r="B84" s="13" t="n">
        <x:v>156</x:v>
      </x:c>
      <x:c r="C84" s="10" t="str">
        <x:v>weeks</x:v>
      </x:c>
      <x:c r="D84" s="10" t="str">
        <x:v>36-month planning screen</x:v>
      </x:c>
      <x:c r="E84" s="10" t="str">
        <x:v>RBI-1</x:v>
      </x:c>
    </x:row>
  </x:sheetData>
  <x:mergeCells>
    <x:mergeCell ref="A2:E2"/>
    <x:mergeCell ref="A5:E5"/>
  </x:mergeCells>
  <x:pageMargins left="0.7" right="0.7" top="0.75" bottom="0.75" header="0.3" footer="0.3"/>
  <x:tableParts count="1">
    <x:tablePart xmlns:r="http://schemas.openxmlformats.org/officeDocument/2006/relationships" r:id="R80c6ee9cd1634a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28" hidden="0" customWidth="1"/>
    <x:col min="4" max="4" width="29" hidden="0" customWidth="1"/>
    <x:col min="5" max="5" width="36" hidden="0" customWidth="1"/>
    <x:col min="6" max="6" width="39" hidden="0" customWidth="1"/>
    <x:col min="7" max="7" width="22" hidden="0" customWidth="1"/>
    <x:col min="8" max="8" width="18" hidden="0" customWidth="1"/>
    <x:col min="9" max="9" width="15" hidden="0" customWidth="1"/>
  </x:cols>
  <x:sheetData>
    <x:row r="2" ht="24" customHeight="1">
      <x:c r="A2" s="1" t="str">
        <x:v>Unlike water truth roots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8" t="str">
        <x:v>Root</x:v>
      </x:c>
      <x:c r="B5" s="8" t="str">
        <x:v>Decisive principle</x:v>
      </x:c>
      <x:c r="C5" s="8" t="str">
        <x:v>Issue apparatus</x:v>
      </x:c>
      <x:c r="D5" s="8" t="str">
        <x:v>Return apparatus</x:v>
      </x:c>
      <x:c r="E5" s="8" t="str">
        <x:v>Primary susceptibility</x:v>
      </x:c>
      <x:c r="F5" s="8" t="str">
        <x:v>Prohibited shared dependency</x:v>
      </x:c>
      <x:c r="G5" s="8" t="str">
        <x:v>Operational acceptance</x:v>
      </x:c>
      <x:c r="H5" s="8" t="str">
        <x:v>Outside replay</x:v>
      </x:c>
      <x:c r="I5" s="8" t="str">
        <x:v>State</x:v>
      </x:c>
    </x:row>
    <x:row r="6">
      <x:c r="A6" s="10" t="str">
        <x:v>WTR-G</x:v>
      </x:c>
      <x:c r="B6" s="10" t="str">
        <x:v>gravimetric batch transfer</x:v>
      </x:c>
      <x:c r="C6" s="10" t="str">
        <x:v>four weighed 6 m³ cells</x:v>
      </x:c>
      <x:c r="D6" s="10" t="str">
        <x:v>independent weighed return</x:v>
      </x:c>
      <x:c r="E6" s="10" t="str">
        <x:v>load transfer, tilt, creep, density</x:v>
      </x:c>
      <x:c r="F6" s="10" t="str">
        <x:v>decisive WTR-V geometry or estimator</x:v>
      </x:c>
      <x:c r="G6" s="12"/>
      <x:c r="H6" s="12"/>
      <x:c r="I6" s="10" t="str">
        <x:f>IF(COUNTA(G6:H6)&lt;2,"OPEN",IF(AND(G6="ACCEPTED",H6="ACCEPTED"),"ACCEPTED","DENY"))</x:f>
        <x:v>OPEN</x:v>
      </x:c>
    </x:row>
    <x:row r="7">
      <x:c r="A7" s="10" t="str">
        <x:v>WTR-V</x:v>
      </x:c>
      <x:c r="B7" s="10" t="str">
        <x:v>surveyed swept volume</x:v>
      </x:c>
      <x:c r="C7" s="10" t="str">
        <x:v>four encoded displacement cells</x:v>
      </x:c>
      <x:c r="D7" s="10" t="str">
        <x:v>surveyed geometry and level</x:v>
      </x:c>
      <x:c r="E7" s="10" t="str">
        <x:v>seal bypass, trapped gas, geometric drift</x:v>
      </x:c>
      <x:c r="F7" s="10" t="str">
        <x:v>decisive WTR-G load or density chain</x:v>
      </x:c>
      <x:c r="G7" s="12"/>
      <x:c r="H7" s="12"/>
      <x:c r="I7" s="10" t="str">
        <x:f>IF(COUNTA(G7:H7)&lt;2,"OPEN",IF(AND(G7="ACCEPTED",H7="ACCEPTED"),"ACCEPTED","DENY"))</x:f>
        <x:v>OPEN</x:v>
      </x:c>
    </x:row>
  </x:sheetData>
  <x:mergeCells>
    <x:mergeCell ref="A2:I2"/>
  </x:mergeCells>
  <x:conditionalFormatting sqref="I6:I7">
    <x:cfRule type="containsText" dxfId="0" priority="1" operator="containsText" text="DENY"/>
    <x:cfRule type="containsText" dxfId="1" priority="2" operator="containsText" text="ADVERSE"/>
    <x:cfRule type="containsText" dxfId="2" priority="3" operator="containsText" text="FAIL"/>
    <x:cfRule type="containsText" dxfId="3" priority="4" operator="containsText" text="OPEN"/>
    <x:cfRule type="containsText" dxfId="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577946295ae549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3" hidden="0" customWidth="1"/>
    <x:col min="5" max="5" width="12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15" hidden="0" customWidth="1"/>
  </x:cols>
  <x:sheetData>
    <x:row r="2" ht="24" customHeight="1">
      <x:c r="A2" s="1" t="str">
        <x:v>Eighteen water-reference modules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8" t="str">
        <x:v>Module</x:v>
      </x:c>
      <x:c r="B5" s="8" t="str">
        <x:v>Role</x:v>
      </x:c>
      <x:c r="C5" s="8" t="str">
        <x:v>Truth root</x:v>
      </x:c>
      <x:c r="D5" s="8" t="str">
        <x:v>Lineage</x:v>
      </x:c>
      <x:c r="E5" s="8" t="str">
        <x:v>Campus</x:v>
      </x:c>
      <x:c r="F5" s="8" t="str">
        <x:v>Exact cell</x:v>
      </x:c>
      <x:c r="G5" s="8" t="str">
        <x:v>Geometry</x:v>
      </x:c>
      <x:c r="H5" s="8" t="str">
        <x:v>Custody</x:v>
      </x:c>
      <x:c r="I5" s="8" t="str">
        <x:v>Evidence</x:v>
      </x:c>
      <x:c r="J5" s="8" t="str">
        <x:v>Safeing</x:v>
      </x:c>
      <x:c r="K5" s="8" t="str">
        <x:v>Qualification passes</x:v>
      </x:c>
      <x:c r="L5" s="8" t="str">
        <x:v>State</x:v>
      </x:c>
    </x:row>
    <x:row r="6">
      <x:c r="A6" s="10" t="str">
        <x:v>WRM-01</x:v>
      </x:c>
      <x:c r="B6" s="10" t="str">
        <x:v>ACTIVE</x:v>
      </x:c>
      <x:c r="C6" s="10" t="str">
        <x:v>WTR-G</x:v>
      </x:c>
      <x:c r="D6" s="10" t="str">
        <x:v>BL-A</x:v>
      </x:c>
      <x:c r="E6" s="10" t="str">
        <x:v>C-1</x:v>
      </x:c>
      <x:c r="F6" s="10" t="str">
        <x:v>CELL-01</x:v>
      </x:c>
      <x:c r="G6" s="12"/>
      <x:c r="H6" s="12"/>
      <x:c r="I6" s="12"/>
      <x:c r="J6" s="12"/>
      <x:c r="K6" s="10" t="n">
        <x:f>COUNTIFS('Qualification Cycles'!$B$8:$B$71,A6,'Qualification Cycles'!$U$8:$U$71,"PASS")</x:f>
        <x:v>0</x:v>
      </x:c>
      <x:c r="L6" s="10" t="str">
        <x:f>IF(COUNTA(G6:J6)&lt;4,"OPEN",IF(B6="FORENSIC",IF(AND(G6="ACCEPTED",H6="ACCEPTED",I6="ACCEPTED",J6="ACCEPTED"),"PROTECTED","DENY"),IF(AND(G6="ACCEPTED",H6="ACCEPTED",I6="ACCEPTED",J6="ACCEPTED",K6=4,COUNTIFS('Truth Roots'!$A$6:$A$7,C6,'Truth Roots'!$I$6:$I$7,"ACCEPTED")=1),"ACCEPTED","DENY")))</x:f>
        <x:v>OPEN</x:v>
      </x:c>
    </x:row>
    <x:row r="7">
      <x:c r="A7" s="10" t="str">
        <x:v>WRM-02</x:v>
      </x:c>
      <x:c r="B7" s="10" t="str">
        <x:v>ACTIVE</x:v>
      </x:c>
      <x:c r="C7" s="10" t="str">
        <x:v>WTR-V</x:v>
      </x:c>
      <x:c r="D7" s="10" t="str">
        <x:v>BL-B</x:v>
      </x:c>
      <x:c r="E7" s="10" t="str">
        <x:v>C-1</x:v>
      </x:c>
      <x:c r="F7" s="10" t="str">
        <x:v>CELL-02</x:v>
      </x:c>
      <x:c r="G7" s="12"/>
      <x:c r="H7" s="12"/>
      <x:c r="I7" s="12"/>
      <x:c r="J7" s="12"/>
      <x:c r="K7" s="10" t="n">
        <x:f>COUNTIFS('Qualification Cycles'!$B$8:$B$71,A7,'Qualification Cycles'!$U$8:$U$71,"PASS")</x:f>
        <x:v>0</x:v>
      </x:c>
      <x:c r="L7" s="10" t="str">
        <x:f>IF(COUNTA(G7:J7)&lt;4,"OPEN",IF(B7="FORENSIC",IF(AND(G7="ACCEPTED",H7="ACCEPTED",I7="ACCEPTED",J7="ACCEPTED"),"PROTECTED","DENY"),IF(AND(G7="ACCEPTED",H7="ACCEPTED",I7="ACCEPTED",J7="ACCEPTED",K7=4,COUNTIFS('Truth Roots'!$A$6:$A$7,C7,'Truth Roots'!$I$6:$I$7,"ACCEPTED")=1),"ACCEPTED","DENY")))</x:f>
        <x:v>OPEN</x:v>
      </x:c>
    </x:row>
    <x:row r="8">
      <x:c r="A8" s="10" t="str">
        <x:v>WRM-03</x:v>
      </x:c>
      <x:c r="B8" s="10" t="str">
        <x:v>ACTIVE</x:v>
      </x:c>
      <x:c r="C8" s="10" t="str">
        <x:v>WTR-G</x:v>
      </x:c>
      <x:c r="D8" s="10" t="str">
        <x:v>BL-B</x:v>
      </x:c>
      <x:c r="E8" s="10" t="str">
        <x:v>C-1</x:v>
      </x:c>
      <x:c r="F8" s="10" t="str">
        <x:v>CELL-03</x:v>
      </x:c>
      <x:c r="G8" s="12"/>
      <x:c r="H8" s="12"/>
      <x:c r="I8" s="12"/>
      <x:c r="J8" s="12"/>
      <x:c r="K8" s="10" t="n">
        <x:f>COUNTIFS('Qualification Cycles'!$B$8:$B$71,A8,'Qualification Cycles'!$U$8:$U$71,"PASS")</x:f>
        <x:v>0</x:v>
      </x:c>
      <x:c r="L8" s="10" t="str">
        <x:f>IF(COUNTA(G8:J8)&lt;4,"OPEN",IF(B8="FORENSIC",IF(AND(G8="ACCEPTED",H8="ACCEPTED",I8="ACCEPTED",J8="ACCEPTED"),"PROTECTED","DENY"),IF(AND(G8="ACCEPTED",H8="ACCEPTED",I8="ACCEPTED",J8="ACCEPTED",K8=4,COUNTIFS('Truth Roots'!$A$6:$A$7,C8,'Truth Roots'!$I$6:$I$7,"ACCEPTED")=1),"ACCEPTED","DENY")))</x:f>
        <x:v>OPEN</x:v>
      </x:c>
    </x:row>
    <x:row r="9">
      <x:c r="A9" s="10" t="str">
        <x:v>WRM-04</x:v>
      </x:c>
      <x:c r="B9" s="10" t="str">
        <x:v>ACTIVE</x:v>
      </x:c>
      <x:c r="C9" s="10" t="str">
        <x:v>WTR-V</x:v>
      </x:c>
      <x:c r="D9" s="10" t="str">
        <x:v>BL-A</x:v>
      </x:c>
      <x:c r="E9" s="10" t="str">
        <x:v>C-1</x:v>
      </x:c>
      <x:c r="F9" s="10" t="str">
        <x:v>CELL-04</x:v>
      </x:c>
      <x:c r="G9" s="12"/>
      <x:c r="H9" s="12"/>
      <x:c r="I9" s="12"/>
      <x:c r="J9" s="12"/>
      <x:c r="K9" s="10" t="n">
        <x:f>COUNTIFS('Qualification Cycles'!$B$8:$B$71,A9,'Qualification Cycles'!$U$8:$U$71,"PASS")</x:f>
        <x:v>0</x:v>
      </x:c>
      <x:c r="L9" s="10" t="str">
        <x:f>IF(COUNTA(G9:J9)&lt;4,"OPEN",IF(B9="FORENSIC",IF(AND(G9="ACCEPTED",H9="ACCEPTED",I9="ACCEPTED",J9="ACCEPTED"),"PROTECTED","DENY"),IF(AND(G9="ACCEPTED",H9="ACCEPTED",I9="ACCEPTED",J9="ACCEPTED",K9=4,COUNTIFS('Truth Roots'!$A$6:$A$7,C9,'Truth Roots'!$I$6:$I$7,"ACCEPTED")=1),"ACCEPTED","DENY")))</x:f>
        <x:v>OPEN</x:v>
      </x:c>
    </x:row>
    <x:row r="10">
      <x:c r="A10" s="10" t="str">
        <x:v>WRM-05</x:v>
      </x:c>
      <x:c r="B10" s="10" t="str">
        <x:v>ACTIVE</x:v>
      </x:c>
      <x:c r="C10" s="10" t="str">
        <x:v>WTR-G</x:v>
      </x:c>
      <x:c r="D10" s="10" t="str">
        <x:v>BL-A</x:v>
      </x:c>
      <x:c r="E10" s="10" t="str">
        <x:v>C-2</x:v>
      </x:c>
      <x:c r="F10" s="10" t="str">
        <x:v>CELL-05</x:v>
      </x:c>
      <x:c r="G10" s="12"/>
      <x:c r="H10" s="12"/>
      <x:c r="I10" s="12"/>
      <x:c r="J10" s="12"/>
      <x:c r="K10" s="10" t="n">
        <x:f>COUNTIFS('Qualification Cycles'!$B$8:$B$71,A10,'Qualification Cycles'!$U$8:$U$71,"PASS")</x:f>
        <x:v>0</x:v>
      </x:c>
      <x:c r="L10" s="10" t="str">
        <x:f>IF(COUNTA(G10:J10)&lt;4,"OPEN",IF(B10="FORENSIC",IF(AND(G10="ACCEPTED",H10="ACCEPTED",I10="ACCEPTED",J10="ACCEPTED"),"PROTECTED","DENY"),IF(AND(G10="ACCEPTED",H10="ACCEPTED",I10="ACCEPTED",J10="ACCEPTED",K10=4,COUNTIFS('Truth Roots'!$A$6:$A$7,C10,'Truth Roots'!$I$6:$I$7,"ACCEPTED")=1),"ACCEPTED","DENY")))</x:f>
        <x:v>OPEN</x:v>
      </x:c>
    </x:row>
    <x:row r="11">
      <x:c r="A11" s="10" t="str">
        <x:v>WRM-06</x:v>
      </x:c>
      <x:c r="B11" s="10" t="str">
        <x:v>ACTIVE</x:v>
      </x:c>
      <x:c r="C11" s="10" t="str">
        <x:v>WTR-V</x:v>
      </x:c>
      <x:c r="D11" s="10" t="str">
        <x:v>BL-B</x:v>
      </x:c>
      <x:c r="E11" s="10" t="str">
        <x:v>C-2</x:v>
      </x:c>
      <x:c r="F11" s="10" t="str">
        <x:v>CELL-06</x:v>
      </x:c>
      <x:c r="G11" s="12"/>
      <x:c r="H11" s="12"/>
      <x:c r="I11" s="12"/>
      <x:c r="J11" s="12"/>
      <x:c r="K11" s="10" t="n">
        <x:f>COUNTIFS('Qualification Cycles'!$B$8:$B$71,A11,'Qualification Cycles'!$U$8:$U$71,"PASS")</x:f>
        <x:v>0</x:v>
      </x:c>
      <x:c r="L11" s="10" t="str">
        <x:f>IF(COUNTA(G11:J11)&lt;4,"OPEN",IF(B11="FORENSIC",IF(AND(G11="ACCEPTED",H11="ACCEPTED",I11="ACCEPTED",J11="ACCEPTED"),"PROTECTED","DENY"),IF(AND(G11="ACCEPTED",H11="ACCEPTED",I11="ACCEPTED",J11="ACCEPTED",K11=4,COUNTIFS('Truth Roots'!$A$6:$A$7,C11,'Truth Roots'!$I$6:$I$7,"ACCEPTED")=1),"ACCEPTED","DENY")))</x:f>
        <x:v>OPEN</x:v>
      </x:c>
    </x:row>
    <x:row r="12">
      <x:c r="A12" s="10" t="str">
        <x:v>WRM-07</x:v>
      </x:c>
      <x:c r="B12" s="10" t="str">
        <x:v>ACTIVE</x:v>
      </x:c>
      <x:c r="C12" s="10" t="str">
        <x:v>WTR-G</x:v>
      </x:c>
      <x:c r="D12" s="10" t="str">
        <x:v>BL-B</x:v>
      </x:c>
      <x:c r="E12" s="10" t="str">
        <x:v>C-2</x:v>
      </x:c>
      <x:c r="F12" s="10" t="str">
        <x:v>CELL-07</x:v>
      </x:c>
      <x:c r="G12" s="12"/>
      <x:c r="H12" s="12"/>
      <x:c r="I12" s="12"/>
      <x:c r="J12" s="12"/>
      <x:c r="K12" s="10" t="n">
        <x:f>COUNTIFS('Qualification Cycles'!$B$8:$B$71,A12,'Qualification Cycles'!$U$8:$U$71,"PASS")</x:f>
        <x:v>0</x:v>
      </x:c>
      <x:c r="L12" s="10" t="str">
        <x:f>IF(COUNTA(G12:J12)&lt;4,"OPEN",IF(B12="FORENSIC",IF(AND(G12="ACCEPTED",H12="ACCEPTED",I12="ACCEPTED",J12="ACCEPTED"),"PROTECTED","DENY"),IF(AND(G12="ACCEPTED",H12="ACCEPTED",I12="ACCEPTED",J12="ACCEPTED",K12=4,COUNTIFS('Truth Roots'!$A$6:$A$7,C12,'Truth Roots'!$I$6:$I$7,"ACCEPTED")=1),"ACCEPTED","DENY")))</x:f>
        <x:v>OPEN</x:v>
      </x:c>
    </x:row>
    <x:row r="13">
      <x:c r="A13" s="10" t="str">
        <x:v>WRM-08</x:v>
      </x:c>
      <x:c r="B13" s="10" t="str">
        <x:v>ACTIVE</x:v>
      </x:c>
      <x:c r="C13" s="10" t="str">
        <x:v>WTR-V</x:v>
      </x:c>
      <x:c r="D13" s="10" t="str">
        <x:v>BL-A</x:v>
      </x:c>
      <x:c r="E13" s="10" t="str">
        <x:v>C-2</x:v>
      </x:c>
      <x:c r="F13" s="10" t="str">
        <x:v>CELL-08</x:v>
      </x:c>
      <x:c r="G13" s="12"/>
      <x:c r="H13" s="12"/>
      <x:c r="I13" s="12"/>
      <x:c r="J13" s="12"/>
      <x:c r="K13" s="10" t="n">
        <x:f>COUNTIFS('Qualification Cycles'!$B$8:$B$71,A13,'Qualification Cycles'!$U$8:$U$71,"PASS")</x:f>
        <x:v>0</x:v>
      </x:c>
      <x:c r="L13" s="10" t="str">
        <x:f>IF(COUNTA(G13:J13)&lt;4,"OPEN",IF(B13="FORENSIC",IF(AND(G13="ACCEPTED",H13="ACCEPTED",I13="ACCEPTED",J13="ACCEPTED"),"PROTECTED","DENY"),IF(AND(G13="ACCEPTED",H13="ACCEPTED",I13="ACCEPTED",J13="ACCEPTED",K13=4,COUNTIFS('Truth Roots'!$A$6:$A$7,C13,'Truth Roots'!$I$6:$I$7,"ACCEPTED")=1),"ACCEPTED","DENY")))</x:f>
        <x:v>OPEN</x:v>
      </x:c>
    </x:row>
    <x:row r="14">
      <x:c r="A14" s="10" t="str">
        <x:v>WRM-09</x:v>
      </x:c>
      <x:c r="B14" s="10" t="str">
        <x:v>ACTIVE</x:v>
      </x:c>
      <x:c r="C14" s="10" t="str">
        <x:v>WTR-G</x:v>
      </x:c>
      <x:c r="D14" s="10" t="str">
        <x:v>BL-A</x:v>
      </x:c>
      <x:c r="E14" s="10" t="str">
        <x:v>C-3</x:v>
      </x:c>
      <x:c r="F14" s="10" t="str">
        <x:v>CELL-09</x:v>
      </x:c>
      <x:c r="G14" s="12"/>
      <x:c r="H14" s="12"/>
      <x:c r="I14" s="12"/>
      <x:c r="J14" s="12"/>
      <x:c r="K14" s="10" t="n">
        <x:f>COUNTIFS('Qualification Cycles'!$B$8:$B$71,A14,'Qualification Cycles'!$U$8:$U$71,"PASS")</x:f>
        <x:v>0</x:v>
      </x:c>
      <x:c r="L14" s="10" t="str">
        <x:f>IF(COUNTA(G14:J14)&lt;4,"OPEN",IF(B14="FORENSIC",IF(AND(G14="ACCEPTED",H14="ACCEPTED",I14="ACCEPTED",J14="ACCEPTED"),"PROTECTED","DENY"),IF(AND(G14="ACCEPTED",H14="ACCEPTED",I14="ACCEPTED",J14="ACCEPTED",K14=4,COUNTIFS('Truth Roots'!$A$6:$A$7,C14,'Truth Roots'!$I$6:$I$7,"ACCEPTED")=1),"ACCEPTED","DENY")))</x:f>
        <x:v>OPEN</x:v>
      </x:c>
    </x:row>
    <x:row r="15">
      <x:c r="A15" s="10" t="str">
        <x:v>WRM-10</x:v>
      </x:c>
      <x:c r="B15" s="10" t="str">
        <x:v>ACTIVE</x:v>
      </x:c>
      <x:c r="C15" s="10" t="str">
        <x:v>WTR-V</x:v>
      </x:c>
      <x:c r="D15" s="10" t="str">
        <x:v>BL-B</x:v>
      </x:c>
      <x:c r="E15" s="10" t="str">
        <x:v>C-3</x:v>
      </x:c>
      <x:c r="F15" s="10" t="str">
        <x:v>CELL-10</x:v>
      </x:c>
      <x:c r="G15" s="12"/>
      <x:c r="H15" s="12"/>
      <x:c r="I15" s="12"/>
      <x:c r="J15" s="12"/>
      <x:c r="K15" s="10" t="n">
        <x:f>COUNTIFS('Qualification Cycles'!$B$8:$B$71,A15,'Qualification Cycles'!$U$8:$U$71,"PASS")</x:f>
        <x:v>0</x:v>
      </x:c>
      <x:c r="L15" s="10" t="str">
        <x:f>IF(COUNTA(G15:J15)&lt;4,"OPEN",IF(B15="FORENSIC",IF(AND(G15="ACCEPTED",H15="ACCEPTED",I15="ACCEPTED",J15="ACCEPTED"),"PROTECTED","DENY"),IF(AND(G15="ACCEPTED",H15="ACCEPTED",I15="ACCEPTED",J15="ACCEPTED",K15=4,COUNTIFS('Truth Roots'!$A$6:$A$7,C15,'Truth Roots'!$I$6:$I$7,"ACCEPTED")=1),"ACCEPTED","DENY")))</x:f>
        <x:v>OPEN</x:v>
      </x:c>
    </x:row>
    <x:row r="16">
      <x:c r="A16" s="10" t="str">
        <x:v>WRM-11</x:v>
      </x:c>
      <x:c r="B16" s="10" t="str">
        <x:v>ACTIVE</x:v>
      </x:c>
      <x:c r="C16" s="10" t="str">
        <x:v>WTR-G</x:v>
      </x:c>
      <x:c r="D16" s="10" t="str">
        <x:v>BL-B</x:v>
      </x:c>
      <x:c r="E16" s="10" t="str">
        <x:v>C-3</x:v>
      </x:c>
      <x:c r="F16" s="10" t="str">
        <x:v>CELL-11</x:v>
      </x:c>
      <x:c r="G16" s="12"/>
      <x:c r="H16" s="12"/>
      <x:c r="I16" s="12"/>
      <x:c r="J16" s="12"/>
      <x:c r="K16" s="10" t="n">
        <x:f>COUNTIFS('Qualification Cycles'!$B$8:$B$71,A16,'Qualification Cycles'!$U$8:$U$71,"PASS")</x:f>
        <x:v>0</x:v>
      </x:c>
      <x:c r="L16" s="10" t="str">
        <x:f>IF(COUNTA(G16:J16)&lt;4,"OPEN",IF(B16="FORENSIC",IF(AND(G16="ACCEPTED",H16="ACCEPTED",I16="ACCEPTED",J16="ACCEPTED"),"PROTECTED","DENY"),IF(AND(G16="ACCEPTED",H16="ACCEPTED",I16="ACCEPTED",J16="ACCEPTED",K16=4,COUNTIFS('Truth Roots'!$A$6:$A$7,C16,'Truth Roots'!$I$6:$I$7,"ACCEPTED")=1),"ACCEPTED","DENY")))</x:f>
        <x:v>OPEN</x:v>
      </x:c>
    </x:row>
    <x:row r="17">
      <x:c r="A17" s="10" t="str">
        <x:v>WRM-12</x:v>
      </x:c>
      <x:c r="B17" s="10" t="str">
        <x:v>ACTIVE</x:v>
      </x:c>
      <x:c r="C17" s="10" t="str">
        <x:v>WTR-V</x:v>
      </x:c>
      <x:c r="D17" s="10" t="str">
        <x:v>BL-A</x:v>
      </x:c>
      <x:c r="E17" s="10" t="str">
        <x:v>C-3</x:v>
      </x:c>
      <x:c r="F17" s="10" t="str">
        <x:v>CELL-12</x:v>
      </x:c>
      <x:c r="G17" s="12"/>
      <x:c r="H17" s="12"/>
      <x:c r="I17" s="12"/>
      <x:c r="J17" s="12"/>
      <x:c r="K17" s="10" t="n">
        <x:f>COUNTIFS('Qualification Cycles'!$B$8:$B$71,A17,'Qualification Cycles'!$U$8:$U$71,"PASS")</x:f>
        <x:v>0</x:v>
      </x:c>
      <x:c r="L17" s="10" t="str">
        <x:f>IF(COUNTA(G17:J17)&lt;4,"OPEN",IF(B17="FORENSIC",IF(AND(G17="ACCEPTED",H17="ACCEPTED",I17="ACCEPTED",J17="ACCEPTED"),"PROTECTED","DENY"),IF(AND(G17="ACCEPTED",H17="ACCEPTED",I17="ACCEPTED",J17="ACCEPTED",K17=4,COUNTIFS('Truth Roots'!$A$6:$A$7,C17,'Truth Roots'!$I$6:$I$7,"ACCEPTED")=1),"ACCEPTED","DENY")))</x:f>
        <x:v>OPEN</x:v>
      </x:c>
    </x:row>
    <x:row r="18">
      <x:c r="A18" s="10" t="str">
        <x:v>WRM-13</x:v>
      </x:c>
      <x:c r="B18" s="10" t="str">
        <x:v>OPERATIONAL SPARE</x:v>
      </x:c>
      <x:c r="C18" s="10" t="str">
        <x:v>WTR-G</x:v>
      </x:c>
      <x:c r="D18" s="10" t="str">
        <x:v>BL-A</x:v>
      </x:c>
      <x:c r="E18" s="10" t="str">
        <x:v>C-1</x:v>
      </x:c>
      <x:c r="F18" s="10"/>
      <x:c r="G18" s="12"/>
      <x:c r="H18" s="12"/>
      <x:c r="I18" s="12"/>
      <x:c r="J18" s="12"/>
      <x:c r="K18" s="10" t="n">
        <x:f>COUNTIFS('Qualification Cycles'!$B$8:$B$71,A18,'Qualification Cycles'!$U$8:$U$71,"PASS")</x:f>
        <x:v>0</x:v>
      </x:c>
      <x:c r="L18" s="10" t="str">
        <x:f>IF(COUNTA(G18:J18)&lt;4,"OPEN",IF(B18="FORENSIC",IF(AND(G18="ACCEPTED",H18="ACCEPTED",I18="ACCEPTED",J18="ACCEPTED"),"PROTECTED","DENY"),IF(AND(G18="ACCEPTED",H18="ACCEPTED",I18="ACCEPTED",J18="ACCEPTED",K18=4,COUNTIFS('Truth Roots'!$A$6:$A$7,C18,'Truth Roots'!$I$6:$I$7,"ACCEPTED")=1),"ACCEPTED","DENY")))</x:f>
        <x:v>OPEN</x:v>
      </x:c>
    </x:row>
    <x:row r="19">
      <x:c r="A19" s="10" t="str">
        <x:v>WRM-14</x:v>
      </x:c>
      <x:c r="B19" s="10" t="str">
        <x:v>OPERATIONAL SPARE</x:v>
      </x:c>
      <x:c r="C19" s="10" t="str">
        <x:v>WTR-G</x:v>
      </x:c>
      <x:c r="D19" s="10" t="str">
        <x:v>BL-B</x:v>
      </x:c>
      <x:c r="E19" s="10" t="str">
        <x:v>C-2</x:v>
      </x:c>
      <x:c r="F19" s="10"/>
      <x:c r="G19" s="12"/>
      <x:c r="H19" s="12"/>
      <x:c r="I19" s="12"/>
      <x:c r="J19" s="12"/>
      <x:c r="K19" s="10" t="n">
        <x:f>COUNTIFS('Qualification Cycles'!$B$8:$B$71,A19,'Qualification Cycles'!$U$8:$U$71,"PASS")</x:f>
        <x:v>0</x:v>
      </x:c>
      <x:c r="L19" s="10" t="str">
        <x:f>IF(COUNTA(G19:J19)&lt;4,"OPEN",IF(B19="FORENSIC",IF(AND(G19="ACCEPTED",H19="ACCEPTED",I19="ACCEPTED",J19="ACCEPTED"),"PROTECTED","DENY"),IF(AND(G19="ACCEPTED",H19="ACCEPTED",I19="ACCEPTED",J19="ACCEPTED",K19=4,COUNTIFS('Truth Roots'!$A$6:$A$7,C19,'Truth Roots'!$I$6:$I$7,"ACCEPTED")=1),"ACCEPTED","DENY")))</x:f>
        <x:v>OPEN</x:v>
      </x:c>
    </x:row>
    <x:row r="20">
      <x:c r="A20" s="10" t="str">
        <x:v>WRM-15</x:v>
      </x:c>
      <x:c r="B20" s="10" t="str">
        <x:v>OPERATIONAL SPARE</x:v>
      </x:c>
      <x:c r="C20" s="10" t="str">
        <x:v>WTR-V</x:v>
      </x:c>
      <x:c r="D20" s="10" t="str">
        <x:v>BL-A</x:v>
      </x:c>
      <x:c r="E20" s="10" t="str">
        <x:v>C-3</x:v>
      </x:c>
      <x:c r="F20" s="10"/>
      <x:c r="G20" s="12"/>
      <x:c r="H20" s="12"/>
      <x:c r="I20" s="12"/>
      <x:c r="J20" s="12"/>
      <x:c r="K20" s="10" t="n">
        <x:f>COUNTIFS('Qualification Cycles'!$B$8:$B$71,A20,'Qualification Cycles'!$U$8:$U$71,"PASS")</x:f>
        <x:v>0</x:v>
      </x:c>
      <x:c r="L20" s="10" t="str">
        <x:f>IF(COUNTA(G20:J20)&lt;4,"OPEN",IF(B20="FORENSIC",IF(AND(G20="ACCEPTED",H20="ACCEPTED",I20="ACCEPTED",J20="ACCEPTED"),"PROTECTED","DENY"),IF(AND(G20="ACCEPTED",H20="ACCEPTED",I20="ACCEPTED",J20="ACCEPTED",K20=4,COUNTIFS('Truth Roots'!$A$6:$A$7,C20,'Truth Roots'!$I$6:$I$7,"ACCEPTED")=1),"ACCEPTED","DENY")))</x:f>
        <x:v>OPEN</x:v>
      </x:c>
    </x:row>
    <x:row r="21">
      <x:c r="A21" s="10" t="str">
        <x:v>WRM-16</x:v>
      </x:c>
      <x:c r="B21" s="10" t="str">
        <x:v>OPERATIONAL SPARE</x:v>
      </x:c>
      <x:c r="C21" s="10" t="str">
        <x:v>WTR-V</x:v>
      </x:c>
      <x:c r="D21" s="10" t="str">
        <x:v>BL-B</x:v>
      </x:c>
      <x:c r="E21" s="10" t="str">
        <x:v>C-1</x:v>
      </x:c>
      <x:c r="F21" s="10"/>
      <x:c r="G21" s="12"/>
      <x:c r="H21" s="12"/>
      <x:c r="I21" s="12"/>
      <x:c r="J21" s="12"/>
      <x:c r="K21" s="10" t="n">
        <x:f>COUNTIFS('Qualification Cycles'!$B$8:$B$71,A21,'Qualification Cycles'!$U$8:$U$71,"PASS")</x:f>
        <x:v>0</x:v>
      </x:c>
      <x:c r="L21" s="10" t="str">
        <x:f>IF(COUNTA(G21:J21)&lt;4,"OPEN",IF(B21="FORENSIC",IF(AND(G21="ACCEPTED",H21="ACCEPTED",I21="ACCEPTED",J21="ACCEPTED"),"PROTECTED","DENY"),IF(AND(G21="ACCEPTED",H21="ACCEPTED",I21="ACCEPTED",J21="ACCEPTED",K21=4,COUNTIFS('Truth Roots'!$A$6:$A$7,C21,'Truth Roots'!$I$6:$I$7,"ACCEPTED")=1),"ACCEPTED","DENY")))</x:f>
        <x:v>OPEN</x:v>
      </x:c>
    </x:row>
    <x:row r="22">
      <x:c r="A22" s="10" t="str">
        <x:v>WRM-17</x:v>
      </x:c>
      <x:c r="B22" s="10" t="str">
        <x:v>FORENSIC</x:v>
      </x:c>
      <x:c r="C22" s="10" t="str">
        <x:v>WTR-V</x:v>
      </x:c>
      <x:c r="D22" s="10" t="str">
        <x:v>BL-A</x:v>
      </x:c>
      <x:c r="E22" s="10" t="str">
        <x:v>BANK</x:v>
      </x:c>
      <x:c r="F22" s="10"/>
      <x:c r="G22" s="12"/>
      <x:c r="H22" s="12"/>
      <x:c r="I22" s="12"/>
      <x:c r="J22" s="12"/>
      <x:c r="K22" s="10" t="n">
        <x:f>COUNTIFS('Qualification Cycles'!$B$8:$B$71,A22,'Qualification Cycles'!$U$8:$U$71,"PASS")</x:f>
        <x:v>0</x:v>
      </x:c>
      <x:c r="L22" s="10" t="str">
        <x:f>IF(COUNTA(G22:J22)&lt;4,"OPEN",IF(B22="FORENSIC",IF(AND(G22="ACCEPTED",H22="ACCEPTED",I22="ACCEPTED",J22="ACCEPTED"),"PROTECTED","DENY"),IF(AND(G22="ACCEPTED",H22="ACCEPTED",I22="ACCEPTED",J22="ACCEPTED",K22=4,COUNTIFS('Truth Roots'!$A$6:$A$7,C22,'Truth Roots'!$I$6:$I$7,"ACCEPTED")=1),"ACCEPTED","DENY")))</x:f>
        <x:v>OPEN</x:v>
      </x:c>
    </x:row>
    <x:row r="23">
      <x:c r="A23" s="10" t="str">
        <x:v>WRM-18</x:v>
      </x:c>
      <x:c r="B23" s="10" t="str">
        <x:v>FORENSIC</x:v>
      </x:c>
      <x:c r="C23" s="10" t="str">
        <x:v>WTR-V</x:v>
      </x:c>
      <x:c r="D23" s="10" t="str">
        <x:v>BL-B</x:v>
      </x:c>
      <x:c r="E23" s="10" t="str">
        <x:v>BANK</x:v>
      </x:c>
      <x:c r="F23" s="10"/>
      <x:c r="G23" s="12"/>
      <x:c r="H23" s="12"/>
      <x:c r="I23" s="12"/>
      <x:c r="J23" s="12"/>
      <x:c r="K23" s="10" t="n">
        <x:f>COUNTIFS('Qualification Cycles'!$B$8:$B$71,A23,'Qualification Cycles'!$U$8:$U$71,"PASS")</x:f>
        <x:v>0</x:v>
      </x:c>
      <x:c r="L23" s="10" t="str">
        <x:f>IF(COUNTA(G23:J23)&lt;4,"OPEN",IF(B23="FORENSIC",IF(AND(G23="ACCEPTED",H23="ACCEPTED",I23="ACCEPTED",J23="ACCEPTED"),"PROTECTED","DENY"),IF(AND(G23="ACCEPTED",H23="ACCEPTED",I23="ACCEPTED",J23="ACCEPTED",K23=4,COUNTIFS('Truth Roots'!$A$6:$A$7,C23,'Truth Roots'!$I$6:$I$7,"ACCEPTED")=1),"ACCEPTED","DENY")))</x:f>
        <x:v>OPEN</x:v>
      </x:c>
    </x:row>
  </x:sheetData>
  <x:mergeCells>
    <x:mergeCell ref="A2:L2"/>
  </x:mergeCells>
  <x:conditionalFormatting sqref="L6:L23">
    <x:cfRule type="containsText" dxfId="5" priority="1" operator="containsText" text="DENY"/>
    <x:cfRule type="containsText" dxfId="6" priority="2" operator="containsText" text="ADVERSE"/>
    <x:cfRule type="containsText" dxfId="7" priority="3" operator="containsText" text="FAIL"/>
    <x:cfRule type="containsText" dxfId="8" priority="4" operator="containsText" text="OPEN"/>
    <x:cfRule type="containsText" dxfId="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bf38ff6534634e7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1" hidden="0" customWidth="1"/>
    <x:col min="6" max="6" width="25" hidden="0" customWidth="1"/>
    <x:col min="7" max="7" width="16" hidden="0" customWidth="1"/>
    <x:col min="8" max="8" width="20" hidden="0" customWidth="1"/>
    <x:col min="9" max="9" width="18" hidden="0" customWidth="1"/>
    <x:col min="10" max="10" width="16" hidden="0" customWidth="1"/>
    <x:col min="11" max="11" width="18" hidden="0" customWidth="1"/>
    <x:col min="12" max="12" width="19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15" hidden="0" customWidth="1"/>
    <x:col min="18" max="18" width="15" hidden="0" customWidth="1"/>
    <x:col min="19" max="19" width="17" hidden="0" customWidth="1"/>
    <x:col min="20" max="20" width="18" hidden="0" customWidth="1"/>
    <x:col min="21" max="21" width="19" hidden="0" customWidth="1"/>
  </x:cols>
  <x:sheetData>
    <x:row r="2" ht="24" customHeight="1">
      <x:c r="A2" s="1" t="str">
        <x:v>Sixty-four full-volume module cycles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30" customHeight="1">
      <x:c r="A5" s="4" t="str">
        <x:v>Every field is an observation. A valid adverse cycle remains in the denominator and denies the module or challenge.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</x:row>
    <x:row r="7">
      <x:c r="A7" s="8" t="str">
        <x:v>Cycle</x:v>
      </x:c>
      <x:c r="B7" s="8" t="str">
        <x:v>Module</x:v>
      </x:c>
      <x:c r="C7" s="8" t="str">
        <x:v>Truth root</x:v>
      </x:c>
      <x:c r="D7" s="8" t="str">
        <x:v>Lineage</x:v>
      </x:c>
      <x:c r="E7" s="8" t="str">
        <x:v>Campus</x:v>
      </x:c>
      <x:c r="F7" s="8" t="str">
        <x:v>Challenge</x:v>
      </x:c>
      <x:c r="G7" s="8" t="str">
        <x:v>Delivered m³</x:v>
      </x:c>
      <x:c r="H7" s="8" t="str">
        <x:v>Mean flow m³/min</x:v>
      </x:c>
      <x:c r="I7" s="8" t="str">
        <x:v>Duration error s</x:v>
      </x:c>
      <x:c r="J7" s="8" t="str">
        <x:v>Pressure MPa</x:v>
      </x:c>
      <x:c r="K7" s="8" t="str">
        <x:v>Zone coefficient</x:v>
      </x:c>
      <x:c r="L7" s="8" t="str">
        <x:v>Accounted fraction</x:v>
      </x:c>
      <x:c r="M7" s="8" t="str">
        <x:v>Identity recovery</x:v>
      </x:c>
      <x:c r="N7" s="8" t="str">
        <x:v>Unrelated fraction</x:v>
      </x:c>
      <x:c r="O7" s="8" t="str">
        <x:v>Abort cessation s</x:v>
      </x:c>
      <x:c r="P7" s="8" t="str">
        <x:v>Post-abort m³</x:v>
      </x:c>
      <x:c r="Q7" s="8" t="str">
        <x:v>Gates closed</x:v>
      </x:c>
      <x:c r="R7" s="8" t="str">
        <x:v>Records bound</x:v>
      </x:c>
      <x:c r="S7" s="8" t="str">
        <x:v>Safeing paths</x:v>
      </x:c>
      <x:c r="T7" s="8" t="str">
        <x:v>Replay decisions</x:v>
      </x:c>
      <x:c r="U7" s="8" t="str">
        <x:v>State</x:v>
      </x:c>
    </x:row>
    <x:row r="8">
      <x:c r="A8" s="10" t="str">
        <x:v>WQC-001</x:v>
      </x:c>
      <x:c r="B8" s="10" t="str">
        <x:v>WRM-01</x:v>
      </x:c>
      <x:c r="C8" s="10" t="str">
        <x:v>WTR-G</x:v>
      </x:c>
      <x:c r="D8" s="10" t="str">
        <x:v>BL-A</x:v>
      </x:c>
      <x:c r="E8" s="10" t="str">
        <x:v>C-1</x:v>
      </x:c>
      <x:c r="F8" s="10" t="str">
        <x:v>WQ-1 nominal</x:v>
      </x:c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0" t="str">
        <x:f>IF(COUNT(G8:T8)&lt;14,"OPEN",IF(AND(G8&gt;='Assumptions'!$B$32,G8&lt;='Assumptions'!$B$33,H8&gt;='Assumptions'!$B$34,H8&lt;='Assumptions'!$B$35,ABS(I8)&lt;='Assumptions'!$B$37,J8&gt;='Assumptions'!$B$38,J8&lt;='Assumptions'!$B$39,K8&lt;='Assumptions'!$B$40,L8&gt;='Assumptions'!$B$41,M8&gt;='Assumptions'!$B$42,N8&lt;='Assumptions'!$B$43,O8&lt;='Assumptions'!$B$46,P8&lt;='Assumptions'!$B$47,Q8=32,R8=128,S8='Assumptions'!$B$52,T8=4),"PASS","VALID-ADVERSE"))</x:f>
        <x:v>OPEN</x:v>
      </x:c>
    </x:row>
    <x:row r="9">
      <x:c r="A9" s="10" t="str">
        <x:v>WQC-002</x:v>
      </x:c>
      <x:c r="B9" s="10" t="str">
        <x:v>WRM-01</x:v>
      </x:c>
      <x:c r="C9" s="10" t="str">
        <x:v>WTR-G</x:v>
      </x:c>
      <x:c r="D9" s="10" t="str">
        <x:v>BL-A</x:v>
      </x:c>
      <x:c r="E9" s="10" t="str">
        <x:v>C-1</x:v>
      </x:c>
      <x:c r="F9" s="10" t="str">
        <x:v>WQ-2 return restricted</x:v>
      </x:c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0" t="str">
        <x:f>IF(COUNT(G9:T9)&lt;14,"OPEN",IF(AND(G9&gt;='Assumptions'!$B$32,G9&lt;='Assumptions'!$B$33,H9&gt;='Assumptions'!$B$34,H9&lt;='Assumptions'!$B$35,ABS(I9)&lt;='Assumptions'!$B$37,J9&gt;='Assumptions'!$B$38,J9&lt;='Assumptions'!$B$39,K9&lt;='Assumptions'!$B$40,L9&gt;='Assumptions'!$B$41,M9&gt;='Assumptions'!$B$42,N9&lt;='Assumptions'!$B$43,O9&lt;='Assumptions'!$B$46,P9&lt;='Assumptions'!$B$47,Q9=32,R9=128,S9='Assumptions'!$B$52,T9=4),"PASS","VALID-ADVERSE"))</x:f>
        <x:v>OPEN</x:v>
      </x:c>
    </x:row>
    <x:row r="10">
      <x:c r="A10" s="10" t="str">
        <x:v>WQC-003</x:v>
      </x:c>
      <x:c r="B10" s="10" t="str">
        <x:v>WRM-01</x:v>
      </x:c>
      <x:c r="C10" s="10" t="str">
        <x:v>WTR-G</x:v>
      </x:c>
      <x:c r="D10" s="10" t="str">
        <x:v>BL-A</x:v>
      </x:c>
      <x:c r="E10" s="10" t="str">
        <x:v>C-1</x:v>
      </x:c>
      <x:c r="F10" s="10" t="str">
        <x:v>WQ-3 network/time denied</x:v>
      </x:c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0" t="str">
        <x:f>IF(COUNT(G10:T10)&lt;14,"OPEN",IF(AND(G10&gt;='Assumptions'!$B$32,G10&lt;='Assumptions'!$B$33,H10&gt;='Assumptions'!$B$34,H10&lt;='Assumptions'!$B$35,ABS(I10)&lt;='Assumptions'!$B$37,J10&gt;='Assumptions'!$B$38,J10&lt;='Assumptions'!$B$39,K10&lt;='Assumptions'!$B$40,L10&gt;='Assumptions'!$B$41,M10&gt;='Assumptions'!$B$42,N10&lt;='Assumptions'!$B$43,O10&lt;='Assumptions'!$B$46,P10&lt;='Assumptions'!$B$47,Q10=32,R10=128,S10='Assumptions'!$B$52,T10=4),"PASS","VALID-ADVERSE"))</x:f>
        <x:v>OPEN</x:v>
      </x:c>
    </x:row>
    <x:row r="11">
      <x:c r="A11" s="10" t="str">
        <x:v>WQC-004</x:v>
      </x:c>
      <x:c r="B11" s="10" t="str">
        <x:v>WRM-01</x:v>
      </x:c>
      <x:c r="C11" s="10" t="str">
        <x:v>WTR-G</x:v>
      </x:c>
      <x:c r="D11" s="10" t="str">
        <x:v>BL-A</x:v>
      </x:c>
      <x:c r="E11" s="10" t="str">
        <x:v>C-1</x:v>
      </x:c>
      <x:c r="F11" s="10" t="str">
        <x:v>WQ-4 abort/diversion</x:v>
      </x:c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0" t="str">
        <x:f>IF(COUNT(G11:T11)&lt;14,"OPEN",IF(AND(G11&gt;='Assumptions'!$B$32,G11&lt;='Assumptions'!$B$33,H11&gt;='Assumptions'!$B$34,H11&lt;='Assumptions'!$B$35,ABS(I11)&lt;='Assumptions'!$B$37,J11&gt;='Assumptions'!$B$38,J11&lt;='Assumptions'!$B$39,K11&lt;='Assumptions'!$B$40,L11&gt;='Assumptions'!$B$41,M11&gt;='Assumptions'!$B$42,N11&lt;='Assumptions'!$B$43,O11&lt;='Assumptions'!$B$46,P11&lt;='Assumptions'!$B$47,Q11=32,R11=128,S11='Assumptions'!$B$52,T11=4),"PASS","VALID-ADVERSE"))</x:f>
        <x:v>OPEN</x:v>
      </x:c>
    </x:row>
    <x:row r="12">
      <x:c r="A12" s="10" t="str">
        <x:v>WQC-005</x:v>
      </x:c>
      <x:c r="B12" s="10" t="str">
        <x:v>WRM-02</x:v>
      </x:c>
      <x:c r="C12" s="10" t="str">
        <x:v>WTR-V</x:v>
      </x:c>
      <x:c r="D12" s="10" t="str">
        <x:v>BL-B</x:v>
      </x:c>
      <x:c r="E12" s="10" t="str">
        <x:v>C-1</x:v>
      </x:c>
      <x:c r="F12" s="10" t="str">
        <x:v>WQ-1 nominal</x:v>
      </x:c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0" t="str">
        <x:f>IF(COUNT(G12:T12)&lt;14,"OPEN",IF(AND(G12&gt;='Assumptions'!$B$32,G12&lt;='Assumptions'!$B$33,H12&gt;='Assumptions'!$B$34,H12&lt;='Assumptions'!$B$35,ABS(I12)&lt;='Assumptions'!$B$37,J12&gt;='Assumptions'!$B$38,J12&lt;='Assumptions'!$B$39,K12&lt;='Assumptions'!$B$40,L12&gt;='Assumptions'!$B$41,M12&gt;='Assumptions'!$B$42,N12&lt;='Assumptions'!$B$43,O12&lt;='Assumptions'!$B$46,P12&lt;='Assumptions'!$B$47,Q12=32,R12=128,S12='Assumptions'!$B$52,T12=4),"PASS","VALID-ADVERSE"))</x:f>
        <x:v>OPEN</x:v>
      </x:c>
    </x:row>
    <x:row r="13">
      <x:c r="A13" s="10" t="str">
        <x:v>WQC-006</x:v>
      </x:c>
      <x:c r="B13" s="10" t="str">
        <x:v>WRM-02</x:v>
      </x:c>
      <x:c r="C13" s="10" t="str">
        <x:v>WTR-V</x:v>
      </x:c>
      <x:c r="D13" s="10" t="str">
        <x:v>BL-B</x:v>
      </x:c>
      <x:c r="E13" s="10" t="str">
        <x:v>C-1</x:v>
      </x:c>
      <x:c r="F13" s="10" t="str">
        <x:v>WQ-2 return restricted</x:v>
      </x:c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0" t="str">
        <x:f>IF(COUNT(G13:T13)&lt;14,"OPEN",IF(AND(G13&gt;='Assumptions'!$B$32,G13&lt;='Assumptions'!$B$33,H13&gt;='Assumptions'!$B$34,H13&lt;='Assumptions'!$B$35,ABS(I13)&lt;='Assumptions'!$B$37,J13&gt;='Assumptions'!$B$38,J13&lt;='Assumptions'!$B$39,K13&lt;='Assumptions'!$B$40,L13&gt;='Assumptions'!$B$41,M13&gt;='Assumptions'!$B$42,N13&lt;='Assumptions'!$B$43,O13&lt;='Assumptions'!$B$46,P13&lt;='Assumptions'!$B$47,Q13=32,R13=128,S13='Assumptions'!$B$52,T13=4),"PASS","VALID-ADVERSE"))</x:f>
        <x:v>OPEN</x:v>
      </x:c>
    </x:row>
    <x:row r="14">
      <x:c r="A14" s="10" t="str">
        <x:v>WQC-007</x:v>
      </x:c>
      <x:c r="B14" s="10" t="str">
        <x:v>WRM-02</x:v>
      </x:c>
      <x:c r="C14" s="10" t="str">
        <x:v>WTR-V</x:v>
      </x:c>
      <x:c r="D14" s="10" t="str">
        <x:v>BL-B</x:v>
      </x:c>
      <x:c r="E14" s="10" t="str">
        <x:v>C-1</x:v>
      </x:c>
      <x:c r="F14" s="10" t="str">
        <x:v>WQ-3 network/time denied</x:v>
      </x:c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0" t="str">
        <x:f>IF(COUNT(G14:T14)&lt;14,"OPEN",IF(AND(G14&gt;='Assumptions'!$B$32,G14&lt;='Assumptions'!$B$33,H14&gt;='Assumptions'!$B$34,H14&lt;='Assumptions'!$B$35,ABS(I14)&lt;='Assumptions'!$B$37,J14&gt;='Assumptions'!$B$38,J14&lt;='Assumptions'!$B$39,K14&lt;='Assumptions'!$B$40,L14&gt;='Assumptions'!$B$41,M14&gt;='Assumptions'!$B$42,N14&lt;='Assumptions'!$B$43,O14&lt;='Assumptions'!$B$46,P14&lt;='Assumptions'!$B$47,Q14=32,R14=128,S14='Assumptions'!$B$52,T14=4),"PASS","VALID-ADVERSE"))</x:f>
        <x:v>OPEN</x:v>
      </x:c>
    </x:row>
    <x:row r="15">
      <x:c r="A15" s="10" t="str">
        <x:v>WQC-008</x:v>
      </x:c>
      <x:c r="B15" s="10" t="str">
        <x:v>WRM-02</x:v>
      </x:c>
      <x:c r="C15" s="10" t="str">
        <x:v>WTR-V</x:v>
      </x:c>
      <x:c r="D15" s="10" t="str">
        <x:v>BL-B</x:v>
      </x:c>
      <x:c r="E15" s="10" t="str">
        <x:v>C-1</x:v>
      </x:c>
      <x:c r="F15" s="10" t="str">
        <x:v>WQ-4 abort/diversion</x:v>
      </x:c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0" t="str">
        <x:f>IF(COUNT(G15:T15)&lt;14,"OPEN",IF(AND(G15&gt;='Assumptions'!$B$32,G15&lt;='Assumptions'!$B$33,H15&gt;='Assumptions'!$B$34,H15&lt;='Assumptions'!$B$35,ABS(I15)&lt;='Assumptions'!$B$37,J15&gt;='Assumptions'!$B$38,J15&lt;='Assumptions'!$B$39,K15&lt;='Assumptions'!$B$40,L15&gt;='Assumptions'!$B$41,M15&gt;='Assumptions'!$B$42,N15&lt;='Assumptions'!$B$43,O15&lt;='Assumptions'!$B$46,P15&lt;='Assumptions'!$B$47,Q15=32,R15=128,S15='Assumptions'!$B$52,T15=4),"PASS","VALID-ADVERSE"))</x:f>
        <x:v>OPEN</x:v>
      </x:c>
    </x:row>
    <x:row r="16">
      <x:c r="A16" s="10" t="str">
        <x:v>WQC-009</x:v>
      </x:c>
      <x:c r="B16" s="10" t="str">
        <x:v>WRM-03</x:v>
      </x:c>
      <x:c r="C16" s="10" t="str">
        <x:v>WTR-G</x:v>
      </x:c>
      <x:c r="D16" s="10" t="str">
        <x:v>BL-B</x:v>
      </x:c>
      <x:c r="E16" s="10" t="str">
        <x:v>C-1</x:v>
      </x:c>
      <x:c r="F16" s="10" t="str">
        <x:v>WQ-1 nominal</x:v>
      </x:c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0" t="str">
        <x:f>IF(COUNT(G16:T16)&lt;14,"OPEN",IF(AND(G16&gt;='Assumptions'!$B$32,G16&lt;='Assumptions'!$B$33,H16&gt;='Assumptions'!$B$34,H16&lt;='Assumptions'!$B$35,ABS(I16)&lt;='Assumptions'!$B$37,J16&gt;='Assumptions'!$B$38,J16&lt;='Assumptions'!$B$39,K16&lt;='Assumptions'!$B$40,L16&gt;='Assumptions'!$B$41,M16&gt;='Assumptions'!$B$42,N16&lt;='Assumptions'!$B$43,O16&lt;='Assumptions'!$B$46,P16&lt;='Assumptions'!$B$47,Q16=32,R16=128,S16='Assumptions'!$B$52,T16=4),"PASS","VALID-ADVERSE"))</x:f>
        <x:v>OPEN</x:v>
      </x:c>
    </x:row>
    <x:row r="17">
      <x:c r="A17" s="10" t="str">
        <x:v>WQC-010</x:v>
      </x:c>
      <x:c r="B17" s="10" t="str">
        <x:v>WRM-03</x:v>
      </x:c>
      <x:c r="C17" s="10" t="str">
        <x:v>WTR-G</x:v>
      </x:c>
      <x:c r="D17" s="10" t="str">
        <x:v>BL-B</x:v>
      </x:c>
      <x:c r="E17" s="10" t="str">
        <x:v>C-1</x:v>
      </x:c>
      <x:c r="F17" s="10" t="str">
        <x:v>WQ-2 return restricted</x:v>
      </x:c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0" t="str">
        <x:f>IF(COUNT(G17:T17)&lt;14,"OPEN",IF(AND(G17&gt;='Assumptions'!$B$32,G17&lt;='Assumptions'!$B$33,H17&gt;='Assumptions'!$B$34,H17&lt;='Assumptions'!$B$35,ABS(I17)&lt;='Assumptions'!$B$37,J17&gt;='Assumptions'!$B$38,J17&lt;='Assumptions'!$B$39,K17&lt;='Assumptions'!$B$40,L17&gt;='Assumptions'!$B$41,M17&gt;='Assumptions'!$B$42,N17&lt;='Assumptions'!$B$43,O17&lt;='Assumptions'!$B$46,P17&lt;='Assumptions'!$B$47,Q17=32,R17=128,S17='Assumptions'!$B$52,T17=4),"PASS","VALID-ADVERSE"))</x:f>
        <x:v>OPEN</x:v>
      </x:c>
    </x:row>
    <x:row r="18">
      <x:c r="A18" s="10" t="str">
        <x:v>WQC-011</x:v>
      </x:c>
      <x:c r="B18" s="10" t="str">
        <x:v>WRM-03</x:v>
      </x:c>
      <x:c r="C18" s="10" t="str">
        <x:v>WTR-G</x:v>
      </x:c>
      <x:c r="D18" s="10" t="str">
        <x:v>BL-B</x:v>
      </x:c>
      <x:c r="E18" s="10" t="str">
        <x:v>C-1</x:v>
      </x:c>
      <x:c r="F18" s="10" t="str">
        <x:v>WQ-3 network/time denied</x:v>
      </x:c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0" t="str">
        <x:f>IF(COUNT(G18:T18)&lt;14,"OPEN",IF(AND(G18&gt;='Assumptions'!$B$32,G18&lt;='Assumptions'!$B$33,H18&gt;='Assumptions'!$B$34,H18&lt;='Assumptions'!$B$35,ABS(I18)&lt;='Assumptions'!$B$37,J18&gt;='Assumptions'!$B$38,J18&lt;='Assumptions'!$B$39,K18&lt;='Assumptions'!$B$40,L18&gt;='Assumptions'!$B$41,M18&gt;='Assumptions'!$B$42,N18&lt;='Assumptions'!$B$43,O18&lt;='Assumptions'!$B$46,P18&lt;='Assumptions'!$B$47,Q18=32,R18=128,S18='Assumptions'!$B$52,T18=4),"PASS","VALID-ADVERSE"))</x:f>
        <x:v>OPEN</x:v>
      </x:c>
    </x:row>
    <x:row r="19">
      <x:c r="A19" s="10" t="str">
        <x:v>WQC-012</x:v>
      </x:c>
      <x:c r="B19" s="10" t="str">
        <x:v>WRM-03</x:v>
      </x:c>
      <x:c r="C19" s="10" t="str">
        <x:v>WTR-G</x:v>
      </x:c>
      <x:c r="D19" s="10" t="str">
        <x:v>BL-B</x:v>
      </x:c>
      <x:c r="E19" s="10" t="str">
        <x:v>C-1</x:v>
      </x:c>
      <x:c r="F19" s="10" t="str">
        <x:v>WQ-4 abort/diversion</x:v>
      </x:c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0" t="str">
        <x:f>IF(COUNT(G19:T19)&lt;14,"OPEN",IF(AND(G19&gt;='Assumptions'!$B$32,G19&lt;='Assumptions'!$B$33,H19&gt;='Assumptions'!$B$34,H19&lt;='Assumptions'!$B$35,ABS(I19)&lt;='Assumptions'!$B$37,J19&gt;='Assumptions'!$B$38,J19&lt;='Assumptions'!$B$39,K19&lt;='Assumptions'!$B$40,L19&gt;='Assumptions'!$B$41,M19&gt;='Assumptions'!$B$42,N19&lt;='Assumptions'!$B$43,O19&lt;='Assumptions'!$B$46,P19&lt;='Assumptions'!$B$47,Q19=32,R19=128,S19='Assumptions'!$B$52,T19=4),"PASS","VALID-ADVERSE"))</x:f>
        <x:v>OPEN</x:v>
      </x:c>
    </x:row>
    <x:row r="20">
      <x:c r="A20" s="10" t="str">
        <x:v>WQC-013</x:v>
      </x:c>
      <x:c r="B20" s="10" t="str">
        <x:v>WRM-04</x:v>
      </x:c>
      <x:c r="C20" s="10" t="str">
        <x:v>WTR-V</x:v>
      </x:c>
      <x:c r="D20" s="10" t="str">
        <x:v>BL-A</x:v>
      </x:c>
      <x:c r="E20" s="10" t="str">
        <x:v>C-1</x:v>
      </x:c>
      <x:c r="F20" s="10" t="str">
        <x:v>WQ-1 nominal</x:v>
      </x:c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0" t="str">
        <x:f>IF(COUNT(G20:T20)&lt;14,"OPEN",IF(AND(G20&gt;='Assumptions'!$B$32,G20&lt;='Assumptions'!$B$33,H20&gt;='Assumptions'!$B$34,H20&lt;='Assumptions'!$B$35,ABS(I20)&lt;='Assumptions'!$B$37,J20&gt;='Assumptions'!$B$38,J20&lt;='Assumptions'!$B$39,K20&lt;='Assumptions'!$B$40,L20&gt;='Assumptions'!$B$41,M20&gt;='Assumptions'!$B$42,N20&lt;='Assumptions'!$B$43,O20&lt;='Assumptions'!$B$46,P20&lt;='Assumptions'!$B$47,Q20=32,R20=128,S20='Assumptions'!$B$52,T20=4),"PASS","VALID-ADVERSE"))</x:f>
        <x:v>OPEN</x:v>
      </x:c>
    </x:row>
    <x:row r="21">
      <x:c r="A21" s="10" t="str">
        <x:v>WQC-014</x:v>
      </x:c>
      <x:c r="B21" s="10" t="str">
        <x:v>WRM-04</x:v>
      </x:c>
      <x:c r="C21" s="10" t="str">
        <x:v>WTR-V</x:v>
      </x:c>
      <x:c r="D21" s="10" t="str">
        <x:v>BL-A</x:v>
      </x:c>
      <x:c r="E21" s="10" t="str">
        <x:v>C-1</x:v>
      </x:c>
      <x:c r="F21" s="10" t="str">
        <x:v>WQ-2 return restricted</x:v>
      </x:c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0" t="str">
        <x:f>IF(COUNT(G21:T21)&lt;14,"OPEN",IF(AND(G21&gt;='Assumptions'!$B$32,G21&lt;='Assumptions'!$B$33,H21&gt;='Assumptions'!$B$34,H21&lt;='Assumptions'!$B$35,ABS(I21)&lt;='Assumptions'!$B$37,J21&gt;='Assumptions'!$B$38,J21&lt;='Assumptions'!$B$39,K21&lt;='Assumptions'!$B$40,L21&gt;='Assumptions'!$B$41,M21&gt;='Assumptions'!$B$42,N21&lt;='Assumptions'!$B$43,O21&lt;='Assumptions'!$B$46,P21&lt;='Assumptions'!$B$47,Q21=32,R21=128,S21='Assumptions'!$B$52,T21=4),"PASS","VALID-ADVERSE"))</x:f>
        <x:v>OPEN</x:v>
      </x:c>
    </x:row>
    <x:row r="22">
      <x:c r="A22" s="10" t="str">
        <x:v>WQC-015</x:v>
      </x:c>
      <x:c r="B22" s="10" t="str">
        <x:v>WRM-04</x:v>
      </x:c>
      <x:c r="C22" s="10" t="str">
        <x:v>WTR-V</x:v>
      </x:c>
      <x:c r="D22" s="10" t="str">
        <x:v>BL-A</x:v>
      </x:c>
      <x:c r="E22" s="10" t="str">
        <x:v>C-1</x:v>
      </x:c>
      <x:c r="F22" s="10" t="str">
        <x:v>WQ-3 network/time denied</x:v>
      </x:c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0" t="str">
        <x:f>IF(COUNT(G22:T22)&lt;14,"OPEN",IF(AND(G22&gt;='Assumptions'!$B$32,G22&lt;='Assumptions'!$B$33,H22&gt;='Assumptions'!$B$34,H22&lt;='Assumptions'!$B$35,ABS(I22)&lt;='Assumptions'!$B$37,J22&gt;='Assumptions'!$B$38,J22&lt;='Assumptions'!$B$39,K22&lt;='Assumptions'!$B$40,L22&gt;='Assumptions'!$B$41,M22&gt;='Assumptions'!$B$42,N22&lt;='Assumptions'!$B$43,O22&lt;='Assumptions'!$B$46,P22&lt;='Assumptions'!$B$47,Q22=32,R22=128,S22='Assumptions'!$B$52,T22=4),"PASS","VALID-ADVERSE"))</x:f>
        <x:v>OPEN</x:v>
      </x:c>
    </x:row>
    <x:row r="23">
      <x:c r="A23" s="10" t="str">
        <x:v>WQC-016</x:v>
      </x:c>
      <x:c r="B23" s="10" t="str">
        <x:v>WRM-04</x:v>
      </x:c>
      <x:c r="C23" s="10" t="str">
        <x:v>WTR-V</x:v>
      </x:c>
      <x:c r="D23" s="10" t="str">
        <x:v>BL-A</x:v>
      </x:c>
      <x:c r="E23" s="10" t="str">
        <x:v>C-1</x:v>
      </x:c>
      <x:c r="F23" s="10" t="str">
        <x:v>WQ-4 abort/diversion</x:v>
      </x:c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0" t="str">
        <x:f>IF(COUNT(G23:T23)&lt;14,"OPEN",IF(AND(G23&gt;='Assumptions'!$B$32,G23&lt;='Assumptions'!$B$33,H23&gt;='Assumptions'!$B$34,H23&lt;='Assumptions'!$B$35,ABS(I23)&lt;='Assumptions'!$B$37,J23&gt;='Assumptions'!$B$38,J23&lt;='Assumptions'!$B$39,K23&lt;='Assumptions'!$B$40,L23&gt;='Assumptions'!$B$41,M23&gt;='Assumptions'!$B$42,N23&lt;='Assumptions'!$B$43,O23&lt;='Assumptions'!$B$46,P23&lt;='Assumptions'!$B$47,Q23=32,R23=128,S23='Assumptions'!$B$52,T23=4),"PASS","VALID-ADVERSE"))</x:f>
        <x:v>OPEN</x:v>
      </x:c>
    </x:row>
    <x:row r="24">
      <x:c r="A24" s="10" t="str">
        <x:v>WQC-017</x:v>
      </x:c>
      <x:c r="B24" s="10" t="str">
        <x:v>WRM-05</x:v>
      </x:c>
      <x:c r="C24" s="10" t="str">
        <x:v>WTR-G</x:v>
      </x:c>
      <x:c r="D24" s="10" t="str">
        <x:v>BL-A</x:v>
      </x:c>
      <x:c r="E24" s="10" t="str">
        <x:v>C-2</x:v>
      </x:c>
      <x:c r="F24" s="10" t="str">
        <x:v>WQ-1 nominal</x:v>
      </x:c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0" t="str">
        <x:f>IF(COUNT(G24:T24)&lt;14,"OPEN",IF(AND(G24&gt;='Assumptions'!$B$32,G24&lt;='Assumptions'!$B$33,H24&gt;='Assumptions'!$B$34,H24&lt;='Assumptions'!$B$35,ABS(I24)&lt;='Assumptions'!$B$37,J24&gt;='Assumptions'!$B$38,J24&lt;='Assumptions'!$B$39,K24&lt;='Assumptions'!$B$40,L24&gt;='Assumptions'!$B$41,M24&gt;='Assumptions'!$B$42,N24&lt;='Assumptions'!$B$43,O24&lt;='Assumptions'!$B$46,P24&lt;='Assumptions'!$B$47,Q24=32,R24=128,S24='Assumptions'!$B$52,T24=4),"PASS","VALID-ADVERSE"))</x:f>
        <x:v>OPEN</x:v>
      </x:c>
    </x:row>
    <x:row r="25">
      <x:c r="A25" s="10" t="str">
        <x:v>WQC-018</x:v>
      </x:c>
      <x:c r="B25" s="10" t="str">
        <x:v>WRM-05</x:v>
      </x:c>
      <x:c r="C25" s="10" t="str">
        <x:v>WTR-G</x:v>
      </x:c>
      <x:c r="D25" s="10" t="str">
        <x:v>BL-A</x:v>
      </x:c>
      <x:c r="E25" s="10" t="str">
        <x:v>C-2</x:v>
      </x:c>
      <x:c r="F25" s="10" t="str">
        <x:v>WQ-2 return restricted</x:v>
      </x:c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0" t="str">
        <x:f>IF(COUNT(G25:T25)&lt;14,"OPEN",IF(AND(G25&gt;='Assumptions'!$B$32,G25&lt;='Assumptions'!$B$33,H25&gt;='Assumptions'!$B$34,H25&lt;='Assumptions'!$B$35,ABS(I25)&lt;='Assumptions'!$B$37,J25&gt;='Assumptions'!$B$38,J25&lt;='Assumptions'!$B$39,K25&lt;='Assumptions'!$B$40,L25&gt;='Assumptions'!$B$41,M25&gt;='Assumptions'!$B$42,N25&lt;='Assumptions'!$B$43,O25&lt;='Assumptions'!$B$46,P25&lt;='Assumptions'!$B$47,Q25=32,R25=128,S25='Assumptions'!$B$52,T25=4),"PASS","VALID-ADVERSE"))</x:f>
        <x:v>OPEN</x:v>
      </x:c>
    </x:row>
    <x:row r="26">
      <x:c r="A26" s="10" t="str">
        <x:v>WQC-019</x:v>
      </x:c>
      <x:c r="B26" s="10" t="str">
        <x:v>WRM-05</x:v>
      </x:c>
      <x:c r="C26" s="10" t="str">
        <x:v>WTR-G</x:v>
      </x:c>
      <x:c r="D26" s="10" t="str">
        <x:v>BL-A</x:v>
      </x:c>
      <x:c r="E26" s="10" t="str">
        <x:v>C-2</x:v>
      </x:c>
      <x:c r="F26" s="10" t="str">
        <x:v>WQ-3 network/time denied</x:v>
      </x:c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0" t="str">
        <x:f>IF(COUNT(G26:T26)&lt;14,"OPEN",IF(AND(G26&gt;='Assumptions'!$B$32,G26&lt;='Assumptions'!$B$33,H26&gt;='Assumptions'!$B$34,H26&lt;='Assumptions'!$B$35,ABS(I26)&lt;='Assumptions'!$B$37,J26&gt;='Assumptions'!$B$38,J26&lt;='Assumptions'!$B$39,K26&lt;='Assumptions'!$B$40,L26&gt;='Assumptions'!$B$41,M26&gt;='Assumptions'!$B$42,N26&lt;='Assumptions'!$B$43,O26&lt;='Assumptions'!$B$46,P26&lt;='Assumptions'!$B$47,Q26=32,R26=128,S26='Assumptions'!$B$52,T26=4),"PASS","VALID-ADVERSE"))</x:f>
        <x:v>OPEN</x:v>
      </x:c>
    </x:row>
    <x:row r="27">
      <x:c r="A27" s="10" t="str">
        <x:v>WQC-020</x:v>
      </x:c>
      <x:c r="B27" s="10" t="str">
        <x:v>WRM-05</x:v>
      </x:c>
      <x:c r="C27" s="10" t="str">
        <x:v>WTR-G</x:v>
      </x:c>
      <x:c r="D27" s="10" t="str">
        <x:v>BL-A</x:v>
      </x:c>
      <x:c r="E27" s="10" t="str">
        <x:v>C-2</x:v>
      </x:c>
      <x:c r="F27" s="10" t="str">
        <x:v>WQ-4 abort/diversion</x:v>
      </x:c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0" t="str">
        <x:f>IF(COUNT(G27:T27)&lt;14,"OPEN",IF(AND(G27&gt;='Assumptions'!$B$32,G27&lt;='Assumptions'!$B$33,H27&gt;='Assumptions'!$B$34,H27&lt;='Assumptions'!$B$35,ABS(I27)&lt;='Assumptions'!$B$37,J27&gt;='Assumptions'!$B$38,J27&lt;='Assumptions'!$B$39,K27&lt;='Assumptions'!$B$40,L27&gt;='Assumptions'!$B$41,M27&gt;='Assumptions'!$B$42,N27&lt;='Assumptions'!$B$43,O27&lt;='Assumptions'!$B$46,P27&lt;='Assumptions'!$B$47,Q27=32,R27=128,S27='Assumptions'!$B$52,T27=4),"PASS","VALID-ADVERSE"))</x:f>
        <x:v>OPEN</x:v>
      </x:c>
    </x:row>
    <x:row r="28">
      <x:c r="A28" s="10" t="str">
        <x:v>WQC-021</x:v>
      </x:c>
      <x:c r="B28" s="10" t="str">
        <x:v>WRM-06</x:v>
      </x:c>
      <x:c r="C28" s="10" t="str">
        <x:v>WTR-V</x:v>
      </x:c>
      <x:c r="D28" s="10" t="str">
        <x:v>BL-B</x:v>
      </x:c>
      <x:c r="E28" s="10" t="str">
        <x:v>C-2</x:v>
      </x:c>
      <x:c r="F28" s="10" t="str">
        <x:v>WQ-1 nominal</x:v>
      </x:c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0" t="str">
        <x:f>IF(COUNT(G28:T28)&lt;14,"OPEN",IF(AND(G28&gt;='Assumptions'!$B$32,G28&lt;='Assumptions'!$B$33,H28&gt;='Assumptions'!$B$34,H28&lt;='Assumptions'!$B$35,ABS(I28)&lt;='Assumptions'!$B$37,J28&gt;='Assumptions'!$B$38,J28&lt;='Assumptions'!$B$39,K28&lt;='Assumptions'!$B$40,L28&gt;='Assumptions'!$B$41,M28&gt;='Assumptions'!$B$42,N28&lt;='Assumptions'!$B$43,O28&lt;='Assumptions'!$B$46,P28&lt;='Assumptions'!$B$47,Q28=32,R28=128,S28='Assumptions'!$B$52,T28=4),"PASS","VALID-ADVERSE"))</x:f>
        <x:v>OPEN</x:v>
      </x:c>
    </x:row>
    <x:row r="29">
      <x:c r="A29" s="10" t="str">
        <x:v>WQC-022</x:v>
      </x:c>
      <x:c r="B29" s="10" t="str">
        <x:v>WRM-06</x:v>
      </x:c>
      <x:c r="C29" s="10" t="str">
        <x:v>WTR-V</x:v>
      </x:c>
      <x:c r="D29" s="10" t="str">
        <x:v>BL-B</x:v>
      </x:c>
      <x:c r="E29" s="10" t="str">
        <x:v>C-2</x:v>
      </x:c>
      <x:c r="F29" s="10" t="str">
        <x:v>WQ-2 return restricted</x:v>
      </x:c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0" t="str">
        <x:f>IF(COUNT(G29:T29)&lt;14,"OPEN",IF(AND(G29&gt;='Assumptions'!$B$32,G29&lt;='Assumptions'!$B$33,H29&gt;='Assumptions'!$B$34,H29&lt;='Assumptions'!$B$35,ABS(I29)&lt;='Assumptions'!$B$37,J29&gt;='Assumptions'!$B$38,J29&lt;='Assumptions'!$B$39,K29&lt;='Assumptions'!$B$40,L29&gt;='Assumptions'!$B$41,M29&gt;='Assumptions'!$B$42,N29&lt;='Assumptions'!$B$43,O29&lt;='Assumptions'!$B$46,P29&lt;='Assumptions'!$B$47,Q29=32,R29=128,S29='Assumptions'!$B$52,T29=4),"PASS","VALID-ADVERSE"))</x:f>
        <x:v>OPEN</x:v>
      </x:c>
    </x:row>
    <x:row r="30">
      <x:c r="A30" s="10" t="str">
        <x:v>WQC-023</x:v>
      </x:c>
      <x:c r="B30" s="10" t="str">
        <x:v>WRM-06</x:v>
      </x:c>
      <x:c r="C30" s="10" t="str">
        <x:v>WTR-V</x:v>
      </x:c>
      <x:c r="D30" s="10" t="str">
        <x:v>BL-B</x:v>
      </x:c>
      <x:c r="E30" s="10" t="str">
        <x:v>C-2</x:v>
      </x:c>
      <x:c r="F30" s="10" t="str">
        <x:v>WQ-3 network/time denied</x:v>
      </x:c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0" t="str">
        <x:f>IF(COUNT(G30:T30)&lt;14,"OPEN",IF(AND(G30&gt;='Assumptions'!$B$32,G30&lt;='Assumptions'!$B$33,H30&gt;='Assumptions'!$B$34,H30&lt;='Assumptions'!$B$35,ABS(I30)&lt;='Assumptions'!$B$37,J30&gt;='Assumptions'!$B$38,J30&lt;='Assumptions'!$B$39,K30&lt;='Assumptions'!$B$40,L30&gt;='Assumptions'!$B$41,M30&gt;='Assumptions'!$B$42,N30&lt;='Assumptions'!$B$43,O30&lt;='Assumptions'!$B$46,P30&lt;='Assumptions'!$B$47,Q30=32,R30=128,S30='Assumptions'!$B$52,T30=4),"PASS","VALID-ADVERSE"))</x:f>
        <x:v>OPEN</x:v>
      </x:c>
    </x:row>
    <x:row r="31">
      <x:c r="A31" s="10" t="str">
        <x:v>WQC-024</x:v>
      </x:c>
      <x:c r="B31" s="10" t="str">
        <x:v>WRM-06</x:v>
      </x:c>
      <x:c r="C31" s="10" t="str">
        <x:v>WTR-V</x:v>
      </x:c>
      <x:c r="D31" s="10" t="str">
        <x:v>BL-B</x:v>
      </x:c>
      <x:c r="E31" s="10" t="str">
        <x:v>C-2</x:v>
      </x:c>
      <x:c r="F31" s="10" t="str">
        <x:v>WQ-4 abort/diversion</x:v>
      </x:c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0" t="str">
        <x:f>IF(COUNT(G31:T31)&lt;14,"OPEN",IF(AND(G31&gt;='Assumptions'!$B$32,G31&lt;='Assumptions'!$B$33,H31&gt;='Assumptions'!$B$34,H31&lt;='Assumptions'!$B$35,ABS(I31)&lt;='Assumptions'!$B$37,J31&gt;='Assumptions'!$B$38,J31&lt;='Assumptions'!$B$39,K31&lt;='Assumptions'!$B$40,L31&gt;='Assumptions'!$B$41,M31&gt;='Assumptions'!$B$42,N31&lt;='Assumptions'!$B$43,O31&lt;='Assumptions'!$B$46,P31&lt;='Assumptions'!$B$47,Q31=32,R31=128,S31='Assumptions'!$B$52,T31=4),"PASS","VALID-ADVERSE"))</x:f>
        <x:v>OPEN</x:v>
      </x:c>
    </x:row>
    <x:row r="32">
      <x:c r="A32" s="10" t="str">
        <x:v>WQC-025</x:v>
      </x:c>
      <x:c r="B32" s="10" t="str">
        <x:v>WRM-07</x:v>
      </x:c>
      <x:c r="C32" s="10" t="str">
        <x:v>WTR-G</x:v>
      </x:c>
      <x:c r="D32" s="10" t="str">
        <x:v>BL-B</x:v>
      </x:c>
      <x:c r="E32" s="10" t="str">
        <x:v>C-2</x:v>
      </x:c>
      <x:c r="F32" s="10" t="str">
        <x:v>WQ-1 nominal</x:v>
      </x:c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0" t="str">
        <x:f>IF(COUNT(G32:T32)&lt;14,"OPEN",IF(AND(G32&gt;='Assumptions'!$B$32,G32&lt;='Assumptions'!$B$33,H32&gt;='Assumptions'!$B$34,H32&lt;='Assumptions'!$B$35,ABS(I32)&lt;='Assumptions'!$B$37,J32&gt;='Assumptions'!$B$38,J32&lt;='Assumptions'!$B$39,K32&lt;='Assumptions'!$B$40,L32&gt;='Assumptions'!$B$41,M32&gt;='Assumptions'!$B$42,N32&lt;='Assumptions'!$B$43,O32&lt;='Assumptions'!$B$46,P32&lt;='Assumptions'!$B$47,Q32=32,R32=128,S32='Assumptions'!$B$52,T32=4),"PASS","VALID-ADVERSE"))</x:f>
        <x:v>OPEN</x:v>
      </x:c>
    </x:row>
    <x:row r="33">
      <x:c r="A33" s="10" t="str">
        <x:v>WQC-026</x:v>
      </x:c>
      <x:c r="B33" s="10" t="str">
        <x:v>WRM-07</x:v>
      </x:c>
      <x:c r="C33" s="10" t="str">
        <x:v>WTR-G</x:v>
      </x:c>
      <x:c r="D33" s="10" t="str">
        <x:v>BL-B</x:v>
      </x:c>
      <x:c r="E33" s="10" t="str">
        <x:v>C-2</x:v>
      </x:c>
      <x:c r="F33" s="10" t="str">
        <x:v>WQ-2 return restricted</x:v>
      </x:c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0" t="str">
        <x:f>IF(COUNT(G33:T33)&lt;14,"OPEN",IF(AND(G33&gt;='Assumptions'!$B$32,G33&lt;='Assumptions'!$B$33,H33&gt;='Assumptions'!$B$34,H33&lt;='Assumptions'!$B$35,ABS(I33)&lt;='Assumptions'!$B$37,J33&gt;='Assumptions'!$B$38,J33&lt;='Assumptions'!$B$39,K33&lt;='Assumptions'!$B$40,L33&gt;='Assumptions'!$B$41,M33&gt;='Assumptions'!$B$42,N33&lt;='Assumptions'!$B$43,O33&lt;='Assumptions'!$B$46,P33&lt;='Assumptions'!$B$47,Q33=32,R33=128,S33='Assumptions'!$B$52,T33=4),"PASS","VALID-ADVERSE"))</x:f>
        <x:v>OPEN</x:v>
      </x:c>
    </x:row>
    <x:row r="34">
      <x:c r="A34" s="10" t="str">
        <x:v>WQC-027</x:v>
      </x:c>
      <x:c r="B34" s="10" t="str">
        <x:v>WRM-07</x:v>
      </x:c>
      <x:c r="C34" s="10" t="str">
        <x:v>WTR-G</x:v>
      </x:c>
      <x:c r="D34" s="10" t="str">
        <x:v>BL-B</x:v>
      </x:c>
      <x:c r="E34" s="10" t="str">
        <x:v>C-2</x:v>
      </x:c>
      <x:c r="F34" s="10" t="str">
        <x:v>WQ-3 network/time denied</x:v>
      </x:c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0" t="str">
        <x:f>IF(COUNT(G34:T34)&lt;14,"OPEN",IF(AND(G34&gt;='Assumptions'!$B$32,G34&lt;='Assumptions'!$B$33,H34&gt;='Assumptions'!$B$34,H34&lt;='Assumptions'!$B$35,ABS(I34)&lt;='Assumptions'!$B$37,J34&gt;='Assumptions'!$B$38,J34&lt;='Assumptions'!$B$39,K34&lt;='Assumptions'!$B$40,L34&gt;='Assumptions'!$B$41,M34&gt;='Assumptions'!$B$42,N34&lt;='Assumptions'!$B$43,O34&lt;='Assumptions'!$B$46,P34&lt;='Assumptions'!$B$47,Q34=32,R34=128,S34='Assumptions'!$B$52,T34=4),"PASS","VALID-ADVERSE"))</x:f>
        <x:v>OPEN</x:v>
      </x:c>
    </x:row>
    <x:row r="35">
      <x:c r="A35" s="10" t="str">
        <x:v>WQC-028</x:v>
      </x:c>
      <x:c r="B35" s="10" t="str">
        <x:v>WRM-07</x:v>
      </x:c>
      <x:c r="C35" s="10" t="str">
        <x:v>WTR-G</x:v>
      </x:c>
      <x:c r="D35" s="10" t="str">
        <x:v>BL-B</x:v>
      </x:c>
      <x:c r="E35" s="10" t="str">
        <x:v>C-2</x:v>
      </x:c>
      <x:c r="F35" s="10" t="str">
        <x:v>WQ-4 abort/diversion</x:v>
      </x:c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0" t="str">
        <x:f>IF(COUNT(G35:T35)&lt;14,"OPEN",IF(AND(G35&gt;='Assumptions'!$B$32,G35&lt;='Assumptions'!$B$33,H35&gt;='Assumptions'!$B$34,H35&lt;='Assumptions'!$B$35,ABS(I35)&lt;='Assumptions'!$B$37,J35&gt;='Assumptions'!$B$38,J35&lt;='Assumptions'!$B$39,K35&lt;='Assumptions'!$B$40,L35&gt;='Assumptions'!$B$41,M35&gt;='Assumptions'!$B$42,N35&lt;='Assumptions'!$B$43,O35&lt;='Assumptions'!$B$46,P35&lt;='Assumptions'!$B$47,Q35=32,R35=128,S35='Assumptions'!$B$52,T35=4),"PASS","VALID-ADVERSE"))</x:f>
        <x:v>OPEN</x:v>
      </x:c>
    </x:row>
    <x:row r="36">
      <x:c r="A36" s="10" t="str">
        <x:v>WQC-029</x:v>
      </x:c>
      <x:c r="B36" s="10" t="str">
        <x:v>WRM-08</x:v>
      </x:c>
      <x:c r="C36" s="10" t="str">
        <x:v>WTR-V</x:v>
      </x:c>
      <x:c r="D36" s="10" t="str">
        <x:v>BL-A</x:v>
      </x:c>
      <x:c r="E36" s="10" t="str">
        <x:v>C-2</x:v>
      </x:c>
      <x:c r="F36" s="10" t="str">
        <x:v>WQ-1 nominal</x:v>
      </x:c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0" t="str">
        <x:f>IF(COUNT(G36:T36)&lt;14,"OPEN",IF(AND(G36&gt;='Assumptions'!$B$32,G36&lt;='Assumptions'!$B$33,H36&gt;='Assumptions'!$B$34,H36&lt;='Assumptions'!$B$35,ABS(I36)&lt;='Assumptions'!$B$37,J36&gt;='Assumptions'!$B$38,J36&lt;='Assumptions'!$B$39,K36&lt;='Assumptions'!$B$40,L36&gt;='Assumptions'!$B$41,M36&gt;='Assumptions'!$B$42,N36&lt;='Assumptions'!$B$43,O36&lt;='Assumptions'!$B$46,P36&lt;='Assumptions'!$B$47,Q36=32,R36=128,S36='Assumptions'!$B$52,T36=4),"PASS","VALID-ADVERSE"))</x:f>
        <x:v>OPEN</x:v>
      </x:c>
    </x:row>
    <x:row r="37">
      <x:c r="A37" s="10" t="str">
        <x:v>WQC-030</x:v>
      </x:c>
      <x:c r="B37" s="10" t="str">
        <x:v>WRM-08</x:v>
      </x:c>
      <x:c r="C37" s="10" t="str">
        <x:v>WTR-V</x:v>
      </x:c>
      <x:c r="D37" s="10" t="str">
        <x:v>BL-A</x:v>
      </x:c>
      <x:c r="E37" s="10" t="str">
        <x:v>C-2</x:v>
      </x:c>
      <x:c r="F37" s="10" t="str">
        <x:v>WQ-2 return restricted</x:v>
      </x:c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0" t="str">
        <x:f>IF(COUNT(G37:T37)&lt;14,"OPEN",IF(AND(G37&gt;='Assumptions'!$B$32,G37&lt;='Assumptions'!$B$33,H37&gt;='Assumptions'!$B$34,H37&lt;='Assumptions'!$B$35,ABS(I37)&lt;='Assumptions'!$B$37,J37&gt;='Assumptions'!$B$38,J37&lt;='Assumptions'!$B$39,K37&lt;='Assumptions'!$B$40,L37&gt;='Assumptions'!$B$41,M37&gt;='Assumptions'!$B$42,N37&lt;='Assumptions'!$B$43,O37&lt;='Assumptions'!$B$46,P37&lt;='Assumptions'!$B$47,Q37=32,R37=128,S37='Assumptions'!$B$52,T37=4),"PASS","VALID-ADVERSE"))</x:f>
        <x:v>OPEN</x:v>
      </x:c>
    </x:row>
    <x:row r="38">
      <x:c r="A38" s="10" t="str">
        <x:v>WQC-031</x:v>
      </x:c>
      <x:c r="B38" s="10" t="str">
        <x:v>WRM-08</x:v>
      </x:c>
      <x:c r="C38" s="10" t="str">
        <x:v>WTR-V</x:v>
      </x:c>
      <x:c r="D38" s="10" t="str">
        <x:v>BL-A</x:v>
      </x:c>
      <x:c r="E38" s="10" t="str">
        <x:v>C-2</x:v>
      </x:c>
      <x:c r="F38" s="10" t="str">
        <x:v>WQ-3 network/time denied</x:v>
      </x:c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0" t="str">
        <x:f>IF(COUNT(G38:T38)&lt;14,"OPEN",IF(AND(G38&gt;='Assumptions'!$B$32,G38&lt;='Assumptions'!$B$33,H38&gt;='Assumptions'!$B$34,H38&lt;='Assumptions'!$B$35,ABS(I38)&lt;='Assumptions'!$B$37,J38&gt;='Assumptions'!$B$38,J38&lt;='Assumptions'!$B$39,K38&lt;='Assumptions'!$B$40,L38&gt;='Assumptions'!$B$41,M38&gt;='Assumptions'!$B$42,N38&lt;='Assumptions'!$B$43,O38&lt;='Assumptions'!$B$46,P38&lt;='Assumptions'!$B$47,Q38=32,R38=128,S38='Assumptions'!$B$52,T38=4),"PASS","VALID-ADVERSE"))</x:f>
        <x:v>OPEN</x:v>
      </x:c>
    </x:row>
    <x:row r="39">
      <x:c r="A39" s="10" t="str">
        <x:v>WQC-032</x:v>
      </x:c>
      <x:c r="B39" s="10" t="str">
        <x:v>WRM-08</x:v>
      </x:c>
      <x:c r="C39" s="10" t="str">
        <x:v>WTR-V</x:v>
      </x:c>
      <x:c r="D39" s="10" t="str">
        <x:v>BL-A</x:v>
      </x:c>
      <x:c r="E39" s="10" t="str">
        <x:v>C-2</x:v>
      </x:c>
      <x:c r="F39" s="10" t="str">
        <x:v>WQ-4 abort/diversion</x:v>
      </x:c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0" t="str">
        <x:f>IF(COUNT(G39:T39)&lt;14,"OPEN",IF(AND(G39&gt;='Assumptions'!$B$32,G39&lt;='Assumptions'!$B$33,H39&gt;='Assumptions'!$B$34,H39&lt;='Assumptions'!$B$35,ABS(I39)&lt;='Assumptions'!$B$37,J39&gt;='Assumptions'!$B$38,J39&lt;='Assumptions'!$B$39,K39&lt;='Assumptions'!$B$40,L39&gt;='Assumptions'!$B$41,M39&gt;='Assumptions'!$B$42,N39&lt;='Assumptions'!$B$43,O39&lt;='Assumptions'!$B$46,P39&lt;='Assumptions'!$B$47,Q39=32,R39=128,S39='Assumptions'!$B$52,T39=4),"PASS","VALID-ADVERSE"))</x:f>
        <x:v>OPEN</x:v>
      </x:c>
    </x:row>
    <x:row r="40">
      <x:c r="A40" s="10" t="str">
        <x:v>WQC-033</x:v>
      </x:c>
      <x:c r="B40" s="10" t="str">
        <x:v>WRM-09</x:v>
      </x:c>
      <x:c r="C40" s="10" t="str">
        <x:v>WTR-G</x:v>
      </x:c>
      <x:c r="D40" s="10" t="str">
        <x:v>BL-A</x:v>
      </x:c>
      <x:c r="E40" s="10" t="str">
        <x:v>C-3</x:v>
      </x:c>
      <x:c r="F40" s="10" t="str">
        <x:v>WQ-1 nominal</x:v>
      </x:c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0" t="str">
        <x:f>IF(COUNT(G40:T40)&lt;14,"OPEN",IF(AND(G40&gt;='Assumptions'!$B$32,G40&lt;='Assumptions'!$B$33,H40&gt;='Assumptions'!$B$34,H40&lt;='Assumptions'!$B$35,ABS(I40)&lt;='Assumptions'!$B$37,J40&gt;='Assumptions'!$B$38,J40&lt;='Assumptions'!$B$39,K40&lt;='Assumptions'!$B$40,L40&gt;='Assumptions'!$B$41,M40&gt;='Assumptions'!$B$42,N40&lt;='Assumptions'!$B$43,O40&lt;='Assumptions'!$B$46,P40&lt;='Assumptions'!$B$47,Q40=32,R40=128,S40='Assumptions'!$B$52,T40=4),"PASS","VALID-ADVERSE"))</x:f>
        <x:v>OPEN</x:v>
      </x:c>
    </x:row>
    <x:row r="41">
      <x:c r="A41" s="10" t="str">
        <x:v>WQC-034</x:v>
      </x:c>
      <x:c r="B41" s="10" t="str">
        <x:v>WRM-09</x:v>
      </x:c>
      <x:c r="C41" s="10" t="str">
        <x:v>WTR-G</x:v>
      </x:c>
      <x:c r="D41" s="10" t="str">
        <x:v>BL-A</x:v>
      </x:c>
      <x:c r="E41" s="10" t="str">
        <x:v>C-3</x:v>
      </x:c>
      <x:c r="F41" s="10" t="str">
        <x:v>WQ-2 return restricted</x:v>
      </x:c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0" t="str">
        <x:f>IF(COUNT(G41:T41)&lt;14,"OPEN",IF(AND(G41&gt;='Assumptions'!$B$32,G41&lt;='Assumptions'!$B$33,H41&gt;='Assumptions'!$B$34,H41&lt;='Assumptions'!$B$35,ABS(I41)&lt;='Assumptions'!$B$37,J41&gt;='Assumptions'!$B$38,J41&lt;='Assumptions'!$B$39,K41&lt;='Assumptions'!$B$40,L41&gt;='Assumptions'!$B$41,M41&gt;='Assumptions'!$B$42,N41&lt;='Assumptions'!$B$43,O41&lt;='Assumptions'!$B$46,P41&lt;='Assumptions'!$B$47,Q41=32,R41=128,S41='Assumptions'!$B$52,T41=4),"PASS","VALID-ADVERSE"))</x:f>
        <x:v>OPEN</x:v>
      </x:c>
    </x:row>
    <x:row r="42">
      <x:c r="A42" s="10" t="str">
        <x:v>WQC-035</x:v>
      </x:c>
      <x:c r="B42" s="10" t="str">
        <x:v>WRM-09</x:v>
      </x:c>
      <x:c r="C42" s="10" t="str">
        <x:v>WTR-G</x:v>
      </x:c>
      <x:c r="D42" s="10" t="str">
        <x:v>BL-A</x:v>
      </x:c>
      <x:c r="E42" s="10" t="str">
        <x:v>C-3</x:v>
      </x:c>
      <x:c r="F42" s="10" t="str">
        <x:v>WQ-3 network/time denied</x:v>
      </x:c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0" t="str">
        <x:f>IF(COUNT(G42:T42)&lt;14,"OPEN",IF(AND(G42&gt;='Assumptions'!$B$32,G42&lt;='Assumptions'!$B$33,H42&gt;='Assumptions'!$B$34,H42&lt;='Assumptions'!$B$35,ABS(I42)&lt;='Assumptions'!$B$37,J42&gt;='Assumptions'!$B$38,J42&lt;='Assumptions'!$B$39,K42&lt;='Assumptions'!$B$40,L42&gt;='Assumptions'!$B$41,M42&gt;='Assumptions'!$B$42,N42&lt;='Assumptions'!$B$43,O42&lt;='Assumptions'!$B$46,P42&lt;='Assumptions'!$B$47,Q42=32,R42=128,S42='Assumptions'!$B$52,T42=4),"PASS","VALID-ADVERSE"))</x:f>
        <x:v>OPEN</x:v>
      </x:c>
    </x:row>
    <x:row r="43">
      <x:c r="A43" s="10" t="str">
        <x:v>WQC-036</x:v>
      </x:c>
      <x:c r="B43" s="10" t="str">
        <x:v>WRM-09</x:v>
      </x:c>
      <x:c r="C43" s="10" t="str">
        <x:v>WTR-G</x:v>
      </x:c>
      <x:c r="D43" s="10" t="str">
        <x:v>BL-A</x:v>
      </x:c>
      <x:c r="E43" s="10" t="str">
        <x:v>C-3</x:v>
      </x:c>
      <x:c r="F43" s="10" t="str">
        <x:v>WQ-4 abort/diversion</x:v>
      </x:c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0" t="str">
        <x:f>IF(COUNT(G43:T43)&lt;14,"OPEN",IF(AND(G43&gt;='Assumptions'!$B$32,G43&lt;='Assumptions'!$B$33,H43&gt;='Assumptions'!$B$34,H43&lt;='Assumptions'!$B$35,ABS(I43)&lt;='Assumptions'!$B$37,J43&gt;='Assumptions'!$B$38,J43&lt;='Assumptions'!$B$39,K43&lt;='Assumptions'!$B$40,L43&gt;='Assumptions'!$B$41,M43&gt;='Assumptions'!$B$42,N43&lt;='Assumptions'!$B$43,O43&lt;='Assumptions'!$B$46,P43&lt;='Assumptions'!$B$47,Q43=32,R43=128,S43='Assumptions'!$B$52,T43=4),"PASS","VALID-ADVERSE"))</x:f>
        <x:v>OPEN</x:v>
      </x:c>
    </x:row>
    <x:row r="44">
      <x:c r="A44" s="10" t="str">
        <x:v>WQC-037</x:v>
      </x:c>
      <x:c r="B44" s="10" t="str">
        <x:v>WRM-10</x:v>
      </x:c>
      <x:c r="C44" s="10" t="str">
        <x:v>WTR-V</x:v>
      </x:c>
      <x:c r="D44" s="10" t="str">
        <x:v>BL-B</x:v>
      </x:c>
      <x:c r="E44" s="10" t="str">
        <x:v>C-3</x:v>
      </x:c>
      <x:c r="F44" s="10" t="str">
        <x:v>WQ-1 nominal</x:v>
      </x:c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0" t="str">
        <x:f>IF(COUNT(G44:T44)&lt;14,"OPEN",IF(AND(G44&gt;='Assumptions'!$B$32,G44&lt;='Assumptions'!$B$33,H44&gt;='Assumptions'!$B$34,H44&lt;='Assumptions'!$B$35,ABS(I44)&lt;='Assumptions'!$B$37,J44&gt;='Assumptions'!$B$38,J44&lt;='Assumptions'!$B$39,K44&lt;='Assumptions'!$B$40,L44&gt;='Assumptions'!$B$41,M44&gt;='Assumptions'!$B$42,N44&lt;='Assumptions'!$B$43,O44&lt;='Assumptions'!$B$46,P44&lt;='Assumptions'!$B$47,Q44=32,R44=128,S44='Assumptions'!$B$52,T44=4),"PASS","VALID-ADVERSE"))</x:f>
        <x:v>OPEN</x:v>
      </x:c>
    </x:row>
    <x:row r="45">
      <x:c r="A45" s="10" t="str">
        <x:v>WQC-038</x:v>
      </x:c>
      <x:c r="B45" s="10" t="str">
        <x:v>WRM-10</x:v>
      </x:c>
      <x:c r="C45" s="10" t="str">
        <x:v>WTR-V</x:v>
      </x:c>
      <x:c r="D45" s="10" t="str">
        <x:v>BL-B</x:v>
      </x:c>
      <x:c r="E45" s="10" t="str">
        <x:v>C-3</x:v>
      </x:c>
      <x:c r="F45" s="10" t="str">
        <x:v>WQ-2 return restricted</x:v>
      </x:c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0" t="str">
        <x:f>IF(COUNT(G45:T45)&lt;14,"OPEN",IF(AND(G45&gt;='Assumptions'!$B$32,G45&lt;='Assumptions'!$B$33,H45&gt;='Assumptions'!$B$34,H45&lt;='Assumptions'!$B$35,ABS(I45)&lt;='Assumptions'!$B$37,J45&gt;='Assumptions'!$B$38,J45&lt;='Assumptions'!$B$39,K45&lt;='Assumptions'!$B$40,L45&gt;='Assumptions'!$B$41,M45&gt;='Assumptions'!$B$42,N45&lt;='Assumptions'!$B$43,O45&lt;='Assumptions'!$B$46,P45&lt;='Assumptions'!$B$47,Q45=32,R45=128,S45='Assumptions'!$B$52,T45=4),"PASS","VALID-ADVERSE"))</x:f>
        <x:v>OPEN</x:v>
      </x:c>
    </x:row>
    <x:row r="46">
      <x:c r="A46" s="10" t="str">
        <x:v>WQC-039</x:v>
      </x:c>
      <x:c r="B46" s="10" t="str">
        <x:v>WRM-10</x:v>
      </x:c>
      <x:c r="C46" s="10" t="str">
        <x:v>WTR-V</x:v>
      </x:c>
      <x:c r="D46" s="10" t="str">
        <x:v>BL-B</x:v>
      </x:c>
      <x:c r="E46" s="10" t="str">
        <x:v>C-3</x:v>
      </x:c>
      <x:c r="F46" s="10" t="str">
        <x:v>WQ-3 network/time denied</x:v>
      </x:c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0" t="str">
        <x:f>IF(COUNT(G46:T46)&lt;14,"OPEN",IF(AND(G46&gt;='Assumptions'!$B$32,G46&lt;='Assumptions'!$B$33,H46&gt;='Assumptions'!$B$34,H46&lt;='Assumptions'!$B$35,ABS(I46)&lt;='Assumptions'!$B$37,J46&gt;='Assumptions'!$B$38,J46&lt;='Assumptions'!$B$39,K46&lt;='Assumptions'!$B$40,L46&gt;='Assumptions'!$B$41,M46&gt;='Assumptions'!$B$42,N46&lt;='Assumptions'!$B$43,O46&lt;='Assumptions'!$B$46,P46&lt;='Assumptions'!$B$47,Q46=32,R46=128,S46='Assumptions'!$B$52,T46=4),"PASS","VALID-ADVERSE"))</x:f>
        <x:v>OPEN</x:v>
      </x:c>
    </x:row>
    <x:row r="47">
      <x:c r="A47" s="10" t="str">
        <x:v>WQC-040</x:v>
      </x:c>
      <x:c r="B47" s="10" t="str">
        <x:v>WRM-10</x:v>
      </x:c>
      <x:c r="C47" s="10" t="str">
        <x:v>WTR-V</x:v>
      </x:c>
      <x:c r="D47" s="10" t="str">
        <x:v>BL-B</x:v>
      </x:c>
      <x:c r="E47" s="10" t="str">
        <x:v>C-3</x:v>
      </x:c>
      <x:c r="F47" s="10" t="str">
        <x:v>WQ-4 abort/diversion</x:v>
      </x:c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0" t="str">
        <x:f>IF(COUNT(G47:T47)&lt;14,"OPEN",IF(AND(G47&gt;='Assumptions'!$B$32,G47&lt;='Assumptions'!$B$33,H47&gt;='Assumptions'!$B$34,H47&lt;='Assumptions'!$B$35,ABS(I47)&lt;='Assumptions'!$B$37,J47&gt;='Assumptions'!$B$38,J47&lt;='Assumptions'!$B$39,K47&lt;='Assumptions'!$B$40,L47&gt;='Assumptions'!$B$41,M47&gt;='Assumptions'!$B$42,N47&lt;='Assumptions'!$B$43,O47&lt;='Assumptions'!$B$46,P47&lt;='Assumptions'!$B$47,Q47=32,R47=128,S47='Assumptions'!$B$52,T47=4),"PASS","VALID-ADVERSE"))</x:f>
        <x:v>OPEN</x:v>
      </x:c>
    </x:row>
    <x:row r="48">
      <x:c r="A48" s="10" t="str">
        <x:v>WQC-041</x:v>
      </x:c>
      <x:c r="B48" s="10" t="str">
        <x:v>WRM-11</x:v>
      </x:c>
      <x:c r="C48" s="10" t="str">
        <x:v>WTR-G</x:v>
      </x:c>
      <x:c r="D48" s="10" t="str">
        <x:v>BL-B</x:v>
      </x:c>
      <x:c r="E48" s="10" t="str">
        <x:v>C-3</x:v>
      </x:c>
      <x:c r="F48" s="10" t="str">
        <x:v>WQ-1 nominal</x:v>
      </x:c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0" t="str">
        <x:f>IF(COUNT(G48:T48)&lt;14,"OPEN",IF(AND(G48&gt;='Assumptions'!$B$32,G48&lt;='Assumptions'!$B$33,H48&gt;='Assumptions'!$B$34,H48&lt;='Assumptions'!$B$35,ABS(I48)&lt;='Assumptions'!$B$37,J48&gt;='Assumptions'!$B$38,J48&lt;='Assumptions'!$B$39,K48&lt;='Assumptions'!$B$40,L48&gt;='Assumptions'!$B$41,M48&gt;='Assumptions'!$B$42,N48&lt;='Assumptions'!$B$43,O48&lt;='Assumptions'!$B$46,P48&lt;='Assumptions'!$B$47,Q48=32,R48=128,S48='Assumptions'!$B$52,T48=4),"PASS","VALID-ADVERSE"))</x:f>
        <x:v>OPEN</x:v>
      </x:c>
    </x:row>
    <x:row r="49">
      <x:c r="A49" s="10" t="str">
        <x:v>WQC-042</x:v>
      </x:c>
      <x:c r="B49" s="10" t="str">
        <x:v>WRM-11</x:v>
      </x:c>
      <x:c r="C49" s="10" t="str">
        <x:v>WTR-G</x:v>
      </x:c>
      <x:c r="D49" s="10" t="str">
        <x:v>BL-B</x:v>
      </x:c>
      <x:c r="E49" s="10" t="str">
        <x:v>C-3</x:v>
      </x:c>
      <x:c r="F49" s="10" t="str">
        <x:v>WQ-2 return restricted</x:v>
      </x:c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0" t="str">
        <x:f>IF(COUNT(G49:T49)&lt;14,"OPEN",IF(AND(G49&gt;='Assumptions'!$B$32,G49&lt;='Assumptions'!$B$33,H49&gt;='Assumptions'!$B$34,H49&lt;='Assumptions'!$B$35,ABS(I49)&lt;='Assumptions'!$B$37,J49&gt;='Assumptions'!$B$38,J49&lt;='Assumptions'!$B$39,K49&lt;='Assumptions'!$B$40,L49&gt;='Assumptions'!$B$41,M49&gt;='Assumptions'!$B$42,N49&lt;='Assumptions'!$B$43,O49&lt;='Assumptions'!$B$46,P49&lt;='Assumptions'!$B$47,Q49=32,R49=128,S49='Assumptions'!$B$52,T49=4),"PASS","VALID-ADVERSE"))</x:f>
        <x:v>OPEN</x:v>
      </x:c>
    </x:row>
    <x:row r="50">
      <x:c r="A50" s="10" t="str">
        <x:v>WQC-043</x:v>
      </x:c>
      <x:c r="B50" s="10" t="str">
        <x:v>WRM-11</x:v>
      </x:c>
      <x:c r="C50" s="10" t="str">
        <x:v>WTR-G</x:v>
      </x:c>
      <x:c r="D50" s="10" t="str">
        <x:v>BL-B</x:v>
      </x:c>
      <x:c r="E50" s="10" t="str">
        <x:v>C-3</x:v>
      </x:c>
      <x:c r="F50" s="10" t="str">
        <x:v>WQ-3 network/time denied</x:v>
      </x:c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0" t="str">
        <x:f>IF(COUNT(G50:T50)&lt;14,"OPEN",IF(AND(G50&gt;='Assumptions'!$B$32,G50&lt;='Assumptions'!$B$33,H50&gt;='Assumptions'!$B$34,H50&lt;='Assumptions'!$B$35,ABS(I50)&lt;='Assumptions'!$B$37,J50&gt;='Assumptions'!$B$38,J50&lt;='Assumptions'!$B$39,K50&lt;='Assumptions'!$B$40,L50&gt;='Assumptions'!$B$41,M50&gt;='Assumptions'!$B$42,N50&lt;='Assumptions'!$B$43,O50&lt;='Assumptions'!$B$46,P50&lt;='Assumptions'!$B$47,Q50=32,R50=128,S50='Assumptions'!$B$52,T50=4),"PASS","VALID-ADVERSE"))</x:f>
        <x:v>OPEN</x:v>
      </x:c>
    </x:row>
    <x:row r="51">
      <x:c r="A51" s="10" t="str">
        <x:v>WQC-044</x:v>
      </x:c>
      <x:c r="B51" s="10" t="str">
        <x:v>WRM-11</x:v>
      </x:c>
      <x:c r="C51" s="10" t="str">
        <x:v>WTR-G</x:v>
      </x:c>
      <x:c r="D51" s="10" t="str">
        <x:v>BL-B</x:v>
      </x:c>
      <x:c r="E51" s="10" t="str">
        <x:v>C-3</x:v>
      </x:c>
      <x:c r="F51" s="10" t="str">
        <x:v>WQ-4 abort/diversion</x:v>
      </x:c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0" t="str">
        <x:f>IF(COUNT(G51:T51)&lt;14,"OPEN",IF(AND(G51&gt;='Assumptions'!$B$32,G51&lt;='Assumptions'!$B$33,H51&gt;='Assumptions'!$B$34,H51&lt;='Assumptions'!$B$35,ABS(I51)&lt;='Assumptions'!$B$37,J51&gt;='Assumptions'!$B$38,J51&lt;='Assumptions'!$B$39,K51&lt;='Assumptions'!$B$40,L51&gt;='Assumptions'!$B$41,M51&gt;='Assumptions'!$B$42,N51&lt;='Assumptions'!$B$43,O51&lt;='Assumptions'!$B$46,P51&lt;='Assumptions'!$B$47,Q51=32,R51=128,S51='Assumptions'!$B$52,T51=4),"PASS","VALID-ADVERSE"))</x:f>
        <x:v>OPEN</x:v>
      </x:c>
    </x:row>
    <x:row r="52">
      <x:c r="A52" s="10" t="str">
        <x:v>WQC-045</x:v>
      </x:c>
      <x:c r="B52" s="10" t="str">
        <x:v>WRM-12</x:v>
      </x:c>
      <x:c r="C52" s="10" t="str">
        <x:v>WTR-V</x:v>
      </x:c>
      <x:c r="D52" s="10" t="str">
        <x:v>BL-A</x:v>
      </x:c>
      <x:c r="E52" s="10" t="str">
        <x:v>C-3</x:v>
      </x:c>
      <x:c r="F52" s="10" t="str">
        <x:v>WQ-1 nominal</x:v>
      </x:c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0" t="str">
        <x:f>IF(COUNT(G52:T52)&lt;14,"OPEN",IF(AND(G52&gt;='Assumptions'!$B$32,G52&lt;='Assumptions'!$B$33,H52&gt;='Assumptions'!$B$34,H52&lt;='Assumptions'!$B$35,ABS(I52)&lt;='Assumptions'!$B$37,J52&gt;='Assumptions'!$B$38,J52&lt;='Assumptions'!$B$39,K52&lt;='Assumptions'!$B$40,L52&gt;='Assumptions'!$B$41,M52&gt;='Assumptions'!$B$42,N52&lt;='Assumptions'!$B$43,O52&lt;='Assumptions'!$B$46,P52&lt;='Assumptions'!$B$47,Q52=32,R52=128,S52='Assumptions'!$B$52,T52=4),"PASS","VALID-ADVERSE"))</x:f>
        <x:v>OPEN</x:v>
      </x:c>
    </x:row>
    <x:row r="53">
      <x:c r="A53" s="10" t="str">
        <x:v>WQC-046</x:v>
      </x:c>
      <x:c r="B53" s="10" t="str">
        <x:v>WRM-12</x:v>
      </x:c>
      <x:c r="C53" s="10" t="str">
        <x:v>WTR-V</x:v>
      </x:c>
      <x:c r="D53" s="10" t="str">
        <x:v>BL-A</x:v>
      </x:c>
      <x:c r="E53" s="10" t="str">
        <x:v>C-3</x:v>
      </x:c>
      <x:c r="F53" s="10" t="str">
        <x:v>WQ-2 return restricted</x:v>
      </x:c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0" t="str">
        <x:f>IF(COUNT(G53:T53)&lt;14,"OPEN",IF(AND(G53&gt;='Assumptions'!$B$32,G53&lt;='Assumptions'!$B$33,H53&gt;='Assumptions'!$B$34,H53&lt;='Assumptions'!$B$35,ABS(I53)&lt;='Assumptions'!$B$37,J53&gt;='Assumptions'!$B$38,J53&lt;='Assumptions'!$B$39,K53&lt;='Assumptions'!$B$40,L53&gt;='Assumptions'!$B$41,M53&gt;='Assumptions'!$B$42,N53&lt;='Assumptions'!$B$43,O53&lt;='Assumptions'!$B$46,P53&lt;='Assumptions'!$B$47,Q53=32,R53=128,S53='Assumptions'!$B$52,T53=4),"PASS","VALID-ADVERSE"))</x:f>
        <x:v>OPEN</x:v>
      </x:c>
    </x:row>
    <x:row r="54">
      <x:c r="A54" s="10" t="str">
        <x:v>WQC-047</x:v>
      </x:c>
      <x:c r="B54" s="10" t="str">
        <x:v>WRM-12</x:v>
      </x:c>
      <x:c r="C54" s="10" t="str">
        <x:v>WTR-V</x:v>
      </x:c>
      <x:c r="D54" s="10" t="str">
        <x:v>BL-A</x:v>
      </x:c>
      <x:c r="E54" s="10" t="str">
        <x:v>C-3</x:v>
      </x:c>
      <x:c r="F54" s="10" t="str">
        <x:v>WQ-3 network/time denied</x:v>
      </x:c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0" t="str">
        <x:f>IF(COUNT(G54:T54)&lt;14,"OPEN",IF(AND(G54&gt;='Assumptions'!$B$32,G54&lt;='Assumptions'!$B$33,H54&gt;='Assumptions'!$B$34,H54&lt;='Assumptions'!$B$35,ABS(I54)&lt;='Assumptions'!$B$37,J54&gt;='Assumptions'!$B$38,J54&lt;='Assumptions'!$B$39,K54&lt;='Assumptions'!$B$40,L54&gt;='Assumptions'!$B$41,M54&gt;='Assumptions'!$B$42,N54&lt;='Assumptions'!$B$43,O54&lt;='Assumptions'!$B$46,P54&lt;='Assumptions'!$B$47,Q54=32,R54=128,S54='Assumptions'!$B$52,T54=4),"PASS","VALID-ADVERSE"))</x:f>
        <x:v>OPEN</x:v>
      </x:c>
    </x:row>
    <x:row r="55">
      <x:c r="A55" s="10" t="str">
        <x:v>WQC-048</x:v>
      </x:c>
      <x:c r="B55" s="10" t="str">
        <x:v>WRM-12</x:v>
      </x:c>
      <x:c r="C55" s="10" t="str">
        <x:v>WTR-V</x:v>
      </x:c>
      <x:c r="D55" s="10" t="str">
        <x:v>BL-A</x:v>
      </x:c>
      <x:c r="E55" s="10" t="str">
        <x:v>C-3</x:v>
      </x:c>
      <x:c r="F55" s="10" t="str">
        <x:v>WQ-4 abort/diversion</x:v>
      </x:c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0" t="str">
        <x:f>IF(COUNT(G55:T55)&lt;14,"OPEN",IF(AND(G55&gt;='Assumptions'!$B$32,G55&lt;='Assumptions'!$B$33,H55&gt;='Assumptions'!$B$34,H55&lt;='Assumptions'!$B$35,ABS(I55)&lt;='Assumptions'!$B$37,J55&gt;='Assumptions'!$B$38,J55&lt;='Assumptions'!$B$39,K55&lt;='Assumptions'!$B$40,L55&gt;='Assumptions'!$B$41,M55&gt;='Assumptions'!$B$42,N55&lt;='Assumptions'!$B$43,O55&lt;='Assumptions'!$B$46,P55&lt;='Assumptions'!$B$47,Q55=32,R55=128,S55='Assumptions'!$B$52,T55=4),"PASS","VALID-ADVERSE"))</x:f>
        <x:v>OPEN</x:v>
      </x:c>
    </x:row>
    <x:row r="56">
      <x:c r="A56" s="10" t="str">
        <x:v>WQC-049</x:v>
      </x:c>
      <x:c r="B56" s="10" t="str">
        <x:v>WRM-13</x:v>
      </x:c>
      <x:c r="C56" s="10" t="str">
        <x:v>WTR-G</x:v>
      </x:c>
      <x:c r="D56" s="10" t="str">
        <x:v>BL-A</x:v>
      </x:c>
      <x:c r="E56" s="10" t="str">
        <x:v>C-1</x:v>
      </x:c>
      <x:c r="F56" s="10" t="str">
        <x:v>WQ-1 nominal</x:v>
      </x:c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0" t="str">
        <x:f>IF(COUNT(G56:T56)&lt;14,"OPEN",IF(AND(G56&gt;='Assumptions'!$B$32,G56&lt;='Assumptions'!$B$33,H56&gt;='Assumptions'!$B$34,H56&lt;='Assumptions'!$B$35,ABS(I56)&lt;='Assumptions'!$B$37,J56&gt;='Assumptions'!$B$38,J56&lt;='Assumptions'!$B$39,K56&lt;='Assumptions'!$B$40,L56&gt;='Assumptions'!$B$41,M56&gt;='Assumptions'!$B$42,N56&lt;='Assumptions'!$B$43,O56&lt;='Assumptions'!$B$46,P56&lt;='Assumptions'!$B$47,Q56=32,R56=128,S56='Assumptions'!$B$52,T56=4),"PASS","VALID-ADVERSE"))</x:f>
        <x:v>OPEN</x:v>
      </x:c>
    </x:row>
    <x:row r="57">
      <x:c r="A57" s="10" t="str">
        <x:v>WQC-050</x:v>
      </x:c>
      <x:c r="B57" s="10" t="str">
        <x:v>WRM-13</x:v>
      </x:c>
      <x:c r="C57" s="10" t="str">
        <x:v>WTR-G</x:v>
      </x:c>
      <x:c r="D57" s="10" t="str">
        <x:v>BL-A</x:v>
      </x:c>
      <x:c r="E57" s="10" t="str">
        <x:v>C-1</x:v>
      </x:c>
      <x:c r="F57" s="10" t="str">
        <x:v>WQ-2 return restricted</x:v>
      </x:c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0" t="str">
        <x:f>IF(COUNT(G57:T57)&lt;14,"OPEN",IF(AND(G57&gt;='Assumptions'!$B$32,G57&lt;='Assumptions'!$B$33,H57&gt;='Assumptions'!$B$34,H57&lt;='Assumptions'!$B$35,ABS(I57)&lt;='Assumptions'!$B$37,J57&gt;='Assumptions'!$B$38,J57&lt;='Assumptions'!$B$39,K57&lt;='Assumptions'!$B$40,L57&gt;='Assumptions'!$B$41,M57&gt;='Assumptions'!$B$42,N57&lt;='Assumptions'!$B$43,O57&lt;='Assumptions'!$B$46,P57&lt;='Assumptions'!$B$47,Q57=32,R57=128,S57='Assumptions'!$B$52,T57=4),"PASS","VALID-ADVERSE"))</x:f>
        <x:v>OPEN</x:v>
      </x:c>
    </x:row>
    <x:row r="58">
      <x:c r="A58" s="10" t="str">
        <x:v>WQC-051</x:v>
      </x:c>
      <x:c r="B58" s="10" t="str">
        <x:v>WRM-13</x:v>
      </x:c>
      <x:c r="C58" s="10" t="str">
        <x:v>WTR-G</x:v>
      </x:c>
      <x:c r="D58" s="10" t="str">
        <x:v>BL-A</x:v>
      </x:c>
      <x:c r="E58" s="10" t="str">
        <x:v>C-1</x:v>
      </x:c>
      <x:c r="F58" s="10" t="str">
        <x:v>WQ-3 network/time denied</x:v>
      </x:c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0" t="str">
        <x:f>IF(COUNT(G58:T58)&lt;14,"OPEN",IF(AND(G58&gt;='Assumptions'!$B$32,G58&lt;='Assumptions'!$B$33,H58&gt;='Assumptions'!$B$34,H58&lt;='Assumptions'!$B$35,ABS(I58)&lt;='Assumptions'!$B$37,J58&gt;='Assumptions'!$B$38,J58&lt;='Assumptions'!$B$39,K58&lt;='Assumptions'!$B$40,L58&gt;='Assumptions'!$B$41,M58&gt;='Assumptions'!$B$42,N58&lt;='Assumptions'!$B$43,O58&lt;='Assumptions'!$B$46,P58&lt;='Assumptions'!$B$47,Q58=32,R58=128,S58='Assumptions'!$B$52,T58=4),"PASS","VALID-ADVERSE"))</x:f>
        <x:v>OPEN</x:v>
      </x:c>
    </x:row>
    <x:row r="59">
      <x:c r="A59" s="10" t="str">
        <x:v>WQC-052</x:v>
      </x:c>
      <x:c r="B59" s="10" t="str">
        <x:v>WRM-13</x:v>
      </x:c>
      <x:c r="C59" s="10" t="str">
        <x:v>WTR-G</x:v>
      </x:c>
      <x:c r="D59" s="10" t="str">
        <x:v>BL-A</x:v>
      </x:c>
      <x:c r="E59" s="10" t="str">
        <x:v>C-1</x:v>
      </x:c>
      <x:c r="F59" s="10" t="str">
        <x:v>WQ-4 abort/diversion</x:v>
      </x:c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0" t="str">
        <x:f>IF(COUNT(G59:T59)&lt;14,"OPEN",IF(AND(G59&gt;='Assumptions'!$B$32,G59&lt;='Assumptions'!$B$33,H59&gt;='Assumptions'!$B$34,H59&lt;='Assumptions'!$B$35,ABS(I59)&lt;='Assumptions'!$B$37,J59&gt;='Assumptions'!$B$38,J59&lt;='Assumptions'!$B$39,K59&lt;='Assumptions'!$B$40,L59&gt;='Assumptions'!$B$41,M59&gt;='Assumptions'!$B$42,N59&lt;='Assumptions'!$B$43,O59&lt;='Assumptions'!$B$46,P59&lt;='Assumptions'!$B$47,Q59=32,R59=128,S59='Assumptions'!$B$52,T59=4),"PASS","VALID-ADVERSE"))</x:f>
        <x:v>OPEN</x:v>
      </x:c>
    </x:row>
    <x:row r="60">
      <x:c r="A60" s="10" t="str">
        <x:v>WQC-053</x:v>
      </x:c>
      <x:c r="B60" s="10" t="str">
        <x:v>WRM-14</x:v>
      </x:c>
      <x:c r="C60" s="10" t="str">
        <x:v>WTR-G</x:v>
      </x:c>
      <x:c r="D60" s="10" t="str">
        <x:v>BL-B</x:v>
      </x:c>
      <x:c r="E60" s="10" t="str">
        <x:v>C-2</x:v>
      </x:c>
      <x:c r="F60" s="10" t="str">
        <x:v>WQ-1 nominal</x:v>
      </x:c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0" t="str">
        <x:f>IF(COUNT(G60:T60)&lt;14,"OPEN",IF(AND(G60&gt;='Assumptions'!$B$32,G60&lt;='Assumptions'!$B$33,H60&gt;='Assumptions'!$B$34,H60&lt;='Assumptions'!$B$35,ABS(I60)&lt;='Assumptions'!$B$37,J60&gt;='Assumptions'!$B$38,J60&lt;='Assumptions'!$B$39,K60&lt;='Assumptions'!$B$40,L60&gt;='Assumptions'!$B$41,M60&gt;='Assumptions'!$B$42,N60&lt;='Assumptions'!$B$43,O60&lt;='Assumptions'!$B$46,P60&lt;='Assumptions'!$B$47,Q60=32,R60=128,S60='Assumptions'!$B$52,T60=4),"PASS","VALID-ADVERSE"))</x:f>
        <x:v>OPEN</x:v>
      </x:c>
    </x:row>
    <x:row r="61">
      <x:c r="A61" s="10" t="str">
        <x:v>WQC-054</x:v>
      </x:c>
      <x:c r="B61" s="10" t="str">
        <x:v>WRM-14</x:v>
      </x:c>
      <x:c r="C61" s="10" t="str">
        <x:v>WTR-G</x:v>
      </x:c>
      <x:c r="D61" s="10" t="str">
        <x:v>BL-B</x:v>
      </x:c>
      <x:c r="E61" s="10" t="str">
        <x:v>C-2</x:v>
      </x:c>
      <x:c r="F61" s="10" t="str">
        <x:v>WQ-2 return restricted</x:v>
      </x:c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0" t="str">
        <x:f>IF(COUNT(G61:T61)&lt;14,"OPEN",IF(AND(G61&gt;='Assumptions'!$B$32,G61&lt;='Assumptions'!$B$33,H61&gt;='Assumptions'!$B$34,H61&lt;='Assumptions'!$B$35,ABS(I61)&lt;='Assumptions'!$B$37,J61&gt;='Assumptions'!$B$38,J61&lt;='Assumptions'!$B$39,K61&lt;='Assumptions'!$B$40,L61&gt;='Assumptions'!$B$41,M61&gt;='Assumptions'!$B$42,N61&lt;='Assumptions'!$B$43,O61&lt;='Assumptions'!$B$46,P61&lt;='Assumptions'!$B$47,Q61=32,R61=128,S61='Assumptions'!$B$52,T61=4),"PASS","VALID-ADVERSE"))</x:f>
        <x:v>OPEN</x:v>
      </x:c>
    </x:row>
    <x:row r="62">
      <x:c r="A62" s="10" t="str">
        <x:v>WQC-055</x:v>
      </x:c>
      <x:c r="B62" s="10" t="str">
        <x:v>WRM-14</x:v>
      </x:c>
      <x:c r="C62" s="10" t="str">
        <x:v>WTR-G</x:v>
      </x:c>
      <x:c r="D62" s="10" t="str">
        <x:v>BL-B</x:v>
      </x:c>
      <x:c r="E62" s="10" t="str">
        <x:v>C-2</x:v>
      </x:c>
      <x:c r="F62" s="10" t="str">
        <x:v>WQ-3 network/time denied</x:v>
      </x:c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0" t="str">
        <x:f>IF(COUNT(G62:T62)&lt;14,"OPEN",IF(AND(G62&gt;='Assumptions'!$B$32,G62&lt;='Assumptions'!$B$33,H62&gt;='Assumptions'!$B$34,H62&lt;='Assumptions'!$B$35,ABS(I62)&lt;='Assumptions'!$B$37,J62&gt;='Assumptions'!$B$38,J62&lt;='Assumptions'!$B$39,K62&lt;='Assumptions'!$B$40,L62&gt;='Assumptions'!$B$41,M62&gt;='Assumptions'!$B$42,N62&lt;='Assumptions'!$B$43,O62&lt;='Assumptions'!$B$46,P62&lt;='Assumptions'!$B$47,Q62=32,R62=128,S62='Assumptions'!$B$52,T62=4),"PASS","VALID-ADVERSE"))</x:f>
        <x:v>OPEN</x:v>
      </x:c>
    </x:row>
    <x:row r="63">
      <x:c r="A63" s="10" t="str">
        <x:v>WQC-056</x:v>
      </x:c>
      <x:c r="B63" s="10" t="str">
        <x:v>WRM-14</x:v>
      </x:c>
      <x:c r="C63" s="10" t="str">
        <x:v>WTR-G</x:v>
      </x:c>
      <x:c r="D63" s="10" t="str">
        <x:v>BL-B</x:v>
      </x:c>
      <x:c r="E63" s="10" t="str">
        <x:v>C-2</x:v>
      </x:c>
      <x:c r="F63" s="10" t="str">
        <x:v>WQ-4 abort/diversion</x:v>
      </x:c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0" t="str">
        <x:f>IF(COUNT(G63:T63)&lt;14,"OPEN",IF(AND(G63&gt;='Assumptions'!$B$32,G63&lt;='Assumptions'!$B$33,H63&gt;='Assumptions'!$B$34,H63&lt;='Assumptions'!$B$35,ABS(I63)&lt;='Assumptions'!$B$37,J63&gt;='Assumptions'!$B$38,J63&lt;='Assumptions'!$B$39,K63&lt;='Assumptions'!$B$40,L63&gt;='Assumptions'!$B$41,M63&gt;='Assumptions'!$B$42,N63&lt;='Assumptions'!$B$43,O63&lt;='Assumptions'!$B$46,P63&lt;='Assumptions'!$B$47,Q63=32,R63=128,S63='Assumptions'!$B$52,T63=4),"PASS","VALID-ADVERSE"))</x:f>
        <x:v>OPEN</x:v>
      </x:c>
    </x:row>
    <x:row r="64">
      <x:c r="A64" s="10" t="str">
        <x:v>WQC-057</x:v>
      </x:c>
      <x:c r="B64" s="10" t="str">
        <x:v>WRM-15</x:v>
      </x:c>
      <x:c r="C64" s="10" t="str">
        <x:v>WTR-V</x:v>
      </x:c>
      <x:c r="D64" s="10" t="str">
        <x:v>BL-A</x:v>
      </x:c>
      <x:c r="E64" s="10" t="str">
        <x:v>C-3</x:v>
      </x:c>
      <x:c r="F64" s="10" t="str">
        <x:v>WQ-1 nominal</x:v>
      </x:c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0" t="str">
        <x:f>IF(COUNT(G64:T64)&lt;14,"OPEN",IF(AND(G64&gt;='Assumptions'!$B$32,G64&lt;='Assumptions'!$B$33,H64&gt;='Assumptions'!$B$34,H64&lt;='Assumptions'!$B$35,ABS(I64)&lt;='Assumptions'!$B$37,J64&gt;='Assumptions'!$B$38,J64&lt;='Assumptions'!$B$39,K64&lt;='Assumptions'!$B$40,L64&gt;='Assumptions'!$B$41,M64&gt;='Assumptions'!$B$42,N64&lt;='Assumptions'!$B$43,O64&lt;='Assumptions'!$B$46,P64&lt;='Assumptions'!$B$47,Q64=32,R64=128,S64='Assumptions'!$B$52,T64=4),"PASS","VALID-ADVERSE"))</x:f>
        <x:v>OPEN</x:v>
      </x:c>
    </x:row>
    <x:row r="65">
      <x:c r="A65" s="10" t="str">
        <x:v>WQC-058</x:v>
      </x:c>
      <x:c r="B65" s="10" t="str">
        <x:v>WRM-15</x:v>
      </x:c>
      <x:c r="C65" s="10" t="str">
        <x:v>WTR-V</x:v>
      </x:c>
      <x:c r="D65" s="10" t="str">
        <x:v>BL-A</x:v>
      </x:c>
      <x:c r="E65" s="10" t="str">
        <x:v>C-3</x:v>
      </x:c>
      <x:c r="F65" s="10" t="str">
        <x:v>WQ-2 return restricted</x:v>
      </x:c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0" t="str">
        <x:f>IF(COUNT(G65:T65)&lt;14,"OPEN",IF(AND(G65&gt;='Assumptions'!$B$32,G65&lt;='Assumptions'!$B$33,H65&gt;='Assumptions'!$B$34,H65&lt;='Assumptions'!$B$35,ABS(I65)&lt;='Assumptions'!$B$37,J65&gt;='Assumptions'!$B$38,J65&lt;='Assumptions'!$B$39,K65&lt;='Assumptions'!$B$40,L65&gt;='Assumptions'!$B$41,M65&gt;='Assumptions'!$B$42,N65&lt;='Assumptions'!$B$43,O65&lt;='Assumptions'!$B$46,P65&lt;='Assumptions'!$B$47,Q65=32,R65=128,S65='Assumptions'!$B$52,T65=4),"PASS","VALID-ADVERSE"))</x:f>
        <x:v>OPEN</x:v>
      </x:c>
    </x:row>
    <x:row r="66">
      <x:c r="A66" s="10" t="str">
        <x:v>WQC-059</x:v>
      </x:c>
      <x:c r="B66" s="10" t="str">
        <x:v>WRM-15</x:v>
      </x:c>
      <x:c r="C66" s="10" t="str">
        <x:v>WTR-V</x:v>
      </x:c>
      <x:c r="D66" s="10" t="str">
        <x:v>BL-A</x:v>
      </x:c>
      <x:c r="E66" s="10" t="str">
        <x:v>C-3</x:v>
      </x:c>
      <x:c r="F66" s="10" t="str">
        <x:v>WQ-3 network/time denied</x:v>
      </x:c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0" t="str">
        <x:f>IF(COUNT(G66:T66)&lt;14,"OPEN",IF(AND(G66&gt;='Assumptions'!$B$32,G66&lt;='Assumptions'!$B$33,H66&gt;='Assumptions'!$B$34,H66&lt;='Assumptions'!$B$35,ABS(I66)&lt;='Assumptions'!$B$37,J66&gt;='Assumptions'!$B$38,J66&lt;='Assumptions'!$B$39,K66&lt;='Assumptions'!$B$40,L66&gt;='Assumptions'!$B$41,M66&gt;='Assumptions'!$B$42,N66&lt;='Assumptions'!$B$43,O66&lt;='Assumptions'!$B$46,P66&lt;='Assumptions'!$B$47,Q66=32,R66=128,S66='Assumptions'!$B$52,T66=4),"PASS","VALID-ADVERSE"))</x:f>
        <x:v>OPEN</x:v>
      </x:c>
    </x:row>
    <x:row r="67">
      <x:c r="A67" s="10" t="str">
        <x:v>WQC-060</x:v>
      </x:c>
      <x:c r="B67" s="10" t="str">
        <x:v>WRM-15</x:v>
      </x:c>
      <x:c r="C67" s="10" t="str">
        <x:v>WTR-V</x:v>
      </x:c>
      <x:c r="D67" s="10" t="str">
        <x:v>BL-A</x:v>
      </x:c>
      <x:c r="E67" s="10" t="str">
        <x:v>C-3</x:v>
      </x:c>
      <x:c r="F67" s="10" t="str">
        <x:v>WQ-4 abort/diversion</x:v>
      </x:c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0" t="str">
        <x:f>IF(COUNT(G67:T67)&lt;14,"OPEN",IF(AND(G67&gt;='Assumptions'!$B$32,G67&lt;='Assumptions'!$B$33,H67&gt;='Assumptions'!$B$34,H67&lt;='Assumptions'!$B$35,ABS(I67)&lt;='Assumptions'!$B$37,J67&gt;='Assumptions'!$B$38,J67&lt;='Assumptions'!$B$39,K67&lt;='Assumptions'!$B$40,L67&gt;='Assumptions'!$B$41,M67&gt;='Assumptions'!$B$42,N67&lt;='Assumptions'!$B$43,O67&lt;='Assumptions'!$B$46,P67&lt;='Assumptions'!$B$47,Q67=32,R67=128,S67='Assumptions'!$B$52,T67=4),"PASS","VALID-ADVERSE"))</x:f>
        <x:v>OPEN</x:v>
      </x:c>
    </x:row>
    <x:row r="68">
      <x:c r="A68" s="10" t="str">
        <x:v>WQC-061</x:v>
      </x:c>
      <x:c r="B68" s="10" t="str">
        <x:v>WRM-16</x:v>
      </x:c>
      <x:c r="C68" s="10" t="str">
        <x:v>WTR-V</x:v>
      </x:c>
      <x:c r="D68" s="10" t="str">
        <x:v>BL-B</x:v>
      </x:c>
      <x:c r="E68" s="10" t="str">
        <x:v>C-1</x:v>
      </x:c>
      <x:c r="F68" s="10" t="str">
        <x:v>WQ-1 nominal</x:v>
      </x:c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0" t="str">
        <x:f>IF(COUNT(G68:T68)&lt;14,"OPEN",IF(AND(G68&gt;='Assumptions'!$B$32,G68&lt;='Assumptions'!$B$33,H68&gt;='Assumptions'!$B$34,H68&lt;='Assumptions'!$B$35,ABS(I68)&lt;='Assumptions'!$B$37,J68&gt;='Assumptions'!$B$38,J68&lt;='Assumptions'!$B$39,K68&lt;='Assumptions'!$B$40,L68&gt;='Assumptions'!$B$41,M68&gt;='Assumptions'!$B$42,N68&lt;='Assumptions'!$B$43,O68&lt;='Assumptions'!$B$46,P68&lt;='Assumptions'!$B$47,Q68=32,R68=128,S68='Assumptions'!$B$52,T68=4),"PASS","VALID-ADVERSE"))</x:f>
        <x:v>OPEN</x:v>
      </x:c>
    </x:row>
    <x:row r="69">
      <x:c r="A69" s="10" t="str">
        <x:v>WQC-062</x:v>
      </x:c>
      <x:c r="B69" s="10" t="str">
        <x:v>WRM-16</x:v>
      </x:c>
      <x:c r="C69" s="10" t="str">
        <x:v>WTR-V</x:v>
      </x:c>
      <x:c r="D69" s="10" t="str">
        <x:v>BL-B</x:v>
      </x:c>
      <x:c r="E69" s="10" t="str">
        <x:v>C-1</x:v>
      </x:c>
      <x:c r="F69" s="10" t="str">
        <x:v>WQ-2 return restricted</x:v>
      </x:c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0" t="str">
        <x:f>IF(COUNT(G69:T69)&lt;14,"OPEN",IF(AND(G69&gt;='Assumptions'!$B$32,G69&lt;='Assumptions'!$B$33,H69&gt;='Assumptions'!$B$34,H69&lt;='Assumptions'!$B$35,ABS(I69)&lt;='Assumptions'!$B$37,J69&gt;='Assumptions'!$B$38,J69&lt;='Assumptions'!$B$39,K69&lt;='Assumptions'!$B$40,L69&gt;='Assumptions'!$B$41,M69&gt;='Assumptions'!$B$42,N69&lt;='Assumptions'!$B$43,O69&lt;='Assumptions'!$B$46,P69&lt;='Assumptions'!$B$47,Q69=32,R69=128,S69='Assumptions'!$B$52,T69=4),"PASS","VALID-ADVERSE"))</x:f>
        <x:v>OPEN</x:v>
      </x:c>
    </x:row>
    <x:row r="70">
      <x:c r="A70" s="10" t="str">
        <x:v>WQC-063</x:v>
      </x:c>
      <x:c r="B70" s="10" t="str">
        <x:v>WRM-16</x:v>
      </x:c>
      <x:c r="C70" s="10" t="str">
        <x:v>WTR-V</x:v>
      </x:c>
      <x:c r="D70" s="10" t="str">
        <x:v>BL-B</x:v>
      </x:c>
      <x:c r="E70" s="10" t="str">
        <x:v>C-1</x:v>
      </x:c>
      <x:c r="F70" s="10" t="str">
        <x:v>WQ-3 network/time denied</x:v>
      </x:c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0" t="str">
        <x:f>IF(COUNT(G70:T70)&lt;14,"OPEN",IF(AND(G70&gt;='Assumptions'!$B$32,G70&lt;='Assumptions'!$B$33,H70&gt;='Assumptions'!$B$34,H70&lt;='Assumptions'!$B$35,ABS(I70)&lt;='Assumptions'!$B$37,J70&gt;='Assumptions'!$B$38,J70&lt;='Assumptions'!$B$39,K70&lt;='Assumptions'!$B$40,L70&gt;='Assumptions'!$B$41,M70&gt;='Assumptions'!$B$42,N70&lt;='Assumptions'!$B$43,O70&lt;='Assumptions'!$B$46,P70&lt;='Assumptions'!$B$47,Q70=32,R70=128,S70='Assumptions'!$B$52,T70=4),"PASS","VALID-ADVERSE"))</x:f>
        <x:v>OPEN</x:v>
      </x:c>
    </x:row>
    <x:row r="71">
      <x:c r="A71" s="10" t="str">
        <x:v>WQC-064</x:v>
      </x:c>
      <x:c r="B71" s="10" t="str">
        <x:v>WRM-16</x:v>
      </x:c>
      <x:c r="C71" s="10" t="str">
        <x:v>WTR-V</x:v>
      </x:c>
      <x:c r="D71" s="10" t="str">
        <x:v>BL-B</x:v>
      </x:c>
      <x:c r="E71" s="10" t="str">
        <x:v>C-1</x:v>
      </x:c>
      <x:c r="F71" s="10" t="str">
        <x:v>WQ-4 abort/diversion</x:v>
      </x:c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0" t="str">
        <x:f>IF(COUNT(G71:T71)&lt;14,"OPEN",IF(AND(G71&gt;='Assumptions'!$B$32,G71&lt;='Assumptions'!$B$33,H71&gt;='Assumptions'!$B$34,H71&lt;='Assumptions'!$B$35,ABS(I71)&lt;='Assumptions'!$B$37,J71&gt;='Assumptions'!$B$38,J71&lt;='Assumptions'!$B$39,K71&lt;='Assumptions'!$B$40,L71&gt;='Assumptions'!$B$41,M71&gt;='Assumptions'!$B$42,N71&lt;='Assumptions'!$B$43,O71&lt;='Assumptions'!$B$46,P71&lt;='Assumptions'!$B$47,Q71=32,R71=128,S71='Assumptions'!$B$52,T71=4),"PASS","VALID-ADVERSE"))</x:f>
        <x:v>OPEN</x:v>
      </x:c>
    </x:row>
  </x:sheetData>
  <x:mergeCells>
    <x:mergeCell ref="A2:U2"/>
    <x:mergeCell ref="A5:U5"/>
  </x:mergeCells>
  <x:conditionalFormatting sqref="U8:U71">
    <x:cfRule type="containsText" dxfId="10" priority="1" operator="containsText" text="DENY"/>
    <x:cfRule type="containsText" dxfId="11" priority="2" operator="containsText" text="ADVERSE"/>
    <x:cfRule type="containsText" dxfId="12" priority="3" operator="containsText" text="FAIL"/>
    <x:cfRule type="containsText" dxfId="13" priority="4" operator="containsText" text="OPEN"/>
    <x:cfRule type="containsText" dxfId="1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49b598109bdd47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4" hidden="0" customWidth="1"/>
    <x:col min="5" max="5" width="13" hidden="0" customWidth="1"/>
    <x:col min="6" max="6" width="14" hidden="0" customWidth="1"/>
    <x:col min="7" max="7" width="15" hidden="0" customWidth="1"/>
    <x:col min="8" max="8" width="14" hidden="0" customWidth="1"/>
    <x:col min="9" max="9" width="14" hidden="0" customWidth="1"/>
  </x:cols>
  <x:sheetData>
    <x:row r="2" ht="24" customHeight="1">
      <x:c r="A2" s="1" t="str">
        <x:v>Twelve exact ER-02 cells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8" t="str">
        <x:v>Cell</x:v>
      </x:c>
      <x:c r="B5" s="8" t="str">
        <x:v>Rig</x:v>
      </x:c>
      <x:c r="C5" s="8" t="str">
        <x:v>Campus</x:v>
      </x:c>
      <x:c r="D5" s="8" t="str">
        <x:v>Truth root</x:v>
      </x:c>
      <x:c r="E5" s="8" t="str">
        <x:v>Lineage</x:v>
      </x:c>
      <x:c r="F5" s="8" t="str">
        <x:v>Module</x:v>
      </x:c>
      <x:c r="G5" s="8" t="str">
        <x:v>Primary event</x:v>
      </x:c>
      <x:c r="H5" s="8" t="str">
        <x:v>Credit count</x:v>
      </x:c>
      <x:c r="I5" s="8" t="str">
        <x:v>State</x:v>
      </x:c>
    </x:row>
    <x:row r="6">
      <x:c r="A6" s="10" t="str">
        <x:v>CELL-01</x:v>
      </x:c>
      <x:c r="B6" s="10" t="str">
        <x:v>S0</x:v>
      </x:c>
      <x:c r="C6" s="10" t="str">
        <x:v>C-1</x:v>
      </x:c>
      <x:c r="D6" s="10" t="str">
        <x:v>WTR-G</x:v>
      </x:c>
      <x:c r="E6" s="10" t="str">
        <x:v>BL-A</x:v>
      </x:c>
      <x:c r="F6" s="10" t="str">
        <x:v>WRM-01</x:v>
      </x:c>
      <x:c r="G6" s="10" t="str">
        <x:v>EV-01</x:v>
      </x:c>
      <x:c r="H6" s="10" t="n">
        <x:f>COUNTIFS('Event Register'!$D$8:$D$23,A6,'Event Register'!$AB$8:$AB$23,"CREDIT")</x:f>
        <x:v>0</x:v>
      </x:c>
      <x:c r="I6" s="10" t="str">
        <x:f>IF(H6=0,"OPEN",IF(H6=1,"CREDIT","DENY"))</x:f>
        <x:v>OPEN</x:v>
      </x:c>
    </x:row>
    <x:row r="7">
      <x:c r="A7" s="10" t="str">
        <x:v>CELL-02</x:v>
      </x:c>
      <x:c r="B7" s="10" t="str">
        <x:v>S0</x:v>
      </x:c>
      <x:c r="C7" s="10" t="str">
        <x:v>C-1</x:v>
      </x:c>
      <x:c r="D7" s="10" t="str">
        <x:v>WTR-V</x:v>
      </x:c>
      <x:c r="E7" s="10" t="str">
        <x:v>BL-B</x:v>
      </x:c>
      <x:c r="F7" s="10" t="str">
        <x:v>WRM-02</x:v>
      </x:c>
      <x:c r="G7" s="10" t="str">
        <x:v>EV-02</x:v>
      </x:c>
      <x:c r="H7" s="10" t="n">
        <x:f>COUNTIFS('Event Register'!$D$8:$D$23,A7,'Event Register'!$AB$8:$AB$23,"CREDIT")</x:f>
        <x:v>0</x:v>
      </x:c>
      <x:c r="I7" s="10" t="str">
        <x:f>IF(H7=0,"OPEN",IF(H7=1,"CREDIT","DENY"))</x:f>
        <x:v>OPEN</x:v>
      </x:c>
    </x:row>
    <x:row r="8">
      <x:c r="A8" s="10" t="str">
        <x:v>CELL-03</x:v>
      </x:c>
      <x:c r="B8" s="10" t="str">
        <x:v>S1</x:v>
      </x:c>
      <x:c r="C8" s="10" t="str">
        <x:v>C-1</x:v>
      </x:c>
      <x:c r="D8" s="10" t="str">
        <x:v>WTR-G</x:v>
      </x:c>
      <x:c r="E8" s="10" t="str">
        <x:v>BL-B</x:v>
      </x:c>
      <x:c r="F8" s="10" t="str">
        <x:v>WRM-03</x:v>
      </x:c>
      <x:c r="G8" s="10" t="str">
        <x:v>EV-03</x:v>
      </x:c>
      <x:c r="H8" s="10" t="n">
        <x:f>COUNTIFS('Event Register'!$D$8:$D$23,A8,'Event Register'!$AB$8:$AB$23,"CREDIT")</x:f>
        <x:v>0</x:v>
      </x:c>
      <x:c r="I8" s="10" t="str">
        <x:f>IF(H8=0,"OPEN",IF(H8=1,"CREDIT","DENY"))</x:f>
        <x:v>OPEN</x:v>
      </x:c>
    </x:row>
    <x:row r="9">
      <x:c r="A9" s="10" t="str">
        <x:v>CELL-04</x:v>
      </x:c>
      <x:c r="B9" s="10" t="str">
        <x:v>S1</x:v>
      </x:c>
      <x:c r="C9" s="10" t="str">
        <x:v>C-1</x:v>
      </x:c>
      <x:c r="D9" s="10" t="str">
        <x:v>WTR-V</x:v>
      </x:c>
      <x:c r="E9" s="10" t="str">
        <x:v>BL-A</x:v>
      </x:c>
      <x:c r="F9" s="10" t="str">
        <x:v>WRM-04</x:v>
      </x:c>
      <x:c r="G9" s="10" t="str">
        <x:v>EV-04</x:v>
      </x:c>
      <x:c r="H9" s="10" t="n">
        <x:f>COUNTIFS('Event Register'!$D$8:$D$23,A9,'Event Register'!$AB$8:$AB$23,"CREDIT")</x:f>
        <x:v>0</x:v>
      </x:c>
      <x:c r="I9" s="10" t="str">
        <x:f>IF(H9=0,"OPEN",IF(H9=1,"CREDIT","DENY"))</x:f>
        <x:v>OPEN</x:v>
      </x:c>
    </x:row>
    <x:row r="10">
      <x:c r="A10" s="10" t="str">
        <x:v>CELL-05</x:v>
      </x:c>
      <x:c r="B10" s="10" t="str">
        <x:v>S2</x:v>
      </x:c>
      <x:c r="C10" s="10" t="str">
        <x:v>C-2</x:v>
      </x:c>
      <x:c r="D10" s="10" t="str">
        <x:v>WTR-G</x:v>
      </x:c>
      <x:c r="E10" s="10" t="str">
        <x:v>BL-A</x:v>
      </x:c>
      <x:c r="F10" s="10" t="str">
        <x:v>WRM-05</x:v>
      </x:c>
      <x:c r="G10" s="10" t="str">
        <x:v>EV-05</x:v>
      </x:c>
      <x:c r="H10" s="10" t="n">
        <x:f>COUNTIFS('Event Register'!$D$8:$D$23,A10,'Event Register'!$AB$8:$AB$23,"CREDIT")</x:f>
        <x:v>0</x:v>
      </x:c>
      <x:c r="I10" s="10" t="str">
        <x:f>IF(H10=0,"OPEN",IF(H10=1,"CREDIT","DENY"))</x:f>
        <x:v>OPEN</x:v>
      </x:c>
    </x:row>
    <x:row r="11">
      <x:c r="A11" s="10" t="str">
        <x:v>CELL-06</x:v>
      </x:c>
      <x:c r="B11" s="10" t="str">
        <x:v>S2</x:v>
      </x:c>
      <x:c r="C11" s="10" t="str">
        <x:v>C-2</x:v>
      </x:c>
      <x:c r="D11" s="10" t="str">
        <x:v>WTR-V</x:v>
      </x:c>
      <x:c r="E11" s="10" t="str">
        <x:v>BL-B</x:v>
      </x:c>
      <x:c r="F11" s="10" t="str">
        <x:v>WRM-06</x:v>
      </x:c>
      <x:c r="G11" s="10" t="str">
        <x:v>EV-06</x:v>
      </x:c>
      <x:c r="H11" s="10" t="n">
        <x:f>COUNTIFS('Event Register'!$D$8:$D$23,A11,'Event Register'!$AB$8:$AB$23,"CREDIT")</x:f>
        <x:v>0</x:v>
      </x:c>
      <x:c r="I11" s="10" t="str">
        <x:f>IF(H11=0,"OPEN",IF(H11=1,"CREDIT","DENY"))</x:f>
        <x:v>OPEN</x:v>
      </x:c>
    </x:row>
    <x:row r="12">
      <x:c r="A12" s="10" t="str">
        <x:v>CELL-07</x:v>
      </x:c>
      <x:c r="B12" s="10" t="str">
        <x:v>S3</x:v>
      </x:c>
      <x:c r="C12" s="10" t="str">
        <x:v>C-2</x:v>
      </x:c>
      <x:c r="D12" s="10" t="str">
        <x:v>WTR-G</x:v>
      </x:c>
      <x:c r="E12" s="10" t="str">
        <x:v>BL-B</x:v>
      </x:c>
      <x:c r="F12" s="10" t="str">
        <x:v>WRM-07</x:v>
      </x:c>
      <x:c r="G12" s="10" t="str">
        <x:v>EV-07</x:v>
      </x:c>
      <x:c r="H12" s="10" t="n">
        <x:f>COUNTIFS('Event Register'!$D$8:$D$23,A12,'Event Register'!$AB$8:$AB$23,"CREDIT")</x:f>
        <x:v>0</x:v>
      </x:c>
      <x:c r="I12" s="10" t="str">
        <x:f>IF(H12=0,"OPEN",IF(H12=1,"CREDIT","DENY"))</x:f>
        <x:v>OPEN</x:v>
      </x:c>
    </x:row>
    <x:row r="13">
      <x:c r="A13" s="10" t="str">
        <x:v>CELL-08</x:v>
      </x:c>
      <x:c r="B13" s="10" t="str">
        <x:v>S3</x:v>
      </x:c>
      <x:c r="C13" s="10" t="str">
        <x:v>C-2</x:v>
      </x:c>
      <x:c r="D13" s="10" t="str">
        <x:v>WTR-V</x:v>
      </x:c>
      <x:c r="E13" s="10" t="str">
        <x:v>BL-A</x:v>
      </x:c>
      <x:c r="F13" s="10" t="str">
        <x:v>WRM-08</x:v>
      </x:c>
      <x:c r="G13" s="10" t="str">
        <x:v>EV-08</x:v>
      </x:c>
      <x:c r="H13" s="10" t="n">
        <x:f>COUNTIFS('Event Register'!$D$8:$D$23,A13,'Event Register'!$AB$8:$AB$23,"CREDIT")</x:f>
        <x:v>0</x:v>
      </x:c>
      <x:c r="I13" s="10" t="str">
        <x:f>IF(H13=0,"OPEN",IF(H13=1,"CREDIT","DENY"))</x:f>
        <x:v>OPEN</x:v>
      </x:c>
    </x:row>
    <x:row r="14">
      <x:c r="A14" s="10" t="str">
        <x:v>CELL-09</x:v>
      </x:c>
      <x:c r="B14" s="10" t="str">
        <x:v>S4</x:v>
      </x:c>
      <x:c r="C14" s="10" t="str">
        <x:v>C-3</x:v>
      </x:c>
      <x:c r="D14" s="10" t="str">
        <x:v>WTR-G</x:v>
      </x:c>
      <x:c r="E14" s="10" t="str">
        <x:v>BL-A</x:v>
      </x:c>
      <x:c r="F14" s="10" t="str">
        <x:v>WRM-09</x:v>
      </x:c>
      <x:c r="G14" s="10" t="str">
        <x:v>EV-09</x:v>
      </x:c>
      <x:c r="H14" s="10" t="n">
        <x:f>COUNTIFS('Event Register'!$D$8:$D$23,A14,'Event Register'!$AB$8:$AB$23,"CREDIT")</x:f>
        <x:v>0</x:v>
      </x:c>
      <x:c r="I14" s="10" t="str">
        <x:f>IF(H14=0,"OPEN",IF(H14=1,"CREDIT","DENY"))</x:f>
        <x:v>OPEN</x:v>
      </x:c>
    </x:row>
    <x:row r="15">
      <x:c r="A15" s="10" t="str">
        <x:v>CELL-10</x:v>
      </x:c>
      <x:c r="B15" s="10" t="str">
        <x:v>S4</x:v>
      </x:c>
      <x:c r="C15" s="10" t="str">
        <x:v>C-3</x:v>
      </x:c>
      <x:c r="D15" s="10" t="str">
        <x:v>WTR-V</x:v>
      </x:c>
      <x:c r="E15" s="10" t="str">
        <x:v>BL-B</x:v>
      </x:c>
      <x:c r="F15" s="10" t="str">
        <x:v>WRM-10</x:v>
      </x:c>
      <x:c r="G15" s="10" t="str">
        <x:v>EV-10</x:v>
      </x:c>
      <x:c r="H15" s="10" t="n">
        <x:f>COUNTIFS('Event Register'!$D$8:$D$23,A15,'Event Register'!$AB$8:$AB$23,"CREDIT")</x:f>
        <x:v>0</x:v>
      </x:c>
      <x:c r="I15" s="10" t="str">
        <x:f>IF(H15=0,"OPEN",IF(H15=1,"CREDIT","DENY"))</x:f>
        <x:v>OPEN</x:v>
      </x:c>
    </x:row>
    <x:row r="16">
      <x:c r="A16" s="10" t="str">
        <x:v>CELL-11</x:v>
      </x:c>
      <x:c r="B16" s="10" t="str">
        <x:v>S5</x:v>
      </x:c>
      <x:c r="C16" s="10" t="str">
        <x:v>C-3</x:v>
      </x:c>
      <x:c r="D16" s="10" t="str">
        <x:v>WTR-G</x:v>
      </x:c>
      <x:c r="E16" s="10" t="str">
        <x:v>BL-B</x:v>
      </x:c>
      <x:c r="F16" s="10" t="str">
        <x:v>WRM-11</x:v>
      </x:c>
      <x:c r="G16" s="10" t="str">
        <x:v>EV-11</x:v>
      </x:c>
      <x:c r="H16" s="10" t="n">
        <x:f>COUNTIFS('Event Register'!$D$8:$D$23,A16,'Event Register'!$AB$8:$AB$23,"CREDIT")</x:f>
        <x:v>0</x:v>
      </x:c>
      <x:c r="I16" s="10" t="str">
        <x:f>IF(H16=0,"OPEN",IF(H16=1,"CREDIT","DENY"))</x:f>
        <x:v>OPEN</x:v>
      </x:c>
    </x:row>
    <x:row r="17">
      <x:c r="A17" s="10" t="str">
        <x:v>CELL-12</x:v>
      </x:c>
      <x:c r="B17" s="10" t="str">
        <x:v>S5</x:v>
      </x:c>
      <x:c r="C17" s="10" t="str">
        <x:v>C-3</x:v>
      </x:c>
      <x:c r="D17" s="10" t="str">
        <x:v>WTR-V</x:v>
      </x:c>
      <x:c r="E17" s="10" t="str">
        <x:v>BL-A</x:v>
      </x:c>
      <x:c r="F17" s="10" t="str">
        <x:v>WRM-12</x:v>
      </x:c>
      <x:c r="G17" s="10" t="str">
        <x:v>EV-12</x:v>
      </x:c>
      <x:c r="H17" s="10" t="n">
        <x:f>COUNTIFS('Event Register'!$D$8:$D$23,A17,'Event Register'!$AB$8:$AB$23,"CREDIT")</x:f>
        <x:v>0</x:v>
      </x:c>
      <x:c r="I17" s="10" t="str">
        <x:f>IF(H17=0,"OPEN",IF(H17=1,"CREDIT","DENY"))</x:f>
        <x:v>OPEN</x:v>
      </x:c>
    </x:row>
  </x:sheetData>
  <x:mergeCells>
    <x:mergeCell ref="A2:I2"/>
  </x:mergeCells>
  <x:conditionalFormatting sqref="I6:I17">
    <x:cfRule type="containsText" dxfId="15" priority="1" operator="containsText" text="DENY"/>
    <x:cfRule type="containsText" dxfId="16" priority="2" operator="containsText" text="ADVERSE"/>
    <x:cfRule type="containsText" dxfId="17" priority="3" operator="containsText" text="FAIL"/>
    <x:cfRule type="containsText" dxfId="18" priority="4" operator="containsText" text="OPEN"/>
    <x:cfRule type="containsText" dxfId="1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bd5f3fb4cf7749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4" hidden="0" customWidth="1"/>
    <x:col min="4" max="4" width="17" hidden="0" customWidth="1"/>
    <x:col min="5" max="5" width="13" hidden="0" customWidth="1"/>
    <x:col min="6" max="6" width="13" hidden="0" customWidth="1"/>
    <x:col min="7" max="7" width="13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4" hidden="0" customWidth="1"/>
    <x:col min="13" max="13" width="20" hidden="0" customWidth="1"/>
    <x:col min="14" max="14" width="15" hidden="0" customWidth="1"/>
  </x:cols>
  <x:sheetData>
    <x:row r="2" ht="24" customHeight="1">
      <x:c r="A2" s="1" t="str">
        <x:v>Eighteen 25-cubic-metre water-lot positions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8" t="str">
        <x:v>Water lot</x:v>
      </x:c>
      <x:c r="B5" s="8" t="str">
        <x:v>Role</x:v>
      </x:c>
      <x:c r="C5" s="8" t="str">
        <x:v>Truth root</x:v>
      </x:c>
      <x:c r="D5" s="8" t="str">
        <x:v>Assigned event</x:v>
      </x:c>
      <x:c r="E5" s="8" t="str">
        <x:v>Gross m³</x:v>
      </x:c>
      <x:c r="F5" s="8" t="str">
        <x:v>Issue m³</x:v>
      </x:c>
      <x:c r="G5" s="8" t="str">
        <x:v>Assay m³</x:v>
      </x:c>
      <x:c r="H5" s="8" t="str">
        <x:v>Conditioning m³</x:v>
      </x:c>
      <x:c r="I5" s="8" t="str">
        <x:v>Quarantine m³</x:v>
      </x:c>
      <x:c r="J5" s="8" t="str">
        <x:v>Origin</x:v>
      </x:c>
      <x:c r="K5" s="8" t="str">
        <x:v>Properties</x:v>
      </x:c>
      <x:c r="L5" s="8" t="str">
        <x:v>Seal</x:v>
      </x:c>
      <x:c r="M5" s="8" t="str">
        <x:v>Laboratory decision</x:v>
      </x:c>
      <x:c r="N5" s="8" t="str">
        <x:v>State</x:v>
      </x:c>
    </x:row>
    <x:row r="6">
      <x:c r="A6" s="10" t="str">
        <x:v>WLOT-01</x:v>
      </x:c>
      <x:c r="B6" s="10" t="str">
        <x:v>PRIMARY</x:v>
      </x:c>
      <x:c r="C6" s="10" t="str">
        <x:v>WTR-G</x:v>
      </x:c>
      <x:c r="D6" s="10" t="str">
        <x:v>EV-01</x:v>
      </x:c>
      <x:c r="E6" s="10" t="n">
        <x:v>25</x:v>
      </x:c>
      <x:c r="F6" s="10" t="n">
        <x:v>24</x:v>
      </x:c>
      <x:c r="G6" s="10" t="n">
        <x:v>0.25</x:v>
      </x:c>
      <x:c r="H6" s="10" t="n">
        <x:v>0.25</x:v>
      </x:c>
      <x:c r="I6" s="10" t="n">
        <x:v>0.5</x:v>
      </x:c>
      <x:c r="J6" s="12"/>
      <x:c r="K6" s="12"/>
      <x:c r="L6" s="12"/>
      <x:c r="M6" s="12"/>
      <x:c r="N6" s="10" t="str">
        <x:f>IF(COUNTA(J6:M6)&lt;4,"OPEN",IF(ABS(E6-SUM(F6:I6))&gt;0.000001,"DENY",IF(AND(J6="ACCEPTED",K6="ACCEPTED",L6="ACCEPTED",M6="ACCEPTED"),IF(B6="REFERENCE","PROTECTED","RELEASED"),"DENY")))</x:f>
        <x:v>OPEN</x:v>
      </x:c>
    </x:row>
    <x:row r="7">
      <x:c r="A7" s="10" t="str">
        <x:v>WLOT-02</x:v>
      </x:c>
      <x:c r="B7" s="10" t="str">
        <x:v>PRIMARY</x:v>
      </x:c>
      <x:c r="C7" s="10" t="str">
        <x:v>WTR-V</x:v>
      </x:c>
      <x:c r="D7" s="10" t="str">
        <x:v>EV-02</x:v>
      </x:c>
      <x:c r="E7" s="10" t="n">
        <x:v>25</x:v>
      </x:c>
      <x:c r="F7" s="10" t="n">
        <x:v>24</x:v>
      </x:c>
      <x:c r="G7" s="10" t="n">
        <x:v>0.25</x:v>
      </x:c>
      <x:c r="H7" s="10" t="n">
        <x:v>0.25</x:v>
      </x:c>
      <x:c r="I7" s="10" t="n">
        <x:v>0.5</x:v>
      </x:c>
      <x:c r="J7" s="12"/>
      <x:c r="K7" s="12"/>
      <x:c r="L7" s="12"/>
      <x:c r="M7" s="12"/>
      <x:c r="N7" s="10" t="str">
        <x:f>IF(COUNTA(J7:M7)&lt;4,"OPEN",IF(ABS(E7-SUM(F7:I7))&gt;0.000001,"DENY",IF(AND(J7="ACCEPTED",K7="ACCEPTED",L7="ACCEPTED",M7="ACCEPTED"),IF(B7="REFERENCE","PROTECTED","RELEASED"),"DENY")))</x:f>
        <x:v>OPEN</x:v>
      </x:c>
    </x:row>
    <x:row r="8">
      <x:c r="A8" s="10" t="str">
        <x:v>WLOT-03</x:v>
      </x:c>
      <x:c r="B8" s="10" t="str">
        <x:v>PRIMARY</x:v>
      </x:c>
      <x:c r="C8" s="10" t="str">
        <x:v>WTR-G</x:v>
      </x:c>
      <x:c r="D8" s="10" t="str">
        <x:v>EV-03</x:v>
      </x:c>
      <x:c r="E8" s="10" t="n">
        <x:v>25</x:v>
      </x:c>
      <x:c r="F8" s="10" t="n">
        <x:v>24</x:v>
      </x:c>
      <x:c r="G8" s="10" t="n">
        <x:v>0.25</x:v>
      </x:c>
      <x:c r="H8" s="10" t="n">
        <x:v>0.25</x:v>
      </x:c>
      <x:c r="I8" s="10" t="n">
        <x:v>0.5</x:v>
      </x:c>
      <x:c r="J8" s="12"/>
      <x:c r="K8" s="12"/>
      <x:c r="L8" s="12"/>
      <x:c r="M8" s="12"/>
      <x:c r="N8" s="10" t="str">
        <x:f>IF(COUNTA(J8:M8)&lt;4,"OPEN",IF(ABS(E8-SUM(F8:I8))&gt;0.000001,"DENY",IF(AND(J8="ACCEPTED",K8="ACCEPTED",L8="ACCEPTED",M8="ACCEPTED"),IF(B8="REFERENCE","PROTECTED","RELEASED"),"DENY")))</x:f>
        <x:v>OPEN</x:v>
      </x:c>
    </x:row>
    <x:row r="9">
      <x:c r="A9" s="10" t="str">
        <x:v>WLOT-04</x:v>
      </x:c>
      <x:c r="B9" s="10" t="str">
        <x:v>PRIMARY</x:v>
      </x:c>
      <x:c r="C9" s="10" t="str">
        <x:v>WTR-V</x:v>
      </x:c>
      <x:c r="D9" s="10" t="str">
        <x:v>EV-04</x:v>
      </x:c>
      <x:c r="E9" s="10" t="n">
        <x:v>25</x:v>
      </x:c>
      <x:c r="F9" s="10" t="n">
        <x:v>24</x:v>
      </x:c>
      <x:c r="G9" s="10" t="n">
        <x:v>0.25</x:v>
      </x:c>
      <x:c r="H9" s="10" t="n">
        <x:v>0.25</x:v>
      </x:c>
      <x:c r="I9" s="10" t="n">
        <x:v>0.5</x:v>
      </x:c>
      <x:c r="J9" s="12"/>
      <x:c r="K9" s="12"/>
      <x:c r="L9" s="12"/>
      <x:c r="M9" s="12"/>
      <x:c r="N9" s="10" t="str">
        <x:f>IF(COUNTA(J9:M9)&lt;4,"OPEN",IF(ABS(E9-SUM(F9:I9))&gt;0.000001,"DENY",IF(AND(J9="ACCEPTED",K9="ACCEPTED",L9="ACCEPTED",M9="ACCEPTED"),IF(B9="REFERENCE","PROTECTED","RELEASED"),"DENY")))</x:f>
        <x:v>OPEN</x:v>
      </x:c>
    </x:row>
    <x:row r="10">
      <x:c r="A10" s="10" t="str">
        <x:v>WLOT-05</x:v>
      </x:c>
      <x:c r="B10" s="10" t="str">
        <x:v>PRIMARY</x:v>
      </x:c>
      <x:c r="C10" s="10" t="str">
        <x:v>WTR-G</x:v>
      </x:c>
      <x:c r="D10" s="10" t="str">
        <x:v>EV-05</x:v>
      </x:c>
      <x:c r="E10" s="10" t="n">
        <x:v>25</x:v>
      </x:c>
      <x:c r="F10" s="10" t="n">
        <x:v>24</x:v>
      </x:c>
      <x:c r="G10" s="10" t="n">
        <x:v>0.25</x:v>
      </x:c>
      <x:c r="H10" s="10" t="n">
        <x:v>0.25</x:v>
      </x:c>
      <x:c r="I10" s="10" t="n">
        <x:v>0.5</x:v>
      </x:c>
      <x:c r="J10" s="12"/>
      <x:c r="K10" s="12"/>
      <x:c r="L10" s="12"/>
      <x:c r="M10" s="12"/>
      <x:c r="N10" s="10" t="str">
        <x:f>IF(COUNTA(J10:M10)&lt;4,"OPEN",IF(ABS(E10-SUM(F10:I10))&gt;0.000001,"DENY",IF(AND(J10="ACCEPTED",K10="ACCEPTED",L10="ACCEPTED",M10="ACCEPTED"),IF(B10="REFERENCE","PROTECTED","RELEASED"),"DENY")))</x:f>
        <x:v>OPEN</x:v>
      </x:c>
    </x:row>
    <x:row r="11">
      <x:c r="A11" s="10" t="str">
        <x:v>WLOT-06</x:v>
      </x:c>
      <x:c r="B11" s="10" t="str">
        <x:v>PRIMARY</x:v>
      </x:c>
      <x:c r="C11" s="10" t="str">
        <x:v>WTR-V</x:v>
      </x:c>
      <x:c r="D11" s="10" t="str">
        <x:v>EV-06</x:v>
      </x:c>
      <x:c r="E11" s="10" t="n">
        <x:v>25</x:v>
      </x:c>
      <x:c r="F11" s="10" t="n">
        <x:v>24</x:v>
      </x:c>
      <x:c r="G11" s="10" t="n">
        <x:v>0.25</x:v>
      </x:c>
      <x:c r="H11" s="10" t="n">
        <x:v>0.25</x:v>
      </x:c>
      <x:c r="I11" s="10" t="n">
        <x:v>0.5</x:v>
      </x:c>
      <x:c r="J11" s="12"/>
      <x:c r="K11" s="12"/>
      <x:c r="L11" s="12"/>
      <x:c r="M11" s="12"/>
      <x:c r="N11" s="10" t="str">
        <x:f>IF(COUNTA(J11:M11)&lt;4,"OPEN",IF(ABS(E11-SUM(F11:I11))&gt;0.000001,"DENY",IF(AND(J11="ACCEPTED",K11="ACCEPTED",L11="ACCEPTED",M11="ACCEPTED"),IF(B11="REFERENCE","PROTECTED","RELEASED"),"DENY")))</x:f>
        <x:v>OPEN</x:v>
      </x:c>
    </x:row>
    <x:row r="12">
      <x:c r="A12" s="10" t="str">
        <x:v>WLOT-07</x:v>
      </x:c>
      <x:c r="B12" s="10" t="str">
        <x:v>PRIMARY</x:v>
      </x:c>
      <x:c r="C12" s="10" t="str">
        <x:v>WTR-G</x:v>
      </x:c>
      <x:c r="D12" s="10" t="str">
        <x:v>EV-07</x:v>
      </x:c>
      <x:c r="E12" s="10" t="n">
        <x:v>25</x:v>
      </x:c>
      <x:c r="F12" s="10" t="n">
        <x:v>24</x:v>
      </x:c>
      <x:c r="G12" s="10" t="n">
        <x:v>0.25</x:v>
      </x:c>
      <x:c r="H12" s="10" t="n">
        <x:v>0.25</x:v>
      </x:c>
      <x:c r="I12" s="10" t="n">
        <x:v>0.5</x:v>
      </x:c>
      <x:c r="J12" s="12"/>
      <x:c r="K12" s="12"/>
      <x:c r="L12" s="12"/>
      <x:c r="M12" s="12"/>
      <x:c r="N12" s="10" t="str">
        <x:f>IF(COUNTA(J12:M12)&lt;4,"OPEN",IF(ABS(E12-SUM(F12:I12))&gt;0.000001,"DENY",IF(AND(J12="ACCEPTED",K12="ACCEPTED",L12="ACCEPTED",M12="ACCEPTED"),IF(B12="REFERENCE","PROTECTED","RELEASED"),"DENY")))</x:f>
        <x:v>OPEN</x:v>
      </x:c>
    </x:row>
    <x:row r="13">
      <x:c r="A13" s="10" t="str">
        <x:v>WLOT-08</x:v>
      </x:c>
      <x:c r="B13" s="10" t="str">
        <x:v>PRIMARY</x:v>
      </x:c>
      <x:c r="C13" s="10" t="str">
        <x:v>WTR-V</x:v>
      </x:c>
      <x:c r="D13" s="10" t="str">
        <x:v>EV-08</x:v>
      </x:c>
      <x:c r="E13" s="10" t="n">
        <x:v>25</x:v>
      </x:c>
      <x:c r="F13" s="10" t="n">
        <x:v>24</x:v>
      </x:c>
      <x:c r="G13" s="10" t="n">
        <x:v>0.25</x:v>
      </x:c>
      <x:c r="H13" s="10" t="n">
        <x:v>0.25</x:v>
      </x:c>
      <x:c r="I13" s="10" t="n">
        <x:v>0.5</x:v>
      </x:c>
      <x:c r="J13" s="12"/>
      <x:c r="K13" s="12"/>
      <x:c r="L13" s="12"/>
      <x:c r="M13" s="12"/>
      <x:c r="N13" s="10" t="str">
        <x:f>IF(COUNTA(J13:M13)&lt;4,"OPEN",IF(ABS(E13-SUM(F13:I13))&gt;0.000001,"DENY",IF(AND(J13="ACCEPTED",K13="ACCEPTED",L13="ACCEPTED",M13="ACCEPTED"),IF(B13="REFERENCE","PROTECTED","RELEASED"),"DENY")))</x:f>
        <x:v>OPEN</x:v>
      </x:c>
    </x:row>
    <x:row r="14">
      <x:c r="A14" s="10" t="str">
        <x:v>WLOT-09</x:v>
      </x:c>
      <x:c r="B14" s="10" t="str">
        <x:v>PRIMARY</x:v>
      </x:c>
      <x:c r="C14" s="10" t="str">
        <x:v>WTR-G</x:v>
      </x:c>
      <x:c r="D14" s="10" t="str">
        <x:v>EV-09</x:v>
      </x:c>
      <x:c r="E14" s="10" t="n">
        <x:v>25</x:v>
      </x:c>
      <x:c r="F14" s="10" t="n">
        <x:v>24</x:v>
      </x:c>
      <x:c r="G14" s="10" t="n">
        <x:v>0.25</x:v>
      </x:c>
      <x:c r="H14" s="10" t="n">
        <x:v>0.25</x:v>
      </x:c>
      <x:c r="I14" s="10" t="n">
        <x:v>0.5</x:v>
      </x:c>
      <x:c r="J14" s="12"/>
      <x:c r="K14" s="12"/>
      <x:c r="L14" s="12"/>
      <x:c r="M14" s="12"/>
      <x:c r="N14" s="10" t="str">
        <x:f>IF(COUNTA(J14:M14)&lt;4,"OPEN",IF(ABS(E14-SUM(F14:I14))&gt;0.000001,"DENY",IF(AND(J14="ACCEPTED",K14="ACCEPTED",L14="ACCEPTED",M14="ACCEPTED"),IF(B14="REFERENCE","PROTECTED","RELEASED"),"DENY")))</x:f>
        <x:v>OPEN</x:v>
      </x:c>
    </x:row>
    <x:row r="15">
      <x:c r="A15" s="10" t="str">
        <x:v>WLOT-10</x:v>
      </x:c>
      <x:c r="B15" s="10" t="str">
        <x:v>PRIMARY</x:v>
      </x:c>
      <x:c r="C15" s="10" t="str">
        <x:v>WTR-V</x:v>
      </x:c>
      <x:c r="D15" s="10" t="str">
        <x:v>EV-10</x:v>
      </x:c>
      <x:c r="E15" s="10" t="n">
        <x:v>25</x:v>
      </x:c>
      <x:c r="F15" s="10" t="n">
        <x:v>24</x:v>
      </x:c>
      <x:c r="G15" s="10" t="n">
        <x:v>0.25</x:v>
      </x:c>
      <x:c r="H15" s="10" t="n">
        <x:v>0.25</x:v>
      </x:c>
      <x:c r="I15" s="10" t="n">
        <x:v>0.5</x:v>
      </x:c>
      <x:c r="J15" s="12"/>
      <x:c r="K15" s="12"/>
      <x:c r="L15" s="12"/>
      <x:c r="M15" s="12"/>
      <x:c r="N15" s="10" t="str">
        <x:f>IF(COUNTA(J15:M15)&lt;4,"OPEN",IF(ABS(E15-SUM(F15:I15))&gt;0.000001,"DENY",IF(AND(J15="ACCEPTED",K15="ACCEPTED",L15="ACCEPTED",M15="ACCEPTED"),IF(B15="REFERENCE","PROTECTED","RELEASED"),"DENY")))</x:f>
        <x:v>OPEN</x:v>
      </x:c>
    </x:row>
    <x:row r="16">
      <x:c r="A16" s="10" t="str">
        <x:v>WLOT-11</x:v>
      </x:c>
      <x:c r="B16" s="10" t="str">
        <x:v>PRIMARY</x:v>
      </x:c>
      <x:c r="C16" s="10" t="str">
        <x:v>WTR-G</x:v>
      </x:c>
      <x:c r="D16" s="10" t="str">
        <x:v>EV-11</x:v>
      </x:c>
      <x:c r="E16" s="10" t="n">
        <x:v>25</x:v>
      </x:c>
      <x:c r="F16" s="10" t="n">
        <x:v>24</x:v>
      </x:c>
      <x:c r="G16" s="10" t="n">
        <x:v>0.25</x:v>
      </x:c>
      <x:c r="H16" s="10" t="n">
        <x:v>0.25</x:v>
      </x:c>
      <x:c r="I16" s="10" t="n">
        <x:v>0.5</x:v>
      </x:c>
      <x:c r="J16" s="12"/>
      <x:c r="K16" s="12"/>
      <x:c r="L16" s="12"/>
      <x:c r="M16" s="12"/>
      <x:c r="N16" s="10" t="str">
        <x:f>IF(COUNTA(J16:M16)&lt;4,"OPEN",IF(ABS(E16-SUM(F16:I16))&gt;0.000001,"DENY",IF(AND(J16="ACCEPTED",K16="ACCEPTED",L16="ACCEPTED",M16="ACCEPTED"),IF(B16="REFERENCE","PROTECTED","RELEASED"),"DENY")))</x:f>
        <x:v>OPEN</x:v>
      </x:c>
    </x:row>
    <x:row r="17">
      <x:c r="A17" s="10" t="str">
        <x:v>WLOT-12</x:v>
      </x:c>
      <x:c r="B17" s="10" t="str">
        <x:v>PRIMARY</x:v>
      </x:c>
      <x:c r="C17" s="10" t="str">
        <x:v>WTR-V</x:v>
      </x:c>
      <x:c r="D17" s="10" t="str">
        <x:v>EV-12</x:v>
      </x:c>
      <x:c r="E17" s="10" t="n">
        <x:v>25</x:v>
      </x:c>
      <x:c r="F17" s="10" t="n">
        <x:v>24</x:v>
      </x:c>
      <x:c r="G17" s="10" t="n">
        <x:v>0.25</x:v>
      </x:c>
      <x:c r="H17" s="10" t="n">
        <x:v>0.25</x:v>
      </x:c>
      <x:c r="I17" s="10" t="n">
        <x:v>0.5</x:v>
      </x:c>
      <x:c r="J17" s="12"/>
      <x:c r="K17" s="12"/>
      <x:c r="L17" s="12"/>
      <x:c r="M17" s="12"/>
      <x:c r="N17" s="10" t="str">
        <x:f>IF(COUNTA(J17:M17)&lt;4,"OPEN",IF(ABS(E17-SUM(F17:I17))&gt;0.000001,"DENY",IF(AND(J17="ACCEPTED",K17="ACCEPTED",L17="ACCEPTED",M17="ACCEPTED"),IF(B17="REFERENCE","PROTECTED","RELEASED"),"DENY")))</x:f>
        <x:v>OPEN</x:v>
      </x:c>
    </x:row>
    <x:row r="18">
      <x:c r="A18" s="10" t="str">
        <x:v>WLOT-13</x:v>
      </x:c>
      <x:c r="B18" s="10" t="str">
        <x:v>RESERVE</x:v>
      </x:c>
      <x:c r="C18" s="10" t="str">
        <x:v>WTR-G</x:v>
      </x:c>
      <x:c r="D18" s="10" t="str">
        <x:v>EV-13</x:v>
      </x:c>
      <x:c r="E18" s="10" t="n">
        <x:v>25</x:v>
      </x:c>
      <x:c r="F18" s="10" t="n">
        <x:v>24</x:v>
      </x:c>
      <x:c r="G18" s="10" t="n">
        <x:v>0.25</x:v>
      </x:c>
      <x:c r="H18" s="10" t="n">
        <x:v>0.25</x:v>
      </x:c>
      <x:c r="I18" s="10" t="n">
        <x:v>0.5</x:v>
      </x:c>
      <x:c r="J18" s="12"/>
      <x:c r="K18" s="12"/>
      <x:c r="L18" s="12"/>
      <x:c r="M18" s="12"/>
      <x:c r="N18" s="10" t="str">
        <x:f>IF(COUNTA(J18:M18)&lt;4,"OPEN",IF(ABS(E18-SUM(F18:I18))&gt;0.000001,"DENY",IF(AND(J18="ACCEPTED",K18="ACCEPTED",L18="ACCEPTED",M18="ACCEPTED"),IF(B18="REFERENCE","PROTECTED","RELEASED"),"DENY")))</x:f>
        <x:v>OPEN</x:v>
      </x:c>
    </x:row>
    <x:row r="19">
      <x:c r="A19" s="10" t="str">
        <x:v>WLOT-14</x:v>
      </x:c>
      <x:c r="B19" s="10" t="str">
        <x:v>RESERVE</x:v>
      </x:c>
      <x:c r="C19" s="10" t="str">
        <x:v>WTR-V</x:v>
      </x:c>
      <x:c r="D19" s="10" t="str">
        <x:v>EV-14</x:v>
      </x:c>
      <x:c r="E19" s="10" t="n">
        <x:v>25</x:v>
      </x:c>
      <x:c r="F19" s="10" t="n">
        <x:v>24</x:v>
      </x:c>
      <x:c r="G19" s="10" t="n">
        <x:v>0.25</x:v>
      </x:c>
      <x:c r="H19" s="10" t="n">
        <x:v>0.25</x:v>
      </x:c>
      <x:c r="I19" s="10" t="n">
        <x:v>0.5</x:v>
      </x:c>
      <x:c r="J19" s="12"/>
      <x:c r="K19" s="12"/>
      <x:c r="L19" s="12"/>
      <x:c r="M19" s="12"/>
      <x:c r="N19" s="10" t="str">
        <x:f>IF(COUNTA(J19:M19)&lt;4,"OPEN",IF(ABS(E19-SUM(F19:I19))&gt;0.000001,"DENY",IF(AND(J19="ACCEPTED",K19="ACCEPTED",L19="ACCEPTED",M19="ACCEPTED"),IF(B19="REFERENCE","PROTECTED","RELEASED"),"DENY")))</x:f>
        <x:v>OPEN</x:v>
      </x:c>
    </x:row>
    <x:row r="20">
      <x:c r="A20" s="10" t="str">
        <x:v>WLOT-15</x:v>
      </x:c>
      <x:c r="B20" s="10" t="str">
        <x:v>RESERVE</x:v>
      </x:c>
      <x:c r="C20" s="10" t="str">
        <x:v>WTR-G</x:v>
      </x:c>
      <x:c r="D20" s="10" t="str">
        <x:v>EV-15</x:v>
      </x:c>
      <x:c r="E20" s="10" t="n">
        <x:v>25</x:v>
      </x:c>
      <x:c r="F20" s="10" t="n">
        <x:v>24</x:v>
      </x:c>
      <x:c r="G20" s="10" t="n">
        <x:v>0.25</x:v>
      </x:c>
      <x:c r="H20" s="10" t="n">
        <x:v>0.25</x:v>
      </x:c>
      <x:c r="I20" s="10" t="n">
        <x:v>0.5</x:v>
      </x:c>
      <x:c r="J20" s="12"/>
      <x:c r="K20" s="12"/>
      <x:c r="L20" s="12"/>
      <x:c r="M20" s="12"/>
      <x:c r="N20" s="10" t="str">
        <x:f>IF(COUNTA(J20:M20)&lt;4,"OPEN",IF(ABS(E20-SUM(F20:I20))&gt;0.000001,"DENY",IF(AND(J20="ACCEPTED",K20="ACCEPTED",L20="ACCEPTED",M20="ACCEPTED"),IF(B20="REFERENCE","PROTECTED","RELEASED"),"DENY")))</x:f>
        <x:v>OPEN</x:v>
      </x:c>
    </x:row>
    <x:row r="21">
      <x:c r="A21" s="10" t="str">
        <x:v>WLOT-16</x:v>
      </x:c>
      <x:c r="B21" s="10" t="str">
        <x:v>RESERVE</x:v>
      </x:c>
      <x:c r="C21" s="10" t="str">
        <x:v>WTR-V</x:v>
      </x:c>
      <x:c r="D21" s="10" t="str">
        <x:v>EV-16</x:v>
      </x:c>
      <x:c r="E21" s="10" t="n">
        <x:v>25</x:v>
      </x:c>
      <x:c r="F21" s="10" t="n">
        <x:v>24</x:v>
      </x:c>
      <x:c r="G21" s="10" t="n">
        <x:v>0.25</x:v>
      </x:c>
      <x:c r="H21" s="10" t="n">
        <x:v>0.25</x:v>
      </x:c>
      <x:c r="I21" s="10" t="n">
        <x:v>0.5</x:v>
      </x:c>
      <x:c r="J21" s="12"/>
      <x:c r="K21" s="12"/>
      <x:c r="L21" s="12"/>
      <x:c r="M21" s="12"/>
      <x:c r="N21" s="10" t="str">
        <x:f>IF(COUNTA(J21:M21)&lt;4,"OPEN",IF(ABS(E21-SUM(F21:I21))&gt;0.000001,"DENY",IF(AND(J21="ACCEPTED",K21="ACCEPTED",L21="ACCEPTED",M21="ACCEPTED"),IF(B21="REFERENCE","PROTECTED","RELEASED"),"DENY")))</x:f>
        <x:v>OPEN</x:v>
      </x:c>
    </x:row>
    <x:row r="22">
      <x:c r="A22" s="10" t="str">
        <x:v>WLOT-17</x:v>
      </x:c>
      <x:c r="B22" s="10" t="str">
        <x:v>REFERENCE</x:v>
      </x:c>
      <x:c r="C22" s="10" t="str">
        <x:v>WTR-G</x:v>
      </x:c>
      <x:c r="D22" s="10"/>
      <x:c r="E22" s="10" t="n">
        <x:v>25</x:v>
      </x:c>
      <x:c r="F22" s="10" t="n">
        <x:v>24</x:v>
      </x:c>
      <x:c r="G22" s="10" t="n">
        <x:v>0.25</x:v>
      </x:c>
      <x:c r="H22" s="10" t="n">
        <x:v>0.25</x:v>
      </x:c>
      <x:c r="I22" s="10" t="n">
        <x:v>0.5</x:v>
      </x:c>
      <x:c r="J22" s="12"/>
      <x:c r="K22" s="12"/>
      <x:c r="L22" s="12"/>
      <x:c r="M22" s="12"/>
      <x:c r="N22" s="10" t="str">
        <x:f>IF(COUNTA(J22:M22)&lt;4,"OPEN",IF(ABS(E22-SUM(F22:I22))&gt;0.000001,"DENY",IF(AND(J22="ACCEPTED",K22="ACCEPTED",L22="ACCEPTED",M22="ACCEPTED"),IF(B22="REFERENCE","PROTECTED","RELEASED"),"DENY")))</x:f>
        <x:v>OPEN</x:v>
      </x:c>
    </x:row>
    <x:row r="23">
      <x:c r="A23" s="10" t="str">
        <x:v>WLOT-18</x:v>
      </x:c>
      <x:c r="B23" s="10" t="str">
        <x:v>REFERENCE</x:v>
      </x:c>
      <x:c r="C23" s="10" t="str">
        <x:v>WTR-V</x:v>
      </x:c>
      <x:c r="D23" s="10"/>
      <x:c r="E23" s="10" t="n">
        <x:v>25</x:v>
      </x:c>
      <x:c r="F23" s="10" t="n">
        <x:v>24</x:v>
      </x:c>
      <x:c r="G23" s="10" t="n">
        <x:v>0.25</x:v>
      </x:c>
      <x:c r="H23" s="10" t="n">
        <x:v>0.25</x:v>
      </x:c>
      <x:c r="I23" s="10" t="n">
        <x:v>0.5</x:v>
      </x:c>
      <x:c r="J23" s="12"/>
      <x:c r="K23" s="12"/>
      <x:c r="L23" s="12"/>
      <x:c r="M23" s="12"/>
      <x:c r="N23" s="10" t="str">
        <x:f>IF(COUNTA(J23:M23)&lt;4,"OPEN",IF(ABS(E23-SUM(F23:I23))&gt;0.000001,"DENY",IF(AND(J23="ACCEPTED",K23="ACCEPTED",L23="ACCEPTED",M23="ACCEPTED"),IF(B23="REFERENCE","PROTECTED","RELEASED"),"DENY")))</x:f>
        <x:v>OPEN</x:v>
      </x:c>
    </x:row>
  </x:sheetData>
  <x:mergeCells>
    <x:mergeCell ref="A2:N2"/>
  </x:mergeCells>
  <x:conditionalFormatting sqref="N6:N23">
    <x:cfRule type="containsText" dxfId="20" priority="1" operator="containsText" text="DENY"/>
    <x:cfRule type="containsText" dxfId="21" priority="2" operator="containsText" text="ADVERSE"/>
    <x:cfRule type="containsText" dxfId="22" priority="3" operator="containsText" text="FAIL"/>
    <x:cfRule type="containsText" dxfId="23" priority="4" operator="containsText" text="OPEN"/>
    <x:cfRule type="containsText" dxfId="2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1cb70f425fdd42a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7" hidden="0" customWidth="1"/>
    <x:col min="9" max="9" width="15" hidden="0" customWidth="1"/>
    <x:col min="10" max="10" width="19" hidden="0" customWidth="1"/>
    <x:col min="11" max="11" width="17" hidden="0" customWidth="1"/>
    <x:col min="12" max="12" width="1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0" hidden="0" customWidth="1"/>
    <x:col min="19" max="19" width="19" hidden="0" customWidth="1"/>
    <x:col min="20" max="20" width="17" hidden="0" customWidth="1"/>
    <x:col min="21" max="21" width="14" hidden="0" customWidth="1"/>
    <x:col min="22" max="22" width="14" hidden="0" customWidth="1"/>
    <x:col min="23" max="23" width="15" hidden="0" customWidth="1"/>
    <x:col min="24" max="24" width="14" hidden="0" customWidth="1"/>
    <x:col min="25" max="25" width="14" hidden="0" customWidth="1"/>
    <x:col min="26" max="26" width="15" hidden="0" customWidth="1"/>
    <x:col min="27" max="27" width="16" hidden="0" customWidth="1"/>
    <x:col min="28" max="28" width="19" hidden="0" customWidth="1"/>
  </x:cols>
  <x:sheetData>
    <x:row r="2" ht="24" customHeight="1">
      <x:c r="A2" s="1" t="str">
        <x:v>Sixteen ER-02 event positions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30" customHeight="1">
      <x:c r="A5" s="4" t="str">
        <x:v>Source zero and casualty-path zero must be observed numerically. Reserve cell and module stay blank until independent invalidity activates the position.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</x:row>
    <x:row r="7">
      <x:c r="A7" s="8" t="str">
        <x:v>Event</x:v>
      </x:c>
      <x:c r="B7" s="8" t="str">
        <x:v>Role</x:v>
      </x:c>
      <x:c r="C7" s="8" t="str">
        <x:v>Truth root</x:v>
      </x:c>
      <x:c r="D7" s="8" t="str">
        <x:v>Exact cell</x:v>
      </x:c>
      <x:c r="E7" s="8" t="str">
        <x:v>Module</x:v>
      </x:c>
      <x:c r="F7" s="8" t="str">
        <x:v>Water lot</x:v>
      </x:c>
      <x:c r="G7" s="8" t="str">
        <x:v>Source kg</x:v>
      </x:c>
      <x:c r="H7" s="8" t="str">
        <x:v>Ignition state</x:v>
      </x:c>
      <x:c r="I7" s="8" t="str">
        <x:v>Delivered m³</x:v>
      </x:c>
      <x:c r="J7" s="8" t="str">
        <x:v>Mean flow m³/min</x:v>
      </x:c>
      <x:c r="K7" s="8" t="str">
        <x:v>Duration error s</x:v>
      </x:c>
      <x:c r="L7" s="8" t="str">
        <x:v>Pressure MPa</x:v>
      </x:c>
      <x:c r="M7" s="8" t="str">
        <x:v>Zone coefficient</x:v>
      </x:c>
      <x:c r="N7" s="8" t="str">
        <x:v>Accounted fraction</x:v>
      </x:c>
      <x:c r="O7" s="8" t="str">
        <x:v>Identity recovery</x:v>
      </x:c>
      <x:c r="P7" s="8" t="str">
        <x:v>Unrelated fraction</x:v>
      </x:c>
      <x:c r="Q7" s="8" t="str">
        <x:v>Unexplained m³</x:v>
      </x:c>
      <x:c r="R7" s="8" t="str">
        <x:v>Retained at 24 h m³</x:v>
      </x:c>
      <x:c r="S7" s="8" t="str">
        <x:v>Abort cessation s</x:v>
      </x:c>
      <x:c r="T7" s="8" t="str">
        <x:v>Post-abort m³</x:v>
      </x:c>
      <x:c r="U7" s="8" t="str">
        <x:v>Casualty m³</x:v>
      </x:c>
      <x:c r="V7" s="8" t="str">
        <x:v>Gates</x:v>
      </x:c>
      <x:c r="W7" s="8" t="str">
        <x:v>Evidence</x:v>
      </x:c>
      <x:c r="X7" s="8" t="str">
        <x:v>Return</x:v>
      </x:c>
      <x:c r="Y7" s="8" t="str">
        <x:v>Replay</x:v>
      </x:c>
      <x:c r="Z7" s="8" t="str">
        <x:v>Lot state</x:v>
      </x:c>
      <x:c r="AA7" s="8" t="str">
        <x:v>Module state</x:v>
      </x:c>
      <x:c r="AB7" s="8" t="str">
        <x:v>Disposition</x:v>
      </x:c>
    </x:row>
    <x:row r="8">
      <x:c r="A8" s="10" t="str">
        <x:v>EV-01</x:v>
      </x:c>
      <x:c r="B8" s="10" t="str">
        <x:v>PRIMARY</x:v>
      </x:c>
      <x:c r="C8" s="10" t="str">
        <x:v>WTR-G</x:v>
      </x:c>
      <x:c r="D8" s="10" t="str">
        <x:v>CELL-01</x:v>
      </x:c>
      <x:c r="E8" s="10" t="str">
        <x:v>WRM-01</x:v>
      </x:c>
      <x:c r="F8" s="10" t="str">
        <x:v>WLOT-01</x:v>
      </x:c>
      <x:c r="G8" s="12"/>
      <x:c r="H8" s="12"/>
      <x:c r="I8" s="12"/>
      <x:c r="J8" s="12"/>
      <x:c r="K8" s="12"/>
      <x:c r="L8" s="12"/>
      <x:c r="M8" s="10" t="str">
        <x:f>IF(COUNT('Zone Summary'!E6)=0,"",'Zone Summary'!E6)</x:f>
      </x:c>
      <x:c r="N8" s="10" t="str">
        <x:f>IF(COUNT('Volume Ledger'!L6)=0,"",'Volume Ledger'!L6)</x:f>
      </x:c>
      <x:c r="O8" s="12"/>
      <x:c r="P8" s="12"/>
      <x:c r="Q8" s="10" t="str">
        <x:f>IF(COUNT('Volume Ledger'!K6)=0,"",'Volume Ledger'!K6)</x:f>
      </x:c>
      <x:c r="R8" s="10" t="str">
        <x:f>IF(COUNT('Volume Ledger'!D6)=0,"",'Volume Ledger'!D6)</x:f>
      </x:c>
      <x:c r="S8" s="12"/>
      <x:c r="T8" s="12"/>
      <x:c r="U8" s="10" t="str">
        <x:f>IF(COUNT('Volume Ledger'!G6)=0,"",'Volume Ledger'!G6)</x:f>
      </x:c>
      <x:c r="V8" s="10" t="str">
        <x:f>'Event Gates'!D6</x:f>
        <x:v>OPEN</x:v>
      </x:c>
      <x:c r="W8" s="10" t="str">
        <x:f>'Evidence Objects'!J6</x:f>
        <x:v>OPEN</x:v>
      </x:c>
      <x:c r="X8" s="10" t="str">
        <x:f>Return!M6</x:f>
        <x:v>OPEN</x:v>
      </x:c>
      <x:c r="Y8" s="10" t="str">
        <x:f>Replay!E6</x:f>
        <x:v>OPEN</x:v>
      </x:c>
      <x:c r="Z8" s="10" t="str">
        <x:f>INDEX('Water Lots'!$N$6:$N$23,MATCH(F8,'Water Lots'!$A$6:$A$23,0))</x:f>
        <x:v>OPEN</x:v>
      </x:c>
      <x:c r="AA8" s="10" t="str">
        <x:f>IF(E8="","OPEN",INDEX('Module Bank'!$L$6:$L$23,MATCH(E8,'Module Bank'!$A$6:$A$23,0)))</x:f>
        <x:v>OPEN</x:v>
      </x:c>
      <x:c r="AB8" s="10" t="str">
        <x:f>IF(OR(COUNT(G8,I8:U8)&lt;14,COUNTA(H8)&lt;1,COUNTA(V8:AA8)&lt;6),"OPEN",IF(AND(G8=0,H8="PROHIBITED",I8&gt;='Assumptions'!$B$32,I8&lt;='Assumptions'!$B$33,J8&gt;='Assumptions'!$B$34,J8&lt;='Assumptions'!$B$35,ABS(K8)&lt;='Assumptions'!$B$37,L8&gt;='Assumptions'!$B$38,L8&lt;='Assumptions'!$B$39,M8&lt;='Assumptions'!$B$40,N8&gt;='Assumptions'!$B$41,O8&gt;='Assumptions'!$B$42,P8&lt;='Assumptions'!$B$43,ABS(Q8)&lt;='Assumptions'!$B$44,R8&lt;='Assumptions'!$B$45,S8&lt;='Assumptions'!$B$46,T8&lt;='Assumptions'!$B$47,U8=0,V8="COMPLETE",W8="COMPLETE",X8="ACCEPTED",Y8="ACCEPTED",Z8="RELEASED",AA8="ACCEPTED"),"CREDIT","VALID-ADVERSE"))</x:f>
        <x:v>OPEN</x:v>
      </x:c>
    </x:row>
    <x:row r="9">
      <x:c r="A9" s="10" t="str">
        <x:v>EV-02</x:v>
      </x:c>
      <x:c r="B9" s="10" t="str">
        <x:v>PRIMARY</x:v>
      </x:c>
      <x:c r="C9" s="10" t="str">
        <x:v>WTR-V</x:v>
      </x:c>
      <x:c r="D9" s="10" t="str">
        <x:v>CELL-02</x:v>
      </x:c>
      <x:c r="E9" s="10" t="str">
        <x:v>WRM-02</x:v>
      </x:c>
      <x:c r="F9" s="10" t="str">
        <x:v>WLOT-02</x:v>
      </x:c>
      <x:c r="G9" s="12"/>
      <x:c r="H9" s="12"/>
      <x:c r="I9" s="12"/>
      <x:c r="J9" s="12"/>
      <x:c r="K9" s="12"/>
      <x:c r="L9" s="12"/>
      <x:c r="M9" s="10" t="str">
        <x:f>IF(COUNT('Zone Summary'!E7)=0,"",'Zone Summary'!E7)</x:f>
      </x:c>
      <x:c r="N9" s="10" t="str">
        <x:f>IF(COUNT('Volume Ledger'!L7)=0,"",'Volume Ledger'!L7)</x:f>
      </x:c>
      <x:c r="O9" s="12"/>
      <x:c r="P9" s="12"/>
      <x:c r="Q9" s="10" t="str">
        <x:f>IF(COUNT('Volume Ledger'!K7)=0,"",'Volume Ledger'!K7)</x:f>
      </x:c>
      <x:c r="R9" s="10" t="str">
        <x:f>IF(COUNT('Volume Ledger'!D7)=0,"",'Volume Ledger'!D7)</x:f>
      </x:c>
      <x:c r="S9" s="12"/>
      <x:c r="T9" s="12"/>
      <x:c r="U9" s="10" t="str">
        <x:f>IF(COUNT('Volume Ledger'!G7)=0,"",'Volume Ledger'!G7)</x:f>
      </x:c>
      <x:c r="V9" s="10" t="str">
        <x:f>'Event Gates'!D7</x:f>
        <x:v>OPEN</x:v>
      </x:c>
      <x:c r="W9" s="10" t="str">
        <x:f>'Evidence Objects'!J7</x:f>
        <x:v>OPEN</x:v>
      </x:c>
      <x:c r="X9" s="10" t="str">
        <x:f>Return!M7</x:f>
        <x:v>OPEN</x:v>
      </x:c>
      <x:c r="Y9" s="10" t="str">
        <x:f>Replay!E7</x:f>
        <x:v>OPEN</x:v>
      </x:c>
      <x:c r="Z9" s="10" t="str">
        <x:f>INDEX('Water Lots'!$N$6:$N$23,MATCH(F9,'Water Lots'!$A$6:$A$23,0))</x:f>
        <x:v>OPEN</x:v>
      </x:c>
      <x:c r="AA9" s="10" t="str">
        <x:f>IF(E9="","OPEN",INDEX('Module Bank'!$L$6:$L$23,MATCH(E9,'Module Bank'!$A$6:$A$23,0)))</x:f>
        <x:v>OPEN</x:v>
      </x:c>
      <x:c r="AB9" s="10" t="str">
        <x:f>IF(OR(COUNT(G9,I9:U9)&lt;14,COUNTA(H9)&lt;1,COUNTA(V9:AA9)&lt;6),"OPEN",IF(AND(G9=0,H9="PROHIBITED",I9&gt;='Assumptions'!$B$32,I9&lt;='Assumptions'!$B$33,J9&gt;='Assumptions'!$B$34,J9&lt;='Assumptions'!$B$35,ABS(K9)&lt;='Assumptions'!$B$37,L9&gt;='Assumptions'!$B$38,L9&lt;='Assumptions'!$B$39,M9&lt;='Assumptions'!$B$40,N9&gt;='Assumptions'!$B$41,O9&gt;='Assumptions'!$B$42,P9&lt;='Assumptions'!$B$43,ABS(Q9)&lt;='Assumptions'!$B$44,R9&lt;='Assumptions'!$B$45,S9&lt;='Assumptions'!$B$46,T9&lt;='Assumptions'!$B$47,U9=0,V9="COMPLETE",W9="COMPLETE",X9="ACCEPTED",Y9="ACCEPTED",Z9="RELEASED",AA9="ACCEPTED"),"CREDIT","VALID-ADVERSE"))</x:f>
        <x:v>OPEN</x:v>
      </x:c>
    </x:row>
    <x:row r="10">
      <x:c r="A10" s="10" t="str">
        <x:v>EV-03</x:v>
      </x:c>
      <x:c r="B10" s="10" t="str">
        <x:v>PRIMARY</x:v>
      </x:c>
      <x:c r="C10" s="10" t="str">
        <x:v>WTR-G</x:v>
      </x:c>
      <x:c r="D10" s="10" t="str">
        <x:v>CELL-03</x:v>
      </x:c>
      <x:c r="E10" s="10" t="str">
        <x:v>WRM-03</x:v>
      </x:c>
      <x:c r="F10" s="10" t="str">
        <x:v>WLOT-03</x:v>
      </x:c>
      <x:c r="G10" s="12"/>
      <x:c r="H10" s="12"/>
      <x:c r="I10" s="12"/>
      <x:c r="J10" s="12"/>
      <x:c r="K10" s="12"/>
      <x:c r="L10" s="12"/>
      <x:c r="M10" s="10" t="str">
        <x:f>IF(COUNT('Zone Summary'!E8)=0,"",'Zone Summary'!E8)</x:f>
      </x:c>
      <x:c r="N10" s="10" t="str">
        <x:f>IF(COUNT('Volume Ledger'!L8)=0,"",'Volume Ledger'!L8)</x:f>
      </x:c>
      <x:c r="O10" s="12"/>
      <x:c r="P10" s="12"/>
      <x:c r="Q10" s="10" t="str">
        <x:f>IF(COUNT('Volume Ledger'!K8)=0,"",'Volume Ledger'!K8)</x:f>
      </x:c>
      <x:c r="R10" s="10" t="str">
        <x:f>IF(COUNT('Volume Ledger'!D8)=0,"",'Volume Ledger'!D8)</x:f>
      </x:c>
      <x:c r="S10" s="12"/>
      <x:c r="T10" s="12"/>
      <x:c r="U10" s="10" t="str">
        <x:f>IF(COUNT('Volume Ledger'!G8)=0,"",'Volume Ledger'!G8)</x:f>
      </x:c>
      <x:c r="V10" s="10" t="str">
        <x:f>'Event Gates'!D8</x:f>
        <x:v>OPEN</x:v>
      </x:c>
      <x:c r="W10" s="10" t="str">
        <x:f>'Evidence Objects'!J8</x:f>
        <x:v>OPEN</x:v>
      </x:c>
      <x:c r="X10" s="10" t="str">
        <x:f>Return!M8</x:f>
        <x:v>OPEN</x:v>
      </x:c>
      <x:c r="Y10" s="10" t="str">
        <x:f>Replay!E8</x:f>
        <x:v>OPEN</x:v>
      </x:c>
      <x:c r="Z10" s="10" t="str">
        <x:f>INDEX('Water Lots'!$N$6:$N$23,MATCH(F10,'Water Lots'!$A$6:$A$23,0))</x:f>
        <x:v>OPEN</x:v>
      </x:c>
      <x:c r="AA10" s="10" t="str">
        <x:f>IF(E10="","OPEN",INDEX('Module Bank'!$L$6:$L$23,MATCH(E10,'Module Bank'!$A$6:$A$23,0)))</x:f>
        <x:v>OPEN</x:v>
      </x:c>
      <x:c r="AB10" s="10" t="str">
        <x:f>IF(OR(COUNT(G10,I10:U10)&lt;14,COUNTA(H10)&lt;1,COUNTA(V10:AA10)&lt;6),"OPEN",IF(AND(G10=0,H10="PROHIBITED",I10&gt;='Assumptions'!$B$32,I10&lt;='Assumptions'!$B$33,J10&gt;='Assumptions'!$B$34,J10&lt;='Assumptions'!$B$35,ABS(K10)&lt;='Assumptions'!$B$37,L10&gt;='Assumptions'!$B$38,L10&lt;='Assumptions'!$B$39,M10&lt;='Assumptions'!$B$40,N10&gt;='Assumptions'!$B$41,O10&gt;='Assumptions'!$B$42,P10&lt;='Assumptions'!$B$43,ABS(Q10)&lt;='Assumptions'!$B$44,R10&lt;='Assumptions'!$B$45,S10&lt;='Assumptions'!$B$46,T10&lt;='Assumptions'!$B$47,U10=0,V10="COMPLETE",W10="COMPLETE",X10="ACCEPTED",Y10="ACCEPTED",Z10="RELEASED",AA10="ACCEPTED"),"CREDIT","VALID-ADVERSE"))</x:f>
        <x:v>OPEN</x:v>
      </x:c>
    </x:row>
    <x:row r="11">
      <x:c r="A11" s="10" t="str">
        <x:v>EV-04</x:v>
      </x:c>
      <x:c r="B11" s="10" t="str">
        <x:v>PRIMARY</x:v>
      </x:c>
      <x:c r="C11" s="10" t="str">
        <x:v>WTR-V</x:v>
      </x:c>
      <x:c r="D11" s="10" t="str">
        <x:v>CELL-04</x:v>
      </x:c>
      <x:c r="E11" s="10" t="str">
        <x:v>WRM-04</x:v>
      </x:c>
      <x:c r="F11" s="10" t="str">
        <x:v>WLOT-04</x:v>
      </x:c>
      <x:c r="G11" s="12"/>
      <x:c r="H11" s="12"/>
      <x:c r="I11" s="12"/>
      <x:c r="J11" s="12"/>
      <x:c r="K11" s="12"/>
      <x:c r="L11" s="12"/>
      <x:c r="M11" s="10" t="str">
        <x:f>IF(COUNT('Zone Summary'!E9)=0,"",'Zone Summary'!E9)</x:f>
      </x:c>
      <x:c r="N11" s="10" t="str">
        <x:f>IF(COUNT('Volume Ledger'!L9)=0,"",'Volume Ledger'!L9)</x:f>
      </x:c>
      <x:c r="O11" s="12"/>
      <x:c r="P11" s="12"/>
      <x:c r="Q11" s="10" t="str">
        <x:f>IF(COUNT('Volume Ledger'!K9)=0,"",'Volume Ledger'!K9)</x:f>
      </x:c>
      <x:c r="R11" s="10" t="str">
        <x:f>IF(COUNT('Volume Ledger'!D9)=0,"",'Volume Ledger'!D9)</x:f>
      </x:c>
      <x:c r="S11" s="12"/>
      <x:c r="T11" s="12"/>
      <x:c r="U11" s="10" t="str">
        <x:f>IF(COUNT('Volume Ledger'!G9)=0,"",'Volume Ledger'!G9)</x:f>
      </x:c>
      <x:c r="V11" s="10" t="str">
        <x:f>'Event Gates'!D9</x:f>
        <x:v>OPEN</x:v>
      </x:c>
      <x:c r="W11" s="10" t="str">
        <x:f>'Evidence Objects'!J9</x:f>
        <x:v>OPEN</x:v>
      </x:c>
      <x:c r="X11" s="10" t="str">
        <x:f>Return!M9</x:f>
        <x:v>OPEN</x:v>
      </x:c>
      <x:c r="Y11" s="10" t="str">
        <x:f>Replay!E9</x:f>
        <x:v>OPEN</x:v>
      </x:c>
      <x:c r="Z11" s="10" t="str">
        <x:f>INDEX('Water Lots'!$N$6:$N$23,MATCH(F11,'Water Lots'!$A$6:$A$23,0))</x:f>
        <x:v>OPEN</x:v>
      </x:c>
      <x:c r="AA11" s="10" t="str">
        <x:f>IF(E11="","OPEN",INDEX('Module Bank'!$L$6:$L$23,MATCH(E11,'Module Bank'!$A$6:$A$23,0)))</x:f>
        <x:v>OPEN</x:v>
      </x:c>
      <x:c r="AB11" s="10" t="str">
        <x:f>IF(OR(COUNT(G11,I11:U11)&lt;14,COUNTA(H11)&lt;1,COUNTA(V11:AA11)&lt;6),"OPEN",IF(AND(G11=0,H11="PROHIBITED",I11&gt;='Assumptions'!$B$32,I11&lt;='Assumptions'!$B$33,J11&gt;='Assumptions'!$B$34,J11&lt;='Assumptions'!$B$35,ABS(K11)&lt;='Assumptions'!$B$37,L11&gt;='Assumptions'!$B$38,L11&lt;='Assumptions'!$B$39,M11&lt;='Assumptions'!$B$40,N11&gt;='Assumptions'!$B$41,O11&gt;='Assumptions'!$B$42,P11&lt;='Assumptions'!$B$43,ABS(Q11)&lt;='Assumptions'!$B$44,R11&lt;='Assumptions'!$B$45,S11&lt;='Assumptions'!$B$46,T11&lt;='Assumptions'!$B$47,U11=0,V11="COMPLETE",W11="COMPLETE",X11="ACCEPTED",Y11="ACCEPTED",Z11="RELEASED",AA11="ACCEPTED"),"CREDIT","VALID-ADVERSE"))</x:f>
        <x:v>OPEN</x:v>
      </x:c>
    </x:row>
    <x:row r="12">
      <x:c r="A12" s="10" t="str">
        <x:v>EV-05</x:v>
      </x:c>
      <x:c r="B12" s="10" t="str">
        <x:v>PRIMARY</x:v>
      </x:c>
      <x:c r="C12" s="10" t="str">
        <x:v>WTR-G</x:v>
      </x:c>
      <x:c r="D12" s="10" t="str">
        <x:v>CELL-05</x:v>
      </x:c>
      <x:c r="E12" s="10" t="str">
        <x:v>WRM-05</x:v>
      </x:c>
      <x:c r="F12" s="10" t="str">
        <x:v>WLOT-05</x:v>
      </x:c>
      <x:c r="G12" s="12"/>
      <x:c r="H12" s="12"/>
      <x:c r="I12" s="12"/>
      <x:c r="J12" s="12"/>
      <x:c r="K12" s="12"/>
      <x:c r="L12" s="12"/>
      <x:c r="M12" s="10" t="str">
        <x:f>IF(COUNT('Zone Summary'!E10)=0,"",'Zone Summary'!E10)</x:f>
      </x:c>
      <x:c r="N12" s="10" t="str">
        <x:f>IF(COUNT('Volume Ledger'!L10)=0,"",'Volume Ledger'!L10)</x:f>
      </x:c>
      <x:c r="O12" s="12"/>
      <x:c r="P12" s="12"/>
      <x:c r="Q12" s="10" t="str">
        <x:f>IF(COUNT('Volume Ledger'!K10)=0,"",'Volume Ledger'!K10)</x:f>
      </x:c>
      <x:c r="R12" s="10" t="str">
        <x:f>IF(COUNT('Volume Ledger'!D10)=0,"",'Volume Ledger'!D10)</x:f>
      </x:c>
      <x:c r="S12" s="12"/>
      <x:c r="T12" s="12"/>
      <x:c r="U12" s="10" t="str">
        <x:f>IF(COUNT('Volume Ledger'!G10)=0,"",'Volume Ledger'!G10)</x:f>
      </x:c>
      <x:c r="V12" s="10" t="str">
        <x:f>'Event Gates'!D10</x:f>
        <x:v>OPEN</x:v>
      </x:c>
      <x:c r="W12" s="10" t="str">
        <x:f>'Evidence Objects'!J10</x:f>
        <x:v>OPEN</x:v>
      </x:c>
      <x:c r="X12" s="10" t="str">
        <x:f>Return!M10</x:f>
        <x:v>OPEN</x:v>
      </x:c>
      <x:c r="Y12" s="10" t="str">
        <x:f>Replay!E10</x:f>
        <x:v>OPEN</x:v>
      </x:c>
      <x:c r="Z12" s="10" t="str">
        <x:f>INDEX('Water Lots'!$N$6:$N$23,MATCH(F12,'Water Lots'!$A$6:$A$23,0))</x:f>
        <x:v>OPEN</x:v>
      </x:c>
      <x:c r="AA12" s="10" t="str">
        <x:f>IF(E12="","OPEN",INDEX('Module Bank'!$L$6:$L$23,MATCH(E12,'Module Bank'!$A$6:$A$23,0)))</x:f>
        <x:v>OPEN</x:v>
      </x:c>
      <x:c r="AB12" s="10" t="str">
        <x:f>IF(OR(COUNT(G12,I12:U12)&lt;14,COUNTA(H12)&lt;1,COUNTA(V12:AA12)&lt;6),"OPEN",IF(AND(G12=0,H12="PROHIBITED",I12&gt;='Assumptions'!$B$32,I12&lt;='Assumptions'!$B$33,J12&gt;='Assumptions'!$B$34,J12&lt;='Assumptions'!$B$35,ABS(K12)&lt;='Assumptions'!$B$37,L12&gt;='Assumptions'!$B$38,L12&lt;='Assumptions'!$B$39,M12&lt;='Assumptions'!$B$40,N12&gt;='Assumptions'!$B$41,O12&gt;='Assumptions'!$B$42,P12&lt;='Assumptions'!$B$43,ABS(Q12)&lt;='Assumptions'!$B$44,R12&lt;='Assumptions'!$B$45,S12&lt;='Assumptions'!$B$46,T12&lt;='Assumptions'!$B$47,U12=0,V12="COMPLETE",W12="COMPLETE",X12="ACCEPTED",Y12="ACCEPTED",Z12="RELEASED",AA12="ACCEPTED"),"CREDIT","VALID-ADVERSE"))</x:f>
        <x:v>OPEN</x:v>
      </x:c>
    </x:row>
    <x:row r="13">
      <x:c r="A13" s="10" t="str">
        <x:v>EV-06</x:v>
      </x:c>
      <x:c r="B13" s="10" t="str">
        <x:v>PRIMARY</x:v>
      </x:c>
      <x:c r="C13" s="10" t="str">
        <x:v>WTR-V</x:v>
      </x:c>
      <x:c r="D13" s="10" t="str">
        <x:v>CELL-06</x:v>
      </x:c>
      <x:c r="E13" s="10" t="str">
        <x:v>WRM-06</x:v>
      </x:c>
      <x:c r="F13" s="10" t="str">
        <x:v>WLOT-06</x:v>
      </x:c>
      <x:c r="G13" s="12"/>
      <x:c r="H13" s="12"/>
      <x:c r="I13" s="12"/>
      <x:c r="J13" s="12"/>
      <x:c r="K13" s="12"/>
      <x:c r="L13" s="12"/>
      <x:c r="M13" s="10" t="str">
        <x:f>IF(COUNT('Zone Summary'!E11)=0,"",'Zone Summary'!E11)</x:f>
      </x:c>
      <x:c r="N13" s="10" t="str">
        <x:f>IF(COUNT('Volume Ledger'!L11)=0,"",'Volume Ledger'!L11)</x:f>
      </x:c>
      <x:c r="O13" s="12"/>
      <x:c r="P13" s="12"/>
      <x:c r="Q13" s="10" t="str">
        <x:f>IF(COUNT('Volume Ledger'!K11)=0,"",'Volume Ledger'!K11)</x:f>
      </x:c>
      <x:c r="R13" s="10" t="str">
        <x:f>IF(COUNT('Volume Ledger'!D11)=0,"",'Volume Ledger'!D11)</x:f>
      </x:c>
      <x:c r="S13" s="12"/>
      <x:c r="T13" s="12"/>
      <x:c r="U13" s="10" t="str">
        <x:f>IF(COUNT('Volume Ledger'!G11)=0,"",'Volume Ledger'!G11)</x:f>
      </x:c>
      <x:c r="V13" s="10" t="str">
        <x:f>'Event Gates'!D11</x:f>
        <x:v>OPEN</x:v>
      </x:c>
      <x:c r="W13" s="10" t="str">
        <x:f>'Evidence Objects'!J11</x:f>
        <x:v>OPEN</x:v>
      </x:c>
      <x:c r="X13" s="10" t="str">
        <x:f>Return!M11</x:f>
        <x:v>OPEN</x:v>
      </x:c>
      <x:c r="Y13" s="10" t="str">
        <x:f>Replay!E11</x:f>
        <x:v>OPEN</x:v>
      </x:c>
      <x:c r="Z13" s="10" t="str">
        <x:f>INDEX('Water Lots'!$N$6:$N$23,MATCH(F13,'Water Lots'!$A$6:$A$23,0))</x:f>
        <x:v>OPEN</x:v>
      </x:c>
      <x:c r="AA13" s="10" t="str">
        <x:f>IF(E13="","OPEN",INDEX('Module Bank'!$L$6:$L$23,MATCH(E13,'Module Bank'!$A$6:$A$23,0)))</x:f>
        <x:v>OPEN</x:v>
      </x:c>
      <x:c r="AB13" s="10" t="str">
        <x:f>IF(OR(COUNT(G13,I13:U13)&lt;14,COUNTA(H13)&lt;1,COUNTA(V13:AA13)&lt;6),"OPEN",IF(AND(G13=0,H13="PROHIBITED",I13&gt;='Assumptions'!$B$32,I13&lt;='Assumptions'!$B$33,J13&gt;='Assumptions'!$B$34,J13&lt;='Assumptions'!$B$35,ABS(K13)&lt;='Assumptions'!$B$37,L13&gt;='Assumptions'!$B$38,L13&lt;='Assumptions'!$B$39,M13&lt;='Assumptions'!$B$40,N13&gt;='Assumptions'!$B$41,O13&gt;='Assumptions'!$B$42,P13&lt;='Assumptions'!$B$43,ABS(Q13)&lt;='Assumptions'!$B$44,R13&lt;='Assumptions'!$B$45,S13&lt;='Assumptions'!$B$46,T13&lt;='Assumptions'!$B$47,U13=0,V13="COMPLETE",W13="COMPLETE",X13="ACCEPTED",Y13="ACCEPTED",Z13="RELEASED",AA13="ACCEPTED"),"CREDIT","VALID-ADVERSE"))</x:f>
        <x:v>OPEN</x:v>
      </x:c>
    </x:row>
    <x:row r="14">
      <x:c r="A14" s="10" t="str">
        <x:v>EV-07</x:v>
      </x:c>
      <x:c r="B14" s="10" t="str">
        <x:v>PRIMARY</x:v>
      </x:c>
      <x:c r="C14" s="10" t="str">
        <x:v>WTR-G</x:v>
      </x:c>
      <x:c r="D14" s="10" t="str">
        <x:v>CELL-07</x:v>
      </x:c>
      <x:c r="E14" s="10" t="str">
        <x:v>WRM-07</x:v>
      </x:c>
      <x:c r="F14" s="10" t="str">
        <x:v>WLOT-07</x:v>
      </x:c>
      <x:c r="G14" s="12"/>
      <x:c r="H14" s="12"/>
      <x:c r="I14" s="12"/>
      <x:c r="J14" s="12"/>
      <x:c r="K14" s="12"/>
      <x:c r="L14" s="12"/>
      <x:c r="M14" s="10" t="str">
        <x:f>IF(COUNT('Zone Summary'!E12)=0,"",'Zone Summary'!E12)</x:f>
      </x:c>
      <x:c r="N14" s="10" t="str">
        <x:f>IF(COUNT('Volume Ledger'!L12)=0,"",'Volume Ledger'!L12)</x:f>
      </x:c>
      <x:c r="O14" s="12"/>
      <x:c r="P14" s="12"/>
      <x:c r="Q14" s="10" t="str">
        <x:f>IF(COUNT('Volume Ledger'!K12)=0,"",'Volume Ledger'!K12)</x:f>
      </x:c>
      <x:c r="R14" s="10" t="str">
        <x:f>IF(COUNT('Volume Ledger'!D12)=0,"",'Volume Ledger'!D12)</x:f>
      </x:c>
      <x:c r="S14" s="12"/>
      <x:c r="T14" s="12"/>
      <x:c r="U14" s="10" t="str">
        <x:f>IF(COUNT('Volume Ledger'!G12)=0,"",'Volume Ledger'!G12)</x:f>
      </x:c>
      <x:c r="V14" s="10" t="str">
        <x:f>'Event Gates'!D12</x:f>
        <x:v>OPEN</x:v>
      </x:c>
      <x:c r="W14" s="10" t="str">
        <x:f>'Evidence Objects'!J12</x:f>
        <x:v>OPEN</x:v>
      </x:c>
      <x:c r="X14" s="10" t="str">
        <x:f>Return!M12</x:f>
        <x:v>OPEN</x:v>
      </x:c>
      <x:c r="Y14" s="10" t="str">
        <x:f>Replay!E12</x:f>
        <x:v>OPEN</x:v>
      </x:c>
      <x:c r="Z14" s="10" t="str">
        <x:f>INDEX('Water Lots'!$N$6:$N$23,MATCH(F14,'Water Lots'!$A$6:$A$23,0))</x:f>
        <x:v>OPEN</x:v>
      </x:c>
      <x:c r="AA14" s="10" t="str">
        <x:f>IF(E14="","OPEN",INDEX('Module Bank'!$L$6:$L$23,MATCH(E14,'Module Bank'!$A$6:$A$23,0)))</x:f>
        <x:v>OPEN</x:v>
      </x:c>
      <x:c r="AB14" s="10" t="str">
        <x:f>IF(OR(COUNT(G14,I14:U14)&lt;14,COUNTA(H14)&lt;1,COUNTA(V14:AA14)&lt;6),"OPEN",IF(AND(G14=0,H14="PROHIBITED",I14&gt;='Assumptions'!$B$32,I14&lt;='Assumptions'!$B$33,J14&gt;='Assumptions'!$B$34,J14&lt;='Assumptions'!$B$35,ABS(K14)&lt;='Assumptions'!$B$37,L14&gt;='Assumptions'!$B$38,L14&lt;='Assumptions'!$B$39,M14&lt;='Assumptions'!$B$40,N14&gt;='Assumptions'!$B$41,O14&gt;='Assumptions'!$B$42,P14&lt;='Assumptions'!$B$43,ABS(Q14)&lt;='Assumptions'!$B$44,R14&lt;='Assumptions'!$B$45,S14&lt;='Assumptions'!$B$46,T14&lt;='Assumptions'!$B$47,U14=0,V14="COMPLETE",W14="COMPLETE",X14="ACCEPTED",Y14="ACCEPTED",Z14="RELEASED",AA14="ACCEPTED"),"CREDIT","VALID-ADVERSE"))</x:f>
        <x:v>OPEN</x:v>
      </x:c>
    </x:row>
    <x:row r="15">
      <x:c r="A15" s="10" t="str">
        <x:v>EV-08</x:v>
      </x:c>
      <x:c r="B15" s="10" t="str">
        <x:v>PRIMARY</x:v>
      </x:c>
      <x:c r="C15" s="10" t="str">
        <x:v>WTR-V</x:v>
      </x:c>
      <x:c r="D15" s="10" t="str">
        <x:v>CELL-08</x:v>
      </x:c>
      <x:c r="E15" s="10" t="str">
        <x:v>WRM-08</x:v>
      </x:c>
      <x:c r="F15" s="10" t="str">
        <x:v>WLOT-08</x:v>
      </x:c>
      <x:c r="G15" s="12"/>
      <x:c r="H15" s="12"/>
      <x:c r="I15" s="12"/>
      <x:c r="J15" s="12"/>
      <x:c r="K15" s="12"/>
      <x:c r="L15" s="12"/>
      <x:c r="M15" s="10" t="str">
        <x:f>IF(COUNT('Zone Summary'!E13)=0,"",'Zone Summary'!E13)</x:f>
      </x:c>
      <x:c r="N15" s="10" t="str">
        <x:f>IF(COUNT('Volume Ledger'!L13)=0,"",'Volume Ledger'!L13)</x:f>
      </x:c>
      <x:c r="O15" s="12"/>
      <x:c r="P15" s="12"/>
      <x:c r="Q15" s="10" t="str">
        <x:f>IF(COUNT('Volume Ledger'!K13)=0,"",'Volume Ledger'!K13)</x:f>
      </x:c>
      <x:c r="R15" s="10" t="str">
        <x:f>IF(COUNT('Volume Ledger'!D13)=0,"",'Volume Ledger'!D13)</x:f>
      </x:c>
      <x:c r="S15" s="12"/>
      <x:c r="T15" s="12"/>
      <x:c r="U15" s="10" t="str">
        <x:f>IF(COUNT('Volume Ledger'!G13)=0,"",'Volume Ledger'!G13)</x:f>
      </x:c>
      <x:c r="V15" s="10" t="str">
        <x:f>'Event Gates'!D13</x:f>
        <x:v>OPEN</x:v>
      </x:c>
      <x:c r="W15" s="10" t="str">
        <x:f>'Evidence Objects'!J13</x:f>
        <x:v>OPEN</x:v>
      </x:c>
      <x:c r="X15" s="10" t="str">
        <x:f>Return!M13</x:f>
        <x:v>OPEN</x:v>
      </x:c>
      <x:c r="Y15" s="10" t="str">
        <x:f>Replay!E13</x:f>
        <x:v>OPEN</x:v>
      </x:c>
      <x:c r="Z15" s="10" t="str">
        <x:f>INDEX('Water Lots'!$N$6:$N$23,MATCH(F15,'Water Lots'!$A$6:$A$23,0))</x:f>
        <x:v>OPEN</x:v>
      </x:c>
      <x:c r="AA15" s="10" t="str">
        <x:f>IF(E15="","OPEN",INDEX('Module Bank'!$L$6:$L$23,MATCH(E15,'Module Bank'!$A$6:$A$23,0)))</x:f>
        <x:v>OPEN</x:v>
      </x:c>
      <x:c r="AB15" s="10" t="str">
        <x:f>IF(OR(COUNT(G15,I15:U15)&lt;14,COUNTA(H15)&lt;1,COUNTA(V15:AA15)&lt;6),"OPEN",IF(AND(G15=0,H15="PROHIBITED",I15&gt;='Assumptions'!$B$32,I15&lt;='Assumptions'!$B$33,J15&gt;='Assumptions'!$B$34,J15&lt;='Assumptions'!$B$35,ABS(K15)&lt;='Assumptions'!$B$37,L15&gt;='Assumptions'!$B$38,L15&lt;='Assumptions'!$B$39,M15&lt;='Assumptions'!$B$40,N15&gt;='Assumptions'!$B$41,O15&gt;='Assumptions'!$B$42,P15&lt;='Assumptions'!$B$43,ABS(Q15)&lt;='Assumptions'!$B$44,R15&lt;='Assumptions'!$B$45,S15&lt;='Assumptions'!$B$46,T15&lt;='Assumptions'!$B$47,U15=0,V15="COMPLETE",W15="COMPLETE",X15="ACCEPTED",Y15="ACCEPTED",Z15="RELEASED",AA15="ACCEPTED"),"CREDIT","VALID-ADVERSE"))</x:f>
        <x:v>OPEN</x:v>
      </x:c>
    </x:row>
    <x:row r="16">
      <x:c r="A16" s="10" t="str">
        <x:v>EV-09</x:v>
      </x:c>
      <x:c r="B16" s="10" t="str">
        <x:v>PRIMARY</x:v>
      </x:c>
      <x:c r="C16" s="10" t="str">
        <x:v>WTR-G</x:v>
      </x:c>
      <x:c r="D16" s="10" t="str">
        <x:v>CELL-09</x:v>
      </x:c>
      <x:c r="E16" s="10" t="str">
        <x:v>WRM-09</x:v>
      </x:c>
      <x:c r="F16" s="10" t="str">
        <x:v>WLOT-09</x:v>
      </x:c>
      <x:c r="G16" s="12"/>
      <x:c r="H16" s="12"/>
      <x:c r="I16" s="12"/>
      <x:c r="J16" s="12"/>
      <x:c r="K16" s="12"/>
      <x:c r="L16" s="12"/>
      <x:c r="M16" s="10" t="str">
        <x:f>IF(COUNT('Zone Summary'!E14)=0,"",'Zone Summary'!E14)</x:f>
      </x:c>
      <x:c r="N16" s="10" t="str">
        <x:f>IF(COUNT('Volume Ledger'!L14)=0,"",'Volume Ledger'!L14)</x:f>
      </x:c>
      <x:c r="O16" s="12"/>
      <x:c r="P16" s="12"/>
      <x:c r="Q16" s="10" t="str">
        <x:f>IF(COUNT('Volume Ledger'!K14)=0,"",'Volume Ledger'!K14)</x:f>
      </x:c>
      <x:c r="R16" s="10" t="str">
        <x:f>IF(COUNT('Volume Ledger'!D14)=0,"",'Volume Ledger'!D14)</x:f>
      </x:c>
      <x:c r="S16" s="12"/>
      <x:c r="T16" s="12"/>
      <x:c r="U16" s="10" t="str">
        <x:f>IF(COUNT('Volume Ledger'!G14)=0,"",'Volume Ledger'!G14)</x:f>
      </x:c>
      <x:c r="V16" s="10" t="str">
        <x:f>'Event Gates'!D14</x:f>
        <x:v>OPEN</x:v>
      </x:c>
      <x:c r="W16" s="10" t="str">
        <x:f>'Evidence Objects'!J14</x:f>
        <x:v>OPEN</x:v>
      </x:c>
      <x:c r="X16" s="10" t="str">
        <x:f>Return!M14</x:f>
        <x:v>OPEN</x:v>
      </x:c>
      <x:c r="Y16" s="10" t="str">
        <x:f>Replay!E14</x:f>
        <x:v>OPEN</x:v>
      </x:c>
      <x:c r="Z16" s="10" t="str">
        <x:f>INDEX('Water Lots'!$N$6:$N$23,MATCH(F16,'Water Lots'!$A$6:$A$23,0))</x:f>
        <x:v>OPEN</x:v>
      </x:c>
      <x:c r="AA16" s="10" t="str">
        <x:f>IF(E16="","OPEN",INDEX('Module Bank'!$L$6:$L$23,MATCH(E16,'Module Bank'!$A$6:$A$23,0)))</x:f>
        <x:v>OPEN</x:v>
      </x:c>
      <x:c r="AB16" s="10" t="str">
        <x:f>IF(OR(COUNT(G16,I16:U16)&lt;14,COUNTA(H16)&lt;1,COUNTA(V16:AA16)&lt;6),"OPEN",IF(AND(G16=0,H16="PROHIBITED",I16&gt;='Assumptions'!$B$32,I16&lt;='Assumptions'!$B$33,J16&gt;='Assumptions'!$B$34,J16&lt;='Assumptions'!$B$35,ABS(K16)&lt;='Assumptions'!$B$37,L16&gt;='Assumptions'!$B$38,L16&lt;='Assumptions'!$B$39,M16&lt;='Assumptions'!$B$40,N16&gt;='Assumptions'!$B$41,O16&gt;='Assumptions'!$B$42,P16&lt;='Assumptions'!$B$43,ABS(Q16)&lt;='Assumptions'!$B$44,R16&lt;='Assumptions'!$B$45,S16&lt;='Assumptions'!$B$46,T16&lt;='Assumptions'!$B$47,U16=0,V16="COMPLETE",W16="COMPLETE",X16="ACCEPTED",Y16="ACCEPTED",Z16="RELEASED",AA16="ACCEPTED"),"CREDIT","VALID-ADVERSE"))</x:f>
        <x:v>OPEN</x:v>
      </x:c>
    </x:row>
    <x:row r="17">
      <x:c r="A17" s="10" t="str">
        <x:v>EV-10</x:v>
      </x:c>
      <x:c r="B17" s="10" t="str">
        <x:v>PRIMARY</x:v>
      </x:c>
      <x:c r="C17" s="10" t="str">
        <x:v>WTR-V</x:v>
      </x:c>
      <x:c r="D17" s="10" t="str">
        <x:v>CELL-10</x:v>
      </x:c>
      <x:c r="E17" s="10" t="str">
        <x:v>WRM-10</x:v>
      </x:c>
      <x:c r="F17" s="10" t="str">
        <x:v>WLOT-10</x:v>
      </x:c>
      <x:c r="G17" s="12"/>
      <x:c r="H17" s="12"/>
      <x:c r="I17" s="12"/>
      <x:c r="J17" s="12"/>
      <x:c r="K17" s="12"/>
      <x:c r="L17" s="12"/>
      <x:c r="M17" s="10" t="str">
        <x:f>IF(COUNT('Zone Summary'!E15)=0,"",'Zone Summary'!E15)</x:f>
      </x:c>
      <x:c r="N17" s="10" t="str">
        <x:f>IF(COUNT('Volume Ledger'!L15)=0,"",'Volume Ledger'!L15)</x:f>
      </x:c>
      <x:c r="O17" s="12"/>
      <x:c r="P17" s="12"/>
      <x:c r="Q17" s="10" t="str">
        <x:f>IF(COUNT('Volume Ledger'!K15)=0,"",'Volume Ledger'!K15)</x:f>
      </x:c>
      <x:c r="R17" s="10" t="str">
        <x:f>IF(COUNT('Volume Ledger'!D15)=0,"",'Volume Ledger'!D15)</x:f>
      </x:c>
      <x:c r="S17" s="12"/>
      <x:c r="T17" s="12"/>
      <x:c r="U17" s="10" t="str">
        <x:f>IF(COUNT('Volume Ledger'!G15)=0,"",'Volume Ledger'!G15)</x:f>
      </x:c>
      <x:c r="V17" s="10" t="str">
        <x:f>'Event Gates'!D15</x:f>
        <x:v>OPEN</x:v>
      </x:c>
      <x:c r="W17" s="10" t="str">
        <x:f>'Evidence Objects'!J15</x:f>
        <x:v>OPEN</x:v>
      </x:c>
      <x:c r="X17" s="10" t="str">
        <x:f>Return!M15</x:f>
        <x:v>OPEN</x:v>
      </x:c>
      <x:c r="Y17" s="10" t="str">
        <x:f>Replay!E15</x:f>
        <x:v>OPEN</x:v>
      </x:c>
      <x:c r="Z17" s="10" t="str">
        <x:f>INDEX('Water Lots'!$N$6:$N$23,MATCH(F17,'Water Lots'!$A$6:$A$23,0))</x:f>
        <x:v>OPEN</x:v>
      </x:c>
      <x:c r="AA17" s="10" t="str">
        <x:f>IF(E17="","OPEN",INDEX('Module Bank'!$L$6:$L$23,MATCH(E17,'Module Bank'!$A$6:$A$23,0)))</x:f>
        <x:v>OPEN</x:v>
      </x:c>
      <x:c r="AB17" s="10" t="str">
        <x:f>IF(OR(COUNT(G17,I17:U17)&lt;14,COUNTA(H17)&lt;1,COUNTA(V17:AA17)&lt;6),"OPEN",IF(AND(G17=0,H17="PROHIBITED",I17&gt;='Assumptions'!$B$32,I17&lt;='Assumptions'!$B$33,J17&gt;='Assumptions'!$B$34,J17&lt;='Assumptions'!$B$35,ABS(K17)&lt;='Assumptions'!$B$37,L17&gt;='Assumptions'!$B$38,L17&lt;='Assumptions'!$B$39,M17&lt;='Assumptions'!$B$40,N17&gt;='Assumptions'!$B$41,O17&gt;='Assumptions'!$B$42,P17&lt;='Assumptions'!$B$43,ABS(Q17)&lt;='Assumptions'!$B$44,R17&lt;='Assumptions'!$B$45,S17&lt;='Assumptions'!$B$46,T17&lt;='Assumptions'!$B$47,U17=0,V17="COMPLETE",W17="COMPLETE",X17="ACCEPTED",Y17="ACCEPTED",Z17="RELEASED",AA17="ACCEPTED"),"CREDIT","VALID-ADVERSE"))</x:f>
        <x:v>OPEN</x:v>
      </x:c>
    </x:row>
    <x:row r="18">
      <x:c r="A18" s="10" t="str">
        <x:v>EV-11</x:v>
      </x:c>
      <x:c r="B18" s="10" t="str">
        <x:v>PRIMARY</x:v>
      </x:c>
      <x:c r="C18" s="10" t="str">
        <x:v>WTR-G</x:v>
      </x:c>
      <x:c r="D18" s="10" t="str">
        <x:v>CELL-11</x:v>
      </x:c>
      <x:c r="E18" s="10" t="str">
        <x:v>WRM-11</x:v>
      </x:c>
      <x:c r="F18" s="10" t="str">
        <x:v>WLOT-11</x:v>
      </x:c>
      <x:c r="G18" s="12"/>
      <x:c r="H18" s="12"/>
      <x:c r="I18" s="12"/>
      <x:c r="J18" s="12"/>
      <x:c r="K18" s="12"/>
      <x:c r="L18" s="12"/>
      <x:c r="M18" s="10" t="str">
        <x:f>IF(COUNT('Zone Summary'!E16)=0,"",'Zone Summary'!E16)</x:f>
      </x:c>
      <x:c r="N18" s="10" t="str">
        <x:f>IF(COUNT('Volume Ledger'!L16)=0,"",'Volume Ledger'!L16)</x:f>
      </x:c>
      <x:c r="O18" s="12"/>
      <x:c r="P18" s="12"/>
      <x:c r="Q18" s="10" t="str">
        <x:f>IF(COUNT('Volume Ledger'!K16)=0,"",'Volume Ledger'!K16)</x:f>
      </x:c>
      <x:c r="R18" s="10" t="str">
        <x:f>IF(COUNT('Volume Ledger'!D16)=0,"",'Volume Ledger'!D16)</x:f>
      </x:c>
      <x:c r="S18" s="12"/>
      <x:c r="T18" s="12"/>
      <x:c r="U18" s="10" t="str">
        <x:f>IF(COUNT('Volume Ledger'!G16)=0,"",'Volume Ledger'!G16)</x:f>
      </x:c>
      <x:c r="V18" s="10" t="str">
        <x:f>'Event Gates'!D16</x:f>
        <x:v>OPEN</x:v>
      </x:c>
      <x:c r="W18" s="10" t="str">
        <x:f>'Evidence Objects'!J16</x:f>
        <x:v>OPEN</x:v>
      </x:c>
      <x:c r="X18" s="10" t="str">
        <x:f>Return!M16</x:f>
        <x:v>OPEN</x:v>
      </x:c>
      <x:c r="Y18" s="10" t="str">
        <x:f>Replay!E16</x:f>
        <x:v>OPEN</x:v>
      </x:c>
      <x:c r="Z18" s="10" t="str">
        <x:f>INDEX('Water Lots'!$N$6:$N$23,MATCH(F18,'Water Lots'!$A$6:$A$23,0))</x:f>
        <x:v>OPEN</x:v>
      </x:c>
      <x:c r="AA18" s="10" t="str">
        <x:f>IF(E18="","OPEN",INDEX('Module Bank'!$L$6:$L$23,MATCH(E18,'Module Bank'!$A$6:$A$23,0)))</x:f>
        <x:v>OPEN</x:v>
      </x:c>
      <x:c r="AB18" s="10" t="str">
        <x:f>IF(OR(COUNT(G18,I18:U18)&lt;14,COUNTA(H18)&lt;1,COUNTA(V18:AA18)&lt;6),"OPEN",IF(AND(G18=0,H18="PROHIBITED",I18&gt;='Assumptions'!$B$32,I18&lt;='Assumptions'!$B$33,J18&gt;='Assumptions'!$B$34,J18&lt;='Assumptions'!$B$35,ABS(K18)&lt;='Assumptions'!$B$37,L18&gt;='Assumptions'!$B$38,L18&lt;='Assumptions'!$B$39,M18&lt;='Assumptions'!$B$40,N18&gt;='Assumptions'!$B$41,O18&gt;='Assumptions'!$B$42,P18&lt;='Assumptions'!$B$43,ABS(Q18)&lt;='Assumptions'!$B$44,R18&lt;='Assumptions'!$B$45,S18&lt;='Assumptions'!$B$46,T18&lt;='Assumptions'!$B$47,U18=0,V18="COMPLETE",W18="COMPLETE",X18="ACCEPTED",Y18="ACCEPTED",Z18="RELEASED",AA18="ACCEPTED"),"CREDIT","VALID-ADVERSE"))</x:f>
        <x:v>OPEN</x:v>
      </x:c>
    </x:row>
    <x:row r="19">
      <x:c r="A19" s="10" t="str">
        <x:v>EV-12</x:v>
      </x:c>
      <x:c r="B19" s="10" t="str">
        <x:v>PRIMARY</x:v>
      </x:c>
      <x:c r="C19" s="10" t="str">
        <x:v>WTR-V</x:v>
      </x:c>
      <x:c r="D19" s="10" t="str">
        <x:v>CELL-12</x:v>
      </x:c>
      <x:c r="E19" s="10" t="str">
        <x:v>WRM-12</x:v>
      </x:c>
      <x:c r="F19" s="10" t="str">
        <x:v>WLOT-12</x:v>
      </x:c>
      <x:c r="G19" s="12"/>
      <x:c r="H19" s="12"/>
      <x:c r="I19" s="12"/>
      <x:c r="J19" s="12"/>
      <x:c r="K19" s="12"/>
      <x:c r="L19" s="12"/>
      <x:c r="M19" s="10" t="str">
        <x:f>IF(COUNT('Zone Summary'!E17)=0,"",'Zone Summary'!E17)</x:f>
      </x:c>
      <x:c r="N19" s="10" t="str">
        <x:f>IF(COUNT('Volume Ledger'!L17)=0,"",'Volume Ledger'!L17)</x:f>
      </x:c>
      <x:c r="O19" s="12"/>
      <x:c r="P19" s="12"/>
      <x:c r="Q19" s="10" t="str">
        <x:f>IF(COUNT('Volume Ledger'!K17)=0,"",'Volume Ledger'!K17)</x:f>
      </x:c>
      <x:c r="R19" s="10" t="str">
        <x:f>IF(COUNT('Volume Ledger'!D17)=0,"",'Volume Ledger'!D17)</x:f>
      </x:c>
      <x:c r="S19" s="12"/>
      <x:c r="T19" s="12"/>
      <x:c r="U19" s="10" t="str">
        <x:f>IF(COUNT('Volume Ledger'!G17)=0,"",'Volume Ledger'!G17)</x:f>
      </x:c>
      <x:c r="V19" s="10" t="str">
        <x:f>'Event Gates'!D17</x:f>
        <x:v>OPEN</x:v>
      </x:c>
      <x:c r="W19" s="10" t="str">
        <x:f>'Evidence Objects'!J17</x:f>
        <x:v>OPEN</x:v>
      </x:c>
      <x:c r="X19" s="10" t="str">
        <x:f>Return!M17</x:f>
        <x:v>OPEN</x:v>
      </x:c>
      <x:c r="Y19" s="10" t="str">
        <x:f>Replay!E17</x:f>
        <x:v>OPEN</x:v>
      </x:c>
      <x:c r="Z19" s="10" t="str">
        <x:f>INDEX('Water Lots'!$N$6:$N$23,MATCH(F19,'Water Lots'!$A$6:$A$23,0))</x:f>
        <x:v>OPEN</x:v>
      </x:c>
      <x:c r="AA19" s="10" t="str">
        <x:f>IF(E19="","OPEN",INDEX('Module Bank'!$L$6:$L$23,MATCH(E19,'Module Bank'!$A$6:$A$23,0)))</x:f>
        <x:v>OPEN</x:v>
      </x:c>
      <x:c r="AB19" s="10" t="str">
        <x:f>IF(OR(COUNT(G19,I19:U19)&lt;14,COUNTA(H19)&lt;1,COUNTA(V19:AA19)&lt;6),"OPEN",IF(AND(G19=0,H19="PROHIBITED",I19&gt;='Assumptions'!$B$32,I19&lt;='Assumptions'!$B$33,J19&gt;='Assumptions'!$B$34,J19&lt;='Assumptions'!$B$35,ABS(K19)&lt;='Assumptions'!$B$37,L19&gt;='Assumptions'!$B$38,L19&lt;='Assumptions'!$B$39,M19&lt;='Assumptions'!$B$40,N19&gt;='Assumptions'!$B$41,O19&gt;='Assumptions'!$B$42,P19&lt;='Assumptions'!$B$43,ABS(Q19)&lt;='Assumptions'!$B$44,R19&lt;='Assumptions'!$B$45,S19&lt;='Assumptions'!$B$46,T19&lt;='Assumptions'!$B$47,U19=0,V19="COMPLETE",W19="COMPLETE",X19="ACCEPTED",Y19="ACCEPTED",Z19="RELEASED",AA19="ACCEPTED"),"CREDIT","VALID-ADVERSE"))</x:f>
        <x:v>OPEN</x:v>
      </x:c>
    </x:row>
    <x:row r="20">
      <x:c r="A20" s="10" t="str">
        <x:v>EV-13</x:v>
      </x:c>
      <x:c r="B20" s="10" t="str">
        <x:v>RESERVE</x:v>
      </x:c>
      <x:c r="C20" s="10" t="str">
        <x:v>WTR-G</x:v>
      </x:c>
      <x:c r="D20" s="12"/>
      <x:c r="E20" s="12"/>
      <x:c r="F20" s="10" t="str">
        <x:v>WLOT-13</x:v>
      </x:c>
      <x:c r="G20" s="12"/>
      <x:c r="H20" s="12"/>
      <x:c r="I20" s="12"/>
      <x:c r="J20" s="12"/>
      <x:c r="K20" s="12"/>
      <x:c r="L20" s="12"/>
      <x:c r="M20" s="10" t="str">
        <x:f>IF(COUNT('Zone Summary'!E18)=0,"",'Zone Summary'!E18)</x:f>
      </x:c>
      <x:c r="N20" s="10" t="str">
        <x:f>IF(COUNT('Volume Ledger'!L18)=0,"",'Volume Ledger'!L18)</x:f>
      </x:c>
      <x:c r="O20" s="12"/>
      <x:c r="P20" s="12"/>
      <x:c r="Q20" s="10" t="str">
        <x:f>IF(COUNT('Volume Ledger'!K18)=0,"",'Volume Ledger'!K18)</x:f>
      </x:c>
      <x:c r="R20" s="10" t="str">
        <x:f>IF(COUNT('Volume Ledger'!D18)=0,"",'Volume Ledger'!D18)</x:f>
      </x:c>
      <x:c r="S20" s="12"/>
      <x:c r="T20" s="12"/>
      <x:c r="U20" s="10" t="str">
        <x:f>IF(COUNT('Volume Ledger'!G18)=0,"",'Volume Ledger'!G18)</x:f>
      </x:c>
      <x:c r="V20" s="10" t="str">
        <x:f>'Event Gates'!D18</x:f>
        <x:v>OPEN</x:v>
      </x:c>
      <x:c r="W20" s="10" t="str">
        <x:f>'Evidence Objects'!J18</x:f>
        <x:v>OPEN</x:v>
      </x:c>
      <x:c r="X20" s="10" t="str">
        <x:f>Return!M18</x:f>
        <x:v>OPEN</x:v>
      </x:c>
      <x:c r="Y20" s="10" t="str">
        <x:f>Replay!E18</x:f>
        <x:v>OPEN</x:v>
      </x:c>
      <x:c r="Z20" s="10" t="str">
        <x:f>INDEX('Water Lots'!$N$6:$N$23,MATCH(F20,'Water Lots'!$A$6:$A$23,0))</x:f>
        <x:v>OPEN</x:v>
      </x:c>
      <x:c r="AA20" s="10" t="str">
        <x:f>IF(E20="","OPEN",INDEX('Module Bank'!$L$6:$L$23,MATCH(E20,'Module Bank'!$A$6:$A$23,0)))</x:f>
        <x:v>OPEN</x:v>
      </x:c>
      <x:c r="AB20" s="10" t="str">
        <x:f>IF(OR(COUNT(G20,I20:U20)&lt;14,COUNTA(H20)&lt;1,COUNTA(V20:AA20)&lt;6),"OPEN",IF(AND(G20=0,H20="PROHIBITED",I20&gt;='Assumptions'!$B$32,I20&lt;='Assumptions'!$B$33,J20&gt;='Assumptions'!$B$34,J20&lt;='Assumptions'!$B$35,ABS(K20)&lt;='Assumptions'!$B$37,L20&gt;='Assumptions'!$B$38,L20&lt;='Assumptions'!$B$39,M20&lt;='Assumptions'!$B$40,N20&gt;='Assumptions'!$B$41,O20&gt;='Assumptions'!$B$42,P20&lt;='Assumptions'!$B$43,ABS(Q20)&lt;='Assumptions'!$B$44,R20&lt;='Assumptions'!$B$45,S20&lt;='Assumptions'!$B$46,T20&lt;='Assumptions'!$B$47,U20=0,V20="COMPLETE",W20="COMPLETE",X20="ACCEPTED",Y20="ACCEPTED",Z20="RELEASED",AA20="ACCEPTED"),"CREDIT","VALID-ADVERSE"))</x:f>
        <x:v>OPEN</x:v>
      </x:c>
    </x:row>
    <x:row r="21">
      <x:c r="A21" s="10" t="str">
        <x:v>EV-14</x:v>
      </x:c>
      <x:c r="B21" s="10" t="str">
        <x:v>RESERVE</x:v>
      </x:c>
      <x:c r="C21" s="10" t="str">
        <x:v>WTR-V</x:v>
      </x:c>
      <x:c r="D21" s="12"/>
      <x:c r="E21" s="12"/>
      <x:c r="F21" s="10" t="str">
        <x:v>WLOT-14</x:v>
      </x:c>
      <x:c r="G21" s="12"/>
      <x:c r="H21" s="12"/>
      <x:c r="I21" s="12"/>
      <x:c r="J21" s="12"/>
      <x:c r="K21" s="12"/>
      <x:c r="L21" s="12"/>
      <x:c r="M21" s="10" t="str">
        <x:f>IF(COUNT('Zone Summary'!E19)=0,"",'Zone Summary'!E19)</x:f>
      </x:c>
      <x:c r="N21" s="10" t="str">
        <x:f>IF(COUNT('Volume Ledger'!L19)=0,"",'Volume Ledger'!L19)</x:f>
      </x:c>
      <x:c r="O21" s="12"/>
      <x:c r="P21" s="12"/>
      <x:c r="Q21" s="10" t="str">
        <x:f>IF(COUNT('Volume Ledger'!K19)=0,"",'Volume Ledger'!K19)</x:f>
      </x:c>
      <x:c r="R21" s="10" t="str">
        <x:f>IF(COUNT('Volume Ledger'!D19)=0,"",'Volume Ledger'!D19)</x:f>
      </x:c>
      <x:c r="S21" s="12"/>
      <x:c r="T21" s="12"/>
      <x:c r="U21" s="10" t="str">
        <x:f>IF(COUNT('Volume Ledger'!G19)=0,"",'Volume Ledger'!G19)</x:f>
      </x:c>
      <x:c r="V21" s="10" t="str">
        <x:f>'Event Gates'!D19</x:f>
        <x:v>OPEN</x:v>
      </x:c>
      <x:c r="W21" s="10" t="str">
        <x:f>'Evidence Objects'!J19</x:f>
        <x:v>OPEN</x:v>
      </x:c>
      <x:c r="X21" s="10" t="str">
        <x:f>Return!M19</x:f>
        <x:v>OPEN</x:v>
      </x:c>
      <x:c r="Y21" s="10" t="str">
        <x:f>Replay!E19</x:f>
        <x:v>OPEN</x:v>
      </x:c>
      <x:c r="Z21" s="10" t="str">
        <x:f>INDEX('Water Lots'!$N$6:$N$23,MATCH(F21,'Water Lots'!$A$6:$A$23,0))</x:f>
        <x:v>OPEN</x:v>
      </x:c>
      <x:c r="AA21" s="10" t="str">
        <x:f>IF(E21="","OPEN",INDEX('Module Bank'!$L$6:$L$23,MATCH(E21,'Module Bank'!$A$6:$A$23,0)))</x:f>
        <x:v>OPEN</x:v>
      </x:c>
      <x:c r="AB21" s="10" t="str">
        <x:f>IF(OR(COUNT(G21,I21:U21)&lt;14,COUNTA(H21)&lt;1,COUNTA(V21:AA21)&lt;6),"OPEN",IF(AND(G21=0,H21="PROHIBITED",I21&gt;='Assumptions'!$B$32,I21&lt;='Assumptions'!$B$33,J21&gt;='Assumptions'!$B$34,J21&lt;='Assumptions'!$B$35,ABS(K21)&lt;='Assumptions'!$B$37,L21&gt;='Assumptions'!$B$38,L21&lt;='Assumptions'!$B$39,M21&lt;='Assumptions'!$B$40,N21&gt;='Assumptions'!$B$41,O21&gt;='Assumptions'!$B$42,P21&lt;='Assumptions'!$B$43,ABS(Q21)&lt;='Assumptions'!$B$44,R21&lt;='Assumptions'!$B$45,S21&lt;='Assumptions'!$B$46,T21&lt;='Assumptions'!$B$47,U21=0,V21="COMPLETE",W21="COMPLETE",X21="ACCEPTED",Y21="ACCEPTED",Z21="RELEASED",AA21="ACCEPTED"),"CREDIT","VALID-ADVERSE"))</x:f>
        <x:v>OPEN</x:v>
      </x:c>
    </x:row>
    <x:row r="22">
      <x:c r="A22" s="10" t="str">
        <x:v>EV-15</x:v>
      </x:c>
      <x:c r="B22" s="10" t="str">
        <x:v>RESERVE</x:v>
      </x:c>
      <x:c r="C22" s="10" t="str">
        <x:v>WTR-G</x:v>
      </x:c>
      <x:c r="D22" s="12"/>
      <x:c r="E22" s="12"/>
      <x:c r="F22" s="10" t="str">
        <x:v>WLOT-15</x:v>
      </x:c>
      <x:c r="G22" s="12"/>
      <x:c r="H22" s="12"/>
      <x:c r="I22" s="12"/>
      <x:c r="J22" s="12"/>
      <x:c r="K22" s="12"/>
      <x:c r="L22" s="12"/>
      <x:c r="M22" s="10" t="str">
        <x:f>IF(COUNT('Zone Summary'!E20)=0,"",'Zone Summary'!E20)</x:f>
      </x:c>
      <x:c r="N22" s="10" t="str">
        <x:f>IF(COUNT('Volume Ledger'!L20)=0,"",'Volume Ledger'!L20)</x:f>
      </x:c>
      <x:c r="O22" s="12"/>
      <x:c r="P22" s="12"/>
      <x:c r="Q22" s="10" t="str">
        <x:f>IF(COUNT('Volume Ledger'!K20)=0,"",'Volume Ledger'!K20)</x:f>
      </x:c>
      <x:c r="R22" s="10" t="str">
        <x:f>IF(COUNT('Volume Ledger'!D20)=0,"",'Volume Ledger'!D20)</x:f>
      </x:c>
      <x:c r="S22" s="12"/>
      <x:c r="T22" s="12"/>
      <x:c r="U22" s="10" t="str">
        <x:f>IF(COUNT('Volume Ledger'!G20)=0,"",'Volume Ledger'!G20)</x:f>
      </x:c>
      <x:c r="V22" s="10" t="str">
        <x:f>'Event Gates'!D20</x:f>
        <x:v>OPEN</x:v>
      </x:c>
      <x:c r="W22" s="10" t="str">
        <x:f>'Evidence Objects'!J20</x:f>
        <x:v>OPEN</x:v>
      </x:c>
      <x:c r="X22" s="10" t="str">
        <x:f>Return!M20</x:f>
        <x:v>OPEN</x:v>
      </x:c>
      <x:c r="Y22" s="10" t="str">
        <x:f>Replay!E20</x:f>
        <x:v>OPEN</x:v>
      </x:c>
      <x:c r="Z22" s="10" t="str">
        <x:f>INDEX('Water Lots'!$N$6:$N$23,MATCH(F22,'Water Lots'!$A$6:$A$23,0))</x:f>
        <x:v>OPEN</x:v>
      </x:c>
      <x:c r="AA22" s="10" t="str">
        <x:f>IF(E22="","OPEN",INDEX('Module Bank'!$L$6:$L$23,MATCH(E22,'Module Bank'!$A$6:$A$23,0)))</x:f>
        <x:v>OPEN</x:v>
      </x:c>
      <x:c r="AB22" s="10" t="str">
        <x:f>IF(OR(COUNT(G22,I22:U22)&lt;14,COUNTA(H22)&lt;1,COUNTA(V22:AA22)&lt;6),"OPEN",IF(AND(G22=0,H22="PROHIBITED",I22&gt;='Assumptions'!$B$32,I22&lt;='Assumptions'!$B$33,J22&gt;='Assumptions'!$B$34,J22&lt;='Assumptions'!$B$35,ABS(K22)&lt;='Assumptions'!$B$37,L22&gt;='Assumptions'!$B$38,L22&lt;='Assumptions'!$B$39,M22&lt;='Assumptions'!$B$40,N22&gt;='Assumptions'!$B$41,O22&gt;='Assumptions'!$B$42,P22&lt;='Assumptions'!$B$43,ABS(Q22)&lt;='Assumptions'!$B$44,R22&lt;='Assumptions'!$B$45,S22&lt;='Assumptions'!$B$46,T22&lt;='Assumptions'!$B$47,U22=0,V22="COMPLETE",W22="COMPLETE",X22="ACCEPTED",Y22="ACCEPTED",Z22="RELEASED",AA22="ACCEPTED"),"CREDIT","VALID-ADVERSE"))</x:f>
        <x:v>OPEN</x:v>
      </x:c>
    </x:row>
    <x:row r="23">
      <x:c r="A23" s="10" t="str">
        <x:v>EV-16</x:v>
      </x:c>
      <x:c r="B23" s="10" t="str">
        <x:v>RESERVE</x:v>
      </x:c>
      <x:c r="C23" s="10" t="str">
        <x:v>WTR-V</x:v>
      </x:c>
      <x:c r="D23" s="12"/>
      <x:c r="E23" s="12"/>
      <x:c r="F23" s="10" t="str">
        <x:v>WLOT-16</x:v>
      </x:c>
      <x:c r="G23" s="12"/>
      <x:c r="H23" s="12"/>
      <x:c r="I23" s="12"/>
      <x:c r="J23" s="12"/>
      <x:c r="K23" s="12"/>
      <x:c r="L23" s="12"/>
      <x:c r="M23" s="10" t="str">
        <x:f>IF(COUNT('Zone Summary'!E21)=0,"",'Zone Summary'!E21)</x:f>
      </x:c>
      <x:c r="N23" s="10" t="str">
        <x:f>IF(COUNT('Volume Ledger'!L21)=0,"",'Volume Ledger'!L21)</x:f>
      </x:c>
      <x:c r="O23" s="12"/>
      <x:c r="P23" s="12"/>
      <x:c r="Q23" s="10" t="str">
        <x:f>IF(COUNT('Volume Ledger'!K21)=0,"",'Volume Ledger'!K21)</x:f>
      </x:c>
      <x:c r="R23" s="10" t="str">
        <x:f>IF(COUNT('Volume Ledger'!D21)=0,"",'Volume Ledger'!D21)</x:f>
      </x:c>
      <x:c r="S23" s="12"/>
      <x:c r="T23" s="12"/>
      <x:c r="U23" s="10" t="str">
        <x:f>IF(COUNT('Volume Ledger'!G21)=0,"",'Volume Ledger'!G21)</x:f>
      </x:c>
      <x:c r="V23" s="10" t="str">
        <x:f>'Event Gates'!D21</x:f>
        <x:v>OPEN</x:v>
      </x:c>
      <x:c r="W23" s="10" t="str">
        <x:f>'Evidence Objects'!J21</x:f>
        <x:v>OPEN</x:v>
      </x:c>
      <x:c r="X23" s="10" t="str">
        <x:f>Return!M21</x:f>
        <x:v>OPEN</x:v>
      </x:c>
      <x:c r="Y23" s="10" t="str">
        <x:f>Replay!E21</x:f>
        <x:v>OPEN</x:v>
      </x:c>
      <x:c r="Z23" s="10" t="str">
        <x:f>INDEX('Water Lots'!$N$6:$N$23,MATCH(F23,'Water Lots'!$A$6:$A$23,0))</x:f>
        <x:v>OPEN</x:v>
      </x:c>
      <x:c r="AA23" s="10" t="str">
        <x:f>IF(E23="","OPEN",INDEX('Module Bank'!$L$6:$L$23,MATCH(E23,'Module Bank'!$A$6:$A$23,0)))</x:f>
        <x:v>OPEN</x:v>
      </x:c>
      <x:c r="AB23" s="10" t="str">
        <x:f>IF(OR(COUNT(G23,I23:U23)&lt;14,COUNTA(H23)&lt;1,COUNTA(V23:AA23)&lt;6),"OPEN",IF(AND(G23=0,H23="PROHIBITED",I23&gt;='Assumptions'!$B$32,I23&lt;='Assumptions'!$B$33,J23&gt;='Assumptions'!$B$34,J23&lt;='Assumptions'!$B$35,ABS(K23)&lt;='Assumptions'!$B$37,L23&gt;='Assumptions'!$B$38,L23&lt;='Assumptions'!$B$39,M23&lt;='Assumptions'!$B$40,N23&gt;='Assumptions'!$B$41,O23&gt;='Assumptions'!$B$42,P23&lt;='Assumptions'!$B$43,ABS(Q23)&lt;='Assumptions'!$B$44,R23&lt;='Assumptions'!$B$45,S23&lt;='Assumptions'!$B$46,T23&lt;='Assumptions'!$B$47,U23=0,V23="COMPLETE",W23="COMPLETE",X23="ACCEPTED",Y23="ACCEPTED",Z23="RELEASED",AA23="ACCEPTED"),"CREDIT","VALID-ADVERSE"))</x:f>
        <x:v>OPEN</x:v>
      </x:c>
    </x:row>
  </x:sheetData>
  <x:mergeCells>
    <x:mergeCell ref="A2:AB2"/>
    <x:mergeCell ref="A5:AB5"/>
  </x:mergeCells>
  <x:conditionalFormatting sqref="AB8:AB23">
    <x:cfRule type="containsText" dxfId="25" priority="1" operator="containsText" text="DENY"/>
    <x:cfRule type="containsText" dxfId="26" priority="2" operator="containsText" text="ADVERSE"/>
    <x:cfRule type="containsText" dxfId="27" priority="3" operator="containsText" text="FAIL"/>
    <x:cfRule type="containsText" dxfId="28" priority="4" operator="containsText" text="OPEN"/>
    <x:cfRule type="containsText" dxfId="2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12290bc4689543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</x:cols>
  <x:sheetData>
    <x:row r="2" ht="24" customHeight="1">
      <x:c r="A2" s="1" t="str">
        <x:v>Forty-eight closure gates per ER-02 event</x:v>
      </x:c>
    </x:row>
    <x:row r="4" ht="22" customHeight="1">
      <x:c r="A4" s="2"/>
      <x:c r="B4" s="2"/>
      <x:c r="C4" s="2"/>
      <x:c r="D4" s="2"/>
    </x:row>
    <x:row r="5">
      <x:c r="A5" s="8" t="str">
        <x:v>Event</x:v>
      </x:c>
      <x:c r="B5" s="8" t="str">
        <x:v>Required gates</x:v>
      </x:c>
      <x:c r="C5" s="8" t="str">
        <x:v>Closed gates</x:v>
      </x:c>
      <x:c r="D5" s="8" t="str">
        <x:v>State</x:v>
      </x:c>
    </x:row>
    <x:row r="6">
      <x:c r="A6" s="10" t="str">
        <x:v>EV-01</x:v>
      </x:c>
      <x:c r="B6" s="10" t="n">
        <x:v>48</x:v>
      </x:c>
      <x:c r="C6" s="12"/>
      <x:c r="D6" s="10" t="str">
        <x:f>IF(C6="","OPEN",IF(C6=B6,"COMPLETE","DENY"))</x:f>
        <x:v>OPEN</x:v>
      </x:c>
    </x:row>
    <x:row r="7">
      <x:c r="A7" s="10" t="str">
        <x:v>EV-02</x:v>
      </x:c>
      <x:c r="B7" s="10" t="n">
        <x:v>48</x:v>
      </x:c>
      <x:c r="C7" s="12"/>
      <x:c r="D7" s="10" t="str">
        <x:f>IF(C7="","OPEN",IF(C7=B7,"COMPLETE","DENY"))</x:f>
        <x:v>OPEN</x:v>
      </x:c>
    </x:row>
    <x:row r="8">
      <x:c r="A8" s="10" t="str">
        <x:v>EV-03</x:v>
      </x:c>
      <x:c r="B8" s="10" t="n">
        <x:v>48</x:v>
      </x:c>
      <x:c r="C8" s="12"/>
      <x:c r="D8" s="10" t="str">
        <x:f>IF(C8="","OPEN",IF(C8=B8,"COMPLETE","DENY"))</x:f>
        <x:v>OPEN</x:v>
      </x:c>
    </x:row>
    <x:row r="9">
      <x:c r="A9" s="10" t="str">
        <x:v>EV-04</x:v>
      </x:c>
      <x:c r="B9" s="10" t="n">
        <x:v>48</x:v>
      </x:c>
      <x:c r="C9" s="12"/>
      <x:c r="D9" s="10" t="str">
        <x:f>IF(C9="","OPEN",IF(C9=B9,"COMPLETE","DENY"))</x:f>
        <x:v>OPEN</x:v>
      </x:c>
    </x:row>
    <x:row r="10">
      <x:c r="A10" s="10" t="str">
        <x:v>EV-05</x:v>
      </x:c>
      <x:c r="B10" s="10" t="n">
        <x:v>48</x:v>
      </x:c>
      <x:c r="C10" s="12"/>
      <x:c r="D10" s="10" t="str">
        <x:f>IF(C10="","OPEN",IF(C10=B10,"COMPLETE","DENY"))</x:f>
        <x:v>OPEN</x:v>
      </x:c>
    </x:row>
    <x:row r="11">
      <x:c r="A11" s="10" t="str">
        <x:v>EV-06</x:v>
      </x:c>
      <x:c r="B11" s="10" t="n">
        <x:v>48</x:v>
      </x:c>
      <x:c r="C11" s="12"/>
      <x:c r="D11" s="10" t="str">
        <x:f>IF(C11="","OPEN",IF(C11=B11,"COMPLETE","DENY"))</x:f>
        <x:v>OPEN</x:v>
      </x:c>
    </x:row>
    <x:row r="12">
      <x:c r="A12" s="10" t="str">
        <x:v>EV-07</x:v>
      </x:c>
      <x:c r="B12" s="10" t="n">
        <x:v>48</x:v>
      </x:c>
      <x:c r="C12" s="12"/>
      <x:c r="D12" s="10" t="str">
        <x:f>IF(C12="","OPEN",IF(C12=B12,"COMPLETE","DENY"))</x:f>
        <x:v>OPEN</x:v>
      </x:c>
    </x:row>
    <x:row r="13">
      <x:c r="A13" s="10" t="str">
        <x:v>EV-08</x:v>
      </x:c>
      <x:c r="B13" s="10" t="n">
        <x:v>48</x:v>
      </x:c>
      <x:c r="C13" s="12"/>
      <x:c r="D13" s="10" t="str">
        <x:f>IF(C13="","OPEN",IF(C13=B13,"COMPLETE","DENY"))</x:f>
        <x:v>OPEN</x:v>
      </x:c>
    </x:row>
    <x:row r="14">
      <x:c r="A14" s="10" t="str">
        <x:v>EV-09</x:v>
      </x:c>
      <x:c r="B14" s="10" t="n">
        <x:v>48</x:v>
      </x:c>
      <x:c r="C14" s="12"/>
      <x:c r="D14" s="10" t="str">
        <x:f>IF(C14="","OPEN",IF(C14=B14,"COMPLETE","DENY"))</x:f>
        <x:v>OPEN</x:v>
      </x:c>
    </x:row>
    <x:row r="15">
      <x:c r="A15" s="10" t="str">
        <x:v>EV-10</x:v>
      </x:c>
      <x:c r="B15" s="10" t="n">
        <x:v>48</x:v>
      </x:c>
      <x:c r="C15" s="12"/>
      <x:c r="D15" s="10" t="str">
        <x:f>IF(C15="","OPEN",IF(C15=B15,"COMPLETE","DENY"))</x:f>
        <x:v>OPEN</x:v>
      </x:c>
    </x:row>
    <x:row r="16">
      <x:c r="A16" s="10" t="str">
        <x:v>EV-11</x:v>
      </x:c>
      <x:c r="B16" s="10" t="n">
        <x:v>48</x:v>
      </x:c>
      <x:c r="C16" s="12"/>
      <x:c r="D16" s="10" t="str">
        <x:f>IF(C16="","OPEN",IF(C16=B16,"COMPLETE","DENY"))</x:f>
        <x:v>OPEN</x:v>
      </x:c>
    </x:row>
    <x:row r="17">
      <x:c r="A17" s="10" t="str">
        <x:v>EV-12</x:v>
      </x:c>
      <x:c r="B17" s="10" t="n">
        <x:v>48</x:v>
      </x:c>
      <x:c r="C17" s="12"/>
      <x:c r="D17" s="10" t="str">
        <x:f>IF(C17="","OPEN",IF(C17=B17,"COMPLETE","DENY"))</x:f>
        <x:v>OPEN</x:v>
      </x:c>
    </x:row>
    <x:row r="18">
      <x:c r="A18" s="10" t="str">
        <x:v>EV-13</x:v>
      </x:c>
      <x:c r="B18" s="10" t="n">
        <x:v>48</x:v>
      </x:c>
      <x:c r="C18" s="12"/>
      <x:c r="D18" s="10" t="str">
        <x:f>IF(C18="","OPEN",IF(C18=B18,"COMPLETE","DENY"))</x:f>
        <x:v>OPEN</x:v>
      </x:c>
    </x:row>
    <x:row r="19">
      <x:c r="A19" s="10" t="str">
        <x:v>EV-14</x:v>
      </x:c>
      <x:c r="B19" s="10" t="n">
        <x:v>48</x:v>
      </x:c>
      <x:c r="C19" s="12"/>
      <x:c r="D19" s="10" t="str">
        <x:f>IF(C19="","OPEN",IF(C19=B19,"COMPLETE","DENY"))</x:f>
        <x:v>OPEN</x:v>
      </x:c>
    </x:row>
    <x:row r="20">
      <x:c r="A20" s="10" t="str">
        <x:v>EV-15</x:v>
      </x:c>
      <x:c r="B20" s="10" t="n">
        <x:v>48</x:v>
      </x:c>
      <x:c r="C20" s="12"/>
      <x:c r="D20" s="10" t="str">
        <x:f>IF(C20="","OPEN",IF(C20=B20,"COMPLETE","DENY"))</x:f>
        <x:v>OPEN</x:v>
      </x:c>
    </x:row>
    <x:row r="21">
      <x:c r="A21" s="10" t="str">
        <x:v>EV-16</x:v>
      </x:c>
      <x:c r="B21" s="10" t="n">
        <x:v>48</x:v>
      </x:c>
      <x:c r="C21" s="12"/>
      <x:c r="D21" s="10" t="str">
        <x:f>IF(C21="","OPEN",IF(C21=B21,"COMPLETE","DENY"))</x:f>
        <x:v>OPEN</x:v>
      </x:c>
    </x:row>
  </x:sheetData>
  <x:mergeCells>
    <x:mergeCell ref="A2:D2"/>
  </x:mergeCells>
  <x:conditionalFormatting sqref="D6:D21">
    <x:cfRule type="containsText" dxfId="30" priority="1" operator="containsText" text="DENY"/>
    <x:cfRule type="containsText" dxfId="31" priority="2" operator="containsText" text="ADVERSE"/>
    <x:cfRule type="containsText" dxfId="32" priority="3" operator="containsText" text="FAIL"/>
    <x:cfRule type="containsText" dxfId="33" priority="4" operator="containsText" text="OPEN"/>
    <x:cfRule type="containsText" dxfId="3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3ba196c2246941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8" hidden="0" customWidth="1"/>
    <x:col min="5" max="5" width="13" hidden="0" customWidth="1"/>
    <x:col min="6" max="6" width="16" hidden="0" customWidth="1"/>
    <x:col min="7" max="7" width="14" hidden="0" customWidth="1"/>
    <x:col min="8" max="8" width="13" hidden="0" customWidth="1"/>
    <x:col min="9" max="9" width="17" hidden="0" customWidth="1"/>
    <x:col min="10" max="10" width="16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2" ht="24" customHeight="1">
      <x:c r="A2" s="1" t="str">
        <x:v>Closed event-volume ledger</x:v>
      </x:c>
    </x:row>
    <x:row r="4" ht="24" customHeight="1">
      <x:c r="A4" s="15" t="str">
        <x:v>Every disposition path is numeric; zero is observed, never inferred.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</x:row>
    <x:row r="5">
      <x:c r="A5" s="8" t="str">
        <x:v>Event</x:v>
      </x:c>
      <x:c r="B5" s="8" t="str">
        <x:v>Issue m³</x:v>
      </x:c>
      <x:c r="C5" s="8" t="str">
        <x:v>Recovered m³</x:v>
      </x:c>
      <x:c r="D5" s="8" t="str">
        <x:v>Retained 24 h m³</x:v>
      </x:c>
      <x:c r="E5" s="8" t="str">
        <x:v>Sample m³</x:v>
      </x:c>
      <x:c r="F5" s="8" t="str">
        <x:v>Quarantine m³</x:v>
      </x:c>
      <x:c r="G5" s="8" t="str">
        <x:v>Casualty m³</x:v>
      </x:c>
      <x:c r="H5" s="8" t="str">
        <x:v>Vapor m³</x:v>
      </x:c>
      <x:c r="I5" s="8" t="str">
        <x:v>Environment m³</x:v>
      </x:c>
      <x:c r="J5" s="8" t="str">
        <x:v>Accounted m³</x:v>
      </x:c>
      <x:c r="K5" s="8" t="str">
        <x:v>Unexplained m³</x:v>
      </x:c>
      <x:c r="L5" s="8" t="str">
        <x:v>Accounted fraction</x:v>
      </x:c>
      <x:c r="M5" s="8" t="str">
        <x:v>State</x:v>
      </x:c>
    </x:row>
    <x:row r="6">
      <x:c r="A6" s="10" t="str">
        <x:v>EV-01</x:v>
      </x:c>
      <x:c r="B6" s="10" t="str">
        <x:f>IF(COUNT('Event Register'!I8)=0,"",'Event Register'!I8)</x:f>
      </x:c>
      <x:c r="C6" s="12"/>
      <x:c r="D6" s="12"/>
      <x:c r="E6" s="12"/>
      <x:c r="F6" s="12"/>
      <x:c r="G6" s="12"/>
      <x:c r="H6" s="12"/>
      <x:c r="I6" s="12"/>
      <x:c r="J6" s="10" t="str">
        <x:f>IF(COUNT(C6:I6)&lt;7,"",SUM(C6:I6))</x:f>
      </x:c>
      <x:c r="K6" s="10" t="str">
        <x:f>IF(OR(B6="",J6=""),"",B6-J6)</x:f>
      </x:c>
      <x:c r="L6" s="10" t="str">
        <x:f>IF(OR(B6="",J6=""),"",J6/B6)</x:f>
      </x:c>
      <x:c r="M6" s="10" t="str">
        <x:f>IF(COUNT(C6:I6)&lt;7,"OPEN",IF(AND(MIN(C6:I6)&gt;=0,ABS(K6)&lt;='Assumptions'!$B$44,L6&gt;='Assumptions'!$B$41,I6=0),"PASS","DENY"))</x:f>
        <x:v>OPEN</x:v>
      </x:c>
    </x:row>
    <x:row r="7">
      <x:c r="A7" s="10" t="str">
        <x:v>EV-02</x:v>
      </x:c>
      <x:c r="B7" s="10" t="str">
        <x:f>IF(COUNT('Event Register'!I9)=0,"",'Event Register'!I9)</x:f>
      </x:c>
      <x:c r="C7" s="12"/>
      <x:c r="D7" s="12"/>
      <x:c r="E7" s="12"/>
      <x:c r="F7" s="12"/>
      <x:c r="G7" s="12"/>
      <x:c r="H7" s="12"/>
      <x:c r="I7" s="12"/>
      <x:c r="J7" s="10" t="str">
        <x:f>IF(COUNT(C7:I7)&lt;7,"",SUM(C7:I7))</x:f>
      </x:c>
      <x:c r="K7" s="10" t="str">
        <x:f>IF(OR(B7="",J7=""),"",B7-J7)</x:f>
      </x:c>
      <x:c r="L7" s="10" t="str">
        <x:f>IF(OR(B7="",J7=""),"",J7/B7)</x:f>
      </x:c>
      <x:c r="M7" s="10" t="str">
        <x:f>IF(COUNT(C7:I7)&lt;7,"OPEN",IF(AND(MIN(C7:I7)&gt;=0,ABS(K7)&lt;='Assumptions'!$B$44,L7&gt;='Assumptions'!$B$41,I7=0),"PASS","DENY"))</x:f>
        <x:v>OPEN</x:v>
      </x:c>
    </x:row>
    <x:row r="8">
      <x:c r="A8" s="10" t="str">
        <x:v>EV-03</x:v>
      </x:c>
      <x:c r="B8" s="10" t="str">
        <x:f>IF(COUNT('Event Register'!I10)=0,"",'Event Register'!I10)</x:f>
      </x:c>
      <x:c r="C8" s="12"/>
      <x:c r="D8" s="12"/>
      <x:c r="E8" s="12"/>
      <x:c r="F8" s="12"/>
      <x:c r="G8" s="12"/>
      <x:c r="H8" s="12"/>
      <x:c r="I8" s="12"/>
      <x:c r="J8" s="10" t="str">
        <x:f>IF(COUNT(C8:I8)&lt;7,"",SUM(C8:I8))</x:f>
      </x:c>
      <x:c r="K8" s="10" t="str">
        <x:f>IF(OR(B8="",J8=""),"",B8-J8)</x:f>
      </x:c>
      <x:c r="L8" s="10" t="str">
        <x:f>IF(OR(B8="",J8=""),"",J8/B8)</x:f>
      </x:c>
      <x:c r="M8" s="10" t="str">
        <x:f>IF(COUNT(C8:I8)&lt;7,"OPEN",IF(AND(MIN(C8:I8)&gt;=0,ABS(K8)&lt;='Assumptions'!$B$44,L8&gt;='Assumptions'!$B$41,I8=0),"PASS","DENY"))</x:f>
        <x:v>OPEN</x:v>
      </x:c>
    </x:row>
    <x:row r="9">
      <x:c r="A9" s="10" t="str">
        <x:v>EV-04</x:v>
      </x:c>
      <x:c r="B9" s="10" t="str">
        <x:f>IF(COUNT('Event Register'!I11)=0,"",'Event Register'!I11)</x:f>
      </x:c>
      <x:c r="C9" s="12"/>
      <x:c r="D9" s="12"/>
      <x:c r="E9" s="12"/>
      <x:c r="F9" s="12"/>
      <x:c r="G9" s="12"/>
      <x:c r="H9" s="12"/>
      <x:c r="I9" s="12"/>
      <x:c r="J9" s="10" t="str">
        <x:f>IF(COUNT(C9:I9)&lt;7,"",SUM(C9:I9))</x:f>
      </x:c>
      <x:c r="K9" s="10" t="str">
        <x:f>IF(OR(B9="",J9=""),"",B9-J9)</x:f>
      </x:c>
      <x:c r="L9" s="10" t="str">
        <x:f>IF(OR(B9="",J9=""),"",J9/B9)</x:f>
      </x:c>
      <x:c r="M9" s="10" t="str">
        <x:f>IF(COUNT(C9:I9)&lt;7,"OPEN",IF(AND(MIN(C9:I9)&gt;=0,ABS(K9)&lt;='Assumptions'!$B$44,L9&gt;='Assumptions'!$B$41,I9=0),"PASS","DENY"))</x:f>
        <x:v>OPEN</x:v>
      </x:c>
    </x:row>
    <x:row r="10">
      <x:c r="A10" s="10" t="str">
        <x:v>EV-05</x:v>
      </x:c>
      <x:c r="B10" s="10" t="str">
        <x:f>IF(COUNT('Event Register'!I12)=0,"",'Event Register'!I12)</x:f>
      </x:c>
      <x:c r="C10" s="12"/>
      <x:c r="D10" s="12"/>
      <x:c r="E10" s="12"/>
      <x:c r="F10" s="12"/>
      <x:c r="G10" s="12"/>
      <x:c r="H10" s="12"/>
      <x:c r="I10" s="12"/>
      <x:c r="J10" s="10" t="str">
        <x:f>IF(COUNT(C10:I10)&lt;7,"",SUM(C10:I10))</x:f>
      </x:c>
      <x:c r="K10" s="10" t="str">
        <x:f>IF(OR(B10="",J10=""),"",B10-J10)</x:f>
      </x:c>
      <x:c r="L10" s="10" t="str">
        <x:f>IF(OR(B10="",J10=""),"",J10/B10)</x:f>
      </x:c>
      <x:c r="M10" s="10" t="str">
        <x:f>IF(COUNT(C10:I10)&lt;7,"OPEN",IF(AND(MIN(C10:I10)&gt;=0,ABS(K10)&lt;='Assumptions'!$B$44,L10&gt;='Assumptions'!$B$41,I10=0),"PASS","DENY"))</x:f>
        <x:v>OPEN</x:v>
      </x:c>
    </x:row>
    <x:row r="11">
      <x:c r="A11" s="10" t="str">
        <x:v>EV-06</x:v>
      </x:c>
      <x:c r="B11" s="10" t="str">
        <x:f>IF(COUNT('Event Register'!I13)=0,"",'Event Register'!I13)</x:f>
      </x:c>
      <x:c r="C11" s="12"/>
      <x:c r="D11" s="12"/>
      <x:c r="E11" s="12"/>
      <x:c r="F11" s="12"/>
      <x:c r="G11" s="12"/>
      <x:c r="H11" s="12"/>
      <x:c r="I11" s="12"/>
      <x:c r="J11" s="10" t="str">
        <x:f>IF(COUNT(C11:I11)&lt;7,"",SUM(C11:I11))</x:f>
      </x:c>
      <x:c r="K11" s="10" t="str">
        <x:f>IF(OR(B11="",J11=""),"",B11-J11)</x:f>
      </x:c>
      <x:c r="L11" s="10" t="str">
        <x:f>IF(OR(B11="",J11=""),"",J11/B11)</x:f>
      </x:c>
      <x:c r="M11" s="10" t="str">
        <x:f>IF(COUNT(C11:I11)&lt;7,"OPEN",IF(AND(MIN(C11:I11)&gt;=0,ABS(K11)&lt;='Assumptions'!$B$44,L11&gt;='Assumptions'!$B$41,I11=0),"PASS","DENY"))</x:f>
        <x:v>OPEN</x:v>
      </x:c>
    </x:row>
    <x:row r="12">
      <x:c r="A12" s="10" t="str">
        <x:v>EV-07</x:v>
      </x:c>
      <x:c r="B12" s="10" t="str">
        <x:f>IF(COUNT('Event Register'!I14)=0,"",'Event Register'!I14)</x:f>
      </x:c>
      <x:c r="C12" s="12"/>
      <x:c r="D12" s="12"/>
      <x:c r="E12" s="12"/>
      <x:c r="F12" s="12"/>
      <x:c r="G12" s="12"/>
      <x:c r="H12" s="12"/>
      <x:c r="I12" s="12"/>
      <x:c r="J12" s="10" t="str">
        <x:f>IF(COUNT(C12:I12)&lt;7,"",SUM(C12:I12))</x:f>
      </x:c>
      <x:c r="K12" s="10" t="str">
        <x:f>IF(OR(B12="",J12=""),"",B12-J12)</x:f>
      </x:c>
      <x:c r="L12" s="10" t="str">
        <x:f>IF(OR(B12="",J12=""),"",J12/B12)</x:f>
      </x:c>
      <x:c r="M12" s="10" t="str">
        <x:f>IF(COUNT(C12:I12)&lt;7,"OPEN",IF(AND(MIN(C12:I12)&gt;=0,ABS(K12)&lt;='Assumptions'!$B$44,L12&gt;='Assumptions'!$B$41,I12=0),"PASS","DENY"))</x:f>
        <x:v>OPEN</x:v>
      </x:c>
    </x:row>
    <x:row r="13">
      <x:c r="A13" s="10" t="str">
        <x:v>EV-08</x:v>
      </x:c>
      <x:c r="B13" s="10" t="str">
        <x:f>IF(COUNT('Event Register'!I15)=0,"",'Event Register'!I15)</x:f>
      </x:c>
      <x:c r="C13" s="12"/>
      <x:c r="D13" s="12"/>
      <x:c r="E13" s="12"/>
      <x:c r="F13" s="12"/>
      <x:c r="G13" s="12"/>
      <x:c r="H13" s="12"/>
      <x:c r="I13" s="12"/>
      <x:c r="J13" s="10" t="str">
        <x:f>IF(COUNT(C13:I13)&lt;7,"",SUM(C13:I13))</x:f>
      </x:c>
      <x:c r="K13" s="10" t="str">
        <x:f>IF(OR(B13="",J13=""),"",B13-J13)</x:f>
      </x:c>
      <x:c r="L13" s="10" t="str">
        <x:f>IF(OR(B13="",J13=""),"",J13/B13)</x:f>
      </x:c>
      <x:c r="M13" s="10" t="str">
        <x:f>IF(COUNT(C13:I13)&lt;7,"OPEN",IF(AND(MIN(C13:I13)&gt;=0,ABS(K13)&lt;='Assumptions'!$B$44,L13&gt;='Assumptions'!$B$41,I13=0),"PASS","DENY"))</x:f>
        <x:v>OPEN</x:v>
      </x:c>
    </x:row>
    <x:row r="14">
      <x:c r="A14" s="10" t="str">
        <x:v>EV-09</x:v>
      </x:c>
      <x:c r="B14" s="10" t="str">
        <x:f>IF(COUNT('Event Register'!I16)=0,"",'Event Register'!I16)</x:f>
      </x:c>
      <x:c r="C14" s="12"/>
      <x:c r="D14" s="12"/>
      <x:c r="E14" s="12"/>
      <x:c r="F14" s="12"/>
      <x:c r="G14" s="12"/>
      <x:c r="H14" s="12"/>
      <x:c r="I14" s="12"/>
      <x:c r="J14" s="10" t="str">
        <x:f>IF(COUNT(C14:I14)&lt;7,"",SUM(C14:I14))</x:f>
      </x:c>
      <x:c r="K14" s="10" t="str">
        <x:f>IF(OR(B14="",J14=""),"",B14-J14)</x:f>
      </x:c>
      <x:c r="L14" s="10" t="str">
        <x:f>IF(OR(B14="",J14=""),"",J14/B14)</x:f>
      </x:c>
      <x:c r="M14" s="10" t="str">
        <x:f>IF(COUNT(C14:I14)&lt;7,"OPEN",IF(AND(MIN(C14:I14)&gt;=0,ABS(K14)&lt;='Assumptions'!$B$44,L14&gt;='Assumptions'!$B$41,I14=0),"PASS","DENY"))</x:f>
        <x:v>OPEN</x:v>
      </x:c>
    </x:row>
    <x:row r="15">
      <x:c r="A15" s="10" t="str">
        <x:v>EV-10</x:v>
      </x:c>
      <x:c r="B15" s="10" t="str">
        <x:f>IF(COUNT('Event Register'!I17)=0,"",'Event Register'!I17)</x:f>
      </x:c>
      <x:c r="C15" s="12"/>
      <x:c r="D15" s="12"/>
      <x:c r="E15" s="12"/>
      <x:c r="F15" s="12"/>
      <x:c r="G15" s="12"/>
      <x:c r="H15" s="12"/>
      <x:c r="I15" s="12"/>
      <x:c r="J15" s="10" t="str">
        <x:f>IF(COUNT(C15:I15)&lt;7,"",SUM(C15:I15))</x:f>
      </x:c>
      <x:c r="K15" s="10" t="str">
        <x:f>IF(OR(B15="",J15=""),"",B15-J15)</x:f>
      </x:c>
      <x:c r="L15" s="10" t="str">
        <x:f>IF(OR(B15="",J15=""),"",J15/B15)</x:f>
      </x:c>
      <x:c r="M15" s="10" t="str">
        <x:f>IF(COUNT(C15:I15)&lt;7,"OPEN",IF(AND(MIN(C15:I15)&gt;=0,ABS(K15)&lt;='Assumptions'!$B$44,L15&gt;='Assumptions'!$B$41,I15=0),"PASS","DENY"))</x:f>
        <x:v>OPEN</x:v>
      </x:c>
    </x:row>
    <x:row r="16">
      <x:c r="A16" s="10" t="str">
        <x:v>EV-11</x:v>
      </x:c>
      <x:c r="B16" s="10" t="str">
        <x:f>IF(COUNT('Event Register'!I18)=0,"",'Event Register'!I18)</x:f>
      </x:c>
      <x:c r="C16" s="12"/>
      <x:c r="D16" s="12"/>
      <x:c r="E16" s="12"/>
      <x:c r="F16" s="12"/>
      <x:c r="G16" s="12"/>
      <x:c r="H16" s="12"/>
      <x:c r="I16" s="12"/>
      <x:c r="J16" s="10" t="str">
        <x:f>IF(COUNT(C16:I16)&lt;7,"",SUM(C16:I16))</x:f>
      </x:c>
      <x:c r="K16" s="10" t="str">
        <x:f>IF(OR(B16="",J16=""),"",B16-J16)</x:f>
      </x:c>
      <x:c r="L16" s="10" t="str">
        <x:f>IF(OR(B16="",J16=""),"",J16/B16)</x:f>
      </x:c>
      <x:c r="M16" s="10" t="str">
        <x:f>IF(COUNT(C16:I16)&lt;7,"OPEN",IF(AND(MIN(C16:I16)&gt;=0,ABS(K16)&lt;='Assumptions'!$B$44,L16&gt;='Assumptions'!$B$41,I16=0),"PASS","DENY"))</x:f>
        <x:v>OPEN</x:v>
      </x:c>
    </x:row>
    <x:row r="17">
      <x:c r="A17" s="10" t="str">
        <x:v>EV-12</x:v>
      </x:c>
      <x:c r="B17" s="10" t="str">
        <x:f>IF(COUNT('Event Register'!I19)=0,"",'Event Register'!I19)</x:f>
      </x:c>
      <x:c r="C17" s="12"/>
      <x:c r="D17" s="12"/>
      <x:c r="E17" s="12"/>
      <x:c r="F17" s="12"/>
      <x:c r="G17" s="12"/>
      <x:c r="H17" s="12"/>
      <x:c r="I17" s="12"/>
      <x:c r="J17" s="10" t="str">
        <x:f>IF(COUNT(C17:I17)&lt;7,"",SUM(C17:I17))</x:f>
      </x:c>
      <x:c r="K17" s="10" t="str">
        <x:f>IF(OR(B17="",J17=""),"",B17-J17)</x:f>
      </x:c>
      <x:c r="L17" s="10" t="str">
        <x:f>IF(OR(B17="",J17=""),"",J17/B17)</x:f>
      </x:c>
      <x:c r="M17" s="10" t="str">
        <x:f>IF(COUNT(C17:I17)&lt;7,"OPEN",IF(AND(MIN(C17:I17)&gt;=0,ABS(K17)&lt;='Assumptions'!$B$44,L17&gt;='Assumptions'!$B$41,I17=0),"PASS","DENY"))</x:f>
        <x:v>OPEN</x:v>
      </x:c>
    </x:row>
    <x:row r="18">
      <x:c r="A18" s="10" t="str">
        <x:v>EV-13</x:v>
      </x:c>
      <x:c r="B18" s="10" t="str">
        <x:f>IF(COUNT('Event Register'!I20)=0,"",'Event Register'!I20)</x:f>
      </x:c>
      <x:c r="C18" s="12"/>
      <x:c r="D18" s="12"/>
      <x:c r="E18" s="12"/>
      <x:c r="F18" s="12"/>
      <x:c r="G18" s="12"/>
      <x:c r="H18" s="12"/>
      <x:c r="I18" s="12"/>
      <x:c r="J18" s="10" t="str">
        <x:f>IF(COUNT(C18:I18)&lt;7,"",SUM(C18:I18))</x:f>
      </x:c>
      <x:c r="K18" s="10" t="str">
        <x:f>IF(OR(B18="",J18=""),"",B18-J18)</x:f>
      </x:c>
      <x:c r="L18" s="10" t="str">
        <x:f>IF(OR(B18="",J18=""),"",J18/B18)</x:f>
      </x:c>
      <x:c r="M18" s="10" t="str">
        <x:f>IF(COUNT(C18:I18)&lt;7,"OPEN",IF(AND(MIN(C18:I18)&gt;=0,ABS(K18)&lt;='Assumptions'!$B$44,L18&gt;='Assumptions'!$B$41,I18=0),"PASS","DENY"))</x:f>
        <x:v>OPEN</x:v>
      </x:c>
    </x:row>
    <x:row r="19">
      <x:c r="A19" s="10" t="str">
        <x:v>EV-14</x:v>
      </x:c>
      <x:c r="B19" s="10" t="str">
        <x:f>IF(COUNT('Event Register'!I21)=0,"",'Event Register'!I21)</x:f>
      </x:c>
      <x:c r="C19" s="12"/>
      <x:c r="D19" s="12"/>
      <x:c r="E19" s="12"/>
      <x:c r="F19" s="12"/>
      <x:c r="G19" s="12"/>
      <x:c r="H19" s="12"/>
      <x:c r="I19" s="12"/>
      <x:c r="J19" s="10" t="str">
        <x:f>IF(COUNT(C19:I19)&lt;7,"",SUM(C19:I19))</x:f>
      </x:c>
      <x:c r="K19" s="10" t="str">
        <x:f>IF(OR(B19="",J19=""),"",B19-J19)</x:f>
      </x:c>
      <x:c r="L19" s="10" t="str">
        <x:f>IF(OR(B19="",J19=""),"",J19/B19)</x:f>
      </x:c>
      <x:c r="M19" s="10" t="str">
        <x:f>IF(COUNT(C19:I19)&lt;7,"OPEN",IF(AND(MIN(C19:I19)&gt;=0,ABS(K19)&lt;='Assumptions'!$B$44,L19&gt;='Assumptions'!$B$41,I19=0),"PASS","DENY"))</x:f>
        <x:v>OPEN</x:v>
      </x:c>
    </x:row>
    <x:row r="20">
      <x:c r="A20" s="10" t="str">
        <x:v>EV-15</x:v>
      </x:c>
      <x:c r="B20" s="10" t="str">
        <x:f>IF(COUNT('Event Register'!I22)=0,"",'Event Register'!I22)</x:f>
      </x:c>
      <x:c r="C20" s="12"/>
      <x:c r="D20" s="12"/>
      <x:c r="E20" s="12"/>
      <x:c r="F20" s="12"/>
      <x:c r="G20" s="12"/>
      <x:c r="H20" s="12"/>
      <x:c r="I20" s="12"/>
      <x:c r="J20" s="10" t="str">
        <x:f>IF(COUNT(C20:I20)&lt;7,"",SUM(C20:I20))</x:f>
      </x:c>
      <x:c r="K20" s="10" t="str">
        <x:f>IF(OR(B20="",J20=""),"",B20-J20)</x:f>
      </x:c>
      <x:c r="L20" s="10" t="str">
        <x:f>IF(OR(B20="",J20=""),"",J20/B20)</x:f>
      </x:c>
      <x:c r="M20" s="10" t="str">
        <x:f>IF(COUNT(C20:I20)&lt;7,"OPEN",IF(AND(MIN(C20:I20)&gt;=0,ABS(K20)&lt;='Assumptions'!$B$44,L20&gt;='Assumptions'!$B$41,I20=0),"PASS","DENY"))</x:f>
        <x:v>OPEN</x:v>
      </x:c>
    </x:row>
    <x:row r="21">
      <x:c r="A21" s="10" t="str">
        <x:v>EV-16</x:v>
      </x:c>
      <x:c r="B21" s="10" t="str">
        <x:f>IF(COUNT('Event Register'!I23)=0,"",'Event Register'!I23)</x:f>
      </x:c>
      <x:c r="C21" s="12"/>
      <x:c r="D21" s="12"/>
      <x:c r="E21" s="12"/>
      <x:c r="F21" s="12"/>
      <x:c r="G21" s="12"/>
      <x:c r="H21" s="12"/>
      <x:c r="I21" s="12"/>
      <x:c r="J21" s="10" t="str">
        <x:f>IF(COUNT(C21:I21)&lt;7,"",SUM(C21:I21))</x:f>
      </x:c>
      <x:c r="K21" s="10" t="str">
        <x:f>IF(OR(B21="",J21=""),"",B21-J21)</x:f>
      </x:c>
      <x:c r="L21" s="10" t="str">
        <x:f>IF(OR(B21="",J21=""),"",J21/B21)</x:f>
      </x:c>
      <x:c r="M21" s="10" t="str">
        <x:f>IF(COUNT(C21:I21)&lt;7,"OPEN",IF(AND(MIN(C21:I21)&gt;=0,ABS(K21)&lt;='Assumptions'!$B$44,L21&gt;='Assumptions'!$B$41,I21=0),"PASS","DENY"))</x:f>
        <x:v>OPEN</x:v>
      </x:c>
    </x:row>
  </x:sheetData>
  <x:mergeCells>
    <x:mergeCell ref="A2:M2"/>
    <x:mergeCell ref="A4:M4"/>
  </x:mergeCells>
  <x:conditionalFormatting sqref="M6:M21">
    <x:cfRule type="containsText" dxfId="35" priority="1" operator="containsText" text="DENY"/>
    <x:cfRule type="containsText" dxfId="36" priority="2" operator="containsText" text="ADVERSE"/>
    <x:cfRule type="containsText" dxfId="37" priority="3" operator="containsText" text="FAIL"/>
    <x:cfRule type="containsText" dxfId="38" priority="4" operator="containsText" text="OPEN"/>
    <x:cfRule type="containsText" dxfId="3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d6222929a0b2463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3" hidden="0" customWidth="1"/>
    <x:col min="4" max="4" width="14" hidden="0" customWidth="1"/>
    <x:col min="5" max="5" width="16" hidden="0" customWidth="1"/>
    <x:col min="6" max="6" width="16" hidden="0" customWidth="1"/>
    <x:col min="7" max="7" width="15" hidden="0" customWidth="1"/>
  </x:cols>
  <x:sheetData>
    <x:row r="2" ht="24" customHeight="1">
      <x:c r="A2" s="1" t="str">
        <x:v>Sixteen-zone distribution observations</x:v>
      </x:c>
    </x:row>
    <x:row r="4" ht="22" customHeight="1">
      <x:c r="A4" s="2"/>
      <x:c r="B4" s="2"/>
      <x:c r="C4" s="2"/>
      <x:c r="D4" s="2"/>
      <x:c r="E4" s="2"/>
      <x:c r="F4" s="2"/>
      <x:c r="G4" s="2"/>
    </x:row>
    <x:row r="5">
      <x:c r="A5" s="8" t="str">
        <x:v>Event</x:v>
      </x:c>
      <x:c r="B5" s="8" t="str">
        <x:v>Zone</x:v>
      </x:c>
      <x:c r="C5" s="8" t="str">
        <x:v>Area m²</x:v>
      </x:c>
      <x:c r="D5" s="8" t="str">
        <x:v>Target m³</x:v>
      </x:c>
      <x:c r="E5" s="8" t="str">
        <x:v>Observed m³</x:v>
      </x:c>
      <x:c r="F5" s="8" t="str">
        <x:v>Deviation m³</x:v>
      </x:c>
      <x:c r="G5" s="8" t="str">
        <x:v>State</x:v>
      </x:c>
    </x:row>
    <x:row r="6">
      <x:c r="A6" s="10" t="str">
        <x:v>EV-01</x:v>
      </x:c>
      <x:c r="B6" s="10" t="str">
        <x:v>Z-01</x:v>
      </x:c>
      <x:c r="C6" s="10" t="n">
        <x:v>0.390625</x:v>
      </x:c>
      <x:c r="D6" s="10" t="n">
        <x:v>1.5</x:v>
      </x:c>
      <x:c r="E6" s="12"/>
      <x:c r="F6" s="10" t="str">
        <x:f>IF(E6="","",E6-D6)</x:f>
      </x:c>
      <x:c r="G6" s="10" t="str">
        <x:f>IF(E6="","OPEN",IF(E6&gt;0,"OBSERVED","DENY"))</x:f>
        <x:v>OPEN</x:v>
      </x:c>
    </x:row>
    <x:row r="7">
      <x:c r="A7" s="10" t="str">
        <x:v>EV-01</x:v>
      </x:c>
      <x:c r="B7" s="10" t="str">
        <x:v>Z-02</x:v>
      </x:c>
      <x:c r="C7" s="10" t="n">
        <x:v>0.390625</x:v>
      </x:c>
      <x:c r="D7" s="10" t="n">
        <x:v>1.5</x:v>
      </x:c>
      <x:c r="E7" s="12"/>
      <x:c r="F7" s="10" t="str">
        <x:f>IF(E7="","",E7-D7)</x:f>
      </x:c>
      <x:c r="G7" s="10" t="str">
        <x:f>IF(E7="","OPEN",IF(E7&gt;0,"OBSERVED","DENY"))</x:f>
        <x:v>OPEN</x:v>
      </x:c>
    </x:row>
    <x:row r="8">
      <x:c r="A8" s="10" t="str">
        <x:v>EV-01</x:v>
      </x:c>
      <x:c r="B8" s="10" t="str">
        <x:v>Z-03</x:v>
      </x:c>
      <x:c r="C8" s="10" t="n">
        <x:v>0.390625</x:v>
      </x:c>
      <x:c r="D8" s="10" t="n">
        <x:v>1.5</x:v>
      </x:c>
      <x:c r="E8" s="12"/>
      <x:c r="F8" s="10" t="str">
        <x:f>IF(E8="","",E8-D8)</x:f>
      </x:c>
      <x:c r="G8" s="10" t="str">
        <x:f>IF(E8="","OPEN",IF(E8&gt;0,"OBSERVED","DENY"))</x:f>
        <x:v>OPEN</x:v>
      </x:c>
    </x:row>
    <x:row r="9">
      <x:c r="A9" s="10" t="str">
        <x:v>EV-01</x:v>
      </x:c>
      <x:c r="B9" s="10" t="str">
        <x:v>Z-04</x:v>
      </x:c>
      <x:c r="C9" s="10" t="n">
        <x:v>0.390625</x:v>
      </x:c>
      <x:c r="D9" s="10" t="n">
        <x:v>1.5</x:v>
      </x:c>
      <x:c r="E9" s="12"/>
      <x:c r="F9" s="10" t="str">
        <x:f>IF(E9="","",E9-D9)</x:f>
      </x:c>
      <x:c r="G9" s="10" t="str">
        <x:f>IF(E9="","OPEN",IF(E9&gt;0,"OBSERVED","DENY"))</x:f>
        <x:v>OPEN</x:v>
      </x:c>
    </x:row>
    <x:row r="10">
      <x:c r="A10" s="10" t="str">
        <x:v>EV-01</x:v>
      </x:c>
      <x:c r="B10" s="10" t="str">
        <x:v>Z-05</x:v>
      </x:c>
      <x:c r="C10" s="10" t="n">
        <x:v>0.390625</x:v>
      </x:c>
      <x:c r="D10" s="10" t="n">
        <x:v>1.5</x:v>
      </x:c>
      <x:c r="E10" s="12"/>
      <x:c r="F10" s="10" t="str">
        <x:f>IF(E10="","",E10-D10)</x:f>
      </x:c>
      <x:c r="G10" s="10" t="str">
        <x:f>IF(E10="","OPEN",IF(E10&gt;0,"OBSERVED","DENY"))</x:f>
        <x:v>OPEN</x:v>
      </x:c>
    </x:row>
    <x:row r="11">
      <x:c r="A11" s="10" t="str">
        <x:v>EV-01</x:v>
      </x:c>
      <x:c r="B11" s="10" t="str">
        <x:v>Z-06</x:v>
      </x:c>
      <x:c r="C11" s="10" t="n">
        <x:v>0.390625</x:v>
      </x:c>
      <x:c r="D11" s="10" t="n">
        <x:v>1.5</x:v>
      </x:c>
      <x:c r="E11" s="12"/>
      <x:c r="F11" s="10" t="str">
        <x:f>IF(E11="","",E11-D11)</x:f>
      </x:c>
      <x:c r="G11" s="10" t="str">
        <x:f>IF(E11="","OPEN",IF(E11&gt;0,"OBSERVED","DENY"))</x:f>
        <x:v>OPEN</x:v>
      </x:c>
    </x:row>
    <x:row r="12">
      <x:c r="A12" s="10" t="str">
        <x:v>EV-01</x:v>
      </x:c>
      <x:c r="B12" s="10" t="str">
        <x:v>Z-07</x:v>
      </x:c>
      <x:c r="C12" s="10" t="n">
        <x:v>0.390625</x:v>
      </x:c>
      <x:c r="D12" s="10" t="n">
        <x:v>1.5</x:v>
      </x:c>
      <x:c r="E12" s="12"/>
      <x:c r="F12" s="10" t="str">
        <x:f>IF(E12="","",E12-D12)</x:f>
      </x:c>
      <x:c r="G12" s="10" t="str">
        <x:f>IF(E12="","OPEN",IF(E12&gt;0,"OBSERVED","DENY"))</x:f>
        <x:v>OPEN</x:v>
      </x:c>
    </x:row>
    <x:row r="13">
      <x:c r="A13" s="10" t="str">
        <x:v>EV-01</x:v>
      </x:c>
      <x:c r="B13" s="10" t="str">
        <x:v>Z-08</x:v>
      </x:c>
      <x:c r="C13" s="10" t="n">
        <x:v>0.390625</x:v>
      </x:c>
      <x:c r="D13" s="10" t="n">
        <x:v>1.5</x:v>
      </x:c>
      <x:c r="E13" s="12"/>
      <x:c r="F13" s="10" t="str">
        <x:f>IF(E13="","",E13-D13)</x:f>
      </x:c>
      <x:c r="G13" s="10" t="str">
        <x:f>IF(E13="","OPEN",IF(E13&gt;0,"OBSERVED","DENY"))</x:f>
        <x:v>OPEN</x:v>
      </x:c>
    </x:row>
    <x:row r="14">
      <x:c r="A14" s="10" t="str">
        <x:v>EV-01</x:v>
      </x:c>
      <x:c r="B14" s="10" t="str">
        <x:v>Z-09</x:v>
      </x:c>
      <x:c r="C14" s="10" t="n">
        <x:v>0.390625</x:v>
      </x:c>
      <x:c r="D14" s="10" t="n">
        <x:v>1.5</x:v>
      </x:c>
      <x:c r="E14" s="12"/>
      <x:c r="F14" s="10" t="str">
        <x:f>IF(E14="","",E14-D14)</x:f>
      </x:c>
      <x:c r="G14" s="10" t="str">
        <x:f>IF(E14="","OPEN",IF(E14&gt;0,"OBSERVED","DENY"))</x:f>
        <x:v>OPEN</x:v>
      </x:c>
    </x:row>
    <x:row r="15">
      <x:c r="A15" s="10" t="str">
        <x:v>EV-01</x:v>
      </x:c>
      <x:c r="B15" s="10" t="str">
        <x:v>Z-10</x:v>
      </x:c>
      <x:c r="C15" s="10" t="n">
        <x:v>0.390625</x:v>
      </x:c>
      <x:c r="D15" s="10" t="n">
        <x:v>1.5</x:v>
      </x:c>
      <x:c r="E15" s="12"/>
      <x:c r="F15" s="10" t="str">
        <x:f>IF(E15="","",E15-D15)</x:f>
      </x:c>
      <x:c r="G15" s="10" t="str">
        <x:f>IF(E15="","OPEN",IF(E15&gt;0,"OBSERVED","DENY"))</x:f>
        <x:v>OPEN</x:v>
      </x:c>
    </x:row>
    <x:row r="16">
      <x:c r="A16" s="10" t="str">
        <x:v>EV-01</x:v>
      </x:c>
      <x:c r="B16" s="10" t="str">
        <x:v>Z-11</x:v>
      </x:c>
      <x:c r="C16" s="10" t="n">
        <x:v>0.390625</x:v>
      </x:c>
      <x:c r="D16" s="10" t="n">
        <x:v>1.5</x:v>
      </x:c>
      <x:c r="E16" s="12"/>
      <x:c r="F16" s="10" t="str">
        <x:f>IF(E16="","",E16-D16)</x:f>
      </x:c>
      <x:c r="G16" s="10" t="str">
        <x:f>IF(E16="","OPEN",IF(E16&gt;0,"OBSERVED","DENY"))</x:f>
        <x:v>OPEN</x:v>
      </x:c>
    </x:row>
    <x:row r="17">
      <x:c r="A17" s="10" t="str">
        <x:v>EV-01</x:v>
      </x:c>
      <x:c r="B17" s="10" t="str">
        <x:v>Z-12</x:v>
      </x:c>
      <x:c r="C17" s="10" t="n">
        <x:v>0.390625</x:v>
      </x:c>
      <x:c r="D17" s="10" t="n">
        <x:v>1.5</x:v>
      </x:c>
      <x:c r="E17" s="12"/>
      <x:c r="F17" s="10" t="str">
        <x:f>IF(E17="","",E17-D17)</x:f>
      </x:c>
      <x:c r="G17" s="10" t="str">
        <x:f>IF(E17="","OPEN",IF(E17&gt;0,"OBSERVED","DENY"))</x:f>
        <x:v>OPEN</x:v>
      </x:c>
    </x:row>
    <x:row r="18">
      <x:c r="A18" s="10" t="str">
        <x:v>EV-01</x:v>
      </x:c>
      <x:c r="B18" s="10" t="str">
        <x:v>Z-13</x:v>
      </x:c>
      <x:c r="C18" s="10" t="n">
        <x:v>0.390625</x:v>
      </x:c>
      <x:c r="D18" s="10" t="n">
        <x:v>1.5</x:v>
      </x:c>
      <x:c r="E18" s="12"/>
      <x:c r="F18" s="10" t="str">
        <x:f>IF(E18="","",E18-D18)</x:f>
      </x:c>
      <x:c r="G18" s="10" t="str">
        <x:f>IF(E18="","OPEN",IF(E18&gt;0,"OBSERVED","DENY"))</x:f>
        <x:v>OPEN</x:v>
      </x:c>
    </x:row>
    <x:row r="19">
      <x:c r="A19" s="10" t="str">
        <x:v>EV-01</x:v>
      </x:c>
      <x:c r="B19" s="10" t="str">
        <x:v>Z-14</x:v>
      </x:c>
      <x:c r="C19" s="10" t="n">
        <x:v>0.390625</x:v>
      </x:c>
      <x:c r="D19" s="10" t="n">
        <x:v>1.5</x:v>
      </x:c>
      <x:c r="E19" s="12"/>
      <x:c r="F19" s="10" t="str">
        <x:f>IF(E19="","",E19-D19)</x:f>
      </x:c>
      <x:c r="G19" s="10" t="str">
        <x:f>IF(E19="","OPEN",IF(E19&gt;0,"OBSERVED","DENY"))</x:f>
        <x:v>OPEN</x:v>
      </x:c>
    </x:row>
    <x:row r="20">
      <x:c r="A20" s="10" t="str">
        <x:v>EV-01</x:v>
      </x:c>
      <x:c r="B20" s="10" t="str">
        <x:v>Z-15</x:v>
      </x:c>
      <x:c r="C20" s="10" t="n">
        <x:v>0.390625</x:v>
      </x:c>
      <x:c r="D20" s="10" t="n">
        <x:v>1.5</x:v>
      </x:c>
      <x:c r="E20" s="12"/>
      <x:c r="F20" s="10" t="str">
        <x:f>IF(E20="","",E20-D20)</x:f>
      </x:c>
      <x:c r="G20" s="10" t="str">
        <x:f>IF(E20="","OPEN",IF(E20&gt;0,"OBSERVED","DENY"))</x:f>
        <x:v>OPEN</x:v>
      </x:c>
    </x:row>
    <x:row r="21">
      <x:c r="A21" s="10" t="str">
        <x:v>EV-01</x:v>
      </x:c>
      <x:c r="B21" s="10" t="str">
        <x:v>Z-16</x:v>
      </x:c>
      <x:c r="C21" s="10" t="n">
        <x:v>0.390625</x:v>
      </x:c>
      <x:c r="D21" s="10" t="n">
        <x:v>1.5</x:v>
      </x:c>
      <x:c r="E21" s="12"/>
      <x:c r="F21" s="10" t="str">
        <x:f>IF(E21="","",E21-D21)</x:f>
      </x:c>
      <x:c r="G21" s="10" t="str">
        <x:f>IF(E21="","OPEN",IF(E21&gt;0,"OBSERVED","DENY"))</x:f>
        <x:v>OPEN</x:v>
      </x:c>
    </x:row>
    <x:row r="22">
      <x:c r="A22" s="10" t="str">
        <x:v>EV-02</x:v>
      </x:c>
      <x:c r="B22" s="10" t="str">
        <x:v>Z-01</x:v>
      </x:c>
      <x:c r="C22" s="10" t="n">
        <x:v>0.390625</x:v>
      </x:c>
      <x:c r="D22" s="10" t="n">
        <x:v>1.5</x:v>
      </x:c>
      <x:c r="E22" s="12"/>
      <x:c r="F22" s="10" t="str">
        <x:f>IF(E22="","",E22-D22)</x:f>
      </x:c>
      <x:c r="G22" s="10" t="str">
        <x:f>IF(E22="","OPEN",IF(E22&gt;0,"OBSERVED","DENY"))</x:f>
        <x:v>OPEN</x:v>
      </x:c>
    </x:row>
    <x:row r="23">
      <x:c r="A23" s="10" t="str">
        <x:v>EV-02</x:v>
      </x:c>
      <x:c r="B23" s="10" t="str">
        <x:v>Z-02</x:v>
      </x:c>
      <x:c r="C23" s="10" t="n">
        <x:v>0.390625</x:v>
      </x:c>
      <x:c r="D23" s="10" t="n">
        <x:v>1.5</x:v>
      </x:c>
      <x:c r="E23" s="12"/>
      <x:c r="F23" s="10" t="str">
        <x:f>IF(E23="","",E23-D23)</x:f>
      </x:c>
      <x:c r="G23" s="10" t="str">
        <x:f>IF(E23="","OPEN",IF(E23&gt;0,"OBSERVED","DENY"))</x:f>
        <x:v>OPEN</x:v>
      </x:c>
    </x:row>
    <x:row r="24">
      <x:c r="A24" s="10" t="str">
        <x:v>EV-02</x:v>
      </x:c>
      <x:c r="B24" s="10" t="str">
        <x:v>Z-03</x:v>
      </x:c>
      <x:c r="C24" s="10" t="n">
        <x:v>0.390625</x:v>
      </x:c>
      <x:c r="D24" s="10" t="n">
        <x:v>1.5</x:v>
      </x:c>
      <x:c r="E24" s="12"/>
      <x:c r="F24" s="10" t="str">
        <x:f>IF(E24="","",E24-D24)</x:f>
      </x:c>
      <x:c r="G24" s="10" t="str">
        <x:f>IF(E24="","OPEN",IF(E24&gt;0,"OBSERVED","DENY"))</x:f>
        <x:v>OPEN</x:v>
      </x:c>
    </x:row>
    <x:row r="25">
      <x:c r="A25" s="10" t="str">
        <x:v>EV-02</x:v>
      </x:c>
      <x:c r="B25" s="10" t="str">
        <x:v>Z-04</x:v>
      </x:c>
      <x:c r="C25" s="10" t="n">
        <x:v>0.390625</x:v>
      </x:c>
      <x:c r="D25" s="10" t="n">
        <x:v>1.5</x:v>
      </x:c>
      <x:c r="E25" s="12"/>
      <x:c r="F25" s="10" t="str">
        <x:f>IF(E25="","",E25-D25)</x:f>
      </x:c>
      <x:c r="G25" s="10" t="str">
        <x:f>IF(E25="","OPEN",IF(E25&gt;0,"OBSERVED","DENY"))</x:f>
        <x:v>OPEN</x:v>
      </x:c>
    </x:row>
    <x:row r="26">
      <x:c r="A26" s="10" t="str">
        <x:v>EV-02</x:v>
      </x:c>
      <x:c r="B26" s="10" t="str">
        <x:v>Z-05</x:v>
      </x:c>
      <x:c r="C26" s="10" t="n">
        <x:v>0.390625</x:v>
      </x:c>
      <x:c r="D26" s="10" t="n">
        <x:v>1.5</x:v>
      </x:c>
      <x:c r="E26" s="12"/>
      <x:c r="F26" s="10" t="str">
        <x:f>IF(E26="","",E26-D26)</x:f>
      </x:c>
      <x:c r="G26" s="10" t="str">
        <x:f>IF(E26="","OPEN",IF(E26&gt;0,"OBSERVED","DENY"))</x:f>
        <x:v>OPEN</x:v>
      </x:c>
    </x:row>
    <x:row r="27">
      <x:c r="A27" s="10" t="str">
        <x:v>EV-02</x:v>
      </x:c>
      <x:c r="B27" s="10" t="str">
        <x:v>Z-06</x:v>
      </x:c>
      <x:c r="C27" s="10" t="n">
        <x:v>0.390625</x:v>
      </x:c>
      <x:c r="D27" s="10" t="n">
        <x:v>1.5</x:v>
      </x:c>
      <x:c r="E27" s="12"/>
      <x:c r="F27" s="10" t="str">
        <x:f>IF(E27="","",E27-D27)</x:f>
      </x:c>
      <x:c r="G27" s="10" t="str">
        <x:f>IF(E27="","OPEN",IF(E27&gt;0,"OBSERVED","DENY"))</x:f>
        <x:v>OPEN</x:v>
      </x:c>
    </x:row>
    <x:row r="28">
      <x:c r="A28" s="10" t="str">
        <x:v>EV-02</x:v>
      </x:c>
      <x:c r="B28" s="10" t="str">
        <x:v>Z-07</x:v>
      </x:c>
      <x:c r="C28" s="10" t="n">
        <x:v>0.390625</x:v>
      </x:c>
      <x:c r="D28" s="10" t="n">
        <x:v>1.5</x:v>
      </x:c>
      <x:c r="E28" s="12"/>
      <x:c r="F28" s="10" t="str">
        <x:f>IF(E28="","",E28-D28)</x:f>
      </x:c>
      <x:c r="G28" s="10" t="str">
        <x:f>IF(E28="","OPEN",IF(E28&gt;0,"OBSERVED","DENY"))</x:f>
        <x:v>OPEN</x:v>
      </x:c>
    </x:row>
    <x:row r="29">
      <x:c r="A29" s="10" t="str">
        <x:v>EV-02</x:v>
      </x:c>
      <x:c r="B29" s="10" t="str">
        <x:v>Z-08</x:v>
      </x:c>
      <x:c r="C29" s="10" t="n">
        <x:v>0.390625</x:v>
      </x:c>
      <x:c r="D29" s="10" t="n">
        <x:v>1.5</x:v>
      </x:c>
      <x:c r="E29" s="12"/>
      <x:c r="F29" s="10" t="str">
        <x:f>IF(E29="","",E29-D29)</x:f>
      </x:c>
      <x:c r="G29" s="10" t="str">
        <x:f>IF(E29="","OPEN",IF(E29&gt;0,"OBSERVED","DENY"))</x:f>
        <x:v>OPEN</x:v>
      </x:c>
    </x:row>
    <x:row r="30">
      <x:c r="A30" s="10" t="str">
        <x:v>EV-02</x:v>
      </x:c>
      <x:c r="B30" s="10" t="str">
        <x:v>Z-09</x:v>
      </x:c>
      <x:c r="C30" s="10" t="n">
        <x:v>0.390625</x:v>
      </x:c>
      <x:c r="D30" s="10" t="n">
        <x:v>1.5</x:v>
      </x:c>
      <x:c r="E30" s="12"/>
      <x:c r="F30" s="10" t="str">
        <x:f>IF(E30="","",E30-D30)</x:f>
      </x:c>
      <x:c r="G30" s="10" t="str">
        <x:f>IF(E30="","OPEN",IF(E30&gt;0,"OBSERVED","DENY"))</x:f>
        <x:v>OPEN</x:v>
      </x:c>
    </x:row>
    <x:row r="31">
      <x:c r="A31" s="10" t="str">
        <x:v>EV-02</x:v>
      </x:c>
      <x:c r="B31" s="10" t="str">
        <x:v>Z-10</x:v>
      </x:c>
      <x:c r="C31" s="10" t="n">
        <x:v>0.390625</x:v>
      </x:c>
      <x:c r="D31" s="10" t="n">
        <x:v>1.5</x:v>
      </x:c>
      <x:c r="E31" s="12"/>
      <x:c r="F31" s="10" t="str">
        <x:f>IF(E31="","",E31-D31)</x:f>
      </x:c>
      <x:c r="G31" s="10" t="str">
        <x:f>IF(E31="","OPEN",IF(E31&gt;0,"OBSERVED","DENY"))</x:f>
        <x:v>OPEN</x:v>
      </x:c>
    </x:row>
    <x:row r="32">
      <x:c r="A32" s="10" t="str">
        <x:v>EV-02</x:v>
      </x:c>
      <x:c r="B32" s="10" t="str">
        <x:v>Z-11</x:v>
      </x:c>
      <x:c r="C32" s="10" t="n">
        <x:v>0.390625</x:v>
      </x:c>
      <x:c r="D32" s="10" t="n">
        <x:v>1.5</x:v>
      </x:c>
      <x:c r="E32" s="12"/>
      <x:c r="F32" s="10" t="str">
        <x:f>IF(E32="","",E32-D32)</x:f>
      </x:c>
      <x:c r="G32" s="10" t="str">
        <x:f>IF(E32="","OPEN",IF(E32&gt;0,"OBSERVED","DENY"))</x:f>
        <x:v>OPEN</x:v>
      </x:c>
    </x:row>
    <x:row r="33">
      <x:c r="A33" s="10" t="str">
        <x:v>EV-02</x:v>
      </x:c>
      <x:c r="B33" s="10" t="str">
        <x:v>Z-12</x:v>
      </x:c>
      <x:c r="C33" s="10" t="n">
        <x:v>0.390625</x:v>
      </x:c>
      <x:c r="D33" s="10" t="n">
        <x:v>1.5</x:v>
      </x:c>
      <x:c r="E33" s="12"/>
      <x:c r="F33" s="10" t="str">
        <x:f>IF(E33="","",E33-D33)</x:f>
      </x:c>
      <x:c r="G33" s="10" t="str">
        <x:f>IF(E33="","OPEN",IF(E33&gt;0,"OBSERVED","DENY"))</x:f>
        <x:v>OPEN</x:v>
      </x:c>
    </x:row>
    <x:row r="34">
      <x:c r="A34" s="10" t="str">
        <x:v>EV-02</x:v>
      </x:c>
      <x:c r="B34" s="10" t="str">
        <x:v>Z-13</x:v>
      </x:c>
      <x:c r="C34" s="10" t="n">
        <x:v>0.390625</x:v>
      </x:c>
      <x:c r="D34" s="10" t="n">
        <x:v>1.5</x:v>
      </x:c>
      <x:c r="E34" s="12"/>
      <x:c r="F34" s="10" t="str">
        <x:f>IF(E34="","",E34-D34)</x:f>
      </x:c>
      <x:c r="G34" s="10" t="str">
        <x:f>IF(E34="","OPEN",IF(E34&gt;0,"OBSERVED","DENY"))</x:f>
        <x:v>OPEN</x:v>
      </x:c>
    </x:row>
    <x:row r="35">
      <x:c r="A35" s="10" t="str">
        <x:v>EV-02</x:v>
      </x:c>
      <x:c r="B35" s="10" t="str">
        <x:v>Z-14</x:v>
      </x:c>
      <x:c r="C35" s="10" t="n">
        <x:v>0.390625</x:v>
      </x:c>
      <x:c r="D35" s="10" t="n">
        <x:v>1.5</x:v>
      </x:c>
      <x:c r="E35" s="12"/>
      <x:c r="F35" s="10" t="str">
        <x:f>IF(E35="","",E35-D35)</x:f>
      </x:c>
      <x:c r="G35" s="10" t="str">
        <x:f>IF(E35="","OPEN",IF(E35&gt;0,"OBSERVED","DENY"))</x:f>
        <x:v>OPEN</x:v>
      </x:c>
    </x:row>
    <x:row r="36">
      <x:c r="A36" s="10" t="str">
        <x:v>EV-02</x:v>
      </x:c>
      <x:c r="B36" s="10" t="str">
        <x:v>Z-15</x:v>
      </x:c>
      <x:c r="C36" s="10" t="n">
        <x:v>0.390625</x:v>
      </x:c>
      <x:c r="D36" s="10" t="n">
        <x:v>1.5</x:v>
      </x:c>
      <x:c r="E36" s="12"/>
      <x:c r="F36" s="10" t="str">
        <x:f>IF(E36="","",E36-D36)</x:f>
      </x:c>
      <x:c r="G36" s="10" t="str">
        <x:f>IF(E36="","OPEN",IF(E36&gt;0,"OBSERVED","DENY"))</x:f>
        <x:v>OPEN</x:v>
      </x:c>
    </x:row>
    <x:row r="37">
      <x:c r="A37" s="10" t="str">
        <x:v>EV-02</x:v>
      </x:c>
      <x:c r="B37" s="10" t="str">
        <x:v>Z-16</x:v>
      </x:c>
      <x:c r="C37" s="10" t="n">
        <x:v>0.390625</x:v>
      </x:c>
      <x:c r="D37" s="10" t="n">
        <x:v>1.5</x:v>
      </x:c>
      <x:c r="E37" s="12"/>
      <x:c r="F37" s="10" t="str">
        <x:f>IF(E37="","",E37-D37)</x:f>
      </x:c>
      <x:c r="G37" s="10" t="str">
        <x:f>IF(E37="","OPEN",IF(E37&gt;0,"OBSERVED","DENY"))</x:f>
        <x:v>OPEN</x:v>
      </x:c>
    </x:row>
    <x:row r="38">
      <x:c r="A38" s="10" t="str">
        <x:v>EV-03</x:v>
      </x:c>
      <x:c r="B38" s="10" t="str">
        <x:v>Z-01</x:v>
      </x:c>
      <x:c r="C38" s="10" t="n">
        <x:v>0.390625</x:v>
      </x:c>
      <x:c r="D38" s="10" t="n">
        <x:v>1.5</x:v>
      </x:c>
      <x:c r="E38" s="12"/>
      <x:c r="F38" s="10" t="str">
        <x:f>IF(E38="","",E38-D38)</x:f>
      </x:c>
      <x:c r="G38" s="10" t="str">
        <x:f>IF(E38="","OPEN",IF(E38&gt;0,"OBSERVED","DENY"))</x:f>
        <x:v>OPEN</x:v>
      </x:c>
    </x:row>
    <x:row r="39">
      <x:c r="A39" s="10" t="str">
        <x:v>EV-03</x:v>
      </x:c>
      <x:c r="B39" s="10" t="str">
        <x:v>Z-02</x:v>
      </x:c>
      <x:c r="C39" s="10" t="n">
        <x:v>0.390625</x:v>
      </x:c>
      <x:c r="D39" s="10" t="n">
        <x:v>1.5</x:v>
      </x:c>
      <x:c r="E39" s="12"/>
      <x:c r="F39" s="10" t="str">
        <x:f>IF(E39="","",E39-D39)</x:f>
      </x:c>
      <x:c r="G39" s="10" t="str">
        <x:f>IF(E39="","OPEN",IF(E39&gt;0,"OBSERVED","DENY"))</x:f>
        <x:v>OPEN</x:v>
      </x:c>
    </x:row>
    <x:row r="40">
      <x:c r="A40" s="10" t="str">
        <x:v>EV-03</x:v>
      </x:c>
      <x:c r="B40" s="10" t="str">
        <x:v>Z-03</x:v>
      </x:c>
      <x:c r="C40" s="10" t="n">
        <x:v>0.390625</x:v>
      </x:c>
      <x:c r="D40" s="10" t="n">
        <x:v>1.5</x:v>
      </x:c>
      <x:c r="E40" s="12"/>
      <x:c r="F40" s="10" t="str">
        <x:f>IF(E40="","",E40-D40)</x:f>
      </x:c>
      <x:c r="G40" s="10" t="str">
        <x:f>IF(E40="","OPEN",IF(E40&gt;0,"OBSERVED","DENY"))</x:f>
        <x:v>OPEN</x:v>
      </x:c>
    </x:row>
    <x:row r="41">
      <x:c r="A41" s="10" t="str">
        <x:v>EV-03</x:v>
      </x:c>
      <x:c r="B41" s="10" t="str">
        <x:v>Z-04</x:v>
      </x:c>
      <x:c r="C41" s="10" t="n">
        <x:v>0.390625</x:v>
      </x:c>
      <x:c r="D41" s="10" t="n">
        <x:v>1.5</x:v>
      </x:c>
      <x:c r="E41" s="12"/>
      <x:c r="F41" s="10" t="str">
        <x:f>IF(E41="","",E41-D41)</x:f>
      </x:c>
      <x:c r="G41" s="10" t="str">
        <x:f>IF(E41="","OPEN",IF(E41&gt;0,"OBSERVED","DENY"))</x:f>
        <x:v>OPEN</x:v>
      </x:c>
    </x:row>
    <x:row r="42">
      <x:c r="A42" s="10" t="str">
        <x:v>EV-03</x:v>
      </x:c>
      <x:c r="B42" s="10" t="str">
        <x:v>Z-05</x:v>
      </x:c>
      <x:c r="C42" s="10" t="n">
        <x:v>0.390625</x:v>
      </x:c>
      <x:c r="D42" s="10" t="n">
        <x:v>1.5</x:v>
      </x:c>
      <x:c r="E42" s="12"/>
      <x:c r="F42" s="10" t="str">
        <x:f>IF(E42="","",E42-D42)</x:f>
      </x:c>
      <x:c r="G42" s="10" t="str">
        <x:f>IF(E42="","OPEN",IF(E42&gt;0,"OBSERVED","DENY"))</x:f>
        <x:v>OPEN</x:v>
      </x:c>
    </x:row>
    <x:row r="43">
      <x:c r="A43" s="10" t="str">
        <x:v>EV-03</x:v>
      </x:c>
      <x:c r="B43" s="10" t="str">
        <x:v>Z-06</x:v>
      </x:c>
      <x:c r="C43" s="10" t="n">
        <x:v>0.390625</x:v>
      </x:c>
      <x:c r="D43" s="10" t="n">
        <x:v>1.5</x:v>
      </x:c>
      <x:c r="E43" s="12"/>
      <x:c r="F43" s="10" t="str">
        <x:f>IF(E43="","",E43-D43)</x:f>
      </x:c>
      <x:c r="G43" s="10" t="str">
        <x:f>IF(E43="","OPEN",IF(E43&gt;0,"OBSERVED","DENY"))</x:f>
        <x:v>OPEN</x:v>
      </x:c>
    </x:row>
    <x:row r="44">
      <x:c r="A44" s="10" t="str">
        <x:v>EV-03</x:v>
      </x:c>
      <x:c r="B44" s="10" t="str">
        <x:v>Z-07</x:v>
      </x:c>
      <x:c r="C44" s="10" t="n">
        <x:v>0.390625</x:v>
      </x:c>
      <x:c r="D44" s="10" t="n">
        <x:v>1.5</x:v>
      </x:c>
      <x:c r="E44" s="12"/>
      <x:c r="F44" s="10" t="str">
        <x:f>IF(E44="","",E44-D44)</x:f>
      </x:c>
      <x:c r="G44" s="10" t="str">
        <x:f>IF(E44="","OPEN",IF(E44&gt;0,"OBSERVED","DENY"))</x:f>
        <x:v>OPEN</x:v>
      </x:c>
    </x:row>
    <x:row r="45">
      <x:c r="A45" s="10" t="str">
        <x:v>EV-03</x:v>
      </x:c>
      <x:c r="B45" s="10" t="str">
        <x:v>Z-08</x:v>
      </x:c>
      <x:c r="C45" s="10" t="n">
        <x:v>0.390625</x:v>
      </x:c>
      <x:c r="D45" s="10" t="n">
        <x:v>1.5</x:v>
      </x:c>
      <x:c r="E45" s="12"/>
      <x:c r="F45" s="10" t="str">
        <x:f>IF(E45="","",E45-D45)</x:f>
      </x:c>
      <x:c r="G45" s="10" t="str">
        <x:f>IF(E45="","OPEN",IF(E45&gt;0,"OBSERVED","DENY"))</x:f>
        <x:v>OPEN</x:v>
      </x:c>
    </x:row>
    <x:row r="46">
      <x:c r="A46" s="10" t="str">
        <x:v>EV-03</x:v>
      </x:c>
      <x:c r="B46" s="10" t="str">
        <x:v>Z-09</x:v>
      </x:c>
      <x:c r="C46" s="10" t="n">
        <x:v>0.390625</x:v>
      </x:c>
      <x:c r="D46" s="10" t="n">
        <x:v>1.5</x:v>
      </x:c>
      <x:c r="E46" s="12"/>
      <x:c r="F46" s="10" t="str">
        <x:f>IF(E46="","",E46-D46)</x:f>
      </x:c>
      <x:c r="G46" s="10" t="str">
        <x:f>IF(E46="","OPEN",IF(E46&gt;0,"OBSERVED","DENY"))</x:f>
        <x:v>OPEN</x:v>
      </x:c>
    </x:row>
    <x:row r="47">
      <x:c r="A47" s="10" t="str">
        <x:v>EV-03</x:v>
      </x:c>
      <x:c r="B47" s="10" t="str">
        <x:v>Z-10</x:v>
      </x:c>
      <x:c r="C47" s="10" t="n">
        <x:v>0.390625</x:v>
      </x:c>
      <x:c r="D47" s="10" t="n">
        <x:v>1.5</x:v>
      </x:c>
      <x:c r="E47" s="12"/>
      <x:c r="F47" s="10" t="str">
        <x:f>IF(E47="","",E47-D47)</x:f>
      </x:c>
      <x:c r="G47" s="10" t="str">
        <x:f>IF(E47="","OPEN",IF(E47&gt;0,"OBSERVED","DENY"))</x:f>
        <x:v>OPEN</x:v>
      </x:c>
    </x:row>
    <x:row r="48">
      <x:c r="A48" s="10" t="str">
        <x:v>EV-03</x:v>
      </x:c>
      <x:c r="B48" s="10" t="str">
        <x:v>Z-11</x:v>
      </x:c>
      <x:c r="C48" s="10" t="n">
        <x:v>0.390625</x:v>
      </x:c>
      <x:c r="D48" s="10" t="n">
        <x:v>1.5</x:v>
      </x:c>
      <x:c r="E48" s="12"/>
      <x:c r="F48" s="10" t="str">
        <x:f>IF(E48="","",E48-D48)</x:f>
      </x:c>
      <x:c r="G48" s="10" t="str">
        <x:f>IF(E48="","OPEN",IF(E48&gt;0,"OBSERVED","DENY"))</x:f>
        <x:v>OPEN</x:v>
      </x:c>
    </x:row>
    <x:row r="49">
      <x:c r="A49" s="10" t="str">
        <x:v>EV-03</x:v>
      </x:c>
      <x:c r="B49" s="10" t="str">
        <x:v>Z-12</x:v>
      </x:c>
      <x:c r="C49" s="10" t="n">
        <x:v>0.390625</x:v>
      </x:c>
      <x:c r="D49" s="10" t="n">
        <x:v>1.5</x:v>
      </x:c>
      <x:c r="E49" s="12"/>
      <x:c r="F49" s="10" t="str">
        <x:f>IF(E49="","",E49-D49)</x:f>
      </x:c>
      <x:c r="G49" s="10" t="str">
        <x:f>IF(E49="","OPEN",IF(E49&gt;0,"OBSERVED","DENY"))</x:f>
        <x:v>OPEN</x:v>
      </x:c>
    </x:row>
    <x:row r="50">
      <x:c r="A50" s="10" t="str">
        <x:v>EV-03</x:v>
      </x:c>
      <x:c r="B50" s="10" t="str">
        <x:v>Z-13</x:v>
      </x:c>
      <x:c r="C50" s="10" t="n">
        <x:v>0.390625</x:v>
      </x:c>
      <x:c r="D50" s="10" t="n">
        <x:v>1.5</x:v>
      </x:c>
      <x:c r="E50" s="12"/>
      <x:c r="F50" s="10" t="str">
        <x:f>IF(E50="","",E50-D50)</x:f>
      </x:c>
      <x:c r="G50" s="10" t="str">
        <x:f>IF(E50="","OPEN",IF(E50&gt;0,"OBSERVED","DENY"))</x:f>
        <x:v>OPEN</x:v>
      </x:c>
    </x:row>
    <x:row r="51">
      <x:c r="A51" s="10" t="str">
        <x:v>EV-03</x:v>
      </x:c>
      <x:c r="B51" s="10" t="str">
        <x:v>Z-14</x:v>
      </x:c>
      <x:c r="C51" s="10" t="n">
        <x:v>0.390625</x:v>
      </x:c>
      <x:c r="D51" s="10" t="n">
        <x:v>1.5</x:v>
      </x:c>
      <x:c r="E51" s="12"/>
      <x:c r="F51" s="10" t="str">
        <x:f>IF(E51="","",E51-D51)</x:f>
      </x:c>
      <x:c r="G51" s="10" t="str">
        <x:f>IF(E51="","OPEN",IF(E51&gt;0,"OBSERVED","DENY"))</x:f>
        <x:v>OPEN</x:v>
      </x:c>
    </x:row>
    <x:row r="52">
      <x:c r="A52" s="10" t="str">
        <x:v>EV-03</x:v>
      </x:c>
      <x:c r="B52" s="10" t="str">
        <x:v>Z-15</x:v>
      </x:c>
      <x:c r="C52" s="10" t="n">
        <x:v>0.390625</x:v>
      </x:c>
      <x:c r="D52" s="10" t="n">
        <x:v>1.5</x:v>
      </x:c>
      <x:c r="E52" s="12"/>
      <x:c r="F52" s="10" t="str">
        <x:f>IF(E52="","",E52-D52)</x:f>
      </x:c>
      <x:c r="G52" s="10" t="str">
        <x:f>IF(E52="","OPEN",IF(E52&gt;0,"OBSERVED","DENY"))</x:f>
        <x:v>OPEN</x:v>
      </x:c>
    </x:row>
    <x:row r="53">
      <x:c r="A53" s="10" t="str">
        <x:v>EV-03</x:v>
      </x:c>
      <x:c r="B53" s="10" t="str">
        <x:v>Z-16</x:v>
      </x:c>
      <x:c r="C53" s="10" t="n">
        <x:v>0.390625</x:v>
      </x:c>
      <x:c r="D53" s="10" t="n">
        <x:v>1.5</x:v>
      </x:c>
      <x:c r="E53" s="12"/>
      <x:c r="F53" s="10" t="str">
        <x:f>IF(E53="","",E53-D53)</x:f>
      </x:c>
      <x:c r="G53" s="10" t="str">
        <x:f>IF(E53="","OPEN",IF(E53&gt;0,"OBSERVED","DENY"))</x:f>
        <x:v>OPEN</x:v>
      </x:c>
    </x:row>
    <x:row r="54">
      <x:c r="A54" s="10" t="str">
        <x:v>EV-04</x:v>
      </x:c>
      <x:c r="B54" s="10" t="str">
        <x:v>Z-01</x:v>
      </x:c>
      <x:c r="C54" s="10" t="n">
        <x:v>0.390625</x:v>
      </x:c>
      <x:c r="D54" s="10" t="n">
        <x:v>1.5</x:v>
      </x:c>
      <x:c r="E54" s="12"/>
      <x:c r="F54" s="10" t="str">
        <x:f>IF(E54="","",E54-D54)</x:f>
      </x:c>
      <x:c r="G54" s="10" t="str">
        <x:f>IF(E54="","OPEN",IF(E54&gt;0,"OBSERVED","DENY"))</x:f>
        <x:v>OPEN</x:v>
      </x:c>
    </x:row>
    <x:row r="55">
      <x:c r="A55" s="10" t="str">
        <x:v>EV-04</x:v>
      </x:c>
      <x:c r="B55" s="10" t="str">
        <x:v>Z-02</x:v>
      </x:c>
      <x:c r="C55" s="10" t="n">
        <x:v>0.390625</x:v>
      </x:c>
      <x:c r="D55" s="10" t="n">
        <x:v>1.5</x:v>
      </x:c>
      <x:c r="E55" s="12"/>
      <x:c r="F55" s="10" t="str">
        <x:f>IF(E55="","",E55-D55)</x:f>
      </x:c>
      <x:c r="G55" s="10" t="str">
        <x:f>IF(E55="","OPEN",IF(E55&gt;0,"OBSERVED","DENY"))</x:f>
        <x:v>OPEN</x:v>
      </x:c>
    </x:row>
    <x:row r="56">
      <x:c r="A56" s="10" t="str">
        <x:v>EV-04</x:v>
      </x:c>
      <x:c r="B56" s="10" t="str">
        <x:v>Z-03</x:v>
      </x:c>
      <x:c r="C56" s="10" t="n">
        <x:v>0.390625</x:v>
      </x:c>
      <x:c r="D56" s="10" t="n">
        <x:v>1.5</x:v>
      </x:c>
      <x:c r="E56" s="12"/>
      <x:c r="F56" s="10" t="str">
        <x:f>IF(E56="","",E56-D56)</x:f>
      </x:c>
      <x:c r="G56" s="10" t="str">
        <x:f>IF(E56="","OPEN",IF(E56&gt;0,"OBSERVED","DENY"))</x:f>
        <x:v>OPEN</x:v>
      </x:c>
    </x:row>
    <x:row r="57">
      <x:c r="A57" s="10" t="str">
        <x:v>EV-04</x:v>
      </x:c>
      <x:c r="B57" s="10" t="str">
        <x:v>Z-04</x:v>
      </x:c>
      <x:c r="C57" s="10" t="n">
        <x:v>0.390625</x:v>
      </x:c>
      <x:c r="D57" s="10" t="n">
        <x:v>1.5</x:v>
      </x:c>
      <x:c r="E57" s="12"/>
      <x:c r="F57" s="10" t="str">
        <x:f>IF(E57="","",E57-D57)</x:f>
      </x:c>
      <x:c r="G57" s="10" t="str">
        <x:f>IF(E57="","OPEN",IF(E57&gt;0,"OBSERVED","DENY"))</x:f>
        <x:v>OPEN</x:v>
      </x:c>
    </x:row>
    <x:row r="58">
      <x:c r="A58" s="10" t="str">
        <x:v>EV-04</x:v>
      </x:c>
      <x:c r="B58" s="10" t="str">
        <x:v>Z-05</x:v>
      </x:c>
      <x:c r="C58" s="10" t="n">
        <x:v>0.390625</x:v>
      </x:c>
      <x:c r="D58" s="10" t="n">
        <x:v>1.5</x:v>
      </x:c>
      <x:c r="E58" s="12"/>
      <x:c r="F58" s="10" t="str">
        <x:f>IF(E58="","",E58-D58)</x:f>
      </x:c>
      <x:c r="G58" s="10" t="str">
        <x:f>IF(E58="","OPEN",IF(E58&gt;0,"OBSERVED","DENY"))</x:f>
        <x:v>OPEN</x:v>
      </x:c>
    </x:row>
    <x:row r="59">
      <x:c r="A59" s="10" t="str">
        <x:v>EV-04</x:v>
      </x:c>
      <x:c r="B59" s="10" t="str">
        <x:v>Z-06</x:v>
      </x:c>
      <x:c r="C59" s="10" t="n">
        <x:v>0.390625</x:v>
      </x:c>
      <x:c r="D59" s="10" t="n">
        <x:v>1.5</x:v>
      </x:c>
      <x:c r="E59" s="12"/>
      <x:c r="F59" s="10" t="str">
        <x:f>IF(E59="","",E59-D59)</x:f>
      </x:c>
      <x:c r="G59" s="10" t="str">
        <x:f>IF(E59="","OPEN",IF(E59&gt;0,"OBSERVED","DENY"))</x:f>
        <x:v>OPEN</x:v>
      </x:c>
    </x:row>
    <x:row r="60">
      <x:c r="A60" s="10" t="str">
        <x:v>EV-04</x:v>
      </x:c>
      <x:c r="B60" s="10" t="str">
        <x:v>Z-07</x:v>
      </x:c>
      <x:c r="C60" s="10" t="n">
        <x:v>0.390625</x:v>
      </x:c>
      <x:c r="D60" s="10" t="n">
        <x:v>1.5</x:v>
      </x:c>
      <x:c r="E60" s="12"/>
      <x:c r="F60" s="10" t="str">
        <x:f>IF(E60="","",E60-D60)</x:f>
      </x:c>
      <x:c r="G60" s="10" t="str">
        <x:f>IF(E60="","OPEN",IF(E60&gt;0,"OBSERVED","DENY"))</x:f>
        <x:v>OPEN</x:v>
      </x:c>
    </x:row>
    <x:row r="61">
      <x:c r="A61" s="10" t="str">
        <x:v>EV-04</x:v>
      </x:c>
      <x:c r="B61" s="10" t="str">
        <x:v>Z-08</x:v>
      </x:c>
      <x:c r="C61" s="10" t="n">
        <x:v>0.390625</x:v>
      </x:c>
      <x:c r="D61" s="10" t="n">
        <x:v>1.5</x:v>
      </x:c>
      <x:c r="E61" s="12"/>
      <x:c r="F61" s="10" t="str">
        <x:f>IF(E61="","",E61-D61)</x:f>
      </x:c>
      <x:c r="G61" s="10" t="str">
        <x:f>IF(E61="","OPEN",IF(E61&gt;0,"OBSERVED","DENY"))</x:f>
        <x:v>OPEN</x:v>
      </x:c>
    </x:row>
    <x:row r="62">
      <x:c r="A62" s="10" t="str">
        <x:v>EV-04</x:v>
      </x:c>
      <x:c r="B62" s="10" t="str">
        <x:v>Z-09</x:v>
      </x:c>
      <x:c r="C62" s="10" t="n">
        <x:v>0.390625</x:v>
      </x:c>
      <x:c r="D62" s="10" t="n">
        <x:v>1.5</x:v>
      </x:c>
      <x:c r="E62" s="12"/>
      <x:c r="F62" s="10" t="str">
        <x:f>IF(E62="","",E62-D62)</x:f>
      </x:c>
      <x:c r="G62" s="10" t="str">
        <x:f>IF(E62="","OPEN",IF(E62&gt;0,"OBSERVED","DENY"))</x:f>
        <x:v>OPEN</x:v>
      </x:c>
    </x:row>
    <x:row r="63">
      <x:c r="A63" s="10" t="str">
        <x:v>EV-04</x:v>
      </x:c>
      <x:c r="B63" s="10" t="str">
        <x:v>Z-10</x:v>
      </x:c>
      <x:c r="C63" s="10" t="n">
        <x:v>0.390625</x:v>
      </x:c>
      <x:c r="D63" s="10" t="n">
        <x:v>1.5</x:v>
      </x:c>
      <x:c r="E63" s="12"/>
      <x:c r="F63" s="10" t="str">
        <x:f>IF(E63="","",E63-D63)</x:f>
      </x:c>
      <x:c r="G63" s="10" t="str">
        <x:f>IF(E63="","OPEN",IF(E63&gt;0,"OBSERVED","DENY"))</x:f>
        <x:v>OPEN</x:v>
      </x:c>
    </x:row>
    <x:row r="64">
      <x:c r="A64" s="10" t="str">
        <x:v>EV-04</x:v>
      </x:c>
      <x:c r="B64" s="10" t="str">
        <x:v>Z-11</x:v>
      </x:c>
      <x:c r="C64" s="10" t="n">
        <x:v>0.390625</x:v>
      </x:c>
      <x:c r="D64" s="10" t="n">
        <x:v>1.5</x:v>
      </x:c>
      <x:c r="E64" s="12"/>
      <x:c r="F64" s="10" t="str">
        <x:f>IF(E64="","",E64-D64)</x:f>
      </x:c>
      <x:c r="G64" s="10" t="str">
        <x:f>IF(E64="","OPEN",IF(E64&gt;0,"OBSERVED","DENY"))</x:f>
        <x:v>OPEN</x:v>
      </x:c>
    </x:row>
    <x:row r="65">
      <x:c r="A65" s="10" t="str">
        <x:v>EV-04</x:v>
      </x:c>
      <x:c r="B65" s="10" t="str">
        <x:v>Z-12</x:v>
      </x:c>
      <x:c r="C65" s="10" t="n">
        <x:v>0.390625</x:v>
      </x:c>
      <x:c r="D65" s="10" t="n">
        <x:v>1.5</x:v>
      </x:c>
      <x:c r="E65" s="12"/>
      <x:c r="F65" s="10" t="str">
        <x:f>IF(E65="","",E65-D65)</x:f>
      </x:c>
      <x:c r="G65" s="10" t="str">
        <x:f>IF(E65="","OPEN",IF(E65&gt;0,"OBSERVED","DENY"))</x:f>
        <x:v>OPEN</x:v>
      </x:c>
    </x:row>
    <x:row r="66">
      <x:c r="A66" s="10" t="str">
        <x:v>EV-04</x:v>
      </x:c>
      <x:c r="B66" s="10" t="str">
        <x:v>Z-13</x:v>
      </x:c>
      <x:c r="C66" s="10" t="n">
        <x:v>0.390625</x:v>
      </x:c>
      <x:c r="D66" s="10" t="n">
        <x:v>1.5</x:v>
      </x:c>
      <x:c r="E66" s="12"/>
      <x:c r="F66" s="10" t="str">
        <x:f>IF(E66="","",E66-D66)</x:f>
      </x:c>
      <x:c r="G66" s="10" t="str">
        <x:f>IF(E66="","OPEN",IF(E66&gt;0,"OBSERVED","DENY"))</x:f>
        <x:v>OPEN</x:v>
      </x:c>
    </x:row>
    <x:row r="67">
      <x:c r="A67" s="10" t="str">
        <x:v>EV-04</x:v>
      </x:c>
      <x:c r="B67" s="10" t="str">
        <x:v>Z-14</x:v>
      </x:c>
      <x:c r="C67" s="10" t="n">
        <x:v>0.390625</x:v>
      </x:c>
      <x:c r="D67" s="10" t="n">
        <x:v>1.5</x:v>
      </x:c>
      <x:c r="E67" s="12"/>
      <x:c r="F67" s="10" t="str">
        <x:f>IF(E67="","",E67-D67)</x:f>
      </x:c>
      <x:c r="G67" s="10" t="str">
        <x:f>IF(E67="","OPEN",IF(E67&gt;0,"OBSERVED","DENY"))</x:f>
        <x:v>OPEN</x:v>
      </x:c>
    </x:row>
    <x:row r="68">
      <x:c r="A68" s="10" t="str">
        <x:v>EV-04</x:v>
      </x:c>
      <x:c r="B68" s="10" t="str">
        <x:v>Z-15</x:v>
      </x:c>
      <x:c r="C68" s="10" t="n">
        <x:v>0.390625</x:v>
      </x:c>
      <x:c r="D68" s="10" t="n">
        <x:v>1.5</x:v>
      </x:c>
      <x:c r="E68" s="12"/>
      <x:c r="F68" s="10" t="str">
        <x:f>IF(E68="","",E68-D68)</x:f>
      </x:c>
      <x:c r="G68" s="10" t="str">
        <x:f>IF(E68="","OPEN",IF(E68&gt;0,"OBSERVED","DENY"))</x:f>
        <x:v>OPEN</x:v>
      </x:c>
    </x:row>
    <x:row r="69">
      <x:c r="A69" s="10" t="str">
        <x:v>EV-04</x:v>
      </x:c>
      <x:c r="B69" s="10" t="str">
        <x:v>Z-16</x:v>
      </x:c>
      <x:c r="C69" s="10" t="n">
        <x:v>0.390625</x:v>
      </x:c>
      <x:c r="D69" s="10" t="n">
        <x:v>1.5</x:v>
      </x:c>
      <x:c r="E69" s="12"/>
      <x:c r="F69" s="10" t="str">
        <x:f>IF(E69="","",E69-D69)</x:f>
      </x:c>
      <x:c r="G69" s="10" t="str">
        <x:f>IF(E69="","OPEN",IF(E69&gt;0,"OBSERVED","DENY"))</x:f>
        <x:v>OPEN</x:v>
      </x:c>
    </x:row>
    <x:row r="70">
      <x:c r="A70" s="10" t="str">
        <x:v>EV-05</x:v>
      </x:c>
      <x:c r="B70" s="10" t="str">
        <x:v>Z-01</x:v>
      </x:c>
      <x:c r="C70" s="10" t="n">
        <x:v>0.390625</x:v>
      </x:c>
      <x:c r="D70" s="10" t="n">
        <x:v>1.5</x:v>
      </x:c>
      <x:c r="E70" s="12"/>
      <x:c r="F70" s="10" t="str">
        <x:f>IF(E70="","",E70-D70)</x:f>
      </x:c>
      <x:c r="G70" s="10" t="str">
        <x:f>IF(E70="","OPEN",IF(E70&gt;0,"OBSERVED","DENY"))</x:f>
        <x:v>OPEN</x:v>
      </x:c>
    </x:row>
    <x:row r="71">
      <x:c r="A71" s="10" t="str">
        <x:v>EV-05</x:v>
      </x:c>
      <x:c r="B71" s="10" t="str">
        <x:v>Z-02</x:v>
      </x:c>
      <x:c r="C71" s="10" t="n">
        <x:v>0.390625</x:v>
      </x:c>
      <x:c r="D71" s="10" t="n">
        <x:v>1.5</x:v>
      </x:c>
      <x:c r="E71" s="12"/>
      <x:c r="F71" s="10" t="str">
        <x:f>IF(E71="","",E71-D71)</x:f>
      </x:c>
      <x:c r="G71" s="10" t="str">
        <x:f>IF(E71="","OPEN",IF(E71&gt;0,"OBSERVED","DENY"))</x:f>
        <x:v>OPEN</x:v>
      </x:c>
    </x:row>
    <x:row r="72">
      <x:c r="A72" s="10" t="str">
        <x:v>EV-05</x:v>
      </x:c>
      <x:c r="B72" s="10" t="str">
        <x:v>Z-03</x:v>
      </x:c>
      <x:c r="C72" s="10" t="n">
        <x:v>0.390625</x:v>
      </x:c>
      <x:c r="D72" s="10" t="n">
        <x:v>1.5</x:v>
      </x:c>
      <x:c r="E72" s="12"/>
      <x:c r="F72" s="10" t="str">
        <x:f>IF(E72="","",E72-D72)</x:f>
      </x:c>
      <x:c r="G72" s="10" t="str">
        <x:f>IF(E72="","OPEN",IF(E72&gt;0,"OBSERVED","DENY"))</x:f>
        <x:v>OPEN</x:v>
      </x:c>
    </x:row>
    <x:row r="73">
      <x:c r="A73" s="10" t="str">
        <x:v>EV-05</x:v>
      </x:c>
      <x:c r="B73" s="10" t="str">
        <x:v>Z-04</x:v>
      </x:c>
      <x:c r="C73" s="10" t="n">
        <x:v>0.390625</x:v>
      </x:c>
      <x:c r="D73" s="10" t="n">
        <x:v>1.5</x:v>
      </x:c>
      <x:c r="E73" s="12"/>
      <x:c r="F73" s="10" t="str">
        <x:f>IF(E73="","",E73-D73)</x:f>
      </x:c>
      <x:c r="G73" s="10" t="str">
        <x:f>IF(E73="","OPEN",IF(E73&gt;0,"OBSERVED","DENY"))</x:f>
        <x:v>OPEN</x:v>
      </x:c>
    </x:row>
    <x:row r="74">
      <x:c r="A74" s="10" t="str">
        <x:v>EV-05</x:v>
      </x:c>
      <x:c r="B74" s="10" t="str">
        <x:v>Z-05</x:v>
      </x:c>
      <x:c r="C74" s="10" t="n">
        <x:v>0.390625</x:v>
      </x:c>
      <x:c r="D74" s="10" t="n">
        <x:v>1.5</x:v>
      </x:c>
      <x:c r="E74" s="12"/>
      <x:c r="F74" s="10" t="str">
        <x:f>IF(E74="","",E74-D74)</x:f>
      </x:c>
      <x:c r="G74" s="10" t="str">
        <x:f>IF(E74="","OPEN",IF(E74&gt;0,"OBSERVED","DENY"))</x:f>
        <x:v>OPEN</x:v>
      </x:c>
    </x:row>
    <x:row r="75">
      <x:c r="A75" s="10" t="str">
        <x:v>EV-05</x:v>
      </x:c>
      <x:c r="B75" s="10" t="str">
        <x:v>Z-06</x:v>
      </x:c>
      <x:c r="C75" s="10" t="n">
        <x:v>0.390625</x:v>
      </x:c>
      <x:c r="D75" s="10" t="n">
        <x:v>1.5</x:v>
      </x:c>
      <x:c r="E75" s="12"/>
      <x:c r="F75" s="10" t="str">
        <x:f>IF(E75="","",E75-D75)</x:f>
      </x:c>
      <x:c r="G75" s="10" t="str">
        <x:f>IF(E75="","OPEN",IF(E75&gt;0,"OBSERVED","DENY"))</x:f>
        <x:v>OPEN</x:v>
      </x:c>
    </x:row>
    <x:row r="76">
      <x:c r="A76" s="10" t="str">
        <x:v>EV-05</x:v>
      </x:c>
      <x:c r="B76" s="10" t="str">
        <x:v>Z-07</x:v>
      </x:c>
      <x:c r="C76" s="10" t="n">
        <x:v>0.390625</x:v>
      </x:c>
      <x:c r="D76" s="10" t="n">
        <x:v>1.5</x:v>
      </x:c>
      <x:c r="E76" s="12"/>
      <x:c r="F76" s="10" t="str">
        <x:f>IF(E76="","",E76-D76)</x:f>
      </x:c>
      <x:c r="G76" s="10" t="str">
        <x:f>IF(E76="","OPEN",IF(E76&gt;0,"OBSERVED","DENY"))</x:f>
        <x:v>OPEN</x:v>
      </x:c>
    </x:row>
    <x:row r="77">
      <x:c r="A77" s="10" t="str">
        <x:v>EV-05</x:v>
      </x:c>
      <x:c r="B77" s="10" t="str">
        <x:v>Z-08</x:v>
      </x:c>
      <x:c r="C77" s="10" t="n">
        <x:v>0.390625</x:v>
      </x:c>
      <x:c r="D77" s="10" t="n">
        <x:v>1.5</x:v>
      </x:c>
      <x:c r="E77" s="12"/>
      <x:c r="F77" s="10" t="str">
        <x:f>IF(E77="","",E77-D77)</x:f>
      </x:c>
      <x:c r="G77" s="10" t="str">
        <x:f>IF(E77="","OPEN",IF(E77&gt;0,"OBSERVED","DENY"))</x:f>
        <x:v>OPEN</x:v>
      </x:c>
    </x:row>
    <x:row r="78">
      <x:c r="A78" s="10" t="str">
        <x:v>EV-05</x:v>
      </x:c>
      <x:c r="B78" s="10" t="str">
        <x:v>Z-09</x:v>
      </x:c>
      <x:c r="C78" s="10" t="n">
        <x:v>0.390625</x:v>
      </x:c>
      <x:c r="D78" s="10" t="n">
        <x:v>1.5</x:v>
      </x:c>
      <x:c r="E78" s="12"/>
      <x:c r="F78" s="10" t="str">
        <x:f>IF(E78="","",E78-D78)</x:f>
      </x:c>
      <x:c r="G78" s="10" t="str">
        <x:f>IF(E78="","OPEN",IF(E78&gt;0,"OBSERVED","DENY"))</x:f>
        <x:v>OPEN</x:v>
      </x:c>
    </x:row>
    <x:row r="79">
      <x:c r="A79" s="10" t="str">
        <x:v>EV-05</x:v>
      </x:c>
      <x:c r="B79" s="10" t="str">
        <x:v>Z-10</x:v>
      </x:c>
      <x:c r="C79" s="10" t="n">
        <x:v>0.390625</x:v>
      </x:c>
      <x:c r="D79" s="10" t="n">
        <x:v>1.5</x:v>
      </x:c>
      <x:c r="E79" s="12"/>
      <x:c r="F79" s="10" t="str">
        <x:f>IF(E79="","",E79-D79)</x:f>
      </x:c>
      <x:c r="G79" s="10" t="str">
        <x:f>IF(E79="","OPEN",IF(E79&gt;0,"OBSERVED","DENY"))</x:f>
        <x:v>OPEN</x:v>
      </x:c>
    </x:row>
    <x:row r="80">
      <x:c r="A80" s="10" t="str">
        <x:v>EV-05</x:v>
      </x:c>
      <x:c r="B80" s="10" t="str">
        <x:v>Z-11</x:v>
      </x:c>
      <x:c r="C80" s="10" t="n">
        <x:v>0.390625</x:v>
      </x:c>
      <x:c r="D80" s="10" t="n">
        <x:v>1.5</x:v>
      </x:c>
      <x:c r="E80" s="12"/>
      <x:c r="F80" s="10" t="str">
        <x:f>IF(E80="","",E80-D80)</x:f>
      </x:c>
      <x:c r="G80" s="10" t="str">
        <x:f>IF(E80="","OPEN",IF(E80&gt;0,"OBSERVED","DENY"))</x:f>
        <x:v>OPEN</x:v>
      </x:c>
    </x:row>
    <x:row r="81">
      <x:c r="A81" s="10" t="str">
        <x:v>EV-05</x:v>
      </x:c>
      <x:c r="B81" s="10" t="str">
        <x:v>Z-12</x:v>
      </x:c>
      <x:c r="C81" s="10" t="n">
        <x:v>0.390625</x:v>
      </x:c>
      <x:c r="D81" s="10" t="n">
        <x:v>1.5</x:v>
      </x:c>
      <x:c r="E81" s="12"/>
      <x:c r="F81" s="10" t="str">
        <x:f>IF(E81="","",E81-D81)</x:f>
      </x:c>
      <x:c r="G81" s="10" t="str">
        <x:f>IF(E81="","OPEN",IF(E81&gt;0,"OBSERVED","DENY"))</x:f>
        <x:v>OPEN</x:v>
      </x:c>
    </x:row>
    <x:row r="82">
      <x:c r="A82" s="10" t="str">
        <x:v>EV-05</x:v>
      </x:c>
      <x:c r="B82" s="10" t="str">
        <x:v>Z-13</x:v>
      </x:c>
      <x:c r="C82" s="10" t="n">
        <x:v>0.390625</x:v>
      </x:c>
      <x:c r="D82" s="10" t="n">
        <x:v>1.5</x:v>
      </x:c>
      <x:c r="E82" s="12"/>
      <x:c r="F82" s="10" t="str">
        <x:f>IF(E82="","",E82-D82)</x:f>
      </x:c>
      <x:c r="G82" s="10" t="str">
        <x:f>IF(E82="","OPEN",IF(E82&gt;0,"OBSERVED","DENY"))</x:f>
        <x:v>OPEN</x:v>
      </x:c>
    </x:row>
    <x:row r="83">
      <x:c r="A83" s="10" t="str">
        <x:v>EV-05</x:v>
      </x:c>
      <x:c r="B83" s="10" t="str">
        <x:v>Z-14</x:v>
      </x:c>
      <x:c r="C83" s="10" t="n">
        <x:v>0.390625</x:v>
      </x:c>
      <x:c r="D83" s="10" t="n">
        <x:v>1.5</x:v>
      </x:c>
      <x:c r="E83" s="12"/>
      <x:c r="F83" s="10" t="str">
        <x:f>IF(E83="","",E83-D83)</x:f>
      </x:c>
      <x:c r="G83" s="10" t="str">
        <x:f>IF(E83="","OPEN",IF(E83&gt;0,"OBSERVED","DENY"))</x:f>
        <x:v>OPEN</x:v>
      </x:c>
    </x:row>
    <x:row r="84">
      <x:c r="A84" s="10" t="str">
        <x:v>EV-05</x:v>
      </x:c>
      <x:c r="B84" s="10" t="str">
        <x:v>Z-15</x:v>
      </x:c>
      <x:c r="C84" s="10" t="n">
        <x:v>0.390625</x:v>
      </x:c>
      <x:c r="D84" s="10" t="n">
        <x:v>1.5</x:v>
      </x:c>
      <x:c r="E84" s="12"/>
      <x:c r="F84" s="10" t="str">
        <x:f>IF(E84="","",E84-D84)</x:f>
      </x:c>
      <x:c r="G84" s="10" t="str">
        <x:f>IF(E84="","OPEN",IF(E84&gt;0,"OBSERVED","DENY"))</x:f>
        <x:v>OPEN</x:v>
      </x:c>
    </x:row>
    <x:row r="85">
      <x:c r="A85" s="10" t="str">
        <x:v>EV-05</x:v>
      </x:c>
      <x:c r="B85" s="10" t="str">
        <x:v>Z-16</x:v>
      </x:c>
      <x:c r="C85" s="10" t="n">
        <x:v>0.390625</x:v>
      </x:c>
      <x:c r="D85" s="10" t="n">
        <x:v>1.5</x:v>
      </x:c>
      <x:c r="E85" s="12"/>
      <x:c r="F85" s="10" t="str">
        <x:f>IF(E85="","",E85-D85)</x:f>
      </x:c>
      <x:c r="G85" s="10" t="str">
        <x:f>IF(E85="","OPEN",IF(E85&gt;0,"OBSERVED","DENY"))</x:f>
        <x:v>OPEN</x:v>
      </x:c>
    </x:row>
    <x:row r="86">
      <x:c r="A86" s="10" t="str">
        <x:v>EV-06</x:v>
      </x:c>
      <x:c r="B86" s="10" t="str">
        <x:v>Z-01</x:v>
      </x:c>
      <x:c r="C86" s="10" t="n">
        <x:v>0.390625</x:v>
      </x:c>
      <x:c r="D86" s="10" t="n">
        <x:v>1.5</x:v>
      </x:c>
      <x:c r="E86" s="12"/>
      <x:c r="F86" s="10" t="str">
        <x:f>IF(E86="","",E86-D86)</x:f>
      </x:c>
      <x:c r="G86" s="10" t="str">
        <x:f>IF(E86="","OPEN",IF(E86&gt;0,"OBSERVED","DENY"))</x:f>
        <x:v>OPEN</x:v>
      </x:c>
    </x:row>
    <x:row r="87">
      <x:c r="A87" s="10" t="str">
        <x:v>EV-06</x:v>
      </x:c>
      <x:c r="B87" s="10" t="str">
        <x:v>Z-02</x:v>
      </x:c>
      <x:c r="C87" s="10" t="n">
        <x:v>0.390625</x:v>
      </x:c>
      <x:c r="D87" s="10" t="n">
        <x:v>1.5</x:v>
      </x:c>
      <x:c r="E87" s="12"/>
      <x:c r="F87" s="10" t="str">
        <x:f>IF(E87="","",E87-D87)</x:f>
      </x:c>
      <x:c r="G87" s="10" t="str">
        <x:f>IF(E87="","OPEN",IF(E87&gt;0,"OBSERVED","DENY"))</x:f>
        <x:v>OPEN</x:v>
      </x:c>
    </x:row>
    <x:row r="88">
      <x:c r="A88" s="10" t="str">
        <x:v>EV-06</x:v>
      </x:c>
      <x:c r="B88" s="10" t="str">
        <x:v>Z-03</x:v>
      </x:c>
      <x:c r="C88" s="10" t="n">
        <x:v>0.390625</x:v>
      </x:c>
      <x:c r="D88" s="10" t="n">
        <x:v>1.5</x:v>
      </x:c>
      <x:c r="E88" s="12"/>
      <x:c r="F88" s="10" t="str">
        <x:f>IF(E88="","",E88-D88)</x:f>
      </x:c>
      <x:c r="G88" s="10" t="str">
        <x:f>IF(E88="","OPEN",IF(E88&gt;0,"OBSERVED","DENY"))</x:f>
        <x:v>OPEN</x:v>
      </x:c>
    </x:row>
    <x:row r="89">
      <x:c r="A89" s="10" t="str">
        <x:v>EV-06</x:v>
      </x:c>
      <x:c r="B89" s="10" t="str">
        <x:v>Z-04</x:v>
      </x:c>
      <x:c r="C89" s="10" t="n">
        <x:v>0.390625</x:v>
      </x:c>
      <x:c r="D89" s="10" t="n">
        <x:v>1.5</x:v>
      </x:c>
      <x:c r="E89" s="12"/>
      <x:c r="F89" s="10" t="str">
        <x:f>IF(E89="","",E89-D89)</x:f>
      </x:c>
      <x:c r="G89" s="10" t="str">
        <x:f>IF(E89="","OPEN",IF(E89&gt;0,"OBSERVED","DENY"))</x:f>
        <x:v>OPEN</x:v>
      </x:c>
    </x:row>
    <x:row r="90">
      <x:c r="A90" s="10" t="str">
        <x:v>EV-06</x:v>
      </x:c>
      <x:c r="B90" s="10" t="str">
        <x:v>Z-05</x:v>
      </x:c>
      <x:c r="C90" s="10" t="n">
        <x:v>0.390625</x:v>
      </x:c>
      <x:c r="D90" s="10" t="n">
        <x:v>1.5</x:v>
      </x:c>
      <x:c r="E90" s="12"/>
      <x:c r="F90" s="10" t="str">
        <x:f>IF(E90="","",E90-D90)</x:f>
      </x:c>
      <x:c r="G90" s="10" t="str">
        <x:f>IF(E90="","OPEN",IF(E90&gt;0,"OBSERVED","DENY"))</x:f>
        <x:v>OPEN</x:v>
      </x:c>
    </x:row>
    <x:row r="91">
      <x:c r="A91" s="10" t="str">
        <x:v>EV-06</x:v>
      </x:c>
      <x:c r="B91" s="10" t="str">
        <x:v>Z-06</x:v>
      </x:c>
      <x:c r="C91" s="10" t="n">
        <x:v>0.390625</x:v>
      </x:c>
      <x:c r="D91" s="10" t="n">
        <x:v>1.5</x:v>
      </x:c>
      <x:c r="E91" s="12"/>
      <x:c r="F91" s="10" t="str">
        <x:f>IF(E91="","",E91-D91)</x:f>
      </x:c>
      <x:c r="G91" s="10" t="str">
        <x:f>IF(E91="","OPEN",IF(E91&gt;0,"OBSERVED","DENY"))</x:f>
        <x:v>OPEN</x:v>
      </x:c>
    </x:row>
    <x:row r="92">
      <x:c r="A92" s="10" t="str">
        <x:v>EV-06</x:v>
      </x:c>
      <x:c r="B92" s="10" t="str">
        <x:v>Z-07</x:v>
      </x:c>
      <x:c r="C92" s="10" t="n">
        <x:v>0.390625</x:v>
      </x:c>
      <x:c r="D92" s="10" t="n">
        <x:v>1.5</x:v>
      </x:c>
      <x:c r="E92" s="12"/>
      <x:c r="F92" s="10" t="str">
        <x:f>IF(E92="","",E92-D92)</x:f>
      </x:c>
      <x:c r="G92" s="10" t="str">
        <x:f>IF(E92="","OPEN",IF(E92&gt;0,"OBSERVED","DENY"))</x:f>
        <x:v>OPEN</x:v>
      </x:c>
    </x:row>
    <x:row r="93">
      <x:c r="A93" s="10" t="str">
        <x:v>EV-06</x:v>
      </x:c>
      <x:c r="B93" s="10" t="str">
        <x:v>Z-08</x:v>
      </x:c>
      <x:c r="C93" s="10" t="n">
        <x:v>0.390625</x:v>
      </x:c>
      <x:c r="D93" s="10" t="n">
        <x:v>1.5</x:v>
      </x:c>
      <x:c r="E93" s="12"/>
      <x:c r="F93" s="10" t="str">
        <x:f>IF(E93="","",E93-D93)</x:f>
      </x:c>
      <x:c r="G93" s="10" t="str">
        <x:f>IF(E93="","OPEN",IF(E93&gt;0,"OBSERVED","DENY"))</x:f>
        <x:v>OPEN</x:v>
      </x:c>
    </x:row>
    <x:row r="94">
      <x:c r="A94" s="10" t="str">
        <x:v>EV-06</x:v>
      </x:c>
      <x:c r="B94" s="10" t="str">
        <x:v>Z-09</x:v>
      </x:c>
      <x:c r="C94" s="10" t="n">
        <x:v>0.390625</x:v>
      </x:c>
      <x:c r="D94" s="10" t="n">
        <x:v>1.5</x:v>
      </x:c>
      <x:c r="E94" s="12"/>
      <x:c r="F94" s="10" t="str">
        <x:f>IF(E94="","",E94-D94)</x:f>
      </x:c>
      <x:c r="G94" s="10" t="str">
        <x:f>IF(E94="","OPEN",IF(E94&gt;0,"OBSERVED","DENY"))</x:f>
        <x:v>OPEN</x:v>
      </x:c>
    </x:row>
    <x:row r="95">
      <x:c r="A95" s="10" t="str">
        <x:v>EV-06</x:v>
      </x:c>
      <x:c r="B95" s="10" t="str">
        <x:v>Z-10</x:v>
      </x:c>
      <x:c r="C95" s="10" t="n">
        <x:v>0.390625</x:v>
      </x:c>
      <x:c r="D95" s="10" t="n">
        <x:v>1.5</x:v>
      </x:c>
      <x:c r="E95" s="12"/>
      <x:c r="F95" s="10" t="str">
        <x:f>IF(E95="","",E95-D95)</x:f>
      </x:c>
      <x:c r="G95" s="10" t="str">
        <x:f>IF(E95="","OPEN",IF(E95&gt;0,"OBSERVED","DENY"))</x:f>
        <x:v>OPEN</x:v>
      </x:c>
    </x:row>
    <x:row r="96">
      <x:c r="A96" s="10" t="str">
        <x:v>EV-06</x:v>
      </x:c>
      <x:c r="B96" s="10" t="str">
        <x:v>Z-11</x:v>
      </x:c>
      <x:c r="C96" s="10" t="n">
        <x:v>0.390625</x:v>
      </x:c>
      <x:c r="D96" s="10" t="n">
        <x:v>1.5</x:v>
      </x:c>
      <x:c r="E96" s="12"/>
      <x:c r="F96" s="10" t="str">
        <x:f>IF(E96="","",E96-D96)</x:f>
      </x:c>
      <x:c r="G96" s="10" t="str">
        <x:f>IF(E96="","OPEN",IF(E96&gt;0,"OBSERVED","DENY"))</x:f>
        <x:v>OPEN</x:v>
      </x:c>
    </x:row>
    <x:row r="97">
      <x:c r="A97" s="10" t="str">
        <x:v>EV-06</x:v>
      </x:c>
      <x:c r="B97" s="10" t="str">
        <x:v>Z-12</x:v>
      </x:c>
      <x:c r="C97" s="10" t="n">
        <x:v>0.390625</x:v>
      </x:c>
      <x:c r="D97" s="10" t="n">
        <x:v>1.5</x:v>
      </x:c>
      <x:c r="E97" s="12"/>
      <x:c r="F97" s="10" t="str">
        <x:f>IF(E97="","",E97-D97)</x:f>
      </x:c>
      <x:c r="G97" s="10" t="str">
        <x:f>IF(E97="","OPEN",IF(E97&gt;0,"OBSERVED","DENY"))</x:f>
        <x:v>OPEN</x:v>
      </x:c>
    </x:row>
    <x:row r="98">
      <x:c r="A98" s="10" t="str">
        <x:v>EV-06</x:v>
      </x:c>
      <x:c r="B98" s="10" t="str">
        <x:v>Z-13</x:v>
      </x:c>
      <x:c r="C98" s="10" t="n">
        <x:v>0.390625</x:v>
      </x:c>
      <x:c r="D98" s="10" t="n">
        <x:v>1.5</x:v>
      </x:c>
      <x:c r="E98" s="12"/>
      <x:c r="F98" s="10" t="str">
        <x:f>IF(E98="","",E98-D98)</x:f>
      </x:c>
      <x:c r="G98" s="10" t="str">
        <x:f>IF(E98="","OPEN",IF(E98&gt;0,"OBSERVED","DENY"))</x:f>
        <x:v>OPEN</x:v>
      </x:c>
    </x:row>
    <x:row r="99">
      <x:c r="A99" s="10" t="str">
        <x:v>EV-06</x:v>
      </x:c>
      <x:c r="B99" s="10" t="str">
        <x:v>Z-14</x:v>
      </x:c>
      <x:c r="C99" s="10" t="n">
        <x:v>0.390625</x:v>
      </x:c>
      <x:c r="D99" s="10" t="n">
        <x:v>1.5</x:v>
      </x:c>
      <x:c r="E99" s="12"/>
      <x:c r="F99" s="10" t="str">
        <x:f>IF(E99="","",E99-D99)</x:f>
      </x:c>
      <x:c r="G99" s="10" t="str">
        <x:f>IF(E99="","OPEN",IF(E99&gt;0,"OBSERVED","DENY"))</x:f>
        <x:v>OPEN</x:v>
      </x:c>
    </x:row>
    <x:row r="100">
      <x:c r="A100" s="10" t="str">
        <x:v>EV-06</x:v>
      </x:c>
      <x:c r="B100" s="10" t="str">
        <x:v>Z-15</x:v>
      </x:c>
      <x:c r="C100" s="10" t="n">
        <x:v>0.390625</x:v>
      </x:c>
      <x:c r="D100" s="10" t="n">
        <x:v>1.5</x:v>
      </x:c>
      <x:c r="E100" s="12"/>
      <x:c r="F100" s="10" t="str">
        <x:f>IF(E100="","",E100-D100)</x:f>
      </x:c>
      <x:c r="G100" s="10" t="str">
        <x:f>IF(E100="","OPEN",IF(E100&gt;0,"OBSERVED","DENY"))</x:f>
        <x:v>OPEN</x:v>
      </x:c>
    </x:row>
    <x:row r="101">
      <x:c r="A101" s="10" t="str">
        <x:v>EV-06</x:v>
      </x:c>
      <x:c r="B101" s="10" t="str">
        <x:v>Z-16</x:v>
      </x:c>
      <x:c r="C101" s="10" t="n">
        <x:v>0.390625</x:v>
      </x:c>
      <x:c r="D101" s="10" t="n">
        <x:v>1.5</x:v>
      </x:c>
      <x:c r="E101" s="12"/>
      <x:c r="F101" s="10" t="str">
        <x:f>IF(E101="","",E101-D101)</x:f>
      </x:c>
      <x:c r="G101" s="10" t="str">
        <x:f>IF(E101="","OPEN",IF(E101&gt;0,"OBSERVED","DENY"))</x:f>
        <x:v>OPEN</x:v>
      </x:c>
    </x:row>
    <x:row r="102">
      <x:c r="A102" s="10" t="str">
        <x:v>EV-07</x:v>
      </x:c>
      <x:c r="B102" s="10" t="str">
        <x:v>Z-01</x:v>
      </x:c>
      <x:c r="C102" s="10" t="n">
        <x:v>0.390625</x:v>
      </x:c>
      <x:c r="D102" s="10" t="n">
        <x:v>1.5</x:v>
      </x:c>
      <x:c r="E102" s="12"/>
      <x:c r="F102" s="10" t="str">
        <x:f>IF(E102="","",E102-D102)</x:f>
      </x:c>
      <x:c r="G102" s="10" t="str">
        <x:f>IF(E102="","OPEN",IF(E102&gt;0,"OBSERVED","DENY"))</x:f>
        <x:v>OPEN</x:v>
      </x:c>
    </x:row>
    <x:row r="103">
      <x:c r="A103" s="10" t="str">
        <x:v>EV-07</x:v>
      </x:c>
      <x:c r="B103" s="10" t="str">
        <x:v>Z-02</x:v>
      </x:c>
      <x:c r="C103" s="10" t="n">
        <x:v>0.390625</x:v>
      </x:c>
      <x:c r="D103" s="10" t="n">
        <x:v>1.5</x:v>
      </x:c>
      <x:c r="E103" s="12"/>
      <x:c r="F103" s="10" t="str">
        <x:f>IF(E103="","",E103-D103)</x:f>
      </x:c>
      <x:c r="G103" s="10" t="str">
        <x:f>IF(E103="","OPEN",IF(E103&gt;0,"OBSERVED","DENY"))</x:f>
        <x:v>OPEN</x:v>
      </x:c>
    </x:row>
    <x:row r="104">
      <x:c r="A104" s="10" t="str">
        <x:v>EV-07</x:v>
      </x:c>
      <x:c r="B104" s="10" t="str">
        <x:v>Z-03</x:v>
      </x:c>
      <x:c r="C104" s="10" t="n">
        <x:v>0.390625</x:v>
      </x:c>
      <x:c r="D104" s="10" t="n">
        <x:v>1.5</x:v>
      </x:c>
      <x:c r="E104" s="12"/>
      <x:c r="F104" s="10" t="str">
        <x:f>IF(E104="","",E104-D104)</x:f>
      </x:c>
      <x:c r="G104" s="10" t="str">
        <x:f>IF(E104="","OPEN",IF(E104&gt;0,"OBSERVED","DENY"))</x:f>
        <x:v>OPEN</x:v>
      </x:c>
    </x:row>
    <x:row r="105">
      <x:c r="A105" s="10" t="str">
        <x:v>EV-07</x:v>
      </x:c>
      <x:c r="B105" s="10" t="str">
        <x:v>Z-04</x:v>
      </x:c>
      <x:c r="C105" s="10" t="n">
        <x:v>0.390625</x:v>
      </x:c>
      <x:c r="D105" s="10" t="n">
        <x:v>1.5</x:v>
      </x:c>
      <x:c r="E105" s="12"/>
      <x:c r="F105" s="10" t="str">
        <x:f>IF(E105="","",E105-D105)</x:f>
      </x:c>
      <x:c r="G105" s="10" t="str">
        <x:f>IF(E105="","OPEN",IF(E105&gt;0,"OBSERVED","DENY"))</x:f>
        <x:v>OPEN</x:v>
      </x:c>
    </x:row>
    <x:row r="106">
      <x:c r="A106" s="10" t="str">
        <x:v>EV-07</x:v>
      </x:c>
      <x:c r="B106" s="10" t="str">
        <x:v>Z-05</x:v>
      </x:c>
      <x:c r="C106" s="10" t="n">
        <x:v>0.390625</x:v>
      </x:c>
      <x:c r="D106" s="10" t="n">
        <x:v>1.5</x:v>
      </x:c>
      <x:c r="E106" s="12"/>
      <x:c r="F106" s="10" t="str">
        <x:f>IF(E106="","",E106-D106)</x:f>
      </x:c>
      <x:c r="G106" s="10" t="str">
        <x:f>IF(E106="","OPEN",IF(E106&gt;0,"OBSERVED","DENY"))</x:f>
        <x:v>OPEN</x:v>
      </x:c>
    </x:row>
    <x:row r="107">
      <x:c r="A107" s="10" t="str">
        <x:v>EV-07</x:v>
      </x:c>
      <x:c r="B107" s="10" t="str">
        <x:v>Z-06</x:v>
      </x:c>
      <x:c r="C107" s="10" t="n">
        <x:v>0.390625</x:v>
      </x:c>
      <x:c r="D107" s="10" t="n">
        <x:v>1.5</x:v>
      </x:c>
      <x:c r="E107" s="12"/>
      <x:c r="F107" s="10" t="str">
        <x:f>IF(E107="","",E107-D107)</x:f>
      </x:c>
      <x:c r="G107" s="10" t="str">
        <x:f>IF(E107="","OPEN",IF(E107&gt;0,"OBSERVED","DENY"))</x:f>
        <x:v>OPEN</x:v>
      </x:c>
    </x:row>
    <x:row r="108">
      <x:c r="A108" s="10" t="str">
        <x:v>EV-07</x:v>
      </x:c>
      <x:c r="B108" s="10" t="str">
        <x:v>Z-07</x:v>
      </x:c>
      <x:c r="C108" s="10" t="n">
        <x:v>0.390625</x:v>
      </x:c>
      <x:c r="D108" s="10" t="n">
        <x:v>1.5</x:v>
      </x:c>
      <x:c r="E108" s="12"/>
      <x:c r="F108" s="10" t="str">
        <x:f>IF(E108="","",E108-D108)</x:f>
      </x:c>
      <x:c r="G108" s="10" t="str">
        <x:f>IF(E108="","OPEN",IF(E108&gt;0,"OBSERVED","DENY"))</x:f>
        <x:v>OPEN</x:v>
      </x:c>
    </x:row>
    <x:row r="109">
      <x:c r="A109" s="10" t="str">
        <x:v>EV-07</x:v>
      </x:c>
      <x:c r="B109" s="10" t="str">
        <x:v>Z-08</x:v>
      </x:c>
      <x:c r="C109" s="10" t="n">
        <x:v>0.390625</x:v>
      </x:c>
      <x:c r="D109" s="10" t="n">
        <x:v>1.5</x:v>
      </x:c>
      <x:c r="E109" s="12"/>
      <x:c r="F109" s="10" t="str">
        <x:f>IF(E109="","",E109-D109)</x:f>
      </x:c>
      <x:c r="G109" s="10" t="str">
        <x:f>IF(E109="","OPEN",IF(E109&gt;0,"OBSERVED","DENY"))</x:f>
        <x:v>OPEN</x:v>
      </x:c>
    </x:row>
    <x:row r="110">
      <x:c r="A110" s="10" t="str">
        <x:v>EV-07</x:v>
      </x:c>
      <x:c r="B110" s="10" t="str">
        <x:v>Z-09</x:v>
      </x:c>
      <x:c r="C110" s="10" t="n">
        <x:v>0.390625</x:v>
      </x:c>
      <x:c r="D110" s="10" t="n">
        <x:v>1.5</x:v>
      </x:c>
      <x:c r="E110" s="12"/>
      <x:c r="F110" s="10" t="str">
        <x:f>IF(E110="","",E110-D110)</x:f>
      </x:c>
      <x:c r="G110" s="10" t="str">
        <x:f>IF(E110="","OPEN",IF(E110&gt;0,"OBSERVED","DENY"))</x:f>
        <x:v>OPEN</x:v>
      </x:c>
    </x:row>
    <x:row r="111">
      <x:c r="A111" s="10" t="str">
        <x:v>EV-07</x:v>
      </x:c>
      <x:c r="B111" s="10" t="str">
        <x:v>Z-10</x:v>
      </x:c>
      <x:c r="C111" s="10" t="n">
        <x:v>0.390625</x:v>
      </x:c>
      <x:c r="D111" s="10" t="n">
        <x:v>1.5</x:v>
      </x:c>
      <x:c r="E111" s="12"/>
      <x:c r="F111" s="10" t="str">
        <x:f>IF(E111="","",E111-D111)</x:f>
      </x:c>
      <x:c r="G111" s="10" t="str">
        <x:f>IF(E111="","OPEN",IF(E111&gt;0,"OBSERVED","DENY"))</x:f>
        <x:v>OPEN</x:v>
      </x:c>
    </x:row>
    <x:row r="112">
      <x:c r="A112" s="10" t="str">
        <x:v>EV-07</x:v>
      </x:c>
      <x:c r="B112" s="10" t="str">
        <x:v>Z-11</x:v>
      </x:c>
      <x:c r="C112" s="10" t="n">
        <x:v>0.390625</x:v>
      </x:c>
      <x:c r="D112" s="10" t="n">
        <x:v>1.5</x:v>
      </x:c>
      <x:c r="E112" s="12"/>
      <x:c r="F112" s="10" t="str">
        <x:f>IF(E112="","",E112-D112)</x:f>
      </x:c>
      <x:c r="G112" s="10" t="str">
        <x:f>IF(E112="","OPEN",IF(E112&gt;0,"OBSERVED","DENY"))</x:f>
        <x:v>OPEN</x:v>
      </x:c>
    </x:row>
    <x:row r="113">
      <x:c r="A113" s="10" t="str">
        <x:v>EV-07</x:v>
      </x:c>
      <x:c r="B113" s="10" t="str">
        <x:v>Z-12</x:v>
      </x:c>
      <x:c r="C113" s="10" t="n">
        <x:v>0.390625</x:v>
      </x:c>
      <x:c r="D113" s="10" t="n">
        <x:v>1.5</x:v>
      </x:c>
      <x:c r="E113" s="12"/>
      <x:c r="F113" s="10" t="str">
        <x:f>IF(E113="","",E113-D113)</x:f>
      </x:c>
      <x:c r="G113" s="10" t="str">
        <x:f>IF(E113="","OPEN",IF(E113&gt;0,"OBSERVED","DENY"))</x:f>
        <x:v>OPEN</x:v>
      </x:c>
    </x:row>
    <x:row r="114">
      <x:c r="A114" s="10" t="str">
        <x:v>EV-07</x:v>
      </x:c>
      <x:c r="B114" s="10" t="str">
        <x:v>Z-13</x:v>
      </x:c>
      <x:c r="C114" s="10" t="n">
        <x:v>0.390625</x:v>
      </x:c>
      <x:c r="D114" s="10" t="n">
        <x:v>1.5</x:v>
      </x:c>
      <x:c r="E114" s="12"/>
      <x:c r="F114" s="10" t="str">
        <x:f>IF(E114="","",E114-D114)</x:f>
      </x:c>
      <x:c r="G114" s="10" t="str">
        <x:f>IF(E114="","OPEN",IF(E114&gt;0,"OBSERVED","DENY"))</x:f>
        <x:v>OPEN</x:v>
      </x:c>
    </x:row>
    <x:row r="115">
      <x:c r="A115" s="10" t="str">
        <x:v>EV-07</x:v>
      </x:c>
      <x:c r="B115" s="10" t="str">
        <x:v>Z-14</x:v>
      </x:c>
      <x:c r="C115" s="10" t="n">
        <x:v>0.390625</x:v>
      </x:c>
      <x:c r="D115" s="10" t="n">
        <x:v>1.5</x:v>
      </x:c>
      <x:c r="E115" s="12"/>
      <x:c r="F115" s="10" t="str">
        <x:f>IF(E115="","",E115-D115)</x:f>
      </x:c>
      <x:c r="G115" s="10" t="str">
        <x:f>IF(E115="","OPEN",IF(E115&gt;0,"OBSERVED","DENY"))</x:f>
        <x:v>OPEN</x:v>
      </x:c>
    </x:row>
    <x:row r="116">
      <x:c r="A116" s="10" t="str">
        <x:v>EV-07</x:v>
      </x:c>
      <x:c r="B116" s="10" t="str">
        <x:v>Z-15</x:v>
      </x:c>
      <x:c r="C116" s="10" t="n">
        <x:v>0.390625</x:v>
      </x:c>
      <x:c r="D116" s="10" t="n">
        <x:v>1.5</x:v>
      </x:c>
      <x:c r="E116" s="12"/>
      <x:c r="F116" s="10" t="str">
        <x:f>IF(E116="","",E116-D116)</x:f>
      </x:c>
      <x:c r="G116" s="10" t="str">
        <x:f>IF(E116="","OPEN",IF(E116&gt;0,"OBSERVED","DENY"))</x:f>
        <x:v>OPEN</x:v>
      </x:c>
    </x:row>
    <x:row r="117">
      <x:c r="A117" s="10" t="str">
        <x:v>EV-07</x:v>
      </x:c>
      <x:c r="B117" s="10" t="str">
        <x:v>Z-16</x:v>
      </x:c>
      <x:c r="C117" s="10" t="n">
        <x:v>0.390625</x:v>
      </x:c>
      <x:c r="D117" s="10" t="n">
        <x:v>1.5</x:v>
      </x:c>
      <x:c r="E117" s="12"/>
      <x:c r="F117" s="10" t="str">
        <x:f>IF(E117="","",E117-D117)</x:f>
      </x:c>
      <x:c r="G117" s="10" t="str">
        <x:f>IF(E117="","OPEN",IF(E117&gt;0,"OBSERVED","DENY"))</x:f>
        <x:v>OPEN</x:v>
      </x:c>
    </x:row>
    <x:row r="118">
      <x:c r="A118" s="10" t="str">
        <x:v>EV-08</x:v>
      </x:c>
      <x:c r="B118" s="10" t="str">
        <x:v>Z-01</x:v>
      </x:c>
      <x:c r="C118" s="10" t="n">
        <x:v>0.390625</x:v>
      </x:c>
      <x:c r="D118" s="10" t="n">
        <x:v>1.5</x:v>
      </x:c>
      <x:c r="E118" s="12"/>
      <x:c r="F118" s="10" t="str">
        <x:f>IF(E118="","",E118-D118)</x:f>
      </x:c>
      <x:c r="G118" s="10" t="str">
        <x:f>IF(E118="","OPEN",IF(E118&gt;0,"OBSERVED","DENY"))</x:f>
        <x:v>OPEN</x:v>
      </x:c>
    </x:row>
    <x:row r="119">
      <x:c r="A119" s="10" t="str">
        <x:v>EV-08</x:v>
      </x:c>
      <x:c r="B119" s="10" t="str">
        <x:v>Z-02</x:v>
      </x:c>
      <x:c r="C119" s="10" t="n">
        <x:v>0.390625</x:v>
      </x:c>
      <x:c r="D119" s="10" t="n">
        <x:v>1.5</x:v>
      </x:c>
      <x:c r="E119" s="12"/>
      <x:c r="F119" s="10" t="str">
        <x:f>IF(E119="","",E119-D119)</x:f>
      </x:c>
      <x:c r="G119" s="10" t="str">
        <x:f>IF(E119="","OPEN",IF(E119&gt;0,"OBSERVED","DENY"))</x:f>
        <x:v>OPEN</x:v>
      </x:c>
    </x:row>
    <x:row r="120">
      <x:c r="A120" s="10" t="str">
        <x:v>EV-08</x:v>
      </x:c>
      <x:c r="B120" s="10" t="str">
        <x:v>Z-03</x:v>
      </x:c>
      <x:c r="C120" s="10" t="n">
        <x:v>0.390625</x:v>
      </x:c>
      <x:c r="D120" s="10" t="n">
        <x:v>1.5</x:v>
      </x:c>
      <x:c r="E120" s="12"/>
      <x:c r="F120" s="10" t="str">
        <x:f>IF(E120="","",E120-D120)</x:f>
      </x:c>
      <x:c r="G120" s="10" t="str">
        <x:f>IF(E120="","OPEN",IF(E120&gt;0,"OBSERVED","DENY"))</x:f>
        <x:v>OPEN</x:v>
      </x:c>
    </x:row>
    <x:row r="121">
      <x:c r="A121" s="10" t="str">
        <x:v>EV-08</x:v>
      </x:c>
      <x:c r="B121" s="10" t="str">
        <x:v>Z-04</x:v>
      </x:c>
      <x:c r="C121" s="10" t="n">
        <x:v>0.390625</x:v>
      </x:c>
      <x:c r="D121" s="10" t="n">
        <x:v>1.5</x:v>
      </x:c>
      <x:c r="E121" s="12"/>
      <x:c r="F121" s="10" t="str">
        <x:f>IF(E121="","",E121-D121)</x:f>
      </x:c>
      <x:c r="G121" s="10" t="str">
        <x:f>IF(E121="","OPEN",IF(E121&gt;0,"OBSERVED","DENY"))</x:f>
        <x:v>OPEN</x:v>
      </x:c>
    </x:row>
    <x:row r="122">
      <x:c r="A122" s="10" t="str">
        <x:v>EV-08</x:v>
      </x:c>
      <x:c r="B122" s="10" t="str">
        <x:v>Z-05</x:v>
      </x:c>
      <x:c r="C122" s="10" t="n">
        <x:v>0.390625</x:v>
      </x:c>
      <x:c r="D122" s="10" t="n">
        <x:v>1.5</x:v>
      </x:c>
      <x:c r="E122" s="12"/>
      <x:c r="F122" s="10" t="str">
        <x:f>IF(E122="","",E122-D122)</x:f>
      </x:c>
      <x:c r="G122" s="10" t="str">
        <x:f>IF(E122="","OPEN",IF(E122&gt;0,"OBSERVED","DENY"))</x:f>
        <x:v>OPEN</x:v>
      </x:c>
    </x:row>
    <x:row r="123">
      <x:c r="A123" s="10" t="str">
        <x:v>EV-08</x:v>
      </x:c>
      <x:c r="B123" s="10" t="str">
        <x:v>Z-06</x:v>
      </x:c>
      <x:c r="C123" s="10" t="n">
        <x:v>0.390625</x:v>
      </x:c>
      <x:c r="D123" s="10" t="n">
        <x:v>1.5</x:v>
      </x:c>
      <x:c r="E123" s="12"/>
      <x:c r="F123" s="10" t="str">
        <x:f>IF(E123="","",E123-D123)</x:f>
      </x:c>
      <x:c r="G123" s="10" t="str">
        <x:f>IF(E123="","OPEN",IF(E123&gt;0,"OBSERVED","DENY"))</x:f>
        <x:v>OPEN</x:v>
      </x:c>
    </x:row>
    <x:row r="124">
      <x:c r="A124" s="10" t="str">
        <x:v>EV-08</x:v>
      </x:c>
      <x:c r="B124" s="10" t="str">
        <x:v>Z-07</x:v>
      </x:c>
      <x:c r="C124" s="10" t="n">
        <x:v>0.390625</x:v>
      </x:c>
      <x:c r="D124" s="10" t="n">
        <x:v>1.5</x:v>
      </x:c>
      <x:c r="E124" s="12"/>
      <x:c r="F124" s="10" t="str">
        <x:f>IF(E124="","",E124-D124)</x:f>
      </x:c>
      <x:c r="G124" s="10" t="str">
        <x:f>IF(E124="","OPEN",IF(E124&gt;0,"OBSERVED","DENY"))</x:f>
        <x:v>OPEN</x:v>
      </x:c>
    </x:row>
    <x:row r="125">
      <x:c r="A125" s="10" t="str">
        <x:v>EV-08</x:v>
      </x:c>
      <x:c r="B125" s="10" t="str">
        <x:v>Z-08</x:v>
      </x:c>
      <x:c r="C125" s="10" t="n">
        <x:v>0.390625</x:v>
      </x:c>
      <x:c r="D125" s="10" t="n">
        <x:v>1.5</x:v>
      </x:c>
      <x:c r="E125" s="12"/>
      <x:c r="F125" s="10" t="str">
        <x:f>IF(E125="","",E125-D125)</x:f>
      </x:c>
      <x:c r="G125" s="10" t="str">
        <x:f>IF(E125="","OPEN",IF(E125&gt;0,"OBSERVED","DENY"))</x:f>
        <x:v>OPEN</x:v>
      </x:c>
    </x:row>
    <x:row r="126">
      <x:c r="A126" s="10" t="str">
        <x:v>EV-08</x:v>
      </x:c>
      <x:c r="B126" s="10" t="str">
        <x:v>Z-09</x:v>
      </x:c>
      <x:c r="C126" s="10" t="n">
        <x:v>0.390625</x:v>
      </x:c>
      <x:c r="D126" s="10" t="n">
        <x:v>1.5</x:v>
      </x:c>
      <x:c r="E126" s="12"/>
      <x:c r="F126" s="10" t="str">
        <x:f>IF(E126="","",E126-D126)</x:f>
      </x:c>
      <x:c r="G126" s="10" t="str">
        <x:f>IF(E126="","OPEN",IF(E126&gt;0,"OBSERVED","DENY"))</x:f>
        <x:v>OPEN</x:v>
      </x:c>
    </x:row>
    <x:row r="127">
      <x:c r="A127" s="10" t="str">
        <x:v>EV-08</x:v>
      </x:c>
      <x:c r="B127" s="10" t="str">
        <x:v>Z-10</x:v>
      </x:c>
      <x:c r="C127" s="10" t="n">
        <x:v>0.390625</x:v>
      </x:c>
      <x:c r="D127" s="10" t="n">
        <x:v>1.5</x:v>
      </x:c>
      <x:c r="E127" s="12"/>
      <x:c r="F127" s="10" t="str">
        <x:f>IF(E127="","",E127-D127)</x:f>
      </x:c>
      <x:c r="G127" s="10" t="str">
        <x:f>IF(E127="","OPEN",IF(E127&gt;0,"OBSERVED","DENY"))</x:f>
        <x:v>OPEN</x:v>
      </x:c>
    </x:row>
    <x:row r="128">
      <x:c r="A128" s="10" t="str">
        <x:v>EV-08</x:v>
      </x:c>
      <x:c r="B128" s="10" t="str">
        <x:v>Z-11</x:v>
      </x:c>
      <x:c r="C128" s="10" t="n">
        <x:v>0.390625</x:v>
      </x:c>
      <x:c r="D128" s="10" t="n">
        <x:v>1.5</x:v>
      </x:c>
      <x:c r="E128" s="12"/>
      <x:c r="F128" s="10" t="str">
        <x:f>IF(E128="","",E128-D128)</x:f>
      </x:c>
      <x:c r="G128" s="10" t="str">
        <x:f>IF(E128="","OPEN",IF(E128&gt;0,"OBSERVED","DENY"))</x:f>
        <x:v>OPEN</x:v>
      </x:c>
    </x:row>
    <x:row r="129">
      <x:c r="A129" s="10" t="str">
        <x:v>EV-08</x:v>
      </x:c>
      <x:c r="B129" s="10" t="str">
        <x:v>Z-12</x:v>
      </x:c>
      <x:c r="C129" s="10" t="n">
        <x:v>0.390625</x:v>
      </x:c>
      <x:c r="D129" s="10" t="n">
        <x:v>1.5</x:v>
      </x:c>
      <x:c r="E129" s="12"/>
      <x:c r="F129" s="10" t="str">
        <x:f>IF(E129="","",E129-D129)</x:f>
      </x:c>
      <x:c r="G129" s="10" t="str">
        <x:f>IF(E129="","OPEN",IF(E129&gt;0,"OBSERVED","DENY"))</x:f>
        <x:v>OPEN</x:v>
      </x:c>
    </x:row>
    <x:row r="130">
      <x:c r="A130" s="10" t="str">
        <x:v>EV-08</x:v>
      </x:c>
      <x:c r="B130" s="10" t="str">
        <x:v>Z-13</x:v>
      </x:c>
      <x:c r="C130" s="10" t="n">
        <x:v>0.390625</x:v>
      </x:c>
      <x:c r="D130" s="10" t="n">
        <x:v>1.5</x:v>
      </x:c>
      <x:c r="E130" s="12"/>
      <x:c r="F130" s="10" t="str">
        <x:f>IF(E130="","",E130-D130)</x:f>
      </x:c>
      <x:c r="G130" s="10" t="str">
        <x:f>IF(E130="","OPEN",IF(E130&gt;0,"OBSERVED","DENY"))</x:f>
        <x:v>OPEN</x:v>
      </x:c>
    </x:row>
    <x:row r="131">
      <x:c r="A131" s="10" t="str">
        <x:v>EV-08</x:v>
      </x:c>
      <x:c r="B131" s="10" t="str">
        <x:v>Z-14</x:v>
      </x:c>
      <x:c r="C131" s="10" t="n">
        <x:v>0.390625</x:v>
      </x:c>
      <x:c r="D131" s="10" t="n">
        <x:v>1.5</x:v>
      </x:c>
      <x:c r="E131" s="12"/>
      <x:c r="F131" s="10" t="str">
        <x:f>IF(E131="","",E131-D131)</x:f>
      </x:c>
      <x:c r="G131" s="10" t="str">
        <x:f>IF(E131="","OPEN",IF(E131&gt;0,"OBSERVED","DENY"))</x:f>
        <x:v>OPEN</x:v>
      </x:c>
    </x:row>
    <x:row r="132">
      <x:c r="A132" s="10" t="str">
        <x:v>EV-08</x:v>
      </x:c>
      <x:c r="B132" s="10" t="str">
        <x:v>Z-15</x:v>
      </x:c>
      <x:c r="C132" s="10" t="n">
        <x:v>0.390625</x:v>
      </x:c>
      <x:c r="D132" s="10" t="n">
        <x:v>1.5</x:v>
      </x:c>
      <x:c r="E132" s="12"/>
      <x:c r="F132" s="10" t="str">
        <x:f>IF(E132="","",E132-D132)</x:f>
      </x:c>
      <x:c r="G132" s="10" t="str">
        <x:f>IF(E132="","OPEN",IF(E132&gt;0,"OBSERVED","DENY"))</x:f>
        <x:v>OPEN</x:v>
      </x:c>
    </x:row>
    <x:row r="133">
      <x:c r="A133" s="10" t="str">
        <x:v>EV-08</x:v>
      </x:c>
      <x:c r="B133" s="10" t="str">
        <x:v>Z-16</x:v>
      </x:c>
      <x:c r="C133" s="10" t="n">
        <x:v>0.390625</x:v>
      </x:c>
      <x:c r="D133" s="10" t="n">
        <x:v>1.5</x:v>
      </x:c>
      <x:c r="E133" s="12"/>
      <x:c r="F133" s="10" t="str">
        <x:f>IF(E133="","",E133-D133)</x:f>
      </x:c>
      <x:c r="G133" s="10" t="str">
        <x:f>IF(E133="","OPEN",IF(E133&gt;0,"OBSERVED","DENY"))</x:f>
        <x:v>OPEN</x:v>
      </x:c>
    </x:row>
    <x:row r="134">
      <x:c r="A134" s="10" t="str">
        <x:v>EV-09</x:v>
      </x:c>
      <x:c r="B134" s="10" t="str">
        <x:v>Z-01</x:v>
      </x:c>
      <x:c r="C134" s="10" t="n">
        <x:v>0.390625</x:v>
      </x:c>
      <x:c r="D134" s="10" t="n">
        <x:v>1.5</x:v>
      </x:c>
      <x:c r="E134" s="12"/>
      <x:c r="F134" s="10" t="str">
        <x:f>IF(E134="","",E134-D134)</x:f>
      </x:c>
      <x:c r="G134" s="10" t="str">
        <x:f>IF(E134="","OPEN",IF(E134&gt;0,"OBSERVED","DENY"))</x:f>
        <x:v>OPEN</x:v>
      </x:c>
    </x:row>
    <x:row r="135">
      <x:c r="A135" s="10" t="str">
        <x:v>EV-09</x:v>
      </x:c>
      <x:c r="B135" s="10" t="str">
        <x:v>Z-02</x:v>
      </x:c>
      <x:c r="C135" s="10" t="n">
        <x:v>0.390625</x:v>
      </x:c>
      <x:c r="D135" s="10" t="n">
        <x:v>1.5</x:v>
      </x:c>
      <x:c r="E135" s="12"/>
      <x:c r="F135" s="10" t="str">
        <x:f>IF(E135="","",E135-D135)</x:f>
      </x:c>
      <x:c r="G135" s="10" t="str">
        <x:f>IF(E135="","OPEN",IF(E135&gt;0,"OBSERVED","DENY"))</x:f>
        <x:v>OPEN</x:v>
      </x:c>
    </x:row>
    <x:row r="136">
      <x:c r="A136" s="10" t="str">
        <x:v>EV-09</x:v>
      </x:c>
      <x:c r="B136" s="10" t="str">
        <x:v>Z-03</x:v>
      </x:c>
      <x:c r="C136" s="10" t="n">
        <x:v>0.390625</x:v>
      </x:c>
      <x:c r="D136" s="10" t="n">
        <x:v>1.5</x:v>
      </x:c>
      <x:c r="E136" s="12"/>
      <x:c r="F136" s="10" t="str">
        <x:f>IF(E136="","",E136-D136)</x:f>
      </x:c>
      <x:c r="G136" s="10" t="str">
        <x:f>IF(E136="","OPEN",IF(E136&gt;0,"OBSERVED","DENY"))</x:f>
        <x:v>OPEN</x:v>
      </x:c>
    </x:row>
    <x:row r="137">
      <x:c r="A137" s="10" t="str">
        <x:v>EV-09</x:v>
      </x:c>
      <x:c r="B137" s="10" t="str">
        <x:v>Z-04</x:v>
      </x:c>
      <x:c r="C137" s="10" t="n">
        <x:v>0.390625</x:v>
      </x:c>
      <x:c r="D137" s="10" t="n">
        <x:v>1.5</x:v>
      </x:c>
      <x:c r="E137" s="12"/>
      <x:c r="F137" s="10" t="str">
        <x:f>IF(E137="","",E137-D137)</x:f>
      </x:c>
      <x:c r="G137" s="10" t="str">
        <x:f>IF(E137="","OPEN",IF(E137&gt;0,"OBSERVED","DENY"))</x:f>
        <x:v>OPEN</x:v>
      </x:c>
    </x:row>
    <x:row r="138">
      <x:c r="A138" s="10" t="str">
        <x:v>EV-09</x:v>
      </x:c>
      <x:c r="B138" s="10" t="str">
        <x:v>Z-05</x:v>
      </x:c>
      <x:c r="C138" s="10" t="n">
        <x:v>0.390625</x:v>
      </x:c>
      <x:c r="D138" s="10" t="n">
        <x:v>1.5</x:v>
      </x:c>
      <x:c r="E138" s="12"/>
      <x:c r="F138" s="10" t="str">
        <x:f>IF(E138="","",E138-D138)</x:f>
      </x:c>
      <x:c r="G138" s="10" t="str">
        <x:f>IF(E138="","OPEN",IF(E138&gt;0,"OBSERVED","DENY"))</x:f>
        <x:v>OPEN</x:v>
      </x:c>
    </x:row>
    <x:row r="139">
      <x:c r="A139" s="10" t="str">
        <x:v>EV-09</x:v>
      </x:c>
      <x:c r="B139" s="10" t="str">
        <x:v>Z-06</x:v>
      </x:c>
      <x:c r="C139" s="10" t="n">
        <x:v>0.390625</x:v>
      </x:c>
      <x:c r="D139" s="10" t="n">
        <x:v>1.5</x:v>
      </x:c>
      <x:c r="E139" s="12"/>
      <x:c r="F139" s="10" t="str">
        <x:f>IF(E139="","",E139-D139)</x:f>
      </x:c>
      <x:c r="G139" s="10" t="str">
        <x:f>IF(E139="","OPEN",IF(E139&gt;0,"OBSERVED","DENY"))</x:f>
        <x:v>OPEN</x:v>
      </x:c>
    </x:row>
    <x:row r="140">
      <x:c r="A140" s="10" t="str">
        <x:v>EV-09</x:v>
      </x:c>
      <x:c r="B140" s="10" t="str">
        <x:v>Z-07</x:v>
      </x:c>
      <x:c r="C140" s="10" t="n">
        <x:v>0.390625</x:v>
      </x:c>
      <x:c r="D140" s="10" t="n">
        <x:v>1.5</x:v>
      </x:c>
      <x:c r="E140" s="12"/>
      <x:c r="F140" s="10" t="str">
        <x:f>IF(E140="","",E140-D140)</x:f>
      </x:c>
      <x:c r="G140" s="10" t="str">
        <x:f>IF(E140="","OPEN",IF(E140&gt;0,"OBSERVED","DENY"))</x:f>
        <x:v>OPEN</x:v>
      </x:c>
    </x:row>
    <x:row r="141">
      <x:c r="A141" s="10" t="str">
        <x:v>EV-09</x:v>
      </x:c>
      <x:c r="B141" s="10" t="str">
        <x:v>Z-08</x:v>
      </x:c>
      <x:c r="C141" s="10" t="n">
        <x:v>0.390625</x:v>
      </x:c>
      <x:c r="D141" s="10" t="n">
        <x:v>1.5</x:v>
      </x:c>
      <x:c r="E141" s="12"/>
      <x:c r="F141" s="10" t="str">
        <x:f>IF(E141="","",E141-D141)</x:f>
      </x:c>
      <x:c r="G141" s="10" t="str">
        <x:f>IF(E141="","OPEN",IF(E141&gt;0,"OBSERVED","DENY"))</x:f>
        <x:v>OPEN</x:v>
      </x:c>
    </x:row>
    <x:row r="142">
      <x:c r="A142" s="10" t="str">
        <x:v>EV-09</x:v>
      </x:c>
      <x:c r="B142" s="10" t="str">
        <x:v>Z-09</x:v>
      </x:c>
      <x:c r="C142" s="10" t="n">
        <x:v>0.390625</x:v>
      </x:c>
      <x:c r="D142" s="10" t="n">
        <x:v>1.5</x:v>
      </x:c>
      <x:c r="E142" s="12"/>
      <x:c r="F142" s="10" t="str">
        <x:f>IF(E142="","",E142-D142)</x:f>
      </x:c>
      <x:c r="G142" s="10" t="str">
        <x:f>IF(E142="","OPEN",IF(E142&gt;0,"OBSERVED","DENY"))</x:f>
        <x:v>OPEN</x:v>
      </x:c>
    </x:row>
    <x:row r="143">
      <x:c r="A143" s="10" t="str">
        <x:v>EV-09</x:v>
      </x:c>
      <x:c r="B143" s="10" t="str">
        <x:v>Z-10</x:v>
      </x:c>
      <x:c r="C143" s="10" t="n">
        <x:v>0.390625</x:v>
      </x:c>
      <x:c r="D143" s="10" t="n">
        <x:v>1.5</x:v>
      </x:c>
      <x:c r="E143" s="12"/>
      <x:c r="F143" s="10" t="str">
        <x:f>IF(E143="","",E143-D143)</x:f>
      </x:c>
      <x:c r="G143" s="10" t="str">
        <x:f>IF(E143="","OPEN",IF(E143&gt;0,"OBSERVED","DENY"))</x:f>
        <x:v>OPEN</x:v>
      </x:c>
    </x:row>
    <x:row r="144">
      <x:c r="A144" s="10" t="str">
        <x:v>EV-09</x:v>
      </x:c>
      <x:c r="B144" s="10" t="str">
        <x:v>Z-11</x:v>
      </x:c>
      <x:c r="C144" s="10" t="n">
        <x:v>0.390625</x:v>
      </x:c>
      <x:c r="D144" s="10" t="n">
        <x:v>1.5</x:v>
      </x:c>
      <x:c r="E144" s="12"/>
      <x:c r="F144" s="10" t="str">
        <x:f>IF(E144="","",E144-D144)</x:f>
      </x:c>
      <x:c r="G144" s="10" t="str">
        <x:f>IF(E144="","OPEN",IF(E144&gt;0,"OBSERVED","DENY"))</x:f>
        <x:v>OPEN</x:v>
      </x:c>
    </x:row>
    <x:row r="145">
      <x:c r="A145" s="10" t="str">
        <x:v>EV-09</x:v>
      </x:c>
      <x:c r="B145" s="10" t="str">
        <x:v>Z-12</x:v>
      </x:c>
      <x:c r="C145" s="10" t="n">
        <x:v>0.390625</x:v>
      </x:c>
      <x:c r="D145" s="10" t="n">
        <x:v>1.5</x:v>
      </x:c>
      <x:c r="E145" s="12"/>
      <x:c r="F145" s="10" t="str">
        <x:f>IF(E145="","",E145-D145)</x:f>
      </x:c>
      <x:c r="G145" s="10" t="str">
        <x:f>IF(E145="","OPEN",IF(E145&gt;0,"OBSERVED","DENY"))</x:f>
        <x:v>OPEN</x:v>
      </x:c>
    </x:row>
    <x:row r="146">
      <x:c r="A146" s="10" t="str">
        <x:v>EV-09</x:v>
      </x:c>
      <x:c r="B146" s="10" t="str">
        <x:v>Z-13</x:v>
      </x:c>
      <x:c r="C146" s="10" t="n">
        <x:v>0.390625</x:v>
      </x:c>
      <x:c r="D146" s="10" t="n">
        <x:v>1.5</x:v>
      </x:c>
      <x:c r="E146" s="12"/>
      <x:c r="F146" s="10" t="str">
        <x:f>IF(E146="","",E146-D146)</x:f>
      </x:c>
      <x:c r="G146" s="10" t="str">
        <x:f>IF(E146="","OPEN",IF(E146&gt;0,"OBSERVED","DENY"))</x:f>
        <x:v>OPEN</x:v>
      </x:c>
    </x:row>
    <x:row r="147">
      <x:c r="A147" s="10" t="str">
        <x:v>EV-09</x:v>
      </x:c>
      <x:c r="B147" s="10" t="str">
        <x:v>Z-14</x:v>
      </x:c>
      <x:c r="C147" s="10" t="n">
        <x:v>0.390625</x:v>
      </x:c>
      <x:c r="D147" s="10" t="n">
        <x:v>1.5</x:v>
      </x:c>
      <x:c r="E147" s="12"/>
      <x:c r="F147" s="10" t="str">
        <x:f>IF(E147="","",E147-D147)</x:f>
      </x:c>
      <x:c r="G147" s="10" t="str">
        <x:f>IF(E147="","OPEN",IF(E147&gt;0,"OBSERVED","DENY"))</x:f>
        <x:v>OPEN</x:v>
      </x:c>
    </x:row>
    <x:row r="148">
      <x:c r="A148" s="10" t="str">
        <x:v>EV-09</x:v>
      </x:c>
      <x:c r="B148" s="10" t="str">
        <x:v>Z-15</x:v>
      </x:c>
      <x:c r="C148" s="10" t="n">
        <x:v>0.390625</x:v>
      </x:c>
      <x:c r="D148" s="10" t="n">
        <x:v>1.5</x:v>
      </x:c>
      <x:c r="E148" s="12"/>
      <x:c r="F148" s="10" t="str">
        <x:f>IF(E148="","",E148-D148)</x:f>
      </x:c>
      <x:c r="G148" s="10" t="str">
        <x:f>IF(E148="","OPEN",IF(E148&gt;0,"OBSERVED","DENY"))</x:f>
        <x:v>OPEN</x:v>
      </x:c>
    </x:row>
    <x:row r="149">
      <x:c r="A149" s="10" t="str">
        <x:v>EV-09</x:v>
      </x:c>
      <x:c r="B149" s="10" t="str">
        <x:v>Z-16</x:v>
      </x:c>
      <x:c r="C149" s="10" t="n">
        <x:v>0.390625</x:v>
      </x:c>
      <x:c r="D149" s="10" t="n">
        <x:v>1.5</x:v>
      </x:c>
      <x:c r="E149" s="12"/>
      <x:c r="F149" s="10" t="str">
        <x:f>IF(E149="","",E149-D149)</x:f>
      </x:c>
      <x:c r="G149" s="10" t="str">
        <x:f>IF(E149="","OPEN",IF(E149&gt;0,"OBSERVED","DENY"))</x:f>
        <x:v>OPEN</x:v>
      </x:c>
    </x:row>
    <x:row r="150">
      <x:c r="A150" s="10" t="str">
        <x:v>EV-10</x:v>
      </x:c>
      <x:c r="B150" s="10" t="str">
        <x:v>Z-01</x:v>
      </x:c>
      <x:c r="C150" s="10" t="n">
        <x:v>0.390625</x:v>
      </x:c>
      <x:c r="D150" s="10" t="n">
        <x:v>1.5</x:v>
      </x:c>
      <x:c r="E150" s="12"/>
      <x:c r="F150" s="10" t="str">
        <x:f>IF(E150="","",E150-D150)</x:f>
      </x:c>
      <x:c r="G150" s="10" t="str">
        <x:f>IF(E150="","OPEN",IF(E150&gt;0,"OBSERVED","DENY"))</x:f>
        <x:v>OPEN</x:v>
      </x:c>
    </x:row>
    <x:row r="151">
      <x:c r="A151" s="10" t="str">
        <x:v>EV-10</x:v>
      </x:c>
      <x:c r="B151" s="10" t="str">
        <x:v>Z-02</x:v>
      </x:c>
      <x:c r="C151" s="10" t="n">
        <x:v>0.390625</x:v>
      </x:c>
      <x:c r="D151" s="10" t="n">
        <x:v>1.5</x:v>
      </x:c>
      <x:c r="E151" s="12"/>
      <x:c r="F151" s="10" t="str">
        <x:f>IF(E151="","",E151-D151)</x:f>
      </x:c>
      <x:c r="G151" s="10" t="str">
        <x:f>IF(E151="","OPEN",IF(E151&gt;0,"OBSERVED","DENY"))</x:f>
        <x:v>OPEN</x:v>
      </x:c>
    </x:row>
    <x:row r="152">
      <x:c r="A152" s="10" t="str">
        <x:v>EV-10</x:v>
      </x:c>
      <x:c r="B152" s="10" t="str">
        <x:v>Z-03</x:v>
      </x:c>
      <x:c r="C152" s="10" t="n">
        <x:v>0.390625</x:v>
      </x:c>
      <x:c r="D152" s="10" t="n">
        <x:v>1.5</x:v>
      </x:c>
      <x:c r="E152" s="12"/>
      <x:c r="F152" s="10" t="str">
        <x:f>IF(E152="","",E152-D152)</x:f>
      </x:c>
      <x:c r="G152" s="10" t="str">
        <x:f>IF(E152="","OPEN",IF(E152&gt;0,"OBSERVED","DENY"))</x:f>
        <x:v>OPEN</x:v>
      </x:c>
    </x:row>
    <x:row r="153">
      <x:c r="A153" s="10" t="str">
        <x:v>EV-10</x:v>
      </x:c>
      <x:c r="B153" s="10" t="str">
        <x:v>Z-04</x:v>
      </x:c>
      <x:c r="C153" s="10" t="n">
        <x:v>0.390625</x:v>
      </x:c>
      <x:c r="D153" s="10" t="n">
        <x:v>1.5</x:v>
      </x:c>
      <x:c r="E153" s="12"/>
      <x:c r="F153" s="10" t="str">
        <x:f>IF(E153="","",E153-D153)</x:f>
      </x:c>
      <x:c r="G153" s="10" t="str">
        <x:f>IF(E153="","OPEN",IF(E153&gt;0,"OBSERVED","DENY"))</x:f>
        <x:v>OPEN</x:v>
      </x:c>
    </x:row>
    <x:row r="154">
      <x:c r="A154" s="10" t="str">
        <x:v>EV-10</x:v>
      </x:c>
      <x:c r="B154" s="10" t="str">
        <x:v>Z-05</x:v>
      </x:c>
      <x:c r="C154" s="10" t="n">
        <x:v>0.390625</x:v>
      </x:c>
      <x:c r="D154" s="10" t="n">
        <x:v>1.5</x:v>
      </x:c>
      <x:c r="E154" s="12"/>
      <x:c r="F154" s="10" t="str">
        <x:f>IF(E154="","",E154-D154)</x:f>
      </x:c>
      <x:c r="G154" s="10" t="str">
        <x:f>IF(E154="","OPEN",IF(E154&gt;0,"OBSERVED","DENY"))</x:f>
        <x:v>OPEN</x:v>
      </x:c>
    </x:row>
    <x:row r="155">
      <x:c r="A155" s="10" t="str">
        <x:v>EV-10</x:v>
      </x:c>
      <x:c r="B155" s="10" t="str">
        <x:v>Z-06</x:v>
      </x:c>
      <x:c r="C155" s="10" t="n">
        <x:v>0.390625</x:v>
      </x:c>
      <x:c r="D155" s="10" t="n">
        <x:v>1.5</x:v>
      </x:c>
      <x:c r="E155" s="12"/>
      <x:c r="F155" s="10" t="str">
        <x:f>IF(E155="","",E155-D155)</x:f>
      </x:c>
      <x:c r="G155" s="10" t="str">
        <x:f>IF(E155="","OPEN",IF(E155&gt;0,"OBSERVED","DENY"))</x:f>
        <x:v>OPEN</x:v>
      </x:c>
    </x:row>
    <x:row r="156">
      <x:c r="A156" s="10" t="str">
        <x:v>EV-10</x:v>
      </x:c>
      <x:c r="B156" s="10" t="str">
        <x:v>Z-07</x:v>
      </x:c>
      <x:c r="C156" s="10" t="n">
        <x:v>0.390625</x:v>
      </x:c>
      <x:c r="D156" s="10" t="n">
        <x:v>1.5</x:v>
      </x:c>
      <x:c r="E156" s="12"/>
      <x:c r="F156" s="10" t="str">
        <x:f>IF(E156="","",E156-D156)</x:f>
      </x:c>
      <x:c r="G156" s="10" t="str">
        <x:f>IF(E156="","OPEN",IF(E156&gt;0,"OBSERVED","DENY"))</x:f>
        <x:v>OPEN</x:v>
      </x:c>
    </x:row>
    <x:row r="157">
      <x:c r="A157" s="10" t="str">
        <x:v>EV-10</x:v>
      </x:c>
      <x:c r="B157" s="10" t="str">
        <x:v>Z-08</x:v>
      </x:c>
      <x:c r="C157" s="10" t="n">
        <x:v>0.390625</x:v>
      </x:c>
      <x:c r="D157" s="10" t="n">
        <x:v>1.5</x:v>
      </x:c>
      <x:c r="E157" s="12"/>
      <x:c r="F157" s="10" t="str">
        <x:f>IF(E157="","",E157-D157)</x:f>
      </x:c>
      <x:c r="G157" s="10" t="str">
        <x:f>IF(E157="","OPEN",IF(E157&gt;0,"OBSERVED","DENY"))</x:f>
        <x:v>OPEN</x:v>
      </x:c>
    </x:row>
    <x:row r="158">
      <x:c r="A158" s="10" t="str">
        <x:v>EV-10</x:v>
      </x:c>
      <x:c r="B158" s="10" t="str">
        <x:v>Z-09</x:v>
      </x:c>
      <x:c r="C158" s="10" t="n">
        <x:v>0.390625</x:v>
      </x:c>
      <x:c r="D158" s="10" t="n">
        <x:v>1.5</x:v>
      </x:c>
      <x:c r="E158" s="12"/>
      <x:c r="F158" s="10" t="str">
        <x:f>IF(E158="","",E158-D158)</x:f>
      </x:c>
      <x:c r="G158" s="10" t="str">
        <x:f>IF(E158="","OPEN",IF(E158&gt;0,"OBSERVED","DENY"))</x:f>
        <x:v>OPEN</x:v>
      </x:c>
    </x:row>
    <x:row r="159">
      <x:c r="A159" s="10" t="str">
        <x:v>EV-10</x:v>
      </x:c>
      <x:c r="B159" s="10" t="str">
        <x:v>Z-10</x:v>
      </x:c>
      <x:c r="C159" s="10" t="n">
        <x:v>0.390625</x:v>
      </x:c>
      <x:c r="D159" s="10" t="n">
        <x:v>1.5</x:v>
      </x:c>
      <x:c r="E159" s="12"/>
      <x:c r="F159" s="10" t="str">
        <x:f>IF(E159="","",E159-D159)</x:f>
      </x:c>
      <x:c r="G159" s="10" t="str">
        <x:f>IF(E159="","OPEN",IF(E159&gt;0,"OBSERVED","DENY"))</x:f>
        <x:v>OPEN</x:v>
      </x:c>
    </x:row>
    <x:row r="160">
      <x:c r="A160" s="10" t="str">
        <x:v>EV-10</x:v>
      </x:c>
      <x:c r="B160" s="10" t="str">
        <x:v>Z-11</x:v>
      </x:c>
      <x:c r="C160" s="10" t="n">
        <x:v>0.390625</x:v>
      </x:c>
      <x:c r="D160" s="10" t="n">
        <x:v>1.5</x:v>
      </x:c>
      <x:c r="E160" s="12"/>
      <x:c r="F160" s="10" t="str">
        <x:f>IF(E160="","",E160-D160)</x:f>
      </x:c>
      <x:c r="G160" s="10" t="str">
        <x:f>IF(E160="","OPEN",IF(E160&gt;0,"OBSERVED","DENY"))</x:f>
        <x:v>OPEN</x:v>
      </x:c>
    </x:row>
    <x:row r="161">
      <x:c r="A161" s="10" t="str">
        <x:v>EV-10</x:v>
      </x:c>
      <x:c r="B161" s="10" t="str">
        <x:v>Z-12</x:v>
      </x:c>
      <x:c r="C161" s="10" t="n">
        <x:v>0.390625</x:v>
      </x:c>
      <x:c r="D161" s="10" t="n">
        <x:v>1.5</x:v>
      </x:c>
      <x:c r="E161" s="12"/>
      <x:c r="F161" s="10" t="str">
        <x:f>IF(E161="","",E161-D161)</x:f>
      </x:c>
      <x:c r="G161" s="10" t="str">
        <x:f>IF(E161="","OPEN",IF(E161&gt;0,"OBSERVED","DENY"))</x:f>
        <x:v>OPEN</x:v>
      </x:c>
    </x:row>
    <x:row r="162">
      <x:c r="A162" s="10" t="str">
        <x:v>EV-10</x:v>
      </x:c>
      <x:c r="B162" s="10" t="str">
        <x:v>Z-13</x:v>
      </x:c>
      <x:c r="C162" s="10" t="n">
        <x:v>0.390625</x:v>
      </x:c>
      <x:c r="D162" s="10" t="n">
        <x:v>1.5</x:v>
      </x:c>
      <x:c r="E162" s="12"/>
      <x:c r="F162" s="10" t="str">
        <x:f>IF(E162="","",E162-D162)</x:f>
      </x:c>
      <x:c r="G162" s="10" t="str">
        <x:f>IF(E162="","OPEN",IF(E162&gt;0,"OBSERVED","DENY"))</x:f>
        <x:v>OPEN</x:v>
      </x:c>
    </x:row>
    <x:row r="163">
      <x:c r="A163" s="10" t="str">
        <x:v>EV-10</x:v>
      </x:c>
      <x:c r="B163" s="10" t="str">
        <x:v>Z-14</x:v>
      </x:c>
      <x:c r="C163" s="10" t="n">
        <x:v>0.390625</x:v>
      </x:c>
      <x:c r="D163" s="10" t="n">
        <x:v>1.5</x:v>
      </x:c>
      <x:c r="E163" s="12"/>
      <x:c r="F163" s="10" t="str">
        <x:f>IF(E163="","",E163-D163)</x:f>
      </x:c>
      <x:c r="G163" s="10" t="str">
        <x:f>IF(E163="","OPEN",IF(E163&gt;0,"OBSERVED","DENY"))</x:f>
        <x:v>OPEN</x:v>
      </x:c>
    </x:row>
    <x:row r="164">
      <x:c r="A164" s="10" t="str">
        <x:v>EV-10</x:v>
      </x:c>
      <x:c r="B164" s="10" t="str">
        <x:v>Z-15</x:v>
      </x:c>
      <x:c r="C164" s="10" t="n">
        <x:v>0.390625</x:v>
      </x:c>
      <x:c r="D164" s="10" t="n">
        <x:v>1.5</x:v>
      </x:c>
      <x:c r="E164" s="12"/>
      <x:c r="F164" s="10" t="str">
        <x:f>IF(E164="","",E164-D164)</x:f>
      </x:c>
      <x:c r="G164" s="10" t="str">
        <x:f>IF(E164="","OPEN",IF(E164&gt;0,"OBSERVED","DENY"))</x:f>
        <x:v>OPEN</x:v>
      </x:c>
    </x:row>
    <x:row r="165">
      <x:c r="A165" s="10" t="str">
        <x:v>EV-10</x:v>
      </x:c>
      <x:c r="B165" s="10" t="str">
        <x:v>Z-16</x:v>
      </x:c>
      <x:c r="C165" s="10" t="n">
        <x:v>0.390625</x:v>
      </x:c>
      <x:c r="D165" s="10" t="n">
        <x:v>1.5</x:v>
      </x:c>
      <x:c r="E165" s="12"/>
      <x:c r="F165" s="10" t="str">
        <x:f>IF(E165="","",E165-D165)</x:f>
      </x:c>
      <x:c r="G165" s="10" t="str">
        <x:f>IF(E165="","OPEN",IF(E165&gt;0,"OBSERVED","DENY"))</x:f>
        <x:v>OPEN</x:v>
      </x:c>
    </x:row>
    <x:row r="166">
      <x:c r="A166" s="10" t="str">
        <x:v>EV-11</x:v>
      </x:c>
      <x:c r="B166" s="10" t="str">
        <x:v>Z-01</x:v>
      </x:c>
      <x:c r="C166" s="10" t="n">
        <x:v>0.390625</x:v>
      </x:c>
      <x:c r="D166" s="10" t="n">
        <x:v>1.5</x:v>
      </x:c>
      <x:c r="E166" s="12"/>
      <x:c r="F166" s="10" t="str">
        <x:f>IF(E166="","",E166-D166)</x:f>
      </x:c>
      <x:c r="G166" s="10" t="str">
        <x:f>IF(E166="","OPEN",IF(E166&gt;0,"OBSERVED","DENY"))</x:f>
        <x:v>OPEN</x:v>
      </x:c>
    </x:row>
    <x:row r="167">
      <x:c r="A167" s="10" t="str">
        <x:v>EV-11</x:v>
      </x:c>
      <x:c r="B167" s="10" t="str">
        <x:v>Z-02</x:v>
      </x:c>
      <x:c r="C167" s="10" t="n">
        <x:v>0.390625</x:v>
      </x:c>
      <x:c r="D167" s="10" t="n">
        <x:v>1.5</x:v>
      </x:c>
      <x:c r="E167" s="12"/>
      <x:c r="F167" s="10" t="str">
        <x:f>IF(E167="","",E167-D167)</x:f>
      </x:c>
      <x:c r="G167" s="10" t="str">
        <x:f>IF(E167="","OPEN",IF(E167&gt;0,"OBSERVED","DENY"))</x:f>
        <x:v>OPEN</x:v>
      </x:c>
    </x:row>
    <x:row r="168">
      <x:c r="A168" s="10" t="str">
        <x:v>EV-11</x:v>
      </x:c>
      <x:c r="B168" s="10" t="str">
        <x:v>Z-03</x:v>
      </x:c>
      <x:c r="C168" s="10" t="n">
        <x:v>0.390625</x:v>
      </x:c>
      <x:c r="D168" s="10" t="n">
        <x:v>1.5</x:v>
      </x:c>
      <x:c r="E168" s="12"/>
      <x:c r="F168" s="10" t="str">
        <x:f>IF(E168="","",E168-D168)</x:f>
      </x:c>
      <x:c r="G168" s="10" t="str">
        <x:f>IF(E168="","OPEN",IF(E168&gt;0,"OBSERVED","DENY"))</x:f>
        <x:v>OPEN</x:v>
      </x:c>
    </x:row>
    <x:row r="169">
      <x:c r="A169" s="10" t="str">
        <x:v>EV-11</x:v>
      </x:c>
      <x:c r="B169" s="10" t="str">
        <x:v>Z-04</x:v>
      </x:c>
      <x:c r="C169" s="10" t="n">
        <x:v>0.390625</x:v>
      </x:c>
      <x:c r="D169" s="10" t="n">
        <x:v>1.5</x:v>
      </x:c>
      <x:c r="E169" s="12"/>
      <x:c r="F169" s="10" t="str">
        <x:f>IF(E169="","",E169-D169)</x:f>
      </x:c>
      <x:c r="G169" s="10" t="str">
        <x:f>IF(E169="","OPEN",IF(E169&gt;0,"OBSERVED","DENY"))</x:f>
        <x:v>OPEN</x:v>
      </x:c>
    </x:row>
    <x:row r="170">
      <x:c r="A170" s="10" t="str">
        <x:v>EV-11</x:v>
      </x:c>
      <x:c r="B170" s="10" t="str">
        <x:v>Z-05</x:v>
      </x:c>
      <x:c r="C170" s="10" t="n">
        <x:v>0.390625</x:v>
      </x:c>
      <x:c r="D170" s="10" t="n">
        <x:v>1.5</x:v>
      </x:c>
      <x:c r="E170" s="12"/>
      <x:c r="F170" s="10" t="str">
        <x:f>IF(E170="","",E170-D170)</x:f>
      </x:c>
      <x:c r="G170" s="10" t="str">
        <x:f>IF(E170="","OPEN",IF(E170&gt;0,"OBSERVED","DENY"))</x:f>
        <x:v>OPEN</x:v>
      </x:c>
    </x:row>
    <x:row r="171">
      <x:c r="A171" s="10" t="str">
        <x:v>EV-11</x:v>
      </x:c>
      <x:c r="B171" s="10" t="str">
        <x:v>Z-06</x:v>
      </x:c>
      <x:c r="C171" s="10" t="n">
        <x:v>0.390625</x:v>
      </x:c>
      <x:c r="D171" s="10" t="n">
        <x:v>1.5</x:v>
      </x:c>
      <x:c r="E171" s="12"/>
      <x:c r="F171" s="10" t="str">
        <x:f>IF(E171="","",E171-D171)</x:f>
      </x:c>
      <x:c r="G171" s="10" t="str">
        <x:f>IF(E171="","OPEN",IF(E171&gt;0,"OBSERVED","DENY"))</x:f>
        <x:v>OPEN</x:v>
      </x:c>
    </x:row>
    <x:row r="172">
      <x:c r="A172" s="10" t="str">
        <x:v>EV-11</x:v>
      </x:c>
      <x:c r="B172" s="10" t="str">
        <x:v>Z-07</x:v>
      </x:c>
      <x:c r="C172" s="10" t="n">
        <x:v>0.390625</x:v>
      </x:c>
      <x:c r="D172" s="10" t="n">
        <x:v>1.5</x:v>
      </x:c>
      <x:c r="E172" s="12"/>
      <x:c r="F172" s="10" t="str">
        <x:f>IF(E172="","",E172-D172)</x:f>
      </x:c>
      <x:c r="G172" s="10" t="str">
        <x:f>IF(E172="","OPEN",IF(E172&gt;0,"OBSERVED","DENY"))</x:f>
        <x:v>OPEN</x:v>
      </x:c>
    </x:row>
    <x:row r="173">
      <x:c r="A173" s="10" t="str">
        <x:v>EV-11</x:v>
      </x:c>
      <x:c r="B173" s="10" t="str">
        <x:v>Z-08</x:v>
      </x:c>
      <x:c r="C173" s="10" t="n">
        <x:v>0.390625</x:v>
      </x:c>
      <x:c r="D173" s="10" t="n">
        <x:v>1.5</x:v>
      </x:c>
      <x:c r="E173" s="12"/>
      <x:c r="F173" s="10" t="str">
        <x:f>IF(E173="","",E173-D173)</x:f>
      </x:c>
      <x:c r="G173" s="10" t="str">
        <x:f>IF(E173="","OPEN",IF(E173&gt;0,"OBSERVED","DENY"))</x:f>
        <x:v>OPEN</x:v>
      </x:c>
    </x:row>
    <x:row r="174">
      <x:c r="A174" s="10" t="str">
        <x:v>EV-11</x:v>
      </x:c>
      <x:c r="B174" s="10" t="str">
        <x:v>Z-09</x:v>
      </x:c>
      <x:c r="C174" s="10" t="n">
        <x:v>0.390625</x:v>
      </x:c>
      <x:c r="D174" s="10" t="n">
        <x:v>1.5</x:v>
      </x:c>
      <x:c r="E174" s="12"/>
      <x:c r="F174" s="10" t="str">
        <x:f>IF(E174="","",E174-D174)</x:f>
      </x:c>
      <x:c r="G174" s="10" t="str">
        <x:f>IF(E174="","OPEN",IF(E174&gt;0,"OBSERVED","DENY"))</x:f>
        <x:v>OPEN</x:v>
      </x:c>
    </x:row>
    <x:row r="175">
      <x:c r="A175" s="10" t="str">
        <x:v>EV-11</x:v>
      </x:c>
      <x:c r="B175" s="10" t="str">
        <x:v>Z-10</x:v>
      </x:c>
      <x:c r="C175" s="10" t="n">
        <x:v>0.390625</x:v>
      </x:c>
      <x:c r="D175" s="10" t="n">
        <x:v>1.5</x:v>
      </x:c>
      <x:c r="E175" s="12"/>
      <x:c r="F175" s="10" t="str">
        <x:f>IF(E175="","",E175-D175)</x:f>
      </x:c>
      <x:c r="G175" s="10" t="str">
        <x:f>IF(E175="","OPEN",IF(E175&gt;0,"OBSERVED","DENY"))</x:f>
        <x:v>OPEN</x:v>
      </x:c>
    </x:row>
    <x:row r="176">
      <x:c r="A176" s="10" t="str">
        <x:v>EV-11</x:v>
      </x:c>
      <x:c r="B176" s="10" t="str">
        <x:v>Z-11</x:v>
      </x:c>
      <x:c r="C176" s="10" t="n">
        <x:v>0.390625</x:v>
      </x:c>
      <x:c r="D176" s="10" t="n">
        <x:v>1.5</x:v>
      </x:c>
      <x:c r="E176" s="12"/>
      <x:c r="F176" s="10" t="str">
        <x:f>IF(E176="","",E176-D176)</x:f>
      </x:c>
      <x:c r="G176" s="10" t="str">
        <x:f>IF(E176="","OPEN",IF(E176&gt;0,"OBSERVED","DENY"))</x:f>
        <x:v>OPEN</x:v>
      </x:c>
    </x:row>
    <x:row r="177">
      <x:c r="A177" s="10" t="str">
        <x:v>EV-11</x:v>
      </x:c>
      <x:c r="B177" s="10" t="str">
        <x:v>Z-12</x:v>
      </x:c>
      <x:c r="C177" s="10" t="n">
        <x:v>0.390625</x:v>
      </x:c>
      <x:c r="D177" s="10" t="n">
        <x:v>1.5</x:v>
      </x:c>
      <x:c r="E177" s="12"/>
      <x:c r="F177" s="10" t="str">
        <x:f>IF(E177="","",E177-D177)</x:f>
      </x:c>
      <x:c r="G177" s="10" t="str">
        <x:f>IF(E177="","OPEN",IF(E177&gt;0,"OBSERVED","DENY"))</x:f>
        <x:v>OPEN</x:v>
      </x:c>
    </x:row>
    <x:row r="178">
      <x:c r="A178" s="10" t="str">
        <x:v>EV-11</x:v>
      </x:c>
      <x:c r="B178" s="10" t="str">
        <x:v>Z-13</x:v>
      </x:c>
      <x:c r="C178" s="10" t="n">
        <x:v>0.390625</x:v>
      </x:c>
      <x:c r="D178" s="10" t="n">
        <x:v>1.5</x:v>
      </x:c>
      <x:c r="E178" s="12"/>
      <x:c r="F178" s="10" t="str">
        <x:f>IF(E178="","",E178-D178)</x:f>
      </x:c>
      <x:c r="G178" s="10" t="str">
        <x:f>IF(E178="","OPEN",IF(E178&gt;0,"OBSERVED","DENY"))</x:f>
        <x:v>OPEN</x:v>
      </x:c>
    </x:row>
    <x:row r="179">
      <x:c r="A179" s="10" t="str">
        <x:v>EV-11</x:v>
      </x:c>
      <x:c r="B179" s="10" t="str">
        <x:v>Z-14</x:v>
      </x:c>
      <x:c r="C179" s="10" t="n">
        <x:v>0.390625</x:v>
      </x:c>
      <x:c r="D179" s="10" t="n">
        <x:v>1.5</x:v>
      </x:c>
      <x:c r="E179" s="12"/>
      <x:c r="F179" s="10" t="str">
        <x:f>IF(E179="","",E179-D179)</x:f>
      </x:c>
      <x:c r="G179" s="10" t="str">
        <x:f>IF(E179="","OPEN",IF(E179&gt;0,"OBSERVED","DENY"))</x:f>
        <x:v>OPEN</x:v>
      </x:c>
    </x:row>
    <x:row r="180">
      <x:c r="A180" s="10" t="str">
        <x:v>EV-11</x:v>
      </x:c>
      <x:c r="B180" s="10" t="str">
        <x:v>Z-15</x:v>
      </x:c>
      <x:c r="C180" s="10" t="n">
        <x:v>0.390625</x:v>
      </x:c>
      <x:c r="D180" s="10" t="n">
        <x:v>1.5</x:v>
      </x:c>
      <x:c r="E180" s="12"/>
      <x:c r="F180" s="10" t="str">
        <x:f>IF(E180="","",E180-D180)</x:f>
      </x:c>
      <x:c r="G180" s="10" t="str">
        <x:f>IF(E180="","OPEN",IF(E180&gt;0,"OBSERVED","DENY"))</x:f>
        <x:v>OPEN</x:v>
      </x:c>
    </x:row>
    <x:row r="181">
      <x:c r="A181" s="10" t="str">
        <x:v>EV-11</x:v>
      </x:c>
      <x:c r="B181" s="10" t="str">
        <x:v>Z-16</x:v>
      </x:c>
      <x:c r="C181" s="10" t="n">
        <x:v>0.390625</x:v>
      </x:c>
      <x:c r="D181" s="10" t="n">
        <x:v>1.5</x:v>
      </x:c>
      <x:c r="E181" s="12"/>
      <x:c r="F181" s="10" t="str">
        <x:f>IF(E181="","",E181-D181)</x:f>
      </x:c>
      <x:c r="G181" s="10" t="str">
        <x:f>IF(E181="","OPEN",IF(E181&gt;0,"OBSERVED","DENY"))</x:f>
        <x:v>OPEN</x:v>
      </x:c>
    </x:row>
    <x:row r="182">
      <x:c r="A182" s="10" t="str">
        <x:v>EV-12</x:v>
      </x:c>
      <x:c r="B182" s="10" t="str">
        <x:v>Z-01</x:v>
      </x:c>
      <x:c r="C182" s="10" t="n">
        <x:v>0.390625</x:v>
      </x:c>
      <x:c r="D182" s="10" t="n">
        <x:v>1.5</x:v>
      </x:c>
      <x:c r="E182" s="12"/>
      <x:c r="F182" s="10" t="str">
        <x:f>IF(E182="","",E182-D182)</x:f>
      </x:c>
      <x:c r="G182" s="10" t="str">
        <x:f>IF(E182="","OPEN",IF(E182&gt;0,"OBSERVED","DENY"))</x:f>
        <x:v>OPEN</x:v>
      </x:c>
    </x:row>
    <x:row r="183">
      <x:c r="A183" s="10" t="str">
        <x:v>EV-12</x:v>
      </x:c>
      <x:c r="B183" s="10" t="str">
        <x:v>Z-02</x:v>
      </x:c>
      <x:c r="C183" s="10" t="n">
        <x:v>0.390625</x:v>
      </x:c>
      <x:c r="D183" s="10" t="n">
        <x:v>1.5</x:v>
      </x:c>
      <x:c r="E183" s="12"/>
      <x:c r="F183" s="10" t="str">
        <x:f>IF(E183="","",E183-D183)</x:f>
      </x:c>
      <x:c r="G183" s="10" t="str">
        <x:f>IF(E183="","OPEN",IF(E183&gt;0,"OBSERVED","DENY"))</x:f>
        <x:v>OPEN</x:v>
      </x:c>
    </x:row>
    <x:row r="184">
      <x:c r="A184" s="10" t="str">
        <x:v>EV-12</x:v>
      </x:c>
      <x:c r="B184" s="10" t="str">
        <x:v>Z-03</x:v>
      </x:c>
      <x:c r="C184" s="10" t="n">
        <x:v>0.390625</x:v>
      </x:c>
      <x:c r="D184" s="10" t="n">
        <x:v>1.5</x:v>
      </x:c>
      <x:c r="E184" s="12"/>
      <x:c r="F184" s="10" t="str">
        <x:f>IF(E184="","",E184-D184)</x:f>
      </x:c>
      <x:c r="G184" s="10" t="str">
        <x:f>IF(E184="","OPEN",IF(E184&gt;0,"OBSERVED","DENY"))</x:f>
        <x:v>OPEN</x:v>
      </x:c>
    </x:row>
    <x:row r="185">
      <x:c r="A185" s="10" t="str">
        <x:v>EV-12</x:v>
      </x:c>
      <x:c r="B185" s="10" t="str">
        <x:v>Z-04</x:v>
      </x:c>
      <x:c r="C185" s="10" t="n">
        <x:v>0.390625</x:v>
      </x:c>
      <x:c r="D185" s="10" t="n">
        <x:v>1.5</x:v>
      </x:c>
      <x:c r="E185" s="12"/>
      <x:c r="F185" s="10" t="str">
        <x:f>IF(E185="","",E185-D185)</x:f>
      </x:c>
      <x:c r="G185" s="10" t="str">
        <x:f>IF(E185="","OPEN",IF(E185&gt;0,"OBSERVED","DENY"))</x:f>
        <x:v>OPEN</x:v>
      </x:c>
    </x:row>
    <x:row r="186">
      <x:c r="A186" s="10" t="str">
        <x:v>EV-12</x:v>
      </x:c>
      <x:c r="B186" s="10" t="str">
        <x:v>Z-05</x:v>
      </x:c>
      <x:c r="C186" s="10" t="n">
        <x:v>0.390625</x:v>
      </x:c>
      <x:c r="D186" s="10" t="n">
        <x:v>1.5</x:v>
      </x:c>
      <x:c r="E186" s="12"/>
      <x:c r="F186" s="10" t="str">
        <x:f>IF(E186="","",E186-D186)</x:f>
      </x:c>
      <x:c r="G186" s="10" t="str">
        <x:f>IF(E186="","OPEN",IF(E186&gt;0,"OBSERVED","DENY"))</x:f>
        <x:v>OPEN</x:v>
      </x:c>
    </x:row>
    <x:row r="187">
      <x:c r="A187" s="10" t="str">
        <x:v>EV-12</x:v>
      </x:c>
      <x:c r="B187" s="10" t="str">
        <x:v>Z-06</x:v>
      </x:c>
      <x:c r="C187" s="10" t="n">
        <x:v>0.390625</x:v>
      </x:c>
      <x:c r="D187" s="10" t="n">
        <x:v>1.5</x:v>
      </x:c>
      <x:c r="E187" s="12"/>
      <x:c r="F187" s="10" t="str">
        <x:f>IF(E187="","",E187-D187)</x:f>
      </x:c>
      <x:c r="G187" s="10" t="str">
        <x:f>IF(E187="","OPEN",IF(E187&gt;0,"OBSERVED","DENY"))</x:f>
        <x:v>OPEN</x:v>
      </x:c>
    </x:row>
    <x:row r="188">
      <x:c r="A188" s="10" t="str">
        <x:v>EV-12</x:v>
      </x:c>
      <x:c r="B188" s="10" t="str">
        <x:v>Z-07</x:v>
      </x:c>
      <x:c r="C188" s="10" t="n">
        <x:v>0.390625</x:v>
      </x:c>
      <x:c r="D188" s="10" t="n">
        <x:v>1.5</x:v>
      </x:c>
      <x:c r="E188" s="12"/>
      <x:c r="F188" s="10" t="str">
        <x:f>IF(E188="","",E188-D188)</x:f>
      </x:c>
      <x:c r="G188" s="10" t="str">
        <x:f>IF(E188="","OPEN",IF(E188&gt;0,"OBSERVED","DENY"))</x:f>
        <x:v>OPEN</x:v>
      </x:c>
    </x:row>
    <x:row r="189">
      <x:c r="A189" s="10" t="str">
        <x:v>EV-12</x:v>
      </x:c>
      <x:c r="B189" s="10" t="str">
        <x:v>Z-08</x:v>
      </x:c>
      <x:c r="C189" s="10" t="n">
        <x:v>0.390625</x:v>
      </x:c>
      <x:c r="D189" s="10" t="n">
        <x:v>1.5</x:v>
      </x:c>
      <x:c r="E189" s="12"/>
      <x:c r="F189" s="10" t="str">
        <x:f>IF(E189="","",E189-D189)</x:f>
      </x:c>
      <x:c r="G189" s="10" t="str">
        <x:f>IF(E189="","OPEN",IF(E189&gt;0,"OBSERVED","DENY"))</x:f>
        <x:v>OPEN</x:v>
      </x:c>
    </x:row>
    <x:row r="190">
      <x:c r="A190" s="10" t="str">
        <x:v>EV-12</x:v>
      </x:c>
      <x:c r="B190" s="10" t="str">
        <x:v>Z-09</x:v>
      </x:c>
      <x:c r="C190" s="10" t="n">
        <x:v>0.390625</x:v>
      </x:c>
      <x:c r="D190" s="10" t="n">
        <x:v>1.5</x:v>
      </x:c>
      <x:c r="E190" s="12"/>
      <x:c r="F190" s="10" t="str">
        <x:f>IF(E190="","",E190-D190)</x:f>
      </x:c>
      <x:c r="G190" s="10" t="str">
        <x:f>IF(E190="","OPEN",IF(E190&gt;0,"OBSERVED","DENY"))</x:f>
        <x:v>OPEN</x:v>
      </x:c>
    </x:row>
    <x:row r="191">
      <x:c r="A191" s="10" t="str">
        <x:v>EV-12</x:v>
      </x:c>
      <x:c r="B191" s="10" t="str">
        <x:v>Z-10</x:v>
      </x:c>
      <x:c r="C191" s="10" t="n">
        <x:v>0.390625</x:v>
      </x:c>
      <x:c r="D191" s="10" t="n">
        <x:v>1.5</x:v>
      </x:c>
      <x:c r="E191" s="12"/>
      <x:c r="F191" s="10" t="str">
        <x:f>IF(E191="","",E191-D191)</x:f>
      </x:c>
      <x:c r="G191" s="10" t="str">
        <x:f>IF(E191="","OPEN",IF(E191&gt;0,"OBSERVED","DENY"))</x:f>
        <x:v>OPEN</x:v>
      </x:c>
    </x:row>
    <x:row r="192">
      <x:c r="A192" s="10" t="str">
        <x:v>EV-12</x:v>
      </x:c>
      <x:c r="B192" s="10" t="str">
        <x:v>Z-11</x:v>
      </x:c>
      <x:c r="C192" s="10" t="n">
        <x:v>0.390625</x:v>
      </x:c>
      <x:c r="D192" s="10" t="n">
        <x:v>1.5</x:v>
      </x:c>
      <x:c r="E192" s="12"/>
      <x:c r="F192" s="10" t="str">
        <x:f>IF(E192="","",E192-D192)</x:f>
      </x:c>
      <x:c r="G192" s="10" t="str">
        <x:f>IF(E192="","OPEN",IF(E192&gt;0,"OBSERVED","DENY"))</x:f>
        <x:v>OPEN</x:v>
      </x:c>
    </x:row>
    <x:row r="193">
      <x:c r="A193" s="10" t="str">
        <x:v>EV-12</x:v>
      </x:c>
      <x:c r="B193" s="10" t="str">
        <x:v>Z-12</x:v>
      </x:c>
      <x:c r="C193" s="10" t="n">
        <x:v>0.390625</x:v>
      </x:c>
      <x:c r="D193" s="10" t="n">
        <x:v>1.5</x:v>
      </x:c>
      <x:c r="E193" s="12"/>
      <x:c r="F193" s="10" t="str">
        <x:f>IF(E193="","",E193-D193)</x:f>
      </x:c>
      <x:c r="G193" s="10" t="str">
        <x:f>IF(E193="","OPEN",IF(E193&gt;0,"OBSERVED","DENY"))</x:f>
        <x:v>OPEN</x:v>
      </x:c>
    </x:row>
    <x:row r="194">
      <x:c r="A194" s="10" t="str">
        <x:v>EV-12</x:v>
      </x:c>
      <x:c r="B194" s="10" t="str">
        <x:v>Z-13</x:v>
      </x:c>
      <x:c r="C194" s="10" t="n">
        <x:v>0.390625</x:v>
      </x:c>
      <x:c r="D194" s="10" t="n">
        <x:v>1.5</x:v>
      </x:c>
      <x:c r="E194" s="12"/>
      <x:c r="F194" s="10" t="str">
        <x:f>IF(E194="","",E194-D194)</x:f>
      </x:c>
      <x:c r="G194" s="10" t="str">
        <x:f>IF(E194="","OPEN",IF(E194&gt;0,"OBSERVED","DENY"))</x:f>
        <x:v>OPEN</x:v>
      </x:c>
    </x:row>
    <x:row r="195">
      <x:c r="A195" s="10" t="str">
        <x:v>EV-12</x:v>
      </x:c>
      <x:c r="B195" s="10" t="str">
        <x:v>Z-14</x:v>
      </x:c>
      <x:c r="C195" s="10" t="n">
        <x:v>0.390625</x:v>
      </x:c>
      <x:c r="D195" s="10" t="n">
        <x:v>1.5</x:v>
      </x:c>
      <x:c r="E195" s="12"/>
      <x:c r="F195" s="10" t="str">
        <x:f>IF(E195="","",E195-D195)</x:f>
      </x:c>
      <x:c r="G195" s="10" t="str">
        <x:f>IF(E195="","OPEN",IF(E195&gt;0,"OBSERVED","DENY"))</x:f>
        <x:v>OPEN</x:v>
      </x:c>
    </x:row>
    <x:row r="196">
      <x:c r="A196" s="10" t="str">
        <x:v>EV-12</x:v>
      </x:c>
      <x:c r="B196" s="10" t="str">
        <x:v>Z-15</x:v>
      </x:c>
      <x:c r="C196" s="10" t="n">
        <x:v>0.390625</x:v>
      </x:c>
      <x:c r="D196" s="10" t="n">
        <x:v>1.5</x:v>
      </x:c>
      <x:c r="E196" s="12"/>
      <x:c r="F196" s="10" t="str">
        <x:f>IF(E196="","",E196-D196)</x:f>
      </x:c>
      <x:c r="G196" s="10" t="str">
        <x:f>IF(E196="","OPEN",IF(E196&gt;0,"OBSERVED","DENY"))</x:f>
        <x:v>OPEN</x:v>
      </x:c>
    </x:row>
    <x:row r="197">
      <x:c r="A197" s="10" t="str">
        <x:v>EV-12</x:v>
      </x:c>
      <x:c r="B197" s="10" t="str">
        <x:v>Z-16</x:v>
      </x:c>
      <x:c r="C197" s="10" t="n">
        <x:v>0.390625</x:v>
      </x:c>
      <x:c r="D197" s="10" t="n">
        <x:v>1.5</x:v>
      </x:c>
      <x:c r="E197" s="12"/>
      <x:c r="F197" s="10" t="str">
        <x:f>IF(E197="","",E197-D197)</x:f>
      </x:c>
      <x:c r="G197" s="10" t="str">
        <x:f>IF(E197="","OPEN",IF(E197&gt;0,"OBSERVED","DENY"))</x:f>
        <x:v>OPEN</x:v>
      </x:c>
    </x:row>
    <x:row r="198">
      <x:c r="A198" s="10" t="str">
        <x:v>EV-13</x:v>
      </x:c>
      <x:c r="B198" s="10" t="str">
        <x:v>Z-01</x:v>
      </x:c>
      <x:c r="C198" s="10" t="n">
        <x:v>0.390625</x:v>
      </x:c>
      <x:c r="D198" s="10" t="n">
        <x:v>1.5</x:v>
      </x:c>
      <x:c r="E198" s="12"/>
      <x:c r="F198" s="10" t="str">
        <x:f>IF(E198="","",E198-D198)</x:f>
      </x:c>
      <x:c r="G198" s="10" t="str">
        <x:f>IF(E198="","OPEN",IF(E198&gt;0,"OBSERVED","DENY"))</x:f>
        <x:v>OPEN</x:v>
      </x:c>
    </x:row>
    <x:row r="199">
      <x:c r="A199" s="10" t="str">
        <x:v>EV-13</x:v>
      </x:c>
      <x:c r="B199" s="10" t="str">
        <x:v>Z-02</x:v>
      </x:c>
      <x:c r="C199" s="10" t="n">
        <x:v>0.390625</x:v>
      </x:c>
      <x:c r="D199" s="10" t="n">
        <x:v>1.5</x:v>
      </x:c>
      <x:c r="E199" s="12"/>
      <x:c r="F199" s="10" t="str">
        <x:f>IF(E199="","",E199-D199)</x:f>
      </x:c>
      <x:c r="G199" s="10" t="str">
        <x:f>IF(E199="","OPEN",IF(E199&gt;0,"OBSERVED","DENY"))</x:f>
        <x:v>OPEN</x:v>
      </x:c>
    </x:row>
    <x:row r="200">
      <x:c r="A200" s="10" t="str">
        <x:v>EV-13</x:v>
      </x:c>
      <x:c r="B200" s="10" t="str">
        <x:v>Z-03</x:v>
      </x:c>
      <x:c r="C200" s="10" t="n">
        <x:v>0.390625</x:v>
      </x:c>
      <x:c r="D200" s="10" t="n">
        <x:v>1.5</x:v>
      </x:c>
      <x:c r="E200" s="12"/>
      <x:c r="F200" s="10" t="str">
        <x:f>IF(E200="","",E200-D200)</x:f>
      </x:c>
      <x:c r="G200" s="10" t="str">
        <x:f>IF(E200="","OPEN",IF(E200&gt;0,"OBSERVED","DENY"))</x:f>
        <x:v>OPEN</x:v>
      </x:c>
    </x:row>
    <x:row r="201">
      <x:c r="A201" s="10" t="str">
        <x:v>EV-13</x:v>
      </x:c>
      <x:c r="B201" s="10" t="str">
        <x:v>Z-04</x:v>
      </x:c>
      <x:c r="C201" s="10" t="n">
        <x:v>0.390625</x:v>
      </x:c>
      <x:c r="D201" s="10" t="n">
        <x:v>1.5</x:v>
      </x:c>
      <x:c r="E201" s="12"/>
      <x:c r="F201" s="10" t="str">
        <x:f>IF(E201="","",E201-D201)</x:f>
      </x:c>
      <x:c r="G201" s="10" t="str">
        <x:f>IF(E201="","OPEN",IF(E201&gt;0,"OBSERVED","DENY"))</x:f>
        <x:v>OPEN</x:v>
      </x:c>
    </x:row>
    <x:row r="202">
      <x:c r="A202" s="10" t="str">
        <x:v>EV-13</x:v>
      </x:c>
      <x:c r="B202" s="10" t="str">
        <x:v>Z-05</x:v>
      </x:c>
      <x:c r="C202" s="10" t="n">
        <x:v>0.390625</x:v>
      </x:c>
      <x:c r="D202" s="10" t="n">
        <x:v>1.5</x:v>
      </x:c>
      <x:c r="E202" s="12"/>
      <x:c r="F202" s="10" t="str">
        <x:f>IF(E202="","",E202-D202)</x:f>
      </x:c>
      <x:c r="G202" s="10" t="str">
        <x:f>IF(E202="","OPEN",IF(E202&gt;0,"OBSERVED","DENY"))</x:f>
        <x:v>OPEN</x:v>
      </x:c>
    </x:row>
    <x:row r="203">
      <x:c r="A203" s="10" t="str">
        <x:v>EV-13</x:v>
      </x:c>
      <x:c r="B203" s="10" t="str">
        <x:v>Z-06</x:v>
      </x:c>
      <x:c r="C203" s="10" t="n">
        <x:v>0.390625</x:v>
      </x:c>
      <x:c r="D203" s="10" t="n">
        <x:v>1.5</x:v>
      </x:c>
      <x:c r="E203" s="12"/>
      <x:c r="F203" s="10" t="str">
        <x:f>IF(E203="","",E203-D203)</x:f>
      </x:c>
      <x:c r="G203" s="10" t="str">
        <x:f>IF(E203="","OPEN",IF(E203&gt;0,"OBSERVED","DENY"))</x:f>
        <x:v>OPEN</x:v>
      </x:c>
    </x:row>
    <x:row r="204">
      <x:c r="A204" s="10" t="str">
        <x:v>EV-13</x:v>
      </x:c>
      <x:c r="B204" s="10" t="str">
        <x:v>Z-07</x:v>
      </x:c>
      <x:c r="C204" s="10" t="n">
        <x:v>0.390625</x:v>
      </x:c>
      <x:c r="D204" s="10" t="n">
        <x:v>1.5</x:v>
      </x:c>
      <x:c r="E204" s="12"/>
      <x:c r="F204" s="10" t="str">
        <x:f>IF(E204="","",E204-D204)</x:f>
      </x:c>
      <x:c r="G204" s="10" t="str">
        <x:f>IF(E204="","OPEN",IF(E204&gt;0,"OBSERVED","DENY"))</x:f>
        <x:v>OPEN</x:v>
      </x:c>
    </x:row>
    <x:row r="205">
      <x:c r="A205" s="10" t="str">
        <x:v>EV-13</x:v>
      </x:c>
      <x:c r="B205" s="10" t="str">
        <x:v>Z-08</x:v>
      </x:c>
      <x:c r="C205" s="10" t="n">
        <x:v>0.390625</x:v>
      </x:c>
      <x:c r="D205" s="10" t="n">
        <x:v>1.5</x:v>
      </x:c>
      <x:c r="E205" s="12"/>
      <x:c r="F205" s="10" t="str">
        <x:f>IF(E205="","",E205-D205)</x:f>
      </x:c>
      <x:c r="G205" s="10" t="str">
        <x:f>IF(E205="","OPEN",IF(E205&gt;0,"OBSERVED","DENY"))</x:f>
        <x:v>OPEN</x:v>
      </x:c>
    </x:row>
    <x:row r="206">
      <x:c r="A206" s="10" t="str">
        <x:v>EV-13</x:v>
      </x:c>
      <x:c r="B206" s="10" t="str">
        <x:v>Z-09</x:v>
      </x:c>
      <x:c r="C206" s="10" t="n">
        <x:v>0.390625</x:v>
      </x:c>
      <x:c r="D206" s="10" t="n">
        <x:v>1.5</x:v>
      </x:c>
      <x:c r="E206" s="12"/>
      <x:c r="F206" s="10" t="str">
        <x:f>IF(E206="","",E206-D206)</x:f>
      </x:c>
      <x:c r="G206" s="10" t="str">
        <x:f>IF(E206="","OPEN",IF(E206&gt;0,"OBSERVED","DENY"))</x:f>
        <x:v>OPEN</x:v>
      </x:c>
    </x:row>
    <x:row r="207">
      <x:c r="A207" s="10" t="str">
        <x:v>EV-13</x:v>
      </x:c>
      <x:c r="B207" s="10" t="str">
        <x:v>Z-10</x:v>
      </x:c>
      <x:c r="C207" s="10" t="n">
        <x:v>0.390625</x:v>
      </x:c>
      <x:c r="D207" s="10" t="n">
        <x:v>1.5</x:v>
      </x:c>
      <x:c r="E207" s="12"/>
      <x:c r="F207" s="10" t="str">
        <x:f>IF(E207="","",E207-D207)</x:f>
      </x:c>
      <x:c r="G207" s="10" t="str">
        <x:f>IF(E207="","OPEN",IF(E207&gt;0,"OBSERVED","DENY"))</x:f>
        <x:v>OPEN</x:v>
      </x:c>
    </x:row>
    <x:row r="208">
      <x:c r="A208" s="10" t="str">
        <x:v>EV-13</x:v>
      </x:c>
      <x:c r="B208" s="10" t="str">
        <x:v>Z-11</x:v>
      </x:c>
      <x:c r="C208" s="10" t="n">
        <x:v>0.390625</x:v>
      </x:c>
      <x:c r="D208" s="10" t="n">
        <x:v>1.5</x:v>
      </x:c>
      <x:c r="E208" s="12"/>
      <x:c r="F208" s="10" t="str">
        <x:f>IF(E208="","",E208-D208)</x:f>
      </x:c>
      <x:c r="G208" s="10" t="str">
        <x:f>IF(E208="","OPEN",IF(E208&gt;0,"OBSERVED","DENY"))</x:f>
        <x:v>OPEN</x:v>
      </x:c>
    </x:row>
    <x:row r="209">
      <x:c r="A209" s="10" t="str">
        <x:v>EV-13</x:v>
      </x:c>
      <x:c r="B209" s="10" t="str">
        <x:v>Z-12</x:v>
      </x:c>
      <x:c r="C209" s="10" t="n">
        <x:v>0.390625</x:v>
      </x:c>
      <x:c r="D209" s="10" t="n">
        <x:v>1.5</x:v>
      </x:c>
      <x:c r="E209" s="12"/>
      <x:c r="F209" s="10" t="str">
        <x:f>IF(E209="","",E209-D209)</x:f>
      </x:c>
      <x:c r="G209" s="10" t="str">
        <x:f>IF(E209="","OPEN",IF(E209&gt;0,"OBSERVED","DENY"))</x:f>
        <x:v>OPEN</x:v>
      </x:c>
    </x:row>
    <x:row r="210">
      <x:c r="A210" s="10" t="str">
        <x:v>EV-13</x:v>
      </x:c>
      <x:c r="B210" s="10" t="str">
        <x:v>Z-13</x:v>
      </x:c>
      <x:c r="C210" s="10" t="n">
        <x:v>0.390625</x:v>
      </x:c>
      <x:c r="D210" s="10" t="n">
        <x:v>1.5</x:v>
      </x:c>
      <x:c r="E210" s="12"/>
      <x:c r="F210" s="10" t="str">
        <x:f>IF(E210="","",E210-D210)</x:f>
      </x:c>
      <x:c r="G210" s="10" t="str">
        <x:f>IF(E210="","OPEN",IF(E210&gt;0,"OBSERVED","DENY"))</x:f>
        <x:v>OPEN</x:v>
      </x:c>
    </x:row>
    <x:row r="211">
      <x:c r="A211" s="10" t="str">
        <x:v>EV-13</x:v>
      </x:c>
      <x:c r="B211" s="10" t="str">
        <x:v>Z-14</x:v>
      </x:c>
      <x:c r="C211" s="10" t="n">
        <x:v>0.390625</x:v>
      </x:c>
      <x:c r="D211" s="10" t="n">
        <x:v>1.5</x:v>
      </x:c>
      <x:c r="E211" s="12"/>
      <x:c r="F211" s="10" t="str">
        <x:f>IF(E211="","",E211-D211)</x:f>
      </x:c>
      <x:c r="G211" s="10" t="str">
        <x:f>IF(E211="","OPEN",IF(E211&gt;0,"OBSERVED","DENY"))</x:f>
        <x:v>OPEN</x:v>
      </x:c>
    </x:row>
    <x:row r="212">
      <x:c r="A212" s="10" t="str">
        <x:v>EV-13</x:v>
      </x:c>
      <x:c r="B212" s="10" t="str">
        <x:v>Z-15</x:v>
      </x:c>
      <x:c r="C212" s="10" t="n">
        <x:v>0.390625</x:v>
      </x:c>
      <x:c r="D212" s="10" t="n">
        <x:v>1.5</x:v>
      </x:c>
      <x:c r="E212" s="12"/>
      <x:c r="F212" s="10" t="str">
        <x:f>IF(E212="","",E212-D212)</x:f>
      </x:c>
      <x:c r="G212" s="10" t="str">
        <x:f>IF(E212="","OPEN",IF(E212&gt;0,"OBSERVED","DENY"))</x:f>
        <x:v>OPEN</x:v>
      </x:c>
    </x:row>
    <x:row r="213">
      <x:c r="A213" s="10" t="str">
        <x:v>EV-13</x:v>
      </x:c>
      <x:c r="B213" s="10" t="str">
        <x:v>Z-16</x:v>
      </x:c>
      <x:c r="C213" s="10" t="n">
        <x:v>0.390625</x:v>
      </x:c>
      <x:c r="D213" s="10" t="n">
        <x:v>1.5</x:v>
      </x:c>
      <x:c r="E213" s="12"/>
      <x:c r="F213" s="10" t="str">
        <x:f>IF(E213="","",E213-D213)</x:f>
      </x:c>
      <x:c r="G213" s="10" t="str">
        <x:f>IF(E213="","OPEN",IF(E213&gt;0,"OBSERVED","DENY"))</x:f>
        <x:v>OPEN</x:v>
      </x:c>
    </x:row>
    <x:row r="214">
      <x:c r="A214" s="10" t="str">
        <x:v>EV-14</x:v>
      </x:c>
      <x:c r="B214" s="10" t="str">
        <x:v>Z-01</x:v>
      </x:c>
      <x:c r="C214" s="10" t="n">
        <x:v>0.390625</x:v>
      </x:c>
      <x:c r="D214" s="10" t="n">
        <x:v>1.5</x:v>
      </x:c>
      <x:c r="E214" s="12"/>
      <x:c r="F214" s="10" t="str">
        <x:f>IF(E214="","",E214-D214)</x:f>
      </x:c>
      <x:c r="G214" s="10" t="str">
        <x:f>IF(E214="","OPEN",IF(E214&gt;0,"OBSERVED","DENY"))</x:f>
        <x:v>OPEN</x:v>
      </x:c>
    </x:row>
    <x:row r="215">
      <x:c r="A215" s="10" t="str">
        <x:v>EV-14</x:v>
      </x:c>
      <x:c r="B215" s="10" t="str">
        <x:v>Z-02</x:v>
      </x:c>
      <x:c r="C215" s="10" t="n">
        <x:v>0.390625</x:v>
      </x:c>
      <x:c r="D215" s="10" t="n">
        <x:v>1.5</x:v>
      </x:c>
      <x:c r="E215" s="12"/>
      <x:c r="F215" s="10" t="str">
        <x:f>IF(E215="","",E215-D215)</x:f>
      </x:c>
      <x:c r="G215" s="10" t="str">
        <x:f>IF(E215="","OPEN",IF(E215&gt;0,"OBSERVED","DENY"))</x:f>
        <x:v>OPEN</x:v>
      </x:c>
    </x:row>
    <x:row r="216">
      <x:c r="A216" s="10" t="str">
        <x:v>EV-14</x:v>
      </x:c>
      <x:c r="B216" s="10" t="str">
        <x:v>Z-03</x:v>
      </x:c>
      <x:c r="C216" s="10" t="n">
        <x:v>0.390625</x:v>
      </x:c>
      <x:c r="D216" s="10" t="n">
        <x:v>1.5</x:v>
      </x:c>
      <x:c r="E216" s="12"/>
      <x:c r="F216" s="10" t="str">
        <x:f>IF(E216="","",E216-D216)</x:f>
      </x:c>
      <x:c r="G216" s="10" t="str">
        <x:f>IF(E216="","OPEN",IF(E216&gt;0,"OBSERVED","DENY"))</x:f>
        <x:v>OPEN</x:v>
      </x:c>
    </x:row>
    <x:row r="217">
      <x:c r="A217" s="10" t="str">
        <x:v>EV-14</x:v>
      </x:c>
      <x:c r="B217" s="10" t="str">
        <x:v>Z-04</x:v>
      </x:c>
      <x:c r="C217" s="10" t="n">
        <x:v>0.390625</x:v>
      </x:c>
      <x:c r="D217" s="10" t="n">
        <x:v>1.5</x:v>
      </x:c>
      <x:c r="E217" s="12"/>
      <x:c r="F217" s="10" t="str">
        <x:f>IF(E217="","",E217-D217)</x:f>
      </x:c>
      <x:c r="G217" s="10" t="str">
        <x:f>IF(E217="","OPEN",IF(E217&gt;0,"OBSERVED","DENY"))</x:f>
        <x:v>OPEN</x:v>
      </x:c>
    </x:row>
    <x:row r="218">
      <x:c r="A218" s="10" t="str">
        <x:v>EV-14</x:v>
      </x:c>
      <x:c r="B218" s="10" t="str">
        <x:v>Z-05</x:v>
      </x:c>
      <x:c r="C218" s="10" t="n">
        <x:v>0.390625</x:v>
      </x:c>
      <x:c r="D218" s="10" t="n">
        <x:v>1.5</x:v>
      </x:c>
      <x:c r="E218" s="12"/>
      <x:c r="F218" s="10" t="str">
        <x:f>IF(E218="","",E218-D218)</x:f>
      </x:c>
      <x:c r="G218" s="10" t="str">
        <x:f>IF(E218="","OPEN",IF(E218&gt;0,"OBSERVED","DENY"))</x:f>
        <x:v>OPEN</x:v>
      </x:c>
    </x:row>
    <x:row r="219">
      <x:c r="A219" s="10" t="str">
        <x:v>EV-14</x:v>
      </x:c>
      <x:c r="B219" s="10" t="str">
        <x:v>Z-06</x:v>
      </x:c>
      <x:c r="C219" s="10" t="n">
        <x:v>0.390625</x:v>
      </x:c>
      <x:c r="D219" s="10" t="n">
        <x:v>1.5</x:v>
      </x:c>
      <x:c r="E219" s="12"/>
      <x:c r="F219" s="10" t="str">
        <x:f>IF(E219="","",E219-D219)</x:f>
      </x:c>
      <x:c r="G219" s="10" t="str">
        <x:f>IF(E219="","OPEN",IF(E219&gt;0,"OBSERVED","DENY"))</x:f>
        <x:v>OPEN</x:v>
      </x:c>
    </x:row>
    <x:row r="220">
      <x:c r="A220" s="10" t="str">
        <x:v>EV-14</x:v>
      </x:c>
      <x:c r="B220" s="10" t="str">
        <x:v>Z-07</x:v>
      </x:c>
      <x:c r="C220" s="10" t="n">
        <x:v>0.390625</x:v>
      </x:c>
      <x:c r="D220" s="10" t="n">
        <x:v>1.5</x:v>
      </x:c>
      <x:c r="E220" s="12"/>
      <x:c r="F220" s="10" t="str">
        <x:f>IF(E220="","",E220-D220)</x:f>
      </x:c>
      <x:c r="G220" s="10" t="str">
        <x:f>IF(E220="","OPEN",IF(E220&gt;0,"OBSERVED","DENY"))</x:f>
        <x:v>OPEN</x:v>
      </x:c>
    </x:row>
    <x:row r="221">
      <x:c r="A221" s="10" t="str">
        <x:v>EV-14</x:v>
      </x:c>
      <x:c r="B221" s="10" t="str">
        <x:v>Z-08</x:v>
      </x:c>
      <x:c r="C221" s="10" t="n">
        <x:v>0.390625</x:v>
      </x:c>
      <x:c r="D221" s="10" t="n">
        <x:v>1.5</x:v>
      </x:c>
      <x:c r="E221" s="12"/>
      <x:c r="F221" s="10" t="str">
        <x:f>IF(E221="","",E221-D221)</x:f>
      </x:c>
      <x:c r="G221" s="10" t="str">
        <x:f>IF(E221="","OPEN",IF(E221&gt;0,"OBSERVED","DENY"))</x:f>
        <x:v>OPEN</x:v>
      </x:c>
    </x:row>
    <x:row r="222">
      <x:c r="A222" s="10" t="str">
        <x:v>EV-14</x:v>
      </x:c>
      <x:c r="B222" s="10" t="str">
        <x:v>Z-09</x:v>
      </x:c>
      <x:c r="C222" s="10" t="n">
        <x:v>0.390625</x:v>
      </x:c>
      <x:c r="D222" s="10" t="n">
        <x:v>1.5</x:v>
      </x:c>
      <x:c r="E222" s="12"/>
      <x:c r="F222" s="10" t="str">
        <x:f>IF(E222="","",E222-D222)</x:f>
      </x:c>
      <x:c r="G222" s="10" t="str">
        <x:f>IF(E222="","OPEN",IF(E222&gt;0,"OBSERVED","DENY"))</x:f>
        <x:v>OPEN</x:v>
      </x:c>
    </x:row>
    <x:row r="223">
      <x:c r="A223" s="10" t="str">
        <x:v>EV-14</x:v>
      </x:c>
      <x:c r="B223" s="10" t="str">
        <x:v>Z-10</x:v>
      </x:c>
      <x:c r="C223" s="10" t="n">
        <x:v>0.390625</x:v>
      </x:c>
      <x:c r="D223" s="10" t="n">
        <x:v>1.5</x:v>
      </x:c>
      <x:c r="E223" s="12"/>
      <x:c r="F223" s="10" t="str">
        <x:f>IF(E223="","",E223-D223)</x:f>
      </x:c>
      <x:c r="G223" s="10" t="str">
        <x:f>IF(E223="","OPEN",IF(E223&gt;0,"OBSERVED","DENY"))</x:f>
        <x:v>OPEN</x:v>
      </x:c>
    </x:row>
    <x:row r="224">
      <x:c r="A224" s="10" t="str">
        <x:v>EV-14</x:v>
      </x:c>
      <x:c r="B224" s="10" t="str">
        <x:v>Z-11</x:v>
      </x:c>
      <x:c r="C224" s="10" t="n">
        <x:v>0.390625</x:v>
      </x:c>
      <x:c r="D224" s="10" t="n">
        <x:v>1.5</x:v>
      </x:c>
      <x:c r="E224" s="12"/>
      <x:c r="F224" s="10" t="str">
        <x:f>IF(E224="","",E224-D224)</x:f>
      </x:c>
      <x:c r="G224" s="10" t="str">
        <x:f>IF(E224="","OPEN",IF(E224&gt;0,"OBSERVED","DENY"))</x:f>
        <x:v>OPEN</x:v>
      </x:c>
    </x:row>
    <x:row r="225">
      <x:c r="A225" s="10" t="str">
        <x:v>EV-14</x:v>
      </x:c>
      <x:c r="B225" s="10" t="str">
        <x:v>Z-12</x:v>
      </x:c>
      <x:c r="C225" s="10" t="n">
        <x:v>0.390625</x:v>
      </x:c>
      <x:c r="D225" s="10" t="n">
        <x:v>1.5</x:v>
      </x:c>
      <x:c r="E225" s="12"/>
      <x:c r="F225" s="10" t="str">
        <x:f>IF(E225="","",E225-D225)</x:f>
      </x:c>
      <x:c r="G225" s="10" t="str">
        <x:f>IF(E225="","OPEN",IF(E225&gt;0,"OBSERVED","DENY"))</x:f>
        <x:v>OPEN</x:v>
      </x:c>
    </x:row>
    <x:row r="226">
      <x:c r="A226" s="10" t="str">
        <x:v>EV-14</x:v>
      </x:c>
      <x:c r="B226" s="10" t="str">
        <x:v>Z-13</x:v>
      </x:c>
      <x:c r="C226" s="10" t="n">
        <x:v>0.390625</x:v>
      </x:c>
      <x:c r="D226" s="10" t="n">
        <x:v>1.5</x:v>
      </x:c>
      <x:c r="E226" s="12"/>
      <x:c r="F226" s="10" t="str">
        <x:f>IF(E226="","",E226-D226)</x:f>
      </x:c>
      <x:c r="G226" s="10" t="str">
        <x:f>IF(E226="","OPEN",IF(E226&gt;0,"OBSERVED","DENY"))</x:f>
        <x:v>OPEN</x:v>
      </x:c>
    </x:row>
    <x:row r="227">
      <x:c r="A227" s="10" t="str">
        <x:v>EV-14</x:v>
      </x:c>
      <x:c r="B227" s="10" t="str">
        <x:v>Z-14</x:v>
      </x:c>
      <x:c r="C227" s="10" t="n">
        <x:v>0.390625</x:v>
      </x:c>
      <x:c r="D227" s="10" t="n">
        <x:v>1.5</x:v>
      </x:c>
      <x:c r="E227" s="12"/>
      <x:c r="F227" s="10" t="str">
        <x:f>IF(E227="","",E227-D227)</x:f>
      </x:c>
      <x:c r="G227" s="10" t="str">
        <x:f>IF(E227="","OPEN",IF(E227&gt;0,"OBSERVED","DENY"))</x:f>
        <x:v>OPEN</x:v>
      </x:c>
    </x:row>
    <x:row r="228">
      <x:c r="A228" s="10" t="str">
        <x:v>EV-14</x:v>
      </x:c>
      <x:c r="B228" s="10" t="str">
        <x:v>Z-15</x:v>
      </x:c>
      <x:c r="C228" s="10" t="n">
        <x:v>0.390625</x:v>
      </x:c>
      <x:c r="D228" s="10" t="n">
        <x:v>1.5</x:v>
      </x:c>
      <x:c r="E228" s="12"/>
      <x:c r="F228" s="10" t="str">
        <x:f>IF(E228="","",E228-D228)</x:f>
      </x:c>
      <x:c r="G228" s="10" t="str">
        <x:f>IF(E228="","OPEN",IF(E228&gt;0,"OBSERVED","DENY"))</x:f>
        <x:v>OPEN</x:v>
      </x:c>
    </x:row>
    <x:row r="229">
      <x:c r="A229" s="10" t="str">
        <x:v>EV-14</x:v>
      </x:c>
      <x:c r="B229" s="10" t="str">
        <x:v>Z-16</x:v>
      </x:c>
      <x:c r="C229" s="10" t="n">
        <x:v>0.390625</x:v>
      </x:c>
      <x:c r="D229" s="10" t="n">
        <x:v>1.5</x:v>
      </x:c>
      <x:c r="E229" s="12"/>
      <x:c r="F229" s="10" t="str">
        <x:f>IF(E229="","",E229-D229)</x:f>
      </x:c>
      <x:c r="G229" s="10" t="str">
        <x:f>IF(E229="","OPEN",IF(E229&gt;0,"OBSERVED","DENY"))</x:f>
        <x:v>OPEN</x:v>
      </x:c>
    </x:row>
    <x:row r="230">
      <x:c r="A230" s="10" t="str">
        <x:v>EV-15</x:v>
      </x:c>
      <x:c r="B230" s="10" t="str">
        <x:v>Z-01</x:v>
      </x:c>
      <x:c r="C230" s="10" t="n">
        <x:v>0.390625</x:v>
      </x:c>
      <x:c r="D230" s="10" t="n">
        <x:v>1.5</x:v>
      </x:c>
      <x:c r="E230" s="12"/>
      <x:c r="F230" s="10" t="str">
        <x:f>IF(E230="","",E230-D230)</x:f>
      </x:c>
      <x:c r="G230" s="10" t="str">
        <x:f>IF(E230="","OPEN",IF(E230&gt;0,"OBSERVED","DENY"))</x:f>
        <x:v>OPEN</x:v>
      </x:c>
    </x:row>
    <x:row r="231">
      <x:c r="A231" s="10" t="str">
        <x:v>EV-15</x:v>
      </x:c>
      <x:c r="B231" s="10" t="str">
        <x:v>Z-02</x:v>
      </x:c>
      <x:c r="C231" s="10" t="n">
        <x:v>0.390625</x:v>
      </x:c>
      <x:c r="D231" s="10" t="n">
        <x:v>1.5</x:v>
      </x:c>
      <x:c r="E231" s="12"/>
      <x:c r="F231" s="10" t="str">
        <x:f>IF(E231="","",E231-D231)</x:f>
      </x:c>
      <x:c r="G231" s="10" t="str">
        <x:f>IF(E231="","OPEN",IF(E231&gt;0,"OBSERVED","DENY"))</x:f>
        <x:v>OPEN</x:v>
      </x:c>
    </x:row>
    <x:row r="232">
      <x:c r="A232" s="10" t="str">
        <x:v>EV-15</x:v>
      </x:c>
      <x:c r="B232" s="10" t="str">
        <x:v>Z-03</x:v>
      </x:c>
      <x:c r="C232" s="10" t="n">
        <x:v>0.390625</x:v>
      </x:c>
      <x:c r="D232" s="10" t="n">
        <x:v>1.5</x:v>
      </x:c>
      <x:c r="E232" s="12"/>
      <x:c r="F232" s="10" t="str">
        <x:f>IF(E232="","",E232-D232)</x:f>
      </x:c>
      <x:c r="G232" s="10" t="str">
        <x:f>IF(E232="","OPEN",IF(E232&gt;0,"OBSERVED","DENY"))</x:f>
        <x:v>OPEN</x:v>
      </x:c>
    </x:row>
    <x:row r="233">
      <x:c r="A233" s="10" t="str">
        <x:v>EV-15</x:v>
      </x:c>
      <x:c r="B233" s="10" t="str">
        <x:v>Z-04</x:v>
      </x:c>
      <x:c r="C233" s="10" t="n">
        <x:v>0.390625</x:v>
      </x:c>
      <x:c r="D233" s="10" t="n">
        <x:v>1.5</x:v>
      </x:c>
      <x:c r="E233" s="12"/>
      <x:c r="F233" s="10" t="str">
        <x:f>IF(E233="","",E233-D233)</x:f>
      </x:c>
      <x:c r="G233" s="10" t="str">
        <x:f>IF(E233="","OPEN",IF(E233&gt;0,"OBSERVED","DENY"))</x:f>
        <x:v>OPEN</x:v>
      </x:c>
    </x:row>
    <x:row r="234">
      <x:c r="A234" s="10" t="str">
        <x:v>EV-15</x:v>
      </x:c>
      <x:c r="B234" s="10" t="str">
        <x:v>Z-05</x:v>
      </x:c>
      <x:c r="C234" s="10" t="n">
        <x:v>0.390625</x:v>
      </x:c>
      <x:c r="D234" s="10" t="n">
        <x:v>1.5</x:v>
      </x:c>
      <x:c r="E234" s="12"/>
      <x:c r="F234" s="10" t="str">
        <x:f>IF(E234="","",E234-D234)</x:f>
      </x:c>
      <x:c r="G234" s="10" t="str">
        <x:f>IF(E234="","OPEN",IF(E234&gt;0,"OBSERVED","DENY"))</x:f>
        <x:v>OPEN</x:v>
      </x:c>
    </x:row>
    <x:row r="235">
      <x:c r="A235" s="10" t="str">
        <x:v>EV-15</x:v>
      </x:c>
      <x:c r="B235" s="10" t="str">
        <x:v>Z-06</x:v>
      </x:c>
      <x:c r="C235" s="10" t="n">
        <x:v>0.390625</x:v>
      </x:c>
      <x:c r="D235" s="10" t="n">
        <x:v>1.5</x:v>
      </x:c>
      <x:c r="E235" s="12"/>
      <x:c r="F235" s="10" t="str">
        <x:f>IF(E235="","",E235-D235)</x:f>
      </x:c>
      <x:c r="G235" s="10" t="str">
        <x:f>IF(E235="","OPEN",IF(E235&gt;0,"OBSERVED","DENY"))</x:f>
        <x:v>OPEN</x:v>
      </x:c>
    </x:row>
    <x:row r="236">
      <x:c r="A236" s="10" t="str">
        <x:v>EV-15</x:v>
      </x:c>
      <x:c r="B236" s="10" t="str">
        <x:v>Z-07</x:v>
      </x:c>
      <x:c r="C236" s="10" t="n">
        <x:v>0.390625</x:v>
      </x:c>
      <x:c r="D236" s="10" t="n">
        <x:v>1.5</x:v>
      </x:c>
      <x:c r="E236" s="12"/>
      <x:c r="F236" s="10" t="str">
        <x:f>IF(E236="","",E236-D236)</x:f>
      </x:c>
      <x:c r="G236" s="10" t="str">
        <x:f>IF(E236="","OPEN",IF(E236&gt;0,"OBSERVED","DENY"))</x:f>
        <x:v>OPEN</x:v>
      </x:c>
    </x:row>
    <x:row r="237">
      <x:c r="A237" s="10" t="str">
        <x:v>EV-15</x:v>
      </x:c>
      <x:c r="B237" s="10" t="str">
        <x:v>Z-08</x:v>
      </x:c>
      <x:c r="C237" s="10" t="n">
        <x:v>0.390625</x:v>
      </x:c>
      <x:c r="D237" s="10" t="n">
        <x:v>1.5</x:v>
      </x:c>
      <x:c r="E237" s="12"/>
      <x:c r="F237" s="10" t="str">
        <x:f>IF(E237="","",E237-D237)</x:f>
      </x:c>
      <x:c r="G237" s="10" t="str">
        <x:f>IF(E237="","OPEN",IF(E237&gt;0,"OBSERVED","DENY"))</x:f>
        <x:v>OPEN</x:v>
      </x:c>
    </x:row>
    <x:row r="238">
      <x:c r="A238" s="10" t="str">
        <x:v>EV-15</x:v>
      </x:c>
      <x:c r="B238" s="10" t="str">
        <x:v>Z-09</x:v>
      </x:c>
      <x:c r="C238" s="10" t="n">
        <x:v>0.390625</x:v>
      </x:c>
      <x:c r="D238" s="10" t="n">
        <x:v>1.5</x:v>
      </x:c>
      <x:c r="E238" s="12"/>
      <x:c r="F238" s="10" t="str">
        <x:f>IF(E238="","",E238-D238)</x:f>
      </x:c>
      <x:c r="G238" s="10" t="str">
        <x:f>IF(E238="","OPEN",IF(E238&gt;0,"OBSERVED","DENY"))</x:f>
        <x:v>OPEN</x:v>
      </x:c>
    </x:row>
    <x:row r="239">
      <x:c r="A239" s="10" t="str">
        <x:v>EV-15</x:v>
      </x:c>
      <x:c r="B239" s="10" t="str">
        <x:v>Z-10</x:v>
      </x:c>
      <x:c r="C239" s="10" t="n">
        <x:v>0.390625</x:v>
      </x:c>
      <x:c r="D239" s="10" t="n">
        <x:v>1.5</x:v>
      </x:c>
      <x:c r="E239" s="12"/>
      <x:c r="F239" s="10" t="str">
        <x:f>IF(E239="","",E239-D239)</x:f>
      </x:c>
      <x:c r="G239" s="10" t="str">
        <x:f>IF(E239="","OPEN",IF(E239&gt;0,"OBSERVED","DENY"))</x:f>
        <x:v>OPEN</x:v>
      </x:c>
    </x:row>
    <x:row r="240">
      <x:c r="A240" s="10" t="str">
        <x:v>EV-15</x:v>
      </x:c>
      <x:c r="B240" s="10" t="str">
        <x:v>Z-11</x:v>
      </x:c>
      <x:c r="C240" s="10" t="n">
        <x:v>0.390625</x:v>
      </x:c>
      <x:c r="D240" s="10" t="n">
        <x:v>1.5</x:v>
      </x:c>
      <x:c r="E240" s="12"/>
      <x:c r="F240" s="10" t="str">
        <x:f>IF(E240="","",E240-D240)</x:f>
      </x:c>
      <x:c r="G240" s="10" t="str">
        <x:f>IF(E240="","OPEN",IF(E240&gt;0,"OBSERVED","DENY"))</x:f>
        <x:v>OPEN</x:v>
      </x:c>
    </x:row>
    <x:row r="241">
      <x:c r="A241" s="10" t="str">
        <x:v>EV-15</x:v>
      </x:c>
      <x:c r="B241" s="10" t="str">
        <x:v>Z-12</x:v>
      </x:c>
      <x:c r="C241" s="10" t="n">
        <x:v>0.390625</x:v>
      </x:c>
      <x:c r="D241" s="10" t="n">
        <x:v>1.5</x:v>
      </x:c>
      <x:c r="E241" s="12"/>
      <x:c r="F241" s="10" t="str">
        <x:f>IF(E241="","",E241-D241)</x:f>
      </x:c>
      <x:c r="G241" s="10" t="str">
        <x:f>IF(E241="","OPEN",IF(E241&gt;0,"OBSERVED","DENY"))</x:f>
        <x:v>OPEN</x:v>
      </x:c>
    </x:row>
    <x:row r="242">
      <x:c r="A242" s="10" t="str">
        <x:v>EV-15</x:v>
      </x:c>
      <x:c r="B242" s="10" t="str">
        <x:v>Z-13</x:v>
      </x:c>
      <x:c r="C242" s="10" t="n">
        <x:v>0.390625</x:v>
      </x:c>
      <x:c r="D242" s="10" t="n">
        <x:v>1.5</x:v>
      </x:c>
      <x:c r="E242" s="12"/>
      <x:c r="F242" s="10" t="str">
        <x:f>IF(E242="","",E242-D242)</x:f>
      </x:c>
      <x:c r="G242" s="10" t="str">
        <x:f>IF(E242="","OPEN",IF(E242&gt;0,"OBSERVED","DENY"))</x:f>
        <x:v>OPEN</x:v>
      </x:c>
    </x:row>
    <x:row r="243">
      <x:c r="A243" s="10" t="str">
        <x:v>EV-15</x:v>
      </x:c>
      <x:c r="B243" s="10" t="str">
        <x:v>Z-14</x:v>
      </x:c>
      <x:c r="C243" s="10" t="n">
        <x:v>0.390625</x:v>
      </x:c>
      <x:c r="D243" s="10" t="n">
        <x:v>1.5</x:v>
      </x:c>
      <x:c r="E243" s="12"/>
      <x:c r="F243" s="10" t="str">
        <x:f>IF(E243="","",E243-D243)</x:f>
      </x:c>
      <x:c r="G243" s="10" t="str">
        <x:f>IF(E243="","OPEN",IF(E243&gt;0,"OBSERVED","DENY"))</x:f>
        <x:v>OPEN</x:v>
      </x:c>
    </x:row>
    <x:row r="244">
      <x:c r="A244" s="10" t="str">
        <x:v>EV-15</x:v>
      </x:c>
      <x:c r="B244" s="10" t="str">
        <x:v>Z-15</x:v>
      </x:c>
      <x:c r="C244" s="10" t="n">
        <x:v>0.390625</x:v>
      </x:c>
      <x:c r="D244" s="10" t="n">
        <x:v>1.5</x:v>
      </x:c>
      <x:c r="E244" s="12"/>
      <x:c r="F244" s="10" t="str">
        <x:f>IF(E244="","",E244-D244)</x:f>
      </x:c>
      <x:c r="G244" s="10" t="str">
        <x:f>IF(E244="","OPEN",IF(E244&gt;0,"OBSERVED","DENY"))</x:f>
        <x:v>OPEN</x:v>
      </x:c>
    </x:row>
    <x:row r="245">
      <x:c r="A245" s="10" t="str">
        <x:v>EV-15</x:v>
      </x:c>
      <x:c r="B245" s="10" t="str">
        <x:v>Z-16</x:v>
      </x:c>
      <x:c r="C245" s="10" t="n">
        <x:v>0.390625</x:v>
      </x:c>
      <x:c r="D245" s="10" t="n">
        <x:v>1.5</x:v>
      </x:c>
      <x:c r="E245" s="12"/>
      <x:c r="F245" s="10" t="str">
        <x:f>IF(E245="","",E245-D245)</x:f>
      </x:c>
      <x:c r="G245" s="10" t="str">
        <x:f>IF(E245="","OPEN",IF(E245&gt;0,"OBSERVED","DENY"))</x:f>
        <x:v>OPEN</x:v>
      </x:c>
    </x:row>
    <x:row r="246">
      <x:c r="A246" s="10" t="str">
        <x:v>EV-16</x:v>
      </x:c>
      <x:c r="B246" s="10" t="str">
        <x:v>Z-01</x:v>
      </x:c>
      <x:c r="C246" s="10" t="n">
        <x:v>0.390625</x:v>
      </x:c>
      <x:c r="D246" s="10" t="n">
        <x:v>1.5</x:v>
      </x:c>
      <x:c r="E246" s="12"/>
      <x:c r="F246" s="10" t="str">
        <x:f>IF(E246="","",E246-D246)</x:f>
      </x:c>
      <x:c r="G246" s="10" t="str">
        <x:f>IF(E246="","OPEN",IF(E246&gt;0,"OBSERVED","DENY"))</x:f>
        <x:v>OPEN</x:v>
      </x:c>
    </x:row>
    <x:row r="247">
      <x:c r="A247" s="10" t="str">
        <x:v>EV-16</x:v>
      </x:c>
      <x:c r="B247" s="10" t="str">
        <x:v>Z-02</x:v>
      </x:c>
      <x:c r="C247" s="10" t="n">
        <x:v>0.390625</x:v>
      </x:c>
      <x:c r="D247" s="10" t="n">
        <x:v>1.5</x:v>
      </x:c>
      <x:c r="E247" s="12"/>
      <x:c r="F247" s="10" t="str">
        <x:f>IF(E247="","",E247-D247)</x:f>
      </x:c>
      <x:c r="G247" s="10" t="str">
        <x:f>IF(E247="","OPEN",IF(E247&gt;0,"OBSERVED","DENY"))</x:f>
        <x:v>OPEN</x:v>
      </x:c>
    </x:row>
    <x:row r="248">
      <x:c r="A248" s="10" t="str">
        <x:v>EV-16</x:v>
      </x:c>
      <x:c r="B248" s="10" t="str">
        <x:v>Z-03</x:v>
      </x:c>
      <x:c r="C248" s="10" t="n">
        <x:v>0.390625</x:v>
      </x:c>
      <x:c r="D248" s="10" t="n">
        <x:v>1.5</x:v>
      </x:c>
      <x:c r="E248" s="12"/>
      <x:c r="F248" s="10" t="str">
        <x:f>IF(E248="","",E248-D248)</x:f>
      </x:c>
      <x:c r="G248" s="10" t="str">
        <x:f>IF(E248="","OPEN",IF(E248&gt;0,"OBSERVED","DENY"))</x:f>
        <x:v>OPEN</x:v>
      </x:c>
    </x:row>
    <x:row r="249">
      <x:c r="A249" s="10" t="str">
        <x:v>EV-16</x:v>
      </x:c>
      <x:c r="B249" s="10" t="str">
        <x:v>Z-04</x:v>
      </x:c>
      <x:c r="C249" s="10" t="n">
        <x:v>0.390625</x:v>
      </x:c>
      <x:c r="D249" s="10" t="n">
        <x:v>1.5</x:v>
      </x:c>
      <x:c r="E249" s="12"/>
      <x:c r="F249" s="10" t="str">
        <x:f>IF(E249="","",E249-D249)</x:f>
      </x:c>
      <x:c r="G249" s="10" t="str">
        <x:f>IF(E249="","OPEN",IF(E249&gt;0,"OBSERVED","DENY"))</x:f>
        <x:v>OPEN</x:v>
      </x:c>
    </x:row>
    <x:row r="250">
      <x:c r="A250" s="10" t="str">
        <x:v>EV-16</x:v>
      </x:c>
      <x:c r="B250" s="10" t="str">
        <x:v>Z-05</x:v>
      </x:c>
      <x:c r="C250" s="10" t="n">
        <x:v>0.390625</x:v>
      </x:c>
      <x:c r="D250" s="10" t="n">
        <x:v>1.5</x:v>
      </x:c>
      <x:c r="E250" s="12"/>
      <x:c r="F250" s="10" t="str">
        <x:f>IF(E250="","",E250-D250)</x:f>
      </x:c>
      <x:c r="G250" s="10" t="str">
        <x:f>IF(E250="","OPEN",IF(E250&gt;0,"OBSERVED","DENY"))</x:f>
        <x:v>OPEN</x:v>
      </x:c>
    </x:row>
    <x:row r="251">
      <x:c r="A251" s="10" t="str">
        <x:v>EV-16</x:v>
      </x:c>
      <x:c r="B251" s="10" t="str">
        <x:v>Z-06</x:v>
      </x:c>
      <x:c r="C251" s="10" t="n">
        <x:v>0.390625</x:v>
      </x:c>
      <x:c r="D251" s="10" t="n">
        <x:v>1.5</x:v>
      </x:c>
      <x:c r="E251" s="12"/>
      <x:c r="F251" s="10" t="str">
        <x:f>IF(E251="","",E251-D251)</x:f>
      </x:c>
      <x:c r="G251" s="10" t="str">
        <x:f>IF(E251="","OPEN",IF(E251&gt;0,"OBSERVED","DENY"))</x:f>
        <x:v>OPEN</x:v>
      </x:c>
    </x:row>
    <x:row r="252">
      <x:c r="A252" s="10" t="str">
        <x:v>EV-16</x:v>
      </x:c>
      <x:c r="B252" s="10" t="str">
        <x:v>Z-07</x:v>
      </x:c>
      <x:c r="C252" s="10" t="n">
        <x:v>0.390625</x:v>
      </x:c>
      <x:c r="D252" s="10" t="n">
        <x:v>1.5</x:v>
      </x:c>
      <x:c r="E252" s="12"/>
      <x:c r="F252" s="10" t="str">
        <x:f>IF(E252="","",E252-D252)</x:f>
      </x:c>
      <x:c r="G252" s="10" t="str">
        <x:f>IF(E252="","OPEN",IF(E252&gt;0,"OBSERVED","DENY"))</x:f>
        <x:v>OPEN</x:v>
      </x:c>
    </x:row>
    <x:row r="253">
      <x:c r="A253" s="10" t="str">
        <x:v>EV-16</x:v>
      </x:c>
      <x:c r="B253" s="10" t="str">
        <x:v>Z-08</x:v>
      </x:c>
      <x:c r="C253" s="10" t="n">
        <x:v>0.390625</x:v>
      </x:c>
      <x:c r="D253" s="10" t="n">
        <x:v>1.5</x:v>
      </x:c>
      <x:c r="E253" s="12"/>
      <x:c r="F253" s="10" t="str">
        <x:f>IF(E253="","",E253-D253)</x:f>
      </x:c>
      <x:c r="G253" s="10" t="str">
        <x:f>IF(E253="","OPEN",IF(E253&gt;0,"OBSERVED","DENY"))</x:f>
        <x:v>OPEN</x:v>
      </x:c>
    </x:row>
    <x:row r="254">
      <x:c r="A254" s="10" t="str">
        <x:v>EV-16</x:v>
      </x:c>
      <x:c r="B254" s="10" t="str">
        <x:v>Z-09</x:v>
      </x:c>
      <x:c r="C254" s="10" t="n">
        <x:v>0.390625</x:v>
      </x:c>
      <x:c r="D254" s="10" t="n">
        <x:v>1.5</x:v>
      </x:c>
      <x:c r="E254" s="12"/>
      <x:c r="F254" s="10" t="str">
        <x:f>IF(E254="","",E254-D254)</x:f>
      </x:c>
      <x:c r="G254" s="10" t="str">
        <x:f>IF(E254="","OPEN",IF(E254&gt;0,"OBSERVED","DENY"))</x:f>
        <x:v>OPEN</x:v>
      </x:c>
    </x:row>
    <x:row r="255">
      <x:c r="A255" s="10" t="str">
        <x:v>EV-16</x:v>
      </x:c>
      <x:c r="B255" s="10" t="str">
        <x:v>Z-10</x:v>
      </x:c>
      <x:c r="C255" s="10" t="n">
        <x:v>0.390625</x:v>
      </x:c>
      <x:c r="D255" s="10" t="n">
        <x:v>1.5</x:v>
      </x:c>
      <x:c r="E255" s="12"/>
      <x:c r="F255" s="10" t="str">
        <x:f>IF(E255="","",E255-D255)</x:f>
      </x:c>
      <x:c r="G255" s="10" t="str">
        <x:f>IF(E255="","OPEN",IF(E255&gt;0,"OBSERVED","DENY"))</x:f>
        <x:v>OPEN</x:v>
      </x:c>
    </x:row>
    <x:row r="256">
      <x:c r="A256" s="10" t="str">
        <x:v>EV-16</x:v>
      </x:c>
      <x:c r="B256" s="10" t="str">
        <x:v>Z-11</x:v>
      </x:c>
      <x:c r="C256" s="10" t="n">
        <x:v>0.390625</x:v>
      </x:c>
      <x:c r="D256" s="10" t="n">
        <x:v>1.5</x:v>
      </x:c>
      <x:c r="E256" s="12"/>
      <x:c r="F256" s="10" t="str">
        <x:f>IF(E256="","",E256-D256)</x:f>
      </x:c>
      <x:c r="G256" s="10" t="str">
        <x:f>IF(E256="","OPEN",IF(E256&gt;0,"OBSERVED","DENY"))</x:f>
        <x:v>OPEN</x:v>
      </x:c>
    </x:row>
    <x:row r="257">
      <x:c r="A257" s="10" t="str">
        <x:v>EV-16</x:v>
      </x:c>
      <x:c r="B257" s="10" t="str">
        <x:v>Z-12</x:v>
      </x:c>
      <x:c r="C257" s="10" t="n">
        <x:v>0.390625</x:v>
      </x:c>
      <x:c r="D257" s="10" t="n">
        <x:v>1.5</x:v>
      </x:c>
      <x:c r="E257" s="12"/>
      <x:c r="F257" s="10" t="str">
        <x:f>IF(E257="","",E257-D257)</x:f>
      </x:c>
      <x:c r="G257" s="10" t="str">
        <x:f>IF(E257="","OPEN",IF(E257&gt;0,"OBSERVED","DENY"))</x:f>
        <x:v>OPEN</x:v>
      </x:c>
    </x:row>
    <x:row r="258">
      <x:c r="A258" s="10" t="str">
        <x:v>EV-16</x:v>
      </x:c>
      <x:c r="B258" s="10" t="str">
        <x:v>Z-13</x:v>
      </x:c>
      <x:c r="C258" s="10" t="n">
        <x:v>0.390625</x:v>
      </x:c>
      <x:c r="D258" s="10" t="n">
        <x:v>1.5</x:v>
      </x:c>
      <x:c r="E258" s="12"/>
      <x:c r="F258" s="10" t="str">
        <x:f>IF(E258="","",E258-D258)</x:f>
      </x:c>
      <x:c r="G258" s="10" t="str">
        <x:f>IF(E258="","OPEN",IF(E258&gt;0,"OBSERVED","DENY"))</x:f>
        <x:v>OPEN</x:v>
      </x:c>
    </x:row>
    <x:row r="259">
      <x:c r="A259" s="10" t="str">
        <x:v>EV-16</x:v>
      </x:c>
      <x:c r="B259" s="10" t="str">
        <x:v>Z-14</x:v>
      </x:c>
      <x:c r="C259" s="10" t="n">
        <x:v>0.390625</x:v>
      </x:c>
      <x:c r="D259" s="10" t="n">
        <x:v>1.5</x:v>
      </x:c>
      <x:c r="E259" s="12"/>
      <x:c r="F259" s="10" t="str">
        <x:f>IF(E259="","",E259-D259)</x:f>
      </x:c>
      <x:c r="G259" s="10" t="str">
        <x:f>IF(E259="","OPEN",IF(E259&gt;0,"OBSERVED","DENY"))</x:f>
        <x:v>OPEN</x:v>
      </x:c>
    </x:row>
    <x:row r="260">
      <x:c r="A260" s="10" t="str">
        <x:v>EV-16</x:v>
      </x:c>
      <x:c r="B260" s="10" t="str">
        <x:v>Z-15</x:v>
      </x:c>
      <x:c r="C260" s="10" t="n">
        <x:v>0.390625</x:v>
      </x:c>
      <x:c r="D260" s="10" t="n">
        <x:v>1.5</x:v>
      </x:c>
      <x:c r="E260" s="12"/>
      <x:c r="F260" s="10" t="str">
        <x:f>IF(E260="","",E260-D260)</x:f>
      </x:c>
      <x:c r="G260" s="10" t="str">
        <x:f>IF(E260="","OPEN",IF(E260&gt;0,"OBSERVED","DENY"))</x:f>
        <x:v>OPEN</x:v>
      </x:c>
    </x:row>
    <x:row r="261">
      <x:c r="A261" s="10" t="str">
        <x:v>EV-16</x:v>
      </x:c>
      <x:c r="B261" s="10" t="str">
        <x:v>Z-16</x:v>
      </x:c>
      <x:c r="C261" s="10" t="n">
        <x:v>0.390625</x:v>
      </x:c>
      <x:c r="D261" s="10" t="n">
        <x:v>1.5</x:v>
      </x:c>
      <x:c r="E261" s="12"/>
      <x:c r="F261" s="10" t="str">
        <x:f>IF(E261="","",E261-D261)</x:f>
      </x:c>
      <x:c r="G261" s="10" t="str">
        <x:f>IF(E261="","OPEN",IF(E261&gt;0,"OBSERVED","DENY"))</x:f>
        <x:v>OPEN</x:v>
      </x:c>
    </x:row>
  </x:sheetData>
  <x:mergeCells>
    <x:mergeCell ref="A2:G2"/>
  </x:mergeCells>
  <x:conditionalFormatting sqref="G6:G261">
    <x:cfRule type="containsText" dxfId="40" priority="1" operator="containsText" text="DENY"/>
    <x:cfRule type="containsText" dxfId="41" priority="2" operator="containsText" text="ADVERSE"/>
    <x:cfRule type="containsText" dxfId="42" priority="3" operator="containsText" text="FAIL"/>
    <x:cfRule type="containsText" dxfId="43" priority="4" operator="containsText" text="OPEN"/>
    <x:cfRule type="containsText" dxfId="4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ecc2647f7b434a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3" hidden="0" customWidth="1"/>
    <x:col min="5" max="5" width="16" hidden="0" customWidth="1"/>
    <x:col min="6" max="6" width="14" hidden="0" customWidth="1"/>
  </x:cols>
  <x:sheetData>
    <x:row r="2" ht="24" customHeight="1">
      <x:c r="A2" s="1" t="str">
        <x:v>Event distribution coefficient</x:v>
      </x:c>
    </x:row>
    <x:row r="4" ht="22" customHeight="1">
      <x:c r="A4" s="2"/>
      <x:c r="B4" s="2"/>
      <x:c r="C4" s="2"/>
      <x:c r="D4" s="2"/>
      <x:c r="E4" s="2"/>
      <x:c r="F4" s="2"/>
    </x:row>
    <x:row r="5">
      <x:c r="A5" s="8" t="str">
        <x:v>Event</x:v>
      </x:c>
      <x:c r="B5" s="8" t="str">
        <x:v>Observed zones</x:v>
      </x:c>
      <x:c r="C5" s="8" t="str">
        <x:v>Mean m³</x:v>
      </x:c>
      <x:c r="D5" s="8" t="str">
        <x:v>Standard deviation m³</x:v>
      </x:c>
      <x:c r="E5" s="8" t="str">
        <x:v>Coefficient</x:v>
      </x:c>
      <x:c r="F5" s="8" t="str">
        <x:v>State</x:v>
      </x:c>
    </x:row>
    <x:row r="6">
      <x:c r="A6" s="10" t="str">
        <x:v>EV-01</x:v>
      </x:c>
      <x:c r="B6" s="10" t="n">
        <x:f>COUNT('Zone Field'!E6:E21)</x:f>
        <x:v>0</x:v>
      </x:c>
      <x:c r="C6" s="10" t="str">
        <x:f>IF(B6=0,"",AVERAGE('Zone Field'!E6:E21))</x:f>
      </x:c>
      <x:c r="D6" s="10" t="str">
        <x:f>IF(B6&lt;16,"",STDEV.P('Zone Field'!E6:E21))</x:f>
      </x:c>
      <x:c r="E6" s="10" t="str">
        <x:f>IF(OR(B6&lt;16,C6=0),"",D6/C6)</x:f>
      </x:c>
      <x:c r="F6" s="10" t="str">
        <x:f>IF(B6&lt;16,"OPEN",IF(AND(C6&gt;0,E6&lt;='Assumptions'!$B$40),"PASS","DENY"))</x:f>
        <x:v>OPEN</x:v>
      </x:c>
    </x:row>
    <x:row r="7">
      <x:c r="A7" s="10" t="str">
        <x:v>EV-02</x:v>
      </x:c>
      <x:c r="B7" s="10" t="n">
        <x:f>COUNT('Zone Field'!E22:E37)</x:f>
        <x:v>0</x:v>
      </x:c>
      <x:c r="C7" s="10" t="str">
        <x:f>IF(B7=0,"",AVERAGE('Zone Field'!E22:E37))</x:f>
      </x:c>
      <x:c r="D7" s="10" t="str">
        <x:f>IF(B7&lt;16,"",STDEV.P('Zone Field'!E22:E37))</x:f>
      </x:c>
      <x:c r="E7" s="10" t="str">
        <x:f>IF(OR(B7&lt;16,C7=0),"",D7/C7)</x:f>
      </x:c>
      <x:c r="F7" s="10" t="str">
        <x:f>IF(B7&lt;16,"OPEN",IF(AND(C7&gt;0,E7&lt;='Assumptions'!$B$40),"PASS","DENY"))</x:f>
        <x:v>OPEN</x:v>
      </x:c>
    </x:row>
    <x:row r="8">
      <x:c r="A8" s="10" t="str">
        <x:v>EV-03</x:v>
      </x:c>
      <x:c r="B8" s="10" t="n">
        <x:f>COUNT('Zone Field'!E38:E53)</x:f>
        <x:v>0</x:v>
      </x:c>
      <x:c r="C8" s="10" t="str">
        <x:f>IF(B8=0,"",AVERAGE('Zone Field'!E38:E53))</x:f>
      </x:c>
      <x:c r="D8" s="10" t="str">
        <x:f>IF(B8&lt;16,"",STDEV.P('Zone Field'!E38:E53))</x:f>
      </x:c>
      <x:c r="E8" s="10" t="str">
        <x:f>IF(OR(B8&lt;16,C8=0),"",D8/C8)</x:f>
      </x:c>
      <x:c r="F8" s="10" t="str">
        <x:f>IF(B8&lt;16,"OPEN",IF(AND(C8&gt;0,E8&lt;='Assumptions'!$B$40),"PASS","DENY"))</x:f>
        <x:v>OPEN</x:v>
      </x:c>
    </x:row>
    <x:row r="9">
      <x:c r="A9" s="10" t="str">
        <x:v>EV-04</x:v>
      </x:c>
      <x:c r="B9" s="10" t="n">
        <x:f>COUNT('Zone Field'!E54:E69)</x:f>
        <x:v>0</x:v>
      </x:c>
      <x:c r="C9" s="10" t="str">
        <x:f>IF(B9=0,"",AVERAGE('Zone Field'!E54:E69))</x:f>
      </x:c>
      <x:c r="D9" s="10" t="str">
        <x:f>IF(B9&lt;16,"",STDEV.P('Zone Field'!E54:E69))</x:f>
      </x:c>
      <x:c r="E9" s="10" t="str">
        <x:f>IF(OR(B9&lt;16,C9=0),"",D9/C9)</x:f>
      </x:c>
      <x:c r="F9" s="10" t="str">
        <x:f>IF(B9&lt;16,"OPEN",IF(AND(C9&gt;0,E9&lt;='Assumptions'!$B$40),"PASS","DENY"))</x:f>
        <x:v>OPEN</x:v>
      </x:c>
    </x:row>
    <x:row r="10">
      <x:c r="A10" s="10" t="str">
        <x:v>EV-05</x:v>
      </x:c>
      <x:c r="B10" s="10" t="n">
        <x:f>COUNT('Zone Field'!E70:E85)</x:f>
        <x:v>0</x:v>
      </x:c>
      <x:c r="C10" s="10" t="str">
        <x:f>IF(B10=0,"",AVERAGE('Zone Field'!E70:E85))</x:f>
      </x:c>
      <x:c r="D10" s="10" t="str">
        <x:f>IF(B10&lt;16,"",STDEV.P('Zone Field'!E70:E85))</x:f>
      </x:c>
      <x:c r="E10" s="10" t="str">
        <x:f>IF(OR(B10&lt;16,C10=0),"",D10/C10)</x:f>
      </x:c>
      <x:c r="F10" s="10" t="str">
        <x:f>IF(B10&lt;16,"OPEN",IF(AND(C10&gt;0,E10&lt;='Assumptions'!$B$40),"PASS","DENY"))</x:f>
        <x:v>OPEN</x:v>
      </x:c>
    </x:row>
    <x:row r="11">
      <x:c r="A11" s="10" t="str">
        <x:v>EV-06</x:v>
      </x:c>
      <x:c r="B11" s="10" t="n">
        <x:f>COUNT('Zone Field'!E86:E101)</x:f>
        <x:v>0</x:v>
      </x:c>
      <x:c r="C11" s="10" t="str">
        <x:f>IF(B11=0,"",AVERAGE('Zone Field'!E86:E101))</x:f>
      </x:c>
      <x:c r="D11" s="10" t="str">
        <x:f>IF(B11&lt;16,"",STDEV.P('Zone Field'!E86:E101))</x:f>
      </x:c>
      <x:c r="E11" s="10" t="str">
        <x:f>IF(OR(B11&lt;16,C11=0),"",D11/C11)</x:f>
      </x:c>
      <x:c r="F11" s="10" t="str">
        <x:f>IF(B11&lt;16,"OPEN",IF(AND(C11&gt;0,E11&lt;='Assumptions'!$B$40),"PASS","DENY"))</x:f>
        <x:v>OPEN</x:v>
      </x:c>
    </x:row>
    <x:row r="12">
      <x:c r="A12" s="10" t="str">
        <x:v>EV-07</x:v>
      </x:c>
      <x:c r="B12" s="10" t="n">
        <x:f>COUNT('Zone Field'!E102:E117)</x:f>
        <x:v>0</x:v>
      </x:c>
      <x:c r="C12" s="10" t="str">
        <x:f>IF(B12=0,"",AVERAGE('Zone Field'!E102:E117))</x:f>
      </x:c>
      <x:c r="D12" s="10" t="str">
        <x:f>IF(B12&lt;16,"",STDEV.P('Zone Field'!E102:E117))</x:f>
      </x:c>
      <x:c r="E12" s="10" t="str">
        <x:f>IF(OR(B12&lt;16,C12=0),"",D12/C12)</x:f>
      </x:c>
      <x:c r="F12" s="10" t="str">
        <x:f>IF(B12&lt;16,"OPEN",IF(AND(C12&gt;0,E12&lt;='Assumptions'!$B$40),"PASS","DENY"))</x:f>
        <x:v>OPEN</x:v>
      </x:c>
    </x:row>
    <x:row r="13">
      <x:c r="A13" s="10" t="str">
        <x:v>EV-08</x:v>
      </x:c>
      <x:c r="B13" s="10" t="n">
        <x:f>COUNT('Zone Field'!E118:E133)</x:f>
        <x:v>0</x:v>
      </x:c>
      <x:c r="C13" s="10" t="str">
        <x:f>IF(B13=0,"",AVERAGE('Zone Field'!E118:E133))</x:f>
      </x:c>
      <x:c r="D13" s="10" t="str">
        <x:f>IF(B13&lt;16,"",STDEV.P('Zone Field'!E118:E133))</x:f>
      </x:c>
      <x:c r="E13" s="10" t="str">
        <x:f>IF(OR(B13&lt;16,C13=0),"",D13/C13)</x:f>
      </x:c>
      <x:c r="F13" s="10" t="str">
        <x:f>IF(B13&lt;16,"OPEN",IF(AND(C13&gt;0,E13&lt;='Assumptions'!$B$40),"PASS","DENY"))</x:f>
        <x:v>OPEN</x:v>
      </x:c>
    </x:row>
    <x:row r="14">
      <x:c r="A14" s="10" t="str">
        <x:v>EV-09</x:v>
      </x:c>
      <x:c r="B14" s="10" t="n">
        <x:f>COUNT('Zone Field'!E134:E149)</x:f>
        <x:v>0</x:v>
      </x:c>
      <x:c r="C14" s="10" t="str">
        <x:f>IF(B14=0,"",AVERAGE('Zone Field'!E134:E149))</x:f>
      </x:c>
      <x:c r="D14" s="10" t="str">
        <x:f>IF(B14&lt;16,"",STDEV.P('Zone Field'!E134:E149))</x:f>
      </x:c>
      <x:c r="E14" s="10" t="str">
        <x:f>IF(OR(B14&lt;16,C14=0),"",D14/C14)</x:f>
      </x:c>
      <x:c r="F14" s="10" t="str">
        <x:f>IF(B14&lt;16,"OPEN",IF(AND(C14&gt;0,E14&lt;='Assumptions'!$B$40),"PASS","DENY"))</x:f>
        <x:v>OPEN</x:v>
      </x:c>
    </x:row>
    <x:row r="15">
      <x:c r="A15" s="10" t="str">
        <x:v>EV-10</x:v>
      </x:c>
      <x:c r="B15" s="10" t="n">
        <x:f>COUNT('Zone Field'!E150:E165)</x:f>
        <x:v>0</x:v>
      </x:c>
      <x:c r="C15" s="10" t="str">
        <x:f>IF(B15=0,"",AVERAGE('Zone Field'!E150:E165))</x:f>
      </x:c>
      <x:c r="D15" s="10" t="str">
        <x:f>IF(B15&lt;16,"",STDEV.P('Zone Field'!E150:E165))</x:f>
      </x:c>
      <x:c r="E15" s="10" t="str">
        <x:f>IF(OR(B15&lt;16,C15=0),"",D15/C15)</x:f>
      </x:c>
      <x:c r="F15" s="10" t="str">
        <x:f>IF(B15&lt;16,"OPEN",IF(AND(C15&gt;0,E15&lt;='Assumptions'!$B$40),"PASS","DENY"))</x:f>
        <x:v>OPEN</x:v>
      </x:c>
    </x:row>
    <x:row r="16">
      <x:c r="A16" s="10" t="str">
        <x:v>EV-11</x:v>
      </x:c>
      <x:c r="B16" s="10" t="n">
        <x:f>COUNT('Zone Field'!E166:E181)</x:f>
        <x:v>0</x:v>
      </x:c>
      <x:c r="C16" s="10" t="str">
        <x:f>IF(B16=0,"",AVERAGE('Zone Field'!E166:E181))</x:f>
      </x:c>
      <x:c r="D16" s="10" t="str">
        <x:f>IF(B16&lt;16,"",STDEV.P('Zone Field'!E166:E181))</x:f>
      </x:c>
      <x:c r="E16" s="10" t="str">
        <x:f>IF(OR(B16&lt;16,C16=0),"",D16/C16)</x:f>
      </x:c>
      <x:c r="F16" s="10" t="str">
        <x:f>IF(B16&lt;16,"OPEN",IF(AND(C16&gt;0,E16&lt;='Assumptions'!$B$40),"PASS","DENY"))</x:f>
        <x:v>OPEN</x:v>
      </x:c>
    </x:row>
    <x:row r="17">
      <x:c r="A17" s="10" t="str">
        <x:v>EV-12</x:v>
      </x:c>
      <x:c r="B17" s="10" t="n">
        <x:f>COUNT('Zone Field'!E182:E197)</x:f>
        <x:v>0</x:v>
      </x:c>
      <x:c r="C17" s="10" t="str">
        <x:f>IF(B17=0,"",AVERAGE('Zone Field'!E182:E197))</x:f>
      </x:c>
      <x:c r="D17" s="10" t="str">
        <x:f>IF(B17&lt;16,"",STDEV.P('Zone Field'!E182:E197))</x:f>
      </x:c>
      <x:c r="E17" s="10" t="str">
        <x:f>IF(OR(B17&lt;16,C17=0),"",D17/C17)</x:f>
      </x:c>
      <x:c r="F17" s="10" t="str">
        <x:f>IF(B17&lt;16,"OPEN",IF(AND(C17&gt;0,E17&lt;='Assumptions'!$B$40),"PASS","DENY"))</x:f>
        <x:v>OPEN</x:v>
      </x:c>
    </x:row>
    <x:row r="18">
      <x:c r="A18" s="10" t="str">
        <x:v>EV-13</x:v>
      </x:c>
      <x:c r="B18" s="10" t="n">
        <x:f>COUNT('Zone Field'!E198:E213)</x:f>
        <x:v>0</x:v>
      </x:c>
      <x:c r="C18" s="10" t="str">
        <x:f>IF(B18=0,"",AVERAGE('Zone Field'!E198:E213))</x:f>
      </x:c>
      <x:c r="D18" s="10" t="str">
        <x:f>IF(B18&lt;16,"",STDEV.P('Zone Field'!E198:E213))</x:f>
      </x:c>
      <x:c r="E18" s="10" t="str">
        <x:f>IF(OR(B18&lt;16,C18=0),"",D18/C18)</x:f>
      </x:c>
      <x:c r="F18" s="10" t="str">
        <x:f>IF(B18&lt;16,"OPEN",IF(AND(C18&gt;0,E18&lt;='Assumptions'!$B$40),"PASS","DENY"))</x:f>
        <x:v>OPEN</x:v>
      </x:c>
    </x:row>
    <x:row r="19">
      <x:c r="A19" s="10" t="str">
        <x:v>EV-14</x:v>
      </x:c>
      <x:c r="B19" s="10" t="n">
        <x:f>COUNT('Zone Field'!E214:E229)</x:f>
        <x:v>0</x:v>
      </x:c>
      <x:c r="C19" s="10" t="str">
        <x:f>IF(B19=0,"",AVERAGE('Zone Field'!E214:E229))</x:f>
      </x:c>
      <x:c r="D19" s="10" t="str">
        <x:f>IF(B19&lt;16,"",STDEV.P('Zone Field'!E214:E229))</x:f>
      </x:c>
      <x:c r="E19" s="10" t="str">
        <x:f>IF(OR(B19&lt;16,C19=0),"",D19/C19)</x:f>
      </x:c>
      <x:c r="F19" s="10" t="str">
        <x:f>IF(B19&lt;16,"OPEN",IF(AND(C19&gt;0,E19&lt;='Assumptions'!$B$40),"PASS","DENY"))</x:f>
        <x:v>OPEN</x:v>
      </x:c>
    </x:row>
    <x:row r="20">
      <x:c r="A20" s="10" t="str">
        <x:v>EV-15</x:v>
      </x:c>
      <x:c r="B20" s="10" t="n">
        <x:f>COUNT('Zone Field'!E230:E245)</x:f>
        <x:v>0</x:v>
      </x:c>
      <x:c r="C20" s="10" t="str">
        <x:f>IF(B20=0,"",AVERAGE('Zone Field'!E230:E245))</x:f>
      </x:c>
      <x:c r="D20" s="10" t="str">
        <x:f>IF(B20&lt;16,"",STDEV.P('Zone Field'!E230:E245))</x:f>
      </x:c>
      <x:c r="E20" s="10" t="str">
        <x:f>IF(OR(B20&lt;16,C20=0),"",D20/C20)</x:f>
      </x:c>
      <x:c r="F20" s="10" t="str">
        <x:f>IF(B20&lt;16,"OPEN",IF(AND(C20&gt;0,E20&lt;='Assumptions'!$B$40),"PASS","DENY"))</x:f>
        <x:v>OPEN</x:v>
      </x:c>
    </x:row>
    <x:row r="21">
      <x:c r="A21" s="10" t="str">
        <x:v>EV-16</x:v>
      </x:c>
      <x:c r="B21" s="10" t="n">
        <x:f>COUNT('Zone Field'!E246:E261)</x:f>
        <x:v>0</x:v>
      </x:c>
      <x:c r="C21" s="10" t="str">
        <x:f>IF(B21=0,"",AVERAGE('Zone Field'!E246:E261))</x:f>
      </x:c>
      <x:c r="D21" s="10" t="str">
        <x:f>IF(B21&lt;16,"",STDEV.P('Zone Field'!E246:E261))</x:f>
      </x:c>
      <x:c r="E21" s="10" t="str">
        <x:f>IF(OR(B21&lt;16,C21=0),"",D21/C21)</x:f>
      </x:c>
      <x:c r="F21" s="10" t="str">
        <x:f>IF(B21&lt;16,"OPEN",IF(AND(C21&gt;0,E21&lt;='Assumptions'!$B$40),"PASS","DENY"))</x:f>
        <x:v>OPEN</x:v>
      </x:c>
    </x:row>
  </x:sheetData>
  <x:mergeCells>
    <x:mergeCell ref="A2:F2"/>
  </x:mergeCells>
  <x:conditionalFormatting sqref="F6:F21">
    <x:cfRule type="containsText" dxfId="45" priority="1" operator="containsText" text="DENY"/>
    <x:cfRule type="containsText" dxfId="46" priority="2" operator="containsText" text="ADVERSE"/>
    <x:cfRule type="containsText" dxfId="47" priority="3" operator="containsText" text="FAIL"/>
    <x:cfRule type="containsText" dxfId="48" priority="4" operator="containsText" text="OPEN"/>
    <x:cfRule type="containsText" dxfId="4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f9cdc8fe5d1d4e1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20" hidden="0" customWidth="1"/>
    <x:col min="4" max="4" width="23" hidden="0" customWidth="1"/>
    <x:col min="5" max="5" width="22" hidden="0" customWidth="1"/>
    <x:col min="6" max="6" width="15" hidden="0" customWidth="1"/>
  </x:cols>
  <x:sheetData>
    <x:row r="2" ht="24" customHeight="1">
      <x:c r="A2" s="1" t="str">
        <x:v>Twelve physical safeing paths</x:v>
      </x:c>
    </x:row>
    <x:row r="4" ht="22" customHeight="1">
      <x:c r="A4" s="2"/>
      <x:c r="B4" s="2"/>
      <x:c r="C4" s="2"/>
      <x:c r="D4" s="2"/>
      <x:c r="E4" s="2"/>
      <x:c r="F4" s="2"/>
    </x:row>
    <x:row r="5">
      <x:c r="A5" s="8" t="str">
        <x:v>Path</x:v>
      </x:c>
      <x:c r="B5" s="8" t="str">
        <x:v>Domain</x:v>
      </x:c>
      <x:c r="C5" s="8" t="str">
        <x:v>Physical isolation</x:v>
      </x:c>
      <x:c r="D5" s="8" t="str">
        <x:v>Stored-energy verified</x:v>
      </x:c>
      <x:c r="E5" s="8" t="str">
        <x:v>Independent authority</x:v>
      </x:c>
      <x:c r="F5" s="8" t="str">
        <x:v>State</x:v>
      </x:c>
    </x:row>
    <x:row r="6">
      <x:c r="A6" s="10" t="str">
        <x:v>SAFE-01</x:v>
      </x:c>
      <x:c r="B6" s="10" t="str">
        <x:v>issue valve</x:v>
      </x:c>
      <x:c r="C6" s="12"/>
      <x:c r="D6" s="12"/>
      <x:c r="E6" s="12"/>
      <x:c r="F6" s="10" t="str">
        <x:f>IF(COUNTA(C6:E6)&lt;3,"OPEN",IF(AND(C6="YES",D6="YES",E6="ACCEPTED"),"ACCEPTED","DENY"))</x:f>
        <x:v>OPEN</x:v>
      </x:c>
    </x:row>
    <x:row r="7">
      <x:c r="A7" s="10" t="str">
        <x:v>SAFE-02</x:v>
      </x:c>
      <x:c r="B7" s="10" t="str">
        <x:v>return valve</x:v>
      </x:c>
      <x:c r="C7" s="12"/>
      <x:c r="D7" s="12"/>
      <x:c r="E7" s="12"/>
      <x:c r="F7" s="10" t="str">
        <x:f>IF(COUNTA(C7:E7)&lt;3,"OPEN",IF(AND(C7="YES",D7="YES",E7="ACCEPTED"),"ACCEPTED","DENY"))</x:f>
        <x:v>OPEN</x:v>
      </x:c>
    </x:row>
    <x:row r="8">
      <x:c r="A8" s="10" t="str">
        <x:v>SAFE-03</x:v>
      </x:c>
      <x:c r="B8" s="10" t="str">
        <x:v>pump drive</x:v>
      </x:c>
      <x:c r="C8" s="12"/>
      <x:c r="D8" s="12"/>
      <x:c r="E8" s="12"/>
      <x:c r="F8" s="10" t="str">
        <x:f>IF(COUNTA(C8:E8)&lt;3,"OPEN",IF(AND(C8="YES",D8="YES",E8="ACCEPTED"),"ACCEPTED","DENY"))</x:f>
        <x:v>OPEN</x:v>
      </x:c>
    </x:row>
    <x:row r="9">
      <x:c r="A9" s="10" t="str">
        <x:v>SAFE-04</x:v>
      </x:c>
      <x:c r="B9" s="10" t="str">
        <x:v>gravity head</x:v>
      </x:c>
      <x:c r="C9" s="12"/>
      <x:c r="D9" s="12"/>
      <x:c r="E9" s="12"/>
      <x:c r="F9" s="10" t="str">
        <x:f>IF(COUNTA(C9:E9)&lt;3,"OPEN",IF(AND(C9="YES",D9="YES",E9="ACCEPTED"),"ACCEPTED","DENY"))</x:f>
        <x:v>OPEN</x:v>
      </x:c>
    </x:row>
    <x:row r="10">
      <x:c r="A10" s="10" t="str">
        <x:v>SAFE-05</x:v>
      </x:c>
      <x:c r="B10" s="10" t="str">
        <x:v>electrical bus</x:v>
      </x:c>
      <x:c r="C10" s="12"/>
      <x:c r="D10" s="12"/>
      <x:c r="E10" s="12"/>
      <x:c r="F10" s="10" t="str">
        <x:f>IF(COUNTA(C10:E10)&lt;3,"OPEN",IF(AND(C10="YES",D10="YES",E10="ACCEPTED"),"ACCEPTED","DENY"))</x:f>
        <x:v>OPEN</x:v>
      </x:c>
    </x:row>
    <x:row r="11">
      <x:c r="A11" s="10" t="str">
        <x:v>SAFE-06</x:v>
      </x:c>
      <x:c r="B11" s="10" t="str">
        <x:v>control bus</x:v>
      </x:c>
      <x:c r="C11" s="12"/>
      <x:c r="D11" s="12"/>
      <x:c r="E11" s="12"/>
      <x:c r="F11" s="10" t="str">
        <x:f>IF(COUNTA(C11:E11)&lt;3,"OPEN",IF(AND(C11="YES",D11="YES",E11="ACCEPTED"),"ACCEPTED","DENY"))</x:f>
        <x:v>OPEN</x:v>
      </x:c>
    </x:row>
    <x:row r="12">
      <x:c r="A12" s="10" t="str">
        <x:v>SAFE-07</x:v>
      </x:c>
      <x:c r="B12" s="10" t="str">
        <x:v>remote command</x:v>
      </x:c>
      <x:c r="C12" s="12"/>
      <x:c r="D12" s="12"/>
      <x:c r="E12" s="12"/>
      <x:c r="F12" s="10" t="str">
        <x:f>IF(COUNTA(C12:E12)&lt;3,"OPEN",IF(AND(C12="YES",D12="YES",E12="ACCEPTED"),"ACCEPTED","DENY"))</x:f>
        <x:v>OPEN</x:v>
      </x:c>
    </x:row>
    <x:row r="13">
      <x:c r="A13" s="10" t="str">
        <x:v>SAFE-08</x:v>
      </x:c>
      <x:c r="B13" s="10" t="str">
        <x:v>drain path</x:v>
      </x:c>
      <x:c r="C13" s="12"/>
      <x:c r="D13" s="12"/>
      <x:c r="E13" s="12"/>
      <x:c r="F13" s="10" t="str">
        <x:f>IF(COUNTA(C13:E13)&lt;3,"OPEN",IF(AND(C13="YES",D13="YES",E13="ACCEPTED"),"ACCEPTED","DENY"))</x:f>
        <x:v>OPEN</x:v>
      </x:c>
    </x:row>
    <x:row r="14">
      <x:c r="A14" s="10" t="str">
        <x:v>SAFE-09</x:v>
      </x:c>
      <x:c r="B14" s="10" t="str">
        <x:v>sample path</x:v>
      </x:c>
      <x:c r="C14" s="12"/>
      <x:c r="D14" s="12"/>
      <x:c r="E14" s="12"/>
      <x:c r="F14" s="10" t="str">
        <x:f>IF(COUNTA(C14:E14)&lt;3,"OPEN",IF(AND(C14="YES",D14="YES",E14="ACCEPTED"),"ACCEPTED","DENY"))</x:f>
        <x:v>OPEN</x:v>
      </x:c>
    </x:row>
    <x:row r="15">
      <x:c r="A15" s="10" t="str">
        <x:v>SAFE-10</x:v>
      </x:c>
      <x:c r="B15" s="10" t="str">
        <x:v>quarantine path</x:v>
      </x:c>
      <x:c r="C15" s="12"/>
      <x:c r="D15" s="12"/>
      <x:c r="E15" s="12"/>
      <x:c r="F15" s="10" t="str">
        <x:f>IF(COUNTA(C15:E15)&lt;3,"OPEN",IF(AND(C15="YES",D15="YES",E15="ACCEPTED"),"ACCEPTED","DENY"))</x:f>
        <x:v>OPEN</x:v>
      </x:c>
    </x:row>
    <x:row r="16">
      <x:c r="A16" s="10" t="str">
        <x:v>SAFE-11</x:v>
      </x:c>
      <x:c r="B16" s="10" t="str">
        <x:v>test article</x:v>
      </x:c>
      <x:c r="C16" s="12"/>
      <x:c r="D16" s="12"/>
      <x:c r="E16" s="12"/>
      <x:c r="F16" s="10" t="str">
        <x:f>IF(COUNTA(C16:E16)&lt;3,"OPEN",IF(AND(C16="YES",D16="YES",E16="ACCEPTED"),"ACCEPTED","DENY"))</x:f>
        <x:v>OPEN</x:v>
      </x:c>
    </x:row>
    <x:row r="17">
      <x:c r="A17" s="10" t="str">
        <x:v>SAFE-12</x:v>
      </x:c>
      <x:c r="B17" s="10" t="str">
        <x:v>work zone</x:v>
      </x:c>
      <x:c r="C17" s="12"/>
      <x:c r="D17" s="12"/>
      <x:c r="E17" s="12"/>
      <x:c r="F17" s="10" t="str">
        <x:f>IF(COUNTA(C17:E17)&lt;3,"OPEN",IF(AND(C17="YES",D17="YES",E17="ACCEPTED"),"ACCEPTED","DENY"))</x:f>
        <x:v>OPEN</x:v>
      </x:c>
    </x:row>
  </x:sheetData>
  <x:mergeCells>
    <x:mergeCell ref="A2:F2"/>
  </x:mergeCells>
  <x:conditionalFormatting sqref="F6:F17">
    <x:cfRule type="containsText" dxfId="50" priority="1" operator="containsText" text="DENY"/>
    <x:cfRule type="containsText" dxfId="51" priority="2" operator="containsText" text="ADVERSE"/>
    <x:cfRule type="containsText" dxfId="52" priority="3" operator="containsText" text="FAIL"/>
    <x:cfRule type="containsText" dxfId="53" priority="4" operator="containsText" text="OPEN"/>
    <x:cfRule type="containsText" dxfId="5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78a3c1f0002b45e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17" hidden="0" customWidth="1"/>
    <x:col min="6" max="6" width="19" hidden="0" customWidth="1"/>
    <x:col min="7" max="7" width="19" hidden="0" customWidth="1"/>
    <x:col min="8" max="8" width="16" hidden="0" customWidth="1"/>
    <x:col min="9" max="9" width="18" hidden="0" customWidth="1"/>
    <x:col min="10" max="10" width="15" hidden="0" customWidth="1"/>
  </x:cols>
  <x:sheetData>
    <x:row r="2" ht="24" customHeight="1">
      <x:c r="A2" s="1" t="str">
        <x:v>Event evidence-object closure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8" t="str">
        <x:v>Event</x:v>
      </x:c>
      <x:c r="B5" s="8" t="str">
        <x:v>Required records</x:v>
      </x:c>
      <x:c r="C5" s="8" t="str">
        <x:v>Bound records</x:v>
      </x:c>
      <x:c r="D5" s="8" t="str">
        <x:v>Required channels</x:v>
      </x:c>
      <x:c r="E5" s="8" t="str">
        <x:v>Active channels</x:v>
      </x:c>
      <x:c r="F5" s="8" t="str">
        <x:v>Required originals</x:v>
      </x:c>
      <x:c r="G5" s="8" t="str">
        <x:v>Immutable originals</x:v>
      </x:c>
      <x:c r="H5" s="8" t="str">
        <x:v>Packet review</x:v>
      </x:c>
      <x:c r="I5" s="8" t="str">
        <x:v>Safeing accepted</x:v>
      </x:c>
      <x:c r="J5" s="8" t="str">
        <x:v>State</x:v>
      </x:c>
    </x:row>
    <x:row r="6">
      <x:c r="A6" s="10" t="str">
        <x:v>EV-01</x:v>
      </x:c>
      <x:c r="B6" s="10" t="n">
        <x:v>192</x:v>
      </x:c>
      <x:c r="C6" s="12"/>
      <x:c r="D6" s="10" t="n">
        <x:v>192</x:v>
      </x:c>
      <x:c r="E6" s="12"/>
      <x:c r="F6" s="10" t="n">
        <x:v>2</x:v>
      </x:c>
      <x:c r="G6" s="12"/>
      <x:c r="H6" s="12"/>
      <x:c r="I6" s="10" t="str">
        <x:f>IF(COUNTIF(Safeing!$F$6:$F$17,"ACCEPTED")=12,"ACCEPTED",IF(COUNTIF(Safeing!$F$6:$F$17,"OPEN")&gt;0,"OPEN","DENY"))</x:f>
        <x:v>OPEN</x:v>
      </x:c>
      <x:c r="J6" s="10" t="str">
        <x:f>IF(OR(C6="",E6="",G6="",H6="",I6="OPEN"),"OPEN",IF(AND(C6=B6,E6=D6,G6=F6,H6="ACCEPTED",I6="ACCEPTED",COUNTIF(Measurements!$E$6:$E$197,"CURRENT")=192),"COMPLETE","DENY"))</x:f>
        <x:v>OPEN</x:v>
      </x:c>
    </x:row>
    <x:row r="7">
      <x:c r="A7" s="10" t="str">
        <x:v>EV-02</x:v>
      </x:c>
      <x:c r="B7" s="10" t="n">
        <x:v>192</x:v>
      </x:c>
      <x:c r="C7" s="12"/>
      <x:c r="D7" s="10" t="n">
        <x:v>192</x:v>
      </x:c>
      <x:c r="E7" s="12"/>
      <x:c r="F7" s="10" t="n">
        <x:v>2</x:v>
      </x:c>
      <x:c r="G7" s="12"/>
      <x:c r="H7" s="12"/>
      <x:c r="I7" s="10" t="str">
        <x:f>IF(COUNTIF(Safeing!$F$6:$F$17,"ACCEPTED")=12,"ACCEPTED",IF(COUNTIF(Safeing!$F$6:$F$17,"OPEN")&gt;0,"OPEN","DENY"))</x:f>
        <x:v>OPEN</x:v>
      </x:c>
      <x:c r="J7" s="10" t="str">
        <x:f>IF(OR(C7="",E7="",G7="",H7="",I7="OPEN"),"OPEN",IF(AND(C7=B7,E7=D7,G7=F7,H7="ACCEPTED",I7="ACCEPTED",COUNTIF(Measurements!$E$6:$E$197,"CURRENT")=192),"COMPLETE","DENY"))</x:f>
        <x:v>OPEN</x:v>
      </x:c>
    </x:row>
    <x:row r="8">
      <x:c r="A8" s="10" t="str">
        <x:v>EV-03</x:v>
      </x:c>
      <x:c r="B8" s="10" t="n">
        <x:v>192</x:v>
      </x:c>
      <x:c r="C8" s="12"/>
      <x:c r="D8" s="10" t="n">
        <x:v>192</x:v>
      </x:c>
      <x:c r="E8" s="12"/>
      <x:c r="F8" s="10" t="n">
        <x:v>2</x:v>
      </x:c>
      <x:c r="G8" s="12"/>
      <x:c r="H8" s="12"/>
      <x:c r="I8" s="10" t="str">
        <x:f>IF(COUNTIF(Safeing!$F$6:$F$17,"ACCEPTED")=12,"ACCEPTED",IF(COUNTIF(Safeing!$F$6:$F$17,"OPEN")&gt;0,"OPEN","DENY"))</x:f>
        <x:v>OPEN</x:v>
      </x:c>
      <x:c r="J8" s="10" t="str">
        <x:f>IF(OR(C8="",E8="",G8="",H8="",I8="OPEN"),"OPEN",IF(AND(C8=B8,E8=D8,G8=F8,H8="ACCEPTED",I8="ACCEPTED",COUNTIF(Measurements!$E$6:$E$197,"CURRENT")=192),"COMPLETE","DENY"))</x:f>
        <x:v>OPEN</x:v>
      </x:c>
    </x:row>
    <x:row r="9">
      <x:c r="A9" s="10" t="str">
        <x:v>EV-04</x:v>
      </x:c>
      <x:c r="B9" s="10" t="n">
        <x:v>192</x:v>
      </x:c>
      <x:c r="C9" s="12"/>
      <x:c r="D9" s="10" t="n">
        <x:v>192</x:v>
      </x:c>
      <x:c r="E9" s="12"/>
      <x:c r="F9" s="10" t="n">
        <x:v>2</x:v>
      </x:c>
      <x:c r="G9" s="12"/>
      <x:c r="H9" s="12"/>
      <x:c r="I9" s="10" t="str">
        <x:f>IF(COUNTIF(Safeing!$F$6:$F$17,"ACCEPTED")=12,"ACCEPTED",IF(COUNTIF(Safeing!$F$6:$F$17,"OPEN")&gt;0,"OPEN","DENY"))</x:f>
        <x:v>OPEN</x:v>
      </x:c>
      <x:c r="J9" s="10" t="str">
        <x:f>IF(OR(C9="",E9="",G9="",H9="",I9="OPEN"),"OPEN",IF(AND(C9=B9,E9=D9,G9=F9,H9="ACCEPTED",I9="ACCEPTED",COUNTIF(Measurements!$E$6:$E$197,"CURRENT")=192),"COMPLETE","DENY"))</x:f>
        <x:v>OPEN</x:v>
      </x:c>
    </x:row>
    <x:row r="10">
      <x:c r="A10" s="10" t="str">
        <x:v>EV-05</x:v>
      </x:c>
      <x:c r="B10" s="10" t="n">
        <x:v>192</x:v>
      </x:c>
      <x:c r="C10" s="12"/>
      <x:c r="D10" s="10" t="n">
        <x:v>192</x:v>
      </x:c>
      <x:c r="E10" s="12"/>
      <x:c r="F10" s="10" t="n">
        <x:v>2</x:v>
      </x:c>
      <x:c r="G10" s="12"/>
      <x:c r="H10" s="12"/>
      <x:c r="I10" s="10" t="str">
        <x:f>IF(COUNTIF(Safeing!$F$6:$F$17,"ACCEPTED")=12,"ACCEPTED",IF(COUNTIF(Safeing!$F$6:$F$17,"OPEN")&gt;0,"OPEN","DENY"))</x:f>
        <x:v>OPEN</x:v>
      </x:c>
      <x:c r="J10" s="10" t="str">
        <x:f>IF(OR(C10="",E10="",G10="",H10="",I10="OPEN"),"OPEN",IF(AND(C10=B10,E10=D10,G10=F10,H10="ACCEPTED",I10="ACCEPTED",COUNTIF(Measurements!$E$6:$E$197,"CURRENT")=192),"COMPLETE","DENY"))</x:f>
        <x:v>OPEN</x:v>
      </x:c>
    </x:row>
    <x:row r="11">
      <x:c r="A11" s="10" t="str">
        <x:v>EV-06</x:v>
      </x:c>
      <x:c r="B11" s="10" t="n">
        <x:v>192</x:v>
      </x:c>
      <x:c r="C11" s="12"/>
      <x:c r="D11" s="10" t="n">
        <x:v>192</x:v>
      </x:c>
      <x:c r="E11" s="12"/>
      <x:c r="F11" s="10" t="n">
        <x:v>2</x:v>
      </x:c>
      <x:c r="G11" s="12"/>
      <x:c r="H11" s="12"/>
      <x:c r="I11" s="10" t="str">
        <x:f>IF(COUNTIF(Safeing!$F$6:$F$17,"ACCEPTED")=12,"ACCEPTED",IF(COUNTIF(Safeing!$F$6:$F$17,"OPEN")&gt;0,"OPEN","DENY"))</x:f>
        <x:v>OPEN</x:v>
      </x:c>
      <x:c r="J11" s="10" t="str">
        <x:f>IF(OR(C11="",E11="",G11="",H11="",I11="OPEN"),"OPEN",IF(AND(C11=B11,E11=D11,G11=F11,H11="ACCEPTED",I11="ACCEPTED",COUNTIF(Measurements!$E$6:$E$197,"CURRENT")=192),"COMPLETE","DENY"))</x:f>
        <x:v>OPEN</x:v>
      </x:c>
    </x:row>
    <x:row r="12">
      <x:c r="A12" s="10" t="str">
        <x:v>EV-07</x:v>
      </x:c>
      <x:c r="B12" s="10" t="n">
        <x:v>192</x:v>
      </x:c>
      <x:c r="C12" s="12"/>
      <x:c r="D12" s="10" t="n">
        <x:v>192</x:v>
      </x:c>
      <x:c r="E12" s="12"/>
      <x:c r="F12" s="10" t="n">
        <x:v>2</x:v>
      </x:c>
      <x:c r="G12" s="12"/>
      <x:c r="H12" s="12"/>
      <x:c r="I12" s="10" t="str">
        <x:f>IF(COUNTIF(Safeing!$F$6:$F$17,"ACCEPTED")=12,"ACCEPTED",IF(COUNTIF(Safeing!$F$6:$F$17,"OPEN")&gt;0,"OPEN","DENY"))</x:f>
        <x:v>OPEN</x:v>
      </x:c>
      <x:c r="J12" s="10" t="str">
        <x:f>IF(OR(C12="",E12="",G12="",H12="",I12="OPEN"),"OPEN",IF(AND(C12=B12,E12=D12,G12=F12,H12="ACCEPTED",I12="ACCEPTED",COUNTIF(Measurements!$E$6:$E$197,"CURRENT")=192),"COMPLETE","DENY"))</x:f>
        <x:v>OPEN</x:v>
      </x:c>
    </x:row>
    <x:row r="13">
      <x:c r="A13" s="10" t="str">
        <x:v>EV-08</x:v>
      </x:c>
      <x:c r="B13" s="10" t="n">
        <x:v>192</x:v>
      </x:c>
      <x:c r="C13" s="12"/>
      <x:c r="D13" s="10" t="n">
        <x:v>192</x:v>
      </x:c>
      <x:c r="E13" s="12"/>
      <x:c r="F13" s="10" t="n">
        <x:v>2</x:v>
      </x:c>
      <x:c r="G13" s="12"/>
      <x:c r="H13" s="12"/>
      <x:c r="I13" s="10" t="str">
        <x:f>IF(COUNTIF(Safeing!$F$6:$F$17,"ACCEPTED")=12,"ACCEPTED",IF(COUNTIF(Safeing!$F$6:$F$17,"OPEN")&gt;0,"OPEN","DENY"))</x:f>
        <x:v>OPEN</x:v>
      </x:c>
      <x:c r="J13" s="10" t="str">
        <x:f>IF(OR(C13="",E13="",G13="",H13="",I13="OPEN"),"OPEN",IF(AND(C13=B13,E13=D13,G13=F13,H13="ACCEPTED",I13="ACCEPTED",COUNTIF(Measurements!$E$6:$E$197,"CURRENT")=192),"COMPLETE","DENY"))</x:f>
        <x:v>OPEN</x:v>
      </x:c>
    </x:row>
    <x:row r="14">
      <x:c r="A14" s="10" t="str">
        <x:v>EV-09</x:v>
      </x:c>
      <x:c r="B14" s="10" t="n">
        <x:v>192</x:v>
      </x:c>
      <x:c r="C14" s="12"/>
      <x:c r="D14" s="10" t="n">
        <x:v>192</x:v>
      </x:c>
      <x:c r="E14" s="12"/>
      <x:c r="F14" s="10" t="n">
        <x:v>2</x:v>
      </x:c>
      <x:c r="G14" s="12"/>
      <x:c r="H14" s="12"/>
      <x:c r="I14" s="10" t="str">
        <x:f>IF(COUNTIF(Safeing!$F$6:$F$17,"ACCEPTED")=12,"ACCEPTED",IF(COUNTIF(Safeing!$F$6:$F$17,"OPEN")&gt;0,"OPEN","DENY"))</x:f>
        <x:v>OPEN</x:v>
      </x:c>
      <x:c r="J14" s="10" t="str">
        <x:f>IF(OR(C14="",E14="",G14="",H14="",I14="OPEN"),"OPEN",IF(AND(C14=B14,E14=D14,G14=F14,H14="ACCEPTED",I14="ACCEPTED",COUNTIF(Measurements!$E$6:$E$197,"CURRENT")=192),"COMPLETE","DENY"))</x:f>
        <x:v>OPEN</x:v>
      </x:c>
    </x:row>
    <x:row r="15">
      <x:c r="A15" s="10" t="str">
        <x:v>EV-10</x:v>
      </x:c>
      <x:c r="B15" s="10" t="n">
        <x:v>192</x:v>
      </x:c>
      <x:c r="C15" s="12"/>
      <x:c r="D15" s="10" t="n">
        <x:v>192</x:v>
      </x:c>
      <x:c r="E15" s="12"/>
      <x:c r="F15" s="10" t="n">
        <x:v>2</x:v>
      </x:c>
      <x:c r="G15" s="12"/>
      <x:c r="H15" s="12"/>
      <x:c r="I15" s="10" t="str">
        <x:f>IF(COUNTIF(Safeing!$F$6:$F$17,"ACCEPTED")=12,"ACCEPTED",IF(COUNTIF(Safeing!$F$6:$F$17,"OPEN")&gt;0,"OPEN","DENY"))</x:f>
        <x:v>OPEN</x:v>
      </x:c>
      <x:c r="J15" s="10" t="str">
        <x:f>IF(OR(C15="",E15="",G15="",H15="",I15="OPEN"),"OPEN",IF(AND(C15=B15,E15=D15,G15=F15,H15="ACCEPTED",I15="ACCEPTED",COUNTIF(Measurements!$E$6:$E$197,"CURRENT")=192),"COMPLETE","DENY"))</x:f>
        <x:v>OPEN</x:v>
      </x:c>
    </x:row>
    <x:row r="16">
      <x:c r="A16" s="10" t="str">
        <x:v>EV-11</x:v>
      </x:c>
      <x:c r="B16" s="10" t="n">
        <x:v>192</x:v>
      </x:c>
      <x:c r="C16" s="12"/>
      <x:c r="D16" s="10" t="n">
        <x:v>192</x:v>
      </x:c>
      <x:c r="E16" s="12"/>
      <x:c r="F16" s="10" t="n">
        <x:v>2</x:v>
      </x:c>
      <x:c r="G16" s="12"/>
      <x:c r="H16" s="12"/>
      <x:c r="I16" s="10" t="str">
        <x:f>IF(COUNTIF(Safeing!$F$6:$F$17,"ACCEPTED")=12,"ACCEPTED",IF(COUNTIF(Safeing!$F$6:$F$17,"OPEN")&gt;0,"OPEN","DENY"))</x:f>
        <x:v>OPEN</x:v>
      </x:c>
      <x:c r="J16" s="10" t="str">
        <x:f>IF(OR(C16="",E16="",G16="",H16="",I16="OPEN"),"OPEN",IF(AND(C16=B16,E16=D16,G16=F16,H16="ACCEPTED",I16="ACCEPTED",COUNTIF(Measurements!$E$6:$E$197,"CURRENT")=192),"COMPLETE","DENY"))</x:f>
        <x:v>OPEN</x:v>
      </x:c>
    </x:row>
    <x:row r="17">
      <x:c r="A17" s="10" t="str">
        <x:v>EV-12</x:v>
      </x:c>
      <x:c r="B17" s="10" t="n">
        <x:v>192</x:v>
      </x:c>
      <x:c r="C17" s="12"/>
      <x:c r="D17" s="10" t="n">
        <x:v>192</x:v>
      </x:c>
      <x:c r="E17" s="12"/>
      <x:c r="F17" s="10" t="n">
        <x:v>2</x:v>
      </x:c>
      <x:c r="G17" s="12"/>
      <x:c r="H17" s="12"/>
      <x:c r="I17" s="10" t="str">
        <x:f>IF(COUNTIF(Safeing!$F$6:$F$17,"ACCEPTED")=12,"ACCEPTED",IF(COUNTIF(Safeing!$F$6:$F$17,"OPEN")&gt;0,"OPEN","DENY"))</x:f>
        <x:v>OPEN</x:v>
      </x:c>
      <x:c r="J17" s="10" t="str">
        <x:f>IF(OR(C17="",E17="",G17="",H17="",I17="OPEN"),"OPEN",IF(AND(C17=B17,E17=D17,G17=F17,H17="ACCEPTED",I17="ACCEPTED",COUNTIF(Measurements!$E$6:$E$197,"CURRENT")=192),"COMPLETE","DENY"))</x:f>
        <x:v>OPEN</x:v>
      </x:c>
    </x:row>
    <x:row r="18">
      <x:c r="A18" s="10" t="str">
        <x:v>EV-13</x:v>
      </x:c>
      <x:c r="B18" s="10" t="n">
        <x:v>192</x:v>
      </x:c>
      <x:c r="C18" s="12"/>
      <x:c r="D18" s="10" t="n">
        <x:v>192</x:v>
      </x:c>
      <x:c r="E18" s="12"/>
      <x:c r="F18" s="10" t="n">
        <x:v>2</x:v>
      </x:c>
      <x:c r="G18" s="12"/>
      <x:c r="H18" s="12"/>
      <x:c r="I18" s="10" t="str">
        <x:f>IF(COUNTIF(Safeing!$F$6:$F$17,"ACCEPTED")=12,"ACCEPTED",IF(COUNTIF(Safeing!$F$6:$F$17,"OPEN")&gt;0,"OPEN","DENY"))</x:f>
        <x:v>OPEN</x:v>
      </x:c>
      <x:c r="J18" s="10" t="str">
        <x:f>IF(OR(C18="",E18="",G18="",H18="",I18="OPEN"),"OPEN",IF(AND(C18=B18,E18=D18,G18=F18,H18="ACCEPTED",I18="ACCEPTED",COUNTIF(Measurements!$E$6:$E$197,"CURRENT")=192),"COMPLETE","DENY"))</x:f>
        <x:v>OPEN</x:v>
      </x:c>
    </x:row>
    <x:row r="19">
      <x:c r="A19" s="10" t="str">
        <x:v>EV-14</x:v>
      </x:c>
      <x:c r="B19" s="10" t="n">
        <x:v>192</x:v>
      </x:c>
      <x:c r="C19" s="12"/>
      <x:c r="D19" s="10" t="n">
        <x:v>192</x:v>
      </x:c>
      <x:c r="E19" s="12"/>
      <x:c r="F19" s="10" t="n">
        <x:v>2</x:v>
      </x:c>
      <x:c r="G19" s="12"/>
      <x:c r="H19" s="12"/>
      <x:c r="I19" s="10" t="str">
        <x:f>IF(COUNTIF(Safeing!$F$6:$F$17,"ACCEPTED")=12,"ACCEPTED",IF(COUNTIF(Safeing!$F$6:$F$17,"OPEN")&gt;0,"OPEN","DENY"))</x:f>
        <x:v>OPEN</x:v>
      </x:c>
      <x:c r="J19" s="10" t="str">
        <x:f>IF(OR(C19="",E19="",G19="",H19="",I19="OPEN"),"OPEN",IF(AND(C19=B19,E19=D19,G19=F19,H19="ACCEPTED",I19="ACCEPTED",COUNTIF(Measurements!$E$6:$E$197,"CURRENT")=192),"COMPLETE","DENY"))</x:f>
        <x:v>OPEN</x:v>
      </x:c>
    </x:row>
    <x:row r="20">
      <x:c r="A20" s="10" t="str">
        <x:v>EV-15</x:v>
      </x:c>
      <x:c r="B20" s="10" t="n">
        <x:v>192</x:v>
      </x:c>
      <x:c r="C20" s="12"/>
      <x:c r="D20" s="10" t="n">
        <x:v>192</x:v>
      </x:c>
      <x:c r="E20" s="12"/>
      <x:c r="F20" s="10" t="n">
        <x:v>2</x:v>
      </x:c>
      <x:c r="G20" s="12"/>
      <x:c r="H20" s="12"/>
      <x:c r="I20" s="10" t="str">
        <x:f>IF(COUNTIF(Safeing!$F$6:$F$17,"ACCEPTED")=12,"ACCEPTED",IF(COUNTIF(Safeing!$F$6:$F$17,"OPEN")&gt;0,"OPEN","DENY"))</x:f>
        <x:v>OPEN</x:v>
      </x:c>
      <x:c r="J20" s="10" t="str">
        <x:f>IF(OR(C20="",E20="",G20="",H20="",I20="OPEN"),"OPEN",IF(AND(C20=B20,E20=D20,G20=F20,H20="ACCEPTED",I20="ACCEPTED",COUNTIF(Measurements!$E$6:$E$197,"CURRENT")=192),"COMPLETE","DENY"))</x:f>
        <x:v>OPEN</x:v>
      </x:c>
    </x:row>
    <x:row r="21">
      <x:c r="A21" s="10" t="str">
        <x:v>EV-16</x:v>
      </x:c>
      <x:c r="B21" s="10" t="n">
        <x:v>192</x:v>
      </x:c>
      <x:c r="C21" s="12"/>
      <x:c r="D21" s="10" t="n">
        <x:v>192</x:v>
      </x:c>
      <x:c r="E21" s="12"/>
      <x:c r="F21" s="10" t="n">
        <x:v>2</x:v>
      </x:c>
      <x:c r="G21" s="12"/>
      <x:c r="H21" s="12"/>
      <x:c r="I21" s="10" t="str">
        <x:f>IF(COUNTIF(Safeing!$F$6:$F$17,"ACCEPTED")=12,"ACCEPTED",IF(COUNTIF(Safeing!$F$6:$F$17,"OPEN")&gt;0,"OPEN","DENY"))</x:f>
        <x:v>OPEN</x:v>
      </x:c>
      <x:c r="J21" s="10" t="str">
        <x:f>IF(OR(C21="",E21="",G21="",H21="",I21="OPEN"),"OPEN",IF(AND(C21=B21,E21=D21,G21=F21,H21="ACCEPTED",I21="ACCEPTED",COUNTIF(Measurements!$E$6:$E$197,"CURRENT")=192),"COMPLETE","DENY"))</x:f>
        <x:v>OPEN</x:v>
      </x:c>
    </x:row>
  </x:sheetData>
  <x:mergeCells>
    <x:mergeCell ref="A2:J2"/>
  </x:mergeCells>
  <x:conditionalFormatting sqref="J6:J21">
    <x:cfRule type="containsText" dxfId="55" priority="1" operator="containsText" text="DENY"/>
    <x:cfRule type="containsText" dxfId="56" priority="2" operator="containsText" text="ADVERSE"/>
    <x:cfRule type="containsText" dxfId="57" priority="3" operator="containsText" text="FAIL"/>
    <x:cfRule type="containsText" dxfId="58" priority="4" operator="containsText" text="OPEN"/>
    <x:cfRule type="containsText" dxfId="5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6e9d1ee28bb84d4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3" hidden="0" customWidth="1"/>
    <x:col min="4" max="4" width="18" hidden="0" customWidth="1"/>
    <x:col min="5" max="5" width="14" hidden="0" customWidth="1"/>
  </x:cols>
  <x:sheetData>
    <x:row r="2" ht="24" customHeight="1">
      <x:c r="A2" s="1" t="str">
        <x:v>One hundred ninety-two active measurement channels</x:v>
      </x:c>
    </x:row>
    <x:row r="4" ht="22" customHeight="1">
      <x:c r="A4" s="2"/>
      <x:c r="B4" s="2"/>
      <x:c r="C4" s="2"/>
      <x:c r="D4" s="2"/>
      <x:c r="E4" s="2"/>
    </x:row>
    <x:row r="5">
      <x:c r="A5" s="8" t="str">
        <x:v>Channel</x:v>
      </x:c>
      <x:c r="B5" s="8" t="str">
        <x:v>Registry role</x:v>
      </x:c>
      <x:c r="C5" s="8" t="str">
        <x:v>Domain</x:v>
      </x:c>
      <x:c r="D5" s="8" t="str">
        <x:v>Witness role</x:v>
      </x:c>
      <x:c r="E5" s="8" t="str">
        <x:v>State</x:v>
      </x:c>
    </x:row>
    <x:row r="6">
      <x:c r="A6" s="10" t="str">
        <x:v>CH-001</x:v>
      </x:c>
      <x:c r="B6" s="10" t="str">
        <x:v>ER-02 reusable</x:v>
      </x:c>
      <x:c r="C6" s="10" t="str">
        <x:v>issue metrology</x:v>
      </x:c>
      <x:c r="D6" s="10" t="str">
        <x:v>primary</x:v>
      </x:c>
      <x:c r="E6" s="12"/>
    </x:row>
    <x:row r="7">
      <x:c r="A7" s="10" t="str">
        <x:v>CH-002</x:v>
      </x:c>
      <x:c r="B7" s="10" t="str">
        <x:v>ER-02 reusable</x:v>
      </x:c>
      <x:c r="C7" s="10" t="str">
        <x:v>issue metrology</x:v>
      </x:c>
      <x:c r="D7" s="10" t="str">
        <x:v>independent</x:v>
      </x:c>
      <x:c r="E7" s="12"/>
    </x:row>
    <x:row r="8">
      <x:c r="A8" s="10" t="str">
        <x:v>CH-003</x:v>
      </x:c>
      <x:c r="B8" s="10" t="str">
        <x:v>ER-02 reusable</x:v>
      </x:c>
      <x:c r="C8" s="10" t="str">
        <x:v>issue metrology</x:v>
      </x:c>
      <x:c r="D8" s="10" t="str">
        <x:v>primary</x:v>
      </x:c>
      <x:c r="E8" s="12"/>
    </x:row>
    <x:row r="9">
      <x:c r="A9" s="10" t="str">
        <x:v>CH-004</x:v>
      </x:c>
      <x:c r="B9" s="10" t="str">
        <x:v>ER-02 reusable</x:v>
      </x:c>
      <x:c r="C9" s="10" t="str">
        <x:v>issue metrology</x:v>
      </x:c>
      <x:c r="D9" s="10" t="str">
        <x:v>independent</x:v>
      </x:c>
      <x:c r="E9" s="12"/>
    </x:row>
    <x:row r="10">
      <x:c r="A10" s="10" t="str">
        <x:v>CH-005</x:v>
      </x:c>
      <x:c r="B10" s="10" t="str">
        <x:v>ER-02 reusable</x:v>
      </x:c>
      <x:c r="C10" s="10" t="str">
        <x:v>issue metrology</x:v>
      </x:c>
      <x:c r="D10" s="10" t="str">
        <x:v>primary</x:v>
      </x:c>
      <x:c r="E10" s="12"/>
    </x:row>
    <x:row r="11">
      <x:c r="A11" s="10" t="str">
        <x:v>CH-006</x:v>
      </x:c>
      <x:c r="B11" s="10" t="str">
        <x:v>ER-02 reusable</x:v>
      </x:c>
      <x:c r="C11" s="10" t="str">
        <x:v>issue metrology</x:v>
      </x:c>
      <x:c r="D11" s="10" t="str">
        <x:v>independent</x:v>
      </x:c>
      <x:c r="E11" s="12"/>
    </x:row>
    <x:row r="12">
      <x:c r="A12" s="10" t="str">
        <x:v>CH-007</x:v>
      </x:c>
      <x:c r="B12" s="10" t="str">
        <x:v>ER-02 reusable</x:v>
      </x:c>
      <x:c r="C12" s="10" t="str">
        <x:v>issue metrology</x:v>
      </x:c>
      <x:c r="D12" s="10" t="str">
        <x:v>primary</x:v>
      </x:c>
      <x:c r="E12" s="12"/>
    </x:row>
    <x:row r="13">
      <x:c r="A13" s="10" t="str">
        <x:v>CH-008</x:v>
      </x:c>
      <x:c r="B13" s="10" t="str">
        <x:v>ER-02 reusable</x:v>
      </x:c>
      <x:c r="C13" s="10" t="str">
        <x:v>issue metrology</x:v>
      </x:c>
      <x:c r="D13" s="10" t="str">
        <x:v>independent</x:v>
      </x:c>
      <x:c r="E13" s="12"/>
    </x:row>
    <x:row r="14">
      <x:c r="A14" s="10" t="str">
        <x:v>CH-009</x:v>
      </x:c>
      <x:c r="B14" s="10" t="str">
        <x:v>ER-02 reusable</x:v>
      </x:c>
      <x:c r="C14" s="10" t="str">
        <x:v>issue metrology</x:v>
      </x:c>
      <x:c r="D14" s="10" t="str">
        <x:v>primary</x:v>
      </x:c>
      <x:c r="E14" s="12"/>
    </x:row>
    <x:row r="15">
      <x:c r="A15" s="10" t="str">
        <x:v>CH-010</x:v>
      </x:c>
      <x:c r="B15" s="10" t="str">
        <x:v>ER-02 reusable</x:v>
      </x:c>
      <x:c r="C15" s="10" t="str">
        <x:v>issue metrology</x:v>
      </x:c>
      <x:c r="D15" s="10" t="str">
        <x:v>independent</x:v>
      </x:c>
      <x:c r="E15" s="12"/>
    </x:row>
    <x:row r="16">
      <x:c r="A16" s="10" t="str">
        <x:v>CH-011</x:v>
      </x:c>
      <x:c r="B16" s="10" t="str">
        <x:v>ER-02 reusable</x:v>
      </x:c>
      <x:c r="C16" s="10" t="str">
        <x:v>issue metrology</x:v>
      </x:c>
      <x:c r="D16" s="10" t="str">
        <x:v>primary</x:v>
      </x:c>
      <x:c r="E16" s="12"/>
    </x:row>
    <x:row r="17">
      <x:c r="A17" s="10" t="str">
        <x:v>CH-012</x:v>
      </x:c>
      <x:c r="B17" s="10" t="str">
        <x:v>ER-02 reusable</x:v>
      </x:c>
      <x:c r="C17" s="10" t="str">
        <x:v>issue metrology</x:v>
      </x:c>
      <x:c r="D17" s="10" t="str">
        <x:v>independent</x:v>
      </x:c>
      <x:c r="E17" s="12"/>
    </x:row>
    <x:row r="18">
      <x:c r="A18" s="10" t="str">
        <x:v>CH-013</x:v>
      </x:c>
      <x:c r="B18" s="10" t="str">
        <x:v>ER-02 reusable</x:v>
      </x:c>
      <x:c r="C18" s="10" t="str">
        <x:v>issue metrology</x:v>
      </x:c>
      <x:c r="D18" s="10" t="str">
        <x:v>primary</x:v>
      </x:c>
      <x:c r="E18" s="12"/>
    </x:row>
    <x:row r="19">
      <x:c r="A19" s="10" t="str">
        <x:v>CH-014</x:v>
      </x:c>
      <x:c r="B19" s="10" t="str">
        <x:v>ER-02 reusable</x:v>
      </x:c>
      <x:c r="C19" s="10" t="str">
        <x:v>issue metrology</x:v>
      </x:c>
      <x:c r="D19" s="10" t="str">
        <x:v>independent</x:v>
      </x:c>
      <x:c r="E19" s="12"/>
    </x:row>
    <x:row r="20">
      <x:c r="A20" s="10" t="str">
        <x:v>CH-015</x:v>
      </x:c>
      <x:c r="B20" s="10" t="str">
        <x:v>ER-02 reusable</x:v>
      </x:c>
      <x:c r="C20" s="10" t="str">
        <x:v>issue metrology</x:v>
      </x:c>
      <x:c r="D20" s="10" t="str">
        <x:v>primary</x:v>
      </x:c>
      <x:c r="E20" s="12"/>
    </x:row>
    <x:row r="21">
      <x:c r="A21" s="10" t="str">
        <x:v>CH-016</x:v>
      </x:c>
      <x:c r="B21" s="10" t="str">
        <x:v>ER-02 reusable</x:v>
      </x:c>
      <x:c r="C21" s="10" t="str">
        <x:v>issue metrology</x:v>
      </x:c>
      <x:c r="D21" s="10" t="str">
        <x:v>independent</x:v>
      </x:c>
      <x:c r="E21" s="12"/>
    </x:row>
    <x:row r="22">
      <x:c r="A22" s="10" t="str">
        <x:v>CH-017</x:v>
      </x:c>
      <x:c r="B22" s="10" t="str">
        <x:v>ER-02 reusable</x:v>
      </x:c>
      <x:c r="C22" s="10" t="str">
        <x:v>issue metrology</x:v>
      </x:c>
      <x:c r="D22" s="10" t="str">
        <x:v>primary</x:v>
      </x:c>
      <x:c r="E22" s="12"/>
    </x:row>
    <x:row r="23">
      <x:c r="A23" s="10" t="str">
        <x:v>CH-018</x:v>
      </x:c>
      <x:c r="B23" s="10" t="str">
        <x:v>ER-02 reusable</x:v>
      </x:c>
      <x:c r="C23" s="10" t="str">
        <x:v>issue metrology</x:v>
      </x:c>
      <x:c r="D23" s="10" t="str">
        <x:v>independent</x:v>
      </x:c>
      <x:c r="E23" s="12"/>
    </x:row>
    <x:row r="24">
      <x:c r="A24" s="10" t="str">
        <x:v>CH-019</x:v>
      </x:c>
      <x:c r="B24" s="10" t="str">
        <x:v>ER-02 reusable</x:v>
      </x:c>
      <x:c r="C24" s="10" t="str">
        <x:v>issue metrology</x:v>
      </x:c>
      <x:c r="D24" s="10" t="str">
        <x:v>primary</x:v>
      </x:c>
      <x:c r="E24" s="12"/>
    </x:row>
    <x:row r="25">
      <x:c r="A25" s="10" t="str">
        <x:v>CH-020</x:v>
      </x:c>
      <x:c r="B25" s="10" t="str">
        <x:v>ER-02 reusable</x:v>
      </x:c>
      <x:c r="C25" s="10" t="str">
        <x:v>issue metrology</x:v>
      </x:c>
      <x:c r="D25" s="10" t="str">
        <x:v>independent</x:v>
      </x:c>
      <x:c r="E25" s="12"/>
    </x:row>
    <x:row r="26">
      <x:c r="A26" s="10" t="str">
        <x:v>CH-021</x:v>
      </x:c>
      <x:c r="B26" s="10" t="str">
        <x:v>ER-02 reusable</x:v>
      </x:c>
      <x:c r="C26" s="10" t="str">
        <x:v>issue metrology</x:v>
      </x:c>
      <x:c r="D26" s="10" t="str">
        <x:v>primary</x:v>
      </x:c>
      <x:c r="E26" s="12"/>
    </x:row>
    <x:row r="27">
      <x:c r="A27" s="10" t="str">
        <x:v>CH-022</x:v>
      </x:c>
      <x:c r="B27" s="10" t="str">
        <x:v>ER-02 reusable</x:v>
      </x:c>
      <x:c r="C27" s="10" t="str">
        <x:v>issue metrology</x:v>
      </x:c>
      <x:c r="D27" s="10" t="str">
        <x:v>independent</x:v>
      </x:c>
      <x:c r="E27" s="12"/>
    </x:row>
    <x:row r="28">
      <x:c r="A28" s="10" t="str">
        <x:v>CH-023</x:v>
      </x:c>
      <x:c r="B28" s="10" t="str">
        <x:v>ER-02 reusable</x:v>
      </x:c>
      <x:c r="C28" s="10" t="str">
        <x:v>issue metrology</x:v>
      </x:c>
      <x:c r="D28" s="10" t="str">
        <x:v>primary</x:v>
      </x:c>
      <x:c r="E28" s="12"/>
    </x:row>
    <x:row r="29">
      <x:c r="A29" s="10" t="str">
        <x:v>CH-024</x:v>
      </x:c>
      <x:c r="B29" s="10" t="str">
        <x:v>ER-02 reusable</x:v>
      </x:c>
      <x:c r="C29" s="10" t="str">
        <x:v>issue metrology</x:v>
      </x:c>
      <x:c r="D29" s="10" t="str">
        <x:v>independent</x:v>
      </x:c>
      <x:c r="E29" s="12"/>
    </x:row>
    <x:row r="30">
      <x:c r="A30" s="10" t="str">
        <x:v>CH-025</x:v>
      </x:c>
      <x:c r="B30" s="10" t="str">
        <x:v>ER-02 reusable</x:v>
      </x:c>
      <x:c r="C30" s="10" t="str">
        <x:v>issue metrology</x:v>
      </x:c>
      <x:c r="D30" s="10" t="str">
        <x:v>primary</x:v>
      </x:c>
      <x:c r="E30" s="12"/>
    </x:row>
    <x:row r="31">
      <x:c r="A31" s="10" t="str">
        <x:v>CH-026</x:v>
      </x:c>
      <x:c r="B31" s="10" t="str">
        <x:v>ER-02 reusable</x:v>
      </x:c>
      <x:c r="C31" s="10" t="str">
        <x:v>issue metrology</x:v>
      </x:c>
      <x:c r="D31" s="10" t="str">
        <x:v>independent</x:v>
      </x:c>
      <x:c r="E31" s="12"/>
    </x:row>
    <x:row r="32">
      <x:c r="A32" s="10" t="str">
        <x:v>CH-027</x:v>
      </x:c>
      <x:c r="B32" s="10" t="str">
        <x:v>ER-02 reusable</x:v>
      </x:c>
      <x:c r="C32" s="10" t="str">
        <x:v>issue metrology</x:v>
      </x:c>
      <x:c r="D32" s="10" t="str">
        <x:v>primary</x:v>
      </x:c>
      <x:c r="E32" s="12"/>
    </x:row>
    <x:row r="33">
      <x:c r="A33" s="10" t="str">
        <x:v>CH-028</x:v>
      </x:c>
      <x:c r="B33" s="10" t="str">
        <x:v>ER-02 reusable</x:v>
      </x:c>
      <x:c r="C33" s="10" t="str">
        <x:v>issue metrology</x:v>
      </x:c>
      <x:c r="D33" s="10" t="str">
        <x:v>independent</x:v>
      </x:c>
      <x:c r="E33" s="12"/>
    </x:row>
    <x:row r="34">
      <x:c r="A34" s="10" t="str">
        <x:v>CH-029</x:v>
      </x:c>
      <x:c r="B34" s="10" t="str">
        <x:v>ER-02 reusable</x:v>
      </x:c>
      <x:c r="C34" s="10" t="str">
        <x:v>issue metrology</x:v>
      </x:c>
      <x:c r="D34" s="10" t="str">
        <x:v>primary</x:v>
      </x:c>
      <x:c r="E34" s="12"/>
    </x:row>
    <x:row r="35">
      <x:c r="A35" s="10" t="str">
        <x:v>CH-030</x:v>
      </x:c>
      <x:c r="B35" s="10" t="str">
        <x:v>ER-02 reusable</x:v>
      </x:c>
      <x:c r="C35" s="10" t="str">
        <x:v>issue metrology</x:v>
      </x:c>
      <x:c r="D35" s="10" t="str">
        <x:v>independent</x:v>
      </x:c>
      <x:c r="E35" s="12"/>
    </x:row>
    <x:row r="36">
      <x:c r="A36" s="10" t="str">
        <x:v>CH-031</x:v>
      </x:c>
      <x:c r="B36" s="10" t="str">
        <x:v>ER-02 reusable</x:v>
      </x:c>
      <x:c r="C36" s="10" t="str">
        <x:v>issue metrology</x:v>
      </x:c>
      <x:c r="D36" s="10" t="str">
        <x:v>primary</x:v>
      </x:c>
      <x:c r="E36" s="12"/>
    </x:row>
    <x:row r="37">
      <x:c r="A37" s="10" t="str">
        <x:v>CH-032</x:v>
      </x:c>
      <x:c r="B37" s="10" t="str">
        <x:v>ER-02 reusable</x:v>
      </x:c>
      <x:c r="C37" s="10" t="str">
        <x:v>issue metrology</x:v>
      </x:c>
      <x:c r="D37" s="10" t="str">
        <x:v>independent</x:v>
      </x:c>
      <x:c r="E37" s="12"/>
    </x:row>
    <x:row r="38">
      <x:c r="A38" s="10" t="str">
        <x:v>CH-033</x:v>
      </x:c>
      <x:c r="B38" s="10" t="str">
        <x:v>ER-02 reusable</x:v>
      </x:c>
      <x:c r="C38" s="10" t="str">
        <x:v>return metrology</x:v>
      </x:c>
      <x:c r="D38" s="10" t="str">
        <x:v>primary</x:v>
      </x:c>
      <x:c r="E38" s="12"/>
    </x:row>
    <x:row r="39">
      <x:c r="A39" s="10" t="str">
        <x:v>CH-034</x:v>
      </x:c>
      <x:c r="B39" s="10" t="str">
        <x:v>ER-02 reusable</x:v>
      </x:c>
      <x:c r="C39" s="10" t="str">
        <x:v>return metrology</x:v>
      </x:c>
      <x:c r="D39" s="10" t="str">
        <x:v>independent</x:v>
      </x:c>
      <x:c r="E39" s="12"/>
    </x:row>
    <x:row r="40">
      <x:c r="A40" s="10" t="str">
        <x:v>CH-035</x:v>
      </x:c>
      <x:c r="B40" s="10" t="str">
        <x:v>ER-02 reusable</x:v>
      </x:c>
      <x:c r="C40" s="10" t="str">
        <x:v>return metrology</x:v>
      </x:c>
      <x:c r="D40" s="10" t="str">
        <x:v>primary</x:v>
      </x:c>
      <x:c r="E40" s="12"/>
    </x:row>
    <x:row r="41">
      <x:c r="A41" s="10" t="str">
        <x:v>CH-036</x:v>
      </x:c>
      <x:c r="B41" s="10" t="str">
        <x:v>ER-02 reusable</x:v>
      </x:c>
      <x:c r="C41" s="10" t="str">
        <x:v>return metrology</x:v>
      </x:c>
      <x:c r="D41" s="10" t="str">
        <x:v>independent</x:v>
      </x:c>
      <x:c r="E41" s="12"/>
    </x:row>
    <x:row r="42">
      <x:c r="A42" s="10" t="str">
        <x:v>CH-037</x:v>
      </x:c>
      <x:c r="B42" s="10" t="str">
        <x:v>ER-02 reusable</x:v>
      </x:c>
      <x:c r="C42" s="10" t="str">
        <x:v>return metrology</x:v>
      </x:c>
      <x:c r="D42" s="10" t="str">
        <x:v>primary</x:v>
      </x:c>
      <x:c r="E42" s="12"/>
    </x:row>
    <x:row r="43">
      <x:c r="A43" s="10" t="str">
        <x:v>CH-038</x:v>
      </x:c>
      <x:c r="B43" s="10" t="str">
        <x:v>ER-02 reusable</x:v>
      </x:c>
      <x:c r="C43" s="10" t="str">
        <x:v>return metrology</x:v>
      </x:c>
      <x:c r="D43" s="10" t="str">
        <x:v>independent</x:v>
      </x:c>
      <x:c r="E43" s="12"/>
    </x:row>
    <x:row r="44">
      <x:c r="A44" s="10" t="str">
        <x:v>CH-039</x:v>
      </x:c>
      <x:c r="B44" s="10" t="str">
        <x:v>ER-02 reusable</x:v>
      </x:c>
      <x:c r="C44" s="10" t="str">
        <x:v>return metrology</x:v>
      </x:c>
      <x:c r="D44" s="10" t="str">
        <x:v>primary</x:v>
      </x:c>
      <x:c r="E44" s="12"/>
    </x:row>
    <x:row r="45">
      <x:c r="A45" s="10" t="str">
        <x:v>CH-040</x:v>
      </x:c>
      <x:c r="B45" s="10" t="str">
        <x:v>ER-02 reusable</x:v>
      </x:c>
      <x:c r="C45" s="10" t="str">
        <x:v>return metrology</x:v>
      </x:c>
      <x:c r="D45" s="10" t="str">
        <x:v>independent</x:v>
      </x:c>
      <x:c r="E45" s="12"/>
    </x:row>
    <x:row r="46">
      <x:c r="A46" s="10" t="str">
        <x:v>CH-041</x:v>
      </x:c>
      <x:c r="B46" s="10" t="str">
        <x:v>ER-02 reusable</x:v>
      </x:c>
      <x:c r="C46" s="10" t="str">
        <x:v>return metrology</x:v>
      </x:c>
      <x:c r="D46" s="10" t="str">
        <x:v>primary</x:v>
      </x:c>
      <x:c r="E46" s="12"/>
    </x:row>
    <x:row r="47">
      <x:c r="A47" s="10" t="str">
        <x:v>CH-042</x:v>
      </x:c>
      <x:c r="B47" s="10" t="str">
        <x:v>ER-02 reusable</x:v>
      </x:c>
      <x:c r="C47" s="10" t="str">
        <x:v>return metrology</x:v>
      </x:c>
      <x:c r="D47" s="10" t="str">
        <x:v>independent</x:v>
      </x:c>
      <x:c r="E47" s="12"/>
    </x:row>
    <x:row r="48">
      <x:c r="A48" s="10" t="str">
        <x:v>CH-043</x:v>
      </x:c>
      <x:c r="B48" s="10" t="str">
        <x:v>ER-02 reusable</x:v>
      </x:c>
      <x:c r="C48" s="10" t="str">
        <x:v>return metrology</x:v>
      </x:c>
      <x:c r="D48" s="10" t="str">
        <x:v>primary</x:v>
      </x:c>
      <x:c r="E48" s="12"/>
    </x:row>
    <x:row r="49">
      <x:c r="A49" s="10" t="str">
        <x:v>CH-044</x:v>
      </x:c>
      <x:c r="B49" s="10" t="str">
        <x:v>ER-02 reusable</x:v>
      </x:c>
      <x:c r="C49" s="10" t="str">
        <x:v>return metrology</x:v>
      </x:c>
      <x:c r="D49" s="10" t="str">
        <x:v>independent</x:v>
      </x:c>
      <x:c r="E49" s="12"/>
    </x:row>
    <x:row r="50">
      <x:c r="A50" s="10" t="str">
        <x:v>CH-045</x:v>
      </x:c>
      <x:c r="B50" s="10" t="str">
        <x:v>ER-02 reusable</x:v>
      </x:c>
      <x:c r="C50" s="10" t="str">
        <x:v>return metrology</x:v>
      </x:c>
      <x:c r="D50" s="10" t="str">
        <x:v>primary</x:v>
      </x:c>
      <x:c r="E50" s="12"/>
    </x:row>
    <x:row r="51">
      <x:c r="A51" s="10" t="str">
        <x:v>CH-046</x:v>
      </x:c>
      <x:c r="B51" s="10" t="str">
        <x:v>ER-02 reusable</x:v>
      </x:c>
      <x:c r="C51" s="10" t="str">
        <x:v>return metrology</x:v>
      </x:c>
      <x:c r="D51" s="10" t="str">
        <x:v>independent</x:v>
      </x:c>
      <x:c r="E51" s="12"/>
    </x:row>
    <x:row r="52">
      <x:c r="A52" s="10" t="str">
        <x:v>CH-047</x:v>
      </x:c>
      <x:c r="B52" s="10" t="str">
        <x:v>ER-02 reusable</x:v>
      </x:c>
      <x:c r="C52" s="10" t="str">
        <x:v>return metrology</x:v>
      </x:c>
      <x:c r="D52" s="10" t="str">
        <x:v>primary</x:v>
      </x:c>
      <x:c r="E52" s="12"/>
    </x:row>
    <x:row r="53">
      <x:c r="A53" s="10" t="str">
        <x:v>CH-048</x:v>
      </x:c>
      <x:c r="B53" s="10" t="str">
        <x:v>ER-02 reusable</x:v>
      </x:c>
      <x:c r="C53" s="10" t="str">
        <x:v>return metrology</x:v>
      </x:c>
      <x:c r="D53" s="10" t="str">
        <x:v>independent</x:v>
      </x:c>
      <x:c r="E53" s="12"/>
    </x:row>
    <x:row r="54">
      <x:c r="A54" s="10" t="str">
        <x:v>CH-049</x:v>
      </x:c>
      <x:c r="B54" s="10" t="str">
        <x:v>ER-02 reusable</x:v>
      </x:c>
      <x:c r="C54" s="10" t="str">
        <x:v>return metrology</x:v>
      </x:c>
      <x:c r="D54" s="10" t="str">
        <x:v>primary</x:v>
      </x:c>
      <x:c r="E54" s="12"/>
    </x:row>
    <x:row r="55">
      <x:c r="A55" s="10" t="str">
        <x:v>CH-050</x:v>
      </x:c>
      <x:c r="B55" s="10" t="str">
        <x:v>ER-02 reusable</x:v>
      </x:c>
      <x:c r="C55" s="10" t="str">
        <x:v>return metrology</x:v>
      </x:c>
      <x:c r="D55" s="10" t="str">
        <x:v>independent</x:v>
      </x:c>
      <x:c r="E55" s="12"/>
    </x:row>
    <x:row r="56">
      <x:c r="A56" s="10" t="str">
        <x:v>CH-051</x:v>
      </x:c>
      <x:c r="B56" s="10" t="str">
        <x:v>ER-02 reusable</x:v>
      </x:c>
      <x:c r="C56" s="10" t="str">
        <x:v>return metrology</x:v>
      </x:c>
      <x:c r="D56" s="10" t="str">
        <x:v>primary</x:v>
      </x:c>
      <x:c r="E56" s="12"/>
    </x:row>
    <x:row r="57">
      <x:c r="A57" s="10" t="str">
        <x:v>CH-052</x:v>
      </x:c>
      <x:c r="B57" s="10" t="str">
        <x:v>ER-02 reusable</x:v>
      </x:c>
      <x:c r="C57" s="10" t="str">
        <x:v>return metrology</x:v>
      </x:c>
      <x:c r="D57" s="10" t="str">
        <x:v>independent</x:v>
      </x:c>
      <x:c r="E57" s="12"/>
    </x:row>
    <x:row r="58">
      <x:c r="A58" s="10" t="str">
        <x:v>CH-053</x:v>
      </x:c>
      <x:c r="B58" s="10" t="str">
        <x:v>ER-02 reusable</x:v>
      </x:c>
      <x:c r="C58" s="10" t="str">
        <x:v>return metrology</x:v>
      </x:c>
      <x:c r="D58" s="10" t="str">
        <x:v>primary</x:v>
      </x:c>
      <x:c r="E58" s="12"/>
    </x:row>
    <x:row r="59">
      <x:c r="A59" s="10" t="str">
        <x:v>CH-054</x:v>
      </x:c>
      <x:c r="B59" s="10" t="str">
        <x:v>ER-02 reusable</x:v>
      </x:c>
      <x:c r="C59" s="10" t="str">
        <x:v>return metrology</x:v>
      </x:c>
      <x:c r="D59" s="10" t="str">
        <x:v>independent</x:v>
      </x:c>
      <x:c r="E59" s="12"/>
    </x:row>
    <x:row r="60">
      <x:c r="A60" s="10" t="str">
        <x:v>CH-055</x:v>
      </x:c>
      <x:c r="B60" s="10" t="str">
        <x:v>ER-02 reusable</x:v>
      </x:c>
      <x:c r="C60" s="10" t="str">
        <x:v>return metrology</x:v>
      </x:c>
      <x:c r="D60" s="10" t="str">
        <x:v>primary</x:v>
      </x:c>
      <x:c r="E60" s="12"/>
    </x:row>
    <x:row r="61">
      <x:c r="A61" s="10" t="str">
        <x:v>CH-056</x:v>
      </x:c>
      <x:c r="B61" s="10" t="str">
        <x:v>ER-02 reusable</x:v>
      </x:c>
      <x:c r="C61" s="10" t="str">
        <x:v>return metrology</x:v>
      </x:c>
      <x:c r="D61" s="10" t="str">
        <x:v>independent</x:v>
      </x:c>
      <x:c r="E61" s="12"/>
    </x:row>
    <x:row r="62">
      <x:c r="A62" s="10" t="str">
        <x:v>CH-057</x:v>
      </x:c>
      <x:c r="B62" s="10" t="str">
        <x:v>ER-02 reusable</x:v>
      </x:c>
      <x:c r="C62" s="10" t="str">
        <x:v>return metrology</x:v>
      </x:c>
      <x:c r="D62" s="10" t="str">
        <x:v>primary</x:v>
      </x:c>
      <x:c r="E62" s="12"/>
    </x:row>
    <x:row r="63">
      <x:c r="A63" s="10" t="str">
        <x:v>CH-058</x:v>
      </x:c>
      <x:c r="B63" s="10" t="str">
        <x:v>ER-02 reusable</x:v>
      </x:c>
      <x:c r="C63" s="10" t="str">
        <x:v>return metrology</x:v>
      </x:c>
      <x:c r="D63" s="10" t="str">
        <x:v>independent</x:v>
      </x:c>
      <x:c r="E63" s="12"/>
    </x:row>
    <x:row r="64">
      <x:c r="A64" s="10" t="str">
        <x:v>CH-059</x:v>
      </x:c>
      <x:c r="B64" s="10" t="str">
        <x:v>ER-02 reusable</x:v>
      </x:c>
      <x:c r="C64" s="10" t="str">
        <x:v>return metrology</x:v>
      </x:c>
      <x:c r="D64" s="10" t="str">
        <x:v>primary</x:v>
      </x:c>
      <x:c r="E64" s="12"/>
    </x:row>
    <x:row r="65">
      <x:c r="A65" s="10" t="str">
        <x:v>CH-060</x:v>
      </x:c>
      <x:c r="B65" s="10" t="str">
        <x:v>ER-02 reusable</x:v>
      </x:c>
      <x:c r="C65" s="10" t="str">
        <x:v>return metrology</x:v>
      </x:c>
      <x:c r="D65" s="10" t="str">
        <x:v>independent</x:v>
      </x:c>
      <x:c r="E65" s="12"/>
    </x:row>
    <x:row r="66">
      <x:c r="A66" s="10" t="str">
        <x:v>CH-061</x:v>
      </x:c>
      <x:c r="B66" s="10" t="str">
        <x:v>ER-02 reusable</x:v>
      </x:c>
      <x:c r="C66" s="10" t="str">
        <x:v>return metrology</x:v>
      </x:c>
      <x:c r="D66" s="10" t="str">
        <x:v>primary</x:v>
      </x:c>
      <x:c r="E66" s="12"/>
    </x:row>
    <x:row r="67">
      <x:c r="A67" s="10" t="str">
        <x:v>CH-062</x:v>
      </x:c>
      <x:c r="B67" s="10" t="str">
        <x:v>ER-02 reusable</x:v>
      </x:c>
      <x:c r="C67" s="10" t="str">
        <x:v>return metrology</x:v>
      </x:c>
      <x:c r="D67" s="10" t="str">
        <x:v>independent</x:v>
      </x:c>
      <x:c r="E67" s="12"/>
    </x:row>
    <x:row r="68">
      <x:c r="A68" s="10" t="str">
        <x:v>CH-063</x:v>
      </x:c>
      <x:c r="B68" s="10" t="str">
        <x:v>ER-02 reusable</x:v>
      </x:c>
      <x:c r="C68" s="10" t="str">
        <x:v>return metrology</x:v>
      </x:c>
      <x:c r="D68" s="10" t="str">
        <x:v>primary</x:v>
      </x:c>
      <x:c r="E68" s="12"/>
    </x:row>
    <x:row r="69">
      <x:c r="A69" s="10" t="str">
        <x:v>CH-064</x:v>
      </x:c>
      <x:c r="B69" s="10" t="str">
        <x:v>ER-02 reusable</x:v>
      </x:c>
      <x:c r="C69" s="10" t="str">
        <x:v>return metrology</x:v>
      </x:c>
      <x:c r="D69" s="10" t="str">
        <x:v>independent</x:v>
      </x:c>
      <x:c r="E69" s="12"/>
    </x:row>
    <x:row r="70">
      <x:c r="A70" s="10" t="str">
        <x:v>CH-065</x:v>
      </x:c>
      <x:c r="B70" s="10" t="str">
        <x:v>ER-02 reusable</x:v>
      </x:c>
      <x:c r="C70" s="10" t="str">
        <x:v>zone field</x:v>
      </x:c>
      <x:c r="D70" s="10" t="str">
        <x:v>primary</x:v>
      </x:c>
      <x:c r="E70" s="12"/>
    </x:row>
    <x:row r="71">
      <x:c r="A71" s="10" t="str">
        <x:v>CH-066</x:v>
      </x:c>
      <x:c r="B71" s="10" t="str">
        <x:v>ER-02 reusable</x:v>
      </x:c>
      <x:c r="C71" s="10" t="str">
        <x:v>zone field</x:v>
      </x:c>
      <x:c r="D71" s="10" t="str">
        <x:v>independent</x:v>
      </x:c>
      <x:c r="E71" s="12"/>
    </x:row>
    <x:row r="72">
      <x:c r="A72" s="10" t="str">
        <x:v>CH-067</x:v>
      </x:c>
      <x:c r="B72" s="10" t="str">
        <x:v>ER-02 reusable</x:v>
      </x:c>
      <x:c r="C72" s="10" t="str">
        <x:v>zone field</x:v>
      </x:c>
      <x:c r="D72" s="10" t="str">
        <x:v>primary</x:v>
      </x:c>
      <x:c r="E72" s="12"/>
    </x:row>
    <x:row r="73">
      <x:c r="A73" s="10" t="str">
        <x:v>CH-068</x:v>
      </x:c>
      <x:c r="B73" s="10" t="str">
        <x:v>ER-02 reusable</x:v>
      </x:c>
      <x:c r="C73" s="10" t="str">
        <x:v>zone field</x:v>
      </x:c>
      <x:c r="D73" s="10" t="str">
        <x:v>independent</x:v>
      </x:c>
      <x:c r="E73" s="12"/>
    </x:row>
    <x:row r="74">
      <x:c r="A74" s="10" t="str">
        <x:v>CH-069</x:v>
      </x:c>
      <x:c r="B74" s="10" t="str">
        <x:v>ER-02 reusable</x:v>
      </x:c>
      <x:c r="C74" s="10" t="str">
        <x:v>zone field</x:v>
      </x:c>
      <x:c r="D74" s="10" t="str">
        <x:v>primary</x:v>
      </x:c>
      <x:c r="E74" s="12"/>
    </x:row>
    <x:row r="75">
      <x:c r="A75" s="10" t="str">
        <x:v>CH-070</x:v>
      </x:c>
      <x:c r="B75" s="10" t="str">
        <x:v>ER-02 reusable</x:v>
      </x:c>
      <x:c r="C75" s="10" t="str">
        <x:v>zone field</x:v>
      </x:c>
      <x:c r="D75" s="10" t="str">
        <x:v>independent</x:v>
      </x:c>
      <x:c r="E75" s="12"/>
    </x:row>
    <x:row r="76">
      <x:c r="A76" s="10" t="str">
        <x:v>CH-071</x:v>
      </x:c>
      <x:c r="B76" s="10" t="str">
        <x:v>ER-02 reusable</x:v>
      </x:c>
      <x:c r="C76" s="10" t="str">
        <x:v>zone field</x:v>
      </x:c>
      <x:c r="D76" s="10" t="str">
        <x:v>primary</x:v>
      </x:c>
      <x:c r="E76" s="12"/>
    </x:row>
    <x:row r="77">
      <x:c r="A77" s="10" t="str">
        <x:v>CH-072</x:v>
      </x:c>
      <x:c r="B77" s="10" t="str">
        <x:v>ER-02 reusable</x:v>
      </x:c>
      <x:c r="C77" s="10" t="str">
        <x:v>zone field</x:v>
      </x:c>
      <x:c r="D77" s="10" t="str">
        <x:v>independent</x:v>
      </x:c>
      <x:c r="E77" s="12"/>
    </x:row>
    <x:row r="78">
      <x:c r="A78" s="10" t="str">
        <x:v>CH-073</x:v>
      </x:c>
      <x:c r="B78" s="10" t="str">
        <x:v>ER-02 reusable</x:v>
      </x:c>
      <x:c r="C78" s="10" t="str">
        <x:v>zone field</x:v>
      </x:c>
      <x:c r="D78" s="10" t="str">
        <x:v>primary</x:v>
      </x:c>
      <x:c r="E78" s="12"/>
    </x:row>
    <x:row r="79">
      <x:c r="A79" s="10" t="str">
        <x:v>CH-074</x:v>
      </x:c>
      <x:c r="B79" s="10" t="str">
        <x:v>ER-02 reusable</x:v>
      </x:c>
      <x:c r="C79" s="10" t="str">
        <x:v>zone field</x:v>
      </x:c>
      <x:c r="D79" s="10" t="str">
        <x:v>independent</x:v>
      </x:c>
      <x:c r="E79" s="12"/>
    </x:row>
    <x:row r="80">
      <x:c r="A80" s="10" t="str">
        <x:v>CH-075</x:v>
      </x:c>
      <x:c r="B80" s="10" t="str">
        <x:v>ER-02 reusable</x:v>
      </x:c>
      <x:c r="C80" s="10" t="str">
        <x:v>zone field</x:v>
      </x:c>
      <x:c r="D80" s="10" t="str">
        <x:v>primary</x:v>
      </x:c>
      <x:c r="E80" s="12"/>
    </x:row>
    <x:row r="81">
      <x:c r="A81" s="10" t="str">
        <x:v>CH-076</x:v>
      </x:c>
      <x:c r="B81" s="10" t="str">
        <x:v>ER-02 reusable</x:v>
      </x:c>
      <x:c r="C81" s="10" t="str">
        <x:v>zone field</x:v>
      </x:c>
      <x:c r="D81" s="10" t="str">
        <x:v>independent</x:v>
      </x:c>
      <x:c r="E81" s="12"/>
    </x:row>
    <x:row r="82">
      <x:c r="A82" s="10" t="str">
        <x:v>CH-077</x:v>
      </x:c>
      <x:c r="B82" s="10" t="str">
        <x:v>ER-02 reusable</x:v>
      </x:c>
      <x:c r="C82" s="10" t="str">
        <x:v>zone field</x:v>
      </x:c>
      <x:c r="D82" s="10" t="str">
        <x:v>primary</x:v>
      </x:c>
      <x:c r="E82" s="12"/>
    </x:row>
    <x:row r="83">
      <x:c r="A83" s="10" t="str">
        <x:v>CH-078</x:v>
      </x:c>
      <x:c r="B83" s="10" t="str">
        <x:v>ER-02 reusable</x:v>
      </x:c>
      <x:c r="C83" s="10" t="str">
        <x:v>zone field</x:v>
      </x:c>
      <x:c r="D83" s="10" t="str">
        <x:v>independent</x:v>
      </x:c>
      <x:c r="E83" s="12"/>
    </x:row>
    <x:row r="84">
      <x:c r="A84" s="10" t="str">
        <x:v>CH-079</x:v>
      </x:c>
      <x:c r="B84" s="10" t="str">
        <x:v>ER-02 reusable</x:v>
      </x:c>
      <x:c r="C84" s="10" t="str">
        <x:v>zone field</x:v>
      </x:c>
      <x:c r="D84" s="10" t="str">
        <x:v>primary</x:v>
      </x:c>
      <x:c r="E84" s="12"/>
    </x:row>
    <x:row r="85">
      <x:c r="A85" s="10" t="str">
        <x:v>CH-080</x:v>
      </x:c>
      <x:c r="B85" s="10" t="str">
        <x:v>ER-02 reusable</x:v>
      </x:c>
      <x:c r="C85" s="10" t="str">
        <x:v>zone field</x:v>
      </x:c>
      <x:c r="D85" s="10" t="str">
        <x:v>independent</x:v>
      </x:c>
      <x:c r="E85" s="12"/>
    </x:row>
    <x:row r="86">
      <x:c r="A86" s="10" t="str">
        <x:v>CH-081</x:v>
      </x:c>
      <x:c r="B86" s="10" t="str">
        <x:v>ER-02 reusable</x:v>
      </x:c>
      <x:c r="C86" s="10" t="str">
        <x:v>zone field</x:v>
      </x:c>
      <x:c r="D86" s="10" t="str">
        <x:v>primary</x:v>
      </x:c>
      <x:c r="E86" s="12"/>
    </x:row>
    <x:row r="87">
      <x:c r="A87" s="10" t="str">
        <x:v>CH-082</x:v>
      </x:c>
      <x:c r="B87" s="10" t="str">
        <x:v>ER-02 reusable</x:v>
      </x:c>
      <x:c r="C87" s="10" t="str">
        <x:v>zone field</x:v>
      </x:c>
      <x:c r="D87" s="10" t="str">
        <x:v>independent</x:v>
      </x:c>
      <x:c r="E87" s="12"/>
    </x:row>
    <x:row r="88">
      <x:c r="A88" s="10" t="str">
        <x:v>CH-083</x:v>
      </x:c>
      <x:c r="B88" s="10" t="str">
        <x:v>ER-02 reusable</x:v>
      </x:c>
      <x:c r="C88" s="10" t="str">
        <x:v>zone field</x:v>
      </x:c>
      <x:c r="D88" s="10" t="str">
        <x:v>primary</x:v>
      </x:c>
      <x:c r="E88" s="12"/>
    </x:row>
    <x:row r="89">
      <x:c r="A89" s="10" t="str">
        <x:v>CH-084</x:v>
      </x:c>
      <x:c r="B89" s="10" t="str">
        <x:v>ER-02 reusable</x:v>
      </x:c>
      <x:c r="C89" s="10" t="str">
        <x:v>zone field</x:v>
      </x:c>
      <x:c r="D89" s="10" t="str">
        <x:v>independent</x:v>
      </x:c>
      <x:c r="E89" s="12"/>
    </x:row>
    <x:row r="90">
      <x:c r="A90" s="10" t="str">
        <x:v>CH-085</x:v>
      </x:c>
      <x:c r="B90" s="10" t="str">
        <x:v>ER-02 reusable</x:v>
      </x:c>
      <x:c r="C90" s="10" t="str">
        <x:v>zone field</x:v>
      </x:c>
      <x:c r="D90" s="10" t="str">
        <x:v>primary</x:v>
      </x:c>
      <x:c r="E90" s="12"/>
    </x:row>
    <x:row r="91">
      <x:c r="A91" s="10" t="str">
        <x:v>CH-086</x:v>
      </x:c>
      <x:c r="B91" s="10" t="str">
        <x:v>ER-02 reusable</x:v>
      </x:c>
      <x:c r="C91" s="10" t="str">
        <x:v>zone field</x:v>
      </x:c>
      <x:c r="D91" s="10" t="str">
        <x:v>independent</x:v>
      </x:c>
      <x:c r="E91" s="12"/>
    </x:row>
    <x:row r="92">
      <x:c r="A92" s="10" t="str">
        <x:v>CH-087</x:v>
      </x:c>
      <x:c r="B92" s="10" t="str">
        <x:v>ER-02 reusable</x:v>
      </x:c>
      <x:c r="C92" s="10" t="str">
        <x:v>zone field</x:v>
      </x:c>
      <x:c r="D92" s="10" t="str">
        <x:v>primary</x:v>
      </x:c>
      <x:c r="E92" s="12"/>
    </x:row>
    <x:row r="93">
      <x:c r="A93" s="10" t="str">
        <x:v>CH-088</x:v>
      </x:c>
      <x:c r="B93" s="10" t="str">
        <x:v>ER-02 reusable</x:v>
      </x:c>
      <x:c r="C93" s="10" t="str">
        <x:v>zone field</x:v>
      </x:c>
      <x:c r="D93" s="10" t="str">
        <x:v>independent</x:v>
      </x:c>
      <x:c r="E93" s="12"/>
    </x:row>
    <x:row r="94">
      <x:c r="A94" s="10" t="str">
        <x:v>CH-089</x:v>
      </x:c>
      <x:c r="B94" s="10" t="str">
        <x:v>ER-02 reusable</x:v>
      </x:c>
      <x:c r="C94" s="10" t="str">
        <x:v>zone field</x:v>
      </x:c>
      <x:c r="D94" s="10" t="str">
        <x:v>primary</x:v>
      </x:c>
      <x:c r="E94" s="12"/>
    </x:row>
    <x:row r="95">
      <x:c r="A95" s="10" t="str">
        <x:v>CH-090</x:v>
      </x:c>
      <x:c r="B95" s="10" t="str">
        <x:v>ER-02 reusable</x:v>
      </x:c>
      <x:c r="C95" s="10" t="str">
        <x:v>zone field</x:v>
      </x:c>
      <x:c r="D95" s="10" t="str">
        <x:v>independent</x:v>
      </x:c>
      <x:c r="E95" s="12"/>
    </x:row>
    <x:row r="96">
      <x:c r="A96" s="10" t="str">
        <x:v>CH-091</x:v>
      </x:c>
      <x:c r="B96" s="10" t="str">
        <x:v>ER-02 reusable</x:v>
      </x:c>
      <x:c r="C96" s="10" t="str">
        <x:v>zone field</x:v>
      </x:c>
      <x:c r="D96" s="10" t="str">
        <x:v>primary</x:v>
      </x:c>
      <x:c r="E96" s="12"/>
    </x:row>
    <x:row r="97">
      <x:c r="A97" s="10" t="str">
        <x:v>CH-092</x:v>
      </x:c>
      <x:c r="B97" s="10" t="str">
        <x:v>ER-02 reusable</x:v>
      </x:c>
      <x:c r="C97" s="10" t="str">
        <x:v>zone field</x:v>
      </x:c>
      <x:c r="D97" s="10" t="str">
        <x:v>independent</x:v>
      </x:c>
      <x:c r="E97" s="12"/>
    </x:row>
    <x:row r="98">
      <x:c r="A98" s="10" t="str">
        <x:v>CH-093</x:v>
      </x:c>
      <x:c r="B98" s="10" t="str">
        <x:v>ER-02 reusable</x:v>
      </x:c>
      <x:c r="C98" s="10" t="str">
        <x:v>zone field</x:v>
      </x:c>
      <x:c r="D98" s="10" t="str">
        <x:v>primary</x:v>
      </x:c>
      <x:c r="E98" s="12"/>
    </x:row>
    <x:row r="99">
      <x:c r="A99" s="10" t="str">
        <x:v>CH-094</x:v>
      </x:c>
      <x:c r="B99" s="10" t="str">
        <x:v>ER-02 reusable</x:v>
      </x:c>
      <x:c r="C99" s="10" t="str">
        <x:v>zone field</x:v>
      </x:c>
      <x:c r="D99" s="10" t="str">
        <x:v>independent</x:v>
      </x:c>
      <x:c r="E99" s="12"/>
    </x:row>
    <x:row r="100">
      <x:c r="A100" s="10" t="str">
        <x:v>CH-095</x:v>
      </x:c>
      <x:c r="B100" s="10" t="str">
        <x:v>ER-02 reusable</x:v>
      </x:c>
      <x:c r="C100" s="10" t="str">
        <x:v>zone field</x:v>
      </x:c>
      <x:c r="D100" s="10" t="str">
        <x:v>primary</x:v>
      </x:c>
      <x:c r="E100" s="12"/>
    </x:row>
    <x:row r="101">
      <x:c r="A101" s="10" t="str">
        <x:v>CH-096</x:v>
      </x:c>
      <x:c r="B101" s="10" t="str">
        <x:v>ER-02 reusable</x:v>
      </x:c>
      <x:c r="C101" s="10" t="str">
        <x:v>zone field</x:v>
      </x:c>
      <x:c r="D101" s="10" t="str">
        <x:v>independent</x:v>
      </x:c>
      <x:c r="E101" s="12"/>
    </x:row>
    <x:row r="102">
      <x:c r="A102" s="10" t="str">
        <x:v>CH-097</x:v>
      </x:c>
      <x:c r="B102" s="10" t="str">
        <x:v>ER-02 reusable</x:v>
      </x:c>
      <x:c r="C102" s="10" t="str">
        <x:v>custody</x:v>
      </x:c>
      <x:c r="D102" s="10" t="str">
        <x:v>primary</x:v>
      </x:c>
      <x:c r="E102" s="12"/>
    </x:row>
    <x:row r="103">
      <x:c r="A103" s="10" t="str">
        <x:v>CH-098</x:v>
      </x:c>
      <x:c r="B103" s="10" t="str">
        <x:v>ER-02 reusable</x:v>
      </x:c>
      <x:c r="C103" s="10" t="str">
        <x:v>custody</x:v>
      </x:c>
      <x:c r="D103" s="10" t="str">
        <x:v>independent</x:v>
      </x:c>
      <x:c r="E103" s="12"/>
    </x:row>
    <x:row r="104">
      <x:c r="A104" s="10" t="str">
        <x:v>CH-099</x:v>
      </x:c>
      <x:c r="B104" s="10" t="str">
        <x:v>ER-02 reusable</x:v>
      </x:c>
      <x:c r="C104" s="10" t="str">
        <x:v>custody</x:v>
      </x:c>
      <x:c r="D104" s="10" t="str">
        <x:v>primary</x:v>
      </x:c>
      <x:c r="E104" s="12"/>
    </x:row>
    <x:row r="105">
      <x:c r="A105" s="10" t="str">
        <x:v>CH-100</x:v>
      </x:c>
      <x:c r="B105" s="10" t="str">
        <x:v>ER-02 reusable</x:v>
      </x:c>
      <x:c r="C105" s="10" t="str">
        <x:v>custody</x:v>
      </x:c>
      <x:c r="D105" s="10" t="str">
        <x:v>independent</x:v>
      </x:c>
      <x:c r="E105" s="12"/>
    </x:row>
    <x:row r="106">
      <x:c r="A106" s="10" t="str">
        <x:v>CH-101</x:v>
      </x:c>
      <x:c r="B106" s="10" t="str">
        <x:v>ER-02 reusable</x:v>
      </x:c>
      <x:c r="C106" s="10" t="str">
        <x:v>custody</x:v>
      </x:c>
      <x:c r="D106" s="10" t="str">
        <x:v>primary</x:v>
      </x:c>
      <x:c r="E106" s="12"/>
    </x:row>
    <x:row r="107">
      <x:c r="A107" s="10" t="str">
        <x:v>CH-102</x:v>
      </x:c>
      <x:c r="B107" s="10" t="str">
        <x:v>ER-02 reusable</x:v>
      </x:c>
      <x:c r="C107" s="10" t="str">
        <x:v>custody</x:v>
      </x:c>
      <x:c r="D107" s="10" t="str">
        <x:v>independent</x:v>
      </x:c>
      <x:c r="E107" s="12"/>
    </x:row>
    <x:row r="108">
      <x:c r="A108" s="10" t="str">
        <x:v>CH-103</x:v>
      </x:c>
      <x:c r="B108" s="10" t="str">
        <x:v>ER-02 reusable</x:v>
      </x:c>
      <x:c r="C108" s="10" t="str">
        <x:v>custody</x:v>
      </x:c>
      <x:c r="D108" s="10" t="str">
        <x:v>primary</x:v>
      </x:c>
      <x:c r="E108" s="12"/>
    </x:row>
    <x:row r="109">
      <x:c r="A109" s="10" t="str">
        <x:v>CH-104</x:v>
      </x:c>
      <x:c r="B109" s="10" t="str">
        <x:v>ER-02 reusable</x:v>
      </x:c>
      <x:c r="C109" s="10" t="str">
        <x:v>custody</x:v>
      </x:c>
      <x:c r="D109" s="10" t="str">
        <x:v>independent</x:v>
      </x:c>
      <x:c r="E109" s="12"/>
    </x:row>
    <x:row r="110">
      <x:c r="A110" s="10" t="str">
        <x:v>CH-105</x:v>
      </x:c>
      <x:c r="B110" s="10" t="str">
        <x:v>ER-02 reusable</x:v>
      </x:c>
      <x:c r="C110" s="10" t="str">
        <x:v>custody</x:v>
      </x:c>
      <x:c r="D110" s="10" t="str">
        <x:v>primary</x:v>
      </x:c>
      <x:c r="E110" s="12"/>
    </x:row>
    <x:row r="111">
      <x:c r="A111" s="10" t="str">
        <x:v>CH-106</x:v>
      </x:c>
      <x:c r="B111" s="10" t="str">
        <x:v>ER-02 reusable</x:v>
      </x:c>
      <x:c r="C111" s="10" t="str">
        <x:v>custody</x:v>
      </x:c>
      <x:c r="D111" s="10" t="str">
        <x:v>independent</x:v>
      </x:c>
      <x:c r="E111" s="12"/>
    </x:row>
    <x:row r="112">
      <x:c r="A112" s="10" t="str">
        <x:v>CH-107</x:v>
      </x:c>
      <x:c r="B112" s="10" t="str">
        <x:v>ER-02 reusable</x:v>
      </x:c>
      <x:c r="C112" s="10" t="str">
        <x:v>custody</x:v>
      </x:c>
      <x:c r="D112" s="10" t="str">
        <x:v>primary</x:v>
      </x:c>
      <x:c r="E112" s="12"/>
    </x:row>
    <x:row r="113">
      <x:c r="A113" s="10" t="str">
        <x:v>CH-108</x:v>
      </x:c>
      <x:c r="B113" s="10" t="str">
        <x:v>ER-02 reusable</x:v>
      </x:c>
      <x:c r="C113" s="10" t="str">
        <x:v>custody</x:v>
      </x:c>
      <x:c r="D113" s="10" t="str">
        <x:v>independent</x:v>
      </x:c>
      <x:c r="E113" s="12"/>
    </x:row>
    <x:row r="114">
      <x:c r="A114" s="10" t="str">
        <x:v>CH-109</x:v>
      </x:c>
      <x:c r="B114" s="10" t="str">
        <x:v>ER-02 reusable</x:v>
      </x:c>
      <x:c r="C114" s="10" t="str">
        <x:v>custody</x:v>
      </x:c>
      <x:c r="D114" s="10" t="str">
        <x:v>primary</x:v>
      </x:c>
      <x:c r="E114" s="12"/>
    </x:row>
    <x:row r="115">
      <x:c r="A115" s="10" t="str">
        <x:v>CH-110</x:v>
      </x:c>
      <x:c r="B115" s="10" t="str">
        <x:v>ER-02 reusable</x:v>
      </x:c>
      <x:c r="C115" s="10" t="str">
        <x:v>custody</x:v>
      </x:c>
      <x:c r="D115" s="10" t="str">
        <x:v>independent</x:v>
      </x:c>
      <x:c r="E115" s="12"/>
    </x:row>
    <x:row r="116">
      <x:c r="A116" s="10" t="str">
        <x:v>CH-111</x:v>
      </x:c>
      <x:c r="B116" s="10" t="str">
        <x:v>ER-02 reusable</x:v>
      </x:c>
      <x:c r="C116" s="10" t="str">
        <x:v>custody</x:v>
      </x:c>
      <x:c r="D116" s="10" t="str">
        <x:v>primary</x:v>
      </x:c>
      <x:c r="E116" s="12"/>
    </x:row>
    <x:row r="117">
      <x:c r="A117" s="10" t="str">
        <x:v>CH-112</x:v>
      </x:c>
      <x:c r="B117" s="10" t="str">
        <x:v>ER-02 reusable</x:v>
      </x:c>
      <x:c r="C117" s="10" t="str">
        <x:v>custody</x:v>
      </x:c>
      <x:c r="D117" s="10" t="str">
        <x:v>independent</x:v>
      </x:c>
      <x:c r="E117" s="12"/>
    </x:row>
    <x:row r="118">
      <x:c r="A118" s="10" t="str">
        <x:v>CH-113</x:v>
      </x:c>
      <x:c r="B118" s="10" t="str">
        <x:v>ER-02 reusable</x:v>
      </x:c>
      <x:c r="C118" s="10" t="str">
        <x:v>custody</x:v>
      </x:c>
      <x:c r="D118" s="10" t="str">
        <x:v>primary</x:v>
      </x:c>
      <x:c r="E118" s="12"/>
    </x:row>
    <x:row r="119">
      <x:c r="A119" s="10" t="str">
        <x:v>CH-114</x:v>
      </x:c>
      <x:c r="B119" s="10" t="str">
        <x:v>ER-02 reusable</x:v>
      </x:c>
      <x:c r="C119" s="10" t="str">
        <x:v>custody</x:v>
      </x:c>
      <x:c r="D119" s="10" t="str">
        <x:v>independent</x:v>
      </x:c>
      <x:c r="E119" s="12"/>
    </x:row>
    <x:row r="120">
      <x:c r="A120" s="10" t="str">
        <x:v>CH-115</x:v>
      </x:c>
      <x:c r="B120" s="10" t="str">
        <x:v>ER-02 reusable</x:v>
      </x:c>
      <x:c r="C120" s="10" t="str">
        <x:v>custody</x:v>
      </x:c>
      <x:c r="D120" s="10" t="str">
        <x:v>primary</x:v>
      </x:c>
      <x:c r="E120" s="12"/>
    </x:row>
    <x:row r="121">
      <x:c r="A121" s="10" t="str">
        <x:v>CH-116</x:v>
      </x:c>
      <x:c r="B121" s="10" t="str">
        <x:v>ER-02 reusable</x:v>
      </x:c>
      <x:c r="C121" s="10" t="str">
        <x:v>custody</x:v>
      </x:c>
      <x:c r="D121" s="10" t="str">
        <x:v>independent</x:v>
      </x:c>
      <x:c r="E121" s="12"/>
    </x:row>
    <x:row r="122">
      <x:c r="A122" s="10" t="str">
        <x:v>CH-117</x:v>
      </x:c>
      <x:c r="B122" s="10" t="str">
        <x:v>ER-02 reusable</x:v>
      </x:c>
      <x:c r="C122" s="10" t="str">
        <x:v>custody</x:v>
      </x:c>
      <x:c r="D122" s="10" t="str">
        <x:v>primary</x:v>
      </x:c>
      <x:c r="E122" s="12"/>
    </x:row>
    <x:row r="123">
      <x:c r="A123" s="10" t="str">
        <x:v>CH-118</x:v>
      </x:c>
      <x:c r="B123" s="10" t="str">
        <x:v>ER-02 reusable</x:v>
      </x:c>
      <x:c r="C123" s="10" t="str">
        <x:v>custody</x:v>
      </x:c>
      <x:c r="D123" s="10" t="str">
        <x:v>independent</x:v>
      </x:c>
      <x:c r="E123" s="12"/>
    </x:row>
    <x:row r="124">
      <x:c r="A124" s="10" t="str">
        <x:v>CH-119</x:v>
      </x:c>
      <x:c r="B124" s="10" t="str">
        <x:v>ER-02 reusable</x:v>
      </x:c>
      <x:c r="C124" s="10" t="str">
        <x:v>custody</x:v>
      </x:c>
      <x:c r="D124" s="10" t="str">
        <x:v>primary</x:v>
      </x:c>
      <x:c r="E124" s="12"/>
    </x:row>
    <x:row r="125">
      <x:c r="A125" s="10" t="str">
        <x:v>CH-120</x:v>
      </x:c>
      <x:c r="B125" s="10" t="str">
        <x:v>ER-02 reusable</x:v>
      </x:c>
      <x:c r="C125" s="10" t="str">
        <x:v>custody</x:v>
      </x:c>
      <x:c r="D125" s="10" t="str">
        <x:v>independent</x:v>
      </x:c>
      <x:c r="E125" s="12"/>
    </x:row>
    <x:row r="126">
      <x:c r="A126" s="10" t="str">
        <x:v>CH-121</x:v>
      </x:c>
      <x:c r="B126" s="10" t="str">
        <x:v>ER-02 reusable</x:v>
      </x:c>
      <x:c r="C126" s="10" t="str">
        <x:v>safeing</x:v>
      </x:c>
      <x:c r="D126" s="10" t="str">
        <x:v>primary</x:v>
      </x:c>
      <x:c r="E126" s="12"/>
    </x:row>
    <x:row r="127">
      <x:c r="A127" s="10" t="str">
        <x:v>CH-122</x:v>
      </x:c>
      <x:c r="B127" s="10" t="str">
        <x:v>ER-02 reusable</x:v>
      </x:c>
      <x:c r="C127" s="10" t="str">
        <x:v>safeing</x:v>
      </x:c>
      <x:c r="D127" s="10" t="str">
        <x:v>independent</x:v>
      </x:c>
      <x:c r="E127" s="12"/>
    </x:row>
    <x:row r="128">
      <x:c r="A128" s="10" t="str">
        <x:v>CH-123</x:v>
      </x:c>
      <x:c r="B128" s="10" t="str">
        <x:v>ER-02 reusable</x:v>
      </x:c>
      <x:c r="C128" s="10" t="str">
        <x:v>safeing</x:v>
      </x:c>
      <x:c r="D128" s="10" t="str">
        <x:v>primary</x:v>
      </x:c>
      <x:c r="E128" s="12"/>
    </x:row>
    <x:row r="129">
      <x:c r="A129" s="10" t="str">
        <x:v>CH-124</x:v>
      </x:c>
      <x:c r="B129" s="10" t="str">
        <x:v>ER-02 reusable</x:v>
      </x:c>
      <x:c r="C129" s="10" t="str">
        <x:v>safeing</x:v>
      </x:c>
      <x:c r="D129" s="10" t="str">
        <x:v>independent</x:v>
      </x:c>
      <x:c r="E129" s="12"/>
    </x:row>
    <x:row r="130">
      <x:c r="A130" s="10" t="str">
        <x:v>CH-125</x:v>
      </x:c>
      <x:c r="B130" s="10" t="str">
        <x:v>ER-02 reusable</x:v>
      </x:c>
      <x:c r="C130" s="10" t="str">
        <x:v>safeing</x:v>
      </x:c>
      <x:c r="D130" s="10" t="str">
        <x:v>primary</x:v>
      </x:c>
      <x:c r="E130" s="12"/>
    </x:row>
    <x:row r="131">
      <x:c r="A131" s="10" t="str">
        <x:v>CH-126</x:v>
      </x:c>
      <x:c r="B131" s="10" t="str">
        <x:v>ER-02 reusable</x:v>
      </x:c>
      <x:c r="C131" s="10" t="str">
        <x:v>safeing</x:v>
      </x:c>
      <x:c r="D131" s="10" t="str">
        <x:v>independent</x:v>
      </x:c>
      <x:c r="E131" s="12"/>
    </x:row>
    <x:row r="132">
      <x:c r="A132" s="10" t="str">
        <x:v>CH-127</x:v>
      </x:c>
      <x:c r="B132" s="10" t="str">
        <x:v>ER-02 reusable</x:v>
      </x:c>
      <x:c r="C132" s="10" t="str">
        <x:v>safeing</x:v>
      </x:c>
      <x:c r="D132" s="10" t="str">
        <x:v>primary</x:v>
      </x:c>
      <x:c r="E132" s="12"/>
    </x:row>
    <x:row r="133">
      <x:c r="A133" s="10" t="str">
        <x:v>CH-128</x:v>
      </x:c>
      <x:c r="B133" s="10" t="str">
        <x:v>ER-02 reusable</x:v>
      </x:c>
      <x:c r="C133" s="10" t="str">
        <x:v>safeing</x:v>
      </x:c>
      <x:c r="D133" s="10" t="str">
        <x:v>independent</x:v>
      </x:c>
      <x:c r="E133" s="12"/>
    </x:row>
    <x:row r="134">
      <x:c r="A134" s="10" t="str">
        <x:v>CH-129</x:v>
      </x:c>
      <x:c r="B134" s="10" t="str">
        <x:v>ER-02 reusable</x:v>
      </x:c>
      <x:c r="C134" s="10" t="str">
        <x:v>safeing</x:v>
      </x:c>
      <x:c r="D134" s="10" t="str">
        <x:v>primary</x:v>
      </x:c>
      <x:c r="E134" s="12"/>
    </x:row>
    <x:row r="135">
      <x:c r="A135" s="10" t="str">
        <x:v>CH-130</x:v>
      </x:c>
      <x:c r="B135" s="10" t="str">
        <x:v>ER-02 reusable</x:v>
      </x:c>
      <x:c r="C135" s="10" t="str">
        <x:v>safeing</x:v>
      </x:c>
      <x:c r="D135" s="10" t="str">
        <x:v>independent</x:v>
      </x:c>
      <x:c r="E135" s="12"/>
    </x:row>
    <x:row r="136">
      <x:c r="A136" s="10" t="str">
        <x:v>CH-131</x:v>
      </x:c>
      <x:c r="B136" s="10" t="str">
        <x:v>ER-02 reusable</x:v>
      </x:c>
      <x:c r="C136" s="10" t="str">
        <x:v>safeing</x:v>
      </x:c>
      <x:c r="D136" s="10" t="str">
        <x:v>primary</x:v>
      </x:c>
      <x:c r="E136" s="12"/>
    </x:row>
    <x:row r="137">
      <x:c r="A137" s="10" t="str">
        <x:v>CH-132</x:v>
      </x:c>
      <x:c r="B137" s="10" t="str">
        <x:v>ER-02 reusable</x:v>
      </x:c>
      <x:c r="C137" s="10" t="str">
        <x:v>safeing</x:v>
      </x:c>
      <x:c r="D137" s="10" t="str">
        <x:v>independent</x:v>
      </x:c>
      <x:c r="E137" s="12"/>
    </x:row>
    <x:row r="138">
      <x:c r="A138" s="10" t="str">
        <x:v>CH-133</x:v>
      </x:c>
      <x:c r="B138" s="10" t="str">
        <x:v>ER-02 reusable</x:v>
      </x:c>
      <x:c r="C138" s="10" t="str">
        <x:v>safeing</x:v>
      </x:c>
      <x:c r="D138" s="10" t="str">
        <x:v>primary</x:v>
      </x:c>
      <x:c r="E138" s="12"/>
    </x:row>
    <x:row r="139">
      <x:c r="A139" s="10" t="str">
        <x:v>CH-134</x:v>
      </x:c>
      <x:c r="B139" s="10" t="str">
        <x:v>ER-02 reusable</x:v>
      </x:c>
      <x:c r="C139" s="10" t="str">
        <x:v>safeing</x:v>
      </x:c>
      <x:c r="D139" s="10" t="str">
        <x:v>independent</x:v>
      </x:c>
      <x:c r="E139" s="12"/>
    </x:row>
    <x:row r="140">
      <x:c r="A140" s="10" t="str">
        <x:v>CH-135</x:v>
      </x:c>
      <x:c r="B140" s="10" t="str">
        <x:v>ER-02 reusable</x:v>
      </x:c>
      <x:c r="C140" s="10" t="str">
        <x:v>safeing</x:v>
      </x:c>
      <x:c r="D140" s="10" t="str">
        <x:v>primary</x:v>
      </x:c>
      <x:c r="E140" s="12"/>
    </x:row>
    <x:row r="141">
      <x:c r="A141" s="10" t="str">
        <x:v>CH-136</x:v>
      </x:c>
      <x:c r="B141" s="10" t="str">
        <x:v>ER-02 reusable</x:v>
      </x:c>
      <x:c r="C141" s="10" t="str">
        <x:v>safeing</x:v>
      </x:c>
      <x:c r="D141" s="10" t="str">
        <x:v>independent</x:v>
      </x:c>
      <x:c r="E141" s="12"/>
    </x:row>
    <x:row r="142">
      <x:c r="A142" s="10" t="str">
        <x:v>CH-137</x:v>
      </x:c>
      <x:c r="B142" s="10" t="str">
        <x:v>ER-02 reusable</x:v>
      </x:c>
      <x:c r="C142" s="10" t="str">
        <x:v>safeing</x:v>
      </x:c>
      <x:c r="D142" s="10" t="str">
        <x:v>primary</x:v>
      </x:c>
      <x:c r="E142" s="12"/>
    </x:row>
    <x:row r="143">
      <x:c r="A143" s="10" t="str">
        <x:v>CH-138</x:v>
      </x:c>
      <x:c r="B143" s="10" t="str">
        <x:v>ER-02 reusable</x:v>
      </x:c>
      <x:c r="C143" s="10" t="str">
        <x:v>safeing</x:v>
      </x:c>
      <x:c r="D143" s="10" t="str">
        <x:v>independent</x:v>
      </x:c>
      <x:c r="E143" s="12"/>
    </x:row>
    <x:row r="144">
      <x:c r="A144" s="10" t="str">
        <x:v>CH-139</x:v>
      </x:c>
      <x:c r="B144" s="10" t="str">
        <x:v>ER-02 reusable</x:v>
      </x:c>
      <x:c r="C144" s="10" t="str">
        <x:v>safeing</x:v>
      </x:c>
      <x:c r="D144" s="10" t="str">
        <x:v>primary</x:v>
      </x:c>
      <x:c r="E144" s="12"/>
    </x:row>
    <x:row r="145">
      <x:c r="A145" s="10" t="str">
        <x:v>CH-140</x:v>
      </x:c>
      <x:c r="B145" s="10" t="str">
        <x:v>ER-02 reusable</x:v>
      </x:c>
      <x:c r="C145" s="10" t="str">
        <x:v>safeing</x:v>
      </x:c>
      <x:c r="D145" s="10" t="str">
        <x:v>independent</x:v>
      </x:c>
      <x:c r="E145" s="12"/>
    </x:row>
    <x:row r="146">
      <x:c r="A146" s="10" t="str">
        <x:v>CH-141</x:v>
      </x:c>
      <x:c r="B146" s="10" t="str">
        <x:v>ER-02 reusable</x:v>
      </x:c>
      <x:c r="C146" s="10" t="str">
        <x:v>safeing</x:v>
      </x:c>
      <x:c r="D146" s="10" t="str">
        <x:v>primary</x:v>
      </x:c>
      <x:c r="E146" s="12"/>
    </x:row>
    <x:row r="147">
      <x:c r="A147" s="10" t="str">
        <x:v>CH-142</x:v>
      </x:c>
      <x:c r="B147" s="10" t="str">
        <x:v>ER-02 reusable</x:v>
      </x:c>
      <x:c r="C147" s="10" t="str">
        <x:v>safeing</x:v>
      </x:c>
      <x:c r="D147" s="10" t="str">
        <x:v>independent</x:v>
      </x:c>
      <x:c r="E147" s="12"/>
    </x:row>
    <x:row r="148">
      <x:c r="A148" s="10" t="str">
        <x:v>CH-143</x:v>
      </x:c>
      <x:c r="B148" s="10" t="str">
        <x:v>ER-02 reusable</x:v>
      </x:c>
      <x:c r="C148" s="10" t="str">
        <x:v>safeing</x:v>
      </x:c>
      <x:c r="D148" s="10" t="str">
        <x:v>primary</x:v>
      </x:c>
      <x:c r="E148" s="12"/>
    </x:row>
    <x:row r="149">
      <x:c r="A149" s="10" t="str">
        <x:v>CH-144</x:v>
      </x:c>
      <x:c r="B149" s="10" t="str">
        <x:v>ER-02 reusable</x:v>
      </x:c>
      <x:c r="C149" s="10" t="str">
        <x:v>safeing</x:v>
      </x:c>
      <x:c r="D149" s="10" t="str">
        <x:v>independent</x:v>
      </x:c>
      <x:c r="E149" s="12"/>
    </x:row>
    <x:row r="150">
      <x:c r="A150" s="10" t="str">
        <x:v>CH-145</x:v>
      </x:c>
      <x:c r="B150" s="10" t="str">
        <x:v>ER-02 reusable</x:v>
      </x:c>
      <x:c r="C150" s="10" t="str">
        <x:v>environment</x:v>
      </x:c>
      <x:c r="D150" s="10" t="str">
        <x:v>primary</x:v>
      </x:c>
      <x:c r="E150" s="12"/>
    </x:row>
    <x:row r="151">
      <x:c r="A151" s="10" t="str">
        <x:v>CH-146</x:v>
      </x:c>
      <x:c r="B151" s="10" t="str">
        <x:v>ER-02 reusable</x:v>
      </x:c>
      <x:c r="C151" s="10" t="str">
        <x:v>environment</x:v>
      </x:c>
      <x:c r="D151" s="10" t="str">
        <x:v>independent</x:v>
      </x:c>
      <x:c r="E151" s="12"/>
    </x:row>
    <x:row r="152">
      <x:c r="A152" s="10" t="str">
        <x:v>CH-147</x:v>
      </x:c>
      <x:c r="B152" s="10" t="str">
        <x:v>ER-02 reusable</x:v>
      </x:c>
      <x:c r="C152" s="10" t="str">
        <x:v>environment</x:v>
      </x:c>
      <x:c r="D152" s="10" t="str">
        <x:v>primary</x:v>
      </x:c>
      <x:c r="E152" s="12"/>
    </x:row>
    <x:row r="153">
      <x:c r="A153" s="10" t="str">
        <x:v>CH-148</x:v>
      </x:c>
      <x:c r="B153" s="10" t="str">
        <x:v>ER-02 reusable</x:v>
      </x:c>
      <x:c r="C153" s="10" t="str">
        <x:v>environment</x:v>
      </x:c>
      <x:c r="D153" s="10" t="str">
        <x:v>independent</x:v>
      </x:c>
      <x:c r="E153" s="12"/>
    </x:row>
    <x:row r="154">
      <x:c r="A154" s="10" t="str">
        <x:v>CH-149</x:v>
      </x:c>
      <x:c r="B154" s="10" t="str">
        <x:v>ER-02 reusable</x:v>
      </x:c>
      <x:c r="C154" s="10" t="str">
        <x:v>environment</x:v>
      </x:c>
      <x:c r="D154" s="10" t="str">
        <x:v>primary</x:v>
      </x:c>
      <x:c r="E154" s="12"/>
    </x:row>
    <x:row r="155">
      <x:c r="A155" s="10" t="str">
        <x:v>CH-150</x:v>
      </x:c>
      <x:c r="B155" s="10" t="str">
        <x:v>ER-02 reusable</x:v>
      </x:c>
      <x:c r="C155" s="10" t="str">
        <x:v>environment</x:v>
      </x:c>
      <x:c r="D155" s="10" t="str">
        <x:v>independent</x:v>
      </x:c>
      <x:c r="E155" s="12"/>
    </x:row>
    <x:row r="156">
      <x:c r="A156" s="10" t="str">
        <x:v>CH-151</x:v>
      </x:c>
      <x:c r="B156" s="10" t="str">
        <x:v>ER-02 reusable</x:v>
      </x:c>
      <x:c r="C156" s="10" t="str">
        <x:v>environment</x:v>
      </x:c>
      <x:c r="D156" s="10" t="str">
        <x:v>primary</x:v>
      </x:c>
      <x:c r="E156" s="12"/>
    </x:row>
    <x:row r="157">
      <x:c r="A157" s="10" t="str">
        <x:v>CH-152</x:v>
      </x:c>
      <x:c r="B157" s="10" t="str">
        <x:v>ER-02 reusable</x:v>
      </x:c>
      <x:c r="C157" s="10" t="str">
        <x:v>environment</x:v>
      </x:c>
      <x:c r="D157" s="10" t="str">
        <x:v>independent</x:v>
      </x:c>
      <x:c r="E157" s="12"/>
    </x:row>
    <x:row r="158">
      <x:c r="A158" s="10" t="str">
        <x:v>CH-153</x:v>
      </x:c>
      <x:c r="B158" s="10" t="str">
        <x:v>ER-02 reusable</x:v>
      </x:c>
      <x:c r="C158" s="10" t="str">
        <x:v>environment</x:v>
      </x:c>
      <x:c r="D158" s="10" t="str">
        <x:v>primary</x:v>
      </x:c>
      <x:c r="E158" s="12"/>
    </x:row>
    <x:row r="159">
      <x:c r="A159" s="10" t="str">
        <x:v>CH-154</x:v>
      </x:c>
      <x:c r="B159" s="10" t="str">
        <x:v>ER-02 reusable</x:v>
      </x:c>
      <x:c r="C159" s="10" t="str">
        <x:v>environment</x:v>
      </x:c>
      <x:c r="D159" s="10" t="str">
        <x:v>independent</x:v>
      </x:c>
      <x:c r="E159" s="12"/>
    </x:row>
    <x:row r="160">
      <x:c r="A160" s="10" t="str">
        <x:v>CH-155</x:v>
      </x:c>
      <x:c r="B160" s="10" t="str">
        <x:v>ER-02 reusable</x:v>
      </x:c>
      <x:c r="C160" s="10" t="str">
        <x:v>environment</x:v>
      </x:c>
      <x:c r="D160" s="10" t="str">
        <x:v>primary</x:v>
      </x:c>
      <x:c r="E160" s="12"/>
    </x:row>
    <x:row r="161">
      <x:c r="A161" s="10" t="str">
        <x:v>CH-156</x:v>
      </x:c>
      <x:c r="B161" s="10" t="str">
        <x:v>ER-02 reusable</x:v>
      </x:c>
      <x:c r="C161" s="10" t="str">
        <x:v>environment</x:v>
      </x:c>
      <x:c r="D161" s="10" t="str">
        <x:v>independent</x:v>
      </x:c>
      <x:c r="E161" s="12"/>
    </x:row>
    <x:row r="162">
      <x:c r="A162" s="10" t="str">
        <x:v>CH-157</x:v>
      </x:c>
      <x:c r="B162" s="10" t="str">
        <x:v>ER-02 reusable</x:v>
      </x:c>
      <x:c r="C162" s="10" t="str">
        <x:v>environment</x:v>
      </x:c>
      <x:c r="D162" s="10" t="str">
        <x:v>primary</x:v>
      </x:c>
      <x:c r="E162" s="12"/>
    </x:row>
    <x:row r="163">
      <x:c r="A163" s="10" t="str">
        <x:v>CH-158</x:v>
      </x:c>
      <x:c r="B163" s="10" t="str">
        <x:v>ER-02 reusable</x:v>
      </x:c>
      <x:c r="C163" s="10" t="str">
        <x:v>environment</x:v>
      </x:c>
      <x:c r="D163" s="10" t="str">
        <x:v>independent</x:v>
      </x:c>
      <x:c r="E163" s="12"/>
    </x:row>
    <x:row r="164">
      <x:c r="A164" s="10" t="str">
        <x:v>CH-159</x:v>
      </x:c>
      <x:c r="B164" s="10" t="str">
        <x:v>ER-02 reusable</x:v>
      </x:c>
      <x:c r="C164" s="10" t="str">
        <x:v>environment</x:v>
      </x:c>
      <x:c r="D164" s="10" t="str">
        <x:v>primary</x:v>
      </x:c>
      <x:c r="E164" s="12"/>
    </x:row>
    <x:row r="165">
      <x:c r="A165" s="10" t="str">
        <x:v>CH-160</x:v>
      </x:c>
      <x:c r="B165" s="10" t="str">
        <x:v>ER-02 reusable</x:v>
      </x:c>
      <x:c r="C165" s="10" t="str">
        <x:v>environment</x:v>
      </x:c>
      <x:c r="D165" s="10" t="str">
        <x:v>independent</x:v>
      </x:c>
      <x:c r="E165" s="12"/>
    </x:row>
    <x:row r="166">
      <x:c r="A166" s="10" t="str">
        <x:v>CH-161</x:v>
      </x:c>
      <x:c r="B166" s="10" t="str">
        <x:v>ER-02 reusable</x:v>
      </x:c>
      <x:c r="C166" s="10" t="str">
        <x:v>timing and control</x:v>
      </x:c>
      <x:c r="D166" s="10" t="str">
        <x:v>primary</x:v>
      </x:c>
      <x:c r="E166" s="12"/>
    </x:row>
    <x:row r="167">
      <x:c r="A167" s="10" t="str">
        <x:v>CH-162</x:v>
      </x:c>
      <x:c r="B167" s="10" t="str">
        <x:v>ER-02 reusable</x:v>
      </x:c>
      <x:c r="C167" s="10" t="str">
        <x:v>timing and control</x:v>
      </x:c>
      <x:c r="D167" s="10" t="str">
        <x:v>independent</x:v>
      </x:c>
      <x:c r="E167" s="12"/>
    </x:row>
    <x:row r="168">
      <x:c r="A168" s="10" t="str">
        <x:v>CH-163</x:v>
      </x:c>
      <x:c r="B168" s="10" t="str">
        <x:v>ER-02 reusable</x:v>
      </x:c>
      <x:c r="C168" s="10" t="str">
        <x:v>timing and control</x:v>
      </x:c>
      <x:c r="D168" s="10" t="str">
        <x:v>primary</x:v>
      </x:c>
      <x:c r="E168" s="12"/>
    </x:row>
    <x:row r="169">
      <x:c r="A169" s="10" t="str">
        <x:v>CH-164</x:v>
      </x:c>
      <x:c r="B169" s="10" t="str">
        <x:v>ER-02 reusable</x:v>
      </x:c>
      <x:c r="C169" s="10" t="str">
        <x:v>timing and control</x:v>
      </x:c>
      <x:c r="D169" s="10" t="str">
        <x:v>independent</x:v>
      </x:c>
      <x:c r="E169" s="12"/>
    </x:row>
    <x:row r="170">
      <x:c r="A170" s="10" t="str">
        <x:v>CH-165</x:v>
      </x:c>
      <x:c r="B170" s="10" t="str">
        <x:v>ER-02 reusable</x:v>
      </x:c>
      <x:c r="C170" s="10" t="str">
        <x:v>timing and control</x:v>
      </x:c>
      <x:c r="D170" s="10" t="str">
        <x:v>primary</x:v>
      </x:c>
      <x:c r="E170" s="12"/>
    </x:row>
    <x:row r="171">
      <x:c r="A171" s="10" t="str">
        <x:v>CH-166</x:v>
      </x:c>
      <x:c r="B171" s="10" t="str">
        <x:v>ER-02 reusable</x:v>
      </x:c>
      <x:c r="C171" s="10" t="str">
        <x:v>timing and control</x:v>
      </x:c>
      <x:c r="D171" s="10" t="str">
        <x:v>independent</x:v>
      </x:c>
      <x:c r="E171" s="12"/>
    </x:row>
    <x:row r="172">
      <x:c r="A172" s="10" t="str">
        <x:v>CH-167</x:v>
      </x:c>
      <x:c r="B172" s="10" t="str">
        <x:v>ER-02 reusable</x:v>
      </x:c>
      <x:c r="C172" s="10" t="str">
        <x:v>timing and control</x:v>
      </x:c>
      <x:c r="D172" s="10" t="str">
        <x:v>primary</x:v>
      </x:c>
      <x:c r="E172" s="12"/>
    </x:row>
    <x:row r="173">
      <x:c r="A173" s="10" t="str">
        <x:v>CH-168</x:v>
      </x:c>
      <x:c r="B173" s="10" t="str">
        <x:v>ER-02 reusable</x:v>
      </x:c>
      <x:c r="C173" s="10" t="str">
        <x:v>timing and control</x:v>
      </x:c>
      <x:c r="D173" s="10" t="str">
        <x:v>independent</x:v>
      </x:c>
      <x:c r="E173" s="12"/>
    </x:row>
    <x:row r="174">
      <x:c r="A174" s="10" t="str">
        <x:v>CH-169</x:v>
      </x:c>
      <x:c r="B174" s="10" t="str">
        <x:v>ER-02 reusable</x:v>
      </x:c>
      <x:c r="C174" s="10" t="str">
        <x:v>timing and control</x:v>
      </x:c>
      <x:c r="D174" s="10" t="str">
        <x:v>primary</x:v>
      </x:c>
      <x:c r="E174" s="12"/>
    </x:row>
    <x:row r="175">
      <x:c r="A175" s="10" t="str">
        <x:v>CH-170</x:v>
      </x:c>
      <x:c r="B175" s="10" t="str">
        <x:v>ER-02 reusable</x:v>
      </x:c>
      <x:c r="C175" s="10" t="str">
        <x:v>timing and control</x:v>
      </x:c>
      <x:c r="D175" s="10" t="str">
        <x:v>independent</x:v>
      </x:c>
      <x:c r="E175" s="12"/>
    </x:row>
    <x:row r="176">
      <x:c r="A176" s="10" t="str">
        <x:v>CH-171</x:v>
      </x:c>
      <x:c r="B176" s="10" t="str">
        <x:v>ER-02 reusable</x:v>
      </x:c>
      <x:c r="C176" s="10" t="str">
        <x:v>timing and control</x:v>
      </x:c>
      <x:c r="D176" s="10" t="str">
        <x:v>primary</x:v>
      </x:c>
      <x:c r="E176" s="12"/>
    </x:row>
    <x:row r="177">
      <x:c r="A177" s="10" t="str">
        <x:v>CH-172</x:v>
      </x:c>
      <x:c r="B177" s="10" t="str">
        <x:v>ER-02 reusable</x:v>
      </x:c>
      <x:c r="C177" s="10" t="str">
        <x:v>timing and control</x:v>
      </x:c>
      <x:c r="D177" s="10" t="str">
        <x:v>independent</x:v>
      </x:c>
      <x:c r="E177" s="12"/>
    </x:row>
    <x:row r="178">
      <x:c r="A178" s="10" t="str">
        <x:v>CH-173</x:v>
      </x:c>
      <x:c r="B178" s="10" t="str">
        <x:v>ER-02 reusable</x:v>
      </x:c>
      <x:c r="C178" s="10" t="str">
        <x:v>timing and control</x:v>
      </x:c>
      <x:c r="D178" s="10" t="str">
        <x:v>primary</x:v>
      </x:c>
      <x:c r="E178" s="12"/>
    </x:row>
    <x:row r="179">
      <x:c r="A179" s="10" t="str">
        <x:v>CH-174</x:v>
      </x:c>
      <x:c r="B179" s="10" t="str">
        <x:v>ER-02 reusable</x:v>
      </x:c>
      <x:c r="C179" s="10" t="str">
        <x:v>timing and control</x:v>
      </x:c>
      <x:c r="D179" s="10" t="str">
        <x:v>independent</x:v>
      </x:c>
      <x:c r="E179" s="12"/>
    </x:row>
    <x:row r="180">
      <x:c r="A180" s="10" t="str">
        <x:v>CH-175</x:v>
      </x:c>
      <x:c r="B180" s="10" t="str">
        <x:v>ER-02 reusable</x:v>
      </x:c>
      <x:c r="C180" s="10" t="str">
        <x:v>timing and control</x:v>
      </x:c>
      <x:c r="D180" s="10" t="str">
        <x:v>primary</x:v>
      </x:c>
      <x:c r="E180" s="12"/>
    </x:row>
    <x:row r="181">
      <x:c r="A181" s="10" t="str">
        <x:v>CH-176</x:v>
      </x:c>
      <x:c r="B181" s="10" t="str">
        <x:v>ER-02 reusable</x:v>
      </x:c>
      <x:c r="C181" s="10" t="str">
        <x:v>timing and control</x:v>
      </x:c>
      <x:c r="D181" s="10" t="str">
        <x:v>independent</x:v>
      </x:c>
      <x:c r="E181" s="12"/>
    </x:row>
    <x:row r="182">
      <x:c r="A182" s="10" t="str">
        <x:v>CH-177</x:v>
      </x:c>
      <x:c r="B182" s="10" t="str">
        <x:v>ER-02 reusable</x:v>
      </x:c>
      <x:c r="C182" s="10" t="str">
        <x:v>independent replay</x:v>
      </x:c>
      <x:c r="D182" s="10" t="str">
        <x:v>primary</x:v>
      </x:c>
      <x:c r="E182" s="12"/>
    </x:row>
    <x:row r="183">
      <x:c r="A183" s="10" t="str">
        <x:v>CH-178</x:v>
      </x:c>
      <x:c r="B183" s="10" t="str">
        <x:v>ER-02 reusable</x:v>
      </x:c>
      <x:c r="C183" s="10" t="str">
        <x:v>independent replay</x:v>
      </x:c>
      <x:c r="D183" s="10" t="str">
        <x:v>independent</x:v>
      </x:c>
      <x:c r="E183" s="12"/>
    </x:row>
    <x:row r="184">
      <x:c r="A184" s="10" t="str">
        <x:v>CH-179</x:v>
      </x:c>
      <x:c r="B184" s="10" t="str">
        <x:v>ER-02 reusable</x:v>
      </x:c>
      <x:c r="C184" s="10" t="str">
        <x:v>independent replay</x:v>
      </x:c>
      <x:c r="D184" s="10" t="str">
        <x:v>primary</x:v>
      </x:c>
      <x:c r="E184" s="12"/>
    </x:row>
    <x:row r="185">
      <x:c r="A185" s="10" t="str">
        <x:v>CH-180</x:v>
      </x:c>
      <x:c r="B185" s="10" t="str">
        <x:v>ER-02 reusable</x:v>
      </x:c>
      <x:c r="C185" s="10" t="str">
        <x:v>independent replay</x:v>
      </x:c>
      <x:c r="D185" s="10" t="str">
        <x:v>independent</x:v>
      </x:c>
      <x:c r="E185" s="12"/>
    </x:row>
    <x:row r="186">
      <x:c r="A186" s="10" t="str">
        <x:v>CH-181</x:v>
      </x:c>
      <x:c r="B186" s="10" t="str">
        <x:v>ER-02 reusable</x:v>
      </x:c>
      <x:c r="C186" s="10" t="str">
        <x:v>independent replay</x:v>
      </x:c>
      <x:c r="D186" s="10" t="str">
        <x:v>primary</x:v>
      </x:c>
      <x:c r="E186" s="12"/>
    </x:row>
    <x:row r="187">
      <x:c r="A187" s="10" t="str">
        <x:v>CH-182</x:v>
      </x:c>
      <x:c r="B187" s="10" t="str">
        <x:v>ER-02 reusable</x:v>
      </x:c>
      <x:c r="C187" s="10" t="str">
        <x:v>independent replay</x:v>
      </x:c>
      <x:c r="D187" s="10" t="str">
        <x:v>independent</x:v>
      </x:c>
      <x:c r="E187" s="12"/>
    </x:row>
    <x:row r="188">
      <x:c r="A188" s="10" t="str">
        <x:v>CH-183</x:v>
      </x:c>
      <x:c r="B188" s="10" t="str">
        <x:v>ER-02 reusable</x:v>
      </x:c>
      <x:c r="C188" s="10" t="str">
        <x:v>independent replay</x:v>
      </x:c>
      <x:c r="D188" s="10" t="str">
        <x:v>primary</x:v>
      </x:c>
      <x:c r="E188" s="12"/>
    </x:row>
    <x:row r="189">
      <x:c r="A189" s="10" t="str">
        <x:v>CH-184</x:v>
      </x:c>
      <x:c r="B189" s="10" t="str">
        <x:v>ER-02 reusable</x:v>
      </x:c>
      <x:c r="C189" s="10" t="str">
        <x:v>independent replay</x:v>
      </x:c>
      <x:c r="D189" s="10" t="str">
        <x:v>independent</x:v>
      </x:c>
      <x:c r="E189" s="12"/>
    </x:row>
    <x:row r="190">
      <x:c r="A190" s="10" t="str">
        <x:v>CH-185</x:v>
      </x:c>
      <x:c r="B190" s="10" t="str">
        <x:v>ER-02 reusable</x:v>
      </x:c>
      <x:c r="C190" s="10" t="str">
        <x:v>independent replay</x:v>
      </x:c>
      <x:c r="D190" s="10" t="str">
        <x:v>primary</x:v>
      </x:c>
      <x:c r="E190" s="12"/>
    </x:row>
    <x:row r="191">
      <x:c r="A191" s="10" t="str">
        <x:v>CH-186</x:v>
      </x:c>
      <x:c r="B191" s="10" t="str">
        <x:v>ER-02 reusable</x:v>
      </x:c>
      <x:c r="C191" s="10" t="str">
        <x:v>independent replay</x:v>
      </x:c>
      <x:c r="D191" s="10" t="str">
        <x:v>independent</x:v>
      </x:c>
      <x:c r="E191" s="12"/>
    </x:row>
    <x:row r="192">
      <x:c r="A192" s="10" t="str">
        <x:v>CH-187</x:v>
      </x:c>
      <x:c r="B192" s="10" t="str">
        <x:v>ER-02 reusable</x:v>
      </x:c>
      <x:c r="C192" s="10" t="str">
        <x:v>independent replay</x:v>
      </x:c>
      <x:c r="D192" s="10" t="str">
        <x:v>primary</x:v>
      </x:c>
      <x:c r="E192" s="12"/>
    </x:row>
    <x:row r="193">
      <x:c r="A193" s="10" t="str">
        <x:v>CH-188</x:v>
      </x:c>
      <x:c r="B193" s="10" t="str">
        <x:v>ER-02 reusable</x:v>
      </x:c>
      <x:c r="C193" s="10" t="str">
        <x:v>independent replay</x:v>
      </x:c>
      <x:c r="D193" s="10" t="str">
        <x:v>independent</x:v>
      </x:c>
      <x:c r="E193" s="12"/>
    </x:row>
    <x:row r="194">
      <x:c r="A194" s="10" t="str">
        <x:v>CH-189</x:v>
      </x:c>
      <x:c r="B194" s="10" t="str">
        <x:v>ER-02 reusable</x:v>
      </x:c>
      <x:c r="C194" s="10" t="str">
        <x:v>independent replay</x:v>
      </x:c>
      <x:c r="D194" s="10" t="str">
        <x:v>primary</x:v>
      </x:c>
      <x:c r="E194" s="12"/>
    </x:row>
    <x:row r="195">
      <x:c r="A195" s="10" t="str">
        <x:v>CH-190</x:v>
      </x:c>
      <x:c r="B195" s="10" t="str">
        <x:v>ER-02 reusable</x:v>
      </x:c>
      <x:c r="C195" s="10" t="str">
        <x:v>independent replay</x:v>
      </x:c>
      <x:c r="D195" s="10" t="str">
        <x:v>independent</x:v>
      </x:c>
      <x:c r="E195" s="12"/>
    </x:row>
    <x:row r="196">
      <x:c r="A196" s="10" t="str">
        <x:v>CH-191</x:v>
      </x:c>
      <x:c r="B196" s="10" t="str">
        <x:v>ER-02 reusable</x:v>
      </x:c>
      <x:c r="C196" s="10" t="str">
        <x:v>independent replay</x:v>
      </x:c>
      <x:c r="D196" s="10" t="str">
        <x:v>primary</x:v>
      </x:c>
      <x:c r="E196" s="12"/>
    </x:row>
    <x:row r="197">
      <x:c r="A197" s="10" t="str">
        <x:v>CH-192</x:v>
      </x:c>
      <x:c r="B197" s="10" t="str">
        <x:v>ER-02 reusable</x:v>
      </x:c>
      <x:c r="C197" s="10" t="str">
        <x:v>independent replay</x:v>
      </x:c>
      <x:c r="D197" s="10" t="str">
        <x:v>independent</x:v>
      </x:c>
      <x:c r="E197" s="12"/>
    </x:row>
  </x:sheetData>
  <x:mergeCells>
    <x:mergeCell ref="A2:E2"/>
  </x:mergeCells>
  <x:conditionalFormatting sqref="E6:E197">
    <x:cfRule type="containsText" dxfId="60" priority="1" operator="containsText" text="DENY"/>
    <x:cfRule type="containsText" dxfId="61" priority="2" operator="containsText" text="ADVERSE"/>
    <x:cfRule type="containsText" dxfId="62" priority="3" operator="containsText" text="FAIL"/>
    <x:cfRule type="containsText" dxfId="63" priority="4" operator="containsText" text="OPEN"/>
    <x:cfRule type="containsText" dxfId="6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0b7cbc85858f460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5" hidden="0" customWidth="1"/>
    <x:col min="4" max="4" width="18" hidden="0" customWidth="1"/>
    <x:col min="5" max="5" width="17" hidden="0" customWidth="1"/>
    <x:col min="6" max="6" width="14" hidden="0" customWidth="1"/>
    <x:col min="7" max="7" width="17" hidden="0" customWidth="1"/>
    <x:col min="8" max="8" width="17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5" hidden="0" customWidth="1"/>
  </x:cols>
  <x:sheetData>
    <x:row r="2" ht="24" customHeight="1">
      <x:c r="A2" s="1" t="str">
        <x:v>Wet-return closure by event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8" t="str">
        <x:v>Event</x:v>
      </x:c>
      <x:c r="B5" s="8" t="str">
        <x:v>Required hours</x:v>
      </x:c>
      <x:c r="C5" s="8" t="str">
        <x:v>Elapsed hours</x:v>
      </x:c>
      <x:c r="D5" s="8" t="str">
        <x:v>Required decisions</x:v>
      </x:c>
      <x:c r="E5" s="8" t="str">
        <x:v>Closed decisions</x:v>
      </x:c>
      <x:c r="F5" s="8" t="str">
        <x:v>Retained m³</x:v>
      </x:c>
      <x:c r="G5" s="8" t="str">
        <x:v>Identity recovery</x:v>
      </x:c>
      <x:c r="H5" s="8" t="str">
        <x:v>Unrelated fraction</x:v>
      </x:c>
      <x:c r="I5" s="8" t="str">
        <x:v>Seal</x:v>
      </x:c>
      <x:c r="J5" s="8" t="str">
        <x:v>Custody</x:v>
      </x:c>
      <x:c r="K5" s="8" t="str">
        <x:v>Replay</x:v>
      </x:c>
      <x:c r="L5" s="8" t="str">
        <x:v>Authority</x:v>
      </x:c>
      <x:c r="M5" s="8" t="str">
        <x:v>State</x:v>
      </x:c>
    </x:row>
    <x:row r="6">
      <x:c r="A6" s="10" t="str">
        <x:v>EV-01</x:v>
      </x:c>
      <x:c r="B6" s="10" t="n">
        <x:v>336</x:v>
      </x:c>
      <x:c r="C6" s="12"/>
      <x:c r="D6" s="10" t="n">
        <x:v>20</x:v>
      </x:c>
      <x:c r="E6" s="12"/>
      <x:c r="F6" s="12"/>
      <x:c r="G6" s="12"/>
      <x:c r="H6" s="12"/>
      <x:c r="I6" s="12"/>
      <x:c r="J6" s="12"/>
      <x:c r="K6" s="12"/>
      <x:c r="L6" s="12"/>
      <x:c r="M6" s="10" t="str">
        <x:f>IF(COUNT(C6,E6:H6)&lt;5,"OPEN",IF(COUNTA(I6:L6)&lt;4,"OPEN",IF(AND(C6&gt;=B6,E6=D6,F6&lt;='Assumptions'!$B$45,G6&gt;='Assumptions'!$B$42,H6&lt;='Assumptions'!$B$43,I6="ACCEPTED",J6="ACCEPTED",K6="ACCEPTED",L6="ACCEPTED"),"ACCEPTED","DENY")))</x:f>
        <x:v>OPEN</x:v>
      </x:c>
    </x:row>
    <x:row r="7">
      <x:c r="A7" s="10" t="str">
        <x:v>EV-02</x:v>
      </x:c>
      <x:c r="B7" s="10" t="n">
        <x:v>336</x:v>
      </x:c>
      <x:c r="C7" s="12"/>
      <x:c r="D7" s="10" t="n">
        <x:v>20</x:v>
      </x:c>
      <x:c r="E7" s="12"/>
      <x:c r="F7" s="12"/>
      <x:c r="G7" s="12"/>
      <x:c r="H7" s="12"/>
      <x:c r="I7" s="12"/>
      <x:c r="J7" s="12"/>
      <x:c r="K7" s="12"/>
      <x:c r="L7" s="12"/>
      <x:c r="M7" s="10" t="str">
        <x:f>IF(COUNT(C7,E7:H7)&lt;5,"OPEN",IF(COUNTA(I7:L7)&lt;4,"OPEN",IF(AND(C7&gt;=B7,E7=D7,F7&lt;='Assumptions'!$B$45,G7&gt;='Assumptions'!$B$42,H7&lt;='Assumptions'!$B$43,I7="ACCEPTED",J7="ACCEPTED",K7="ACCEPTED",L7="ACCEPTED"),"ACCEPTED","DENY")))</x:f>
        <x:v>OPEN</x:v>
      </x:c>
    </x:row>
    <x:row r="8">
      <x:c r="A8" s="10" t="str">
        <x:v>EV-03</x:v>
      </x:c>
      <x:c r="B8" s="10" t="n">
        <x:v>336</x:v>
      </x:c>
      <x:c r="C8" s="12"/>
      <x:c r="D8" s="10" t="n">
        <x:v>20</x:v>
      </x:c>
      <x:c r="E8" s="12"/>
      <x:c r="F8" s="12"/>
      <x:c r="G8" s="12"/>
      <x:c r="H8" s="12"/>
      <x:c r="I8" s="12"/>
      <x:c r="J8" s="12"/>
      <x:c r="K8" s="12"/>
      <x:c r="L8" s="12"/>
      <x:c r="M8" s="10" t="str">
        <x:f>IF(COUNT(C8,E8:H8)&lt;5,"OPEN",IF(COUNTA(I8:L8)&lt;4,"OPEN",IF(AND(C8&gt;=B8,E8=D8,F8&lt;='Assumptions'!$B$45,G8&gt;='Assumptions'!$B$42,H8&lt;='Assumptions'!$B$43,I8="ACCEPTED",J8="ACCEPTED",K8="ACCEPTED",L8="ACCEPTED"),"ACCEPTED","DENY")))</x:f>
        <x:v>OPEN</x:v>
      </x:c>
    </x:row>
    <x:row r="9">
      <x:c r="A9" s="10" t="str">
        <x:v>EV-04</x:v>
      </x:c>
      <x:c r="B9" s="10" t="n">
        <x:v>336</x:v>
      </x:c>
      <x:c r="C9" s="12"/>
      <x:c r="D9" s="10" t="n">
        <x:v>20</x:v>
      </x:c>
      <x:c r="E9" s="12"/>
      <x:c r="F9" s="12"/>
      <x:c r="G9" s="12"/>
      <x:c r="H9" s="12"/>
      <x:c r="I9" s="12"/>
      <x:c r="J9" s="12"/>
      <x:c r="K9" s="12"/>
      <x:c r="L9" s="12"/>
      <x:c r="M9" s="10" t="str">
        <x:f>IF(COUNT(C9,E9:H9)&lt;5,"OPEN",IF(COUNTA(I9:L9)&lt;4,"OPEN",IF(AND(C9&gt;=B9,E9=D9,F9&lt;='Assumptions'!$B$45,G9&gt;='Assumptions'!$B$42,H9&lt;='Assumptions'!$B$43,I9="ACCEPTED",J9="ACCEPTED",K9="ACCEPTED",L9="ACCEPTED"),"ACCEPTED","DENY")))</x:f>
        <x:v>OPEN</x:v>
      </x:c>
    </x:row>
    <x:row r="10">
      <x:c r="A10" s="10" t="str">
        <x:v>EV-05</x:v>
      </x:c>
      <x:c r="B10" s="10" t="n">
        <x:v>336</x:v>
      </x:c>
      <x:c r="C10" s="12"/>
      <x:c r="D10" s="10" t="n">
        <x:v>20</x:v>
      </x:c>
      <x:c r="E10" s="12"/>
      <x:c r="F10" s="12"/>
      <x:c r="G10" s="12"/>
      <x:c r="H10" s="12"/>
      <x:c r="I10" s="12"/>
      <x:c r="J10" s="12"/>
      <x:c r="K10" s="12"/>
      <x:c r="L10" s="12"/>
      <x:c r="M10" s="10" t="str">
        <x:f>IF(COUNT(C10,E10:H10)&lt;5,"OPEN",IF(COUNTA(I10:L10)&lt;4,"OPEN",IF(AND(C10&gt;=B10,E10=D10,F10&lt;='Assumptions'!$B$45,G10&gt;='Assumptions'!$B$42,H10&lt;='Assumptions'!$B$43,I10="ACCEPTED",J10="ACCEPTED",K10="ACCEPTED",L10="ACCEPTED"),"ACCEPTED","DENY")))</x:f>
        <x:v>OPEN</x:v>
      </x:c>
    </x:row>
    <x:row r="11">
      <x:c r="A11" s="10" t="str">
        <x:v>EV-06</x:v>
      </x:c>
      <x:c r="B11" s="10" t="n">
        <x:v>336</x:v>
      </x:c>
      <x:c r="C11" s="12"/>
      <x:c r="D11" s="10" t="n">
        <x:v>20</x:v>
      </x:c>
      <x:c r="E11" s="12"/>
      <x:c r="F11" s="12"/>
      <x:c r="G11" s="12"/>
      <x:c r="H11" s="12"/>
      <x:c r="I11" s="12"/>
      <x:c r="J11" s="12"/>
      <x:c r="K11" s="12"/>
      <x:c r="L11" s="12"/>
      <x:c r="M11" s="10" t="str">
        <x:f>IF(COUNT(C11,E11:H11)&lt;5,"OPEN",IF(COUNTA(I11:L11)&lt;4,"OPEN",IF(AND(C11&gt;=B11,E11=D11,F11&lt;='Assumptions'!$B$45,G11&gt;='Assumptions'!$B$42,H11&lt;='Assumptions'!$B$43,I11="ACCEPTED",J11="ACCEPTED",K11="ACCEPTED",L11="ACCEPTED"),"ACCEPTED","DENY")))</x:f>
        <x:v>OPEN</x:v>
      </x:c>
    </x:row>
    <x:row r="12">
      <x:c r="A12" s="10" t="str">
        <x:v>EV-07</x:v>
      </x:c>
      <x:c r="B12" s="10" t="n">
        <x:v>336</x:v>
      </x:c>
      <x:c r="C12" s="12"/>
      <x:c r="D12" s="10" t="n">
        <x:v>20</x:v>
      </x:c>
      <x:c r="E12" s="12"/>
      <x:c r="F12" s="12"/>
      <x:c r="G12" s="12"/>
      <x:c r="H12" s="12"/>
      <x:c r="I12" s="12"/>
      <x:c r="J12" s="12"/>
      <x:c r="K12" s="12"/>
      <x:c r="L12" s="12"/>
      <x:c r="M12" s="10" t="str">
        <x:f>IF(COUNT(C12,E12:H12)&lt;5,"OPEN",IF(COUNTA(I12:L12)&lt;4,"OPEN",IF(AND(C12&gt;=B12,E12=D12,F12&lt;='Assumptions'!$B$45,G12&gt;='Assumptions'!$B$42,H12&lt;='Assumptions'!$B$43,I12="ACCEPTED",J12="ACCEPTED",K12="ACCEPTED",L12="ACCEPTED"),"ACCEPTED","DENY")))</x:f>
        <x:v>OPEN</x:v>
      </x:c>
    </x:row>
    <x:row r="13">
      <x:c r="A13" s="10" t="str">
        <x:v>EV-08</x:v>
      </x:c>
      <x:c r="B13" s="10" t="n">
        <x:v>336</x:v>
      </x:c>
      <x:c r="C13" s="12"/>
      <x:c r="D13" s="10" t="n">
        <x:v>20</x:v>
      </x:c>
      <x:c r="E13" s="12"/>
      <x:c r="F13" s="12"/>
      <x:c r="G13" s="12"/>
      <x:c r="H13" s="12"/>
      <x:c r="I13" s="12"/>
      <x:c r="J13" s="12"/>
      <x:c r="K13" s="12"/>
      <x:c r="L13" s="12"/>
      <x:c r="M13" s="10" t="str">
        <x:f>IF(COUNT(C13,E13:H13)&lt;5,"OPEN",IF(COUNTA(I13:L13)&lt;4,"OPEN",IF(AND(C13&gt;=B13,E13=D13,F13&lt;='Assumptions'!$B$45,G13&gt;='Assumptions'!$B$42,H13&lt;='Assumptions'!$B$43,I13="ACCEPTED",J13="ACCEPTED",K13="ACCEPTED",L13="ACCEPTED"),"ACCEPTED","DENY")))</x:f>
        <x:v>OPEN</x:v>
      </x:c>
    </x:row>
    <x:row r="14">
      <x:c r="A14" s="10" t="str">
        <x:v>EV-09</x:v>
      </x:c>
      <x:c r="B14" s="10" t="n">
        <x:v>336</x:v>
      </x:c>
      <x:c r="C14" s="12"/>
      <x:c r="D14" s="10" t="n">
        <x:v>20</x:v>
      </x:c>
      <x:c r="E14" s="12"/>
      <x:c r="F14" s="12"/>
      <x:c r="G14" s="12"/>
      <x:c r="H14" s="12"/>
      <x:c r="I14" s="12"/>
      <x:c r="J14" s="12"/>
      <x:c r="K14" s="12"/>
      <x:c r="L14" s="12"/>
      <x:c r="M14" s="10" t="str">
        <x:f>IF(COUNT(C14,E14:H14)&lt;5,"OPEN",IF(COUNTA(I14:L14)&lt;4,"OPEN",IF(AND(C14&gt;=B14,E14=D14,F14&lt;='Assumptions'!$B$45,G14&gt;='Assumptions'!$B$42,H14&lt;='Assumptions'!$B$43,I14="ACCEPTED",J14="ACCEPTED",K14="ACCEPTED",L14="ACCEPTED"),"ACCEPTED","DENY")))</x:f>
        <x:v>OPEN</x:v>
      </x:c>
    </x:row>
    <x:row r="15">
      <x:c r="A15" s="10" t="str">
        <x:v>EV-10</x:v>
      </x:c>
      <x:c r="B15" s="10" t="n">
        <x:v>336</x:v>
      </x:c>
      <x:c r="C15" s="12"/>
      <x:c r="D15" s="10" t="n">
        <x:v>20</x:v>
      </x:c>
      <x:c r="E15" s="12"/>
      <x:c r="F15" s="12"/>
      <x:c r="G15" s="12"/>
      <x:c r="H15" s="12"/>
      <x:c r="I15" s="12"/>
      <x:c r="J15" s="12"/>
      <x:c r="K15" s="12"/>
      <x:c r="L15" s="12"/>
      <x:c r="M15" s="10" t="str">
        <x:f>IF(COUNT(C15,E15:H15)&lt;5,"OPEN",IF(COUNTA(I15:L15)&lt;4,"OPEN",IF(AND(C15&gt;=B15,E15=D15,F15&lt;='Assumptions'!$B$45,G15&gt;='Assumptions'!$B$42,H15&lt;='Assumptions'!$B$43,I15="ACCEPTED",J15="ACCEPTED",K15="ACCEPTED",L15="ACCEPTED"),"ACCEPTED","DENY")))</x:f>
        <x:v>OPEN</x:v>
      </x:c>
    </x:row>
    <x:row r="16">
      <x:c r="A16" s="10" t="str">
        <x:v>EV-11</x:v>
      </x:c>
      <x:c r="B16" s="10" t="n">
        <x:v>336</x:v>
      </x:c>
      <x:c r="C16" s="12"/>
      <x:c r="D16" s="10" t="n">
        <x:v>20</x:v>
      </x:c>
      <x:c r="E16" s="12"/>
      <x:c r="F16" s="12"/>
      <x:c r="G16" s="12"/>
      <x:c r="H16" s="12"/>
      <x:c r="I16" s="12"/>
      <x:c r="J16" s="12"/>
      <x:c r="K16" s="12"/>
      <x:c r="L16" s="12"/>
      <x:c r="M16" s="10" t="str">
        <x:f>IF(COUNT(C16,E16:H16)&lt;5,"OPEN",IF(COUNTA(I16:L16)&lt;4,"OPEN",IF(AND(C16&gt;=B16,E16=D16,F16&lt;='Assumptions'!$B$45,G16&gt;='Assumptions'!$B$42,H16&lt;='Assumptions'!$B$43,I16="ACCEPTED",J16="ACCEPTED",K16="ACCEPTED",L16="ACCEPTED"),"ACCEPTED","DENY")))</x:f>
        <x:v>OPEN</x:v>
      </x:c>
    </x:row>
    <x:row r="17">
      <x:c r="A17" s="10" t="str">
        <x:v>EV-12</x:v>
      </x:c>
      <x:c r="B17" s="10" t="n">
        <x:v>336</x:v>
      </x:c>
      <x:c r="C17" s="12"/>
      <x:c r="D17" s="10" t="n">
        <x:v>20</x:v>
      </x:c>
      <x:c r="E17" s="12"/>
      <x:c r="F17" s="12"/>
      <x:c r="G17" s="12"/>
      <x:c r="H17" s="12"/>
      <x:c r="I17" s="12"/>
      <x:c r="J17" s="12"/>
      <x:c r="K17" s="12"/>
      <x:c r="L17" s="12"/>
      <x:c r="M17" s="10" t="str">
        <x:f>IF(COUNT(C17,E17:H17)&lt;5,"OPEN",IF(COUNTA(I17:L17)&lt;4,"OPEN",IF(AND(C17&gt;=B17,E17=D17,F17&lt;='Assumptions'!$B$45,G17&gt;='Assumptions'!$B$42,H17&lt;='Assumptions'!$B$43,I17="ACCEPTED",J17="ACCEPTED",K17="ACCEPTED",L17="ACCEPTED"),"ACCEPTED","DENY")))</x:f>
        <x:v>OPEN</x:v>
      </x:c>
    </x:row>
    <x:row r="18">
      <x:c r="A18" s="10" t="str">
        <x:v>EV-13</x:v>
      </x:c>
      <x:c r="B18" s="10" t="n">
        <x:v>336</x:v>
      </x:c>
      <x:c r="C18" s="12"/>
      <x:c r="D18" s="10" t="n">
        <x:v>20</x:v>
      </x:c>
      <x:c r="E18" s="12"/>
      <x:c r="F18" s="12"/>
      <x:c r="G18" s="12"/>
      <x:c r="H18" s="12"/>
      <x:c r="I18" s="12"/>
      <x:c r="J18" s="12"/>
      <x:c r="K18" s="12"/>
      <x:c r="L18" s="12"/>
      <x:c r="M18" s="10" t="str">
        <x:f>IF(COUNT(C18,E18:H18)&lt;5,"OPEN",IF(COUNTA(I18:L18)&lt;4,"OPEN",IF(AND(C18&gt;=B18,E18=D18,F18&lt;='Assumptions'!$B$45,G18&gt;='Assumptions'!$B$42,H18&lt;='Assumptions'!$B$43,I18="ACCEPTED",J18="ACCEPTED",K18="ACCEPTED",L18="ACCEPTED"),"ACCEPTED","DENY")))</x:f>
        <x:v>OPEN</x:v>
      </x:c>
    </x:row>
    <x:row r="19">
      <x:c r="A19" s="10" t="str">
        <x:v>EV-14</x:v>
      </x:c>
      <x:c r="B19" s="10" t="n">
        <x:v>336</x:v>
      </x:c>
      <x:c r="C19" s="12"/>
      <x:c r="D19" s="10" t="n">
        <x:v>20</x:v>
      </x:c>
      <x:c r="E19" s="12"/>
      <x:c r="F19" s="12"/>
      <x:c r="G19" s="12"/>
      <x:c r="H19" s="12"/>
      <x:c r="I19" s="12"/>
      <x:c r="J19" s="12"/>
      <x:c r="K19" s="12"/>
      <x:c r="L19" s="12"/>
      <x:c r="M19" s="10" t="str">
        <x:f>IF(COUNT(C19,E19:H19)&lt;5,"OPEN",IF(COUNTA(I19:L19)&lt;4,"OPEN",IF(AND(C19&gt;=B19,E19=D19,F19&lt;='Assumptions'!$B$45,G19&gt;='Assumptions'!$B$42,H19&lt;='Assumptions'!$B$43,I19="ACCEPTED",J19="ACCEPTED",K19="ACCEPTED",L19="ACCEPTED"),"ACCEPTED","DENY")))</x:f>
        <x:v>OPEN</x:v>
      </x:c>
    </x:row>
    <x:row r="20">
      <x:c r="A20" s="10" t="str">
        <x:v>EV-15</x:v>
      </x:c>
      <x:c r="B20" s="10" t="n">
        <x:v>336</x:v>
      </x:c>
      <x:c r="C20" s="12"/>
      <x:c r="D20" s="10" t="n">
        <x:v>20</x:v>
      </x:c>
      <x:c r="E20" s="12"/>
      <x:c r="F20" s="12"/>
      <x:c r="G20" s="12"/>
      <x:c r="H20" s="12"/>
      <x:c r="I20" s="12"/>
      <x:c r="J20" s="12"/>
      <x:c r="K20" s="12"/>
      <x:c r="L20" s="12"/>
      <x:c r="M20" s="10" t="str">
        <x:f>IF(COUNT(C20,E20:H20)&lt;5,"OPEN",IF(COUNTA(I20:L20)&lt;4,"OPEN",IF(AND(C20&gt;=B20,E20=D20,F20&lt;='Assumptions'!$B$45,G20&gt;='Assumptions'!$B$42,H20&lt;='Assumptions'!$B$43,I20="ACCEPTED",J20="ACCEPTED",K20="ACCEPTED",L20="ACCEPTED"),"ACCEPTED","DENY")))</x:f>
        <x:v>OPEN</x:v>
      </x:c>
    </x:row>
    <x:row r="21">
      <x:c r="A21" s="10" t="str">
        <x:v>EV-16</x:v>
      </x:c>
      <x:c r="B21" s="10" t="n">
        <x:v>336</x:v>
      </x:c>
      <x:c r="C21" s="12"/>
      <x:c r="D21" s="10" t="n">
        <x:v>20</x:v>
      </x:c>
      <x:c r="E21" s="12"/>
      <x:c r="F21" s="12"/>
      <x:c r="G21" s="12"/>
      <x:c r="H21" s="12"/>
      <x:c r="I21" s="12"/>
      <x:c r="J21" s="12"/>
      <x:c r="K21" s="12"/>
      <x:c r="L21" s="12"/>
      <x:c r="M21" s="10" t="str">
        <x:f>IF(COUNT(C21,E21:H21)&lt;5,"OPEN",IF(COUNTA(I21:L21)&lt;4,"OPEN",IF(AND(C21&gt;=B21,E21=D21,F21&lt;='Assumptions'!$B$45,G21&gt;='Assumptions'!$B$42,H21&lt;='Assumptions'!$B$43,I21="ACCEPTED",J21="ACCEPTED",K21="ACCEPTED",L21="ACCEPTED"),"ACCEPTED","DENY")))</x:f>
        <x:v>OPEN</x:v>
      </x:c>
    </x:row>
  </x:sheetData>
  <x:mergeCells>
    <x:mergeCell ref="A2:M2"/>
  </x:mergeCells>
  <x:conditionalFormatting sqref="M6:M21">
    <x:cfRule type="containsText" dxfId="65" priority="1" operator="containsText" text="DENY"/>
    <x:cfRule type="containsText" dxfId="66" priority="2" operator="containsText" text="ADVERSE"/>
    <x:cfRule type="containsText" dxfId="67" priority="3" operator="containsText" text="FAIL"/>
    <x:cfRule type="containsText" dxfId="68" priority="4" operator="containsText" text="OPEN"/>
    <x:cfRule type="containsText" dxfId="6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1654d1d8e7214dc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8" hidden="0" customWidth="1"/>
    <x:col min="4" max="4" width="18" hidden="0" customWidth="1"/>
    <x:col min="5" max="5" width="15" hidden="0" customWidth="1"/>
  </x:cols>
  <x:sheetData>
    <x:row r="2" ht="24" customHeight="1">
      <x:c r="A2" s="1" t="str">
        <x:v>Outside replay closure</x:v>
      </x:c>
    </x:row>
    <x:row r="4" ht="22" customHeight="1">
      <x:c r="A4" s="2"/>
      <x:c r="B4" s="2"/>
      <x:c r="C4" s="2"/>
      <x:c r="D4" s="2"/>
      <x:c r="E4" s="2"/>
    </x:row>
    <x:row r="5">
      <x:c r="A5" s="8" t="str">
        <x:v>Event</x:v>
      </x:c>
      <x:c r="B5" s="8" t="str">
        <x:v>Required decisions</x:v>
      </x:c>
      <x:c r="C5" s="8" t="str">
        <x:v>Closed decisions</x:v>
      </x:c>
      <x:c r="D5" s="8" t="str">
        <x:v>Authority</x:v>
      </x:c>
      <x:c r="E5" s="8" t="str">
        <x:v>State</x:v>
      </x:c>
    </x:row>
    <x:row r="6">
      <x:c r="A6" s="10" t="str">
        <x:v>EV-01</x:v>
      </x:c>
      <x:c r="B6" s="10" t="n">
        <x:v>12</x:v>
      </x:c>
      <x:c r="C6" s="12"/>
      <x:c r="D6" s="12"/>
      <x:c r="E6" s="10" t="str">
        <x:f>IF(OR(C6="",D6=""),"OPEN",IF(AND(C6=B6,D6="ACCEPTED"),"ACCEPTED","DENY"))</x:f>
        <x:v>OPEN</x:v>
      </x:c>
    </x:row>
    <x:row r="7">
      <x:c r="A7" s="10" t="str">
        <x:v>EV-02</x:v>
      </x:c>
      <x:c r="B7" s="10" t="n">
        <x:v>12</x:v>
      </x:c>
      <x:c r="C7" s="12"/>
      <x:c r="D7" s="12"/>
      <x:c r="E7" s="10" t="str">
        <x:f>IF(OR(C7="",D7=""),"OPEN",IF(AND(C7=B7,D7="ACCEPTED"),"ACCEPTED","DENY"))</x:f>
        <x:v>OPEN</x:v>
      </x:c>
    </x:row>
    <x:row r="8">
      <x:c r="A8" s="10" t="str">
        <x:v>EV-03</x:v>
      </x:c>
      <x:c r="B8" s="10" t="n">
        <x:v>12</x:v>
      </x:c>
      <x:c r="C8" s="12"/>
      <x:c r="D8" s="12"/>
      <x:c r="E8" s="10" t="str">
        <x:f>IF(OR(C8="",D8=""),"OPEN",IF(AND(C8=B8,D8="ACCEPTED"),"ACCEPTED","DENY"))</x:f>
        <x:v>OPEN</x:v>
      </x:c>
    </x:row>
    <x:row r="9">
      <x:c r="A9" s="10" t="str">
        <x:v>EV-04</x:v>
      </x:c>
      <x:c r="B9" s="10" t="n">
        <x:v>12</x:v>
      </x:c>
      <x:c r="C9" s="12"/>
      <x:c r="D9" s="12"/>
      <x:c r="E9" s="10" t="str">
        <x:f>IF(OR(C9="",D9=""),"OPEN",IF(AND(C9=B9,D9="ACCEPTED"),"ACCEPTED","DENY"))</x:f>
        <x:v>OPEN</x:v>
      </x:c>
    </x:row>
    <x:row r="10">
      <x:c r="A10" s="10" t="str">
        <x:v>EV-05</x:v>
      </x:c>
      <x:c r="B10" s="10" t="n">
        <x:v>12</x:v>
      </x:c>
      <x:c r="C10" s="12"/>
      <x:c r="D10" s="12"/>
      <x:c r="E10" s="10" t="str">
        <x:f>IF(OR(C10="",D10=""),"OPEN",IF(AND(C10=B10,D10="ACCEPTED"),"ACCEPTED","DENY"))</x:f>
        <x:v>OPEN</x:v>
      </x:c>
    </x:row>
    <x:row r="11">
      <x:c r="A11" s="10" t="str">
        <x:v>EV-06</x:v>
      </x:c>
      <x:c r="B11" s="10" t="n">
        <x:v>12</x:v>
      </x:c>
      <x:c r="C11" s="12"/>
      <x:c r="D11" s="12"/>
      <x:c r="E11" s="10" t="str">
        <x:f>IF(OR(C11="",D11=""),"OPEN",IF(AND(C11=B11,D11="ACCEPTED"),"ACCEPTED","DENY"))</x:f>
        <x:v>OPEN</x:v>
      </x:c>
    </x:row>
    <x:row r="12">
      <x:c r="A12" s="10" t="str">
        <x:v>EV-07</x:v>
      </x:c>
      <x:c r="B12" s="10" t="n">
        <x:v>12</x:v>
      </x:c>
      <x:c r="C12" s="12"/>
      <x:c r="D12" s="12"/>
      <x:c r="E12" s="10" t="str">
        <x:f>IF(OR(C12="",D12=""),"OPEN",IF(AND(C12=B12,D12="ACCEPTED"),"ACCEPTED","DENY"))</x:f>
        <x:v>OPEN</x:v>
      </x:c>
    </x:row>
    <x:row r="13">
      <x:c r="A13" s="10" t="str">
        <x:v>EV-08</x:v>
      </x:c>
      <x:c r="B13" s="10" t="n">
        <x:v>12</x:v>
      </x:c>
      <x:c r="C13" s="12"/>
      <x:c r="D13" s="12"/>
      <x:c r="E13" s="10" t="str">
        <x:f>IF(OR(C13="",D13=""),"OPEN",IF(AND(C13=B13,D13="ACCEPTED"),"ACCEPTED","DENY"))</x:f>
        <x:v>OPEN</x:v>
      </x:c>
    </x:row>
    <x:row r="14">
      <x:c r="A14" s="10" t="str">
        <x:v>EV-09</x:v>
      </x:c>
      <x:c r="B14" s="10" t="n">
        <x:v>12</x:v>
      </x:c>
      <x:c r="C14" s="12"/>
      <x:c r="D14" s="12"/>
      <x:c r="E14" s="10" t="str">
        <x:f>IF(OR(C14="",D14=""),"OPEN",IF(AND(C14=B14,D14="ACCEPTED"),"ACCEPTED","DENY"))</x:f>
        <x:v>OPEN</x:v>
      </x:c>
    </x:row>
    <x:row r="15">
      <x:c r="A15" s="10" t="str">
        <x:v>EV-10</x:v>
      </x:c>
      <x:c r="B15" s="10" t="n">
        <x:v>12</x:v>
      </x:c>
      <x:c r="C15" s="12"/>
      <x:c r="D15" s="12"/>
      <x:c r="E15" s="10" t="str">
        <x:f>IF(OR(C15="",D15=""),"OPEN",IF(AND(C15=B15,D15="ACCEPTED"),"ACCEPTED","DENY"))</x:f>
        <x:v>OPEN</x:v>
      </x:c>
    </x:row>
    <x:row r="16">
      <x:c r="A16" s="10" t="str">
        <x:v>EV-11</x:v>
      </x:c>
      <x:c r="B16" s="10" t="n">
        <x:v>12</x:v>
      </x:c>
      <x:c r="C16" s="12"/>
      <x:c r="D16" s="12"/>
      <x:c r="E16" s="10" t="str">
        <x:f>IF(OR(C16="",D16=""),"OPEN",IF(AND(C16=B16,D16="ACCEPTED"),"ACCEPTED","DENY"))</x:f>
        <x:v>OPEN</x:v>
      </x:c>
    </x:row>
    <x:row r="17">
      <x:c r="A17" s="10" t="str">
        <x:v>EV-12</x:v>
      </x:c>
      <x:c r="B17" s="10" t="n">
        <x:v>12</x:v>
      </x:c>
      <x:c r="C17" s="12"/>
      <x:c r="D17" s="12"/>
      <x:c r="E17" s="10" t="str">
        <x:f>IF(OR(C17="",D17=""),"OPEN",IF(AND(C17=B17,D17="ACCEPTED"),"ACCEPTED","DENY"))</x:f>
        <x:v>OPEN</x:v>
      </x:c>
    </x:row>
    <x:row r="18">
      <x:c r="A18" s="10" t="str">
        <x:v>EV-13</x:v>
      </x:c>
      <x:c r="B18" s="10" t="n">
        <x:v>12</x:v>
      </x:c>
      <x:c r="C18" s="12"/>
      <x:c r="D18" s="12"/>
      <x:c r="E18" s="10" t="str">
        <x:f>IF(OR(C18="",D18=""),"OPEN",IF(AND(C18=B18,D18="ACCEPTED"),"ACCEPTED","DENY"))</x:f>
        <x:v>OPEN</x:v>
      </x:c>
    </x:row>
    <x:row r="19">
      <x:c r="A19" s="10" t="str">
        <x:v>EV-14</x:v>
      </x:c>
      <x:c r="B19" s="10" t="n">
        <x:v>12</x:v>
      </x:c>
      <x:c r="C19" s="12"/>
      <x:c r="D19" s="12"/>
      <x:c r="E19" s="10" t="str">
        <x:f>IF(OR(C19="",D19=""),"OPEN",IF(AND(C19=B19,D19="ACCEPTED"),"ACCEPTED","DENY"))</x:f>
        <x:v>OPEN</x:v>
      </x:c>
    </x:row>
    <x:row r="20">
      <x:c r="A20" s="10" t="str">
        <x:v>EV-15</x:v>
      </x:c>
      <x:c r="B20" s="10" t="n">
        <x:v>12</x:v>
      </x:c>
      <x:c r="C20" s="12"/>
      <x:c r="D20" s="12"/>
      <x:c r="E20" s="10" t="str">
        <x:f>IF(OR(C20="",D20=""),"OPEN",IF(AND(C20=B20,D20="ACCEPTED"),"ACCEPTED","DENY"))</x:f>
        <x:v>OPEN</x:v>
      </x:c>
    </x:row>
    <x:row r="21">
      <x:c r="A21" s="10" t="str">
        <x:v>EV-16</x:v>
      </x:c>
      <x:c r="B21" s="10" t="n">
        <x:v>12</x:v>
      </x:c>
      <x:c r="C21" s="12"/>
      <x:c r="D21" s="12"/>
      <x:c r="E21" s="10" t="str">
        <x:f>IF(OR(C21="",D21=""),"OPEN",IF(AND(C21=B21,D21="ACCEPTED"),"ACCEPTED","DENY"))</x:f>
        <x:v>OPEN</x:v>
      </x:c>
    </x:row>
  </x:sheetData>
  <x:mergeCells>
    <x:mergeCell ref="A2:E2"/>
  </x:mergeCells>
  <x:conditionalFormatting sqref="E6:E21">
    <x:cfRule type="containsText" dxfId="70" priority="1" operator="containsText" text="DENY"/>
    <x:cfRule type="containsText" dxfId="71" priority="2" operator="containsText" text="ADVERSE"/>
    <x:cfRule type="containsText" dxfId="72" priority="3" operator="containsText" text="FAIL"/>
    <x:cfRule type="containsText" dxfId="73" priority="4" operator="containsText" text="OPEN"/>
    <x:cfRule type="containsText" dxfId="7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d81b1ce48599457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31" hidden="0" customWidth="1"/>
  </x:cols>
  <x:sheetData>
    <x:row r="2" ht="24" customHeight="1">
      <x:c r="A2" s="1" t="str">
        <x:v>ER-02 class-release authority</x:v>
      </x:c>
    </x:row>
    <x:row r="4" ht="22" customHeight="1">
      <x:c r="A4" s="2"/>
      <x:c r="B4" s="2"/>
      <x:c r="C4" s="2"/>
    </x:row>
    <x:row r="5">
      <x:c r="A5" s="8" t="str">
        <x:v>Metric</x:v>
      </x:c>
      <x:c r="B5" s="8" t="str">
        <x:v>Value</x:v>
      </x:c>
      <x:c r="C5" s="8" t="str">
        <x:v>Decision rule</x:v>
      </x:c>
    </x:row>
    <x:row r="6">
      <x:c r="A6" s="10" t="str">
        <x:v>Required qualification passes</x:v>
      </x:c>
      <x:c r="B6" s="10" t="n">
        <x:f>COUNTIF('Qualification Cycles'!U8:U71,"PASS")</x:f>
        <x:v>0</x:v>
      </x:c>
      <x:c r="C6" s="10" t="str">
        <x:v>64</x:v>
      </x:c>
    </x:row>
    <x:row r="7">
      <x:c r="A7" s="10" t="str">
        <x:v>Accepted truth roots</x:v>
      </x:c>
      <x:c r="B7" s="10" t="n">
        <x:f>COUNTIF('Truth Roots'!I6:I7,"ACCEPTED")</x:f>
        <x:v>0</x:v>
      </x:c>
      <x:c r="C7" s="10" t="str">
        <x:v>2</x:v>
      </x:c>
    </x:row>
    <x:row r="8">
      <x:c r="A8" s="10" t="str">
        <x:v>Accepted wettable modules</x:v>
      </x:c>
      <x:c r="B8" s="10" t="n">
        <x:f>COUNTIF('Module Bank'!L6:L21,"ACCEPTED")</x:f>
        <x:v>0</x:v>
      </x:c>
      <x:c r="C8" s="10" t="str">
        <x:v>16</x:v>
      </x:c>
    </x:row>
    <x:row r="9">
      <x:c r="A9" s="10" t="str">
        <x:v>Primary credits</x:v>
      </x:c>
      <x:c r="B9" s="10" t="n">
        <x:f>COUNTIFS('Event Register'!B8:B23,"PRIMARY",'Event Register'!AB8:AB23,"CREDIT")</x:f>
        <x:v>0</x:v>
      </x:c>
      <x:c r="C9" s="10" t="str">
        <x:v>12</x:v>
      </x:c>
    </x:row>
    <x:row r="10">
      <x:c r="A10" s="10" t="str">
        <x:v>Reserve credits</x:v>
      </x:c>
      <x:c r="B10" s="10" t="n">
        <x:f>COUNTIFS('Event Register'!B8:B23,"RESERVE",'Event Register'!AB8:AB23,"CREDIT")</x:f>
        <x:v>0</x:v>
      </x:c>
      <x:c r="C10" s="10" t="str">
        <x:v>0 allowed unless activated</x:v>
      </x:c>
    </x:row>
    <x:row r="11">
      <x:c r="A11" s="10" t="str">
        <x:v>Exact cell credits</x:v>
      </x:c>
      <x:c r="B11" s="10" t="n">
        <x:f>COUNTIF('Cell Map'!I6:I17,"CREDIT")</x:f>
        <x:v>0</x:v>
      </x:c>
      <x:c r="C11" s="10" t="str">
        <x:v>12</x:v>
      </x:c>
    </x:row>
    <x:row r="12">
      <x:c r="A12" s="10" t="str">
        <x:v>Protected forensic modules</x:v>
      </x:c>
      <x:c r="B12" s="10" t="n">
        <x:f>COUNTIF('Module Bank'!L22:L23,"PROTECTED")</x:f>
        <x:v>0</x:v>
      </x:c>
      <x:c r="C12" s="10" t="str">
        <x:v>2</x:v>
      </x:c>
    </x:row>
    <x:row r="13">
      <x:c r="A13" s="10" t="str">
        <x:v>Open or adverse primary events</x:v>
      </x:c>
      <x:c r="B13" s="10" t="n">
        <x:f>COUNTIFS('Event Register'!B8:B23,"PRIMARY",'Event Register'!AB8:AB23,"&lt;&gt;CREDIT")</x:f>
        <x:v>12</x:v>
      </x:c>
      <x:c r="C13" s="10" t="str">
        <x:v>0</x:v>
      </x:c>
    </x:row>
    <x:row r="14">
      <x:c r="A14" s="10" t="str">
        <x:v>Class authority</x:v>
      </x:c>
      <x:c r="B14" s="10" t="str">
        <x:f>IF(AND(B6=64,B7=2,B8=16,B9=12,B11=12,B12=2,B13=0),"ISSUE ER-02","BLOCKED")</x:f>
        <x:v>BLOCKED</x:v>
      </x:c>
      <x:c r="C14" s="10" t="str">
        <x:v>unanimous closure</x:v>
      </x:c>
    </x:row>
  </x:sheetData>
  <x:mergeCells>
    <x:mergeCell ref="A2:C2"/>
  </x:mergeCells>
  <x:conditionalFormatting sqref="B14:B14">
    <x:cfRule type="containsText" dxfId="75" priority="1" operator="containsText" text="DENY"/>
    <x:cfRule type="containsText" dxfId="76" priority="2" operator="containsText" text="ADVERSE"/>
    <x:cfRule type="containsText" dxfId="77" priority="3" operator="containsText" text="FAIL"/>
    <x:cfRule type="containsText" dxfId="78" priority="4" operator="containsText" text="OPEN"/>
    <x:cfRule type="containsText" dxfId="7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cfc7cafd7cef4d1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1" hidden="0" customWidth="1"/>
  </x:cols>
  <x:sheetData>
    <x:row r="2" ht="24" customHeight="1">
      <x:c r="A2" s="1" t="str">
        <x:v>ER-02 stage and parent-ladder schedule correction</x:v>
      </x:c>
    </x:row>
    <x:row r="4" ht="22" customHeight="1">
      <x:c r="A4" s="2"/>
      <x:c r="B4" s="2"/>
      <x:c r="C4" s="2"/>
      <x:c r="D4" s="2"/>
    </x:row>
    <x:row r="5">
      <x:c r="A5" s="8" t="str">
        <x:v>Schedule object</x:v>
      </x:c>
      <x:c r="B5" s="8" t="str">
        <x:v>Primary weeks</x:v>
      </x:c>
      <x:c r="C5" s="8" t="str">
        <x:v>Maximum weeks</x:v>
      </x:c>
      <x:c r="D5" s="8" t="str">
        <x:v>Decision meaning</x:v>
      </x:c>
    </x:row>
    <x:row r="6">
      <x:c r="A6" s="10" t="str">
        <x:v>Module construction</x:v>
      </x:c>
      <x:c r="B6" s="16" t="n">
        <x:f>'Assumptions'!B57</x:f>
        <x:v>12</x:v>
      </x:c>
      <x:c r="C6" s="16" t="n">
        <x:f>'Assumptions'!B57</x:f>
        <x:v>12</x:v>
      </x:c>
      <x:c r="D6" s="10" t="str">
        <x:v>serial build</x:v>
      </x:c>
    </x:row>
    <x:row r="7">
      <x:c r="A7" s="10" t="str">
        <x:v>Qualification campaign</x:v>
      </x:c>
      <x:c r="B7" s="16" t="n">
        <x:f>'Assumptions'!B58</x:f>
        <x:v>8</x:v>
      </x:c>
      <x:c r="C7" s="16" t="n">
        <x:f>'Assumptions'!B58</x:f>
        <x:v>8</x:v>
      </x:c>
      <x:c r="D7" s="10" t="str">
        <x:v>64 full-volume cycles</x:v>
      </x:c>
    </x:row>
    <x:row r="8">
      <x:c r="A8" s="10" t="str">
        <x:v>Qualification review</x:v>
      </x:c>
      <x:c r="B8" s="16" t="n">
        <x:f>'Assumptions'!B59</x:f>
        <x:v>4</x:v>
      </x:c>
      <x:c r="C8" s="16" t="n">
        <x:f>'Assumptions'!B59</x:f>
        <x:v>4</x:v>
      </x:c>
      <x:c r="D8" s="10" t="str">
        <x:v>unanimous qualification authority</x:v>
      </x:c>
    </x:row>
    <x:row r="9">
      <x:c r="A9" s="10" t="str">
        <x:v>Class issue</x:v>
      </x:c>
      <x:c r="B9" s="16" t="n">
        <x:f>'Assumptions'!B60</x:f>
        <x:v>6</x:v>
      </x:c>
      <x:c r="C9" s="16" t="n">
        <x:f>'Assumptions'!B60+'Assumptions'!B61</x:f>
        <x:v>8</x:v>
      </x:c>
      <x:c r="D9" s="10" t="str">
        <x:v>twelve required; four reserve</x:v>
      </x:c>
    </x:row>
    <x:row r="10">
      <x:c r="A10" s="10" t="str">
        <x:v>Last wet return</x:v>
      </x:c>
      <x:c r="B10" s="16" t="n">
        <x:f>'Assumptions'!B62</x:f>
        <x:v>2</x:v>
      </x:c>
      <x:c r="C10" s="16" t="n">
        <x:f>'Assumptions'!B62</x:f>
        <x:v>2</x:v>
      </x:c>
      <x:c r="D10" s="10" t="str">
        <x:v>336-hour clock overlaps issue</x:v>
      </x:c>
    </x:row>
    <x:row r="11">
      <x:c r="A11" s="10" t="str">
        <x:v>Class review</x:v>
      </x:c>
      <x:c r="B11" s="16" t="n">
        <x:f>'Assumptions'!B63</x:f>
        <x:v>2</x:v>
      </x:c>
      <x:c r="C11" s="16" t="n">
        <x:f>'Assumptions'!B63</x:f>
        <x:v>2</x:v>
      </x:c>
      <x:c r="D11" s="10" t="str">
        <x:v>unanimous class authority</x:v>
      </x:c>
    </x:row>
    <x:row r="12">
      <x:c r="A12" s="10" t="str">
        <x:v>ER-02 total</x:v>
      </x:c>
      <x:c r="B12" s="16" t="n">
        <x:f>SUM(B6:B11)</x:f>
        <x:v>34</x:v>
      </x:c>
      <x:c r="C12" s="16" t="n">
        <x:f>SUM(C6:C11)</x:f>
        <x:v>36</x:v>
      </x:c>
      <x:c r="D12" s="10" t="str">
        <x:v>34 / 36-week child</x:v>
      </x:c>
    </x:row>
    <x:row r="13">
      <x:c r="A13" s="10" t="str">
        <x:v>RBH plus ER-02</x:v>
      </x:c>
      <x:c r="B13" s="16" t="n">
        <x:f>'Assumptions'!B77+B12</x:f>
        <x:v>71</x:v>
      </x:c>
      <x:c r="C13" s="16" t="n">
        <x:f>'Assumptions'!B78+C12</x:f>
        <x:v>75</x:v>
      </x:c>
      <x:c r="D13" s="10" t="str">
        <x:v>71 / 75 weeks before ER-03</x:v>
      </x:c>
    </x:row>
    <x:row r="14">
      <x:c r="A14" s="10" t="str">
        <x:v>Remaining eight physical rungs</x:v>
      </x:c>
      <x:c r="B14" s="16" t="n">
        <x:f>('Assumptions'!B81-2)*'Assumptions'!B79</x:f>
        <x:v>104</x:v>
      </x:c>
      <x:c r="C14" s="16" t="n">
        <x:f>('Assumptions'!B81-2)*'Assumptions'!B80</x:f>
        <x:v>120</x:v>
      </x:c>
      <x:c r="D14" s="10" t="str">
        <x:v>inherited estimate, not entitlement</x:v>
      </x:c>
    </x:row>
    <x:row r="15">
      <x:c r="A15" s="10" t="str">
        <x:v>Corrected ten-rung floor</x:v>
      </x:c>
      <x:c r="B15" s="16" t="n">
        <x:f>B13+B14</x:f>
        <x:v>175</x:v>
      </x:c>
      <x:c r="C15" s="16" t="n">
        <x:f>C13+C14</x:f>
        <x:v>195</x:v>
      </x:c>
      <x:c r="D15" s="10" t="str">
        <x:v>new parent-ladder floor</x:v>
      </x:c>
    </x:row>
    <x:row r="16">
      <x:c r="A16" s="10" t="str">
        <x:v>Parent calendar boundary</x:v>
      </x:c>
      <x:c r="B16" s="16" t="n">
        <x:f>'Assumptions'!B84</x:f>
        <x:v>156</x:v>
      </x:c>
      <x:c r="C16" s="16" t="n">
        <x:f>'Assumptions'!B84</x:f>
        <x:v>156</x:v>
      </x:c>
      <x:c r="D16" s="10" t="str">
        <x:v>36-month planning screen</x:v>
      </x:c>
    </x:row>
    <x:row r="17">
      <x:c r="A17" s="10" t="str">
        <x:v>Parent variance</x:v>
      </x:c>
      <x:c r="B17" s="16" t="n">
        <x:f>B15-B16</x:f>
        <x:v>19</x:v>
      </x:c>
      <x:c r="C17" s="16" t="n">
        <x:f>C15-C16</x:f>
        <x:v>39</x:v>
      </x:c>
      <x:c r="D17" s="10" t="str">
        <x:v>positive value requires rebase</x:v>
      </x:c>
    </x:row>
    <x:row r="18">
      <x:c r="A18" s="10" t="str">
        <x:v>Corrected floor years</x:v>
      </x:c>
      <x:c r="B18" s="10" t="n">
        <x:f>B15/52</x:f>
        <x:v>3.3653846153846154</x:v>
      </x:c>
      <x:c r="C18" s="10" t="n">
        <x:f>C15/52</x:f>
        <x:v>3.75</x:v>
      </x:c>
      <x:c r="D18" s="10" t="str">
        <x:v>years implied by corrected floor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b951c532009746c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7" hidden="0" customWidth="1"/>
    <x:col min="4" max="4" width="38" hidden="0" customWidth="1"/>
  </x:cols>
  <x:sheetData>
    <x:row r="2" ht="24" customHeight="1">
      <x:c r="A2" s="1" t="str">
        <x:v>ER-02 physical capacity identities</x:v>
      </x:c>
    </x:row>
    <x:row r="4" ht="22" customHeight="1">
      <x:c r="A4" s="2"/>
      <x:c r="B4" s="2"/>
      <x:c r="C4" s="2"/>
      <x:c r="D4" s="2"/>
    </x:row>
    <x:row r="5">
      <x:c r="A5" s="8" t="str">
        <x:v>Identity</x:v>
      </x:c>
      <x:c r="B5" s="8" t="str">
        <x:v>Value</x:v>
      </x:c>
      <x:c r="C5" s="8" t="str">
        <x:v>Unit</x:v>
      </x:c>
      <x:c r="D5" s="8" t="str">
        <x:v>Interpretation</x:v>
      </x:c>
    </x:row>
    <x:row r="6">
      <x:c r="A6" s="10" t="str">
        <x:v>Full event water mass</x:v>
      </x:c>
      <x:c r="B6" s="17" t="n">
        <x:f>'Assumptions'!B8*'Assumptions'!B9/1000</x:f>
        <x:v>23.952</x:v>
      </x:c>
      <x:c r="C6" s="10" t="str">
        <x:v>metric tonnes</x:v>
      </x:c>
      <x:c r="D6" s="10" t="str">
        <x:v>24 m³ at registered density</x:v>
      </x:c>
    </x:row>
    <x:row r="7">
      <x:c r="A7" s="10" t="str">
        <x:v>Issue duration</x:v>
      </x:c>
      <x:c r="B7" s="17" t="n">
        <x:f>'Assumptions'!B9/'Assumptions'!B10</x:f>
        <x:v>8</x:v>
      </x:c>
      <x:c r="C7" s="10" t="str">
        <x:v>minutes</x:v>
      </x:c>
      <x:c r="D7" s="10" t="str">
        <x:v>full issue at mean flow</x:v>
      </x:c>
    </x:row>
    <x:row r="8">
      <x:c r="A8" s="10" t="str">
        <x:v>Ideal hydraulic power</x:v>
      </x:c>
      <x:c r="B8" s="17" t="n">
        <x:f>'Assumptions'!B10/60*'Assumptions'!B11*1000000/1000</x:f>
        <x:v>60</x:v>
      </x:c>
      <x:c r="C8" s="10" t="str">
        <x:v>kW</x:v>
      </x:c>
      <x:c r="D8" s="10" t="str">
        <x:v>flow times head</x:v>
      </x:c>
    </x:row>
    <x:row r="9">
      <x:c r="A9" s="10" t="str">
        <x:v>Pump input power</x:v>
      </x:c>
      <x:c r="B9" s="17" t="n">
        <x:f>B8/'Assumptions'!B12</x:f>
        <x:v>85.71428571428572</x:v>
      </x:c>
      <x:c r="C9" s="10" t="str">
        <x:v>kW</x:v>
      </x:c>
      <x:c r="D9" s="10" t="str">
        <x:v>screen at registered efficiency</x:v>
      </x:c>
    </x:row>
    <x:row r="10">
      <x:c r="A10" s="10" t="str">
        <x:v>Pump input energy</x:v>
      </x:c>
      <x:c r="B10" s="17" t="n">
        <x:f>B9*B7/60</x:f>
        <x:v>11.428571428571429</x:v>
      </x:c>
      <x:c r="C10" s="10" t="str">
        <x:v>kWh</x:v>
      </x:c>
      <x:c r="D10" s="10" t="str">
        <x:v>single full issue</x:v>
      </x:c>
    </x:row>
    <x:row r="11">
      <x:c r="A11" s="10" t="str">
        <x:v>Area per zone</x:v>
      </x:c>
      <x:c r="B11" s="17" t="n">
        <x:f>'Assumptions'!B13/'Assumptions'!B14</x:f>
        <x:v>0.390625</x:v>
      </x:c>
      <x:c r="C11" s="10" t="str">
        <x:v>m²</x:v>
      </x:c>
      <x:c r="D11" s="10" t="str">
        <x:v>sixteen equal witness zones</x:v>
      </x:c>
    </x:row>
    <x:row r="12">
      <x:c r="A12" s="10" t="str">
        <x:v>Flow per zone</x:v>
      </x:c>
      <x:c r="B12" s="17" t="n">
        <x:f>'Assumptions'!B10*1000/'Assumptions'!B14/60</x:f>
        <x:v>3.125</x:v>
      </x:c>
      <x:c r="C12" s="10" t="str">
        <x:v>L/s</x:v>
      </x:c>
      <x:c r="D12" s="10" t="str">
        <x:v>uniform-flow reference</x:v>
      </x:c>
    </x:row>
    <x:row r="13">
      <x:c r="A13" s="10" t="str">
        <x:v>Qualification throughput</x:v>
      </x:c>
      <x:c r="B13" s="17" t="n">
        <x:f>'Assumptions'!B22*'Assumptions'!B9</x:f>
        <x:v>1536</x:v>
      </x:c>
      <x:c r="C13" s="10" t="str">
        <x:v>m³</x:v>
      </x:c>
      <x:c r="D13" s="10" t="str">
        <x:v>64 full-volume cycles</x:v>
      </x:c>
    </x:row>
    <x:row r="14">
      <x:c r="A14" s="10" t="str">
        <x:v>Required class issue</x:v>
      </x:c>
      <x:c r="B14" s="17" t="n">
        <x:f>'Assumptions'!B23*'Assumptions'!B9</x:f>
        <x:v>288</x:v>
      </x:c>
      <x:c r="C14" s="10" t="str">
        <x:v>m³</x:v>
      </x:c>
      <x:c r="D14" s="10" t="str">
        <x:v>twelve credit events</x:v>
      </x:c>
    </x:row>
    <x:row r="15">
      <x:c r="A15" s="10" t="str">
        <x:v>Maximum class issue</x:v>
      </x:c>
      <x:c r="B15" s="17" t="n">
        <x:f>'Assumptions'!B25*'Assumptions'!B9</x:f>
        <x:v>384</x:v>
      </x:c>
      <x:c r="C15" s="10" t="str">
        <x:v>m³</x:v>
      </x:c>
      <x:c r="D15" s="10" t="str">
        <x:v>all reserve positions activated</x:v>
      </x:c>
    </x:row>
    <x:row r="16">
      <x:c r="A16" s="10" t="str">
        <x:v>Governed program throughput</x:v>
      </x:c>
      <x:c r="B16" s="17" t="n">
        <x:f>B13+B15</x:f>
        <x:v>1920</x:v>
      </x:c>
      <x:c r="C16" s="10" t="str">
        <x:v>m³</x:v>
      </x:c>
      <x:c r="D16" s="10" t="str">
        <x:v>qualification plus maximum class</x:v>
      </x:c>
    </x:row>
    <x:row r="17">
      <x:c r="A17" s="10" t="str">
        <x:v>Campus qualification stock</x:v>
      </x:c>
      <x:c r="B17" s="17" t="n">
        <x:f>'Assumptions'!B82*'Assumptions'!B83</x:f>
        <x:v>180</x:v>
      </x:c>
      <x:c r="C17" s="10" t="str">
        <x:v>m³</x:v>
      </x:c>
      <x:c r="D17" s="10" t="str">
        <x:v>six separate stocks</x:v>
      </x:c>
    </x:row>
    <x:row r="18">
      <x:c r="A18" s="10" t="str">
        <x:v>Class water-lot capacity</x:v>
      </x:c>
      <x:c r="B18" s="17" t="n">
        <x:f>'Assumptions'!B26*'Assumptions'!B27</x:f>
        <x:v>450</x:v>
      </x:c>
      <x:c r="C18" s="10" t="str">
        <x:v>m³</x:v>
      </x:c>
      <x:c r="D18" s="10" t="str">
        <x:v>primary, reserve, reference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dc8f3d32d7d8493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9" hidden="0" customWidth="1"/>
  </x:cols>
  <x:sheetData>
    <x:row r="2" ht="24" customHeight="1">
      <x:c r="A2" s="1" t="str">
        <x:v>Evidence-capacity account</x:v>
      </x:c>
    </x:row>
    <x:row r="4" ht="22" customHeight="1">
      <x:c r="A4" s="2"/>
      <x:c r="B4" s="2"/>
      <x:c r="C4" s="2"/>
      <x:c r="D4" s="2"/>
    </x:row>
    <x:row r="5">
      <x:c r="A5" s="8" t="str">
        <x:v>Evidence object</x:v>
      </x:c>
      <x:c r="B5" s="8" t="str">
        <x:v>Count</x:v>
      </x:c>
      <x:c r="C5" s="8" t="str">
        <x:v>GB each</x:v>
      </x:c>
      <x:c r="D5" s="8" t="str">
        <x:v>Allocated GB</x:v>
      </x:c>
    </x:row>
    <x:row r="6">
      <x:c r="A6" s="10" t="str">
        <x:v>Qualification cycles</x:v>
      </x:c>
      <x:c r="B6" s="18" t="n">
        <x:v>64</x:v>
      </x:c>
      <x:c r="C6" s="18" t="n">
        <x:v>240</x:v>
      </x:c>
      <x:c r="D6" s="18" t="n">
        <x:f>B6*C6</x:f>
        <x:v>15360</x:v>
      </x:c>
    </x:row>
    <x:row r="7">
      <x:c r="A7" s="10" t="str">
        <x:v>Class events</x:v>
      </x:c>
      <x:c r="B7" s="18" t="n">
        <x:v>16</x:v>
      </x:c>
      <x:c r="C7" s="18" t="n">
        <x:v>960</x:v>
      </x:c>
      <x:c r="D7" s="18" t="n">
        <x:f>B7*C7</x:f>
        <x:v>15360</x:v>
      </x:c>
    </x:row>
    <x:row r="8">
      <x:c r="A8" s="10" t="str">
        <x:v>Total governed evidence</x:v>
      </x:c>
      <x:c r="B8" s="18"/>
      <x:c r="C8" s="18"/>
      <x:c r="D8" s="18" t="n">
        <x:f>SUM(D6:D7)</x:f>
        <x:v>30720</x:v>
      </x:c>
    </x:row>
    <x:row r="9">
      <x:c r="A9" s="10" t="str">
        <x:v>Provision</x:v>
      </x:c>
      <x:c r="B9" s="18"/>
      <x:c r="C9" s="18"/>
      <x:c r="D9" s="18" t="n">
        <x:f>'Assumptions'!B56</x:f>
        <x:v>40000</x:v>
      </x:c>
    </x:row>
    <x:row r="10">
      <x:c r="A10" s="10"/>
      <x:c r="B10" s="18"/>
      <x:c r="C10" s="18"/>
      <x:c r="D10" s="18"/>
    </x:row>
    <x:row r="11">
      <x:c r="A11" s="10" t="str">
        <x:v>Provision headroom</x:v>
      </x:c>
      <x:c r="B11" s="18"/>
      <x:c r="C11" s="18" t="str">
        <x:v>GB</x:v>
      </x:c>
      <x:c r="D11" s="18" t="n">
        <x:f>D9-D8</x:f>
        <x:v>9280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9bf64c054e1148ba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8" hidden="0" customWidth="1"/>
    <x:col min="4" max="4" width="16" hidden="0" customWidth="1"/>
  </x:cols>
  <x:sheetData>
    <x:row r="2" ht="24" customHeight="1">
      <x:c r="A2" s="1" t="str">
        <x:v>Concurrent formation requirement</x:v>
      </x:c>
    </x:row>
    <x:row r="4" ht="22" customHeight="1">
      <x:c r="A4" s="2"/>
      <x:c r="B4" s="2"/>
      <x:c r="C4" s="2"/>
      <x:c r="D4" s="2"/>
    </x:row>
    <x:row r="5">
      <x:c r="A5" s="8" t="str">
        <x:v>Formation object</x:v>
      </x:c>
      <x:c r="B5" s="8" t="str">
        <x:v>Positions</x:v>
      </x:c>
      <x:c r="C5" s="8" t="str">
        <x:v>Parent envelope</x:v>
      </x:c>
      <x:c r="D5" s="8" t="str">
        <x:v>State</x:v>
      </x:c>
    </x:row>
    <x:row r="6">
      <x:c r="A6" s="10" t="str">
        <x:v>ER-02 execution</x:v>
      </x:c>
      <x:c r="B6" s="10" t="n">
        <x:f>'Assumptions'!B65</x:f>
        <x:v>330</x:v>
      </x:c>
      <x:c r="C6" s="10" t="n">
        <x:f>'Assumptions'!B74</x:f>
        <x:v>720</x:v>
      </x:c>
      <x:c r="D6" s="10" t="str">
        <x:f>IF(B6&lt;=C6,"WITHIN","DENY")</x:f>
        <x:v>WITHIN</x:v>
      </x:c>
    </x:row>
    <x:row r="7">
      <x:c r="A7" s="10" t="str">
        <x:v>RBH-1 sustainment</x:v>
      </x:c>
      <x:c r="B7" s="10" t="n">
        <x:f>'Assumptions'!B66</x:f>
        <x:v>60</x:v>
      </x:c>
      <x:c r="C7" s="10" t="n">
        <x:f>'Assumptions'!B74</x:f>
        <x:v>720</x:v>
      </x:c>
      <x:c r="D7" s="10" t="str">
        <x:f>IF(B7&lt;=C7,"WITHIN","DENY")</x:f>
        <x:v>WITHIN</x:v>
      </x:c>
    </x:row>
    <x:row r="8">
      <x:c r="A8" s="10" t="str">
        <x:v>Concurrent requirement</x:v>
      </x:c>
      <x:c r="B8" s="10" t="n">
        <x:f>SUM(B6:B7)</x:f>
        <x:v>390</x:v>
      </x:c>
      <x:c r="C8" s="10" t="n">
        <x:f>'Assumptions'!B74</x:f>
        <x:v>720</x:v>
      </x:c>
      <x:c r="D8" s="10" t="str">
        <x:f>IF(B8&lt;=C8,"WITHIN","DENY")</x:f>
        <x:v>WITHIN</x:v>
      </x:c>
    </x:row>
    <x:row r="9">
      <x:c r="A9" s="10" t="str">
        <x:v>Remaining parent positions</x:v>
      </x:c>
      <x:c r="B9" s="10" t="n">
        <x:f>'Assumptions'!B74-B8</x:f>
        <x:v>330</x:v>
      </x:c>
      <x:c r="C9" s="10" t="n">
        <x:f>'Assumptions'!B74</x:f>
        <x:v>720</x:v>
      </x:c>
      <x:c r="D9" s="10" t="str">
        <x:f>IF(B9&gt;=0,"AVAILABLE","DENY")</x:f>
        <x:v>AVAILABLE</x:v>
      </x:c>
    </x:row>
  </x:sheetData>
  <x:mergeCells>
    <x:mergeCell ref="A2:D2"/>
  </x:mergeCells>
  <x:conditionalFormatting sqref="D6:D9">
    <x:cfRule type="containsText" dxfId="80" priority="1" operator="containsText" text="DENY"/>
    <x:cfRule type="containsText" dxfId="81" priority="2" operator="containsText" text="ADVERSE"/>
    <x:cfRule type="containsText" dxfId="82" priority="3" operator="containsText" text="FAIL"/>
    <x:cfRule type="containsText" dxfId="83" priority="4" operator="containsText" text="OPEN"/>
    <x:cfRule type="containsText" dxfId="8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7306f520520c4ad0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8" hidden="0" customWidth="1"/>
    <x:col min="4" max="4" width="48" hidden="0" customWidth="1"/>
  </x:cols>
  <x:sheetData>
    <x:row r="2" ht="24" customHeight="1">
      <x:c r="A2" s="1" t="str">
        <x:v>Technology allocation and remaining parent envelope</x:v>
      </x:c>
    </x:row>
    <x:row r="4" ht="22" customHeight="1">
      <x:c r="A4" s="2"/>
      <x:c r="B4" s="2"/>
      <x:c r="C4" s="2"/>
      <x:c r="D4" s="2"/>
    </x:row>
    <x:row r="5">
      <x:c r="A5" s="8" t="str">
        <x:v>Technology object</x:v>
      </x:c>
      <x:c r="B5" s="8" t="str">
        <x:v>USD M</x:v>
      </x:c>
      <x:c r="C5" s="8" t="str">
        <x:v>Parent envelope</x:v>
      </x:c>
      <x:c r="D5" s="8" t="str">
        <x:v>Interpretation</x:v>
      </x:c>
    </x:row>
    <x:row r="6">
      <x:c r="A6" s="10" t="str">
        <x:v>RBH-1 allocation</x:v>
      </x:c>
      <x:c r="B6" s="19" t="n">
        <x:f>'Assumptions'!B76</x:f>
        <x:v>95</x:v>
      </x:c>
      <x:c r="C6" s="19" t="n">
        <x:f>'Assumptions'!B73</x:f>
        <x:v>235</x:v>
      </x:c>
      <x:c r="D6" s="10" t="str">
        <x:v>dry reference architecture</x:v>
      </x:c>
    </x:row>
    <x:row r="7">
      <x:c r="A7" s="10" t="str">
        <x:v>ER-02 allocation</x:v>
      </x:c>
      <x:c r="B7" s="19" t="n">
        <x:f>'Assumptions'!B70</x:f>
        <x:v>90</x:v>
      </x:c>
      <x:c r="C7" s="19" t="n">
        <x:f>'Assumptions'!B73</x:f>
        <x:v>235</x:v>
      </x:c>
      <x:c r="D7" s="10" t="str">
        <x:v>water-reference metrology, modules, and evidence</x:v>
      </x:c>
    </x:row>
    <x:row r="8">
      <x:c r="A8" s="10" t="str">
        <x:v>Cumulative allocation</x:v>
      </x:c>
      <x:c r="B8" s="19" t="n">
        <x:f>SUM(B6:B7)</x:f>
        <x:v>185</x:v>
      </x:c>
      <x:c r="C8" s="19" t="n">
        <x:f>'Assumptions'!B73</x:f>
        <x:v>235</x:v>
      </x:c>
      <x:c r="D8" s="10" t="str">
        <x:v>two governed child allocations</x:v>
      </x:c>
    </x:row>
    <x:row r="9">
      <x:c r="A9" s="10" t="str">
        <x:v>Remaining parent envelope</x:v>
      </x:c>
      <x:c r="B9" s="19" t="n">
        <x:f>'Assumptions'!B73-B8</x:f>
        <x:v>50</x:v>
      </x:c>
      <x:c r="C9" s="19" t="n">
        <x:f>'Assumptions'!B73</x:f>
        <x:v>235</x:v>
      </x:c>
      <x:c r="D9" s="10" t="str">
        <x:v>only fifty million remains before parent rebase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33e8ff1386d54354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8" hidden="0" customWidth="1"/>
    <x:col min="3" max="3" width="25" hidden="0" customWidth="1"/>
    <x:col min="4" max="4" width="47" hidden="0" customWidth="1"/>
  </x:cols>
  <x:sheetData>
    <x:row r="2" ht="24" customHeight="1">
      <x:c r="A2" s="1" t="str">
        <x:v>ER-02 allocation, concurrency, and stage exposure</x:v>
      </x:c>
    </x:row>
    <x:row r="4" ht="22" customHeight="1">
      <x:c r="A4" s="2"/>
      <x:c r="B4" s="2"/>
      <x:c r="C4" s="2"/>
      <x:c r="D4" s="2"/>
    </x:row>
    <x:row r="5">
      <x:c r="A5" s="8" t="str">
        <x:v>Financial identity</x:v>
      </x:c>
      <x:c r="B5" s="8" t="str">
        <x:v>USD M</x:v>
      </x:c>
      <x:c r="C5" s="8" t="str">
        <x:v>Unit</x:v>
      </x:c>
      <x:c r="D5" s="8" t="str">
        <x:v>Interpretation</x:v>
      </x:c>
    </x:row>
    <x:row r="6">
      <x:c r="A6" s="10" t="str">
        <x:v>Parent capital increment</x:v>
      </x:c>
      <x:c r="B6" s="20" t="n">
        <x:f>'Assumptions'!B71</x:f>
        <x:v>1100</x:v>
      </x:c>
      <x:c r="C6" s="10" t="str">
        <x:v>capital</x:v>
      </x:c>
      <x:c r="D6" s="10" t="str">
        <x:v>RAS-3R registered increment</x:v>
      </x:c>
    </x:row>
    <x:row r="7">
      <x:c r="A7" s="10" t="str">
        <x:v>RBH-1 capital allocation</x:v>
      </x:c>
      <x:c r="B7" s="20" t="n">
        <x:f>'Assumptions'!B75</x:f>
        <x:v>180</x:v>
      </x:c>
      <x:c r="C7" s="10" t="str">
        <x:v>capital</x:v>
      </x:c>
      <x:c r="D7" s="10" t="str">
        <x:v>prior dry-reference child</x:v>
      </x:c>
    </x:row>
    <x:row r="8">
      <x:c r="A8" s="10" t="str">
        <x:v>ER-02 capital allocation</x:v>
      </x:c>
      <x:c r="B8" s="20" t="n">
        <x:f>'Assumptions'!B67</x:f>
        <x:v>260</x:v>
      </x:c>
      <x:c r="C8" s="10" t="str">
        <x:v>capital</x:v>
      </x:c>
      <x:c r="D8" s="10" t="str">
        <x:v>water-only ER-02 child</x:v>
      </x:c>
    </x:row>
    <x:row r="9">
      <x:c r="A9" s="10" t="str">
        <x:v>Capital remaining after two children</x:v>
      </x:c>
      <x:c r="B9" s="20" t="n">
        <x:f>B6-B7-B8</x:f>
        <x:v>660</x:v>
      </x:c>
      <x:c r="C9" s="10" t="str">
        <x:v>capital</x:v>
      </x:c>
      <x:c r="D9" s="10" t="str">
        <x:v>available for later children</x:v>
      </x:c>
    </x:row>
    <x:row r="10">
      <x:c r="A10" s="10" t="str">
        <x:v>Parent annual increment</x:v>
      </x:c>
      <x:c r="B10" s="20" t="n">
        <x:f>'Assumptions'!B72</x:f>
        <x:v>67</x:v>
      </x:c>
      <x:c r="C10" s="10" t="str">
        <x:v>per year</x:v>
      </x:c>
      <x:c r="D10" s="10" t="str">
        <x:v>RAS-3R registered increment</x:v>
      </x:c>
    </x:row>
    <x:row r="11">
      <x:c r="A11" s="10" t="str">
        <x:v>ER-02 annual support</x:v>
      </x:c>
      <x:c r="B11" s="20" t="n">
        <x:f>'Assumptions'!B68</x:f>
        <x:v>48</x:v>
      </x:c>
      <x:c r="C11" s="10" t="str">
        <x:v>per year</x:v>
      </x:c>
      <x:c r="D11" s="10" t="str">
        <x:v>ER-02 operating institution</x:v>
      </x:c>
    </x:row>
    <x:row r="12">
      <x:c r="A12" s="10" t="str">
        <x:v>RBH-1 concurrent sustainment</x:v>
      </x:c>
      <x:c r="B12" s="20" t="n">
        <x:f>'Assumptions'!B69</x:f>
        <x:v>8</x:v>
      </x:c>
      <x:c r="C12" s="10" t="str">
        <x:v>per year</x:v>
      </x:c>
      <x:c r="D12" s="10" t="str">
        <x:v>preserve RBH truth system during ER-02</x:v>
      </x:c>
    </x:row>
    <x:row r="13">
      <x:c r="A13" s="10" t="str">
        <x:v>Concurrent annual requirement</x:v>
      </x:c>
      <x:c r="B13" s="20" t="n">
        <x:f>SUM(B11:B12)</x:f>
        <x:v>56</x:v>
      </x:c>
      <x:c r="C13" s="10" t="str">
        <x:v>per year</x:v>
      </x:c>
      <x:c r="D13" s="10" t="str">
        <x:v>simultaneous run rate</x:v>
      </x:c>
    </x:row>
    <x:row r="14">
      <x:c r="A14" s="10" t="str">
        <x:v>Annual headroom</x:v>
      </x:c>
      <x:c r="B14" s="20" t="n">
        <x:f>B10-B13</x:f>
        <x:v>11</x:v>
      </x:c>
      <x:c r="C14" s="10" t="str">
        <x:v>per year</x:v>
      </x:c>
      <x:c r="D14" s="10" t="str">
        <x:v>unassigned annual envelope</x:v>
      </x:c>
    </x:row>
    <x:row r="15">
      <x:c r="A15" s="10" t="str">
        <x:v>ER-02 stage duration</x:v>
      </x:c>
      <x:c r="B15" s="16" t="n">
        <x:f>'Assumptions'!B64</x:f>
        <x:v>18</x:v>
      </x:c>
      <x:c r="C15" s="10" t="str">
        <x:v>months</x:v>
      </x:c>
      <x:c r="D15" s="10" t="str">
        <x:v>construction through class review</x:v>
      </x:c>
    </x:row>
    <x:row r="16">
      <x:c r="A16" s="10" t="str">
        <x:v>ER-02 stage support</x:v>
      </x:c>
      <x:c r="B16" s="20" t="n">
        <x:f>B11*B15/12</x:f>
        <x:v>72</x:v>
      </x:c>
      <x:c r="C16" s="10" t="str">
        <x:v>stage support</x:v>
      </x:c>
      <x:c r="D16" s="10" t="str">
        <x:v>18 months at annual support rate</x:v>
      </x:c>
    </x:row>
    <x:row r="17">
      <x:c r="A17" s="10" t="str">
        <x:v>ER-02 stage exposure</x:v>
      </x:c>
      <x:c r="B17" s="20" t="n">
        <x:f>B8+B16</x:f>
        <x:v>332</x:v>
      </x:c>
      <x:c r="C17" s="10" t="str">
        <x:v>capital plus stage support</x:v>
      </x:c>
      <x:c r="D17" s="10" t="str">
        <x:v>capital plus stage support</x:v>
      </x:c>
    </x:row>
    <x:row r="18">
      <x:c r="A18" s="10" t="str">
        <x:v>Parent technology increment</x:v>
      </x:c>
      <x:c r="B18" s="20" t="n">
        <x:f>'Assumptions'!B73</x:f>
        <x:v>235</x:v>
      </x:c>
      <x:c r="C18" s="10" t="str">
        <x:v>technology</x:v>
      </x:c>
      <x:c r="D18" s="10" t="str">
        <x:v>RAS-3R registered increment</x:v>
      </x:c>
    </x:row>
    <x:row r="19">
      <x:c r="A19" s="10" t="str">
        <x:v>RBH-1 technology allocation</x:v>
      </x:c>
      <x:c r="B19" s="20" t="n">
        <x:f>'Assumptions'!B76</x:f>
        <x:v>95</x:v>
      </x:c>
      <x:c r="C19" s="10" t="str">
        <x:v>technology</x:v>
      </x:c>
      <x:c r="D19" s="10" t="str">
        <x:v>prior dry-reference child</x:v>
      </x:c>
    </x:row>
    <x:row r="20">
      <x:c r="A20" s="10" t="str">
        <x:v>ER-02 technology allocation</x:v>
      </x:c>
      <x:c r="B20" s="20" t="n">
        <x:f>'Assumptions'!B70</x:f>
        <x:v>90</x:v>
      </x:c>
      <x:c r="C20" s="10" t="str">
        <x:v>technology</x:v>
      </x:c>
      <x:c r="D20" s="10" t="str">
        <x:v>water-only ER-02 child</x:v>
      </x:c>
    </x:row>
    <x:row r="21">
      <x:c r="A21" s="10" t="str">
        <x:v>Technology remaining after two children</x:v>
      </x:c>
      <x:c r="B21" s="20" t="n">
        <x:f>B18-B19-B20</x:f>
        <x:v>50</x:v>
      </x:c>
      <x:c r="C21" s="10" t="str">
        <x:v>technology</x:v>
      </x:c>
      <x:c r="D21" s="10" t="str">
        <x:v>parent technology rebase is now mandatory</x:v>
      </x:c>
    </x:row>
    <x:row r="24">
      <x:c r="A24" s="8" t="str">
        <x:v>ER-02 capital object</x:v>
      </x:c>
      <x:c r="B24" s="8" t="str">
        <x:v>USD M</x:v>
      </x:c>
      <x:c r="C24" s="8" t="str">
        <x:v>Share</x:v>
      </x:c>
      <x:c r="D24" s="8" t="str">
        <x:v>Purpose</x:v>
      </x:c>
    </x:row>
    <x:row r="25" ht="30" customHeight="1">
      <x:c r="A25" s="24" t="str">
        <x:v>Eighteen root-native water-reference modules</x:v>
      </x:c>
      <x:c r="B25" s="26" t="n">
        <x:v>108</x:v>
      </x:c>
      <x:c r="C25" s="27" t="n">
        <x:f>B25/$B$8</x:f>
        <x:v>0.4153846153846154</x:v>
      </x:c>
      <x:c r="D25" s="24" t="str">
        <x:v>active, spare, and forensic articles</x:v>
      </x:c>
    </x:row>
    <x:row r="26" ht="30" customHeight="1">
      <x:c r="A26" s="24" t="str">
        <x:v>Six rig water-train and interface modernizations</x:v>
      </x:c>
      <x:c r="B26" s="26" t="n">
        <x:v>36</x:v>
      </x:c>
      <x:c r="C26" s="27" t="n">
        <x:f>B26/$B$8</x:f>
        <x:v>0.13846153846153847</x:v>
      </x:c>
      <x:c r="D26" s="24" t="str">
        <x:v>three campuses and separate qualification stocks</x:v>
      </x:c>
    </x:row>
    <x:row r="27" ht="30" customHeight="1">
      <x:c r="A27" s="24" t="str">
        <x:v>Gravimetric and swept-volume truth systems</x:v>
      </x:c>
      <x:c r="B27" s="26" t="n">
        <x:v>28</x:v>
      </x:c>
      <x:c r="C27" s="27" t="n">
        <x:f>B27/$B$8</x:f>
        <x:v>0.1076923076923077</x:v>
      </x:c>
      <x:c r="D27" s="24" t="str">
        <x:v>unlike decisive physical roots</x:v>
      </x:c>
    </x:row>
    <x:row r="28" ht="30" customHeight="1">
      <x:c r="A28" s="24" t="str">
        <x:v>Conditioning and re-release plant</x:v>
      </x:c>
      <x:c r="B28" s="26" t="n">
        <x:v>20</x:v>
      </x:c>
      <x:c r="C28" s="27" t="n">
        <x:f>B28/$B$8</x:f>
        <x:v>0.07692307692307693</x:v>
      </x:c>
      <x:c r="D28" s="24" t="str">
        <x:v>assay, treatment, and release</x:v>
      </x:c>
    </x:row>
    <x:row r="29" ht="30" customHeight="1">
      <x:c r="A29" s="24" t="str">
        <x:v>Casualty, quarantine and basin isolation</x:v>
      </x:c>
      <x:c r="B29" s="26" t="n">
        <x:v>16</x:v>
      </x:c>
      <x:c r="C29" s="27" t="n">
        <x:f>B29/$B$8</x:f>
        <x:v>0.06153846153846154</x:v>
      </x:c>
      <x:c r="D29" s="24" t="str">
        <x:v>zero-path observation and terminal custody</x:v>
      </x:c>
    </x:row>
    <x:row r="30" ht="30" customHeight="1">
      <x:c r="A30" s="24" t="str">
        <x:v>Native evidence and outside replay</x:v>
      </x:c>
      <x:c r="B30" s="26" t="n">
        <x:v>12</x:v>
      </x:c>
      <x:c r="C30" s="27" t="n">
        <x:f>B30/$B$8</x:f>
        <x:v>0.046153846153846156</x:v>
      </x:c>
      <x:c r="D30" s="24" t="str">
        <x:v>192 records, immutable originals, outside replay</x:v>
      </x:c>
    </x:row>
    <x:row r="31" ht="30" customHeight="1">
      <x:c r="A31" s="24" t="str">
        <x:v>Robotic sampling and wet inspection</x:v>
      </x:c>
      <x:c r="B31" s="26" t="n">
        <x:v>10</x:v>
      </x:c>
      <x:c r="C31" s="27" t="n">
        <x:f>B31/$B$8</x:f>
        <x:v>0.038461538461538464</x:v>
      </x:c>
      <x:c r="D31" s="24" t="str">
        <x:v>hidden-retention and post-event inspection</x:v>
      </x:c>
    </x:row>
    <x:row r="32" ht="30" customHeight="1">
      <x:c r="A32" s="24" t="str">
        <x:v>Laboratories, training and independent review</x:v>
      </x:c>
      <x:c r="B32" s="26" t="n">
        <x:v>8</x:v>
      </x:c>
      <x:c r="C32" s="27" t="n">
        <x:f>B32/$B$8</x:f>
        <x:v>0.03076923076923077</x:v>
      </x:c>
      <x:c r="D32" s="24" t="str">
        <x:v>authority and workforce qualification</x:v>
      </x:c>
    </x:row>
    <x:row r="33" ht="30" customHeight="1">
      <x:c r="A33" s="24" t="str">
        <x:v>Controlled contingency</x:v>
      </x:c>
      <x:c r="B33" s="26" t="n">
        <x:v>22</x:v>
      </x:c>
      <x:c r="C33" s="27" t="n">
        <x:f>B33/$B$8</x:f>
        <x:v>0.08461538461538462</x:v>
      </x:c>
      <x:c r="D33" s="24" t="str">
        <x:v>registered uncertainty capacity</x:v>
      </x:c>
    </x:row>
    <x:row r="34" ht="30" customHeight="1">
      <x:c r="A34" s="24" t="str">
        <x:v>Capital object total</x:v>
      </x:c>
      <x:c r="B34" s="26" t="n">
        <x:f>SUM(B25:B33)</x:f>
        <x:v>260</x:v>
      </x:c>
      <x:c r="C34" s="24"/>
      <x:c r="D34" s="24" t="str">
        <x:f>IF(B34=B8,"RECONCILED","DENY")</x:f>
        <x:v>RECONCILED</x:v>
      </x:c>
    </x:row>
  </x:sheetData>
  <x:mergeCells>
    <x:mergeCell ref="A2:D2"/>
  </x:mergeCells>
  <x:conditionalFormatting sqref="D34:D34">
    <x:cfRule type="containsText" dxfId="85" priority="1" operator="containsText" text="DENY"/>
    <x:cfRule type="containsText" dxfId="86" priority="2" operator="containsText" text="ADVERSE"/>
    <x:cfRule type="containsText" dxfId="87" priority="3" operator="containsText" text="FAIL"/>
    <x:cfRule type="containsText" dxfId="88" priority="4" operator="containsText" text="OPEN"/>
    <x:cfRule type="containsText" dxfId="89" priority="5" operator="containsText" text="BLOCKED"/>
  </x:conditionalFormatting>
  <x:pageMargins left="0.7" right="0.7" top="0.75" bottom="0.75" header="0.3" footer="0.3"/>
  <x:tableParts count="2">
    <x:tablePart xmlns:r="http://schemas.openxmlformats.org/officeDocument/2006/relationships" r:id="R2c96a12adb8b4fd3"/>
    <x:tablePart xmlns:r="http://schemas.openxmlformats.org/officeDocument/2006/relationships" r:id="R20e47332d33647b1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50" hidden="0" customWidth="1"/>
    <x:col min="4" max="4" width="20" hidden="0" customWidth="1"/>
    <x:col min="5" max="5" width="21" hidden="0" customWidth="1"/>
    <x:col min="6" max="6" width="17" hidden="0" customWidth="1"/>
  </x:cols>
  <x:sheetData>
    <x:row r="2" ht="24" customHeight="1">
      <x:c r="A2" s="1" t="str">
        <x:v>One hundred fifty registered falsification cases</x:v>
      </x:c>
    </x:row>
    <x:row r="4" ht="22" customHeight="1">
      <x:c r="A4" s="2"/>
      <x:c r="B4" s="2"/>
      <x:c r="C4" s="2"/>
      <x:c r="D4" s="2"/>
      <x:c r="E4" s="2"/>
      <x:c r="F4" s="2"/>
    </x:row>
    <x:row r="5">
      <x:c r="A5" s="8" t="str">
        <x:v>Case</x:v>
      </x:c>
      <x:c r="B5" s="8" t="str">
        <x:v>Category</x:v>
      </x:c>
      <x:c r="C5" s="8" t="str">
        <x:v>Perturbation</x:v>
      </x:c>
      <x:c r="D5" s="8" t="str">
        <x:v>Expected response</x:v>
      </x:c>
      <x:c r="E5" s="8" t="str">
        <x:v>Owning sheet</x:v>
      </x:c>
      <x:c r="F5" s="8" t="str">
        <x:v>State</x:v>
      </x:c>
    </x:row>
    <x:row r="6">
      <x:c r="A6" s="10" t="str">
        <x:v>RBI-C001</x:v>
      </x:c>
      <x:c r="B6" s="10" t="str">
        <x:v>volume boundary</x:v>
      </x:c>
      <x:c r="C6" s="10" t="str">
        <x:v>delivered volume crosses registered tolerance variant 1</x:v>
      </x:c>
      <x:c r="D6" s="10" t="str">
        <x:v>VALID-ADVERSE</x:v>
      </x:c>
      <x:c r="E6" s="10" t="str">
        <x:v>Event Register</x:v>
      </x:c>
      <x:c r="F6" s="10" t="str">
        <x:v>REGISTERED</x:v>
      </x:c>
    </x:row>
    <x:row r="7">
      <x:c r="A7" s="10" t="str">
        <x:v>RBI-C002</x:v>
      </x:c>
      <x:c r="B7" s="10" t="str">
        <x:v>volume boundary</x:v>
      </x:c>
      <x:c r="C7" s="10" t="str">
        <x:v>delivered volume crosses registered tolerance variant 2</x:v>
      </x:c>
      <x:c r="D7" s="10" t="str">
        <x:v>VALID-ADVERSE</x:v>
      </x:c>
      <x:c r="E7" s="10" t="str">
        <x:v>Event Register</x:v>
      </x:c>
      <x:c r="F7" s="10" t="str">
        <x:v>REGISTERED</x:v>
      </x:c>
    </x:row>
    <x:row r="8">
      <x:c r="A8" s="10" t="str">
        <x:v>RBI-C003</x:v>
      </x:c>
      <x:c r="B8" s="10" t="str">
        <x:v>volume boundary</x:v>
      </x:c>
      <x:c r="C8" s="10" t="str">
        <x:v>delivered volume crosses registered tolerance variant 3</x:v>
      </x:c>
      <x:c r="D8" s="10" t="str">
        <x:v>VALID-ADVERSE</x:v>
      </x:c>
      <x:c r="E8" s="10" t="str">
        <x:v>Event Register</x:v>
      </x:c>
      <x:c r="F8" s="10" t="str">
        <x:v>REGISTERED</x:v>
      </x:c>
    </x:row>
    <x:row r="9">
      <x:c r="A9" s="10" t="str">
        <x:v>RBI-C004</x:v>
      </x:c>
      <x:c r="B9" s="10" t="str">
        <x:v>volume boundary</x:v>
      </x:c>
      <x:c r="C9" s="10" t="str">
        <x:v>delivered volume crosses registered tolerance variant 4</x:v>
      </x:c>
      <x:c r="D9" s="10" t="str">
        <x:v>VALID-ADVERSE</x:v>
      </x:c>
      <x:c r="E9" s="10" t="str">
        <x:v>Event Register</x:v>
      </x:c>
      <x:c r="F9" s="10" t="str">
        <x:v>REGISTERED</x:v>
      </x:c>
    </x:row>
    <x:row r="10">
      <x:c r="A10" s="10" t="str">
        <x:v>RBI-C005</x:v>
      </x:c>
      <x:c r="B10" s="10" t="str">
        <x:v>volume boundary</x:v>
      </x:c>
      <x:c r="C10" s="10" t="str">
        <x:v>delivered volume crosses registered tolerance variant 5</x:v>
      </x:c>
      <x:c r="D10" s="10" t="str">
        <x:v>VALID-ADVERSE</x:v>
      </x:c>
      <x:c r="E10" s="10" t="str">
        <x:v>Event Register</x:v>
      </x:c>
      <x:c r="F10" s="10" t="str">
        <x:v>REGISTERED</x:v>
      </x:c>
    </x:row>
    <x:row r="11">
      <x:c r="A11" s="10" t="str">
        <x:v>RBI-C006</x:v>
      </x:c>
      <x:c r="B11" s="10" t="str">
        <x:v>volume boundary</x:v>
      </x:c>
      <x:c r="C11" s="10" t="str">
        <x:v>delivered volume crosses registered tolerance variant 6</x:v>
      </x:c>
      <x:c r="D11" s="10" t="str">
        <x:v>VALID-ADVERSE</x:v>
      </x:c>
      <x:c r="E11" s="10" t="str">
        <x:v>Event Register</x:v>
      </x:c>
      <x:c r="F11" s="10" t="str">
        <x:v>REGISTERED</x:v>
      </x:c>
    </x:row>
    <x:row r="12">
      <x:c r="A12" s="10" t="str">
        <x:v>RBI-C007</x:v>
      </x:c>
      <x:c r="B12" s="10" t="str">
        <x:v>volume boundary</x:v>
      </x:c>
      <x:c r="C12" s="10" t="str">
        <x:v>delivered volume crosses registered tolerance variant 7</x:v>
      </x:c>
      <x:c r="D12" s="10" t="str">
        <x:v>VALID-ADVERSE</x:v>
      </x:c>
      <x:c r="E12" s="10" t="str">
        <x:v>Event Register</x:v>
      </x:c>
      <x:c r="F12" s="10" t="str">
        <x:v>REGISTERED</x:v>
      </x:c>
    </x:row>
    <x:row r="13">
      <x:c r="A13" s="10" t="str">
        <x:v>RBI-C008</x:v>
      </x:c>
      <x:c r="B13" s="10" t="str">
        <x:v>volume boundary</x:v>
      </x:c>
      <x:c r="C13" s="10" t="str">
        <x:v>delivered volume crosses registered tolerance variant 8</x:v>
      </x:c>
      <x:c r="D13" s="10" t="str">
        <x:v>VALID-ADVERSE</x:v>
      </x:c>
      <x:c r="E13" s="10" t="str">
        <x:v>Event Register</x:v>
      </x:c>
      <x:c r="F13" s="10" t="str">
        <x:v>REGISTERED</x:v>
      </x:c>
    </x:row>
    <x:row r="14">
      <x:c r="A14" s="10" t="str">
        <x:v>RBI-C009</x:v>
      </x:c>
      <x:c r="B14" s="10" t="str">
        <x:v>volume boundary</x:v>
      </x:c>
      <x:c r="C14" s="10" t="str">
        <x:v>delivered volume crosses registered tolerance variant 9</x:v>
      </x:c>
      <x:c r="D14" s="10" t="str">
        <x:v>VALID-ADVERSE</x:v>
      </x:c>
      <x:c r="E14" s="10" t="str">
        <x:v>Event Register</x:v>
      </x:c>
      <x:c r="F14" s="10" t="str">
        <x:v>REGISTERED</x:v>
      </x:c>
    </x:row>
    <x:row r="15">
      <x:c r="A15" s="10" t="str">
        <x:v>RBI-C010</x:v>
      </x:c>
      <x:c r="B15" s="10" t="str">
        <x:v>volume boundary</x:v>
      </x:c>
      <x:c r="C15" s="10" t="str">
        <x:v>delivered volume crosses registered tolerance variant 10</x:v>
      </x:c>
      <x:c r="D15" s="10" t="str">
        <x:v>VALID-ADVERSE</x:v>
      </x:c>
      <x:c r="E15" s="10" t="str">
        <x:v>Event Register</x:v>
      </x:c>
      <x:c r="F15" s="10" t="str">
        <x:v>REGISTERED</x:v>
      </x:c>
    </x:row>
    <x:row r="16">
      <x:c r="A16" s="10" t="str">
        <x:v>RBI-C011</x:v>
      </x:c>
      <x:c r="B16" s="10" t="str">
        <x:v>flow boundary</x:v>
      </x:c>
      <x:c r="C16" s="10" t="str">
        <x:v>mean flow crosses registered tolerance variant 1</x:v>
      </x:c>
      <x:c r="D16" s="10" t="str">
        <x:v>VALID-ADVERSE</x:v>
      </x:c>
      <x:c r="E16" s="10" t="str">
        <x:v>Event Register</x:v>
      </x:c>
      <x:c r="F16" s="10" t="str">
        <x:v>REGISTERED</x:v>
      </x:c>
    </x:row>
    <x:row r="17">
      <x:c r="A17" s="10" t="str">
        <x:v>RBI-C012</x:v>
      </x:c>
      <x:c r="B17" s="10" t="str">
        <x:v>flow boundary</x:v>
      </x:c>
      <x:c r="C17" s="10" t="str">
        <x:v>mean flow crosses registered tolerance variant 2</x:v>
      </x:c>
      <x:c r="D17" s="10" t="str">
        <x:v>VALID-ADVERSE</x:v>
      </x:c>
      <x:c r="E17" s="10" t="str">
        <x:v>Event Register</x:v>
      </x:c>
      <x:c r="F17" s="10" t="str">
        <x:v>REGISTERED</x:v>
      </x:c>
    </x:row>
    <x:row r="18">
      <x:c r="A18" s="10" t="str">
        <x:v>RBI-C013</x:v>
      </x:c>
      <x:c r="B18" s="10" t="str">
        <x:v>flow boundary</x:v>
      </x:c>
      <x:c r="C18" s="10" t="str">
        <x:v>mean flow crosses registered tolerance variant 3</x:v>
      </x:c>
      <x:c r="D18" s="10" t="str">
        <x:v>VALID-ADVERSE</x:v>
      </x:c>
      <x:c r="E18" s="10" t="str">
        <x:v>Event Register</x:v>
      </x:c>
      <x:c r="F18" s="10" t="str">
        <x:v>REGISTERED</x:v>
      </x:c>
    </x:row>
    <x:row r="19">
      <x:c r="A19" s="10" t="str">
        <x:v>RBI-C014</x:v>
      </x:c>
      <x:c r="B19" s="10" t="str">
        <x:v>flow boundary</x:v>
      </x:c>
      <x:c r="C19" s="10" t="str">
        <x:v>mean flow crosses registered tolerance variant 4</x:v>
      </x:c>
      <x:c r="D19" s="10" t="str">
        <x:v>VALID-ADVERSE</x:v>
      </x:c>
      <x:c r="E19" s="10" t="str">
        <x:v>Event Register</x:v>
      </x:c>
      <x:c r="F19" s="10" t="str">
        <x:v>REGISTERED</x:v>
      </x:c>
    </x:row>
    <x:row r="20">
      <x:c r="A20" s="10" t="str">
        <x:v>RBI-C015</x:v>
      </x:c>
      <x:c r="B20" s="10" t="str">
        <x:v>flow boundary</x:v>
      </x:c>
      <x:c r="C20" s="10" t="str">
        <x:v>mean flow crosses registered tolerance variant 5</x:v>
      </x:c>
      <x:c r="D20" s="10" t="str">
        <x:v>VALID-ADVERSE</x:v>
      </x:c>
      <x:c r="E20" s="10" t="str">
        <x:v>Event Register</x:v>
      </x:c>
      <x:c r="F20" s="10" t="str">
        <x:v>REGISTERED</x:v>
      </x:c>
    </x:row>
    <x:row r="21">
      <x:c r="A21" s="10" t="str">
        <x:v>RBI-C016</x:v>
      </x:c>
      <x:c r="B21" s="10" t="str">
        <x:v>flow boundary</x:v>
      </x:c>
      <x:c r="C21" s="10" t="str">
        <x:v>mean flow crosses registered tolerance variant 6</x:v>
      </x:c>
      <x:c r="D21" s="10" t="str">
        <x:v>VALID-ADVERSE</x:v>
      </x:c>
      <x:c r="E21" s="10" t="str">
        <x:v>Event Register</x:v>
      </x:c>
      <x:c r="F21" s="10" t="str">
        <x:v>REGISTERED</x:v>
      </x:c>
    </x:row>
    <x:row r="22">
      <x:c r="A22" s="10" t="str">
        <x:v>RBI-C017</x:v>
      </x:c>
      <x:c r="B22" s="10" t="str">
        <x:v>flow boundary</x:v>
      </x:c>
      <x:c r="C22" s="10" t="str">
        <x:v>mean flow crosses registered tolerance variant 7</x:v>
      </x:c>
      <x:c r="D22" s="10" t="str">
        <x:v>VALID-ADVERSE</x:v>
      </x:c>
      <x:c r="E22" s="10" t="str">
        <x:v>Event Register</x:v>
      </x:c>
      <x:c r="F22" s="10" t="str">
        <x:v>REGISTERED</x:v>
      </x:c>
    </x:row>
    <x:row r="23">
      <x:c r="A23" s="10" t="str">
        <x:v>RBI-C018</x:v>
      </x:c>
      <x:c r="B23" s="10" t="str">
        <x:v>flow boundary</x:v>
      </x:c>
      <x:c r="C23" s="10" t="str">
        <x:v>mean flow crosses registered tolerance variant 8</x:v>
      </x:c>
      <x:c r="D23" s="10" t="str">
        <x:v>VALID-ADVERSE</x:v>
      </x:c>
      <x:c r="E23" s="10" t="str">
        <x:v>Event Register</x:v>
      </x:c>
      <x:c r="F23" s="10" t="str">
        <x:v>REGISTERED</x:v>
      </x:c>
    </x:row>
    <x:row r="24">
      <x:c r="A24" s="10" t="str">
        <x:v>RBI-C019</x:v>
      </x:c>
      <x:c r="B24" s="10" t="str">
        <x:v>flow boundary</x:v>
      </x:c>
      <x:c r="C24" s="10" t="str">
        <x:v>mean flow crosses registered tolerance variant 9</x:v>
      </x:c>
      <x:c r="D24" s="10" t="str">
        <x:v>VALID-ADVERSE</x:v>
      </x:c>
      <x:c r="E24" s="10" t="str">
        <x:v>Event Register</x:v>
      </x:c>
      <x:c r="F24" s="10" t="str">
        <x:v>REGISTERED</x:v>
      </x:c>
    </x:row>
    <x:row r="25">
      <x:c r="A25" s="10" t="str">
        <x:v>RBI-C020</x:v>
      </x:c>
      <x:c r="B25" s="10" t="str">
        <x:v>flow boundary</x:v>
      </x:c>
      <x:c r="C25" s="10" t="str">
        <x:v>mean flow crosses registered tolerance variant 10</x:v>
      </x:c>
      <x:c r="D25" s="10" t="str">
        <x:v>VALID-ADVERSE</x:v>
      </x:c>
      <x:c r="E25" s="10" t="str">
        <x:v>Event Register</x:v>
      </x:c>
      <x:c r="F25" s="10" t="str">
        <x:v>REGISTERED</x:v>
      </x:c>
    </x:row>
    <x:row r="26">
      <x:c r="A26" s="10" t="str">
        <x:v>RBI-C021</x:v>
      </x:c>
      <x:c r="B26" s="10" t="str">
        <x:v>timing boundary</x:v>
      </x:c>
      <x:c r="C26" s="10" t="str">
        <x:v>duration error exceeds 4.8 seconds variant 1</x:v>
      </x:c>
      <x:c r="D26" s="10" t="str">
        <x:v>VALID-ADVERSE</x:v>
      </x:c>
      <x:c r="E26" s="10" t="str">
        <x:v>Event Register</x:v>
      </x:c>
      <x:c r="F26" s="10" t="str">
        <x:v>REGISTERED</x:v>
      </x:c>
    </x:row>
    <x:row r="27">
      <x:c r="A27" s="10" t="str">
        <x:v>RBI-C022</x:v>
      </x:c>
      <x:c r="B27" s="10" t="str">
        <x:v>timing boundary</x:v>
      </x:c>
      <x:c r="C27" s="10" t="str">
        <x:v>duration error exceeds 4.8 seconds variant 2</x:v>
      </x:c>
      <x:c r="D27" s="10" t="str">
        <x:v>VALID-ADVERSE</x:v>
      </x:c>
      <x:c r="E27" s="10" t="str">
        <x:v>Event Register</x:v>
      </x:c>
      <x:c r="F27" s="10" t="str">
        <x:v>REGISTERED</x:v>
      </x:c>
    </x:row>
    <x:row r="28">
      <x:c r="A28" s="10" t="str">
        <x:v>RBI-C023</x:v>
      </x:c>
      <x:c r="B28" s="10" t="str">
        <x:v>timing boundary</x:v>
      </x:c>
      <x:c r="C28" s="10" t="str">
        <x:v>duration error exceeds 4.8 seconds variant 3</x:v>
      </x:c>
      <x:c r="D28" s="10" t="str">
        <x:v>VALID-ADVERSE</x:v>
      </x:c>
      <x:c r="E28" s="10" t="str">
        <x:v>Event Register</x:v>
      </x:c>
      <x:c r="F28" s="10" t="str">
        <x:v>REGISTERED</x:v>
      </x:c>
    </x:row>
    <x:row r="29">
      <x:c r="A29" s="10" t="str">
        <x:v>RBI-C024</x:v>
      </x:c>
      <x:c r="B29" s="10" t="str">
        <x:v>timing boundary</x:v>
      </x:c>
      <x:c r="C29" s="10" t="str">
        <x:v>duration error exceeds 4.8 seconds variant 4</x:v>
      </x:c>
      <x:c r="D29" s="10" t="str">
        <x:v>VALID-ADVERSE</x:v>
      </x:c>
      <x:c r="E29" s="10" t="str">
        <x:v>Event Register</x:v>
      </x:c>
      <x:c r="F29" s="10" t="str">
        <x:v>REGISTERED</x:v>
      </x:c>
    </x:row>
    <x:row r="30">
      <x:c r="A30" s="10" t="str">
        <x:v>RBI-C025</x:v>
      </x:c>
      <x:c r="B30" s="10" t="str">
        <x:v>timing boundary</x:v>
      </x:c>
      <x:c r="C30" s="10" t="str">
        <x:v>duration error exceeds 4.8 seconds variant 5</x:v>
      </x:c>
      <x:c r="D30" s="10" t="str">
        <x:v>VALID-ADVERSE</x:v>
      </x:c>
      <x:c r="E30" s="10" t="str">
        <x:v>Event Register</x:v>
      </x:c>
      <x:c r="F30" s="10" t="str">
        <x:v>REGISTERED</x:v>
      </x:c>
    </x:row>
    <x:row r="31">
      <x:c r="A31" s="10" t="str">
        <x:v>RBI-C026</x:v>
      </x:c>
      <x:c r="B31" s="10" t="str">
        <x:v>timing boundary</x:v>
      </x:c>
      <x:c r="C31" s="10" t="str">
        <x:v>duration error exceeds 4.8 seconds variant 6</x:v>
      </x:c>
      <x:c r="D31" s="10" t="str">
        <x:v>VALID-ADVERSE</x:v>
      </x:c>
      <x:c r="E31" s="10" t="str">
        <x:v>Event Register</x:v>
      </x:c>
      <x:c r="F31" s="10" t="str">
        <x:v>REGISTERED</x:v>
      </x:c>
    </x:row>
    <x:row r="32">
      <x:c r="A32" s="10" t="str">
        <x:v>RBI-C027</x:v>
      </x:c>
      <x:c r="B32" s="10" t="str">
        <x:v>timing boundary</x:v>
      </x:c>
      <x:c r="C32" s="10" t="str">
        <x:v>duration error exceeds 4.8 seconds variant 7</x:v>
      </x:c>
      <x:c r="D32" s="10" t="str">
        <x:v>VALID-ADVERSE</x:v>
      </x:c>
      <x:c r="E32" s="10" t="str">
        <x:v>Event Register</x:v>
      </x:c>
      <x:c r="F32" s="10" t="str">
        <x:v>REGISTERED</x:v>
      </x:c>
    </x:row>
    <x:row r="33">
      <x:c r="A33" s="10" t="str">
        <x:v>RBI-C028</x:v>
      </x:c>
      <x:c r="B33" s="10" t="str">
        <x:v>timing boundary</x:v>
      </x:c>
      <x:c r="C33" s="10" t="str">
        <x:v>duration error exceeds 4.8 seconds variant 8</x:v>
      </x:c>
      <x:c r="D33" s="10" t="str">
        <x:v>VALID-ADVERSE</x:v>
      </x:c>
      <x:c r="E33" s="10" t="str">
        <x:v>Event Register</x:v>
      </x:c>
      <x:c r="F33" s="10" t="str">
        <x:v>REGISTERED</x:v>
      </x:c>
    </x:row>
    <x:row r="34">
      <x:c r="A34" s="10" t="str">
        <x:v>RBI-C029</x:v>
      </x:c>
      <x:c r="B34" s="10" t="str">
        <x:v>timing boundary</x:v>
      </x:c>
      <x:c r="C34" s="10" t="str">
        <x:v>duration error exceeds 4.8 seconds variant 9</x:v>
      </x:c>
      <x:c r="D34" s="10" t="str">
        <x:v>VALID-ADVERSE</x:v>
      </x:c>
      <x:c r="E34" s="10" t="str">
        <x:v>Event Register</x:v>
      </x:c>
      <x:c r="F34" s="10" t="str">
        <x:v>REGISTERED</x:v>
      </x:c>
    </x:row>
    <x:row r="35">
      <x:c r="A35" s="10" t="str">
        <x:v>RBI-C030</x:v>
      </x:c>
      <x:c r="B35" s="10" t="str">
        <x:v>timing boundary</x:v>
      </x:c>
      <x:c r="C35" s="10" t="str">
        <x:v>duration error exceeds 4.8 seconds variant 10</x:v>
      </x:c>
      <x:c r="D35" s="10" t="str">
        <x:v>VALID-ADVERSE</x:v>
      </x:c>
      <x:c r="E35" s="10" t="str">
        <x:v>Event Register</x:v>
      </x:c>
      <x:c r="F35" s="10" t="str">
        <x:v>REGISTERED</x:v>
      </x:c>
    </x:row>
    <x:row r="36">
      <x:c r="A36" s="10" t="str">
        <x:v>RBI-C031</x:v>
      </x:c>
      <x:c r="B36" s="10" t="str">
        <x:v>hydraulic boundary</x:v>
      </x:c>
      <x:c r="C36" s="10" t="str">
        <x:v>pressure leaves registered band variant 1</x:v>
      </x:c>
      <x:c r="D36" s="10" t="str">
        <x:v>VALID-ADVERSE</x:v>
      </x:c>
      <x:c r="E36" s="10" t="str">
        <x:v>Event Register</x:v>
      </x:c>
      <x:c r="F36" s="10" t="str">
        <x:v>REGISTERED</x:v>
      </x:c>
    </x:row>
    <x:row r="37">
      <x:c r="A37" s="10" t="str">
        <x:v>RBI-C032</x:v>
      </x:c>
      <x:c r="B37" s="10" t="str">
        <x:v>hydraulic boundary</x:v>
      </x:c>
      <x:c r="C37" s="10" t="str">
        <x:v>pressure leaves registered band variant 2</x:v>
      </x:c>
      <x:c r="D37" s="10" t="str">
        <x:v>VALID-ADVERSE</x:v>
      </x:c>
      <x:c r="E37" s="10" t="str">
        <x:v>Event Register</x:v>
      </x:c>
      <x:c r="F37" s="10" t="str">
        <x:v>REGISTERED</x:v>
      </x:c>
    </x:row>
    <x:row r="38">
      <x:c r="A38" s="10" t="str">
        <x:v>RBI-C033</x:v>
      </x:c>
      <x:c r="B38" s="10" t="str">
        <x:v>hydraulic boundary</x:v>
      </x:c>
      <x:c r="C38" s="10" t="str">
        <x:v>pressure leaves registered band variant 3</x:v>
      </x:c>
      <x:c r="D38" s="10" t="str">
        <x:v>VALID-ADVERSE</x:v>
      </x:c>
      <x:c r="E38" s="10" t="str">
        <x:v>Event Register</x:v>
      </x:c>
      <x:c r="F38" s="10" t="str">
        <x:v>REGISTERED</x:v>
      </x:c>
    </x:row>
    <x:row r="39">
      <x:c r="A39" s="10" t="str">
        <x:v>RBI-C034</x:v>
      </x:c>
      <x:c r="B39" s="10" t="str">
        <x:v>hydraulic boundary</x:v>
      </x:c>
      <x:c r="C39" s="10" t="str">
        <x:v>pressure leaves registered band variant 4</x:v>
      </x:c>
      <x:c r="D39" s="10" t="str">
        <x:v>VALID-ADVERSE</x:v>
      </x:c>
      <x:c r="E39" s="10" t="str">
        <x:v>Event Register</x:v>
      </x:c>
      <x:c r="F39" s="10" t="str">
        <x:v>REGISTERED</x:v>
      </x:c>
    </x:row>
    <x:row r="40">
      <x:c r="A40" s="10" t="str">
        <x:v>RBI-C035</x:v>
      </x:c>
      <x:c r="B40" s="10" t="str">
        <x:v>hydraulic boundary</x:v>
      </x:c>
      <x:c r="C40" s="10" t="str">
        <x:v>pressure leaves registered band variant 5</x:v>
      </x:c>
      <x:c r="D40" s="10" t="str">
        <x:v>VALID-ADVERSE</x:v>
      </x:c>
      <x:c r="E40" s="10" t="str">
        <x:v>Event Register</x:v>
      </x:c>
      <x:c r="F40" s="10" t="str">
        <x:v>REGISTERED</x:v>
      </x:c>
    </x:row>
    <x:row r="41">
      <x:c r="A41" s="10" t="str">
        <x:v>RBI-C036</x:v>
      </x:c>
      <x:c r="B41" s="10" t="str">
        <x:v>hydraulic boundary</x:v>
      </x:c>
      <x:c r="C41" s="10" t="str">
        <x:v>pressure leaves registered band variant 6</x:v>
      </x:c>
      <x:c r="D41" s="10" t="str">
        <x:v>VALID-ADVERSE</x:v>
      </x:c>
      <x:c r="E41" s="10" t="str">
        <x:v>Event Register</x:v>
      </x:c>
      <x:c r="F41" s="10" t="str">
        <x:v>REGISTERED</x:v>
      </x:c>
    </x:row>
    <x:row r="42">
      <x:c r="A42" s="10" t="str">
        <x:v>RBI-C037</x:v>
      </x:c>
      <x:c r="B42" s="10" t="str">
        <x:v>hydraulic boundary</x:v>
      </x:c>
      <x:c r="C42" s="10" t="str">
        <x:v>pressure leaves registered band variant 7</x:v>
      </x:c>
      <x:c r="D42" s="10" t="str">
        <x:v>VALID-ADVERSE</x:v>
      </x:c>
      <x:c r="E42" s="10" t="str">
        <x:v>Event Register</x:v>
      </x:c>
      <x:c r="F42" s="10" t="str">
        <x:v>REGISTERED</x:v>
      </x:c>
    </x:row>
    <x:row r="43">
      <x:c r="A43" s="10" t="str">
        <x:v>RBI-C038</x:v>
      </x:c>
      <x:c r="B43" s="10" t="str">
        <x:v>hydraulic boundary</x:v>
      </x:c>
      <x:c r="C43" s="10" t="str">
        <x:v>pressure leaves registered band variant 8</x:v>
      </x:c>
      <x:c r="D43" s="10" t="str">
        <x:v>VALID-ADVERSE</x:v>
      </x:c>
      <x:c r="E43" s="10" t="str">
        <x:v>Event Register</x:v>
      </x:c>
      <x:c r="F43" s="10" t="str">
        <x:v>REGISTERED</x:v>
      </x:c>
    </x:row>
    <x:row r="44">
      <x:c r="A44" s="10" t="str">
        <x:v>RBI-C039</x:v>
      </x:c>
      <x:c r="B44" s="10" t="str">
        <x:v>hydraulic boundary</x:v>
      </x:c>
      <x:c r="C44" s="10" t="str">
        <x:v>pressure leaves registered band variant 9</x:v>
      </x:c>
      <x:c r="D44" s="10" t="str">
        <x:v>VALID-ADVERSE</x:v>
      </x:c>
      <x:c r="E44" s="10" t="str">
        <x:v>Event Register</x:v>
      </x:c>
      <x:c r="F44" s="10" t="str">
        <x:v>REGISTERED</x:v>
      </x:c>
    </x:row>
    <x:row r="45">
      <x:c r="A45" s="10" t="str">
        <x:v>RBI-C040</x:v>
      </x:c>
      <x:c r="B45" s="10" t="str">
        <x:v>hydraulic boundary</x:v>
      </x:c>
      <x:c r="C45" s="10" t="str">
        <x:v>pressure leaves registered band variant 10</x:v>
      </x:c>
      <x:c r="D45" s="10" t="str">
        <x:v>VALID-ADVERSE</x:v>
      </x:c>
      <x:c r="E45" s="10" t="str">
        <x:v>Event Register</x:v>
      </x:c>
      <x:c r="F45" s="10" t="str">
        <x:v>REGISTERED</x:v>
      </x:c>
    </x:row>
    <x:row r="46">
      <x:c r="A46" s="10" t="str">
        <x:v>RBI-C041</x:v>
      </x:c>
      <x:c r="B46" s="10" t="str">
        <x:v>distribution boundary</x:v>
      </x:c>
      <x:c r="C46" s="10" t="str">
        <x:v>zone coefficient exceeds 0.05 variant 1</x:v>
      </x:c>
      <x:c r="D46" s="10" t="str">
        <x:v>DENY</x:v>
      </x:c>
      <x:c r="E46" s="10" t="str">
        <x:v>Zone Summary</x:v>
      </x:c>
      <x:c r="F46" s="10" t="str">
        <x:v>REGISTERED</x:v>
      </x:c>
    </x:row>
    <x:row r="47">
      <x:c r="A47" s="10" t="str">
        <x:v>RBI-C042</x:v>
      </x:c>
      <x:c r="B47" s="10" t="str">
        <x:v>distribution boundary</x:v>
      </x:c>
      <x:c r="C47" s="10" t="str">
        <x:v>zone coefficient exceeds 0.05 variant 2</x:v>
      </x:c>
      <x:c r="D47" s="10" t="str">
        <x:v>DENY</x:v>
      </x:c>
      <x:c r="E47" s="10" t="str">
        <x:v>Zone Summary</x:v>
      </x:c>
      <x:c r="F47" s="10" t="str">
        <x:v>REGISTERED</x:v>
      </x:c>
    </x:row>
    <x:row r="48">
      <x:c r="A48" s="10" t="str">
        <x:v>RBI-C043</x:v>
      </x:c>
      <x:c r="B48" s="10" t="str">
        <x:v>distribution boundary</x:v>
      </x:c>
      <x:c r="C48" s="10" t="str">
        <x:v>zone coefficient exceeds 0.05 variant 3</x:v>
      </x:c>
      <x:c r="D48" s="10" t="str">
        <x:v>DENY</x:v>
      </x:c>
      <x:c r="E48" s="10" t="str">
        <x:v>Zone Summary</x:v>
      </x:c>
      <x:c r="F48" s="10" t="str">
        <x:v>REGISTERED</x:v>
      </x:c>
    </x:row>
    <x:row r="49">
      <x:c r="A49" s="10" t="str">
        <x:v>RBI-C044</x:v>
      </x:c>
      <x:c r="B49" s="10" t="str">
        <x:v>distribution boundary</x:v>
      </x:c>
      <x:c r="C49" s="10" t="str">
        <x:v>zone coefficient exceeds 0.05 variant 4</x:v>
      </x:c>
      <x:c r="D49" s="10" t="str">
        <x:v>DENY</x:v>
      </x:c>
      <x:c r="E49" s="10" t="str">
        <x:v>Zone Summary</x:v>
      </x:c>
      <x:c r="F49" s="10" t="str">
        <x:v>REGISTERED</x:v>
      </x:c>
    </x:row>
    <x:row r="50">
      <x:c r="A50" s="10" t="str">
        <x:v>RBI-C045</x:v>
      </x:c>
      <x:c r="B50" s="10" t="str">
        <x:v>distribution boundary</x:v>
      </x:c>
      <x:c r="C50" s="10" t="str">
        <x:v>zone coefficient exceeds 0.05 variant 5</x:v>
      </x:c>
      <x:c r="D50" s="10" t="str">
        <x:v>DENY</x:v>
      </x:c>
      <x:c r="E50" s="10" t="str">
        <x:v>Zone Summary</x:v>
      </x:c>
      <x:c r="F50" s="10" t="str">
        <x:v>REGISTERED</x:v>
      </x:c>
    </x:row>
    <x:row r="51">
      <x:c r="A51" s="10" t="str">
        <x:v>RBI-C046</x:v>
      </x:c>
      <x:c r="B51" s="10" t="str">
        <x:v>distribution boundary</x:v>
      </x:c>
      <x:c r="C51" s="10" t="str">
        <x:v>zone coefficient exceeds 0.05 variant 6</x:v>
      </x:c>
      <x:c r="D51" s="10" t="str">
        <x:v>DENY</x:v>
      </x:c>
      <x:c r="E51" s="10" t="str">
        <x:v>Zone Summary</x:v>
      </x:c>
      <x:c r="F51" s="10" t="str">
        <x:v>REGISTERED</x:v>
      </x:c>
    </x:row>
    <x:row r="52">
      <x:c r="A52" s="10" t="str">
        <x:v>RBI-C047</x:v>
      </x:c>
      <x:c r="B52" s="10" t="str">
        <x:v>distribution boundary</x:v>
      </x:c>
      <x:c r="C52" s="10" t="str">
        <x:v>zone coefficient exceeds 0.05 variant 7</x:v>
      </x:c>
      <x:c r="D52" s="10" t="str">
        <x:v>DENY</x:v>
      </x:c>
      <x:c r="E52" s="10" t="str">
        <x:v>Zone Summary</x:v>
      </x:c>
      <x:c r="F52" s="10" t="str">
        <x:v>REGISTERED</x:v>
      </x:c>
    </x:row>
    <x:row r="53">
      <x:c r="A53" s="10" t="str">
        <x:v>RBI-C048</x:v>
      </x:c>
      <x:c r="B53" s="10" t="str">
        <x:v>distribution boundary</x:v>
      </x:c>
      <x:c r="C53" s="10" t="str">
        <x:v>zone coefficient exceeds 0.05 variant 8</x:v>
      </x:c>
      <x:c r="D53" s="10" t="str">
        <x:v>DENY</x:v>
      </x:c>
      <x:c r="E53" s="10" t="str">
        <x:v>Zone Summary</x:v>
      </x:c>
      <x:c r="F53" s="10" t="str">
        <x:v>REGISTERED</x:v>
      </x:c>
    </x:row>
    <x:row r="54">
      <x:c r="A54" s="10" t="str">
        <x:v>RBI-C049</x:v>
      </x:c>
      <x:c r="B54" s="10" t="str">
        <x:v>distribution boundary</x:v>
      </x:c>
      <x:c r="C54" s="10" t="str">
        <x:v>zone coefficient exceeds 0.05 variant 9</x:v>
      </x:c>
      <x:c r="D54" s="10" t="str">
        <x:v>DENY</x:v>
      </x:c>
      <x:c r="E54" s="10" t="str">
        <x:v>Zone Summary</x:v>
      </x:c>
      <x:c r="F54" s="10" t="str">
        <x:v>REGISTERED</x:v>
      </x:c>
    </x:row>
    <x:row r="55">
      <x:c r="A55" s="10" t="str">
        <x:v>RBI-C050</x:v>
      </x:c>
      <x:c r="B55" s="10" t="str">
        <x:v>distribution boundary</x:v>
      </x:c>
      <x:c r="C55" s="10" t="str">
        <x:v>zone coefficient exceeds 0.05 variant 10</x:v>
      </x:c>
      <x:c r="D55" s="10" t="str">
        <x:v>DENY</x:v>
      </x:c>
      <x:c r="E55" s="10" t="str">
        <x:v>Zone Summary</x:v>
      </x:c>
      <x:c r="F55" s="10" t="str">
        <x:v>REGISTERED</x:v>
      </x:c>
    </x:row>
    <x:row r="56">
      <x:c r="A56" s="10" t="str">
        <x:v>RBI-C051</x:v>
      </x:c>
      <x:c r="B56" s="10" t="str">
        <x:v>volume account</x:v>
      </x:c>
      <x:c r="C56" s="10" t="str">
        <x:v>unexplained volume exceeds 0.024 m³ variant 1</x:v>
      </x:c>
      <x:c r="D56" s="10" t="str">
        <x:v>DENY</x:v>
      </x:c>
      <x:c r="E56" s="10" t="str">
        <x:v>Volume Ledger</x:v>
      </x:c>
      <x:c r="F56" s="10" t="str">
        <x:v>REGISTERED</x:v>
      </x:c>
    </x:row>
    <x:row r="57">
      <x:c r="A57" s="10" t="str">
        <x:v>RBI-C052</x:v>
      </x:c>
      <x:c r="B57" s="10" t="str">
        <x:v>volume account</x:v>
      </x:c>
      <x:c r="C57" s="10" t="str">
        <x:v>unexplained volume exceeds 0.024 m³ variant 2</x:v>
      </x:c>
      <x:c r="D57" s="10" t="str">
        <x:v>DENY</x:v>
      </x:c>
      <x:c r="E57" s="10" t="str">
        <x:v>Volume Ledger</x:v>
      </x:c>
      <x:c r="F57" s="10" t="str">
        <x:v>REGISTERED</x:v>
      </x:c>
    </x:row>
    <x:row r="58">
      <x:c r="A58" s="10" t="str">
        <x:v>RBI-C053</x:v>
      </x:c>
      <x:c r="B58" s="10" t="str">
        <x:v>volume account</x:v>
      </x:c>
      <x:c r="C58" s="10" t="str">
        <x:v>unexplained volume exceeds 0.024 m³ variant 3</x:v>
      </x:c>
      <x:c r="D58" s="10" t="str">
        <x:v>DENY</x:v>
      </x:c>
      <x:c r="E58" s="10" t="str">
        <x:v>Volume Ledger</x:v>
      </x:c>
      <x:c r="F58" s="10" t="str">
        <x:v>REGISTERED</x:v>
      </x:c>
    </x:row>
    <x:row r="59">
      <x:c r="A59" s="10" t="str">
        <x:v>RBI-C054</x:v>
      </x:c>
      <x:c r="B59" s="10" t="str">
        <x:v>volume account</x:v>
      </x:c>
      <x:c r="C59" s="10" t="str">
        <x:v>unexplained volume exceeds 0.024 m³ variant 4</x:v>
      </x:c>
      <x:c r="D59" s="10" t="str">
        <x:v>DENY</x:v>
      </x:c>
      <x:c r="E59" s="10" t="str">
        <x:v>Volume Ledger</x:v>
      </x:c>
      <x:c r="F59" s="10" t="str">
        <x:v>REGISTERED</x:v>
      </x:c>
    </x:row>
    <x:row r="60">
      <x:c r="A60" s="10" t="str">
        <x:v>RBI-C055</x:v>
      </x:c>
      <x:c r="B60" s="10" t="str">
        <x:v>volume account</x:v>
      </x:c>
      <x:c r="C60" s="10" t="str">
        <x:v>unexplained volume exceeds 0.024 m³ variant 5</x:v>
      </x:c>
      <x:c r="D60" s="10" t="str">
        <x:v>DENY</x:v>
      </x:c>
      <x:c r="E60" s="10" t="str">
        <x:v>Volume Ledger</x:v>
      </x:c>
      <x:c r="F60" s="10" t="str">
        <x:v>REGISTERED</x:v>
      </x:c>
    </x:row>
    <x:row r="61">
      <x:c r="A61" s="10" t="str">
        <x:v>RBI-C056</x:v>
      </x:c>
      <x:c r="B61" s="10" t="str">
        <x:v>volume account</x:v>
      </x:c>
      <x:c r="C61" s="10" t="str">
        <x:v>unexplained volume exceeds 0.024 m³ variant 6</x:v>
      </x:c>
      <x:c r="D61" s="10" t="str">
        <x:v>DENY</x:v>
      </x:c>
      <x:c r="E61" s="10" t="str">
        <x:v>Volume Ledger</x:v>
      </x:c>
      <x:c r="F61" s="10" t="str">
        <x:v>REGISTERED</x:v>
      </x:c>
    </x:row>
    <x:row r="62">
      <x:c r="A62" s="10" t="str">
        <x:v>RBI-C057</x:v>
      </x:c>
      <x:c r="B62" s="10" t="str">
        <x:v>volume account</x:v>
      </x:c>
      <x:c r="C62" s="10" t="str">
        <x:v>unexplained volume exceeds 0.024 m³ variant 7</x:v>
      </x:c>
      <x:c r="D62" s="10" t="str">
        <x:v>DENY</x:v>
      </x:c>
      <x:c r="E62" s="10" t="str">
        <x:v>Volume Ledger</x:v>
      </x:c>
      <x:c r="F62" s="10" t="str">
        <x:v>REGISTERED</x:v>
      </x:c>
    </x:row>
    <x:row r="63">
      <x:c r="A63" s="10" t="str">
        <x:v>RBI-C058</x:v>
      </x:c>
      <x:c r="B63" s="10" t="str">
        <x:v>volume account</x:v>
      </x:c>
      <x:c r="C63" s="10" t="str">
        <x:v>unexplained volume exceeds 0.024 m³ variant 8</x:v>
      </x:c>
      <x:c r="D63" s="10" t="str">
        <x:v>DENY</x:v>
      </x:c>
      <x:c r="E63" s="10" t="str">
        <x:v>Volume Ledger</x:v>
      </x:c>
      <x:c r="F63" s="10" t="str">
        <x:v>REGISTERED</x:v>
      </x:c>
    </x:row>
    <x:row r="64">
      <x:c r="A64" s="10" t="str">
        <x:v>RBI-C059</x:v>
      </x:c>
      <x:c r="B64" s="10" t="str">
        <x:v>volume account</x:v>
      </x:c>
      <x:c r="C64" s="10" t="str">
        <x:v>unexplained volume exceeds 0.024 m³ variant 9</x:v>
      </x:c>
      <x:c r="D64" s="10" t="str">
        <x:v>DENY</x:v>
      </x:c>
      <x:c r="E64" s="10" t="str">
        <x:v>Volume Ledger</x:v>
      </x:c>
      <x:c r="F64" s="10" t="str">
        <x:v>REGISTERED</x:v>
      </x:c>
    </x:row>
    <x:row r="65">
      <x:c r="A65" s="10" t="str">
        <x:v>RBI-C060</x:v>
      </x:c>
      <x:c r="B65" s="10" t="str">
        <x:v>volume account</x:v>
      </x:c>
      <x:c r="C65" s="10" t="str">
        <x:v>unexplained volume exceeds 0.024 m³ variant 10</x:v>
      </x:c>
      <x:c r="D65" s="10" t="str">
        <x:v>DENY</x:v>
      </x:c>
      <x:c r="E65" s="10" t="str">
        <x:v>Volume Ledger</x:v>
      </x:c>
      <x:c r="F65" s="10" t="str">
        <x:v>REGISTERED</x:v>
      </x:c>
    </x:row>
    <x:row r="66">
      <x:c r="A66" s="10" t="str">
        <x:v>RBI-C061</x:v>
      </x:c>
      <x:c r="B66" s="10" t="str">
        <x:v>identity account</x:v>
      </x:c>
      <x:c r="C66" s="10" t="str">
        <x:v>identity recovery falls below 0.995 variant 1</x:v>
      </x:c>
      <x:c r="D66" s="10" t="str">
        <x:v>VALID-ADVERSE</x:v>
      </x:c>
      <x:c r="E66" s="10" t="str">
        <x:v>Event Register</x:v>
      </x:c>
      <x:c r="F66" s="10" t="str">
        <x:v>REGISTERED</x:v>
      </x:c>
    </x:row>
    <x:row r="67">
      <x:c r="A67" s="10" t="str">
        <x:v>RBI-C062</x:v>
      </x:c>
      <x:c r="B67" s="10" t="str">
        <x:v>identity account</x:v>
      </x:c>
      <x:c r="C67" s="10" t="str">
        <x:v>identity recovery falls below 0.995 variant 2</x:v>
      </x:c>
      <x:c r="D67" s="10" t="str">
        <x:v>VALID-ADVERSE</x:v>
      </x:c>
      <x:c r="E67" s="10" t="str">
        <x:v>Event Register</x:v>
      </x:c>
      <x:c r="F67" s="10" t="str">
        <x:v>REGISTERED</x:v>
      </x:c>
    </x:row>
    <x:row r="68">
      <x:c r="A68" s="10" t="str">
        <x:v>RBI-C063</x:v>
      </x:c>
      <x:c r="B68" s="10" t="str">
        <x:v>identity account</x:v>
      </x:c>
      <x:c r="C68" s="10" t="str">
        <x:v>identity recovery falls below 0.995 variant 3</x:v>
      </x:c>
      <x:c r="D68" s="10" t="str">
        <x:v>VALID-ADVERSE</x:v>
      </x:c>
      <x:c r="E68" s="10" t="str">
        <x:v>Event Register</x:v>
      </x:c>
      <x:c r="F68" s="10" t="str">
        <x:v>REGISTERED</x:v>
      </x:c>
    </x:row>
    <x:row r="69">
      <x:c r="A69" s="10" t="str">
        <x:v>RBI-C064</x:v>
      </x:c>
      <x:c r="B69" s="10" t="str">
        <x:v>identity account</x:v>
      </x:c>
      <x:c r="C69" s="10" t="str">
        <x:v>identity recovery falls below 0.995 variant 4</x:v>
      </x:c>
      <x:c r="D69" s="10" t="str">
        <x:v>VALID-ADVERSE</x:v>
      </x:c>
      <x:c r="E69" s="10" t="str">
        <x:v>Event Register</x:v>
      </x:c>
      <x:c r="F69" s="10" t="str">
        <x:v>REGISTERED</x:v>
      </x:c>
    </x:row>
    <x:row r="70">
      <x:c r="A70" s="10" t="str">
        <x:v>RBI-C065</x:v>
      </x:c>
      <x:c r="B70" s="10" t="str">
        <x:v>identity account</x:v>
      </x:c>
      <x:c r="C70" s="10" t="str">
        <x:v>identity recovery falls below 0.995 variant 5</x:v>
      </x:c>
      <x:c r="D70" s="10" t="str">
        <x:v>VALID-ADVERSE</x:v>
      </x:c>
      <x:c r="E70" s="10" t="str">
        <x:v>Event Register</x:v>
      </x:c>
      <x:c r="F70" s="10" t="str">
        <x:v>REGISTERED</x:v>
      </x:c>
    </x:row>
    <x:row r="71">
      <x:c r="A71" s="10" t="str">
        <x:v>RBI-C066</x:v>
      </x:c>
      <x:c r="B71" s="10" t="str">
        <x:v>identity account</x:v>
      </x:c>
      <x:c r="C71" s="10" t="str">
        <x:v>identity recovery falls below 0.995 variant 6</x:v>
      </x:c>
      <x:c r="D71" s="10" t="str">
        <x:v>VALID-ADVERSE</x:v>
      </x:c>
      <x:c r="E71" s="10" t="str">
        <x:v>Event Register</x:v>
      </x:c>
      <x:c r="F71" s="10" t="str">
        <x:v>REGISTERED</x:v>
      </x:c>
    </x:row>
    <x:row r="72">
      <x:c r="A72" s="10" t="str">
        <x:v>RBI-C067</x:v>
      </x:c>
      <x:c r="B72" s="10" t="str">
        <x:v>identity account</x:v>
      </x:c>
      <x:c r="C72" s="10" t="str">
        <x:v>identity recovery falls below 0.995 variant 7</x:v>
      </x:c>
      <x:c r="D72" s="10" t="str">
        <x:v>VALID-ADVERSE</x:v>
      </x:c>
      <x:c r="E72" s="10" t="str">
        <x:v>Event Register</x:v>
      </x:c>
      <x:c r="F72" s="10" t="str">
        <x:v>REGISTERED</x:v>
      </x:c>
    </x:row>
    <x:row r="73">
      <x:c r="A73" s="10" t="str">
        <x:v>RBI-C068</x:v>
      </x:c>
      <x:c r="B73" s="10" t="str">
        <x:v>identity account</x:v>
      </x:c>
      <x:c r="C73" s="10" t="str">
        <x:v>identity recovery falls below 0.995 variant 8</x:v>
      </x:c>
      <x:c r="D73" s="10" t="str">
        <x:v>VALID-ADVERSE</x:v>
      </x:c>
      <x:c r="E73" s="10" t="str">
        <x:v>Event Register</x:v>
      </x:c>
      <x:c r="F73" s="10" t="str">
        <x:v>REGISTERED</x:v>
      </x:c>
    </x:row>
    <x:row r="74">
      <x:c r="A74" s="10" t="str">
        <x:v>RBI-C069</x:v>
      </x:c>
      <x:c r="B74" s="10" t="str">
        <x:v>identity account</x:v>
      </x:c>
      <x:c r="C74" s="10" t="str">
        <x:v>identity recovery falls below 0.995 variant 9</x:v>
      </x:c>
      <x:c r="D74" s="10" t="str">
        <x:v>VALID-ADVERSE</x:v>
      </x:c>
      <x:c r="E74" s="10" t="str">
        <x:v>Event Register</x:v>
      </x:c>
      <x:c r="F74" s="10" t="str">
        <x:v>REGISTERED</x:v>
      </x:c>
    </x:row>
    <x:row r="75">
      <x:c r="A75" s="10" t="str">
        <x:v>RBI-C070</x:v>
      </x:c>
      <x:c r="B75" s="10" t="str">
        <x:v>identity account</x:v>
      </x:c>
      <x:c r="C75" s="10" t="str">
        <x:v>identity recovery falls below 0.995 variant 10</x:v>
      </x:c>
      <x:c r="D75" s="10" t="str">
        <x:v>VALID-ADVERSE</x:v>
      </x:c>
      <x:c r="E75" s="10" t="str">
        <x:v>Event Register</x:v>
      </x:c>
      <x:c r="F75" s="10" t="str">
        <x:v>REGISTERED</x:v>
      </x:c>
    </x:row>
    <x:row r="76">
      <x:c r="A76" s="10" t="str">
        <x:v>RBI-C071</x:v>
      </x:c>
      <x:c r="B76" s="10" t="str">
        <x:v>unrelated path</x:v>
      </x:c>
      <x:c r="C76" s="10" t="str">
        <x:v>unrelated fraction exceeds 0.005 variant 1</x:v>
      </x:c>
      <x:c r="D76" s="10" t="str">
        <x:v>VALID-ADVERSE</x:v>
      </x:c>
      <x:c r="E76" s="10" t="str">
        <x:v>Event Register</x:v>
      </x:c>
      <x:c r="F76" s="10" t="str">
        <x:v>REGISTERED</x:v>
      </x:c>
    </x:row>
    <x:row r="77">
      <x:c r="A77" s="10" t="str">
        <x:v>RBI-C072</x:v>
      </x:c>
      <x:c r="B77" s="10" t="str">
        <x:v>unrelated path</x:v>
      </x:c>
      <x:c r="C77" s="10" t="str">
        <x:v>unrelated fraction exceeds 0.005 variant 2</x:v>
      </x:c>
      <x:c r="D77" s="10" t="str">
        <x:v>VALID-ADVERSE</x:v>
      </x:c>
      <x:c r="E77" s="10" t="str">
        <x:v>Event Register</x:v>
      </x:c>
      <x:c r="F77" s="10" t="str">
        <x:v>REGISTERED</x:v>
      </x:c>
    </x:row>
    <x:row r="78">
      <x:c r="A78" s="10" t="str">
        <x:v>RBI-C073</x:v>
      </x:c>
      <x:c r="B78" s="10" t="str">
        <x:v>unrelated path</x:v>
      </x:c>
      <x:c r="C78" s="10" t="str">
        <x:v>unrelated fraction exceeds 0.005 variant 3</x:v>
      </x:c>
      <x:c r="D78" s="10" t="str">
        <x:v>VALID-ADVERSE</x:v>
      </x:c>
      <x:c r="E78" s="10" t="str">
        <x:v>Event Register</x:v>
      </x:c>
      <x:c r="F78" s="10" t="str">
        <x:v>REGISTERED</x:v>
      </x:c>
    </x:row>
    <x:row r="79">
      <x:c r="A79" s="10" t="str">
        <x:v>RBI-C074</x:v>
      </x:c>
      <x:c r="B79" s="10" t="str">
        <x:v>unrelated path</x:v>
      </x:c>
      <x:c r="C79" s="10" t="str">
        <x:v>unrelated fraction exceeds 0.005 variant 4</x:v>
      </x:c>
      <x:c r="D79" s="10" t="str">
        <x:v>VALID-ADVERSE</x:v>
      </x:c>
      <x:c r="E79" s="10" t="str">
        <x:v>Event Register</x:v>
      </x:c>
      <x:c r="F79" s="10" t="str">
        <x:v>REGISTERED</x:v>
      </x:c>
    </x:row>
    <x:row r="80">
      <x:c r="A80" s="10" t="str">
        <x:v>RBI-C075</x:v>
      </x:c>
      <x:c r="B80" s="10" t="str">
        <x:v>unrelated path</x:v>
      </x:c>
      <x:c r="C80" s="10" t="str">
        <x:v>unrelated fraction exceeds 0.005 variant 5</x:v>
      </x:c>
      <x:c r="D80" s="10" t="str">
        <x:v>VALID-ADVERSE</x:v>
      </x:c>
      <x:c r="E80" s="10" t="str">
        <x:v>Event Register</x:v>
      </x:c>
      <x:c r="F80" s="10" t="str">
        <x:v>REGISTERED</x:v>
      </x:c>
    </x:row>
    <x:row r="81">
      <x:c r="A81" s="10" t="str">
        <x:v>RBI-C076</x:v>
      </x:c>
      <x:c r="B81" s="10" t="str">
        <x:v>unrelated path</x:v>
      </x:c>
      <x:c r="C81" s="10" t="str">
        <x:v>unrelated fraction exceeds 0.005 variant 6</x:v>
      </x:c>
      <x:c r="D81" s="10" t="str">
        <x:v>VALID-ADVERSE</x:v>
      </x:c>
      <x:c r="E81" s="10" t="str">
        <x:v>Event Register</x:v>
      </x:c>
      <x:c r="F81" s="10" t="str">
        <x:v>REGISTERED</x:v>
      </x:c>
    </x:row>
    <x:row r="82">
      <x:c r="A82" s="10" t="str">
        <x:v>RBI-C077</x:v>
      </x:c>
      <x:c r="B82" s="10" t="str">
        <x:v>unrelated path</x:v>
      </x:c>
      <x:c r="C82" s="10" t="str">
        <x:v>unrelated fraction exceeds 0.005 variant 7</x:v>
      </x:c>
      <x:c r="D82" s="10" t="str">
        <x:v>VALID-ADVERSE</x:v>
      </x:c>
      <x:c r="E82" s="10" t="str">
        <x:v>Event Register</x:v>
      </x:c>
      <x:c r="F82" s="10" t="str">
        <x:v>REGISTERED</x:v>
      </x:c>
    </x:row>
    <x:row r="83">
      <x:c r="A83" s="10" t="str">
        <x:v>RBI-C078</x:v>
      </x:c>
      <x:c r="B83" s="10" t="str">
        <x:v>unrelated path</x:v>
      </x:c>
      <x:c r="C83" s="10" t="str">
        <x:v>unrelated fraction exceeds 0.005 variant 8</x:v>
      </x:c>
      <x:c r="D83" s="10" t="str">
        <x:v>VALID-ADVERSE</x:v>
      </x:c>
      <x:c r="E83" s="10" t="str">
        <x:v>Event Register</x:v>
      </x:c>
      <x:c r="F83" s="10" t="str">
        <x:v>REGISTERED</x:v>
      </x:c>
    </x:row>
    <x:row r="84">
      <x:c r="A84" s="10" t="str">
        <x:v>RBI-C079</x:v>
      </x:c>
      <x:c r="B84" s="10" t="str">
        <x:v>unrelated path</x:v>
      </x:c>
      <x:c r="C84" s="10" t="str">
        <x:v>unrelated fraction exceeds 0.005 variant 9</x:v>
      </x:c>
      <x:c r="D84" s="10" t="str">
        <x:v>VALID-ADVERSE</x:v>
      </x:c>
      <x:c r="E84" s="10" t="str">
        <x:v>Event Register</x:v>
      </x:c>
      <x:c r="F84" s="10" t="str">
        <x:v>REGISTERED</x:v>
      </x:c>
    </x:row>
    <x:row r="85">
      <x:c r="A85" s="10" t="str">
        <x:v>RBI-C080</x:v>
      </x:c>
      <x:c r="B85" s="10" t="str">
        <x:v>unrelated path</x:v>
      </x:c>
      <x:c r="C85" s="10" t="str">
        <x:v>unrelated fraction exceeds 0.005 variant 10</x:v>
      </x:c>
      <x:c r="D85" s="10" t="str">
        <x:v>VALID-ADVERSE</x:v>
      </x:c>
      <x:c r="E85" s="10" t="str">
        <x:v>Event Register</x:v>
      </x:c>
      <x:c r="F85" s="10" t="str">
        <x:v>REGISTERED</x:v>
      </x:c>
    </x:row>
    <x:row r="86">
      <x:c r="A86" s="10" t="str">
        <x:v>RBI-C081</x:v>
      </x:c>
      <x:c r="B86" s="10" t="str">
        <x:v>source exclusion</x:v>
      </x:c>
      <x:c r="C86" s="10" t="str">
        <x:v>source observation differs from numeric zero variant 1</x:v>
      </x:c>
      <x:c r="D86" s="10" t="str">
        <x:v>VALID-ADVERSE</x:v>
      </x:c>
      <x:c r="E86" s="10" t="str">
        <x:v>Event Register</x:v>
      </x:c>
      <x:c r="F86" s="10" t="str">
        <x:v>REGISTERED</x:v>
      </x:c>
    </x:row>
    <x:row r="87">
      <x:c r="A87" s="10" t="str">
        <x:v>RBI-C082</x:v>
      </x:c>
      <x:c r="B87" s="10" t="str">
        <x:v>source exclusion</x:v>
      </x:c>
      <x:c r="C87" s="10" t="str">
        <x:v>source observation differs from numeric zero variant 2</x:v>
      </x:c>
      <x:c r="D87" s="10" t="str">
        <x:v>VALID-ADVERSE</x:v>
      </x:c>
      <x:c r="E87" s="10" t="str">
        <x:v>Event Register</x:v>
      </x:c>
      <x:c r="F87" s="10" t="str">
        <x:v>REGISTERED</x:v>
      </x:c>
    </x:row>
    <x:row r="88">
      <x:c r="A88" s="10" t="str">
        <x:v>RBI-C083</x:v>
      </x:c>
      <x:c r="B88" s="10" t="str">
        <x:v>source exclusion</x:v>
      </x:c>
      <x:c r="C88" s="10" t="str">
        <x:v>source observation differs from numeric zero variant 3</x:v>
      </x:c>
      <x:c r="D88" s="10" t="str">
        <x:v>VALID-ADVERSE</x:v>
      </x:c>
      <x:c r="E88" s="10" t="str">
        <x:v>Event Register</x:v>
      </x:c>
      <x:c r="F88" s="10" t="str">
        <x:v>REGISTERED</x:v>
      </x:c>
    </x:row>
    <x:row r="89">
      <x:c r="A89" s="10" t="str">
        <x:v>RBI-C084</x:v>
      </x:c>
      <x:c r="B89" s="10" t="str">
        <x:v>source exclusion</x:v>
      </x:c>
      <x:c r="C89" s="10" t="str">
        <x:v>source observation differs from numeric zero variant 4</x:v>
      </x:c>
      <x:c r="D89" s="10" t="str">
        <x:v>VALID-ADVERSE</x:v>
      </x:c>
      <x:c r="E89" s="10" t="str">
        <x:v>Event Register</x:v>
      </x:c>
      <x:c r="F89" s="10" t="str">
        <x:v>REGISTERED</x:v>
      </x:c>
    </x:row>
    <x:row r="90">
      <x:c r="A90" s="10" t="str">
        <x:v>RBI-C085</x:v>
      </x:c>
      <x:c r="B90" s="10" t="str">
        <x:v>source exclusion</x:v>
      </x:c>
      <x:c r="C90" s="10" t="str">
        <x:v>source observation differs from numeric zero variant 5</x:v>
      </x:c>
      <x:c r="D90" s="10" t="str">
        <x:v>VALID-ADVERSE</x:v>
      </x:c>
      <x:c r="E90" s="10" t="str">
        <x:v>Event Register</x:v>
      </x:c>
      <x:c r="F90" s="10" t="str">
        <x:v>REGISTERED</x:v>
      </x:c>
    </x:row>
    <x:row r="91">
      <x:c r="A91" s="10" t="str">
        <x:v>RBI-C086</x:v>
      </x:c>
      <x:c r="B91" s="10" t="str">
        <x:v>source exclusion</x:v>
      </x:c>
      <x:c r="C91" s="10" t="str">
        <x:v>source observation differs from numeric zero variant 6</x:v>
      </x:c>
      <x:c r="D91" s="10" t="str">
        <x:v>VALID-ADVERSE</x:v>
      </x:c>
      <x:c r="E91" s="10" t="str">
        <x:v>Event Register</x:v>
      </x:c>
      <x:c r="F91" s="10" t="str">
        <x:v>REGISTERED</x:v>
      </x:c>
    </x:row>
    <x:row r="92">
      <x:c r="A92" s="10" t="str">
        <x:v>RBI-C087</x:v>
      </x:c>
      <x:c r="B92" s="10" t="str">
        <x:v>source exclusion</x:v>
      </x:c>
      <x:c r="C92" s="10" t="str">
        <x:v>source observation differs from numeric zero variant 7</x:v>
      </x:c>
      <x:c r="D92" s="10" t="str">
        <x:v>VALID-ADVERSE</x:v>
      </x:c>
      <x:c r="E92" s="10" t="str">
        <x:v>Event Register</x:v>
      </x:c>
      <x:c r="F92" s="10" t="str">
        <x:v>REGISTERED</x:v>
      </x:c>
    </x:row>
    <x:row r="93">
      <x:c r="A93" s="10" t="str">
        <x:v>RBI-C088</x:v>
      </x:c>
      <x:c r="B93" s="10" t="str">
        <x:v>source exclusion</x:v>
      </x:c>
      <x:c r="C93" s="10" t="str">
        <x:v>source observation differs from numeric zero variant 8</x:v>
      </x:c>
      <x:c r="D93" s="10" t="str">
        <x:v>VALID-ADVERSE</x:v>
      </x:c>
      <x:c r="E93" s="10" t="str">
        <x:v>Event Register</x:v>
      </x:c>
      <x:c r="F93" s="10" t="str">
        <x:v>REGISTERED</x:v>
      </x:c>
    </x:row>
    <x:row r="94">
      <x:c r="A94" s="10" t="str">
        <x:v>RBI-C089</x:v>
      </x:c>
      <x:c r="B94" s="10" t="str">
        <x:v>source exclusion</x:v>
      </x:c>
      <x:c r="C94" s="10" t="str">
        <x:v>source observation differs from numeric zero variant 9</x:v>
      </x:c>
      <x:c r="D94" s="10" t="str">
        <x:v>VALID-ADVERSE</x:v>
      </x:c>
      <x:c r="E94" s="10" t="str">
        <x:v>Event Register</x:v>
      </x:c>
      <x:c r="F94" s="10" t="str">
        <x:v>REGISTERED</x:v>
      </x:c>
    </x:row>
    <x:row r="95">
      <x:c r="A95" s="10" t="str">
        <x:v>RBI-C090</x:v>
      </x:c>
      <x:c r="B95" s="10" t="str">
        <x:v>source exclusion</x:v>
      </x:c>
      <x:c r="C95" s="10" t="str">
        <x:v>source observation differs from numeric zero variant 10</x:v>
      </x:c>
      <x:c r="D95" s="10" t="str">
        <x:v>VALID-ADVERSE</x:v>
      </x:c>
      <x:c r="E95" s="10" t="str">
        <x:v>Event Register</x:v>
      </x:c>
      <x:c r="F95" s="10" t="str">
        <x:v>REGISTERED</x:v>
      </x:c>
    </x:row>
    <x:row r="96">
      <x:c r="A96" s="10" t="str">
        <x:v>RBI-C091</x:v>
      </x:c>
      <x:c r="B96" s="10" t="str">
        <x:v>ignition exclusion</x:v>
      </x:c>
      <x:c r="C96" s="10" t="str">
        <x:v>ignition state is not PROHIBITED variant 1</x:v>
      </x:c>
      <x:c r="D96" s="10" t="str">
        <x:v>VALID-ADVERSE</x:v>
      </x:c>
      <x:c r="E96" s="10" t="str">
        <x:v>Event Register</x:v>
      </x:c>
      <x:c r="F96" s="10" t="str">
        <x:v>REGISTERED</x:v>
      </x:c>
    </x:row>
    <x:row r="97">
      <x:c r="A97" s="10" t="str">
        <x:v>RBI-C092</x:v>
      </x:c>
      <x:c r="B97" s="10" t="str">
        <x:v>ignition exclusion</x:v>
      </x:c>
      <x:c r="C97" s="10" t="str">
        <x:v>ignition state is not PROHIBITED variant 2</x:v>
      </x:c>
      <x:c r="D97" s="10" t="str">
        <x:v>VALID-ADVERSE</x:v>
      </x:c>
      <x:c r="E97" s="10" t="str">
        <x:v>Event Register</x:v>
      </x:c>
      <x:c r="F97" s="10" t="str">
        <x:v>REGISTERED</x:v>
      </x:c>
    </x:row>
    <x:row r="98">
      <x:c r="A98" s="10" t="str">
        <x:v>RBI-C093</x:v>
      </x:c>
      <x:c r="B98" s="10" t="str">
        <x:v>ignition exclusion</x:v>
      </x:c>
      <x:c r="C98" s="10" t="str">
        <x:v>ignition state is not PROHIBITED variant 3</x:v>
      </x:c>
      <x:c r="D98" s="10" t="str">
        <x:v>VALID-ADVERSE</x:v>
      </x:c>
      <x:c r="E98" s="10" t="str">
        <x:v>Event Register</x:v>
      </x:c>
      <x:c r="F98" s="10" t="str">
        <x:v>REGISTERED</x:v>
      </x:c>
    </x:row>
    <x:row r="99">
      <x:c r="A99" s="10" t="str">
        <x:v>RBI-C094</x:v>
      </x:c>
      <x:c r="B99" s="10" t="str">
        <x:v>ignition exclusion</x:v>
      </x:c>
      <x:c r="C99" s="10" t="str">
        <x:v>ignition state is not PROHIBITED variant 4</x:v>
      </x:c>
      <x:c r="D99" s="10" t="str">
        <x:v>VALID-ADVERSE</x:v>
      </x:c>
      <x:c r="E99" s="10" t="str">
        <x:v>Event Register</x:v>
      </x:c>
      <x:c r="F99" s="10" t="str">
        <x:v>REGISTERED</x:v>
      </x:c>
    </x:row>
    <x:row r="100">
      <x:c r="A100" s="10" t="str">
        <x:v>RBI-C095</x:v>
      </x:c>
      <x:c r="B100" s="10" t="str">
        <x:v>ignition exclusion</x:v>
      </x:c>
      <x:c r="C100" s="10" t="str">
        <x:v>ignition state is not PROHIBITED variant 5</x:v>
      </x:c>
      <x:c r="D100" s="10" t="str">
        <x:v>VALID-ADVERSE</x:v>
      </x:c>
      <x:c r="E100" s="10" t="str">
        <x:v>Event Register</x:v>
      </x:c>
      <x:c r="F100" s="10" t="str">
        <x:v>REGISTERED</x:v>
      </x:c>
    </x:row>
    <x:row r="101">
      <x:c r="A101" s="10" t="str">
        <x:v>RBI-C096</x:v>
      </x:c>
      <x:c r="B101" s="10" t="str">
        <x:v>ignition exclusion</x:v>
      </x:c>
      <x:c r="C101" s="10" t="str">
        <x:v>ignition state is not PROHIBITED variant 6</x:v>
      </x:c>
      <x:c r="D101" s="10" t="str">
        <x:v>VALID-ADVERSE</x:v>
      </x:c>
      <x:c r="E101" s="10" t="str">
        <x:v>Event Register</x:v>
      </x:c>
      <x:c r="F101" s="10" t="str">
        <x:v>REGISTERED</x:v>
      </x:c>
    </x:row>
    <x:row r="102">
      <x:c r="A102" s="10" t="str">
        <x:v>RBI-C097</x:v>
      </x:c>
      <x:c r="B102" s="10" t="str">
        <x:v>ignition exclusion</x:v>
      </x:c>
      <x:c r="C102" s="10" t="str">
        <x:v>ignition state is not PROHIBITED variant 7</x:v>
      </x:c>
      <x:c r="D102" s="10" t="str">
        <x:v>VALID-ADVERSE</x:v>
      </x:c>
      <x:c r="E102" s="10" t="str">
        <x:v>Event Register</x:v>
      </x:c>
      <x:c r="F102" s="10" t="str">
        <x:v>REGISTERED</x:v>
      </x:c>
    </x:row>
    <x:row r="103">
      <x:c r="A103" s="10" t="str">
        <x:v>RBI-C098</x:v>
      </x:c>
      <x:c r="B103" s="10" t="str">
        <x:v>ignition exclusion</x:v>
      </x:c>
      <x:c r="C103" s="10" t="str">
        <x:v>ignition state is not PROHIBITED variant 8</x:v>
      </x:c>
      <x:c r="D103" s="10" t="str">
        <x:v>VALID-ADVERSE</x:v>
      </x:c>
      <x:c r="E103" s="10" t="str">
        <x:v>Event Register</x:v>
      </x:c>
      <x:c r="F103" s="10" t="str">
        <x:v>REGISTERED</x:v>
      </x:c>
    </x:row>
    <x:row r="104">
      <x:c r="A104" s="10" t="str">
        <x:v>RBI-C099</x:v>
      </x:c>
      <x:c r="B104" s="10" t="str">
        <x:v>ignition exclusion</x:v>
      </x:c>
      <x:c r="C104" s="10" t="str">
        <x:v>ignition state is not PROHIBITED variant 9</x:v>
      </x:c>
      <x:c r="D104" s="10" t="str">
        <x:v>VALID-ADVERSE</x:v>
      </x:c>
      <x:c r="E104" s="10" t="str">
        <x:v>Event Register</x:v>
      </x:c>
      <x:c r="F104" s="10" t="str">
        <x:v>REGISTERED</x:v>
      </x:c>
    </x:row>
    <x:row r="105">
      <x:c r="A105" s="10" t="str">
        <x:v>RBI-C100</x:v>
      </x:c>
      <x:c r="B105" s="10" t="str">
        <x:v>ignition exclusion</x:v>
      </x:c>
      <x:c r="C105" s="10" t="str">
        <x:v>ignition state is not PROHIBITED variant 10</x:v>
      </x:c>
      <x:c r="D105" s="10" t="str">
        <x:v>VALID-ADVERSE</x:v>
      </x:c>
      <x:c r="E105" s="10" t="str">
        <x:v>Event Register</x:v>
      </x:c>
      <x:c r="F105" s="10" t="str">
        <x:v>REGISTERED</x:v>
      </x:c>
    </x:row>
    <x:row r="106">
      <x:c r="A106" s="10" t="str">
        <x:v>RBI-C101</x:v>
      </x:c>
      <x:c r="B106" s="10" t="str">
        <x:v>evidence closure</x:v>
      </x:c>
      <x:c r="C106" s="10" t="str">
        <x:v>record, channel, or original is absent variant 1</x:v>
      </x:c>
      <x:c r="D106" s="10" t="str">
        <x:v>DENY</x:v>
      </x:c>
      <x:c r="E106" s="10" t="str">
        <x:v>Evidence Objects</x:v>
      </x:c>
      <x:c r="F106" s="10" t="str">
        <x:v>REGISTERED</x:v>
      </x:c>
    </x:row>
    <x:row r="107">
      <x:c r="A107" s="10" t="str">
        <x:v>RBI-C102</x:v>
      </x:c>
      <x:c r="B107" s="10" t="str">
        <x:v>evidence closure</x:v>
      </x:c>
      <x:c r="C107" s="10" t="str">
        <x:v>record, channel, or original is absent variant 2</x:v>
      </x:c>
      <x:c r="D107" s="10" t="str">
        <x:v>DENY</x:v>
      </x:c>
      <x:c r="E107" s="10" t="str">
        <x:v>Evidence Objects</x:v>
      </x:c>
      <x:c r="F107" s="10" t="str">
        <x:v>REGISTERED</x:v>
      </x:c>
    </x:row>
    <x:row r="108">
      <x:c r="A108" s="10" t="str">
        <x:v>RBI-C103</x:v>
      </x:c>
      <x:c r="B108" s="10" t="str">
        <x:v>evidence closure</x:v>
      </x:c>
      <x:c r="C108" s="10" t="str">
        <x:v>record, channel, or original is absent variant 3</x:v>
      </x:c>
      <x:c r="D108" s="10" t="str">
        <x:v>DENY</x:v>
      </x:c>
      <x:c r="E108" s="10" t="str">
        <x:v>Evidence Objects</x:v>
      </x:c>
      <x:c r="F108" s="10" t="str">
        <x:v>REGISTERED</x:v>
      </x:c>
    </x:row>
    <x:row r="109">
      <x:c r="A109" s="10" t="str">
        <x:v>RBI-C104</x:v>
      </x:c>
      <x:c r="B109" s="10" t="str">
        <x:v>evidence closure</x:v>
      </x:c>
      <x:c r="C109" s="10" t="str">
        <x:v>record, channel, or original is absent variant 4</x:v>
      </x:c>
      <x:c r="D109" s="10" t="str">
        <x:v>DENY</x:v>
      </x:c>
      <x:c r="E109" s="10" t="str">
        <x:v>Evidence Objects</x:v>
      </x:c>
      <x:c r="F109" s="10" t="str">
        <x:v>REGISTERED</x:v>
      </x:c>
    </x:row>
    <x:row r="110">
      <x:c r="A110" s="10" t="str">
        <x:v>RBI-C105</x:v>
      </x:c>
      <x:c r="B110" s="10" t="str">
        <x:v>evidence closure</x:v>
      </x:c>
      <x:c r="C110" s="10" t="str">
        <x:v>record, channel, or original is absent variant 5</x:v>
      </x:c>
      <x:c r="D110" s="10" t="str">
        <x:v>DENY</x:v>
      </x:c>
      <x:c r="E110" s="10" t="str">
        <x:v>Evidence Objects</x:v>
      </x:c>
      <x:c r="F110" s="10" t="str">
        <x:v>REGISTERED</x:v>
      </x:c>
    </x:row>
    <x:row r="111">
      <x:c r="A111" s="10" t="str">
        <x:v>RBI-C106</x:v>
      </x:c>
      <x:c r="B111" s="10" t="str">
        <x:v>evidence closure</x:v>
      </x:c>
      <x:c r="C111" s="10" t="str">
        <x:v>record, channel, or original is absent variant 6</x:v>
      </x:c>
      <x:c r="D111" s="10" t="str">
        <x:v>DENY</x:v>
      </x:c>
      <x:c r="E111" s="10" t="str">
        <x:v>Evidence Objects</x:v>
      </x:c>
      <x:c r="F111" s="10" t="str">
        <x:v>REGISTERED</x:v>
      </x:c>
    </x:row>
    <x:row r="112">
      <x:c r="A112" s="10" t="str">
        <x:v>RBI-C107</x:v>
      </x:c>
      <x:c r="B112" s="10" t="str">
        <x:v>evidence closure</x:v>
      </x:c>
      <x:c r="C112" s="10" t="str">
        <x:v>record, channel, or original is absent variant 7</x:v>
      </x:c>
      <x:c r="D112" s="10" t="str">
        <x:v>DENY</x:v>
      </x:c>
      <x:c r="E112" s="10" t="str">
        <x:v>Evidence Objects</x:v>
      </x:c>
      <x:c r="F112" s="10" t="str">
        <x:v>REGISTERED</x:v>
      </x:c>
    </x:row>
    <x:row r="113">
      <x:c r="A113" s="10" t="str">
        <x:v>RBI-C108</x:v>
      </x:c>
      <x:c r="B113" s="10" t="str">
        <x:v>evidence closure</x:v>
      </x:c>
      <x:c r="C113" s="10" t="str">
        <x:v>record, channel, or original is absent variant 8</x:v>
      </x:c>
      <x:c r="D113" s="10" t="str">
        <x:v>DENY</x:v>
      </x:c>
      <x:c r="E113" s="10" t="str">
        <x:v>Evidence Objects</x:v>
      </x:c>
      <x:c r="F113" s="10" t="str">
        <x:v>REGISTERED</x:v>
      </x:c>
    </x:row>
    <x:row r="114">
      <x:c r="A114" s="10" t="str">
        <x:v>RBI-C109</x:v>
      </x:c>
      <x:c r="B114" s="10" t="str">
        <x:v>evidence closure</x:v>
      </x:c>
      <x:c r="C114" s="10" t="str">
        <x:v>record, channel, or original is absent variant 9</x:v>
      </x:c>
      <x:c r="D114" s="10" t="str">
        <x:v>DENY</x:v>
      </x:c>
      <x:c r="E114" s="10" t="str">
        <x:v>Evidence Objects</x:v>
      </x:c>
      <x:c r="F114" s="10" t="str">
        <x:v>REGISTERED</x:v>
      </x:c>
    </x:row>
    <x:row r="115">
      <x:c r="A115" s="10" t="str">
        <x:v>RBI-C110</x:v>
      </x:c>
      <x:c r="B115" s="10" t="str">
        <x:v>evidence closure</x:v>
      </x:c>
      <x:c r="C115" s="10" t="str">
        <x:v>record, channel, or original is absent variant 10</x:v>
      </x:c>
      <x:c r="D115" s="10" t="str">
        <x:v>DENY</x:v>
      </x:c>
      <x:c r="E115" s="10" t="str">
        <x:v>Evidence Objects</x:v>
      </x:c>
      <x:c r="F115" s="10" t="str">
        <x:v>REGISTERED</x:v>
      </x:c>
    </x:row>
    <x:row r="116">
      <x:c r="A116" s="10" t="str">
        <x:v>RBI-C111</x:v>
      </x:c>
      <x:c r="B116" s="10" t="str">
        <x:v>safeing closure</x:v>
      </x:c>
      <x:c r="C116" s="10" t="str">
        <x:v>one physical isolation path is unresolved variant 1</x:v>
      </x:c>
      <x:c r="D116" s="10" t="str">
        <x:v>DENY</x:v>
      </x:c>
      <x:c r="E116" s="10" t="str">
        <x:v>Safeing</x:v>
      </x:c>
      <x:c r="F116" s="10" t="str">
        <x:v>REGISTERED</x:v>
      </x:c>
    </x:row>
    <x:row r="117">
      <x:c r="A117" s="10" t="str">
        <x:v>RBI-C112</x:v>
      </x:c>
      <x:c r="B117" s="10" t="str">
        <x:v>safeing closure</x:v>
      </x:c>
      <x:c r="C117" s="10" t="str">
        <x:v>one physical isolation path is unresolved variant 2</x:v>
      </x:c>
      <x:c r="D117" s="10" t="str">
        <x:v>DENY</x:v>
      </x:c>
      <x:c r="E117" s="10" t="str">
        <x:v>Safeing</x:v>
      </x:c>
      <x:c r="F117" s="10" t="str">
        <x:v>REGISTERED</x:v>
      </x:c>
    </x:row>
    <x:row r="118">
      <x:c r="A118" s="10" t="str">
        <x:v>RBI-C113</x:v>
      </x:c>
      <x:c r="B118" s="10" t="str">
        <x:v>safeing closure</x:v>
      </x:c>
      <x:c r="C118" s="10" t="str">
        <x:v>one physical isolation path is unresolved variant 3</x:v>
      </x:c>
      <x:c r="D118" s="10" t="str">
        <x:v>DENY</x:v>
      </x:c>
      <x:c r="E118" s="10" t="str">
        <x:v>Safeing</x:v>
      </x:c>
      <x:c r="F118" s="10" t="str">
        <x:v>REGISTERED</x:v>
      </x:c>
    </x:row>
    <x:row r="119">
      <x:c r="A119" s="10" t="str">
        <x:v>RBI-C114</x:v>
      </x:c>
      <x:c r="B119" s="10" t="str">
        <x:v>safeing closure</x:v>
      </x:c>
      <x:c r="C119" s="10" t="str">
        <x:v>one physical isolation path is unresolved variant 4</x:v>
      </x:c>
      <x:c r="D119" s="10" t="str">
        <x:v>DENY</x:v>
      </x:c>
      <x:c r="E119" s="10" t="str">
        <x:v>Safeing</x:v>
      </x:c>
      <x:c r="F119" s="10" t="str">
        <x:v>REGISTERED</x:v>
      </x:c>
    </x:row>
    <x:row r="120">
      <x:c r="A120" s="10" t="str">
        <x:v>RBI-C115</x:v>
      </x:c>
      <x:c r="B120" s="10" t="str">
        <x:v>safeing closure</x:v>
      </x:c>
      <x:c r="C120" s="10" t="str">
        <x:v>one physical isolation path is unresolved variant 5</x:v>
      </x:c>
      <x:c r="D120" s="10" t="str">
        <x:v>DENY</x:v>
      </x:c>
      <x:c r="E120" s="10" t="str">
        <x:v>Safeing</x:v>
      </x:c>
      <x:c r="F120" s="10" t="str">
        <x:v>REGISTERED</x:v>
      </x:c>
    </x:row>
    <x:row r="121">
      <x:c r="A121" s="10" t="str">
        <x:v>RBI-C116</x:v>
      </x:c>
      <x:c r="B121" s="10" t="str">
        <x:v>safeing closure</x:v>
      </x:c>
      <x:c r="C121" s="10" t="str">
        <x:v>one physical isolation path is unresolved variant 6</x:v>
      </x:c>
      <x:c r="D121" s="10" t="str">
        <x:v>DENY</x:v>
      </x:c>
      <x:c r="E121" s="10" t="str">
        <x:v>Safeing</x:v>
      </x:c>
      <x:c r="F121" s="10" t="str">
        <x:v>REGISTERED</x:v>
      </x:c>
    </x:row>
    <x:row r="122">
      <x:c r="A122" s="10" t="str">
        <x:v>RBI-C117</x:v>
      </x:c>
      <x:c r="B122" s="10" t="str">
        <x:v>safeing closure</x:v>
      </x:c>
      <x:c r="C122" s="10" t="str">
        <x:v>one physical isolation path is unresolved variant 7</x:v>
      </x:c>
      <x:c r="D122" s="10" t="str">
        <x:v>DENY</x:v>
      </x:c>
      <x:c r="E122" s="10" t="str">
        <x:v>Safeing</x:v>
      </x:c>
      <x:c r="F122" s="10" t="str">
        <x:v>REGISTERED</x:v>
      </x:c>
    </x:row>
    <x:row r="123">
      <x:c r="A123" s="10" t="str">
        <x:v>RBI-C118</x:v>
      </x:c>
      <x:c r="B123" s="10" t="str">
        <x:v>safeing closure</x:v>
      </x:c>
      <x:c r="C123" s="10" t="str">
        <x:v>one physical isolation path is unresolved variant 8</x:v>
      </x:c>
      <x:c r="D123" s="10" t="str">
        <x:v>DENY</x:v>
      </x:c>
      <x:c r="E123" s="10" t="str">
        <x:v>Safeing</x:v>
      </x:c>
      <x:c r="F123" s="10" t="str">
        <x:v>REGISTERED</x:v>
      </x:c>
    </x:row>
    <x:row r="124">
      <x:c r="A124" s="10" t="str">
        <x:v>RBI-C119</x:v>
      </x:c>
      <x:c r="B124" s="10" t="str">
        <x:v>safeing closure</x:v>
      </x:c>
      <x:c r="C124" s="10" t="str">
        <x:v>one physical isolation path is unresolved variant 9</x:v>
      </x:c>
      <x:c r="D124" s="10" t="str">
        <x:v>DENY</x:v>
      </x:c>
      <x:c r="E124" s="10" t="str">
        <x:v>Safeing</x:v>
      </x:c>
      <x:c r="F124" s="10" t="str">
        <x:v>REGISTERED</x:v>
      </x:c>
    </x:row>
    <x:row r="125">
      <x:c r="A125" s="10" t="str">
        <x:v>RBI-C120</x:v>
      </x:c>
      <x:c r="B125" s="10" t="str">
        <x:v>safeing closure</x:v>
      </x:c>
      <x:c r="C125" s="10" t="str">
        <x:v>one physical isolation path is unresolved variant 10</x:v>
      </x:c>
      <x:c r="D125" s="10" t="str">
        <x:v>DENY</x:v>
      </x:c>
      <x:c r="E125" s="10" t="str">
        <x:v>Safeing</x:v>
      </x:c>
      <x:c r="F125" s="10" t="str">
        <x:v>REGISTERED</x:v>
      </x:c>
    </x:row>
    <x:row r="126">
      <x:c r="A126" s="10" t="str">
        <x:v>RBI-C121</x:v>
      </x:c>
      <x:c r="B126" s="10" t="str">
        <x:v>wet return</x:v>
      </x:c>
      <x:c r="C126" s="10" t="str">
        <x:v>336-hour return or terminal decision is incomplete variant 1</x:v>
      </x:c>
      <x:c r="D126" s="10" t="str">
        <x:v>DENY</x:v>
      </x:c>
      <x:c r="E126" s="10" t="str">
        <x:v>Return</x:v>
      </x:c>
      <x:c r="F126" s="10" t="str">
        <x:v>REGISTERED</x:v>
      </x:c>
    </x:row>
    <x:row r="127">
      <x:c r="A127" s="10" t="str">
        <x:v>RBI-C122</x:v>
      </x:c>
      <x:c r="B127" s="10" t="str">
        <x:v>wet return</x:v>
      </x:c>
      <x:c r="C127" s="10" t="str">
        <x:v>336-hour return or terminal decision is incomplete variant 2</x:v>
      </x:c>
      <x:c r="D127" s="10" t="str">
        <x:v>DENY</x:v>
      </x:c>
      <x:c r="E127" s="10" t="str">
        <x:v>Return</x:v>
      </x:c>
      <x:c r="F127" s="10" t="str">
        <x:v>REGISTERED</x:v>
      </x:c>
    </x:row>
    <x:row r="128">
      <x:c r="A128" s="10" t="str">
        <x:v>RBI-C123</x:v>
      </x:c>
      <x:c r="B128" s="10" t="str">
        <x:v>wet return</x:v>
      </x:c>
      <x:c r="C128" s="10" t="str">
        <x:v>336-hour return or terminal decision is incomplete variant 3</x:v>
      </x:c>
      <x:c r="D128" s="10" t="str">
        <x:v>DENY</x:v>
      </x:c>
      <x:c r="E128" s="10" t="str">
        <x:v>Return</x:v>
      </x:c>
      <x:c r="F128" s="10" t="str">
        <x:v>REGISTERED</x:v>
      </x:c>
    </x:row>
    <x:row r="129">
      <x:c r="A129" s="10" t="str">
        <x:v>RBI-C124</x:v>
      </x:c>
      <x:c r="B129" s="10" t="str">
        <x:v>wet return</x:v>
      </x:c>
      <x:c r="C129" s="10" t="str">
        <x:v>336-hour return or terminal decision is incomplete variant 4</x:v>
      </x:c>
      <x:c r="D129" s="10" t="str">
        <x:v>DENY</x:v>
      </x:c>
      <x:c r="E129" s="10" t="str">
        <x:v>Return</x:v>
      </x:c>
      <x:c r="F129" s="10" t="str">
        <x:v>REGISTERED</x:v>
      </x:c>
    </x:row>
    <x:row r="130">
      <x:c r="A130" s="10" t="str">
        <x:v>RBI-C125</x:v>
      </x:c>
      <x:c r="B130" s="10" t="str">
        <x:v>wet return</x:v>
      </x:c>
      <x:c r="C130" s="10" t="str">
        <x:v>336-hour return or terminal decision is incomplete variant 5</x:v>
      </x:c>
      <x:c r="D130" s="10" t="str">
        <x:v>DENY</x:v>
      </x:c>
      <x:c r="E130" s="10" t="str">
        <x:v>Return</x:v>
      </x:c>
      <x:c r="F130" s="10" t="str">
        <x:v>REGISTERED</x:v>
      </x:c>
    </x:row>
    <x:row r="131">
      <x:c r="A131" s="10" t="str">
        <x:v>RBI-C126</x:v>
      </x:c>
      <x:c r="B131" s="10" t="str">
        <x:v>wet return</x:v>
      </x:c>
      <x:c r="C131" s="10" t="str">
        <x:v>336-hour return or terminal decision is incomplete variant 6</x:v>
      </x:c>
      <x:c r="D131" s="10" t="str">
        <x:v>DENY</x:v>
      </x:c>
      <x:c r="E131" s="10" t="str">
        <x:v>Return</x:v>
      </x:c>
      <x:c r="F131" s="10" t="str">
        <x:v>REGISTERED</x:v>
      </x:c>
    </x:row>
    <x:row r="132">
      <x:c r="A132" s="10" t="str">
        <x:v>RBI-C127</x:v>
      </x:c>
      <x:c r="B132" s="10" t="str">
        <x:v>wet return</x:v>
      </x:c>
      <x:c r="C132" s="10" t="str">
        <x:v>336-hour return or terminal decision is incomplete variant 7</x:v>
      </x:c>
      <x:c r="D132" s="10" t="str">
        <x:v>DENY</x:v>
      </x:c>
      <x:c r="E132" s="10" t="str">
        <x:v>Return</x:v>
      </x:c>
      <x:c r="F132" s="10" t="str">
        <x:v>REGISTERED</x:v>
      </x:c>
    </x:row>
    <x:row r="133">
      <x:c r="A133" s="10" t="str">
        <x:v>RBI-C128</x:v>
      </x:c>
      <x:c r="B133" s="10" t="str">
        <x:v>wet return</x:v>
      </x:c>
      <x:c r="C133" s="10" t="str">
        <x:v>336-hour return or terminal decision is incomplete variant 8</x:v>
      </x:c>
      <x:c r="D133" s="10" t="str">
        <x:v>DENY</x:v>
      </x:c>
      <x:c r="E133" s="10" t="str">
        <x:v>Return</x:v>
      </x:c>
      <x:c r="F133" s="10" t="str">
        <x:v>REGISTERED</x:v>
      </x:c>
    </x:row>
    <x:row r="134">
      <x:c r="A134" s="10" t="str">
        <x:v>RBI-C129</x:v>
      </x:c>
      <x:c r="B134" s="10" t="str">
        <x:v>wet return</x:v>
      </x:c>
      <x:c r="C134" s="10" t="str">
        <x:v>336-hour return or terminal decision is incomplete variant 9</x:v>
      </x:c>
      <x:c r="D134" s="10" t="str">
        <x:v>DENY</x:v>
      </x:c>
      <x:c r="E134" s="10" t="str">
        <x:v>Return</x:v>
      </x:c>
      <x:c r="F134" s="10" t="str">
        <x:v>REGISTERED</x:v>
      </x:c>
    </x:row>
    <x:row r="135">
      <x:c r="A135" s="10" t="str">
        <x:v>RBI-C130</x:v>
      </x:c>
      <x:c r="B135" s="10" t="str">
        <x:v>wet return</x:v>
      </x:c>
      <x:c r="C135" s="10" t="str">
        <x:v>336-hour return or terminal decision is incomplete variant 10</x:v>
      </x:c>
      <x:c r="D135" s="10" t="str">
        <x:v>DENY</x:v>
      </x:c>
      <x:c r="E135" s="10" t="str">
        <x:v>Return</x:v>
      </x:c>
      <x:c r="F135" s="10" t="str">
        <x:v>REGISTERED</x:v>
      </x:c>
    </x:row>
    <x:row r="136">
      <x:c r="A136" s="10" t="str">
        <x:v>RBI-C131</x:v>
      </x:c>
      <x:c r="B136" s="10" t="str">
        <x:v>reserve discipline</x:v>
      </x:c>
      <x:c r="C136" s="10" t="str">
        <x:v>reserve lacks independent invalidity and exact reassignment variant 1</x:v>
      </x:c>
      <x:c r="D136" s="10" t="str">
        <x:v>DENY</x:v>
      </x:c>
      <x:c r="E136" s="10" t="str">
        <x:v>Cell Map</x:v>
      </x:c>
      <x:c r="F136" s="10" t="str">
        <x:v>REGISTERED</x:v>
      </x:c>
    </x:row>
    <x:row r="137">
      <x:c r="A137" s="10" t="str">
        <x:v>RBI-C132</x:v>
      </x:c>
      <x:c r="B137" s="10" t="str">
        <x:v>reserve discipline</x:v>
      </x:c>
      <x:c r="C137" s="10" t="str">
        <x:v>reserve lacks independent invalidity and exact reassignment variant 2</x:v>
      </x:c>
      <x:c r="D137" s="10" t="str">
        <x:v>DENY</x:v>
      </x:c>
      <x:c r="E137" s="10" t="str">
        <x:v>Cell Map</x:v>
      </x:c>
      <x:c r="F137" s="10" t="str">
        <x:v>REGISTERED</x:v>
      </x:c>
    </x:row>
    <x:row r="138">
      <x:c r="A138" s="10" t="str">
        <x:v>RBI-C133</x:v>
      </x:c>
      <x:c r="B138" s="10" t="str">
        <x:v>reserve discipline</x:v>
      </x:c>
      <x:c r="C138" s="10" t="str">
        <x:v>reserve lacks independent invalidity and exact reassignment variant 3</x:v>
      </x:c>
      <x:c r="D138" s="10" t="str">
        <x:v>DENY</x:v>
      </x:c>
      <x:c r="E138" s="10" t="str">
        <x:v>Cell Map</x:v>
      </x:c>
      <x:c r="F138" s="10" t="str">
        <x:v>REGISTERED</x:v>
      </x:c>
    </x:row>
    <x:row r="139">
      <x:c r="A139" s="10" t="str">
        <x:v>RBI-C134</x:v>
      </x:c>
      <x:c r="B139" s="10" t="str">
        <x:v>reserve discipline</x:v>
      </x:c>
      <x:c r="C139" s="10" t="str">
        <x:v>reserve lacks independent invalidity and exact reassignment variant 4</x:v>
      </x:c>
      <x:c r="D139" s="10" t="str">
        <x:v>DENY</x:v>
      </x:c>
      <x:c r="E139" s="10" t="str">
        <x:v>Cell Map</x:v>
      </x:c>
      <x:c r="F139" s="10" t="str">
        <x:v>REGISTERED</x:v>
      </x:c>
    </x:row>
    <x:row r="140">
      <x:c r="A140" s="10" t="str">
        <x:v>RBI-C135</x:v>
      </x:c>
      <x:c r="B140" s="10" t="str">
        <x:v>reserve discipline</x:v>
      </x:c>
      <x:c r="C140" s="10" t="str">
        <x:v>reserve lacks independent invalidity and exact reassignment variant 5</x:v>
      </x:c>
      <x:c r="D140" s="10" t="str">
        <x:v>DENY</x:v>
      </x:c>
      <x:c r="E140" s="10" t="str">
        <x:v>Cell Map</x:v>
      </x:c>
      <x:c r="F140" s="10" t="str">
        <x:v>REGISTERED</x:v>
      </x:c>
    </x:row>
    <x:row r="141">
      <x:c r="A141" s="10" t="str">
        <x:v>RBI-C136</x:v>
      </x:c>
      <x:c r="B141" s="10" t="str">
        <x:v>reserve discipline</x:v>
      </x:c>
      <x:c r="C141" s="10" t="str">
        <x:v>reserve lacks independent invalidity and exact reassignment variant 6</x:v>
      </x:c>
      <x:c r="D141" s="10" t="str">
        <x:v>DENY</x:v>
      </x:c>
      <x:c r="E141" s="10" t="str">
        <x:v>Cell Map</x:v>
      </x:c>
      <x:c r="F141" s="10" t="str">
        <x:v>REGISTERED</x:v>
      </x:c>
    </x:row>
    <x:row r="142">
      <x:c r="A142" s="10" t="str">
        <x:v>RBI-C137</x:v>
      </x:c>
      <x:c r="B142" s="10" t="str">
        <x:v>reserve discipline</x:v>
      </x:c>
      <x:c r="C142" s="10" t="str">
        <x:v>reserve lacks independent invalidity and exact reassignment variant 7</x:v>
      </x:c>
      <x:c r="D142" s="10" t="str">
        <x:v>DENY</x:v>
      </x:c>
      <x:c r="E142" s="10" t="str">
        <x:v>Cell Map</x:v>
      </x:c>
      <x:c r="F142" s="10" t="str">
        <x:v>REGISTERED</x:v>
      </x:c>
    </x:row>
    <x:row r="143">
      <x:c r="A143" s="10" t="str">
        <x:v>RBI-C138</x:v>
      </x:c>
      <x:c r="B143" s="10" t="str">
        <x:v>reserve discipline</x:v>
      </x:c>
      <x:c r="C143" s="10" t="str">
        <x:v>reserve lacks independent invalidity and exact reassignment variant 8</x:v>
      </x:c>
      <x:c r="D143" s="10" t="str">
        <x:v>DENY</x:v>
      </x:c>
      <x:c r="E143" s="10" t="str">
        <x:v>Cell Map</x:v>
      </x:c>
      <x:c r="F143" s="10" t="str">
        <x:v>REGISTERED</x:v>
      </x:c>
    </x:row>
    <x:row r="144">
      <x:c r="A144" s="10" t="str">
        <x:v>RBI-C139</x:v>
      </x:c>
      <x:c r="B144" s="10" t="str">
        <x:v>reserve discipline</x:v>
      </x:c>
      <x:c r="C144" s="10" t="str">
        <x:v>reserve lacks independent invalidity and exact reassignment variant 9</x:v>
      </x:c>
      <x:c r="D144" s="10" t="str">
        <x:v>DENY</x:v>
      </x:c>
      <x:c r="E144" s="10" t="str">
        <x:v>Cell Map</x:v>
      </x:c>
      <x:c r="F144" s="10" t="str">
        <x:v>REGISTERED</x:v>
      </x:c>
    </x:row>
    <x:row r="145">
      <x:c r="A145" s="10" t="str">
        <x:v>RBI-C140</x:v>
      </x:c>
      <x:c r="B145" s="10" t="str">
        <x:v>reserve discipline</x:v>
      </x:c>
      <x:c r="C145" s="10" t="str">
        <x:v>reserve lacks independent invalidity and exact reassignment variant 10</x:v>
      </x:c>
      <x:c r="D145" s="10" t="str">
        <x:v>DENY</x:v>
      </x:c>
      <x:c r="E145" s="10" t="str">
        <x:v>Cell Map</x:v>
      </x:c>
      <x:c r="F145" s="10" t="str">
        <x:v>REGISTERED</x:v>
      </x:c>
    </x:row>
    <x:row r="146">
      <x:c r="A146" s="10" t="str">
        <x:v>RBI-C141</x:v>
      </x:c>
      <x:c r="B146" s="10" t="str">
        <x:v>parent authority</x:v>
      </x:c>
      <x:c r="C146" s="10" t="str">
        <x:v>calendar, technology, or annual envelope is exceeded variant 1</x:v>
      </x:c>
      <x:c r="D146" s="10" t="str">
        <x:v>REBASE REQUIRED</x:v>
      </x:c>
      <x:c r="E146" s="10" t="str">
        <x:v>Schedule</x:v>
      </x:c>
      <x:c r="F146" s="10" t="str">
        <x:v>REGISTERED</x:v>
      </x:c>
    </x:row>
    <x:row r="147">
      <x:c r="A147" s="10" t="str">
        <x:v>RBI-C142</x:v>
      </x:c>
      <x:c r="B147" s="10" t="str">
        <x:v>parent authority</x:v>
      </x:c>
      <x:c r="C147" s="10" t="str">
        <x:v>calendar, technology, or annual envelope is exceeded variant 2</x:v>
      </x:c>
      <x:c r="D147" s="10" t="str">
        <x:v>REBASE REQUIRED</x:v>
      </x:c>
      <x:c r="E147" s="10" t="str">
        <x:v>Schedule</x:v>
      </x:c>
      <x:c r="F147" s="10" t="str">
        <x:v>REGISTERED</x:v>
      </x:c>
    </x:row>
    <x:row r="148">
      <x:c r="A148" s="10" t="str">
        <x:v>RBI-C143</x:v>
      </x:c>
      <x:c r="B148" s="10" t="str">
        <x:v>parent authority</x:v>
      </x:c>
      <x:c r="C148" s="10" t="str">
        <x:v>calendar, technology, or annual envelope is exceeded variant 3</x:v>
      </x:c>
      <x:c r="D148" s="10" t="str">
        <x:v>REBASE REQUIRED</x:v>
      </x:c>
      <x:c r="E148" s="10" t="str">
        <x:v>Schedule</x:v>
      </x:c>
      <x:c r="F148" s="10" t="str">
        <x:v>REGISTERED</x:v>
      </x:c>
    </x:row>
    <x:row r="149">
      <x:c r="A149" s="10" t="str">
        <x:v>RBI-C144</x:v>
      </x:c>
      <x:c r="B149" s="10" t="str">
        <x:v>parent authority</x:v>
      </x:c>
      <x:c r="C149" s="10" t="str">
        <x:v>calendar, technology, or annual envelope is exceeded variant 4</x:v>
      </x:c>
      <x:c r="D149" s="10" t="str">
        <x:v>REBASE REQUIRED</x:v>
      </x:c>
      <x:c r="E149" s="10" t="str">
        <x:v>Schedule</x:v>
      </x:c>
      <x:c r="F149" s="10" t="str">
        <x:v>REGISTERED</x:v>
      </x:c>
    </x:row>
    <x:row r="150">
      <x:c r="A150" s="10" t="str">
        <x:v>RBI-C145</x:v>
      </x:c>
      <x:c r="B150" s="10" t="str">
        <x:v>parent authority</x:v>
      </x:c>
      <x:c r="C150" s="10" t="str">
        <x:v>calendar, technology, or annual envelope is exceeded variant 5</x:v>
      </x:c>
      <x:c r="D150" s="10" t="str">
        <x:v>REBASE REQUIRED</x:v>
      </x:c>
      <x:c r="E150" s="10" t="str">
        <x:v>Schedule</x:v>
      </x:c>
      <x:c r="F150" s="10" t="str">
        <x:v>REGISTERED</x:v>
      </x:c>
    </x:row>
    <x:row r="151">
      <x:c r="A151" s="10" t="str">
        <x:v>RBI-C146</x:v>
      </x:c>
      <x:c r="B151" s="10" t="str">
        <x:v>parent authority</x:v>
      </x:c>
      <x:c r="C151" s="10" t="str">
        <x:v>calendar, technology, or annual envelope is exceeded variant 6</x:v>
      </x:c>
      <x:c r="D151" s="10" t="str">
        <x:v>REBASE REQUIRED</x:v>
      </x:c>
      <x:c r="E151" s="10" t="str">
        <x:v>Schedule</x:v>
      </x:c>
      <x:c r="F151" s="10" t="str">
        <x:v>REGISTERED</x:v>
      </x:c>
    </x:row>
    <x:row r="152">
      <x:c r="A152" s="10" t="str">
        <x:v>RBI-C147</x:v>
      </x:c>
      <x:c r="B152" s="10" t="str">
        <x:v>parent authority</x:v>
      </x:c>
      <x:c r="C152" s="10" t="str">
        <x:v>calendar, technology, or annual envelope is exceeded variant 7</x:v>
      </x:c>
      <x:c r="D152" s="10" t="str">
        <x:v>REBASE REQUIRED</x:v>
      </x:c>
      <x:c r="E152" s="10" t="str">
        <x:v>Schedule</x:v>
      </x:c>
      <x:c r="F152" s="10" t="str">
        <x:v>REGISTERED</x:v>
      </x:c>
    </x:row>
    <x:row r="153">
      <x:c r="A153" s="10" t="str">
        <x:v>RBI-C148</x:v>
      </x:c>
      <x:c r="B153" s="10" t="str">
        <x:v>parent authority</x:v>
      </x:c>
      <x:c r="C153" s="10" t="str">
        <x:v>calendar, technology, or annual envelope is exceeded variant 8</x:v>
      </x:c>
      <x:c r="D153" s="10" t="str">
        <x:v>REBASE REQUIRED</x:v>
      </x:c>
      <x:c r="E153" s="10" t="str">
        <x:v>Schedule</x:v>
      </x:c>
      <x:c r="F153" s="10" t="str">
        <x:v>REGISTERED</x:v>
      </x:c>
    </x:row>
    <x:row r="154">
      <x:c r="A154" s="10" t="str">
        <x:v>RBI-C149</x:v>
      </x:c>
      <x:c r="B154" s="10" t="str">
        <x:v>parent authority</x:v>
      </x:c>
      <x:c r="C154" s="10" t="str">
        <x:v>calendar, technology, or annual envelope is exceeded variant 9</x:v>
      </x:c>
      <x:c r="D154" s="10" t="str">
        <x:v>REBASE REQUIRED</x:v>
      </x:c>
      <x:c r="E154" s="10" t="str">
        <x:v>Schedule</x:v>
      </x:c>
      <x:c r="F154" s="10" t="str">
        <x:v>REGISTERED</x:v>
      </x:c>
    </x:row>
    <x:row r="155">
      <x:c r="A155" s="10" t="str">
        <x:v>RBI-C150</x:v>
      </x:c>
      <x:c r="B155" s="10" t="str">
        <x:v>parent authority</x:v>
      </x:c>
      <x:c r="C155" s="10" t="str">
        <x:v>calendar, technology, or annual envelope is exceeded variant 10</x:v>
      </x:c>
      <x:c r="D155" s="10" t="str">
        <x:v>REBASE REQUIRED</x:v>
      </x:c>
      <x:c r="E155" s="10" t="str">
        <x:v>Schedule</x:v>
      </x:c>
      <x:c r="F155" s="10" t="str">
        <x:v>REGISTERED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8ce597e953a2479b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31" hidden="0" customWidth="1"/>
    <x:col min="4" max="4" width="43" hidden="0" customWidth="1"/>
    <x:col min="5" max="5" width="18" hidden="0" customWidth="1"/>
    <x:col min="6" max="6" width="18" hidden="0" customWidth="1"/>
    <x:col min="7" max="7" width="14" hidden="0" customWidth="1"/>
    <x:col min="8" max="8" width="22" hidden="0" customWidth="1"/>
  </x:cols>
  <x:sheetData>
    <x:row r="2" ht="24" customHeight="1">
      <x:c r="A2" s="1" t="str">
        <x:v>Three hundred executable audit identities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>
      <x:c r="A5" s="8" t="str">
        <x:v>Audit</x:v>
      </x:c>
      <x:c r="B5" s="8" t="str">
        <x:v>Family</x:v>
      </x:c>
      <x:c r="C5" s="8" t="str">
        <x:v>Case or object</x:v>
      </x:c>
      <x:c r="D5" s="8" t="str">
        <x:v>Assertion</x:v>
      </x:c>
      <x:c r="E5" s="8" t="str">
        <x:v>Expected</x:v>
      </x:c>
      <x:c r="F5" s="8" t="str">
        <x:v>Observed</x:v>
      </x:c>
      <x:c r="G5" s="8" t="str">
        <x:v>State</x:v>
      </x:c>
      <x:c r="H5" s="8" t="str">
        <x:v>Owner</x:v>
      </x:c>
    </x:row>
    <x:row r="6">
      <x:c r="A6" s="10" t="str">
        <x:v>AUD-B-001</x:v>
      </x:c>
      <x:c r="B6" s="10" t="str">
        <x:v>boundary</x:v>
      </x:c>
      <x:c r="C6" s="10" t="str">
        <x:v>RBI-C001</x:v>
      </x:c>
      <x:c r="D6" s="10" t="str">
        <x:v>registered falsification case is executable</x:v>
      </x:c>
      <x:c r="E6" s="10" t="str">
        <x:v>REGISTERED</x:v>
      </x:c>
      <x:c r="F6" s="12"/>
      <x:c r="G6" s="10" t="str">
        <x:f>IF(F6="","OPEN",IF(F6=E6,"PASS","FAIL"))</x:f>
        <x:v>OPEN</x:v>
      </x:c>
      <x:c r="H6" s="10" t="str">
        <x:v>class validity</x:v>
      </x:c>
    </x:row>
    <x:row r="7">
      <x:c r="A7" s="10" t="str">
        <x:v>AUD-B-002</x:v>
      </x:c>
      <x:c r="B7" s="10" t="str">
        <x:v>boundary</x:v>
      </x:c>
      <x:c r="C7" s="10" t="str">
        <x:v>RBI-C002</x:v>
      </x:c>
      <x:c r="D7" s="10" t="str">
        <x:v>registered falsification case is executable</x:v>
      </x:c>
      <x:c r="E7" s="10" t="str">
        <x:v>REGISTERED</x:v>
      </x:c>
      <x:c r="F7" s="12"/>
      <x:c r="G7" s="10" t="str">
        <x:f>IF(F7="","OPEN",IF(F7=E7,"PASS","FAIL"))</x:f>
        <x:v>OPEN</x:v>
      </x:c>
      <x:c r="H7" s="10" t="str">
        <x:v>class validity</x:v>
      </x:c>
    </x:row>
    <x:row r="8">
      <x:c r="A8" s="10" t="str">
        <x:v>AUD-B-003</x:v>
      </x:c>
      <x:c r="B8" s="10" t="str">
        <x:v>boundary</x:v>
      </x:c>
      <x:c r="C8" s="10" t="str">
        <x:v>RBI-C003</x:v>
      </x:c>
      <x:c r="D8" s="10" t="str">
        <x:v>registered falsification case is executable</x:v>
      </x:c>
      <x:c r="E8" s="10" t="str">
        <x:v>REGISTERED</x:v>
      </x:c>
      <x:c r="F8" s="12"/>
      <x:c r="G8" s="10" t="str">
        <x:f>IF(F8="","OPEN",IF(F8=E8,"PASS","FAIL"))</x:f>
        <x:v>OPEN</x:v>
      </x:c>
      <x:c r="H8" s="10" t="str">
        <x:v>class validity</x:v>
      </x:c>
    </x:row>
    <x:row r="9">
      <x:c r="A9" s="10" t="str">
        <x:v>AUD-B-004</x:v>
      </x:c>
      <x:c r="B9" s="10" t="str">
        <x:v>boundary</x:v>
      </x:c>
      <x:c r="C9" s="10" t="str">
        <x:v>RBI-C004</x:v>
      </x:c>
      <x:c r="D9" s="10" t="str">
        <x:v>registered falsification case is executable</x:v>
      </x:c>
      <x:c r="E9" s="10" t="str">
        <x:v>REGISTERED</x:v>
      </x:c>
      <x:c r="F9" s="12"/>
      <x:c r="G9" s="10" t="str">
        <x:f>IF(F9="","OPEN",IF(F9=E9,"PASS","FAIL"))</x:f>
        <x:v>OPEN</x:v>
      </x:c>
      <x:c r="H9" s="10" t="str">
        <x:v>class validity</x:v>
      </x:c>
    </x:row>
    <x:row r="10">
      <x:c r="A10" s="10" t="str">
        <x:v>AUD-B-005</x:v>
      </x:c>
      <x:c r="B10" s="10" t="str">
        <x:v>boundary</x:v>
      </x:c>
      <x:c r="C10" s="10" t="str">
        <x:v>RBI-C005</x:v>
      </x:c>
      <x:c r="D10" s="10" t="str">
        <x:v>registered falsification case is executable</x:v>
      </x:c>
      <x:c r="E10" s="10" t="str">
        <x:v>REGISTERED</x:v>
      </x:c>
      <x:c r="F10" s="12"/>
      <x:c r="G10" s="10" t="str">
        <x:f>IF(F10="","OPEN",IF(F10=E10,"PASS","FAIL"))</x:f>
        <x:v>OPEN</x:v>
      </x:c>
      <x:c r="H10" s="10" t="str">
        <x:v>class validity</x:v>
      </x:c>
    </x:row>
    <x:row r="11">
      <x:c r="A11" s="10" t="str">
        <x:v>AUD-B-006</x:v>
      </x:c>
      <x:c r="B11" s="10" t="str">
        <x:v>boundary</x:v>
      </x:c>
      <x:c r="C11" s="10" t="str">
        <x:v>RBI-C006</x:v>
      </x:c>
      <x:c r="D11" s="10" t="str">
        <x:v>registered falsification case is executable</x:v>
      </x:c>
      <x:c r="E11" s="10" t="str">
        <x:v>REGISTERED</x:v>
      </x:c>
      <x:c r="F11" s="12"/>
      <x:c r="G11" s="10" t="str">
        <x:f>IF(F11="","OPEN",IF(F11=E11,"PASS","FAIL"))</x:f>
        <x:v>OPEN</x:v>
      </x:c>
      <x:c r="H11" s="10" t="str">
        <x:v>class validity</x:v>
      </x:c>
    </x:row>
    <x:row r="12">
      <x:c r="A12" s="10" t="str">
        <x:v>AUD-B-007</x:v>
      </x:c>
      <x:c r="B12" s="10" t="str">
        <x:v>boundary</x:v>
      </x:c>
      <x:c r="C12" s="10" t="str">
        <x:v>RBI-C007</x:v>
      </x:c>
      <x:c r="D12" s="10" t="str">
        <x:v>registered falsification case is executable</x:v>
      </x:c>
      <x:c r="E12" s="10" t="str">
        <x:v>REGISTERED</x:v>
      </x:c>
      <x:c r="F12" s="12"/>
      <x:c r="G12" s="10" t="str">
        <x:f>IF(F12="","OPEN",IF(F12=E12,"PASS","FAIL"))</x:f>
        <x:v>OPEN</x:v>
      </x:c>
      <x:c r="H12" s="10" t="str">
        <x:v>class validity</x:v>
      </x:c>
    </x:row>
    <x:row r="13">
      <x:c r="A13" s="10" t="str">
        <x:v>AUD-B-008</x:v>
      </x:c>
      <x:c r="B13" s="10" t="str">
        <x:v>boundary</x:v>
      </x:c>
      <x:c r="C13" s="10" t="str">
        <x:v>RBI-C008</x:v>
      </x:c>
      <x:c r="D13" s="10" t="str">
        <x:v>registered falsification case is executable</x:v>
      </x:c>
      <x:c r="E13" s="10" t="str">
        <x:v>REGISTERED</x:v>
      </x:c>
      <x:c r="F13" s="12"/>
      <x:c r="G13" s="10" t="str">
        <x:f>IF(F13="","OPEN",IF(F13=E13,"PASS","FAIL"))</x:f>
        <x:v>OPEN</x:v>
      </x:c>
      <x:c r="H13" s="10" t="str">
        <x:v>class validity</x:v>
      </x:c>
    </x:row>
    <x:row r="14">
      <x:c r="A14" s="10" t="str">
        <x:v>AUD-B-009</x:v>
      </x:c>
      <x:c r="B14" s="10" t="str">
        <x:v>boundary</x:v>
      </x:c>
      <x:c r="C14" s="10" t="str">
        <x:v>RBI-C009</x:v>
      </x:c>
      <x:c r="D14" s="10" t="str">
        <x:v>registered falsification case is executable</x:v>
      </x:c>
      <x:c r="E14" s="10" t="str">
        <x:v>REGISTERED</x:v>
      </x:c>
      <x:c r="F14" s="12"/>
      <x:c r="G14" s="10" t="str">
        <x:f>IF(F14="","OPEN",IF(F14=E14,"PASS","FAIL"))</x:f>
        <x:v>OPEN</x:v>
      </x:c>
      <x:c r="H14" s="10" t="str">
        <x:v>class validity</x:v>
      </x:c>
    </x:row>
    <x:row r="15">
      <x:c r="A15" s="10" t="str">
        <x:v>AUD-B-010</x:v>
      </x:c>
      <x:c r="B15" s="10" t="str">
        <x:v>boundary</x:v>
      </x:c>
      <x:c r="C15" s="10" t="str">
        <x:v>RBI-C010</x:v>
      </x:c>
      <x:c r="D15" s="10" t="str">
        <x:v>registered falsification case is executable</x:v>
      </x:c>
      <x:c r="E15" s="10" t="str">
        <x:v>REGISTERED</x:v>
      </x:c>
      <x:c r="F15" s="12"/>
      <x:c r="G15" s="10" t="str">
        <x:f>IF(F15="","OPEN",IF(F15=E15,"PASS","FAIL"))</x:f>
        <x:v>OPEN</x:v>
      </x:c>
      <x:c r="H15" s="10" t="str">
        <x:v>class validity</x:v>
      </x:c>
    </x:row>
    <x:row r="16">
      <x:c r="A16" s="10" t="str">
        <x:v>AUD-B-011</x:v>
      </x:c>
      <x:c r="B16" s="10" t="str">
        <x:v>boundary</x:v>
      </x:c>
      <x:c r="C16" s="10" t="str">
        <x:v>RBI-C011</x:v>
      </x:c>
      <x:c r="D16" s="10" t="str">
        <x:v>registered falsification case is executable</x:v>
      </x:c>
      <x:c r="E16" s="10" t="str">
        <x:v>REGISTERED</x:v>
      </x:c>
      <x:c r="F16" s="12"/>
      <x:c r="G16" s="10" t="str">
        <x:f>IF(F16="","OPEN",IF(F16=E16,"PASS","FAIL"))</x:f>
        <x:v>OPEN</x:v>
      </x:c>
      <x:c r="H16" s="10" t="str">
        <x:v>class validity</x:v>
      </x:c>
    </x:row>
    <x:row r="17">
      <x:c r="A17" s="10" t="str">
        <x:v>AUD-B-012</x:v>
      </x:c>
      <x:c r="B17" s="10" t="str">
        <x:v>boundary</x:v>
      </x:c>
      <x:c r="C17" s="10" t="str">
        <x:v>RBI-C012</x:v>
      </x:c>
      <x:c r="D17" s="10" t="str">
        <x:v>registered falsification case is executable</x:v>
      </x:c>
      <x:c r="E17" s="10" t="str">
        <x:v>REGISTERED</x:v>
      </x:c>
      <x:c r="F17" s="12"/>
      <x:c r="G17" s="10" t="str">
        <x:f>IF(F17="","OPEN",IF(F17=E17,"PASS","FAIL"))</x:f>
        <x:v>OPEN</x:v>
      </x:c>
      <x:c r="H17" s="10" t="str">
        <x:v>class validity</x:v>
      </x:c>
    </x:row>
    <x:row r="18">
      <x:c r="A18" s="10" t="str">
        <x:v>AUD-B-013</x:v>
      </x:c>
      <x:c r="B18" s="10" t="str">
        <x:v>boundary</x:v>
      </x:c>
      <x:c r="C18" s="10" t="str">
        <x:v>RBI-C013</x:v>
      </x:c>
      <x:c r="D18" s="10" t="str">
        <x:v>registered falsification case is executable</x:v>
      </x:c>
      <x:c r="E18" s="10" t="str">
        <x:v>REGISTERED</x:v>
      </x:c>
      <x:c r="F18" s="12"/>
      <x:c r="G18" s="10" t="str">
        <x:f>IF(F18="","OPEN",IF(F18=E18,"PASS","FAIL"))</x:f>
        <x:v>OPEN</x:v>
      </x:c>
      <x:c r="H18" s="10" t="str">
        <x:v>class validity</x:v>
      </x:c>
    </x:row>
    <x:row r="19">
      <x:c r="A19" s="10" t="str">
        <x:v>AUD-B-014</x:v>
      </x:c>
      <x:c r="B19" s="10" t="str">
        <x:v>boundary</x:v>
      </x:c>
      <x:c r="C19" s="10" t="str">
        <x:v>RBI-C014</x:v>
      </x:c>
      <x:c r="D19" s="10" t="str">
        <x:v>registered falsification case is executable</x:v>
      </x:c>
      <x:c r="E19" s="10" t="str">
        <x:v>REGISTERED</x:v>
      </x:c>
      <x:c r="F19" s="12"/>
      <x:c r="G19" s="10" t="str">
        <x:f>IF(F19="","OPEN",IF(F19=E19,"PASS","FAIL"))</x:f>
        <x:v>OPEN</x:v>
      </x:c>
      <x:c r="H19" s="10" t="str">
        <x:v>class validity</x:v>
      </x:c>
    </x:row>
    <x:row r="20">
      <x:c r="A20" s="10" t="str">
        <x:v>AUD-B-015</x:v>
      </x:c>
      <x:c r="B20" s="10" t="str">
        <x:v>boundary</x:v>
      </x:c>
      <x:c r="C20" s="10" t="str">
        <x:v>RBI-C015</x:v>
      </x:c>
      <x:c r="D20" s="10" t="str">
        <x:v>registered falsification case is executable</x:v>
      </x:c>
      <x:c r="E20" s="10" t="str">
        <x:v>REGISTERED</x:v>
      </x:c>
      <x:c r="F20" s="12"/>
      <x:c r="G20" s="10" t="str">
        <x:f>IF(F20="","OPEN",IF(F20=E20,"PASS","FAIL"))</x:f>
        <x:v>OPEN</x:v>
      </x:c>
      <x:c r="H20" s="10" t="str">
        <x:v>class validity</x:v>
      </x:c>
    </x:row>
    <x:row r="21">
      <x:c r="A21" s="10" t="str">
        <x:v>AUD-B-016</x:v>
      </x:c>
      <x:c r="B21" s="10" t="str">
        <x:v>boundary</x:v>
      </x:c>
      <x:c r="C21" s="10" t="str">
        <x:v>RBI-C016</x:v>
      </x:c>
      <x:c r="D21" s="10" t="str">
        <x:v>registered falsification case is executable</x:v>
      </x:c>
      <x:c r="E21" s="10" t="str">
        <x:v>REGISTERED</x:v>
      </x:c>
      <x:c r="F21" s="12"/>
      <x:c r="G21" s="10" t="str">
        <x:f>IF(F21="","OPEN",IF(F21=E21,"PASS","FAIL"))</x:f>
        <x:v>OPEN</x:v>
      </x:c>
      <x:c r="H21" s="10" t="str">
        <x:v>class validity</x:v>
      </x:c>
    </x:row>
    <x:row r="22">
      <x:c r="A22" s="10" t="str">
        <x:v>AUD-B-017</x:v>
      </x:c>
      <x:c r="B22" s="10" t="str">
        <x:v>boundary</x:v>
      </x:c>
      <x:c r="C22" s="10" t="str">
        <x:v>RBI-C017</x:v>
      </x:c>
      <x:c r="D22" s="10" t="str">
        <x:v>registered falsification case is executable</x:v>
      </x:c>
      <x:c r="E22" s="10" t="str">
        <x:v>REGISTERED</x:v>
      </x:c>
      <x:c r="F22" s="12"/>
      <x:c r="G22" s="10" t="str">
        <x:f>IF(F22="","OPEN",IF(F22=E22,"PASS","FAIL"))</x:f>
        <x:v>OPEN</x:v>
      </x:c>
      <x:c r="H22" s="10" t="str">
        <x:v>class validity</x:v>
      </x:c>
    </x:row>
    <x:row r="23">
      <x:c r="A23" s="10" t="str">
        <x:v>AUD-B-018</x:v>
      </x:c>
      <x:c r="B23" s="10" t="str">
        <x:v>boundary</x:v>
      </x:c>
      <x:c r="C23" s="10" t="str">
        <x:v>RBI-C018</x:v>
      </x:c>
      <x:c r="D23" s="10" t="str">
        <x:v>registered falsification case is executable</x:v>
      </x:c>
      <x:c r="E23" s="10" t="str">
        <x:v>REGISTERED</x:v>
      </x:c>
      <x:c r="F23" s="12"/>
      <x:c r="G23" s="10" t="str">
        <x:f>IF(F23="","OPEN",IF(F23=E23,"PASS","FAIL"))</x:f>
        <x:v>OPEN</x:v>
      </x:c>
      <x:c r="H23" s="10" t="str">
        <x:v>class validity</x:v>
      </x:c>
    </x:row>
    <x:row r="24">
      <x:c r="A24" s="10" t="str">
        <x:v>AUD-B-019</x:v>
      </x:c>
      <x:c r="B24" s="10" t="str">
        <x:v>boundary</x:v>
      </x:c>
      <x:c r="C24" s="10" t="str">
        <x:v>RBI-C019</x:v>
      </x:c>
      <x:c r="D24" s="10" t="str">
        <x:v>registered falsification case is executable</x:v>
      </x:c>
      <x:c r="E24" s="10" t="str">
        <x:v>REGISTERED</x:v>
      </x:c>
      <x:c r="F24" s="12"/>
      <x:c r="G24" s="10" t="str">
        <x:f>IF(F24="","OPEN",IF(F24=E24,"PASS","FAIL"))</x:f>
        <x:v>OPEN</x:v>
      </x:c>
      <x:c r="H24" s="10" t="str">
        <x:v>class validity</x:v>
      </x:c>
    </x:row>
    <x:row r="25">
      <x:c r="A25" s="10" t="str">
        <x:v>AUD-B-020</x:v>
      </x:c>
      <x:c r="B25" s="10" t="str">
        <x:v>boundary</x:v>
      </x:c>
      <x:c r="C25" s="10" t="str">
        <x:v>RBI-C020</x:v>
      </x:c>
      <x:c r="D25" s="10" t="str">
        <x:v>registered falsification case is executable</x:v>
      </x:c>
      <x:c r="E25" s="10" t="str">
        <x:v>REGISTERED</x:v>
      </x:c>
      <x:c r="F25" s="12"/>
      <x:c r="G25" s="10" t="str">
        <x:f>IF(F25="","OPEN",IF(F25=E25,"PASS","FAIL"))</x:f>
        <x:v>OPEN</x:v>
      </x:c>
      <x:c r="H25" s="10" t="str">
        <x:v>class validity</x:v>
      </x:c>
    </x:row>
    <x:row r="26">
      <x:c r="A26" s="10" t="str">
        <x:v>AUD-B-021</x:v>
      </x:c>
      <x:c r="B26" s="10" t="str">
        <x:v>boundary</x:v>
      </x:c>
      <x:c r="C26" s="10" t="str">
        <x:v>RBI-C021</x:v>
      </x:c>
      <x:c r="D26" s="10" t="str">
        <x:v>registered falsification case is executable</x:v>
      </x:c>
      <x:c r="E26" s="10" t="str">
        <x:v>REGISTERED</x:v>
      </x:c>
      <x:c r="F26" s="12"/>
      <x:c r="G26" s="10" t="str">
        <x:f>IF(F26="","OPEN",IF(F26=E26,"PASS","FAIL"))</x:f>
        <x:v>OPEN</x:v>
      </x:c>
      <x:c r="H26" s="10" t="str">
        <x:v>class validity</x:v>
      </x:c>
    </x:row>
    <x:row r="27">
      <x:c r="A27" s="10" t="str">
        <x:v>AUD-B-022</x:v>
      </x:c>
      <x:c r="B27" s="10" t="str">
        <x:v>boundary</x:v>
      </x:c>
      <x:c r="C27" s="10" t="str">
        <x:v>RBI-C022</x:v>
      </x:c>
      <x:c r="D27" s="10" t="str">
        <x:v>registered falsification case is executable</x:v>
      </x:c>
      <x:c r="E27" s="10" t="str">
        <x:v>REGISTERED</x:v>
      </x:c>
      <x:c r="F27" s="12"/>
      <x:c r="G27" s="10" t="str">
        <x:f>IF(F27="","OPEN",IF(F27=E27,"PASS","FAIL"))</x:f>
        <x:v>OPEN</x:v>
      </x:c>
      <x:c r="H27" s="10" t="str">
        <x:v>class validity</x:v>
      </x:c>
    </x:row>
    <x:row r="28">
      <x:c r="A28" s="10" t="str">
        <x:v>AUD-B-023</x:v>
      </x:c>
      <x:c r="B28" s="10" t="str">
        <x:v>boundary</x:v>
      </x:c>
      <x:c r="C28" s="10" t="str">
        <x:v>RBI-C023</x:v>
      </x:c>
      <x:c r="D28" s="10" t="str">
        <x:v>registered falsification case is executable</x:v>
      </x:c>
      <x:c r="E28" s="10" t="str">
        <x:v>REGISTERED</x:v>
      </x:c>
      <x:c r="F28" s="12"/>
      <x:c r="G28" s="10" t="str">
        <x:f>IF(F28="","OPEN",IF(F28=E28,"PASS","FAIL"))</x:f>
        <x:v>OPEN</x:v>
      </x:c>
      <x:c r="H28" s="10" t="str">
        <x:v>class validity</x:v>
      </x:c>
    </x:row>
    <x:row r="29">
      <x:c r="A29" s="10" t="str">
        <x:v>AUD-B-024</x:v>
      </x:c>
      <x:c r="B29" s="10" t="str">
        <x:v>boundary</x:v>
      </x:c>
      <x:c r="C29" s="10" t="str">
        <x:v>RBI-C024</x:v>
      </x:c>
      <x:c r="D29" s="10" t="str">
        <x:v>registered falsification case is executable</x:v>
      </x:c>
      <x:c r="E29" s="10" t="str">
        <x:v>REGISTERED</x:v>
      </x:c>
      <x:c r="F29" s="12"/>
      <x:c r="G29" s="10" t="str">
        <x:f>IF(F29="","OPEN",IF(F29=E29,"PASS","FAIL"))</x:f>
        <x:v>OPEN</x:v>
      </x:c>
      <x:c r="H29" s="10" t="str">
        <x:v>class validity</x:v>
      </x:c>
    </x:row>
    <x:row r="30">
      <x:c r="A30" s="10" t="str">
        <x:v>AUD-B-025</x:v>
      </x:c>
      <x:c r="B30" s="10" t="str">
        <x:v>boundary</x:v>
      </x:c>
      <x:c r="C30" s="10" t="str">
        <x:v>RBI-C025</x:v>
      </x:c>
      <x:c r="D30" s="10" t="str">
        <x:v>registered falsification case is executable</x:v>
      </x:c>
      <x:c r="E30" s="10" t="str">
        <x:v>REGISTERED</x:v>
      </x:c>
      <x:c r="F30" s="12"/>
      <x:c r="G30" s="10" t="str">
        <x:f>IF(F30="","OPEN",IF(F30=E30,"PASS","FAIL"))</x:f>
        <x:v>OPEN</x:v>
      </x:c>
      <x:c r="H30" s="10" t="str">
        <x:v>class validity</x:v>
      </x:c>
    </x:row>
    <x:row r="31">
      <x:c r="A31" s="10" t="str">
        <x:v>AUD-B-026</x:v>
      </x:c>
      <x:c r="B31" s="10" t="str">
        <x:v>boundary</x:v>
      </x:c>
      <x:c r="C31" s="10" t="str">
        <x:v>RBI-C026</x:v>
      </x:c>
      <x:c r="D31" s="10" t="str">
        <x:v>registered falsification case is executable</x:v>
      </x:c>
      <x:c r="E31" s="10" t="str">
        <x:v>REGISTERED</x:v>
      </x:c>
      <x:c r="F31" s="12"/>
      <x:c r="G31" s="10" t="str">
        <x:f>IF(F31="","OPEN",IF(F31=E31,"PASS","FAIL"))</x:f>
        <x:v>OPEN</x:v>
      </x:c>
      <x:c r="H31" s="10" t="str">
        <x:v>class validity</x:v>
      </x:c>
    </x:row>
    <x:row r="32">
      <x:c r="A32" s="10" t="str">
        <x:v>AUD-B-027</x:v>
      </x:c>
      <x:c r="B32" s="10" t="str">
        <x:v>boundary</x:v>
      </x:c>
      <x:c r="C32" s="10" t="str">
        <x:v>RBI-C027</x:v>
      </x:c>
      <x:c r="D32" s="10" t="str">
        <x:v>registered falsification case is executable</x:v>
      </x:c>
      <x:c r="E32" s="10" t="str">
        <x:v>REGISTERED</x:v>
      </x:c>
      <x:c r="F32" s="12"/>
      <x:c r="G32" s="10" t="str">
        <x:f>IF(F32="","OPEN",IF(F32=E32,"PASS","FAIL"))</x:f>
        <x:v>OPEN</x:v>
      </x:c>
      <x:c r="H32" s="10" t="str">
        <x:v>class validity</x:v>
      </x:c>
    </x:row>
    <x:row r="33">
      <x:c r="A33" s="10" t="str">
        <x:v>AUD-B-028</x:v>
      </x:c>
      <x:c r="B33" s="10" t="str">
        <x:v>boundary</x:v>
      </x:c>
      <x:c r="C33" s="10" t="str">
        <x:v>RBI-C028</x:v>
      </x:c>
      <x:c r="D33" s="10" t="str">
        <x:v>registered falsification case is executable</x:v>
      </x:c>
      <x:c r="E33" s="10" t="str">
        <x:v>REGISTERED</x:v>
      </x:c>
      <x:c r="F33" s="12"/>
      <x:c r="G33" s="10" t="str">
        <x:f>IF(F33="","OPEN",IF(F33=E33,"PASS","FAIL"))</x:f>
        <x:v>OPEN</x:v>
      </x:c>
      <x:c r="H33" s="10" t="str">
        <x:v>class validity</x:v>
      </x:c>
    </x:row>
    <x:row r="34">
      <x:c r="A34" s="10" t="str">
        <x:v>AUD-B-029</x:v>
      </x:c>
      <x:c r="B34" s="10" t="str">
        <x:v>boundary</x:v>
      </x:c>
      <x:c r="C34" s="10" t="str">
        <x:v>RBI-C029</x:v>
      </x:c>
      <x:c r="D34" s="10" t="str">
        <x:v>registered falsification case is executable</x:v>
      </x:c>
      <x:c r="E34" s="10" t="str">
        <x:v>REGISTERED</x:v>
      </x:c>
      <x:c r="F34" s="12"/>
      <x:c r="G34" s="10" t="str">
        <x:f>IF(F34="","OPEN",IF(F34=E34,"PASS","FAIL"))</x:f>
        <x:v>OPEN</x:v>
      </x:c>
      <x:c r="H34" s="10" t="str">
        <x:v>class validity</x:v>
      </x:c>
    </x:row>
    <x:row r="35">
      <x:c r="A35" s="10" t="str">
        <x:v>AUD-B-030</x:v>
      </x:c>
      <x:c r="B35" s="10" t="str">
        <x:v>boundary</x:v>
      </x:c>
      <x:c r="C35" s="10" t="str">
        <x:v>RBI-C030</x:v>
      </x:c>
      <x:c r="D35" s="10" t="str">
        <x:v>registered falsification case is executable</x:v>
      </x:c>
      <x:c r="E35" s="10" t="str">
        <x:v>REGISTERED</x:v>
      </x:c>
      <x:c r="F35" s="12"/>
      <x:c r="G35" s="10" t="str">
        <x:f>IF(F35="","OPEN",IF(F35=E35,"PASS","FAIL"))</x:f>
        <x:v>OPEN</x:v>
      </x:c>
      <x:c r="H35" s="10" t="str">
        <x:v>class validity</x:v>
      </x:c>
    </x:row>
    <x:row r="36">
      <x:c r="A36" s="10" t="str">
        <x:v>AUD-B-031</x:v>
      </x:c>
      <x:c r="B36" s="10" t="str">
        <x:v>boundary</x:v>
      </x:c>
      <x:c r="C36" s="10" t="str">
        <x:v>RBI-C031</x:v>
      </x:c>
      <x:c r="D36" s="10" t="str">
        <x:v>registered falsification case is executable</x:v>
      </x:c>
      <x:c r="E36" s="10" t="str">
        <x:v>REGISTERED</x:v>
      </x:c>
      <x:c r="F36" s="12"/>
      <x:c r="G36" s="10" t="str">
        <x:f>IF(F36="","OPEN",IF(F36=E36,"PASS","FAIL"))</x:f>
        <x:v>OPEN</x:v>
      </x:c>
      <x:c r="H36" s="10" t="str">
        <x:v>class validity</x:v>
      </x:c>
    </x:row>
    <x:row r="37">
      <x:c r="A37" s="10" t="str">
        <x:v>AUD-B-032</x:v>
      </x:c>
      <x:c r="B37" s="10" t="str">
        <x:v>boundary</x:v>
      </x:c>
      <x:c r="C37" s="10" t="str">
        <x:v>RBI-C032</x:v>
      </x:c>
      <x:c r="D37" s="10" t="str">
        <x:v>registered falsification case is executable</x:v>
      </x:c>
      <x:c r="E37" s="10" t="str">
        <x:v>REGISTERED</x:v>
      </x:c>
      <x:c r="F37" s="12"/>
      <x:c r="G37" s="10" t="str">
        <x:f>IF(F37="","OPEN",IF(F37=E37,"PASS","FAIL"))</x:f>
        <x:v>OPEN</x:v>
      </x:c>
      <x:c r="H37" s="10" t="str">
        <x:v>class validity</x:v>
      </x:c>
    </x:row>
    <x:row r="38">
      <x:c r="A38" s="10" t="str">
        <x:v>AUD-B-033</x:v>
      </x:c>
      <x:c r="B38" s="10" t="str">
        <x:v>boundary</x:v>
      </x:c>
      <x:c r="C38" s="10" t="str">
        <x:v>RBI-C033</x:v>
      </x:c>
      <x:c r="D38" s="10" t="str">
        <x:v>registered falsification case is executable</x:v>
      </x:c>
      <x:c r="E38" s="10" t="str">
        <x:v>REGISTERED</x:v>
      </x:c>
      <x:c r="F38" s="12"/>
      <x:c r="G38" s="10" t="str">
        <x:f>IF(F38="","OPEN",IF(F38=E38,"PASS","FAIL"))</x:f>
        <x:v>OPEN</x:v>
      </x:c>
      <x:c r="H38" s="10" t="str">
        <x:v>class validity</x:v>
      </x:c>
    </x:row>
    <x:row r="39">
      <x:c r="A39" s="10" t="str">
        <x:v>AUD-B-034</x:v>
      </x:c>
      <x:c r="B39" s="10" t="str">
        <x:v>boundary</x:v>
      </x:c>
      <x:c r="C39" s="10" t="str">
        <x:v>RBI-C034</x:v>
      </x:c>
      <x:c r="D39" s="10" t="str">
        <x:v>registered falsification case is executable</x:v>
      </x:c>
      <x:c r="E39" s="10" t="str">
        <x:v>REGISTERED</x:v>
      </x:c>
      <x:c r="F39" s="12"/>
      <x:c r="G39" s="10" t="str">
        <x:f>IF(F39="","OPEN",IF(F39=E39,"PASS","FAIL"))</x:f>
        <x:v>OPEN</x:v>
      </x:c>
      <x:c r="H39" s="10" t="str">
        <x:v>class validity</x:v>
      </x:c>
    </x:row>
    <x:row r="40">
      <x:c r="A40" s="10" t="str">
        <x:v>AUD-B-035</x:v>
      </x:c>
      <x:c r="B40" s="10" t="str">
        <x:v>boundary</x:v>
      </x:c>
      <x:c r="C40" s="10" t="str">
        <x:v>RBI-C035</x:v>
      </x:c>
      <x:c r="D40" s="10" t="str">
        <x:v>registered falsification case is executable</x:v>
      </x:c>
      <x:c r="E40" s="10" t="str">
        <x:v>REGISTERED</x:v>
      </x:c>
      <x:c r="F40" s="12"/>
      <x:c r="G40" s="10" t="str">
        <x:f>IF(F40="","OPEN",IF(F40=E40,"PASS","FAIL"))</x:f>
        <x:v>OPEN</x:v>
      </x:c>
      <x:c r="H40" s="10" t="str">
        <x:v>class validity</x:v>
      </x:c>
    </x:row>
    <x:row r="41">
      <x:c r="A41" s="10" t="str">
        <x:v>AUD-B-036</x:v>
      </x:c>
      <x:c r="B41" s="10" t="str">
        <x:v>boundary</x:v>
      </x:c>
      <x:c r="C41" s="10" t="str">
        <x:v>RBI-C036</x:v>
      </x:c>
      <x:c r="D41" s="10" t="str">
        <x:v>registered falsification case is executable</x:v>
      </x:c>
      <x:c r="E41" s="10" t="str">
        <x:v>REGISTERED</x:v>
      </x:c>
      <x:c r="F41" s="12"/>
      <x:c r="G41" s="10" t="str">
        <x:f>IF(F41="","OPEN",IF(F41=E41,"PASS","FAIL"))</x:f>
        <x:v>OPEN</x:v>
      </x:c>
      <x:c r="H41" s="10" t="str">
        <x:v>class validity</x:v>
      </x:c>
    </x:row>
    <x:row r="42">
      <x:c r="A42" s="10" t="str">
        <x:v>AUD-B-037</x:v>
      </x:c>
      <x:c r="B42" s="10" t="str">
        <x:v>boundary</x:v>
      </x:c>
      <x:c r="C42" s="10" t="str">
        <x:v>RBI-C037</x:v>
      </x:c>
      <x:c r="D42" s="10" t="str">
        <x:v>registered falsification case is executable</x:v>
      </x:c>
      <x:c r="E42" s="10" t="str">
        <x:v>REGISTERED</x:v>
      </x:c>
      <x:c r="F42" s="12"/>
      <x:c r="G42" s="10" t="str">
        <x:f>IF(F42="","OPEN",IF(F42=E42,"PASS","FAIL"))</x:f>
        <x:v>OPEN</x:v>
      </x:c>
      <x:c r="H42" s="10" t="str">
        <x:v>class validity</x:v>
      </x:c>
    </x:row>
    <x:row r="43">
      <x:c r="A43" s="10" t="str">
        <x:v>AUD-B-038</x:v>
      </x:c>
      <x:c r="B43" s="10" t="str">
        <x:v>boundary</x:v>
      </x:c>
      <x:c r="C43" s="10" t="str">
        <x:v>RBI-C038</x:v>
      </x:c>
      <x:c r="D43" s="10" t="str">
        <x:v>registered falsification case is executable</x:v>
      </x:c>
      <x:c r="E43" s="10" t="str">
        <x:v>REGISTERED</x:v>
      </x:c>
      <x:c r="F43" s="12"/>
      <x:c r="G43" s="10" t="str">
        <x:f>IF(F43="","OPEN",IF(F43=E43,"PASS","FAIL"))</x:f>
        <x:v>OPEN</x:v>
      </x:c>
      <x:c r="H43" s="10" t="str">
        <x:v>class validity</x:v>
      </x:c>
    </x:row>
    <x:row r="44">
      <x:c r="A44" s="10" t="str">
        <x:v>AUD-B-039</x:v>
      </x:c>
      <x:c r="B44" s="10" t="str">
        <x:v>boundary</x:v>
      </x:c>
      <x:c r="C44" s="10" t="str">
        <x:v>RBI-C039</x:v>
      </x:c>
      <x:c r="D44" s="10" t="str">
        <x:v>registered falsification case is executable</x:v>
      </x:c>
      <x:c r="E44" s="10" t="str">
        <x:v>REGISTERED</x:v>
      </x:c>
      <x:c r="F44" s="12"/>
      <x:c r="G44" s="10" t="str">
        <x:f>IF(F44="","OPEN",IF(F44=E44,"PASS","FAIL"))</x:f>
        <x:v>OPEN</x:v>
      </x:c>
      <x:c r="H44" s="10" t="str">
        <x:v>class validity</x:v>
      </x:c>
    </x:row>
    <x:row r="45">
      <x:c r="A45" s="10" t="str">
        <x:v>AUD-B-040</x:v>
      </x:c>
      <x:c r="B45" s="10" t="str">
        <x:v>boundary</x:v>
      </x:c>
      <x:c r="C45" s="10" t="str">
        <x:v>RBI-C040</x:v>
      </x:c>
      <x:c r="D45" s="10" t="str">
        <x:v>registered falsification case is executable</x:v>
      </x:c>
      <x:c r="E45" s="10" t="str">
        <x:v>REGISTERED</x:v>
      </x:c>
      <x:c r="F45" s="12"/>
      <x:c r="G45" s="10" t="str">
        <x:f>IF(F45="","OPEN",IF(F45=E45,"PASS","FAIL"))</x:f>
        <x:v>OPEN</x:v>
      </x:c>
      <x:c r="H45" s="10" t="str">
        <x:v>class validity</x:v>
      </x:c>
    </x:row>
    <x:row r="46">
      <x:c r="A46" s="10" t="str">
        <x:v>AUD-B-041</x:v>
      </x:c>
      <x:c r="B46" s="10" t="str">
        <x:v>boundary</x:v>
      </x:c>
      <x:c r="C46" s="10" t="str">
        <x:v>RBI-C041</x:v>
      </x:c>
      <x:c r="D46" s="10" t="str">
        <x:v>registered falsification case is executable</x:v>
      </x:c>
      <x:c r="E46" s="10" t="str">
        <x:v>REGISTERED</x:v>
      </x:c>
      <x:c r="F46" s="12"/>
      <x:c r="G46" s="10" t="str">
        <x:f>IF(F46="","OPEN",IF(F46=E46,"PASS","FAIL"))</x:f>
        <x:v>OPEN</x:v>
      </x:c>
      <x:c r="H46" s="10" t="str">
        <x:v>class validity</x:v>
      </x:c>
    </x:row>
    <x:row r="47">
      <x:c r="A47" s="10" t="str">
        <x:v>AUD-B-042</x:v>
      </x:c>
      <x:c r="B47" s="10" t="str">
        <x:v>boundary</x:v>
      </x:c>
      <x:c r="C47" s="10" t="str">
        <x:v>RBI-C042</x:v>
      </x:c>
      <x:c r="D47" s="10" t="str">
        <x:v>registered falsification case is executable</x:v>
      </x:c>
      <x:c r="E47" s="10" t="str">
        <x:v>REGISTERED</x:v>
      </x:c>
      <x:c r="F47" s="12"/>
      <x:c r="G47" s="10" t="str">
        <x:f>IF(F47="","OPEN",IF(F47=E47,"PASS","FAIL"))</x:f>
        <x:v>OPEN</x:v>
      </x:c>
      <x:c r="H47" s="10" t="str">
        <x:v>class validity</x:v>
      </x:c>
    </x:row>
    <x:row r="48">
      <x:c r="A48" s="10" t="str">
        <x:v>AUD-B-043</x:v>
      </x:c>
      <x:c r="B48" s="10" t="str">
        <x:v>boundary</x:v>
      </x:c>
      <x:c r="C48" s="10" t="str">
        <x:v>RBI-C043</x:v>
      </x:c>
      <x:c r="D48" s="10" t="str">
        <x:v>registered falsification case is executable</x:v>
      </x:c>
      <x:c r="E48" s="10" t="str">
        <x:v>REGISTERED</x:v>
      </x:c>
      <x:c r="F48" s="12"/>
      <x:c r="G48" s="10" t="str">
        <x:f>IF(F48="","OPEN",IF(F48=E48,"PASS","FAIL"))</x:f>
        <x:v>OPEN</x:v>
      </x:c>
      <x:c r="H48" s="10" t="str">
        <x:v>class validity</x:v>
      </x:c>
    </x:row>
    <x:row r="49">
      <x:c r="A49" s="10" t="str">
        <x:v>AUD-B-044</x:v>
      </x:c>
      <x:c r="B49" s="10" t="str">
        <x:v>boundary</x:v>
      </x:c>
      <x:c r="C49" s="10" t="str">
        <x:v>RBI-C044</x:v>
      </x:c>
      <x:c r="D49" s="10" t="str">
        <x:v>registered falsification case is executable</x:v>
      </x:c>
      <x:c r="E49" s="10" t="str">
        <x:v>REGISTERED</x:v>
      </x:c>
      <x:c r="F49" s="12"/>
      <x:c r="G49" s="10" t="str">
        <x:f>IF(F49="","OPEN",IF(F49=E49,"PASS","FAIL"))</x:f>
        <x:v>OPEN</x:v>
      </x:c>
      <x:c r="H49" s="10" t="str">
        <x:v>class validity</x:v>
      </x:c>
    </x:row>
    <x:row r="50">
      <x:c r="A50" s="10" t="str">
        <x:v>AUD-B-045</x:v>
      </x:c>
      <x:c r="B50" s="10" t="str">
        <x:v>boundary</x:v>
      </x:c>
      <x:c r="C50" s="10" t="str">
        <x:v>RBI-C045</x:v>
      </x:c>
      <x:c r="D50" s="10" t="str">
        <x:v>registered falsification case is executable</x:v>
      </x:c>
      <x:c r="E50" s="10" t="str">
        <x:v>REGISTERED</x:v>
      </x:c>
      <x:c r="F50" s="12"/>
      <x:c r="G50" s="10" t="str">
        <x:f>IF(F50="","OPEN",IF(F50=E50,"PASS","FAIL"))</x:f>
        <x:v>OPEN</x:v>
      </x:c>
      <x:c r="H50" s="10" t="str">
        <x:v>class validity</x:v>
      </x:c>
    </x:row>
    <x:row r="51">
      <x:c r="A51" s="10" t="str">
        <x:v>AUD-B-046</x:v>
      </x:c>
      <x:c r="B51" s="10" t="str">
        <x:v>boundary</x:v>
      </x:c>
      <x:c r="C51" s="10" t="str">
        <x:v>RBI-C046</x:v>
      </x:c>
      <x:c r="D51" s="10" t="str">
        <x:v>registered falsification case is executable</x:v>
      </x:c>
      <x:c r="E51" s="10" t="str">
        <x:v>REGISTERED</x:v>
      </x:c>
      <x:c r="F51" s="12"/>
      <x:c r="G51" s="10" t="str">
        <x:f>IF(F51="","OPEN",IF(F51=E51,"PASS","FAIL"))</x:f>
        <x:v>OPEN</x:v>
      </x:c>
      <x:c r="H51" s="10" t="str">
        <x:v>class validity</x:v>
      </x:c>
    </x:row>
    <x:row r="52">
      <x:c r="A52" s="10" t="str">
        <x:v>AUD-B-047</x:v>
      </x:c>
      <x:c r="B52" s="10" t="str">
        <x:v>boundary</x:v>
      </x:c>
      <x:c r="C52" s="10" t="str">
        <x:v>RBI-C047</x:v>
      </x:c>
      <x:c r="D52" s="10" t="str">
        <x:v>registered falsification case is executable</x:v>
      </x:c>
      <x:c r="E52" s="10" t="str">
        <x:v>REGISTERED</x:v>
      </x:c>
      <x:c r="F52" s="12"/>
      <x:c r="G52" s="10" t="str">
        <x:f>IF(F52="","OPEN",IF(F52=E52,"PASS","FAIL"))</x:f>
        <x:v>OPEN</x:v>
      </x:c>
      <x:c r="H52" s="10" t="str">
        <x:v>class validity</x:v>
      </x:c>
    </x:row>
    <x:row r="53">
      <x:c r="A53" s="10" t="str">
        <x:v>AUD-B-048</x:v>
      </x:c>
      <x:c r="B53" s="10" t="str">
        <x:v>boundary</x:v>
      </x:c>
      <x:c r="C53" s="10" t="str">
        <x:v>RBI-C048</x:v>
      </x:c>
      <x:c r="D53" s="10" t="str">
        <x:v>registered falsification case is executable</x:v>
      </x:c>
      <x:c r="E53" s="10" t="str">
        <x:v>REGISTERED</x:v>
      </x:c>
      <x:c r="F53" s="12"/>
      <x:c r="G53" s="10" t="str">
        <x:f>IF(F53="","OPEN",IF(F53=E53,"PASS","FAIL"))</x:f>
        <x:v>OPEN</x:v>
      </x:c>
      <x:c r="H53" s="10" t="str">
        <x:v>class validity</x:v>
      </x:c>
    </x:row>
    <x:row r="54">
      <x:c r="A54" s="10" t="str">
        <x:v>AUD-B-049</x:v>
      </x:c>
      <x:c r="B54" s="10" t="str">
        <x:v>boundary</x:v>
      </x:c>
      <x:c r="C54" s="10" t="str">
        <x:v>RBI-C049</x:v>
      </x:c>
      <x:c r="D54" s="10" t="str">
        <x:v>registered falsification case is executable</x:v>
      </x:c>
      <x:c r="E54" s="10" t="str">
        <x:v>REGISTERED</x:v>
      </x:c>
      <x:c r="F54" s="12"/>
      <x:c r="G54" s="10" t="str">
        <x:f>IF(F54="","OPEN",IF(F54=E54,"PASS","FAIL"))</x:f>
        <x:v>OPEN</x:v>
      </x:c>
      <x:c r="H54" s="10" t="str">
        <x:v>class validity</x:v>
      </x:c>
    </x:row>
    <x:row r="55">
      <x:c r="A55" s="10" t="str">
        <x:v>AUD-B-050</x:v>
      </x:c>
      <x:c r="B55" s="10" t="str">
        <x:v>boundary</x:v>
      </x:c>
      <x:c r="C55" s="10" t="str">
        <x:v>RBI-C050</x:v>
      </x:c>
      <x:c r="D55" s="10" t="str">
        <x:v>registered falsification case is executable</x:v>
      </x:c>
      <x:c r="E55" s="10" t="str">
        <x:v>REGISTERED</x:v>
      </x:c>
      <x:c r="F55" s="12"/>
      <x:c r="G55" s="10" t="str">
        <x:f>IF(F55="","OPEN",IF(F55=E55,"PASS","FAIL"))</x:f>
        <x:v>OPEN</x:v>
      </x:c>
      <x:c r="H55" s="10" t="str">
        <x:v>class validity</x:v>
      </x:c>
    </x:row>
    <x:row r="56">
      <x:c r="A56" s="10" t="str">
        <x:v>AUD-B-051</x:v>
      </x:c>
      <x:c r="B56" s="10" t="str">
        <x:v>boundary</x:v>
      </x:c>
      <x:c r="C56" s="10" t="str">
        <x:v>RBI-C051</x:v>
      </x:c>
      <x:c r="D56" s="10" t="str">
        <x:v>registered falsification case is executable</x:v>
      </x:c>
      <x:c r="E56" s="10" t="str">
        <x:v>REGISTERED</x:v>
      </x:c>
      <x:c r="F56" s="12"/>
      <x:c r="G56" s="10" t="str">
        <x:f>IF(F56="","OPEN",IF(F56=E56,"PASS","FAIL"))</x:f>
        <x:v>OPEN</x:v>
      </x:c>
      <x:c r="H56" s="10" t="str">
        <x:v>class validity</x:v>
      </x:c>
    </x:row>
    <x:row r="57">
      <x:c r="A57" s="10" t="str">
        <x:v>AUD-B-052</x:v>
      </x:c>
      <x:c r="B57" s="10" t="str">
        <x:v>boundary</x:v>
      </x:c>
      <x:c r="C57" s="10" t="str">
        <x:v>RBI-C052</x:v>
      </x:c>
      <x:c r="D57" s="10" t="str">
        <x:v>registered falsification case is executable</x:v>
      </x:c>
      <x:c r="E57" s="10" t="str">
        <x:v>REGISTERED</x:v>
      </x:c>
      <x:c r="F57" s="12"/>
      <x:c r="G57" s="10" t="str">
        <x:f>IF(F57="","OPEN",IF(F57=E57,"PASS","FAIL"))</x:f>
        <x:v>OPEN</x:v>
      </x:c>
      <x:c r="H57" s="10" t="str">
        <x:v>class validity</x:v>
      </x:c>
    </x:row>
    <x:row r="58">
      <x:c r="A58" s="10" t="str">
        <x:v>AUD-B-053</x:v>
      </x:c>
      <x:c r="B58" s="10" t="str">
        <x:v>boundary</x:v>
      </x:c>
      <x:c r="C58" s="10" t="str">
        <x:v>RBI-C053</x:v>
      </x:c>
      <x:c r="D58" s="10" t="str">
        <x:v>registered falsification case is executable</x:v>
      </x:c>
      <x:c r="E58" s="10" t="str">
        <x:v>REGISTERED</x:v>
      </x:c>
      <x:c r="F58" s="12"/>
      <x:c r="G58" s="10" t="str">
        <x:f>IF(F58="","OPEN",IF(F58=E58,"PASS","FAIL"))</x:f>
        <x:v>OPEN</x:v>
      </x:c>
      <x:c r="H58" s="10" t="str">
        <x:v>class validity</x:v>
      </x:c>
    </x:row>
    <x:row r="59">
      <x:c r="A59" s="10" t="str">
        <x:v>AUD-B-054</x:v>
      </x:c>
      <x:c r="B59" s="10" t="str">
        <x:v>boundary</x:v>
      </x:c>
      <x:c r="C59" s="10" t="str">
        <x:v>RBI-C054</x:v>
      </x:c>
      <x:c r="D59" s="10" t="str">
        <x:v>registered falsification case is executable</x:v>
      </x:c>
      <x:c r="E59" s="10" t="str">
        <x:v>REGISTERED</x:v>
      </x:c>
      <x:c r="F59" s="12"/>
      <x:c r="G59" s="10" t="str">
        <x:f>IF(F59="","OPEN",IF(F59=E59,"PASS","FAIL"))</x:f>
        <x:v>OPEN</x:v>
      </x:c>
      <x:c r="H59" s="10" t="str">
        <x:v>class validity</x:v>
      </x:c>
    </x:row>
    <x:row r="60">
      <x:c r="A60" s="10" t="str">
        <x:v>AUD-B-055</x:v>
      </x:c>
      <x:c r="B60" s="10" t="str">
        <x:v>boundary</x:v>
      </x:c>
      <x:c r="C60" s="10" t="str">
        <x:v>RBI-C055</x:v>
      </x:c>
      <x:c r="D60" s="10" t="str">
        <x:v>registered falsification case is executable</x:v>
      </x:c>
      <x:c r="E60" s="10" t="str">
        <x:v>REGISTERED</x:v>
      </x:c>
      <x:c r="F60" s="12"/>
      <x:c r="G60" s="10" t="str">
        <x:f>IF(F60="","OPEN",IF(F60=E60,"PASS","FAIL"))</x:f>
        <x:v>OPEN</x:v>
      </x:c>
      <x:c r="H60" s="10" t="str">
        <x:v>class validity</x:v>
      </x:c>
    </x:row>
    <x:row r="61">
      <x:c r="A61" s="10" t="str">
        <x:v>AUD-B-056</x:v>
      </x:c>
      <x:c r="B61" s="10" t="str">
        <x:v>boundary</x:v>
      </x:c>
      <x:c r="C61" s="10" t="str">
        <x:v>RBI-C056</x:v>
      </x:c>
      <x:c r="D61" s="10" t="str">
        <x:v>registered falsification case is executable</x:v>
      </x:c>
      <x:c r="E61" s="10" t="str">
        <x:v>REGISTERED</x:v>
      </x:c>
      <x:c r="F61" s="12"/>
      <x:c r="G61" s="10" t="str">
        <x:f>IF(F61="","OPEN",IF(F61=E61,"PASS","FAIL"))</x:f>
        <x:v>OPEN</x:v>
      </x:c>
      <x:c r="H61" s="10" t="str">
        <x:v>class validity</x:v>
      </x:c>
    </x:row>
    <x:row r="62">
      <x:c r="A62" s="10" t="str">
        <x:v>AUD-B-057</x:v>
      </x:c>
      <x:c r="B62" s="10" t="str">
        <x:v>boundary</x:v>
      </x:c>
      <x:c r="C62" s="10" t="str">
        <x:v>RBI-C057</x:v>
      </x:c>
      <x:c r="D62" s="10" t="str">
        <x:v>registered falsification case is executable</x:v>
      </x:c>
      <x:c r="E62" s="10" t="str">
        <x:v>REGISTERED</x:v>
      </x:c>
      <x:c r="F62" s="12"/>
      <x:c r="G62" s="10" t="str">
        <x:f>IF(F62="","OPEN",IF(F62=E62,"PASS","FAIL"))</x:f>
        <x:v>OPEN</x:v>
      </x:c>
      <x:c r="H62" s="10" t="str">
        <x:v>class validity</x:v>
      </x:c>
    </x:row>
    <x:row r="63">
      <x:c r="A63" s="10" t="str">
        <x:v>AUD-B-058</x:v>
      </x:c>
      <x:c r="B63" s="10" t="str">
        <x:v>boundary</x:v>
      </x:c>
      <x:c r="C63" s="10" t="str">
        <x:v>RBI-C058</x:v>
      </x:c>
      <x:c r="D63" s="10" t="str">
        <x:v>registered falsification case is executable</x:v>
      </x:c>
      <x:c r="E63" s="10" t="str">
        <x:v>REGISTERED</x:v>
      </x:c>
      <x:c r="F63" s="12"/>
      <x:c r="G63" s="10" t="str">
        <x:f>IF(F63="","OPEN",IF(F63=E63,"PASS","FAIL"))</x:f>
        <x:v>OPEN</x:v>
      </x:c>
      <x:c r="H63" s="10" t="str">
        <x:v>class validity</x:v>
      </x:c>
    </x:row>
    <x:row r="64">
      <x:c r="A64" s="10" t="str">
        <x:v>AUD-B-059</x:v>
      </x:c>
      <x:c r="B64" s="10" t="str">
        <x:v>boundary</x:v>
      </x:c>
      <x:c r="C64" s="10" t="str">
        <x:v>RBI-C059</x:v>
      </x:c>
      <x:c r="D64" s="10" t="str">
        <x:v>registered falsification case is executable</x:v>
      </x:c>
      <x:c r="E64" s="10" t="str">
        <x:v>REGISTERED</x:v>
      </x:c>
      <x:c r="F64" s="12"/>
      <x:c r="G64" s="10" t="str">
        <x:f>IF(F64="","OPEN",IF(F64=E64,"PASS","FAIL"))</x:f>
        <x:v>OPEN</x:v>
      </x:c>
      <x:c r="H64" s="10" t="str">
        <x:v>class validity</x:v>
      </x:c>
    </x:row>
    <x:row r="65">
      <x:c r="A65" s="10" t="str">
        <x:v>AUD-B-060</x:v>
      </x:c>
      <x:c r="B65" s="10" t="str">
        <x:v>boundary</x:v>
      </x:c>
      <x:c r="C65" s="10" t="str">
        <x:v>RBI-C060</x:v>
      </x:c>
      <x:c r="D65" s="10" t="str">
        <x:v>registered falsification case is executable</x:v>
      </x:c>
      <x:c r="E65" s="10" t="str">
        <x:v>REGISTERED</x:v>
      </x:c>
      <x:c r="F65" s="12"/>
      <x:c r="G65" s="10" t="str">
        <x:f>IF(F65="","OPEN",IF(F65=E65,"PASS","FAIL"))</x:f>
        <x:v>OPEN</x:v>
      </x:c>
      <x:c r="H65" s="10" t="str">
        <x:v>class validity</x:v>
      </x:c>
    </x:row>
    <x:row r="66">
      <x:c r="A66" s="10" t="str">
        <x:v>AUD-B-061</x:v>
      </x:c>
      <x:c r="B66" s="10" t="str">
        <x:v>boundary</x:v>
      </x:c>
      <x:c r="C66" s="10" t="str">
        <x:v>RBI-C061</x:v>
      </x:c>
      <x:c r="D66" s="10" t="str">
        <x:v>registered falsification case is executable</x:v>
      </x:c>
      <x:c r="E66" s="10" t="str">
        <x:v>REGISTERED</x:v>
      </x:c>
      <x:c r="F66" s="12"/>
      <x:c r="G66" s="10" t="str">
        <x:f>IF(F66="","OPEN",IF(F66=E66,"PASS","FAIL"))</x:f>
        <x:v>OPEN</x:v>
      </x:c>
      <x:c r="H66" s="10" t="str">
        <x:v>class validity</x:v>
      </x:c>
    </x:row>
    <x:row r="67">
      <x:c r="A67" s="10" t="str">
        <x:v>AUD-B-062</x:v>
      </x:c>
      <x:c r="B67" s="10" t="str">
        <x:v>boundary</x:v>
      </x:c>
      <x:c r="C67" s="10" t="str">
        <x:v>RBI-C062</x:v>
      </x:c>
      <x:c r="D67" s="10" t="str">
        <x:v>registered falsification case is executable</x:v>
      </x:c>
      <x:c r="E67" s="10" t="str">
        <x:v>REGISTERED</x:v>
      </x:c>
      <x:c r="F67" s="12"/>
      <x:c r="G67" s="10" t="str">
        <x:f>IF(F67="","OPEN",IF(F67=E67,"PASS","FAIL"))</x:f>
        <x:v>OPEN</x:v>
      </x:c>
      <x:c r="H67" s="10" t="str">
        <x:v>class validity</x:v>
      </x:c>
    </x:row>
    <x:row r="68">
      <x:c r="A68" s="10" t="str">
        <x:v>AUD-B-063</x:v>
      </x:c>
      <x:c r="B68" s="10" t="str">
        <x:v>boundary</x:v>
      </x:c>
      <x:c r="C68" s="10" t="str">
        <x:v>RBI-C063</x:v>
      </x:c>
      <x:c r="D68" s="10" t="str">
        <x:v>registered falsification case is executable</x:v>
      </x:c>
      <x:c r="E68" s="10" t="str">
        <x:v>REGISTERED</x:v>
      </x:c>
      <x:c r="F68" s="12"/>
      <x:c r="G68" s="10" t="str">
        <x:f>IF(F68="","OPEN",IF(F68=E68,"PASS","FAIL"))</x:f>
        <x:v>OPEN</x:v>
      </x:c>
      <x:c r="H68" s="10" t="str">
        <x:v>class validity</x:v>
      </x:c>
    </x:row>
    <x:row r="69">
      <x:c r="A69" s="10" t="str">
        <x:v>AUD-B-064</x:v>
      </x:c>
      <x:c r="B69" s="10" t="str">
        <x:v>boundary</x:v>
      </x:c>
      <x:c r="C69" s="10" t="str">
        <x:v>RBI-C064</x:v>
      </x:c>
      <x:c r="D69" s="10" t="str">
        <x:v>registered falsification case is executable</x:v>
      </x:c>
      <x:c r="E69" s="10" t="str">
        <x:v>REGISTERED</x:v>
      </x:c>
      <x:c r="F69" s="12"/>
      <x:c r="G69" s="10" t="str">
        <x:f>IF(F69="","OPEN",IF(F69=E69,"PASS","FAIL"))</x:f>
        <x:v>OPEN</x:v>
      </x:c>
      <x:c r="H69" s="10" t="str">
        <x:v>class validity</x:v>
      </x:c>
    </x:row>
    <x:row r="70">
      <x:c r="A70" s="10" t="str">
        <x:v>AUD-B-065</x:v>
      </x:c>
      <x:c r="B70" s="10" t="str">
        <x:v>boundary</x:v>
      </x:c>
      <x:c r="C70" s="10" t="str">
        <x:v>RBI-C065</x:v>
      </x:c>
      <x:c r="D70" s="10" t="str">
        <x:v>registered falsification case is executable</x:v>
      </x:c>
      <x:c r="E70" s="10" t="str">
        <x:v>REGISTERED</x:v>
      </x:c>
      <x:c r="F70" s="12"/>
      <x:c r="G70" s="10" t="str">
        <x:f>IF(F70="","OPEN",IF(F70=E70,"PASS","FAIL"))</x:f>
        <x:v>OPEN</x:v>
      </x:c>
      <x:c r="H70" s="10" t="str">
        <x:v>class validity</x:v>
      </x:c>
    </x:row>
    <x:row r="71">
      <x:c r="A71" s="10" t="str">
        <x:v>AUD-B-066</x:v>
      </x:c>
      <x:c r="B71" s="10" t="str">
        <x:v>boundary</x:v>
      </x:c>
      <x:c r="C71" s="10" t="str">
        <x:v>RBI-C066</x:v>
      </x:c>
      <x:c r="D71" s="10" t="str">
        <x:v>registered falsification case is executable</x:v>
      </x:c>
      <x:c r="E71" s="10" t="str">
        <x:v>REGISTERED</x:v>
      </x:c>
      <x:c r="F71" s="12"/>
      <x:c r="G71" s="10" t="str">
        <x:f>IF(F71="","OPEN",IF(F71=E71,"PASS","FAIL"))</x:f>
        <x:v>OPEN</x:v>
      </x:c>
      <x:c r="H71" s="10" t="str">
        <x:v>class validity</x:v>
      </x:c>
    </x:row>
    <x:row r="72">
      <x:c r="A72" s="10" t="str">
        <x:v>AUD-B-067</x:v>
      </x:c>
      <x:c r="B72" s="10" t="str">
        <x:v>boundary</x:v>
      </x:c>
      <x:c r="C72" s="10" t="str">
        <x:v>RBI-C067</x:v>
      </x:c>
      <x:c r="D72" s="10" t="str">
        <x:v>registered falsification case is executable</x:v>
      </x:c>
      <x:c r="E72" s="10" t="str">
        <x:v>REGISTERED</x:v>
      </x:c>
      <x:c r="F72" s="12"/>
      <x:c r="G72" s="10" t="str">
        <x:f>IF(F72="","OPEN",IF(F72=E72,"PASS","FAIL"))</x:f>
        <x:v>OPEN</x:v>
      </x:c>
      <x:c r="H72" s="10" t="str">
        <x:v>class validity</x:v>
      </x:c>
    </x:row>
    <x:row r="73">
      <x:c r="A73" s="10" t="str">
        <x:v>AUD-B-068</x:v>
      </x:c>
      <x:c r="B73" s="10" t="str">
        <x:v>boundary</x:v>
      </x:c>
      <x:c r="C73" s="10" t="str">
        <x:v>RBI-C068</x:v>
      </x:c>
      <x:c r="D73" s="10" t="str">
        <x:v>registered falsification case is executable</x:v>
      </x:c>
      <x:c r="E73" s="10" t="str">
        <x:v>REGISTERED</x:v>
      </x:c>
      <x:c r="F73" s="12"/>
      <x:c r="G73" s="10" t="str">
        <x:f>IF(F73="","OPEN",IF(F73=E73,"PASS","FAIL"))</x:f>
        <x:v>OPEN</x:v>
      </x:c>
      <x:c r="H73" s="10" t="str">
        <x:v>class validity</x:v>
      </x:c>
    </x:row>
    <x:row r="74">
      <x:c r="A74" s="10" t="str">
        <x:v>AUD-B-069</x:v>
      </x:c>
      <x:c r="B74" s="10" t="str">
        <x:v>boundary</x:v>
      </x:c>
      <x:c r="C74" s="10" t="str">
        <x:v>RBI-C069</x:v>
      </x:c>
      <x:c r="D74" s="10" t="str">
        <x:v>registered falsification case is executable</x:v>
      </x:c>
      <x:c r="E74" s="10" t="str">
        <x:v>REGISTERED</x:v>
      </x:c>
      <x:c r="F74" s="12"/>
      <x:c r="G74" s="10" t="str">
        <x:f>IF(F74="","OPEN",IF(F74=E74,"PASS","FAIL"))</x:f>
        <x:v>OPEN</x:v>
      </x:c>
      <x:c r="H74" s="10" t="str">
        <x:v>class validity</x:v>
      </x:c>
    </x:row>
    <x:row r="75">
      <x:c r="A75" s="10" t="str">
        <x:v>AUD-B-070</x:v>
      </x:c>
      <x:c r="B75" s="10" t="str">
        <x:v>boundary</x:v>
      </x:c>
      <x:c r="C75" s="10" t="str">
        <x:v>RBI-C070</x:v>
      </x:c>
      <x:c r="D75" s="10" t="str">
        <x:v>registered falsification case is executable</x:v>
      </x:c>
      <x:c r="E75" s="10" t="str">
        <x:v>REGISTERED</x:v>
      </x:c>
      <x:c r="F75" s="12"/>
      <x:c r="G75" s="10" t="str">
        <x:f>IF(F75="","OPEN",IF(F75=E75,"PASS","FAIL"))</x:f>
        <x:v>OPEN</x:v>
      </x:c>
      <x:c r="H75" s="10" t="str">
        <x:v>class validity</x:v>
      </x:c>
    </x:row>
    <x:row r="76">
      <x:c r="A76" s="10" t="str">
        <x:v>AUD-B-071</x:v>
      </x:c>
      <x:c r="B76" s="10" t="str">
        <x:v>boundary</x:v>
      </x:c>
      <x:c r="C76" s="10" t="str">
        <x:v>RBI-C071</x:v>
      </x:c>
      <x:c r="D76" s="10" t="str">
        <x:v>registered falsification case is executable</x:v>
      </x:c>
      <x:c r="E76" s="10" t="str">
        <x:v>REGISTERED</x:v>
      </x:c>
      <x:c r="F76" s="12"/>
      <x:c r="G76" s="10" t="str">
        <x:f>IF(F76="","OPEN",IF(F76=E76,"PASS","FAIL"))</x:f>
        <x:v>OPEN</x:v>
      </x:c>
      <x:c r="H76" s="10" t="str">
        <x:v>class validity</x:v>
      </x:c>
    </x:row>
    <x:row r="77">
      <x:c r="A77" s="10" t="str">
        <x:v>AUD-B-072</x:v>
      </x:c>
      <x:c r="B77" s="10" t="str">
        <x:v>boundary</x:v>
      </x:c>
      <x:c r="C77" s="10" t="str">
        <x:v>RBI-C072</x:v>
      </x:c>
      <x:c r="D77" s="10" t="str">
        <x:v>registered falsification case is executable</x:v>
      </x:c>
      <x:c r="E77" s="10" t="str">
        <x:v>REGISTERED</x:v>
      </x:c>
      <x:c r="F77" s="12"/>
      <x:c r="G77" s="10" t="str">
        <x:f>IF(F77="","OPEN",IF(F77=E77,"PASS","FAIL"))</x:f>
        <x:v>OPEN</x:v>
      </x:c>
      <x:c r="H77" s="10" t="str">
        <x:v>class validity</x:v>
      </x:c>
    </x:row>
    <x:row r="78">
      <x:c r="A78" s="10" t="str">
        <x:v>AUD-B-073</x:v>
      </x:c>
      <x:c r="B78" s="10" t="str">
        <x:v>boundary</x:v>
      </x:c>
      <x:c r="C78" s="10" t="str">
        <x:v>RBI-C073</x:v>
      </x:c>
      <x:c r="D78" s="10" t="str">
        <x:v>registered falsification case is executable</x:v>
      </x:c>
      <x:c r="E78" s="10" t="str">
        <x:v>REGISTERED</x:v>
      </x:c>
      <x:c r="F78" s="12"/>
      <x:c r="G78" s="10" t="str">
        <x:f>IF(F78="","OPEN",IF(F78=E78,"PASS","FAIL"))</x:f>
        <x:v>OPEN</x:v>
      </x:c>
      <x:c r="H78" s="10" t="str">
        <x:v>class validity</x:v>
      </x:c>
    </x:row>
    <x:row r="79">
      <x:c r="A79" s="10" t="str">
        <x:v>AUD-B-074</x:v>
      </x:c>
      <x:c r="B79" s="10" t="str">
        <x:v>boundary</x:v>
      </x:c>
      <x:c r="C79" s="10" t="str">
        <x:v>RBI-C074</x:v>
      </x:c>
      <x:c r="D79" s="10" t="str">
        <x:v>registered falsification case is executable</x:v>
      </x:c>
      <x:c r="E79" s="10" t="str">
        <x:v>REGISTERED</x:v>
      </x:c>
      <x:c r="F79" s="12"/>
      <x:c r="G79" s="10" t="str">
        <x:f>IF(F79="","OPEN",IF(F79=E79,"PASS","FAIL"))</x:f>
        <x:v>OPEN</x:v>
      </x:c>
      <x:c r="H79" s="10" t="str">
        <x:v>class validity</x:v>
      </x:c>
    </x:row>
    <x:row r="80">
      <x:c r="A80" s="10" t="str">
        <x:v>AUD-B-075</x:v>
      </x:c>
      <x:c r="B80" s="10" t="str">
        <x:v>boundary</x:v>
      </x:c>
      <x:c r="C80" s="10" t="str">
        <x:v>RBI-C075</x:v>
      </x:c>
      <x:c r="D80" s="10" t="str">
        <x:v>registered falsification case is executable</x:v>
      </x:c>
      <x:c r="E80" s="10" t="str">
        <x:v>REGISTERED</x:v>
      </x:c>
      <x:c r="F80" s="12"/>
      <x:c r="G80" s="10" t="str">
        <x:f>IF(F80="","OPEN",IF(F80=E80,"PASS","FAIL"))</x:f>
        <x:v>OPEN</x:v>
      </x:c>
      <x:c r="H80" s="10" t="str">
        <x:v>class validity</x:v>
      </x:c>
    </x:row>
    <x:row r="81">
      <x:c r="A81" s="10" t="str">
        <x:v>AUD-B-076</x:v>
      </x:c>
      <x:c r="B81" s="10" t="str">
        <x:v>boundary</x:v>
      </x:c>
      <x:c r="C81" s="10" t="str">
        <x:v>RBI-C076</x:v>
      </x:c>
      <x:c r="D81" s="10" t="str">
        <x:v>registered falsification case is executable</x:v>
      </x:c>
      <x:c r="E81" s="10" t="str">
        <x:v>REGISTERED</x:v>
      </x:c>
      <x:c r="F81" s="12"/>
      <x:c r="G81" s="10" t="str">
        <x:f>IF(F81="","OPEN",IF(F81=E81,"PASS","FAIL"))</x:f>
        <x:v>OPEN</x:v>
      </x:c>
      <x:c r="H81" s="10" t="str">
        <x:v>class validity</x:v>
      </x:c>
    </x:row>
    <x:row r="82">
      <x:c r="A82" s="10" t="str">
        <x:v>AUD-B-077</x:v>
      </x:c>
      <x:c r="B82" s="10" t="str">
        <x:v>boundary</x:v>
      </x:c>
      <x:c r="C82" s="10" t="str">
        <x:v>RBI-C077</x:v>
      </x:c>
      <x:c r="D82" s="10" t="str">
        <x:v>registered falsification case is executable</x:v>
      </x:c>
      <x:c r="E82" s="10" t="str">
        <x:v>REGISTERED</x:v>
      </x:c>
      <x:c r="F82" s="12"/>
      <x:c r="G82" s="10" t="str">
        <x:f>IF(F82="","OPEN",IF(F82=E82,"PASS","FAIL"))</x:f>
        <x:v>OPEN</x:v>
      </x:c>
      <x:c r="H82" s="10" t="str">
        <x:v>class validity</x:v>
      </x:c>
    </x:row>
    <x:row r="83">
      <x:c r="A83" s="10" t="str">
        <x:v>AUD-B-078</x:v>
      </x:c>
      <x:c r="B83" s="10" t="str">
        <x:v>boundary</x:v>
      </x:c>
      <x:c r="C83" s="10" t="str">
        <x:v>RBI-C078</x:v>
      </x:c>
      <x:c r="D83" s="10" t="str">
        <x:v>registered falsification case is executable</x:v>
      </x:c>
      <x:c r="E83" s="10" t="str">
        <x:v>REGISTERED</x:v>
      </x:c>
      <x:c r="F83" s="12"/>
      <x:c r="G83" s="10" t="str">
        <x:f>IF(F83="","OPEN",IF(F83=E83,"PASS","FAIL"))</x:f>
        <x:v>OPEN</x:v>
      </x:c>
      <x:c r="H83" s="10" t="str">
        <x:v>class validity</x:v>
      </x:c>
    </x:row>
    <x:row r="84">
      <x:c r="A84" s="10" t="str">
        <x:v>AUD-B-079</x:v>
      </x:c>
      <x:c r="B84" s="10" t="str">
        <x:v>boundary</x:v>
      </x:c>
      <x:c r="C84" s="10" t="str">
        <x:v>RBI-C079</x:v>
      </x:c>
      <x:c r="D84" s="10" t="str">
        <x:v>registered falsification case is executable</x:v>
      </x:c>
      <x:c r="E84" s="10" t="str">
        <x:v>REGISTERED</x:v>
      </x:c>
      <x:c r="F84" s="12"/>
      <x:c r="G84" s="10" t="str">
        <x:f>IF(F84="","OPEN",IF(F84=E84,"PASS","FAIL"))</x:f>
        <x:v>OPEN</x:v>
      </x:c>
      <x:c r="H84" s="10" t="str">
        <x:v>class validity</x:v>
      </x:c>
    </x:row>
    <x:row r="85">
      <x:c r="A85" s="10" t="str">
        <x:v>AUD-B-080</x:v>
      </x:c>
      <x:c r="B85" s="10" t="str">
        <x:v>boundary</x:v>
      </x:c>
      <x:c r="C85" s="10" t="str">
        <x:v>RBI-C080</x:v>
      </x:c>
      <x:c r="D85" s="10" t="str">
        <x:v>registered falsification case is executable</x:v>
      </x:c>
      <x:c r="E85" s="10" t="str">
        <x:v>REGISTERED</x:v>
      </x:c>
      <x:c r="F85" s="12"/>
      <x:c r="G85" s="10" t="str">
        <x:f>IF(F85="","OPEN",IF(F85=E85,"PASS","FAIL"))</x:f>
        <x:v>OPEN</x:v>
      </x:c>
      <x:c r="H85" s="10" t="str">
        <x:v>class validity</x:v>
      </x:c>
    </x:row>
    <x:row r="86">
      <x:c r="A86" s="10" t="str">
        <x:v>AUD-B-081</x:v>
      </x:c>
      <x:c r="B86" s="10" t="str">
        <x:v>boundary</x:v>
      </x:c>
      <x:c r="C86" s="10" t="str">
        <x:v>RBI-C081</x:v>
      </x:c>
      <x:c r="D86" s="10" t="str">
        <x:v>registered falsification case is executable</x:v>
      </x:c>
      <x:c r="E86" s="10" t="str">
        <x:v>REGISTERED</x:v>
      </x:c>
      <x:c r="F86" s="12"/>
      <x:c r="G86" s="10" t="str">
        <x:f>IF(F86="","OPEN",IF(F86=E86,"PASS","FAIL"))</x:f>
        <x:v>OPEN</x:v>
      </x:c>
      <x:c r="H86" s="10" t="str">
        <x:v>class validity</x:v>
      </x:c>
    </x:row>
    <x:row r="87">
      <x:c r="A87" s="10" t="str">
        <x:v>AUD-B-082</x:v>
      </x:c>
      <x:c r="B87" s="10" t="str">
        <x:v>boundary</x:v>
      </x:c>
      <x:c r="C87" s="10" t="str">
        <x:v>RBI-C082</x:v>
      </x:c>
      <x:c r="D87" s="10" t="str">
        <x:v>registered falsification case is executable</x:v>
      </x:c>
      <x:c r="E87" s="10" t="str">
        <x:v>REGISTERED</x:v>
      </x:c>
      <x:c r="F87" s="12"/>
      <x:c r="G87" s="10" t="str">
        <x:f>IF(F87="","OPEN",IF(F87=E87,"PASS","FAIL"))</x:f>
        <x:v>OPEN</x:v>
      </x:c>
      <x:c r="H87" s="10" t="str">
        <x:v>class validity</x:v>
      </x:c>
    </x:row>
    <x:row r="88">
      <x:c r="A88" s="10" t="str">
        <x:v>AUD-B-083</x:v>
      </x:c>
      <x:c r="B88" s="10" t="str">
        <x:v>boundary</x:v>
      </x:c>
      <x:c r="C88" s="10" t="str">
        <x:v>RBI-C083</x:v>
      </x:c>
      <x:c r="D88" s="10" t="str">
        <x:v>registered falsification case is executable</x:v>
      </x:c>
      <x:c r="E88" s="10" t="str">
        <x:v>REGISTERED</x:v>
      </x:c>
      <x:c r="F88" s="12"/>
      <x:c r="G88" s="10" t="str">
        <x:f>IF(F88="","OPEN",IF(F88=E88,"PASS","FAIL"))</x:f>
        <x:v>OPEN</x:v>
      </x:c>
      <x:c r="H88" s="10" t="str">
        <x:v>class validity</x:v>
      </x:c>
    </x:row>
    <x:row r="89">
      <x:c r="A89" s="10" t="str">
        <x:v>AUD-B-084</x:v>
      </x:c>
      <x:c r="B89" s="10" t="str">
        <x:v>boundary</x:v>
      </x:c>
      <x:c r="C89" s="10" t="str">
        <x:v>RBI-C084</x:v>
      </x:c>
      <x:c r="D89" s="10" t="str">
        <x:v>registered falsification case is executable</x:v>
      </x:c>
      <x:c r="E89" s="10" t="str">
        <x:v>REGISTERED</x:v>
      </x:c>
      <x:c r="F89" s="12"/>
      <x:c r="G89" s="10" t="str">
        <x:f>IF(F89="","OPEN",IF(F89=E89,"PASS","FAIL"))</x:f>
        <x:v>OPEN</x:v>
      </x:c>
      <x:c r="H89" s="10" t="str">
        <x:v>class validity</x:v>
      </x:c>
    </x:row>
    <x:row r="90">
      <x:c r="A90" s="10" t="str">
        <x:v>AUD-B-085</x:v>
      </x:c>
      <x:c r="B90" s="10" t="str">
        <x:v>boundary</x:v>
      </x:c>
      <x:c r="C90" s="10" t="str">
        <x:v>RBI-C085</x:v>
      </x:c>
      <x:c r="D90" s="10" t="str">
        <x:v>registered falsification case is executable</x:v>
      </x:c>
      <x:c r="E90" s="10" t="str">
        <x:v>REGISTERED</x:v>
      </x:c>
      <x:c r="F90" s="12"/>
      <x:c r="G90" s="10" t="str">
        <x:f>IF(F90="","OPEN",IF(F90=E90,"PASS","FAIL"))</x:f>
        <x:v>OPEN</x:v>
      </x:c>
      <x:c r="H90" s="10" t="str">
        <x:v>class validity</x:v>
      </x:c>
    </x:row>
    <x:row r="91">
      <x:c r="A91" s="10" t="str">
        <x:v>AUD-B-086</x:v>
      </x:c>
      <x:c r="B91" s="10" t="str">
        <x:v>boundary</x:v>
      </x:c>
      <x:c r="C91" s="10" t="str">
        <x:v>RBI-C086</x:v>
      </x:c>
      <x:c r="D91" s="10" t="str">
        <x:v>registered falsification case is executable</x:v>
      </x:c>
      <x:c r="E91" s="10" t="str">
        <x:v>REGISTERED</x:v>
      </x:c>
      <x:c r="F91" s="12"/>
      <x:c r="G91" s="10" t="str">
        <x:f>IF(F91="","OPEN",IF(F91=E91,"PASS","FAIL"))</x:f>
        <x:v>OPEN</x:v>
      </x:c>
      <x:c r="H91" s="10" t="str">
        <x:v>class validity</x:v>
      </x:c>
    </x:row>
    <x:row r="92">
      <x:c r="A92" s="10" t="str">
        <x:v>AUD-B-087</x:v>
      </x:c>
      <x:c r="B92" s="10" t="str">
        <x:v>boundary</x:v>
      </x:c>
      <x:c r="C92" s="10" t="str">
        <x:v>RBI-C087</x:v>
      </x:c>
      <x:c r="D92" s="10" t="str">
        <x:v>registered falsification case is executable</x:v>
      </x:c>
      <x:c r="E92" s="10" t="str">
        <x:v>REGISTERED</x:v>
      </x:c>
      <x:c r="F92" s="12"/>
      <x:c r="G92" s="10" t="str">
        <x:f>IF(F92="","OPEN",IF(F92=E92,"PASS","FAIL"))</x:f>
        <x:v>OPEN</x:v>
      </x:c>
      <x:c r="H92" s="10" t="str">
        <x:v>class validity</x:v>
      </x:c>
    </x:row>
    <x:row r="93">
      <x:c r="A93" s="10" t="str">
        <x:v>AUD-B-088</x:v>
      </x:c>
      <x:c r="B93" s="10" t="str">
        <x:v>boundary</x:v>
      </x:c>
      <x:c r="C93" s="10" t="str">
        <x:v>RBI-C088</x:v>
      </x:c>
      <x:c r="D93" s="10" t="str">
        <x:v>registered falsification case is executable</x:v>
      </x:c>
      <x:c r="E93" s="10" t="str">
        <x:v>REGISTERED</x:v>
      </x:c>
      <x:c r="F93" s="12"/>
      <x:c r="G93" s="10" t="str">
        <x:f>IF(F93="","OPEN",IF(F93=E93,"PASS","FAIL"))</x:f>
        <x:v>OPEN</x:v>
      </x:c>
      <x:c r="H93" s="10" t="str">
        <x:v>class validity</x:v>
      </x:c>
    </x:row>
    <x:row r="94">
      <x:c r="A94" s="10" t="str">
        <x:v>AUD-B-089</x:v>
      </x:c>
      <x:c r="B94" s="10" t="str">
        <x:v>boundary</x:v>
      </x:c>
      <x:c r="C94" s="10" t="str">
        <x:v>RBI-C089</x:v>
      </x:c>
      <x:c r="D94" s="10" t="str">
        <x:v>registered falsification case is executable</x:v>
      </x:c>
      <x:c r="E94" s="10" t="str">
        <x:v>REGISTERED</x:v>
      </x:c>
      <x:c r="F94" s="12"/>
      <x:c r="G94" s="10" t="str">
        <x:f>IF(F94="","OPEN",IF(F94=E94,"PASS","FAIL"))</x:f>
        <x:v>OPEN</x:v>
      </x:c>
      <x:c r="H94" s="10" t="str">
        <x:v>class validity</x:v>
      </x:c>
    </x:row>
    <x:row r="95">
      <x:c r="A95" s="10" t="str">
        <x:v>AUD-B-090</x:v>
      </x:c>
      <x:c r="B95" s="10" t="str">
        <x:v>boundary</x:v>
      </x:c>
      <x:c r="C95" s="10" t="str">
        <x:v>RBI-C090</x:v>
      </x:c>
      <x:c r="D95" s="10" t="str">
        <x:v>registered falsification case is executable</x:v>
      </x:c>
      <x:c r="E95" s="10" t="str">
        <x:v>REGISTERED</x:v>
      </x:c>
      <x:c r="F95" s="12"/>
      <x:c r="G95" s="10" t="str">
        <x:f>IF(F95="","OPEN",IF(F95=E95,"PASS","FAIL"))</x:f>
        <x:v>OPEN</x:v>
      </x:c>
      <x:c r="H95" s="10" t="str">
        <x:v>class validity</x:v>
      </x:c>
    </x:row>
    <x:row r="96">
      <x:c r="A96" s="10" t="str">
        <x:v>AUD-B-091</x:v>
      </x:c>
      <x:c r="B96" s="10" t="str">
        <x:v>boundary</x:v>
      </x:c>
      <x:c r="C96" s="10" t="str">
        <x:v>RBI-C091</x:v>
      </x:c>
      <x:c r="D96" s="10" t="str">
        <x:v>registered falsification case is executable</x:v>
      </x:c>
      <x:c r="E96" s="10" t="str">
        <x:v>REGISTERED</x:v>
      </x:c>
      <x:c r="F96" s="12"/>
      <x:c r="G96" s="10" t="str">
        <x:f>IF(F96="","OPEN",IF(F96=E96,"PASS","FAIL"))</x:f>
        <x:v>OPEN</x:v>
      </x:c>
      <x:c r="H96" s="10" t="str">
        <x:v>class validity</x:v>
      </x:c>
    </x:row>
    <x:row r="97">
      <x:c r="A97" s="10" t="str">
        <x:v>AUD-B-092</x:v>
      </x:c>
      <x:c r="B97" s="10" t="str">
        <x:v>boundary</x:v>
      </x:c>
      <x:c r="C97" s="10" t="str">
        <x:v>RBI-C092</x:v>
      </x:c>
      <x:c r="D97" s="10" t="str">
        <x:v>registered falsification case is executable</x:v>
      </x:c>
      <x:c r="E97" s="10" t="str">
        <x:v>REGISTERED</x:v>
      </x:c>
      <x:c r="F97" s="12"/>
      <x:c r="G97" s="10" t="str">
        <x:f>IF(F97="","OPEN",IF(F97=E97,"PASS","FAIL"))</x:f>
        <x:v>OPEN</x:v>
      </x:c>
      <x:c r="H97" s="10" t="str">
        <x:v>class validity</x:v>
      </x:c>
    </x:row>
    <x:row r="98">
      <x:c r="A98" s="10" t="str">
        <x:v>AUD-B-093</x:v>
      </x:c>
      <x:c r="B98" s="10" t="str">
        <x:v>boundary</x:v>
      </x:c>
      <x:c r="C98" s="10" t="str">
        <x:v>RBI-C093</x:v>
      </x:c>
      <x:c r="D98" s="10" t="str">
        <x:v>registered falsification case is executable</x:v>
      </x:c>
      <x:c r="E98" s="10" t="str">
        <x:v>REGISTERED</x:v>
      </x:c>
      <x:c r="F98" s="12"/>
      <x:c r="G98" s="10" t="str">
        <x:f>IF(F98="","OPEN",IF(F98=E98,"PASS","FAIL"))</x:f>
        <x:v>OPEN</x:v>
      </x:c>
      <x:c r="H98" s="10" t="str">
        <x:v>class validity</x:v>
      </x:c>
    </x:row>
    <x:row r="99">
      <x:c r="A99" s="10" t="str">
        <x:v>AUD-B-094</x:v>
      </x:c>
      <x:c r="B99" s="10" t="str">
        <x:v>boundary</x:v>
      </x:c>
      <x:c r="C99" s="10" t="str">
        <x:v>RBI-C094</x:v>
      </x:c>
      <x:c r="D99" s="10" t="str">
        <x:v>registered falsification case is executable</x:v>
      </x:c>
      <x:c r="E99" s="10" t="str">
        <x:v>REGISTERED</x:v>
      </x:c>
      <x:c r="F99" s="12"/>
      <x:c r="G99" s="10" t="str">
        <x:f>IF(F99="","OPEN",IF(F99=E99,"PASS","FAIL"))</x:f>
        <x:v>OPEN</x:v>
      </x:c>
      <x:c r="H99" s="10" t="str">
        <x:v>class validity</x:v>
      </x:c>
    </x:row>
    <x:row r="100">
      <x:c r="A100" s="10" t="str">
        <x:v>AUD-B-095</x:v>
      </x:c>
      <x:c r="B100" s="10" t="str">
        <x:v>boundary</x:v>
      </x:c>
      <x:c r="C100" s="10" t="str">
        <x:v>RBI-C095</x:v>
      </x:c>
      <x:c r="D100" s="10" t="str">
        <x:v>registered falsification case is executable</x:v>
      </x:c>
      <x:c r="E100" s="10" t="str">
        <x:v>REGISTERED</x:v>
      </x:c>
      <x:c r="F100" s="12"/>
      <x:c r="G100" s="10" t="str">
        <x:f>IF(F100="","OPEN",IF(F100=E100,"PASS","FAIL"))</x:f>
        <x:v>OPEN</x:v>
      </x:c>
      <x:c r="H100" s="10" t="str">
        <x:v>class validity</x:v>
      </x:c>
    </x:row>
    <x:row r="101">
      <x:c r="A101" s="10" t="str">
        <x:v>AUD-B-096</x:v>
      </x:c>
      <x:c r="B101" s="10" t="str">
        <x:v>boundary</x:v>
      </x:c>
      <x:c r="C101" s="10" t="str">
        <x:v>RBI-C096</x:v>
      </x:c>
      <x:c r="D101" s="10" t="str">
        <x:v>registered falsification case is executable</x:v>
      </x:c>
      <x:c r="E101" s="10" t="str">
        <x:v>REGISTERED</x:v>
      </x:c>
      <x:c r="F101" s="12"/>
      <x:c r="G101" s="10" t="str">
        <x:f>IF(F101="","OPEN",IF(F101=E101,"PASS","FAIL"))</x:f>
        <x:v>OPEN</x:v>
      </x:c>
      <x:c r="H101" s="10" t="str">
        <x:v>class validity</x:v>
      </x:c>
    </x:row>
    <x:row r="102">
      <x:c r="A102" s="10" t="str">
        <x:v>AUD-B-097</x:v>
      </x:c>
      <x:c r="B102" s="10" t="str">
        <x:v>boundary</x:v>
      </x:c>
      <x:c r="C102" s="10" t="str">
        <x:v>RBI-C097</x:v>
      </x:c>
      <x:c r="D102" s="10" t="str">
        <x:v>registered falsification case is executable</x:v>
      </x:c>
      <x:c r="E102" s="10" t="str">
        <x:v>REGISTERED</x:v>
      </x:c>
      <x:c r="F102" s="12"/>
      <x:c r="G102" s="10" t="str">
        <x:f>IF(F102="","OPEN",IF(F102=E102,"PASS","FAIL"))</x:f>
        <x:v>OPEN</x:v>
      </x:c>
      <x:c r="H102" s="10" t="str">
        <x:v>class validity</x:v>
      </x:c>
    </x:row>
    <x:row r="103">
      <x:c r="A103" s="10" t="str">
        <x:v>AUD-B-098</x:v>
      </x:c>
      <x:c r="B103" s="10" t="str">
        <x:v>boundary</x:v>
      </x:c>
      <x:c r="C103" s="10" t="str">
        <x:v>RBI-C098</x:v>
      </x:c>
      <x:c r="D103" s="10" t="str">
        <x:v>registered falsification case is executable</x:v>
      </x:c>
      <x:c r="E103" s="10" t="str">
        <x:v>REGISTERED</x:v>
      </x:c>
      <x:c r="F103" s="12"/>
      <x:c r="G103" s="10" t="str">
        <x:f>IF(F103="","OPEN",IF(F103=E103,"PASS","FAIL"))</x:f>
        <x:v>OPEN</x:v>
      </x:c>
      <x:c r="H103" s="10" t="str">
        <x:v>class validity</x:v>
      </x:c>
    </x:row>
    <x:row r="104">
      <x:c r="A104" s="10" t="str">
        <x:v>AUD-B-099</x:v>
      </x:c>
      <x:c r="B104" s="10" t="str">
        <x:v>boundary</x:v>
      </x:c>
      <x:c r="C104" s="10" t="str">
        <x:v>RBI-C099</x:v>
      </x:c>
      <x:c r="D104" s="10" t="str">
        <x:v>registered falsification case is executable</x:v>
      </x:c>
      <x:c r="E104" s="10" t="str">
        <x:v>REGISTERED</x:v>
      </x:c>
      <x:c r="F104" s="12"/>
      <x:c r="G104" s="10" t="str">
        <x:f>IF(F104="","OPEN",IF(F104=E104,"PASS","FAIL"))</x:f>
        <x:v>OPEN</x:v>
      </x:c>
      <x:c r="H104" s="10" t="str">
        <x:v>class validity</x:v>
      </x:c>
    </x:row>
    <x:row r="105">
      <x:c r="A105" s="10" t="str">
        <x:v>AUD-B-100</x:v>
      </x:c>
      <x:c r="B105" s="10" t="str">
        <x:v>boundary</x:v>
      </x:c>
      <x:c r="C105" s="10" t="str">
        <x:v>RBI-C100</x:v>
      </x:c>
      <x:c r="D105" s="10" t="str">
        <x:v>registered falsification case is executable</x:v>
      </x:c>
      <x:c r="E105" s="10" t="str">
        <x:v>REGISTERED</x:v>
      </x:c>
      <x:c r="F105" s="12"/>
      <x:c r="G105" s="10" t="str">
        <x:f>IF(F105="","OPEN",IF(F105=E105,"PASS","FAIL"))</x:f>
        <x:v>OPEN</x:v>
      </x:c>
      <x:c r="H105" s="10" t="str">
        <x:v>class validity</x:v>
      </x:c>
    </x:row>
    <x:row r="106">
      <x:c r="A106" s="10" t="str">
        <x:v>AUD-B-101</x:v>
      </x:c>
      <x:c r="B106" s="10" t="str">
        <x:v>boundary</x:v>
      </x:c>
      <x:c r="C106" s="10" t="str">
        <x:v>RBI-C101</x:v>
      </x:c>
      <x:c r="D106" s="10" t="str">
        <x:v>registered falsification case is executable</x:v>
      </x:c>
      <x:c r="E106" s="10" t="str">
        <x:v>REGISTERED</x:v>
      </x:c>
      <x:c r="F106" s="12"/>
      <x:c r="G106" s="10" t="str">
        <x:f>IF(F106="","OPEN",IF(F106=E106,"PASS","FAIL"))</x:f>
        <x:v>OPEN</x:v>
      </x:c>
      <x:c r="H106" s="10" t="str">
        <x:v>class validity</x:v>
      </x:c>
    </x:row>
    <x:row r="107">
      <x:c r="A107" s="10" t="str">
        <x:v>AUD-B-102</x:v>
      </x:c>
      <x:c r="B107" s="10" t="str">
        <x:v>boundary</x:v>
      </x:c>
      <x:c r="C107" s="10" t="str">
        <x:v>RBI-C102</x:v>
      </x:c>
      <x:c r="D107" s="10" t="str">
        <x:v>registered falsification case is executable</x:v>
      </x:c>
      <x:c r="E107" s="10" t="str">
        <x:v>REGISTERED</x:v>
      </x:c>
      <x:c r="F107" s="12"/>
      <x:c r="G107" s="10" t="str">
        <x:f>IF(F107="","OPEN",IF(F107=E107,"PASS","FAIL"))</x:f>
        <x:v>OPEN</x:v>
      </x:c>
      <x:c r="H107" s="10" t="str">
        <x:v>class validity</x:v>
      </x:c>
    </x:row>
    <x:row r="108">
      <x:c r="A108" s="10" t="str">
        <x:v>AUD-B-103</x:v>
      </x:c>
      <x:c r="B108" s="10" t="str">
        <x:v>boundary</x:v>
      </x:c>
      <x:c r="C108" s="10" t="str">
        <x:v>RBI-C103</x:v>
      </x:c>
      <x:c r="D108" s="10" t="str">
        <x:v>registered falsification case is executable</x:v>
      </x:c>
      <x:c r="E108" s="10" t="str">
        <x:v>REGISTERED</x:v>
      </x:c>
      <x:c r="F108" s="12"/>
      <x:c r="G108" s="10" t="str">
        <x:f>IF(F108="","OPEN",IF(F108=E108,"PASS","FAIL"))</x:f>
        <x:v>OPEN</x:v>
      </x:c>
      <x:c r="H108" s="10" t="str">
        <x:v>class validity</x:v>
      </x:c>
    </x:row>
    <x:row r="109">
      <x:c r="A109" s="10" t="str">
        <x:v>AUD-B-104</x:v>
      </x:c>
      <x:c r="B109" s="10" t="str">
        <x:v>boundary</x:v>
      </x:c>
      <x:c r="C109" s="10" t="str">
        <x:v>RBI-C104</x:v>
      </x:c>
      <x:c r="D109" s="10" t="str">
        <x:v>registered falsification case is executable</x:v>
      </x:c>
      <x:c r="E109" s="10" t="str">
        <x:v>REGISTERED</x:v>
      </x:c>
      <x:c r="F109" s="12"/>
      <x:c r="G109" s="10" t="str">
        <x:f>IF(F109="","OPEN",IF(F109=E109,"PASS","FAIL"))</x:f>
        <x:v>OPEN</x:v>
      </x:c>
      <x:c r="H109" s="10" t="str">
        <x:v>class validity</x:v>
      </x:c>
    </x:row>
    <x:row r="110">
      <x:c r="A110" s="10" t="str">
        <x:v>AUD-B-105</x:v>
      </x:c>
      <x:c r="B110" s="10" t="str">
        <x:v>boundary</x:v>
      </x:c>
      <x:c r="C110" s="10" t="str">
        <x:v>RBI-C105</x:v>
      </x:c>
      <x:c r="D110" s="10" t="str">
        <x:v>registered falsification case is executable</x:v>
      </x:c>
      <x:c r="E110" s="10" t="str">
        <x:v>REGISTERED</x:v>
      </x:c>
      <x:c r="F110" s="12"/>
      <x:c r="G110" s="10" t="str">
        <x:f>IF(F110="","OPEN",IF(F110=E110,"PASS","FAIL"))</x:f>
        <x:v>OPEN</x:v>
      </x:c>
      <x:c r="H110" s="10" t="str">
        <x:v>class validity</x:v>
      </x:c>
    </x:row>
    <x:row r="111">
      <x:c r="A111" s="10" t="str">
        <x:v>AUD-B-106</x:v>
      </x:c>
      <x:c r="B111" s="10" t="str">
        <x:v>boundary</x:v>
      </x:c>
      <x:c r="C111" s="10" t="str">
        <x:v>RBI-C106</x:v>
      </x:c>
      <x:c r="D111" s="10" t="str">
        <x:v>registered falsification case is executable</x:v>
      </x:c>
      <x:c r="E111" s="10" t="str">
        <x:v>REGISTERED</x:v>
      </x:c>
      <x:c r="F111" s="12"/>
      <x:c r="G111" s="10" t="str">
        <x:f>IF(F111="","OPEN",IF(F111=E111,"PASS","FAIL"))</x:f>
        <x:v>OPEN</x:v>
      </x:c>
      <x:c r="H111" s="10" t="str">
        <x:v>class validity</x:v>
      </x:c>
    </x:row>
    <x:row r="112">
      <x:c r="A112" s="10" t="str">
        <x:v>AUD-B-107</x:v>
      </x:c>
      <x:c r="B112" s="10" t="str">
        <x:v>boundary</x:v>
      </x:c>
      <x:c r="C112" s="10" t="str">
        <x:v>RBI-C107</x:v>
      </x:c>
      <x:c r="D112" s="10" t="str">
        <x:v>registered falsification case is executable</x:v>
      </x:c>
      <x:c r="E112" s="10" t="str">
        <x:v>REGISTERED</x:v>
      </x:c>
      <x:c r="F112" s="12"/>
      <x:c r="G112" s="10" t="str">
        <x:f>IF(F112="","OPEN",IF(F112=E112,"PASS","FAIL"))</x:f>
        <x:v>OPEN</x:v>
      </x:c>
      <x:c r="H112" s="10" t="str">
        <x:v>class validity</x:v>
      </x:c>
    </x:row>
    <x:row r="113">
      <x:c r="A113" s="10" t="str">
        <x:v>AUD-B-108</x:v>
      </x:c>
      <x:c r="B113" s="10" t="str">
        <x:v>boundary</x:v>
      </x:c>
      <x:c r="C113" s="10" t="str">
        <x:v>RBI-C108</x:v>
      </x:c>
      <x:c r="D113" s="10" t="str">
        <x:v>registered falsification case is executable</x:v>
      </x:c>
      <x:c r="E113" s="10" t="str">
        <x:v>REGISTERED</x:v>
      </x:c>
      <x:c r="F113" s="12"/>
      <x:c r="G113" s="10" t="str">
        <x:f>IF(F113="","OPEN",IF(F113=E113,"PASS","FAIL"))</x:f>
        <x:v>OPEN</x:v>
      </x:c>
      <x:c r="H113" s="10" t="str">
        <x:v>class validity</x:v>
      </x:c>
    </x:row>
    <x:row r="114">
      <x:c r="A114" s="10" t="str">
        <x:v>AUD-B-109</x:v>
      </x:c>
      <x:c r="B114" s="10" t="str">
        <x:v>boundary</x:v>
      </x:c>
      <x:c r="C114" s="10" t="str">
        <x:v>RBI-C109</x:v>
      </x:c>
      <x:c r="D114" s="10" t="str">
        <x:v>registered falsification case is executable</x:v>
      </x:c>
      <x:c r="E114" s="10" t="str">
        <x:v>REGISTERED</x:v>
      </x:c>
      <x:c r="F114" s="12"/>
      <x:c r="G114" s="10" t="str">
        <x:f>IF(F114="","OPEN",IF(F114=E114,"PASS","FAIL"))</x:f>
        <x:v>OPEN</x:v>
      </x:c>
      <x:c r="H114" s="10" t="str">
        <x:v>class validity</x:v>
      </x:c>
    </x:row>
    <x:row r="115">
      <x:c r="A115" s="10" t="str">
        <x:v>AUD-B-110</x:v>
      </x:c>
      <x:c r="B115" s="10" t="str">
        <x:v>boundary</x:v>
      </x:c>
      <x:c r="C115" s="10" t="str">
        <x:v>RBI-C110</x:v>
      </x:c>
      <x:c r="D115" s="10" t="str">
        <x:v>registered falsification case is executable</x:v>
      </x:c>
      <x:c r="E115" s="10" t="str">
        <x:v>REGISTERED</x:v>
      </x:c>
      <x:c r="F115" s="12"/>
      <x:c r="G115" s="10" t="str">
        <x:f>IF(F115="","OPEN",IF(F115=E115,"PASS","FAIL"))</x:f>
        <x:v>OPEN</x:v>
      </x:c>
      <x:c r="H115" s="10" t="str">
        <x:v>class validity</x:v>
      </x:c>
    </x:row>
    <x:row r="116">
      <x:c r="A116" s="10" t="str">
        <x:v>AUD-B-111</x:v>
      </x:c>
      <x:c r="B116" s="10" t="str">
        <x:v>boundary</x:v>
      </x:c>
      <x:c r="C116" s="10" t="str">
        <x:v>RBI-C111</x:v>
      </x:c>
      <x:c r="D116" s="10" t="str">
        <x:v>registered falsification case is executable</x:v>
      </x:c>
      <x:c r="E116" s="10" t="str">
        <x:v>REGISTERED</x:v>
      </x:c>
      <x:c r="F116" s="12"/>
      <x:c r="G116" s="10" t="str">
        <x:f>IF(F116="","OPEN",IF(F116=E116,"PASS","FAIL"))</x:f>
        <x:v>OPEN</x:v>
      </x:c>
      <x:c r="H116" s="10" t="str">
        <x:v>class validity</x:v>
      </x:c>
    </x:row>
    <x:row r="117">
      <x:c r="A117" s="10" t="str">
        <x:v>AUD-B-112</x:v>
      </x:c>
      <x:c r="B117" s="10" t="str">
        <x:v>boundary</x:v>
      </x:c>
      <x:c r="C117" s="10" t="str">
        <x:v>RBI-C112</x:v>
      </x:c>
      <x:c r="D117" s="10" t="str">
        <x:v>registered falsification case is executable</x:v>
      </x:c>
      <x:c r="E117" s="10" t="str">
        <x:v>REGISTERED</x:v>
      </x:c>
      <x:c r="F117" s="12"/>
      <x:c r="G117" s="10" t="str">
        <x:f>IF(F117="","OPEN",IF(F117=E117,"PASS","FAIL"))</x:f>
        <x:v>OPEN</x:v>
      </x:c>
      <x:c r="H117" s="10" t="str">
        <x:v>class validity</x:v>
      </x:c>
    </x:row>
    <x:row r="118">
      <x:c r="A118" s="10" t="str">
        <x:v>AUD-B-113</x:v>
      </x:c>
      <x:c r="B118" s="10" t="str">
        <x:v>boundary</x:v>
      </x:c>
      <x:c r="C118" s="10" t="str">
        <x:v>RBI-C113</x:v>
      </x:c>
      <x:c r="D118" s="10" t="str">
        <x:v>registered falsification case is executable</x:v>
      </x:c>
      <x:c r="E118" s="10" t="str">
        <x:v>REGISTERED</x:v>
      </x:c>
      <x:c r="F118" s="12"/>
      <x:c r="G118" s="10" t="str">
        <x:f>IF(F118="","OPEN",IF(F118=E118,"PASS","FAIL"))</x:f>
        <x:v>OPEN</x:v>
      </x:c>
      <x:c r="H118" s="10" t="str">
        <x:v>class validity</x:v>
      </x:c>
    </x:row>
    <x:row r="119">
      <x:c r="A119" s="10" t="str">
        <x:v>AUD-B-114</x:v>
      </x:c>
      <x:c r="B119" s="10" t="str">
        <x:v>boundary</x:v>
      </x:c>
      <x:c r="C119" s="10" t="str">
        <x:v>RBI-C114</x:v>
      </x:c>
      <x:c r="D119" s="10" t="str">
        <x:v>registered falsification case is executable</x:v>
      </x:c>
      <x:c r="E119" s="10" t="str">
        <x:v>REGISTERED</x:v>
      </x:c>
      <x:c r="F119" s="12"/>
      <x:c r="G119" s="10" t="str">
        <x:f>IF(F119="","OPEN",IF(F119=E119,"PASS","FAIL"))</x:f>
        <x:v>OPEN</x:v>
      </x:c>
      <x:c r="H119" s="10" t="str">
        <x:v>class validity</x:v>
      </x:c>
    </x:row>
    <x:row r="120">
      <x:c r="A120" s="10" t="str">
        <x:v>AUD-B-115</x:v>
      </x:c>
      <x:c r="B120" s="10" t="str">
        <x:v>boundary</x:v>
      </x:c>
      <x:c r="C120" s="10" t="str">
        <x:v>RBI-C115</x:v>
      </x:c>
      <x:c r="D120" s="10" t="str">
        <x:v>registered falsification case is executable</x:v>
      </x:c>
      <x:c r="E120" s="10" t="str">
        <x:v>REGISTERED</x:v>
      </x:c>
      <x:c r="F120" s="12"/>
      <x:c r="G120" s="10" t="str">
        <x:f>IF(F120="","OPEN",IF(F120=E120,"PASS","FAIL"))</x:f>
        <x:v>OPEN</x:v>
      </x:c>
      <x:c r="H120" s="10" t="str">
        <x:v>class validity</x:v>
      </x:c>
    </x:row>
    <x:row r="121">
      <x:c r="A121" s="10" t="str">
        <x:v>AUD-B-116</x:v>
      </x:c>
      <x:c r="B121" s="10" t="str">
        <x:v>boundary</x:v>
      </x:c>
      <x:c r="C121" s="10" t="str">
        <x:v>RBI-C116</x:v>
      </x:c>
      <x:c r="D121" s="10" t="str">
        <x:v>registered falsification case is executable</x:v>
      </x:c>
      <x:c r="E121" s="10" t="str">
        <x:v>REGISTERED</x:v>
      </x:c>
      <x:c r="F121" s="12"/>
      <x:c r="G121" s="10" t="str">
        <x:f>IF(F121="","OPEN",IF(F121=E121,"PASS","FAIL"))</x:f>
        <x:v>OPEN</x:v>
      </x:c>
      <x:c r="H121" s="10" t="str">
        <x:v>class validity</x:v>
      </x:c>
    </x:row>
    <x:row r="122">
      <x:c r="A122" s="10" t="str">
        <x:v>AUD-B-117</x:v>
      </x:c>
      <x:c r="B122" s="10" t="str">
        <x:v>boundary</x:v>
      </x:c>
      <x:c r="C122" s="10" t="str">
        <x:v>RBI-C117</x:v>
      </x:c>
      <x:c r="D122" s="10" t="str">
        <x:v>registered falsification case is executable</x:v>
      </x:c>
      <x:c r="E122" s="10" t="str">
        <x:v>REGISTERED</x:v>
      </x:c>
      <x:c r="F122" s="12"/>
      <x:c r="G122" s="10" t="str">
        <x:f>IF(F122="","OPEN",IF(F122=E122,"PASS","FAIL"))</x:f>
        <x:v>OPEN</x:v>
      </x:c>
      <x:c r="H122" s="10" t="str">
        <x:v>class validity</x:v>
      </x:c>
    </x:row>
    <x:row r="123">
      <x:c r="A123" s="10" t="str">
        <x:v>AUD-B-118</x:v>
      </x:c>
      <x:c r="B123" s="10" t="str">
        <x:v>boundary</x:v>
      </x:c>
      <x:c r="C123" s="10" t="str">
        <x:v>RBI-C118</x:v>
      </x:c>
      <x:c r="D123" s="10" t="str">
        <x:v>registered falsification case is executable</x:v>
      </x:c>
      <x:c r="E123" s="10" t="str">
        <x:v>REGISTERED</x:v>
      </x:c>
      <x:c r="F123" s="12"/>
      <x:c r="G123" s="10" t="str">
        <x:f>IF(F123="","OPEN",IF(F123=E123,"PASS","FAIL"))</x:f>
        <x:v>OPEN</x:v>
      </x:c>
      <x:c r="H123" s="10" t="str">
        <x:v>class validity</x:v>
      </x:c>
    </x:row>
    <x:row r="124">
      <x:c r="A124" s="10" t="str">
        <x:v>AUD-B-119</x:v>
      </x:c>
      <x:c r="B124" s="10" t="str">
        <x:v>boundary</x:v>
      </x:c>
      <x:c r="C124" s="10" t="str">
        <x:v>RBI-C119</x:v>
      </x:c>
      <x:c r="D124" s="10" t="str">
        <x:v>registered falsification case is executable</x:v>
      </x:c>
      <x:c r="E124" s="10" t="str">
        <x:v>REGISTERED</x:v>
      </x:c>
      <x:c r="F124" s="12"/>
      <x:c r="G124" s="10" t="str">
        <x:f>IF(F124="","OPEN",IF(F124=E124,"PASS","FAIL"))</x:f>
        <x:v>OPEN</x:v>
      </x:c>
      <x:c r="H124" s="10" t="str">
        <x:v>class validity</x:v>
      </x:c>
    </x:row>
    <x:row r="125">
      <x:c r="A125" s="10" t="str">
        <x:v>AUD-B-120</x:v>
      </x:c>
      <x:c r="B125" s="10" t="str">
        <x:v>boundary</x:v>
      </x:c>
      <x:c r="C125" s="10" t="str">
        <x:v>RBI-C120</x:v>
      </x:c>
      <x:c r="D125" s="10" t="str">
        <x:v>registered falsification case is executable</x:v>
      </x:c>
      <x:c r="E125" s="10" t="str">
        <x:v>REGISTERED</x:v>
      </x:c>
      <x:c r="F125" s="12"/>
      <x:c r="G125" s="10" t="str">
        <x:f>IF(F125="","OPEN",IF(F125=E125,"PASS","FAIL"))</x:f>
        <x:v>OPEN</x:v>
      </x:c>
      <x:c r="H125" s="10" t="str">
        <x:v>class validity</x:v>
      </x:c>
    </x:row>
    <x:row r="126">
      <x:c r="A126" s="10" t="str">
        <x:v>AUD-B-121</x:v>
      </x:c>
      <x:c r="B126" s="10" t="str">
        <x:v>boundary</x:v>
      </x:c>
      <x:c r="C126" s="10" t="str">
        <x:v>RBI-C121</x:v>
      </x:c>
      <x:c r="D126" s="10" t="str">
        <x:v>registered falsification case is executable</x:v>
      </x:c>
      <x:c r="E126" s="10" t="str">
        <x:v>REGISTERED</x:v>
      </x:c>
      <x:c r="F126" s="12"/>
      <x:c r="G126" s="10" t="str">
        <x:f>IF(F126="","OPEN",IF(F126=E126,"PASS","FAIL"))</x:f>
        <x:v>OPEN</x:v>
      </x:c>
      <x:c r="H126" s="10" t="str">
        <x:v>class validity</x:v>
      </x:c>
    </x:row>
    <x:row r="127">
      <x:c r="A127" s="10" t="str">
        <x:v>AUD-B-122</x:v>
      </x:c>
      <x:c r="B127" s="10" t="str">
        <x:v>boundary</x:v>
      </x:c>
      <x:c r="C127" s="10" t="str">
        <x:v>RBI-C122</x:v>
      </x:c>
      <x:c r="D127" s="10" t="str">
        <x:v>registered falsification case is executable</x:v>
      </x:c>
      <x:c r="E127" s="10" t="str">
        <x:v>REGISTERED</x:v>
      </x:c>
      <x:c r="F127" s="12"/>
      <x:c r="G127" s="10" t="str">
        <x:f>IF(F127="","OPEN",IF(F127=E127,"PASS","FAIL"))</x:f>
        <x:v>OPEN</x:v>
      </x:c>
      <x:c r="H127" s="10" t="str">
        <x:v>class validity</x:v>
      </x:c>
    </x:row>
    <x:row r="128">
      <x:c r="A128" s="10" t="str">
        <x:v>AUD-B-123</x:v>
      </x:c>
      <x:c r="B128" s="10" t="str">
        <x:v>boundary</x:v>
      </x:c>
      <x:c r="C128" s="10" t="str">
        <x:v>RBI-C123</x:v>
      </x:c>
      <x:c r="D128" s="10" t="str">
        <x:v>registered falsification case is executable</x:v>
      </x:c>
      <x:c r="E128" s="10" t="str">
        <x:v>REGISTERED</x:v>
      </x:c>
      <x:c r="F128" s="12"/>
      <x:c r="G128" s="10" t="str">
        <x:f>IF(F128="","OPEN",IF(F128=E128,"PASS","FAIL"))</x:f>
        <x:v>OPEN</x:v>
      </x:c>
      <x:c r="H128" s="10" t="str">
        <x:v>class validity</x:v>
      </x:c>
    </x:row>
    <x:row r="129">
      <x:c r="A129" s="10" t="str">
        <x:v>AUD-B-124</x:v>
      </x:c>
      <x:c r="B129" s="10" t="str">
        <x:v>boundary</x:v>
      </x:c>
      <x:c r="C129" s="10" t="str">
        <x:v>RBI-C124</x:v>
      </x:c>
      <x:c r="D129" s="10" t="str">
        <x:v>registered falsification case is executable</x:v>
      </x:c>
      <x:c r="E129" s="10" t="str">
        <x:v>REGISTERED</x:v>
      </x:c>
      <x:c r="F129" s="12"/>
      <x:c r="G129" s="10" t="str">
        <x:f>IF(F129="","OPEN",IF(F129=E129,"PASS","FAIL"))</x:f>
        <x:v>OPEN</x:v>
      </x:c>
      <x:c r="H129" s="10" t="str">
        <x:v>class validity</x:v>
      </x:c>
    </x:row>
    <x:row r="130">
      <x:c r="A130" s="10" t="str">
        <x:v>AUD-B-125</x:v>
      </x:c>
      <x:c r="B130" s="10" t="str">
        <x:v>boundary</x:v>
      </x:c>
      <x:c r="C130" s="10" t="str">
        <x:v>RBI-C125</x:v>
      </x:c>
      <x:c r="D130" s="10" t="str">
        <x:v>registered falsification case is executable</x:v>
      </x:c>
      <x:c r="E130" s="10" t="str">
        <x:v>REGISTERED</x:v>
      </x:c>
      <x:c r="F130" s="12"/>
      <x:c r="G130" s="10" t="str">
        <x:f>IF(F130="","OPEN",IF(F130=E130,"PASS","FAIL"))</x:f>
        <x:v>OPEN</x:v>
      </x:c>
      <x:c r="H130" s="10" t="str">
        <x:v>class validity</x:v>
      </x:c>
    </x:row>
    <x:row r="131">
      <x:c r="A131" s="10" t="str">
        <x:v>AUD-B-126</x:v>
      </x:c>
      <x:c r="B131" s="10" t="str">
        <x:v>boundary</x:v>
      </x:c>
      <x:c r="C131" s="10" t="str">
        <x:v>RBI-C126</x:v>
      </x:c>
      <x:c r="D131" s="10" t="str">
        <x:v>registered falsification case is executable</x:v>
      </x:c>
      <x:c r="E131" s="10" t="str">
        <x:v>REGISTERED</x:v>
      </x:c>
      <x:c r="F131" s="12"/>
      <x:c r="G131" s="10" t="str">
        <x:f>IF(F131="","OPEN",IF(F131=E131,"PASS","FAIL"))</x:f>
        <x:v>OPEN</x:v>
      </x:c>
      <x:c r="H131" s="10" t="str">
        <x:v>class validity</x:v>
      </x:c>
    </x:row>
    <x:row r="132">
      <x:c r="A132" s="10" t="str">
        <x:v>AUD-B-127</x:v>
      </x:c>
      <x:c r="B132" s="10" t="str">
        <x:v>boundary</x:v>
      </x:c>
      <x:c r="C132" s="10" t="str">
        <x:v>RBI-C127</x:v>
      </x:c>
      <x:c r="D132" s="10" t="str">
        <x:v>registered falsification case is executable</x:v>
      </x:c>
      <x:c r="E132" s="10" t="str">
        <x:v>REGISTERED</x:v>
      </x:c>
      <x:c r="F132" s="12"/>
      <x:c r="G132" s="10" t="str">
        <x:f>IF(F132="","OPEN",IF(F132=E132,"PASS","FAIL"))</x:f>
        <x:v>OPEN</x:v>
      </x:c>
      <x:c r="H132" s="10" t="str">
        <x:v>class validity</x:v>
      </x:c>
    </x:row>
    <x:row r="133">
      <x:c r="A133" s="10" t="str">
        <x:v>AUD-B-128</x:v>
      </x:c>
      <x:c r="B133" s="10" t="str">
        <x:v>boundary</x:v>
      </x:c>
      <x:c r="C133" s="10" t="str">
        <x:v>RBI-C128</x:v>
      </x:c>
      <x:c r="D133" s="10" t="str">
        <x:v>registered falsification case is executable</x:v>
      </x:c>
      <x:c r="E133" s="10" t="str">
        <x:v>REGISTERED</x:v>
      </x:c>
      <x:c r="F133" s="12"/>
      <x:c r="G133" s="10" t="str">
        <x:f>IF(F133="","OPEN",IF(F133=E133,"PASS","FAIL"))</x:f>
        <x:v>OPEN</x:v>
      </x:c>
      <x:c r="H133" s="10" t="str">
        <x:v>class validity</x:v>
      </x:c>
    </x:row>
    <x:row r="134">
      <x:c r="A134" s="10" t="str">
        <x:v>AUD-B-129</x:v>
      </x:c>
      <x:c r="B134" s="10" t="str">
        <x:v>boundary</x:v>
      </x:c>
      <x:c r="C134" s="10" t="str">
        <x:v>RBI-C129</x:v>
      </x:c>
      <x:c r="D134" s="10" t="str">
        <x:v>registered falsification case is executable</x:v>
      </x:c>
      <x:c r="E134" s="10" t="str">
        <x:v>REGISTERED</x:v>
      </x:c>
      <x:c r="F134" s="12"/>
      <x:c r="G134" s="10" t="str">
        <x:f>IF(F134="","OPEN",IF(F134=E134,"PASS","FAIL"))</x:f>
        <x:v>OPEN</x:v>
      </x:c>
      <x:c r="H134" s="10" t="str">
        <x:v>class validity</x:v>
      </x:c>
    </x:row>
    <x:row r="135">
      <x:c r="A135" s="10" t="str">
        <x:v>AUD-B-130</x:v>
      </x:c>
      <x:c r="B135" s="10" t="str">
        <x:v>boundary</x:v>
      </x:c>
      <x:c r="C135" s="10" t="str">
        <x:v>RBI-C130</x:v>
      </x:c>
      <x:c r="D135" s="10" t="str">
        <x:v>registered falsification case is executable</x:v>
      </x:c>
      <x:c r="E135" s="10" t="str">
        <x:v>REGISTERED</x:v>
      </x:c>
      <x:c r="F135" s="12"/>
      <x:c r="G135" s="10" t="str">
        <x:f>IF(F135="","OPEN",IF(F135=E135,"PASS","FAIL"))</x:f>
        <x:v>OPEN</x:v>
      </x:c>
      <x:c r="H135" s="10" t="str">
        <x:v>class validity</x:v>
      </x:c>
    </x:row>
    <x:row r="136">
      <x:c r="A136" s="10" t="str">
        <x:v>AUD-B-131</x:v>
      </x:c>
      <x:c r="B136" s="10" t="str">
        <x:v>boundary</x:v>
      </x:c>
      <x:c r="C136" s="10" t="str">
        <x:v>RBI-C131</x:v>
      </x:c>
      <x:c r="D136" s="10" t="str">
        <x:v>registered falsification case is executable</x:v>
      </x:c>
      <x:c r="E136" s="10" t="str">
        <x:v>REGISTERED</x:v>
      </x:c>
      <x:c r="F136" s="12"/>
      <x:c r="G136" s="10" t="str">
        <x:f>IF(F136="","OPEN",IF(F136=E136,"PASS","FAIL"))</x:f>
        <x:v>OPEN</x:v>
      </x:c>
      <x:c r="H136" s="10" t="str">
        <x:v>class validity</x:v>
      </x:c>
    </x:row>
    <x:row r="137">
      <x:c r="A137" s="10" t="str">
        <x:v>AUD-B-132</x:v>
      </x:c>
      <x:c r="B137" s="10" t="str">
        <x:v>boundary</x:v>
      </x:c>
      <x:c r="C137" s="10" t="str">
        <x:v>RBI-C132</x:v>
      </x:c>
      <x:c r="D137" s="10" t="str">
        <x:v>registered falsification case is executable</x:v>
      </x:c>
      <x:c r="E137" s="10" t="str">
        <x:v>REGISTERED</x:v>
      </x:c>
      <x:c r="F137" s="12"/>
      <x:c r="G137" s="10" t="str">
        <x:f>IF(F137="","OPEN",IF(F137=E137,"PASS","FAIL"))</x:f>
        <x:v>OPEN</x:v>
      </x:c>
      <x:c r="H137" s="10" t="str">
        <x:v>class validity</x:v>
      </x:c>
    </x:row>
    <x:row r="138">
      <x:c r="A138" s="10" t="str">
        <x:v>AUD-B-133</x:v>
      </x:c>
      <x:c r="B138" s="10" t="str">
        <x:v>boundary</x:v>
      </x:c>
      <x:c r="C138" s="10" t="str">
        <x:v>RBI-C133</x:v>
      </x:c>
      <x:c r="D138" s="10" t="str">
        <x:v>registered falsification case is executable</x:v>
      </x:c>
      <x:c r="E138" s="10" t="str">
        <x:v>REGISTERED</x:v>
      </x:c>
      <x:c r="F138" s="12"/>
      <x:c r="G138" s="10" t="str">
        <x:f>IF(F138="","OPEN",IF(F138=E138,"PASS","FAIL"))</x:f>
        <x:v>OPEN</x:v>
      </x:c>
      <x:c r="H138" s="10" t="str">
        <x:v>class validity</x:v>
      </x:c>
    </x:row>
    <x:row r="139">
      <x:c r="A139" s="10" t="str">
        <x:v>AUD-B-134</x:v>
      </x:c>
      <x:c r="B139" s="10" t="str">
        <x:v>boundary</x:v>
      </x:c>
      <x:c r="C139" s="10" t="str">
        <x:v>RBI-C134</x:v>
      </x:c>
      <x:c r="D139" s="10" t="str">
        <x:v>registered falsification case is executable</x:v>
      </x:c>
      <x:c r="E139" s="10" t="str">
        <x:v>REGISTERED</x:v>
      </x:c>
      <x:c r="F139" s="12"/>
      <x:c r="G139" s="10" t="str">
        <x:f>IF(F139="","OPEN",IF(F139=E139,"PASS","FAIL"))</x:f>
        <x:v>OPEN</x:v>
      </x:c>
      <x:c r="H139" s="10" t="str">
        <x:v>class validity</x:v>
      </x:c>
    </x:row>
    <x:row r="140">
      <x:c r="A140" s="10" t="str">
        <x:v>AUD-B-135</x:v>
      </x:c>
      <x:c r="B140" s="10" t="str">
        <x:v>boundary</x:v>
      </x:c>
      <x:c r="C140" s="10" t="str">
        <x:v>RBI-C135</x:v>
      </x:c>
      <x:c r="D140" s="10" t="str">
        <x:v>registered falsification case is executable</x:v>
      </x:c>
      <x:c r="E140" s="10" t="str">
        <x:v>REGISTERED</x:v>
      </x:c>
      <x:c r="F140" s="12"/>
      <x:c r="G140" s="10" t="str">
        <x:f>IF(F140="","OPEN",IF(F140=E140,"PASS","FAIL"))</x:f>
        <x:v>OPEN</x:v>
      </x:c>
      <x:c r="H140" s="10" t="str">
        <x:v>class validity</x:v>
      </x:c>
    </x:row>
    <x:row r="141">
      <x:c r="A141" s="10" t="str">
        <x:v>AUD-B-136</x:v>
      </x:c>
      <x:c r="B141" s="10" t="str">
        <x:v>boundary</x:v>
      </x:c>
      <x:c r="C141" s="10" t="str">
        <x:v>RBI-C136</x:v>
      </x:c>
      <x:c r="D141" s="10" t="str">
        <x:v>registered falsification case is executable</x:v>
      </x:c>
      <x:c r="E141" s="10" t="str">
        <x:v>REGISTERED</x:v>
      </x:c>
      <x:c r="F141" s="12"/>
      <x:c r="G141" s="10" t="str">
        <x:f>IF(F141="","OPEN",IF(F141=E141,"PASS","FAIL"))</x:f>
        <x:v>OPEN</x:v>
      </x:c>
      <x:c r="H141" s="10" t="str">
        <x:v>class validity</x:v>
      </x:c>
    </x:row>
    <x:row r="142">
      <x:c r="A142" s="10" t="str">
        <x:v>AUD-B-137</x:v>
      </x:c>
      <x:c r="B142" s="10" t="str">
        <x:v>boundary</x:v>
      </x:c>
      <x:c r="C142" s="10" t="str">
        <x:v>RBI-C137</x:v>
      </x:c>
      <x:c r="D142" s="10" t="str">
        <x:v>registered falsification case is executable</x:v>
      </x:c>
      <x:c r="E142" s="10" t="str">
        <x:v>REGISTERED</x:v>
      </x:c>
      <x:c r="F142" s="12"/>
      <x:c r="G142" s="10" t="str">
        <x:f>IF(F142="","OPEN",IF(F142=E142,"PASS","FAIL"))</x:f>
        <x:v>OPEN</x:v>
      </x:c>
      <x:c r="H142" s="10" t="str">
        <x:v>class validity</x:v>
      </x:c>
    </x:row>
    <x:row r="143">
      <x:c r="A143" s="10" t="str">
        <x:v>AUD-B-138</x:v>
      </x:c>
      <x:c r="B143" s="10" t="str">
        <x:v>boundary</x:v>
      </x:c>
      <x:c r="C143" s="10" t="str">
        <x:v>RBI-C138</x:v>
      </x:c>
      <x:c r="D143" s="10" t="str">
        <x:v>registered falsification case is executable</x:v>
      </x:c>
      <x:c r="E143" s="10" t="str">
        <x:v>REGISTERED</x:v>
      </x:c>
      <x:c r="F143" s="12"/>
      <x:c r="G143" s="10" t="str">
        <x:f>IF(F143="","OPEN",IF(F143=E143,"PASS","FAIL"))</x:f>
        <x:v>OPEN</x:v>
      </x:c>
      <x:c r="H143" s="10" t="str">
        <x:v>class validity</x:v>
      </x:c>
    </x:row>
    <x:row r="144">
      <x:c r="A144" s="10" t="str">
        <x:v>AUD-B-139</x:v>
      </x:c>
      <x:c r="B144" s="10" t="str">
        <x:v>boundary</x:v>
      </x:c>
      <x:c r="C144" s="10" t="str">
        <x:v>RBI-C139</x:v>
      </x:c>
      <x:c r="D144" s="10" t="str">
        <x:v>registered falsification case is executable</x:v>
      </x:c>
      <x:c r="E144" s="10" t="str">
        <x:v>REGISTERED</x:v>
      </x:c>
      <x:c r="F144" s="12"/>
      <x:c r="G144" s="10" t="str">
        <x:f>IF(F144="","OPEN",IF(F144=E144,"PASS","FAIL"))</x:f>
        <x:v>OPEN</x:v>
      </x:c>
      <x:c r="H144" s="10" t="str">
        <x:v>class validity</x:v>
      </x:c>
    </x:row>
    <x:row r="145">
      <x:c r="A145" s="10" t="str">
        <x:v>AUD-B-140</x:v>
      </x:c>
      <x:c r="B145" s="10" t="str">
        <x:v>boundary</x:v>
      </x:c>
      <x:c r="C145" s="10" t="str">
        <x:v>RBI-C140</x:v>
      </x:c>
      <x:c r="D145" s="10" t="str">
        <x:v>registered falsification case is executable</x:v>
      </x:c>
      <x:c r="E145" s="10" t="str">
        <x:v>REGISTERED</x:v>
      </x:c>
      <x:c r="F145" s="12"/>
      <x:c r="G145" s="10" t="str">
        <x:f>IF(F145="","OPEN",IF(F145=E145,"PASS","FAIL"))</x:f>
        <x:v>OPEN</x:v>
      </x:c>
      <x:c r="H145" s="10" t="str">
        <x:v>class validity</x:v>
      </x:c>
    </x:row>
    <x:row r="146">
      <x:c r="A146" s="10" t="str">
        <x:v>AUD-B-141</x:v>
      </x:c>
      <x:c r="B146" s="10" t="str">
        <x:v>boundary</x:v>
      </x:c>
      <x:c r="C146" s="10" t="str">
        <x:v>RBI-C141</x:v>
      </x:c>
      <x:c r="D146" s="10" t="str">
        <x:v>registered falsification case is executable</x:v>
      </x:c>
      <x:c r="E146" s="10" t="str">
        <x:v>REGISTERED</x:v>
      </x:c>
      <x:c r="F146" s="12"/>
      <x:c r="G146" s="10" t="str">
        <x:f>IF(F146="","OPEN",IF(F146=E146,"PASS","FAIL"))</x:f>
        <x:v>OPEN</x:v>
      </x:c>
      <x:c r="H146" s="10" t="str">
        <x:v>class validity</x:v>
      </x:c>
    </x:row>
    <x:row r="147">
      <x:c r="A147" s="10" t="str">
        <x:v>AUD-B-142</x:v>
      </x:c>
      <x:c r="B147" s="10" t="str">
        <x:v>boundary</x:v>
      </x:c>
      <x:c r="C147" s="10" t="str">
        <x:v>RBI-C142</x:v>
      </x:c>
      <x:c r="D147" s="10" t="str">
        <x:v>registered falsification case is executable</x:v>
      </x:c>
      <x:c r="E147" s="10" t="str">
        <x:v>REGISTERED</x:v>
      </x:c>
      <x:c r="F147" s="12"/>
      <x:c r="G147" s="10" t="str">
        <x:f>IF(F147="","OPEN",IF(F147=E147,"PASS","FAIL"))</x:f>
        <x:v>OPEN</x:v>
      </x:c>
      <x:c r="H147" s="10" t="str">
        <x:v>class validity</x:v>
      </x:c>
    </x:row>
    <x:row r="148">
      <x:c r="A148" s="10" t="str">
        <x:v>AUD-B-143</x:v>
      </x:c>
      <x:c r="B148" s="10" t="str">
        <x:v>boundary</x:v>
      </x:c>
      <x:c r="C148" s="10" t="str">
        <x:v>RBI-C143</x:v>
      </x:c>
      <x:c r="D148" s="10" t="str">
        <x:v>registered falsification case is executable</x:v>
      </x:c>
      <x:c r="E148" s="10" t="str">
        <x:v>REGISTERED</x:v>
      </x:c>
      <x:c r="F148" s="12"/>
      <x:c r="G148" s="10" t="str">
        <x:f>IF(F148="","OPEN",IF(F148=E148,"PASS","FAIL"))</x:f>
        <x:v>OPEN</x:v>
      </x:c>
      <x:c r="H148" s="10" t="str">
        <x:v>class validity</x:v>
      </x:c>
    </x:row>
    <x:row r="149">
      <x:c r="A149" s="10" t="str">
        <x:v>AUD-B-144</x:v>
      </x:c>
      <x:c r="B149" s="10" t="str">
        <x:v>boundary</x:v>
      </x:c>
      <x:c r="C149" s="10" t="str">
        <x:v>RBI-C144</x:v>
      </x:c>
      <x:c r="D149" s="10" t="str">
        <x:v>registered falsification case is executable</x:v>
      </x:c>
      <x:c r="E149" s="10" t="str">
        <x:v>REGISTERED</x:v>
      </x:c>
      <x:c r="F149" s="12"/>
      <x:c r="G149" s="10" t="str">
        <x:f>IF(F149="","OPEN",IF(F149=E149,"PASS","FAIL"))</x:f>
        <x:v>OPEN</x:v>
      </x:c>
      <x:c r="H149" s="10" t="str">
        <x:v>class validity</x:v>
      </x:c>
    </x:row>
    <x:row r="150">
      <x:c r="A150" s="10" t="str">
        <x:v>AUD-B-145</x:v>
      </x:c>
      <x:c r="B150" s="10" t="str">
        <x:v>boundary</x:v>
      </x:c>
      <x:c r="C150" s="10" t="str">
        <x:v>RBI-C145</x:v>
      </x:c>
      <x:c r="D150" s="10" t="str">
        <x:v>registered falsification case is executable</x:v>
      </x:c>
      <x:c r="E150" s="10" t="str">
        <x:v>REGISTERED</x:v>
      </x:c>
      <x:c r="F150" s="12"/>
      <x:c r="G150" s="10" t="str">
        <x:f>IF(F150="","OPEN",IF(F150=E150,"PASS","FAIL"))</x:f>
        <x:v>OPEN</x:v>
      </x:c>
      <x:c r="H150" s="10" t="str">
        <x:v>class validity</x:v>
      </x:c>
    </x:row>
    <x:row r="151">
      <x:c r="A151" s="10" t="str">
        <x:v>AUD-B-146</x:v>
      </x:c>
      <x:c r="B151" s="10" t="str">
        <x:v>boundary</x:v>
      </x:c>
      <x:c r="C151" s="10" t="str">
        <x:v>RBI-C146</x:v>
      </x:c>
      <x:c r="D151" s="10" t="str">
        <x:v>registered falsification case is executable</x:v>
      </x:c>
      <x:c r="E151" s="10" t="str">
        <x:v>REGISTERED</x:v>
      </x:c>
      <x:c r="F151" s="12"/>
      <x:c r="G151" s="10" t="str">
        <x:f>IF(F151="","OPEN",IF(F151=E151,"PASS","FAIL"))</x:f>
        <x:v>OPEN</x:v>
      </x:c>
      <x:c r="H151" s="10" t="str">
        <x:v>class validity</x:v>
      </x:c>
    </x:row>
    <x:row r="152">
      <x:c r="A152" s="10" t="str">
        <x:v>AUD-B-147</x:v>
      </x:c>
      <x:c r="B152" s="10" t="str">
        <x:v>boundary</x:v>
      </x:c>
      <x:c r="C152" s="10" t="str">
        <x:v>RBI-C147</x:v>
      </x:c>
      <x:c r="D152" s="10" t="str">
        <x:v>registered falsification case is executable</x:v>
      </x:c>
      <x:c r="E152" s="10" t="str">
        <x:v>REGISTERED</x:v>
      </x:c>
      <x:c r="F152" s="12"/>
      <x:c r="G152" s="10" t="str">
        <x:f>IF(F152="","OPEN",IF(F152=E152,"PASS","FAIL"))</x:f>
        <x:v>OPEN</x:v>
      </x:c>
      <x:c r="H152" s="10" t="str">
        <x:v>class validity</x:v>
      </x:c>
    </x:row>
    <x:row r="153">
      <x:c r="A153" s="10" t="str">
        <x:v>AUD-B-148</x:v>
      </x:c>
      <x:c r="B153" s="10" t="str">
        <x:v>boundary</x:v>
      </x:c>
      <x:c r="C153" s="10" t="str">
        <x:v>RBI-C148</x:v>
      </x:c>
      <x:c r="D153" s="10" t="str">
        <x:v>registered falsification case is executable</x:v>
      </x:c>
      <x:c r="E153" s="10" t="str">
        <x:v>REGISTERED</x:v>
      </x:c>
      <x:c r="F153" s="12"/>
      <x:c r="G153" s="10" t="str">
        <x:f>IF(F153="","OPEN",IF(F153=E153,"PASS","FAIL"))</x:f>
        <x:v>OPEN</x:v>
      </x:c>
      <x:c r="H153" s="10" t="str">
        <x:v>class validity</x:v>
      </x:c>
    </x:row>
    <x:row r="154">
      <x:c r="A154" s="10" t="str">
        <x:v>AUD-B-149</x:v>
      </x:c>
      <x:c r="B154" s="10" t="str">
        <x:v>boundary</x:v>
      </x:c>
      <x:c r="C154" s="10" t="str">
        <x:v>RBI-C149</x:v>
      </x:c>
      <x:c r="D154" s="10" t="str">
        <x:v>registered falsification case is executable</x:v>
      </x:c>
      <x:c r="E154" s="10" t="str">
        <x:v>REGISTERED</x:v>
      </x:c>
      <x:c r="F154" s="12"/>
      <x:c r="G154" s="10" t="str">
        <x:f>IF(F154="","OPEN",IF(F154=E154,"PASS","FAIL"))</x:f>
        <x:v>OPEN</x:v>
      </x:c>
      <x:c r="H154" s="10" t="str">
        <x:v>class validity</x:v>
      </x:c>
    </x:row>
    <x:row r="155">
      <x:c r="A155" s="10" t="str">
        <x:v>AUD-B-150</x:v>
      </x:c>
      <x:c r="B155" s="10" t="str">
        <x:v>boundary</x:v>
      </x:c>
      <x:c r="C155" s="10" t="str">
        <x:v>RBI-C150</x:v>
      </x:c>
      <x:c r="D155" s="10" t="str">
        <x:v>registered falsification case is executable</x:v>
      </x:c>
      <x:c r="E155" s="10" t="str">
        <x:v>REGISTERED</x:v>
      </x:c>
      <x:c r="F155" s="12"/>
      <x:c r="G155" s="10" t="str">
        <x:f>IF(F155="","OPEN",IF(F155=E155,"PASS","FAIL"))</x:f>
        <x:v>OPEN</x:v>
      </x:c>
      <x:c r="H155" s="10" t="str">
        <x:v>class validity</x:v>
      </x:c>
    </x:row>
    <x:row r="156">
      <x:c r="A156" s="10" t="str">
        <x:v>AUD-R-001</x:v>
      </x:c>
      <x:c r="B156" s="10" t="str">
        <x:v>reconciliation</x:v>
      </x:c>
      <x:c r="C156" s="10" t="str">
        <x:v>water-lot gross allocation</x:v>
      </x:c>
      <x:c r="D156" s="10" t="str">
        <x:v>independent recomputation variant 1</x:v>
      </x:c>
      <x:c r="E156" s="10" t="str">
        <x:v>MATCH</x:v>
      </x:c>
      <x:c r="F156" s="12"/>
      <x:c r="G156" s="10" t="str">
        <x:f>IF(F156="","OPEN",IF(F156=E156,"PASS","FAIL"))</x:f>
        <x:v>OPEN</x:v>
      </x:c>
      <x:c r="H156" s="10" t="str">
        <x:v>program audit</x:v>
      </x:c>
    </x:row>
    <x:row r="157">
      <x:c r="A157" s="10" t="str">
        <x:v>AUD-R-002</x:v>
      </x:c>
      <x:c r="B157" s="10" t="str">
        <x:v>reconciliation</x:v>
      </x:c>
      <x:c r="C157" s="10" t="str">
        <x:v>water-lot gross allocation</x:v>
      </x:c>
      <x:c r="D157" s="10" t="str">
        <x:v>independent recomputation variant 2</x:v>
      </x:c>
      <x:c r="E157" s="10" t="str">
        <x:v>MATCH</x:v>
      </x:c>
      <x:c r="F157" s="12"/>
      <x:c r="G157" s="10" t="str">
        <x:f>IF(F157="","OPEN",IF(F157=E157,"PASS","FAIL"))</x:f>
        <x:v>OPEN</x:v>
      </x:c>
      <x:c r="H157" s="10" t="str">
        <x:v>program audit</x:v>
      </x:c>
    </x:row>
    <x:row r="158">
      <x:c r="A158" s="10" t="str">
        <x:v>AUD-R-003</x:v>
      </x:c>
      <x:c r="B158" s="10" t="str">
        <x:v>reconciliation</x:v>
      </x:c>
      <x:c r="C158" s="10" t="str">
        <x:v>water-lot gross allocation</x:v>
      </x:c>
      <x:c r="D158" s="10" t="str">
        <x:v>independent recomputation variant 3</x:v>
      </x:c>
      <x:c r="E158" s="10" t="str">
        <x:v>MATCH</x:v>
      </x:c>
      <x:c r="F158" s="12"/>
      <x:c r="G158" s="10" t="str">
        <x:f>IF(F158="","OPEN",IF(F158=E158,"PASS","FAIL"))</x:f>
        <x:v>OPEN</x:v>
      </x:c>
      <x:c r="H158" s="10" t="str">
        <x:v>program audit</x:v>
      </x:c>
    </x:row>
    <x:row r="159">
      <x:c r="A159" s="10" t="str">
        <x:v>AUD-R-004</x:v>
      </x:c>
      <x:c r="B159" s="10" t="str">
        <x:v>reconciliation</x:v>
      </x:c>
      <x:c r="C159" s="10" t="str">
        <x:v>water-lot gross allocation</x:v>
      </x:c>
      <x:c r="D159" s="10" t="str">
        <x:v>independent recomputation variant 4</x:v>
      </x:c>
      <x:c r="E159" s="10" t="str">
        <x:v>MATCH</x:v>
      </x:c>
      <x:c r="F159" s="12"/>
      <x:c r="G159" s="10" t="str">
        <x:f>IF(F159="","OPEN",IF(F159=E159,"PASS","FAIL"))</x:f>
        <x:v>OPEN</x:v>
      </x:c>
      <x:c r="H159" s="10" t="str">
        <x:v>program audit</x:v>
      </x:c>
    </x:row>
    <x:row r="160">
      <x:c r="A160" s="10" t="str">
        <x:v>AUD-R-005</x:v>
      </x:c>
      <x:c r="B160" s="10" t="str">
        <x:v>reconciliation</x:v>
      </x:c>
      <x:c r="C160" s="10" t="str">
        <x:v>qualification throughput</x:v>
      </x:c>
      <x:c r="D160" s="10" t="str">
        <x:v>independent recomputation variant 1</x:v>
      </x:c>
      <x:c r="E160" s="10" t="str">
        <x:v>MATCH</x:v>
      </x:c>
      <x:c r="F160" s="12"/>
      <x:c r="G160" s="10" t="str">
        <x:f>IF(F160="","OPEN",IF(F160=E160,"PASS","FAIL"))</x:f>
        <x:v>OPEN</x:v>
      </x:c>
      <x:c r="H160" s="10" t="str">
        <x:v>program audit</x:v>
      </x:c>
    </x:row>
    <x:row r="161">
      <x:c r="A161" s="10" t="str">
        <x:v>AUD-R-006</x:v>
      </x:c>
      <x:c r="B161" s="10" t="str">
        <x:v>reconciliation</x:v>
      </x:c>
      <x:c r="C161" s="10" t="str">
        <x:v>qualification throughput</x:v>
      </x:c>
      <x:c r="D161" s="10" t="str">
        <x:v>independent recomputation variant 2</x:v>
      </x:c>
      <x:c r="E161" s="10" t="str">
        <x:v>MATCH</x:v>
      </x:c>
      <x:c r="F161" s="12"/>
      <x:c r="G161" s="10" t="str">
        <x:f>IF(F161="","OPEN",IF(F161=E161,"PASS","FAIL"))</x:f>
        <x:v>OPEN</x:v>
      </x:c>
      <x:c r="H161" s="10" t="str">
        <x:v>program audit</x:v>
      </x:c>
    </x:row>
    <x:row r="162">
      <x:c r="A162" s="10" t="str">
        <x:v>AUD-R-007</x:v>
      </x:c>
      <x:c r="B162" s="10" t="str">
        <x:v>reconciliation</x:v>
      </x:c>
      <x:c r="C162" s="10" t="str">
        <x:v>qualification throughput</x:v>
      </x:c>
      <x:c r="D162" s="10" t="str">
        <x:v>independent recomputation variant 3</x:v>
      </x:c>
      <x:c r="E162" s="10" t="str">
        <x:v>MATCH</x:v>
      </x:c>
      <x:c r="F162" s="12"/>
      <x:c r="G162" s="10" t="str">
        <x:f>IF(F162="","OPEN",IF(F162=E162,"PASS","FAIL"))</x:f>
        <x:v>OPEN</x:v>
      </x:c>
      <x:c r="H162" s="10" t="str">
        <x:v>program audit</x:v>
      </x:c>
    </x:row>
    <x:row r="163">
      <x:c r="A163" s="10" t="str">
        <x:v>AUD-R-008</x:v>
      </x:c>
      <x:c r="B163" s="10" t="str">
        <x:v>reconciliation</x:v>
      </x:c>
      <x:c r="C163" s="10" t="str">
        <x:v>qualification throughput</x:v>
      </x:c>
      <x:c r="D163" s="10" t="str">
        <x:v>independent recomputation variant 4</x:v>
      </x:c>
      <x:c r="E163" s="10" t="str">
        <x:v>MATCH</x:v>
      </x:c>
      <x:c r="F163" s="12"/>
      <x:c r="G163" s="10" t="str">
        <x:f>IF(F163="","OPEN",IF(F163=E163,"PASS","FAIL"))</x:f>
        <x:v>OPEN</x:v>
      </x:c>
      <x:c r="H163" s="10" t="str">
        <x:v>program audit</x:v>
      </x:c>
    </x:row>
    <x:row r="164">
      <x:c r="A164" s="10" t="str">
        <x:v>AUD-R-009</x:v>
      </x:c>
      <x:c r="B164" s="10" t="str">
        <x:v>reconciliation</x:v>
      </x:c>
      <x:c r="C164" s="10" t="str">
        <x:v>required class throughput</x:v>
      </x:c>
      <x:c r="D164" s="10" t="str">
        <x:v>independent recomputation variant 1</x:v>
      </x:c>
      <x:c r="E164" s="10" t="str">
        <x:v>MATCH</x:v>
      </x:c>
      <x:c r="F164" s="12"/>
      <x:c r="G164" s="10" t="str">
        <x:f>IF(F164="","OPEN",IF(F164=E164,"PASS","FAIL"))</x:f>
        <x:v>OPEN</x:v>
      </x:c>
      <x:c r="H164" s="10" t="str">
        <x:v>program audit</x:v>
      </x:c>
    </x:row>
    <x:row r="165">
      <x:c r="A165" s="10" t="str">
        <x:v>AUD-R-010</x:v>
      </x:c>
      <x:c r="B165" s="10" t="str">
        <x:v>reconciliation</x:v>
      </x:c>
      <x:c r="C165" s="10" t="str">
        <x:v>required class throughput</x:v>
      </x:c>
      <x:c r="D165" s="10" t="str">
        <x:v>independent recomputation variant 2</x:v>
      </x:c>
      <x:c r="E165" s="10" t="str">
        <x:v>MATCH</x:v>
      </x:c>
      <x:c r="F165" s="12"/>
      <x:c r="G165" s="10" t="str">
        <x:f>IF(F165="","OPEN",IF(F165=E165,"PASS","FAIL"))</x:f>
        <x:v>OPEN</x:v>
      </x:c>
      <x:c r="H165" s="10" t="str">
        <x:v>program audit</x:v>
      </x:c>
    </x:row>
    <x:row r="166">
      <x:c r="A166" s="10" t="str">
        <x:v>AUD-R-011</x:v>
      </x:c>
      <x:c r="B166" s="10" t="str">
        <x:v>reconciliation</x:v>
      </x:c>
      <x:c r="C166" s="10" t="str">
        <x:v>required class throughput</x:v>
      </x:c>
      <x:c r="D166" s="10" t="str">
        <x:v>independent recomputation variant 3</x:v>
      </x:c>
      <x:c r="E166" s="10" t="str">
        <x:v>MATCH</x:v>
      </x:c>
      <x:c r="F166" s="12"/>
      <x:c r="G166" s="10" t="str">
        <x:f>IF(F166="","OPEN",IF(F166=E166,"PASS","FAIL"))</x:f>
        <x:v>OPEN</x:v>
      </x:c>
      <x:c r="H166" s="10" t="str">
        <x:v>program audit</x:v>
      </x:c>
    </x:row>
    <x:row r="167">
      <x:c r="A167" s="10" t="str">
        <x:v>AUD-R-012</x:v>
      </x:c>
      <x:c r="B167" s="10" t="str">
        <x:v>reconciliation</x:v>
      </x:c>
      <x:c r="C167" s="10" t="str">
        <x:v>required class throughput</x:v>
      </x:c>
      <x:c r="D167" s="10" t="str">
        <x:v>independent recomputation variant 4</x:v>
      </x:c>
      <x:c r="E167" s="10" t="str">
        <x:v>MATCH</x:v>
      </x:c>
      <x:c r="F167" s="12"/>
      <x:c r="G167" s="10" t="str">
        <x:f>IF(F167="","OPEN",IF(F167=E167,"PASS","FAIL"))</x:f>
        <x:v>OPEN</x:v>
      </x:c>
      <x:c r="H167" s="10" t="str">
        <x:v>program audit</x:v>
      </x:c>
    </x:row>
    <x:row r="168">
      <x:c r="A168" s="10" t="str">
        <x:v>AUD-R-013</x:v>
      </x:c>
      <x:c r="B168" s="10" t="str">
        <x:v>reconciliation</x:v>
      </x:c>
      <x:c r="C168" s="10" t="str">
        <x:v>maximum class throughput</x:v>
      </x:c>
      <x:c r="D168" s="10" t="str">
        <x:v>independent recomputation variant 1</x:v>
      </x:c>
      <x:c r="E168" s="10" t="str">
        <x:v>MATCH</x:v>
      </x:c>
      <x:c r="F168" s="12"/>
      <x:c r="G168" s="10" t="str">
        <x:f>IF(F168="","OPEN",IF(F168=E168,"PASS","FAIL"))</x:f>
        <x:v>OPEN</x:v>
      </x:c>
      <x:c r="H168" s="10" t="str">
        <x:v>program audit</x:v>
      </x:c>
    </x:row>
    <x:row r="169">
      <x:c r="A169" s="10" t="str">
        <x:v>AUD-R-014</x:v>
      </x:c>
      <x:c r="B169" s="10" t="str">
        <x:v>reconciliation</x:v>
      </x:c>
      <x:c r="C169" s="10" t="str">
        <x:v>maximum class throughput</x:v>
      </x:c>
      <x:c r="D169" s="10" t="str">
        <x:v>independent recomputation variant 2</x:v>
      </x:c>
      <x:c r="E169" s="10" t="str">
        <x:v>MATCH</x:v>
      </x:c>
      <x:c r="F169" s="12"/>
      <x:c r="G169" s="10" t="str">
        <x:f>IF(F169="","OPEN",IF(F169=E169,"PASS","FAIL"))</x:f>
        <x:v>OPEN</x:v>
      </x:c>
      <x:c r="H169" s="10" t="str">
        <x:v>program audit</x:v>
      </x:c>
    </x:row>
    <x:row r="170">
      <x:c r="A170" s="10" t="str">
        <x:v>AUD-R-015</x:v>
      </x:c>
      <x:c r="B170" s="10" t="str">
        <x:v>reconciliation</x:v>
      </x:c>
      <x:c r="C170" s="10" t="str">
        <x:v>maximum class throughput</x:v>
      </x:c>
      <x:c r="D170" s="10" t="str">
        <x:v>independent recomputation variant 3</x:v>
      </x:c>
      <x:c r="E170" s="10" t="str">
        <x:v>MATCH</x:v>
      </x:c>
      <x:c r="F170" s="12"/>
      <x:c r="G170" s="10" t="str">
        <x:f>IF(F170="","OPEN",IF(F170=E170,"PASS","FAIL"))</x:f>
        <x:v>OPEN</x:v>
      </x:c>
      <x:c r="H170" s="10" t="str">
        <x:v>program audit</x:v>
      </x:c>
    </x:row>
    <x:row r="171">
      <x:c r="A171" s="10" t="str">
        <x:v>AUD-R-016</x:v>
      </x:c>
      <x:c r="B171" s="10" t="str">
        <x:v>reconciliation</x:v>
      </x:c>
      <x:c r="C171" s="10" t="str">
        <x:v>maximum class throughput</x:v>
      </x:c>
      <x:c r="D171" s="10" t="str">
        <x:v>independent recomputation variant 4</x:v>
      </x:c>
      <x:c r="E171" s="10" t="str">
        <x:v>MATCH</x:v>
      </x:c>
      <x:c r="F171" s="12"/>
      <x:c r="G171" s="10" t="str">
        <x:f>IF(F171="","OPEN",IF(F171=E171,"PASS","FAIL"))</x:f>
        <x:v>OPEN</x:v>
      </x:c>
      <x:c r="H171" s="10" t="str">
        <x:v>program audit</x:v>
      </x:c>
    </x:row>
    <x:row r="172">
      <x:c r="A172" s="10" t="str">
        <x:v>AUD-R-017</x:v>
      </x:c>
      <x:c r="B172" s="10" t="str">
        <x:v>reconciliation</x:v>
      </x:c>
      <x:c r="C172" s="10" t="str">
        <x:v>governed total throughput</x:v>
      </x:c>
      <x:c r="D172" s="10" t="str">
        <x:v>independent recomputation variant 1</x:v>
      </x:c>
      <x:c r="E172" s="10" t="str">
        <x:v>MATCH</x:v>
      </x:c>
      <x:c r="F172" s="12"/>
      <x:c r="G172" s="10" t="str">
        <x:f>IF(F172="","OPEN",IF(F172=E172,"PASS","FAIL"))</x:f>
        <x:v>OPEN</x:v>
      </x:c>
      <x:c r="H172" s="10" t="str">
        <x:v>program audit</x:v>
      </x:c>
    </x:row>
    <x:row r="173">
      <x:c r="A173" s="10" t="str">
        <x:v>AUD-R-018</x:v>
      </x:c>
      <x:c r="B173" s="10" t="str">
        <x:v>reconciliation</x:v>
      </x:c>
      <x:c r="C173" s="10" t="str">
        <x:v>governed total throughput</x:v>
      </x:c>
      <x:c r="D173" s="10" t="str">
        <x:v>independent recomputation variant 2</x:v>
      </x:c>
      <x:c r="E173" s="10" t="str">
        <x:v>MATCH</x:v>
      </x:c>
      <x:c r="F173" s="12"/>
      <x:c r="G173" s="10" t="str">
        <x:f>IF(F173="","OPEN",IF(F173=E173,"PASS","FAIL"))</x:f>
        <x:v>OPEN</x:v>
      </x:c>
      <x:c r="H173" s="10" t="str">
        <x:v>program audit</x:v>
      </x:c>
    </x:row>
    <x:row r="174">
      <x:c r="A174" s="10" t="str">
        <x:v>AUD-R-019</x:v>
      </x:c>
      <x:c r="B174" s="10" t="str">
        <x:v>reconciliation</x:v>
      </x:c>
      <x:c r="C174" s="10" t="str">
        <x:v>governed total throughput</x:v>
      </x:c>
      <x:c r="D174" s="10" t="str">
        <x:v>independent recomputation variant 3</x:v>
      </x:c>
      <x:c r="E174" s="10" t="str">
        <x:v>MATCH</x:v>
      </x:c>
      <x:c r="F174" s="12"/>
      <x:c r="G174" s="10" t="str">
        <x:f>IF(F174="","OPEN",IF(F174=E174,"PASS","FAIL"))</x:f>
        <x:v>OPEN</x:v>
      </x:c>
      <x:c r="H174" s="10" t="str">
        <x:v>program audit</x:v>
      </x:c>
    </x:row>
    <x:row r="175">
      <x:c r="A175" s="10" t="str">
        <x:v>AUD-R-020</x:v>
      </x:c>
      <x:c r="B175" s="10" t="str">
        <x:v>reconciliation</x:v>
      </x:c>
      <x:c r="C175" s="10" t="str">
        <x:v>governed total throughput</x:v>
      </x:c>
      <x:c r="D175" s="10" t="str">
        <x:v>independent recomputation variant 4</x:v>
      </x:c>
      <x:c r="E175" s="10" t="str">
        <x:v>MATCH</x:v>
      </x:c>
      <x:c r="F175" s="12"/>
      <x:c r="G175" s="10" t="str">
        <x:f>IF(F175="","OPEN",IF(F175=E175,"PASS","FAIL"))</x:f>
        <x:v>OPEN</x:v>
      </x:c>
      <x:c r="H175" s="10" t="str">
        <x:v>program audit</x:v>
      </x:c>
    </x:row>
    <x:row r="176">
      <x:c r="A176" s="10" t="str">
        <x:v>AUD-R-021</x:v>
      </x:c>
      <x:c r="B176" s="10" t="str">
        <x:v>reconciliation</x:v>
      </x:c>
      <x:c r="C176" s="10" t="str">
        <x:v>event water mass</x:v>
      </x:c>
      <x:c r="D176" s="10" t="str">
        <x:v>independent recomputation variant 1</x:v>
      </x:c>
      <x:c r="E176" s="10" t="str">
        <x:v>MATCH</x:v>
      </x:c>
      <x:c r="F176" s="12"/>
      <x:c r="G176" s="10" t="str">
        <x:f>IF(F176="","OPEN",IF(F176=E176,"PASS","FAIL"))</x:f>
        <x:v>OPEN</x:v>
      </x:c>
      <x:c r="H176" s="10" t="str">
        <x:v>program audit</x:v>
      </x:c>
    </x:row>
    <x:row r="177">
      <x:c r="A177" s="10" t="str">
        <x:v>AUD-R-022</x:v>
      </x:c>
      <x:c r="B177" s="10" t="str">
        <x:v>reconciliation</x:v>
      </x:c>
      <x:c r="C177" s="10" t="str">
        <x:v>event water mass</x:v>
      </x:c>
      <x:c r="D177" s="10" t="str">
        <x:v>independent recomputation variant 2</x:v>
      </x:c>
      <x:c r="E177" s="10" t="str">
        <x:v>MATCH</x:v>
      </x:c>
      <x:c r="F177" s="12"/>
      <x:c r="G177" s="10" t="str">
        <x:f>IF(F177="","OPEN",IF(F177=E177,"PASS","FAIL"))</x:f>
        <x:v>OPEN</x:v>
      </x:c>
      <x:c r="H177" s="10" t="str">
        <x:v>program audit</x:v>
      </x:c>
    </x:row>
    <x:row r="178">
      <x:c r="A178" s="10" t="str">
        <x:v>AUD-R-023</x:v>
      </x:c>
      <x:c r="B178" s="10" t="str">
        <x:v>reconciliation</x:v>
      </x:c>
      <x:c r="C178" s="10" t="str">
        <x:v>event water mass</x:v>
      </x:c>
      <x:c r="D178" s="10" t="str">
        <x:v>independent recomputation variant 3</x:v>
      </x:c>
      <x:c r="E178" s="10" t="str">
        <x:v>MATCH</x:v>
      </x:c>
      <x:c r="F178" s="12"/>
      <x:c r="G178" s="10" t="str">
        <x:f>IF(F178="","OPEN",IF(F178=E178,"PASS","FAIL"))</x:f>
        <x:v>OPEN</x:v>
      </x:c>
      <x:c r="H178" s="10" t="str">
        <x:v>program audit</x:v>
      </x:c>
    </x:row>
    <x:row r="179">
      <x:c r="A179" s="10" t="str">
        <x:v>AUD-R-024</x:v>
      </x:c>
      <x:c r="B179" s="10" t="str">
        <x:v>reconciliation</x:v>
      </x:c>
      <x:c r="C179" s="10" t="str">
        <x:v>event water mass</x:v>
      </x:c>
      <x:c r="D179" s="10" t="str">
        <x:v>independent recomputation variant 4</x:v>
      </x:c>
      <x:c r="E179" s="10" t="str">
        <x:v>MATCH</x:v>
      </x:c>
      <x:c r="F179" s="12"/>
      <x:c r="G179" s="10" t="str">
        <x:f>IF(F179="","OPEN",IF(F179=E179,"PASS","FAIL"))</x:f>
        <x:v>OPEN</x:v>
      </x:c>
      <x:c r="H179" s="10" t="str">
        <x:v>program audit</x:v>
      </x:c>
    </x:row>
    <x:row r="180">
      <x:c r="A180" s="10" t="str">
        <x:v>AUD-R-025</x:v>
      </x:c>
      <x:c r="B180" s="10" t="str">
        <x:v>reconciliation</x:v>
      </x:c>
      <x:c r="C180" s="10" t="str">
        <x:v>issue duration</x:v>
      </x:c>
      <x:c r="D180" s="10" t="str">
        <x:v>independent recomputation variant 1</x:v>
      </x:c>
      <x:c r="E180" s="10" t="str">
        <x:v>MATCH</x:v>
      </x:c>
      <x:c r="F180" s="12"/>
      <x:c r="G180" s="10" t="str">
        <x:f>IF(F180="","OPEN",IF(F180=E180,"PASS","FAIL"))</x:f>
        <x:v>OPEN</x:v>
      </x:c>
      <x:c r="H180" s="10" t="str">
        <x:v>program audit</x:v>
      </x:c>
    </x:row>
    <x:row r="181">
      <x:c r="A181" s="10" t="str">
        <x:v>AUD-R-026</x:v>
      </x:c>
      <x:c r="B181" s="10" t="str">
        <x:v>reconciliation</x:v>
      </x:c>
      <x:c r="C181" s="10" t="str">
        <x:v>issue duration</x:v>
      </x:c>
      <x:c r="D181" s="10" t="str">
        <x:v>independent recomputation variant 2</x:v>
      </x:c>
      <x:c r="E181" s="10" t="str">
        <x:v>MATCH</x:v>
      </x:c>
      <x:c r="F181" s="12"/>
      <x:c r="G181" s="10" t="str">
        <x:f>IF(F181="","OPEN",IF(F181=E181,"PASS","FAIL"))</x:f>
        <x:v>OPEN</x:v>
      </x:c>
      <x:c r="H181" s="10" t="str">
        <x:v>program audit</x:v>
      </x:c>
    </x:row>
    <x:row r="182">
      <x:c r="A182" s="10" t="str">
        <x:v>AUD-R-027</x:v>
      </x:c>
      <x:c r="B182" s="10" t="str">
        <x:v>reconciliation</x:v>
      </x:c>
      <x:c r="C182" s="10" t="str">
        <x:v>issue duration</x:v>
      </x:c>
      <x:c r="D182" s="10" t="str">
        <x:v>independent recomputation variant 3</x:v>
      </x:c>
      <x:c r="E182" s="10" t="str">
        <x:v>MATCH</x:v>
      </x:c>
      <x:c r="F182" s="12"/>
      <x:c r="G182" s="10" t="str">
        <x:f>IF(F182="","OPEN",IF(F182=E182,"PASS","FAIL"))</x:f>
        <x:v>OPEN</x:v>
      </x:c>
      <x:c r="H182" s="10" t="str">
        <x:v>program audit</x:v>
      </x:c>
    </x:row>
    <x:row r="183">
      <x:c r="A183" s="10" t="str">
        <x:v>AUD-R-028</x:v>
      </x:c>
      <x:c r="B183" s="10" t="str">
        <x:v>reconciliation</x:v>
      </x:c>
      <x:c r="C183" s="10" t="str">
        <x:v>issue duration</x:v>
      </x:c>
      <x:c r="D183" s="10" t="str">
        <x:v>independent recomputation variant 4</x:v>
      </x:c>
      <x:c r="E183" s="10" t="str">
        <x:v>MATCH</x:v>
      </x:c>
      <x:c r="F183" s="12"/>
      <x:c r="G183" s="10" t="str">
        <x:f>IF(F183="","OPEN",IF(F183=E183,"PASS","FAIL"))</x:f>
        <x:v>OPEN</x:v>
      </x:c>
      <x:c r="H183" s="10" t="str">
        <x:v>program audit</x:v>
      </x:c>
    </x:row>
    <x:row r="184">
      <x:c r="A184" s="10" t="str">
        <x:v>AUD-R-029</x:v>
      </x:c>
      <x:c r="B184" s="10" t="str">
        <x:v>reconciliation</x:v>
      </x:c>
      <x:c r="C184" s="10" t="str">
        <x:v>ideal hydraulic power</x:v>
      </x:c>
      <x:c r="D184" s="10" t="str">
        <x:v>independent recomputation variant 1</x:v>
      </x:c>
      <x:c r="E184" s="10" t="str">
        <x:v>MATCH</x:v>
      </x:c>
      <x:c r="F184" s="12"/>
      <x:c r="G184" s="10" t="str">
        <x:f>IF(F184="","OPEN",IF(F184=E184,"PASS","FAIL"))</x:f>
        <x:v>OPEN</x:v>
      </x:c>
      <x:c r="H184" s="10" t="str">
        <x:v>program audit</x:v>
      </x:c>
    </x:row>
    <x:row r="185">
      <x:c r="A185" s="10" t="str">
        <x:v>AUD-R-030</x:v>
      </x:c>
      <x:c r="B185" s="10" t="str">
        <x:v>reconciliation</x:v>
      </x:c>
      <x:c r="C185" s="10" t="str">
        <x:v>ideal hydraulic power</x:v>
      </x:c>
      <x:c r="D185" s="10" t="str">
        <x:v>independent recomputation variant 2</x:v>
      </x:c>
      <x:c r="E185" s="10" t="str">
        <x:v>MATCH</x:v>
      </x:c>
      <x:c r="F185" s="12"/>
      <x:c r="G185" s="10" t="str">
        <x:f>IF(F185="","OPEN",IF(F185=E185,"PASS","FAIL"))</x:f>
        <x:v>OPEN</x:v>
      </x:c>
      <x:c r="H185" s="10" t="str">
        <x:v>program audit</x:v>
      </x:c>
    </x:row>
    <x:row r="186">
      <x:c r="A186" s="10" t="str">
        <x:v>AUD-R-031</x:v>
      </x:c>
      <x:c r="B186" s="10" t="str">
        <x:v>reconciliation</x:v>
      </x:c>
      <x:c r="C186" s="10" t="str">
        <x:v>ideal hydraulic power</x:v>
      </x:c>
      <x:c r="D186" s="10" t="str">
        <x:v>independent recomputation variant 3</x:v>
      </x:c>
      <x:c r="E186" s="10" t="str">
        <x:v>MATCH</x:v>
      </x:c>
      <x:c r="F186" s="12"/>
      <x:c r="G186" s="10" t="str">
        <x:f>IF(F186="","OPEN",IF(F186=E186,"PASS","FAIL"))</x:f>
        <x:v>OPEN</x:v>
      </x:c>
      <x:c r="H186" s="10" t="str">
        <x:v>program audit</x:v>
      </x:c>
    </x:row>
    <x:row r="187">
      <x:c r="A187" s="10" t="str">
        <x:v>AUD-R-032</x:v>
      </x:c>
      <x:c r="B187" s="10" t="str">
        <x:v>reconciliation</x:v>
      </x:c>
      <x:c r="C187" s="10" t="str">
        <x:v>ideal hydraulic power</x:v>
      </x:c>
      <x:c r="D187" s="10" t="str">
        <x:v>independent recomputation variant 4</x:v>
      </x:c>
      <x:c r="E187" s="10" t="str">
        <x:v>MATCH</x:v>
      </x:c>
      <x:c r="F187" s="12"/>
      <x:c r="G187" s="10" t="str">
        <x:f>IF(F187="","OPEN",IF(F187=E187,"PASS","FAIL"))</x:f>
        <x:v>OPEN</x:v>
      </x:c>
      <x:c r="H187" s="10" t="str">
        <x:v>program audit</x:v>
      </x:c>
    </x:row>
    <x:row r="188">
      <x:c r="A188" s="10" t="str">
        <x:v>AUD-R-033</x:v>
      </x:c>
      <x:c r="B188" s="10" t="str">
        <x:v>reconciliation</x:v>
      </x:c>
      <x:c r="C188" s="10" t="str">
        <x:v>pump input power</x:v>
      </x:c>
      <x:c r="D188" s="10" t="str">
        <x:v>independent recomputation variant 1</x:v>
      </x:c>
      <x:c r="E188" s="10" t="str">
        <x:v>MATCH</x:v>
      </x:c>
      <x:c r="F188" s="12"/>
      <x:c r="G188" s="10" t="str">
        <x:f>IF(F188="","OPEN",IF(F188=E188,"PASS","FAIL"))</x:f>
        <x:v>OPEN</x:v>
      </x:c>
      <x:c r="H188" s="10" t="str">
        <x:v>program audit</x:v>
      </x:c>
    </x:row>
    <x:row r="189">
      <x:c r="A189" s="10" t="str">
        <x:v>AUD-R-034</x:v>
      </x:c>
      <x:c r="B189" s="10" t="str">
        <x:v>reconciliation</x:v>
      </x:c>
      <x:c r="C189" s="10" t="str">
        <x:v>pump input power</x:v>
      </x:c>
      <x:c r="D189" s="10" t="str">
        <x:v>independent recomputation variant 2</x:v>
      </x:c>
      <x:c r="E189" s="10" t="str">
        <x:v>MATCH</x:v>
      </x:c>
      <x:c r="F189" s="12"/>
      <x:c r="G189" s="10" t="str">
        <x:f>IF(F189="","OPEN",IF(F189=E189,"PASS","FAIL"))</x:f>
        <x:v>OPEN</x:v>
      </x:c>
      <x:c r="H189" s="10" t="str">
        <x:v>program audit</x:v>
      </x:c>
    </x:row>
    <x:row r="190">
      <x:c r="A190" s="10" t="str">
        <x:v>AUD-R-035</x:v>
      </x:c>
      <x:c r="B190" s="10" t="str">
        <x:v>reconciliation</x:v>
      </x:c>
      <x:c r="C190" s="10" t="str">
        <x:v>pump input power</x:v>
      </x:c>
      <x:c r="D190" s="10" t="str">
        <x:v>independent recomputation variant 3</x:v>
      </x:c>
      <x:c r="E190" s="10" t="str">
        <x:v>MATCH</x:v>
      </x:c>
      <x:c r="F190" s="12"/>
      <x:c r="G190" s="10" t="str">
        <x:f>IF(F190="","OPEN",IF(F190=E190,"PASS","FAIL"))</x:f>
        <x:v>OPEN</x:v>
      </x:c>
      <x:c r="H190" s="10" t="str">
        <x:v>program audit</x:v>
      </x:c>
    </x:row>
    <x:row r="191">
      <x:c r="A191" s="10" t="str">
        <x:v>AUD-R-036</x:v>
      </x:c>
      <x:c r="B191" s="10" t="str">
        <x:v>reconciliation</x:v>
      </x:c>
      <x:c r="C191" s="10" t="str">
        <x:v>pump input power</x:v>
      </x:c>
      <x:c r="D191" s="10" t="str">
        <x:v>independent recomputation variant 4</x:v>
      </x:c>
      <x:c r="E191" s="10" t="str">
        <x:v>MATCH</x:v>
      </x:c>
      <x:c r="F191" s="12"/>
      <x:c r="G191" s="10" t="str">
        <x:f>IF(F191="","OPEN",IF(F191=E191,"PASS","FAIL"))</x:f>
        <x:v>OPEN</x:v>
      </x:c>
      <x:c r="H191" s="10" t="str">
        <x:v>program audit</x:v>
      </x:c>
    </x:row>
    <x:row r="192">
      <x:c r="A192" s="10" t="str">
        <x:v>AUD-R-037</x:v>
      </x:c>
      <x:c r="B192" s="10" t="str">
        <x:v>reconciliation</x:v>
      </x:c>
      <x:c r="C192" s="10" t="str">
        <x:v>pump input energy</x:v>
      </x:c>
      <x:c r="D192" s="10" t="str">
        <x:v>independent recomputation variant 1</x:v>
      </x:c>
      <x:c r="E192" s="10" t="str">
        <x:v>MATCH</x:v>
      </x:c>
      <x:c r="F192" s="12"/>
      <x:c r="G192" s="10" t="str">
        <x:f>IF(F192="","OPEN",IF(F192=E192,"PASS","FAIL"))</x:f>
        <x:v>OPEN</x:v>
      </x:c>
      <x:c r="H192" s="10" t="str">
        <x:v>program audit</x:v>
      </x:c>
    </x:row>
    <x:row r="193">
      <x:c r="A193" s="10" t="str">
        <x:v>AUD-R-038</x:v>
      </x:c>
      <x:c r="B193" s="10" t="str">
        <x:v>reconciliation</x:v>
      </x:c>
      <x:c r="C193" s="10" t="str">
        <x:v>pump input energy</x:v>
      </x:c>
      <x:c r="D193" s="10" t="str">
        <x:v>independent recomputation variant 2</x:v>
      </x:c>
      <x:c r="E193" s="10" t="str">
        <x:v>MATCH</x:v>
      </x:c>
      <x:c r="F193" s="12"/>
      <x:c r="G193" s="10" t="str">
        <x:f>IF(F193="","OPEN",IF(F193=E193,"PASS","FAIL"))</x:f>
        <x:v>OPEN</x:v>
      </x:c>
      <x:c r="H193" s="10" t="str">
        <x:v>program audit</x:v>
      </x:c>
    </x:row>
    <x:row r="194">
      <x:c r="A194" s="10" t="str">
        <x:v>AUD-R-039</x:v>
      </x:c>
      <x:c r="B194" s="10" t="str">
        <x:v>reconciliation</x:v>
      </x:c>
      <x:c r="C194" s="10" t="str">
        <x:v>pump input energy</x:v>
      </x:c>
      <x:c r="D194" s="10" t="str">
        <x:v>independent recomputation variant 3</x:v>
      </x:c>
      <x:c r="E194" s="10" t="str">
        <x:v>MATCH</x:v>
      </x:c>
      <x:c r="F194" s="12"/>
      <x:c r="G194" s="10" t="str">
        <x:f>IF(F194="","OPEN",IF(F194=E194,"PASS","FAIL"))</x:f>
        <x:v>OPEN</x:v>
      </x:c>
      <x:c r="H194" s="10" t="str">
        <x:v>program audit</x:v>
      </x:c>
    </x:row>
    <x:row r="195">
      <x:c r="A195" s="10" t="str">
        <x:v>AUD-R-040</x:v>
      </x:c>
      <x:c r="B195" s="10" t="str">
        <x:v>reconciliation</x:v>
      </x:c>
      <x:c r="C195" s="10" t="str">
        <x:v>pump input energy</x:v>
      </x:c>
      <x:c r="D195" s="10" t="str">
        <x:v>independent recomputation variant 4</x:v>
      </x:c>
      <x:c r="E195" s="10" t="str">
        <x:v>MATCH</x:v>
      </x:c>
      <x:c r="F195" s="12"/>
      <x:c r="G195" s="10" t="str">
        <x:f>IF(F195="","OPEN",IF(F195=E195,"PASS","FAIL"))</x:f>
        <x:v>OPEN</x:v>
      </x:c>
      <x:c r="H195" s="10" t="str">
        <x:v>program audit</x:v>
      </x:c>
    </x:row>
    <x:row r="196">
      <x:c r="A196" s="10" t="str">
        <x:v>AUD-R-041</x:v>
      </x:c>
      <x:c r="B196" s="10" t="str">
        <x:v>reconciliation</x:v>
      </x:c>
      <x:c r="C196" s="10" t="str">
        <x:v>zone area</x:v>
      </x:c>
      <x:c r="D196" s="10" t="str">
        <x:v>independent recomputation variant 1</x:v>
      </x:c>
      <x:c r="E196" s="10" t="str">
        <x:v>MATCH</x:v>
      </x:c>
      <x:c r="F196" s="12"/>
      <x:c r="G196" s="10" t="str">
        <x:f>IF(F196="","OPEN",IF(F196=E196,"PASS","FAIL"))</x:f>
        <x:v>OPEN</x:v>
      </x:c>
      <x:c r="H196" s="10" t="str">
        <x:v>program audit</x:v>
      </x:c>
    </x:row>
    <x:row r="197">
      <x:c r="A197" s="10" t="str">
        <x:v>AUD-R-042</x:v>
      </x:c>
      <x:c r="B197" s="10" t="str">
        <x:v>reconciliation</x:v>
      </x:c>
      <x:c r="C197" s="10" t="str">
        <x:v>zone area</x:v>
      </x:c>
      <x:c r="D197" s="10" t="str">
        <x:v>independent recomputation variant 2</x:v>
      </x:c>
      <x:c r="E197" s="10" t="str">
        <x:v>MATCH</x:v>
      </x:c>
      <x:c r="F197" s="12"/>
      <x:c r="G197" s="10" t="str">
        <x:f>IF(F197="","OPEN",IF(F197=E197,"PASS","FAIL"))</x:f>
        <x:v>OPEN</x:v>
      </x:c>
      <x:c r="H197" s="10" t="str">
        <x:v>program audit</x:v>
      </x:c>
    </x:row>
    <x:row r="198">
      <x:c r="A198" s="10" t="str">
        <x:v>AUD-R-043</x:v>
      </x:c>
      <x:c r="B198" s="10" t="str">
        <x:v>reconciliation</x:v>
      </x:c>
      <x:c r="C198" s="10" t="str">
        <x:v>zone area</x:v>
      </x:c>
      <x:c r="D198" s="10" t="str">
        <x:v>independent recomputation variant 3</x:v>
      </x:c>
      <x:c r="E198" s="10" t="str">
        <x:v>MATCH</x:v>
      </x:c>
      <x:c r="F198" s="12"/>
      <x:c r="G198" s="10" t="str">
        <x:f>IF(F198="","OPEN",IF(F198=E198,"PASS","FAIL"))</x:f>
        <x:v>OPEN</x:v>
      </x:c>
      <x:c r="H198" s="10" t="str">
        <x:v>program audit</x:v>
      </x:c>
    </x:row>
    <x:row r="199">
      <x:c r="A199" s="10" t="str">
        <x:v>AUD-R-044</x:v>
      </x:c>
      <x:c r="B199" s="10" t="str">
        <x:v>reconciliation</x:v>
      </x:c>
      <x:c r="C199" s="10" t="str">
        <x:v>zone area</x:v>
      </x:c>
      <x:c r="D199" s="10" t="str">
        <x:v>independent recomputation variant 4</x:v>
      </x:c>
      <x:c r="E199" s="10" t="str">
        <x:v>MATCH</x:v>
      </x:c>
      <x:c r="F199" s="12"/>
      <x:c r="G199" s="10" t="str">
        <x:f>IF(F199="","OPEN",IF(F199=E199,"PASS","FAIL"))</x:f>
        <x:v>OPEN</x:v>
      </x:c>
      <x:c r="H199" s="10" t="str">
        <x:v>program audit</x:v>
      </x:c>
    </x:row>
    <x:row r="200">
      <x:c r="A200" s="10" t="str">
        <x:v>AUD-R-045</x:v>
      </x:c>
      <x:c r="B200" s="10" t="str">
        <x:v>reconciliation</x:v>
      </x:c>
      <x:c r="C200" s="10" t="str">
        <x:v>zone flow</x:v>
      </x:c>
      <x:c r="D200" s="10" t="str">
        <x:v>independent recomputation variant 1</x:v>
      </x:c>
      <x:c r="E200" s="10" t="str">
        <x:v>MATCH</x:v>
      </x:c>
      <x:c r="F200" s="12"/>
      <x:c r="G200" s="10" t="str">
        <x:f>IF(F200="","OPEN",IF(F200=E200,"PASS","FAIL"))</x:f>
        <x:v>OPEN</x:v>
      </x:c>
      <x:c r="H200" s="10" t="str">
        <x:v>program audit</x:v>
      </x:c>
    </x:row>
    <x:row r="201">
      <x:c r="A201" s="10" t="str">
        <x:v>AUD-R-046</x:v>
      </x:c>
      <x:c r="B201" s="10" t="str">
        <x:v>reconciliation</x:v>
      </x:c>
      <x:c r="C201" s="10" t="str">
        <x:v>zone flow</x:v>
      </x:c>
      <x:c r="D201" s="10" t="str">
        <x:v>independent recomputation variant 2</x:v>
      </x:c>
      <x:c r="E201" s="10" t="str">
        <x:v>MATCH</x:v>
      </x:c>
      <x:c r="F201" s="12"/>
      <x:c r="G201" s="10" t="str">
        <x:f>IF(F201="","OPEN",IF(F201=E201,"PASS","FAIL"))</x:f>
        <x:v>OPEN</x:v>
      </x:c>
      <x:c r="H201" s="10" t="str">
        <x:v>program audit</x:v>
      </x:c>
    </x:row>
    <x:row r="202">
      <x:c r="A202" s="10" t="str">
        <x:v>AUD-R-047</x:v>
      </x:c>
      <x:c r="B202" s="10" t="str">
        <x:v>reconciliation</x:v>
      </x:c>
      <x:c r="C202" s="10" t="str">
        <x:v>zone flow</x:v>
      </x:c>
      <x:c r="D202" s="10" t="str">
        <x:v>independent recomputation variant 3</x:v>
      </x:c>
      <x:c r="E202" s="10" t="str">
        <x:v>MATCH</x:v>
      </x:c>
      <x:c r="F202" s="12"/>
      <x:c r="G202" s="10" t="str">
        <x:f>IF(F202="","OPEN",IF(F202=E202,"PASS","FAIL"))</x:f>
        <x:v>OPEN</x:v>
      </x:c>
      <x:c r="H202" s="10" t="str">
        <x:v>program audit</x:v>
      </x:c>
    </x:row>
    <x:row r="203">
      <x:c r="A203" s="10" t="str">
        <x:v>AUD-R-048</x:v>
      </x:c>
      <x:c r="B203" s="10" t="str">
        <x:v>reconciliation</x:v>
      </x:c>
      <x:c r="C203" s="10" t="str">
        <x:v>zone flow</x:v>
      </x:c>
      <x:c r="D203" s="10" t="str">
        <x:v>independent recomputation variant 4</x:v>
      </x:c>
      <x:c r="E203" s="10" t="str">
        <x:v>MATCH</x:v>
      </x:c>
      <x:c r="F203" s="12"/>
      <x:c r="G203" s="10" t="str">
        <x:f>IF(F203="","OPEN",IF(F203=E203,"PASS","FAIL"))</x:f>
        <x:v>OPEN</x:v>
      </x:c>
      <x:c r="H203" s="10" t="str">
        <x:v>program audit</x:v>
      </x:c>
    </x:row>
    <x:row r="204">
      <x:c r="A204" s="10" t="str">
        <x:v>AUD-R-049</x:v>
      </x:c>
      <x:c r="B204" s="10" t="str">
        <x:v>reconciliation</x:v>
      </x:c>
      <x:c r="C204" s="10" t="str">
        <x:v>evidence total</x:v>
      </x:c>
      <x:c r="D204" s="10" t="str">
        <x:v>independent recomputation variant 1</x:v>
      </x:c>
      <x:c r="E204" s="10" t="str">
        <x:v>MATCH</x:v>
      </x:c>
      <x:c r="F204" s="12"/>
      <x:c r="G204" s="10" t="str">
        <x:f>IF(F204="","OPEN",IF(F204=E204,"PASS","FAIL"))</x:f>
        <x:v>OPEN</x:v>
      </x:c>
      <x:c r="H204" s="10" t="str">
        <x:v>program audit</x:v>
      </x:c>
    </x:row>
    <x:row r="205">
      <x:c r="A205" s="10" t="str">
        <x:v>AUD-R-050</x:v>
      </x:c>
      <x:c r="B205" s="10" t="str">
        <x:v>reconciliation</x:v>
      </x:c>
      <x:c r="C205" s="10" t="str">
        <x:v>evidence total</x:v>
      </x:c>
      <x:c r="D205" s="10" t="str">
        <x:v>independent recomputation variant 2</x:v>
      </x:c>
      <x:c r="E205" s="10" t="str">
        <x:v>MATCH</x:v>
      </x:c>
      <x:c r="F205" s="12"/>
      <x:c r="G205" s="10" t="str">
        <x:f>IF(F205="","OPEN",IF(F205=E205,"PASS","FAIL"))</x:f>
        <x:v>OPEN</x:v>
      </x:c>
      <x:c r="H205" s="10" t="str">
        <x:v>program audit</x:v>
      </x:c>
    </x:row>
    <x:row r="206">
      <x:c r="A206" s="10" t="str">
        <x:v>AUD-R-051</x:v>
      </x:c>
      <x:c r="B206" s="10" t="str">
        <x:v>reconciliation</x:v>
      </x:c>
      <x:c r="C206" s="10" t="str">
        <x:v>evidence total</x:v>
      </x:c>
      <x:c r="D206" s="10" t="str">
        <x:v>independent recomputation variant 3</x:v>
      </x:c>
      <x:c r="E206" s="10" t="str">
        <x:v>MATCH</x:v>
      </x:c>
      <x:c r="F206" s="12"/>
      <x:c r="G206" s="10" t="str">
        <x:f>IF(F206="","OPEN",IF(F206=E206,"PASS","FAIL"))</x:f>
        <x:v>OPEN</x:v>
      </x:c>
      <x:c r="H206" s="10" t="str">
        <x:v>program audit</x:v>
      </x:c>
    </x:row>
    <x:row r="207">
      <x:c r="A207" s="10" t="str">
        <x:v>AUD-R-052</x:v>
      </x:c>
      <x:c r="B207" s="10" t="str">
        <x:v>reconciliation</x:v>
      </x:c>
      <x:c r="C207" s="10" t="str">
        <x:v>evidence total</x:v>
      </x:c>
      <x:c r="D207" s="10" t="str">
        <x:v>independent recomputation variant 4</x:v>
      </x:c>
      <x:c r="E207" s="10" t="str">
        <x:v>MATCH</x:v>
      </x:c>
      <x:c r="F207" s="12"/>
      <x:c r="G207" s="10" t="str">
        <x:f>IF(F207="","OPEN",IF(F207=E207,"PASS","FAIL"))</x:f>
        <x:v>OPEN</x:v>
      </x:c>
      <x:c r="H207" s="10" t="str">
        <x:v>program audit</x:v>
      </x:c>
    </x:row>
    <x:row r="208">
      <x:c r="A208" s="10" t="str">
        <x:v>AUD-R-053</x:v>
      </x:c>
      <x:c r="B208" s="10" t="str">
        <x:v>reconciliation</x:v>
      </x:c>
      <x:c r="C208" s="10" t="str">
        <x:v>capital total</x:v>
      </x:c>
      <x:c r="D208" s="10" t="str">
        <x:v>independent recomputation variant 1</x:v>
      </x:c>
      <x:c r="E208" s="10" t="str">
        <x:v>MATCH</x:v>
      </x:c>
      <x:c r="F208" s="12"/>
      <x:c r="G208" s="10" t="str">
        <x:f>IF(F208="","OPEN",IF(F208=E208,"PASS","FAIL"))</x:f>
        <x:v>OPEN</x:v>
      </x:c>
      <x:c r="H208" s="10" t="str">
        <x:v>program audit</x:v>
      </x:c>
    </x:row>
    <x:row r="209">
      <x:c r="A209" s="10" t="str">
        <x:v>AUD-R-054</x:v>
      </x:c>
      <x:c r="B209" s="10" t="str">
        <x:v>reconciliation</x:v>
      </x:c>
      <x:c r="C209" s="10" t="str">
        <x:v>capital total</x:v>
      </x:c>
      <x:c r="D209" s="10" t="str">
        <x:v>independent recomputation variant 2</x:v>
      </x:c>
      <x:c r="E209" s="10" t="str">
        <x:v>MATCH</x:v>
      </x:c>
      <x:c r="F209" s="12"/>
      <x:c r="G209" s="10" t="str">
        <x:f>IF(F209="","OPEN",IF(F209=E209,"PASS","FAIL"))</x:f>
        <x:v>OPEN</x:v>
      </x:c>
      <x:c r="H209" s="10" t="str">
        <x:v>program audit</x:v>
      </x:c>
    </x:row>
    <x:row r="210">
      <x:c r="A210" s="10" t="str">
        <x:v>AUD-R-055</x:v>
      </x:c>
      <x:c r="B210" s="10" t="str">
        <x:v>reconciliation</x:v>
      </x:c>
      <x:c r="C210" s="10" t="str">
        <x:v>capital total</x:v>
      </x:c>
      <x:c r="D210" s="10" t="str">
        <x:v>independent recomputation variant 3</x:v>
      </x:c>
      <x:c r="E210" s="10" t="str">
        <x:v>MATCH</x:v>
      </x:c>
      <x:c r="F210" s="12"/>
      <x:c r="G210" s="10" t="str">
        <x:f>IF(F210="","OPEN",IF(F210=E210,"PASS","FAIL"))</x:f>
        <x:v>OPEN</x:v>
      </x:c>
      <x:c r="H210" s="10" t="str">
        <x:v>program audit</x:v>
      </x:c>
    </x:row>
    <x:row r="211">
      <x:c r="A211" s="10" t="str">
        <x:v>AUD-R-056</x:v>
      </x:c>
      <x:c r="B211" s="10" t="str">
        <x:v>reconciliation</x:v>
      </x:c>
      <x:c r="C211" s="10" t="str">
        <x:v>capital total</x:v>
      </x:c>
      <x:c r="D211" s="10" t="str">
        <x:v>independent recomputation variant 4</x:v>
      </x:c>
      <x:c r="E211" s="10" t="str">
        <x:v>MATCH</x:v>
      </x:c>
      <x:c r="F211" s="12"/>
      <x:c r="G211" s="10" t="str">
        <x:f>IF(F211="","OPEN",IF(F211=E211,"PASS","FAIL"))</x:f>
        <x:v>OPEN</x:v>
      </x:c>
      <x:c r="H211" s="10" t="str">
        <x:v>program audit</x:v>
      </x:c>
    </x:row>
    <x:row r="212">
      <x:c r="A212" s="10" t="str">
        <x:v>AUD-R-057</x:v>
      </x:c>
      <x:c r="B212" s="10" t="str">
        <x:v>reconciliation</x:v>
      </x:c>
      <x:c r="C212" s="10" t="str">
        <x:v>stage exposure</x:v>
      </x:c>
      <x:c r="D212" s="10" t="str">
        <x:v>independent recomputation variant 1</x:v>
      </x:c>
      <x:c r="E212" s="10" t="str">
        <x:v>MATCH</x:v>
      </x:c>
      <x:c r="F212" s="12"/>
      <x:c r="G212" s="10" t="str">
        <x:f>IF(F212="","OPEN",IF(F212=E212,"PASS","FAIL"))</x:f>
        <x:v>OPEN</x:v>
      </x:c>
      <x:c r="H212" s="10" t="str">
        <x:v>program audit</x:v>
      </x:c>
    </x:row>
    <x:row r="213">
      <x:c r="A213" s="10" t="str">
        <x:v>AUD-R-058</x:v>
      </x:c>
      <x:c r="B213" s="10" t="str">
        <x:v>reconciliation</x:v>
      </x:c>
      <x:c r="C213" s="10" t="str">
        <x:v>stage exposure</x:v>
      </x:c>
      <x:c r="D213" s="10" t="str">
        <x:v>independent recomputation variant 2</x:v>
      </x:c>
      <x:c r="E213" s="10" t="str">
        <x:v>MATCH</x:v>
      </x:c>
      <x:c r="F213" s="12"/>
      <x:c r="G213" s="10" t="str">
        <x:f>IF(F213="","OPEN",IF(F213=E213,"PASS","FAIL"))</x:f>
        <x:v>OPEN</x:v>
      </x:c>
      <x:c r="H213" s="10" t="str">
        <x:v>program audit</x:v>
      </x:c>
    </x:row>
    <x:row r="214">
      <x:c r="A214" s="10" t="str">
        <x:v>AUD-R-059</x:v>
      </x:c>
      <x:c r="B214" s="10" t="str">
        <x:v>reconciliation</x:v>
      </x:c>
      <x:c r="C214" s="10" t="str">
        <x:v>stage exposure</x:v>
      </x:c>
      <x:c r="D214" s="10" t="str">
        <x:v>independent recomputation variant 3</x:v>
      </x:c>
      <x:c r="E214" s="10" t="str">
        <x:v>MATCH</x:v>
      </x:c>
      <x:c r="F214" s="12"/>
      <x:c r="G214" s="10" t="str">
        <x:f>IF(F214="","OPEN",IF(F214=E214,"PASS","FAIL"))</x:f>
        <x:v>OPEN</x:v>
      </x:c>
      <x:c r="H214" s="10" t="str">
        <x:v>program audit</x:v>
      </x:c>
    </x:row>
    <x:row r="215">
      <x:c r="A215" s="10" t="str">
        <x:v>AUD-R-060</x:v>
      </x:c>
      <x:c r="B215" s="10" t="str">
        <x:v>reconciliation</x:v>
      </x:c>
      <x:c r="C215" s="10" t="str">
        <x:v>stage exposure</x:v>
      </x:c>
      <x:c r="D215" s="10" t="str">
        <x:v>independent recomputation variant 4</x:v>
      </x:c>
      <x:c r="E215" s="10" t="str">
        <x:v>MATCH</x:v>
      </x:c>
      <x:c r="F215" s="12"/>
      <x:c r="G215" s="10" t="str">
        <x:f>IF(F215="","OPEN",IF(F215=E215,"PASS","FAIL"))</x:f>
        <x:v>OPEN</x:v>
      </x:c>
      <x:c r="H215" s="10" t="str">
        <x:v>program audit</x:v>
      </x:c>
    </x:row>
    <x:row r="216">
      <x:c r="A216" s="10" t="str">
        <x:v>AUD-I-001</x:v>
      </x:c>
      <x:c r="B216" s="10" t="str">
        <x:v>initial state</x:v>
      </x:c>
      <x:c r="C216" s="10" t="str">
        <x:v>truth roots open</x:v>
      </x:c>
      <x:c r="D216" s="10" t="str">
        <x:v>blank-state inspection variant 1</x:v>
      </x:c>
      <x:c r="E216" s="10" t="str">
        <x:v>MATCH</x:v>
      </x:c>
      <x:c r="F216" s="12"/>
      <x:c r="G216" s="10" t="str">
        <x:f>IF(F216="","OPEN",IF(F216=E216,"PASS","FAIL"))</x:f>
        <x:v>OPEN</x:v>
      </x:c>
      <x:c r="H216" s="10" t="str">
        <x:v>configuration authority</x:v>
      </x:c>
    </x:row>
    <x:row r="217">
      <x:c r="A217" s="10" t="str">
        <x:v>AUD-I-002</x:v>
      </x:c>
      <x:c r="B217" s="10" t="str">
        <x:v>initial state</x:v>
      </x:c>
      <x:c r="C217" s="10" t="str">
        <x:v>truth roots open</x:v>
      </x:c>
      <x:c r="D217" s="10" t="str">
        <x:v>blank-state inspection variant 2</x:v>
      </x:c>
      <x:c r="E217" s="10" t="str">
        <x:v>MATCH</x:v>
      </x:c>
      <x:c r="F217" s="12"/>
      <x:c r="G217" s="10" t="str">
        <x:f>IF(F217="","OPEN",IF(F217=E217,"PASS","FAIL"))</x:f>
        <x:v>OPEN</x:v>
      </x:c>
      <x:c r="H217" s="10" t="str">
        <x:v>configuration authority</x:v>
      </x:c>
    </x:row>
    <x:row r="218">
      <x:c r="A218" s="10" t="str">
        <x:v>AUD-I-003</x:v>
      </x:c>
      <x:c r="B218" s="10" t="str">
        <x:v>initial state</x:v>
      </x:c>
      <x:c r="C218" s="10" t="str">
        <x:v>truth roots open</x:v>
      </x:c>
      <x:c r="D218" s="10" t="str">
        <x:v>blank-state inspection variant 3</x:v>
      </x:c>
      <x:c r="E218" s="10" t="str">
        <x:v>MATCH</x:v>
      </x:c>
      <x:c r="F218" s="12"/>
      <x:c r="G218" s="10" t="str">
        <x:f>IF(F218="","OPEN",IF(F218=E218,"PASS","FAIL"))</x:f>
        <x:v>OPEN</x:v>
      </x:c>
      <x:c r="H218" s="10" t="str">
        <x:v>configuration authority</x:v>
      </x:c>
    </x:row>
    <x:row r="219">
      <x:c r="A219" s="10" t="str">
        <x:v>AUD-I-004</x:v>
      </x:c>
      <x:c r="B219" s="10" t="str">
        <x:v>initial state</x:v>
      </x:c>
      <x:c r="C219" s="10" t="str">
        <x:v>truth roots open</x:v>
      </x:c>
      <x:c r="D219" s="10" t="str">
        <x:v>blank-state inspection variant 4</x:v>
      </x:c>
      <x:c r="E219" s="10" t="str">
        <x:v>MATCH</x:v>
      </x:c>
      <x:c r="F219" s="12"/>
      <x:c r="G219" s="10" t="str">
        <x:f>IF(F219="","OPEN",IF(F219=E219,"PASS","FAIL"))</x:f>
        <x:v>OPEN</x:v>
      </x:c>
      <x:c r="H219" s="10" t="str">
        <x:v>configuration authority</x:v>
      </x:c>
    </x:row>
    <x:row r="220">
      <x:c r="A220" s="10" t="str">
        <x:v>AUD-I-005</x:v>
      </x:c>
      <x:c r="B220" s="10" t="str">
        <x:v>initial state</x:v>
      </x:c>
      <x:c r="C220" s="10" t="str">
        <x:v>truth roots open</x:v>
      </x:c>
      <x:c r="D220" s="10" t="str">
        <x:v>blank-state inspection variant 5</x:v>
      </x:c>
      <x:c r="E220" s="10" t="str">
        <x:v>MATCH</x:v>
      </x:c>
      <x:c r="F220" s="12"/>
      <x:c r="G220" s="10" t="str">
        <x:f>IF(F220="","OPEN",IF(F220=E220,"PASS","FAIL"))</x:f>
        <x:v>OPEN</x:v>
      </x:c>
      <x:c r="H220" s="10" t="str">
        <x:v>configuration authority</x:v>
      </x:c>
    </x:row>
    <x:row r="221">
      <x:c r="A221" s="10" t="str">
        <x:v>AUD-I-006</x:v>
      </x:c>
      <x:c r="B221" s="10" t="str">
        <x:v>initial state</x:v>
      </x:c>
      <x:c r="C221" s="10" t="str">
        <x:v>truth roots open</x:v>
      </x:c>
      <x:c r="D221" s="10" t="str">
        <x:v>blank-state inspection variant 6</x:v>
      </x:c>
      <x:c r="E221" s="10" t="str">
        <x:v>MATCH</x:v>
      </x:c>
      <x:c r="F221" s="12"/>
      <x:c r="G221" s="10" t="str">
        <x:f>IF(F221="","OPEN",IF(F221=E221,"PASS","FAIL"))</x:f>
        <x:v>OPEN</x:v>
      </x:c>
      <x:c r="H221" s="10" t="str">
        <x:v>configuration authority</x:v>
      </x:c>
    </x:row>
    <x:row r="222">
      <x:c r="A222" s="10" t="str">
        <x:v>AUD-I-007</x:v>
      </x:c>
      <x:c r="B222" s="10" t="str">
        <x:v>initial state</x:v>
      </x:c>
      <x:c r="C222" s="10" t="str">
        <x:v>modules open</x:v>
      </x:c>
      <x:c r="D222" s="10" t="str">
        <x:v>blank-state inspection variant 1</x:v>
      </x:c>
      <x:c r="E222" s="10" t="str">
        <x:v>MATCH</x:v>
      </x:c>
      <x:c r="F222" s="12"/>
      <x:c r="G222" s="10" t="str">
        <x:f>IF(F222="","OPEN",IF(F222=E222,"PASS","FAIL"))</x:f>
        <x:v>OPEN</x:v>
      </x:c>
      <x:c r="H222" s="10" t="str">
        <x:v>configuration authority</x:v>
      </x:c>
    </x:row>
    <x:row r="223">
      <x:c r="A223" s="10" t="str">
        <x:v>AUD-I-008</x:v>
      </x:c>
      <x:c r="B223" s="10" t="str">
        <x:v>initial state</x:v>
      </x:c>
      <x:c r="C223" s="10" t="str">
        <x:v>modules open</x:v>
      </x:c>
      <x:c r="D223" s="10" t="str">
        <x:v>blank-state inspection variant 2</x:v>
      </x:c>
      <x:c r="E223" s="10" t="str">
        <x:v>MATCH</x:v>
      </x:c>
      <x:c r="F223" s="12"/>
      <x:c r="G223" s="10" t="str">
        <x:f>IF(F223="","OPEN",IF(F223=E223,"PASS","FAIL"))</x:f>
        <x:v>OPEN</x:v>
      </x:c>
      <x:c r="H223" s="10" t="str">
        <x:v>configuration authority</x:v>
      </x:c>
    </x:row>
    <x:row r="224">
      <x:c r="A224" s="10" t="str">
        <x:v>AUD-I-009</x:v>
      </x:c>
      <x:c r="B224" s="10" t="str">
        <x:v>initial state</x:v>
      </x:c>
      <x:c r="C224" s="10" t="str">
        <x:v>modules open</x:v>
      </x:c>
      <x:c r="D224" s="10" t="str">
        <x:v>blank-state inspection variant 3</x:v>
      </x:c>
      <x:c r="E224" s="10" t="str">
        <x:v>MATCH</x:v>
      </x:c>
      <x:c r="F224" s="12"/>
      <x:c r="G224" s="10" t="str">
        <x:f>IF(F224="","OPEN",IF(F224=E224,"PASS","FAIL"))</x:f>
        <x:v>OPEN</x:v>
      </x:c>
      <x:c r="H224" s="10" t="str">
        <x:v>configuration authority</x:v>
      </x:c>
    </x:row>
    <x:row r="225">
      <x:c r="A225" s="10" t="str">
        <x:v>AUD-I-010</x:v>
      </x:c>
      <x:c r="B225" s="10" t="str">
        <x:v>initial state</x:v>
      </x:c>
      <x:c r="C225" s="10" t="str">
        <x:v>modules open</x:v>
      </x:c>
      <x:c r="D225" s="10" t="str">
        <x:v>blank-state inspection variant 4</x:v>
      </x:c>
      <x:c r="E225" s="10" t="str">
        <x:v>MATCH</x:v>
      </x:c>
      <x:c r="F225" s="12"/>
      <x:c r="G225" s="10" t="str">
        <x:f>IF(F225="","OPEN",IF(F225=E225,"PASS","FAIL"))</x:f>
        <x:v>OPEN</x:v>
      </x:c>
      <x:c r="H225" s="10" t="str">
        <x:v>configuration authority</x:v>
      </x:c>
    </x:row>
    <x:row r="226">
      <x:c r="A226" s="10" t="str">
        <x:v>AUD-I-011</x:v>
      </x:c>
      <x:c r="B226" s="10" t="str">
        <x:v>initial state</x:v>
      </x:c>
      <x:c r="C226" s="10" t="str">
        <x:v>modules open</x:v>
      </x:c>
      <x:c r="D226" s="10" t="str">
        <x:v>blank-state inspection variant 5</x:v>
      </x:c>
      <x:c r="E226" s="10" t="str">
        <x:v>MATCH</x:v>
      </x:c>
      <x:c r="F226" s="12"/>
      <x:c r="G226" s="10" t="str">
        <x:f>IF(F226="","OPEN",IF(F226=E226,"PASS","FAIL"))</x:f>
        <x:v>OPEN</x:v>
      </x:c>
      <x:c r="H226" s="10" t="str">
        <x:v>configuration authority</x:v>
      </x:c>
    </x:row>
    <x:row r="227">
      <x:c r="A227" s="10" t="str">
        <x:v>AUD-I-012</x:v>
      </x:c>
      <x:c r="B227" s="10" t="str">
        <x:v>initial state</x:v>
      </x:c>
      <x:c r="C227" s="10" t="str">
        <x:v>modules open</x:v>
      </x:c>
      <x:c r="D227" s="10" t="str">
        <x:v>blank-state inspection variant 6</x:v>
      </x:c>
      <x:c r="E227" s="10" t="str">
        <x:v>MATCH</x:v>
      </x:c>
      <x:c r="F227" s="12"/>
      <x:c r="G227" s="10" t="str">
        <x:f>IF(F227="","OPEN",IF(F227=E227,"PASS","FAIL"))</x:f>
        <x:v>OPEN</x:v>
      </x:c>
      <x:c r="H227" s="10" t="str">
        <x:v>configuration authority</x:v>
      </x:c>
    </x:row>
    <x:row r="228">
      <x:c r="A228" s="10" t="str">
        <x:v>AUD-I-013</x:v>
      </x:c>
      <x:c r="B228" s="10" t="str">
        <x:v>initial state</x:v>
      </x:c>
      <x:c r="C228" s="10" t="str">
        <x:v>qualification cycles open</x:v>
      </x:c>
      <x:c r="D228" s="10" t="str">
        <x:v>blank-state inspection variant 1</x:v>
      </x:c>
      <x:c r="E228" s="10" t="str">
        <x:v>MATCH</x:v>
      </x:c>
      <x:c r="F228" s="12"/>
      <x:c r="G228" s="10" t="str">
        <x:f>IF(F228="","OPEN",IF(F228=E228,"PASS","FAIL"))</x:f>
        <x:v>OPEN</x:v>
      </x:c>
      <x:c r="H228" s="10" t="str">
        <x:v>configuration authority</x:v>
      </x:c>
    </x:row>
    <x:row r="229">
      <x:c r="A229" s="10" t="str">
        <x:v>AUD-I-014</x:v>
      </x:c>
      <x:c r="B229" s="10" t="str">
        <x:v>initial state</x:v>
      </x:c>
      <x:c r="C229" s="10" t="str">
        <x:v>qualification cycles open</x:v>
      </x:c>
      <x:c r="D229" s="10" t="str">
        <x:v>blank-state inspection variant 2</x:v>
      </x:c>
      <x:c r="E229" s="10" t="str">
        <x:v>MATCH</x:v>
      </x:c>
      <x:c r="F229" s="12"/>
      <x:c r="G229" s="10" t="str">
        <x:f>IF(F229="","OPEN",IF(F229=E229,"PASS","FAIL"))</x:f>
        <x:v>OPEN</x:v>
      </x:c>
      <x:c r="H229" s="10" t="str">
        <x:v>configuration authority</x:v>
      </x:c>
    </x:row>
    <x:row r="230">
      <x:c r="A230" s="10" t="str">
        <x:v>AUD-I-015</x:v>
      </x:c>
      <x:c r="B230" s="10" t="str">
        <x:v>initial state</x:v>
      </x:c>
      <x:c r="C230" s="10" t="str">
        <x:v>qualification cycles open</x:v>
      </x:c>
      <x:c r="D230" s="10" t="str">
        <x:v>blank-state inspection variant 3</x:v>
      </x:c>
      <x:c r="E230" s="10" t="str">
        <x:v>MATCH</x:v>
      </x:c>
      <x:c r="F230" s="12"/>
      <x:c r="G230" s="10" t="str">
        <x:f>IF(F230="","OPEN",IF(F230=E230,"PASS","FAIL"))</x:f>
        <x:v>OPEN</x:v>
      </x:c>
      <x:c r="H230" s="10" t="str">
        <x:v>configuration authority</x:v>
      </x:c>
    </x:row>
    <x:row r="231">
      <x:c r="A231" s="10" t="str">
        <x:v>AUD-I-016</x:v>
      </x:c>
      <x:c r="B231" s="10" t="str">
        <x:v>initial state</x:v>
      </x:c>
      <x:c r="C231" s="10" t="str">
        <x:v>qualification cycles open</x:v>
      </x:c>
      <x:c r="D231" s="10" t="str">
        <x:v>blank-state inspection variant 4</x:v>
      </x:c>
      <x:c r="E231" s="10" t="str">
        <x:v>MATCH</x:v>
      </x:c>
      <x:c r="F231" s="12"/>
      <x:c r="G231" s="10" t="str">
        <x:f>IF(F231="","OPEN",IF(F231=E231,"PASS","FAIL"))</x:f>
        <x:v>OPEN</x:v>
      </x:c>
      <x:c r="H231" s="10" t="str">
        <x:v>configuration authority</x:v>
      </x:c>
    </x:row>
    <x:row r="232">
      <x:c r="A232" s="10" t="str">
        <x:v>AUD-I-017</x:v>
      </x:c>
      <x:c r="B232" s="10" t="str">
        <x:v>initial state</x:v>
      </x:c>
      <x:c r="C232" s="10" t="str">
        <x:v>qualification cycles open</x:v>
      </x:c>
      <x:c r="D232" s="10" t="str">
        <x:v>blank-state inspection variant 5</x:v>
      </x:c>
      <x:c r="E232" s="10" t="str">
        <x:v>MATCH</x:v>
      </x:c>
      <x:c r="F232" s="12"/>
      <x:c r="G232" s="10" t="str">
        <x:f>IF(F232="","OPEN",IF(F232=E232,"PASS","FAIL"))</x:f>
        <x:v>OPEN</x:v>
      </x:c>
      <x:c r="H232" s="10" t="str">
        <x:v>configuration authority</x:v>
      </x:c>
    </x:row>
    <x:row r="233">
      <x:c r="A233" s="10" t="str">
        <x:v>AUD-I-018</x:v>
      </x:c>
      <x:c r="B233" s="10" t="str">
        <x:v>initial state</x:v>
      </x:c>
      <x:c r="C233" s="10" t="str">
        <x:v>qualification cycles open</x:v>
      </x:c>
      <x:c r="D233" s="10" t="str">
        <x:v>blank-state inspection variant 6</x:v>
      </x:c>
      <x:c r="E233" s="10" t="str">
        <x:v>MATCH</x:v>
      </x:c>
      <x:c r="F233" s="12"/>
      <x:c r="G233" s="10" t="str">
        <x:f>IF(F233="","OPEN",IF(F233=E233,"PASS","FAIL"))</x:f>
        <x:v>OPEN</x:v>
      </x:c>
      <x:c r="H233" s="10" t="str">
        <x:v>configuration authority</x:v>
      </x:c>
    </x:row>
    <x:row r="234">
      <x:c r="A234" s="10" t="str">
        <x:v>AUD-I-019</x:v>
      </x:c>
      <x:c r="B234" s="10" t="str">
        <x:v>initial state</x:v>
      </x:c>
      <x:c r="C234" s="10" t="str">
        <x:v>events open</x:v>
      </x:c>
      <x:c r="D234" s="10" t="str">
        <x:v>blank-state inspection variant 1</x:v>
      </x:c>
      <x:c r="E234" s="10" t="str">
        <x:v>MATCH</x:v>
      </x:c>
      <x:c r="F234" s="12"/>
      <x:c r="G234" s="10" t="str">
        <x:f>IF(F234="","OPEN",IF(F234=E234,"PASS","FAIL"))</x:f>
        <x:v>OPEN</x:v>
      </x:c>
      <x:c r="H234" s="10" t="str">
        <x:v>configuration authority</x:v>
      </x:c>
    </x:row>
    <x:row r="235">
      <x:c r="A235" s="10" t="str">
        <x:v>AUD-I-020</x:v>
      </x:c>
      <x:c r="B235" s="10" t="str">
        <x:v>initial state</x:v>
      </x:c>
      <x:c r="C235" s="10" t="str">
        <x:v>events open</x:v>
      </x:c>
      <x:c r="D235" s="10" t="str">
        <x:v>blank-state inspection variant 2</x:v>
      </x:c>
      <x:c r="E235" s="10" t="str">
        <x:v>MATCH</x:v>
      </x:c>
      <x:c r="F235" s="12"/>
      <x:c r="G235" s="10" t="str">
        <x:f>IF(F235="","OPEN",IF(F235=E235,"PASS","FAIL"))</x:f>
        <x:v>OPEN</x:v>
      </x:c>
      <x:c r="H235" s="10" t="str">
        <x:v>configuration authority</x:v>
      </x:c>
    </x:row>
    <x:row r="236">
      <x:c r="A236" s="10" t="str">
        <x:v>AUD-I-021</x:v>
      </x:c>
      <x:c r="B236" s="10" t="str">
        <x:v>initial state</x:v>
      </x:c>
      <x:c r="C236" s="10" t="str">
        <x:v>events open</x:v>
      </x:c>
      <x:c r="D236" s="10" t="str">
        <x:v>blank-state inspection variant 3</x:v>
      </x:c>
      <x:c r="E236" s="10" t="str">
        <x:v>MATCH</x:v>
      </x:c>
      <x:c r="F236" s="12"/>
      <x:c r="G236" s="10" t="str">
        <x:f>IF(F236="","OPEN",IF(F236=E236,"PASS","FAIL"))</x:f>
        <x:v>OPEN</x:v>
      </x:c>
      <x:c r="H236" s="10" t="str">
        <x:v>configuration authority</x:v>
      </x:c>
    </x:row>
    <x:row r="237">
      <x:c r="A237" s="10" t="str">
        <x:v>AUD-I-022</x:v>
      </x:c>
      <x:c r="B237" s="10" t="str">
        <x:v>initial state</x:v>
      </x:c>
      <x:c r="C237" s="10" t="str">
        <x:v>events open</x:v>
      </x:c>
      <x:c r="D237" s="10" t="str">
        <x:v>blank-state inspection variant 4</x:v>
      </x:c>
      <x:c r="E237" s="10" t="str">
        <x:v>MATCH</x:v>
      </x:c>
      <x:c r="F237" s="12"/>
      <x:c r="G237" s="10" t="str">
        <x:f>IF(F237="","OPEN",IF(F237=E237,"PASS","FAIL"))</x:f>
        <x:v>OPEN</x:v>
      </x:c>
      <x:c r="H237" s="10" t="str">
        <x:v>configuration authority</x:v>
      </x:c>
    </x:row>
    <x:row r="238">
      <x:c r="A238" s="10" t="str">
        <x:v>AUD-I-023</x:v>
      </x:c>
      <x:c r="B238" s="10" t="str">
        <x:v>initial state</x:v>
      </x:c>
      <x:c r="C238" s="10" t="str">
        <x:v>events open</x:v>
      </x:c>
      <x:c r="D238" s="10" t="str">
        <x:v>blank-state inspection variant 5</x:v>
      </x:c>
      <x:c r="E238" s="10" t="str">
        <x:v>MATCH</x:v>
      </x:c>
      <x:c r="F238" s="12"/>
      <x:c r="G238" s="10" t="str">
        <x:f>IF(F238="","OPEN",IF(F238=E238,"PASS","FAIL"))</x:f>
        <x:v>OPEN</x:v>
      </x:c>
      <x:c r="H238" s="10" t="str">
        <x:v>configuration authority</x:v>
      </x:c>
    </x:row>
    <x:row r="239">
      <x:c r="A239" s="10" t="str">
        <x:v>AUD-I-024</x:v>
      </x:c>
      <x:c r="B239" s="10" t="str">
        <x:v>initial state</x:v>
      </x:c>
      <x:c r="C239" s="10" t="str">
        <x:v>events open</x:v>
      </x:c>
      <x:c r="D239" s="10" t="str">
        <x:v>blank-state inspection variant 6</x:v>
      </x:c>
      <x:c r="E239" s="10" t="str">
        <x:v>MATCH</x:v>
      </x:c>
      <x:c r="F239" s="12"/>
      <x:c r="G239" s="10" t="str">
        <x:f>IF(F239="","OPEN",IF(F239=E239,"PASS","FAIL"))</x:f>
        <x:v>OPEN</x:v>
      </x:c>
      <x:c r="H239" s="10" t="str">
        <x:v>configuration authority</x:v>
      </x:c>
    </x:row>
    <x:row r="240">
      <x:c r="A240" s="10" t="str">
        <x:v>AUD-I-025</x:v>
      </x:c>
      <x:c r="B240" s="10" t="str">
        <x:v>initial state</x:v>
      </x:c>
      <x:c r="C240" s="10" t="str">
        <x:v>lots open</x:v>
      </x:c>
      <x:c r="D240" s="10" t="str">
        <x:v>blank-state inspection variant 1</x:v>
      </x:c>
      <x:c r="E240" s="10" t="str">
        <x:v>MATCH</x:v>
      </x:c>
      <x:c r="F240" s="12"/>
      <x:c r="G240" s="10" t="str">
        <x:f>IF(F240="","OPEN",IF(F240=E240,"PASS","FAIL"))</x:f>
        <x:v>OPEN</x:v>
      </x:c>
      <x:c r="H240" s="10" t="str">
        <x:v>configuration authority</x:v>
      </x:c>
    </x:row>
    <x:row r="241">
      <x:c r="A241" s="10" t="str">
        <x:v>AUD-I-026</x:v>
      </x:c>
      <x:c r="B241" s="10" t="str">
        <x:v>initial state</x:v>
      </x:c>
      <x:c r="C241" s="10" t="str">
        <x:v>lots open</x:v>
      </x:c>
      <x:c r="D241" s="10" t="str">
        <x:v>blank-state inspection variant 2</x:v>
      </x:c>
      <x:c r="E241" s="10" t="str">
        <x:v>MATCH</x:v>
      </x:c>
      <x:c r="F241" s="12"/>
      <x:c r="G241" s="10" t="str">
        <x:f>IF(F241="","OPEN",IF(F241=E241,"PASS","FAIL"))</x:f>
        <x:v>OPEN</x:v>
      </x:c>
      <x:c r="H241" s="10" t="str">
        <x:v>configuration authority</x:v>
      </x:c>
    </x:row>
    <x:row r="242">
      <x:c r="A242" s="10" t="str">
        <x:v>AUD-I-027</x:v>
      </x:c>
      <x:c r="B242" s="10" t="str">
        <x:v>initial state</x:v>
      </x:c>
      <x:c r="C242" s="10" t="str">
        <x:v>lots open</x:v>
      </x:c>
      <x:c r="D242" s="10" t="str">
        <x:v>blank-state inspection variant 3</x:v>
      </x:c>
      <x:c r="E242" s="10" t="str">
        <x:v>MATCH</x:v>
      </x:c>
      <x:c r="F242" s="12"/>
      <x:c r="G242" s="10" t="str">
        <x:f>IF(F242="","OPEN",IF(F242=E242,"PASS","FAIL"))</x:f>
        <x:v>OPEN</x:v>
      </x:c>
      <x:c r="H242" s="10" t="str">
        <x:v>configuration authority</x:v>
      </x:c>
    </x:row>
    <x:row r="243">
      <x:c r="A243" s="10" t="str">
        <x:v>AUD-I-028</x:v>
      </x:c>
      <x:c r="B243" s="10" t="str">
        <x:v>initial state</x:v>
      </x:c>
      <x:c r="C243" s="10" t="str">
        <x:v>lots open</x:v>
      </x:c>
      <x:c r="D243" s="10" t="str">
        <x:v>blank-state inspection variant 4</x:v>
      </x:c>
      <x:c r="E243" s="10" t="str">
        <x:v>MATCH</x:v>
      </x:c>
      <x:c r="F243" s="12"/>
      <x:c r="G243" s="10" t="str">
        <x:f>IF(F243="","OPEN",IF(F243=E243,"PASS","FAIL"))</x:f>
        <x:v>OPEN</x:v>
      </x:c>
      <x:c r="H243" s="10" t="str">
        <x:v>configuration authority</x:v>
      </x:c>
    </x:row>
    <x:row r="244">
      <x:c r="A244" s="10" t="str">
        <x:v>AUD-I-029</x:v>
      </x:c>
      <x:c r="B244" s="10" t="str">
        <x:v>initial state</x:v>
      </x:c>
      <x:c r="C244" s="10" t="str">
        <x:v>lots open</x:v>
      </x:c>
      <x:c r="D244" s="10" t="str">
        <x:v>blank-state inspection variant 5</x:v>
      </x:c>
      <x:c r="E244" s="10" t="str">
        <x:v>MATCH</x:v>
      </x:c>
      <x:c r="F244" s="12"/>
      <x:c r="G244" s="10" t="str">
        <x:f>IF(F244="","OPEN",IF(F244=E244,"PASS","FAIL"))</x:f>
        <x:v>OPEN</x:v>
      </x:c>
      <x:c r="H244" s="10" t="str">
        <x:v>configuration authority</x:v>
      </x:c>
    </x:row>
    <x:row r="245">
      <x:c r="A245" s="10" t="str">
        <x:v>AUD-I-030</x:v>
      </x:c>
      <x:c r="B245" s="10" t="str">
        <x:v>initial state</x:v>
      </x:c>
      <x:c r="C245" s="10" t="str">
        <x:v>lots open</x:v>
      </x:c>
      <x:c r="D245" s="10" t="str">
        <x:v>blank-state inspection variant 6</x:v>
      </x:c>
      <x:c r="E245" s="10" t="str">
        <x:v>MATCH</x:v>
      </x:c>
      <x:c r="F245" s="12"/>
      <x:c r="G245" s="10" t="str">
        <x:f>IF(F245="","OPEN",IF(F245=E245,"PASS","FAIL"))</x:f>
        <x:v>OPEN</x:v>
      </x:c>
      <x:c r="H245" s="10" t="str">
        <x:v>configuration authority</x:v>
      </x:c>
    </x:row>
    <x:row r="246">
      <x:c r="A246" s="10" t="str">
        <x:v>AUD-I-031</x:v>
      </x:c>
      <x:c r="B246" s="10" t="str">
        <x:v>initial state</x:v>
      </x:c>
      <x:c r="C246" s="10" t="str">
        <x:v>returns open</x:v>
      </x:c>
      <x:c r="D246" s="10" t="str">
        <x:v>blank-state inspection variant 1</x:v>
      </x:c>
      <x:c r="E246" s="10" t="str">
        <x:v>MATCH</x:v>
      </x:c>
      <x:c r="F246" s="12"/>
      <x:c r="G246" s="10" t="str">
        <x:f>IF(F246="","OPEN",IF(F246=E246,"PASS","FAIL"))</x:f>
        <x:v>OPEN</x:v>
      </x:c>
      <x:c r="H246" s="10" t="str">
        <x:v>configuration authority</x:v>
      </x:c>
    </x:row>
    <x:row r="247">
      <x:c r="A247" s="10" t="str">
        <x:v>AUD-I-032</x:v>
      </x:c>
      <x:c r="B247" s="10" t="str">
        <x:v>initial state</x:v>
      </x:c>
      <x:c r="C247" s="10" t="str">
        <x:v>returns open</x:v>
      </x:c>
      <x:c r="D247" s="10" t="str">
        <x:v>blank-state inspection variant 2</x:v>
      </x:c>
      <x:c r="E247" s="10" t="str">
        <x:v>MATCH</x:v>
      </x:c>
      <x:c r="F247" s="12"/>
      <x:c r="G247" s="10" t="str">
        <x:f>IF(F247="","OPEN",IF(F247=E247,"PASS","FAIL"))</x:f>
        <x:v>OPEN</x:v>
      </x:c>
      <x:c r="H247" s="10" t="str">
        <x:v>configuration authority</x:v>
      </x:c>
    </x:row>
    <x:row r="248">
      <x:c r="A248" s="10" t="str">
        <x:v>AUD-I-033</x:v>
      </x:c>
      <x:c r="B248" s="10" t="str">
        <x:v>initial state</x:v>
      </x:c>
      <x:c r="C248" s="10" t="str">
        <x:v>returns open</x:v>
      </x:c>
      <x:c r="D248" s="10" t="str">
        <x:v>blank-state inspection variant 3</x:v>
      </x:c>
      <x:c r="E248" s="10" t="str">
        <x:v>MATCH</x:v>
      </x:c>
      <x:c r="F248" s="12"/>
      <x:c r="G248" s="10" t="str">
        <x:f>IF(F248="","OPEN",IF(F248=E248,"PASS","FAIL"))</x:f>
        <x:v>OPEN</x:v>
      </x:c>
      <x:c r="H248" s="10" t="str">
        <x:v>configuration authority</x:v>
      </x:c>
    </x:row>
    <x:row r="249">
      <x:c r="A249" s="10" t="str">
        <x:v>AUD-I-034</x:v>
      </x:c>
      <x:c r="B249" s="10" t="str">
        <x:v>initial state</x:v>
      </x:c>
      <x:c r="C249" s="10" t="str">
        <x:v>returns open</x:v>
      </x:c>
      <x:c r="D249" s="10" t="str">
        <x:v>blank-state inspection variant 4</x:v>
      </x:c>
      <x:c r="E249" s="10" t="str">
        <x:v>MATCH</x:v>
      </x:c>
      <x:c r="F249" s="12"/>
      <x:c r="G249" s="10" t="str">
        <x:f>IF(F249="","OPEN",IF(F249=E249,"PASS","FAIL"))</x:f>
        <x:v>OPEN</x:v>
      </x:c>
      <x:c r="H249" s="10" t="str">
        <x:v>configuration authority</x:v>
      </x:c>
    </x:row>
    <x:row r="250">
      <x:c r="A250" s="10" t="str">
        <x:v>AUD-I-035</x:v>
      </x:c>
      <x:c r="B250" s="10" t="str">
        <x:v>initial state</x:v>
      </x:c>
      <x:c r="C250" s="10" t="str">
        <x:v>returns open</x:v>
      </x:c>
      <x:c r="D250" s="10" t="str">
        <x:v>blank-state inspection variant 5</x:v>
      </x:c>
      <x:c r="E250" s="10" t="str">
        <x:v>MATCH</x:v>
      </x:c>
      <x:c r="F250" s="12"/>
      <x:c r="G250" s="10" t="str">
        <x:f>IF(F250="","OPEN",IF(F250=E250,"PASS","FAIL"))</x:f>
        <x:v>OPEN</x:v>
      </x:c>
      <x:c r="H250" s="10" t="str">
        <x:v>configuration authority</x:v>
      </x:c>
    </x:row>
    <x:row r="251">
      <x:c r="A251" s="10" t="str">
        <x:v>AUD-I-036</x:v>
      </x:c>
      <x:c r="B251" s="10" t="str">
        <x:v>initial state</x:v>
      </x:c>
      <x:c r="C251" s="10" t="str">
        <x:v>returns open</x:v>
      </x:c>
      <x:c r="D251" s="10" t="str">
        <x:v>blank-state inspection variant 6</x:v>
      </x:c>
      <x:c r="E251" s="10" t="str">
        <x:v>MATCH</x:v>
      </x:c>
      <x:c r="F251" s="12"/>
      <x:c r="G251" s="10" t="str">
        <x:f>IF(F251="","OPEN",IF(F251=E251,"PASS","FAIL"))</x:f>
        <x:v>OPEN</x:v>
      </x:c>
      <x:c r="H251" s="10" t="str">
        <x:v>configuration authority</x:v>
      </x:c>
    </x:row>
    <x:row r="252">
      <x:c r="A252" s="10" t="str">
        <x:v>AUD-I-037</x:v>
      </x:c>
      <x:c r="B252" s="10" t="str">
        <x:v>initial state</x:v>
      </x:c>
      <x:c r="C252" s="10" t="str">
        <x:v>replays open</x:v>
      </x:c>
      <x:c r="D252" s="10" t="str">
        <x:v>blank-state inspection variant 1</x:v>
      </x:c>
      <x:c r="E252" s="10" t="str">
        <x:v>MATCH</x:v>
      </x:c>
      <x:c r="F252" s="12"/>
      <x:c r="G252" s="10" t="str">
        <x:f>IF(F252="","OPEN",IF(F252=E252,"PASS","FAIL"))</x:f>
        <x:v>OPEN</x:v>
      </x:c>
      <x:c r="H252" s="10" t="str">
        <x:v>configuration authority</x:v>
      </x:c>
    </x:row>
    <x:row r="253">
      <x:c r="A253" s="10" t="str">
        <x:v>AUD-I-038</x:v>
      </x:c>
      <x:c r="B253" s="10" t="str">
        <x:v>initial state</x:v>
      </x:c>
      <x:c r="C253" s="10" t="str">
        <x:v>replays open</x:v>
      </x:c>
      <x:c r="D253" s="10" t="str">
        <x:v>blank-state inspection variant 2</x:v>
      </x:c>
      <x:c r="E253" s="10" t="str">
        <x:v>MATCH</x:v>
      </x:c>
      <x:c r="F253" s="12"/>
      <x:c r="G253" s="10" t="str">
        <x:f>IF(F253="","OPEN",IF(F253=E253,"PASS","FAIL"))</x:f>
        <x:v>OPEN</x:v>
      </x:c>
      <x:c r="H253" s="10" t="str">
        <x:v>configuration authority</x:v>
      </x:c>
    </x:row>
    <x:row r="254">
      <x:c r="A254" s="10" t="str">
        <x:v>AUD-I-039</x:v>
      </x:c>
      <x:c r="B254" s="10" t="str">
        <x:v>initial state</x:v>
      </x:c>
      <x:c r="C254" s="10" t="str">
        <x:v>replays open</x:v>
      </x:c>
      <x:c r="D254" s="10" t="str">
        <x:v>blank-state inspection variant 3</x:v>
      </x:c>
      <x:c r="E254" s="10" t="str">
        <x:v>MATCH</x:v>
      </x:c>
      <x:c r="F254" s="12"/>
      <x:c r="G254" s="10" t="str">
        <x:f>IF(F254="","OPEN",IF(F254=E254,"PASS","FAIL"))</x:f>
        <x:v>OPEN</x:v>
      </x:c>
      <x:c r="H254" s="10" t="str">
        <x:v>configuration authority</x:v>
      </x:c>
    </x:row>
    <x:row r="255">
      <x:c r="A255" s="10" t="str">
        <x:v>AUD-I-040</x:v>
      </x:c>
      <x:c r="B255" s="10" t="str">
        <x:v>initial state</x:v>
      </x:c>
      <x:c r="C255" s="10" t="str">
        <x:v>replays open</x:v>
      </x:c>
      <x:c r="D255" s="10" t="str">
        <x:v>blank-state inspection variant 4</x:v>
      </x:c>
      <x:c r="E255" s="10" t="str">
        <x:v>MATCH</x:v>
      </x:c>
      <x:c r="F255" s="12"/>
      <x:c r="G255" s="10" t="str">
        <x:f>IF(F255="","OPEN",IF(F255=E255,"PASS","FAIL"))</x:f>
        <x:v>OPEN</x:v>
      </x:c>
      <x:c r="H255" s="10" t="str">
        <x:v>configuration authority</x:v>
      </x:c>
    </x:row>
    <x:row r="256">
      <x:c r="A256" s="10" t="str">
        <x:v>AUD-I-041</x:v>
      </x:c>
      <x:c r="B256" s="10" t="str">
        <x:v>initial state</x:v>
      </x:c>
      <x:c r="C256" s="10" t="str">
        <x:v>replays open</x:v>
      </x:c>
      <x:c r="D256" s="10" t="str">
        <x:v>blank-state inspection variant 5</x:v>
      </x:c>
      <x:c r="E256" s="10" t="str">
        <x:v>MATCH</x:v>
      </x:c>
      <x:c r="F256" s="12"/>
      <x:c r="G256" s="10" t="str">
        <x:f>IF(F256="","OPEN",IF(F256=E256,"PASS","FAIL"))</x:f>
        <x:v>OPEN</x:v>
      </x:c>
      <x:c r="H256" s="10" t="str">
        <x:v>configuration authority</x:v>
      </x:c>
    </x:row>
    <x:row r="257">
      <x:c r="A257" s="10" t="str">
        <x:v>AUD-I-042</x:v>
      </x:c>
      <x:c r="B257" s="10" t="str">
        <x:v>initial state</x:v>
      </x:c>
      <x:c r="C257" s="10" t="str">
        <x:v>replays open</x:v>
      </x:c>
      <x:c r="D257" s="10" t="str">
        <x:v>blank-state inspection variant 6</x:v>
      </x:c>
      <x:c r="E257" s="10" t="str">
        <x:v>MATCH</x:v>
      </x:c>
      <x:c r="F257" s="12"/>
      <x:c r="G257" s="10" t="str">
        <x:f>IF(F257="","OPEN",IF(F257=E257,"PASS","FAIL"))</x:f>
        <x:v>OPEN</x:v>
      </x:c>
      <x:c r="H257" s="10" t="str">
        <x:v>configuration authority</x:v>
      </x:c>
    </x:row>
    <x:row r="258">
      <x:c r="A258" s="10" t="str">
        <x:v>AUD-I-043</x:v>
      </x:c>
      <x:c r="B258" s="10" t="str">
        <x:v>initial state</x:v>
      </x:c>
      <x:c r="C258" s="10" t="str">
        <x:v>evidence objects open</x:v>
      </x:c>
      <x:c r="D258" s="10" t="str">
        <x:v>blank-state inspection variant 1</x:v>
      </x:c>
      <x:c r="E258" s="10" t="str">
        <x:v>MATCH</x:v>
      </x:c>
      <x:c r="F258" s="12"/>
      <x:c r="G258" s="10" t="str">
        <x:f>IF(F258="","OPEN",IF(F258=E258,"PASS","FAIL"))</x:f>
        <x:v>OPEN</x:v>
      </x:c>
      <x:c r="H258" s="10" t="str">
        <x:v>configuration authority</x:v>
      </x:c>
    </x:row>
    <x:row r="259">
      <x:c r="A259" s="10" t="str">
        <x:v>AUD-I-044</x:v>
      </x:c>
      <x:c r="B259" s="10" t="str">
        <x:v>initial state</x:v>
      </x:c>
      <x:c r="C259" s="10" t="str">
        <x:v>evidence objects open</x:v>
      </x:c>
      <x:c r="D259" s="10" t="str">
        <x:v>blank-state inspection variant 2</x:v>
      </x:c>
      <x:c r="E259" s="10" t="str">
        <x:v>MATCH</x:v>
      </x:c>
      <x:c r="F259" s="12"/>
      <x:c r="G259" s="10" t="str">
        <x:f>IF(F259="","OPEN",IF(F259=E259,"PASS","FAIL"))</x:f>
        <x:v>OPEN</x:v>
      </x:c>
      <x:c r="H259" s="10" t="str">
        <x:v>configuration authority</x:v>
      </x:c>
    </x:row>
    <x:row r="260">
      <x:c r="A260" s="10" t="str">
        <x:v>AUD-I-045</x:v>
      </x:c>
      <x:c r="B260" s="10" t="str">
        <x:v>initial state</x:v>
      </x:c>
      <x:c r="C260" s="10" t="str">
        <x:v>evidence objects open</x:v>
      </x:c>
      <x:c r="D260" s="10" t="str">
        <x:v>blank-state inspection variant 3</x:v>
      </x:c>
      <x:c r="E260" s="10" t="str">
        <x:v>MATCH</x:v>
      </x:c>
      <x:c r="F260" s="12"/>
      <x:c r="G260" s="10" t="str">
        <x:f>IF(F260="","OPEN",IF(F260=E260,"PASS","FAIL"))</x:f>
        <x:v>OPEN</x:v>
      </x:c>
      <x:c r="H260" s="10" t="str">
        <x:v>configuration authority</x:v>
      </x:c>
    </x:row>
    <x:row r="261">
      <x:c r="A261" s="10" t="str">
        <x:v>AUD-I-046</x:v>
      </x:c>
      <x:c r="B261" s="10" t="str">
        <x:v>initial state</x:v>
      </x:c>
      <x:c r="C261" s="10" t="str">
        <x:v>evidence objects open</x:v>
      </x:c>
      <x:c r="D261" s="10" t="str">
        <x:v>blank-state inspection variant 4</x:v>
      </x:c>
      <x:c r="E261" s="10" t="str">
        <x:v>MATCH</x:v>
      </x:c>
      <x:c r="F261" s="12"/>
      <x:c r="G261" s="10" t="str">
        <x:f>IF(F261="","OPEN",IF(F261=E261,"PASS","FAIL"))</x:f>
        <x:v>OPEN</x:v>
      </x:c>
      <x:c r="H261" s="10" t="str">
        <x:v>configuration authority</x:v>
      </x:c>
    </x:row>
    <x:row r="262">
      <x:c r="A262" s="10" t="str">
        <x:v>AUD-I-047</x:v>
      </x:c>
      <x:c r="B262" s="10" t="str">
        <x:v>initial state</x:v>
      </x:c>
      <x:c r="C262" s="10" t="str">
        <x:v>evidence objects open</x:v>
      </x:c>
      <x:c r="D262" s="10" t="str">
        <x:v>blank-state inspection variant 5</x:v>
      </x:c>
      <x:c r="E262" s="10" t="str">
        <x:v>MATCH</x:v>
      </x:c>
      <x:c r="F262" s="12"/>
      <x:c r="G262" s="10" t="str">
        <x:f>IF(F262="","OPEN",IF(F262=E262,"PASS","FAIL"))</x:f>
        <x:v>OPEN</x:v>
      </x:c>
      <x:c r="H262" s="10" t="str">
        <x:v>configuration authority</x:v>
      </x:c>
    </x:row>
    <x:row r="263">
      <x:c r="A263" s="10" t="str">
        <x:v>AUD-I-048</x:v>
      </x:c>
      <x:c r="B263" s="10" t="str">
        <x:v>initial state</x:v>
      </x:c>
      <x:c r="C263" s="10" t="str">
        <x:v>evidence objects open</x:v>
      </x:c>
      <x:c r="D263" s="10" t="str">
        <x:v>blank-state inspection variant 6</x:v>
      </x:c>
      <x:c r="E263" s="10" t="str">
        <x:v>MATCH</x:v>
      </x:c>
      <x:c r="F263" s="12"/>
      <x:c r="G263" s="10" t="str">
        <x:f>IF(F263="","OPEN",IF(F263=E263,"PASS","FAIL"))</x:f>
        <x:v>OPEN</x:v>
      </x:c>
      <x:c r="H263" s="10" t="str">
        <x:v>configuration authority</x:v>
      </x:c>
    </x:row>
    <x:row r="264">
      <x:c r="A264" s="10" t="str">
        <x:v>AUD-I-049</x:v>
      </x:c>
      <x:c r="B264" s="10" t="str">
        <x:v>initial state</x:v>
      </x:c>
      <x:c r="C264" s="10" t="str">
        <x:v>class blocked</x:v>
      </x:c>
      <x:c r="D264" s="10" t="str">
        <x:v>blank-state inspection variant 1</x:v>
      </x:c>
      <x:c r="E264" s="10" t="str">
        <x:v>MATCH</x:v>
      </x:c>
      <x:c r="F264" s="12"/>
      <x:c r="G264" s="10" t="str">
        <x:f>IF(F264="","OPEN",IF(F264=E264,"PASS","FAIL"))</x:f>
        <x:v>OPEN</x:v>
      </x:c>
      <x:c r="H264" s="10" t="str">
        <x:v>configuration authority</x:v>
      </x:c>
    </x:row>
    <x:row r="265">
      <x:c r="A265" s="10" t="str">
        <x:v>AUD-I-050</x:v>
      </x:c>
      <x:c r="B265" s="10" t="str">
        <x:v>initial state</x:v>
      </x:c>
      <x:c r="C265" s="10" t="str">
        <x:v>class blocked</x:v>
      </x:c>
      <x:c r="D265" s="10" t="str">
        <x:v>blank-state inspection variant 2</x:v>
      </x:c>
      <x:c r="E265" s="10" t="str">
        <x:v>MATCH</x:v>
      </x:c>
      <x:c r="F265" s="12"/>
      <x:c r="G265" s="10" t="str">
        <x:f>IF(F265="","OPEN",IF(F265=E265,"PASS","FAIL"))</x:f>
        <x:v>OPEN</x:v>
      </x:c>
      <x:c r="H265" s="10" t="str">
        <x:v>configuration authority</x:v>
      </x:c>
    </x:row>
    <x:row r="266">
      <x:c r="A266" s="10" t="str">
        <x:v>AUD-I-051</x:v>
      </x:c>
      <x:c r="B266" s="10" t="str">
        <x:v>initial state</x:v>
      </x:c>
      <x:c r="C266" s="10" t="str">
        <x:v>class blocked</x:v>
      </x:c>
      <x:c r="D266" s="10" t="str">
        <x:v>blank-state inspection variant 3</x:v>
      </x:c>
      <x:c r="E266" s="10" t="str">
        <x:v>MATCH</x:v>
      </x:c>
      <x:c r="F266" s="12"/>
      <x:c r="G266" s="10" t="str">
        <x:f>IF(F266="","OPEN",IF(F266=E266,"PASS","FAIL"))</x:f>
        <x:v>OPEN</x:v>
      </x:c>
      <x:c r="H266" s="10" t="str">
        <x:v>configuration authority</x:v>
      </x:c>
    </x:row>
    <x:row r="267">
      <x:c r="A267" s="10" t="str">
        <x:v>AUD-I-052</x:v>
      </x:c>
      <x:c r="B267" s="10" t="str">
        <x:v>initial state</x:v>
      </x:c>
      <x:c r="C267" s="10" t="str">
        <x:v>class blocked</x:v>
      </x:c>
      <x:c r="D267" s="10" t="str">
        <x:v>blank-state inspection variant 4</x:v>
      </x:c>
      <x:c r="E267" s="10" t="str">
        <x:v>MATCH</x:v>
      </x:c>
      <x:c r="F267" s="12"/>
      <x:c r="G267" s="10" t="str">
        <x:f>IF(F267="","OPEN",IF(F267=E267,"PASS","FAIL"))</x:f>
        <x:v>OPEN</x:v>
      </x:c>
      <x:c r="H267" s="10" t="str">
        <x:v>configuration authority</x:v>
      </x:c>
    </x:row>
    <x:row r="268">
      <x:c r="A268" s="10" t="str">
        <x:v>AUD-I-053</x:v>
      </x:c>
      <x:c r="B268" s="10" t="str">
        <x:v>initial state</x:v>
      </x:c>
      <x:c r="C268" s="10" t="str">
        <x:v>class blocked</x:v>
      </x:c>
      <x:c r="D268" s="10" t="str">
        <x:v>blank-state inspection variant 5</x:v>
      </x:c>
      <x:c r="E268" s="10" t="str">
        <x:v>MATCH</x:v>
      </x:c>
      <x:c r="F268" s="12"/>
      <x:c r="G268" s="10" t="str">
        <x:f>IF(F268="","OPEN",IF(F268=E268,"PASS","FAIL"))</x:f>
        <x:v>OPEN</x:v>
      </x:c>
      <x:c r="H268" s="10" t="str">
        <x:v>configuration authority</x:v>
      </x:c>
    </x:row>
    <x:row r="269">
      <x:c r="A269" s="10" t="str">
        <x:v>AUD-I-054</x:v>
      </x:c>
      <x:c r="B269" s="10" t="str">
        <x:v>initial state</x:v>
      </x:c>
      <x:c r="C269" s="10" t="str">
        <x:v>class blocked</x:v>
      </x:c>
      <x:c r="D269" s="10" t="str">
        <x:v>blank-state inspection variant 6</x:v>
      </x:c>
      <x:c r="E269" s="10" t="str">
        <x:v>MATCH</x:v>
      </x:c>
      <x:c r="F269" s="12"/>
      <x:c r="G269" s="10" t="str">
        <x:f>IF(F269="","OPEN",IF(F269=E269,"PASS","FAIL"))</x:f>
        <x:v>OPEN</x:v>
      </x:c>
      <x:c r="H269" s="10" t="str">
        <x:v>configuration authority</x:v>
      </x:c>
    </x:row>
    <x:row r="270">
      <x:c r="A270" s="10" t="str">
        <x:v>AUD-I-055</x:v>
      </x:c>
      <x:c r="B270" s="10" t="str">
        <x:v>initial state</x:v>
      </x:c>
      <x:c r="C270" s="10" t="str">
        <x:v>source numeric input blank</x:v>
      </x:c>
      <x:c r="D270" s="10" t="str">
        <x:v>blank-state inspection variant 1</x:v>
      </x:c>
      <x:c r="E270" s="10" t="str">
        <x:v>MATCH</x:v>
      </x:c>
      <x:c r="F270" s="12"/>
      <x:c r="G270" s="10" t="str">
        <x:f>IF(F270="","OPEN",IF(F270=E270,"PASS","FAIL"))</x:f>
        <x:v>OPEN</x:v>
      </x:c>
      <x:c r="H270" s="10" t="str">
        <x:v>configuration authority</x:v>
      </x:c>
    </x:row>
    <x:row r="271">
      <x:c r="A271" s="10" t="str">
        <x:v>AUD-I-056</x:v>
      </x:c>
      <x:c r="B271" s="10" t="str">
        <x:v>initial state</x:v>
      </x:c>
      <x:c r="C271" s="10" t="str">
        <x:v>source numeric input blank</x:v>
      </x:c>
      <x:c r="D271" s="10" t="str">
        <x:v>blank-state inspection variant 2</x:v>
      </x:c>
      <x:c r="E271" s="10" t="str">
        <x:v>MATCH</x:v>
      </x:c>
      <x:c r="F271" s="12"/>
      <x:c r="G271" s="10" t="str">
        <x:f>IF(F271="","OPEN",IF(F271=E271,"PASS","FAIL"))</x:f>
        <x:v>OPEN</x:v>
      </x:c>
      <x:c r="H271" s="10" t="str">
        <x:v>configuration authority</x:v>
      </x:c>
    </x:row>
    <x:row r="272">
      <x:c r="A272" s="10" t="str">
        <x:v>AUD-I-057</x:v>
      </x:c>
      <x:c r="B272" s="10" t="str">
        <x:v>initial state</x:v>
      </x:c>
      <x:c r="C272" s="10" t="str">
        <x:v>source numeric input blank</x:v>
      </x:c>
      <x:c r="D272" s="10" t="str">
        <x:v>blank-state inspection variant 3</x:v>
      </x:c>
      <x:c r="E272" s="10" t="str">
        <x:v>MATCH</x:v>
      </x:c>
      <x:c r="F272" s="12"/>
      <x:c r="G272" s="10" t="str">
        <x:f>IF(F272="","OPEN",IF(F272=E272,"PASS","FAIL"))</x:f>
        <x:v>OPEN</x:v>
      </x:c>
      <x:c r="H272" s="10" t="str">
        <x:v>configuration authority</x:v>
      </x:c>
    </x:row>
    <x:row r="273">
      <x:c r="A273" s="10" t="str">
        <x:v>AUD-I-058</x:v>
      </x:c>
      <x:c r="B273" s="10" t="str">
        <x:v>initial state</x:v>
      </x:c>
      <x:c r="C273" s="10" t="str">
        <x:v>source numeric input blank</x:v>
      </x:c>
      <x:c r="D273" s="10" t="str">
        <x:v>blank-state inspection variant 4</x:v>
      </x:c>
      <x:c r="E273" s="10" t="str">
        <x:v>MATCH</x:v>
      </x:c>
      <x:c r="F273" s="12"/>
      <x:c r="G273" s="10" t="str">
        <x:f>IF(F273="","OPEN",IF(F273=E273,"PASS","FAIL"))</x:f>
        <x:v>OPEN</x:v>
      </x:c>
      <x:c r="H273" s="10" t="str">
        <x:v>configuration authority</x:v>
      </x:c>
    </x:row>
    <x:row r="274">
      <x:c r="A274" s="10" t="str">
        <x:v>AUD-I-059</x:v>
      </x:c>
      <x:c r="B274" s="10" t="str">
        <x:v>initial state</x:v>
      </x:c>
      <x:c r="C274" s="10" t="str">
        <x:v>source numeric input blank</x:v>
      </x:c>
      <x:c r="D274" s="10" t="str">
        <x:v>blank-state inspection variant 5</x:v>
      </x:c>
      <x:c r="E274" s="10" t="str">
        <x:v>MATCH</x:v>
      </x:c>
      <x:c r="F274" s="12"/>
      <x:c r="G274" s="10" t="str">
        <x:f>IF(F274="","OPEN",IF(F274=E274,"PASS","FAIL"))</x:f>
        <x:v>OPEN</x:v>
      </x:c>
      <x:c r="H274" s="10" t="str">
        <x:v>configuration authority</x:v>
      </x:c>
    </x:row>
    <x:row r="275">
      <x:c r="A275" s="10" t="str">
        <x:v>AUD-I-060</x:v>
      </x:c>
      <x:c r="B275" s="10" t="str">
        <x:v>initial state</x:v>
      </x:c>
      <x:c r="C275" s="10" t="str">
        <x:v>source numeric input blank</x:v>
      </x:c>
      <x:c r="D275" s="10" t="str">
        <x:v>blank-state inspection variant 6</x:v>
      </x:c>
      <x:c r="E275" s="10" t="str">
        <x:v>MATCH</x:v>
      </x:c>
      <x:c r="F275" s="12"/>
      <x:c r="G275" s="10" t="str">
        <x:f>IF(F275="","OPEN",IF(F275=E275,"PASS","FAIL"))</x:f>
        <x:v>OPEN</x:v>
      </x:c>
      <x:c r="H275" s="10" t="str">
        <x:v>configuration authority</x:v>
      </x:c>
    </x:row>
    <x:row r="276">
      <x:c r="A276" s="10" t="str">
        <x:v>AUD-I-061</x:v>
      </x:c>
      <x:c r="B276" s="10" t="str">
        <x:v>initial state</x:v>
      </x:c>
      <x:c r="C276" s="10" t="str">
        <x:v>ignition input blank</x:v>
      </x:c>
      <x:c r="D276" s="10" t="str">
        <x:v>blank-state inspection variant 1</x:v>
      </x:c>
      <x:c r="E276" s="10" t="str">
        <x:v>MATCH</x:v>
      </x:c>
      <x:c r="F276" s="12"/>
      <x:c r="G276" s="10" t="str">
        <x:f>IF(F276="","OPEN",IF(F276=E276,"PASS","FAIL"))</x:f>
        <x:v>OPEN</x:v>
      </x:c>
      <x:c r="H276" s="10" t="str">
        <x:v>configuration authority</x:v>
      </x:c>
    </x:row>
    <x:row r="277">
      <x:c r="A277" s="10" t="str">
        <x:v>AUD-I-062</x:v>
      </x:c>
      <x:c r="B277" s="10" t="str">
        <x:v>initial state</x:v>
      </x:c>
      <x:c r="C277" s="10" t="str">
        <x:v>ignition input blank</x:v>
      </x:c>
      <x:c r="D277" s="10" t="str">
        <x:v>blank-state inspection variant 2</x:v>
      </x:c>
      <x:c r="E277" s="10" t="str">
        <x:v>MATCH</x:v>
      </x:c>
      <x:c r="F277" s="12"/>
      <x:c r="G277" s="10" t="str">
        <x:f>IF(F277="","OPEN",IF(F277=E277,"PASS","FAIL"))</x:f>
        <x:v>OPEN</x:v>
      </x:c>
      <x:c r="H277" s="10" t="str">
        <x:v>configuration authority</x:v>
      </x:c>
    </x:row>
    <x:row r="278">
      <x:c r="A278" s="10" t="str">
        <x:v>AUD-I-063</x:v>
      </x:c>
      <x:c r="B278" s="10" t="str">
        <x:v>initial state</x:v>
      </x:c>
      <x:c r="C278" s="10" t="str">
        <x:v>ignition input blank</x:v>
      </x:c>
      <x:c r="D278" s="10" t="str">
        <x:v>blank-state inspection variant 3</x:v>
      </x:c>
      <x:c r="E278" s="10" t="str">
        <x:v>MATCH</x:v>
      </x:c>
      <x:c r="F278" s="12"/>
      <x:c r="G278" s="10" t="str">
        <x:f>IF(F278="","OPEN",IF(F278=E278,"PASS","FAIL"))</x:f>
        <x:v>OPEN</x:v>
      </x:c>
      <x:c r="H278" s="10" t="str">
        <x:v>configuration authority</x:v>
      </x:c>
    </x:row>
    <x:row r="279">
      <x:c r="A279" s="10" t="str">
        <x:v>AUD-I-064</x:v>
      </x:c>
      <x:c r="B279" s="10" t="str">
        <x:v>initial state</x:v>
      </x:c>
      <x:c r="C279" s="10" t="str">
        <x:v>ignition input blank</x:v>
      </x:c>
      <x:c r="D279" s="10" t="str">
        <x:v>blank-state inspection variant 4</x:v>
      </x:c>
      <x:c r="E279" s="10" t="str">
        <x:v>MATCH</x:v>
      </x:c>
      <x:c r="F279" s="12"/>
      <x:c r="G279" s="10" t="str">
        <x:f>IF(F279="","OPEN",IF(F279=E279,"PASS","FAIL"))</x:f>
        <x:v>OPEN</x:v>
      </x:c>
      <x:c r="H279" s="10" t="str">
        <x:v>configuration authority</x:v>
      </x:c>
    </x:row>
    <x:row r="280">
      <x:c r="A280" s="10" t="str">
        <x:v>AUD-I-065</x:v>
      </x:c>
      <x:c r="B280" s="10" t="str">
        <x:v>initial state</x:v>
      </x:c>
      <x:c r="C280" s="10" t="str">
        <x:v>ignition input blank</x:v>
      </x:c>
      <x:c r="D280" s="10" t="str">
        <x:v>blank-state inspection variant 5</x:v>
      </x:c>
      <x:c r="E280" s="10" t="str">
        <x:v>MATCH</x:v>
      </x:c>
      <x:c r="F280" s="12"/>
      <x:c r="G280" s="10" t="str">
        <x:f>IF(F280="","OPEN",IF(F280=E280,"PASS","FAIL"))</x:f>
        <x:v>OPEN</x:v>
      </x:c>
      <x:c r="H280" s="10" t="str">
        <x:v>configuration authority</x:v>
      </x:c>
    </x:row>
    <x:row r="281">
      <x:c r="A281" s="10" t="str">
        <x:v>AUD-I-066</x:v>
      </x:c>
      <x:c r="B281" s="10" t="str">
        <x:v>initial state</x:v>
      </x:c>
      <x:c r="C281" s="10" t="str">
        <x:v>ignition input blank</x:v>
      </x:c>
      <x:c r="D281" s="10" t="str">
        <x:v>blank-state inspection variant 6</x:v>
      </x:c>
      <x:c r="E281" s="10" t="str">
        <x:v>MATCH</x:v>
      </x:c>
      <x:c r="F281" s="12"/>
      <x:c r="G281" s="10" t="str">
        <x:f>IF(F281="","OPEN",IF(F281=E281,"PASS","FAIL"))</x:f>
        <x:v>OPEN</x:v>
      </x:c>
      <x:c r="H281" s="10" t="str">
        <x:v>configuration authority</x:v>
      </x:c>
    </x:row>
    <x:row r="282">
      <x:c r="A282" s="10" t="str">
        <x:v>AUD-I-067</x:v>
      </x:c>
      <x:c r="B282" s="10" t="str">
        <x:v>initial state</x:v>
      </x:c>
      <x:c r="C282" s="10" t="str">
        <x:v>reserve cells blank</x:v>
      </x:c>
      <x:c r="D282" s="10" t="str">
        <x:v>blank-state inspection variant 1</x:v>
      </x:c>
      <x:c r="E282" s="10" t="str">
        <x:v>MATCH</x:v>
      </x:c>
      <x:c r="F282" s="12"/>
      <x:c r="G282" s="10" t="str">
        <x:f>IF(F282="","OPEN",IF(F282=E282,"PASS","FAIL"))</x:f>
        <x:v>OPEN</x:v>
      </x:c>
      <x:c r="H282" s="10" t="str">
        <x:v>configuration authority</x:v>
      </x:c>
    </x:row>
    <x:row r="283">
      <x:c r="A283" s="10" t="str">
        <x:v>AUD-I-068</x:v>
      </x:c>
      <x:c r="B283" s="10" t="str">
        <x:v>initial state</x:v>
      </x:c>
      <x:c r="C283" s="10" t="str">
        <x:v>reserve cells blank</x:v>
      </x:c>
      <x:c r="D283" s="10" t="str">
        <x:v>blank-state inspection variant 2</x:v>
      </x:c>
      <x:c r="E283" s="10" t="str">
        <x:v>MATCH</x:v>
      </x:c>
      <x:c r="F283" s="12"/>
      <x:c r="G283" s="10" t="str">
        <x:f>IF(F283="","OPEN",IF(F283=E283,"PASS","FAIL"))</x:f>
        <x:v>OPEN</x:v>
      </x:c>
      <x:c r="H283" s="10" t="str">
        <x:v>configuration authority</x:v>
      </x:c>
    </x:row>
    <x:row r="284">
      <x:c r="A284" s="10" t="str">
        <x:v>AUD-I-069</x:v>
      </x:c>
      <x:c r="B284" s="10" t="str">
        <x:v>initial state</x:v>
      </x:c>
      <x:c r="C284" s="10" t="str">
        <x:v>reserve cells blank</x:v>
      </x:c>
      <x:c r="D284" s="10" t="str">
        <x:v>blank-state inspection variant 3</x:v>
      </x:c>
      <x:c r="E284" s="10" t="str">
        <x:v>MATCH</x:v>
      </x:c>
      <x:c r="F284" s="12"/>
      <x:c r="G284" s="10" t="str">
        <x:f>IF(F284="","OPEN",IF(F284=E284,"PASS","FAIL"))</x:f>
        <x:v>OPEN</x:v>
      </x:c>
      <x:c r="H284" s="10" t="str">
        <x:v>configuration authority</x:v>
      </x:c>
    </x:row>
    <x:row r="285">
      <x:c r="A285" s="10" t="str">
        <x:v>AUD-I-070</x:v>
      </x:c>
      <x:c r="B285" s="10" t="str">
        <x:v>initial state</x:v>
      </x:c>
      <x:c r="C285" s="10" t="str">
        <x:v>reserve cells blank</x:v>
      </x:c>
      <x:c r="D285" s="10" t="str">
        <x:v>blank-state inspection variant 4</x:v>
      </x:c>
      <x:c r="E285" s="10" t="str">
        <x:v>MATCH</x:v>
      </x:c>
      <x:c r="F285" s="12"/>
      <x:c r="G285" s="10" t="str">
        <x:f>IF(F285="","OPEN",IF(F285=E285,"PASS","FAIL"))</x:f>
        <x:v>OPEN</x:v>
      </x:c>
      <x:c r="H285" s="10" t="str">
        <x:v>configuration authority</x:v>
      </x:c>
    </x:row>
    <x:row r="286">
      <x:c r="A286" s="10" t="str">
        <x:v>AUD-I-071</x:v>
      </x:c>
      <x:c r="B286" s="10" t="str">
        <x:v>initial state</x:v>
      </x:c>
      <x:c r="C286" s="10" t="str">
        <x:v>reserve cells blank</x:v>
      </x:c>
      <x:c r="D286" s="10" t="str">
        <x:v>blank-state inspection variant 5</x:v>
      </x:c>
      <x:c r="E286" s="10" t="str">
        <x:v>MATCH</x:v>
      </x:c>
      <x:c r="F286" s="12"/>
      <x:c r="G286" s="10" t="str">
        <x:f>IF(F286="","OPEN",IF(F286=E286,"PASS","FAIL"))</x:f>
        <x:v>OPEN</x:v>
      </x:c>
      <x:c r="H286" s="10" t="str">
        <x:v>configuration authority</x:v>
      </x:c>
    </x:row>
    <x:row r="287">
      <x:c r="A287" s="10" t="str">
        <x:v>AUD-I-072</x:v>
      </x:c>
      <x:c r="B287" s="10" t="str">
        <x:v>initial state</x:v>
      </x:c>
      <x:c r="C287" s="10" t="str">
        <x:v>reserve cells blank</x:v>
      </x:c>
      <x:c r="D287" s="10" t="str">
        <x:v>blank-state inspection variant 6</x:v>
      </x:c>
      <x:c r="E287" s="10" t="str">
        <x:v>MATCH</x:v>
      </x:c>
      <x:c r="F287" s="12"/>
      <x:c r="G287" s="10" t="str">
        <x:f>IF(F287="","OPEN",IF(F287=E287,"PASS","FAIL"))</x:f>
        <x:v>OPEN</x:v>
      </x:c>
      <x:c r="H287" s="10" t="str">
        <x:v>configuration authority</x:v>
      </x:c>
    </x:row>
    <x:row r="288">
      <x:c r="A288" s="10" t="str">
        <x:v>AUD-I-073</x:v>
      </x:c>
      <x:c r="B288" s="10" t="str">
        <x:v>initial state</x:v>
      </x:c>
      <x:c r="C288" s="10" t="str">
        <x:v>forensic modules protected</x:v>
      </x:c>
      <x:c r="D288" s="10" t="str">
        <x:v>blank-state inspection variant 1</x:v>
      </x:c>
      <x:c r="E288" s="10" t="str">
        <x:v>MATCH</x:v>
      </x:c>
      <x:c r="F288" s="12"/>
      <x:c r="G288" s="10" t="str">
        <x:f>IF(F288="","OPEN",IF(F288=E288,"PASS","FAIL"))</x:f>
        <x:v>OPEN</x:v>
      </x:c>
      <x:c r="H288" s="10" t="str">
        <x:v>configuration authority</x:v>
      </x:c>
    </x:row>
    <x:row r="289">
      <x:c r="A289" s="10" t="str">
        <x:v>AUD-I-074</x:v>
      </x:c>
      <x:c r="B289" s="10" t="str">
        <x:v>initial state</x:v>
      </x:c>
      <x:c r="C289" s="10" t="str">
        <x:v>forensic modules protected</x:v>
      </x:c>
      <x:c r="D289" s="10" t="str">
        <x:v>blank-state inspection variant 2</x:v>
      </x:c>
      <x:c r="E289" s="10" t="str">
        <x:v>MATCH</x:v>
      </x:c>
      <x:c r="F289" s="12"/>
      <x:c r="G289" s="10" t="str">
        <x:f>IF(F289="","OPEN",IF(F289=E289,"PASS","FAIL"))</x:f>
        <x:v>OPEN</x:v>
      </x:c>
      <x:c r="H289" s="10" t="str">
        <x:v>configuration authority</x:v>
      </x:c>
    </x:row>
    <x:row r="290">
      <x:c r="A290" s="10" t="str">
        <x:v>AUD-I-075</x:v>
      </x:c>
      <x:c r="B290" s="10" t="str">
        <x:v>initial state</x:v>
      </x:c>
      <x:c r="C290" s="10" t="str">
        <x:v>forensic modules protected</x:v>
      </x:c>
      <x:c r="D290" s="10" t="str">
        <x:v>blank-state inspection variant 3</x:v>
      </x:c>
      <x:c r="E290" s="10" t="str">
        <x:v>MATCH</x:v>
      </x:c>
      <x:c r="F290" s="12"/>
      <x:c r="G290" s="10" t="str">
        <x:f>IF(F290="","OPEN",IF(F290=E290,"PASS","FAIL"))</x:f>
        <x:v>OPEN</x:v>
      </x:c>
      <x:c r="H290" s="10" t="str">
        <x:v>configuration authority</x:v>
      </x:c>
    </x:row>
    <x:row r="291">
      <x:c r="A291" s="10" t="str">
        <x:v>AUD-I-076</x:v>
      </x:c>
      <x:c r="B291" s="10" t="str">
        <x:v>initial state</x:v>
      </x:c>
      <x:c r="C291" s="10" t="str">
        <x:v>forensic modules protected</x:v>
      </x:c>
      <x:c r="D291" s="10" t="str">
        <x:v>blank-state inspection variant 4</x:v>
      </x:c>
      <x:c r="E291" s="10" t="str">
        <x:v>MATCH</x:v>
      </x:c>
      <x:c r="F291" s="12"/>
      <x:c r="G291" s="10" t="str">
        <x:f>IF(F291="","OPEN",IF(F291=E291,"PASS","FAIL"))</x:f>
        <x:v>OPEN</x:v>
      </x:c>
      <x:c r="H291" s="10" t="str">
        <x:v>configuration authority</x:v>
      </x:c>
    </x:row>
    <x:row r="292">
      <x:c r="A292" s="10" t="str">
        <x:v>AUD-I-077</x:v>
      </x:c>
      <x:c r="B292" s="10" t="str">
        <x:v>initial state</x:v>
      </x:c>
      <x:c r="C292" s="10" t="str">
        <x:v>forensic modules protected</x:v>
      </x:c>
      <x:c r="D292" s="10" t="str">
        <x:v>blank-state inspection variant 5</x:v>
      </x:c>
      <x:c r="E292" s="10" t="str">
        <x:v>MATCH</x:v>
      </x:c>
      <x:c r="F292" s="12"/>
      <x:c r="G292" s="10" t="str">
        <x:f>IF(F292="","OPEN",IF(F292=E292,"PASS","FAIL"))</x:f>
        <x:v>OPEN</x:v>
      </x:c>
      <x:c r="H292" s="10" t="str">
        <x:v>configuration authority</x:v>
      </x:c>
    </x:row>
    <x:row r="293">
      <x:c r="A293" s="10" t="str">
        <x:v>AUD-I-078</x:v>
      </x:c>
      <x:c r="B293" s="10" t="str">
        <x:v>initial state</x:v>
      </x:c>
      <x:c r="C293" s="10" t="str">
        <x:v>forensic modules protected</x:v>
      </x:c>
      <x:c r="D293" s="10" t="str">
        <x:v>blank-state inspection variant 6</x:v>
      </x:c>
      <x:c r="E293" s="10" t="str">
        <x:v>MATCH</x:v>
      </x:c>
      <x:c r="F293" s="12"/>
      <x:c r="G293" s="10" t="str">
        <x:f>IF(F293="","OPEN",IF(F293=E293,"PASS","FAIL"))</x:f>
        <x:v>OPEN</x:v>
      </x:c>
      <x:c r="H293" s="10" t="str">
        <x:v>configuration authority</x:v>
      </x:c>
    </x:row>
    <x:row r="294">
      <x:c r="A294" s="10" t="str">
        <x:v>AUD-I-079</x:v>
      </x:c>
      <x:c r="B294" s="10" t="str">
        <x:v>initial state</x:v>
      </x:c>
      <x:c r="C294" s="10" t="str">
        <x:v>financial objects reconcile</x:v>
      </x:c>
      <x:c r="D294" s="10" t="str">
        <x:v>blank-state inspection variant 1</x:v>
      </x:c>
      <x:c r="E294" s="10" t="str">
        <x:v>MATCH</x:v>
      </x:c>
      <x:c r="F294" s="12"/>
      <x:c r="G294" s="10" t="str">
        <x:f>IF(F294="","OPEN",IF(F294=E294,"PASS","FAIL"))</x:f>
        <x:v>OPEN</x:v>
      </x:c>
      <x:c r="H294" s="10" t="str">
        <x:v>configuration authority</x:v>
      </x:c>
    </x:row>
    <x:row r="295">
      <x:c r="A295" s="10" t="str">
        <x:v>AUD-I-080</x:v>
      </x:c>
      <x:c r="B295" s="10" t="str">
        <x:v>initial state</x:v>
      </x:c>
      <x:c r="C295" s="10" t="str">
        <x:v>financial objects reconcile</x:v>
      </x:c>
      <x:c r="D295" s="10" t="str">
        <x:v>blank-state inspection variant 2</x:v>
      </x:c>
      <x:c r="E295" s="10" t="str">
        <x:v>MATCH</x:v>
      </x:c>
      <x:c r="F295" s="12"/>
      <x:c r="G295" s="10" t="str">
        <x:f>IF(F295="","OPEN",IF(F295=E295,"PASS","FAIL"))</x:f>
        <x:v>OPEN</x:v>
      </x:c>
      <x:c r="H295" s="10" t="str">
        <x:v>configuration authority</x:v>
      </x:c>
    </x:row>
    <x:row r="296">
      <x:c r="A296" s="10" t="str">
        <x:v>AUD-I-081</x:v>
      </x:c>
      <x:c r="B296" s="10" t="str">
        <x:v>initial state</x:v>
      </x:c>
      <x:c r="C296" s="10" t="str">
        <x:v>financial objects reconcile</x:v>
      </x:c>
      <x:c r="D296" s="10" t="str">
        <x:v>blank-state inspection variant 3</x:v>
      </x:c>
      <x:c r="E296" s="10" t="str">
        <x:v>MATCH</x:v>
      </x:c>
      <x:c r="F296" s="12"/>
      <x:c r="G296" s="10" t="str">
        <x:f>IF(F296="","OPEN",IF(F296=E296,"PASS","FAIL"))</x:f>
        <x:v>OPEN</x:v>
      </x:c>
      <x:c r="H296" s="10" t="str">
        <x:v>configuration authority</x:v>
      </x:c>
    </x:row>
    <x:row r="297">
      <x:c r="A297" s="10" t="str">
        <x:v>AUD-I-082</x:v>
      </x:c>
      <x:c r="B297" s="10" t="str">
        <x:v>initial state</x:v>
      </x:c>
      <x:c r="C297" s="10" t="str">
        <x:v>financial objects reconcile</x:v>
      </x:c>
      <x:c r="D297" s="10" t="str">
        <x:v>blank-state inspection variant 4</x:v>
      </x:c>
      <x:c r="E297" s="10" t="str">
        <x:v>MATCH</x:v>
      </x:c>
      <x:c r="F297" s="12"/>
      <x:c r="G297" s="10" t="str">
        <x:f>IF(F297="","OPEN",IF(F297=E297,"PASS","FAIL"))</x:f>
        <x:v>OPEN</x:v>
      </x:c>
      <x:c r="H297" s="10" t="str">
        <x:v>configuration authority</x:v>
      </x:c>
    </x:row>
    <x:row r="298">
      <x:c r="A298" s="10" t="str">
        <x:v>AUD-I-083</x:v>
      </x:c>
      <x:c r="B298" s="10" t="str">
        <x:v>initial state</x:v>
      </x:c>
      <x:c r="C298" s="10" t="str">
        <x:v>financial objects reconcile</x:v>
      </x:c>
      <x:c r="D298" s="10" t="str">
        <x:v>blank-state inspection variant 5</x:v>
      </x:c>
      <x:c r="E298" s="10" t="str">
        <x:v>MATCH</x:v>
      </x:c>
      <x:c r="F298" s="12"/>
      <x:c r="G298" s="10" t="str">
        <x:f>IF(F298="","OPEN",IF(F298=E298,"PASS","FAIL"))</x:f>
        <x:v>OPEN</x:v>
      </x:c>
      <x:c r="H298" s="10" t="str">
        <x:v>configuration authority</x:v>
      </x:c>
    </x:row>
    <x:row r="299">
      <x:c r="A299" s="10" t="str">
        <x:v>AUD-I-084</x:v>
      </x:c>
      <x:c r="B299" s="10" t="str">
        <x:v>initial state</x:v>
      </x:c>
      <x:c r="C299" s="10" t="str">
        <x:v>financial objects reconcile</x:v>
      </x:c>
      <x:c r="D299" s="10" t="str">
        <x:v>blank-state inspection variant 6</x:v>
      </x:c>
      <x:c r="E299" s="10" t="str">
        <x:v>MATCH</x:v>
      </x:c>
      <x:c r="F299" s="12"/>
      <x:c r="G299" s="10" t="str">
        <x:f>IF(F299="","OPEN",IF(F299=E299,"PASS","FAIL"))</x:f>
        <x:v>OPEN</x:v>
      </x:c>
      <x:c r="H299" s="10" t="str">
        <x:v>configuration authority</x:v>
      </x:c>
    </x:row>
    <x:row r="300">
      <x:c r="A300" s="10" t="str">
        <x:v>AUD-I-085</x:v>
      </x:c>
      <x:c r="B300" s="10" t="str">
        <x:v>initial state</x:v>
      </x:c>
      <x:c r="C300" s="10" t="str">
        <x:v>parent schedule variance visible</x:v>
      </x:c>
      <x:c r="D300" s="10" t="str">
        <x:v>blank-state inspection variant 1</x:v>
      </x:c>
      <x:c r="E300" s="10" t="str">
        <x:v>MATCH</x:v>
      </x:c>
      <x:c r="F300" s="12"/>
      <x:c r="G300" s="10" t="str">
        <x:f>IF(F300="","OPEN",IF(F300=E300,"PASS","FAIL"))</x:f>
        <x:v>OPEN</x:v>
      </x:c>
      <x:c r="H300" s="10" t="str">
        <x:v>configuration authority</x:v>
      </x:c>
    </x:row>
    <x:row r="301">
      <x:c r="A301" s="10" t="str">
        <x:v>AUD-I-086</x:v>
      </x:c>
      <x:c r="B301" s="10" t="str">
        <x:v>initial state</x:v>
      </x:c>
      <x:c r="C301" s="10" t="str">
        <x:v>parent schedule variance visible</x:v>
      </x:c>
      <x:c r="D301" s="10" t="str">
        <x:v>blank-state inspection variant 2</x:v>
      </x:c>
      <x:c r="E301" s="10" t="str">
        <x:v>MATCH</x:v>
      </x:c>
      <x:c r="F301" s="12"/>
      <x:c r="G301" s="10" t="str">
        <x:f>IF(F301="","OPEN",IF(F301=E301,"PASS","FAIL"))</x:f>
        <x:v>OPEN</x:v>
      </x:c>
      <x:c r="H301" s="10" t="str">
        <x:v>configuration authority</x:v>
      </x:c>
    </x:row>
    <x:row r="302">
      <x:c r="A302" s="10" t="str">
        <x:v>AUD-I-087</x:v>
      </x:c>
      <x:c r="B302" s="10" t="str">
        <x:v>initial state</x:v>
      </x:c>
      <x:c r="C302" s="10" t="str">
        <x:v>parent schedule variance visible</x:v>
      </x:c>
      <x:c r="D302" s="10" t="str">
        <x:v>blank-state inspection variant 3</x:v>
      </x:c>
      <x:c r="E302" s="10" t="str">
        <x:v>MATCH</x:v>
      </x:c>
      <x:c r="F302" s="12"/>
      <x:c r="G302" s="10" t="str">
        <x:f>IF(F302="","OPEN",IF(F302=E302,"PASS","FAIL"))</x:f>
        <x:v>OPEN</x:v>
      </x:c>
      <x:c r="H302" s="10" t="str">
        <x:v>configuration authority</x:v>
      </x:c>
    </x:row>
    <x:row r="303">
      <x:c r="A303" s="10" t="str">
        <x:v>AUD-I-088</x:v>
      </x:c>
      <x:c r="B303" s="10" t="str">
        <x:v>initial state</x:v>
      </x:c>
      <x:c r="C303" s="10" t="str">
        <x:v>parent schedule variance visible</x:v>
      </x:c>
      <x:c r="D303" s="10" t="str">
        <x:v>blank-state inspection variant 4</x:v>
      </x:c>
      <x:c r="E303" s="10" t="str">
        <x:v>MATCH</x:v>
      </x:c>
      <x:c r="F303" s="12"/>
      <x:c r="G303" s="10" t="str">
        <x:f>IF(F303="","OPEN",IF(F303=E303,"PASS","FAIL"))</x:f>
        <x:v>OPEN</x:v>
      </x:c>
      <x:c r="H303" s="10" t="str">
        <x:v>configuration authority</x:v>
      </x:c>
    </x:row>
    <x:row r="304">
      <x:c r="A304" s="10" t="str">
        <x:v>AUD-I-089</x:v>
      </x:c>
      <x:c r="B304" s="10" t="str">
        <x:v>initial state</x:v>
      </x:c>
      <x:c r="C304" s="10" t="str">
        <x:v>parent schedule variance visible</x:v>
      </x:c>
      <x:c r="D304" s="10" t="str">
        <x:v>blank-state inspection variant 5</x:v>
      </x:c>
      <x:c r="E304" s="10" t="str">
        <x:v>MATCH</x:v>
      </x:c>
      <x:c r="F304" s="12"/>
      <x:c r="G304" s="10" t="str">
        <x:f>IF(F304="","OPEN",IF(F304=E304,"PASS","FAIL"))</x:f>
        <x:v>OPEN</x:v>
      </x:c>
      <x:c r="H304" s="10" t="str">
        <x:v>configuration authority</x:v>
      </x:c>
    </x:row>
    <x:row r="305">
      <x:c r="A305" s="10" t="str">
        <x:v>AUD-I-090</x:v>
      </x:c>
      <x:c r="B305" s="10" t="str">
        <x:v>initial state</x:v>
      </x:c>
      <x:c r="C305" s="10" t="str">
        <x:v>parent schedule variance visible</x:v>
      </x:c>
      <x:c r="D305" s="10" t="str">
        <x:v>blank-state inspection variant 6</x:v>
      </x:c>
      <x:c r="E305" s="10" t="str">
        <x:v>MATCH</x:v>
      </x:c>
      <x:c r="F305" s="12"/>
      <x:c r="G305" s="10" t="str">
        <x:f>IF(F305="","OPEN",IF(F305=E305,"PASS","FAIL"))</x:f>
        <x:v>OPEN</x:v>
      </x:c>
      <x:c r="H305" s="10" t="str">
        <x:v>configuration authority</x:v>
      </x:c>
    </x:row>
  </x:sheetData>
  <x:mergeCells>
    <x:mergeCell ref="A2:H2"/>
  </x:mergeCells>
  <x:conditionalFormatting sqref="G6:G305">
    <x:cfRule type="containsText" dxfId="90" priority="1" operator="containsText" text="DENY"/>
    <x:cfRule type="containsText" dxfId="91" priority="2" operator="containsText" text="ADVERSE"/>
    <x:cfRule type="containsText" dxfId="92" priority="3" operator="containsText" text="FAIL"/>
    <x:cfRule type="containsText" dxfId="93" priority="4" operator="containsText" text="OPEN"/>
    <x:cfRule type="containsText" dxfId="9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b3ee0e44596f4bb3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6" hidden="0" customWidth="1"/>
    <x:col min="3" max="3" width="82" hidden="0" customWidth="1"/>
    <x:col min="4" max="4" width="40" hidden="0" customWidth="1"/>
    <x:col min="5" max="5" width="15" hidden="0" customWidth="1"/>
  </x:cols>
  <x:sheetData>
    <x:row r="2" ht="24" customHeight="1">
      <x:c r="A2" s="1" t="str">
        <x:v>Internal research chain</x:v>
      </x:c>
    </x:row>
    <x:row r="4" ht="22" customHeight="1">
      <x:c r="A4" s="2"/>
      <x:c r="B4" s="2"/>
      <x:c r="C4" s="2"/>
      <x:c r="D4" s="2"/>
      <x:c r="E4" s="2"/>
    </x:row>
    <x:row r="5">
      <x:c r="A5" s="8" t="str">
        <x:v>ID</x:v>
      </x:c>
      <x:c r="B5" s="8" t="str">
        <x:v>Research object</x:v>
      </x:c>
      <x:c r="C5" s="8" t="str">
        <x:v>Repository path</x:v>
      </x:c>
      <x:c r="D5" s="8" t="str">
        <x:v>Use in RBI-1</x:v>
      </x:c>
      <x:c r="E5" s="8" t="str">
        <x:v>External site</x:v>
      </x:c>
    </x:row>
    <x:row r="6" ht="44" customHeight="1">
      <x:c r="A6" s="10" t="str">
        <x:v>RBG-1</x:v>
      </x:c>
      <x:c r="B6" s="24" t="str">
        <x:v>AM-06 source-water-ignition entry-ladder reset</x:v>
      </x:c>
      <x:c r="C6" s="24" t="str">
        <x:v>research/force/generation/f36-cisa40-sa6-root-a-am06-source-water-ignition-entry-ladder-reset.md</x:v>
      </x:c>
      <x:c r="D6" s="24" t="str">
        <x:v>ER-02 scope, exact cells, parent envelope</x:v>
      </x:c>
      <x:c r="E6" s="10" t="str">
        <x:v>none</x:v>
      </x:c>
    </x:row>
    <x:row r="7" ht="44" customHeight="1">
      <x:c r="A7" s="10" t="str">
        <x:v>RBH-1</x:v>
      </x:c>
      <x:c r="B7" s="24" t="str">
        <x:v>Dry igniter-reference competition and ER-01 class constitution</x:v>
      </x:c>
      <x:c r="C7" s="24" t="str">
        <x:v>research/force/generation/f36-cisa40-sa6-root-a-dry-igniter-reference-architecture-competition-and-er01-class-constitution.md</x:v>
      </x:c>
      <x:c r="D7" s="24" t="str">
        <x:v>prior child allocation and corrected schedule</x:v>
      </x:c>
      <x:c r="E7" s="10" t="str">
        <x:v>none</x:v>
      </x:c>
    </x:row>
    <x:row r="8" ht="44" customHeight="1">
      <x:c r="A8" s="10" t="str">
        <x:v>RFP-1</x:v>
      </x:c>
      <x:c r="B8" s="24" t="str">
        <x:v>Full-scale fire/hydraulic-rig physical specification</x:v>
      </x:c>
      <x:c r="C8" s="24" t="str">
        <x:v>research/force/generation/f36-cisa40-sa6-root-a-full-scale-fire-hydraulic-rig-physical-specification.md</x:v>
      </x:c>
      <x:c r="D8" s="24" t="str">
        <x:v>public hydraulic boundary</x:v>
      </x:c>
      <x:c r="E8" s="10" t="str">
        <x:v>none</x:v>
      </x:c>
    </x:row>
    <x:row r="9" ht="44" customHeight="1">
      <x:c r="A9" s="10" t="str">
        <x:v>RAW-1</x:v>
      </x:c>
      <x:c r="B9" s="24" t="str">
        <x:v>Known-truth method-qualification wave</x:v>
      </x:c>
      <x:c r="C9" s="24" t="str">
        <x:v>research/force/generation/f36-cisa40-sa6-root-a-known-truth-method-qualification-wave.md</x:v>
      </x:c>
      <x:c r="D9" s="24" t="str">
        <x:v>qualification logic</x:v>
      </x:c>
      <x:c r="E9" s="10" t="str">
        <x:v>none</x:v>
      </x:c>
    </x:row>
    <x:row r="10" ht="44" customHeight="1">
      <x:c r="A10" s="10" t="str">
        <x:v>RAM-1</x:v>
      </x:c>
      <x:c r="B10" s="24" t="str">
        <x:v>Method-card and causal-estimator constitution</x:v>
      </x:c>
      <x:c r="C10" s="24" t="str">
        <x:v>research/force/generation/f36-cisa40-sa6-root-a-method-card-and-causal-estimator-constitution.md</x:v>
      </x:c>
      <x:c r="D10" s="24" t="str">
        <x:v>causal record structure</x:v>
      </x:c>
      <x:c r="E10" s="10" t="str">
        <x:v>none</x:v>
      </x:c>
    </x:row>
    <x:row r="11" ht="44" customHeight="1">
      <x:c r="A11" s="10" t="str">
        <x:v>RFE-1</x:v>
      </x:c>
      <x:c r="B11" s="24" t="str">
        <x:v>Fire/hydraulic-rig execution and source-escalation constitution</x:v>
      </x:c>
      <x:c r="C11" s="24" t="str">
        <x:v>research/force/generation/f36-cisa40-sa6-root-a-fire-hydraulic-rig-execution-and-source-escalation-constitution.md</x:v>
      </x:c>
      <x:c r="D11" s="24" t="str">
        <x:v>execution and source-zero rule</x:v>
      </x:c>
      <x:c r="E11" s="10" t="str">
        <x:v>none</x:v>
      </x:c>
    </x:row>
    <x:row r="12" ht="44" customHeight="1">
      <x:c r="A12" s="10" t="str">
        <x:v>RFA-1</x:v>
      </x:c>
      <x:c r="B12" s="24" t="str">
        <x:v>Drainage, firewater and recovery technology constitution</x:v>
      </x:c>
      <x:c r="C12" s="24" t="str">
        <x:v>research/force/generation/f36-cisa40-sa6-root-a-drainage-firewater-and-recovery-technology-constitution.md</x:v>
      </x:c>
      <x:c r="D12" s="24" t="str">
        <x:v>water recovery technology context</x:v>
      </x:c>
      <x:c r="E12" s="10" t="str">
        <x:v>none</x:v>
      </x:c>
    </x:row>
    <x:row r="13" ht="44" customHeight="1">
      <x:c r="A13" s="10" t="str">
        <x:v>RAS-1</x:v>
      </x:c>
      <x:c r="B13" s="24" t="str">
        <x:v>Quarter-source entry and coupled-ancestry safety case</x:v>
      </x:c>
      <x:c r="C13" s="24" t="str">
        <x:v>research/force/generation/f36-cisa40-sa6-root-a-quarter-source-entry-and-coupled-ancestry-safety-case.md</x:v>
      </x:c>
      <x:c r="D13" s="24" t="str">
        <x:v>next-rung boundary</x:v>
      </x:c>
      <x:c r="E13" s="10" t="str">
        <x:v>none</x:v>
      </x:c>
    </x:row>
    <x:row r="14" ht="44" customHeight="1">
      <x:c r="A14" s="10" t="str">
        <x:v>RBI-1</x:v>
      </x:c>
      <x:c r="B14" s="24" t="str">
        <x:v>Water-only reference system and ER-02 class constitution</x:v>
      </x:c>
      <x:c r="C14" s="24" t="str">
        <x:v>research/force/generation/f36-cisa40-sa6-root-a-water-only-reference-system-and-er02-class-constitution.md</x:v>
      </x:c>
      <x:c r="D14" s="24" t="str">
        <x:v>declared hypotheses and companion model</x:v>
      </x:c>
      <x:c r="E14" s="10" t="str">
        <x:v>none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738775e0404240b4"/>
  </x:tableParts>
</x:worksheet>
</file>