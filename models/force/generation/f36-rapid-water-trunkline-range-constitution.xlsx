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ff06af6f8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f4facd82014e2a"/>
    <x:sheet xmlns:r="http://schemas.openxmlformats.org/officeDocument/2006/relationships" name="Assumptions" sheetId="2" r:id="R50065e6ba6e74936"/>
    <x:sheet xmlns:r="http://schemas.openxmlformats.org/officeDocument/2006/relationships" name="Mission Contract" sheetId="3" r:id="Re249157418e746ee"/>
    <x:sheet xmlns:r="http://schemas.openxmlformats.org/officeDocument/2006/relationships" name="System Boundary" sheetId="4" r:id="R64c96a0c000b4233"/>
    <x:sheet xmlns:r="http://schemas.openxmlformats.org/officeDocument/2006/relationships" name="Route Constitution" sheetId="5" r:id="Rf69ba34402114539"/>
    <x:sheet xmlns:r="http://schemas.openxmlformats.org/officeDocument/2006/relationships" name="Architecture Roots" sheetId="6" r:id="Rcf98a31a0b544d21"/>
    <x:sheet xmlns:r="http://schemas.openxmlformats.org/officeDocument/2006/relationships" name="Hydraulic Build" sheetId="7" r:id="Rda43409bb3484243"/>
    <x:sheet xmlns:r="http://schemas.openxmlformats.org/officeDocument/2006/relationships" name="Material Build" sheetId="8" r:id="R8c498ef34ee74b65"/>
    <x:sheet xmlns:r="http://schemas.openxmlformats.org/officeDocument/2006/relationships" name="Task Network" sheetId="9" r:id="R1aae72d24721444c"/>
    <x:sheet xmlns:r="http://schemas.openxmlformats.org/officeDocument/2006/relationships" name="Workfront Schedule" sheetId="10" r:id="R2e6343d19c8441e1"/>
    <x:sheet xmlns:r="http://schemas.openxmlformats.org/officeDocument/2006/relationships" name="Cargo Register" sheetId="11" r:id="R05c52951443c4fa1"/>
    <x:sheet xmlns:r="http://schemas.openxmlformats.org/officeDocument/2006/relationships" name="Crew Build" sheetId="12" r:id="Rcd9670ef7cd94287"/>
    <x:sheet xmlns:r="http://schemas.openxmlformats.org/officeDocument/2006/relationships" name="Power &amp; Buffer" sheetId="13" r:id="Rc55e847ab6c945eb"/>
    <x:sheet xmlns:r="http://schemas.openxmlformats.org/officeDocument/2006/relationships" name="Evidence Plan" sheetId="14" r:id="Re3e45c2ea7834fb9"/>
    <x:sheet xmlns:r="http://schemas.openxmlformats.org/officeDocument/2006/relationships" name="Inject Register" sheetId="15" r:id="Raee585010abe492e"/>
    <x:sheet xmlns:r="http://schemas.openxmlformats.org/officeDocument/2006/relationships" name="Scenario Results" sheetId="16" r:id="R72e1a75b33ab4f41"/>
    <x:sheet xmlns:r="http://schemas.openxmlformats.org/officeDocument/2006/relationships" name="Regeneration" sheetId="17" r:id="R801d8321cc1a4229"/>
    <x:sheet xmlns:r="http://schemas.openxmlformats.org/officeDocument/2006/relationships" name="Financial Control" sheetId="18" r:id="Rc558234b71194f53"/>
    <x:sheet xmlns:r="http://schemas.openxmlformats.org/officeDocument/2006/relationships" name="Decision Gates" sheetId="19" r:id="R131674bfde7e4922"/>
    <x:sheet xmlns:r="http://schemas.openxmlformats.org/officeDocument/2006/relationships" name="Audit" sheetId="20" r:id="Ra19fe812e4bf491f"/>
    <x:sheet xmlns:r="http://schemas.openxmlformats.org/officeDocument/2006/relationships" name="ReadMe" sheetId="21" r:id="R9889b66be955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"/>
    <x:numFmt numFmtId="201" formatCode="0.0%"/>
    <x:numFmt numFmtId="202" formatCode="0.00"/>
    <x:numFmt numFmtId="203" formatCode="#,##0.0"/>
    <x:numFmt numFmtId="204" formatCode="#,##0.00"/>
    <x:numFmt numFmtId="205" formatCode="0"/>
    <x:numFmt numFmtId="206" formatCode="0.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6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left style="thin">
        <x:color rgb="FFFFFFFF"/>
      </x:left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left style="thin">
        <x:color rgb="FFFFFFFF"/>
      </x:left>
      <x:top style="thin">
        <x:color rgb="FFD8E0E5"/>
      </x:top>
      <x:bottom style="thin">
        <x:color rgb="FFD8E0E5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1" fontId="5" fillId="0" borderId="7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5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 wrapText="1"/>
    </x:xf>
    <x:xf numFmtId="203" fontId="1" fillId="0" borderId="9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 wrapText="1"/>
    </x:xf>
    <x:xf numFmtId="204" fontId="1" fillId="0" borderId="9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206" fontId="1" fillId="0" borderId="9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 wrapText="1"/>
    </x:xf>
    <x:xf numFmtId="206" fontId="1" fillId="0" borderId="9" xfId="0" applyNumberFormat="1" applyFont="1" applyFill="1" applyBorder="1" applyAlignment="1">
      <x:alignment vertical="center" wrapText="1"/>
    </x:xf>
    <x:xf numFmtId="200" fontId="6" fillId="3" borderId="12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horizontal="center" vertical="center" wrapText="1"/>
    </x:xf>
    <x:xf numFmtId="201" fontId="6" fillId="3" borderId="12" xfId="0" applyNumberFormat="1" applyFont="1" applyFill="1" applyBorder="1" applyAlignment="1">
      <x:alignment vertical="center"/>
    </x:xf>
    <x:xf numFmtId="201" fontId="4" fillId="2" borderId="3" xfId="0" applyNumberFormat="1" applyFont="1" applyFill="1" applyBorder="1" applyAlignment="1">
      <x:alignment horizontal="center" vertical="center" wrapText="1"/>
    </x:xf>
    <x:xf numFmtId="201" fontId="6" fillId="3" borderId="7" xfId="0" applyNumberFormat="1" applyFont="1" applyFill="1" applyBorder="1" applyAlignment="1">
      <x:alignment vertical="center"/>
    </x:xf>
    <x:xf numFmtId="200" fontId="6" fillId="3" borderId="7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horizontal="center" vertical="center" wrapText="1"/>
    </x:xf>
    <x:xf numFmtId="201" fontId="4" fillId="2" borderId="14" xfId="0" applyNumberFormat="1" applyFont="1" applyFill="1" applyBorder="1" applyAlignment="1">
      <x:alignment horizontal="center" vertical="center" wrapText="1"/>
    </x:xf>
    <x:xf numFmtId="200" fontId="4" fillId="2" borderId="14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201" fontId="6" fillId="3" borderId="7" xfId="0" applyNumberFormat="1" applyFont="1" applyFill="1" applyBorder="1" applyAlignment="1">
      <x:alignment vertical="center" wrapText="1"/>
    </x:xf>
    <x:xf numFmtId="200" fontId="6" fillId="3" borderId="7" xfId="0" applyNumberFormat="1" applyFont="1" applyFill="1" applyBorder="1" applyAlignment="1">
      <x:alignment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0" fontId="0" fillId="0" borderId="7" xfId="0" applyNumberFormat="1" applyFont="1" applyFill="1" applyBorder="1"/>
    <x:xf numFmtId="205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5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6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1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a99309ae64a5a" /><Relationship Type="http://schemas.openxmlformats.org/officeDocument/2006/relationships/theme" Target="/xl/theme/theme1.xml" Id="R314d6e2318a6402c" /><Relationship Type="http://schemas.openxmlformats.org/officeDocument/2006/relationships/sharedStrings" Target="/xl/sharedStrings.xml" Id="Ra2e13d1a1a6d4760" /><Relationship Type="http://schemas.openxmlformats.org/officeDocument/2006/relationships/worksheet" Target="/xl/worksheets/sheet1.xml" Id="R03f4facd82014e2a" /><Relationship Type="http://schemas.openxmlformats.org/officeDocument/2006/relationships/worksheet" Target="/xl/worksheets/sheet2.xml" Id="R50065e6ba6e74936" /><Relationship Type="http://schemas.openxmlformats.org/officeDocument/2006/relationships/worksheet" Target="/xl/worksheets/sheet3.xml" Id="Re249157418e746ee" /><Relationship Type="http://schemas.openxmlformats.org/officeDocument/2006/relationships/worksheet" Target="/xl/worksheets/sheet4.xml" Id="R64c96a0c000b4233" /><Relationship Type="http://schemas.openxmlformats.org/officeDocument/2006/relationships/worksheet" Target="/xl/worksheets/sheet5.xml" Id="Rf69ba34402114539" /><Relationship Type="http://schemas.openxmlformats.org/officeDocument/2006/relationships/worksheet" Target="/xl/worksheets/sheet6.xml" Id="Rcf98a31a0b544d21" /><Relationship Type="http://schemas.openxmlformats.org/officeDocument/2006/relationships/worksheet" Target="/xl/worksheets/sheet7.xml" Id="Rda43409bb3484243" /><Relationship Type="http://schemas.openxmlformats.org/officeDocument/2006/relationships/worksheet" Target="/xl/worksheets/sheet8.xml" Id="R8c498ef34ee74b65" /><Relationship Type="http://schemas.openxmlformats.org/officeDocument/2006/relationships/worksheet" Target="/xl/worksheets/sheet9.xml" Id="R1aae72d24721444c" /><Relationship Type="http://schemas.openxmlformats.org/officeDocument/2006/relationships/worksheet" Target="/xl/worksheets/sheet10.xml" Id="R2e6343d19c8441e1" /><Relationship Type="http://schemas.openxmlformats.org/officeDocument/2006/relationships/worksheet" Target="/xl/worksheets/sheet11.xml" Id="R05c52951443c4fa1" /><Relationship Type="http://schemas.openxmlformats.org/officeDocument/2006/relationships/worksheet" Target="/xl/worksheets/sheet12.xml" Id="Rcd9670ef7cd94287" /><Relationship Type="http://schemas.openxmlformats.org/officeDocument/2006/relationships/worksheet" Target="/xl/worksheets/sheet13.xml" Id="Rc55e847ab6c945eb" /><Relationship Type="http://schemas.openxmlformats.org/officeDocument/2006/relationships/worksheet" Target="/xl/worksheets/sheet14.xml" Id="Re3e45c2ea7834fb9" /><Relationship Type="http://schemas.openxmlformats.org/officeDocument/2006/relationships/worksheet" Target="/xl/worksheets/sheet15.xml" Id="Raee585010abe492e" /><Relationship Type="http://schemas.openxmlformats.org/officeDocument/2006/relationships/worksheet" Target="/xl/worksheets/sheet16.xml" Id="R72e1a75b33ab4f41" /><Relationship Type="http://schemas.openxmlformats.org/officeDocument/2006/relationships/worksheet" Target="/xl/worksheets/sheet17.xml" Id="R801d8321cc1a4229" /><Relationship Type="http://schemas.openxmlformats.org/officeDocument/2006/relationships/worksheet" Target="/xl/worksheets/sheet18.xml" Id="Rc558234b71194f53" /><Relationship Type="http://schemas.openxmlformats.org/officeDocument/2006/relationships/worksheet" Target="/xl/worksheets/sheet19.xml" Id="R131674bfde7e4922" /><Relationship Type="http://schemas.openxmlformats.org/officeDocument/2006/relationships/worksheet" Target="/xl/worksheets/sheet20.xml" Id="Ra19fe812e4bf491f" /><Relationship Type="http://schemas.openxmlformats.org/officeDocument/2006/relationships/worksheet" Target="/xl/worksheets/sheet21.xml" Id="R9889b66be9554110" /></Relationships>
</file>

<file path=xl/tables/table1.xml><?xml version="1.0" encoding="utf-8"?>
<x:table xmlns:x="http://schemas.openxmlformats.org/spreadsheetml/2006/main" id="1" name="F36Assumptions" displayName="F36Assumptions" ref="B6:G46" headerRowCount="1" totalsRowCount="0" totalsRowShown="0">
  <x:tableColumns count="6">
    <x:tableColumn id="1" name="ID"/>
    <x:tableColumn id="2" name="Input"/>
    <x:tableColumn id="3" name="Value"/>
    <x:tableColumn id="4" name="Unit"/>
    <x:tableColumn id="5" name="State"/>
    <x:tableColumn id="6" name="Auth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36Mission" displayName="F36Mission" ref="B6:I21" headerRowCount="1" totalsRowCount="0" totalsRowShown="0">
  <x:tableColumns count="8">
    <x:tableColumn id="1" name="Requirement"/>
    <x:tableColumn id="2" name="Measure"/>
    <x:tableColumn id="3" name="Threshold"/>
    <x:tableColumn id="4" name="Modeled result"/>
    <x:tableColumn id="5" name="Unit"/>
    <x:tableColumn id="6" name="Planning gate"/>
    <x:tableColumn id="7" name="Evidence"/>
    <x:tableColumn id="8" name="Strict auth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36Boundary" displayName="F36Boundary" ref="B6:I18" headerRowCount="1" totalsRowCount="0" totalsRowShown="0">
  <x:tableColumns count="8">
    <x:tableColumn id="1" name="Boundary"/>
    <x:tableColumn id="2" name="Upstream input"/>
    <x:tableColumn id="3" name="F36-owned function"/>
    <x:tableColumn id="4" name="Downstream output"/>
    <x:tableColumn id="5" name="Range may provide"/>
    <x:tableColumn id="6" name="Range may not provide"/>
    <x:tableColumn id="7" name="Failure if omitted"/>
    <x:tableColumn id="8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36Route" displayName="F36Route" ref="B6:K14" headerRowCount="1" totalsRowCount="0" totalsRowShown="0">
  <x:tableColumns count="10">
    <x:tableColumn id="1" name="Sector"/>
    <x:tableColumn id="2" name="Terrain and civil condition"/>
    <x:tableColumn id="3" name="Length km"/>
    <x:tableColumn id="4" name="Difficulty factor"/>
    <x:tableColumn id="5" name="Access ready h"/>
    <x:tableColumn id="6" name="Challenge class"/>
    <x:tableColumn id="7" name="Two-route separation"/>
    <x:tableColumn id="8" name="Named inject"/>
    <x:tableColumn id="9" name="Required article mechanism"/>
    <x:tableColumn id="10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36Roots" displayName="F36Roots" ref="B6:X9" headerRowCount="1" totalsRowCount="0" totalsRowShown="0">
  <x:tableColumns count="23">
    <x:tableColumn id="1" name="Root"/>
    <x:tableColumn id="2" name="Architecture"/>
    <x:tableColumn id="3" name="Physical logic"/>
    <x:tableColumn id="4" name="Material factor"/>
    <x:tableColumn id="5" name="Density t/m³"/>
    <x:tableColumn id="6" name="Packing efficiency"/>
    <x:tableColumn id="7" name="Packaging share"/>
    <x:tableColumn id="8" name="Fixed process mass t"/>
    <x:tableColumn id="9" name="Fixed process cube m³"/>
    <x:tableColumn id="10" name="Max indivisible unit t"/>
    <x:tableColumn id="11" name="Pipe production t/h"/>
    <x:tableColumn id="12" name="Cold activation h"/>
    <x:tableColumn id="13" name="Transport lag h"/>
    <x:tableColumn id="14" name="Segment m"/>
    <x:tableColumn id="15" name="Workfronts"/>
    <x:tableColumn id="16" name="Lay rate km/front-day"/>
    <x:tableColumn id="17" name="Commission h"/>
    <x:tableColumn id="18" name="Process crew"/>
    <x:tableColumn id="19" name="Crew/front"/>
    <x:tableColumn id="20" name="Support crew"/>
    <x:tableColumn id="21" name="Rupture repair h"/>
    <x:tableColumn id="22" name="Regeneration h"/>
    <x:tableColumn id="23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36Hydraulics" displayName="F36Hydraulics" ref="B6:G36" headerRowCount="1" totalsRowCount="0" totalsRowShown="0">
  <x:tableColumns count="6">
    <x:tableColumn id="1" name="Metric"/>
    <x:tableColumn id="2" name="Result"/>
    <x:tableColumn id="3" name="Unit"/>
    <x:tableColumn id="4" name="Formula meaning"/>
    <x:tableColumn id="5" name="State"/>
    <x:tableColumn id="6" name="Reopen trigg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36Material" displayName="F36Material" ref="B6:T9" headerRowCount="1" totalsRowCount="0" totalsRowShown="0">
  <x:tableColumns count="19">
    <x:tableColumn id="1" name="Root"/>
    <x:tableColumn id="2" name="Pipe mass t"/>
    <x:tableColumn id="3" name="Cargo mass t"/>
    <x:tableColumn id="4" name="Cargo cube m³"/>
    <x:tableColumn id="5" name="Chargeable t"/>
    <x:tableColumn id="6" name="Segments"/>
    <x:tableColumn id="7" name="Installed joints"/>
    <x:tableColumn id="8" name="Standard positions"/>
    <x:tableColumn id="9" name="Heavy positions"/>
    <x:tableColumn id="10" name="Pipe production h"/>
    <x:tableColumn id="11" name="Material complete h"/>
    <x:tableColumn id="12" name="Line complete h"/>
    <x:tableColumn id="13" name="Line accepted h"/>
    <x:tableColumn id="14" name="First service h"/>
    <x:tableColumn id="15" name="Reserve share"/>
    <x:tableColumn id="16" name="Immediate reserve floor"/>
    <x:tableColumn id="17" name="Regen complete h"/>
    <x:tableColumn id="18" name="First-service gate"/>
    <x:tableColumn id="19" name="Article plan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36Tasks" displayName="F36Tasks" ref="B6:L48" headerRowCount="1" totalsRowCount="0" totalsRowShown="0">
  <x:tableColumns count="11">
    <x:tableColumn id="1" name="Record"/>
    <x:tableColumn id="2" name="Root"/>
    <x:tableColumn id="3" name="Task"/>
    <x:tableColumn id="4" name="Predecessor"/>
    <x:tableColumn id="5" name="Duration h"/>
    <x:tableColumn id="6" name="Start h"/>
    <x:tableColumn id="7" name="End h"/>
    <x:tableColumn id="8" name="Completion object"/>
    <x:tableColumn id="9" name="Borrowed resource"/>
    <x:tableColumn id="10" name="Evidence"/>
    <x:tableColumn id="11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36Schedule" displayName="F36Schedule" ref="B6:P54" headerRowCount="1" totalsRowCount="0" totalsRowShown="0">
  <x:tableColumns count="15">
    <x:tableColumn id="1" name="Record"/>
    <x:tableColumn id="2" name="Root"/>
    <x:tableColumn id="3" name="Route"/>
    <x:tableColumn id="4" name="Sector"/>
    <x:tableColumn id="5" name="Condition"/>
    <x:tableColumn id="6" name="Length km"/>
    <x:tableColumn id="7" name="Difficulty"/>
    <x:tableColumn id="8" name="Front"/>
    <x:tableColumn id="9" name="Cumulative pipe km"/>
    <x:tableColumn id="10" name="Material ready h"/>
    <x:tableColumn id="11" name="Access ready h"/>
    <x:tableColumn id="12" name="Predecessor end h"/>
    <x:tableColumn id="13" name="Start h"/>
    <x:tableColumn id="14" name="Duration h"/>
    <x:tableColumn id="15" name="End h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36Cargo" displayName="F36Cargo" ref="B6:M45" headerRowCount="1" totalsRowCount="0" totalsRowShown="0">
  <x:tableColumns count="12">
    <x:tableColumn id="1" name="Record"/>
    <x:tableColumn id="2" name="Root"/>
    <x:tableColumn id="3" name="Component"/>
    <x:tableColumn id="4" name="Quantity"/>
    <x:tableColumn id="5" name="Unit mass t"/>
    <x:tableColumn id="6" name="Unit cube m³"/>
    <x:tableColumn id="7" name="Total mass t"/>
    <x:tableColumn id="8" name="Total cube m³"/>
    <x:tableColumn id="9" name="Chargeable t"/>
    <x:tableColumn id="10" name="Custody"/>
    <x:tableColumn id="11" name="Mission role"/>
    <x:tableColumn id="12" name="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36Crew" displayName="F36Crew" ref="B6:I36" headerRowCount="1" totalsRowCount="0" totalsRowShown="0">
  <x:tableColumns count="8">
    <x:tableColumn id="1" name="Record"/>
    <x:tableColumn id="2" name="Root"/>
    <x:tableColumn id="3" name="Role"/>
    <x:tableColumn id="4" name="Basis"/>
    <x:tableColumn id="5" name="Crew"/>
    <x:tableColumn id="6" name="F36 or receiver"/>
    <x:tableColumn id="7" name="Borrowed receiver crew"/>
    <x:tableColumn id="8" name="Mission func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36Power" displayName="F36Power" ref="B6:N9" headerRowCount="1" totalsRowCount="0" totalsRowShown="0">
  <x:tableColumns count="13">
    <x:tableColumn id="1" name="Root"/>
    <x:tableColumn id="2" name="Hydraulic MW"/>
    <x:tableColumn id="3" name="Manufacture MW"/>
    <x:tableColumn id="4" name="Joining/civil MW"/>
    <x:tableColumn id="5" name="Support MW"/>
    <x:tableColumn id="6" name="Peak MW"/>
    <x:tableColumn id="7" name="Installed MW"/>
    <x:tableColumn id="8" name="Production h"/>
    <x:tableColumn id="9" name="Service MWh"/>
    <x:tableColumn id="10" name="Build MWh"/>
    <x:tableColumn id="11" name="Reserve share"/>
    <x:tableColumn id="12" name="Energy-system mass t"/>
    <x:tableColumn id="13" name="Borrowed power M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36Evidence" displayName="F36Evidence" ref="B6:L38" headerRowCount="1" totalsRowCount="0" totalsRowShown="0">
  <x:tableColumns count="11">
    <x:tableColumn id="1" name="Claim"/>
    <x:tableColumn id="2" name="Claim family"/>
    <x:tableColumn id="3" name="Domain"/>
    <x:tableColumn id="4" name="Required evidence object"/>
    <x:tableColumn id="5" name="Acceptance authority"/>
    <x:tableColumn id="6" name="R1 state"/>
    <x:tableColumn id="7" name="R2 state"/>
    <x:tableColumn id="8" name="R3 state"/>
    <x:tableColumn id="9" name="Accepted count"/>
    <x:tableColumn id="10" name="Credit"/>
    <x:tableColumn id="11" name="Admis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36Injects" displayName="F36Injects" ref="B6:L17" headerRowCount="1" totalsRowCount="0" totalsRowShown="0">
  <x:tableColumns count="11">
    <x:tableColumn id="1" name="Inject"/>
    <x:tableColumn id="2" name="Event"/>
    <x:tableColumn id="3" name="R1 penalty h"/>
    <x:tableColumn id="4" name="R2 penalty h"/>
    <x:tableColumn id="5" name="R3 penalty h"/>
    <x:tableColumn id="6" name="Domain"/>
    <x:tableColumn id="7" name="Required mechanism"/>
    <x:tableColumn id="8" name="Physical insertion"/>
    <x:tableColumn id="9" name="Threshold frozen"/>
    <x:tableColumn id="10" name="Evidence"/>
    <x:tableColumn id="11" name="St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36Scenarios" displayName="F36Scenarios" ref="B6:O39" headerRowCount="1" totalsRowCount="0" totalsRowShown="0">
  <x:tableColumns count="14">
    <x:tableColumn id="1" name="Record"/>
    <x:tableColumn id="2" name="Root"/>
    <x:tableColumn id="3" name="Inject"/>
    <x:tableColumn id="4" name="First service h"/>
    <x:tableColumn id="5" name="Target h"/>
    <x:tableColumn id="6" name="Service share"/>
    <x:tableColumn id="7" name="Repair h"/>
    <x:tableColumn id="8" name="Immediate reserve ratio"/>
    <x:tableColumn id="9" name="Regeneration h"/>
    <x:tableColumn id="10" name="Time gate"/>
    <x:tableColumn id="11" name="Service gate"/>
    <x:tableColumn id="12" name="Reset gate"/>
    <x:tableColumn id="13" name="Physical evidence"/>
    <x:tableColumn id="14" name="Strict admiss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F36Regeneration" displayName="F36Regeneration" ref="B6:P30" headerRowCount="1" totalsRowCount="0" totalsRowShown="0">
  <x:tableColumns count="15">
    <x:tableColumn id="1" name="Record"/>
    <x:tableColumn id="2" name="Root"/>
    <x:tableColumn id="3" name="Component"/>
    <x:tableColumn id="4" name="Protected floor"/>
    <x:tableColumn id="5" name="Unit"/>
    <x:tableColumn id="6" name="Exercise draw"/>
    <x:tableColumn id="7" name="Immediate return"/>
    <x:tableColumn id="8" name="Reman/new output"/>
    <x:tableColumn id="9" name="Pre-regen qty"/>
    <x:tableColumn id="10" name="Post-regen qty"/>
    <x:tableColumn id="11" name="Pre/floor"/>
    <x:tableColumn id="12" name="Post/floor"/>
    <x:tableColumn id="13" name="Restore h"/>
    <x:tableColumn id="14" name="Deadline h"/>
    <x:tableColumn id="15" name="Planning resul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36Gates" displayName="F36Gates" ref="B6:I37" headerRowCount="1" totalsRowCount="0" totalsRowShown="0">
  <x:tableColumns count="8">
    <x:tableColumn id="1" name="Gate"/>
    <x:tableColumn id="2" name="Decision"/>
    <x:tableColumn id="3" name="Threshold"/>
    <x:tableColumn id="4" name="Source"/>
    <x:tableColumn id="5" name="Planning state"/>
    <x:tableColumn id="6" name="Evidence state"/>
    <x:tableColumn id="7" name="Authority"/>
    <x:tableColumn id="8" name="Reopen trig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8487ba50ba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44ad336251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6e8ede29a1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c1ab42ceb34f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27a94a9e9241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32cdd9dd044e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02c5e65ad746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78321059f042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fe1c0c7efa549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9a9ea2956048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b752782fd243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490f44ec76d45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8b659d0e50b420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5ba3f28d55c4df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7d77b4094ec454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30f16f12163430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b8ed5b1765f4c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5" hidden="0" customWidth="1"/>
    <x:col min="3" max="3" width="55" hidden="0" customWidth="1"/>
    <x:col min="4" max="4" width="23" hidden="0" customWidth="1"/>
    <x:col min="5" max="5" width="19" hidden="0" customWidth="1"/>
    <x:col min="6" max="6" width="17" hidden="0" customWidth="1"/>
    <x:col min="7" max="7" width="26" hidden="0" customWidth="1"/>
    <x:col min="8" max="8" width="40" hidden="0" customWidth="1"/>
  </x:cols>
  <x:sheetData>
    <x:row r="2">
      <x:c r="B2" s="3" t="str">
        <x:v>F36 rapid water trunkline: first-article constitution</x:v>
      </x:c>
      <x:c r="C2" s="2"/>
      <x:c r="D2" s="2"/>
      <x:c r="E2" s="2"/>
      <x:c r="F2" s="2"/>
      <x:c r="G2" s="2"/>
      <x:c r="H2" s="2"/>
    </x:row>
    <x:row r="3">
      <x:c r="B3" s="4" t="str">
        <x:v>Pass 100 turns one Pass 99 family hypothesis into a mission, range, industrial-root competition, no-crutch article and regeneration contract.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20" t="str">
        <x:v>Question</x:v>
      </x:c>
      <x:c r="C6" s="21" t="str">
        <x:v>Operating answer</x:v>
      </x:c>
      <x:c r="D6" s="21" t="str">
        <x:v>Modeled scale</x:v>
      </x:c>
      <x:c r="E6" s="21" t="str">
        <x:v>Planning state</x:v>
      </x:c>
      <x:c r="F6" s="21" t="str">
        <x:v>Evidence state</x:v>
      </x:c>
      <x:c r="G6" s="21" t="str">
        <x:v>Authority</x:v>
      </x:c>
      <x:c r="H6" s="21" t="str">
        <x:v>Next falsifier</x:v>
      </x:c>
    </x:row>
    <x:row r="7" ht="62" customHeight="1">
      <x:c r="B7" s="29" t="str">
        <x:v>What is the article?</x:v>
      </x:c>
      <x:c r="C7" s="29" t="str">
        <x:v>a ten-kilometre service corridor with two independently isolable half-demand mains, local power and a receiver buffer</x:v>
      </x:c>
      <x:c r="D7" s="29" t="str">
        <x:v>20 installed pipe-km + 4 reserve pipe-km</x:v>
      </x:c>
      <x:c r="E7" s="29" t="str">
        <x:v>PLANNING PASS</x:v>
      </x:c>
      <x:c r="F7" s="29" t="str">
        <x:v>OPEN</x:v>
      </x:c>
      <x:c r="G7" s="29" t="str">
        <x:v>build package</x:v>
      </x:c>
      <x:c r="H7" s="31" t="str">
        <x:v>representative dual-route mission</x:v>
      </x:c>
    </x:row>
    <x:row r="8" ht="62" customHeight="1">
      <x:c r="B8" s="29" t="str">
        <x:v>What public effect must it deliver?</x:v>
      </x:c>
      <x:c r="C8" s="29" t="str">
        <x:v>10,000 m³/day to 200,000 people at 50 L/person/day</x:v>
      </x:c>
      <x:c r="D8" s="29" t="str">
        <x:v>168 continuous hours</x:v>
      </x:c>
      <x:c r="E8" s="29" t="str">
        <x:v>PLANNING PASS</x:v>
      </x:c>
      <x:c r="F8" s="29" t="str">
        <x:v>OPEN</x:v>
      </x:c>
      <x:c r="G8" s="29" t="str">
        <x:v>mission contract</x:v>
      </x:c>
      <x:c r="H8" s="31" t="str">
        <x:v>receiver-boundary measurement</x:v>
      </x:c>
    </x:row>
    <x:row r="9" ht="62" customHeight="1">
      <x:c r="B9" s="29" t="str">
        <x:v>Why two mains?</x:v>
      </x:c>
      <x:c r="C9" s="29" t="str">
        <x:v>one rupture or route loss must not turn the trunkline into a single point of public failure</x:v>
      </x:c>
      <x:c r="D9" s="29" t="str">
        <x:v>50% indefinite N-1 service</x:v>
      </x:c>
      <x:c r="E9" s="29" t="str">
        <x:v>PLANNING PASS</x:v>
      </x:c>
      <x:c r="F9" s="29" t="str">
        <x:v>OPEN</x:v>
      </x:c>
      <x:c r="G9" s="29" t="str">
        <x:v>degraded-service contract</x:v>
      </x:c>
      <x:c r="H9" s="31" t="str">
        <x:v>full-bore destructive cut</x:v>
      </x:c>
    </x:row>
    <x:row r="10" ht="62" customHeight="1">
      <x:c r="B10" s="29" t="str">
        <x:v>What bridges the repair interval?</x:v>
      </x:c>
      <x:c r="C10" s="29" t="str">
        <x:v>twenty separated 500 m³ sanitary cells at the receiver</x:v>
      </x:c>
      <x:c r="D10" s="29" t="str">
        <x:v>10,000 m³ / 24 hours</x:v>
      </x:c>
      <x:c r="E10" s="29" t="str">
        <x:v>PLANNING PASS</x:v>
      </x:c>
      <x:c r="F10" s="29" t="str">
        <x:v>OPEN</x:v>
      </x:c>
      <x:c r="G10" s="29" t="str">
        <x:v>receiver contract</x:v>
      </x:c>
      <x:c r="H10" s="31" t="str">
        <x:v>full-service drawdown</x:v>
      </x:c>
    </x:row>
    <x:row r="11" ht="62" customHeight="1">
      <x:c r="B11" s="29" t="str">
        <x:v>What are the rivals?</x:v>
      </x:c>
      <x:c r="C11" s="29" t="str">
        <x:v>sectional public-root, mobile continuous forge and protected structural-ribbon challenge</x:v>
      </x:c>
      <x:c r="D11" s="29" t="str">
        <x:v>2 build roots + 1 challenge root</x:v>
      </x:c>
      <x:c r="E11" s="29" t="str">
        <x:v>PLANNING</x:v>
      </x:c>
      <x:c r="F11" s="29" t="str">
        <x:v>OPEN</x:v>
      </x:c>
      <x:c r="G11" s="29" t="str">
        <x:v>AIMC competition</x:v>
      </x:c>
      <x:c r="H11" s="31" t="str">
        <x:v>cold-state rival builds</x:v>
      </x:c>
    </x:row>
    <x:row r="12" ht="62" customHeight="1">
      <x:c r="B12" s="29" t="str">
        <x:v>Does nominal supplier diversity count?</x:v>
      </x:c>
      <x:c r="C12" s="29" t="str">
        <x:v>no; roots must separate utilities, process ancestry, tooling, workforce, logistics and decisive receiver hardware</x:v>
      </x:c>
      <x:c r="D12" s="29" t="str">
        <x:v>6 independence conditions</x:v>
      </x:c>
      <x:c r="E12" s="29" t="str">
        <x:v>HOLD</x:v>
      </x:c>
      <x:c r="F12" s="29" t="str">
        <x:v>OPEN</x:v>
      </x:c>
      <x:c r="G12" s="29" t="str">
        <x:v>industrial authority</x:v>
      </x:c>
      <x:c r="H12" s="31" t="str">
        <x:v>two-domain ancestry audit</x:v>
      </x:c>
    </x:row>
    <x:row r="13" ht="62" customHeight="1">
      <x:c r="B13" s="29" t="str">
        <x:v>Does it borrow decisive range assets?</x:v>
      </x:c>
      <x:c r="C13" s="29" t="str">
        <x:v>no; the range supplies conditions and independent witnesses only</x:v>
      </x:c>
      <x:c r="D13" s="29" t="str">
        <x:v>12 explicit system boundaries</x:v>
      </x:c>
      <x:c r="E13" s="29" t="str">
        <x:v>PLANNING PASS</x:v>
      </x:c>
      <x:c r="F13" s="29" t="str">
        <x:v>OPEN</x:v>
      </x:c>
      <x:c r="G13" s="29" t="str">
        <x:v>no-crutch constitution</x:v>
      </x:c>
      <x:c r="H13" s="31" t="str">
        <x:v>surprise inventory audit</x:v>
      </x:c>
    </x:row>
    <x:row r="14" ht="62" customHeight="1">
      <x:c r="B14" s="29" t="str">
        <x:v>Can it meet 120 hours in the model?</x:v>
      </x:c>
      <x:c r="C14" s="29" t="str">
        <x:v>all three roots close the declared schedule including reserve, commissioning and source reconciliation</x:v>
      </x:c>
      <x:c r="D14" s="29" t="str">
        <x:v>102–106-hour baseline plus inject penalties</x:v>
      </x:c>
      <x:c r="E14" s="29" t="str">
        <x:v>PLANNING PASS</x:v>
      </x:c>
      <x:c r="F14" s="29" t="str">
        <x:v>OPEN</x:v>
      </x:c>
      <x:c r="G14" s="29" t="str">
        <x:v>article schedule</x:v>
      </x:c>
      <x:c r="H14" s="31" t="str">
        <x:v>sealed event chronology</x:v>
      </x:c>
    </x:row>
    <x:row r="15" ht="62" customHeight="1">
      <x:c r="B15" s="29" t="str">
        <x:v>What happens after a rupture?</x:v>
      </x:c>
      <x:c r="C15" s="29" t="str">
        <x:v>buffer holds full service through a six-hour repair; either surviving route carries half service thereafter</x:v>
      </x:c>
      <x:c r="D15" s="29" t="str">
        <x:v>24 h buffer / 6 h repair / 50% floor</x:v>
      </x:c>
      <x:c r="E15" s="29" t="str">
        <x:v>PLANNING PASS</x:v>
      </x:c>
      <x:c r="F15" s="29" t="str">
        <x:v>OPEN</x:v>
      </x:c>
      <x:c r="G15" s="29" t="str">
        <x:v>degraded-service gate</x:v>
      </x:c>
      <x:c r="H15" s="31" t="str">
        <x:v>destructive rupture</x:v>
      </x:c>
    </x:row>
    <x:row r="16" ht="62" customHeight="1">
      <x:c r="B16" s="29" t="str">
        <x:v>Is reserve merely extra pipe?</x:v>
      </x:c>
      <x:c r="C16" s="29" t="str">
        <x:v>no; pumps, power, joining, metrology, adapters, robots and consumables have protected floors</x:v>
      </x:c>
      <x:c r="D16" s="29" t="str">
        <x:v>8 regeneration classes per root</x:v>
      </x:c>
      <x:c r="E16" s="29" t="str">
        <x:v>PLANNING PASS</x:v>
      </x:c>
      <x:c r="F16" s="29" t="str">
        <x:v>OPEN</x:v>
      </x:c>
      <x:c r="G16" s="29" t="str">
        <x:v>reserve ledger</x:v>
      </x:c>
      <x:c r="H16" s="31" t="str">
        <x:v>second-lot order</x:v>
      </x:c>
    </x:row>
    <x:row r="17" ht="62" customHeight="1">
      <x:c r="B17" s="29" t="str">
        <x:v>What is the financial boundary?</x:v>
      </x:c>
      <x:c r="C17" s="29" t="str">
        <x:v>the program decomposes but does not enlarge Pass 99's F36 allocation</x:v>
      </x:c>
      <x:c r="D17" s="29" t="str">
        <x:v>USD 38.684B capital / 2.321B annual</x:v>
      </x:c>
      <x:c r="E17" s="29" t="str">
        <x:v>CLOSED</x:v>
      </x:c>
      <x:c r="F17" s="29" t="str">
        <x:v>OPEN</x:v>
      </x:c>
      <x:c r="G17" s="29" t="str">
        <x:v>Pass 99 nesting</x:v>
      </x:c>
      <x:c r="H17" s="31" t="str">
        <x:v>validated cost</x:v>
      </x:c>
    </x:row>
    <x:row r="18" ht="62" customHeight="1">
      <x:c r="B18" s="29" t="str">
        <x:v>Is any architecture admitted?</x:v>
      </x:c>
      <x:c r="C18" s="29" t="str">
        <x:v>no; every physical claim remains open and strict admission is held</x:v>
      </x:c>
      <x:c r="D18" s="29" t="str">
        <x:v>0 accepted evidence records</x:v>
      </x:c>
      <x:c r="E18" s="29" t="str">
        <x:v>NOT ADMITTED</x:v>
      </x:c>
      <x:c r="F18" s="29" t="str">
        <x:v>OPEN</x:v>
      </x:c>
      <x:c r="G18" s="29" t="str">
        <x:v>independent authorities</x:v>
      </x:c>
      <x:c r="H18" s="31" t="str">
        <x:v>32-claim closure</x:v>
      </x:c>
    </x:row>
    <x:row r="19" ht="62" customHeight="1">
      <x:c r="B19" s="33" t="str">
        <x:v>May renderings begin?</x:v>
      </x:c>
      <x:c r="C19" s="33" t="str">
        <x:v>no; internal geometry, closures, handling envelopes and representative evidence remain unearned</x:v>
      </x:c>
      <x:c r="D19" s="33" t="str">
        <x:v>rendering authority 0</x:v>
      </x:c>
      <x:c r="E19" s="33" t="str">
        <x:v>BLOCKED</x:v>
      </x:c>
      <x:c r="F19" s="33" t="str">
        <x:v>OPEN</x:v>
      </x:c>
      <x:c r="G19" s="33" t="str">
        <x:v>rendering stop</x:v>
      </x:c>
      <x:c r="H19" s="35" t="str">
        <x:v>representative sections</x:v>
      </x:c>
    </x:row>
    <x:row r="20">
      <x:c r="B20" s="2"/>
      <x:c r="C20" s="2"/>
      <x:c r="D20" s="2"/>
      <x:c r="E20" s="2"/>
      <x:c r="F20" s="2"/>
      <x:c r="G20" s="2"/>
      <x:c r="H20" s="2"/>
    </x:row>
    <x:row r="21">
      <x:c r="B21" s="2"/>
      <x:c r="C21" s="2"/>
      <x:c r="D21" s="2"/>
      <x:c r="E21" s="2"/>
      <x:c r="F21" s="2"/>
      <x:c r="G21" s="2"/>
      <x:c r="H21" s="2"/>
    </x:row>
    <x:row r="22">
      <x:c r="B22" s="52" t="str">
        <x:v>Decisive arithmetic</x:v>
      </x:c>
      <x:c r="C22" s="53" t="str">
        <x:v>Decisive arithmetic</x:v>
      </x:c>
      <x:c r="D22" s="53" t="str">
        <x:v>Decisive arithmetic</x:v>
      </x:c>
      <x:c r="E22" s="53" t="str">
        <x:v>Decisive arithmetic</x:v>
      </x:c>
      <x:c r="F22" s="53" t="str">
        <x:v>Decisive arithmetic</x:v>
      </x:c>
      <x:c r="G22" s="53" t="str">
        <x:v>Decisive arithmetic</x:v>
      </x:c>
      <x:c r="H22" s="54" t="str">
        <x:v>Decisive arithmetic</x:v>
      </x:c>
    </x:row>
    <x:row r="23">
      <x:c r="B23" s="20" t="str">
        <x:v>Metric</x:v>
      </x:c>
      <x:c r="C23" s="21" t="str">
        <x:v>R1</x:v>
      </x:c>
      <x:c r="D23" s="21" t="str">
        <x:v>R2</x:v>
      </x:c>
      <x:c r="E23" s="21" t="str">
        <x:v>R3</x:v>
      </x:c>
      <x:c r="F23" s="21" t="str">
        <x:v>Unit</x:v>
      </x:c>
      <x:c r="G23" s="2"/>
      <x:c r="H23" s="2"/>
    </x:row>
    <x:row r="24">
      <x:c r="B24" s="22" t="str">
        <x:v>First service</x:v>
      </x:c>
      <x:c r="C24" s="64" t="n">
        <x:f>'Material Build'!O7</x:f>
        <x:v>105.40727314910602</x:v>
      </x:c>
      <x:c r="D24" s="64" t="n">
        <x:f>'Material Build'!O8</x:f>
        <x:v>102.3707075628459</x:v>
      </x:c>
      <x:c r="E24" s="64" t="n">
        <x:f>'Material Build'!O9</x:f>
        <x:v>105.61315510901608</x:v>
      </x:c>
      <x:c r="F24" s="24" t="str">
        <x:v>hours</x:v>
      </x:c>
      <x:c r="G24" s="2"/>
      <x:c r="H24" s="2"/>
    </x:row>
    <x:row r="25">
      <x:c r="B25" s="22" t="str">
        <x:v>Cargo mass</x:v>
      </x:c>
      <x:c r="C25" s="64" t="n">
        <x:f>'Material Build'!D7</x:f>
        <x:v>1782.8532463185275</x:v>
      </x:c>
      <x:c r="D25" s="64" t="n">
        <x:f>'Material Build'!D8</x:f>
        <x:v>1838.1153571429563</x:v>
      </x:c>
      <x:c r="E25" s="64" t="n">
        <x:f>'Material Build'!D9</x:f>
        <x:v>1518.3745575036273</x:v>
      </x:c>
      <x:c r="F25" s="24" t="str">
        <x:v>t</x:v>
      </x:c>
      <x:c r="G25" s="2"/>
      <x:c r="H25" s="2"/>
    </x:row>
    <x:row r="26">
      <x:c r="B26" s="22" t="str">
        <x:v>Chargeable burden</x:v>
      </x:c>
      <x:c r="C26" s="64" t="n">
        <x:f>'Material Build'!F7</x:f>
        <x:v>1782.8532463185275</x:v>
      </x:c>
      <x:c r="D26" s="64" t="n">
        <x:f>'Material Build'!F8</x:f>
        <x:v>1838.1153571429563</x:v>
      </x:c>
      <x:c r="E26" s="64" t="n">
        <x:f>'Material Build'!F9</x:f>
        <x:v>1518.3745575036273</x:v>
      </x:c>
      <x:c r="F26" s="24" t="str">
        <x:v>t</x:v>
      </x:c>
      <x:c r="G26" s="2"/>
      <x:c r="H26" s="2"/>
    </x:row>
    <x:row r="27">
      <x:c r="B27" s="22" t="str">
        <x:v>Crew</x:v>
      </x:c>
      <x:c r="C27" s="64" t="n">
        <x:f>'Crew Build'!F40</x:f>
        <x:v>372</x:v>
      </x:c>
      <x:c r="D27" s="64" t="n">
        <x:f>'Crew Build'!F41</x:f>
        <x:v>416</x:v>
      </x:c>
      <x:c r="E27" s="64" t="n">
        <x:f>'Crew Build'!F42</x:f>
        <x:v>382</x:v>
      </x:c>
      <x:c r="F27" s="24" t="str">
        <x:v>people</x:v>
      </x:c>
      <x:c r="G27" s="2"/>
      <x:c r="H27" s="2"/>
    </x:row>
    <x:row r="28">
      <x:c r="B28" s="22" t="str">
        <x:v>Regeneration</x:v>
      </x:c>
      <x:c r="C28" s="64" t="n">
        <x:f>'Material Build'!R7</x:f>
        <x:v>600</x:v>
      </x:c>
      <x:c r="D28" s="64" t="n">
        <x:f>'Material Build'!R8</x:f>
        <x:v>660</x:v>
      </x:c>
      <x:c r="E28" s="64" t="n">
        <x:f>'Material Build'!R9</x:f>
        <x:v>540</x:v>
      </x:c>
      <x:c r="F28" s="24" t="str">
        <x:v>hours</x:v>
      </x:c>
      <x:c r="G28" s="2"/>
      <x:c r="H28" s="2"/>
    </x:row>
    <x:row r="29">
      <x:c r="B29" s="26" t="str">
        <x:v>Planning scenarios passed</x:v>
      </x:c>
      <x:c r="C29" s="66" t="n">
        <x:f>COUNTIF('Scenario Results'!K7:K17,"PASS")</x:f>
        <x:v>11</x:v>
      </x:c>
      <x:c r="D29" s="66" t="n">
        <x:f>COUNTIF('Scenario Results'!K18:K28,"PASS")</x:f>
        <x:v>11</x:v>
      </x:c>
      <x:c r="E29" s="66" t="n">
        <x:f>COUNTIF('Scenario Results'!K29:K39,"PASS")</x:f>
        <x:v>11</x:v>
      </x:c>
      <x:c r="F29" s="28" t="str">
        <x:v>of 11 time gates</x:v>
      </x:c>
      <x:c r="G29" s="2"/>
      <x:c r="H29" s="2"/>
    </x:row>
    <x:row r="30">
      <x:c r="B30" s="2"/>
      <x:c r="C30" s="2"/>
      <x:c r="D30" s="2"/>
      <x:c r="E30" s="2"/>
      <x:c r="F30" s="2"/>
      <x:c r="G30" s="2"/>
      <x:c r="H30" s="2"/>
    </x:row>
    <x:row r="31">
      <x:c r="B31" s="2"/>
      <x:c r="C31" s="2"/>
      <x:c r="D31" s="2"/>
      <x:c r="E31" s="2"/>
      <x:c r="F31" s="2"/>
      <x:c r="G31" s="2"/>
      <x:c r="H31" s="2"/>
    </x:row>
    <x:row r="32">
      <x:c r="B32" s="52" t="str">
        <x:v>Pass stocktake</x:v>
      </x:c>
      <x:c r="C32" s="53" t="str">
        <x:v>Pass stocktake</x:v>
      </x:c>
      <x:c r="D32" s="53" t="str">
        <x:v>Pass stocktake</x:v>
      </x:c>
      <x:c r="E32" s="53" t="str">
        <x:v>Pass stocktake</x:v>
      </x:c>
      <x:c r="F32" s="53" t="str">
        <x:v>Pass stocktake</x:v>
      </x:c>
      <x:c r="G32" s="53" t="str">
        <x:v>Pass stocktake</x:v>
      </x:c>
      <x:c r="H32" s="54" t="str">
        <x:v>Pass stocktake</x:v>
      </x:c>
    </x:row>
    <x:row r="33">
      <x:c r="B33" s="2" t="str">
        <x:v>Now authoritative</x:v>
      </x:c>
      <x:c r="C33" s="2" t="str">
        <x:v>F36 is a dual-route service corridor and complete industrial article, not a length of supplied pipe.</x:v>
      </x:c>
      <x:c r="D33" s="2" t="str"/>
      <x:c r="E33" s="2" t="str"/>
      <x:c r="F33" s="2" t="str"/>
      <x:c r="G33" s="2" t="str"/>
      <x:c r="H33" s="2" t="str"/>
    </x:row>
    <x:row r="34">
      <x:c r="B34" s="2" t="str">
        <x:v>Falsified</x:v>
      </x:c>
      <x:c r="C34" s="2" t="str">
        <x:v>A single trunk, a pipe-only reserve and a range-supplied power or receiver system cannot satisfy the public-service claim.</x:v>
      </x:c>
      <x:c r="D34" s="2" t="str"/>
      <x:c r="E34" s="2" t="str"/>
      <x:c r="F34" s="2" t="str"/>
      <x:c r="G34" s="2" t="str"/>
      <x:c r="H34" s="2" t="str"/>
    </x:row>
    <x:row r="35">
      <x:c r="B35" s="2" t="str">
        <x:v>Still provisional</x:v>
      </x:c>
      <x:c r="C35" s="2" t="str">
        <x:v>all rates, material factors, dry masses, costs, crew counts, repair times and commissioning times.</x:v>
      </x:c>
      <x:c r="D35" s="2" t="str"/>
      <x:c r="E35" s="2" t="str"/>
      <x:c r="F35" s="2" t="str"/>
      <x:c r="G35" s="2" t="str"/>
      <x:c r="H35" s="2" t="str"/>
    </x:row>
    <x:row r="36">
      <x:c r="B36" s="2" t="str">
        <x:v>Burden created</x:v>
      </x:c>
      <x:c r="C36" s="2" t="str">
        <x:v>root independence must now be proven in material ancestry, utility islands, executable data, workforce and receiver hardware.</x:v>
      </x:c>
      <x:c r="D36" s="2" t="str"/>
      <x:c r="E36" s="2" t="str"/>
      <x:c r="F36" s="2" t="str"/>
      <x:c r="G36" s="2" t="str"/>
      <x:c r="H36" s="2" t="str"/>
    </x:row>
    <x:row r="37">
      <x:c r="B37" s="2" t="str">
        <x:v>Next experiment</x:v>
      </x:c>
      <x:c r="C37" s="2" t="str">
        <x:v>release supplier-neutral build packages for two representative route sectors and the full-bore closure article before a 10 km mission.</x:v>
      </x:c>
      <x:c r="D37" s="2" t="str"/>
      <x:c r="E37" s="2" t="str"/>
      <x:c r="F37" s="2" t="str"/>
      <x:c r="G37" s="2" t="str"/>
      <x:c r="H37" s="2" t="str"/>
    </x:row>
    <x:row r="38">
      <x:c r="B38" s="2"/>
      <x:c r="C38" s="2"/>
      <x:c r="D38" s="2"/>
      <x:c r="E38" s="2"/>
      <x:c r="F38" s="2"/>
      <x:c r="G38" s="2"/>
      <x:c r="H38" s="2"/>
    </x:row>
    <x:row r="39">
      <x:c r="B39" s="2"/>
      <x:c r="C39" s="2"/>
      <x:c r="D39" s="2"/>
      <x:c r="E39" s="2"/>
      <x:c r="F39" s="2"/>
      <x:c r="G39" s="2"/>
      <x:c r="H39" s="2"/>
    </x:row>
    <x:row r="40">
      <x:c r="B40" s="2"/>
      <x:c r="C40" s="2"/>
      <x:c r="D40" s="2"/>
      <x:c r="E40" s="2"/>
      <x:c r="F40" s="2"/>
      <x:c r="G40" s="2"/>
      <x:c r="H40" s="2"/>
    </x:row>
    <x:row r="41">
      <x:c r="B41" s="2"/>
      <x:c r="C41" s="2"/>
      <x:c r="D41" s="2"/>
      <x:c r="E41" s="2"/>
      <x:c r="F41" s="2"/>
      <x:c r="G41" s="2"/>
      <x:c r="H41" s="2"/>
    </x:row>
    <x:row r="42">
      <x:c r="B42" s="2"/>
      <x:c r="C42" s="2"/>
      <x:c r="D42" s="2"/>
      <x:c r="E42" s="2"/>
      <x:c r="F42" s="2"/>
      <x:c r="G42" s="2"/>
      <x:c r="H42" s="2"/>
    </x:row>
    <x:row r="43">
      <x:c r="B43" s="2"/>
      <x:c r="C43" s="2"/>
      <x:c r="D43" s="2"/>
      <x:c r="E43" s="2"/>
      <x:c r="F43" s="2"/>
      <x:c r="G43" s="2"/>
      <x:c r="H43" s="2"/>
    </x:row>
    <x:row r="44">
      <x:c r="B44" s="2"/>
      <x:c r="C44" s="2"/>
      <x:c r="D44" s="2"/>
      <x:c r="E44" s="2"/>
      <x:c r="F44" s="2"/>
      <x:c r="G44" s="2"/>
      <x:c r="H44" s="2"/>
    </x:row>
    <x:row r="45">
      <x:c r="B45" s="2"/>
      <x:c r="C45" s="2"/>
      <x:c r="D45" s="2"/>
      <x:c r="E45" s="2"/>
      <x:c r="F45" s="2"/>
      <x:c r="G45" s="2"/>
      <x:c r="H45" s="2"/>
    </x:row>
    <x:row r="46">
      <x:c r="B46" s="2"/>
      <x:c r="C46" s="2"/>
      <x:c r="D46" s="2"/>
      <x:c r="E46" s="2"/>
      <x:c r="F46" s="2"/>
      <x:c r="G46" s="2"/>
      <x:c r="H46" s="2"/>
    </x:row>
    <x:row r="47">
      <x:c r="B47" s="2"/>
      <x:c r="C47" s="2"/>
      <x:c r="D47" s="2"/>
      <x:c r="E47" s="2"/>
      <x:c r="F47" s="2"/>
      <x:c r="G47" s="2"/>
      <x:c r="H47" s="2"/>
    </x:row>
    <x:row r="48">
      <x:c r="B48" s="2"/>
      <x:c r="C48" s="2"/>
      <x:c r="D48" s="2"/>
      <x:c r="E48" s="2"/>
      <x:c r="F48" s="2"/>
      <x:c r="G48" s="2"/>
      <x:c r="H48" s="2"/>
    </x:row>
    <x:row r="49">
      <x:c r="B49" s="2"/>
      <x:c r="C49" s="2"/>
      <x:c r="D49" s="2"/>
      <x:c r="E49" s="2"/>
      <x:c r="F49" s="2"/>
      <x:c r="G49" s="2"/>
      <x:c r="H49" s="2"/>
    </x:row>
    <x:row r="50">
      <x:c r="B50" s="2"/>
      <x:c r="C50" s="2"/>
      <x:c r="D50" s="2"/>
      <x:c r="E50" s="2"/>
      <x:c r="F50" s="2"/>
      <x:c r="G50" s="2"/>
      <x:c r="H50" s="2"/>
    </x:row>
    <x:row r="51">
      <x:c r="B51" s="2"/>
      <x:c r="C51" s="2"/>
      <x:c r="D51" s="2"/>
      <x:c r="E51" s="2"/>
      <x:c r="F51" s="2"/>
      <x:c r="G51" s="2"/>
      <x:c r="H51" s="2"/>
    </x:row>
    <x:row r="52">
      <x:c r="B52" s="2"/>
      <x:c r="C52" s="2"/>
      <x:c r="D52" s="2"/>
      <x:c r="E52" s="2"/>
      <x:c r="F52" s="2"/>
      <x:c r="G52" s="2"/>
      <x:c r="H52" s="2"/>
    </x:row>
    <x:row r="53">
      <x:c r="B53" s="2"/>
      <x:c r="C53" s="2"/>
      <x:c r="D53" s="2"/>
      <x:c r="E53" s="2"/>
      <x:c r="F53" s="2"/>
      <x:c r="G53" s="2"/>
      <x:c r="H53" s="2"/>
    </x:row>
    <x:row r="54">
      <x:c r="B54" s="2"/>
      <x:c r="C54" s="2"/>
      <x:c r="D54" s="2"/>
      <x:c r="E54" s="2"/>
      <x:c r="F54" s="2"/>
      <x:c r="G54" s="2"/>
      <x:c r="H54" s="2"/>
    </x:row>
    <x:row r="55">
      <x:c r="B55" s="2"/>
      <x:c r="C55" s="2"/>
      <x:c r="D55" s="2"/>
      <x:c r="E55" s="2"/>
      <x:c r="F55" s="2"/>
      <x:c r="G55" s="2"/>
      <x:c r="H55" s="2"/>
    </x:row>
    <x:row r="56">
      <x:c r="B56" s="2"/>
      <x:c r="C56" s="2"/>
      <x:c r="D56" s="2"/>
      <x:c r="E56" s="2"/>
      <x:c r="F56" s="2"/>
      <x:c r="G56" s="2"/>
      <x:c r="H56" s="2"/>
    </x:row>
  </x:sheetData>
  <x:mergeCells>
    <x:mergeCell ref="B3:H3"/>
    <x:mergeCell ref="B22:H22"/>
    <x:mergeCell ref="B32:H32"/>
  </x:mergeCells>
  <x:conditionalFormatting sqref="E7:F19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HOLD"/>
    <x:cfRule type="containsText" dxfId="147" priority="4" operator="containsText" text="OPEN"/>
    <x:cfRule type="containsText" dxfId="148" priority="5" operator="containsText" text="NOT ADMITTED"/>
    <x:cfRule type="containsText" dxfId="149" priority="6" operator="containsText" text="PASS"/>
    <x:cfRule type="containsText" dxfId="150" priority="7" operator="containsText" text="CLOSED"/>
    <x:cfRule type="containsText" dxfId="151" priority="8" operator="containsText" text="ADEQUATE"/>
    <x:cfRule type="containsText" dxfId="152" priority="9" operator="containsText" text="PLANNING 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1" hidden="0" customWidth="1"/>
    <x:col min="4" max="4" width="19" hidden="0" customWidth="1"/>
    <x:col min="5" max="5" width="25" hidden="0" customWidth="1"/>
    <x:col min="6" max="6" width="15" hidden="0" customWidth="1"/>
    <x:col min="7" max="7" width="42" hidden="0" customWidth="1"/>
  </x:cols>
  <x:sheetData>
    <x:row r="2">
      <x:c r="B2" s="3" t="str">
        <x:v>F36 article assumptions</x:v>
      </x:c>
      <x:c r="C2" s="2"/>
      <x:c r="D2" s="2"/>
      <x:c r="E2" s="2"/>
      <x:c r="F2" s="2"/>
      <x:c r="G2" s="2"/>
    </x:row>
    <x:row r="3">
      <x:c r="B3" s="4" t="str">
        <x:v>Blue-font values are inherited controls or explicit research targets. They are not observed performance or procurement facts.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0" t="str">
        <x:v>ID</x:v>
      </x:c>
      <x:c r="C6" s="21" t="str">
        <x:v>Input</x:v>
      </x:c>
      <x:c r="D6" s="21" t="str">
        <x:v>Value</x:v>
      </x:c>
      <x:c r="E6" s="21" t="str">
        <x:v>Unit</x:v>
      </x:c>
      <x:c r="F6" s="21" t="str">
        <x:v>State</x:v>
      </x:c>
      <x:c r="G6" s="21" t="str">
        <x:v>Authority</x:v>
      </x:c>
    </x:row>
    <x:row r="7" ht="26" customHeight="1">
      <x:c r="B7" s="22" t="str">
        <x:v>A01</x:v>
      </x:c>
      <x:c r="C7" s="29" t="str">
        <x:v>Service-corridor length</x:v>
      </x:c>
      <x:c r="D7" s="30" t="n">
        <x:v>10</x:v>
      </x:c>
      <x:c r="E7" s="29" t="str">
        <x:v>km</x:v>
      </x:c>
      <x:c r="F7" s="29" t="str">
        <x:v>FROZEN</x:v>
      </x:c>
      <x:c r="G7" s="31" t="str">
        <x:v>Pass 64 / F36 article</x:v>
      </x:c>
    </x:row>
    <x:row r="8" ht="26" customHeight="1">
      <x:c r="B8" s="22" t="str">
        <x:v>A02</x:v>
      </x:c>
      <x:c r="C8" s="29" t="str">
        <x:v>Product-water service</x:v>
      </x:c>
      <x:c r="D8" s="30" t="n">
        <x:v>10000</x:v>
      </x:c>
      <x:c r="E8" s="29" t="str">
        <x:v>m³/day</x:v>
      </x:c>
      <x:c r="F8" s="29" t="str">
        <x:v>FROZEN</x:v>
      </x:c>
      <x:c r="G8" s="31" t="str">
        <x:v>Pass 64</x:v>
      </x:c>
    </x:row>
    <x:row r="9" ht="26" customHeight="1">
      <x:c r="B9" s="22" t="str">
        <x:v>A03</x:v>
      </x:c>
      <x:c r="C9" s="29" t="str">
        <x:v>Supported population</x:v>
      </x:c>
      <x:c r="D9" s="30" t="n">
        <x:v>200000</x:v>
      </x:c>
      <x:c r="E9" s="29" t="str">
        <x:v>people</x:v>
      </x:c>
      <x:c r="F9" s="29" t="str">
        <x:v>FROZEN</x:v>
      </x:c>
      <x:c r="G9" s="31" t="str">
        <x:v>Pass 64</x:v>
      </x:c>
    </x:row>
    <x:row r="10" ht="26" customHeight="1">
      <x:c r="B10" s="22" t="str">
        <x:v>A04</x:v>
      </x:c>
      <x:c r="C10" s="29" t="str">
        <x:v>Service level</x:v>
      </x:c>
      <x:c r="D10" s="30" t="n">
        <x:v>50</x:v>
      </x:c>
      <x:c r="E10" s="29" t="str">
        <x:v>L/person/day</x:v>
      </x:c>
      <x:c r="F10" s="29" t="str">
        <x:v>FROZEN</x:v>
      </x:c>
      <x:c r="G10" s="31" t="str">
        <x:v>Pass 64</x:v>
      </x:c>
    </x:row>
    <x:row r="11" ht="26" customHeight="1">
      <x:c r="B11" s="22" t="str">
        <x:v>A05</x:v>
      </x:c>
      <x:c r="C11" s="29" t="str">
        <x:v>First-service target</x:v>
      </x:c>
      <x:c r="D11" s="30" t="n">
        <x:v>120</x:v>
      </x:c>
      <x:c r="E11" s="29" t="str">
        <x:v>hours after alert</x:v>
      </x:c>
      <x:c r="F11" s="29" t="str">
        <x:v>FROZEN</x:v>
      </x:c>
      <x:c r="G11" s="31" t="str">
        <x:v>Pass 64</x:v>
      </x:c>
    </x:row>
    <x:row r="12" ht="26" customHeight="1">
      <x:c r="B12" s="22" t="str">
        <x:v>A06</x:v>
      </x:c>
      <x:c r="C12" s="29" t="str">
        <x:v>Continuous service trial</x:v>
      </x:c>
      <x:c r="D12" s="30" t="n">
        <x:v>168</x:v>
      </x:c>
      <x:c r="E12" s="29" t="str">
        <x:v>hours</x:v>
      </x:c>
      <x:c r="F12" s="29" t="str">
        <x:v>FROZEN</x:v>
      </x:c>
      <x:c r="G12" s="31" t="str">
        <x:v>Pass 64</x:v>
      </x:c>
    </x:row>
    <x:row r="13" ht="26" customHeight="1">
      <x:c r="B13" s="22" t="str">
        <x:v>A07</x:v>
      </x:c>
      <x:c r="C13" s="29" t="str">
        <x:v>Protected reserve floor</x:v>
      </x:c>
      <x:c r="D13" s="32" t="n">
        <x:v>0.2</x:v>
      </x:c>
      <x:c r="E13" s="29" t="str">
        <x:v>share of complete system</x:v>
      </x:c>
      <x:c r="F13" s="29" t="str">
        <x:v>FROZEN</x:v>
      </x:c>
      <x:c r="G13" s="31" t="str">
        <x:v>Pass 99</x:v>
      </x:c>
    </x:row>
    <x:row r="14" ht="26" customHeight="1">
      <x:c r="B14" s="22" t="str">
        <x:v>A08</x:v>
      </x:c>
      <x:c r="C14" s="29" t="str">
        <x:v>Independently released source ready</x:v>
      </x:c>
      <x:c r="D14" s="30" t="n">
        <x:v>96</x:v>
      </x:c>
      <x:c r="E14" s="29" t="str">
        <x:v>hours after alert</x:v>
      </x:c>
      <x:c r="F14" s="29" t="str">
        <x:v>FROZEN</x:v>
      </x:c>
      <x:c r="G14" s="31" t="str">
        <x:v>Pass 64 source setup comparator</x:v>
      </x:c>
    </x:row>
    <x:row r="15" ht="26" customHeight="1">
      <x:c r="B15" s="22" t="str">
        <x:v>A09</x:v>
      </x:c>
      <x:c r="C15" s="29" t="str">
        <x:v>Receiver site available</x:v>
      </x:c>
      <x:c r="D15" s="30" t="n">
        <x:v>48</x:v>
      </x:c>
      <x:c r="E15" s="29" t="str">
        <x:v>hours after alert</x:v>
      </x:c>
      <x:c r="F15" s="29" t="str">
        <x:v>DESIGN</x:v>
      </x:c>
      <x:c r="G15" s="31" t="str">
        <x:v>range constitution</x:v>
      </x:c>
    </x:row>
    <x:row r="16" ht="26" customHeight="1">
      <x:c r="B16" s="22" t="str">
        <x:v>A10</x:v>
      </x:c>
      <x:c r="C16" s="29" t="str">
        <x:v>Physically separated routes</x:v>
      </x:c>
      <x:c r="D16" s="30" t="n">
        <x:v>2</x:v>
      </x:c>
      <x:c r="E16" s="29" t="str">
        <x:v>routes</x:v>
      </x:c>
      <x:c r="F16" s="29" t="str">
        <x:v>DESIGN</x:v>
      </x:c>
      <x:c r="G16" s="31" t="str">
        <x:v>N-1 service constitution</x:v>
      </x:c>
    </x:row>
    <x:row r="17" ht="26" customHeight="1">
      <x:c r="B17" s="22" t="str">
        <x:v>A11</x:v>
      </x:c>
      <x:c r="C17" s="29" t="str">
        <x:v>Pipe internal diameter</x:v>
      </x:c>
      <x:c r="D17" s="30" t="n">
        <x:v>0.35</x:v>
      </x:c>
      <x:c r="E17" s="29" t="str">
        <x:v>m per route</x:v>
      </x:c>
      <x:c r="F17" s="29" t="str">
        <x:v>DESIGN</x:v>
      </x:c>
      <x:c r="G17" s="31" t="str">
        <x:v>half-demand hydraulic root</x:v>
      </x:c>
    </x:row>
    <x:row r="18" ht="26" customHeight="1">
      <x:c r="B18" s="22" t="str">
        <x:v>A12</x:v>
      </x:c>
      <x:c r="C18" s="29" t="str">
        <x:v>Pipe dimension ratio</x:v>
      </x:c>
      <x:c r="D18" s="30" t="n">
        <x:v>17</x:v>
      </x:c>
      <x:c r="E18" s="29" t="str">
        <x:v>OD / wall</x:v>
      </x:c>
      <x:c r="F18" s="29" t="str">
        <x:v>REFERENCE</x:v>
      </x:c>
      <x:c r="G18" s="31" t="str">
        <x:v>Pass 64 material geometry</x:v>
      </x:c>
    </x:row>
    <x:row r="19" ht="26" customHeight="1">
      <x:c r="B19" s="22" t="str">
        <x:v>A13</x:v>
      </x:c>
      <x:c r="C19" s="29" t="str">
        <x:v>Reference pipe density</x:v>
      </x:c>
      <x:c r="D19" s="30" t="n">
        <x:v>0.95</x:v>
      </x:c>
      <x:c r="E19" s="29" t="str">
        <x:v>t/m³</x:v>
      </x:c>
      <x:c r="F19" s="29" t="str">
        <x:v>REFERENCE</x:v>
      </x:c>
      <x:c r="G19" s="31" t="str">
        <x:v>Pass 64</x:v>
      </x:c>
    </x:row>
    <x:row r="20" ht="26" customHeight="1">
      <x:c r="B20" s="22" t="str">
        <x:v>A14</x:v>
      </x:c>
      <x:c r="C20" s="29" t="str">
        <x:v>Darcy friction factor</x:v>
      </x:c>
      <x:c r="D20" s="30" t="n">
        <x:v>0.015</x:v>
      </x:c>
      <x:c r="E20" s="29" t="str">
        <x:v>factor</x:v>
      </x:c>
      <x:c r="F20" s="29" t="str">
        <x:v>REFERENCE</x:v>
      </x:c>
      <x:c r="G20" s="31" t="str">
        <x:v>Pass 64</x:v>
      </x:c>
    </x:row>
    <x:row r="21" ht="26" customHeight="1">
      <x:c r="B21" s="22" t="str">
        <x:v>A15</x:v>
      </x:c>
      <x:c r="C21" s="29" t="str">
        <x:v>Static head</x:v>
      </x:c>
      <x:c r="D21" s="30" t="n">
        <x:v>20</x:v>
      </x:c>
      <x:c r="E21" s="29" t="str">
        <x:v>m</x:v>
      </x:c>
      <x:c r="F21" s="29" t="str">
        <x:v>FROZEN</x:v>
      </x:c>
      <x:c r="G21" s="31" t="str">
        <x:v>Pass 64</x:v>
      </x:c>
    </x:row>
    <x:row r="22" ht="26" customHeight="1">
      <x:c r="B22" s="22" t="str">
        <x:v>A16</x:v>
      </x:c>
      <x:c r="C22" s="29" t="str">
        <x:v>Minor-loss share</x:v>
      </x:c>
      <x:c r="D22" s="30" t="n">
        <x:v>0.2</x:v>
      </x:c>
      <x:c r="E22" s="29" t="str">
        <x:v>share of friction head</x:v>
      </x:c>
      <x:c r="F22" s="29" t="str">
        <x:v>DESIGN</x:v>
      </x:c>
      <x:c r="G22" s="31" t="str">
        <x:v>range allowance</x:v>
      </x:c>
    </x:row>
    <x:row r="23" ht="26" customHeight="1">
      <x:c r="B23" s="22" t="str">
        <x:v>A17</x:v>
      </x:c>
      <x:c r="C23" s="29" t="str">
        <x:v>Pump efficiency</x:v>
      </x:c>
      <x:c r="D23" s="30" t="n">
        <x:v>0.75</x:v>
      </x:c>
      <x:c r="E23" s="29" t="str">
        <x:v>share</x:v>
      </x:c>
      <x:c r="F23" s="29" t="str">
        <x:v>REFERENCE</x:v>
      </x:c>
      <x:c r="G23" s="31" t="str">
        <x:v>Pass 64</x:v>
      </x:c>
    </x:row>
    <x:row r="24" ht="26" customHeight="1">
      <x:c r="B24" s="22" t="str">
        <x:v>A18</x:v>
      </x:c>
      <x:c r="C24" s="29" t="str">
        <x:v>Water density</x:v>
      </x:c>
      <x:c r="D24" s="30" t="n">
        <x:v>1000</x:v>
      </x:c>
      <x:c r="E24" s="29" t="str">
        <x:v>kg/m³</x:v>
      </x:c>
      <x:c r="F24" s="29" t="str">
        <x:v>CONSTANT</x:v>
      </x:c>
      <x:c r="G24" s="31" t="str">
        <x:v>physical constant</x:v>
      </x:c>
    </x:row>
    <x:row r="25" ht="26" customHeight="1">
      <x:c r="B25" s="22" t="str">
        <x:v>A19</x:v>
      </x:c>
      <x:c r="C25" s="29" t="str">
        <x:v>Gravity</x:v>
      </x:c>
      <x:c r="D25" s="30" t="n">
        <x:v>9.81</x:v>
      </x:c>
      <x:c r="E25" s="29" t="str">
        <x:v>m/s²</x:v>
      </x:c>
      <x:c r="F25" s="29" t="str">
        <x:v>CONSTANT</x:v>
      </x:c>
      <x:c r="G25" s="31" t="str">
        <x:v>physical constant</x:v>
      </x:c>
    </x:row>
    <x:row r="26" ht="26" customHeight="1">
      <x:c r="B26" s="22" t="str">
        <x:v>A20</x:v>
      </x:c>
      <x:c r="C26" s="29" t="str">
        <x:v>Installed hydraulic-power margin</x:v>
      </x:c>
      <x:c r="D26" s="30" t="n">
        <x:v>1.5</x:v>
      </x:c>
      <x:c r="E26" s="29" t="str">
        <x:v>× calculated</x:v>
      </x:c>
      <x:c r="F26" s="29" t="str">
        <x:v>DESIGN</x:v>
      </x:c>
      <x:c r="G26" s="31" t="str">
        <x:v>surge and degradation</x:v>
      </x:c>
    </x:row>
    <x:row r="27" ht="26" customHeight="1">
      <x:c r="B27" s="22" t="str">
        <x:v>A21</x:v>
      </x:c>
      <x:c r="C27" s="29" t="str">
        <x:v>Receiver buffer</x:v>
      </x:c>
      <x:c r="D27" s="30" t="n">
        <x:v>24</x:v>
      </x:c>
      <x:c r="E27" s="29" t="str">
        <x:v>hours at full demand</x:v>
      </x:c>
      <x:c r="F27" s="29" t="str">
        <x:v>FROZEN</x:v>
      </x:c>
      <x:c r="G27" s="31" t="str">
        <x:v>Pass 65 A4 architecture</x:v>
      </x:c>
    </x:row>
    <x:row r="28" ht="26" customHeight="1">
      <x:c r="B28" s="22" t="str">
        <x:v>A22</x:v>
      </x:c>
      <x:c r="C28" s="29" t="str">
        <x:v>Post-route-loss service floor</x:v>
      </x:c>
      <x:c r="D28" s="32" t="n">
        <x:v>0.5</x:v>
      </x:c>
      <x:c r="E28" s="29" t="str">
        <x:v>share of full service</x:v>
      </x:c>
      <x:c r="F28" s="29" t="str">
        <x:v>FROZEN</x:v>
      </x:c>
      <x:c r="G28" s="31" t="str">
        <x:v>degraded-service contract</x:v>
      </x:c>
    </x:row>
    <x:row r="29" ht="26" customHeight="1">
      <x:c r="B29" s="22" t="str">
        <x:v>A23</x:v>
      </x:c>
      <x:c r="C29" s="29" t="str">
        <x:v>Route separation floor</x:v>
      </x:c>
      <x:c r="D29" s="30" t="n">
        <x:v>50</x:v>
      </x:c>
      <x:c r="E29" s="29" t="str">
        <x:v>m or independent hazard domain</x:v>
      </x:c>
      <x:c r="F29" s="29" t="str">
        <x:v>DESIGN</x:v>
      </x:c>
      <x:c r="G29" s="31" t="str">
        <x:v>range constitution</x:v>
      </x:c>
    </x:row>
    <x:row r="30" ht="26" customHeight="1">
      <x:c r="B30" s="22" t="str">
        <x:v>A24</x:v>
      </x:c>
      <x:c r="C30" s="29" t="str">
        <x:v>Standard surface position</x:v>
      </x:c>
      <x:c r="D30" s="30" t="n">
        <x:v>40</x:v>
      </x:c>
      <x:c r="E30" s="29" t="str">
        <x:v>chargeable t</x:v>
      </x:c>
      <x:c r="F30" s="29" t="str">
        <x:v>REFERENCE</x:v>
      </x:c>
      <x:c r="G30" s="31" t="str">
        <x:v>Pass 64</x:v>
      </x:c>
    </x:row>
    <x:row r="31" ht="26" customHeight="1">
      <x:c r="B31" s="22" t="str">
        <x:v>A25</x:v>
      </x:c>
      <x:c r="C31" s="29" t="str">
        <x:v>Heavy surface position</x:v>
      </x:c>
      <x:c r="D31" s="30" t="n">
        <x:v>120</x:v>
      </x:c>
      <x:c r="E31" s="29" t="str">
        <x:v>chargeable t</x:v>
      </x:c>
      <x:c r="F31" s="29" t="str">
        <x:v>REFERENCE</x:v>
      </x:c>
      <x:c r="G31" s="31" t="str">
        <x:v>Pass 64</x:v>
      </x:c>
    </x:row>
    <x:row r="32" ht="26" customHeight="1">
      <x:c r="B32" s="22" t="str">
        <x:v>A26</x:v>
      </x:c>
      <x:c r="C32" s="29" t="str">
        <x:v>Chargeable-density floor</x:v>
      </x:c>
      <x:c r="D32" s="30" t="n">
        <x:v>0.2</x:v>
      </x:c>
      <x:c r="E32" s="29" t="str">
        <x:v>t/m³</x:v>
      </x:c>
      <x:c r="F32" s="29" t="str">
        <x:v>REFERENCE</x:v>
      </x:c>
      <x:c r="G32" s="31" t="str">
        <x:v>Pass 64</x:v>
      </x:c>
    </x:row>
    <x:row r="33" ht="26" customHeight="1">
      <x:c r="B33" s="22" t="str">
        <x:v>A27</x:v>
      </x:c>
      <x:c r="C33" s="29" t="str">
        <x:v>Reserve-regeneration deadline</x:v>
      </x:c>
      <x:c r="D33" s="30" t="n">
        <x:v>720</x:v>
      </x:c>
      <x:c r="E33" s="29" t="str">
        <x:v>hours after use</x:v>
      </x:c>
      <x:c r="F33" s="29" t="str">
        <x:v>DESIGN</x:v>
      </x:c>
      <x:c r="G33" s="31" t="str">
        <x:v>30-day reset</x:v>
      </x:c>
    </x:row>
    <x:row r="34" ht="26" customHeight="1">
      <x:c r="B34" s="22" t="str">
        <x:v>A28</x:v>
      </x:c>
      <x:c r="C34" s="29" t="str">
        <x:v>Full-bore rupture repair target</x:v>
      </x:c>
      <x:c r="D34" s="30" t="n">
        <x:v>6</x:v>
      </x:c>
      <x:c r="E34" s="29" t="str">
        <x:v>hours</x:v>
      </x:c>
      <x:c r="F34" s="29" t="str">
        <x:v>DESIGN</x:v>
      </x:c>
      <x:c r="G34" s="31" t="str">
        <x:v>buffer-backed continuity</x:v>
      </x:c>
    </x:row>
    <x:row r="35" ht="26" customHeight="1">
      <x:c r="B35" s="22" t="str">
        <x:v>A29</x:v>
      </x:c>
      <x:c r="C35" s="29" t="str">
        <x:v>Maximum borrowed receiver crew</x:v>
      </x:c>
      <x:c r="D35" s="30" t="n">
        <x:v>8</x:v>
      </x:c>
      <x:c r="E35" s="29" t="str">
        <x:v>people</x:v>
      </x:c>
      <x:c r="F35" s="29" t="str">
        <x:v>DESIGN</x:v>
      </x:c>
      <x:c r="G35" s="31" t="str">
        <x:v>bounded local burden</x:v>
      </x:c>
    </x:row>
    <x:row r="36" ht="26" customHeight="1">
      <x:c r="B36" s="22" t="str">
        <x:v>A30</x:v>
      </x:c>
      <x:c r="C36" s="29" t="str">
        <x:v>Maximum borrowed receiver power</x:v>
      </x:c>
      <x:c r="D36" s="30" t="n">
        <x:v>0</x:v>
      </x:c>
      <x:c r="E36" s="29" t="str">
        <x:v>MW</x:v>
      </x:c>
      <x:c r="F36" s="29" t="str">
        <x:v>FROZEN</x:v>
      </x:c>
      <x:c r="G36" s="31" t="str">
        <x:v>no-crutch rule</x:v>
      </x:c>
    </x:row>
    <x:row r="37" ht="26" customHeight="1">
      <x:c r="B37" s="22" t="str">
        <x:v>A31</x:v>
      </x:c>
      <x:c r="C37" s="29" t="str">
        <x:v>Accepted physical evidence</x:v>
      </x:c>
      <x:c r="D37" s="30" t="n">
        <x:v>0</x:v>
      </x:c>
      <x:c r="E37" s="29" t="str">
        <x:v>records</x:v>
      </x:c>
      <x:c r="F37" s="29" t="str">
        <x:v>FROZEN</x:v>
      </x:c>
      <x:c r="G37" s="31" t="str">
        <x:v>current evidence state</x:v>
      </x:c>
    </x:row>
    <x:row r="38" ht="26" customHeight="1">
      <x:c r="B38" s="22" t="str">
        <x:v>A32</x:v>
      </x:c>
      <x:c r="C38" s="29" t="str">
        <x:v>Rendering authority</x:v>
      </x:c>
      <x:c r="D38" s="30" t="n">
        <x:v>0</x:v>
      </x:c>
      <x:c r="E38" s="29" t="str">
        <x:v>binary</x:v>
      </x:c>
      <x:c r="F38" s="29" t="str">
        <x:v>FROZEN</x:v>
      </x:c>
      <x:c r="G38" s="31" t="str">
        <x:v>geometry and evidence stop</x:v>
      </x:c>
    </x:row>
    <x:row r="39" ht="26" customHeight="1">
      <x:c r="B39" s="22" t="str">
        <x:v>A33</x:v>
      </x:c>
      <x:c r="C39" s="29" t="str">
        <x:v>F36 capital allocation</x:v>
      </x:c>
      <x:c r="D39" s="30" t="n">
        <x:v>38.68431136261406</x:v>
      </x:c>
      <x:c r="E39" s="29" t="str">
        <x:v>constant USD B</x:v>
      </x:c>
      <x:c r="F39" s="29" t="str">
        <x:v>FROZEN</x:v>
      </x:c>
      <x:c r="G39" s="31" t="str">
        <x:v>Pass 99 nested family allocation</x:v>
      </x:c>
    </x:row>
    <x:row r="40" ht="26" customHeight="1">
      <x:c r="B40" s="22" t="str">
        <x:v>A34</x:v>
      </x:c>
      <x:c r="C40" s="29" t="str">
        <x:v>F36 annual readiness allocation</x:v>
      </x:c>
      <x:c r="D40" s="30" t="n">
        <x:v>2.3210586817568437</x:v>
      </x:c>
      <x:c r="E40" s="29" t="str">
        <x:v>constant USD B/year</x:v>
      </x:c>
      <x:c r="F40" s="29" t="str">
        <x:v>FROZEN</x:v>
      </x:c>
      <x:c r="G40" s="31" t="str">
        <x:v>Pass 99 nested operating allocation</x:v>
      </x:c>
    </x:row>
    <x:row r="41" ht="26" customHeight="1">
      <x:c r="B41" s="22" t="str">
        <x:v>A35</x:v>
      </x:c>
      <x:c r="C41" s="29" t="str">
        <x:v>Program horizon</x:v>
      </x:c>
      <x:c r="D41" s="30" t="n">
        <x:v>25</x:v>
      </x:c>
      <x:c r="E41" s="29" t="str">
        <x:v>years</x:v>
      </x:c>
      <x:c r="F41" s="29" t="str">
        <x:v>FROZEN</x:v>
      </x:c>
      <x:c r="G41" s="31" t="str">
        <x:v>AIMC horizon</x:v>
      </x:c>
    </x:row>
    <x:row r="42" ht="26" customHeight="1">
      <x:c r="B42" s="22" t="str">
        <x:v>A36</x:v>
      </x:c>
      <x:c r="C42" s="29" t="str">
        <x:v>Root article capacity</x:v>
      </x:c>
      <x:c r="D42" s="30" t="n">
        <x:v>1.2</x:v>
      </x:c>
      <x:c r="E42" s="29" t="str">
        <x:v>mission-equivalent sets</x:v>
      </x:c>
      <x:c r="F42" s="29" t="str">
        <x:v>DESIGN</x:v>
      </x:c>
      <x:c r="G42" s="31" t="str">
        <x:v>service issue plus protected reserve</x:v>
      </x:c>
    </x:row>
    <x:row r="43" ht="26" customHeight="1">
      <x:c r="B43" s="22" t="str">
        <x:v>A37</x:v>
      </x:c>
      <x:c r="C43" s="29" t="str">
        <x:v>Final source-interface release</x:v>
      </x:c>
      <x:c r="D43" s="30" t="n">
        <x:v>6</x:v>
      </x:c>
      <x:c r="E43" s="29" t="str">
        <x:v>hours</x:v>
      </x:c>
      <x:c r="F43" s="29" t="str">
        <x:v>DESIGN</x:v>
      </x:c>
      <x:c r="G43" s="31" t="str">
        <x:v>local custody and public release</x:v>
      </x:c>
    </x:row>
    <x:row r="44" ht="26" customHeight="1">
      <x:c r="B44" s="22" t="str">
        <x:v>A38</x:v>
      </x:c>
      <x:c r="C44" s="29" t="str">
        <x:v>Pressure and sanitary commissioning</x:v>
      </x:c>
      <x:c r="D44" s="30" t="n">
        <x:v>18</x:v>
      </x:c>
      <x:c r="E44" s="29" t="str">
        <x:v>hours</x:v>
      </x:c>
      <x:c r="F44" s="29" t="str">
        <x:v>DESIGN</x:v>
      </x:c>
      <x:c r="G44" s="31" t="str">
        <x:v>post-install acceptance</x:v>
      </x:c>
    </x:row>
    <x:row r="45" ht="26" customHeight="1">
      <x:c r="B45" s="22" t="str">
        <x:v>A39</x:v>
      </x:c>
      <x:c r="C45" s="29" t="str">
        <x:v>Commissioning flush turns</x:v>
      </x:c>
      <x:c r="D45" s="30" t="n">
        <x:v>3</x:v>
      </x:c>
      <x:c r="E45" s="29" t="str">
        <x:v>line-volume turns</x:v>
      </x:c>
      <x:c r="F45" s="29" t="str">
        <x:v>DESIGN</x:v>
      </x:c>
      <x:c r="G45" s="31" t="str">
        <x:v>sanitary commissioning</x:v>
      </x:c>
    </x:row>
    <x:row r="46" ht="26" customHeight="1">
      <x:c r="B46" s="26" t="str">
        <x:v>A40</x:v>
      </x:c>
      <x:c r="C46" s="33" t="str">
        <x:v>Post-repair observation</x:v>
      </x:c>
      <x:c r="D46" s="34" t="n">
        <x:v>12</x:v>
      </x:c>
      <x:c r="E46" s="33" t="str">
        <x:v>hours</x:v>
      </x:c>
      <x:c r="F46" s="33" t="str">
        <x:v>DESIGN</x:v>
      </x:c>
      <x:c r="G46" s="35" t="str">
        <x:v>return-to-reserve evidence</x:v>
      </x:c>
    </x:row>
    <x:row r="47">
      <x:c r="B47" s="2"/>
      <x:c r="C47" s="2"/>
      <x:c r="D47" s="2"/>
      <x:c r="E47" s="2"/>
      <x:c r="F47" s="2"/>
      <x:c r="G47" s="2"/>
    </x:row>
    <x:row r="48">
      <x:c r="B48" s="2"/>
      <x:c r="C48" s="2"/>
      <x:c r="D48" s="2"/>
      <x:c r="E48" s="2"/>
      <x:c r="F48" s="2"/>
      <x:c r="G48" s="2"/>
    </x:row>
    <x:row r="49">
      <x:c r="B49" s="2"/>
      <x:c r="C49" s="2"/>
      <x:c r="D49" s="2"/>
      <x:c r="E49" s="2"/>
      <x:c r="F49" s="2"/>
      <x:c r="G49" s="2"/>
    </x:row>
    <x:row r="50">
      <x:c r="B50" s="2"/>
      <x:c r="C50" s="2"/>
      <x:c r="D50" s="2"/>
      <x:c r="E50" s="2"/>
      <x:c r="F50" s="2"/>
      <x:c r="G50" s="2"/>
    </x:row>
    <x:row r="51">
      <x:c r="B51" s="2"/>
      <x:c r="C51" s="2"/>
      <x:c r="D51" s="2"/>
      <x:c r="E51" s="2"/>
      <x:c r="F51" s="2"/>
      <x:c r="G51" s="2"/>
    </x:row>
    <x:row r="52">
      <x:c r="B52" s="2"/>
      <x:c r="C52" s="2"/>
      <x:c r="D52" s="2"/>
      <x:c r="E52" s="2"/>
      <x:c r="F52" s="2"/>
      <x:c r="G52" s="2"/>
    </x:row>
    <x:row r="53">
      <x:c r="B53" s="2"/>
      <x:c r="C53" s="2"/>
      <x:c r="D53" s="2"/>
      <x:c r="E53" s="2"/>
      <x:c r="F53" s="2"/>
      <x:c r="G53" s="2"/>
    </x:row>
    <x:row r="54">
      <x:c r="B54" s="2"/>
      <x:c r="C54" s="2"/>
      <x:c r="D54" s="2"/>
      <x:c r="E54" s="2"/>
      <x:c r="F54" s="2"/>
      <x:c r="G54" s="2"/>
    </x:row>
    <x:row r="55">
      <x:c r="B55" s="2"/>
      <x:c r="C55" s="2"/>
      <x:c r="D55" s="2"/>
      <x:c r="E55" s="2"/>
      <x:c r="F55" s="2"/>
      <x:c r="G55" s="2"/>
    </x:row>
    <x:row r="56">
      <x:c r="B56" s="2"/>
      <x:c r="C56" s="2"/>
      <x:c r="D56" s="2"/>
      <x:c r="E56" s="2"/>
      <x:c r="F56" s="2"/>
      <x:c r="G56" s="2"/>
    </x:row>
    <x:row r="57">
      <x:c r="B57" s="2"/>
      <x:c r="C57" s="2"/>
      <x:c r="D57" s="2"/>
      <x:c r="E57" s="2"/>
      <x:c r="F57" s="2"/>
      <x:c r="G57" s="2"/>
    </x:row>
    <x:row r="58">
      <x:c r="B58" s="2"/>
      <x:c r="C58" s="2"/>
      <x:c r="D58" s="2"/>
      <x:c r="E58" s="2"/>
      <x:c r="F58" s="2"/>
      <x:c r="G58" s="2"/>
    </x:row>
    <x:row r="59">
      <x:c r="B59" s="2"/>
      <x:c r="C59" s="2"/>
      <x:c r="D59" s="2"/>
      <x:c r="E59" s="2"/>
      <x:c r="F59" s="2"/>
      <x:c r="G59" s="2"/>
    </x:row>
    <x:row r="60">
      <x:c r="B60" s="2"/>
      <x:c r="C60" s="2"/>
      <x:c r="D60" s="2"/>
      <x:c r="E60" s="2"/>
      <x:c r="F60" s="2"/>
      <x:c r="G60" s="2"/>
    </x:row>
  </x:sheetData>
  <x:mergeCells>
    <x:mergeCell ref="B3:G3"/>
  </x:mergeCells>
  <x:conditionalFormatting sqref="F7:F46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NOT ADMITTED"/>
    <x:cfRule type="containsText" dxfId="5" priority="6" operator="containsText" text="PASS"/>
    <x:cfRule type="containsText" dxfId="6" priority="7" operator="containsText" text="CLOSED"/>
    <x:cfRule type="containsText" dxfId="7" priority="8" operator="containsText" text="ADEQUATE"/>
    <x:cfRule type="containsText" dxfId="8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4c8487ba50ba46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5" hidden="0" customWidth="1"/>
    <x:col min="4" max="4" width="18" hidden="0" customWidth="1"/>
    <x:col min="5" max="5" width="20" hidden="0" customWidth="1"/>
    <x:col min="6" max="6" width="21" hidden="0" customWidth="1"/>
    <x:col min="7" max="7" width="18" hidden="0" customWidth="1"/>
    <x:col min="8" max="8" width="15" hidden="0" customWidth="1"/>
    <x:col min="9" max="9" width="17" hidden="0" customWidth="1"/>
  </x:cols>
  <x:sheetData>
    <x:row r="2">
      <x:c r="B2" s="3" t="str">
        <x:v>Ten-kilometre service-corridor contract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The article is a civilian service system: two independently isolable routes, a receiver buffer, local power and public release—not pipe footage alone.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0" t="str">
        <x:v>Requirement</x:v>
      </x:c>
      <x:c r="C6" s="21" t="str">
        <x:v>Measure</x:v>
      </x:c>
      <x:c r="D6" s="21" t="str">
        <x:v>Threshold</x:v>
      </x:c>
      <x:c r="E6" s="21" t="str">
        <x:v>Modeled result</x:v>
      </x:c>
      <x:c r="F6" s="21" t="str">
        <x:v>Unit</x:v>
      </x:c>
      <x:c r="G6" s="21" t="str">
        <x:v>Planning gate</x:v>
      </x:c>
      <x:c r="H6" s="21" t="str">
        <x:v>Evidence</x:v>
      </x:c>
      <x:c r="I6" s="21" t="str">
        <x:v>Strict authority</x:v>
      </x:c>
    </x:row>
    <x:row r="7" ht="32" customHeight="1">
      <x:c r="B7" s="22" t="str">
        <x:v>MC01</x:v>
      </x:c>
      <x:c r="C7" s="29" t="str">
        <x:v>Corridor reach</x:v>
      </x:c>
      <x:c r="D7" s="41" t="n">
        <x:f>Assumptions!D7</x:f>
        <x:v>10</x:v>
      </x:c>
      <x:c r="E7" s="41" t="n">
        <x:f>'Hydraulic Build'!D15</x:f>
        <x:v>10</x:v>
      </x:c>
      <x:c r="F7" s="29" t="str">
        <x:v>km</x:v>
      </x:c>
      <x:c r="G7" s="29" t="str">
        <x:f>IF(E7&gt;=D7,"PASS","FAIL")</x:f>
        <x:v>PASS</x:v>
      </x:c>
      <x:c r="H7" s="29" t="str">
        <x:v>OPEN</x:v>
      </x:c>
      <x:c r="I7" s="31" t="str">
        <x:f>IF(AND(G7="PASS",H7="ACCEPTED"),"ADMITTED","HOLD")</x:f>
        <x:v>HOLD</x:v>
      </x:c>
    </x:row>
    <x:row r="8" ht="32" customHeight="1">
      <x:c r="B8" s="22" t="str">
        <x:v>MC02</x:v>
      </x:c>
      <x:c r="C8" s="29" t="str">
        <x:v>Product-water service</x:v>
      </x:c>
      <x:c r="D8" s="41" t="n">
        <x:f>Assumptions!D8</x:f>
        <x:v>10000</x:v>
      </x:c>
      <x:c r="E8" s="41" t="n">
        <x:f>'Hydraulic Build'!D7</x:f>
        <x:v>10000</x:v>
      </x:c>
      <x:c r="F8" s="29" t="str">
        <x:v>m³/day</x:v>
      </x:c>
      <x:c r="G8" s="29" t="str">
        <x:f>IF(E8=D8,"PASS","FAIL")</x:f>
        <x:v>PASS</x:v>
      </x:c>
      <x:c r="H8" s="29" t="str">
        <x:v>OPEN</x:v>
      </x:c>
      <x:c r="I8" s="31" t="str">
        <x:f>IF(AND(G8="PASS",H8="ACCEPTED"),"ADMITTED","HOLD")</x:f>
        <x:v>HOLD</x:v>
      </x:c>
    </x:row>
    <x:row r="9" ht="32" customHeight="1">
      <x:c r="B9" s="22" t="str">
        <x:v>MC03</x:v>
      </x:c>
      <x:c r="C9" s="29" t="str">
        <x:v>Population-service identity</x:v>
      </x:c>
      <x:c r="D9" s="41" t="n">
        <x:f>Assumptions!D9*Assumptions!D10/1000</x:f>
        <x:v>10000</x:v>
      </x:c>
      <x:c r="E9" s="41" t="n">
        <x:f>'Hydraulic Build'!D7</x:f>
        <x:v>10000</x:v>
      </x:c>
      <x:c r="F9" s="29" t="str">
        <x:v>m³/day</x:v>
      </x:c>
      <x:c r="G9" s="29" t="str">
        <x:f>IF(E9=D9,"PASS","FAIL")</x:f>
        <x:v>PASS</x:v>
      </x:c>
      <x:c r="H9" s="29" t="str">
        <x:v>OPEN</x:v>
      </x:c>
      <x:c r="I9" s="31" t="str">
        <x:f>IF(AND(G9="PASS",H9="ACCEPTED"),"ADMITTED","HOLD")</x:f>
        <x:v>HOLD</x:v>
      </x:c>
    </x:row>
    <x:row r="10" ht="32" customHeight="1">
      <x:c r="B10" s="22" t="str">
        <x:v>MC04</x:v>
      </x:c>
      <x:c r="C10" s="29" t="str">
        <x:v>First service</x:v>
      </x:c>
      <x:c r="D10" s="41" t="n">
        <x:f>Assumptions!D11</x:f>
        <x:v>120</x:v>
      </x:c>
      <x:c r="E10" s="41" t="n">
        <x:f>MAX('Material Build'!O7:O9)</x:f>
        <x:v>105.61315510901608</x:v>
      </x:c>
      <x:c r="F10" s="29" t="str">
        <x:v>hours</x:v>
      </x:c>
      <x:c r="G10" s="29" t="str">
        <x:f>IF(E10&lt;=D10,"PASS","FAIL")</x:f>
        <x:v>PASS</x:v>
      </x:c>
      <x:c r="H10" s="29" t="str">
        <x:v>OPEN</x:v>
      </x:c>
      <x:c r="I10" s="31" t="str">
        <x:f>IF(AND(G10="PASS",H10="ACCEPTED"),"ADMITTED","HOLD")</x:f>
        <x:v>HOLD</x:v>
      </x:c>
    </x:row>
    <x:row r="11" ht="32" customHeight="1">
      <x:c r="B11" s="22" t="str">
        <x:v>MC05</x:v>
      </x:c>
      <x:c r="C11" s="29" t="str">
        <x:v>Continuous operation</x:v>
      </x:c>
      <x:c r="D11" s="41" t="n">
        <x:f>Assumptions!D12</x:f>
        <x:v>168</x:v>
      </x:c>
      <x:c r="E11" s="41" t="n">
        <x:f>Assumptions!D12</x:f>
        <x:v>168</x:v>
      </x:c>
      <x:c r="F11" s="29" t="str">
        <x:v>hours</x:v>
      </x:c>
      <x:c r="G11" s="29" t="str">
        <x:f>IF(E11&gt;=D11,"PASS","FAIL")</x:f>
        <x:v>PASS</x:v>
      </x:c>
      <x:c r="H11" s="29" t="str">
        <x:v>OPEN</x:v>
      </x:c>
      <x:c r="I11" s="31" t="str">
        <x:f>IF(AND(G11="PASS",H11="ACCEPTED"),"ADMITTED","HOLD")</x:f>
        <x:v>HOLD</x:v>
      </x:c>
    </x:row>
    <x:row r="12" ht="32" customHeight="1">
      <x:c r="B12" s="22" t="str">
        <x:v>MC06</x:v>
      </x:c>
      <x:c r="C12" s="29" t="str">
        <x:v>Independent route count</x:v>
      </x:c>
      <x:c r="D12" s="41" t="n">
        <x:f>Assumptions!D16</x:f>
        <x:v>2</x:v>
      </x:c>
      <x:c r="E12" s="41" t="n">
        <x:f>'Hydraulic Build'!D9</x:f>
        <x:v>2</x:v>
      </x:c>
      <x:c r="F12" s="29" t="str">
        <x:v>routes</x:v>
      </x:c>
      <x:c r="G12" s="29" t="str">
        <x:f>IF(E12&gt;=D12,"PASS","FAIL")</x:f>
        <x:v>PASS</x:v>
      </x:c>
      <x:c r="H12" s="29" t="str">
        <x:v>OPEN</x:v>
      </x:c>
      <x:c r="I12" s="31" t="str">
        <x:f>IF(AND(G12="PASS",H12="ACCEPTED"),"ADMITTED","HOLD")</x:f>
        <x:v>HOLD</x:v>
      </x:c>
    </x:row>
    <x:row r="13" ht="32" customHeight="1">
      <x:c r="B13" s="22" t="str">
        <x:v>MC07</x:v>
      </x:c>
      <x:c r="C13" s="29" t="str">
        <x:v>Route-loss service</x:v>
      </x:c>
      <x:c r="D13" s="42" t="n">
        <x:f>Assumptions!D28</x:f>
        <x:v>0.5</x:v>
      </x:c>
      <x:c r="E13" s="42" t="n">
        <x:f>'Hydraulic Build'!D31</x:f>
        <x:v>0.5</x:v>
      </x:c>
      <x:c r="F13" s="29" t="str">
        <x:v>share</x:v>
      </x:c>
      <x:c r="G13" s="29" t="str">
        <x:f>IF(E13&gt;=D13,"PASS","FAIL")</x:f>
        <x:v>PASS</x:v>
      </x:c>
      <x:c r="H13" s="29" t="str">
        <x:v>OPEN</x:v>
      </x:c>
      <x:c r="I13" s="31" t="str">
        <x:f>IF(AND(G13="PASS",H13="ACCEPTED"),"ADMITTED","HOLD")</x:f>
        <x:v>HOLD</x:v>
      </x:c>
    </x:row>
    <x:row r="14" ht="32" customHeight="1">
      <x:c r="B14" s="22" t="str">
        <x:v>MC08</x:v>
      </x:c>
      <x:c r="C14" s="29" t="str">
        <x:v>Full-service buffer</x:v>
      </x:c>
      <x:c r="D14" s="42" t="n">
        <x:f>Assumptions!D27</x:f>
        <x:v>24</x:v>
      </x:c>
      <x:c r="E14" s="42" t="n">
        <x:f>'Hydraulic Build'!D29</x:f>
        <x:v>24</x:v>
      </x:c>
      <x:c r="F14" s="29" t="str">
        <x:v>hours</x:v>
      </x:c>
      <x:c r="G14" s="29" t="str">
        <x:f>IF(E14&gt;=D14,"PASS","FAIL")</x:f>
        <x:v>PASS</x:v>
      </x:c>
      <x:c r="H14" s="29" t="str">
        <x:v>OPEN</x:v>
      </x:c>
      <x:c r="I14" s="31" t="str">
        <x:f>IF(AND(G14="PASS",H14="ACCEPTED"),"ADMITTED","HOLD")</x:f>
        <x:v>HOLD</x:v>
      </x:c>
    </x:row>
    <x:row r="15" ht="32" customHeight="1">
      <x:c r="B15" s="22" t="str">
        <x:v>MC09</x:v>
      </x:c>
      <x:c r="C15" s="29" t="str">
        <x:v>Full-bore repair</x:v>
      </x:c>
      <x:c r="D15" s="41" t="n">
        <x:f>Assumptions!D34</x:f>
        <x:v>6</x:v>
      </x:c>
      <x:c r="E15" s="41" t="n">
        <x:f>MAX('Architecture Roots'!V7:V9)</x:f>
        <x:v>6</x:v>
      </x:c>
      <x:c r="F15" s="29" t="str">
        <x:v>hours</x:v>
      </x:c>
      <x:c r="G15" s="29" t="str">
        <x:f>IF(E15&lt;=D15,"PASS","FAIL")</x:f>
        <x:v>PASS</x:v>
      </x:c>
      <x:c r="H15" s="29" t="str">
        <x:v>OPEN</x:v>
      </x:c>
      <x:c r="I15" s="31" t="str">
        <x:f>IF(AND(G15="PASS",H15="ACCEPTED"),"ADMITTED","HOLD")</x:f>
        <x:v>HOLD</x:v>
      </x:c>
    </x:row>
    <x:row r="16" ht="32" customHeight="1">
      <x:c r="B16" s="22" t="str">
        <x:v>MC10</x:v>
      </x:c>
      <x:c r="C16" s="29" t="str">
        <x:v>Protected reserve</x:v>
      </x:c>
      <x:c r="D16" s="41" t="n">
        <x:f>Assumptions!D13</x:f>
        <x:v>0.2</x:v>
      </x:c>
      <x:c r="E16" s="41" t="n">
        <x:f>MIN('Material Build'!P7:P9)</x:f>
        <x:v>0.2</x:v>
      </x:c>
      <x:c r="F16" s="29" t="str">
        <x:v>share</x:v>
      </x:c>
      <x:c r="G16" s="29" t="str">
        <x:f>IF(E16&gt;=D16,"PASS","FAIL")</x:f>
        <x:v>PASS</x:v>
      </x:c>
      <x:c r="H16" s="29" t="str">
        <x:v>OPEN</x:v>
      </x:c>
      <x:c r="I16" s="31" t="str">
        <x:f>IF(AND(G16="PASS",H16="ACCEPTED"),"ADMITTED","HOLD")</x:f>
        <x:v>HOLD</x:v>
      </x:c>
    </x:row>
    <x:row r="17" ht="32" customHeight="1">
      <x:c r="B17" s="22" t="str">
        <x:v>MC11</x:v>
      </x:c>
      <x:c r="C17" s="29" t="str">
        <x:v>Regeneration</x:v>
      </x:c>
      <x:c r="D17" s="41" t="n">
        <x:f>Assumptions!D33</x:f>
        <x:v>720</x:v>
      </x:c>
      <x:c r="E17" s="41" t="n">
        <x:f>MAX('Material Build'!R7:R9)</x:f>
        <x:v>660</x:v>
      </x:c>
      <x:c r="F17" s="29" t="str">
        <x:v>hours</x:v>
      </x:c>
      <x:c r="G17" s="29" t="str">
        <x:f>IF(AND(E17&lt;=D17,COUNTIF(Regeneration!P7:P30,"PASS")=24),"PASS","FAIL")</x:f>
        <x:v>PASS</x:v>
      </x:c>
      <x:c r="H17" s="29" t="str">
        <x:v>OPEN</x:v>
      </x:c>
      <x:c r="I17" s="31" t="str">
        <x:f>IF(AND(G17="PASS",H17="ACCEPTED"),"ADMITTED","HOLD")</x:f>
        <x:v>HOLD</x:v>
      </x:c>
    </x:row>
    <x:row r="18" ht="32" customHeight="1">
      <x:c r="B18" s="22" t="str">
        <x:v>MC12</x:v>
      </x:c>
      <x:c r="C18" s="29" t="str">
        <x:v>Borrowed receiver crew</x:v>
      </x:c>
      <x:c r="D18" s="41" t="n">
        <x:f>Assumptions!D35</x:f>
        <x:v>8</x:v>
      </x:c>
      <x:c r="E18" s="41" t="n">
        <x:f>MAX('Crew Build'!H40:H42)</x:f>
        <x:v>0</x:v>
      </x:c>
      <x:c r="F18" s="29" t="str">
        <x:v>people</x:v>
      </x:c>
      <x:c r="G18" s="29" t="str">
        <x:f>IF(E18&lt;=D18,"PASS","FAIL")</x:f>
        <x:v>PASS</x:v>
      </x:c>
      <x:c r="H18" s="29" t="str">
        <x:v>OPEN</x:v>
      </x:c>
      <x:c r="I18" s="31" t="str">
        <x:f>IF(AND(G18="PASS",H18="ACCEPTED"),"ADMITTED","HOLD")</x:f>
        <x:v>HOLD</x:v>
      </x:c>
    </x:row>
    <x:row r="19" ht="32" customHeight="1">
      <x:c r="B19" s="22" t="str">
        <x:v>MC13</x:v>
      </x:c>
      <x:c r="C19" s="29" t="str">
        <x:v>Borrowed receiver power</x:v>
      </x:c>
      <x:c r="D19" s="41" t="n">
        <x:f>Assumptions!D36</x:f>
        <x:v>0</x:v>
      </x:c>
      <x:c r="E19" s="41" t="n">
        <x:f>MAX('Power &amp; Buffer'!N7:N9)</x:f>
        <x:v>0</x:v>
      </x:c>
      <x:c r="F19" s="29" t="str">
        <x:v>MW</x:v>
      </x:c>
      <x:c r="G19" s="29" t="str">
        <x:f>IF(E19&lt;=D19,"PASS","FAIL")</x:f>
        <x:v>PASS</x:v>
      </x:c>
      <x:c r="H19" s="29" t="str">
        <x:v>OPEN</x:v>
      </x:c>
      <x:c r="I19" s="31" t="str">
        <x:f>IF(AND(G19="PASS",H19="ACCEPTED"),"ADMITTED","HOLD")</x:f>
        <x:v>HOLD</x:v>
      </x:c>
    </x:row>
    <x:row r="20" ht="32" customHeight="1">
      <x:c r="B20" s="22" t="str">
        <x:v>MC14</x:v>
      </x:c>
      <x:c r="C20" s="29" t="str">
        <x:v>Physical evidence</x:v>
      </x:c>
      <x:c r="D20" s="41" t="n">
        <x:f>1</x:f>
        <x:v>1</x:v>
      </x:c>
      <x:c r="E20" s="41" t="n">
        <x:f>Assumptions!D37</x:f>
        <x:v>0</x:v>
      </x:c>
      <x:c r="F20" s="29" t="str">
        <x:v>binary</x:v>
      </x:c>
      <x:c r="G20" s="29" t="str">
        <x:f>IF(E20=D20,"PASS","OPEN")</x:f>
        <x:v>OPEN</x:v>
      </x:c>
      <x:c r="H20" s="29" t="str">
        <x:v>OPEN</x:v>
      </x:c>
      <x:c r="I20" s="31" t="str">
        <x:f>IF(AND(G20="PASS",H20="ACCEPTED"),"ADMITTED","HOLD")</x:f>
        <x:v>HOLD</x:v>
      </x:c>
    </x:row>
    <x:row r="21" ht="32" customHeight="1">
      <x:c r="B21" s="26" t="str">
        <x:v>MC15</x:v>
      </x:c>
      <x:c r="C21" s="33" t="str">
        <x:v>Rendering authority</x:v>
      </x:c>
      <x:c r="D21" s="43" t="n">
        <x:f>1</x:f>
        <x:v>1</x:v>
      </x:c>
      <x:c r="E21" s="43" t="n">
        <x:f>Assumptions!D38</x:f>
        <x:v>0</x:v>
      </x:c>
      <x:c r="F21" s="33" t="str">
        <x:v>binary</x:v>
      </x:c>
      <x:c r="G21" s="33" t="str">
        <x:f>IF(E21=D21,"PASS","BLOCKED")</x:f>
        <x:v>BLOCKED</x:v>
      </x:c>
      <x:c r="H21" s="33" t="str">
        <x:v>OPEN</x:v>
      </x:c>
      <x:c r="I21" s="35" t="str">
        <x:f>IF(AND(G21="PASS",H21="ACCEPTED"),"ADMITTED","HOLD")</x:f>
        <x:v>HOLD</x:v>
      </x:c>
    </x:row>
    <x:row r="22">
      <x:c r="B22" s="2"/>
      <x:c r="C22" s="2"/>
      <x:c r="D22" s="2"/>
      <x:c r="E22" s="2"/>
      <x:c r="F22" s="2"/>
      <x:c r="G22" s="2"/>
      <x:c r="H22" s="2"/>
      <x:c r="I22" s="2"/>
    </x:row>
    <x:row r="23">
      <x:c r="B23" s="2"/>
      <x:c r="C23" s="2"/>
      <x:c r="D23" s="2"/>
      <x:c r="E23" s="2"/>
      <x:c r="F23" s="2"/>
      <x:c r="G23" s="2"/>
      <x:c r="H23" s="2"/>
      <x:c r="I23" s="2"/>
    </x:row>
    <x:row r="24">
      <x:c r="B24" s="2"/>
      <x:c r="C24" s="2"/>
      <x:c r="D24" s="2"/>
      <x:c r="E24" s="2"/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  <x:row r="26">
      <x:c r="B26" s="2"/>
      <x:c r="C26" s="2"/>
      <x:c r="D26" s="2"/>
      <x:c r="E26" s="2"/>
      <x:c r="F26" s="2"/>
      <x:c r="G26" s="2"/>
      <x:c r="H26" s="2"/>
      <x:c r="I26" s="2"/>
    </x:row>
    <x:row r="27">
      <x:c r="B27" s="2"/>
      <x:c r="C27" s="2"/>
      <x:c r="D27" s="2"/>
      <x:c r="E27" s="2"/>
      <x:c r="F27" s="2"/>
      <x:c r="G27" s="2"/>
      <x:c r="H27" s="2"/>
      <x:c r="I27" s="2"/>
    </x:row>
    <x:row r="28">
      <x:c r="B28" s="2"/>
      <x:c r="C28" s="2"/>
      <x:c r="D28" s="2"/>
      <x:c r="E28" s="2"/>
      <x:c r="F28" s="2"/>
      <x:c r="G28" s="2"/>
      <x:c r="H28" s="2"/>
      <x:c r="I28" s="2"/>
    </x:row>
    <x:row r="29">
      <x:c r="B29" s="2"/>
      <x:c r="C29" s="2"/>
      <x:c r="D29" s="2"/>
      <x:c r="E29" s="2"/>
      <x:c r="F29" s="2"/>
      <x:c r="G29" s="2"/>
      <x:c r="H29" s="2"/>
      <x:c r="I29" s="2"/>
    </x:row>
    <x:row r="30">
      <x:c r="B30" s="2"/>
      <x:c r="C30" s="2"/>
      <x:c r="D30" s="2"/>
      <x:c r="E30" s="2"/>
      <x:c r="F30" s="2"/>
      <x:c r="G30" s="2"/>
      <x:c r="H30" s="2"/>
      <x:c r="I30" s="2"/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  <x:row r="36">
      <x:c r="B36" s="2"/>
      <x:c r="C36" s="2"/>
      <x:c r="D36" s="2"/>
      <x:c r="E36" s="2"/>
      <x:c r="F36" s="2"/>
      <x:c r="G36" s="2"/>
      <x:c r="H36" s="2"/>
      <x:c r="I36" s="2"/>
    </x:row>
    <x:row r="37">
      <x:c r="B37" s="2"/>
      <x:c r="C37" s="2"/>
      <x:c r="D37" s="2"/>
      <x:c r="E37" s="2"/>
      <x:c r="F37" s="2"/>
      <x:c r="G37" s="2"/>
      <x:c r="H37" s="2"/>
      <x:c r="I37" s="2"/>
    </x:row>
    <x:row r="38">
      <x:c r="B38" s="2"/>
      <x:c r="C38" s="2"/>
      <x:c r="D38" s="2"/>
      <x:c r="E38" s="2"/>
      <x:c r="F38" s="2"/>
      <x:c r="G38" s="2"/>
      <x:c r="H38" s="2"/>
      <x:c r="I38" s="2"/>
    </x:row>
    <x:row r="39">
      <x:c r="B39" s="2"/>
      <x:c r="C39" s="2"/>
      <x:c r="D39" s="2"/>
      <x:c r="E39" s="2"/>
      <x:c r="F39" s="2"/>
      <x:c r="G39" s="2"/>
      <x:c r="H39" s="2"/>
      <x:c r="I39" s="2"/>
    </x:row>
    <x:row r="40"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B3:I3"/>
  </x:mergeCells>
  <x:conditionalFormatting sqref="G7:I21">
    <x:cfRule type="containsText" dxfId="9" priority="1" operator="containsText" text="FAIL"/>
    <x:cfRule type="containsText" dxfId="10" priority="2" operator="containsText" text="BLOCKED"/>
    <x:cfRule type="containsText" dxfId="11" priority="3" operator="containsText" text="HOLD"/>
    <x:cfRule type="containsText" dxfId="12" priority="4" operator="containsText" text="OPEN"/>
    <x:cfRule type="containsText" dxfId="13" priority="5" operator="containsText" text="NOT ADMITTED"/>
    <x:cfRule type="containsText" dxfId="14" priority="6" operator="containsText" text="PASS"/>
    <x:cfRule type="containsText" dxfId="15" priority="7" operator="containsText" text="CLOSED"/>
    <x:cfRule type="containsText" dxfId="16" priority="8" operator="containsText" text="ADEQUATE"/>
    <x:cfRule type="containsText" dxfId="17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1544ad3362514b9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35" hidden="0" customWidth="1"/>
    <x:col min="4" max="4" width="50" hidden="0" customWidth="1"/>
    <x:col min="5" max="5" width="36" hidden="0" customWidth="1"/>
    <x:col min="6" max="6" width="32" hidden="0" customWidth="1"/>
    <x:col min="7" max="7" width="42" hidden="0" customWidth="1"/>
    <x:col min="8" max="8" width="42" hidden="0" customWidth="1"/>
    <x:col min="9" max="9" width="15" hidden="0" customWidth="1"/>
  </x:cols>
  <x:sheetData>
    <x:row r="2">
      <x:c r="B2" s="3" t="str">
        <x:v>F36 system boundary and no-crutch constitution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The range may supply conditions and independent witnesses. It may not lend the article decisive power, tooling, operators, controls or receiver hardware.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0" t="str">
        <x:v>Boundary</x:v>
      </x:c>
      <x:c r="C6" s="21" t="str">
        <x:v>Upstream input</x:v>
      </x:c>
      <x:c r="D6" s="21" t="str">
        <x:v>F36-owned function</x:v>
      </x:c>
      <x:c r="E6" s="21" t="str">
        <x:v>Downstream output</x:v>
      </x:c>
      <x:c r="F6" s="21" t="str">
        <x:v>Range may provide</x:v>
      </x:c>
      <x:c r="G6" s="21" t="str">
        <x:v>Range may not provide</x:v>
      </x:c>
      <x:c r="H6" s="21" t="str">
        <x:v>Failure if omitted</x:v>
      </x:c>
      <x:c r="I6" s="21" t="str">
        <x:v>State</x:v>
      </x:c>
    </x:row>
    <x:row r="7" ht="72" customHeight="1">
      <x:c r="B7" s="29" t="str">
        <x:v>B01 Source flange</x:v>
      </x:c>
      <x:c r="C7" s="29" t="str">
        <x:v>independently released potable product at 10,000 m³/day</x:v>
      </x:c>
      <x:c r="D7" s="29" t="str">
        <x:v>accept/reject, isolate, meter and preserve custody</x:v>
      </x:c>
      <x:c r="E7" s="29" t="str">
        <x:v>two sanitary route feeds</x:v>
      </x:c>
      <x:c r="F7" s="29" t="str">
        <x:v>witness tap and reference sample</x:v>
      </x:c>
      <x:c r="G7" s="29" t="str">
        <x:v>treatment plant, source power or release staff</x:v>
      </x:c>
      <x:c r="H7" s="29" t="str">
        <x:v>source performance is counted as trunkline performance</x:v>
      </x:c>
      <x:c r="I7" s="31" t="str">
        <x:v>CLOSED</x:v>
      </x:c>
    </x:row>
    <x:row r="8" ht="72" customHeight="1">
      <x:c r="B8" s="29" t="str">
        <x:v>B02 Conduit</x:v>
      </x:c>
      <x:c r="C8" s="29" t="str">
        <x:v>registered feedstock or sealed segments</x:v>
      </x:c>
      <x:c r="D8" s="29" t="str">
        <x:v>manufacture, join, inspect, pressure-test and track both routes</x:v>
      </x:c>
      <x:c r="E8" s="29" t="str">
        <x:v>accepted 10 km corridor</x:v>
      </x:c>
      <x:c r="F8" s="29" t="str">
        <x:v>terrain and weather</x:v>
      </x:c>
      <x:c r="G8" s="29" t="str">
        <x:v>pipe, joints, liners or joining equipment</x:v>
      </x:c>
      <x:c r="H8" s="29" t="str">
        <x:v>installed length is merely supplied inventory</x:v>
      </x:c>
      <x:c r="I8" s="31" t="str">
        <x:v>CLOSED</x:v>
      </x:c>
    </x:row>
    <x:row r="9" ht="72" customHeight="1">
      <x:c r="B9" s="29" t="str">
        <x:v>B03 Route</x:v>
      </x:c>
      <x:c r="C9" s="29" t="str">
        <x:v>survey and public access order</x:v>
      </x:c>
      <x:c r="D9" s="29" t="str">
        <x:v>prepare, cross, protect, isolate and mark two hazard-separated alignments</x:v>
      </x:c>
      <x:c r="E9" s="29" t="str">
        <x:v>maintainable corridor</x:v>
      </x:c>
      <x:c r="F9" s="29" t="str">
        <x:v>representative roads, rail, water and weak soil</x:v>
      </x:c>
      <x:c r="G9" s="29" t="str">
        <x:v>earthmovers, bridge mats, route robots or traffic system</x:v>
      </x:c>
      <x:c r="H9" s="29" t="str">
        <x:v>range equipment becomes hidden force structure</x:v>
      </x:c>
      <x:c r="I9" s="31" t="str">
        <x:v>CLOSED</x:v>
      </x:c>
    </x:row>
    <x:row r="10" ht="72" customHeight="1">
      <x:c r="B10" s="29" t="str">
        <x:v>B04 Power</x:v>
      </x:c>
      <x:c r="C10" s="29" t="str">
        <x:v>transportable energy stock</x:v>
      </x:c>
      <x:c r="D10" s="29" t="str">
        <x:v>generate, distribute, store and restart all article loads</x:v>
      </x:c>
      <x:c r="E10" s="29" t="str">
        <x:v>islanded hydraulic and process power</x:v>
      </x:c>
      <x:c r="F10" s="29" t="str">
        <x:v>electrical witness points</x:v>
      </x:c>
      <x:c r="G10" s="29" t="str">
        <x:v>grid service, fuel delivery after alert or black-start crew</x:v>
      </x:c>
      <x:c r="H10" s="29" t="str">
        <x:v>grid denial is theatrical</x:v>
      </x:c>
      <x:c r="I10" s="31" t="str">
        <x:v>CLOSED</x:v>
      </x:c>
    </x:row>
    <x:row r="11" ht="72" customHeight="1">
      <x:c r="B11" s="29" t="str">
        <x:v>B05 Controls</x:v>
      </x:c>
      <x:c r="C11" s="29" t="str">
        <x:v>mission order and registered baseline</x:v>
      </x:c>
      <x:c r="D11" s="29" t="str">
        <x:v>local command, safety, data, time and manual reversion</x:v>
      </x:c>
      <x:c r="E11" s="29" t="str">
        <x:v>bounded autonomous service</x:v>
      </x:c>
      <x:c r="F11" s="29" t="str">
        <x:v>spectrum and cyber injects</x:v>
      </x:c>
      <x:c r="G11" s="29" t="str">
        <x:v>cloud control, vendor operations center or external clock</x:v>
      </x:c>
      <x:c r="H11" s="29" t="str">
        <x:v>remote dependency survives unseen</x:v>
      </x:c>
      <x:c r="I11" s="31" t="str">
        <x:v>CLOSED</x:v>
      </x:c>
    </x:row>
    <x:row r="12" ht="72" customHeight="1">
      <x:c r="B12" s="29" t="str">
        <x:v>B06 Sanitary assurance</x:v>
      </x:c>
      <x:c r="C12" s="29" t="str">
        <x:v>source certificate and challenge agent</x:v>
      </x:c>
      <x:c r="D12" s="29" t="str">
        <x:v>preserve barrier, sample locally, stop safely and release publicly</x:v>
      </x:c>
      <x:c r="E12" s="29" t="str">
        <x:v>receiver-admissible product</x:v>
      </x:c>
      <x:c r="F12" s="29" t="str">
        <x:v>blind samples and independent laboratory witness</x:v>
      </x:c>
      <x:c r="G12" s="29" t="str">
        <x:v>article release decision or online laboratory service</x:v>
      </x:c>
      <x:c r="H12" s="29" t="str">
        <x:v>equipment presence substitutes for water safety</x:v>
      </x:c>
      <x:c r="I12" s="31" t="str">
        <x:v>CLOSED</x:v>
      </x:c>
    </x:row>
    <x:row r="13" ht="72" customHeight="1">
      <x:c r="B13" s="29" t="str">
        <x:v>B07 Receiver interface</x:v>
      </x:c>
      <x:c r="C13" s="29" t="str">
        <x:v>receiver consent and published civil standard</x:v>
      </x:c>
      <x:c r="D13" s="29" t="str">
        <x:v>deploy buffer, pressure control, accessible outlets and adapters</x:v>
      </x:c>
      <x:c r="E13" s="29" t="str">
        <x:v>metered public boundary service</x:v>
      </x:c>
      <x:c r="F13" s="29" t="str">
        <x:v>site pad and receiver observers</x:v>
      </x:c>
      <x:c r="G13" s="29" t="str">
        <x:v>receiver pumps, storage, electricians or bespoke fabrication</x:v>
      </x:c>
      <x:c r="H13" s="29" t="str">
        <x:v>burden is exported to damaged jurisdiction</x:v>
      </x:c>
      <x:c r="I13" s="31" t="str">
        <x:v>CLOSED</x:v>
      </x:c>
    </x:row>
    <x:row r="14" ht="72" customHeight="1">
      <x:c r="B14" s="29" t="str">
        <x:v>B08 Degraded service</x:v>
      </x:c>
      <x:c r="C14" s="29" t="str">
        <x:v>declared rupture and route denial</x:v>
      </x:c>
      <x:c r="D14" s="29" t="str">
        <x:v>isolate one line, hold full service through repair, retain 50% thereafter</x:v>
      </x:c>
      <x:c r="E14" s="29" t="str">
        <x:v>bounded continuity state</x:v>
      </x:c>
      <x:c r="F14" s="29" t="str">
        <x:v>hazard inject and witness meters</x:v>
      </x:c>
      <x:c r="G14" s="29" t="str">
        <x:v>bypass pipe, repair team or emergency storage</x:v>
      </x:c>
      <x:c r="H14" s="29" t="str">
        <x:v>N-1 claim is borrowed</x:v>
      </x:c>
      <x:c r="I14" s="31" t="str">
        <x:v>CLOSED</x:v>
      </x:c>
    </x:row>
    <x:row r="15" ht="72" customHeight="1">
      <x:c r="B15" s="29" t="str">
        <x:v>B09 Repair</x:v>
      </x:c>
      <x:c r="C15" s="29" t="str">
        <x:v>registered damage state</x:v>
      </x:c>
      <x:c r="D15" s="29" t="str">
        <x:v>locate, isolate, repair, retest and return configuration</x:v>
      </x:c>
      <x:c r="E15" s="29" t="str">
        <x:v>requalified route section</x:v>
      </x:c>
      <x:c r="F15" s="29" t="str">
        <x:v>destructive cut</x:v>
      </x:c>
      <x:c r="G15" s="29" t="str">
        <x:v>repair consumables, robots or metrology</x:v>
      </x:c>
      <x:c r="H15" s="29" t="str">
        <x:v>repair time has no owned mechanism</x:v>
      </x:c>
      <x:c r="I15" s="31" t="str">
        <x:v>CLOSED</x:v>
      </x:c>
    </x:row>
    <x:row r="16" ht="72" customHeight="1">
      <x:c r="B16" s="29" t="str">
        <x:v>B10 Reserve</x:v>
      </x:c>
      <x:c r="C16" s="29" t="str">
        <x:v>sealed 20% complete-system floor</x:v>
      </x:c>
      <x:c r="D16" s="29" t="str">
        <x:v>custody, rotate, issue, restore and independently accept replacement stock</x:v>
      </x:c>
      <x:c r="E16" s="29" t="str">
        <x:v>second-wave ready state</x:v>
      </x:c>
      <x:c r="F16" s="29" t="str">
        <x:v>independent inventory count</x:v>
      </x:c>
      <x:c r="G16" s="29" t="str">
        <x:v>paper inventory or pooled unassigned stock</x:v>
      </x:c>
      <x:c r="H16" s="29" t="str">
        <x:v>reserve exists only in accounting</x:v>
      </x:c>
      <x:c r="I16" s="31" t="str">
        <x:v>CLOSED</x:v>
      </x:c>
    </x:row>
    <x:row r="17" ht="72" customHeight="1">
      <x:c r="B17" s="29" t="str">
        <x:v>B11 Industrial root</x:v>
      </x:c>
      <x:c r="C17" s="29" t="str">
        <x:v>no-notice build order and public technical baseline</x:v>
      </x:c>
      <x:c r="D17" s="29" t="str">
        <x:v>cold-start alternate facility, release tools and fabricate accepted lot</x:v>
      </x:c>
      <x:c r="E17" s="29" t="str">
        <x:v>serialized mission set</x:v>
      </x:c>
      <x:c r="F17" s="29" t="str">
        <x:v>facility denial and witness instruments</x:v>
      </x:c>
      <x:c r="G17" s="29" t="str">
        <x:v>original factory, tacit setup crew or proprietary remote access</x:v>
      </x:c>
      <x:c r="H17" s="29" t="str">
        <x:v>alternate root is nominal</x:v>
      </x:c>
      <x:c r="I17" s="31" t="str">
        <x:v>CLOSED</x:v>
      </x:c>
    </x:row>
    <x:row r="18" ht="72" customHeight="1">
      <x:c r="B18" s="33" t="str">
        <x:v>B12 Evidence</x:v>
      </x:c>
      <x:c r="C18" s="33" t="str">
        <x:v>frozen claims and configurations</x:v>
      </x:c>
      <x:c r="D18" s="33" t="str">
        <x:v>produce article data and preserve chain of custody</x:v>
      </x:c>
      <x:c r="E18" s="33" t="str">
        <x:v>independent admissibility record</x:v>
      </x:c>
      <x:c r="F18" s="33" t="str">
        <x:v>separate measurement authority</x:v>
      </x:c>
      <x:c r="G18" s="33" t="str">
        <x:v>self-certification or post-hoc thresholds</x:v>
      </x:c>
      <x:c r="H18" s="33" t="str">
        <x:v>planning result becomes evidence</x:v>
      </x:c>
      <x:c r="I18" s="35" t="str">
        <x:v>CLOSED</x:v>
      </x:c>
    </x:row>
    <x:row r="19">
      <x:c r="B19" s="2"/>
      <x:c r="C19" s="2"/>
      <x:c r="D19" s="2"/>
      <x:c r="E19" s="2"/>
      <x:c r="F19" s="2"/>
      <x:c r="G19" s="2"/>
      <x:c r="H19" s="2"/>
      <x:c r="I19" s="2"/>
    </x:row>
    <x:row r="20">
      <x:c r="B20" s="2"/>
      <x:c r="C20" s="2"/>
      <x:c r="D20" s="2"/>
      <x:c r="E20" s="2"/>
      <x:c r="F20" s="2"/>
      <x:c r="G20" s="2"/>
      <x:c r="H20" s="2"/>
      <x:c r="I20" s="2"/>
    </x:row>
    <x:row r="21">
      <x:c r="B21" s="2"/>
      <x:c r="C21" s="2"/>
      <x:c r="D21" s="2"/>
      <x:c r="E21" s="2"/>
      <x:c r="F21" s="2"/>
      <x:c r="G21" s="2"/>
      <x:c r="H21" s="2"/>
      <x:c r="I21" s="2"/>
    </x:row>
    <x:row r="22">
      <x:c r="B22" s="2"/>
      <x:c r="C22" s="2"/>
      <x:c r="D22" s="2"/>
      <x:c r="E22" s="2"/>
      <x:c r="F22" s="2"/>
      <x:c r="G22" s="2"/>
      <x:c r="H22" s="2"/>
      <x:c r="I22" s="2"/>
    </x:row>
    <x:row r="23">
      <x:c r="B23" s="2"/>
      <x:c r="C23" s="2"/>
      <x:c r="D23" s="2"/>
      <x:c r="E23" s="2"/>
      <x:c r="F23" s="2"/>
      <x:c r="G23" s="2"/>
      <x:c r="H23" s="2"/>
      <x:c r="I23" s="2"/>
    </x:row>
    <x:row r="24">
      <x:c r="B24" s="2"/>
      <x:c r="C24" s="2"/>
      <x:c r="D24" s="2"/>
      <x:c r="E24" s="2"/>
      <x:c r="F24" s="2"/>
      <x:c r="G24" s="2"/>
      <x:c r="H24" s="2"/>
      <x:c r="I24" s="2"/>
    </x:row>
    <x:row r="25">
      <x:c r="B25" s="2"/>
      <x:c r="C25" s="2"/>
      <x:c r="D25" s="2"/>
      <x:c r="E25" s="2"/>
      <x:c r="F25" s="2"/>
      <x:c r="G25" s="2"/>
      <x:c r="H25" s="2"/>
      <x:c r="I25" s="2"/>
    </x:row>
    <x:row r="26">
      <x:c r="B26" s="2"/>
      <x:c r="C26" s="2"/>
      <x:c r="D26" s="2"/>
      <x:c r="E26" s="2"/>
      <x:c r="F26" s="2"/>
      <x:c r="G26" s="2"/>
      <x:c r="H26" s="2"/>
      <x:c r="I26" s="2"/>
    </x:row>
    <x:row r="27">
      <x:c r="B27" s="2"/>
      <x:c r="C27" s="2"/>
      <x:c r="D27" s="2"/>
      <x:c r="E27" s="2"/>
      <x:c r="F27" s="2"/>
      <x:c r="G27" s="2"/>
      <x:c r="H27" s="2"/>
      <x:c r="I27" s="2"/>
    </x:row>
    <x:row r="28">
      <x:c r="B28" s="2"/>
      <x:c r="C28" s="2"/>
      <x:c r="D28" s="2"/>
      <x:c r="E28" s="2"/>
      <x:c r="F28" s="2"/>
      <x:c r="G28" s="2"/>
      <x:c r="H28" s="2"/>
      <x:c r="I28" s="2"/>
    </x:row>
    <x:row r="29">
      <x:c r="B29" s="2"/>
      <x:c r="C29" s="2"/>
      <x:c r="D29" s="2"/>
      <x:c r="E29" s="2"/>
      <x:c r="F29" s="2"/>
      <x:c r="G29" s="2"/>
      <x:c r="H29" s="2"/>
      <x:c r="I29" s="2"/>
    </x:row>
    <x:row r="30">
      <x:c r="B30" s="2"/>
      <x:c r="C30" s="2"/>
      <x:c r="D30" s="2"/>
      <x:c r="E30" s="2"/>
      <x:c r="F30" s="2"/>
      <x:c r="G30" s="2"/>
      <x:c r="H30" s="2"/>
      <x:c r="I30" s="2"/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  <x:row r="36">
      <x:c r="B36" s="2"/>
      <x:c r="C36" s="2"/>
      <x:c r="D36" s="2"/>
      <x:c r="E36" s="2"/>
      <x:c r="F36" s="2"/>
      <x:c r="G36" s="2"/>
      <x:c r="H36" s="2"/>
      <x:c r="I36" s="2"/>
    </x:row>
    <x:row r="37">
      <x:c r="B37" s="2"/>
      <x:c r="C37" s="2"/>
      <x:c r="D37" s="2"/>
      <x:c r="E37" s="2"/>
      <x:c r="F37" s="2"/>
      <x:c r="G37" s="2"/>
      <x:c r="H37" s="2"/>
      <x:c r="I37" s="2"/>
    </x:row>
    <x:row r="38">
      <x:c r="B38" s="2"/>
      <x:c r="C38" s="2"/>
      <x:c r="D38" s="2"/>
      <x:c r="E38" s="2"/>
      <x:c r="F38" s="2"/>
      <x:c r="G38" s="2"/>
      <x:c r="H38" s="2"/>
      <x:c r="I38" s="2"/>
    </x:row>
    <x:row r="39">
      <x:c r="B39" s="2"/>
      <x:c r="C39" s="2"/>
      <x:c r="D39" s="2"/>
      <x:c r="E39" s="2"/>
      <x:c r="F39" s="2"/>
      <x:c r="G39" s="2"/>
      <x:c r="H39" s="2"/>
      <x:c r="I39" s="2"/>
    </x:row>
    <x:row r="40"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B3:I3"/>
  </x:mergeCells>
  <x:conditionalFormatting sqref="I7:I18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HOLD"/>
    <x:cfRule type="containsText" dxfId="21" priority="4" operator="containsText" text="OPEN"/>
    <x:cfRule type="containsText" dxfId="22" priority="5" operator="containsText" text="NOT ADMITTED"/>
    <x:cfRule type="containsText" dxfId="23" priority="6" operator="containsText" text="PASS"/>
    <x:cfRule type="containsText" dxfId="24" priority="7" operator="containsText" text="CLOSED"/>
    <x:cfRule type="containsText" dxfId="25" priority="8" operator="containsText" text="ADEQUATE"/>
    <x:cfRule type="containsText" dxfId="26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f86e8ede29a146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4" hidden="0" customWidth="1"/>
    <x:col min="4" max="4" width="14" hidden="0" customWidth="1"/>
    <x:col min="5" max="5" width="17" hidden="0" customWidth="1"/>
    <x:col min="6" max="6" width="22" hidden="0" customWidth="1"/>
    <x:col min="7" max="7" width="31" hidden="0" customWidth="1"/>
    <x:col min="8" max="8" width="27" hidden="0" customWidth="1"/>
    <x:col min="9" max="9" width="43" hidden="0" customWidth="1"/>
    <x:col min="10" max="10" width="43" hidden="0" customWidth="1"/>
    <x:col min="11" max="11" width="15" hidden="0" customWidth="1"/>
  </x:cols>
  <x:sheetData>
    <x:row r="2">
      <x:c r="B2" s="3" t="str">
        <x:v>Representative ten-kilometre range corridor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Both routes traverse the same eight service sectors but must remain independently isolable and separated by distance or demonstrably distinct hazard domains.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0" t="str">
        <x:v>Sector</x:v>
      </x:c>
      <x:c r="C6" s="21" t="str">
        <x:v>Terrain and civil condition</x:v>
      </x:c>
      <x:c r="D6" s="21" t="str">
        <x:v>Length km</x:v>
      </x:c>
      <x:c r="E6" s="21" t="str">
        <x:v>Difficulty factor</x:v>
      </x:c>
      <x:c r="F6" s="21" t="str">
        <x:v>Access ready h</x:v>
      </x:c>
      <x:c r="G6" s="21" t="str">
        <x:v>Challenge class</x:v>
      </x:c>
      <x:c r="H6" s="21" t="str">
        <x:v>Two-route separation</x:v>
      </x:c>
      <x:c r="I6" s="21" t="str">
        <x:v>Named inject</x:v>
      </x:c>
      <x:c r="J6" s="21" t="str">
        <x:v>Required article mechanism</x:v>
      </x:c>
      <x:c r="K6" s="21" t="str">
        <x:v>State</x:v>
      </x:c>
    </x:row>
    <x:row r="7" ht="52" customHeight="1">
      <x:c r="B7" s="22" t="str">
        <x:v>S01</x:v>
      </x:c>
      <x:c r="C7" s="29" t="str">
        <x:v>Open shoulder and staging</x:v>
      </x:c>
      <x:c r="D7" s="47" t="n">
        <x:v>1.5</x:v>
      </x:c>
      <x:c r="E7" s="47" t="n">
        <x:v>0.85</x:v>
      </x:c>
      <x:c r="F7" s="29" t="n">
        <x:v>18</x:v>
      </x:c>
      <x:c r="G7" s="29" t="str">
        <x:v>ordinary</x:v>
      </x:c>
      <x:c r="H7" s="29" t="str">
        <x:v>parallel access</x:v>
      </x:c>
      <x:c r="I7" s="29" t="str">
        <x:v>none</x:v>
      </x:c>
      <x:c r="J7" s="29" t="str">
        <x:v>route datum and staging rate</x:v>
      </x:c>
      <x:c r="K7" s="31" t="str">
        <x:v>PLANNING</x:v>
      </x:c>
    </x:row>
    <x:row r="8" ht="52" customHeight="1">
      <x:c r="B8" s="22" t="str">
        <x:v>S02</x:v>
      </x:c>
      <x:c r="C8" s="29" t="str">
        <x:v>Dense urban street</x:v>
      </x:c>
      <x:c r="D8" s="47" t="n">
        <x:v>1</x:v>
      </x:c>
      <x:c r="E8" s="47" t="n">
        <x:v>1.45</x:v>
      </x:c>
      <x:c r="F8" s="29" t="n">
        <x:v>28</x:v>
      </x:c>
      <x:c r="G8" s="29" t="str">
        <x:v>public interface</x:v>
      </x:c>
      <x:c r="H8" s="29" t="str">
        <x:v>segregated blocks</x:v>
      </x:c>
      <x:c r="I8" s="29" t="str">
        <x:v>receiver mismatch</x:v>
      </x:c>
      <x:c r="J8" s="29" t="str">
        <x:v>accessibility and traffic separation</x:v>
      </x:c>
      <x:c r="K8" s="31" t="str">
        <x:v>PLANNING</x:v>
      </x:c>
    </x:row>
    <x:row r="9" ht="52" customHeight="1">
      <x:c r="B9" s="22" t="str">
        <x:v>S03</x:v>
      </x:c>
      <x:c r="C9" s="29" t="str">
        <x:v>Saturated weak soil</x:v>
      </x:c>
      <x:c r="D9" s="47" t="n">
        <x:v>1.5</x:v>
      </x:c>
      <x:c r="E9" s="47" t="n">
        <x:v>1.55</x:v>
      </x:c>
      <x:c r="F9" s="29" t="n">
        <x:v>34</x:v>
      </x:c>
      <x:c r="G9" s="29" t="str">
        <x:v>geotechnical</x:v>
      </x:c>
      <x:c r="H9" s="29" t="str">
        <x:v>50 m or distinct soil cells</x:v>
      </x:c>
      <x:c r="I9" s="29" t="str">
        <x:v>settlement</x:v>
      </x:c>
      <x:c r="J9" s="29" t="str">
        <x:v>bearing and protective works</x:v>
      </x:c>
      <x:c r="K9" s="31" t="str">
        <x:v>PLANNING</x:v>
      </x:c>
    </x:row>
    <x:row r="10" ht="52" customHeight="1">
      <x:c r="B10" s="22" t="str">
        <x:v>S04</x:v>
      </x:c>
      <x:c r="C10" s="29" t="str">
        <x:v>Sustained grade</x:v>
      </x:c>
      <x:c r="D10" s="47" t="n">
        <x:v>1</x:v>
      </x:c>
      <x:c r="E10" s="47" t="n">
        <x:v>1.25</x:v>
      </x:c>
      <x:c r="F10" s="29" t="n">
        <x:v>30</x:v>
      </x:c>
      <x:c r="G10" s="29" t="str">
        <x:v>hydraulic</x:v>
      </x:c>
      <x:c r="H10" s="29" t="str">
        <x:v>opposite shoulders</x:v>
      </x:c>
      <x:c r="I10" s="29" t="str">
        <x:v>surge</x:v>
      </x:c>
      <x:c r="J10" s="29" t="str">
        <x:v>anchors, high-point air and low-point drain</x:v>
      </x:c>
      <x:c r="K10" s="31" t="str">
        <x:v>PLANNING</x:v>
      </x:c>
    </x:row>
    <x:row r="11" ht="52" customHeight="1">
      <x:c r="B11" s="22" t="str">
        <x:v>S05</x:v>
      </x:c>
      <x:c r="C11" s="29" t="str">
        <x:v>Road and rail crossings</x:v>
      </x:c>
      <x:c r="D11" s="47" t="n">
        <x:v>1</x:v>
      </x:c>
      <x:c r="E11" s="47" t="n">
        <x:v>1.7</x:v>
      </x:c>
      <x:c r="F11" s="29" t="n">
        <x:v>38</x:v>
      </x:c>
      <x:c r="G11" s="29" t="str">
        <x:v>crossing</x:v>
      </x:c>
      <x:c r="H11" s="29" t="str">
        <x:v>independent sleeves</x:v>
      </x:c>
      <x:c r="I11" s="29" t="str">
        <x:v>crossing closure</x:v>
      </x:c>
      <x:c r="J11" s="29" t="str">
        <x:v>self-installed protected crossings</x:v>
      </x:c>
      <x:c r="K11" s="31" t="str">
        <x:v>PLANNING</x:v>
      </x:c>
    </x:row>
    <x:row r="12" ht="52" customHeight="1">
      <x:c r="B12" s="22" t="str">
        <x:v>S06</x:v>
      </x:c>
      <x:c r="C12" s="29" t="str">
        <x:v>Water and debris crossing</x:v>
      </x:c>
      <x:c r="D12" s="47" t="n">
        <x:v>1</x:v>
      </x:c>
      <x:c r="E12" s="47" t="n">
        <x:v>1.8</x:v>
      </x:c>
      <x:c r="F12" s="29" t="n">
        <x:v>42</x:v>
      </x:c>
      <x:c r="G12" s="29" t="str">
        <x:v>water</x:v>
      </x:c>
      <x:c r="H12" s="29" t="str">
        <x:v>separate bridge or bed path</x:v>
      </x:c>
      <x:c r="I12" s="29" t="str">
        <x:v>debris strike</x:v>
      </x:c>
      <x:c r="J12" s="29" t="str">
        <x:v>restraint, retrieval and isolation</x:v>
      </x:c>
      <x:c r="K12" s="31" t="str">
        <x:v>PLANNING</x:v>
      </x:c>
    </x:row>
    <x:row r="13" ht="52" customHeight="1">
      <x:c r="B13" s="22" t="str">
        <x:v>S07</x:v>
      </x:c>
      <x:c r="C13" s="29" t="str">
        <x:v>Controlled exclusion sector</x:v>
      </x:c>
      <x:c r="D13" s="47" t="n">
        <x:v>1</x:v>
      </x:c>
      <x:c r="E13" s="47" t="n">
        <x:v>1.6</x:v>
      </x:c>
      <x:c r="F13" s="29" t="n">
        <x:v>36</x:v>
      </x:c>
      <x:c r="G13" s="29" t="str">
        <x:v>contamination</x:v>
      </x:c>
      <x:c r="H13" s="29" t="str">
        <x:v>separate sanitary work zones</x:v>
      </x:c>
      <x:c r="I13" s="29" t="str">
        <x:v>barrier challenge</x:v>
      </x:c>
      <x:c r="J13" s="29" t="str">
        <x:v>remote work and decontamination</x:v>
      </x:c>
      <x:c r="K13" s="31" t="str">
        <x:v>PLANNING</x:v>
      </x:c>
    </x:row>
    <x:row r="14" ht="52" customHeight="1">
      <x:c r="B14" s="22" t="str">
        <x:v>S08</x:v>
      </x:c>
      <x:c r="C14" s="29" t="str">
        <x:v>Receiver approach</x:v>
      </x:c>
      <x:c r="D14" s="47" t="n">
        <x:v>2</x:v>
      </x:c>
      <x:c r="E14" s="47" t="n">
        <x:v>1.15</x:v>
      </x:c>
      <x:c r="F14" s="29" t="n">
        <x:v>32</x:v>
      </x:c>
      <x:c r="G14" s="29" t="str">
        <x:v>civil interface</x:v>
      </x:c>
      <x:c r="H14" s="29" t="str">
        <x:v>separate manifold approaches</x:v>
      </x:c>
      <x:c r="I14" s="29" t="str">
        <x:v>interface mismatch</x:v>
      </x:c>
      <x:c r="J14" s="29" t="str">
        <x:v>buffer, pressure and accessible outlets</x:v>
      </x:c>
      <x:c r="K14" s="31" t="str">
        <x:v>PLANNING</x:v>
      </x:c>
    </x:row>
    <x:row r="15">
      <x:c r="B15" s="22"/>
      <x:c r="C15" s="22"/>
      <x:c r="D15" s="45"/>
      <x:c r="E15" s="45"/>
      <x:c r="F15" s="22"/>
      <x:c r="G15" s="22"/>
      <x:c r="H15" s="22"/>
      <x:c r="I15" s="22"/>
      <x:c r="J15" s="22"/>
      <x:c r="K15" s="24"/>
    </x:row>
    <x:row r="16">
      <x:c r="B16" s="26" t="str">
        <x:v>CONTROL</x:v>
      </x:c>
      <x:c r="C16" s="26" t="str">
        <x:v>Total corridor length</x:v>
      </x:c>
      <x:c r="D16" s="46" t="n">
        <x:f>SUM(D7:D14)</x:f>
        <x:v>10</x:v>
      </x:c>
      <x:c r="E16" s="46" t="str">
        <x:v>km</x:v>
      </x:c>
      <x:c r="F16" s="26"/>
      <x:c r="G16" s="26"/>
      <x:c r="H16" s="26"/>
      <x:c r="I16" s="26"/>
      <x:c r="J16" s="26" t="str">
        <x:f>IF(D16=Assumptions!D7,"PASS","FAIL")</x:f>
        <x:v>PASS</x:v>
      </x:c>
      <x:c r="K16" s="28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</x:sheetData>
  <x:mergeCells>
    <x:mergeCell ref="B3:K3"/>
  </x:mergeCells>
  <x:conditionalFormatting sqref="J7:K16">
    <x:cfRule type="containsText" dxfId="27" priority="1" operator="containsText" text="FAIL"/>
    <x:cfRule type="containsText" dxfId="28" priority="2" operator="containsText" text="BLOCKED"/>
    <x:cfRule type="containsText" dxfId="29" priority="3" operator="containsText" text="HOLD"/>
    <x:cfRule type="containsText" dxfId="30" priority="4" operator="containsText" text="OPEN"/>
    <x:cfRule type="containsText" dxfId="31" priority="5" operator="containsText" text="NOT ADMITTED"/>
    <x:cfRule type="containsText" dxfId="32" priority="6" operator="containsText" text="PASS"/>
    <x:cfRule type="containsText" dxfId="33" priority="7" operator="containsText" text="CLOSED"/>
    <x:cfRule type="containsText" dxfId="34" priority="8" operator="containsText" text="ADEQUATE"/>
    <x:cfRule type="containsText" dxfId="35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7ec1ab42ceb34f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1" hidden="0" customWidth="1"/>
    <x:col min="3" max="3" width="27" hidden="0" customWidth="1"/>
    <x:col min="4" max="4" width="60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18" hidden="0" customWidth="1"/>
    <x:col min="14" max="14" width="17" hidden="0" customWidth="1"/>
    <x:col min="15" max="15" width="14" hidden="0" customWidth="1"/>
    <x:col min="16" max="16" width="14" hidden="0" customWidth="1"/>
    <x:col min="17" max="17" width="22" hidden="0" customWidth="1"/>
    <x:col min="18" max="18" width="18" hidden="0" customWidth="1"/>
    <x:col min="19" max="19" width="16" hidden="0" customWidth="1"/>
    <x:col min="20" max="20" width="15" hidden="0" customWidth="1"/>
    <x:col min="21" max="21" width="16" hidden="0" customWidth="1"/>
    <x:col min="22" max="22" width="20" hidden="0" customWidth="1"/>
    <x:col min="23" max="23" width="18" hidden="0" customWidth="1"/>
    <x:col min="24" max="24" width="15" hidden="0" customWidth="1"/>
  </x:cols>
  <x:sheetData>
    <x:row r="2">
      <x:c r="B2" s="3" t="str">
        <x:v>Three unlike F36 industrial and technical roots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B3" s="4" t="str">
        <x:v>R1 and R2 are full build roots; R3 is a protected challenge root. None is a selected production design, and nominally different primes do not count as independent roots.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>
      <x:c r="B6" s="14" t="str">
        <x:v>Root</x:v>
      </x:c>
      <x:c r="C6" s="15" t="str">
        <x:v>Architecture</x:v>
      </x:c>
      <x:c r="D6" s="15" t="str">
        <x:v>Physical logic</x:v>
      </x:c>
      <x:c r="E6" s="15" t="str">
        <x:v>Material factor</x:v>
      </x:c>
      <x:c r="F6" s="15" t="str">
        <x:v>Density t/m³</x:v>
      </x:c>
      <x:c r="G6" s="15" t="str">
        <x:v>Packing efficiency</x:v>
      </x:c>
      <x:c r="H6" s="15" t="str">
        <x:v>Packaging share</x:v>
      </x:c>
      <x:c r="I6" s="15" t="str">
        <x:v>Fixed process mass t</x:v>
      </x:c>
      <x:c r="J6" s="15" t="str">
        <x:v>Fixed process cube m³</x:v>
      </x:c>
      <x:c r="K6" s="15" t="str">
        <x:v>Max indivisible unit t</x:v>
      </x:c>
      <x:c r="L6" s="15" t="str">
        <x:v>Pipe production t/h</x:v>
      </x:c>
      <x:c r="M6" s="15" t="str">
        <x:v>Cold activation h</x:v>
      </x:c>
      <x:c r="N6" s="15" t="str">
        <x:v>Transport lag h</x:v>
      </x:c>
      <x:c r="O6" s="15" t="str">
        <x:v>Segment m</x:v>
      </x:c>
      <x:c r="P6" s="15" t="str">
        <x:v>Workfronts</x:v>
      </x:c>
      <x:c r="Q6" s="15" t="str">
        <x:v>Lay rate km/front-day</x:v>
      </x:c>
      <x:c r="R6" s="15" t="str">
        <x:v>Commission h</x:v>
      </x:c>
      <x:c r="S6" s="15" t="str">
        <x:v>Process crew</x:v>
      </x:c>
      <x:c r="T6" s="15" t="str">
        <x:v>Crew/front</x:v>
      </x:c>
      <x:c r="U6" s="15" t="str">
        <x:v>Support crew</x:v>
      </x:c>
      <x:c r="V6" s="15" t="str">
        <x:v>Rupture repair h</x:v>
      </x:c>
      <x:c r="W6" s="15" t="str">
        <x:v>Regeneration h</x:v>
      </x:c>
      <x:c r="X6" s="16" t="str">
        <x:v>Evidence</x:v>
      </x:c>
    </x:row>
    <x:row r="7" ht="88" customHeight="1">
      <x:c r="B7" s="2" t="str">
        <x:v>R1</x:v>
      </x:c>
      <x:c r="C7" s="48" t="str">
        <x:v>Sectional public-root</x:v>
      </x:c>
      <x:c r="D7" s="48" t="str">
        <x:v>Factory-formed 24 m sanitary sections in self-indexing cassettes; portable fusion, machine vision and public metrology</x:v>
      </x:c>
      <x:c r="E7" s="49" t="n">
        <x:v>1</x:v>
      </x:c>
      <x:c r="F7" s="49" t="n">
        <x:v>0.95</x:v>
      </x:c>
      <x:c r="G7" s="49" t="n">
        <x:v>0.32</x:v>
      </x:c>
      <x:c r="H7" s="49" t="n">
        <x:v>0.12</x:v>
      </x:c>
      <x:c r="I7" s="48" t="n">
        <x:v>90</x:v>
      </x:c>
      <x:c r="J7" s="48" t="n">
        <x:v>420</x:v>
      </x:c>
      <x:c r="K7" s="48" t="n">
        <x:v>32</x:v>
      </x:c>
      <x:c r="L7" s="48" t="n">
        <x:v>14</x:v>
      </x:c>
      <x:c r="M7" s="48" t="n">
        <x:v>10</x:v>
      </x:c>
      <x:c r="N7" s="48" t="n">
        <x:v>12</x:v>
      </x:c>
      <x:c r="O7" s="48" t="n">
        <x:v>24</x:v>
      </x:c>
      <x:c r="P7" s="48" t="n">
        <x:v>6</x:v>
      </x:c>
      <x:c r="Q7" s="48" t="n">
        <x:v>4.5</x:v>
      </x:c>
      <x:c r="R7" s="48" t="n">
        <x:v>18</x:v>
      </x:c>
      <x:c r="S7" s="48" t="n">
        <x:v>86</x:v>
      </x:c>
      <x:c r="T7" s="48" t="n">
        <x:v>18</x:v>
      </x:c>
      <x:c r="U7" s="48" t="n">
        <x:v>72</x:v>
      </x:c>
      <x:c r="V7" s="48" t="n">
        <x:v>6</x:v>
      </x:c>
      <x:c r="W7" s="48" t="n">
        <x:v>600</x:v>
      </x:c>
      <x:c r="X7" s="48" t="str">
        <x:v>OPEN</x:v>
      </x:c>
    </x:row>
    <x:row r="8" ht="88" customHeight="1">
      <x:c r="B8" s="2" t="str">
        <x:v>R2</x:v>
      </x:c>
      <x:c r="C8" s="48" t="str">
        <x:v>Mobile continuous forge</x:v>
      </x:c>
      <x:c r="D8" s="48" t="str">
        <x:v>Dense feedstock and redundant mobile extrusion cells form long conduit near the route; dimensional and barrier release travels with each cell</x:v>
      </x:c>
      <x:c r="E8" s="49" t="n">
        <x:v>1</x:v>
      </x:c>
      <x:c r="F8" s="49" t="n">
        <x:v>0.95</x:v>
      </x:c>
      <x:c r="G8" s="49" t="n">
        <x:v>0.75</x:v>
      </x:c>
      <x:c r="H8" s="49" t="n">
        <x:v>0.1</x:v>
      </x:c>
      <x:c r="I8" s="48" t="n">
        <x:v>260</x:v>
      </x:c>
      <x:c r="J8" s="48" t="n">
        <x:v>1250</x:v>
      </x:c>
      <x:c r="K8" s="48" t="n">
        <x:v>38</x:v>
      </x:c>
      <x:c r="L8" s="48" t="n">
        <x:v>12</x:v>
      </x:c>
      <x:c r="M8" s="48" t="n">
        <x:v>8</x:v>
      </x:c>
      <x:c r="N8" s="48" t="n">
        <x:v>4</x:v>
      </x:c>
      <x:c r="O8" s="48" t="n">
        <x:v>500</x:v>
      </x:c>
      <x:c r="P8" s="48" t="n">
        <x:v>6</x:v>
      </x:c>
      <x:c r="Q8" s="48" t="n">
        <x:v>5</x:v>
      </x:c>
      <x:c r="R8" s="48" t="n">
        <x:v>20</x:v>
      </x:c>
      <x:c r="S8" s="48" t="n">
        <x:v>118</x:v>
      </x:c>
      <x:c r="T8" s="48" t="n">
        <x:v>20</x:v>
      </x:c>
      <x:c r="U8" s="48" t="n">
        <x:v>78</x:v>
      </x:c>
      <x:c r="V8" s="48" t="n">
        <x:v>6</x:v>
      </x:c>
      <x:c r="W8" s="48" t="n">
        <x:v>660</x:v>
      </x:c>
      <x:c r="X8" s="48" t="str">
        <x:v>OPEN</x:v>
      </x:c>
    </x:row>
    <x:row r="9" ht="88" customHeight="1">
      <x:c r="B9" s="2" t="str">
        <x:v>R3</x:v>
      </x:c>
      <x:c r="C9" s="48" t="str">
        <x:v>Structural-ribbon challenge</x:v>
      </x:c>
      <x:c r="D9" s="48" t="str">
        <x:v>Fold-flat multilayer structural conduit with integral sensing, robotic payout and bonded field closures</x:v>
      </x:c>
      <x:c r="E9" s="49" t="n">
        <x:v>0.65</x:v>
      </x:c>
      <x:c r="F9" s="49" t="n">
        <x:v>1.1</x:v>
      </x:c>
      <x:c r="G9" s="49" t="n">
        <x:v>0.55</x:v>
      </x:c>
      <x:c r="H9" s="49" t="n">
        <x:v>0.18</x:v>
      </x:c>
      <x:c r="I9" s="48" t="n">
        <x:v>170</x:v>
      </x:c>
      <x:c r="J9" s="48" t="n">
        <x:v>760</x:v>
      </x:c>
      <x:c r="K9" s="48" t="n">
        <x:v>36</x:v>
      </x:c>
      <x:c r="L9" s="48" t="n">
        <x:v>9.5</x:v>
      </x:c>
      <x:c r="M9" s="48" t="n">
        <x:v>12</x:v>
      </x:c>
      <x:c r="N9" s="48" t="n">
        <x:v>10</x:v>
      </x:c>
      <x:c r="O9" s="48" t="n">
        <x:v>500</x:v>
      </x:c>
      <x:c r="P9" s="48" t="n">
        <x:v>6</x:v>
      </x:c>
      <x:c r="Q9" s="48" t="n">
        <x:v>5.5</x:v>
      </x:c>
      <x:c r="R9" s="48" t="n">
        <x:v>22</x:v>
      </x:c>
      <x:c r="S9" s="48" t="n">
        <x:v>96</x:v>
      </x:c>
      <x:c r="T9" s="48" t="n">
        <x:v>18</x:v>
      </x:c>
      <x:c r="U9" s="48" t="n">
        <x:v>70</x:v>
      </x:c>
      <x:c r="V9" s="48" t="n">
        <x:v>6</x:v>
      </x:c>
      <x:c r="W9" s="48" t="n">
        <x:v>540</x:v>
      </x:c>
      <x:c r="X9" s="48" t="str">
        <x:v>OPEN</x:v>
      </x:c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>
      <x:c r="B12" s="52" t="str">
        <x:v>Industrial-independence conditions</x:v>
      </x:c>
      <x:c r="C12" s="53" t="str">
        <x:v>Industrial-independence conditions</x:v>
      </x:c>
      <x:c r="D12" s="53" t="str">
        <x:v>Industrial-independence conditions</x:v>
      </x:c>
      <x:c r="E12" s="53" t="str">
        <x:v>Industrial-independence conditions</x:v>
      </x:c>
      <x:c r="F12" s="53" t="str">
        <x:v>Industrial-independence conditions</x:v>
      </x:c>
      <x:c r="G12" s="53" t="str">
        <x:v>Industrial-independence conditions</x:v>
      </x:c>
      <x:c r="H12" s="53" t="str">
        <x:v>Industrial-independence conditions</x:v>
      </x:c>
      <x:c r="I12" s="53" t="str">
        <x:v>Industrial-independence conditions</x:v>
      </x:c>
      <x:c r="J12" s="53" t="str">
        <x:v>Industrial-independence conditions</x:v>
      </x:c>
      <x:c r="K12" s="53" t="str">
        <x:v>Industrial-independence conditions</x:v>
      </x:c>
      <x:c r="L12" s="53" t="str">
        <x:v>Industrial-independence conditions</x:v>
      </x:c>
      <x:c r="M12" s="53" t="str">
        <x:v>Industrial-independence conditions</x:v>
      </x:c>
      <x:c r="N12" s="53" t="str">
        <x:v>Industrial-independence conditions</x:v>
      </x:c>
      <x:c r="O12" s="53" t="str">
        <x:v>Industrial-independence conditions</x:v>
      </x:c>
      <x:c r="P12" s="53" t="str">
        <x:v>Industrial-independence conditions</x:v>
      </x:c>
      <x:c r="Q12" s="53" t="str">
        <x:v>Industrial-independence conditions</x:v>
      </x:c>
      <x:c r="R12" s="53" t="str">
        <x:v>Industrial-independence conditions</x:v>
      </x:c>
      <x:c r="S12" s="53" t="str">
        <x:v>Industrial-independence conditions</x:v>
      </x:c>
      <x:c r="T12" s="53" t="str">
        <x:v>Industrial-independence conditions</x:v>
      </x:c>
      <x:c r="U12" s="53" t="str">
        <x:v>Industrial-independence conditions</x:v>
      </x:c>
      <x:c r="V12" s="53" t="str">
        <x:v>Industrial-independence conditions</x:v>
      </x:c>
      <x:c r="W12" s="53" t="str">
        <x:v>Industrial-independence conditions</x:v>
      </x:c>
      <x:c r="X12" s="54" t="str">
        <x:v>Industrial-independence conditions</x:v>
      </x:c>
    </x:row>
    <x:row r="13">
      <x:c r="B13" s="2" t="str">
        <x:v>I01</x:v>
      </x:c>
      <x:c r="C13" s="2" t="str">
        <x:v>Separate utility island</x:v>
      </x:c>
      <x:c r="D13" s="2" t="str">
        <x:v>no common grid, black-start train, cooling loop or fuel custody</x:v>
      </x:c>
      <x:c r="E13" s="2" t="str">
        <x:v>A shared landlord is a common root</x:v>
      </x:c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2" t="str">
        <x:v>OPEN</x:v>
      </x:c>
    </x:row>
    <x:row r="14">
      <x:c r="B14" s="2" t="str">
        <x:v>I02</x:v>
      </x:c>
      <x:c r="C14" s="2" t="str">
        <x:v>Separate process ancestry</x:v>
      </x:c>
      <x:c r="D14" s="2" t="str">
        <x:v>unlike forming physics, tooling and decisive materials</x:v>
      </x:c>
      <x:c r="E14" s="2" t="str">
        <x:v>Different factory names are insufficient</x:v>
      </x:c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2" t="str">
        <x:v>OPEN</x:v>
      </x:c>
    </x:row>
    <x:row r="15">
      <x:c r="B15" s="2" t="str">
        <x:v>I03</x:v>
      </x:c>
      <x:c r="C15" s="2" t="str">
        <x:v>Executable public baseline</x:v>
      </x:c>
      <x:c r="D15" s="2" t="str">
        <x:v>second team reconstructs process, software and inspection state</x:v>
      </x:c>
      <x:c r="E15" s="2" t="str">
        <x:v>Documentation without successful rebuild earns zero</x:v>
      </x:c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2" t="str">
        <x:v>OPEN</x:v>
      </x:c>
    </x:row>
    <x:row r="16">
      <x:c r="B16" s="2" t="str">
        <x:v>I04</x:v>
      </x:c>
      <x:c r="C16" s="2" t="str">
        <x:v>Separate workforce continuity</x:v>
      </x:c>
      <x:c r="D16" s="2" t="str">
        <x:v>no irreplaceable setup, joining or release cadre</x:v>
      </x:c>
      <x:c r="E16" s="2" t="str">
        <x:v>Credential overlap is measured at task level</x:v>
      </x:c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2" t="str">
        <x:v>OPEN</x:v>
      </x:c>
    </x:row>
    <x:row r="17">
      <x:c r="B17" s="2" t="str">
        <x:v>I05</x:v>
      </x:c>
      <x:c r="C17" s="2" t="str">
        <x:v>Separate logistics path</x:v>
      </x:c>
      <x:c r="D17" s="2" t="str">
        <x:v>one removed corridor does not strand feedstock or machinery</x:v>
      </x:c>
      <x:c r="E17" s="2" t="str">
        <x:v>Alternate routing must preserve custody and deadline</x:v>
      </x:c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2" t="str">
        <x:v>OPEN</x:v>
      </x:c>
    </x:row>
    <x:row r="18">
      <x:c r="B18" s="2" t="str">
        <x:v>I06</x:v>
      </x:c>
      <x:c r="C18" s="2" t="str">
        <x:v>Common receiver contract, unlike adapters</x:v>
      </x:c>
      <x:c r="D18" s="2" t="str">
        <x:v>identical public effect without common decisive interface hardware</x:v>
      </x:c>
      <x:c r="E18" s="2" t="str">
        <x:v>The interface standard may be common; the physical roots may not</x:v>
      </x:c>
      <x:c r="F18" s="2" t="str"/>
      <x:c r="G18" s="2" t="str"/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/>
      <x:c r="X18" s="2" t="str">
        <x:v>OPEN</x:v>
      </x:c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</x:sheetData>
  <x:mergeCells>
    <x:mergeCell ref="B3:X3"/>
    <x:mergeCell ref="B12:X12"/>
  </x:mergeCells>
  <x:conditionalFormatting sqref="X7:X9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HOLD"/>
    <x:cfRule type="containsText" dxfId="39" priority="4" operator="containsText" text="OPEN"/>
    <x:cfRule type="containsText" dxfId="40" priority="5" operator="containsText" text="NOT ADMITTED"/>
    <x:cfRule type="containsText" dxfId="41" priority="6" operator="containsText" text="PASS"/>
    <x:cfRule type="containsText" dxfId="42" priority="7" operator="containsText" text="CLOSED"/>
    <x:cfRule type="containsText" dxfId="43" priority="8" operator="containsText" text="ADEQUATE"/>
    <x:cfRule type="containsText" dxfId="44" priority="9" operator="containsText" text="PLANNING PASS"/>
  </x:conditionalFormatting>
  <x:conditionalFormatting sqref="X13:X18">
    <x:cfRule type="containsText" dxfId="45" priority="10" operator="containsText" text="FAIL"/>
    <x:cfRule type="containsText" dxfId="46" priority="11" operator="containsText" text="BLOCKED"/>
    <x:cfRule type="containsText" dxfId="47" priority="12" operator="containsText" text="HOLD"/>
    <x:cfRule type="containsText" dxfId="48" priority="13" operator="containsText" text="OPEN"/>
    <x:cfRule type="containsText" dxfId="49" priority="14" operator="containsText" text="NOT ADMITTED"/>
    <x:cfRule type="containsText" dxfId="50" priority="15" operator="containsText" text="PASS"/>
    <x:cfRule type="containsText" dxfId="51" priority="16" operator="containsText" text="CLOSED"/>
    <x:cfRule type="containsText" dxfId="52" priority="17" operator="containsText" text="ADEQUATE"/>
    <x:cfRule type="containsText" dxfId="53" priority="18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3f27a94a9e92413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4" hidden="0" customWidth="1"/>
    <x:col min="4" max="4" width="20" hidden="0" customWidth="1"/>
    <x:col min="5" max="5" width="19" hidden="0" customWidth="1"/>
    <x:col min="6" max="6" width="53" hidden="0" customWidth="1"/>
    <x:col min="7" max="7" width="17" hidden="0" customWidth="1"/>
  </x:cols>
  <x:sheetData>
    <x:row r="2">
      <x:c r="B2" s="3" t="str">
        <x:v>Paired-route hydraulic and material geometry</x:v>
      </x:c>
      <x:c r="C2" s="2"/>
      <x:c r="D2" s="2"/>
      <x:c r="E2" s="2"/>
      <x:c r="F2" s="2"/>
      <x:c r="G2" s="2"/>
    </x:row>
    <x:row r="3">
      <x:c r="B3" s="4" t="str">
        <x:v>Two 0.35 m routes each carry half demand. Corridor length is ten kilometres; installed pipe length is twenty kilometres before protected reserve.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0" t="str">
        <x:v>Metric</x:v>
      </x:c>
      <x:c r="C6" s="21" t="str">
        <x:v>Result</x:v>
      </x:c>
      <x:c r="D6" s="21" t="str">
        <x:v>Unit</x:v>
      </x:c>
      <x:c r="E6" s="21" t="str">
        <x:v>Formula meaning</x:v>
      </x:c>
      <x:c r="F6" s="21" t="str">
        <x:v>State</x:v>
      </x:c>
      <x:c r="G6" s="21" t="str">
        <x:v>Reopen trigger</x:v>
      </x:c>
    </x:row>
    <x:row r="7" ht="28" customHeight="1">
      <x:c r="B7" s="22" t="str">
        <x:v>Full service</x:v>
      </x:c>
      <x:c r="C7" s="22"/>
      <x:c r="D7" s="38" t="n">
        <x:f>Assumptions!D8</x:f>
        <x:v>10000</x:v>
      </x:c>
      <x:c r="E7" s="22" t="str">
        <x:v>m³/day</x:v>
      </x:c>
      <x:c r="F7" s="29" t="str">
        <x:v>public product-water effect</x:v>
      </x:c>
      <x:c r="G7" s="31" t="str">
        <x:v>CALCULATED</x:v>
      </x:c>
    </x:row>
    <x:row r="8" ht="28" customHeight="1">
      <x:c r="B8" s="22" t="str">
        <x:v>Full flow</x:v>
      </x:c>
      <x:c r="C8" s="22"/>
      <x:c r="D8" s="38" t="n">
        <x:f>D7/86400</x:f>
        <x:v>0.11574074074074074</x:v>
      </x:c>
      <x:c r="E8" s="22" t="str">
        <x:v>m³/s</x:v>
      </x:c>
      <x:c r="F8" s="29" t="str">
        <x:v>daily flow converted to seconds</x:v>
      </x:c>
      <x:c r="G8" s="31" t="str">
        <x:v>CALCULATED</x:v>
      </x:c>
    </x:row>
    <x:row r="9" ht="28" customHeight="1">
      <x:c r="B9" s="22" t="str">
        <x:v>Active routes</x:v>
      </x:c>
      <x:c r="C9" s="22"/>
      <x:c r="D9" s="38" t="n">
        <x:f>Assumptions!D16</x:f>
        <x:v>2</x:v>
      </x:c>
      <x:c r="E9" s="22" t="str">
        <x:v>routes</x:v>
      </x:c>
      <x:c r="F9" s="29" t="str">
        <x:v>two independent paths</x:v>
      </x:c>
      <x:c r="G9" s="31" t="str">
        <x:v>CALCULATED</x:v>
      </x:c>
    </x:row>
    <x:row r="10" ht="28" customHeight="1">
      <x:c r="B10" s="22" t="str">
        <x:v>Flow per route</x:v>
      </x:c>
      <x:c r="C10" s="22"/>
      <x:c r="D10" s="38" t="n">
        <x:f>D8/D9</x:f>
        <x:v>0.05787037037037037</x:v>
      </x:c>
      <x:c r="E10" s="22" t="str">
        <x:v>m³/s</x:v>
      </x:c>
      <x:c r="F10" s="29" t="str">
        <x:v>half demand per route</x:v>
      </x:c>
      <x:c r="G10" s="31" t="str">
        <x:v>CALCULATED</x:v>
      </x:c>
    </x:row>
    <x:row r="11" ht="28" customHeight="1">
      <x:c r="B11" s="22" t="str">
        <x:v>Internal area per route</x:v>
      </x:c>
      <x:c r="C11" s="22"/>
      <x:c r="D11" s="38" t="n">
        <x:f>PI()*Assumptions!D17^2/4</x:f>
        <x:v>0.0962112750161874</x:v>
      </x:c>
      <x:c r="E11" s="22" t="str">
        <x:v>m²</x:v>
      </x:c>
      <x:c r="F11" s="29" t="str">
        <x:v>circular section</x:v>
      </x:c>
      <x:c r="G11" s="31" t="str">
        <x:v>CALCULATED</x:v>
      </x:c>
    </x:row>
    <x:row r="12" ht="28" customHeight="1">
      <x:c r="B12" s="22" t="str">
        <x:v>Velocity per route</x:v>
      </x:c>
      <x:c r="C12" s="22"/>
      <x:c r="D12" s="38" t="n">
        <x:f>D10/D11</x:f>
        <x:v>0.6014926042777603</x:v>
      </x:c>
      <x:c r="E12" s="22" t="str">
        <x:v>m/s</x:v>
      </x:c>
      <x:c r="F12" s="29" t="str">
        <x:v>route flow divided by area</x:v>
      </x:c>
      <x:c r="G12" s="31" t="str">
        <x:v>CALCULATED</x:v>
      </x:c>
    </x:row>
    <x:row r="13" ht="28" customHeight="1">
      <x:c r="B13" s="22" t="str">
        <x:v>Outer diameter</x:v>
      </x:c>
      <x:c r="C13" s="22"/>
      <x:c r="D13" s="38" t="n">
        <x:f>Assumptions!D17/(1-2/Assumptions!D18)</x:f>
        <x:v>0.39666666666666667</x:v>
      </x:c>
      <x:c r="E13" s="22" t="str">
        <x:v>m</x:v>
      </x:c>
      <x:c r="F13" s="29" t="str">
        <x:v>DR geometry</x:v>
      </x:c>
      <x:c r="G13" s="31" t="str">
        <x:v>CALCULATED</x:v>
      </x:c>
    </x:row>
    <x:row r="14" ht="28" customHeight="1">
      <x:c r="B14" s="22" t="str">
        <x:v>Wall thickness</x:v>
      </x:c>
      <x:c r="C14" s="22"/>
      <x:c r="D14" s="38" t="n">
        <x:f>D13/Assumptions!D18</x:f>
        <x:v>0.023333333333333334</x:v>
      </x:c>
      <x:c r="E14" s="22" t="str">
        <x:v>m</x:v>
      </x:c>
      <x:c r="F14" s="29" t="str">
        <x:v>outer diameter divided by DR</x:v>
      </x:c>
      <x:c r="G14" s="31" t="str">
        <x:v>CALCULATED</x:v>
      </x:c>
    </x:row>
    <x:row r="15" ht="28" customHeight="1">
      <x:c r="B15" s="22" t="str">
        <x:v>Service corridor</x:v>
      </x:c>
      <x:c r="C15" s="22"/>
      <x:c r="D15" s="38" t="n">
        <x:f>Assumptions!D7</x:f>
        <x:v>10</x:v>
      </x:c>
      <x:c r="E15" s="22" t="str">
        <x:v>km</x:v>
      </x:c>
      <x:c r="F15" s="29" t="str">
        <x:v>source-to-receiver reach</x:v>
      </x:c>
      <x:c r="G15" s="31" t="str">
        <x:v>CALCULATED</x:v>
      </x:c>
    </x:row>
    <x:row r="16" ht="28" customHeight="1">
      <x:c r="B16" s="22" t="str">
        <x:v>Installed pipe length</x:v>
      </x:c>
      <x:c r="C16" s="22"/>
      <x:c r="D16" s="38" t="n">
        <x:f>D15*D9</x:f>
        <x:v>20</x:v>
      </x:c>
      <x:c r="E16" s="22" t="str">
        <x:v>pipe-km</x:v>
      </x:c>
      <x:c r="F16" s="29" t="str">
        <x:v>corridor multiplied by routes</x:v>
      </x:c>
      <x:c r="G16" s="31" t="str">
        <x:v>CALCULATED</x:v>
      </x:c>
    </x:row>
    <x:row r="17" ht="28" customHeight="1">
      <x:c r="B17" s="22" t="str">
        <x:v>Protected reserve pipe</x:v>
      </x:c>
      <x:c r="C17" s="22"/>
      <x:c r="D17" s="38" t="n">
        <x:f>D16*Assumptions!D13</x:f>
        <x:v>4</x:v>
      </x:c>
      <x:c r="E17" s="22" t="str">
        <x:v>pipe-km</x:v>
      </x:c>
      <x:c r="F17" s="29" t="str">
        <x:v>20 percent separated stock</x:v>
      </x:c>
      <x:c r="G17" s="31" t="str">
        <x:v>CALCULATED</x:v>
      </x:c>
    </x:row>
    <x:row r="18" ht="28" customHeight="1">
      <x:c r="B18" s="22" t="str">
        <x:v>Total fabricated pipe</x:v>
      </x:c>
      <x:c r="C18" s="22"/>
      <x:c r="D18" s="38" t="n">
        <x:f>D16+D17</x:f>
        <x:v>24</x:v>
      </x:c>
      <x:c r="E18" s="22" t="str">
        <x:v>pipe-km</x:v>
      </x:c>
      <x:c r="F18" s="29" t="str">
        <x:v>service issue plus reserve</x:v>
      </x:c>
      <x:c r="G18" s="31" t="str">
        <x:v>CALCULATED</x:v>
      </x:c>
    </x:row>
    <x:row r="19" ht="28" customHeight="1">
      <x:c r="B19" s="22" t="str">
        <x:v>Wall section</x:v>
      </x:c>
      <x:c r="C19" s="22"/>
      <x:c r="D19" s="38" t="n">
        <x:f>PI()*(D13^2-Assumptions!D17^2)/4</x:f>
        <x:v>0.027366762671271107</x:v>
      </x:c>
      <x:c r="E19" s="22" t="str">
        <x:v>m²</x:v>
      </x:c>
      <x:c r="F19" s="29" t="str">
        <x:v>annular wall area</x:v>
      </x:c>
      <x:c r="G19" s="31" t="str">
        <x:v>CALCULATED</x:v>
      </x:c>
    </x:row>
    <x:row r="20" ht="28" customHeight="1">
      <x:c r="B20" s="22" t="str">
        <x:v>Linear mass</x:v>
      </x:c>
      <x:c r="C20" s="22"/>
      <x:c r="D20" s="38" t="n">
        <x:f>D19*1000*Assumptions!D19</x:f>
        <x:v>25.99842453770755</x:v>
      </x:c>
      <x:c r="E20" s="22" t="str">
        <x:v>t/km</x:v>
      </x:c>
      <x:c r="F20" s="29" t="str">
        <x:v>reference density</x:v>
      </x:c>
      <x:c r="G20" s="31" t="str">
        <x:v>CALCULATED</x:v>
      </x:c>
    </x:row>
    <x:row r="21" ht="28" customHeight="1">
      <x:c r="B21" s="22" t="str">
        <x:v>Installed pipe mass</x:v>
      </x:c>
      <x:c r="C21" s="22"/>
      <x:c r="D21" s="38" t="n">
        <x:f>D20*D16</x:f>
        <x:v>519.9684907541509</x:v>
      </x:c>
      <x:c r="E21" s="22" t="str">
        <x:v>t</x:v>
      </x:c>
      <x:c r="F21" s="29" t="str">
        <x:v>two routes</x:v>
      </x:c>
      <x:c r="G21" s="31" t="str">
        <x:v>CALCULATED</x:v>
      </x:c>
    </x:row>
    <x:row r="22" ht="28" customHeight="1">
      <x:c r="B22" s="22" t="str">
        <x:v>Reserve pipe mass</x:v>
      </x:c>
      <x:c r="C22" s="22"/>
      <x:c r="D22" s="38" t="n">
        <x:f>D20*D17</x:f>
        <x:v>103.9936981508302</x:v>
      </x:c>
      <x:c r="E22" s="22" t="str">
        <x:v>t</x:v>
      </x:c>
      <x:c r="F22" s="29" t="str">
        <x:v>protected conduit stock</x:v>
      </x:c>
      <x:c r="G22" s="31" t="str">
        <x:v>CALCULATED</x:v>
      </x:c>
    </x:row>
    <x:row r="23" ht="28" customHeight="1">
      <x:c r="B23" s="22" t="str">
        <x:v>Total reference pipe mass</x:v>
      </x:c>
      <x:c r="C23" s="22"/>
      <x:c r="D23" s="38" t="n">
        <x:f>D21+D22</x:f>
        <x:v>623.9621889049811</x:v>
      </x:c>
      <x:c r="E23" s="22" t="str">
        <x:v>t</x:v>
      </x:c>
      <x:c r="F23" s="29" t="str">
        <x:v>before root-specific factor</x:v>
      </x:c>
      <x:c r="G23" s="31" t="str">
        <x:v>CALCULATED</x:v>
      </x:c>
    </x:row>
    <x:row r="24" ht="28" customHeight="1">
      <x:c r="B24" s="22" t="str">
        <x:v>Friction head per route</x:v>
      </x:c>
      <x:c r="C24" s="22"/>
      <x:c r="D24" s="38" t="n">
        <x:f>Assumptions!D20*(D15*1000/Assumptions!D17)*(D12^2/(2*Assumptions!D25))</x:f>
        <x:v>7.902869222386246</x:v>
      </x:c>
      <x:c r="E24" s="22" t="str">
        <x:v>m</x:v>
      </x:c>
      <x:c r="F24" s="29" t="str">
        <x:v>Darcy-Weisbach</x:v>
      </x:c>
      <x:c r="G24" s="31" t="str">
        <x:v>CALCULATED</x:v>
      </x:c>
    </x:row>
    <x:row r="25" ht="28" customHeight="1">
      <x:c r="B25" s="22" t="str">
        <x:v>Total head</x:v>
      </x:c>
      <x:c r="C25" s="22"/>
      <x:c r="D25" s="38" t="n">
        <x:f>Assumptions!D21+D24*(1+Assumptions!D22)</x:f>
        <x:v>29.483443066863494</x:v>
      </x:c>
      <x:c r="E25" s="22" t="str">
        <x:v>m</x:v>
      </x:c>
      <x:c r="F25" s="29" t="str">
        <x:v>static plus friction and minor loss</x:v>
      </x:c>
      <x:c r="G25" s="31" t="str">
        <x:v>CALCULATED</x:v>
      </x:c>
    </x:row>
    <x:row r="26" ht="28" customHeight="1">
      <x:c r="B26" s="22" t="str">
        <x:v>Hydraulic power</x:v>
      </x:c>
      <x:c r="C26" s="22"/>
      <x:c r="D26" s="38" t="n">
        <x:f>Assumptions!D24*Assumptions!D25*D8*D25/Assumptions!D23/1000000</x:f>
        <x:v>0.044634656865112796</x:v>
      </x:c>
      <x:c r="E26" s="22" t="str">
        <x:v>MW</x:v>
      </x:c>
      <x:c r="F26" s="29" t="str">
        <x:v>both routes at full service</x:v>
      </x:c>
      <x:c r="G26" s="31" t="str">
        <x:v>CALCULATED</x:v>
      </x:c>
    </x:row>
    <x:row r="27" ht="28" customHeight="1">
      <x:c r="B27" s="22" t="str">
        <x:v>Installed pump power</x:v>
      </x:c>
      <x:c r="C27" s="22"/>
      <x:c r="D27" s="38" t="n">
        <x:f>D26*Assumptions!D26</x:f>
        <x:v>0.06695198529766919</x:v>
      </x:c>
      <x:c r="E27" s="22" t="str">
        <x:v>MW</x:v>
      </x:c>
      <x:c r="F27" s="29" t="str">
        <x:v>surge and degraded-efficiency margin</x:v>
      </x:c>
      <x:c r="G27" s="31" t="str">
        <x:v>CALCULATED</x:v>
      </x:c>
    </x:row>
    <x:row r="28" ht="28" customHeight="1">
      <x:c r="B28" s="22" t="str">
        <x:v>Receiver buffer volume</x:v>
      </x:c>
      <x:c r="C28" s="22"/>
      <x:c r="D28" s="38" t="n">
        <x:f>D7*Assumptions!D27/24</x:f>
        <x:v>10000</x:v>
      </x:c>
      <x:c r="E28" s="22" t="str">
        <x:v>m³</x:v>
      </x:c>
      <x:c r="F28" s="29" t="str">
        <x:v>full-demand storage</x:v>
      </x:c>
      <x:c r="G28" s="31" t="str">
        <x:v>CALCULATED</x:v>
      </x:c>
    </x:row>
    <x:row r="29" ht="28" customHeight="1">
      <x:c r="B29" s="22" t="str">
        <x:v>Full-service buffer time</x:v>
      </x:c>
      <x:c r="C29" s="22"/>
      <x:c r="D29" s="38" t="n">
        <x:f>D28/D7*24</x:f>
        <x:v>24</x:v>
      </x:c>
      <x:c r="E29" s="22" t="str">
        <x:v>hours</x:v>
      </x:c>
      <x:c r="F29" s="29" t="str">
        <x:v>storage divided by demand</x:v>
      </x:c>
      <x:c r="G29" s="31" t="str">
        <x:v>CALCULATED</x:v>
      </x:c>
    </x:row>
    <x:row r="30" ht="28" customHeight="1">
      <x:c r="B30" s="22" t="str">
        <x:v>N-1 route flow</x:v>
      </x:c>
      <x:c r="C30" s="22"/>
      <x:c r="D30" s="38" t="n">
        <x:f>D7/D9</x:f>
        <x:v>5000</x:v>
      </x:c>
      <x:c r="E30" s="22" t="str">
        <x:v>m³/day</x:v>
      </x:c>
      <x:c r="F30" s="29" t="str">
        <x:v>one route isolated</x:v>
      </x:c>
      <x:c r="G30" s="31" t="str">
        <x:v>CALCULATED</x:v>
      </x:c>
    </x:row>
    <x:row r="31" ht="28" customHeight="1">
      <x:c r="B31" s="22" t="str">
        <x:v>N-1 service share</x:v>
      </x:c>
      <x:c r="C31" s="22"/>
      <x:c r="D31" s="39" t="n">
        <x:f>D30/D7</x:f>
        <x:v>0.5</x:v>
      </x:c>
      <x:c r="E31" s="22" t="str">
        <x:v>share</x:v>
      </x:c>
      <x:c r="F31" s="29" t="str">
        <x:v>indefinite service after one route loss</x:v>
      </x:c>
      <x:c r="G31" s="31" t="str">
        <x:v>CALCULATED</x:v>
      </x:c>
    </x:row>
    <x:row r="32" ht="28" customHeight="1">
      <x:c r="B32" s="22" t="str">
        <x:v>Line water inventory</x:v>
      </x:c>
      <x:c r="C32" s="22"/>
      <x:c r="D32" s="38" t="n">
        <x:f>D11*D16*1000</x:f>
        <x:v>1924.225500323748</x:v>
      </x:c>
      <x:c r="E32" s="22" t="str">
        <x:v>m³</x:v>
      </x:c>
      <x:c r="F32" s="29" t="str">
        <x:v>commissioning water inside both routes</x:v>
      </x:c>
      <x:c r="G32" s="31" t="str">
        <x:v>CALCULATED</x:v>
      </x:c>
    </x:row>
    <x:row r="33" ht="28" customHeight="1">
      <x:c r="B33" s="22" t="str">
        <x:v>Flush water</x:v>
      </x:c>
      <x:c r="C33" s="22"/>
      <x:c r="D33" s="38" t="n">
        <x:f>D32*Assumptions!D45</x:f>
        <x:v>5772.676500971244</x:v>
      </x:c>
      <x:c r="E33" s="22" t="str">
        <x:v>m³</x:v>
      </x:c>
      <x:c r="F33" s="29" t="str">
        <x:v>registered volume turns</x:v>
      </x:c>
      <x:c r="G33" s="31" t="str">
        <x:v>CALCULATED</x:v>
      </x:c>
    </x:row>
    <x:row r="34" ht="28" customHeight="1">
      <x:c r="B34" s="22" t="str">
        <x:v>Velocity gate</x:v>
      </x:c>
      <x:c r="C34" s="22"/>
      <x:c r="D34" s="38" t="n">
        <x:f>IF(AND(D12&gt;=0.55,D12&lt;=1.5),1,0)</x:f>
        <x:v>1</x:v>
      </x:c>
      <x:c r="E34" s="22" t="str">
        <x:v>binary</x:v>
      </x:c>
      <x:c r="F34" s="29" t="str">
        <x:v>target operating band</x:v>
      </x:c>
      <x:c r="G34" s="31" t="str">
        <x:v>PASS</x:v>
      </x:c>
    </x:row>
    <x:row r="35" ht="28" customHeight="1">
      <x:c r="B35" s="22" t="str">
        <x:v>Population identity</x:v>
      </x:c>
      <x:c r="C35" s="22"/>
      <x:c r="D35" s="38" t="n">
        <x:f>IF(D7=Assumptions!D9*Assumptions!D10/1000,1,0)</x:f>
        <x:v>1</x:v>
      </x:c>
      <x:c r="E35" s="22" t="str">
        <x:v>binary</x:v>
      </x:c>
      <x:c r="F35" s="29" t="str">
        <x:v>service arithmetic</x:v>
      </x:c>
      <x:c r="G35" s="31" t="str">
        <x:v>PASS</x:v>
      </x:c>
    </x:row>
    <x:row r="36" ht="28" customHeight="1">
      <x:c r="B36" s="26" t="str">
        <x:v>N-1 gate</x:v>
      </x:c>
      <x:c r="C36" s="26"/>
      <x:c r="D36" s="40" t="n">
        <x:f>IF(D31&gt;=Assumptions!D28,1,0)</x:f>
        <x:v>1</x:v>
      </x:c>
      <x:c r="E36" s="26" t="str">
        <x:v>binary</x:v>
      </x:c>
      <x:c r="F36" s="33" t="str">
        <x:v>degraded floor</x:v>
      </x:c>
      <x:c r="G36" s="35" t="str">
        <x:v>PASS</x:v>
      </x:c>
    </x:row>
    <x:row r="37">
      <x:c r="B37" s="2"/>
      <x:c r="C37" s="2"/>
      <x:c r="D37" s="2"/>
      <x:c r="E37" s="2"/>
      <x:c r="F37" s="2"/>
      <x:c r="G37" s="2"/>
    </x:row>
    <x:row r="38">
      <x:c r="B38" s="2"/>
      <x:c r="C38" s="2"/>
      <x:c r="D38" s="2"/>
      <x:c r="E38" s="2"/>
      <x:c r="F38" s="2"/>
      <x:c r="G38" s="2"/>
    </x:row>
    <x:row r="39">
      <x:c r="B39" s="2"/>
      <x:c r="C39" s="2"/>
      <x:c r="D39" s="2"/>
      <x:c r="E39" s="2"/>
      <x:c r="F39" s="2"/>
      <x:c r="G39" s="2"/>
    </x:row>
    <x:row r="40">
      <x:c r="B40" s="2"/>
      <x:c r="C40" s="2"/>
      <x:c r="D40" s="2"/>
      <x:c r="E40" s="2"/>
      <x:c r="F40" s="2"/>
      <x:c r="G40" s="2"/>
    </x:row>
    <x:row r="41">
      <x:c r="B41" s="2"/>
      <x:c r="C41" s="2"/>
      <x:c r="D41" s="2"/>
      <x:c r="E41" s="2"/>
      <x:c r="F41" s="2"/>
      <x:c r="G41" s="2"/>
    </x:row>
    <x:row r="42">
      <x:c r="B42" s="2"/>
      <x:c r="C42" s="2"/>
      <x:c r="D42" s="2"/>
      <x:c r="E42" s="2"/>
      <x:c r="F42" s="2"/>
      <x:c r="G42" s="2"/>
    </x:row>
  </x:sheetData>
  <x:mergeCells>
    <x:mergeCell ref="B3:G3"/>
  </x:mergeCells>
  <x:conditionalFormatting sqref="G7:G36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HOLD"/>
    <x:cfRule type="containsText" dxfId="57" priority="4" operator="containsText" text="OPEN"/>
    <x:cfRule type="containsText" dxfId="58" priority="5" operator="containsText" text="NOT ADMITTED"/>
    <x:cfRule type="containsText" dxfId="59" priority="6" operator="containsText" text="PASS"/>
    <x:cfRule type="containsText" dxfId="60" priority="7" operator="containsText" text="CLOSED"/>
    <x:cfRule type="containsText" dxfId="61" priority="8" operator="containsText" text="ADEQUATE"/>
    <x:cfRule type="containsText" dxfId="62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b532cdd9dd044ef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7" hidden="0" customWidth="1"/>
    <x:col min="9" max="9" width="18" hidden="0" customWidth="1"/>
    <x:col min="10" max="10" width="16" hidden="0" customWidth="1"/>
    <x:col min="11" max="11" width="19" hidden="0" customWidth="1"/>
    <x:col min="12" max="12" width="20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20" hidden="0" customWidth="1"/>
    <x:col min="18" max="18" width="18" hidden="0" customWidth="1"/>
    <x:col min="19" max="19" width="18" hidden="0" customWidth="1"/>
    <x:col min="20" max="20" width="20" hidden="0" customWidth="1"/>
  </x:cols>
  <x:sheetData>
    <x:row r="2">
      <x:c r="B2" s="3" t="str">
        <x:v>Root-specific article reconstruction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B3" s="4" t="str">
        <x:v>Every root must carry the whole mission: conduit, industrial mechanism, route system, local energy, buffer, repair, reserve and regeneration.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B6" s="20" t="str">
        <x:v>Root</x:v>
      </x:c>
      <x:c r="C6" s="21" t="str">
        <x:v>Pipe mass t</x:v>
      </x:c>
      <x:c r="D6" s="21" t="str">
        <x:v>Cargo mass t</x:v>
      </x:c>
      <x:c r="E6" s="21" t="str">
        <x:v>Cargo cube m³</x:v>
      </x:c>
      <x:c r="F6" s="21" t="str">
        <x:v>Chargeable t</x:v>
      </x:c>
      <x:c r="G6" s="21" t="str">
        <x:v>Segments</x:v>
      </x:c>
      <x:c r="H6" s="21" t="str">
        <x:v>Installed joints</x:v>
      </x:c>
      <x:c r="I6" s="21" t="str">
        <x:v>Standard positions</x:v>
      </x:c>
      <x:c r="J6" s="21" t="str">
        <x:v>Heavy positions</x:v>
      </x:c>
      <x:c r="K6" s="21" t="str">
        <x:v>Pipe production h</x:v>
      </x:c>
      <x:c r="L6" s="21" t="str">
        <x:v>Material complete h</x:v>
      </x:c>
      <x:c r="M6" s="21" t="str">
        <x:v>Line complete h</x:v>
      </x:c>
      <x:c r="N6" s="21" t="str">
        <x:v>Line accepted h</x:v>
      </x:c>
      <x:c r="O6" s="21" t="str">
        <x:v>First service h</x:v>
      </x:c>
      <x:c r="P6" s="21" t="str">
        <x:v>Reserve share</x:v>
      </x:c>
      <x:c r="Q6" s="21" t="str">
        <x:v>Immediate reserve floor</x:v>
      </x:c>
      <x:c r="R6" s="21" t="str">
        <x:v>Regen complete h</x:v>
      </x:c>
      <x:c r="S6" s="21" t="str">
        <x:v>First-service gate</x:v>
      </x:c>
      <x:c r="T6" s="21" t="str">
        <x:v>Article planning</x:v>
      </x:c>
    </x:row>
    <x:row r="7" ht="46" customHeight="1">
      <x:c r="B7" s="22" t="str">
        <x:v>R1</x:v>
      </x:c>
      <x:c r="C7" s="64" t="n">
        <x:f>'Hydraulic Build'!D23*'Architecture Roots'!E7</x:f>
        <x:v>623.9621889049811</x:v>
      </x:c>
      <x:c r="D7" s="64" t="n">
        <x:f>SUM('Cargo Register'!H7:H19)</x:f>
        <x:v>1782.8532463185275</x:v>
      </x:c>
      <x:c r="E7" s="64" t="n">
        <x:f>SUM('Cargo Register'!I7:I19)</x:f>
        <x:v>5511.8080643867725</x:v>
      </x:c>
      <x:c r="F7" s="64" t="n">
        <x:f>MAX(D7,E7*Assumptions!D32)</x:f>
        <x:v>1782.8532463185275</x:v>
      </x:c>
      <x:c r="G7" s="64" t="n">
        <x:f>ROUNDUP('Hydraulic Build'!D18*1000/'Architecture Roots'!O7,0)</x:f>
        <x:v>1000</x:v>
      </x:c>
      <x:c r="H7" s="64" t="n">
        <x:f>MAX(0,ROUNDUP('Hydraulic Build'!D16*1000/'Architecture Roots'!O7,0)-Assumptions!D16)</x:f>
        <x:v>832</x:v>
      </x:c>
      <x:c r="I7" s="64" t="n">
        <x:f>ROUNDUP(F7/Assumptions!D30,0)</x:f>
        <x:v>45</x:v>
      </x:c>
      <x:c r="J7" s="64" t="n">
        <x:f>ROUNDUP(F7/Assumptions!D31,0)</x:f>
        <x:v>15</x:v>
      </x:c>
      <x:c r="K7" s="64" t="n">
        <x:f>C7/'Architecture Roots'!L7</x:f>
        <x:v>44.56872777892722</x:v>
      </x:c>
      <x:c r="L7" s="64" t="n">
        <x:f>10+'Architecture Roots'!M7+K7+'Architecture Roots'!N7</x:f>
        <x:v>76.56872777892721</x:v>
      </x:c>
      <x:c r="M7" s="64" t="n">
        <x:f>MAX('Workfront Schedule'!P7:P22)</x:f>
        <x:v>81.40727314910602</x:v>
      </x:c>
      <x:c r="N7" s="64" t="n">
        <x:f>M7+'Architecture Roots'!R7</x:f>
        <x:v>99.40727314910602</x:v>
      </x:c>
      <x:c r="O7" s="64" t="n">
        <x:f>MAX(N7,L7,Assumptions!D14,Assumptions!D15)+Assumptions!D43</x:f>
        <x:v>105.40727314910602</x:v>
      </x:c>
      <x:c r="P7" s="39" t="n">
        <x:f>'Hydraulic Build'!D17/'Hydraulic Build'!D16</x:f>
        <x:v>0.2</x:v>
      </x:c>
      <x:c r="Q7" s="39" t="n">
        <x:f>MIN(Regeneration!L7:L14)</x:f>
        <x:v>0.6</x:v>
      </x:c>
      <x:c r="R7" s="64" t="n">
        <x:f>MAX(Regeneration!N7:N14)</x:f>
        <x:v>600</x:v>
      </x:c>
      <x:c r="S7" s="22" t="str">
        <x:f>IF(O7&lt;=Assumptions!D11,"PASS","FAIL")</x:f>
        <x:v>PASS</x:v>
      </x:c>
      <x:c r="T7" s="24" t="str">
        <x:f>IF(AND(S7="PASS",P7&gt;=Assumptions!D13,R7&lt;=Assumptions!D33),"PLANNING PASS","FAIL")</x:f>
        <x:v>PLANNING PASS</x:v>
      </x:c>
    </x:row>
    <x:row r="8" ht="46" customHeight="1">
      <x:c r="B8" s="22" t="str">
        <x:v>R2</x:v>
      </x:c>
      <x:c r="C8" s="64" t="n">
        <x:f>'Hydraulic Build'!D23*'Architecture Roots'!E8</x:f>
        <x:v>623.9621889049811</x:v>
      </x:c>
      <x:c r="D8" s="64" t="n">
        <x:f>SUM('Cargo Register'!H20:H32)</x:f>
        <x:v>1838.1153571429563</x:v>
      </x:c>
      <x:c r="E8" s="64" t="n">
        <x:f>SUM('Cargo Register'!I20:I32)</x:f>
        <x:v>5006.310046028742</x:v>
      </x:c>
      <x:c r="F8" s="64" t="n">
        <x:f>MAX(D8,E8*Assumptions!D32)</x:f>
        <x:v>1838.1153571429563</x:v>
      </x:c>
      <x:c r="G8" s="64" t="n">
        <x:f>ROUNDUP('Hydraulic Build'!D18*1000/'Architecture Roots'!O8,0)</x:f>
        <x:v>48</x:v>
      </x:c>
      <x:c r="H8" s="64" t="n">
        <x:f>MAX(0,ROUNDUP('Hydraulic Build'!D16*1000/'Architecture Roots'!O8,0)-Assumptions!D16)</x:f>
        <x:v>38</x:v>
      </x:c>
      <x:c r="I8" s="64" t="n">
        <x:f>ROUNDUP(F8/Assumptions!D30,0)</x:f>
        <x:v>46</x:v>
      </x:c>
      <x:c r="J8" s="64" t="n">
        <x:f>ROUNDUP(F8/Assumptions!D31,0)</x:f>
        <x:v>16</x:v>
      </x:c>
      <x:c r="K8" s="64" t="n">
        <x:f>C8/'Architecture Roots'!L8</x:f>
        <x:v>51.99684907541509</x:v>
      </x:c>
      <x:c r="L8" s="64" t="n">
        <x:f>10+'Architecture Roots'!M8+K8+'Architecture Roots'!N8</x:f>
        <x:v>73.9968490754151</x:v>
      </x:c>
      <x:c r="M8" s="64" t="n">
        <x:f>MAX('Workfront Schedule'!P23:P38)</x:f>
        <x:v>76.3707075628459</x:v>
      </x:c>
      <x:c r="N8" s="64" t="n">
        <x:f>M8+'Architecture Roots'!R8</x:f>
        <x:v>96.3707075628459</x:v>
      </x:c>
      <x:c r="O8" s="64" t="n">
        <x:f>MAX(N8,L8,Assumptions!D14,Assumptions!D15)+Assumptions!D43</x:f>
        <x:v>102.3707075628459</x:v>
      </x:c>
      <x:c r="P8" s="39" t="n">
        <x:f>'Hydraulic Build'!D17/'Hydraulic Build'!D16</x:f>
        <x:v>0.2</x:v>
      </x:c>
      <x:c r="Q8" s="39" t="n">
        <x:f>MIN(Regeneration!L15:L22)</x:f>
        <x:v>0.6</x:v>
      </x:c>
      <x:c r="R8" s="64" t="n">
        <x:f>MAX(Regeneration!N15:N22)</x:f>
        <x:v>660</x:v>
      </x:c>
      <x:c r="S8" s="22" t="str">
        <x:f>IF(O8&lt;=Assumptions!D11,"PASS","FAIL")</x:f>
        <x:v>PASS</x:v>
      </x:c>
      <x:c r="T8" s="24" t="str">
        <x:f>IF(AND(S8="PASS",P8&gt;=Assumptions!D13,R8&lt;=Assumptions!D33),"PLANNING PASS","FAIL")</x:f>
        <x:v>PLANNING PASS</x:v>
      </x:c>
    </x:row>
    <x:row r="9" ht="46" customHeight="1">
      <x:c r="B9" s="26" t="str">
        <x:v>R3</x:v>
      </x:c>
      <x:c r="C9" s="66" t="n">
        <x:f>'Hydraulic Build'!D23*'Architecture Roots'!E9</x:f>
        <x:v>405.5754227882377</x:v>
      </x:c>
      <x:c r="D9" s="66" t="n">
        <x:f>SUM('Cargo Register'!H33:H45)</x:f>
        <x:v>1518.3745575036273</x:v>
      </x:c>
      <x:c r="E9" s="66" t="n">
        <x:f>SUM('Cargo Register'!I33:I45)</x:f>
        <x:v>4344.039667586976</x:v>
      </x:c>
      <x:c r="F9" s="66" t="n">
        <x:f>MAX(D9,E9*Assumptions!D32)</x:f>
        <x:v>1518.3745575036273</x:v>
      </x:c>
      <x:c r="G9" s="66" t="n">
        <x:f>ROUNDUP('Hydraulic Build'!D18*1000/'Architecture Roots'!O9,0)</x:f>
        <x:v>48</x:v>
      </x:c>
      <x:c r="H9" s="66" t="n">
        <x:f>MAX(0,ROUNDUP('Hydraulic Build'!D16*1000/'Architecture Roots'!O9,0)-Assumptions!D16)</x:f>
        <x:v>38</x:v>
      </x:c>
      <x:c r="I9" s="66" t="n">
        <x:f>ROUNDUP(F9/Assumptions!D30,0)</x:f>
        <x:v>38</x:v>
      </x:c>
      <x:c r="J9" s="66" t="n">
        <x:f>ROUNDUP(F9/Assumptions!D31,0)</x:f>
        <x:v>13</x:v>
      </x:c>
      <x:c r="K9" s="66" t="n">
        <x:f>C9/'Architecture Roots'!L9</x:f>
        <x:v>42.69214976718291</x:v>
      </x:c>
      <x:c r="L9" s="66" t="n">
        <x:f>10+'Architecture Roots'!M9+K9+'Architecture Roots'!N9</x:f>
        <x:v>74.69214976718291</x:v>
      </x:c>
      <x:c r="M9" s="66" t="n">
        <x:f>MAX('Workfront Schedule'!P39:P54)</x:f>
        <x:v>77.61315510901608</x:v>
      </x:c>
      <x:c r="N9" s="66" t="n">
        <x:f>M9+'Architecture Roots'!R9</x:f>
        <x:v>99.61315510901608</x:v>
      </x:c>
      <x:c r="O9" s="66" t="n">
        <x:f>MAX(N9,L9,Assumptions!D14,Assumptions!D15)+Assumptions!D43</x:f>
        <x:v>105.61315510901608</x:v>
      </x:c>
      <x:c r="P9" s="56" t="n">
        <x:f>'Hydraulic Build'!D17/'Hydraulic Build'!D16</x:f>
        <x:v>0.2</x:v>
      </x:c>
      <x:c r="Q9" s="56" t="n">
        <x:f>MIN(Regeneration!L23:L30)</x:f>
        <x:v>0.6</x:v>
      </x:c>
      <x:c r="R9" s="66" t="n">
        <x:f>MAX(Regeneration!N23:N30)</x:f>
        <x:v>540</x:v>
      </x:c>
      <x:c r="S9" s="26" t="str">
        <x:f>IF(O9&lt;=Assumptions!D11,"PASS","FAIL")</x:f>
        <x:v>PASS</x:v>
      </x:c>
      <x:c r="T9" s="28" t="str">
        <x:f>IF(AND(S9="PASS",P9&gt;=Assumptions!D13,R9&lt;=Assumptions!D33),"PLANNING PASS","FAIL")</x:f>
        <x:v>PLANNING PASS</x:v>
      </x:c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>
      <x:c r="B12" s="52" t="str">
        <x:v>Interpretive controls</x:v>
      </x:c>
      <x:c r="C12" s="53" t="str">
        <x:v>Interpretive controls</x:v>
      </x:c>
      <x:c r="D12" s="53" t="str">
        <x:v>Interpretive controls</x:v>
      </x:c>
      <x:c r="E12" s="53" t="str">
        <x:v>Interpretive controls</x:v>
      </x:c>
      <x:c r="F12" s="53" t="str">
        <x:v>Interpretive controls</x:v>
      </x:c>
      <x:c r="G12" s="53" t="str">
        <x:v>Interpretive controls</x:v>
      </x:c>
      <x:c r="H12" s="53" t="str">
        <x:v>Interpretive controls</x:v>
      </x:c>
      <x:c r="I12" s="53" t="str">
        <x:v>Interpretive controls</x:v>
      </x:c>
      <x:c r="J12" s="53" t="str">
        <x:v>Interpretive controls</x:v>
      </x:c>
      <x:c r="K12" s="53" t="str">
        <x:v>Interpretive controls</x:v>
      </x:c>
      <x:c r="L12" s="53" t="str">
        <x:v>Interpretive controls</x:v>
      </x:c>
      <x:c r="M12" s="53" t="str">
        <x:v>Interpretive controls</x:v>
      </x:c>
      <x:c r="N12" s="53" t="str">
        <x:v>Interpretive controls</x:v>
      </x:c>
      <x:c r="O12" s="53" t="str">
        <x:v>Interpretive controls</x:v>
      </x:c>
      <x:c r="P12" s="53" t="str">
        <x:v>Interpretive controls</x:v>
      </x:c>
      <x:c r="Q12" s="53" t="str">
        <x:v>Interpretive controls</x:v>
      </x:c>
      <x:c r="R12" s="53" t="str">
        <x:v>Interpretive controls</x:v>
      </x:c>
      <x:c r="S12" s="53" t="str">
        <x:v>Interpretive controls</x:v>
      </x:c>
      <x:c r="T12" s="54" t="str">
        <x:v>Interpretive controls</x:v>
      </x:c>
    </x:row>
    <x:row r="13">
      <x:c r="B13" s="2" t="str">
        <x:v>C01</x:v>
      </x:c>
      <x:c r="C13" s="2" t="str">
        <x:v>Pipe mass is a geometry result; architecture factors may reduce or increase it but do not erase carried mechanisms.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  <x:c r="T13" s="2" t="str"/>
    </x:row>
    <x:row r="14">
      <x:c r="B14" s="2" t="str">
        <x:v>C02</x:v>
      </x:c>
      <x:c r="C14" s="2" t="str">
        <x:v>Chargeable mass is the larger of physical mass and packed cube at the inherited surface density floor.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</x:row>
    <x:row r="15">
      <x:c r="B15" s="2" t="str">
        <x:v>C03</x:v>
      </x:c>
      <x:c r="C15" s="2" t="str">
        <x:v>First service waits for line acceptance, complete protected reserve, independent source release and receiver availability.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</x:row>
    <x:row r="16">
      <x:c r="B16" s="2" t="str">
        <x:v>C04</x:v>
      </x:c>
      <x:c r="C16" s="2" t="str">
        <x:v>Immediate reserve may fall below its floor after a destructive inject; readiness is restored only after accepted regeneration.</x:v>
      </x:c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  <x:c r="T16" s="2" t="str"/>
    </x:row>
    <x:row r="17">
      <x:c r="B17" s="2" t="str">
        <x:v>C05</x:v>
      </x:c>
      <x:c r="C17" s="2" t="str">
        <x:v>Planning passage changes no evidence cell and grants no procurement or rendering authority.</x:v>
      </x:c>
      <x:c r="D17" s="2" t="str"/>
      <x:c r="E17" s="2" t="str"/>
      <x:c r="F17" s="2" t="str"/>
      <x:c r="G17" s="2" t="str"/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  <x:c r="T17" s="2" t="str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</x:sheetData>
  <x:mergeCells>
    <x:mergeCell ref="B3:T3"/>
    <x:mergeCell ref="B12:T12"/>
  </x:mergeCells>
  <x:conditionalFormatting sqref="S7:T9">
    <x:cfRule type="containsText" dxfId="81" priority="1" operator="containsText" text="FAIL"/>
    <x:cfRule type="containsText" dxfId="82" priority="2" operator="containsText" text="BLOCKED"/>
    <x:cfRule type="containsText" dxfId="83" priority="3" operator="containsText" text="HOLD"/>
    <x:cfRule type="containsText" dxfId="84" priority="4" operator="containsText" text="OPEN"/>
    <x:cfRule type="containsText" dxfId="85" priority="5" operator="containsText" text="NOT ADMITTED"/>
    <x:cfRule type="containsText" dxfId="86" priority="6" operator="containsText" text="PASS"/>
    <x:cfRule type="containsText" dxfId="87" priority="7" operator="containsText" text="CLOSED"/>
    <x:cfRule type="containsText" dxfId="88" priority="8" operator="containsText" text="ADEQUATE"/>
    <x:cfRule type="containsText" dxfId="89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3c02c5e65ad7467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7" hidden="0" customWidth="1"/>
    <x:col min="3" max="3" width="10" hidden="0" customWidth="1"/>
    <x:col min="4" max="4" width="37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45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2">
      <x:c r="B2" s="3" t="str">
        <x:v>No-notice article task network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The schedule starts from a sealed cold state with the original factory, regional grid and primary transport corridor unavailable.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0" t="str">
        <x:v>Record</x:v>
      </x:c>
      <x:c r="C6" s="21" t="str">
        <x:v>Root</x:v>
      </x:c>
      <x:c r="D6" s="21" t="str">
        <x:v>Task</x:v>
      </x:c>
      <x:c r="E6" s="21" t="str">
        <x:v>Predecessor</x:v>
      </x:c>
      <x:c r="F6" s="21" t="str">
        <x:v>Duration h</x:v>
      </x:c>
      <x:c r="G6" s="21" t="str">
        <x:v>Start h</x:v>
      </x:c>
      <x:c r="H6" s="21" t="str">
        <x:v>End h</x:v>
      </x:c>
      <x:c r="I6" s="21" t="str">
        <x:v>Completion object</x:v>
      </x:c>
      <x:c r="J6" s="21" t="str">
        <x:v>Borrowed resource</x:v>
      </x:c>
      <x:c r="K6" s="21" t="str">
        <x:v>Evidence</x:v>
      </x:c>
      <x:c r="L6" s="21" t="str">
        <x:v>State</x:v>
      </x:c>
    </x:row>
    <x:row r="7" ht="31" customHeight="1">
      <x:c r="B7" s="22" t="str">
        <x:v>TN-R1-01</x:v>
      </x:c>
      <x:c r="C7" s="29" t="str">
        <x:v>R1</x:v>
      </x:c>
      <x:c r="D7" s="29" t="str">
        <x:v>Authenticate no-notice order</x:v>
      </x:c>
      <x:c r="E7" s="29" t="str">
        <x:v>none</x:v>
      </x:c>
      <x:c r="F7" s="68" t="n">
        <x:v>2</x:v>
      </x:c>
      <x:c r="G7" s="68" t="n">
        <x:v>0</x:v>
      </x:c>
      <x:c r="H7" s="68" t="n">
        <x:f>G7+F7</x:f>
        <x:v>2</x:v>
      </x:c>
      <x:c r="I7" s="29" t="str">
        <x:v>order accepted</x:v>
      </x:c>
      <x:c r="J7" s="29" t="str">
        <x:v>none</x:v>
      </x:c>
      <x:c r="K7" s="29" t="str">
        <x:v>OPEN</x:v>
      </x:c>
      <x:c r="L7" s="31" t="str">
        <x:v>PLANNING</x:v>
      </x:c>
    </x:row>
    <x:row r="8" ht="31" customHeight="1">
      <x:c r="B8" s="22" t="str">
        <x:v>TN-R1-02</x:v>
      </x:c>
      <x:c r="C8" s="29" t="str">
        <x:v>R1</x:v>
      </x:c>
      <x:c r="D8" s="29" t="str">
        <x:v>Reconstruct executable baseline</x:v>
      </x:c>
      <x:c r="E8" s="29" t="str">
        <x:v>T01</x:v>
      </x:c>
      <x:c r="F8" s="68" t="n">
        <x:v>8</x:v>
      </x:c>
      <x:c r="G8" s="68" t="n">
        <x:f>H7</x:f>
        <x:v>2</x:v>
      </x:c>
      <x:c r="H8" s="68" t="n">
        <x:f>G8+F8</x:f>
        <x:v>10</x:v>
      </x:c>
      <x:c r="I8" s="29" t="str">
        <x:v>second team opens process state</x:v>
      </x:c>
      <x:c r="J8" s="29" t="str">
        <x:v>none</x:v>
      </x:c>
      <x:c r="K8" s="29" t="str">
        <x:v>OPEN</x:v>
      </x:c>
      <x:c r="L8" s="31" t="str">
        <x:v>PLANNING</x:v>
      </x:c>
    </x:row>
    <x:row r="9" ht="31" customHeight="1">
      <x:c r="B9" s="22" t="str">
        <x:v>TN-R1-03</x:v>
      </x:c>
      <x:c r="C9" s="29" t="str">
        <x:v>R1</x:v>
      </x:c>
      <x:c r="D9" s="29" t="str">
        <x:v>Muster and role substitution</x:v>
      </x:c>
      <x:c r="E9" s="29" t="str">
        <x:v>T01</x:v>
      </x:c>
      <x:c r="F9" s="68" t="n">
        <x:v>8</x:v>
      </x:c>
      <x:c r="G9" s="68" t="n">
        <x:f>H7</x:f>
        <x:v>2</x:v>
      </x:c>
      <x:c r="H9" s="68" t="n">
        <x:f>G9+F9</x:f>
        <x:v>10</x:v>
      </x:c>
      <x:c r="I9" s="29" t="str">
        <x:v>qualified teams complete</x:v>
      </x:c>
      <x:c r="J9" s="29" t="str">
        <x:v>none</x:v>
      </x:c>
      <x:c r="K9" s="29" t="str">
        <x:v>OPEN</x:v>
      </x:c>
      <x:c r="L9" s="31" t="str">
        <x:v>PLANNING</x:v>
      </x:c>
    </x:row>
    <x:row r="10" ht="31" customHeight="1">
      <x:c r="B10" s="22" t="str">
        <x:v>TN-R1-04</x:v>
      </x:c>
      <x:c r="C10" s="29" t="str">
        <x:v>R1</x:v>
      </x:c>
      <x:c r="D10" s="29" t="str">
        <x:v>Cold-start alternate industrial root</x:v>
      </x:c>
      <x:c r="E10" s="29" t="str">
        <x:v>T02,T03</x:v>
      </x:c>
      <x:c r="F10" s="68" t="n">
        <x:f>'Architecture Roots'!M7</x:f>
        <x:v>10</x:v>
      </x:c>
      <x:c r="G10" s="68" t="n">
        <x:f>MAX(H8,H9)</x:f>
        <x:v>10</x:v>
      </x:c>
      <x:c r="H10" s="68" t="n">
        <x:f>G10+F10</x:f>
        <x:v>20</x:v>
      </x:c>
      <x:c r="I10" s="29" t="str">
        <x:v>safe conforming process</x:v>
      </x:c>
      <x:c r="J10" s="29" t="str">
        <x:v>none</x:v>
      </x:c>
      <x:c r="K10" s="29" t="str">
        <x:v>OPEN</x:v>
      </x:c>
      <x:c r="L10" s="31" t="str">
        <x:v>PLANNING</x:v>
      </x:c>
    </x:row>
    <x:row r="11" ht="31" customHeight="1">
      <x:c r="B11" s="22" t="str">
        <x:v>TN-R1-05</x:v>
      </x:c>
      <x:c r="C11" s="29" t="str">
        <x:v>R1</x:v>
      </x:c>
      <x:c r="D11" s="29" t="str">
        <x:v>Release first accepted material</x:v>
      </x:c>
      <x:c r="E11" s="29" t="str">
        <x:v>T04</x:v>
      </x:c>
      <x:c r="F11" s="68" t="n">
        <x:v>8</x:v>
      </x:c>
      <x:c r="G11" s="68" t="n">
        <x:f>H10</x:f>
        <x:v>20</x:v>
      </x:c>
      <x:c r="H11" s="68" t="n">
        <x:f>G11+F11</x:f>
        <x:v>28</x:v>
      </x:c>
      <x:c r="I11" s="29" t="str">
        <x:v>streaming lot begins</x:v>
      </x:c>
      <x:c r="J11" s="29" t="str">
        <x:v>none</x:v>
      </x:c>
      <x:c r="K11" s="29" t="str">
        <x:v>OPEN</x:v>
      </x:c>
      <x:c r="L11" s="31" t="str">
        <x:v>PLANNING</x:v>
      </x:c>
    </x:row>
    <x:row r="12" ht="31" customHeight="1">
      <x:c r="B12" s="22" t="str">
        <x:v>TN-R1-06</x:v>
      </x:c>
      <x:c r="C12" s="29" t="str">
        <x:v>R1</x:v>
      </x:c>
      <x:c r="D12" s="29" t="str">
        <x:v>Prepare two route corridors</x:v>
      </x:c>
      <x:c r="E12" s="29" t="str">
        <x:v>T01</x:v>
      </x:c>
      <x:c r="F12" s="68" t="n">
        <x:v>42</x:v>
      </x:c>
      <x:c r="G12" s="68" t="n">
        <x:f>H7</x:f>
        <x:v>2</x:v>
      </x:c>
      <x:c r="H12" s="68" t="n">
        <x:f>G12+F12</x:f>
        <x:v>44</x:v>
      </x:c>
      <x:c r="I12" s="29" t="str">
        <x:v>all sector access states available</x:v>
      </x:c>
      <x:c r="J12" s="29" t="str">
        <x:v>none</x:v>
      </x:c>
      <x:c r="K12" s="29" t="str">
        <x:v>OPEN</x:v>
      </x:c>
      <x:c r="L12" s="31" t="str">
        <x:v>PLANNING</x:v>
      </x:c>
    </x:row>
    <x:row r="13" ht="31" customHeight="1">
      <x:c r="B13" s="22" t="str">
        <x:v>TN-R1-07</x:v>
      </x:c>
      <x:c r="C13" s="29" t="str">
        <x:v>R1</x:v>
      </x:c>
      <x:c r="D13" s="29" t="str">
        <x:v>Move industrial and field system</x:v>
      </x:c>
      <x:c r="E13" s="29" t="str">
        <x:v>T01</x:v>
      </x:c>
      <x:c r="F13" s="68" t="n">
        <x:f>'Architecture Roots'!N7</x:f>
        <x:v>12</x:v>
      </x:c>
      <x:c r="G13" s="68" t="n">
        <x:f>H7</x:f>
        <x:v>2</x:v>
      </x:c>
      <x:c r="H13" s="68" t="n">
        <x:f>G13+F13</x:f>
        <x:v>14</x:v>
      </x:c>
      <x:c r="I13" s="29" t="str">
        <x:v>article reaches range without original corridor</x:v>
      </x:c>
      <x:c r="J13" s="29" t="str">
        <x:v>none</x:v>
      </x:c>
      <x:c r="K13" s="29" t="str">
        <x:v>OPEN</x:v>
      </x:c>
      <x:c r="L13" s="31" t="str">
        <x:v>PLANNING</x:v>
      </x:c>
    </x:row>
    <x:row r="14" ht="31" customHeight="1">
      <x:c r="B14" s="22" t="str">
        <x:v>TN-R1-08</x:v>
      </x:c>
      <x:c r="C14" s="29" t="str">
        <x:v>R1</x:v>
      </x:c>
      <x:c r="D14" s="29" t="str">
        <x:v>Configure joining and metrology</x:v>
      </x:c>
      <x:c r="E14" s="29" t="str">
        <x:v>T07</x:v>
      </x:c>
      <x:c r="F14" s="68" t="n">
        <x:v>8</x:v>
      </x:c>
      <x:c r="G14" s="68" t="n">
        <x:f>H13</x:f>
        <x:v>14</x:v>
      </x:c>
      <x:c r="H14" s="68" t="n">
        <x:f>G14+F14</x:f>
        <x:v>22</x:v>
      </x:c>
      <x:c r="I14" s="29" t="str">
        <x:v>six local workfronts admitted</x:v>
      </x:c>
      <x:c r="J14" s="29" t="str">
        <x:v>none</x:v>
      </x:c>
      <x:c r="K14" s="29" t="str">
        <x:v>OPEN</x:v>
      </x:c>
      <x:c r="L14" s="31" t="str">
        <x:v>PLANNING</x:v>
      </x:c>
    </x:row>
    <x:row r="15" ht="31" customHeight="1">
      <x:c r="B15" s="22" t="str">
        <x:v>TN-R1-09</x:v>
      </x:c>
      <x:c r="C15" s="29" t="str">
        <x:v>R1</x:v>
      </x:c>
      <x:c r="D15" s="29" t="str">
        <x:v>Install both routes</x:v>
      </x:c>
      <x:c r="E15" s="29" t="str">
        <x:v>T05,T06,T08</x:v>
      </x:c>
      <x:c r="F15" s="68" t="n">
        <x:f>'Material Build'!M7-MIN('Workfront Schedule'!N7:N22)</x:f>
        <x:v>46.621727662923064</x:v>
      </x:c>
      <x:c r="G15" s="68" t="n">
        <x:f>MIN('Workfront Schedule'!N7:N22)</x:f>
        <x:v>34.785545486182954</x:v>
      </x:c>
      <x:c r="H15" s="68" t="n">
        <x:f>G15+F15</x:f>
        <x:v>81.40727314910602</x:v>
      </x:c>
      <x:c r="I15" s="29" t="str">
        <x:v>last sector closes</x:v>
      </x:c>
      <x:c r="J15" s="29" t="str">
        <x:v>none</x:v>
      </x:c>
      <x:c r="K15" s="29" t="str">
        <x:v>OPEN</x:v>
      </x:c>
      <x:c r="L15" s="31" t="str">
        <x:v>PLANNING</x:v>
      </x:c>
    </x:row>
    <x:row r="16" ht="31" customHeight="1">
      <x:c r="B16" s="22" t="str">
        <x:v>TN-R1-10</x:v>
      </x:c>
      <x:c r="C16" s="29" t="str">
        <x:v>R1</x:v>
      </x:c>
      <x:c r="D16" s="29" t="str">
        <x:v>Complete protected reserve lot</x:v>
      </x:c>
      <x:c r="E16" s="29" t="str">
        <x:v>T04</x:v>
      </x:c>
      <x:c r="F16" s="68" t="n">
        <x:f>'Material Build'!L7-G16</x:f>
        <x:v>56.56872777892721</x:v>
      </x:c>
      <x:c r="G16" s="68" t="n">
        <x:f>H10</x:f>
        <x:v>20</x:v>
      </x:c>
      <x:c r="H16" s="68" t="n">
        <x:f>G16+F16</x:f>
        <x:v>76.56872777892721</x:v>
      </x:c>
      <x:c r="I16" s="29" t="str">
        <x:v>reserve sealed in separate custody</x:v>
      </x:c>
      <x:c r="J16" s="29" t="str">
        <x:v>none</x:v>
      </x:c>
      <x:c r="K16" s="29" t="str">
        <x:v>OPEN</x:v>
      </x:c>
      <x:c r="L16" s="31" t="str">
        <x:v>PLANNING</x:v>
      </x:c>
    </x:row>
    <x:row r="17" ht="31" customHeight="1">
      <x:c r="B17" s="22" t="str">
        <x:v>TN-R1-11</x:v>
      </x:c>
      <x:c r="C17" s="29" t="str">
        <x:v>R1</x:v>
      </x:c>
      <x:c r="D17" s="29" t="str">
        <x:v>Pressure, flush and sanitary commission</x:v>
      </x:c>
      <x:c r="E17" s="29" t="str">
        <x:v>T09</x:v>
      </x:c>
      <x:c r="F17" s="68" t="n">
        <x:f>'Architecture Roots'!R7</x:f>
        <x:v>18</x:v>
      </x:c>
      <x:c r="G17" s="68" t="n">
        <x:f>H15</x:f>
        <x:v>81.40727314910602</x:v>
      </x:c>
      <x:c r="H17" s="68" t="n">
        <x:f>G17+F17</x:f>
        <x:v>99.40727314910602</x:v>
      </x:c>
      <x:c r="I17" s="29" t="str">
        <x:v>both routes independently accepted</x:v>
      </x:c>
      <x:c r="J17" s="29" t="str">
        <x:v>none</x:v>
      </x:c>
      <x:c r="K17" s="29" t="str">
        <x:v>OPEN</x:v>
      </x:c>
      <x:c r="L17" s="31" t="str">
        <x:v>PLANNING</x:v>
      </x:c>
    </x:row>
    <x:row r="18" ht="31" customHeight="1">
      <x:c r="B18" s="22" t="str">
        <x:v>TN-R1-12</x:v>
      </x:c>
      <x:c r="C18" s="29" t="str">
        <x:v>R1</x:v>
      </x:c>
      <x:c r="D18" s="29" t="str">
        <x:v>Commission receiver buffer and outlets</x:v>
      </x:c>
      <x:c r="E18" s="29" t="str">
        <x:v>T06</x:v>
      </x:c>
      <x:c r="F18" s="68" t="n">
        <x:v>18</x:v>
      </x:c>
      <x:c r="G18" s="68" t="n">
        <x:f>H12</x:f>
        <x:v>44</x:v>
      </x:c>
      <x:c r="H18" s="68" t="n">
        <x:f>G18+F18</x:f>
        <x:v>62</x:v>
      </x:c>
      <x:c r="I18" s="29" t="str">
        <x:v>civil boundary ready</x:v>
      </x:c>
      <x:c r="J18" s="29" t="str">
        <x:v>none</x:v>
      </x:c>
      <x:c r="K18" s="29" t="str">
        <x:v>OPEN</x:v>
      </x:c>
      <x:c r="L18" s="31" t="str">
        <x:v>PLANNING</x:v>
      </x:c>
    </x:row>
    <x:row r="19" ht="31" customHeight="1">
      <x:c r="B19" s="22" t="str">
        <x:v>TN-R1-13</x:v>
      </x:c>
      <x:c r="C19" s="29" t="str">
        <x:v>R1</x:v>
      </x:c>
      <x:c r="D19" s="29" t="str">
        <x:v>Reconcile source, line, receiver and reserve</x:v>
      </x:c>
      <x:c r="E19" s="29" t="str">
        <x:v>T10,T11,T12</x:v>
      </x:c>
      <x:c r="F19" s="68" t="n">
        <x:v>6</x:v>
      </x:c>
      <x:c r="G19" s="68" t="n">
        <x:f>MAX(H16,H17,H18,Assumptions!D14)</x:f>
        <x:v>99.40727314910602</x:v>
      </x:c>
      <x:c r="H19" s="68" t="n">
        <x:f>G19+F19</x:f>
        <x:v>105.40727314910602</x:v>
      </x:c>
      <x:c r="I19" s="29" t="str">
        <x:v>single configuration record</x:v>
      </x:c>
      <x:c r="J19" s="29" t="str">
        <x:v>none</x:v>
      </x:c>
      <x:c r="K19" s="29" t="str">
        <x:v>OPEN</x:v>
      </x:c>
      <x:c r="L19" s="31" t="str">
        <x:v>PLANNING</x:v>
      </x:c>
    </x:row>
    <x:row r="20" ht="31" customHeight="1">
      <x:c r="B20" s="22" t="str">
        <x:v>TN-R1-14</x:v>
      </x:c>
      <x:c r="C20" s="29" t="str">
        <x:v>R1</x:v>
      </x:c>
      <x:c r="D20" s="29" t="str">
        <x:v>Declare first service</x:v>
      </x:c>
      <x:c r="E20" s="29" t="str">
        <x:v>T13</x:v>
      </x:c>
      <x:c r="F20" s="68" t="n">
        <x:v>0</x:v>
      </x:c>
      <x:c r="G20" s="68" t="n">
        <x:f>H19</x:f>
        <x:v>105.40727314910602</x:v>
      </x:c>
      <x:c r="H20" s="68" t="n">
        <x:f>G20+F20</x:f>
        <x:v>105.40727314910602</x:v>
      </x:c>
      <x:c r="I20" s="29" t="str">
        <x:v>public effect begins</x:v>
      </x:c>
      <x:c r="J20" s="29" t="str">
        <x:v>none</x:v>
      </x:c>
      <x:c r="K20" s="29" t="str">
        <x:v>OPEN</x:v>
      </x:c>
      <x:c r="L20" s="31" t="str">
        <x:v>PLANNING</x:v>
      </x:c>
    </x:row>
    <x:row r="21" ht="31" customHeight="1">
      <x:c r="B21" s="22" t="str">
        <x:v>TN-R2-01</x:v>
      </x:c>
      <x:c r="C21" s="29" t="str">
        <x:v>R2</x:v>
      </x:c>
      <x:c r="D21" s="29" t="str">
        <x:v>Authenticate no-notice order</x:v>
      </x:c>
      <x:c r="E21" s="29" t="str">
        <x:v>none</x:v>
      </x:c>
      <x:c r="F21" s="68" t="n">
        <x:v>2</x:v>
      </x:c>
      <x:c r="G21" s="68" t="n">
        <x:v>0</x:v>
      </x:c>
      <x:c r="H21" s="68" t="n">
        <x:f>G21+F21</x:f>
        <x:v>2</x:v>
      </x:c>
      <x:c r="I21" s="29" t="str">
        <x:v>order accepted</x:v>
      </x:c>
      <x:c r="J21" s="29" t="str">
        <x:v>none</x:v>
      </x:c>
      <x:c r="K21" s="29" t="str">
        <x:v>OPEN</x:v>
      </x:c>
      <x:c r="L21" s="31" t="str">
        <x:v>PLANNING</x:v>
      </x:c>
    </x:row>
    <x:row r="22" ht="31" customHeight="1">
      <x:c r="B22" s="22" t="str">
        <x:v>TN-R2-02</x:v>
      </x:c>
      <x:c r="C22" s="29" t="str">
        <x:v>R2</x:v>
      </x:c>
      <x:c r="D22" s="29" t="str">
        <x:v>Reconstruct executable baseline</x:v>
      </x:c>
      <x:c r="E22" s="29" t="str">
        <x:v>T01</x:v>
      </x:c>
      <x:c r="F22" s="68" t="n">
        <x:v>8</x:v>
      </x:c>
      <x:c r="G22" s="68" t="n">
        <x:f>H21</x:f>
        <x:v>2</x:v>
      </x:c>
      <x:c r="H22" s="68" t="n">
        <x:f>G22+F22</x:f>
        <x:v>10</x:v>
      </x:c>
      <x:c r="I22" s="29" t="str">
        <x:v>second team opens process state</x:v>
      </x:c>
      <x:c r="J22" s="29" t="str">
        <x:v>none</x:v>
      </x:c>
      <x:c r="K22" s="29" t="str">
        <x:v>OPEN</x:v>
      </x:c>
      <x:c r="L22" s="31" t="str">
        <x:v>PLANNING</x:v>
      </x:c>
    </x:row>
    <x:row r="23" ht="31" customHeight="1">
      <x:c r="B23" s="22" t="str">
        <x:v>TN-R2-03</x:v>
      </x:c>
      <x:c r="C23" s="29" t="str">
        <x:v>R2</x:v>
      </x:c>
      <x:c r="D23" s="29" t="str">
        <x:v>Muster and role substitution</x:v>
      </x:c>
      <x:c r="E23" s="29" t="str">
        <x:v>T01</x:v>
      </x:c>
      <x:c r="F23" s="68" t="n">
        <x:v>8</x:v>
      </x:c>
      <x:c r="G23" s="68" t="n">
        <x:f>H21</x:f>
        <x:v>2</x:v>
      </x:c>
      <x:c r="H23" s="68" t="n">
        <x:f>G23+F23</x:f>
        <x:v>10</x:v>
      </x:c>
      <x:c r="I23" s="29" t="str">
        <x:v>qualified teams complete</x:v>
      </x:c>
      <x:c r="J23" s="29" t="str">
        <x:v>none</x:v>
      </x:c>
      <x:c r="K23" s="29" t="str">
        <x:v>OPEN</x:v>
      </x:c>
      <x:c r="L23" s="31" t="str">
        <x:v>PLANNING</x:v>
      </x:c>
    </x:row>
    <x:row r="24" ht="31" customHeight="1">
      <x:c r="B24" s="22" t="str">
        <x:v>TN-R2-04</x:v>
      </x:c>
      <x:c r="C24" s="29" t="str">
        <x:v>R2</x:v>
      </x:c>
      <x:c r="D24" s="29" t="str">
        <x:v>Cold-start alternate industrial root</x:v>
      </x:c>
      <x:c r="E24" s="29" t="str">
        <x:v>T02,T03</x:v>
      </x:c>
      <x:c r="F24" s="68" t="n">
        <x:f>'Architecture Roots'!M8</x:f>
        <x:v>8</x:v>
      </x:c>
      <x:c r="G24" s="68" t="n">
        <x:f>MAX(H22,H23)</x:f>
        <x:v>10</x:v>
      </x:c>
      <x:c r="H24" s="68" t="n">
        <x:f>G24+F24</x:f>
        <x:v>18</x:v>
      </x:c>
      <x:c r="I24" s="29" t="str">
        <x:v>safe conforming process</x:v>
      </x:c>
      <x:c r="J24" s="29" t="str">
        <x:v>none</x:v>
      </x:c>
      <x:c r="K24" s="29" t="str">
        <x:v>OPEN</x:v>
      </x:c>
      <x:c r="L24" s="31" t="str">
        <x:v>PLANNING</x:v>
      </x:c>
    </x:row>
    <x:row r="25" ht="31" customHeight="1">
      <x:c r="B25" s="22" t="str">
        <x:v>TN-R2-05</x:v>
      </x:c>
      <x:c r="C25" s="29" t="str">
        <x:v>R2</x:v>
      </x:c>
      <x:c r="D25" s="29" t="str">
        <x:v>Release first accepted material</x:v>
      </x:c>
      <x:c r="E25" s="29" t="str">
        <x:v>T04</x:v>
      </x:c>
      <x:c r="F25" s="68" t="n">
        <x:v>8</x:v>
      </x:c>
      <x:c r="G25" s="68" t="n">
        <x:f>H24</x:f>
        <x:v>18</x:v>
      </x:c>
      <x:c r="H25" s="68" t="n">
        <x:f>G25+F25</x:f>
        <x:v>26</x:v>
      </x:c>
      <x:c r="I25" s="29" t="str">
        <x:v>streaming lot begins</x:v>
      </x:c>
      <x:c r="J25" s="29" t="str">
        <x:v>none</x:v>
      </x:c>
      <x:c r="K25" s="29" t="str">
        <x:v>OPEN</x:v>
      </x:c>
      <x:c r="L25" s="31" t="str">
        <x:v>PLANNING</x:v>
      </x:c>
    </x:row>
    <x:row r="26" ht="31" customHeight="1">
      <x:c r="B26" s="22" t="str">
        <x:v>TN-R2-06</x:v>
      </x:c>
      <x:c r="C26" s="29" t="str">
        <x:v>R2</x:v>
      </x:c>
      <x:c r="D26" s="29" t="str">
        <x:v>Prepare two route corridors</x:v>
      </x:c>
      <x:c r="E26" s="29" t="str">
        <x:v>T01</x:v>
      </x:c>
      <x:c r="F26" s="68" t="n">
        <x:v>42</x:v>
      </x:c>
      <x:c r="G26" s="68" t="n">
        <x:f>H21</x:f>
        <x:v>2</x:v>
      </x:c>
      <x:c r="H26" s="68" t="n">
        <x:f>G26+F26</x:f>
        <x:v>44</x:v>
      </x:c>
      <x:c r="I26" s="29" t="str">
        <x:v>all sector access states available</x:v>
      </x:c>
      <x:c r="J26" s="29" t="str">
        <x:v>none</x:v>
      </x:c>
      <x:c r="K26" s="29" t="str">
        <x:v>OPEN</x:v>
      </x:c>
      <x:c r="L26" s="31" t="str">
        <x:v>PLANNING</x:v>
      </x:c>
    </x:row>
    <x:row r="27" ht="31" customHeight="1">
      <x:c r="B27" s="22" t="str">
        <x:v>TN-R2-07</x:v>
      </x:c>
      <x:c r="C27" s="29" t="str">
        <x:v>R2</x:v>
      </x:c>
      <x:c r="D27" s="29" t="str">
        <x:v>Move industrial and field system</x:v>
      </x:c>
      <x:c r="E27" s="29" t="str">
        <x:v>T01</x:v>
      </x:c>
      <x:c r="F27" s="68" t="n">
        <x:f>'Architecture Roots'!N8</x:f>
        <x:v>4</x:v>
      </x:c>
      <x:c r="G27" s="68" t="n">
        <x:f>H21</x:f>
        <x:v>2</x:v>
      </x:c>
      <x:c r="H27" s="68" t="n">
        <x:f>G27+F27</x:f>
        <x:v>6</x:v>
      </x:c>
      <x:c r="I27" s="29" t="str">
        <x:v>article reaches range without original corridor</x:v>
      </x:c>
      <x:c r="J27" s="29" t="str">
        <x:v>none</x:v>
      </x:c>
      <x:c r="K27" s="29" t="str">
        <x:v>OPEN</x:v>
      </x:c>
      <x:c r="L27" s="31" t="str">
        <x:v>PLANNING</x:v>
      </x:c>
    </x:row>
    <x:row r="28" ht="31" customHeight="1">
      <x:c r="B28" s="22" t="str">
        <x:v>TN-R2-08</x:v>
      </x:c>
      <x:c r="C28" s="29" t="str">
        <x:v>R2</x:v>
      </x:c>
      <x:c r="D28" s="29" t="str">
        <x:v>Configure joining and metrology</x:v>
      </x:c>
      <x:c r="E28" s="29" t="str">
        <x:v>T07</x:v>
      </x:c>
      <x:c r="F28" s="68" t="n">
        <x:v>8</x:v>
      </x:c>
      <x:c r="G28" s="68" t="n">
        <x:f>H27</x:f>
        <x:v>6</x:v>
      </x:c>
      <x:c r="H28" s="68" t="n">
        <x:f>G28+F28</x:f>
        <x:v>14</x:v>
      </x:c>
      <x:c r="I28" s="29" t="str">
        <x:v>six local workfronts admitted</x:v>
      </x:c>
      <x:c r="J28" s="29" t="str">
        <x:v>none</x:v>
      </x:c>
      <x:c r="K28" s="29" t="str">
        <x:v>OPEN</x:v>
      </x:c>
      <x:c r="L28" s="31" t="str">
        <x:v>PLANNING</x:v>
      </x:c>
    </x:row>
    <x:row r="29" ht="31" customHeight="1">
      <x:c r="B29" s="22" t="str">
        <x:v>TN-R2-09</x:v>
      </x:c>
      <x:c r="C29" s="29" t="str">
        <x:v>R2</x:v>
      </x:c>
      <x:c r="D29" s="29" t="str">
        <x:v>Install both routes</x:v>
      </x:c>
      <x:c r="E29" s="29" t="str">
        <x:v>T05,T06,T08</x:v>
      </x:c>
      <x:c r="F29" s="68" t="n">
        <x:f>'Material Build'!M8-MIN('Workfront Schedule'!N23:N38)</x:f>
        <x:v>51.12090449563245</x:v>
      </x:c>
      <x:c r="G29" s="68" t="n">
        <x:f>MIN('Workfront Schedule'!N23:N38)</x:f>
        <x:v>25.249803067213442</x:v>
      </x:c>
      <x:c r="H29" s="68" t="n">
        <x:f>G29+F29</x:f>
        <x:v>76.3707075628459</x:v>
      </x:c>
      <x:c r="I29" s="29" t="str">
        <x:v>last sector closes</x:v>
      </x:c>
      <x:c r="J29" s="29" t="str">
        <x:v>none</x:v>
      </x:c>
      <x:c r="K29" s="29" t="str">
        <x:v>OPEN</x:v>
      </x:c>
      <x:c r="L29" s="31" t="str">
        <x:v>PLANNING</x:v>
      </x:c>
    </x:row>
    <x:row r="30" ht="31" customHeight="1">
      <x:c r="B30" s="22" t="str">
        <x:v>TN-R2-10</x:v>
      </x:c>
      <x:c r="C30" s="29" t="str">
        <x:v>R2</x:v>
      </x:c>
      <x:c r="D30" s="29" t="str">
        <x:v>Complete protected reserve lot</x:v>
      </x:c>
      <x:c r="E30" s="29" t="str">
        <x:v>T04</x:v>
      </x:c>
      <x:c r="F30" s="68" t="n">
        <x:f>'Material Build'!L8-G30</x:f>
        <x:v>55.9968490754151</x:v>
      </x:c>
      <x:c r="G30" s="68" t="n">
        <x:f>H24</x:f>
        <x:v>18</x:v>
      </x:c>
      <x:c r="H30" s="68" t="n">
        <x:f>G30+F30</x:f>
        <x:v>73.9968490754151</x:v>
      </x:c>
      <x:c r="I30" s="29" t="str">
        <x:v>reserve sealed in separate custody</x:v>
      </x:c>
      <x:c r="J30" s="29" t="str">
        <x:v>none</x:v>
      </x:c>
      <x:c r="K30" s="29" t="str">
        <x:v>OPEN</x:v>
      </x:c>
      <x:c r="L30" s="31" t="str">
        <x:v>PLANNING</x:v>
      </x:c>
    </x:row>
    <x:row r="31" ht="31" customHeight="1">
      <x:c r="B31" s="22" t="str">
        <x:v>TN-R2-11</x:v>
      </x:c>
      <x:c r="C31" s="29" t="str">
        <x:v>R2</x:v>
      </x:c>
      <x:c r="D31" s="29" t="str">
        <x:v>Pressure, flush and sanitary commission</x:v>
      </x:c>
      <x:c r="E31" s="29" t="str">
        <x:v>T09</x:v>
      </x:c>
      <x:c r="F31" s="68" t="n">
        <x:f>'Architecture Roots'!R8</x:f>
        <x:v>20</x:v>
      </x:c>
      <x:c r="G31" s="68" t="n">
        <x:f>H29</x:f>
        <x:v>76.3707075628459</x:v>
      </x:c>
      <x:c r="H31" s="68" t="n">
        <x:f>G31+F31</x:f>
        <x:v>96.3707075628459</x:v>
      </x:c>
      <x:c r="I31" s="29" t="str">
        <x:v>both routes independently accepted</x:v>
      </x:c>
      <x:c r="J31" s="29" t="str">
        <x:v>none</x:v>
      </x:c>
      <x:c r="K31" s="29" t="str">
        <x:v>OPEN</x:v>
      </x:c>
      <x:c r="L31" s="31" t="str">
        <x:v>PLANNING</x:v>
      </x:c>
    </x:row>
    <x:row r="32" ht="31" customHeight="1">
      <x:c r="B32" s="22" t="str">
        <x:v>TN-R2-12</x:v>
      </x:c>
      <x:c r="C32" s="29" t="str">
        <x:v>R2</x:v>
      </x:c>
      <x:c r="D32" s="29" t="str">
        <x:v>Commission receiver buffer and outlets</x:v>
      </x:c>
      <x:c r="E32" s="29" t="str">
        <x:v>T06</x:v>
      </x:c>
      <x:c r="F32" s="68" t="n">
        <x:v>18</x:v>
      </x:c>
      <x:c r="G32" s="68" t="n">
        <x:f>H26</x:f>
        <x:v>44</x:v>
      </x:c>
      <x:c r="H32" s="68" t="n">
        <x:f>G32+F32</x:f>
        <x:v>62</x:v>
      </x:c>
      <x:c r="I32" s="29" t="str">
        <x:v>civil boundary ready</x:v>
      </x:c>
      <x:c r="J32" s="29" t="str">
        <x:v>none</x:v>
      </x:c>
      <x:c r="K32" s="29" t="str">
        <x:v>OPEN</x:v>
      </x:c>
      <x:c r="L32" s="31" t="str">
        <x:v>PLANNING</x:v>
      </x:c>
    </x:row>
    <x:row r="33" ht="31" customHeight="1">
      <x:c r="B33" s="22" t="str">
        <x:v>TN-R2-13</x:v>
      </x:c>
      <x:c r="C33" s="29" t="str">
        <x:v>R2</x:v>
      </x:c>
      <x:c r="D33" s="29" t="str">
        <x:v>Reconcile source, line, receiver and reserve</x:v>
      </x:c>
      <x:c r="E33" s="29" t="str">
        <x:v>T10,T11,T12</x:v>
      </x:c>
      <x:c r="F33" s="68" t="n">
        <x:v>6</x:v>
      </x:c>
      <x:c r="G33" s="68" t="n">
        <x:f>MAX(H30,H31,H32,Assumptions!D14)</x:f>
        <x:v>96.3707075628459</x:v>
      </x:c>
      <x:c r="H33" s="68" t="n">
        <x:f>G33+F33</x:f>
        <x:v>102.3707075628459</x:v>
      </x:c>
      <x:c r="I33" s="29" t="str">
        <x:v>single configuration record</x:v>
      </x:c>
      <x:c r="J33" s="29" t="str">
        <x:v>none</x:v>
      </x:c>
      <x:c r="K33" s="29" t="str">
        <x:v>OPEN</x:v>
      </x:c>
      <x:c r="L33" s="31" t="str">
        <x:v>PLANNING</x:v>
      </x:c>
    </x:row>
    <x:row r="34" ht="31" customHeight="1">
      <x:c r="B34" s="22" t="str">
        <x:v>TN-R2-14</x:v>
      </x:c>
      <x:c r="C34" s="29" t="str">
        <x:v>R2</x:v>
      </x:c>
      <x:c r="D34" s="29" t="str">
        <x:v>Declare first service</x:v>
      </x:c>
      <x:c r="E34" s="29" t="str">
        <x:v>T13</x:v>
      </x:c>
      <x:c r="F34" s="68" t="n">
        <x:v>0</x:v>
      </x:c>
      <x:c r="G34" s="68" t="n">
        <x:f>H33</x:f>
        <x:v>102.3707075628459</x:v>
      </x:c>
      <x:c r="H34" s="68" t="n">
        <x:f>G34+F34</x:f>
        <x:v>102.3707075628459</x:v>
      </x:c>
      <x:c r="I34" s="29" t="str">
        <x:v>public effect begins</x:v>
      </x:c>
      <x:c r="J34" s="29" t="str">
        <x:v>none</x:v>
      </x:c>
      <x:c r="K34" s="29" t="str">
        <x:v>OPEN</x:v>
      </x:c>
      <x:c r="L34" s="31" t="str">
        <x:v>PLANNING</x:v>
      </x:c>
    </x:row>
    <x:row r="35" ht="31" customHeight="1">
      <x:c r="B35" s="22" t="str">
        <x:v>TN-R3-01</x:v>
      </x:c>
      <x:c r="C35" s="29" t="str">
        <x:v>R3</x:v>
      </x:c>
      <x:c r="D35" s="29" t="str">
        <x:v>Authenticate no-notice order</x:v>
      </x:c>
      <x:c r="E35" s="29" t="str">
        <x:v>none</x:v>
      </x:c>
      <x:c r="F35" s="68" t="n">
        <x:v>2</x:v>
      </x:c>
      <x:c r="G35" s="68" t="n">
        <x:v>0</x:v>
      </x:c>
      <x:c r="H35" s="68" t="n">
        <x:f>G35+F35</x:f>
        <x:v>2</x:v>
      </x:c>
      <x:c r="I35" s="29" t="str">
        <x:v>order accepted</x:v>
      </x:c>
      <x:c r="J35" s="29" t="str">
        <x:v>none</x:v>
      </x:c>
      <x:c r="K35" s="29" t="str">
        <x:v>OPEN</x:v>
      </x:c>
      <x:c r="L35" s="31" t="str">
        <x:v>PLANNING</x:v>
      </x:c>
    </x:row>
    <x:row r="36" ht="31" customHeight="1">
      <x:c r="B36" s="22" t="str">
        <x:v>TN-R3-02</x:v>
      </x:c>
      <x:c r="C36" s="29" t="str">
        <x:v>R3</x:v>
      </x:c>
      <x:c r="D36" s="29" t="str">
        <x:v>Reconstruct executable baseline</x:v>
      </x:c>
      <x:c r="E36" s="29" t="str">
        <x:v>T01</x:v>
      </x:c>
      <x:c r="F36" s="68" t="n">
        <x:v>8</x:v>
      </x:c>
      <x:c r="G36" s="68" t="n">
        <x:f>H35</x:f>
        <x:v>2</x:v>
      </x:c>
      <x:c r="H36" s="68" t="n">
        <x:f>G36+F36</x:f>
        <x:v>10</x:v>
      </x:c>
      <x:c r="I36" s="29" t="str">
        <x:v>second team opens process state</x:v>
      </x:c>
      <x:c r="J36" s="29" t="str">
        <x:v>none</x:v>
      </x:c>
      <x:c r="K36" s="29" t="str">
        <x:v>OPEN</x:v>
      </x:c>
      <x:c r="L36" s="31" t="str">
        <x:v>PLANNING</x:v>
      </x:c>
    </x:row>
    <x:row r="37" ht="31" customHeight="1">
      <x:c r="B37" s="22" t="str">
        <x:v>TN-R3-03</x:v>
      </x:c>
      <x:c r="C37" s="29" t="str">
        <x:v>R3</x:v>
      </x:c>
      <x:c r="D37" s="29" t="str">
        <x:v>Muster and role substitution</x:v>
      </x:c>
      <x:c r="E37" s="29" t="str">
        <x:v>T01</x:v>
      </x:c>
      <x:c r="F37" s="68" t="n">
        <x:v>8</x:v>
      </x:c>
      <x:c r="G37" s="68" t="n">
        <x:f>H35</x:f>
        <x:v>2</x:v>
      </x:c>
      <x:c r="H37" s="68" t="n">
        <x:f>G37+F37</x:f>
        <x:v>10</x:v>
      </x:c>
      <x:c r="I37" s="29" t="str">
        <x:v>qualified teams complete</x:v>
      </x:c>
      <x:c r="J37" s="29" t="str">
        <x:v>none</x:v>
      </x:c>
      <x:c r="K37" s="29" t="str">
        <x:v>OPEN</x:v>
      </x:c>
      <x:c r="L37" s="31" t="str">
        <x:v>PLANNING</x:v>
      </x:c>
    </x:row>
    <x:row r="38" ht="31" customHeight="1">
      <x:c r="B38" s="22" t="str">
        <x:v>TN-R3-04</x:v>
      </x:c>
      <x:c r="C38" s="29" t="str">
        <x:v>R3</x:v>
      </x:c>
      <x:c r="D38" s="29" t="str">
        <x:v>Cold-start alternate industrial root</x:v>
      </x:c>
      <x:c r="E38" s="29" t="str">
        <x:v>T02,T03</x:v>
      </x:c>
      <x:c r="F38" s="68" t="n">
        <x:f>'Architecture Roots'!M9</x:f>
        <x:v>12</x:v>
      </x:c>
      <x:c r="G38" s="68" t="n">
        <x:f>MAX(H36,H37)</x:f>
        <x:v>10</x:v>
      </x:c>
      <x:c r="H38" s="68" t="n">
        <x:f>G38+F38</x:f>
        <x:v>22</x:v>
      </x:c>
      <x:c r="I38" s="29" t="str">
        <x:v>safe conforming process</x:v>
      </x:c>
      <x:c r="J38" s="29" t="str">
        <x:v>none</x:v>
      </x:c>
      <x:c r="K38" s="29" t="str">
        <x:v>OPEN</x:v>
      </x:c>
      <x:c r="L38" s="31" t="str">
        <x:v>PLANNING</x:v>
      </x:c>
    </x:row>
    <x:row r="39" ht="31" customHeight="1">
      <x:c r="B39" s="22" t="str">
        <x:v>TN-R3-05</x:v>
      </x:c>
      <x:c r="C39" s="29" t="str">
        <x:v>R3</x:v>
      </x:c>
      <x:c r="D39" s="29" t="str">
        <x:v>Release first accepted material</x:v>
      </x:c>
      <x:c r="E39" s="29" t="str">
        <x:v>T04</x:v>
      </x:c>
      <x:c r="F39" s="68" t="n">
        <x:v>8</x:v>
      </x:c>
      <x:c r="G39" s="68" t="n">
        <x:f>H38</x:f>
        <x:v>22</x:v>
      </x:c>
      <x:c r="H39" s="68" t="n">
        <x:f>G39+F39</x:f>
        <x:v>30</x:v>
      </x:c>
      <x:c r="I39" s="29" t="str">
        <x:v>streaming lot begins</x:v>
      </x:c>
      <x:c r="J39" s="29" t="str">
        <x:v>none</x:v>
      </x:c>
      <x:c r="K39" s="29" t="str">
        <x:v>OPEN</x:v>
      </x:c>
      <x:c r="L39" s="31" t="str">
        <x:v>PLANNING</x:v>
      </x:c>
    </x:row>
    <x:row r="40" ht="31" customHeight="1">
      <x:c r="B40" s="22" t="str">
        <x:v>TN-R3-06</x:v>
      </x:c>
      <x:c r="C40" s="29" t="str">
        <x:v>R3</x:v>
      </x:c>
      <x:c r="D40" s="29" t="str">
        <x:v>Prepare two route corridors</x:v>
      </x:c>
      <x:c r="E40" s="29" t="str">
        <x:v>T01</x:v>
      </x:c>
      <x:c r="F40" s="68" t="n">
        <x:v>42</x:v>
      </x:c>
      <x:c r="G40" s="68" t="n">
        <x:f>H35</x:f>
        <x:v>2</x:v>
      </x:c>
      <x:c r="H40" s="68" t="n">
        <x:f>G40+F40</x:f>
        <x:v>44</x:v>
      </x:c>
      <x:c r="I40" s="29" t="str">
        <x:v>all sector access states available</x:v>
      </x:c>
      <x:c r="J40" s="29" t="str">
        <x:v>none</x:v>
      </x:c>
      <x:c r="K40" s="29" t="str">
        <x:v>OPEN</x:v>
      </x:c>
      <x:c r="L40" s="31" t="str">
        <x:v>PLANNING</x:v>
      </x:c>
    </x:row>
    <x:row r="41" ht="31" customHeight="1">
      <x:c r="B41" s="22" t="str">
        <x:v>TN-R3-07</x:v>
      </x:c>
      <x:c r="C41" s="29" t="str">
        <x:v>R3</x:v>
      </x:c>
      <x:c r="D41" s="29" t="str">
        <x:v>Move industrial and field system</x:v>
      </x:c>
      <x:c r="E41" s="29" t="str">
        <x:v>T01</x:v>
      </x:c>
      <x:c r="F41" s="68" t="n">
        <x:f>'Architecture Roots'!N9</x:f>
        <x:v>10</x:v>
      </x:c>
      <x:c r="G41" s="68" t="n">
        <x:f>H35</x:f>
        <x:v>2</x:v>
      </x:c>
      <x:c r="H41" s="68" t="n">
        <x:f>G41+F41</x:f>
        <x:v>12</x:v>
      </x:c>
      <x:c r="I41" s="29" t="str">
        <x:v>article reaches range without original corridor</x:v>
      </x:c>
      <x:c r="J41" s="29" t="str">
        <x:v>none</x:v>
      </x:c>
      <x:c r="K41" s="29" t="str">
        <x:v>OPEN</x:v>
      </x:c>
      <x:c r="L41" s="31" t="str">
        <x:v>PLANNING</x:v>
      </x:c>
    </x:row>
    <x:row r="42" ht="31" customHeight="1">
      <x:c r="B42" s="22" t="str">
        <x:v>TN-R3-08</x:v>
      </x:c>
      <x:c r="C42" s="29" t="str">
        <x:v>R3</x:v>
      </x:c>
      <x:c r="D42" s="29" t="str">
        <x:v>Configure joining and metrology</x:v>
      </x:c>
      <x:c r="E42" s="29" t="str">
        <x:v>T07</x:v>
      </x:c>
      <x:c r="F42" s="68" t="n">
        <x:v>8</x:v>
      </x:c>
      <x:c r="G42" s="68" t="n">
        <x:f>H41</x:f>
        <x:v>12</x:v>
      </x:c>
      <x:c r="H42" s="68" t="n">
        <x:f>G42+F42</x:f>
        <x:v>20</x:v>
      </x:c>
      <x:c r="I42" s="29" t="str">
        <x:v>six local workfronts admitted</x:v>
      </x:c>
      <x:c r="J42" s="29" t="str">
        <x:v>none</x:v>
      </x:c>
      <x:c r="K42" s="29" t="str">
        <x:v>OPEN</x:v>
      </x:c>
      <x:c r="L42" s="31" t="str">
        <x:v>PLANNING</x:v>
      </x:c>
    </x:row>
    <x:row r="43" ht="31" customHeight="1">
      <x:c r="B43" s="22" t="str">
        <x:v>TN-R3-09</x:v>
      </x:c>
      <x:c r="C43" s="29" t="str">
        <x:v>R3</x:v>
      </x:c>
      <x:c r="D43" s="29" t="str">
        <x:v>Install both routes</x:v>
      </x:c>
      <x:c r="E43" s="29" t="str">
        <x:v>T05,T06,T08</x:v>
      </x:c>
      <x:c r="F43" s="68" t="n">
        <x:f>'Material Build'!M9-MIN('Workfront Schedule'!N39:N54)</x:f>
        <x:v>42.94489574856715</x:v>
      </x:c>
      <x:c r="G43" s="68" t="n">
        <x:f>MIN('Workfront Schedule'!N39:N54)</x:f>
        <x:v>34.66825936044893</x:v>
      </x:c>
      <x:c r="H43" s="68" t="n">
        <x:f>G43+F43</x:f>
        <x:v>77.61315510901608</x:v>
      </x:c>
      <x:c r="I43" s="29" t="str">
        <x:v>last sector closes</x:v>
      </x:c>
      <x:c r="J43" s="29" t="str">
        <x:v>none</x:v>
      </x:c>
      <x:c r="K43" s="29" t="str">
        <x:v>OPEN</x:v>
      </x:c>
      <x:c r="L43" s="31" t="str">
        <x:v>PLANNING</x:v>
      </x:c>
    </x:row>
    <x:row r="44" ht="31" customHeight="1">
      <x:c r="B44" s="22" t="str">
        <x:v>TN-R3-10</x:v>
      </x:c>
      <x:c r="C44" s="29" t="str">
        <x:v>R3</x:v>
      </x:c>
      <x:c r="D44" s="29" t="str">
        <x:v>Complete protected reserve lot</x:v>
      </x:c>
      <x:c r="E44" s="29" t="str">
        <x:v>T04</x:v>
      </x:c>
      <x:c r="F44" s="68" t="n">
        <x:f>'Material Build'!L9-G44</x:f>
        <x:v>52.69214976718291</x:v>
      </x:c>
      <x:c r="G44" s="68" t="n">
        <x:f>H38</x:f>
        <x:v>22</x:v>
      </x:c>
      <x:c r="H44" s="68" t="n">
        <x:f>G44+F44</x:f>
        <x:v>74.69214976718291</x:v>
      </x:c>
      <x:c r="I44" s="29" t="str">
        <x:v>reserve sealed in separate custody</x:v>
      </x:c>
      <x:c r="J44" s="29" t="str">
        <x:v>none</x:v>
      </x:c>
      <x:c r="K44" s="29" t="str">
        <x:v>OPEN</x:v>
      </x:c>
      <x:c r="L44" s="31" t="str">
        <x:v>PLANNING</x:v>
      </x:c>
    </x:row>
    <x:row r="45" ht="31" customHeight="1">
      <x:c r="B45" s="22" t="str">
        <x:v>TN-R3-11</x:v>
      </x:c>
      <x:c r="C45" s="29" t="str">
        <x:v>R3</x:v>
      </x:c>
      <x:c r="D45" s="29" t="str">
        <x:v>Pressure, flush and sanitary commission</x:v>
      </x:c>
      <x:c r="E45" s="29" t="str">
        <x:v>T09</x:v>
      </x:c>
      <x:c r="F45" s="68" t="n">
        <x:f>'Architecture Roots'!R9</x:f>
        <x:v>22</x:v>
      </x:c>
      <x:c r="G45" s="68" t="n">
        <x:f>H43</x:f>
        <x:v>77.61315510901608</x:v>
      </x:c>
      <x:c r="H45" s="68" t="n">
        <x:f>G45+F45</x:f>
        <x:v>99.61315510901608</x:v>
      </x:c>
      <x:c r="I45" s="29" t="str">
        <x:v>both routes independently accepted</x:v>
      </x:c>
      <x:c r="J45" s="29" t="str">
        <x:v>none</x:v>
      </x:c>
      <x:c r="K45" s="29" t="str">
        <x:v>OPEN</x:v>
      </x:c>
      <x:c r="L45" s="31" t="str">
        <x:v>PLANNING</x:v>
      </x:c>
    </x:row>
    <x:row r="46" ht="31" customHeight="1">
      <x:c r="B46" s="22" t="str">
        <x:v>TN-R3-12</x:v>
      </x:c>
      <x:c r="C46" s="29" t="str">
        <x:v>R3</x:v>
      </x:c>
      <x:c r="D46" s="29" t="str">
        <x:v>Commission receiver buffer and outlets</x:v>
      </x:c>
      <x:c r="E46" s="29" t="str">
        <x:v>T06</x:v>
      </x:c>
      <x:c r="F46" s="68" t="n">
        <x:v>18</x:v>
      </x:c>
      <x:c r="G46" s="68" t="n">
        <x:f>H40</x:f>
        <x:v>44</x:v>
      </x:c>
      <x:c r="H46" s="68" t="n">
        <x:f>G46+F46</x:f>
        <x:v>62</x:v>
      </x:c>
      <x:c r="I46" s="29" t="str">
        <x:v>civil boundary ready</x:v>
      </x:c>
      <x:c r="J46" s="29" t="str">
        <x:v>none</x:v>
      </x:c>
      <x:c r="K46" s="29" t="str">
        <x:v>OPEN</x:v>
      </x:c>
      <x:c r="L46" s="31" t="str">
        <x:v>PLANNING</x:v>
      </x:c>
    </x:row>
    <x:row r="47" ht="31" customHeight="1">
      <x:c r="B47" s="22" t="str">
        <x:v>TN-R3-13</x:v>
      </x:c>
      <x:c r="C47" s="29" t="str">
        <x:v>R3</x:v>
      </x:c>
      <x:c r="D47" s="29" t="str">
        <x:v>Reconcile source, line, receiver and reserve</x:v>
      </x:c>
      <x:c r="E47" s="29" t="str">
        <x:v>T10,T11,T12</x:v>
      </x:c>
      <x:c r="F47" s="68" t="n">
        <x:v>6</x:v>
      </x:c>
      <x:c r="G47" s="68" t="n">
        <x:f>MAX(H44,H45,H46,Assumptions!D14)</x:f>
        <x:v>99.61315510901608</x:v>
      </x:c>
      <x:c r="H47" s="68" t="n">
        <x:f>G47+F47</x:f>
        <x:v>105.61315510901608</x:v>
      </x:c>
      <x:c r="I47" s="29" t="str">
        <x:v>single configuration record</x:v>
      </x:c>
      <x:c r="J47" s="29" t="str">
        <x:v>none</x:v>
      </x:c>
      <x:c r="K47" s="29" t="str">
        <x:v>OPEN</x:v>
      </x:c>
      <x:c r="L47" s="31" t="str">
        <x:v>PLANNING</x:v>
      </x:c>
    </x:row>
    <x:row r="48" ht="31" customHeight="1">
      <x:c r="B48" s="26" t="str">
        <x:v>TN-R3-14</x:v>
      </x:c>
      <x:c r="C48" s="33" t="str">
        <x:v>R3</x:v>
      </x:c>
      <x:c r="D48" s="33" t="str">
        <x:v>Declare first service</x:v>
      </x:c>
      <x:c r="E48" s="33" t="str">
        <x:v>T13</x:v>
      </x:c>
      <x:c r="F48" s="69" t="n">
        <x:v>0</x:v>
      </x:c>
      <x:c r="G48" s="69" t="n">
        <x:f>H47</x:f>
        <x:v>105.61315510901608</x:v>
      </x:c>
      <x:c r="H48" s="69" t="n">
        <x:f>G48+F48</x:f>
        <x:v>105.61315510901608</x:v>
      </x:c>
      <x:c r="I48" s="33" t="str">
        <x:v>public effect begins</x:v>
      </x:c>
      <x:c r="J48" s="33" t="str">
        <x:v>none</x:v>
      </x:c>
      <x:c r="K48" s="33" t="str">
        <x:v>OPEN</x:v>
      </x:c>
      <x:c r="L48" s="35" t="str">
        <x:v>PLANNING</x:v>
      </x:c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</x:sheetData>
  <x:mergeCells>
    <x:mergeCell ref="B3:L3"/>
  </x:mergeCells>
  <x:conditionalFormatting sqref="K7:L48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HOLD"/>
    <x:cfRule type="containsText" dxfId="93" priority="4" operator="containsText" text="OPEN"/>
    <x:cfRule type="containsText" dxfId="94" priority="5" operator="containsText" text="NOT ADMITTED"/>
    <x:cfRule type="containsText" dxfId="95" priority="6" operator="containsText" text="PASS"/>
    <x:cfRule type="containsText" dxfId="96" priority="7" operator="containsText" text="CLOSED"/>
    <x:cfRule type="containsText" dxfId="97" priority="8" operator="containsText" text="ADEQUATE"/>
    <x:cfRule type="containsText" dxfId="98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e678321059f0428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5" hidden="0" customWidth="1"/>
    <x:col min="3" max="3" width="10" hidden="0" customWidth="1"/>
    <x:col min="4" max="4" width="9" hidden="0" customWidth="1"/>
    <x:col min="5" max="5" width="11" hidden="0" customWidth="1"/>
    <x:col min="6" max="6" width="32" hidden="0" customWidth="1"/>
    <x:col min="7" max="7" width="14" hidden="0" customWidth="1"/>
    <x:col min="8" max="8" width="13" hidden="0" customWidth="1"/>
    <x:col min="9" max="9" width="10" hidden="0" customWidth="1"/>
    <x:col min="10" max="10" width="21" hidden="0" customWidth="1"/>
    <x:col min="11" max="11" width="20" hidden="0" customWidth="1"/>
    <x:col min="12" max="12" width="18" hidden="0" customWidth="1"/>
    <x:col min="13" max="13" width="22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2">
      <x:c r="B2" s="3" t="str">
        <x:v>Streaming dual-route installation schedule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Accepted material is released in sector pairs. Material availability, route access and same-front predecessor completion all bind the start of work.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0" t="str">
        <x:v>Record</x:v>
      </x:c>
      <x:c r="C6" s="21" t="str">
        <x:v>Root</x:v>
      </x:c>
      <x:c r="D6" s="21" t="str">
        <x:v>Route</x:v>
      </x:c>
      <x:c r="E6" s="21" t="str">
        <x:v>Sector</x:v>
      </x:c>
      <x:c r="F6" s="21" t="str">
        <x:v>Condition</x:v>
      </x:c>
      <x:c r="G6" s="21" t="str">
        <x:v>Length km</x:v>
      </x:c>
      <x:c r="H6" s="21" t="str">
        <x:v>Difficulty</x:v>
      </x:c>
      <x:c r="I6" s="21" t="str">
        <x:v>Front</x:v>
      </x:c>
      <x:c r="J6" s="21" t="str">
        <x:v>Cumulative pipe km</x:v>
      </x:c>
      <x:c r="K6" s="21" t="str">
        <x:v>Material ready h</x:v>
      </x:c>
      <x:c r="L6" s="21" t="str">
        <x:v>Access ready h</x:v>
      </x:c>
      <x:c r="M6" s="21" t="str">
        <x:v>Predecessor end h</x:v>
      </x:c>
      <x:c r="N6" s="21" t="str">
        <x:v>Start h</x:v>
      </x:c>
      <x:c r="O6" s="21" t="str">
        <x:v>Duration h</x:v>
      </x:c>
      <x:c r="P6" s="21" t="str">
        <x:v>End h</x:v>
      </x:c>
    </x:row>
    <x:row r="7" ht="28" customHeight="1">
      <x:c r="B7" s="22" t="str">
        <x:v>WF-001</x:v>
      </x:c>
      <x:c r="C7" s="22" t="str">
        <x:v>R1</x:v>
      </x:c>
      <x:c r="D7" s="22" t="str">
        <x:v>A</x:v>
      </x:c>
      <x:c r="E7" s="29" t="str">
        <x:v>S01</x:v>
      </x:c>
      <x:c r="F7" s="22" t="str">
        <x:v>Open shoulder and staging</x:v>
      </x:c>
      <x:c r="G7" s="64" t="n">
        <x:v>1.5</x:v>
      </x:c>
      <x:c r="H7" s="64" t="n">
        <x:v>0.85</x:v>
      </x:c>
      <x:c r="I7" s="64" t="n">
        <x:v>1</x:v>
      </x:c>
      <x:c r="J7" s="64" t="n">
        <x:f>SUM($G$7:G7)</x:f>
        <x:v>1.5</x:v>
      </x:c>
      <x:c r="K7" s="64" t="n">
        <x:f>10+'Architecture Roots'!M7+(J7*'Hydraulic Build'!D20*'Architecture Roots'!E7)/'Architecture Roots'!L7+'Architecture Roots'!N7</x:f>
        <x:v>34.785545486182954</x:v>
      </x:c>
      <x:c r="L7" s="64" t="n">
        <x:f>'Route Constitution'!E7</x:f>
        <x:v>0.85</x:v>
      </x:c>
      <x:c r="M7" s="64" t="n">
        <x:v>0</x:v>
      </x:c>
      <x:c r="N7" s="64" t="n">
        <x:f>MAX(K7,L7,M7)</x:f>
        <x:v>34.785545486182954</x:v>
      </x:c>
      <x:c r="O7" s="64" t="n">
        <x:f>G7*H7/'Architecture Roots'!Q7*24</x:f>
        <x:v>6.8</x:v>
      </x:c>
      <x:c r="P7" s="65" t="n">
        <x:f>N7+O7</x:f>
        <x:v>41.58554548618295</x:v>
      </x:c>
    </x:row>
    <x:row r="8" ht="28" customHeight="1">
      <x:c r="B8" s="22" t="str">
        <x:v>WF-002</x:v>
      </x:c>
      <x:c r="C8" s="22" t="str">
        <x:v>R1</x:v>
      </x:c>
      <x:c r="D8" s="22" t="str">
        <x:v>B</x:v>
      </x:c>
      <x:c r="E8" s="29" t="str">
        <x:v>S01</x:v>
      </x:c>
      <x:c r="F8" s="22" t="str">
        <x:v>Open shoulder and staging</x:v>
      </x:c>
      <x:c r="G8" s="64" t="n">
        <x:v>1.5</x:v>
      </x:c>
      <x:c r="H8" s="64" t="n">
        <x:v>0.85</x:v>
      </x:c>
      <x:c r="I8" s="64" t="n">
        <x:v>2</x:v>
      </x:c>
      <x:c r="J8" s="64" t="n">
        <x:f>SUM($G$7:G8)</x:f>
        <x:v>3</x:v>
      </x:c>
      <x:c r="K8" s="64" t="n">
        <x:f>10+'Architecture Roots'!M7+(J8*'Hydraulic Build'!D20*'Architecture Roots'!E7)/'Architecture Roots'!L7+'Architecture Roots'!N7</x:f>
        <x:v>37.5710909723659</x:v>
      </x:c>
      <x:c r="L8" s="64" t="n">
        <x:f>'Route Constitution'!E7</x:f>
        <x:v>0.85</x:v>
      </x:c>
      <x:c r="M8" s="64" t="n">
        <x:v>0</x:v>
      </x:c>
      <x:c r="N8" s="64" t="n">
        <x:f>MAX(K8,L8,M8)</x:f>
        <x:v>37.5710909723659</x:v>
      </x:c>
      <x:c r="O8" s="64" t="n">
        <x:f>G8*H8/'Architecture Roots'!Q7*24</x:f>
        <x:v>6.8</x:v>
      </x:c>
      <x:c r="P8" s="65" t="n">
        <x:f>N8+O8</x:f>
        <x:v>44.3710909723659</x:v>
      </x:c>
    </x:row>
    <x:row r="9" ht="28" customHeight="1">
      <x:c r="B9" s="22" t="str">
        <x:v>WF-003</x:v>
      </x:c>
      <x:c r="C9" s="22" t="str">
        <x:v>R1</x:v>
      </x:c>
      <x:c r="D9" s="22" t="str">
        <x:v>A</x:v>
      </x:c>
      <x:c r="E9" s="29" t="str">
        <x:v>S02</x:v>
      </x:c>
      <x:c r="F9" s="22" t="str">
        <x:v>Dense urban street</x:v>
      </x:c>
      <x:c r="G9" s="64" t="n">
        <x:v>1</x:v>
      </x:c>
      <x:c r="H9" s="64" t="n">
        <x:v>1.45</x:v>
      </x:c>
      <x:c r="I9" s="64" t="n">
        <x:v>3</x:v>
      </x:c>
      <x:c r="J9" s="64" t="n">
        <x:f>SUM($G$7:G9)</x:f>
        <x:v>4</x:v>
      </x:c>
      <x:c r="K9" s="64" t="n">
        <x:f>10+'Architecture Roots'!M7+(J9*'Hydraulic Build'!D20*'Architecture Roots'!E7)/'Architecture Roots'!L7+'Architecture Roots'!N7</x:f>
        <x:v>39.42812129648787</x:v>
      </x:c>
      <x:c r="L9" s="64" t="n">
        <x:f>'Route Constitution'!E8</x:f>
        <x:v>1.45</x:v>
      </x:c>
      <x:c r="M9" s="64" t="n">
        <x:v>0</x:v>
      </x:c>
      <x:c r="N9" s="64" t="n">
        <x:f>MAX(K9,L9,M9)</x:f>
        <x:v>39.42812129648787</x:v>
      </x:c>
      <x:c r="O9" s="64" t="n">
        <x:f>G9*H9/'Architecture Roots'!Q7*24</x:f>
        <x:v>7.7333333333333325</x:v>
      </x:c>
      <x:c r="P9" s="65" t="n">
        <x:f>N9+O9</x:f>
        <x:v>47.16145462982121</x:v>
      </x:c>
    </x:row>
    <x:row r="10" ht="28" customHeight="1">
      <x:c r="B10" s="22" t="str">
        <x:v>WF-004</x:v>
      </x:c>
      <x:c r="C10" s="22" t="str">
        <x:v>R1</x:v>
      </x:c>
      <x:c r="D10" s="22" t="str">
        <x:v>B</x:v>
      </x:c>
      <x:c r="E10" s="29" t="str">
        <x:v>S02</x:v>
      </x:c>
      <x:c r="F10" s="22" t="str">
        <x:v>Dense urban street</x:v>
      </x:c>
      <x:c r="G10" s="64" t="n">
        <x:v>1</x:v>
      </x:c>
      <x:c r="H10" s="64" t="n">
        <x:v>1.45</x:v>
      </x:c>
      <x:c r="I10" s="64" t="n">
        <x:v>4</x:v>
      </x:c>
      <x:c r="J10" s="64" t="n">
        <x:f>SUM($G$7:G10)</x:f>
        <x:v>5</x:v>
      </x:c>
      <x:c r="K10" s="64" t="n">
        <x:f>10+'Architecture Roots'!M7+(J10*'Hydraulic Build'!D20*'Architecture Roots'!E7)/'Architecture Roots'!L7+'Architecture Roots'!N7</x:f>
        <x:v>41.28515162060984</x:v>
      </x:c>
      <x:c r="L10" s="64" t="n">
        <x:f>'Route Constitution'!E8</x:f>
        <x:v>1.45</x:v>
      </x:c>
      <x:c r="M10" s="64" t="n">
        <x:v>0</x:v>
      </x:c>
      <x:c r="N10" s="64" t="n">
        <x:f>MAX(K10,L10,M10)</x:f>
        <x:v>41.28515162060984</x:v>
      </x:c>
      <x:c r="O10" s="64" t="n">
        <x:f>G10*H10/'Architecture Roots'!Q7*24</x:f>
        <x:v>7.7333333333333325</x:v>
      </x:c>
      <x:c r="P10" s="65" t="n">
        <x:f>N10+O10</x:f>
        <x:v>49.01848495394317</x:v>
      </x:c>
    </x:row>
    <x:row r="11" ht="28" customHeight="1">
      <x:c r="B11" s="22" t="str">
        <x:v>WF-005</x:v>
      </x:c>
      <x:c r="C11" s="22" t="str">
        <x:v>R1</x:v>
      </x:c>
      <x:c r="D11" s="22" t="str">
        <x:v>A</x:v>
      </x:c>
      <x:c r="E11" s="29" t="str">
        <x:v>S03</x:v>
      </x:c>
      <x:c r="F11" s="22" t="str">
        <x:v>Saturated weak soil</x:v>
      </x:c>
      <x:c r="G11" s="64" t="n">
        <x:v>1.5</x:v>
      </x:c>
      <x:c r="H11" s="64" t="n">
        <x:v>1.55</x:v>
      </x:c>
      <x:c r="I11" s="64" t="n">
        <x:v>5</x:v>
      </x:c>
      <x:c r="J11" s="64" t="n">
        <x:f>SUM($G$7:G11)</x:f>
        <x:v>6.5</x:v>
      </x:c>
      <x:c r="K11" s="64" t="n">
        <x:f>10+'Architecture Roots'!M7+(J11*'Hydraulic Build'!D20*'Architecture Roots'!E7)/'Architecture Roots'!L7+'Architecture Roots'!N7</x:f>
        <x:v>44.07069710679279</x:v>
      </x:c>
      <x:c r="L11" s="64" t="n">
        <x:f>'Route Constitution'!E9</x:f>
        <x:v>1.55</x:v>
      </x:c>
      <x:c r="M11" s="64" t="n">
        <x:v>0</x:v>
      </x:c>
      <x:c r="N11" s="64" t="n">
        <x:f>MAX(K11,L11,M11)</x:f>
        <x:v>44.07069710679279</x:v>
      </x:c>
      <x:c r="O11" s="64" t="n">
        <x:f>G11*H11/'Architecture Roots'!Q7*24</x:f>
        <x:v>12.400000000000002</x:v>
      </x:c>
      <x:c r="P11" s="65" t="n">
        <x:f>N11+O11</x:f>
        <x:v>56.4706971067928</x:v>
      </x:c>
    </x:row>
    <x:row r="12" ht="28" customHeight="1">
      <x:c r="B12" s="22" t="str">
        <x:v>WF-006</x:v>
      </x:c>
      <x:c r="C12" s="22" t="str">
        <x:v>R1</x:v>
      </x:c>
      <x:c r="D12" s="22" t="str">
        <x:v>B</x:v>
      </x:c>
      <x:c r="E12" s="29" t="str">
        <x:v>S03</x:v>
      </x:c>
      <x:c r="F12" s="22" t="str">
        <x:v>Saturated weak soil</x:v>
      </x:c>
      <x:c r="G12" s="64" t="n">
        <x:v>1.5</x:v>
      </x:c>
      <x:c r="H12" s="64" t="n">
        <x:v>1.55</x:v>
      </x:c>
      <x:c r="I12" s="64" t="n">
        <x:v>6</x:v>
      </x:c>
      <x:c r="J12" s="64" t="n">
        <x:f>SUM($G$7:G12)</x:f>
        <x:v>8</x:v>
      </x:c>
      <x:c r="K12" s="64" t="n">
        <x:f>10+'Architecture Roots'!M7+(J12*'Hydraulic Build'!D20*'Architecture Roots'!E7)/'Architecture Roots'!L7+'Architecture Roots'!N7</x:f>
        <x:v>46.85624259297575</x:v>
      </x:c>
      <x:c r="L12" s="64" t="n">
        <x:f>'Route Constitution'!E9</x:f>
        <x:v>1.55</x:v>
      </x:c>
      <x:c r="M12" s="64" t="n">
        <x:v>0</x:v>
      </x:c>
      <x:c r="N12" s="64" t="n">
        <x:f>MAX(K12,L12,M12)</x:f>
        <x:v>46.85624259297575</x:v>
      </x:c>
      <x:c r="O12" s="64" t="n">
        <x:f>G12*H12/'Architecture Roots'!Q7*24</x:f>
        <x:v>12.400000000000002</x:v>
      </x:c>
      <x:c r="P12" s="65" t="n">
        <x:f>N12+O12</x:f>
        <x:v>59.25624259297575</x:v>
      </x:c>
    </x:row>
    <x:row r="13" ht="28" customHeight="1">
      <x:c r="B13" s="22" t="str">
        <x:v>WF-007</x:v>
      </x:c>
      <x:c r="C13" s="22" t="str">
        <x:v>R1</x:v>
      </x:c>
      <x:c r="D13" s="22" t="str">
        <x:v>A</x:v>
      </x:c>
      <x:c r="E13" s="29" t="str">
        <x:v>S04</x:v>
      </x:c>
      <x:c r="F13" s="22" t="str">
        <x:v>Sustained grade</x:v>
      </x:c>
      <x:c r="G13" s="64" t="n">
        <x:v>1</x:v>
      </x:c>
      <x:c r="H13" s="64" t="n">
        <x:v>1.25</x:v>
      </x:c>
      <x:c r="I13" s="64" t="n">
        <x:v>1</x:v>
      </x:c>
      <x:c r="J13" s="64" t="n">
        <x:f>SUM($G$7:G13)</x:f>
        <x:v>9</x:v>
      </x:c>
      <x:c r="K13" s="64" t="n">
        <x:f>10+'Architecture Roots'!M7+(J13*'Hydraulic Build'!D20*'Architecture Roots'!E7)/'Architecture Roots'!L7+'Architecture Roots'!N7</x:f>
        <x:v>48.71327291709771</x:v>
      </x:c>
      <x:c r="L13" s="64" t="n">
        <x:f>'Route Constitution'!E10</x:f>
        <x:v>1.25</x:v>
      </x:c>
      <x:c r="M13" s="64" t="n">
        <x:f>P7</x:f>
        <x:v>41.58554548618295</x:v>
      </x:c>
      <x:c r="N13" s="64" t="n">
        <x:f>MAX(K13,L13,M13)</x:f>
        <x:v>48.71327291709771</x:v>
      </x:c>
      <x:c r="O13" s="64" t="n">
        <x:f>G13*H13/'Architecture Roots'!Q7*24</x:f>
        <x:v>6.666666666666667</x:v>
      </x:c>
      <x:c r="P13" s="65" t="n">
        <x:f>N13+O13</x:f>
        <x:v>55.379939583764376</x:v>
      </x:c>
    </x:row>
    <x:row r="14" ht="28" customHeight="1">
      <x:c r="B14" s="22" t="str">
        <x:v>WF-008</x:v>
      </x:c>
      <x:c r="C14" s="22" t="str">
        <x:v>R1</x:v>
      </x:c>
      <x:c r="D14" s="22" t="str">
        <x:v>B</x:v>
      </x:c>
      <x:c r="E14" s="29" t="str">
        <x:v>S04</x:v>
      </x:c>
      <x:c r="F14" s="22" t="str">
        <x:v>Sustained grade</x:v>
      </x:c>
      <x:c r="G14" s="64" t="n">
        <x:v>1</x:v>
      </x:c>
      <x:c r="H14" s="64" t="n">
        <x:v>1.25</x:v>
      </x:c>
      <x:c r="I14" s="64" t="n">
        <x:v>2</x:v>
      </x:c>
      <x:c r="J14" s="64" t="n">
        <x:f>SUM($G$7:G14)</x:f>
        <x:v>10</x:v>
      </x:c>
      <x:c r="K14" s="64" t="n">
        <x:f>10+'Architecture Roots'!M7+(J14*'Hydraulic Build'!D20*'Architecture Roots'!E7)/'Architecture Roots'!L7+'Architecture Roots'!N7</x:f>
        <x:v>50.570303241219676</x:v>
      </x:c>
      <x:c r="L14" s="64" t="n">
        <x:f>'Route Constitution'!E10</x:f>
        <x:v>1.25</x:v>
      </x:c>
      <x:c r="M14" s="64" t="n">
        <x:f>P8</x:f>
        <x:v>44.3710909723659</x:v>
      </x:c>
      <x:c r="N14" s="64" t="n">
        <x:f>MAX(K14,L14,M14)</x:f>
        <x:v>50.570303241219676</x:v>
      </x:c>
      <x:c r="O14" s="64" t="n">
        <x:f>G14*H14/'Architecture Roots'!Q7*24</x:f>
        <x:v>6.666666666666667</x:v>
      </x:c>
      <x:c r="P14" s="65" t="n">
        <x:f>N14+O14</x:f>
        <x:v>57.23696990788634</x:v>
      </x:c>
    </x:row>
    <x:row r="15" ht="28" customHeight="1">
      <x:c r="B15" s="22" t="str">
        <x:v>WF-009</x:v>
      </x:c>
      <x:c r="C15" s="22" t="str">
        <x:v>R1</x:v>
      </x:c>
      <x:c r="D15" s="22" t="str">
        <x:v>A</x:v>
      </x:c>
      <x:c r="E15" s="29" t="str">
        <x:v>S05</x:v>
      </x:c>
      <x:c r="F15" s="22" t="str">
        <x:v>Road and rail crossings</x:v>
      </x:c>
      <x:c r="G15" s="64" t="n">
        <x:v>1</x:v>
      </x:c>
      <x:c r="H15" s="64" t="n">
        <x:v>1.7</x:v>
      </x:c>
      <x:c r="I15" s="64" t="n">
        <x:v>3</x:v>
      </x:c>
      <x:c r="J15" s="64" t="n">
        <x:f>SUM($G$7:G15)</x:f>
        <x:v>11</x:v>
      </x:c>
      <x:c r="K15" s="64" t="n">
        <x:f>10+'Architecture Roots'!M7+(J15*'Hydraulic Build'!D20*'Architecture Roots'!E7)/'Architecture Roots'!L7+'Architecture Roots'!N7</x:f>
        <x:v>52.42733356534165</x:v>
      </x:c>
      <x:c r="L15" s="64" t="n">
        <x:f>'Route Constitution'!E11</x:f>
        <x:v>1.7</x:v>
      </x:c>
      <x:c r="M15" s="64" t="n">
        <x:f>P9</x:f>
        <x:v>47.16145462982121</x:v>
      </x:c>
      <x:c r="N15" s="64" t="n">
        <x:f>MAX(K15,L15,M15)</x:f>
        <x:v>52.42733356534165</x:v>
      </x:c>
      <x:c r="O15" s="64" t="n">
        <x:f>G15*H15/'Architecture Roots'!Q7*24</x:f>
        <x:v>9.066666666666666</x:v>
      </x:c>
      <x:c r="P15" s="65" t="n">
        <x:f>N15+O15</x:f>
        <x:v>61.49400023200832</x:v>
      </x:c>
    </x:row>
    <x:row r="16" ht="28" customHeight="1">
      <x:c r="B16" s="22" t="str">
        <x:v>WF-010</x:v>
      </x:c>
      <x:c r="C16" s="22" t="str">
        <x:v>R1</x:v>
      </x:c>
      <x:c r="D16" s="22" t="str">
        <x:v>B</x:v>
      </x:c>
      <x:c r="E16" s="29" t="str">
        <x:v>S05</x:v>
      </x:c>
      <x:c r="F16" s="22" t="str">
        <x:v>Road and rail crossings</x:v>
      </x:c>
      <x:c r="G16" s="64" t="n">
        <x:v>1</x:v>
      </x:c>
      <x:c r="H16" s="64" t="n">
        <x:v>1.7</x:v>
      </x:c>
      <x:c r="I16" s="64" t="n">
        <x:v>4</x:v>
      </x:c>
      <x:c r="J16" s="64" t="n">
        <x:f>SUM($G$7:G16)</x:f>
        <x:v>12</x:v>
      </x:c>
      <x:c r="K16" s="64" t="n">
        <x:f>10+'Architecture Roots'!M7+(J16*'Hydraulic Build'!D20*'Architecture Roots'!E7)/'Architecture Roots'!L7+'Architecture Roots'!N7</x:f>
        <x:v>54.28436388946361</x:v>
      </x:c>
      <x:c r="L16" s="64" t="n">
        <x:f>'Route Constitution'!E11</x:f>
        <x:v>1.7</x:v>
      </x:c>
      <x:c r="M16" s="64" t="n">
        <x:f>P10</x:f>
        <x:v>49.01848495394317</x:v>
      </x:c>
      <x:c r="N16" s="64" t="n">
        <x:f>MAX(K16,L16,M16)</x:f>
        <x:v>54.28436388946361</x:v>
      </x:c>
      <x:c r="O16" s="64" t="n">
        <x:f>G16*H16/'Architecture Roots'!Q7*24</x:f>
        <x:v>9.066666666666666</x:v>
      </x:c>
      <x:c r="P16" s="65" t="n">
        <x:f>N16+O16</x:f>
        <x:v>63.35103055613028</x:v>
      </x:c>
    </x:row>
    <x:row r="17" ht="28" customHeight="1">
      <x:c r="B17" s="22" t="str">
        <x:v>WF-011</x:v>
      </x:c>
      <x:c r="C17" s="22" t="str">
        <x:v>R1</x:v>
      </x:c>
      <x:c r="D17" s="22" t="str">
        <x:v>A</x:v>
      </x:c>
      <x:c r="E17" s="29" t="str">
        <x:v>S06</x:v>
      </x:c>
      <x:c r="F17" s="22" t="str">
        <x:v>Water and debris crossing</x:v>
      </x:c>
      <x:c r="G17" s="64" t="n">
        <x:v>1</x:v>
      </x:c>
      <x:c r="H17" s="64" t="n">
        <x:v>1.8</x:v>
      </x:c>
      <x:c r="I17" s="64" t="n">
        <x:v>5</x:v>
      </x:c>
      <x:c r="J17" s="64" t="n">
        <x:f>SUM($G$7:G17)</x:f>
        <x:v>13</x:v>
      </x:c>
      <x:c r="K17" s="64" t="n">
        <x:f>10+'Architecture Roots'!M7+(J17*'Hydraulic Build'!D20*'Architecture Roots'!E7)/'Architecture Roots'!L7+'Architecture Roots'!N7</x:f>
        <x:v>56.141394213585585</x:v>
      </x:c>
      <x:c r="L17" s="64" t="n">
        <x:f>'Route Constitution'!E12</x:f>
        <x:v>1.8</x:v>
      </x:c>
      <x:c r="M17" s="64" t="n">
        <x:f>P11</x:f>
        <x:v>56.4706971067928</x:v>
      </x:c>
      <x:c r="N17" s="64" t="n">
        <x:f>MAX(K17,L17,M17)</x:f>
        <x:v>56.4706971067928</x:v>
      </x:c>
      <x:c r="O17" s="64" t="n">
        <x:f>G17*H17/'Architecture Roots'!Q7*24</x:f>
        <x:v>9.600000000000001</x:v>
      </x:c>
      <x:c r="P17" s="65" t="n">
        <x:f>N17+O17</x:f>
        <x:v>66.0706971067928</x:v>
      </x:c>
    </x:row>
    <x:row r="18" ht="28" customHeight="1">
      <x:c r="B18" s="22" t="str">
        <x:v>WF-012</x:v>
      </x:c>
      <x:c r="C18" s="22" t="str">
        <x:v>R1</x:v>
      </x:c>
      <x:c r="D18" s="22" t="str">
        <x:v>B</x:v>
      </x:c>
      <x:c r="E18" s="29" t="str">
        <x:v>S06</x:v>
      </x:c>
      <x:c r="F18" s="22" t="str">
        <x:v>Water and debris crossing</x:v>
      </x:c>
      <x:c r="G18" s="64" t="n">
        <x:v>1</x:v>
      </x:c>
      <x:c r="H18" s="64" t="n">
        <x:v>1.8</x:v>
      </x:c>
      <x:c r="I18" s="64" t="n">
        <x:v>6</x:v>
      </x:c>
      <x:c r="J18" s="64" t="n">
        <x:f>SUM($G$7:G18)</x:f>
        <x:v>14</x:v>
      </x:c>
      <x:c r="K18" s="64" t="n">
        <x:f>10+'Architecture Roots'!M7+(J18*'Hydraulic Build'!D20*'Architecture Roots'!E7)/'Architecture Roots'!L7+'Architecture Roots'!N7</x:f>
        <x:v>57.99842453770755</x:v>
      </x:c>
      <x:c r="L18" s="64" t="n">
        <x:f>'Route Constitution'!E12</x:f>
        <x:v>1.8</x:v>
      </x:c>
      <x:c r="M18" s="64" t="n">
        <x:f>P12</x:f>
        <x:v>59.25624259297575</x:v>
      </x:c>
      <x:c r="N18" s="64" t="n">
        <x:f>MAX(K18,L18,M18)</x:f>
        <x:v>59.25624259297575</x:v>
      </x:c>
      <x:c r="O18" s="64" t="n">
        <x:f>G18*H18/'Architecture Roots'!Q7*24</x:f>
        <x:v>9.600000000000001</x:v>
      </x:c>
      <x:c r="P18" s="65" t="n">
        <x:f>N18+O18</x:f>
        <x:v>68.85624259297575</x:v>
      </x:c>
    </x:row>
    <x:row r="19" ht="28" customHeight="1">
      <x:c r="B19" s="22" t="str">
        <x:v>WF-013</x:v>
      </x:c>
      <x:c r="C19" s="22" t="str">
        <x:v>R1</x:v>
      </x:c>
      <x:c r="D19" s="22" t="str">
        <x:v>A</x:v>
      </x:c>
      <x:c r="E19" s="29" t="str">
        <x:v>S07</x:v>
      </x:c>
      <x:c r="F19" s="22" t="str">
        <x:v>Controlled exclusion sector</x:v>
      </x:c>
      <x:c r="G19" s="64" t="n">
        <x:v>1</x:v>
      </x:c>
      <x:c r="H19" s="64" t="n">
        <x:v>1.6</x:v>
      </x:c>
      <x:c r="I19" s="64" t="n">
        <x:v>1</x:v>
      </x:c>
      <x:c r="J19" s="64" t="n">
        <x:f>SUM($G$7:G19)</x:f>
        <x:v>15</x:v>
      </x:c>
      <x:c r="K19" s="64" t="n">
        <x:f>10+'Architecture Roots'!M7+(J19*'Hydraulic Build'!D20*'Architecture Roots'!E7)/'Architecture Roots'!L7+'Architecture Roots'!N7</x:f>
        <x:v>59.855454861829514</x:v>
      </x:c>
      <x:c r="L19" s="64" t="n">
        <x:f>'Route Constitution'!E13</x:f>
        <x:v>1.6</x:v>
      </x:c>
      <x:c r="M19" s="64" t="n">
        <x:f>P13</x:f>
        <x:v>55.379939583764376</x:v>
      </x:c>
      <x:c r="N19" s="64" t="n">
        <x:f>MAX(K19,L19,M19)</x:f>
        <x:v>59.855454861829514</x:v>
      </x:c>
      <x:c r="O19" s="64" t="n">
        <x:f>G19*H19/'Architecture Roots'!Q7*24</x:f>
        <x:v>8.533333333333333</x:v>
      </x:c>
      <x:c r="P19" s="65" t="n">
        <x:f>N19+O19</x:f>
        <x:v>68.38878819516285</x:v>
      </x:c>
    </x:row>
    <x:row r="20" ht="28" customHeight="1">
      <x:c r="B20" s="22" t="str">
        <x:v>WF-014</x:v>
      </x:c>
      <x:c r="C20" s="22" t="str">
        <x:v>R1</x:v>
      </x:c>
      <x:c r="D20" s="22" t="str">
        <x:v>B</x:v>
      </x:c>
      <x:c r="E20" s="29" t="str">
        <x:v>S07</x:v>
      </x:c>
      <x:c r="F20" s="22" t="str">
        <x:v>Controlled exclusion sector</x:v>
      </x:c>
      <x:c r="G20" s="64" t="n">
        <x:v>1</x:v>
      </x:c>
      <x:c r="H20" s="64" t="n">
        <x:v>1.6</x:v>
      </x:c>
      <x:c r="I20" s="64" t="n">
        <x:v>2</x:v>
      </x:c>
      <x:c r="J20" s="64" t="n">
        <x:f>SUM($G$7:G20)</x:f>
        <x:v>16</x:v>
      </x:c>
      <x:c r="K20" s="64" t="n">
        <x:f>10+'Architecture Roots'!M7+(J20*'Hydraulic Build'!D20*'Architecture Roots'!E7)/'Architecture Roots'!L7+'Architecture Roots'!N7</x:f>
        <x:v>61.712485185951486</x:v>
      </x:c>
      <x:c r="L20" s="64" t="n">
        <x:f>'Route Constitution'!E13</x:f>
        <x:v>1.6</x:v>
      </x:c>
      <x:c r="M20" s="64" t="n">
        <x:f>P14</x:f>
        <x:v>57.23696990788634</x:v>
      </x:c>
      <x:c r="N20" s="64" t="n">
        <x:f>MAX(K20,L20,M20)</x:f>
        <x:v>61.712485185951486</x:v>
      </x:c>
      <x:c r="O20" s="64" t="n">
        <x:f>G20*H20/'Architecture Roots'!Q7*24</x:f>
        <x:v>8.533333333333333</x:v>
      </x:c>
      <x:c r="P20" s="65" t="n">
        <x:f>N20+O20</x:f>
        <x:v>70.24581851928482</x:v>
      </x:c>
    </x:row>
    <x:row r="21" ht="28" customHeight="1">
      <x:c r="B21" s="22" t="str">
        <x:v>WF-015</x:v>
      </x:c>
      <x:c r="C21" s="22" t="str">
        <x:v>R1</x:v>
      </x:c>
      <x:c r="D21" s="22" t="str">
        <x:v>A</x:v>
      </x:c>
      <x:c r="E21" s="29" t="str">
        <x:v>S08</x:v>
      </x:c>
      <x:c r="F21" s="22" t="str">
        <x:v>Receiver approach</x:v>
      </x:c>
      <x:c r="G21" s="64" t="n">
        <x:v>2</x:v>
      </x:c>
      <x:c r="H21" s="64" t="n">
        <x:v>1.15</x:v>
      </x:c>
      <x:c r="I21" s="64" t="n">
        <x:v>3</x:v>
      </x:c>
      <x:c r="J21" s="64" t="n">
        <x:f>SUM($G$7:G21)</x:f>
        <x:v>18</x:v>
      </x:c>
      <x:c r="K21" s="64" t="n">
        <x:f>10+'Architecture Roots'!M7+(J21*'Hydraulic Build'!D20*'Architecture Roots'!E7)/'Architecture Roots'!L7+'Architecture Roots'!N7</x:f>
        <x:v>65.42654583419542</x:v>
      </x:c>
      <x:c r="L21" s="64" t="n">
        <x:f>'Route Constitution'!E14</x:f>
        <x:v>1.15</x:v>
      </x:c>
      <x:c r="M21" s="64" t="n">
        <x:f>P15</x:f>
        <x:v>61.49400023200832</x:v>
      </x:c>
      <x:c r="N21" s="64" t="n">
        <x:f>MAX(K21,L21,M21)</x:f>
        <x:v>65.42654583419542</x:v>
      </x:c>
      <x:c r="O21" s="64" t="n">
        <x:f>G21*H21/'Architecture Roots'!Q7*24</x:f>
        <x:v>12.266666666666666</x:v>
      </x:c>
      <x:c r="P21" s="65" t="n">
        <x:f>N21+O21</x:f>
        <x:v>77.69321250086209</x:v>
      </x:c>
    </x:row>
    <x:row r="22" ht="28" customHeight="1">
      <x:c r="B22" s="22" t="str">
        <x:v>WF-016</x:v>
      </x:c>
      <x:c r="C22" s="22" t="str">
        <x:v>R1</x:v>
      </x:c>
      <x:c r="D22" s="22" t="str">
        <x:v>B</x:v>
      </x:c>
      <x:c r="E22" s="29" t="str">
        <x:v>S08</x:v>
      </x:c>
      <x:c r="F22" s="22" t="str">
        <x:v>Receiver approach</x:v>
      </x:c>
      <x:c r="G22" s="64" t="n">
        <x:v>2</x:v>
      </x:c>
      <x:c r="H22" s="64" t="n">
        <x:v>1.15</x:v>
      </x:c>
      <x:c r="I22" s="64" t="n">
        <x:v>4</x:v>
      </x:c>
      <x:c r="J22" s="64" t="n">
        <x:f>SUM($G$7:G22)</x:f>
        <x:v>20</x:v>
      </x:c>
      <x:c r="K22" s="64" t="n">
        <x:f>10+'Architecture Roots'!M7+(J22*'Hydraulic Build'!D20*'Architecture Roots'!E7)/'Architecture Roots'!L7+'Architecture Roots'!N7</x:f>
        <x:v>69.14060648243935</x:v>
      </x:c>
      <x:c r="L22" s="64" t="n">
        <x:f>'Route Constitution'!E14</x:f>
        <x:v>1.15</x:v>
      </x:c>
      <x:c r="M22" s="64" t="n">
        <x:f>P16</x:f>
        <x:v>63.35103055613028</x:v>
      </x:c>
      <x:c r="N22" s="64" t="n">
        <x:f>MAX(K22,L22,M22)</x:f>
        <x:v>69.14060648243935</x:v>
      </x:c>
      <x:c r="O22" s="64" t="n">
        <x:f>G22*H22/'Architecture Roots'!Q7*24</x:f>
        <x:v>12.266666666666666</x:v>
      </x:c>
      <x:c r="P22" s="65" t="n">
        <x:f>N22+O22</x:f>
        <x:v>81.40727314910602</x:v>
      </x:c>
    </x:row>
    <x:row r="23" ht="28" customHeight="1">
      <x:c r="B23" s="22" t="str">
        <x:v>WF-017</x:v>
      </x:c>
      <x:c r="C23" s="22" t="str">
        <x:v>R2</x:v>
      </x:c>
      <x:c r="D23" s="22" t="str">
        <x:v>A</x:v>
      </x:c>
      <x:c r="E23" s="29" t="str">
        <x:v>S01</x:v>
      </x:c>
      <x:c r="F23" s="22" t="str">
        <x:v>Open shoulder and staging</x:v>
      </x:c>
      <x:c r="G23" s="64" t="n">
        <x:v>1.5</x:v>
      </x:c>
      <x:c r="H23" s="64" t="n">
        <x:v>0.85</x:v>
      </x:c>
      <x:c r="I23" s="64" t="n">
        <x:v>1</x:v>
      </x:c>
      <x:c r="J23" s="64" t="n">
        <x:f>SUM($G$23:G23)</x:f>
        <x:v>1.5</x:v>
      </x:c>
      <x:c r="K23" s="64" t="n">
        <x:f>10+'Architecture Roots'!M8+(J23*'Hydraulic Build'!D20*'Architecture Roots'!E8)/'Architecture Roots'!L8+'Architecture Roots'!N8</x:f>
        <x:v>25.249803067213442</x:v>
      </x:c>
      <x:c r="L23" s="64" t="n">
        <x:f>'Route Constitution'!E7</x:f>
        <x:v>0.85</x:v>
      </x:c>
      <x:c r="M23" s="64" t="n">
        <x:v>0</x:v>
      </x:c>
      <x:c r="N23" s="64" t="n">
        <x:f>MAX(K23,L23,M23)</x:f>
        <x:v>25.249803067213442</x:v>
      </x:c>
      <x:c r="O23" s="64" t="n">
        <x:f>G23*H23/'Architecture Roots'!Q8*24</x:f>
        <x:v>6.12</x:v>
      </x:c>
      <x:c r="P23" s="65" t="n">
        <x:f>N23+O23</x:f>
        <x:v>31.369803067213443</x:v>
      </x:c>
    </x:row>
    <x:row r="24" ht="28" customHeight="1">
      <x:c r="B24" s="22" t="str">
        <x:v>WF-018</x:v>
      </x:c>
      <x:c r="C24" s="22" t="str">
        <x:v>R2</x:v>
      </x:c>
      <x:c r="D24" s="22" t="str">
        <x:v>B</x:v>
      </x:c>
      <x:c r="E24" s="29" t="str">
        <x:v>S01</x:v>
      </x:c>
      <x:c r="F24" s="22" t="str">
        <x:v>Open shoulder and staging</x:v>
      </x:c>
      <x:c r="G24" s="64" t="n">
        <x:v>1.5</x:v>
      </x:c>
      <x:c r="H24" s="64" t="n">
        <x:v>0.85</x:v>
      </x:c>
      <x:c r="I24" s="64" t="n">
        <x:v>2</x:v>
      </x:c>
      <x:c r="J24" s="64" t="n">
        <x:f>SUM($G$23:G24)</x:f>
        <x:v>3</x:v>
      </x:c>
      <x:c r="K24" s="64" t="n">
        <x:f>10+'Architecture Roots'!M8+(J24*'Hydraulic Build'!D20*'Architecture Roots'!E8)/'Architecture Roots'!L8+'Architecture Roots'!N8</x:f>
        <x:v>28.499606134426887</x:v>
      </x:c>
      <x:c r="L24" s="64" t="n">
        <x:f>'Route Constitution'!E7</x:f>
        <x:v>0.85</x:v>
      </x:c>
      <x:c r="M24" s="64" t="n">
        <x:v>0</x:v>
      </x:c>
      <x:c r="N24" s="64" t="n">
        <x:f>MAX(K24,L24,M24)</x:f>
        <x:v>28.499606134426887</x:v>
      </x:c>
      <x:c r="O24" s="64" t="n">
        <x:f>G24*H24/'Architecture Roots'!Q8*24</x:f>
        <x:v>6.12</x:v>
      </x:c>
      <x:c r="P24" s="65" t="n">
        <x:f>N24+O24</x:f>
        <x:v>34.61960613442689</x:v>
      </x:c>
    </x:row>
    <x:row r="25" ht="28" customHeight="1">
      <x:c r="B25" s="22" t="str">
        <x:v>WF-019</x:v>
      </x:c>
      <x:c r="C25" s="22" t="str">
        <x:v>R2</x:v>
      </x:c>
      <x:c r="D25" s="22" t="str">
        <x:v>A</x:v>
      </x:c>
      <x:c r="E25" s="29" t="str">
        <x:v>S02</x:v>
      </x:c>
      <x:c r="F25" s="22" t="str">
        <x:v>Dense urban street</x:v>
      </x:c>
      <x:c r="G25" s="64" t="n">
        <x:v>1</x:v>
      </x:c>
      <x:c r="H25" s="64" t="n">
        <x:v>1.45</x:v>
      </x:c>
      <x:c r="I25" s="64" t="n">
        <x:v>3</x:v>
      </x:c>
      <x:c r="J25" s="64" t="n">
        <x:f>SUM($G$23:G25)</x:f>
        <x:v>4</x:v>
      </x:c>
      <x:c r="K25" s="64" t="n">
        <x:f>10+'Architecture Roots'!M8+(J25*'Hydraulic Build'!D20*'Architecture Roots'!E8)/'Architecture Roots'!L8+'Architecture Roots'!N8</x:f>
        <x:v>30.666141512569183</x:v>
      </x:c>
      <x:c r="L25" s="64" t="n">
        <x:f>'Route Constitution'!E8</x:f>
        <x:v>1.45</x:v>
      </x:c>
      <x:c r="M25" s="64" t="n">
        <x:v>0</x:v>
      </x:c>
      <x:c r="N25" s="64" t="n">
        <x:f>MAX(K25,L25,M25)</x:f>
        <x:v>30.666141512569183</x:v>
      </x:c>
      <x:c r="O25" s="64" t="n">
        <x:f>G25*H25/'Architecture Roots'!Q8*24</x:f>
        <x:v>6.959999999999999</x:v>
      </x:c>
      <x:c r="P25" s="65" t="n">
        <x:f>N25+O25</x:f>
        <x:v>37.626141512569184</x:v>
      </x:c>
    </x:row>
    <x:row r="26" ht="28" customHeight="1">
      <x:c r="B26" s="22" t="str">
        <x:v>WF-020</x:v>
      </x:c>
      <x:c r="C26" s="22" t="str">
        <x:v>R2</x:v>
      </x:c>
      <x:c r="D26" s="22" t="str">
        <x:v>B</x:v>
      </x:c>
      <x:c r="E26" s="29" t="str">
        <x:v>S02</x:v>
      </x:c>
      <x:c r="F26" s="22" t="str">
        <x:v>Dense urban street</x:v>
      </x:c>
      <x:c r="G26" s="64" t="n">
        <x:v>1</x:v>
      </x:c>
      <x:c r="H26" s="64" t="n">
        <x:v>1.45</x:v>
      </x:c>
      <x:c r="I26" s="64" t="n">
        <x:v>4</x:v>
      </x:c>
      <x:c r="J26" s="64" t="n">
        <x:f>SUM($G$23:G26)</x:f>
        <x:v>5</x:v>
      </x:c>
      <x:c r="K26" s="64" t="n">
        <x:f>10+'Architecture Roots'!M8+(J26*'Hydraulic Build'!D20*'Architecture Roots'!E8)/'Architecture Roots'!L8+'Architecture Roots'!N8</x:f>
        <x:v>32.832676890711475</x:v>
      </x:c>
      <x:c r="L26" s="64" t="n">
        <x:f>'Route Constitution'!E8</x:f>
        <x:v>1.45</x:v>
      </x:c>
      <x:c r="M26" s="64" t="n">
        <x:v>0</x:v>
      </x:c>
      <x:c r="N26" s="64" t="n">
        <x:f>MAX(K26,L26,M26)</x:f>
        <x:v>32.832676890711475</x:v>
      </x:c>
      <x:c r="O26" s="64" t="n">
        <x:f>G26*H26/'Architecture Roots'!Q8*24</x:f>
        <x:v>6.959999999999999</x:v>
      </x:c>
      <x:c r="P26" s="65" t="n">
        <x:f>N26+O26</x:f>
        <x:v>39.792676890711476</x:v>
      </x:c>
    </x:row>
    <x:row r="27" ht="28" customHeight="1">
      <x:c r="B27" s="22" t="str">
        <x:v>WF-021</x:v>
      </x:c>
      <x:c r="C27" s="22" t="str">
        <x:v>R2</x:v>
      </x:c>
      <x:c r="D27" s="22" t="str">
        <x:v>A</x:v>
      </x:c>
      <x:c r="E27" s="29" t="str">
        <x:v>S03</x:v>
      </x:c>
      <x:c r="F27" s="22" t="str">
        <x:v>Saturated weak soil</x:v>
      </x:c>
      <x:c r="G27" s="64" t="n">
        <x:v>1.5</x:v>
      </x:c>
      <x:c r="H27" s="64" t="n">
        <x:v>1.55</x:v>
      </x:c>
      <x:c r="I27" s="64" t="n">
        <x:v>5</x:v>
      </x:c>
      <x:c r="J27" s="64" t="n">
        <x:f>SUM($G$23:G27)</x:f>
        <x:v>6.5</x:v>
      </x:c>
      <x:c r="K27" s="64" t="n">
        <x:f>10+'Architecture Roots'!M8+(J27*'Hydraulic Build'!D20*'Architecture Roots'!E8)/'Architecture Roots'!L8+'Architecture Roots'!N8</x:f>
        <x:v>36.082479957924924</x:v>
      </x:c>
      <x:c r="L27" s="64" t="n">
        <x:f>'Route Constitution'!E9</x:f>
        <x:v>1.55</x:v>
      </x:c>
      <x:c r="M27" s="64" t="n">
        <x:v>0</x:v>
      </x:c>
      <x:c r="N27" s="64" t="n">
        <x:f>MAX(K27,L27,M27)</x:f>
        <x:v>36.082479957924924</x:v>
      </x:c>
      <x:c r="O27" s="64" t="n">
        <x:f>G27*H27/'Architecture Roots'!Q8*24</x:f>
        <x:v>11.16</x:v>
      </x:c>
      <x:c r="P27" s="65" t="n">
        <x:f>N27+O27</x:f>
        <x:v>47.24247995792493</x:v>
      </x:c>
    </x:row>
    <x:row r="28" ht="28" customHeight="1">
      <x:c r="B28" s="22" t="str">
        <x:v>WF-022</x:v>
      </x:c>
      <x:c r="C28" s="22" t="str">
        <x:v>R2</x:v>
      </x:c>
      <x:c r="D28" s="22" t="str">
        <x:v>B</x:v>
      </x:c>
      <x:c r="E28" s="29" t="str">
        <x:v>S03</x:v>
      </x:c>
      <x:c r="F28" s="22" t="str">
        <x:v>Saturated weak soil</x:v>
      </x:c>
      <x:c r="G28" s="64" t="n">
        <x:v>1.5</x:v>
      </x:c>
      <x:c r="H28" s="64" t="n">
        <x:v>1.55</x:v>
      </x:c>
      <x:c r="I28" s="64" t="n">
        <x:v>6</x:v>
      </x:c>
      <x:c r="J28" s="64" t="n">
        <x:f>SUM($G$23:G28)</x:f>
        <x:v>8</x:v>
      </x:c>
      <x:c r="K28" s="64" t="n">
        <x:f>10+'Architecture Roots'!M8+(J28*'Hydraulic Build'!D20*'Architecture Roots'!E8)/'Architecture Roots'!L8+'Architecture Roots'!N8</x:f>
        <x:v>39.332283025138366</x:v>
      </x:c>
      <x:c r="L28" s="64" t="n">
        <x:f>'Route Constitution'!E9</x:f>
        <x:v>1.55</x:v>
      </x:c>
      <x:c r="M28" s="64" t="n">
        <x:v>0</x:v>
      </x:c>
      <x:c r="N28" s="64" t="n">
        <x:f>MAX(K28,L28,M28)</x:f>
        <x:v>39.332283025138366</x:v>
      </x:c>
      <x:c r="O28" s="64" t="n">
        <x:f>G28*H28/'Architecture Roots'!Q8*24</x:f>
        <x:v>11.16</x:v>
      </x:c>
      <x:c r="P28" s="65" t="n">
        <x:f>N28+O28</x:f>
        <x:v>50.49228302513836</x:v>
      </x:c>
    </x:row>
    <x:row r="29" ht="28" customHeight="1">
      <x:c r="B29" s="22" t="str">
        <x:v>WF-023</x:v>
      </x:c>
      <x:c r="C29" s="22" t="str">
        <x:v>R2</x:v>
      </x:c>
      <x:c r="D29" s="22" t="str">
        <x:v>A</x:v>
      </x:c>
      <x:c r="E29" s="29" t="str">
        <x:v>S04</x:v>
      </x:c>
      <x:c r="F29" s="22" t="str">
        <x:v>Sustained grade</x:v>
      </x:c>
      <x:c r="G29" s="64" t="n">
        <x:v>1</x:v>
      </x:c>
      <x:c r="H29" s="64" t="n">
        <x:v>1.25</x:v>
      </x:c>
      <x:c r="I29" s="64" t="n">
        <x:v>1</x:v>
      </x:c>
      <x:c r="J29" s="64" t="n">
        <x:f>SUM($G$23:G29)</x:f>
        <x:v>9</x:v>
      </x:c>
      <x:c r="K29" s="64" t="n">
        <x:f>10+'Architecture Roots'!M8+(J29*'Hydraulic Build'!D20*'Architecture Roots'!E8)/'Architecture Roots'!L8+'Architecture Roots'!N8</x:f>
        <x:v>41.498818403280666</x:v>
      </x:c>
      <x:c r="L29" s="64" t="n">
        <x:f>'Route Constitution'!E10</x:f>
        <x:v>1.25</x:v>
      </x:c>
      <x:c r="M29" s="64" t="n">
        <x:f>P23</x:f>
        <x:v>31.369803067213443</x:v>
      </x:c>
      <x:c r="N29" s="64" t="n">
        <x:f>MAX(K29,L29,M29)</x:f>
        <x:v>41.498818403280666</x:v>
      </x:c>
      <x:c r="O29" s="64" t="n">
        <x:f>G29*H29/'Architecture Roots'!Q8*24</x:f>
        <x:v>6</x:v>
      </x:c>
      <x:c r="P29" s="65" t="n">
        <x:f>N29+O29</x:f>
        <x:v>47.498818403280666</x:v>
      </x:c>
    </x:row>
    <x:row r="30" ht="28" customHeight="1">
      <x:c r="B30" s="22" t="str">
        <x:v>WF-024</x:v>
      </x:c>
      <x:c r="C30" s="22" t="str">
        <x:v>R2</x:v>
      </x:c>
      <x:c r="D30" s="22" t="str">
        <x:v>B</x:v>
      </x:c>
      <x:c r="E30" s="29" t="str">
        <x:v>S04</x:v>
      </x:c>
      <x:c r="F30" s="22" t="str">
        <x:v>Sustained grade</x:v>
      </x:c>
      <x:c r="G30" s="64" t="n">
        <x:v>1</x:v>
      </x:c>
      <x:c r="H30" s="64" t="n">
        <x:v>1.25</x:v>
      </x:c>
      <x:c r="I30" s="64" t="n">
        <x:v>2</x:v>
      </x:c>
      <x:c r="J30" s="64" t="n">
        <x:f>SUM($G$23:G30)</x:f>
        <x:v>10</x:v>
      </x:c>
      <x:c r="K30" s="64" t="n">
        <x:f>10+'Architecture Roots'!M8+(J30*'Hydraulic Build'!D20*'Architecture Roots'!E8)/'Architecture Roots'!L8+'Architecture Roots'!N8</x:f>
        <x:v>43.66535378142295</x:v>
      </x:c>
      <x:c r="L30" s="64" t="n">
        <x:f>'Route Constitution'!E10</x:f>
        <x:v>1.25</x:v>
      </x:c>
      <x:c r="M30" s="64" t="n">
        <x:f>P24</x:f>
        <x:v>34.61960613442689</x:v>
      </x:c>
      <x:c r="N30" s="64" t="n">
        <x:f>MAX(K30,L30,M30)</x:f>
        <x:v>43.66535378142295</x:v>
      </x:c>
      <x:c r="O30" s="64" t="n">
        <x:f>G30*H30/'Architecture Roots'!Q8*24</x:f>
        <x:v>6</x:v>
      </x:c>
      <x:c r="P30" s="65" t="n">
        <x:f>N30+O30</x:f>
        <x:v>49.66535378142295</x:v>
      </x:c>
    </x:row>
    <x:row r="31" ht="28" customHeight="1">
      <x:c r="B31" s="22" t="str">
        <x:v>WF-025</x:v>
      </x:c>
      <x:c r="C31" s="22" t="str">
        <x:v>R2</x:v>
      </x:c>
      <x:c r="D31" s="22" t="str">
        <x:v>A</x:v>
      </x:c>
      <x:c r="E31" s="29" t="str">
        <x:v>S05</x:v>
      </x:c>
      <x:c r="F31" s="22" t="str">
        <x:v>Road and rail crossings</x:v>
      </x:c>
      <x:c r="G31" s="64" t="n">
        <x:v>1</x:v>
      </x:c>
      <x:c r="H31" s="64" t="n">
        <x:v>1.7</x:v>
      </x:c>
      <x:c r="I31" s="64" t="n">
        <x:v>3</x:v>
      </x:c>
      <x:c r="J31" s="64" t="n">
        <x:f>SUM($G$23:G31)</x:f>
        <x:v>11</x:v>
      </x:c>
      <x:c r="K31" s="64" t="n">
        <x:f>10+'Architecture Roots'!M8+(J31*'Hydraulic Build'!D20*'Architecture Roots'!E8)/'Architecture Roots'!L8+'Architecture Roots'!N8</x:f>
        <x:v>45.83188915956525</x:v>
      </x:c>
      <x:c r="L31" s="64" t="n">
        <x:f>'Route Constitution'!E11</x:f>
        <x:v>1.7</x:v>
      </x:c>
      <x:c r="M31" s="64" t="n">
        <x:f>P25</x:f>
        <x:v>37.626141512569184</x:v>
      </x:c>
      <x:c r="N31" s="64" t="n">
        <x:f>MAX(K31,L31,M31)</x:f>
        <x:v>45.83188915956525</x:v>
      </x:c>
      <x:c r="O31" s="64" t="n">
        <x:f>G31*H31/'Architecture Roots'!Q8*24</x:f>
        <x:v>8.16</x:v>
      </x:c>
      <x:c r="P31" s="65" t="n">
        <x:f>N31+O31</x:f>
        <x:v>53.99188915956525</x:v>
      </x:c>
    </x:row>
    <x:row r="32" ht="28" customHeight="1">
      <x:c r="B32" s="22" t="str">
        <x:v>WF-026</x:v>
      </x:c>
      <x:c r="C32" s="22" t="str">
        <x:v>R2</x:v>
      </x:c>
      <x:c r="D32" s="22" t="str">
        <x:v>B</x:v>
      </x:c>
      <x:c r="E32" s="29" t="str">
        <x:v>S05</x:v>
      </x:c>
      <x:c r="F32" s="22" t="str">
        <x:v>Road and rail crossings</x:v>
      </x:c>
      <x:c r="G32" s="64" t="n">
        <x:v>1</x:v>
      </x:c>
      <x:c r="H32" s="64" t="n">
        <x:v>1.7</x:v>
      </x:c>
      <x:c r="I32" s="64" t="n">
        <x:v>4</x:v>
      </x:c>
      <x:c r="J32" s="64" t="n">
        <x:f>SUM($G$23:G32)</x:f>
        <x:v>12</x:v>
      </x:c>
      <x:c r="K32" s="64" t="n">
        <x:f>10+'Architecture Roots'!M8+(J32*'Hydraulic Build'!D20*'Architecture Roots'!E8)/'Architecture Roots'!L8+'Architecture Roots'!N8</x:f>
        <x:v>47.99842453770755</x:v>
      </x:c>
      <x:c r="L32" s="64" t="n">
        <x:f>'Route Constitution'!E11</x:f>
        <x:v>1.7</x:v>
      </x:c>
      <x:c r="M32" s="64" t="n">
        <x:f>P26</x:f>
        <x:v>39.792676890711476</x:v>
      </x:c>
      <x:c r="N32" s="64" t="n">
        <x:f>MAX(K32,L32,M32)</x:f>
        <x:v>47.99842453770755</x:v>
      </x:c>
      <x:c r="O32" s="64" t="n">
        <x:f>G32*H32/'Architecture Roots'!Q8*24</x:f>
        <x:v>8.16</x:v>
      </x:c>
      <x:c r="P32" s="65" t="n">
        <x:f>N32+O32</x:f>
        <x:v>56.158424537707546</x:v>
      </x:c>
    </x:row>
    <x:row r="33" ht="28" customHeight="1">
      <x:c r="B33" s="22" t="str">
        <x:v>WF-027</x:v>
      </x:c>
      <x:c r="C33" s="22" t="str">
        <x:v>R2</x:v>
      </x:c>
      <x:c r="D33" s="22" t="str">
        <x:v>A</x:v>
      </x:c>
      <x:c r="E33" s="29" t="str">
        <x:v>S06</x:v>
      </x:c>
      <x:c r="F33" s="22" t="str">
        <x:v>Water and debris crossing</x:v>
      </x:c>
      <x:c r="G33" s="64" t="n">
        <x:v>1</x:v>
      </x:c>
      <x:c r="H33" s="64" t="n">
        <x:v>1.8</x:v>
      </x:c>
      <x:c r="I33" s="64" t="n">
        <x:v>5</x:v>
      </x:c>
      <x:c r="J33" s="64" t="n">
        <x:f>SUM($G$23:G33)</x:f>
        <x:v>13</x:v>
      </x:c>
      <x:c r="K33" s="64" t="n">
        <x:f>10+'Architecture Roots'!M8+(J33*'Hydraulic Build'!D20*'Architecture Roots'!E8)/'Architecture Roots'!L8+'Architecture Roots'!N8</x:f>
        <x:v>50.16495991584985</x:v>
      </x:c>
      <x:c r="L33" s="64" t="n">
        <x:f>'Route Constitution'!E12</x:f>
        <x:v>1.8</x:v>
      </x:c>
      <x:c r="M33" s="64" t="n">
        <x:f>P27</x:f>
        <x:v>47.24247995792493</x:v>
      </x:c>
      <x:c r="N33" s="64" t="n">
        <x:f>MAX(K33,L33,M33)</x:f>
        <x:v>50.16495991584985</x:v>
      </x:c>
      <x:c r="O33" s="64" t="n">
        <x:f>G33*H33/'Architecture Roots'!Q8*24</x:f>
        <x:v>8.64</x:v>
      </x:c>
      <x:c r="P33" s="65" t="n">
        <x:f>N33+O33</x:f>
        <x:v>58.80495991584985</x:v>
      </x:c>
    </x:row>
    <x:row r="34" ht="28" customHeight="1">
      <x:c r="B34" s="22" t="str">
        <x:v>WF-028</x:v>
      </x:c>
      <x:c r="C34" s="22" t="str">
        <x:v>R2</x:v>
      </x:c>
      <x:c r="D34" s="22" t="str">
        <x:v>B</x:v>
      </x:c>
      <x:c r="E34" s="29" t="str">
        <x:v>S06</x:v>
      </x:c>
      <x:c r="F34" s="22" t="str">
        <x:v>Water and debris crossing</x:v>
      </x:c>
      <x:c r="G34" s="64" t="n">
        <x:v>1</x:v>
      </x:c>
      <x:c r="H34" s="64" t="n">
        <x:v>1.8</x:v>
      </x:c>
      <x:c r="I34" s="64" t="n">
        <x:v>6</x:v>
      </x:c>
      <x:c r="J34" s="64" t="n">
        <x:f>SUM($G$23:G34)</x:f>
        <x:v>14</x:v>
      </x:c>
      <x:c r="K34" s="64" t="n">
        <x:f>10+'Architecture Roots'!M8+(J34*'Hydraulic Build'!D20*'Architecture Roots'!E8)/'Architecture Roots'!L8+'Architecture Roots'!N8</x:f>
        <x:v>52.33149529399215</x:v>
      </x:c>
      <x:c r="L34" s="64" t="n">
        <x:f>'Route Constitution'!E12</x:f>
        <x:v>1.8</x:v>
      </x:c>
      <x:c r="M34" s="64" t="n">
        <x:f>P28</x:f>
        <x:v>50.49228302513836</x:v>
      </x:c>
      <x:c r="N34" s="64" t="n">
        <x:f>MAX(K34,L34,M34)</x:f>
        <x:v>52.33149529399215</x:v>
      </x:c>
      <x:c r="O34" s="64" t="n">
        <x:f>G34*H34/'Architecture Roots'!Q8*24</x:f>
        <x:v>8.64</x:v>
      </x:c>
      <x:c r="P34" s="65" t="n">
        <x:f>N34+O34</x:f>
        <x:v>60.97149529399215</x:v>
      </x:c>
    </x:row>
    <x:row r="35" ht="28" customHeight="1">
      <x:c r="B35" s="22" t="str">
        <x:v>WF-029</x:v>
      </x:c>
      <x:c r="C35" s="22" t="str">
        <x:v>R2</x:v>
      </x:c>
      <x:c r="D35" s="22" t="str">
        <x:v>A</x:v>
      </x:c>
      <x:c r="E35" s="29" t="str">
        <x:v>S07</x:v>
      </x:c>
      <x:c r="F35" s="22" t="str">
        <x:v>Controlled exclusion sector</x:v>
      </x:c>
      <x:c r="G35" s="64" t="n">
        <x:v>1</x:v>
      </x:c>
      <x:c r="H35" s="64" t="n">
        <x:v>1.6</x:v>
      </x:c>
      <x:c r="I35" s="64" t="n">
        <x:v>1</x:v>
      </x:c>
      <x:c r="J35" s="64" t="n">
        <x:f>SUM($G$23:G35)</x:f>
        <x:v>15</x:v>
      </x:c>
      <x:c r="K35" s="64" t="n">
        <x:f>10+'Architecture Roots'!M8+(J35*'Hydraulic Build'!D20*'Architecture Roots'!E8)/'Architecture Roots'!L8+'Architecture Roots'!N8</x:f>
        <x:v>54.49803067213444</x:v>
      </x:c>
      <x:c r="L35" s="64" t="n">
        <x:f>'Route Constitution'!E13</x:f>
        <x:v>1.6</x:v>
      </x:c>
      <x:c r="M35" s="64" t="n">
        <x:f>P29</x:f>
        <x:v>47.498818403280666</x:v>
      </x:c>
      <x:c r="N35" s="64" t="n">
        <x:f>MAX(K35,L35,M35)</x:f>
        <x:v>54.49803067213444</x:v>
      </x:c>
      <x:c r="O35" s="64" t="n">
        <x:f>G35*H35/'Architecture Roots'!Q8*24</x:f>
        <x:v>7.68</x:v>
      </x:c>
      <x:c r="P35" s="65" t="n">
        <x:f>N35+O35</x:f>
        <x:v>62.17803067213444</x:v>
      </x:c>
    </x:row>
    <x:row r="36" ht="28" customHeight="1">
      <x:c r="B36" s="22" t="str">
        <x:v>WF-030</x:v>
      </x:c>
      <x:c r="C36" s="22" t="str">
        <x:v>R2</x:v>
      </x:c>
      <x:c r="D36" s="22" t="str">
        <x:v>B</x:v>
      </x:c>
      <x:c r="E36" s="29" t="str">
        <x:v>S07</x:v>
      </x:c>
      <x:c r="F36" s="22" t="str">
        <x:v>Controlled exclusion sector</x:v>
      </x:c>
      <x:c r="G36" s="64" t="n">
        <x:v>1</x:v>
      </x:c>
      <x:c r="H36" s="64" t="n">
        <x:v>1.6</x:v>
      </x:c>
      <x:c r="I36" s="64" t="n">
        <x:v>2</x:v>
      </x:c>
      <x:c r="J36" s="64" t="n">
        <x:f>SUM($G$23:G36)</x:f>
        <x:v>16</x:v>
      </x:c>
      <x:c r="K36" s="64" t="n">
        <x:f>10+'Architecture Roots'!M8+(J36*'Hydraulic Build'!D20*'Architecture Roots'!E8)/'Architecture Roots'!L8+'Architecture Roots'!N8</x:f>
        <x:v>56.66456605027673</x:v>
      </x:c>
      <x:c r="L36" s="64" t="n">
        <x:f>'Route Constitution'!E13</x:f>
        <x:v>1.6</x:v>
      </x:c>
      <x:c r="M36" s="64" t="n">
        <x:f>P30</x:f>
        <x:v>49.66535378142295</x:v>
      </x:c>
      <x:c r="N36" s="64" t="n">
        <x:f>MAX(K36,L36,M36)</x:f>
        <x:v>56.66456605027673</x:v>
      </x:c>
      <x:c r="O36" s="64" t="n">
        <x:f>G36*H36/'Architecture Roots'!Q8*24</x:f>
        <x:v>7.68</x:v>
      </x:c>
      <x:c r="P36" s="65" t="n">
        <x:f>N36+O36</x:f>
        <x:v>64.34456605027674</x:v>
      </x:c>
    </x:row>
    <x:row r="37" ht="28" customHeight="1">
      <x:c r="B37" s="22" t="str">
        <x:v>WF-031</x:v>
      </x:c>
      <x:c r="C37" s="22" t="str">
        <x:v>R2</x:v>
      </x:c>
      <x:c r="D37" s="22" t="str">
        <x:v>A</x:v>
      </x:c>
      <x:c r="E37" s="29" t="str">
        <x:v>S08</x:v>
      </x:c>
      <x:c r="F37" s="22" t="str">
        <x:v>Receiver approach</x:v>
      </x:c>
      <x:c r="G37" s="64" t="n">
        <x:v>2</x:v>
      </x:c>
      <x:c r="H37" s="64" t="n">
        <x:v>1.15</x:v>
      </x:c>
      <x:c r="I37" s="64" t="n">
        <x:v>3</x:v>
      </x:c>
      <x:c r="J37" s="64" t="n">
        <x:f>SUM($G$23:G37)</x:f>
        <x:v>18</x:v>
      </x:c>
      <x:c r="K37" s="64" t="n">
        <x:f>10+'Architecture Roots'!M8+(J37*'Hydraulic Build'!D20*'Architecture Roots'!E8)/'Architecture Roots'!L8+'Architecture Roots'!N8</x:f>
        <x:v>60.997636806561324</x:v>
      </x:c>
      <x:c r="L37" s="64" t="n">
        <x:f>'Route Constitution'!E14</x:f>
        <x:v>1.15</x:v>
      </x:c>
      <x:c r="M37" s="64" t="n">
        <x:f>P31</x:f>
        <x:v>53.99188915956525</x:v>
      </x:c>
      <x:c r="N37" s="64" t="n">
        <x:f>MAX(K37,L37,M37)</x:f>
        <x:v>60.997636806561324</x:v>
      </x:c>
      <x:c r="O37" s="64" t="n">
        <x:f>G37*H37/'Architecture Roots'!Q8*24</x:f>
        <x:v>11.04</x:v>
      </x:c>
      <x:c r="P37" s="65" t="n">
        <x:f>N37+O37</x:f>
        <x:v>72.03763680656132</x:v>
      </x:c>
    </x:row>
    <x:row r="38" ht="28" customHeight="1">
      <x:c r="B38" s="22" t="str">
        <x:v>WF-032</x:v>
      </x:c>
      <x:c r="C38" s="22" t="str">
        <x:v>R2</x:v>
      </x:c>
      <x:c r="D38" s="22" t="str">
        <x:v>B</x:v>
      </x:c>
      <x:c r="E38" s="29" t="str">
        <x:v>S08</x:v>
      </x:c>
      <x:c r="F38" s="22" t="str">
        <x:v>Receiver approach</x:v>
      </x:c>
      <x:c r="G38" s="64" t="n">
        <x:v>2</x:v>
      </x:c>
      <x:c r="H38" s="64" t="n">
        <x:v>1.15</x:v>
      </x:c>
      <x:c r="I38" s="64" t="n">
        <x:v>4</x:v>
      </x:c>
      <x:c r="J38" s="64" t="n">
        <x:f>SUM($G$23:G38)</x:f>
        <x:v>20</x:v>
      </x:c>
      <x:c r="K38" s="64" t="n">
        <x:f>10+'Architecture Roots'!M8+(J38*'Hydraulic Build'!D20*'Architecture Roots'!E8)/'Architecture Roots'!L8+'Architecture Roots'!N8</x:f>
        <x:v>65.3307075628459</x:v>
      </x:c>
      <x:c r="L38" s="64" t="n">
        <x:f>'Route Constitution'!E14</x:f>
        <x:v>1.15</x:v>
      </x:c>
      <x:c r="M38" s="64" t="n">
        <x:f>P32</x:f>
        <x:v>56.158424537707546</x:v>
      </x:c>
      <x:c r="N38" s="64" t="n">
        <x:f>MAX(K38,L38,M38)</x:f>
        <x:v>65.3307075628459</x:v>
      </x:c>
      <x:c r="O38" s="64" t="n">
        <x:f>G38*H38/'Architecture Roots'!Q8*24</x:f>
        <x:v>11.04</x:v>
      </x:c>
      <x:c r="P38" s="65" t="n">
        <x:f>N38+O38</x:f>
        <x:v>76.3707075628459</x:v>
      </x:c>
    </x:row>
    <x:row r="39" ht="28" customHeight="1">
      <x:c r="B39" s="22" t="str">
        <x:v>WF-033</x:v>
      </x:c>
      <x:c r="C39" s="22" t="str">
        <x:v>R3</x:v>
      </x:c>
      <x:c r="D39" s="22" t="str">
        <x:v>A</x:v>
      </x:c>
      <x:c r="E39" s="29" t="str">
        <x:v>S01</x:v>
      </x:c>
      <x:c r="F39" s="22" t="str">
        <x:v>Open shoulder and staging</x:v>
      </x:c>
      <x:c r="G39" s="64" t="n">
        <x:v>1.5</x:v>
      </x:c>
      <x:c r="H39" s="64" t="n">
        <x:v>0.85</x:v>
      </x:c>
      <x:c r="I39" s="64" t="n">
        <x:v>1</x:v>
      </x:c>
      <x:c r="J39" s="64" t="n">
        <x:f>SUM($G$39:G39)</x:f>
        <x:v>1.5</x:v>
      </x:c>
      <x:c r="K39" s="64" t="n">
        <x:f>10+'Architecture Roots'!M9+(J39*'Hydraulic Build'!D20*'Architecture Roots'!E9)/'Architecture Roots'!L9+'Architecture Roots'!N9</x:f>
        <x:v>34.66825936044893</x:v>
      </x:c>
      <x:c r="L39" s="64" t="n">
        <x:f>'Route Constitution'!E7</x:f>
        <x:v>0.85</x:v>
      </x:c>
      <x:c r="M39" s="64" t="n">
        <x:v>0</x:v>
      </x:c>
      <x:c r="N39" s="64" t="n">
        <x:f>MAX(K39,L39,M39)</x:f>
        <x:v>34.66825936044893</x:v>
      </x:c>
      <x:c r="O39" s="64" t="n">
        <x:f>G39*H39/'Architecture Roots'!Q9*24</x:f>
        <x:v>5.5636363636363635</x:v>
      </x:c>
      <x:c r="P39" s="65" t="n">
        <x:f>N39+O39</x:f>
        <x:v>40.23189572408529</x:v>
      </x:c>
    </x:row>
    <x:row r="40" ht="28" customHeight="1">
      <x:c r="B40" s="22" t="str">
        <x:v>WF-034</x:v>
      </x:c>
      <x:c r="C40" s="22" t="str">
        <x:v>R3</x:v>
      </x:c>
      <x:c r="D40" s="22" t="str">
        <x:v>B</x:v>
      </x:c>
      <x:c r="E40" s="29" t="str">
        <x:v>S01</x:v>
      </x:c>
      <x:c r="F40" s="22" t="str">
        <x:v>Open shoulder and staging</x:v>
      </x:c>
      <x:c r="G40" s="64" t="n">
        <x:v>1.5</x:v>
      </x:c>
      <x:c r="H40" s="64" t="n">
        <x:v>0.85</x:v>
      </x:c>
      <x:c r="I40" s="64" t="n">
        <x:v>2</x:v>
      </x:c>
      <x:c r="J40" s="64" t="n">
        <x:f>SUM($G$39:G40)</x:f>
        <x:v>3</x:v>
      </x:c>
      <x:c r="K40" s="64" t="n">
        <x:f>10+'Architecture Roots'!M9+(J40*'Hydraulic Build'!D20*'Architecture Roots'!E9)/'Architecture Roots'!L9+'Architecture Roots'!N9</x:f>
        <x:v>37.336518720897864</x:v>
      </x:c>
      <x:c r="L40" s="64" t="n">
        <x:f>'Route Constitution'!E7</x:f>
        <x:v>0.85</x:v>
      </x:c>
      <x:c r="M40" s="64" t="n">
        <x:v>0</x:v>
      </x:c>
      <x:c r="N40" s="64" t="n">
        <x:f>MAX(K40,L40,M40)</x:f>
        <x:v>37.336518720897864</x:v>
      </x:c>
      <x:c r="O40" s="64" t="n">
        <x:f>G40*H40/'Architecture Roots'!Q9*24</x:f>
        <x:v>5.5636363636363635</x:v>
      </x:c>
      <x:c r="P40" s="65" t="n">
        <x:f>N40+O40</x:f>
        <x:v>42.90015508453423</x:v>
      </x:c>
    </x:row>
    <x:row r="41" ht="28" customHeight="1">
      <x:c r="B41" s="22" t="str">
        <x:v>WF-035</x:v>
      </x:c>
      <x:c r="C41" s="22" t="str">
        <x:v>R3</x:v>
      </x:c>
      <x:c r="D41" s="22" t="str">
        <x:v>A</x:v>
      </x:c>
      <x:c r="E41" s="29" t="str">
        <x:v>S02</x:v>
      </x:c>
      <x:c r="F41" s="22" t="str">
        <x:v>Dense urban street</x:v>
      </x:c>
      <x:c r="G41" s="64" t="n">
        <x:v>1</x:v>
      </x:c>
      <x:c r="H41" s="64" t="n">
        <x:v>1.45</x:v>
      </x:c>
      <x:c r="I41" s="64" t="n">
        <x:v>3</x:v>
      </x:c>
      <x:c r="J41" s="64" t="n">
        <x:f>SUM($G$39:G41)</x:f>
        <x:v>4</x:v>
      </x:c>
      <x:c r="K41" s="64" t="n">
        <x:f>10+'Architecture Roots'!M9+(J41*'Hydraulic Build'!D20*'Architecture Roots'!E9)/'Architecture Roots'!L9+'Architecture Roots'!N9</x:f>
        <x:v>39.11535829453049</x:v>
      </x:c>
      <x:c r="L41" s="64" t="n">
        <x:f>'Route Constitution'!E8</x:f>
        <x:v>1.45</x:v>
      </x:c>
      <x:c r="M41" s="64" t="n">
        <x:v>0</x:v>
      </x:c>
      <x:c r="N41" s="64" t="n">
        <x:f>MAX(K41,L41,M41)</x:f>
        <x:v>39.11535829453049</x:v>
      </x:c>
      <x:c r="O41" s="64" t="n">
        <x:f>G41*H41/'Architecture Roots'!Q9*24</x:f>
        <x:v>6.327272727272726</x:v>
      </x:c>
      <x:c r="P41" s="65" t="n">
        <x:f>N41+O41</x:f>
        <x:v>45.442631021803216</x:v>
      </x:c>
    </x:row>
    <x:row r="42" ht="28" customHeight="1">
      <x:c r="B42" s="22" t="str">
        <x:v>WF-036</x:v>
      </x:c>
      <x:c r="C42" s="22" t="str">
        <x:v>R3</x:v>
      </x:c>
      <x:c r="D42" s="22" t="str">
        <x:v>B</x:v>
      </x:c>
      <x:c r="E42" s="29" t="str">
        <x:v>S02</x:v>
      </x:c>
      <x:c r="F42" s="22" t="str">
        <x:v>Dense urban street</x:v>
      </x:c>
      <x:c r="G42" s="64" t="n">
        <x:v>1</x:v>
      </x:c>
      <x:c r="H42" s="64" t="n">
        <x:v>1.45</x:v>
      </x:c>
      <x:c r="I42" s="64" t="n">
        <x:v>4</x:v>
      </x:c>
      <x:c r="J42" s="64" t="n">
        <x:f>SUM($G$39:G42)</x:f>
        <x:v>5</x:v>
      </x:c>
      <x:c r="K42" s="64" t="n">
        <x:f>10+'Architecture Roots'!M9+(J42*'Hydraulic Build'!D20*'Architecture Roots'!E9)/'Architecture Roots'!L9+'Architecture Roots'!N9</x:f>
        <x:v>40.89419786816311</x:v>
      </x:c>
      <x:c r="L42" s="64" t="n">
        <x:f>'Route Constitution'!E8</x:f>
        <x:v>1.45</x:v>
      </x:c>
      <x:c r="M42" s="64" t="n">
        <x:v>0</x:v>
      </x:c>
      <x:c r="N42" s="64" t="n">
        <x:f>MAX(K42,L42,M42)</x:f>
        <x:v>40.89419786816311</x:v>
      </x:c>
      <x:c r="O42" s="64" t="n">
        <x:f>G42*H42/'Architecture Roots'!Q9*24</x:f>
        <x:v>6.327272727272726</x:v>
      </x:c>
      <x:c r="P42" s="65" t="n">
        <x:f>N42+O42</x:f>
        <x:v>47.22147059543584</x:v>
      </x:c>
    </x:row>
    <x:row r="43" ht="28" customHeight="1">
      <x:c r="B43" s="22" t="str">
        <x:v>WF-037</x:v>
      </x:c>
      <x:c r="C43" s="22" t="str">
        <x:v>R3</x:v>
      </x:c>
      <x:c r="D43" s="22" t="str">
        <x:v>A</x:v>
      </x:c>
      <x:c r="E43" s="29" t="str">
        <x:v>S03</x:v>
      </x:c>
      <x:c r="F43" s="22" t="str">
        <x:v>Saturated weak soil</x:v>
      </x:c>
      <x:c r="G43" s="64" t="n">
        <x:v>1.5</x:v>
      </x:c>
      <x:c r="H43" s="64" t="n">
        <x:v>1.55</x:v>
      </x:c>
      <x:c r="I43" s="64" t="n">
        <x:v>5</x:v>
      </x:c>
      <x:c r="J43" s="64" t="n">
        <x:f>SUM($G$39:G43)</x:f>
        <x:v>6.5</x:v>
      </x:c>
      <x:c r="K43" s="64" t="n">
        <x:f>10+'Architecture Roots'!M9+(J43*'Hydraulic Build'!D20*'Architecture Roots'!E9)/'Architecture Roots'!L9+'Architecture Roots'!N9</x:f>
        <x:v>43.56245722861204</x:v>
      </x:c>
      <x:c r="L43" s="64" t="n">
        <x:f>'Route Constitution'!E9</x:f>
        <x:v>1.55</x:v>
      </x:c>
      <x:c r="M43" s="64" t="n">
        <x:v>0</x:v>
      </x:c>
      <x:c r="N43" s="64" t="n">
        <x:f>MAX(K43,L43,M43)</x:f>
        <x:v>43.56245722861204</x:v>
      </x:c>
      <x:c r="O43" s="64" t="n">
        <x:f>G43*H43/'Architecture Roots'!Q9*24</x:f>
        <x:v>10.145454545454546</x:v>
      </x:c>
      <x:c r="P43" s="65" t="n">
        <x:f>N43+O43</x:f>
        <x:v>53.70791177406659</x:v>
      </x:c>
    </x:row>
    <x:row r="44" ht="28" customHeight="1">
      <x:c r="B44" s="22" t="str">
        <x:v>WF-038</x:v>
      </x:c>
      <x:c r="C44" s="22" t="str">
        <x:v>R3</x:v>
      </x:c>
      <x:c r="D44" s="22" t="str">
        <x:v>B</x:v>
      </x:c>
      <x:c r="E44" s="29" t="str">
        <x:v>S03</x:v>
      </x:c>
      <x:c r="F44" s="22" t="str">
        <x:v>Saturated weak soil</x:v>
      </x:c>
      <x:c r="G44" s="64" t="n">
        <x:v>1.5</x:v>
      </x:c>
      <x:c r="H44" s="64" t="n">
        <x:v>1.55</x:v>
      </x:c>
      <x:c r="I44" s="64" t="n">
        <x:v>6</x:v>
      </x:c>
      <x:c r="J44" s="64" t="n">
        <x:f>SUM($G$39:G44)</x:f>
        <x:v>8</x:v>
      </x:c>
      <x:c r="K44" s="64" t="n">
        <x:f>10+'Architecture Roots'!M9+(J44*'Hydraulic Build'!D20*'Architecture Roots'!E9)/'Architecture Roots'!L9+'Architecture Roots'!N9</x:f>
        <x:v>46.230716589060975</x:v>
      </x:c>
      <x:c r="L44" s="64" t="n">
        <x:f>'Route Constitution'!E9</x:f>
        <x:v>1.55</x:v>
      </x:c>
      <x:c r="M44" s="64" t="n">
        <x:v>0</x:v>
      </x:c>
      <x:c r="N44" s="64" t="n">
        <x:f>MAX(K44,L44,M44)</x:f>
        <x:v>46.230716589060975</x:v>
      </x:c>
      <x:c r="O44" s="64" t="n">
        <x:f>G44*H44/'Architecture Roots'!Q9*24</x:f>
        <x:v>10.145454545454546</x:v>
      </x:c>
      <x:c r="P44" s="65" t="n">
        <x:f>N44+O44</x:f>
        <x:v>56.37617113451552</x:v>
      </x:c>
    </x:row>
    <x:row r="45" ht="28" customHeight="1">
      <x:c r="B45" s="22" t="str">
        <x:v>WF-039</x:v>
      </x:c>
      <x:c r="C45" s="22" t="str">
        <x:v>R3</x:v>
      </x:c>
      <x:c r="D45" s="22" t="str">
        <x:v>A</x:v>
      </x:c>
      <x:c r="E45" s="29" t="str">
        <x:v>S04</x:v>
      </x:c>
      <x:c r="F45" s="22" t="str">
        <x:v>Sustained grade</x:v>
      </x:c>
      <x:c r="G45" s="64" t="n">
        <x:v>1</x:v>
      </x:c>
      <x:c r="H45" s="64" t="n">
        <x:v>1.25</x:v>
      </x:c>
      <x:c r="I45" s="64" t="n">
        <x:v>1</x:v>
      </x:c>
      <x:c r="J45" s="64" t="n">
        <x:f>SUM($G$39:G45)</x:f>
        <x:v>9</x:v>
      </x:c>
      <x:c r="K45" s="64" t="n">
        <x:f>10+'Architecture Roots'!M9+(J45*'Hydraulic Build'!D20*'Architecture Roots'!E9)/'Architecture Roots'!L9+'Architecture Roots'!N9</x:f>
        <x:v>48.0095561626936</x:v>
      </x:c>
      <x:c r="L45" s="64" t="n">
        <x:f>'Route Constitution'!E10</x:f>
        <x:v>1.25</x:v>
      </x:c>
      <x:c r="M45" s="64" t="n">
        <x:f>P39</x:f>
        <x:v>40.23189572408529</x:v>
      </x:c>
      <x:c r="N45" s="64" t="n">
        <x:f>MAX(K45,L45,M45)</x:f>
        <x:v>48.0095561626936</x:v>
      </x:c>
      <x:c r="O45" s="64" t="n">
        <x:f>G45*H45/'Architecture Roots'!Q9*24</x:f>
        <x:v>5.454545454545454</x:v>
      </x:c>
      <x:c r="P45" s="65" t="n">
        <x:f>N45+O45</x:f>
        <x:v>53.46410161723905</x:v>
      </x:c>
    </x:row>
    <x:row r="46" ht="28" customHeight="1">
      <x:c r="B46" s="22" t="str">
        <x:v>WF-040</x:v>
      </x:c>
      <x:c r="C46" s="22" t="str">
        <x:v>R3</x:v>
      </x:c>
      <x:c r="D46" s="22" t="str">
        <x:v>B</x:v>
      </x:c>
      <x:c r="E46" s="29" t="str">
        <x:v>S04</x:v>
      </x:c>
      <x:c r="F46" s="22" t="str">
        <x:v>Sustained grade</x:v>
      </x:c>
      <x:c r="G46" s="64" t="n">
        <x:v>1</x:v>
      </x:c>
      <x:c r="H46" s="64" t="n">
        <x:v>1.25</x:v>
      </x:c>
      <x:c r="I46" s="64" t="n">
        <x:v>2</x:v>
      </x:c>
      <x:c r="J46" s="64" t="n">
        <x:f>SUM($G$39:G46)</x:f>
        <x:v>10</x:v>
      </x:c>
      <x:c r="K46" s="64" t="n">
        <x:f>10+'Architecture Roots'!M9+(J46*'Hydraulic Build'!D20*'Architecture Roots'!E9)/'Architecture Roots'!L9+'Architecture Roots'!N9</x:f>
        <x:v>49.78839573632622</x:v>
      </x:c>
      <x:c r="L46" s="64" t="n">
        <x:f>'Route Constitution'!E10</x:f>
        <x:v>1.25</x:v>
      </x:c>
      <x:c r="M46" s="64" t="n">
        <x:f>P40</x:f>
        <x:v>42.90015508453423</x:v>
      </x:c>
      <x:c r="N46" s="64" t="n">
        <x:f>MAX(K46,L46,M46)</x:f>
        <x:v>49.78839573632622</x:v>
      </x:c>
      <x:c r="O46" s="64" t="n">
        <x:f>G46*H46/'Architecture Roots'!Q9*24</x:f>
        <x:v>5.454545454545454</x:v>
      </x:c>
      <x:c r="P46" s="65" t="n">
        <x:f>N46+O46</x:f>
        <x:v>55.242941190871676</x:v>
      </x:c>
    </x:row>
    <x:row r="47" ht="28" customHeight="1">
      <x:c r="B47" s="22" t="str">
        <x:v>WF-041</x:v>
      </x:c>
      <x:c r="C47" s="22" t="str">
        <x:v>R3</x:v>
      </x:c>
      <x:c r="D47" s="22" t="str">
        <x:v>A</x:v>
      </x:c>
      <x:c r="E47" s="29" t="str">
        <x:v>S05</x:v>
      </x:c>
      <x:c r="F47" s="22" t="str">
        <x:v>Road and rail crossings</x:v>
      </x:c>
      <x:c r="G47" s="64" t="n">
        <x:v>1</x:v>
      </x:c>
      <x:c r="H47" s="64" t="n">
        <x:v>1.7</x:v>
      </x:c>
      <x:c r="I47" s="64" t="n">
        <x:v>3</x:v>
      </x:c>
      <x:c r="J47" s="64" t="n">
        <x:f>SUM($G$39:G47)</x:f>
        <x:v>11</x:v>
      </x:c>
      <x:c r="K47" s="64" t="n">
        <x:f>10+'Architecture Roots'!M9+(J47*'Hydraulic Build'!D20*'Architecture Roots'!E9)/'Architecture Roots'!L9+'Architecture Roots'!N9</x:f>
        <x:v>51.56723530995884</x:v>
      </x:c>
      <x:c r="L47" s="64" t="n">
        <x:f>'Route Constitution'!E11</x:f>
        <x:v>1.7</x:v>
      </x:c>
      <x:c r="M47" s="64" t="n">
        <x:f>P41</x:f>
        <x:v>45.442631021803216</x:v>
      </x:c>
      <x:c r="N47" s="64" t="n">
        <x:f>MAX(K47,L47,M47)</x:f>
        <x:v>51.56723530995884</x:v>
      </x:c>
      <x:c r="O47" s="64" t="n">
        <x:f>G47*H47/'Architecture Roots'!Q9*24</x:f>
        <x:v>7.418181818181818</x:v>
      </x:c>
      <x:c r="P47" s="65" t="n">
        <x:f>N47+O47</x:f>
        <x:v>58.985417128140654</x:v>
      </x:c>
    </x:row>
    <x:row r="48" ht="28" customHeight="1">
      <x:c r="B48" s="22" t="str">
        <x:v>WF-042</x:v>
      </x:c>
      <x:c r="C48" s="22" t="str">
        <x:v>R3</x:v>
      </x:c>
      <x:c r="D48" s="22" t="str">
        <x:v>B</x:v>
      </x:c>
      <x:c r="E48" s="29" t="str">
        <x:v>S05</x:v>
      </x:c>
      <x:c r="F48" s="22" t="str">
        <x:v>Road and rail crossings</x:v>
      </x:c>
      <x:c r="G48" s="64" t="n">
        <x:v>1</x:v>
      </x:c>
      <x:c r="H48" s="64" t="n">
        <x:v>1.7</x:v>
      </x:c>
      <x:c r="I48" s="64" t="n">
        <x:v>4</x:v>
      </x:c>
      <x:c r="J48" s="64" t="n">
        <x:f>SUM($G$39:G48)</x:f>
        <x:v>12</x:v>
      </x:c>
      <x:c r="K48" s="64" t="n">
        <x:f>10+'Architecture Roots'!M9+(J48*'Hydraulic Build'!D20*'Architecture Roots'!E9)/'Architecture Roots'!L9+'Architecture Roots'!N9</x:f>
        <x:v>53.34607488359146</x:v>
      </x:c>
      <x:c r="L48" s="64" t="n">
        <x:f>'Route Constitution'!E11</x:f>
        <x:v>1.7</x:v>
      </x:c>
      <x:c r="M48" s="64" t="n">
        <x:f>P42</x:f>
        <x:v>47.22147059543584</x:v>
      </x:c>
      <x:c r="N48" s="64" t="n">
        <x:f>MAX(K48,L48,M48)</x:f>
        <x:v>53.34607488359146</x:v>
      </x:c>
      <x:c r="O48" s="64" t="n">
        <x:f>G48*H48/'Architecture Roots'!Q9*24</x:f>
        <x:v>7.418181818181818</x:v>
      </x:c>
      <x:c r="P48" s="65" t="n">
        <x:f>N48+O48</x:f>
        <x:v>60.76425670177328</x:v>
      </x:c>
    </x:row>
    <x:row r="49" ht="28" customHeight="1">
      <x:c r="B49" s="22" t="str">
        <x:v>WF-043</x:v>
      </x:c>
      <x:c r="C49" s="22" t="str">
        <x:v>R3</x:v>
      </x:c>
      <x:c r="D49" s="22" t="str">
        <x:v>A</x:v>
      </x:c>
      <x:c r="E49" s="29" t="str">
        <x:v>S06</x:v>
      </x:c>
      <x:c r="F49" s="22" t="str">
        <x:v>Water and debris crossing</x:v>
      </x:c>
      <x:c r="G49" s="64" t="n">
        <x:v>1</x:v>
      </x:c>
      <x:c r="H49" s="64" t="n">
        <x:v>1.8</x:v>
      </x:c>
      <x:c r="I49" s="64" t="n">
        <x:v>5</x:v>
      </x:c>
      <x:c r="J49" s="64" t="n">
        <x:f>SUM($G$39:G49)</x:f>
        <x:v>13</x:v>
      </x:c>
      <x:c r="K49" s="64" t="n">
        <x:f>10+'Architecture Roots'!M9+(J49*'Hydraulic Build'!D20*'Architecture Roots'!E9)/'Architecture Roots'!L9+'Architecture Roots'!N9</x:f>
        <x:v>55.12491445722408</x:v>
      </x:c>
      <x:c r="L49" s="64" t="n">
        <x:f>'Route Constitution'!E12</x:f>
        <x:v>1.8</x:v>
      </x:c>
      <x:c r="M49" s="64" t="n">
        <x:f>P43</x:f>
        <x:v>53.70791177406659</x:v>
      </x:c>
      <x:c r="N49" s="64" t="n">
        <x:f>MAX(K49,L49,M49)</x:f>
        <x:v>55.12491445722408</x:v>
      </x:c>
      <x:c r="O49" s="64" t="n">
        <x:f>G49*H49/'Architecture Roots'!Q9*24</x:f>
        <x:v>7.8545454545454545</x:v>
      </x:c>
      <x:c r="P49" s="65" t="n">
        <x:f>N49+O49</x:f>
        <x:v>62.97945991176953</x:v>
      </x:c>
    </x:row>
    <x:row r="50" ht="28" customHeight="1">
      <x:c r="B50" s="22" t="str">
        <x:v>WF-044</x:v>
      </x:c>
      <x:c r="C50" s="22" t="str">
        <x:v>R3</x:v>
      </x:c>
      <x:c r="D50" s="22" t="str">
        <x:v>B</x:v>
      </x:c>
      <x:c r="E50" s="29" t="str">
        <x:v>S06</x:v>
      </x:c>
      <x:c r="F50" s="22" t="str">
        <x:v>Water and debris crossing</x:v>
      </x:c>
      <x:c r="G50" s="64" t="n">
        <x:v>1</x:v>
      </x:c>
      <x:c r="H50" s="64" t="n">
        <x:v>1.8</x:v>
      </x:c>
      <x:c r="I50" s="64" t="n">
        <x:v>6</x:v>
      </x:c>
      <x:c r="J50" s="64" t="n">
        <x:f>SUM($G$39:G50)</x:f>
        <x:v>14</x:v>
      </x:c>
      <x:c r="K50" s="64" t="n">
        <x:f>10+'Architecture Roots'!M9+(J50*'Hydraulic Build'!D20*'Architecture Roots'!E9)/'Architecture Roots'!L9+'Architecture Roots'!N9</x:f>
        <x:v>56.90375403085671</x:v>
      </x:c>
      <x:c r="L50" s="64" t="n">
        <x:f>'Route Constitution'!E12</x:f>
        <x:v>1.8</x:v>
      </x:c>
      <x:c r="M50" s="64" t="n">
        <x:f>P44</x:f>
        <x:v>56.37617113451552</x:v>
      </x:c>
      <x:c r="N50" s="64" t="n">
        <x:f>MAX(K50,L50,M50)</x:f>
        <x:v>56.90375403085671</x:v>
      </x:c>
      <x:c r="O50" s="64" t="n">
        <x:f>G50*H50/'Architecture Roots'!Q9*24</x:f>
        <x:v>7.8545454545454545</x:v>
      </x:c>
      <x:c r="P50" s="65" t="n">
        <x:f>N50+O50</x:f>
        <x:v>64.75829948540216</x:v>
      </x:c>
    </x:row>
    <x:row r="51" ht="28" customHeight="1">
      <x:c r="B51" s="22" t="str">
        <x:v>WF-045</x:v>
      </x:c>
      <x:c r="C51" s="22" t="str">
        <x:v>R3</x:v>
      </x:c>
      <x:c r="D51" s="22" t="str">
        <x:v>A</x:v>
      </x:c>
      <x:c r="E51" s="29" t="str">
        <x:v>S07</x:v>
      </x:c>
      <x:c r="F51" s="22" t="str">
        <x:v>Controlled exclusion sector</x:v>
      </x:c>
      <x:c r="G51" s="64" t="n">
        <x:v>1</x:v>
      </x:c>
      <x:c r="H51" s="64" t="n">
        <x:v>1.6</x:v>
      </x:c>
      <x:c r="I51" s="64" t="n">
        <x:v>1</x:v>
      </x:c>
      <x:c r="J51" s="64" t="n">
        <x:f>SUM($G$39:G51)</x:f>
        <x:v>15</x:v>
      </x:c>
      <x:c r="K51" s="64" t="n">
        <x:f>10+'Architecture Roots'!M9+(J51*'Hydraulic Build'!D20*'Architecture Roots'!E9)/'Architecture Roots'!L9+'Architecture Roots'!N9</x:f>
        <x:v>58.68259360448933</x:v>
      </x:c>
      <x:c r="L51" s="64" t="n">
        <x:f>'Route Constitution'!E13</x:f>
        <x:v>1.6</x:v>
      </x:c>
      <x:c r="M51" s="64" t="n">
        <x:f>P45</x:f>
        <x:v>53.46410161723905</x:v>
      </x:c>
      <x:c r="N51" s="64" t="n">
        <x:f>MAX(K51,L51,M51)</x:f>
        <x:v>58.68259360448933</x:v>
      </x:c>
      <x:c r="O51" s="64" t="n">
        <x:f>G51*H51/'Architecture Roots'!Q9*24</x:f>
        <x:v>6.981818181818182</x:v>
      </x:c>
      <x:c r="P51" s="65" t="n">
        <x:f>N51+O51</x:f>
        <x:v>65.66441178630751</x:v>
      </x:c>
    </x:row>
    <x:row r="52" ht="28" customHeight="1">
      <x:c r="B52" s="22" t="str">
        <x:v>WF-046</x:v>
      </x:c>
      <x:c r="C52" s="22" t="str">
        <x:v>R3</x:v>
      </x:c>
      <x:c r="D52" s="22" t="str">
        <x:v>B</x:v>
      </x:c>
      <x:c r="E52" s="29" t="str">
        <x:v>S07</x:v>
      </x:c>
      <x:c r="F52" s="22" t="str">
        <x:v>Controlled exclusion sector</x:v>
      </x:c>
      <x:c r="G52" s="64" t="n">
        <x:v>1</x:v>
      </x:c>
      <x:c r="H52" s="64" t="n">
        <x:v>1.6</x:v>
      </x:c>
      <x:c r="I52" s="64" t="n">
        <x:v>2</x:v>
      </x:c>
      <x:c r="J52" s="64" t="n">
        <x:f>SUM($G$39:G52)</x:f>
        <x:v>16</x:v>
      </x:c>
      <x:c r="K52" s="64" t="n">
        <x:f>10+'Architecture Roots'!M9+(J52*'Hydraulic Build'!D20*'Architecture Roots'!E9)/'Architecture Roots'!L9+'Architecture Roots'!N9</x:f>
        <x:v>60.46143317812195</x:v>
      </x:c>
      <x:c r="L52" s="64" t="n">
        <x:f>'Route Constitution'!E13</x:f>
        <x:v>1.6</x:v>
      </x:c>
      <x:c r="M52" s="64" t="n">
        <x:f>P46</x:f>
        <x:v>55.242941190871676</x:v>
      </x:c>
      <x:c r="N52" s="64" t="n">
        <x:f>MAX(K52,L52,M52)</x:f>
        <x:v>60.46143317812195</x:v>
      </x:c>
      <x:c r="O52" s="64" t="n">
        <x:f>G52*H52/'Architecture Roots'!Q9*24</x:f>
        <x:v>6.981818181818182</x:v>
      </x:c>
      <x:c r="P52" s="65" t="n">
        <x:f>N52+O52</x:f>
        <x:v>67.44325135994013</x:v>
      </x:c>
    </x:row>
    <x:row r="53" ht="28" customHeight="1">
      <x:c r="B53" s="22" t="str">
        <x:v>WF-047</x:v>
      </x:c>
      <x:c r="C53" s="22" t="str">
        <x:v>R3</x:v>
      </x:c>
      <x:c r="D53" s="22" t="str">
        <x:v>A</x:v>
      </x:c>
      <x:c r="E53" s="29" t="str">
        <x:v>S08</x:v>
      </x:c>
      <x:c r="F53" s="22" t="str">
        <x:v>Receiver approach</x:v>
      </x:c>
      <x:c r="G53" s="64" t="n">
        <x:v>2</x:v>
      </x:c>
      <x:c r="H53" s="64" t="n">
        <x:v>1.15</x:v>
      </x:c>
      <x:c r="I53" s="64" t="n">
        <x:v>3</x:v>
      </x:c>
      <x:c r="J53" s="64" t="n">
        <x:f>SUM($G$39:G53)</x:f>
        <x:v>18</x:v>
      </x:c>
      <x:c r="K53" s="64" t="n">
        <x:f>10+'Architecture Roots'!M9+(J53*'Hydraulic Build'!D20*'Architecture Roots'!E9)/'Architecture Roots'!L9+'Architecture Roots'!N9</x:f>
        <x:v>64.0191123253872</x:v>
      </x:c>
      <x:c r="L53" s="64" t="n">
        <x:f>'Route Constitution'!E14</x:f>
        <x:v>1.15</x:v>
      </x:c>
      <x:c r="M53" s="64" t="n">
        <x:f>P47</x:f>
        <x:v>58.985417128140654</x:v>
      </x:c>
      <x:c r="N53" s="64" t="n">
        <x:f>MAX(K53,L53,M53)</x:f>
        <x:v>64.0191123253872</x:v>
      </x:c>
      <x:c r="O53" s="64" t="n">
        <x:f>G53*H53/'Architecture Roots'!Q9*24</x:f>
        <x:v>10.036363636363635</x:v>
      </x:c>
      <x:c r="P53" s="65" t="n">
        <x:f>N53+O53</x:f>
        <x:v>74.05547596175083</x:v>
      </x:c>
    </x:row>
    <x:row r="54" ht="28" customHeight="1">
      <x:c r="B54" s="26" t="str">
        <x:v>WF-048</x:v>
      </x:c>
      <x:c r="C54" s="26" t="str">
        <x:v>R3</x:v>
      </x:c>
      <x:c r="D54" s="26" t="str">
        <x:v>B</x:v>
      </x:c>
      <x:c r="E54" s="33" t="str">
        <x:v>S08</x:v>
      </x:c>
      <x:c r="F54" s="26" t="str">
        <x:v>Receiver approach</x:v>
      </x:c>
      <x:c r="G54" s="66" t="n">
        <x:v>2</x:v>
      </x:c>
      <x:c r="H54" s="66" t="n">
        <x:v>1.15</x:v>
      </x:c>
      <x:c r="I54" s="66" t="n">
        <x:v>4</x:v>
      </x:c>
      <x:c r="J54" s="66" t="n">
        <x:f>SUM($G$39:G54)</x:f>
        <x:v>20</x:v>
      </x:c>
      <x:c r="K54" s="66" t="n">
        <x:f>10+'Architecture Roots'!M9+(J54*'Hydraulic Build'!D20*'Architecture Roots'!E9)/'Architecture Roots'!L9+'Architecture Roots'!N9</x:f>
        <x:v>67.57679147265245</x:v>
      </x:c>
      <x:c r="L54" s="66" t="n">
        <x:f>'Route Constitution'!E14</x:f>
        <x:v>1.15</x:v>
      </x:c>
      <x:c r="M54" s="66" t="n">
        <x:f>P48</x:f>
        <x:v>60.76425670177328</x:v>
      </x:c>
      <x:c r="N54" s="66" t="n">
        <x:f>MAX(K54,L54,M54)</x:f>
        <x:v>67.57679147265245</x:v>
      </x:c>
      <x:c r="O54" s="66" t="n">
        <x:f>G54*H54/'Architecture Roots'!Q9*24</x:f>
        <x:v>10.036363636363635</x:v>
      </x:c>
      <x:c r="P54" s="67" t="n">
        <x:f>N54+O54</x:f>
        <x:v>77.61315510901608</x:v>
      </x:c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</x:sheetData>
  <x:mergeCells>
    <x:mergeCell ref="B3:P3"/>
  </x:mergeCells>
  <x:pageMargins left="0.7" right="0.7" top="0.75" bottom="0.75" header="0.3" footer="0.3"/>
  <x:tableParts count="1">
    <x:tablePart xmlns:r="http://schemas.openxmlformats.org/officeDocument/2006/relationships" r:id="R3fe1c0c7efa549c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0" hidden="0" customWidth="1"/>
    <x:col min="4" max="4" width="38" hidden="0" customWidth="1"/>
    <x:col min="5" max="5" width="13" hidden="0" customWidth="1"/>
    <x:col min="6" max="6" width="17" hidden="0" customWidth="1"/>
    <x:col min="7" max="7" width="18" hidden="0" customWidth="1"/>
    <x:col min="8" max="8" width="17" hidden="0" customWidth="1"/>
    <x:col min="9" max="9" width="18" hidden="0" customWidth="1"/>
    <x:col min="10" max="10" width="17" hidden="0" customWidth="1"/>
    <x:col min="11" max="11" width="24" hidden="0" customWidth="1"/>
    <x:col min="12" max="12" width="42" hidden="0" customWidth="1"/>
    <x:col min="13" max="13" width="14" hidden="0" customWidth="1"/>
  </x:cols>
  <x:sheetData>
    <x:row r="2">
      <x:c r="B2" s="3" t="str">
        <x:v>Complete article cargo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Mass and cube include the industrial mechanism, two routes, protected reserve, local power, route work, repair, receiver interface and crew support.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20" t="str">
        <x:v>Record</x:v>
      </x:c>
      <x:c r="C6" s="21" t="str">
        <x:v>Root</x:v>
      </x:c>
      <x:c r="D6" s="21" t="str">
        <x:v>Component</x:v>
      </x:c>
      <x:c r="E6" s="21" t="str">
        <x:v>Quantity</x:v>
      </x:c>
      <x:c r="F6" s="21" t="str">
        <x:v>Unit mass t</x:v>
      </x:c>
      <x:c r="G6" s="21" t="str">
        <x:v>Unit cube m³</x:v>
      </x:c>
      <x:c r="H6" s="21" t="str">
        <x:v>Total mass t</x:v>
      </x:c>
      <x:c r="I6" s="21" t="str">
        <x:v>Total cube m³</x:v>
      </x:c>
      <x:c r="J6" s="21" t="str">
        <x:v>Chargeable t</x:v>
      </x:c>
      <x:c r="K6" s="21" t="str">
        <x:v>Custody</x:v>
      </x:c>
      <x:c r="L6" s="21" t="str">
        <x:v>Mission role</x:v>
      </x:c>
      <x:c r="M6" s="21" t="str">
        <x:v>Evidence</x:v>
      </x:c>
    </x:row>
    <x:row r="7" ht="33" customHeight="1">
      <x:c r="B7" s="22" t="str">
        <x:v>CG-R1-01</x:v>
      </x:c>
      <x:c r="C7" s="29" t="str">
        <x:v>R1</x:v>
      </x:c>
      <x:c r="D7" s="29" t="str">
        <x:v>Conduit and barrier material</x:v>
      </x:c>
      <x:c r="E7" s="29" t="n">
        <x:v>1</x:v>
      </x:c>
      <x:c r="F7" s="61" t="n">
        <x:f>'Hydraulic Build'!D23*'Architecture Roots'!E7</x:f>
        <x:v>623.9621889049811</x:v>
      </x:c>
      <x:c r="G7" s="61" t="n">
        <x:f>F7/'Architecture Roots'!F7/'Architecture Roots'!G7</x:f>
        <x:v>2052.5072003453324</x:v>
      </x:c>
      <x:c r="H7" s="61" t="n">
        <x:f>E7*F7</x:f>
        <x:v>623.9621889049811</x:v>
      </x:c>
      <x:c r="I7" s="61" t="n">
        <x:f>E7*G7</x:f>
        <x:v>2052.5072003453324</x:v>
      </x:c>
      <x:c r="J7" s="61" t="n">
        <x:f>MAX(H7,I7*Assumptions!D32)</x:f>
        <x:v>623.9621889049811</x:v>
      </x:c>
      <x:c r="K7" s="29" t="str">
        <x:v>serialized root custody</x:v>
      </x:c>
      <x:c r="L7" s="29" t="str">
        <x:v>service issue plus protected reserve</x:v>
      </x:c>
      <x:c r="M7" s="31" t="str">
        <x:v>OPEN</x:v>
      </x:c>
    </x:row>
    <x:row r="8" ht="33" customHeight="1">
      <x:c r="B8" s="22" t="str">
        <x:v>CG-R1-02</x:v>
      </x:c>
      <x:c r="C8" s="29" t="str">
        <x:v>R1</x:v>
      </x:c>
      <x:c r="D8" s="29" t="str">
        <x:v>Transport packaging and custody</x:v>
      </x:c>
      <x:c r="E8" s="29" t="n">
        <x:v>1</x:v>
      </x:c>
      <x:c r="F8" s="61" t="n">
        <x:f>G7*'Architecture Roots'!H7</x:f>
        <x:v>246.3008640414399</x:v>
      </x:c>
      <x:c r="G8" s="61" t="n">
        <x:f>G7*'Architecture Roots'!H7</x:f>
        <x:v>246.3008640414399</x:v>
      </x:c>
      <x:c r="H8" s="61" t="n">
        <x:f>E8*F8</x:f>
        <x:v>246.3008640414399</x:v>
      </x:c>
      <x:c r="I8" s="61" t="n">
        <x:f>E8*G8</x:f>
        <x:v>246.3008640414399</x:v>
      </x:c>
      <x:c r="J8" s="61" t="n">
        <x:f>MAX(H8,I8*Assumptions!D32)</x:f>
        <x:v>246.3008640414399</x:v>
      </x:c>
      <x:c r="K8" s="29" t="str">
        <x:v>serialized root custody</x:v>
      </x:c>
      <x:c r="L8" s="29" t="str">
        <x:v>sealed segment, reel or feedstock state</x:v>
      </x:c>
      <x:c r="M8" s="31" t="str">
        <x:v>OPEN</x:v>
      </x:c>
    </x:row>
    <x:row r="9" ht="33" customHeight="1">
      <x:c r="B9" s="22" t="str">
        <x:v>CG-R1-03</x:v>
      </x:c>
      <x:c r="C9" s="29" t="str">
        <x:v>R1</x:v>
      </x:c>
      <x:c r="D9" s="29" t="str">
        <x:v>Portable production/process cells</x:v>
      </x:c>
      <x:c r="E9" s="29" t="n">
        <x:v>1</x:v>
      </x:c>
      <x:c r="F9" s="61" t="n">
        <x:v>90</x:v>
      </x:c>
      <x:c r="G9" s="61" t="n">
        <x:v>420</x:v>
      </x:c>
      <x:c r="H9" s="61" t="n">
        <x:f>E9*F9</x:f>
        <x:v>90</x:v>
      </x:c>
      <x:c r="I9" s="61" t="n">
        <x:f>E9*G9</x:f>
        <x:v>420</x:v>
      </x:c>
      <x:c r="J9" s="61" t="n">
        <x:f>MAX(H9,I9*Assumptions!D32)</x:f>
        <x:v>90</x:v>
      </x:c>
      <x:c r="K9" s="29" t="str">
        <x:v>serialized root custody</x:v>
      </x:c>
      <x:c r="L9" s="29" t="str">
        <x:v>root-specific cold-start industrial mechanism</x:v>
      </x:c>
      <x:c r="M9" s="31" t="str">
        <x:v>OPEN</x:v>
      </x:c>
    </x:row>
    <x:row r="10" ht="33" customHeight="1">
      <x:c r="B10" s="22" t="str">
        <x:v>CG-R1-04</x:v>
      </x:c>
      <x:c r="C10" s="29" t="str">
        <x:v>R1</x:v>
      </x:c>
      <x:c r="D10" s="29" t="str">
        <x:v>Hydraulic pump and isolation skids</x:v>
      </x:c>
      <x:c r="E10" s="29" t="n">
        <x:v>3</x:v>
      </x:c>
      <x:c r="F10" s="61" t="n">
        <x:v>18</x:v>
      </x:c>
      <x:c r="G10" s="61" t="n">
        <x:v>55</x:v>
      </x:c>
      <x:c r="H10" s="61" t="n">
        <x:f>E10*F10</x:f>
        <x:v>54</x:v>
      </x:c>
      <x:c r="I10" s="61" t="n">
        <x:f>E10*G10</x:f>
        <x:v>165</x:v>
      </x:c>
      <x:c r="J10" s="61" t="n">
        <x:f>MAX(H10,I10*Assumptions!D32)</x:f>
        <x:v>54</x:v>
      </x:c>
      <x:c r="K10" s="29" t="str">
        <x:v>serialized root custody</x:v>
      </x:c>
      <x:c r="L10" s="29" t="str">
        <x:v>two operating plus one protected spare</x:v>
      </x:c>
      <x:c r="M10" s="31" t="str">
        <x:v>OPEN</x:v>
      </x:c>
    </x:row>
    <x:row r="11" ht="33" customHeight="1">
      <x:c r="B11" s="22" t="str">
        <x:v>CG-R1-05</x:v>
      </x:c>
      <x:c r="C11" s="29" t="str">
        <x:v>R1</x:v>
      </x:c>
      <x:c r="D11" s="29" t="str">
        <x:v>Power, conversion and energy modules</x:v>
      </x:c>
      <x:c r="E11" s="29" t="n">
        <x:v>1</x:v>
      </x:c>
      <x:c r="F11" s="61" t="n">
        <x:f>'Power &amp; Buffer'!M7</x:f>
        <x:v>54.5901933721065</x:v>
      </x:c>
      <x:c r="G11" s="61" t="n">
        <x:v>420</x:v>
      </x:c>
      <x:c r="H11" s="61" t="n">
        <x:f>E11*F11</x:f>
        <x:v>54.5901933721065</x:v>
      </x:c>
      <x:c r="I11" s="61" t="n">
        <x:f>E11*G11</x:f>
        <x:v>420</x:v>
      </x:c>
      <x:c r="J11" s="61" t="n">
        <x:f>MAX(H11,I11*Assumptions!D32)</x:f>
        <x:v>84</x:v>
      </x:c>
      <x:c r="K11" s="29" t="str">
        <x:v>serialized root custody</x:v>
      </x:c>
      <x:c r="L11" s="29" t="str">
        <x:v>islanded build and 168-hour service energy</x:v>
      </x:c>
      <x:c r="M11" s="31" t="str">
        <x:v>OPEN</x:v>
      </x:c>
    </x:row>
    <x:row r="12" ht="33" customHeight="1">
      <x:c r="B12" s="22" t="str">
        <x:v>CG-R1-06</x:v>
      </x:c>
      <x:c r="C12" s="29" t="str">
        <x:v>R1</x:v>
      </x:c>
      <x:c r="D12" s="29" t="str">
        <x:v>Receiver buffer structure</x:v>
      </x:c>
      <x:c r="E12" s="29" t="n">
        <x:v>1</x:v>
      </x:c>
      <x:c r="F12" s="61" t="n">
        <x:f>'Power &amp; Buffer'!D21</x:f>
        <x:v>344</x:v>
      </x:c>
      <x:c r="G12" s="61" t="n">
        <x:v>700</x:v>
      </x:c>
      <x:c r="H12" s="61" t="n">
        <x:f>E12*F12</x:f>
        <x:v>344</x:v>
      </x:c>
      <x:c r="I12" s="61" t="n">
        <x:f>E12*G12</x:f>
        <x:v>700</x:v>
      </x:c>
      <x:c r="J12" s="61" t="n">
        <x:f>MAX(H12,I12*Assumptions!D32)</x:f>
        <x:v>344</x:v>
      </x:c>
      <x:c r="K12" s="29" t="str">
        <x:v>serialized root custody</x:v>
      </x:c>
      <x:c r="L12" s="29" t="str">
        <x:v>10,000 m³ dry modular receiver buffer</x:v>
      </x:c>
      <x:c r="M12" s="31" t="str">
        <x:v>OPEN</x:v>
      </x:c>
    </x:row>
    <x:row r="13" ht="33" customHeight="1">
      <x:c r="B13" s="22" t="str">
        <x:v>CG-R1-07</x:v>
      </x:c>
      <x:c r="C13" s="29" t="str">
        <x:v>R1</x:v>
      </x:c>
      <x:c r="D13" s="29" t="str">
        <x:v>Receiver adapters and outlets</x:v>
      </x:c>
      <x:c r="E13" s="29" t="n">
        <x:v>4</x:v>
      </x:c>
      <x:c r="F13" s="61" t="n">
        <x:v>10</x:v>
      </x:c>
      <x:c r="G13" s="61" t="n">
        <x:v>45</x:v>
      </x:c>
      <x:c r="H13" s="61" t="n">
        <x:f>E13*F13</x:f>
        <x:v>40</x:v>
      </x:c>
      <x:c r="I13" s="61" t="n">
        <x:f>E13*G13</x:f>
        <x:v>180</x:v>
      </x:c>
      <x:c r="J13" s="61" t="n">
        <x:f>MAX(H13,I13*Assumptions!D32)</x:f>
        <x:v>40</x:v>
      </x:c>
      <x:c r="K13" s="29" t="str">
        <x:v>serialized root custody</x:v>
      </x:c>
      <x:c r="L13" s="29" t="str">
        <x:v>bounded accessible civil interface</x:v>
      </x:c>
      <x:c r="M13" s="31" t="str">
        <x:v>OPEN</x:v>
      </x:c>
    </x:row>
    <x:row r="14" ht="33" customHeight="1">
      <x:c r="B14" s="22" t="str">
        <x:v>CG-R1-08</x:v>
      </x:c>
      <x:c r="C14" s="29" t="str">
        <x:v>R1</x:v>
      </x:c>
      <x:c r="D14" s="29" t="str">
        <x:v>Joining and closure cells</x:v>
      </x:c>
      <x:c r="E14" s="29" t="n">
        <x:v>8</x:v>
      </x:c>
      <x:c r="F14" s="61" t="n">
        <x:v>8</x:v>
      </x:c>
      <x:c r="G14" s="61" t="n">
        <x:v>28</x:v>
      </x:c>
      <x:c r="H14" s="61" t="n">
        <x:f>E14*F14</x:f>
        <x:v>64</x:v>
      </x:c>
      <x:c r="I14" s="61" t="n">
        <x:f>E14*G14</x:f>
        <x:v>224</x:v>
      </x:c>
      <x:c r="J14" s="61" t="n">
        <x:f>MAX(H14,I14*Assumptions!D32)</x:f>
        <x:v>64</x:v>
      </x:c>
      <x:c r="K14" s="29" t="str">
        <x:v>serialized root custody</x:v>
      </x:c>
      <x:c r="L14" s="29" t="str">
        <x:v>one per workfront plus two protected cells</x:v>
      </x:c>
      <x:c r="M14" s="31" t="str">
        <x:v>OPEN</x:v>
      </x:c>
    </x:row>
    <x:row r="15" ht="33" customHeight="1">
      <x:c r="B15" s="22" t="str">
        <x:v>CG-R1-09</x:v>
      </x:c>
      <x:c r="C15" s="29" t="str">
        <x:v>R1</x:v>
      </x:c>
      <x:c r="D15" s="29" t="str">
        <x:v>Portable metrology pods</x:v>
      </x:c>
      <x:c r="E15" s="29" t="n">
        <x:v>3</x:v>
      </x:c>
      <x:c r="F15" s="61" t="n">
        <x:v>6</x:v>
      </x:c>
      <x:c r="G15" s="61" t="n">
        <x:v>20</x:v>
      </x:c>
      <x:c r="H15" s="61" t="n">
        <x:f>E15*F15</x:f>
        <x:v>18</x:v>
      </x:c>
      <x:c r="I15" s="61" t="n">
        <x:f>E15*G15</x:f>
        <x:v>60</x:v>
      </x:c>
      <x:c r="J15" s="61" t="n">
        <x:f>MAX(H15,I15*Assumptions!D32)</x:f>
        <x:v>18</x:v>
      </x:c>
      <x:c r="K15" s="29" t="str">
        <x:v>serialized root custody</x:v>
      </x:c>
      <x:c r="L15" s="29" t="str">
        <x:v>two route pods plus one protected pod</x:v>
      </x:c>
      <x:c r="M15" s="31" t="str">
        <x:v>OPEN</x:v>
      </x:c>
    </x:row>
    <x:row r="16" ht="33" customHeight="1">
      <x:c r="B16" s="22" t="str">
        <x:v>CG-R1-10</x:v>
      </x:c>
      <x:c r="C16" s="29" t="str">
        <x:v>R1</x:v>
      </x:c>
      <x:c r="D16" s="29" t="str">
        <x:v>Route and placement robots</x:v>
      </x:c>
      <x:c r="E16" s="29" t="n">
        <x:v>12</x:v>
      </x:c>
      <x:c r="F16" s="61" t="n">
        <x:v>4</x:v>
      </x:c>
      <x:c r="G16" s="61" t="n">
        <x:v>14</x:v>
      </x:c>
      <x:c r="H16" s="61" t="n">
        <x:f>E16*F16</x:f>
        <x:v>48</x:v>
      </x:c>
      <x:c r="I16" s="61" t="n">
        <x:f>E16*G16</x:f>
        <x:v>168</x:v>
      </x:c>
      <x:c r="J16" s="61" t="n">
        <x:f>MAX(H16,I16*Assumptions!D32)</x:f>
        <x:v>48</x:v>
      </x:c>
      <x:c r="K16" s="29" t="str">
        <x:v>serialized root custody</x:v>
      </x:c>
      <x:c r="L16" s="29" t="str">
        <x:v>survey, preparation, handling and marking</x:v>
      </x:c>
      <x:c r="M16" s="31" t="str">
        <x:v>OPEN</x:v>
      </x:c>
    </x:row>
    <x:row r="17" ht="33" customHeight="1">
      <x:c r="B17" s="22" t="str">
        <x:v>CG-R1-11</x:v>
      </x:c>
      <x:c r="C17" s="29" t="str">
        <x:v>R1</x:v>
      </x:c>
      <x:c r="D17" s="29" t="str">
        <x:v>Crossing and protection kits</x:v>
      </x:c>
      <x:c r="E17" s="29" t="n">
        <x:v>6</x:v>
      </x:c>
      <x:c r="F17" s="61" t="n">
        <x:v>12</x:v>
      </x:c>
      <x:c r="G17" s="61" t="n">
        <x:v>38</x:v>
      </x:c>
      <x:c r="H17" s="61" t="n">
        <x:f>E17*F17</x:f>
        <x:v>72</x:v>
      </x:c>
      <x:c r="I17" s="61" t="n">
        <x:f>E17*G17</x:f>
        <x:v>228</x:v>
      </x:c>
      <x:c r="J17" s="61" t="n">
        <x:f>MAX(H17,I17*Assumptions!D32)</x:f>
        <x:v>72</x:v>
      </x:c>
      <x:c r="K17" s="29" t="str">
        <x:v>serialized root custody</x:v>
      </x:c>
      <x:c r="L17" s="29" t="str">
        <x:v>road, rail, water and debris sectors</x:v>
      </x:c>
      <x:c r="M17" s="31" t="str">
        <x:v>OPEN</x:v>
      </x:c>
    </x:row>
    <x:row r="18" ht="33" customHeight="1">
      <x:c r="B18" s="22" t="str">
        <x:v>CG-R1-12</x:v>
      </x:c>
      <x:c r="C18" s="29" t="str">
        <x:v>R1</x:v>
      </x:c>
      <x:c r="D18" s="29" t="str">
        <x:v>Repair and sanitary kits</x:v>
      </x:c>
      <x:c r="E18" s="29" t="n">
        <x:v>12</x:v>
      </x:c>
      <x:c r="F18" s="61" t="n">
        <x:v>3</x:v>
      </x:c>
      <x:c r="G18" s="61" t="n">
        <x:v>9</x:v>
      </x:c>
      <x:c r="H18" s="61" t="n">
        <x:f>E18*F18</x:f>
        <x:v>36</x:v>
      </x:c>
      <x:c r="I18" s="61" t="n">
        <x:f>E18*G18</x:f>
        <x:v>108</x:v>
      </x:c>
      <x:c r="J18" s="61" t="n">
        <x:f>MAX(H18,I18*Assumptions!D32)</x:f>
        <x:v>36</x:v>
      </x:c>
      <x:c r="K18" s="29" t="str">
        <x:v>serialized root custody</x:v>
      </x:c>
      <x:c r="L18" s="29" t="str">
        <x:v>rupture, barrier and contamination response</x:v>
      </x:c>
      <x:c r="M18" s="31" t="str">
        <x:v>OPEN</x:v>
      </x:c>
    </x:row>
    <x:row r="19" ht="33" customHeight="1">
      <x:c r="B19" s="22" t="str">
        <x:v>CG-R1-13</x:v>
      </x:c>
      <x:c r="C19" s="29" t="str">
        <x:v>R1</x:v>
      </x:c>
      <x:c r="D19" s="29" t="str">
        <x:v>Crew, command and field-support set</x:v>
      </x:c>
      <x:c r="E19" s="29" t="n">
        <x:v>1</x:v>
      </x:c>
      <x:c r="F19" s="61" t="n">
        <x:v>92</x:v>
      </x:c>
      <x:c r="G19" s="61" t="n">
        <x:v>540</x:v>
      </x:c>
      <x:c r="H19" s="61" t="n">
        <x:f>E19*F19</x:f>
        <x:v>92</x:v>
      </x:c>
      <x:c r="I19" s="61" t="n">
        <x:f>E19*G19</x:f>
        <x:v>540</x:v>
      </x:c>
      <x:c r="J19" s="61" t="n">
        <x:f>MAX(H19,I19*Assumptions!D32)</x:f>
        <x:v>108</x:v>
      </x:c>
      <x:c r="K19" s="29" t="str">
        <x:v>serialized root custody</x:v>
      </x:c>
      <x:c r="L19" s="29" t="str">
        <x:v>habitation, command, maintenance and medical</x:v>
      </x:c>
      <x:c r="M19" s="31" t="str">
        <x:v>OPEN</x:v>
      </x:c>
    </x:row>
    <x:row r="20" ht="33" customHeight="1">
      <x:c r="B20" s="22" t="str">
        <x:v>CG-R2-01</x:v>
      </x:c>
      <x:c r="C20" s="29" t="str">
        <x:v>R2</x:v>
      </x:c>
      <x:c r="D20" s="29" t="str">
        <x:v>Conduit and barrier material</x:v>
      </x:c>
      <x:c r="E20" s="29" t="n">
        <x:v>1</x:v>
      </x:c>
      <x:c r="F20" s="61" t="n">
        <x:f>'Hydraulic Build'!D23*'Architecture Roots'!E8</x:f>
        <x:v>623.9621889049811</x:v>
      </x:c>
      <x:c r="G20" s="61" t="n">
        <x:f>F20/'Architecture Roots'!F8/'Architecture Roots'!G8</x:f>
        <x:v>875.7364054806752</x:v>
      </x:c>
      <x:c r="H20" s="61" t="n">
        <x:f>E20*F20</x:f>
        <x:v>623.9621889049811</x:v>
      </x:c>
      <x:c r="I20" s="61" t="n">
        <x:f>E20*G20</x:f>
        <x:v>875.7364054806752</x:v>
      </x:c>
      <x:c r="J20" s="61" t="n">
        <x:f>MAX(H20,I20*Assumptions!D32)</x:f>
        <x:v>623.9621889049811</x:v>
      </x:c>
      <x:c r="K20" s="29" t="str">
        <x:v>serialized root custody</x:v>
      </x:c>
      <x:c r="L20" s="29" t="str">
        <x:v>service issue plus protected reserve</x:v>
      </x:c>
      <x:c r="M20" s="31" t="str">
        <x:v>OPEN</x:v>
      </x:c>
    </x:row>
    <x:row r="21" ht="33" customHeight="1">
      <x:c r="B21" s="22" t="str">
        <x:v>CG-R2-02</x:v>
      </x:c>
      <x:c r="C21" s="29" t="str">
        <x:v>R2</x:v>
      </x:c>
      <x:c r="D21" s="29" t="str">
        <x:v>Transport packaging and custody</x:v>
      </x:c>
      <x:c r="E21" s="29" t="n">
        <x:v>1</x:v>
      </x:c>
      <x:c r="F21" s="61" t="n">
        <x:f>G20*'Architecture Roots'!H8</x:f>
        <x:v>87.57364054806753</x:v>
      </x:c>
      <x:c r="G21" s="61" t="n">
        <x:f>G20*'Architecture Roots'!H8</x:f>
        <x:v>87.57364054806753</x:v>
      </x:c>
      <x:c r="H21" s="61" t="n">
        <x:f>E21*F21</x:f>
        <x:v>87.57364054806753</x:v>
      </x:c>
      <x:c r="I21" s="61" t="n">
        <x:f>E21*G21</x:f>
        <x:v>87.57364054806753</x:v>
      </x:c>
      <x:c r="J21" s="61" t="n">
        <x:f>MAX(H21,I21*Assumptions!D32)</x:f>
        <x:v>87.57364054806753</x:v>
      </x:c>
      <x:c r="K21" s="29" t="str">
        <x:v>serialized root custody</x:v>
      </x:c>
      <x:c r="L21" s="29" t="str">
        <x:v>sealed segment, reel or feedstock state</x:v>
      </x:c>
      <x:c r="M21" s="31" t="str">
        <x:v>OPEN</x:v>
      </x:c>
    </x:row>
    <x:row r="22" ht="33" customHeight="1">
      <x:c r="B22" s="22" t="str">
        <x:v>CG-R2-03</x:v>
      </x:c>
      <x:c r="C22" s="29" t="str">
        <x:v>R2</x:v>
      </x:c>
      <x:c r="D22" s="29" t="str">
        <x:v>Portable production/process cells</x:v>
      </x:c>
      <x:c r="E22" s="29" t="n">
        <x:v>1</x:v>
      </x:c>
      <x:c r="F22" s="61" t="n">
        <x:v>260</x:v>
      </x:c>
      <x:c r="G22" s="61" t="n">
        <x:v>1250</x:v>
      </x:c>
      <x:c r="H22" s="61" t="n">
        <x:f>E22*F22</x:f>
        <x:v>260</x:v>
      </x:c>
      <x:c r="I22" s="61" t="n">
        <x:f>E22*G22</x:f>
        <x:v>1250</x:v>
      </x:c>
      <x:c r="J22" s="61" t="n">
        <x:f>MAX(H22,I22*Assumptions!D32)</x:f>
        <x:v>260</x:v>
      </x:c>
      <x:c r="K22" s="29" t="str">
        <x:v>serialized root custody</x:v>
      </x:c>
      <x:c r="L22" s="29" t="str">
        <x:v>root-specific cold-start industrial mechanism</x:v>
      </x:c>
      <x:c r="M22" s="31" t="str">
        <x:v>OPEN</x:v>
      </x:c>
    </x:row>
    <x:row r="23" ht="33" customHeight="1">
      <x:c r="B23" s="22" t="str">
        <x:v>CG-R2-04</x:v>
      </x:c>
      <x:c r="C23" s="29" t="str">
        <x:v>R2</x:v>
      </x:c>
      <x:c r="D23" s="29" t="str">
        <x:v>Hydraulic pump and isolation skids</x:v>
      </x:c>
      <x:c r="E23" s="29" t="n">
        <x:v>3</x:v>
      </x:c>
      <x:c r="F23" s="61" t="n">
        <x:v>18</x:v>
      </x:c>
      <x:c r="G23" s="61" t="n">
        <x:v>55</x:v>
      </x:c>
      <x:c r="H23" s="61" t="n">
        <x:f>E23*F23</x:f>
        <x:v>54</x:v>
      </x:c>
      <x:c r="I23" s="61" t="n">
        <x:f>E23*G23</x:f>
        <x:v>165</x:v>
      </x:c>
      <x:c r="J23" s="61" t="n">
        <x:f>MAX(H23,I23*Assumptions!D32)</x:f>
        <x:v>54</x:v>
      </x:c>
      <x:c r="K23" s="29" t="str">
        <x:v>serialized root custody</x:v>
      </x:c>
      <x:c r="L23" s="29" t="str">
        <x:v>two operating plus one protected spare</x:v>
      </x:c>
      <x:c r="M23" s="31" t="str">
        <x:v>OPEN</x:v>
      </x:c>
    </x:row>
    <x:row r="24" ht="33" customHeight="1">
      <x:c r="B24" s="22" t="str">
        <x:v>CG-R2-05</x:v>
      </x:c>
      <x:c r="C24" s="29" t="str">
        <x:v>R2</x:v>
      </x:c>
      <x:c r="D24" s="29" t="str">
        <x:v>Power, conversion and energy modules</x:v>
      </x:c>
      <x:c r="E24" s="29" t="n">
        <x:v>1</x:v>
      </x:c>
      <x:c r="F24" s="61" t="n">
        <x:f>'Power &amp; Buffer'!M8</x:f>
        <x:v>98.57952768990766</x:v>
      </x:c>
      <x:c r="G24" s="61" t="n">
        <x:v>420</x:v>
      </x:c>
      <x:c r="H24" s="61" t="n">
        <x:f>E24*F24</x:f>
        <x:v>98.57952768990766</x:v>
      </x:c>
      <x:c r="I24" s="61" t="n">
        <x:f>E24*G24</x:f>
        <x:v>420</x:v>
      </x:c>
      <x:c r="J24" s="61" t="n">
        <x:f>MAX(H24,I24*Assumptions!D32)</x:f>
        <x:v>98.57952768990766</x:v>
      </x:c>
      <x:c r="K24" s="29" t="str">
        <x:v>serialized root custody</x:v>
      </x:c>
      <x:c r="L24" s="29" t="str">
        <x:v>islanded build and 168-hour service energy</x:v>
      </x:c>
      <x:c r="M24" s="31" t="str">
        <x:v>OPEN</x:v>
      </x:c>
    </x:row>
    <x:row r="25" ht="33" customHeight="1">
      <x:c r="B25" s="22" t="str">
        <x:v>CG-R2-06</x:v>
      </x:c>
      <x:c r="C25" s="29" t="str">
        <x:v>R2</x:v>
      </x:c>
      <x:c r="D25" s="29" t="str">
        <x:v>Receiver buffer structure</x:v>
      </x:c>
      <x:c r="E25" s="29" t="n">
        <x:v>1</x:v>
      </x:c>
      <x:c r="F25" s="61" t="n">
        <x:f>'Power &amp; Buffer'!D21</x:f>
        <x:v>344</x:v>
      </x:c>
      <x:c r="G25" s="61" t="n">
        <x:v>700</x:v>
      </x:c>
      <x:c r="H25" s="61" t="n">
        <x:f>E25*F25</x:f>
        <x:v>344</x:v>
      </x:c>
      <x:c r="I25" s="61" t="n">
        <x:f>E25*G25</x:f>
        <x:v>700</x:v>
      </x:c>
      <x:c r="J25" s="61" t="n">
        <x:f>MAX(H25,I25*Assumptions!D32)</x:f>
        <x:v>344</x:v>
      </x:c>
      <x:c r="K25" s="29" t="str">
        <x:v>serialized root custody</x:v>
      </x:c>
      <x:c r="L25" s="29" t="str">
        <x:v>10,000 m³ dry modular receiver buffer</x:v>
      </x:c>
      <x:c r="M25" s="31" t="str">
        <x:v>OPEN</x:v>
      </x:c>
    </x:row>
    <x:row r="26" ht="33" customHeight="1">
      <x:c r="B26" s="22" t="str">
        <x:v>CG-R2-07</x:v>
      </x:c>
      <x:c r="C26" s="29" t="str">
        <x:v>R2</x:v>
      </x:c>
      <x:c r="D26" s="29" t="str">
        <x:v>Receiver adapters and outlets</x:v>
      </x:c>
      <x:c r="E26" s="29" t="n">
        <x:v>4</x:v>
      </x:c>
      <x:c r="F26" s="61" t="n">
        <x:v>10</x:v>
      </x:c>
      <x:c r="G26" s="61" t="n">
        <x:v>45</x:v>
      </x:c>
      <x:c r="H26" s="61" t="n">
        <x:f>E26*F26</x:f>
        <x:v>40</x:v>
      </x:c>
      <x:c r="I26" s="61" t="n">
        <x:f>E26*G26</x:f>
        <x:v>180</x:v>
      </x:c>
      <x:c r="J26" s="61" t="n">
        <x:f>MAX(H26,I26*Assumptions!D32)</x:f>
        <x:v>40</x:v>
      </x:c>
      <x:c r="K26" s="29" t="str">
        <x:v>serialized root custody</x:v>
      </x:c>
      <x:c r="L26" s="29" t="str">
        <x:v>bounded accessible civil interface</x:v>
      </x:c>
      <x:c r="M26" s="31" t="str">
        <x:v>OPEN</x:v>
      </x:c>
    </x:row>
    <x:row r="27" ht="33" customHeight="1">
      <x:c r="B27" s="22" t="str">
        <x:v>CG-R2-08</x:v>
      </x:c>
      <x:c r="C27" s="29" t="str">
        <x:v>R2</x:v>
      </x:c>
      <x:c r="D27" s="29" t="str">
        <x:v>Joining and closure cells</x:v>
      </x:c>
      <x:c r="E27" s="29" t="n">
        <x:v>8</x:v>
      </x:c>
      <x:c r="F27" s="61" t="n">
        <x:v>8</x:v>
      </x:c>
      <x:c r="G27" s="61" t="n">
        <x:v>28</x:v>
      </x:c>
      <x:c r="H27" s="61" t="n">
        <x:f>E27*F27</x:f>
        <x:v>64</x:v>
      </x:c>
      <x:c r="I27" s="61" t="n">
        <x:f>E27*G27</x:f>
        <x:v>224</x:v>
      </x:c>
      <x:c r="J27" s="61" t="n">
        <x:f>MAX(H27,I27*Assumptions!D32)</x:f>
        <x:v>64</x:v>
      </x:c>
      <x:c r="K27" s="29" t="str">
        <x:v>serialized root custody</x:v>
      </x:c>
      <x:c r="L27" s="29" t="str">
        <x:v>one per workfront plus two protected cells</x:v>
      </x:c>
      <x:c r="M27" s="31" t="str">
        <x:v>OPEN</x:v>
      </x:c>
    </x:row>
    <x:row r="28" ht="33" customHeight="1">
      <x:c r="B28" s="22" t="str">
        <x:v>CG-R2-09</x:v>
      </x:c>
      <x:c r="C28" s="29" t="str">
        <x:v>R2</x:v>
      </x:c>
      <x:c r="D28" s="29" t="str">
        <x:v>Portable metrology pods</x:v>
      </x:c>
      <x:c r="E28" s="29" t="n">
        <x:v>3</x:v>
      </x:c>
      <x:c r="F28" s="61" t="n">
        <x:v>6</x:v>
      </x:c>
      <x:c r="G28" s="61" t="n">
        <x:v>20</x:v>
      </x:c>
      <x:c r="H28" s="61" t="n">
        <x:f>E28*F28</x:f>
        <x:v>18</x:v>
      </x:c>
      <x:c r="I28" s="61" t="n">
        <x:f>E28*G28</x:f>
        <x:v>60</x:v>
      </x:c>
      <x:c r="J28" s="61" t="n">
        <x:f>MAX(H28,I28*Assumptions!D32)</x:f>
        <x:v>18</x:v>
      </x:c>
      <x:c r="K28" s="29" t="str">
        <x:v>serialized root custody</x:v>
      </x:c>
      <x:c r="L28" s="29" t="str">
        <x:v>two route pods plus one protected pod</x:v>
      </x:c>
      <x:c r="M28" s="31" t="str">
        <x:v>OPEN</x:v>
      </x:c>
    </x:row>
    <x:row r="29" ht="33" customHeight="1">
      <x:c r="B29" s="22" t="str">
        <x:v>CG-R2-10</x:v>
      </x:c>
      <x:c r="C29" s="29" t="str">
        <x:v>R2</x:v>
      </x:c>
      <x:c r="D29" s="29" t="str">
        <x:v>Route and placement robots</x:v>
      </x:c>
      <x:c r="E29" s="29" t="n">
        <x:v>12</x:v>
      </x:c>
      <x:c r="F29" s="61" t="n">
        <x:v>4</x:v>
      </x:c>
      <x:c r="G29" s="61" t="n">
        <x:v>14</x:v>
      </x:c>
      <x:c r="H29" s="61" t="n">
        <x:f>E29*F29</x:f>
        <x:v>48</x:v>
      </x:c>
      <x:c r="I29" s="61" t="n">
        <x:f>E29*G29</x:f>
        <x:v>168</x:v>
      </x:c>
      <x:c r="J29" s="61" t="n">
        <x:f>MAX(H29,I29*Assumptions!D32)</x:f>
        <x:v>48</x:v>
      </x:c>
      <x:c r="K29" s="29" t="str">
        <x:v>serialized root custody</x:v>
      </x:c>
      <x:c r="L29" s="29" t="str">
        <x:v>survey, preparation, handling and marking</x:v>
      </x:c>
      <x:c r="M29" s="31" t="str">
        <x:v>OPEN</x:v>
      </x:c>
    </x:row>
    <x:row r="30" ht="33" customHeight="1">
      <x:c r="B30" s="22" t="str">
        <x:v>CG-R2-11</x:v>
      </x:c>
      <x:c r="C30" s="29" t="str">
        <x:v>R2</x:v>
      </x:c>
      <x:c r="D30" s="29" t="str">
        <x:v>Crossing and protection kits</x:v>
      </x:c>
      <x:c r="E30" s="29" t="n">
        <x:v>6</x:v>
      </x:c>
      <x:c r="F30" s="61" t="n">
        <x:v>12</x:v>
      </x:c>
      <x:c r="G30" s="61" t="n">
        <x:v>38</x:v>
      </x:c>
      <x:c r="H30" s="61" t="n">
        <x:f>E30*F30</x:f>
        <x:v>72</x:v>
      </x:c>
      <x:c r="I30" s="61" t="n">
        <x:f>E30*G30</x:f>
        <x:v>228</x:v>
      </x:c>
      <x:c r="J30" s="61" t="n">
        <x:f>MAX(H30,I30*Assumptions!D32)</x:f>
        <x:v>72</x:v>
      </x:c>
      <x:c r="K30" s="29" t="str">
        <x:v>serialized root custody</x:v>
      </x:c>
      <x:c r="L30" s="29" t="str">
        <x:v>road, rail, water and debris sectors</x:v>
      </x:c>
      <x:c r="M30" s="31" t="str">
        <x:v>OPEN</x:v>
      </x:c>
    </x:row>
    <x:row r="31" ht="33" customHeight="1">
      <x:c r="B31" s="22" t="str">
        <x:v>CG-R2-12</x:v>
      </x:c>
      <x:c r="C31" s="29" t="str">
        <x:v>R2</x:v>
      </x:c>
      <x:c r="D31" s="29" t="str">
        <x:v>Repair and sanitary kits</x:v>
      </x:c>
      <x:c r="E31" s="29" t="n">
        <x:v>12</x:v>
      </x:c>
      <x:c r="F31" s="61" t="n">
        <x:v>3</x:v>
      </x:c>
      <x:c r="G31" s="61" t="n">
        <x:v>9</x:v>
      </x:c>
      <x:c r="H31" s="61" t="n">
        <x:f>E31*F31</x:f>
        <x:v>36</x:v>
      </x:c>
      <x:c r="I31" s="61" t="n">
        <x:f>E31*G31</x:f>
        <x:v>108</x:v>
      </x:c>
      <x:c r="J31" s="61" t="n">
        <x:f>MAX(H31,I31*Assumptions!D32)</x:f>
        <x:v>36</x:v>
      </x:c>
      <x:c r="K31" s="29" t="str">
        <x:v>serialized root custody</x:v>
      </x:c>
      <x:c r="L31" s="29" t="str">
        <x:v>rupture, barrier and contamination response</x:v>
      </x:c>
      <x:c r="M31" s="31" t="str">
        <x:v>OPEN</x:v>
      </x:c>
    </x:row>
    <x:row r="32" ht="33" customHeight="1">
      <x:c r="B32" s="22" t="str">
        <x:v>CG-R2-13</x:v>
      </x:c>
      <x:c r="C32" s="29" t="str">
        <x:v>R2</x:v>
      </x:c>
      <x:c r="D32" s="29" t="str">
        <x:v>Crew, command and field-support set</x:v>
      </x:c>
      <x:c r="E32" s="29" t="n">
        <x:v>1</x:v>
      </x:c>
      <x:c r="F32" s="61" t="n">
        <x:v>92</x:v>
      </x:c>
      <x:c r="G32" s="61" t="n">
        <x:v>540</x:v>
      </x:c>
      <x:c r="H32" s="61" t="n">
        <x:f>E32*F32</x:f>
        <x:v>92</x:v>
      </x:c>
      <x:c r="I32" s="61" t="n">
        <x:f>E32*G32</x:f>
        <x:v>540</x:v>
      </x:c>
      <x:c r="J32" s="61" t="n">
        <x:f>MAX(H32,I32*Assumptions!D32)</x:f>
        <x:v>108</x:v>
      </x:c>
      <x:c r="K32" s="29" t="str">
        <x:v>serialized root custody</x:v>
      </x:c>
      <x:c r="L32" s="29" t="str">
        <x:v>habitation, command, maintenance and medical</x:v>
      </x:c>
      <x:c r="M32" s="31" t="str">
        <x:v>OPEN</x:v>
      </x:c>
    </x:row>
    <x:row r="33" ht="33" customHeight="1">
      <x:c r="B33" s="22" t="str">
        <x:v>CG-R3-01</x:v>
      </x:c>
      <x:c r="C33" s="29" t="str">
        <x:v>R3</x:v>
      </x:c>
      <x:c r="D33" s="29" t="str">
        <x:v>Conduit and barrier material</x:v>
      </x:c>
      <x:c r="E33" s="29" t="n">
        <x:v>1</x:v>
      </x:c>
      <x:c r="F33" s="61" t="n">
        <x:f>'Hydraulic Build'!D23*'Architecture Roots'!E9</x:f>
        <x:v>405.5754227882377</x:v>
      </x:c>
      <x:c r="G33" s="61" t="n">
        <x:f>F33/'Architecture Roots'!F9/'Architecture Roots'!G9</x:f>
        <x:v>670.3725996499795</x:v>
      </x:c>
      <x:c r="H33" s="61" t="n">
        <x:f>E33*F33</x:f>
        <x:v>405.5754227882377</x:v>
      </x:c>
      <x:c r="I33" s="61" t="n">
        <x:f>E33*G33</x:f>
        <x:v>670.3725996499795</x:v>
      </x:c>
      <x:c r="J33" s="61" t="n">
        <x:f>MAX(H33,I33*Assumptions!D32)</x:f>
        <x:v>405.5754227882377</x:v>
      </x:c>
      <x:c r="K33" s="29" t="str">
        <x:v>serialized root custody</x:v>
      </x:c>
      <x:c r="L33" s="29" t="str">
        <x:v>service issue plus protected reserve</x:v>
      </x:c>
      <x:c r="M33" s="31" t="str">
        <x:v>OPEN</x:v>
      </x:c>
    </x:row>
    <x:row r="34" ht="33" customHeight="1">
      <x:c r="B34" s="22" t="str">
        <x:v>CG-R3-02</x:v>
      </x:c>
      <x:c r="C34" s="29" t="str">
        <x:v>R3</x:v>
      </x:c>
      <x:c r="D34" s="29" t="str">
        <x:v>Transport packaging and custody</x:v>
      </x:c>
      <x:c r="E34" s="29" t="n">
        <x:v>1</x:v>
      </x:c>
      <x:c r="F34" s="61" t="n">
        <x:f>G33*'Architecture Roots'!H9</x:f>
        <x:v>120.6670679369963</x:v>
      </x:c>
      <x:c r="G34" s="61" t="n">
        <x:f>G33*'Architecture Roots'!H9</x:f>
        <x:v>120.6670679369963</x:v>
      </x:c>
      <x:c r="H34" s="61" t="n">
        <x:f>E34*F34</x:f>
        <x:v>120.6670679369963</x:v>
      </x:c>
      <x:c r="I34" s="61" t="n">
        <x:f>E34*G34</x:f>
        <x:v>120.6670679369963</x:v>
      </x:c>
      <x:c r="J34" s="61" t="n">
        <x:f>MAX(H34,I34*Assumptions!D32)</x:f>
        <x:v>120.6670679369963</x:v>
      </x:c>
      <x:c r="K34" s="29" t="str">
        <x:v>serialized root custody</x:v>
      </x:c>
      <x:c r="L34" s="29" t="str">
        <x:v>sealed segment, reel or feedstock state</x:v>
      </x:c>
      <x:c r="M34" s="31" t="str">
        <x:v>OPEN</x:v>
      </x:c>
    </x:row>
    <x:row r="35" ht="33" customHeight="1">
      <x:c r="B35" s="22" t="str">
        <x:v>CG-R3-03</x:v>
      </x:c>
      <x:c r="C35" s="29" t="str">
        <x:v>R3</x:v>
      </x:c>
      <x:c r="D35" s="29" t="str">
        <x:v>Portable production/process cells</x:v>
      </x:c>
      <x:c r="E35" s="29" t="n">
        <x:v>1</x:v>
      </x:c>
      <x:c r="F35" s="61" t="n">
        <x:v>170</x:v>
      </x:c>
      <x:c r="G35" s="61" t="n">
        <x:v>760</x:v>
      </x:c>
      <x:c r="H35" s="61" t="n">
        <x:f>E35*F35</x:f>
        <x:v>170</x:v>
      </x:c>
      <x:c r="I35" s="61" t="n">
        <x:f>E35*G35</x:f>
        <x:v>760</x:v>
      </x:c>
      <x:c r="J35" s="61" t="n">
        <x:f>MAX(H35,I35*Assumptions!D32)</x:f>
        <x:v>170</x:v>
      </x:c>
      <x:c r="K35" s="29" t="str">
        <x:v>serialized root custody</x:v>
      </x:c>
      <x:c r="L35" s="29" t="str">
        <x:v>root-specific cold-start industrial mechanism</x:v>
      </x:c>
      <x:c r="M35" s="31" t="str">
        <x:v>OPEN</x:v>
      </x:c>
    </x:row>
    <x:row r="36" ht="33" customHeight="1">
      <x:c r="B36" s="22" t="str">
        <x:v>CG-R3-04</x:v>
      </x:c>
      <x:c r="C36" s="29" t="str">
        <x:v>R3</x:v>
      </x:c>
      <x:c r="D36" s="29" t="str">
        <x:v>Hydraulic pump and isolation skids</x:v>
      </x:c>
      <x:c r="E36" s="29" t="n">
        <x:v>3</x:v>
      </x:c>
      <x:c r="F36" s="61" t="n">
        <x:v>18</x:v>
      </x:c>
      <x:c r="G36" s="61" t="n">
        <x:v>55</x:v>
      </x:c>
      <x:c r="H36" s="61" t="n">
        <x:f>E36*F36</x:f>
        <x:v>54</x:v>
      </x:c>
      <x:c r="I36" s="61" t="n">
        <x:f>E36*G36</x:f>
        <x:v>165</x:v>
      </x:c>
      <x:c r="J36" s="61" t="n">
        <x:f>MAX(H36,I36*Assumptions!D32)</x:f>
        <x:v>54</x:v>
      </x:c>
      <x:c r="K36" s="29" t="str">
        <x:v>serialized root custody</x:v>
      </x:c>
      <x:c r="L36" s="29" t="str">
        <x:v>two operating plus one protected spare</x:v>
      </x:c>
      <x:c r="M36" s="31" t="str">
        <x:v>OPEN</x:v>
      </x:c>
    </x:row>
    <x:row r="37" ht="33" customHeight="1">
      <x:c r="B37" s="22" t="str">
        <x:v>CG-R3-05</x:v>
      </x:c>
      <x:c r="C37" s="29" t="str">
        <x:v>R3</x:v>
      </x:c>
      <x:c r="D37" s="29" t="str">
        <x:v>Power, conversion and energy modules</x:v>
      </x:c>
      <x:c r="E37" s="29" t="n">
        <x:v>1</x:v>
      </x:c>
      <x:c r="F37" s="61" t="n">
        <x:f>'Power &amp; Buffer'!M9</x:f>
        <x:v>54.13206677839324</x:v>
      </x:c>
      <x:c r="G37" s="61" t="n">
        <x:v>420</x:v>
      </x:c>
      <x:c r="H37" s="61" t="n">
        <x:f>E37*F37</x:f>
        <x:v>54.13206677839324</x:v>
      </x:c>
      <x:c r="I37" s="61" t="n">
        <x:f>E37*G37</x:f>
        <x:v>420</x:v>
      </x:c>
      <x:c r="J37" s="61" t="n">
        <x:f>MAX(H37,I37*Assumptions!D32)</x:f>
        <x:v>84</x:v>
      </x:c>
      <x:c r="K37" s="29" t="str">
        <x:v>serialized root custody</x:v>
      </x:c>
      <x:c r="L37" s="29" t="str">
        <x:v>islanded build and 168-hour service energy</x:v>
      </x:c>
      <x:c r="M37" s="31" t="str">
        <x:v>OPEN</x:v>
      </x:c>
    </x:row>
    <x:row r="38" ht="33" customHeight="1">
      <x:c r="B38" s="22" t="str">
        <x:v>CG-R3-06</x:v>
      </x:c>
      <x:c r="C38" s="29" t="str">
        <x:v>R3</x:v>
      </x:c>
      <x:c r="D38" s="29" t="str">
        <x:v>Receiver buffer structure</x:v>
      </x:c>
      <x:c r="E38" s="29" t="n">
        <x:v>1</x:v>
      </x:c>
      <x:c r="F38" s="61" t="n">
        <x:f>'Power &amp; Buffer'!D21</x:f>
        <x:v>344</x:v>
      </x:c>
      <x:c r="G38" s="61" t="n">
        <x:v>700</x:v>
      </x:c>
      <x:c r="H38" s="61" t="n">
        <x:f>E38*F38</x:f>
        <x:v>344</x:v>
      </x:c>
      <x:c r="I38" s="61" t="n">
        <x:f>E38*G38</x:f>
        <x:v>700</x:v>
      </x:c>
      <x:c r="J38" s="61" t="n">
        <x:f>MAX(H38,I38*Assumptions!D32)</x:f>
        <x:v>344</x:v>
      </x:c>
      <x:c r="K38" s="29" t="str">
        <x:v>serialized root custody</x:v>
      </x:c>
      <x:c r="L38" s="29" t="str">
        <x:v>10,000 m³ dry modular receiver buffer</x:v>
      </x:c>
      <x:c r="M38" s="31" t="str">
        <x:v>OPEN</x:v>
      </x:c>
    </x:row>
    <x:row r="39" ht="33" customHeight="1">
      <x:c r="B39" s="22" t="str">
        <x:v>CG-R3-07</x:v>
      </x:c>
      <x:c r="C39" s="29" t="str">
        <x:v>R3</x:v>
      </x:c>
      <x:c r="D39" s="29" t="str">
        <x:v>Receiver adapters and outlets</x:v>
      </x:c>
      <x:c r="E39" s="29" t="n">
        <x:v>4</x:v>
      </x:c>
      <x:c r="F39" s="61" t="n">
        <x:v>10</x:v>
      </x:c>
      <x:c r="G39" s="61" t="n">
        <x:v>45</x:v>
      </x:c>
      <x:c r="H39" s="61" t="n">
        <x:f>E39*F39</x:f>
        <x:v>40</x:v>
      </x:c>
      <x:c r="I39" s="61" t="n">
        <x:f>E39*G39</x:f>
        <x:v>180</x:v>
      </x:c>
      <x:c r="J39" s="61" t="n">
        <x:f>MAX(H39,I39*Assumptions!D32)</x:f>
        <x:v>40</x:v>
      </x:c>
      <x:c r="K39" s="29" t="str">
        <x:v>serialized root custody</x:v>
      </x:c>
      <x:c r="L39" s="29" t="str">
        <x:v>bounded accessible civil interface</x:v>
      </x:c>
      <x:c r="M39" s="31" t="str">
        <x:v>OPEN</x:v>
      </x:c>
    </x:row>
    <x:row r="40" ht="33" customHeight="1">
      <x:c r="B40" s="22" t="str">
        <x:v>CG-R3-08</x:v>
      </x:c>
      <x:c r="C40" s="29" t="str">
        <x:v>R3</x:v>
      </x:c>
      <x:c r="D40" s="29" t="str">
        <x:v>Joining and closure cells</x:v>
      </x:c>
      <x:c r="E40" s="29" t="n">
        <x:v>8</x:v>
      </x:c>
      <x:c r="F40" s="61" t="n">
        <x:v>8</x:v>
      </x:c>
      <x:c r="G40" s="61" t="n">
        <x:v>28</x:v>
      </x:c>
      <x:c r="H40" s="61" t="n">
        <x:f>E40*F40</x:f>
        <x:v>64</x:v>
      </x:c>
      <x:c r="I40" s="61" t="n">
        <x:f>E40*G40</x:f>
        <x:v>224</x:v>
      </x:c>
      <x:c r="J40" s="61" t="n">
        <x:f>MAX(H40,I40*Assumptions!D32)</x:f>
        <x:v>64</x:v>
      </x:c>
      <x:c r="K40" s="29" t="str">
        <x:v>serialized root custody</x:v>
      </x:c>
      <x:c r="L40" s="29" t="str">
        <x:v>one per workfront plus two protected cells</x:v>
      </x:c>
      <x:c r="M40" s="31" t="str">
        <x:v>OPEN</x:v>
      </x:c>
    </x:row>
    <x:row r="41" ht="33" customHeight="1">
      <x:c r="B41" s="22" t="str">
        <x:v>CG-R3-09</x:v>
      </x:c>
      <x:c r="C41" s="29" t="str">
        <x:v>R3</x:v>
      </x:c>
      <x:c r="D41" s="29" t="str">
        <x:v>Portable metrology pods</x:v>
      </x:c>
      <x:c r="E41" s="29" t="n">
        <x:v>3</x:v>
      </x:c>
      <x:c r="F41" s="61" t="n">
        <x:v>6</x:v>
      </x:c>
      <x:c r="G41" s="61" t="n">
        <x:v>20</x:v>
      </x:c>
      <x:c r="H41" s="61" t="n">
        <x:f>E41*F41</x:f>
        <x:v>18</x:v>
      </x:c>
      <x:c r="I41" s="61" t="n">
        <x:f>E41*G41</x:f>
        <x:v>60</x:v>
      </x:c>
      <x:c r="J41" s="61" t="n">
        <x:f>MAX(H41,I41*Assumptions!D32)</x:f>
        <x:v>18</x:v>
      </x:c>
      <x:c r="K41" s="29" t="str">
        <x:v>serialized root custody</x:v>
      </x:c>
      <x:c r="L41" s="29" t="str">
        <x:v>two route pods plus one protected pod</x:v>
      </x:c>
      <x:c r="M41" s="31" t="str">
        <x:v>OPEN</x:v>
      </x:c>
    </x:row>
    <x:row r="42" ht="33" customHeight="1">
      <x:c r="B42" s="22" t="str">
        <x:v>CG-R3-10</x:v>
      </x:c>
      <x:c r="C42" s="29" t="str">
        <x:v>R3</x:v>
      </x:c>
      <x:c r="D42" s="29" t="str">
        <x:v>Route and placement robots</x:v>
      </x:c>
      <x:c r="E42" s="29" t="n">
        <x:v>12</x:v>
      </x:c>
      <x:c r="F42" s="61" t="n">
        <x:v>4</x:v>
      </x:c>
      <x:c r="G42" s="61" t="n">
        <x:v>14</x:v>
      </x:c>
      <x:c r="H42" s="61" t="n">
        <x:f>E42*F42</x:f>
        <x:v>48</x:v>
      </x:c>
      <x:c r="I42" s="61" t="n">
        <x:f>E42*G42</x:f>
        <x:v>168</x:v>
      </x:c>
      <x:c r="J42" s="61" t="n">
        <x:f>MAX(H42,I42*Assumptions!D32)</x:f>
        <x:v>48</x:v>
      </x:c>
      <x:c r="K42" s="29" t="str">
        <x:v>serialized root custody</x:v>
      </x:c>
      <x:c r="L42" s="29" t="str">
        <x:v>survey, preparation, handling and marking</x:v>
      </x:c>
      <x:c r="M42" s="31" t="str">
        <x:v>OPEN</x:v>
      </x:c>
    </x:row>
    <x:row r="43" ht="33" customHeight="1">
      <x:c r="B43" s="22" t="str">
        <x:v>CG-R3-11</x:v>
      </x:c>
      <x:c r="C43" s="29" t="str">
        <x:v>R3</x:v>
      </x:c>
      <x:c r="D43" s="29" t="str">
        <x:v>Crossing and protection kits</x:v>
      </x:c>
      <x:c r="E43" s="29" t="n">
        <x:v>6</x:v>
      </x:c>
      <x:c r="F43" s="61" t="n">
        <x:v>12</x:v>
      </x:c>
      <x:c r="G43" s="61" t="n">
        <x:v>38</x:v>
      </x:c>
      <x:c r="H43" s="61" t="n">
        <x:f>E43*F43</x:f>
        <x:v>72</x:v>
      </x:c>
      <x:c r="I43" s="61" t="n">
        <x:f>E43*G43</x:f>
        <x:v>228</x:v>
      </x:c>
      <x:c r="J43" s="61" t="n">
        <x:f>MAX(H43,I43*Assumptions!D32)</x:f>
        <x:v>72</x:v>
      </x:c>
      <x:c r="K43" s="29" t="str">
        <x:v>serialized root custody</x:v>
      </x:c>
      <x:c r="L43" s="29" t="str">
        <x:v>road, rail, water and debris sectors</x:v>
      </x:c>
      <x:c r="M43" s="31" t="str">
        <x:v>OPEN</x:v>
      </x:c>
    </x:row>
    <x:row r="44" ht="33" customHeight="1">
      <x:c r="B44" s="22" t="str">
        <x:v>CG-R3-12</x:v>
      </x:c>
      <x:c r="C44" s="29" t="str">
        <x:v>R3</x:v>
      </x:c>
      <x:c r="D44" s="29" t="str">
        <x:v>Repair and sanitary kits</x:v>
      </x:c>
      <x:c r="E44" s="29" t="n">
        <x:v>12</x:v>
      </x:c>
      <x:c r="F44" s="61" t="n">
        <x:v>3</x:v>
      </x:c>
      <x:c r="G44" s="61" t="n">
        <x:v>9</x:v>
      </x:c>
      <x:c r="H44" s="61" t="n">
        <x:f>E44*F44</x:f>
        <x:v>36</x:v>
      </x:c>
      <x:c r="I44" s="61" t="n">
        <x:f>E44*G44</x:f>
        <x:v>108</x:v>
      </x:c>
      <x:c r="J44" s="61" t="n">
        <x:f>MAX(H44,I44*Assumptions!D32)</x:f>
        <x:v>36</x:v>
      </x:c>
      <x:c r="K44" s="29" t="str">
        <x:v>serialized root custody</x:v>
      </x:c>
      <x:c r="L44" s="29" t="str">
        <x:v>rupture, barrier and contamination response</x:v>
      </x:c>
      <x:c r="M44" s="31" t="str">
        <x:v>OPEN</x:v>
      </x:c>
    </x:row>
    <x:row r="45" ht="33" customHeight="1">
      <x:c r="B45" s="26" t="str">
        <x:v>CG-R3-13</x:v>
      </x:c>
      <x:c r="C45" s="33" t="str">
        <x:v>R3</x:v>
      </x:c>
      <x:c r="D45" s="33" t="str">
        <x:v>Crew, command and field-support set</x:v>
      </x:c>
      <x:c r="E45" s="33" t="n">
        <x:v>1</x:v>
      </x:c>
      <x:c r="F45" s="62" t="n">
        <x:v>92</x:v>
      </x:c>
      <x:c r="G45" s="62" t="n">
        <x:v>540</x:v>
      </x:c>
      <x:c r="H45" s="62" t="n">
        <x:f>E45*F45</x:f>
        <x:v>92</x:v>
      </x:c>
      <x:c r="I45" s="62" t="n">
        <x:f>E45*G45</x:f>
        <x:v>540</x:v>
      </x:c>
      <x:c r="J45" s="62" t="n">
        <x:f>MAX(H45,I45*Assumptions!D32)</x:f>
        <x:v>108</x:v>
      </x:c>
      <x:c r="K45" s="33" t="str">
        <x:v>serialized root custody</x:v>
      </x:c>
      <x:c r="L45" s="33" t="str">
        <x:v>habitation, command, maintenance and medical</x:v>
      </x:c>
      <x:c r="M45" s="35" t="str">
        <x:v>OPEN</x:v>
      </x:c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</x:sheetData>
  <x:mergeCells>
    <x:mergeCell ref="B3:M3"/>
  </x:mergeCells>
  <x:conditionalFormatting sqref="M7:M45">
    <x:cfRule type="containsText" dxfId="63" priority="1" operator="containsText" text="FAIL"/>
    <x:cfRule type="containsText" dxfId="64" priority="2" operator="containsText" text="BLOCKED"/>
    <x:cfRule type="containsText" dxfId="65" priority="3" operator="containsText" text="HOLD"/>
    <x:cfRule type="containsText" dxfId="66" priority="4" operator="containsText" text="OPEN"/>
    <x:cfRule type="containsText" dxfId="67" priority="5" operator="containsText" text="NOT ADMITTED"/>
    <x:cfRule type="containsText" dxfId="68" priority="6" operator="containsText" text="PASS"/>
    <x:cfRule type="containsText" dxfId="69" priority="7" operator="containsText" text="CLOSED"/>
    <x:cfRule type="containsText" dxfId="70" priority="8" operator="containsText" text="ADEQUATE"/>
    <x:cfRule type="containsText" dxfId="71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ef9a9ea29560487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7" hidden="0" customWidth="1"/>
    <x:col min="3" max="3" width="10" hidden="0" customWidth="1"/>
    <x:col min="4" max="4" width="40" hidden="0" customWidth="1"/>
    <x:col min="5" max="5" width="17" hidden="0" customWidth="1"/>
    <x:col min="6" max="6" width="14" hidden="0" customWidth="1"/>
    <x:col min="7" max="7" width="20" hidden="0" customWidth="1"/>
    <x:col min="8" max="8" width="23" hidden="0" customWidth="1"/>
    <x:col min="9" max="9" width="46" hidden="0" customWidth="1"/>
  </x:cols>
  <x:sheetData>
    <x:row r="2">
      <x:c r="B2" s="3" t="str">
        <x:v>Crew and receiver-burden build</x:v>
      </x:c>
      <x:c r="C2" s="2"/>
      <x:c r="D2" s="2"/>
      <x:c r="E2" s="2"/>
      <x:c r="F2" s="2"/>
      <x:c r="G2" s="2"/>
      <x:c r="H2" s="2"/>
      <x:c r="I2" s="2"/>
    </x:row>
    <x:row r="3">
      <x:c r="B3" s="4" t="str">
        <x:v>Every operational role travels with the article. Receiver personnel may observe, consent and exercise authority, but are not hidden production labor.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0" t="str">
        <x:v>Record</x:v>
      </x:c>
      <x:c r="C6" s="21" t="str">
        <x:v>Root</x:v>
      </x:c>
      <x:c r="D6" s="21" t="str">
        <x:v>Role</x:v>
      </x:c>
      <x:c r="E6" s="21" t="str">
        <x:v>Basis</x:v>
      </x:c>
      <x:c r="F6" s="21" t="str">
        <x:v>Crew</x:v>
      </x:c>
      <x:c r="G6" s="21" t="str">
        <x:v>F36 or receiver</x:v>
      </x:c>
      <x:c r="H6" s="21" t="str">
        <x:v>Borrowed receiver crew</x:v>
      </x:c>
      <x:c r="I6" s="21" t="str">
        <x:v>Mission function</x:v>
      </x:c>
    </x:row>
    <x:row r="7" ht="29" customHeight="1">
      <x:c r="B7" s="22" t="str">
        <x:v>CR-R1-01</x:v>
      </x:c>
      <x:c r="C7" s="29" t="str">
        <x:v>R1</x:v>
      </x:c>
      <x:c r="D7" s="29" t="str">
        <x:v>Command, safety and configuration</x:v>
      </x:c>
      <x:c r="E7" s="29" t="str">
        <x:v>root</x:v>
      </x:c>
      <x:c r="F7" s="29" t="n">
        <x:v>8</x:v>
      </x:c>
      <x:c r="G7" s="29" t="str">
        <x:v>F36</x:v>
      </x:c>
      <x:c r="H7" s="29" t="n">
        <x:v>0</x:v>
      </x:c>
      <x:c r="I7" s="31" t="str">
        <x:v>mission authority and safe stop</x:v>
      </x:c>
    </x:row>
    <x:row r="8" ht="29" customHeight="1">
      <x:c r="B8" s="22" t="str">
        <x:v>CR-R1-02</x:v>
      </x:c>
      <x:c r="C8" s="29" t="str">
        <x:v>R1</x:v>
      </x:c>
      <x:c r="D8" s="29" t="str">
        <x:v>Industrial process and release</x:v>
      </x:c>
      <x:c r="E8" s="29" t="str">
        <x:v>root</x:v>
      </x:c>
      <x:c r="F8" s="29" t="n">
        <x:f>'Architecture Roots'!S7</x:f>
        <x:v>86</x:v>
      </x:c>
      <x:c r="G8" s="29" t="str">
        <x:v>F36</x:v>
      </x:c>
      <x:c r="H8" s="29" t="n">
        <x:v>0</x:v>
      </x:c>
      <x:c r="I8" s="31" t="str">
        <x:v>cold start, fabrication and lot release</x:v>
      </x:c>
    </x:row>
    <x:row r="9" ht="29" customHeight="1">
      <x:c r="B9" s="22" t="str">
        <x:v>CR-R1-03</x:v>
      </x:c>
      <x:c r="C9" s="29" t="str">
        <x:v>R1</x:v>
      </x:c>
      <x:c r="D9" s="29" t="str">
        <x:v>Joining and installation</x:v>
      </x:c>
      <x:c r="E9" s="29" t="str">
        <x:v>workfront</x:v>
      </x:c>
      <x:c r="F9" s="29" t="n">
        <x:f>'Architecture Roots'!P7*'Architecture Roots'!T7</x:f>
        <x:v>108</x:v>
      </x:c>
      <x:c r="G9" s="29" t="str">
        <x:v>F36</x:v>
      </x:c>
      <x:c r="H9" s="29" t="n">
        <x:v>0</x:v>
      </x:c>
      <x:c r="I9" s="31" t="str">
        <x:v>two-route placement and closure</x:v>
      </x:c>
    </x:row>
    <x:row r="10" ht="29" customHeight="1">
      <x:c r="B10" s="22" t="str">
        <x:v>CR-R1-04</x:v>
      </x:c>
      <x:c r="C10" s="29" t="str">
        <x:v>R1</x:v>
      </x:c>
      <x:c r="D10" s="29" t="str">
        <x:v>Route, crossing and civil robotics</x:v>
      </x:c>
      <x:c r="E10" s="29" t="str">
        <x:v>root</x:v>
      </x:c>
      <x:c r="F10" s="29" t="n">
        <x:v>48</x:v>
      </x:c>
      <x:c r="G10" s="29" t="str">
        <x:v>F36</x:v>
      </x:c>
      <x:c r="H10" s="29" t="n">
        <x:v>0</x:v>
      </x:c>
      <x:c r="I10" s="31" t="str">
        <x:v>terrain preparation and protection</x:v>
      </x:c>
    </x:row>
    <x:row r="11" ht="29" customHeight="1">
      <x:c r="B11" s="22" t="str">
        <x:v>CR-R1-05</x:v>
      </x:c>
      <x:c r="C11" s="29" t="str">
        <x:v>R1</x:v>
      </x:c>
      <x:c r="D11" s="29" t="str">
        <x:v>Water quality and sanitary release</x:v>
      </x:c>
      <x:c r="E11" s="29" t="str">
        <x:v>root</x:v>
      </x:c>
      <x:c r="F11" s="29" t="n">
        <x:v>24</x:v>
      </x:c>
      <x:c r="G11" s="29" t="str">
        <x:v>F36</x:v>
      </x:c>
      <x:c r="H11" s="29" t="n">
        <x:v>0</x:v>
      </x:c>
      <x:c r="I11" s="31" t="str">
        <x:v>local sampling, stop and public release</x:v>
      </x:c>
    </x:row>
    <x:row r="12" ht="29" customHeight="1">
      <x:c r="B12" s="22" t="str">
        <x:v>CR-R1-06</x:v>
      </x:c>
      <x:c r="C12" s="29" t="str">
        <x:v>R1</x:v>
      </x:c>
      <x:c r="D12" s="29" t="str">
        <x:v>Power and controls</x:v>
      </x:c>
      <x:c r="E12" s="29" t="str">
        <x:v>root</x:v>
      </x:c>
      <x:c r="F12" s="29" t="n">
        <x:v>18</x:v>
      </x:c>
      <x:c r="G12" s="29" t="str">
        <x:v>F36</x:v>
      </x:c>
      <x:c r="H12" s="29" t="n">
        <x:v>0</x:v>
      </x:c>
      <x:c r="I12" s="31" t="str">
        <x:v>black start, distribution and manual reversion</x:v>
      </x:c>
    </x:row>
    <x:row r="13" ht="29" customHeight="1">
      <x:c r="B13" s="22" t="str">
        <x:v>CR-R1-07</x:v>
      </x:c>
      <x:c r="C13" s="29" t="str">
        <x:v>R1</x:v>
      </x:c>
      <x:c r="D13" s="29" t="str">
        <x:v>Cargo, movement and custody</x:v>
      </x:c>
      <x:c r="E13" s="29" t="str">
        <x:v>root</x:v>
      </x:c>
      <x:c r="F13" s="29" t="n">
        <x:v>36</x:v>
      </x:c>
      <x:c r="G13" s="29" t="str">
        <x:v>F36</x:v>
      </x:c>
      <x:c r="H13" s="29" t="n">
        <x:v>0</x:v>
      </x:c>
      <x:c r="I13" s="31" t="str">
        <x:v>self-load, reroute and serial custody</x:v>
      </x:c>
    </x:row>
    <x:row r="14" ht="29" customHeight="1">
      <x:c r="B14" s="22" t="str">
        <x:v>CR-R1-08</x:v>
      </x:c>
      <x:c r="C14" s="29" t="str">
        <x:v>R1</x:v>
      </x:c>
      <x:c r="D14" s="29" t="str">
        <x:v>Receiver interface</x:v>
      </x:c>
      <x:c r="E14" s="29" t="str">
        <x:v>root</x:v>
      </x:c>
      <x:c r="F14" s="29" t="n">
        <x:v>8</x:v>
      </x:c>
      <x:c r="G14" s="29" t="str">
        <x:v>F36</x:v>
      </x:c>
      <x:c r="H14" s="29" t="n">
        <x:v>0</x:v>
      </x:c>
      <x:c r="I14" s="31" t="str">
        <x:v>buffer, adapters and accessible outlets</x:v>
      </x:c>
    </x:row>
    <x:row r="15" ht="29" customHeight="1">
      <x:c r="B15" s="22" t="str">
        <x:v>CR-R1-09</x:v>
      </x:c>
      <x:c r="C15" s="29" t="str">
        <x:v>R1</x:v>
      </x:c>
      <x:c r="D15" s="29" t="str">
        <x:v>Repair and regeneration</x:v>
      </x:c>
      <x:c r="E15" s="29" t="str">
        <x:v>root</x:v>
      </x:c>
      <x:c r="F15" s="29" t="n">
        <x:v>24</x:v>
      </x:c>
      <x:c r="G15" s="29" t="str">
        <x:v>F36</x:v>
      </x:c>
      <x:c r="H15" s="29" t="n">
        <x:v>0</x:v>
      </x:c>
      <x:c r="I15" s="31" t="str">
        <x:v>rupture repair and protected-stock restoration</x:v>
      </x:c>
    </x:row>
    <x:row r="16" ht="29" customHeight="1">
      <x:c r="B16" s="22" t="str">
        <x:v>CR-R1-10</x:v>
      </x:c>
      <x:c r="C16" s="29" t="str">
        <x:v>R1</x:v>
      </x:c>
      <x:c r="D16" s="29" t="str">
        <x:v>Independent evidence liaison</x:v>
      </x:c>
      <x:c r="E16" s="29" t="str">
        <x:v>root</x:v>
      </x:c>
      <x:c r="F16" s="29" t="n">
        <x:v>12</x:v>
      </x:c>
      <x:c r="G16" s="29" t="str">
        <x:v>F36</x:v>
      </x:c>
      <x:c r="H16" s="29" t="n">
        <x:v>0</x:v>
      </x:c>
      <x:c r="I16" s="31" t="str">
        <x:v>configuration witness; not release authority</x:v>
      </x:c>
    </x:row>
    <x:row r="17" ht="29" customHeight="1">
      <x:c r="B17" s="22" t="str">
        <x:v>CR-R2-01</x:v>
      </x:c>
      <x:c r="C17" s="29" t="str">
        <x:v>R2</x:v>
      </x:c>
      <x:c r="D17" s="29" t="str">
        <x:v>Command, safety and configuration</x:v>
      </x:c>
      <x:c r="E17" s="29" t="str">
        <x:v>root</x:v>
      </x:c>
      <x:c r="F17" s="29" t="n">
        <x:v>8</x:v>
      </x:c>
      <x:c r="G17" s="29" t="str">
        <x:v>F36</x:v>
      </x:c>
      <x:c r="H17" s="29" t="n">
        <x:v>0</x:v>
      </x:c>
      <x:c r="I17" s="31" t="str">
        <x:v>mission authority and safe stop</x:v>
      </x:c>
    </x:row>
    <x:row r="18" ht="29" customHeight="1">
      <x:c r="B18" s="22" t="str">
        <x:v>CR-R2-02</x:v>
      </x:c>
      <x:c r="C18" s="29" t="str">
        <x:v>R2</x:v>
      </x:c>
      <x:c r="D18" s="29" t="str">
        <x:v>Industrial process and release</x:v>
      </x:c>
      <x:c r="E18" s="29" t="str">
        <x:v>root</x:v>
      </x:c>
      <x:c r="F18" s="29" t="n">
        <x:f>'Architecture Roots'!S8</x:f>
        <x:v>118</x:v>
      </x:c>
      <x:c r="G18" s="29" t="str">
        <x:v>F36</x:v>
      </x:c>
      <x:c r="H18" s="29" t="n">
        <x:v>0</x:v>
      </x:c>
      <x:c r="I18" s="31" t="str">
        <x:v>cold start, fabrication and lot release</x:v>
      </x:c>
    </x:row>
    <x:row r="19" ht="29" customHeight="1">
      <x:c r="B19" s="22" t="str">
        <x:v>CR-R2-03</x:v>
      </x:c>
      <x:c r="C19" s="29" t="str">
        <x:v>R2</x:v>
      </x:c>
      <x:c r="D19" s="29" t="str">
        <x:v>Joining and installation</x:v>
      </x:c>
      <x:c r="E19" s="29" t="str">
        <x:v>workfront</x:v>
      </x:c>
      <x:c r="F19" s="29" t="n">
        <x:f>'Architecture Roots'!P8*'Architecture Roots'!T8</x:f>
        <x:v>120</x:v>
      </x:c>
      <x:c r="G19" s="29" t="str">
        <x:v>F36</x:v>
      </x:c>
      <x:c r="H19" s="29" t="n">
        <x:v>0</x:v>
      </x:c>
      <x:c r="I19" s="31" t="str">
        <x:v>two-route placement and closure</x:v>
      </x:c>
    </x:row>
    <x:row r="20" ht="29" customHeight="1">
      <x:c r="B20" s="22" t="str">
        <x:v>CR-R2-04</x:v>
      </x:c>
      <x:c r="C20" s="29" t="str">
        <x:v>R2</x:v>
      </x:c>
      <x:c r="D20" s="29" t="str">
        <x:v>Route, crossing and civil robotics</x:v>
      </x:c>
      <x:c r="E20" s="29" t="str">
        <x:v>root</x:v>
      </x:c>
      <x:c r="F20" s="29" t="n">
        <x:v>48</x:v>
      </x:c>
      <x:c r="G20" s="29" t="str">
        <x:v>F36</x:v>
      </x:c>
      <x:c r="H20" s="29" t="n">
        <x:v>0</x:v>
      </x:c>
      <x:c r="I20" s="31" t="str">
        <x:v>terrain preparation and protection</x:v>
      </x:c>
    </x:row>
    <x:row r="21" ht="29" customHeight="1">
      <x:c r="B21" s="22" t="str">
        <x:v>CR-R2-05</x:v>
      </x:c>
      <x:c r="C21" s="29" t="str">
        <x:v>R2</x:v>
      </x:c>
      <x:c r="D21" s="29" t="str">
        <x:v>Water quality and sanitary release</x:v>
      </x:c>
      <x:c r="E21" s="29" t="str">
        <x:v>root</x:v>
      </x:c>
      <x:c r="F21" s="29" t="n">
        <x:v>24</x:v>
      </x:c>
      <x:c r="G21" s="29" t="str">
        <x:v>F36</x:v>
      </x:c>
      <x:c r="H21" s="29" t="n">
        <x:v>0</x:v>
      </x:c>
      <x:c r="I21" s="31" t="str">
        <x:v>local sampling, stop and public release</x:v>
      </x:c>
    </x:row>
    <x:row r="22" ht="29" customHeight="1">
      <x:c r="B22" s="22" t="str">
        <x:v>CR-R2-06</x:v>
      </x:c>
      <x:c r="C22" s="29" t="str">
        <x:v>R2</x:v>
      </x:c>
      <x:c r="D22" s="29" t="str">
        <x:v>Power and controls</x:v>
      </x:c>
      <x:c r="E22" s="29" t="str">
        <x:v>root</x:v>
      </x:c>
      <x:c r="F22" s="29" t="n">
        <x:v>18</x:v>
      </x:c>
      <x:c r="G22" s="29" t="str">
        <x:v>F36</x:v>
      </x:c>
      <x:c r="H22" s="29" t="n">
        <x:v>0</x:v>
      </x:c>
      <x:c r="I22" s="31" t="str">
        <x:v>black start, distribution and manual reversion</x:v>
      </x:c>
    </x:row>
    <x:row r="23" ht="29" customHeight="1">
      <x:c r="B23" s="22" t="str">
        <x:v>CR-R2-07</x:v>
      </x:c>
      <x:c r="C23" s="29" t="str">
        <x:v>R2</x:v>
      </x:c>
      <x:c r="D23" s="29" t="str">
        <x:v>Cargo, movement and custody</x:v>
      </x:c>
      <x:c r="E23" s="29" t="str">
        <x:v>root</x:v>
      </x:c>
      <x:c r="F23" s="29" t="n">
        <x:v>36</x:v>
      </x:c>
      <x:c r="G23" s="29" t="str">
        <x:v>F36</x:v>
      </x:c>
      <x:c r="H23" s="29" t="n">
        <x:v>0</x:v>
      </x:c>
      <x:c r="I23" s="31" t="str">
        <x:v>self-load, reroute and serial custody</x:v>
      </x:c>
    </x:row>
    <x:row r="24" ht="29" customHeight="1">
      <x:c r="B24" s="22" t="str">
        <x:v>CR-R2-08</x:v>
      </x:c>
      <x:c r="C24" s="29" t="str">
        <x:v>R2</x:v>
      </x:c>
      <x:c r="D24" s="29" t="str">
        <x:v>Receiver interface</x:v>
      </x:c>
      <x:c r="E24" s="29" t="str">
        <x:v>root</x:v>
      </x:c>
      <x:c r="F24" s="29" t="n">
        <x:v>8</x:v>
      </x:c>
      <x:c r="G24" s="29" t="str">
        <x:v>F36</x:v>
      </x:c>
      <x:c r="H24" s="29" t="n">
        <x:v>0</x:v>
      </x:c>
      <x:c r="I24" s="31" t="str">
        <x:v>buffer, adapters and accessible outlets</x:v>
      </x:c>
    </x:row>
    <x:row r="25" ht="29" customHeight="1">
      <x:c r="B25" s="22" t="str">
        <x:v>CR-R2-09</x:v>
      </x:c>
      <x:c r="C25" s="29" t="str">
        <x:v>R2</x:v>
      </x:c>
      <x:c r="D25" s="29" t="str">
        <x:v>Repair and regeneration</x:v>
      </x:c>
      <x:c r="E25" s="29" t="str">
        <x:v>root</x:v>
      </x:c>
      <x:c r="F25" s="29" t="n">
        <x:v>24</x:v>
      </x:c>
      <x:c r="G25" s="29" t="str">
        <x:v>F36</x:v>
      </x:c>
      <x:c r="H25" s="29" t="n">
        <x:v>0</x:v>
      </x:c>
      <x:c r="I25" s="31" t="str">
        <x:v>rupture repair and protected-stock restoration</x:v>
      </x:c>
    </x:row>
    <x:row r="26" ht="29" customHeight="1">
      <x:c r="B26" s="22" t="str">
        <x:v>CR-R2-10</x:v>
      </x:c>
      <x:c r="C26" s="29" t="str">
        <x:v>R2</x:v>
      </x:c>
      <x:c r="D26" s="29" t="str">
        <x:v>Independent evidence liaison</x:v>
      </x:c>
      <x:c r="E26" s="29" t="str">
        <x:v>root</x:v>
      </x:c>
      <x:c r="F26" s="29" t="n">
        <x:v>12</x:v>
      </x:c>
      <x:c r="G26" s="29" t="str">
        <x:v>F36</x:v>
      </x:c>
      <x:c r="H26" s="29" t="n">
        <x:v>0</x:v>
      </x:c>
      <x:c r="I26" s="31" t="str">
        <x:v>configuration witness; not release authority</x:v>
      </x:c>
    </x:row>
    <x:row r="27" ht="29" customHeight="1">
      <x:c r="B27" s="22" t="str">
        <x:v>CR-R3-01</x:v>
      </x:c>
      <x:c r="C27" s="29" t="str">
        <x:v>R3</x:v>
      </x:c>
      <x:c r="D27" s="29" t="str">
        <x:v>Command, safety and configuration</x:v>
      </x:c>
      <x:c r="E27" s="29" t="str">
        <x:v>root</x:v>
      </x:c>
      <x:c r="F27" s="29" t="n">
        <x:v>8</x:v>
      </x:c>
      <x:c r="G27" s="29" t="str">
        <x:v>F36</x:v>
      </x:c>
      <x:c r="H27" s="29" t="n">
        <x:v>0</x:v>
      </x:c>
      <x:c r="I27" s="31" t="str">
        <x:v>mission authority and safe stop</x:v>
      </x:c>
    </x:row>
    <x:row r="28" ht="29" customHeight="1">
      <x:c r="B28" s="22" t="str">
        <x:v>CR-R3-02</x:v>
      </x:c>
      <x:c r="C28" s="29" t="str">
        <x:v>R3</x:v>
      </x:c>
      <x:c r="D28" s="29" t="str">
        <x:v>Industrial process and release</x:v>
      </x:c>
      <x:c r="E28" s="29" t="str">
        <x:v>root</x:v>
      </x:c>
      <x:c r="F28" s="29" t="n">
        <x:f>'Architecture Roots'!S9</x:f>
        <x:v>96</x:v>
      </x:c>
      <x:c r="G28" s="29" t="str">
        <x:v>F36</x:v>
      </x:c>
      <x:c r="H28" s="29" t="n">
        <x:v>0</x:v>
      </x:c>
      <x:c r="I28" s="31" t="str">
        <x:v>cold start, fabrication and lot release</x:v>
      </x:c>
    </x:row>
    <x:row r="29" ht="29" customHeight="1">
      <x:c r="B29" s="22" t="str">
        <x:v>CR-R3-03</x:v>
      </x:c>
      <x:c r="C29" s="29" t="str">
        <x:v>R3</x:v>
      </x:c>
      <x:c r="D29" s="29" t="str">
        <x:v>Joining and installation</x:v>
      </x:c>
      <x:c r="E29" s="29" t="str">
        <x:v>workfront</x:v>
      </x:c>
      <x:c r="F29" s="29" t="n">
        <x:f>'Architecture Roots'!P9*'Architecture Roots'!T9</x:f>
        <x:v>108</x:v>
      </x:c>
      <x:c r="G29" s="29" t="str">
        <x:v>F36</x:v>
      </x:c>
      <x:c r="H29" s="29" t="n">
        <x:v>0</x:v>
      </x:c>
      <x:c r="I29" s="31" t="str">
        <x:v>two-route placement and closure</x:v>
      </x:c>
    </x:row>
    <x:row r="30" ht="29" customHeight="1">
      <x:c r="B30" s="22" t="str">
        <x:v>CR-R3-04</x:v>
      </x:c>
      <x:c r="C30" s="29" t="str">
        <x:v>R3</x:v>
      </x:c>
      <x:c r="D30" s="29" t="str">
        <x:v>Route, crossing and civil robotics</x:v>
      </x:c>
      <x:c r="E30" s="29" t="str">
        <x:v>root</x:v>
      </x:c>
      <x:c r="F30" s="29" t="n">
        <x:v>48</x:v>
      </x:c>
      <x:c r="G30" s="29" t="str">
        <x:v>F36</x:v>
      </x:c>
      <x:c r="H30" s="29" t="n">
        <x:v>0</x:v>
      </x:c>
      <x:c r="I30" s="31" t="str">
        <x:v>terrain preparation and protection</x:v>
      </x:c>
    </x:row>
    <x:row r="31" ht="29" customHeight="1">
      <x:c r="B31" s="22" t="str">
        <x:v>CR-R3-05</x:v>
      </x:c>
      <x:c r="C31" s="29" t="str">
        <x:v>R3</x:v>
      </x:c>
      <x:c r="D31" s="29" t="str">
        <x:v>Water quality and sanitary release</x:v>
      </x:c>
      <x:c r="E31" s="29" t="str">
        <x:v>root</x:v>
      </x:c>
      <x:c r="F31" s="29" t="n">
        <x:v>24</x:v>
      </x:c>
      <x:c r="G31" s="29" t="str">
        <x:v>F36</x:v>
      </x:c>
      <x:c r="H31" s="29" t="n">
        <x:v>0</x:v>
      </x:c>
      <x:c r="I31" s="31" t="str">
        <x:v>local sampling, stop and public release</x:v>
      </x:c>
    </x:row>
    <x:row r="32" ht="29" customHeight="1">
      <x:c r="B32" s="22" t="str">
        <x:v>CR-R3-06</x:v>
      </x:c>
      <x:c r="C32" s="29" t="str">
        <x:v>R3</x:v>
      </x:c>
      <x:c r="D32" s="29" t="str">
        <x:v>Power and controls</x:v>
      </x:c>
      <x:c r="E32" s="29" t="str">
        <x:v>root</x:v>
      </x:c>
      <x:c r="F32" s="29" t="n">
        <x:v>18</x:v>
      </x:c>
      <x:c r="G32" s="29" t="str">
        <x:v>F36</x:v>
      </x:c>
      <x:c r="H32" s="29" t="n">
        <x:v>0</x:v>
      </x:c>
      <x:c r="I32" s="31" t="str">
        <x:v>black start, distribution and manual reversion</x:v>
      </x:c>
    </x:row>
    <x:row r="33" ht="29" customHeight="1">
      <x:c r="B33" s="22" t="str">
        <x:v>CR-R3-07</x:v>
      </x:c>
      <x:c r="C33" s="29" t="str">
        <x:v>R3</x:v>
      </x:c>
      <x:c r="D33" s="29" t="str">
        <x:v>Cargo, movement and custody</x:v>
      </x:c>
      <x:c r="E33" s="29" t="str">
        <x:v>root</x:v>
      </x:c>
      <x:c r="F33" s="29" t="n">
        <x:v>36</x:v>
      </x:c>
      <x:c r="G33" s="29" t="str">
        <x:v>F36</x:v>
      </x:c>
      <x:c r="H33" s="29" t="n">
        <x:v>0</x:v>
      </x:c>
      <x:c r="I33" s="31" t="str">
        <x:v>self-load, reroute and serial custody</x:v>
      </x:c>
    </x:row>
    <x:row r="34" ht="29" customHeight="1">
      <x:c r="B34" s="22" t="str">
        <x:v>CR-R3-08</x:v>
      </x:c>
      <x:c r="C34" s="29" t="str">
        <x:v>R3</x:v>
      </x:c>
      <x:c r="D34" s="29" t="str">
        <x:v>Receiver interface</x:v>
      </x:c>
      <x:c r="E34" s="29" t="str">
        <x:v>root</x:v>
      </x:c>
      <x:c r="F34" s="29" t="n">
        <x:v>8</x:v>
      </x:c>
      <x:c r="G34" s="29" t="str">
        <x:v>F36</x:v>
      </x:c>
      <x:c r="H34" s="29" t="n">
        <x:v>0</x:v>
      </x:c>
      <x:c r="I34" s="31" t="str">
        <x:v>buffer, adapters and accessible outlets</x:v>
      </x:c>
    </x:row>
    <x:row r="35" ht="29" customHeight="1">
      <x:c r="B35" s="22" t="str">
        <x:v>CR-R3-09</x:v>
      </x:c>
      <x:c r="C35" s="29" t="str">
        <x:v>R3</x:v>
      </x:c>
      <x:c r="D35" s="29" t="str">
        <x:v>Repair and regeneration</x:v>
      </x:c>
      <x:c r="E35" s="29" t="str">
        <x:v>root</x:v>
      </x:c>
      <x:c r="F35" s="29" t="n">
        <x:v>24</x:v>
      </x:c>
      <x:c r="G35" s="29" t="str">
        <x:v>F36</x:v>
      </x:c>
      <x:c r="H35" s="29" t="n">
        <x:v>0</x:v>
      </x:c>
      <x:c r="I35" s="31" t="str">
        <x:v>rupture repair and protected-stock restoration</x:v>
      </x:c>
    </x:row>
    <x:row r="36" ht="29" customHeight="1">
      <x:c r="B36" s="22" t="str">
        <x:v>CR-R3-10</x:v>
      </x:c>
      <x:c r="C36" s="29" t="str">
        <x:v>R3</x:v>
      </x:c>
      <x:c r="D36" s="29" t="str">
        <x:v>Independent evidence liaison</x:v>
      </x:c>
      <x:c r="E36" s="29" t="str">
        <x:v>root</x:v>
      </x:c>
      <x:c r="F36" s="29" t="n">
        <x:v>12</x:v>
      </x:c>
      <x:c r="G36" s="29" t="str">
        <x:v>F36</x:v>
      </x:c>
      <x:c r="H36" s="29" t="n">
        <x:v>0</x:v>
      </x:c>
      <x:c r="I36" s="31" t="str">
        <x:v>configuration witness; not release authority</x:v>
      </x:c>
    </x:row>
    <x:row r="37" ht="29" customHeight="1">
      <x:c r="B37" s="22"/>
      <x:c r="C37" s="29"/>
      <x:c r="D37" s="29"/>
      <x:c r="E37" s="29"/>
      <x:c r="F37" s="29"/>
      <x:c r="G37" s="29"/>
      <x:c r="H37" s="29"/>
      <x:c r="I37" s="31"/>
    </x:row>
    <x:row r="38" ht="29" customHeight="1">
      <x:c r="B38" s="22"/>
      <x:c r="C38" s="29"/>
      <x:c r="D38" s="29"/>
      <x:c r="E38" s="29"/>
      <x:c r="F38" s="29"/>
      <x:c r="G38" s="29"/>
      <x:c r="H38" s="29"/>
      <x:c r="I38" s="31"/>
    </x:row>
    <x:row r="39" ht="29" customHeight="1">
      <x:c r="B39" s="70" t="str">
        <x:v>Root totals</x:v>
      </x:c>
      <x:c r="C39" s="72" t="str">
        <x:v>Root totals</x:v>
      </x:c>
      <x:c r="D39" s="72" t="str">
        <x:v>Root totals</x:v>
      </x:c>
      <x:c r="E39" s="72" t="str">
        <x:v>Root totals</x:v>
      </x:c>
      <x:c r="F39" s="72" t="str">
        <x:v>Root totals</x:v>
      </x:c>
      <x:c r="G39" s="72" t="str">
        <x:v>Root totals</x:v>
      </x:c>
      <x:c r="H39" s="72" t="str">
        <x:v>Root totals</x:v>
      </x:c>
      <x:c r="I39" s="73" t="str">
        <x:v>Root totals</x:v>
      </x:c>
    </x:row>
    <x:row r="40" ht="29" customHeight="1">
      <x:c r="B40" s="22" t="str">
        <x:v>R1</x:v>
      </x:c>
      <x:c r="C40" s="29" t="str">
        <x:v>Sectional public-root</x:v>
      </x:c>
      <x:c r="D40" s="29" t="str"/>
      <x:c r="E40" s="29" t="str"/>
      <x:c r="F40" s="29" t="n">
        <x:f>SUM(F7:F16)</x:f>
        <x:v>372</x:v>
      </x:c>
      <x:c r="G40" s="29" t="str"/>
      <x:c r="H40" s="29" t="n">
        <x:f>SUM(H7:H16)</x:f>
        <x:v>0</x:v>
      </x:c>
      <x:c r="I40" s="31" t="str"/>
    </x:row>
    <x:row r="41" ht="29" customHeight="1">
      <x:c r="B41" s="22" t="str">
        <x:v>R2</x:v>
      </x:c>
      <x:c r="C41" s="29" t="str">
        <x:v>Mobile continuous forge</x:v>
      </x:c>
      <x:c r="D41" s="29" t="str"/>
      <x:c r="E41" s="29" t="str"/>
      <x:c r="F41" s="29" t="n">
        <x:f>SUM(F17:F26)</x:f>
        <x:v>416</x:v>
      </x:c>
      <x:c r="G41" s="29" t="str"/>
      <x:c r="H41" s="29" t="n">
        <x:f>SUM(H17:H26)</x:f>
        <x:v>0</x:v>
      </x:c>
      <x:c r="I41" s="31" t="str"/>
    </x:row>
    <x:row r="42" ht="29" customHeight="1">
      <x:c r="B42" s="26" t="str">
        <x:v>R3</x:v>
      </x:c>
      <x:c r="C42" s="33" t="str">
        <x:v>Structural-ribbon challenge</x:v>
      </x:c>
      <x:c r="D42" s="33" t="str"/>
      <x:c r="E42" s="33" t="str"/>
      <x:c r="F42" s="33" t="n">
        <x:f>SUM(F27:F36)</x:f>
        <x:v>382</x:v>
      </x:c>
      <x:c r="G42" s="33" t="str"/>
      <x:c r="H42" s="33" t="n">
        <x:f>SUM(H27:H36)</x:f>
        <x:v>0</x:v>
      </x:c>
      <x:c r="I42" s="35" t="str"/>
    </x:row>
    <x:row r="43">
      <x:c r="B43" s="2"/>
      <x:c r="C43" s="2"/>
      <x:c r="D43" s="2"/>
      <x:c r="E43" s="2"/>
      <x:c r="F43" s="2"/>
      <x:c r="G43" s="2"/>
      <x:c r="H43" s="2"/>
      <x:c r="I43" s="2"/>
    </x:row>
    <x:row r="44">
      <x:c r="B44" s="2"/>
      <x:c r="C44" s="2"/>
      <x:c r="D44" s="2"/>
      <x:c r="E44" s="2"/>
      <x:c r="F44" s="2"/>
      <x:c r="G44" s="2"/>
      <x:c r="H44" s="2"/>
      <x:c r="I44" s="2"/>
    </x:row>
  </x:sheetData>
  <x:mergeCells>
    <x:mergeCell ref="B3:I3"/>
    <x:mergeCell ref="B39:I39"/>
  </x:mergeCells>
  <x:pageMargins left="0.7" right="0.7" top="0.75" bottom="0.75" header="0.3" footer="0.3"/>
  <x:tableParts count="1">
    <x:tablePart xmlns:r="http://schemas.openxmlformats.org/officeDocument/2006/relationships" r:id="Rd1b752782fd2432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0" hidden="0" customWidth="1"/>
    <x:col min="3" max="3" width="17" hidden="0" customWidth="1"/>
    <x:col min="4" max="4" width="19" hidden="0" customWidth="1"/>
    <x:col min="5" max="5" width="20" hidden="0" customWidth="1"/>
    <x:col min="6" max="6" width="3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22" hidden="0" customWidth="1"/>
    <x:col min="14" max="14" width="22" hidden="0" customWidth="1"/>
  </x:cols>
  <x:sheetData>
    <x:row r="2">
      <x:c r="B2" s="3" t="str">
        <x:v>Article-owned power, energy and receiver buffer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range supplies no operational electricity. Each root carries black-start power, energy stock, distribution and the full dry receiver buffer structure.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0" t="str">
        <x:v>Root</x:v>
      </x:c>
      <x:c r="C6" s="21" t="str">
        <x:v>Hydraulic MW</x:v>
      </x:c>
      <x:c r="D6" s="21" t="str">
        <x:v>Manufacture MW</x:v>
      </x:c>
      <x:c r="E6" s="21" t="str">
        <x:v>Joining/civil MW</x:v>
      </x:c>
      <x:c r="F6" s="21" t="str">
        <x:v>Support MW</x:v>
      </x:c>
      <x:c r="G6" s="21" t="str">
        <x:v>Peak MW</x:v>
      </x:c>
      <x:c r="H6" s="21" t="str">
        <x:v>Installed MW</x:v>
      </x:c>
      <x:c r="I6" s="21" t="str">
        <x:v>Production h</x:v>
      </x:c>
      <x:c r="J6" s="21" t="str">
        <x:v>Service MWh</x:v>
      </x:c>
      <x:c r="K6" s="21" t="str">
        <x:v>Build MWh</x:v>
      </x:c>
      <x:c r="L6" s="21" t="str">
        <x:v>Reserve share</x:v>
      </x:c>
      <x:c r="M6" s="21" t="str">
        <x:v>Energy-system mass t</x:v>
      </x:c>
      <x:c r="N6" s="21" t="str">
        <x:v>Borrowed power MW</x:v>
      </x:c>
    </x:row>
    <x:row r="7">
      <x:c r="B7" s="22" t="str">
        <x:v>R1</x:v>
      </x:c>
      <x:c r="C7" s="38" t="n">
        <x:f>'Hydraulic Build'!D27</x:f>
        <x:v>0.06695198529766919</x:v>
      </x:c>
      <x:c r="D7" s="38" t="n">
        <x:v>1.8</x:v>
      </x:c>
      <x:c r="E7" s="38" t="n">
        <x:v>0.9</x:v>
      </x:c>
      <x:c r="F7" s="38" t="n">
        <x:v>0.45</x:v>
      </x:c>
      <x:c r="G7" s="38" t="n">
        <x:f>SUM(C7:F7)</x:f>
        <x:v>3.2169519852976696</x:v>
      </x:c>
      <x:c r="H7" s="38" t="n">
        <x:v>4.5</x:v>
      </x:c>
      <x:c r="I7" s="38" t="n">
        <x:f>'Material Build'!K7</x:f>
        <x:v>44.56872777892722</x:v>
      </x:c>
      <x:c r="J7" s="38" t="n">
        <x:f>C7*Assumptions!D12</x:f>
        <x:v>11.247933530008423</x:v>
      </x:c>
      <x:c r="K7" s="38" t="n">
        <x:f>(D7+E7+F7)*I7</x:f>
        <x:v>140.39149250362075</x:v>
      </x:c>
      <x:c r="L7" s="39" t="n">
        <x:v>0.2</x:v>
      </x:c>
      <x:c r="M7" s="38" t="n">
        <x:f>(J7+K7)*(1+L7)*0.3</x:f>
        <x:v>54.5901933721065</x:v>
      </x:c>
      <x:c r="N7" s="55" t="n">
        <x:v>0</x:v>
      </x:c>
    </x:row>
    <x:row r="8">
      <x:c r="B8" s="22" t="str">
        <x:v>R2</x:v>
      </x:c>
      <x:c r="C8" s="38" t="n">
        <x:f>'Hydraulic Build'!D27</x:f>
        <x:v>0.06695198529766919</x:v>
      </x:c>
      <x:c r="D8" s="38" t="n">
        <x:v>3.8</x:v>
      </x:c>
      <x:c r="E8" s="38" t="n">
        <x:v>0.8</x:v>
      </x:c>
      <x:c r="F8" s="38" t="n">
        <x:v>0.45</x:v>
      </x:c>
      <x:c r="G8" s="38" t="n">
        <x:f>SUM(C8:F8)</x:f>
        <x:v>5.1169519852976695</x:v>
      </x:c>
      <x:c r="H8" s="38" t="n">
        <x:v>7</x:v>
      </x:c>
      <x:c r="I8" s="38" t="n">
        <x:f>'Material Build'!K8</x:f>
        <x:v>51.99684907541509</x:v>
      </x:c>
      <x:c r="J8" s="38" t="n">
        <x:f>C8*Assumptions!D12</x:f>
        <x:v>11.247933530008423</x:v>
      </x:c>
      <x:c r="K8" s="38" t="n">
        <x:f>(D8+E8+F8)*I8</x:f>
        <x:v>262.5840878308462</x:v>
      </x:c>
      <x:c r="L8" s="39" t="n">
        <x:v>0.2</x:v>
      </x:c>
      <x:c r="M8" s="38" t="n">
        <x:f>(J8+K8)*(1+L8)*0.3</x:f>
        <x:v>98.57952768990766</x:v>
      </x:c>
      <x:c r="N8" s="55" t="n">
        <x:v>0</x:v>
      </x:c>
    </x:row>
    <x:row r="9">
      <x:c r="B9" s="26" t="str">
        <x:v>R3</x:v>
      </x:c>
      <x:c r="C9" s="40" t="n">
        <x:f>'Hydraulic Build'!D27</x:f>
        <x:v>0.06695198529766919</x:v>
      </x:c>
      <x:c r="D9" s="40" t="n">
        <x:v>2.4</x:v>
      </x:c>
      <x:c r="E9" s="40" t="n">
        <x:v>0.8</x:v>
      </x:c>
      <x:c r="F9" s="40" t="n">
        <x:v>0.45</x:v>
      </x:c>
      <x:c r="G9" s="40" t="n">
        <x:f>SUM(C9:F9)</x:f>
        <x:v>3.716951985297669</x:v>
      </x:c>
      <x:c r="H9" s="40" t="n">
        <x:v>5.5</x:v>
      </x:c>
      <x:c r="I9" s="40" t="n">
        <x:f>'Material Build'!K9</x:f>
        <x:v>42.69214976718291</x:v>
      </x:c>
      <x:c r="J9" s="40" t="n">
        <x:f>C9*Assumptions!D12</x:f>
        <x:v>11.247933530008423</x:v>
      </x:c>
      <x:c r="K9" s="40" t="n">
        <x:f>(D9+E9+F9)*I9</x:f>
        <x:v>155.82634665021763</x:v>
      </x:c>
      <x:c r="L9" s="56" t="n">
        <x:v>0.2</x:v>
      </x:c>
      <x:c r="M9" s="40" t="n">
        <x:f>(J9+K9)*(1+L9)*0.27</x:f>
        <x:v>54.13206677839324</x:v>
      </x:c>
      <x:c r="N9" s="57" t="n">
        <x:v>0</x:v>
      </x:c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52" t="str">
        <x:v>Receiver buffer constitution</x:v>
      </x:c>
      <x:c r="C12" s="53" t="str">
        <x:v>Receiver buffer constitution</x:v>
      </x:c>
      <x:c r="D12" s="53" t="str">
        <x:v>Receiver buffer constitution</x:v>
      </x:c>
      <x:c r="E12" s="53" t="str">
        <x:v>Receiver buffer constitution</x:v>
      </x:c>
      <x:c r="F12" s="53" t="str">
        <x:v>Receiver buffer constitution</x:v>
      </x:c>
      <x:c r="G12" s="53" t="str">
        <x:v>Receiver buffer constitution</x:v>
      </x:c>
      <x:c r="H12" s="53" t="str">
        <x:v>Receiver buffer constitution</x:v>
      </x:c>
      <x:c r="I12" s="53" t="str">
        <x:v>Receiver buffer constitution</x:v>
      </x:c>
      <x:c r="J12" s="53" t="str">
        <x:v>Receiver buffer constitution</x:v>
      </x:c>
      <x:c r="K12" s="53" t="str">
        <x:v>Receiver buffer constitution</x:v>
      </x:c>
      <x:c r="L12" s="53" t="str">
        <x:v>Receiver buffer constitution</x:v>
      </x:c>
      <x:c r="M12" s="53" t="str">
        <x:v>Receiver buffer constitution</x:v>
      </x:c>
      <x:c r="N12" s="54" t="str">
        <x:v>Receiver buffer constitution</x:v>
      </x:c>
    </x:row>
    <x:row r="13">
      <x:c r="B13" s="14" t="str">
        <x:v>Component</x:v>
      </x:c>
      <x:c r="C13" s="15" t="str">
        <x:v>Quantity</x:v>
      </x:c>
      <x:c r="D13" s="15" t="str">
        <x:v>Unit volume m³</x:v>
      </x:c>
      <x:c r="E13" s="15" t="str">
        <x:v>Dry mass t/unit</x:v>
      </x:c>
      <x:c r="F13" s="16" t="str">
        <x:v>Purpose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2" t="str">
        <x:v>Collapsible sanitary storage cell</x:v>
      </x:c>
      <x:c r="C14" s="2" t="n">
        <x:v>20</x:v>
      </x:c>
      <x:c r="D14" s="2" t="n">
        <x:v>500</x:v>
      </x:c>
      <x:c r="E14" s="2" t="n">
        <x:v>8</x:v>
      </x:c>
      <x:c r="F14" s="2" t="str">
        <x:v>twenty separated cells total 10,000 m³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B15" s="2" t="str">
        <x:v>Inlet isolation and pressure block</x:v>
      </x:c>
      <x:c r="C15" s="2" t="n">
        <x:v>2</x:v>
      </x:c>
      <x:c r="D15" s="2" t="n">
        <x:v>0</x:v>
      </x:c>
      <x:c r="E15" s="2" t="n">
        <x:v>18</x:v>
      </x:c>
      <x:c r="F15" s="2" t="str">
        <x:v>one independently powered block per route</x:v>
      </x:c>
      <x:c r="G15" s="2"/>
      <x:c r="H15" s="2"/>
      <x:c r="I15" s="2"/>
      <x:c r="J15" s="2"/>
      <x:c r="K15" s="2"/>
      <x:c r="L15" s="2"/>
      <x:c r="M15" s="2"/>
      <x:c r="N15" s="2"/>
    </x:row>
    <x:row r="16">
      <x:c r="B16" s="2" t="str">
        <x:v>Public outlet manifold</x:v>
      </x:c>
      <x:c r="C16" s="2" t="n">
        <x:v>4</x:v>
      </x:c>
      <x:c r="D16" s="2" t="n">
        <x:v>0</x:v>
      </x:c>
      <x:c r="E16" s="2" t="n">
        <x:v>10</x:v>
      </x:c>
      <x:c r="F16" s="2" t="str">
        <x:v>accessible multiport boundary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2" t="str">
        <x:v>Sanitary sampling and release pod</x:v>
      </x:c>
      <x:c r="C17" s="2" t="n">
        <x:v>2</x:v>
      </x:c>
      <x:c r="D17" s="2" t="n">
        <x:v>0</x:v>
      </x:c>
      <x:c r="E17" s="2" t="n">
        <x:v>6</x:v>
      </x:c>
      <x:c r="F17" s="2" t="str">
        <x:v>local stop/release and custody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2" t="str">
        <x:v>Buffer foundation and containment kit</x:v>
      </x:c>
      <x:c r="C18" s="2" t="n">
        <x:v>20</x:v>
      </x:c>
      <x:c r="D18" s="2" t="n">
        <x:v>0</x:v>
      </x:c>
      <x:c r="E18" s="2" t="n">
        <x:v>4</x:v>
      </x:c>
      <x:c r="F18" s="2" t="str">
        <x:v>receiver-site completion without borrowed civil plant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2" t="str">
        <x:v>Buffer control and backup power</x:v>
      </x:c>
      <x:c r="C19" s="2" t="n">
        <x:v>2</x:v>
      </x:c>
      <x:c r="D19" s="2" t="n">
        <x:v>0</x:v>
      </x:c>
      <x:c r="E19" s="2" t="n">
        <x:v>8</x:v>
      </x:c>
      <x:c r="F19" s="2" t="str">
        <x:v>no common control or power path</x:v>
      </x:c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 t="str">
        <x:v>CONTROL</x:v>
      </x:c>
      <x:c r="C21" s="2" t="str">
        <x:v>Buffer dry mass</x:v>
      </x:c>
      <x:c r="D21" s="2" t="n">
        <x:f>SUMPRODUCT(C14:C19,E14:E19)</x:f>
        <x:v>344</x:v>
      </x:c>
      <x:c r="E21" s="2" t="str">
        <x:v>t</x:v>
      </x:c>
      <x:c r="F21" s="2" t="str">
        <x:v>carried by every root</x:v>
      </x:c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</x:sheetData>
  <x:mergeCells>
    <x:mergeCell ref="B3:N3"/>
    <x:mergeCell ref="B12:N12"/>
  </x:mergeCells>
  <x:pageMargins left="0.7" right="0.7" top="0.75" bottom="0.75" header="0.3" footer="0.3"/>
  <x:tableParts count="1">
    <x:tablePart xmlns:r="http://schemas.openxmlformats.org/officeDocument/2006/relationships" r:id="Ra490f44ec76d451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3" hidden="0" customWidth="1"/>
    <x:col min="4" max="4" width="16" hidden="0" customWidth="1"/>
    <x:col min="5" max="5" width="54" hidden="0" customWidth="1"/>
    <x:col min="6" max="6" width="35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3" hidden="0" customWidth="1"/>
    <x:col min="12" max="12" width="16" hidden="0" customWidth="1"/>
  </x:cols>
  <x:sheetData>
    <x:row r="2">
      <x:c r="B2" s="3" t="str">
        <x:v>F36 evidence and authority plan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Thirty-two claim families must close on each configuration. A planning pass or an equipment delivery does not populate an accepted-evidence cell.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0" t="str">
        <x:v>Claim</x:v>
      </x:c>
      <x:c r="C6" s="21" t="str">
        <x:v>Claim family</x:v>
      </x:c>
      <x:c r="D6" s="21" t="str">
        <x:v>Domain</x:v>
      </x:c>
      <x:c r="E6" s="21" t="str">
        <x:v>Required evidence object</x:v>
      </x:c>
      <x:c r="F6" s="21" t="str">
        <x:v>Acceptance authority</x:v>
      </x:c>
      <x:c r="G6" s="21" t="str">
        <x:v>R1 state</x:v>
      </x:c>
      <x:c r="H6" s="21" t="str">
        <x:v>R2 state</x:v>
      </x:c>
      <x:c r="I6" s="21" t="str">
        <x:v>R3 state</x:v>
      </x:c>
      <x:c r="J6" s="21" t="str">
        <x:v>Accepted count</x:v>
      </x:c>
      <x:c r="K6" s="21" t="str">
        <x:v>Credit</x:v>
      </x:c>
      <x:c r="L6" s="21" t="str">
        <x:v>Admission</x:v>
      </x:c>
    </x:row>
    <x:row r="7" ht="46" customHeight="1">
      <x:c r="B7" s="22" t="str">
        <x:v>E01</x:v>
      </x:c>
      <x:c r="C7" s="29" t="str">
        <x:v>Corridor geometry</x:v>
      </x:c>
      <x:c r="D7" s="29" t="str">
        <x:v>survey</x:v>
      </x:c>
      <x:c r="E7" s="29" t="str">
        <x:v>as-built two-route geospatial record</x:v>
      </x:c>
      <x:c r="F7" s="29" t="str">
        <x:v>independent survey authority</x:v>
      </x:c>
      <x:c r="G7" s="22" t="str">
        <x:v>OPEN</x:v>
      </x:c>
      <x:c r="H7" s="22" t="str">
        <x:v>OPEN</x:v>
      </x:c>
      <x:c r="I7" s="22" t="str">
        <x:v>OPEN</x:v>
      </x:c>
      <x:c r="J7" s="75" t="n">
        <x:f>COUNTIF(G7:I7,"ACCEPTED")</x:f>
        <x:v>0</x:v>
      </x:c>
      <x:c r="K7" s="75" t="n">
        <x:f>IF(J7=3,1,0)</x:f>
        <x:v>0</x:v>
      </x:c>
      <x:c r="L7" s="24" t="str">
        <x:f>IF(K7=1,"ADMITTED","HOLD")</x:f>
        <x:v>HOLD</x:v>
      </x:c>
    </x:row>
    <x:row r="8" ht="46" customHeight="1">
      <x:c r="B8" s="22" t="str">
        <x:v>E02</x:v>
      </x:c>
      <x:c r="C8" s="29" t="str">
        <x:v>Full service flow</x:v>
      </x:c>
      <x:c r="D8" s="29" t="str">
        <x:v>hydraulic</x:v>
      </x:c>
      <x:c r="E8" s="29" t="str">
        <x:v>168-hour receiver-boundary flow series</x:v>
      </x:c>
      <x:c r="F8" s="29" t="str">
        <x:v>public-effect measurement authority</x:v>
      </x:c>
      <x:c r="G8" s="22" t="str">
        <x:v>OPEN</x:v>
      </x:c>
      <x:c r="H8" s="22" t="str">
        <x:v>OPEN</x:v>
      </x:c>
      <x:c r="I8" s="22" t="str">
        <x:v>OPEN</x:v>
      </x:c>
      <x:c r="J8" s="75" t="n">
        <x:f>COUNTIF(G8:I8,"ACCEPTED")</x:f>
        <x:v>0</x:v>
      </x:c>
      <x:c r="K8" s="75" t="n">
        <x:f>IF(J8=3,1,0)</x:f>
        <x:v>0</x:v>
      </x:c>
      <x:c r="L8" s="24" t="str">
        <x:f>IF(K8=1,"ADMITTED","HOLD")</x:f>
        <x:v>HOLD</x:v>
      </x:c>
    </x:row>
    <x:row r="9" ht="46" customHeight="1">
      <x:c r="B9" s="22" t="str">
        <x:v>E03</x:v>
      </x:c>
      <x:c r="C9" s="29" t="str">
        <x:v>Pressure and surge</x:v>
      </x:c>
      <x:c r="D9" s="29" t="str">
        <x:v>hydraulic</x:v>
      </x:c>
      <x:c r="E9" s="29" t="str">
        <x:v>distributed pressure and transient record</x:v>
      </x:c>
      <x:c r="F9" s="29" t="str">
        <x:v>pressure metrology authority</x:v>
      </x:c>
      <x:c r="G9" s="22" t="str">
        <x:v>OPEN</x:v>
      </x:c>
      <x:c r="H9" s="22" t="str">
        <x:v>OPEN</x:v>
      </x:c>
      <x:c r="I9" s="22" t="str">
        <x:v>OPEN</x:v>
      </x:c>
      <x:c r="J9" s="75" t="n">
        <x:f>COUNTIF(G9:I9,"ACCEPTED")</x:f>
        <x:v>0</x:v>
      </x:c>
      <x:c r="K9" s="75" t="n">
        <x:f>IF(J9=3,1,0)</x:f>
        <x:v>0</x:v>
      </x:c>
      <x:c r="L9" s="24" t="str">
        <x:f>IF(K9=1,"ADMITTED","HOLD")</x:f>
        <x:v>HOLD</x:v>
      </x:c>
    </x:row>
    <x:row r="10" ht="46" customHeight="1">
      <x:c r="B10" s="22" t="str">
        <x:v>E04</x:v>
      </x:c>
      <x:c r="C10" s="29" t="str">
        <x:v>Potable barrier</x:v>
      </x:c>
      <x:c r="D10" s="29" t="str">
        <x:v>sanitary</x:v>
      </x:c>
      <x:c r="E10" s="29" t="str">
        <x:v>blind chemistry, microbiology and migration panel</x:v>
      </x:c>
      <x:c r="F10" s="29" t="str">
        <x:v>water release authority</x:v>
      </x:c>
      <x:c r="G10" s="22" t="str">
        <x:v>OPEN</x:v>
      </x:c>
      <x:c r="H10" s="22" t="str">
        <x:v>OPEN</x:v>
      </x:c>
      <x:c r="I10" s="22" t="str">
        <x:v>OPEN</x:v>
      </x:c>
      <x:c r="J10" s="75" t="n">
        <x:f>COUNTIF(G10:I10,"ACCEPTED")</x:f>
        <x:v>0</x:v>
      </x:c>
      <x:c r="K10" s="75" t="n">
        <x:f>IF(J10=3,1,0)</x:f>
        <x:v>0</x:v>
      </x:c>
      <x:c r="L10" s="24" t="str">
        <x:f>IF(K10=1,"ADMITTED","HOLD")</x:f>
        <x:v>HOLD</x:v>
      </x:c>
    </x:row>
    <x:row r="11" ht="46" customHeight="1">
      <x:c r="B11" s="22" t="str">
        <x:v>E05</x:v>
      </x:c>
      <x:c r="C11" s="29" t="str">
        <x:v>Local stop logic</x:v>
      </x:c>
      <x:c r="D11" s="29" t="str">
        <x:v>sanitary</x:v>
      </x:c>
      <x:c r="E11" s="29" t="str">
        <x:v>seeded challenge, stop and bounded restart</x:v>
      </x:c>
      <x:c r="F11" s="29" t="str">
        <x:v>water release authority</x:v>
      </x:c>
      <x:c r="G11" s="22" t="str">
        <x:v>OPEN</x:v>
      </x:c>
      <x:c r="H11" s="22" t="str">
        <x:v>OPEN</x:v>
      </x:c>
      <x:c r="I11" s="22" t="str">
        <x:v>OPEN</x:v>
      </x:c>
      <x:c r="J11" s="75" t="n">
        <x:f>COUNTIF(G11:I11,"ACCEPTED")</x:f>
        <x:v>0</x:v>
      </x:c>
      <x:c r="K11" s="75" t="n">
        <x:f>IF(J11=3,1,0)</x:f>
        <x:v>0</x:v>
      </x:c>
      <x:c r="L11" s="24" t="str">
        <x:f>IF(K11=1,"ADMITTED","HOLD")</x:f>
        <x:v>HOLD</x:v>
      </x:c>
    </x:row>
    <x:row r="12" ht="46" customHeight="1">
      <x:c r="B12" s="22" t="str">
        <x:v>E06</x:v>
      </x:c>
      <x:c r="C12" s="29" t="str">
        <x:v>N-1 route service</x:v>
      </x:c>
      <x:c r="D12" s="29" t="str">
        <x:v>degraded</x:v>
      </x:c>
      <x:c r="E12" s="29" t="str">
        <x:v>one isolated route and continuous boundary flow</x:v>
      </x:c>
      <x:c r="F12" s="29" t="str">
        <x:v>public-effect measurement authority</x:v>
      </x:c>
      <x:c r="G12" s="22" t="str">
        <x:v>OPEN</x:v>
      </x:c>
      <x:c r="H12" s="22" t="str">
        <x:v>OPEN</x:v>
      </x:c>
      <x:c r="I12" s="22" t="str">
        <x:v>OPEN</x:v>
      </x:c>
      <x:c r="J12" s="75" t="n">
        <x:f>COUNTIF(G12:I12,"ACCEPTED")</x:f>
        <x:v>0</x:v>
      </x:c>
      <x:c r="K12" s="75" t="n">
        <x:f>IF(J12=3,1,0)</x:f>
        <x:v>0</x:v>
      </x:c>
      <x:c r="L12" s="24" t="str">
        <x:f>IF(K12=1,"ADMITTED","HOLD")</x:f>
        <x:v>HOLD</x:v>
      </x:c>
    </x:row>
    <x:row r="13" ht="46" customHeight="1">
      <x:c r="B13" s="22" t="str">
        <x:v>E07</x:v>
      </x:c>
      <x:c r="C13" s="29" t="str">
        <x:v>Twenty-four-hour buffer</x:v>
      </x:c>
      <x:c r="D13" s="29" t="str">
        <x:v>degraded</x:v>
      </x:c>
      <x:c r="E13" s="29" t="str">
        <x:v>measured full-service drawdown and refill</x:v>
      </x:c>
      <x:c r="F13" s="29" t="str">
        <x:v>receiver authority</x:v>
      </x:c>
      <x:c r="G13" s="22" t="str">
        <x:v>OPEN</x:v>
      </x:c>
      <x:c r="H13" s="22" t="str">
        <x:v>OPEN</x:v>
      </x:c>
      <x:c r="I13" s="22" t="str">
        <x:v>OPEN</x:v>
      </x:c>
      <x:c r="J13" s="75" t="n">
        <x:f>COUNTIF(G13:I13,"ACCEPTED")</x:f>
        <x:v>0</x:v>
      </x:c>
      <x:c r="K13" s="75" t="n">
        <x:f>IF(J13=3,1,0)</x:f>
        <x:v>0</x:v>
      </x:c>
      <x:c r="L13" s="24" t="str">
        <x:f>IF(K13=1,"ADMITTED","HOLD")</x:f>
        <x:v>HOLD</x:v>
      </x:c>
    </x:row>
    <x:row r="14" ht="46" customHeight="1">
      <x:c r="B14" s="22" t="str">
        <x:v>E08</x:v>
      </x:c>
      <x:c r="C14" s="29" t="str">
        <x:v>Full-bore repair</x:v>
      </x:c>
      <x:c r="D14" s="29" t="str">
        <x:v>destructive</x:v>
      </x:c>
      <x:c r="E14" s="29" t="str">
        <x:v>cut, isolation, repair, test and return in six hours</x:v>
      </x:c>
      <x:c r="F14" s="29" t="str">
        <x:v>range safety + release authorities</x:v>
      </x:c>
      <x:c r="G14" s="22" t="str">
        <x:v>OPEN</x:v>
      </x:c>
      <x:c r="H14" s="22" t="str">
        <x:v>OPEN</x:v>
      </x:c>
      <x:c r="I14" s="22" t="str">
        <x:v>OPEN</x:v>
      </x:c>
      <x:c r="J14" s="75" t="n">
        <x:f>COUNTIF(G14:I14,"ACCEPTED")</x:f>
        <x:v>0</x:v>
      </x:c>
      <x:c r="K14" s="75" t="n">
        <x:f>IF(J14=3,1,0)</x:f>
        <x:v>0</x:v>
      </x:c>
      <x:c r="L14" s="24" t="str">
        <x:f>IF(K14=1,"ADMITTED","HOLD")</x:f>
        <x:v>HOLD</x:v>
      </x:c>
    </x:row>
    <x:row r="15" ht="46" customHeight="1">
      <x:c r="B15" s="22" t="str">
        <x:v>E09</x:v>
      </x:c>
      <x:c r="C15" s="29" t="str">
        <x:v>Weak-soil route</x:v>
      </x:c>
      <x:c r="D15" s="29" t="str">
        <x:v>route</x:v>
      </x:c>
      <x:c r="E15" s="29" t="str">
        <x:v>settlement, bearing and protective works</x:v>
      </x:c>
      <x:c r="F15" s="29" t="str">
        <x:v>geotechnical authority</x:v>
      </x:c>
      <x:c r="G15" s="22" t="str">
        <x:v>OPEN</x:v>
      </x:c>
      <x:c r="H15" s="22" t="str">
        <x:v>OPEN</x:v>
      </x:c>
      <x:c r="I15" s="22" t="str">
        <x:v>OPEN</x:v>
      </x:c>
      <x:c r="J15" s="75" t="n">
        <x:f>COUNTIF(G15:I15,"ACCEPTED")</x:f>
        <x:v>0</x:v>
      </x:c>
      <x:c r="K15" s="75" t="n">
        <x:f>IF(J15=3,1,0)</x:f>
        <x:v>0</x:v>
      </x:c>
      <x:c r="L15" s="24" t="str">
        <x:f>IF(K15=1,"ADMITTED","HOLD")</x:f>
        <x:v>HOLD</x:v>
      </x:c>
    </x:row>
    <x:row r="16" ht="46" customHeight="1">
      <x:c r="B16" s="22" t="str">
        <x:v>E10</x:v>
      </x:c>
      <x:c r="C16" s="29" t="str">
        <x:v>Urban accessibility</x:v>
      </x:c>
      <x:c r="D16" s="29" t="str">
        <x:v>civil</x:v>
      </x:c>
      <x:c r="E16" s="29" t="str">
        <x:v>public-interface walk-through and outlet use</x:v>
      </x:c>
      <x:c r="F16" s="29" t="str">
        <x:v>accessibility authority</x:v>
      </x:c>
      <x:c r="G16" s="22" t="str">
        <x:v>OPEN</x:v>
      </x:c>
      <x:c r="H16" s="22" t="str">
        <x:v>OPEN</x:v>
      </x:c>
      <x:c r="I16" s="22" t="str">
        <x:v>OPEN</x:v>
      </x:c>
      <x:c r="J16" s="75" t="n">
        <x:f>COUNTIF(G16:I16,"ACCEPTED")</x:f>
        <x:v>0</x:v>
      </x:c>
      <x:c r="K16" s="75" t="n">
        <x:f>IF(J16=3,1,0)</x:f>
        <x:v>0</x:v>
      </x:c>
      <x:c r="L16" s="24" t="str">
        <x:f>IF(K16=1,"ADMITTED","HOLD")</x:f>
        <x:v>HOLD</x:v>
      </x:c>
    </x:row>
    <x:row r="17" ht="46" customHeight="1">
      <x:c r="B17" s="22" t="str">
        <x:v>E11</x:v>
      </x:c>
      <x:c r="C17" s="29" t="str">
        <x:v>Road/rail crossing</x:v>
      </x:c>
      <x:c r="D17" s="29" t="str">
        <x:v>route</x:v>
      </x:c>
      <x:c r="E17" s="29" t="str">
        <x:v>load, clearance and retrieval trial</x:v>
      </x:c>
      <x:c r="F17" s="29" t="str">
        <x:v>crossing authority</x:v>
      </x:c>
      <x:c r="G17" s="22" t="str">
        <x:v>OPEN</x:v>
      </x:c>
      <x:c r="H17" s="22" t="str">
        <x:v>OPEN</x:v>
      </x:c>
      <x:c r="I17" s="22" t="str">
        <x:v>OPEN</x:v>
      </x:c>
      <x:c r="J17" s="75" t="n">
        <x:f>COUNTIF(G17:I17,"ACCEPTED")</x:f>
        <x:v>0</x:v>
      </x:c>
      <x:c r="K17" s="75" t="n">
        <x:f>IF(J17=3,1,0)</x:f>
        <x:v>0</x:v>
      </x:c>
      <x:c r="L17" s="24" t="str">
        <x:f>IF(K17=1,"ADMITTED","HOLD")</x:f>
        <x:v>HOLD</x:v>
      </x:c>
    </x:row>
    <x:row r="18" ht="46" customHeight="1">
      <x:c r="B18" s="22" t="str">
        <x:v>E12</x:v>
      </x:c>
      <x:c r="C18" s="29" t="str">
        <x:v>Water/debris crossing</x:v>
      </x:c>
      <x:c r="D18" s="29" t="str">
        <x:v>route</x:v>
      </x:c>
      <x:c r="E18" s="29" t="str">
        <x:v>debris strike, restraint and retrieval</x:v>
      </x:c>
      <x:c r="F18" s="29" t="str">
        <x:v>waterway authority</x:v>
      </x:c>
      <x:c r="G18" s="22" t="str">
        <x:v>OPEN</x:v>
      </x:c>
      <x:c r="H18" s="22" t="str">
        <x:v>OPEN</x:v>
      </x:c>
      <x:c r="I18" s="22" t="str">
        <x:v>OPEN</x:v>
      </x:c>
      <x:c r="J18" s="75" t="n">
        <x:f>COUNTIF(G18:I18,"ACCEPTED")</x:f>
        <x:v>0</x:v>
      </x:c>
      <x:c r="K18" s="75" t="n">
        <x:f>IF(J18=3,1,0)</x:f>
        <x:v>0</x:v>
      </x:c>
      <x:c r="L18" s="24" t="str">
        <x:f>IF(K18=1,"ADMITTED","HOLD")</x:f>
        <x:v>HOLD</x:v>
      </x:c>
    </x:row>
    <x:row r="19" ht="46" customHeight="1">
      <x:c r="B19" s="22" t="str">
        <x:v>E13</x:v>
      </x:c>
      <x:c r="C19" s="29" t="str">
        <x:v>Contaminated sector</x:v>
      </x:c>
      <x:c r="D19" s="29" t="str">
        <x:v>hazard</x:v>
      </x:c>
      <x:c r="E19" s="29" t="str">
        <x:v>remote placement and decontamination custody</x:v>
      </x:c>
      <x:c r="F19" s="29" t="str">
        <x:v>hazard authority</x:v>
      </x:c>
      <x:c r="G19" s="22" t="str">
        <x:v>OPEN</x:v>
      </x:c>
      <x:c r="H19" s="22" t="str">
        <x:v>OPEN</x:v>
      </x:c>
      <x:c r="I19" s="22" t="str">
        <x:v>OPEN</x:v>
      </x:c>
      <x:c r="J19" s="75" t="n">
        <x:f>COUNTIF(G19:I19,"ACCEPTED")</x:f>
        <x:v>0</x:v>
      </x:c>
      <x:c r="K19" s="75" t="n">
        <x:f>IF(J19=3,1,0)</x:f>
        <x:v>0</x:v>
      </x:c>
      <x:c r="L19" s="24" t="str">
        <x:f>IF(K19=1,"ADMITTED","HOLD")</x:f>
        <x:v>HOLD</x:v>
      </x:c>
    </x:row>
    <x:row r="20" ht="46" customHeight="1">
      <x:c r="B20" s="22" t="str">
        <x:v>E14</x:v>
      </x:c>
      <x:c r="C20" s="29" t="str">
        <x:v>Receiver mismatch</x:v>
      </x:c>
      <x:c r="D20" s="29" t="str">
        <x:v>interface</x:v>
      </x:c>
      <x:c r="E20" s="29" t="str">
        <x:v>blind standard mismatch and adapter closure</x:v>
      </x:c>
      <x:c r="F20" s="29" t="str">
        <x:v>receiver authority</x:v>
      </x:c>
      <x:c r="G20" s="22" t="str">
        <x:v>OPEN</x:v>
      </x:c>
      <x:c r="H20" s="22" t="str">
        <x:v>OPEN</x:v>
      </x:c>
      <x:c r="I20" s="22" t="str">
        <x:v>OPEN</x:v>
      </x:c>
      <x:c r="J20" s="75" t="n">
        <x:f>COUNTIF(G20:I20,"ACCEPTED")</x:f>
        <x:v>0</x:v>
      </x:c>
      <x:c r="K20" s="75" t="n">
        <x:f>IF(J20=3,1,0)</x:f>
        <x:v>0</x:v>
      </x:c>
      <x:c r="L20" s="24" t="str">
        <x:f>IF(K20=1,"ADMITTED","HOLD")</x:f>
        <x:v>HOLD</x:v>
      </x:c>
    </x:row>
    <x:row r="21" ht="46" customHeight="1">
      <x:c r="B21" s="22" t="str">
        <x:v>E15</x:v>
      </x:c>
      <x:c r="C21" s="29" t="str">
        <x:v>Black start</x:v>
      </x:c>
      <x:c r="D21" s="29" t="str">
        <x:v>power</x:v>
      </x:c>
      <x:c r="E21" s="29" t="str">
        <x:v>grid-denied start and restart record</x:v>
      </x:c>
      <x:c r="F21" s="29" t="str">
        <x:v>electrical safety authority</x:v>
      </x:c>
      <x:c r="G21" s="22" t="str">
        <x:v>OPEN</x:v>
      </x:c>
      <x:c r="H21" s="22" t="str">
        <x:v>OPEN</x:v>
      </x:c>
      <x:c r="I21" s="22" t="str">
        <x:v>OPEN</x:v>
      </x:c>
      <x:c r="J21" s="75" t="n">
        <x:f>COUNTIF(G21:I21,"ACCEPTED")</x:f>
        <x:v>0</x:v>
      </x:c>
      <x:c r="K21" s="75" t="n">
        <x:f>IF(J21=3,1,0)</x:f>
        <x:v>0</x:v>
      </x:c>
      <x:c r="L21" s="24" t="str">
        <x:f>IF(K21=1,"ADMITTED","HOLD")</x:f>
        <x:v>HOLD</x:v>
      </x:c>
    </x:row>
    <x:row r="22" ht="46" customHeight="1">
      <x:c r="B22" s="22" t="str">
        <x:v>E16</x:v>
      </x:c>
      <x:c r="C22" s="29" t="str">
        <x:v>Energy endurance</x:v>
      </x:c>
      <x:c r="D22" s="29" t="str">
        <x:v>power</x:v>
      </x:c>
      <x:c r="E22" s="29" t="str">
        <x:v>complete build plus 168-hour energy balance</x:v>
      </x:c>
      <x:c r="F22" s="29" t="str">
        <x:v>energy metrology authority</x:v>
      </x:c>
      <x:c r="G22" s="22" t="str">
        <x:v>OPEN</x:v>
      </x:c>
      <x:c r="H22" s="22" t="str">
        <x:v>OPEN</x:v>
      </x:c>
      <x:c r="I22" s="22" t="str">
        <x:v>OPEN</x:v>
      </x:c>
      <x:c r="J22" s="75" t="n">
        <x:f>COUNTIF(G22:I22,"ACCEPTED")</x:f>
        <x:v>0</x:v>
      </x:c>
      <x:c r="K22" s="75" t="n">
        <x:f>IF(J22=3,1,0)</x:f>
        <x:v>0</x:v>
      </x:c>
      <x:c r="L22" s="24" t="str">
        <x:f>IF(K22=1,"ADMITTED","HOLD")</x:f>
        <x:v>HOLD</x:v>
      </x:c>
    </x:row>
    <x:row r="23" ht="46" customHeight="1">
      <x:c r="B23" s="22" t="str">
        <x:v>E17</x:v>
      </x:c>
      <x:c r="C23" s="29" t="str">
        <x:v>Offline controls</x:v>
      </x:c>
      <x:c r="D23" s="29" t="str">
        <x:v>control</x:v>
      </x:c>
      <x:c r="E23" s="29" t="str">
        <x:v>network denial with local safe state and custody</x:v>
      </x:c>
      <x:c r="F23" s="29" t="str">
        <x:v>control assurance authority</x:v>
      </x:c>
      <x:c r="G23" s="22" t="str">
        <x:v>OPEN</x:v>
      </x:c>
      <x:c r="H23" s="22" t="str">
        <x:v>OPEN</x:v>
      </x:c>
      <x:c r="I23" s="22" t="str">
        <x:v>OPEN</x:v>
      </x:c>
      <x:c r="J23" s="75" t="n">
        <x:f>COUNTIF(G23:I23,"ACCEPTED")</x:f>
        <x:v>0</x:v>
      </x:c>
      <x:c r="K23" s="75" t="n">
        <x:f>IF(J23=3,1,0)</x:f>
        <x:v>0</x:v>
      </x:c>
      <x:c r="L23" s="24" t="str">
        <x:f>IF(K23=1,"ADMITTED","HOLD")</x:f>
        <x:v>HOLD</x:v>
      </x:c>
    </x:row>
    <x:row r="24" ht="46" customHeight="1">
      <x:c r="B24" s="22" t="str">
        <x:v>E18</x:v>
      </x:c>
      <x:c r="C24" s="29" t="str">
        <x:v>No-notice chronology</x:v>
      </x:c>
      <x:c r="D24" s="29" t="str">
        <x:v>schedule</x:v>
      </x:c>
      <x:c r="E24" s="29" t="str">
        <x:v>sealed alert-to-service event clock</x:v>
      </x:c>
      <x:c r="F24" s="29" t="str">
        <x:v>chronology authority</x:v>
      </x:c>
      <x:c r="G24" s="22" t="str">
        <x:v>OPEN</x:v>
      </x:c>
      <x:c r="H24" s="22" t="str">
        <x:v>OPEN</x:v>
      </x:c>
      <x:c r="I24" s="22" t="str">
        <x:v>OPEN</x:v>
      </x:c>
      <x:c r="J24" s="75" t="n">
        <x:f>COUNTIF(G24:I24,"ACCEPTED")</x:f>
        <x:v>0</x:v>
      </x:c>
      <x:c r="K24" s="75" t="n">
        <x:f>IF(J24=3,1,0)</x:f>
        <x:v>0</x:v>
      </x:c>
      <x:c r="L24" s="24" t="str">
        <x:f>IF(K24=1,"ADMITTED","HOLD")</x:f>
        <x:v>HOLD</x:v>
      </x:c>
    </x:row>
    <x:row r="25" ht="46" customHeight="1">
      <x:c r="B25" s="22" t="str">
        <x:v>E19</x:v>
      </x:c>
      <x:c r="C25" s="29" t="str">
        <x:v>Original factory denial</x:v>
      </x:c>
      <x:c r="D25" s="29" t="str">
        <x:v>industry</x:v>
      </x:c>
      <x:c r="E25" s="29" t="str">
        <x:v>alternate root completes accepted material lot</x:v>
      </x:c>
      <x:c r="F25" s="29" t="str">
        <x:v>industrial evidence authority</x:v>
      </x:c>
      <x:c r="G25" s="22" t="str">
        <x:v>OPEN</x:v>
      </x:c>
      <x:c r="H25" s="22" t="str">
        <x:v>OPEN</x:v>
      </x:c>
      <x:c r="I25" s="22" t="str">
        <x:v>OPEN</x:v>
      </x:c>
      <x:c r="J25" s="75" t="n">
        <x:f>COUNTIF(G25:I25,"ACCEPTED")</x:f>
        <x:v>0</x:v>
      </x:c>
      <x:c r="K25" s="75" t="n">
        <x:f>IF(J25=3,1,0)</x:f>
        <x:v>0</x:v>
      </x:c>
      <x:c r="L25" s="24" t="str">
        <x:f>IF(K25=1,"ADMITTED","HOLD")</x:f>
        <x:v>HOLD</x:v>
      </x:c>
    </x:row>
    <x:row r="26" ht="46" customHeight="1">
      <x:c r="B26" s="22" t="str">
        <x:v>E20</x:v>
      </x:c>
      <x:c r="C26" s="29" t="str">
        <x:v>Executable baseline</x:v>
      </x:c>
      <x:c r="D26" s="29" t="str">
        <x:v>industry</x:v>
      </x:c>
      <x:c r="E26" s="29" t="str">
        <x:v>second-team cold reconstruction</x:v>
      </x:c>
      <x:c r="F26" s="29" t="str">
        <x:v>technical-data authority</x:v>
      </x:c>
      <x:c r="G26" s="22" t="str">
        <x:v>OPEN</x:v>
      </x:c>
      <x:c r="H26" s="22" t="str">
        <x:v>OPEN</x:v>
      </x:c>
      <x:c r="I26" s="22" t="str">
        <x:v>OPEN</x:v>
      </x:c>
      <x:c r="J26" s="75" t="n">
        <x:f>COUNTIF(G26:I26,"ACCEPTED")</x:f>
        <x:v>0</x:v>
      </x:c>
      <x:c r="K26" s="75" t="n">
        <x:f>IF(J26=3,1,0)</x:f>
        <x:v>0</x:v>
      </x:c>
      <x:c r="L26" s="24" t="str">
        <x:f>IF(K26=1,"ADMITTED","HOLD")</x:f>
        <x:v>HOLD</x:v>
      </x:c>
    </x:row>
    <x:row r="27" ht="46" customHeight="1">
      <x:c r="B27" s="22" t="str">
        <x:v>E21</x:v>
      </x:c>
      <x:c r="C27" s="29" t="str">
        <x:v>Conforming production rate</x:v>
      </x:c>
      <x:c r="D27" s="29" t="str">
        <x:v>industry</x:v>
      </x:c>
      <x:c r="E27" s="29" t="str">
        <x:v>serialized yield and reject record</x:v>
      </x:c>
      <x:c r="F27" s="29" t="str">
        <x:v>production acceptance authority</x:v>
      </x:c>
      <x:c r="G27" s="22" t="str">
        <x:v>OPEN</x:v>
      </x:c>
      <x:c r="H27" s="22" t="str">
        <x:v>OPEN</x:v>
      </x:c>
      <x:c r="I27" s="22" t="str">
        <x:v>OPEN</x:v>
      </x:c>
      <x:c r="J27" s="75" t="n">
        <x:f>COUNTIF(G27:I27,"ACCEPTED")</x:f>
        <x:v>0</x:v>
      </x:c>
      <x:c r="K27" s="75" t="n">
        <x:f>IF(J27=3,1,0)</x:f>
        <x:v>0</x:v>
      </x:c>
      <x:c r="L27" s="24" t="str">
        <x:f>IF(K27=1,"ADMITTED","HOLD")</x:f>
        <x:v>HOLD</x:v>
      </x:c>
    </x:row>
    <x:row r="28" ht="46" customHeight="1">
      <x:c r="B28" s="22" t="str">
        <x:v>E22</x:v>
      </x:c>
      <x:c r="C28" s="29" t="str">
        <x:v>Portable joining</x:v>
      </x:c>
      <x:c r="D28" s="29" t="str">
        <x:v>process</x:v>
      </x:c>
      <x:c r="E28" s="29" t="str">
        <x:v>representative joints across all sectors</x:v>
      </x:c>
      <x:c r="F28" s="29" t="str">
        <x:v>structural acceptance authority</x:v>
      </x:c>
      <x:c r="G28" s="22" t="str">
        <x:v>OPEN</x:v>
      </x:c>
      <x:c r="H28" s="22" t="str">
        <x:v>OPEN</x:v>
      </x:c>
      <x:c r="I28" s="22" t="str">
        <x:v>OPEN</x:v>
      </x:c>
      <x:c r="J28" s="75" t="n">
        <x:f>COUNTIF(G28:I28,"ACCEPTED")</x:f>
        <x:v>0</x:v>
      </x:c>
      <x:c r="K28" s="75" t="n">
        <x:f>IF(J28=3,1,0)</x:f>
        <x:v>0</x:v>
      </x:c>
      <x:c r="L28" s="24" t="str">
        <x:f>IF(K28=1,"ADMITTED","HOLD")</x:f>
        <x:v>HOLD</x:v>
      </x:c>
    </x:row>
    <x:row r="29" ht="46" customHeight="1">
      <x:c r="B29" s="22" t="str">
        <x:v>E23</x:v>
      </x:c>
      <x:c r="C29" s="29" t="str">
        <x:v>Portable metrology</x:v>
      </x:c>
      <x:c r="D29" s="29" t="str">
        <x:v>process</x:v>
      </x:c>
      <x:c r="E29" s="29" t="str">
        <x:v>offline calibration and replicated uncertainty</x:v>
      </x:c>
      <x:c r="F29" s="29" t="str">
        <x:v>metrology authority</x:v>
      </x:c>
      <x:c r="G29" s="22" t="str">
        <x:v>OPEN</x:v>
      </x:c>
      <x:c r="H29" s="22" t="str">
        <x:v>OPEN</x:v>
      </x:c>
      <x:c r="I29" s="22" t="str">
        <x:v>OPEN</x:v>
      </x:c>
      <x:c r="J29" s="75" t="n">
        <x:f>COUNTIF(G29:I29,"ACCEPTED")</x:f>
        <x:v>0</x:v>
      </x:c>
      <x:c r="K29" s="75" t="n">
        <x:f>IF(J29=3,1,0)</x:f>
        <x:v>0</x:v>
      </x:c>
      <x:c r="L29" s="24" t="str">
        <x:f>IF(K29=1,"ADMITTED","HOLD")</x:f>
        <x:v>HOLD</x:v>
      </x:c>
    </x:row>
    <x:row r="30" ht="46" customHeight="1">
      <x:c r="B30" s="22" t="str">
        <x:v>E24</x:v>
      </x:c>
      <x:c r="C30" s="29" t="str">
        <x:v>Workforce substitution</x:v>
      </x:c>
      <x:c r="D30" s="29" t="str">
        <x:v>crew</x:v>
      </x:c>
      <x:c r="E30" s="29" t="str">
        <x:v>credential loss and task-level replacement</x:v>
      </x:c>
      <x:c r="F30" s="29" t="str">
        <x:v>workforce authority</x:v>
      </x:c>
      <x:c r="G30" s="22" t="str">
        <x:v>OPEN</x:v>
      </x:c>
      <x:c r="H30" s="22" t="str">
        <x:v>OPEN</x:v>
      </x:c>
      <x:c r="I30" s="22" t="str">
        <x:v>OPEN</x:v>
      </x:c>
      <x:c r="J30" s="75" t="n">
        <x:f>COUNTIF(G30:I30,"ACCEPTED")</x:f>
        <x:v>0</x:v>
      </x:c>
      <x:c r="K30" s="75" t="n">
        <x:f>IF(J30=3,1,0)</x:f>
        <x:v>0</x:v>
      </x:c>
      <x:c r="L30" s="24" t="str">
        <x:f>IF(K30=1,"ADMITTED","HOLD")</x:f>
        <x:v>HOLD</x:v>
      </x:c>
    </x:row>
    <x:row r="31" ht="46" customHeight="1">
      <x:c r="B31" s="22" t="str">
        <x:v>E25</x:v>
      </x:c>
      <x:c r="C31" s="29" t="str">
        <x:v>Alternate corridor</x:v>
      </x:c>
      <x:c r="D31" s="29" t="str">
        <x:v>movement</x:v>
      </x:c>
      <x:c r="E31" s="29" t="str">
        <x:v>removed route with custody-preserving reroute</x:v>
      </x:c>
      <x:c r="F31" s="29" t="str">
        <x:v>movement authority</x:v>
      </x:c>
      <x:c r="G31" s="22" t="str">
        <x:v>OPEN</x:v>
      </x:c>
      <x:c r="H31" s="22" t="str">
        <x:v>OPEN</x:v>
      </x:c>
      <x:c r="I31" s="22" t="str">
        <x:v>OPEN</x:v>
      </x:c>
      <x:c r="J31" s="75" t="n">
        <x:f>COUNTIF(G31:I31,"ACCEPTED")</x:f>
        <x:v>0</x:v>
      </x:c>
      <x:c r="K31" s="75" t="n">
        <x:f>IF(J31=3,1,0)</x:f>
        <x:v>0</x:v>
      </x:c>
      <x:c r="L31" s="24" t="str">
        <x:f>IF(K31=1,"ADMITTED","HOLD")</x:f>
        <x:v>HOLD</x:v>
      </x:c>
    </x:row>
    <x:row r="32" ht="46" customHeight="1">
      <x:c r="B32" s="22" t="str">
        <x:v>E26</x:v>
      </x:c>
      <x:c r="C32" s="29" t="str">
        <x:v>Self-load transfer</x:v>
      </x:c>
      <x:c r="D32" s="29" t="str">
        <x:v>movement</x:v>
      </x:c>
      <x:c r="E32" s="29" t="str">
        <x:v>no unique crane or borrowed handling asset</x:v>
      </x:c>
      <x:c r="F32" s="29" t="str">
        <x:v>movement authority</x:v>
      </x:c>
      <x:c r="G32" s="22" t="str">
        <x:v>OPEN</x:v>
      </x:c>
      <x:c r="H32" s="22" t="str">
        <x:v>OPEN</x:v>
      </x:c>
      <x:c r="I32" s="22" t="str">
        <x:v>OPEN</x:v>
      </x:c>
      <x:c r="J32" s="75" t="n">
        <x:f>COUNTIF(G32:I32,"ACCEPTED")</x:f>
        <x:v>0</x:v>
      </x:c>
      <x:c r="K32" s="75" t="n">
        <x:f>IF(J32=3,1,0)</x:f>
        <x:v>0</x:v>
      </x:c>
      <x:c r="L32" s="24" t="str">
        <x:f>IF(K32=1,"ADMITTED","HOLD")</x:f>
        <x:v>HOLD</x:v>
      </x:c>
    </x:row>
    <x:row r="33" ht="46" customHeight="1">
      <x:c r="B33" s="22" t="str">
        <x:v>E27</x:v>
      </x:c>
      <x:c r="C33" s="29" t="str">
        <x:v>Complete reserve floor</x:v>
      </x:c>
      <x:c r="D33" s="29" t="str">
        <x:v>reserve</x:v>
      </x:c>
      <x:c r="E33" s="29" t="str">
        <x:v>independent count of conduit and all decisive subsystems</x:v>
      </x:c>
      <x:c r="F33" s="29" t="str">
        <x:v>inventory authority</x:v>
      </x:c>
      <x:c r="G33" s="22" t="str">
        <x:v>OPEN</x:v>
      </x:c>
      <x:c r="H33" s="22" t="str">
        <x:v>OPEN</x:v>
      </x:c>
      <x:c r="I33" s="22" t="str">
        <x:v>OPEN</x:v>
      </x:c>
      <x:c r="J33" s="75" t="n">
        <x:f>COUNTIF(G33:I33,"ACCEPTED")</x:f>
        <x:v>0</x:v>
      </x:c>
      <x:c r="K33" s="75" t="n">
        <x:f>IF(J33=3,1,0)</x:f>
        <x:v>0</x:v>
      </x:c>
      <x:c r="L33" s="24" t="str">
        <x:f>IF(K33=1,"ADMITTED","HOLD")</x:f>
        <x:v>HOLD</x:v>
      </x:c>
    </x:row>
    <x:row r="34" ht="46" customHeight="1">
      <x:c r="B34" s="22" t="str">
        <x:v>E28</x:v>
      </x:c>
      <x:c r="C34" s="29" t="str">
        <x:v>Reserve separation</x:v>
      </x:c>
      <x:c r="D34" s="29" t="str">
        <x:v>reserve</x:v>
      </x:c>
      <x:c r="E34" s="29" t="str">
        <x:v>physical custody-domain loss</x:v>
      </x:c>
      <x:c r="F34" s="29" t="str">
        <x:v>inventory authority</x:v>
      </x:c>
      <x:c r="G34" s="22" t="str">
        <x:v>OPEN</x:v>
      </x:c>
      <x:c r="H34" s="22" t="str">
        <x:v>OPEN</x:v>
      </x:c>
      <x:c r="I34" s="22" t="str">
        <x:v>OPEN</x:v>
      </x:c>
      <x:c r="J34" s="75" t="n">
        <x:f>COUNTIF(G34:I34,"ACCEPTED")</x:f>
        <x:v>0</x:v>
      </x:c>
      <x:c r="K34" s="75" t="n">
        <x:f>IF(J34=3,1,0)</x:f>
        <x:v>0</x:v>
      </x:c>
      <x:c r="L34" s="24" t="str">
        <x:f>IF(K34=1,"ADMITTED","HOLD")</x:f>
        <x:v>HOLD</x:v>
      </x:c>
    </x:row>
    <x:row r="35" ht="46" customHeight="1">
      <x:c r="B35" s="22" t="str">
        <x:v>E29</x:v>
      </x:c>
      <x:c r="C35" s="29" t="str">
        <x:v>Regeneration time</x:v>
      </x:c>
      <x:c r="D35" s="29" t="str">
        <x:v>regeneration</x:v>
      </x:c>
      <x:c r="E35" s="29" t="str">
        <x:v>accepted replacement stock within 720 hours</x:v>
      </x:c>
      <x:c r="F35" s="29" t="str">
        <x:v>remanufacture authority</x:v>
      </x:c>
      <x:c r="G35" s="22" t="str">
        <x:v>OPEN</x:v>
      </x:c>
      <x:c r="H35" s="22" t="str">
        <x:v>OPEN</x:v>
      </x:c>
      <x:c r="I35" s="22" t="str">
        <x:v>OPEN</x:v>
      </x:c>
      <x:c r="J35" s="75" t="n">
        <x:f>COUNTIF(G35:I35,"ACCEPTED")</x:f>
        <x:v>0</x:v>
      </x:c>
      <x:c r="K35" s="75" t="n">
        <x:f>IF(J35=3,1,0)</x:f>
        <x:v>0</x:v>
      </x:c>
      <x:c r="L35" s="24" t="str">
        <x:f>IF(K35=1,"ADMITTED","HOLD")</x:f>
        <x:v>HOLD</x:v>
      </x:c>
    </x:row>
    <x:row r="36" ht="46" customHeight="1">
      <x:c r="B36" s="22" t="str">
        <x:v>E30</x:v>
      </x:c>
      <x:c r="C36" s="29" t="str">
        <x:v>Circular material custody</x:v>
      </x:c>
      <x:c r="D36" s="29" t="str">
        <x:v>regeneration</x:v>
      </x:c>
      <x:c r="E36" s="29" t="str">
        <x:v>used material passport to accepted reuse or disposal</x:v>
      </x:c>
      <x:c r="F36" s="29" t="str">
        <x:v>material authority</x:v>
      </x:c>
      <x:c r="G36" s="22" t="str">
        <x:v>OPEN</x:v>
      </x:c>
      <x:c r="H36" s="22" t="str">
        <x:v>OPEN</x:v>
      </x:c>
      <x:c r="I36" s="22" t="str">
        <x:v>OPEN</x:v>
      </x:c>
      <x:c r="J36" s="75" t="n">
        <x:f>COUNTIF(G36:I36,"ACCEPTED")</x:f>
        <x:v>0</x:v>
      </x:c>
      <x:c r="K36" s="75" t="n">
        <x:f>IF(J36=3,1,0)</x:f>
        <x:v>0</x:v>
      </x:c>
      <x:c r="L36" s="24" t="str">
        <x:f>IF(K36=1,"ADMITTED","HOLD")</x:f>
        <x:v>HOLD</x:v>
      </x:c>
    </x:row>
    <x:row r="37" ht="46" customHeight="1">
      <x:c r="B37" s="22" t="str">
        <x:v>E31</x:v>
      </x:c>
      <x:c r="C37" s="29" t="str">
        <x:v>Configuration identity</x:v>
      </x:c>
      <x:c r="D37" s="29" t="str">
        <x:v>data</x:v>
      </x:c>
      <x:c r="E37" s="29" t="str">
        <x:v>one serial graph from feedstock to service</x:v>
      </x:c>
      <x:c r="F37" s="29" t="str">
        <x:v>configuration authority</x:v>
      </x:c>
      <x:c r="G37" s="22" t="str">
        <x:v>OPEN</x:v>
      </x:c>
      <x:c r="H37" s="22" t="str">
        <x:v>OPEN</x:v>
      </x:c>
      <x:c r="I37" s="22" t="str">
        <x:v>OPEN</x:v>
      </x:c>
      <x:c r="J37" s="75" t="n">
        <x:f>COUNTIF(G37:I37,"ACCEPTED")</x:f>
        <x:v>0</x:v>
      </x:c>
      <x:c r="K37" s="75" t="n">
        <x:f>IF(J37=3,1,0)</x:f>
        <x:v>0</x:v>
      </x:c>
      <x:c r="L37" s="24" t="str">
        <x:f>IF(K37=1,"ADMITTED","HOLD")</x:f>
        <x:v>HOLD</x:v>
      </x:c>
    </x:row>
    <x:row r="38" ht="46" customHeight="1">
      <x:c r="B38" s="26" t="str">
        <x:v>E32</x:v>
      </x:c>
      <x:c r="C38" s="33" t="str">
        <x:v>Independent reproduction</x:v>
      </x:c>
      <x:c r="D38" s="33" t="str">
        <x:v>evidence</x:v>
      </x:c>
      <x:c r="E38" s="33" t="str">
        <x:v>second authority recomputes decisive results</x:v>
      </x:c>
      <x:c r="F38" s="33" t="str">
        <x:v>evidence integration authority</x:v>
      </x:c>
      <x:c r="G38" s="26" t="str">
        <x:v>OPEN</x:v>
      </x:c>
      <x:c r="H38" s="26" t="str">
        <x:v>OPEN</x:v>
      </x:c>
      <x:c r="I38" s="26" t="str">
        <x:v>OPEN</x:v>
      </x:c>
      <x:c r="J38" s="76" t="n">
        <x:f>COUNTIF(G38:I38,"ACCEPTED")</x:f>
        <x:v>0</x:v>
      </x:c>
      <x:c r="K38" s="76" t="n">
        <x:f>IF(J38=3,1,0)</x:f>
        <x:v>0</x:v>
      </x:c>
      <x:c r="L38" s="28" t="str">
        <x:f>IF(K38=1,"ADMITTED","HOLD")</x:f>
        <x:v>HOLD</x:v>
      </x:c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mergeCells>
    <x:mergeCell ref="B3:L3"/>
  </x:mergeCells>
  <x:conditionalFormatting sqref="G7:L38">
    <x:cfRule type="containsText" dxfId="99" priority="1" operator="containsText" text="FAIL"/>
    <x:cfRule type="containsText" dxfId="100" priority="2" operator="containsText" text="BLOCKED"/>
    <x:cfRule type="containsText" dxfId="101" priority="3" operator="containsText" text="HOLD"/>
    <x:cfRule type="containsText" dxfId="102" priority="4" operator="containsText" text="OPEN"/>
    <x:cfRule type="containsText" dxfId="103" priority="5" operator="containsText" text="NOT ADMITTED"/>
    <x:cfRule type="containsText" dxfId="104" priority="6" operator="containsText" text="PASS"/>
    <x:cfRule type="containsText" dxfId="105" priority="7" operator="containsText" text="CLOSED"/>
    <x:cfRule type="containsText" dxfId="106" priority="8" operator="containsText" text="ADEQUATE"/>
    <x:cfRule type="containsText" dxfId="107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98b659d0e50b420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8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43" hidden="0" customWidth="1"/>
    <x:col min="9" max="9" width="28" hidden="0" customWidth="1"/>
    <x:col min="10" max="10" width="18" hidden="0" customWidth="1"/>
    <x:col min="11" max="11" width="14" hidden="0" customWidth="1"/>
    <x:col min="12" max="12" width="16" hidden="0" customWidth="1"/>
  </x:cols>
  <x:sheetData>
    <x:row r="2">
      <x:c r="B2" s="3" t="str">
        <x:v>Sealed failure-injection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Injects remove facilities, infrastructure, information, equipment and service continuity. They do not change the requirement after results are known.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20" t="str">
        <x:v>Inject</x:v>
      </x:c>
      <x:c r="C6" s="21" t="str">
        <x:v>Event</x:v>
      </x:c>
      <x:c r="D6" s="21" t="str">
        <x:v>R1 penalty h</x:v>
      </x:c>
      <x:c r="E6" s="21" t="str">
        <x:v>R2 penalty h</x:v>
      </x:c>
      <x:c r="F6" s="21" t="str">
        <x:v>R3 penalty h</x:v>
      </x:c>
      <x:c r="G6" s="21" t="str">
        <x:v>Domain</x:v>
      </x:c>
      <x:c r="H6" s="21" t="str">
        <x:v>Required mechanism</x:v>
      </x:c>
      <x:c r="I6" s="21" t="str">
        <x:v>Physical insertion</x:v>
      </x:c>
      <x:c r="J6" s="21" t="str">
        <x:v>Threshold frozen</x:v>
      </x:c>
      <x:c r="K6" s="21" t="str">
        <x:v>Evidence</x:v>
      </x:c>
      <x:c r="L6" s="21" t="str">
        <x:v>State</x:v>
      </x:c>
    </x:row>
    <x:row r="7" ht="43" customHeight="1">
      <x:c r="B7" s="22" t="str">
        <x:v>BASE</x:v>
      </x:c>
      <x:c r="C7" s="29" t="str">
        <x:v>Nominal no-notice article</x:v>
      </x:c>
      <x:c r="D7" s="80" t="n">
        <x:v>0</x:v>
      </x:c>
      <x:c r="E7" s="80" t="n">
        <x:v>0</x:v>
      </x:c>
      <x:c r="F7" s="80" t="n">
        <x:v>0</x:v>
      </x:c>
      <x:c r="G7" s="29" t="str">
        <x:v>all</x:v>
      </x:c>
      <x:c r="H7" s="29" t="str">
        <x:v>baseline constitution</x:v>
      </x:c>
      <x:c r="I7" s="29" t="str">
        <x:v>complete-chain article</x:v>
      </x:c>
      <x:c r="J7" s="29" t="str">
        <x:v>YES</x:v>
      </x:c>
      <x:c r="K7" s="29" t="str">
        <x:v>OPEN</x:v>
      </x:c>
      <x:c r="L7" s="31" t="str">
        <x:v>PLANNING</x:v>
      </x:c>
    </x:row>
    <x:row r="8" ht="43" customHeight="1">
      <x:c r="B8" s="22" t="str">
        <x:v>I01</x:v>
      </x:c>
      <x:c r="C8" s="29" t="str">
        <x:v>No-notice start</x:v>
      </x:c>
      <x:c r="D8" s="80" t="n">
        <x:v>0</x:v>
      </x:c>
      <x:c r="E8" s="80" t="n">
        <x:v>0</x:v>
      </x:c>
      <x:c r="F8" s="80" t="n">
        <x:v>0</x:v>
      </x:c>
      <x:c r="G8" s="29" t="str">
        <x:v>chronology</x:v>
      </x:c>
      <x:c r="H8" s="29" t="str">
        <x:v>no pre-positioning outside manifest</x:v>
      </x:c>
      <x:c r="I8" s="29" t="str">
        <x:v>sealed alert</x:v>
      </x:c>
      <x:c r="J8" s="29" t="str">
        <x:v>YES</x:v>
      </x:c>
      <x:c r="K8" s="29" t="str">
        <x:v>OPEN</x:v>
      </x:c>
      <x:c r="L8" s="31" t="str">
        <x:v>PLANNING</x:v>
      </x:c>
    </x:row>
    <x:row r="9" ht="43" customHeight="1">
      <x:c r="B9" s="22" t="str">
        <x:v>I02</x:v>
      </x:c>
      <x:c r="C9" s="29" t="str">
        <x:v>Original factory unavailable</x:v>
      </x:c>
      <x:c r="D9" s="80" t="n">
        <x:v>0</x:v>
      </x:c>
      <x:c r="E9" s="80" t="n">
        <x:v>0</x:v>
      </x:c>
      <x:c r="F9" s="80" t="n">
        <x:v>0</x:v>
      </x:c>
      <x:c r="G9" s="29" t="str">
        <x:v>industry</x:v>
      </x:c>
      <x:c r="H9" s="29" t="str">
        <x:v>alternate root is the tested root</x:v>
      </x:c>
      <x:c r="I9" s="29" t="str">
        <x:v>facility removal</x:v>
      </x:c>
      <x:c r="J9" s="29" t="str">
        <x:v>YES</x:v>
      </x:c>
      <x:c r="K9" s="29" t="str">
        <x:v>OPEN</x:v>
      </x:c>
      <x:c r="L9" s="31" t="str">
        <x:v>PLANNING</x:v>
      </x:c>
    </x:row>
    <x:row r="10" ht="43" customHeight="1">
      <x:c r="B10" s="22" t="str">
        <x:v>I03</x:v>
      </x:c>
      <x:c r="C10" s="29" t="str">
        <x:v>Regional grid denied</x:v>
      </x:c>
      <x:c r="D10" s="80" t="n">
        <x:v>0</x:v>
      </x:c>
      <x:c r="E10" s="80" t="n">
        <x:v>0</x:v>
      </x:c>
      <x:c r="F10" s="80" t="n">
        <x:v>0</x:v>
      </x:c>
      <x:c r="G10" s="29" t="str">
        <x:v>power</x:v>
      </x:c>
      <x:c r="H10" s="29" t="str">
        <x:v>article-owned islanded power</x:v>
      </x:c>
      <x:c r="I10" s="29" t="str">
        <x:v>grid disconnect</x:v>
      </x:c>
      <x:c r="J10" s="29" t="str">
        <x:v>YES</x:v>
      </x:c>
      <x:c r="K10" s="29" t="str">
        <x:v>OPEN</x:v>
      </x:c>
      <x:c r="L10" s="31" t="str">
        <x:v>PLANNING</x:v>
      </x:c>
    </x:row>
    <x:row r="11" ht="43" customHeight="1">
      <x:c r="B11" s="22" t="str">
        <x:v>I04</x:v>
      </x:c>
      <x:c r="C11" s="29" t="str">
        <x:v>Primary transport corridor removed</x:v>
      </x:c>
      <x:c r="D11" s="80" t="n">
        <x:v>10</x:v>
      </x:c>
      <x:c r="E11" s="80" t="n">
        <x:v>14</x:v>
      </x:c>
      <x:c r="F11" s="80" t="n">
        <x:v>8</x:v>
      </x:c>
      <x:c r="G11" s="29" t="str">
        <x:v>movement</x:v>
      </x:c>
      <x:c r="H11" s="29" t="str">
        <x:v>alternate route and self-load</x:v>
      </x:c>
      <x:c r="I11" s="29" t="str">
        <x:v>corridor removal</x:v>
      </x:c>
      <x:c r="J11" s="29" t="str">
        <x:v>YES</x:v>
      </x:c>
      <x:c r="K11" s="29" t="str">
        <x:v>OPEN</x:v>
      </x:c>
      <x:c r="L11" s="31" t="str">
        <x:v>PLANNING</x:v>
      </x:c>
    </x:row>
    <x:row r="12" ht="43" customHeight="1">
      <x:c r="B12" s="22" t="str">
        <x:v>I05</x:v>
      </x:c>
      <x:c r="C12" s="29" t="str">
        <x:v>One joining cell disabled</x:v>
      </x:c>
      <x:c r="D12" s="80" t="n">
        <x:v>8</x:v>
      </x:c>
      <x:c r="E12" s="80" t="n">
        <x:v>10</x:v>
      </x:c>
      <x:c r="F12" s="80" t="n">
        <x:v>6</x:v>
      </x:c>
      <x:c r="G12" s="29" t="str">
        <x:v>installation</x:v>
      </x:c>
      <x:c r="H12" s="29" t="str">
        <x:v>six fronts plus two protected cells</x:v>
      </x:c>
      <x:c r="I12" s="29" t="str">
        <x:v>cell hard stop</x:v>
      </x:c>
      <x:c r="J12" s="29" t="str">
        <x:v>YES</x:v>
      </x:c>
      <x:c r="K12" s="29" t="str">
        <x:v>OPEN</x:v>
      </x:c>
      <x:c r="L12" s="31" t="str">
        <x:v>PLANNING</x:v>
      </x:c>
    </x:row>
    <x:row r="13" ht="43" customHeight="1">
      <x:c r="B13" s="22" t="str">
        <x:v>I06</x:v>
      </x:c>
      <x:c r="C13" s="29" t="str">
        <x:v>External laboratory and data network lost</x:v>
      </x:c>
      <x:c r="D13" s="80" t="n">
        <x:v>2</x:v>
      </x:c>
      <x:c r="E13" s="80" t="n">
        <x:v>2</x:v>
      </x:c>
      <x:c r="F13" s="80" t="n">
        <x:v>2</x:v>
      </x:c>
      <x:c r="G13" s="29" t="str">
        <x:v>metrology</x:v>
      </x:c>
      <x:c r="H13" s="29" t="str">
        <x:v>offline calibration and local release</x:v>
      </x:c>
      <x:c r="I13" s="29" t="str">
        <x:v>network cut</x:v>
      </x:c>
      <x:c r="J13" s="29" t="str">
        <x:v>YES</x:v>
      </x:c>
      <x:c r="K13" s="29" t="str">
        <x:v>OPEN</x:v>
      </x:c>
      <x:c r="L13" s="31" t="str">
        <x:v>PLANNING</x:v>
      </x:c>
    </x:row>
    <x:row r="14" ht="43" customHeight="1">
      <x:c r="B14" s="22" t="str">
        <x:v>I07</x:v>
      </x:c>
      <x:c r="C14" s="29" t="str">
        <x:v>Sanitary-boundary challenge</x:v>
      </x:c>
      <x:c r="D14" s="80" t="n">
        <x:v>4</x:v>
      </x:c>
      <x:c r="E14" s="80" t="n">
        <x:v>4</x:v>
      </x:c>
      <x:c r="F14" s="80" t="n">
        <x:v>4</x:v>
      </x:c>
      <x:c r="G14" s="29" t="str">
        <x:v>sanitary</x:v>
      </x:c>
      <x:c r="H14" s="29" t="str">
        <x:v>detect, stop, isolate and restart</x:v>
      </x:c>
      <x:c r="I14" s="29" t="str">
        <x:v>blind agent</x:v>
      </x:c>
      <x:c r="J14" s="29" t="str">
        <x:v>YES</x:v>
      </x:c>
      <x:c r="K14" s="29" t="str">
        <x:v>OPEN</x:v>
      </x:c>
      <x:c r="L14" s="31" t="str">
        <x:v>PLANNING</x:v>
      </x:c>
    </x:row>
    <x:row r="15" ht="43" customHeight="1">
      <x:c r="B15" s="22" t="str">
        <x:v>I08</x:v>
      </x:c>
      <x:c r="C15" s="29" t="str">
        <x:v>Receiver-interface mismatch</x:v>
      </x:c>
      <x:c r="D15" s="80" t="n">
        <x:v>6</x:v>
      </x:c>
      <x:c r="E15" s="80" t="n">
        <x:v>6</x:v>
      </x:c>
      <x:c r="F15" s="80" t="n">
        <x:v>6</x:v>
      </x:c>
      <x:c r="G15" s="29" t="str">
        <x:v>receiver</x:v>
      </x:c>
      <x:c r="H15" s="29" t="str">
        <x:v>bounded universal adapter set</x:v>
      </x:c>
      <x:c r="I15" s="29" t="str">
        <x:v>blind interface</x:v>
      </x:c>
      <x:c r="J15" s="29" t="str">
        <x:v>YES</x:v>
      </x:c>
      <x:c r="K15" s="29" t="str">
        <x:v>OPEN</x:v>
      </x:c>
      <x:c r="L15" s="31" t="str">
        <x:v>PLANNING</x:v>
      </x:c>
    </x:row>
    <x:row r="16" ht="43" customHeight="1">
      <x:c r="B16" s="22" t="str">
        <x:v>I09</x:v>
      </x:c>
      <x:c r="C16" s="29" t="str">
        <x:v>Full-bore rupture after service</x:v>
      </x:c>
      <x:c r="D16" s="80" t="n">
        <x:v>0</x:v>
      </x:c>
      <x:c r="E16" s="80" t="n">
        <x:v>0</x:v>
      </x:c>
      <x:c r="F16" s="80" t="n">
        <x:v>0</x:v>
      </x:c>
      <x:c r="G16" s="29" t="str">
        <x:v>degraded</x:v>
      </x:c>
      <x:c r="H16" s="29" t="str">
        <x:v>24-hour buffer and six-hour repair</x:v>
      </x:c>
      <x:c r="I16" s="29" t="str">
        <x:v>destructive cut</x:v>
      </x:c>
      <x:c r="J16" s="29" t="str">
        <x:v>YES</x:v>
      </x:c>
      <x:c r="K16" s="29" t="str">
        <x:v>OPEN</x:v>
      </x:c>
      <x:c r="L16" s="31" t="str">
        <x:v>PLANNING</x:v>
      </x:c>
    </x:row>
    <x:row r="17" ht="43" customHeight="1">
      <x:c r="B17" s="26" t="str">
        <x:v>I10</x:v>
      </x:c>
      <x:c r="C17" s="33" t="str">
        <x:v>Second-lot regeneration order</x:v>
      </x:c>
      <x:c r="D17" s="81" t="n">
        <x:v>0</x:v>
      </x:c>
      <x:c r="E17" s="81" t="n">
        <x:v>0</x:v>
      </x:c>
      <x:c r="F17" s="81" t="n">
        <x:v>0</x:v>
      </x:c>
      <x:c r="G17" s="33" t="str">
        <x:v>regeneration</x:v>
      </x:c>
      <x:c r="H17" s="33" t="str">
        <x:v>restore every protected component</x:v>
      </x:c>
      <x:c r="I17" s="33" t="str">
        <x:v>sealed reorder</x:v>
      </x:c>
      <x:c r="J17" s="33" t="str">
        <x:v>YES</x:v>
      </x:c>
      <x:c r="K17" s="33" t="str">
        <x:v>OPEN</x:v>
      </x:c>
      <x:c r="L17" s="35" t="str">
        <x:v>PLANNING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</x:sheetData>
  <x:mergeCells>
    <x:mergeCell ref="B3:L3"/>
  </x:mergeCells>
  <x:conditionalFormatting sqref="K7:L17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HOLD"/>
    <x:cfRule type="containsText" dxfId="111" priority="4" operator="containsText" text="OPEN"/>
    <x:cfRule type="containsText" dxfId="112" priority="5" operator="containsText" text="NOT ADMITTED"/>
    <x:cfRule type="containsText" dxfId="113" priority="6" operator="containsText" text="PASS"/>
    <x:cfRule type="containsText" dxfId="114" priority="7" operator="containsText" text="CLOSED"/>
    <x:cfRule type="containsText" dxfId="115" priority="8" operator="containsText" text="ADEQUATE"/>
    <x:cfRule type="containsText" dxfId="116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a5ba3f28d55c4df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0" hidden="0" customWidth="1"/>
    <x:col min="3" max="3" width="10" hidden="0" customWidth="1"/>
    <x:col min="4" max="4" width="11" hidden="0" customWidth="1"/>
    <x:col min="5" max="5" width="19" hidden="0" customWidth="1"/>
    <x:col min="6" max="6" width="14" hidden="0" customWidth="1"/>
    <x:col min="7" max="7" width="17" hidden="0" customWidth="1"/>
    <x:col min="8" max="8" width="15" hidden="0" customWidth="1"/>
    <x:col min="9" max="9" width="23" hidden="0" customWidth="1"/>
    <x:col min="10" max="10" width="18" hidden="0" customWidth="1"/>
    <x:col min="11" max="11" width="15" hidden="0" customWidth="1"/>
    <x:col min="12" max="12" width="17" hidden="0" customWidth="1"/>
    <x:col min="13" max="13" width="15" hidden="0" customWidth="1"/>
    <x:col min="14" max="14" width="18" hidden="0" customWidth="1"/>
    <x:col min="15" max="15" width="17" hidden="0" customWidth="1"/>
  </x:cols>
  <x:sheetData>
    <x:row r="2">
      <x:c r="B2" s="3" t="str">
        <x:v>Root-by-inject planning results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Behavior under declared targets is separate from evidence. Even a complete planning pass remains held until the exact physical configuration closes every claim.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20" t="str">
        <x:v>Record</x:v>
      </x:c>
      <x:c r="C6" s="21" t="str">
        <x:v>Root</x:v>
      </x:c>
      <x:c r="D6" s="21" t="str">
        <x:v>Inject</x:v>
      </x:c>
      <x:c r="E6" s="21" t="str">
        <x:v>First service h</x:v>
      </x:c>
      <x:c r="F6" s="21" t="str">
        <x:v>Target h</x:v>
      </x:c>
      <x:c r="G6" s="21" t="str">
        <x:v>Service share</x:v>
      </x:c>
      <x:c r="H6" s="21" t="str">
        <x:v>Repair h</x:v>
      </x:c>
      <x:c r="I6" s="21" t="str">
        <x:v>Immediate reserve ratio</x:v>
      </x:c>
      <x:c r="J6" s="21" t="str">
        <x:v>Regeneration h</x:v>
      </x:c>
      <x:c r="K6" s="21" t="str">
        <x:v>Time gate</x:v>
      </x:c>
      <x:c r="L6" s="21" t="str">
        <x:v>Service gate</x:v>
      </x:c>
      <x:c r="M6" s="21" t="str">
        <x:v>Reset gate</x:v>
      </x:c>
      <x:c r="N6" s="21" t="str">
        <x:v>Physical evidence</x:v>
      </x:c>
      <x:c r="O6" s="21" t="str">
        <x:v>Strict admission</x:v>
      </x:c>
    </x:row>
    <x:row r="7" ht="30" customHeight="1">
      <x:c r="B7" s="22" t="str">
        <x:v>SC-R1-BASE</x:v>
      </x:c>
      <x:c r="C7" s="22" t="str">
        <x:v>R1</x:v>
      </x:c>
      <x:c r="D7" s="22" t="str">
        <x:v>BASE</x:v>
      </x:c>
      <x:c r="E7" s="64" t="n">
        <x:f>'Material Build'!O7+'Inject Register'!D7</x:f>
        <x:v>105.40727314910602</x:v>
      </x:c>
      <x:c r="F7" s="64" t="n">
        <x:f>Assumptions!D11</x:f>
        <x:v>120</x:v>
      </x:c>
      <x:c r="G7" s="39" t="n">
        <x:v>1</x:v>
      </x:c>
      <x:c r="H7" s="64" t="n">
        <x:v>0</x:v>
      </x:c>
      <x:c r="I7" s="39" t="n">
        <x:f>MIN(Regeneration!L7:L14)</x:f>
        <x:v>0.6</x:v>
      </x:c>
      <x:c r="J7" s="64" t="n">
        <x:f>MAX(Regeneration!N7:N14)</x:f>
        <x:v>600</x:v>
      </x:c>
      <x:c r="K7" s="22" t="str">
        <x:f>IF(E7&lt;=F7,"PASS","FAIL")</x:f>
        <x:v>PASS</x:v>
      </x:c>
      <x:c r="L7" s="22" t="str">
        <x:f>IF(AND(G7&gt;=Assumptions!D28,OR(D7&lt;&gt;"I09",H7&lt;=Assumptions!D34)),"PASS","FAIL")</x:f>
        <x:v>PASS</x:v>
      </x:c>
      <x:c r="M7" s="22" t="str">
        <x:f>IF(OR(D7&lt;&gt;"I10",J7&lt;=Assumptions!D33),"PASS","FAIL")</x:f>
        <x:v>PASS</x:v>
      </x:c>
      <x:c r="N7" s="22" t="str">
        <x:v>OPEN</x:v>
      </x:c>
      <x:c r="O7" s="24" t="str">
        <x:f>IF(AND(K7="PASS",L7="PASS",M7="PASS",N7="ACCEPTED"),"ADMITTED","HOLD")</x:f>
        <x:v>HOLD</x:v>
      </x:c>
    </x:row>
    <x:row r="8" ht="30" customHeight="1">
      <x:c r="B8" s="22" t="str">
        <x:v>SC-R1-I01</x:v>
      </x:c>
      <x:c r="C8" s="22" t="str">
        <x:v>R1</x:v>
      </x:c>
      <x:c r="D8" s="22" t="str">
        <x:v>I01</x:v>
      </x:c>
      <x:c r="E8" s="64" t="n">
        <x:f>'Material Build'!O7+'Inject Register'!D8</x:f>
        <x:v>105.40727314910602</x:v>
      </x:c>
      <x:c r="F8" s="64" t="n">
        <x:f>Assumptions!D11</x:f>
        <x:v>120</x:v>
      </x:c>
      <x:c r="G8" s="39" t="n">
        <x:v>1</x:v>
      </x:c>
      <x:c r="H8" s="64" t="n">
        <x:v>0</x:v>
      </x:c>
      <x:c r="I8" s="39" t="n">
        <x:f>MIN(Regeneration!L7:L14)</x:f>
        <x:v>0.6</x:v>
      </x:c>
      <x:c r="J8" s="64" t="n">
        <x:f>MAX(Regeneration!N7:N14)</x:f>
        <x:v>600</x:v>
      </x:c>
      <x:c r="K8" s="22" t="str">
        <x:f>IF(E8&lt;=F8,"PASS","FAIL")</x:f>
        <x:v>PASS</x:v>
      </x:c>
      <x:c r="L8" s="22" t="str">
        <x:f>IF(AND(G8&gt;=Assumptions!D28,OR(D8&lt;&gt;"I09",H8&lt;=Assumptions!D34)),"PASS","FAIL")</x:f>
        <x:v>PASS</x:v>
      </x:c>
      <x:c r="M8" s="22" t="str">
        <x:f>IF(OR(D8&lt;&gt;"I10",J8&lt;=Assumptions!D33),"PASS","FAIL")</x:f>
        <x:v>PASS</x:v>
      </x:c>
      <x:c r="N8" s="22" t="str">
        <x:v>OPEN</x:v>
      </x:c>
      <x:c r="O8" s="24" t="str">
        <x:f>IF(AND(K8="PASS",L8="PASS",M8="PASS",N8="ACCEPTED"),"ADMITTED","HOLD")</x:f>
        <x:v>HOLD</x:v>
      </x:c>
    </x:row>
    <x:row r="9" ht="30" customHeight="1">
      <x:c r="B9" s="22" t="str">
        <x:v>SC-R1-I02</x:v>
      </x:c>
      <x:c r="C9" s="22" t="str">
        <x:v>R1</x:v>
      </x:c>
      <x:c r="D9" s="22" t="str">
        <x:v>I02</x:v>
      </x:c>
      <x:c r="E9" s="64" t="n">
        <x:f>'Material Build'!O7+'Inject Register'!D9</x:f>
        <x:v>105.40727314910602</x:v>
      </x:c>
      <x:c r="F9" s="64" t="n">
        <x:f>Assumptions!D11</x:f>
        <x:v>120</x:v>
      </x:c>
      <x:c r="G9" s="39" t="n">
        <x:v>1</x:v>
      </x:c>
      <x:c r="H9" s="64" t="n">
        <x:v>0</x:v>
      </x:c>
      <x:c r="I9" s="39" t="n">
        <x:f>MIN(Regeneration!L7:L14)</x:f>
        <x:v>0.6</x:v>
      </x:c>
      <x:c r="J9" s="64" t="n">
        <x:f>MAX(Regeneration!N7:N14)</x:f>
        <x:v>600</x:v>
      </x:c>
      <x:c r="K9" s="22" t="str">
        <x:f>IF(E9&lt;=F9,"PASS","FAIL")</x:f>
        <x:v>PASS</x:v>
      </x:c>
      <x:c r="L9" s="22" t="str">
        <x:f>IF(AND(G9&gt;=Assumptions!D28,OR(D9&lt;&gt;"I09",H9&lt;=Assumptions!D34)),"PASS","FAIL")</x:f>
        <x:v>PASS</x:v>
      </x:c>
      <x:c r="M9" s="22" t="str">
        <x:f>IF(OR(D9&lt;&gt;"I10",J9&lt;=Assumptions!D33),"PASS","FAIL")</x:f>
        <x:v>PASS</x:v>
      </x:c>
      <x:c r="N9" s="22" t="str">
        <x:v>OPEN</x:v>
      </x:c>
      <x:c r="O9" s="24" t="str">
        <x:f>IF(AND(K9="PASS",L9="PASS",M9="PASS",N9="ACCEPTED"),"ADMITTED","HOLD")</x:f>
        <x:v>HOLD</x:v>
      </x:c>
    </x:row>
    <x:row r="10" ht="30" customHeight="1">
      <x:c r="B10" s="22" t="str">
        <x:v>SC-R1-I03</x:v>
      </x:c>
      <x:c r="C10" s="22" t="str">
        <x:v>R1</x:v>
      </x:c>
      <x:c r="D10" s="22" t="str">
        <x:v>I03</x:v>
      </x:c>
      <x:c r="E10" s="64" t="n">
        <x:f>'Material Build'!O7+'Inject Register'!D10</x:f>
        <x:v>105.40727314910602</x:v>
      </x:c>
      <x:c r="F10" s="64" t="n">
        <x:f>Assumptions!D11</x:f>
        <x:v>120</x:v>
      </x:c>
      <x:c r="G10" s="39" t="n">
        <x:v>1</x:v>
      </x:c>
      <x:c r="H10" s="64" t="n">
        <x:v>0</x:v>
      </x:c>
      <x:c r="I10" s="39" t="n">
        <x:f>MIN(Regeneration!L7:L14)</x:f>
        <x:v>0.6</x:v>
      </x:c>
      <x:c r="J10" s="64" t="n">
        <x:f>MAX(Regeneration!N7:N14)</x:f>
        <x:v>600</x:v>
      </x:c>
      <x:c r="K10" s="22" t="str">
        <x:f>IF(E10&lt;=F10,"PASS","FAIL")</x:f>
        <x:v>PASS</x:v>
      </x:c>
      <x:c r="L10" s="22" t="str">
        <x:f>IF(AND(G10&gt;=Assumptions!D28,OR(D10&lt;&gt;"I09",H10&lt;=Assumptions!D34)),"PASS","FAIL")</x:f>
        <x:v>PASS</x:v>
      </x:c>
      <x:c r="M10" s="22" t="str">
        <x:f>IF(OR(D10&lt;&gt;"I10",J10&lt;=Assumptions!D33),"PASS","FAIL")</x:f>
        <x:v>PASS</x:v>
      </x:c>
      <x:c r="N10" s="22" t="str">
        <x:v>OPEN</x:v>
      </x:c>
      <x:c r="O10" s="24" t="str">
        <x:f>IF(AND(K10="PASS",L10="PASS",M10="PASS",N10="ACCEPTED"),"ADMITTED","HOLD")</x:f>
        <x:v>HOLD</x:v>
      </x:c>
    </x:row>
    <x:row r="11" ht="30" customHeight="1">
      <x:c r="B11" s="22" t="str">
        <x:v>SC-R1-I04</x:v>
      </x:c>
      <x:c r="C11" s="22" t="str">
        <x:v>R1</x:v>
      </x:c>
      <x:c r="D11" s="22" t="str">
        <x:v>I04</x:v>
      </x:c>
      <x:c r="E11" s="64" t="n">
        <x:f>'Material Build'!O7+'Inject Register'!D11</x:f>
        <x:v>115.40727314910602</x:v>
      </x:c>
      <x:c r="F11" s="64" t="n">
        <x:f>Assumptions!D11</x:f>
        <x:v>120</x:v>
      </x:c>
      <x:c r="G11" s="39" t="n">
        <x:v>1</x:v>
      </x:c>
      <x:c r="H11" s="64" t="n">
        <x:v>0</x:v>
      </x:c>
      <x:c r="I11" s="39" t="n">
        <x:f>MIN(Regeneration!L7:L14)</x:f>
        <x:v>0.6</x:v>
      </x:c>
      <x:c r="J11" s="64" t="n">
        <x:f>MAX(Regeneration!N7:N14)</x:f>
        <x:v>600</x:v>
      </x:c>
      <x:c r="K11" s="22" t="str">
        <x:f>IF(E11&lt;=F11,"PASS","FAIL")</x:f>
        <x:v>PASS</x:v>
      </x:c>
      <x:c r="L11" s="22" t="str">
        <x:f>IF(AND(G11&gt;=Assumptions!D28,OR(D11&lt;&gt;"I09",H11&lt;=Assumptions!D34)),"PASS","FAIL")</x:f>
        <x:v>PASS</x:v>
      </x:c>
      <x:c r="M11" s="22" t="str">
        <x:f>IF(OR(D11&lt;&gt;"I10",J11&lt;=Assumptions!D33),"PASS","FAIL")</x:f>
        <x:v>PASS</x:v>
      </x:c>
      <x:c r="N11" s="22" t="str">
        <x:v>OPEN</x:v>
      </x:c>
      <x:c r="O11" s="24" t="str">
        <x:f>IF(AND(K11="PASS",L11="PASS",M11="PASS",N11="ACCEPTED"),"ADMITTED","HOLD")</x:f>
        <x:v>HOLD</x:v>
      </x:c>
    </x:row>
    <x:row r="12" ht="30" customHeight="1">
      <x:c r="B12" s="22" t="str">
        <x:v>SC-R1-I05</x:v>
      </x:c>
      <x:c r="C12" s="22" t="str">
        <x:v>R1</x:v>
      </x:c>
      <x:c r="D12" s="22" t="str">
        <x:v>I05</x:v>
      </x:c>
      <x:c r="E12" s="64" t="n">
        <x:f>'Material Build'!O7+'Inject Register'!D12</x:f>
        <x:v>113.40727314910602</x:v>
      </x:c>
      <x:c r="F12" s="64" t="n">
        <x:f>Assumptions!D11</x:f>
        <x:v>120</x:v>
      </x:c>
      <x:c r="G12" s="39" t="n">
        <x:v>1</x:v>
      </x:c>
      <x:c r="H12" s="64" t="n">
        <x:v>0</x:v>
      </x:c>
      <x:c r="I12" s="39" t="n">
        <x:f>MIN(Regeneration!L7:L14)</x:f>
        <x:v>0.6</x:v>
      </x:c>
      <x:c r="J12" s="64" t="n">
        <x:f>MAX(Regeneration!N7:N14)</x:f>
        <x:v>600</x:v>
      </x:c>
      <x:c r="K12" s="22" t="str">
        <x:f>IF(E12&lt;=F12,"PASS","FAIL")</x:f>
        <x:v>PASS</x:v>
      </x:c>
      <x:c r="L12" s="22" t="str">
        <x:f>IF(AND(G12&gt;=Assumptions!D28,OR(D12&lt;&gt;"I09",H12&lt;=Assumptions!D34)),"PASS","FAIL")</x:f>
        <x:v>PASS</x:v>
      </x:c>
      <x:c r="M12" s="22" t="str">
        <x:f>IF(OR(D12&lt;&gt;"I10",J12&lt;=Assumptions!D33),"PASS","FAIL")</x:f>
        <x:v>PASS</x:v>
      </x:c>
      <x:c r="N12" s="22" t="str">
        <x:v>OPEN</x:v>
      </x:c>
      <x:c r="O12" s="24" t="str">
        <x:f>IF(AND(K12="PASS",L12="PASS",M12="PASS",N12="ACCEPTED"),"ADMITTED","HOLD")</x:f>
        <x:v>HOLD</x:v>
      </x:c>
    </x:row>
    <x:row r="13" ht="30" customHeight="1">
      <x:c r="B13" s="22" t="str">
        <x:v>SC-R1-I06</x:v>
      </x:c>
      <x:c r="C13" s="22" t="str">
        <x:v>R1</x:v>
      </x:c>
      <x:c r="D13" s="22" t="str">
        <x:v>I06</x:v>
      </x:c>
      <x:c r="E13" s="64" t="n">
        <x:f>'Material Build'!O7+'Inject Register'!D13</x:f>
        <x:v>107.40727314910602</x:v>
      </x:c>
      <x:c r="F13" s="64" t="n">
        <x:f>Assumptions!D11</x:f>
        <x:v>120</x:v>
      </x:c>
      <x:c r="G13" s="39" t="n">
        <x:v>1</x:v>
      </x:c>
      <x:c r="H13" s="64" t="n">
        <x:v>0</x:v>
      </x:c>
      <x:c r="I13" s="39" t="n">
        <x:f>MIN(Regeneration!L7:L14)</x:f>
        <x:v>0.6</x:v>
      </x:c>
      <x:c r="J13" s="64" t="n">
        <x:f>MAX(Regeneration!N7:N14)</x:f>
        <x:v>600</x:v>
      </x:c>
      <x:c r="K13" s="22" t="str">
        <x:f>IF(E13&lt;=F13,"PASS","FAIL")</x:f>
        <x:v>PASS</x:v>
      </x:c>
      <x:c r="L13" s="22" t="str">
        <x:f>IF(AND(G13&gt;=Assumptions!D28,OR(D13&lt;&gt;"I09",H13&lt;=Assumptions!D34)),"PASS","FAIL")</x:f>
        <x:v>PASS</x:v>
      </x:c>
      <x:c r="M13" s="22" t="str">
        <x:f>IF(OR(D13&lt;&gt;"I10",J13&lt;=Assumptions!D33),"PASS","FAIL")</x:f>
        <x:v>PASS</x:v>
      </x:c>
      <x:c r="N13" s="22" t="str">
        <x:v>OPEN</x:v>
      </x:c>
      <x:c r="O13" s="24" t="str">
        <x:f>IF(AND(K13="PASS",L13="PASS",M13="PASS",N13="ACCEPTED"),"ADMITTED","HOLD")</x:f>
        <x:v>HOLD</x:v>
      </x:c>
    </x:row>
    <x:row r="14" ht="30" customHeight="1">
      <x:c r="B14" s="22" t="str">
        <x:v>SC-R1-I07</x:v>
      </x:c>
      <x:c r="C14" s="22" t="str">
        <x:v>R1</x:v>
      </x:c>
      <x:c r="D14" s="22" t="str">
        <x:v>I07</x:v>
      </x:c>
      <x:c r="E14" s="64" t="n">
        <x:f>'Material Build'!O7+'Inject Register'!D14</x:f>
        <x:v>109.40727314910602</x:v>
      </x:c>
      <x:c r="F14" s="64" t="n">
        <x:f>Assumptions!D11</x:f>
        <x:v>120</x:v>
      </x:c>
      <x:c r="G14" s="39" t="n">
        <x:v>1</x:v>
      </x:c>
      <x:c r="H14" s="64" t="n">
        <x:v>0</x:v>
      </x:c>
      <x:c r="I14" s="39" t="n">
        <x:f>MIN(Regeneration!L7:L14)</x:f>
        <x:v>0.6</x:v>
      </x:c>
      <x:c r="J14" s="64" t="n">
        <x:f>MAX(Regeneration!N7:N14)</x:f>
        <x:v>600</x:v>
      </x:c>
      <x:c r="K14" s="22" t="str">
        <x:f>IF(E14&lt;=F14,"PASS","FAIL")</x:f>
        <x:v>PASS</x:v>
      </x:c>
      <x:c r="L14" s="22" t="str">
        <x:f>IF(AND(G14&gt;=Assumptions!D28,OR(D14&lt;&gt;"I09",H14&lt;=Assumptions!D34)),"PASS","FAIL")</x:f>
        <x:v>PASS</x:v>
      </x:c>
      <x:c r="M14" s="22" t="str">
        <x:f>IF(OR(D14&lt;&gt;"I10",J14&lt;=Assumptions!D33),"PASS","FAIL")</x:f>
        <x:v>PASS</x:v>
      </x:c>
      <x:c r="N14" s="22" t="str">
        <x:v>OPEN</x:v>
      </x:c>
      <x:c r="O14" s="24" t="str">
        <x:f>IF(AND(K14="PASS",L14="PASS",M14="PASS",N14="ACCEPTED"),"ADMITTED","HOLD")</x:f>
        <x:v>HOLD</x:v>
      </x:c>
    </x:row>
    <x:row r="15" ht="30" customHeight="1">
      <x:c r="B15" s="22" t="str">
        <x:v>SC-R1-I08</x:v>
      </x:c>
      <x:c r="C15" s="22" t="str">
        <x:v>R1</x:v>
      </x:c>
      <x:c r="D15" s="22" t="str">
        <x:v>I08</x:v>
      </x:c>
      <x:c r="E15" s="64" t="n">
        <x:f>'Material Build'!O7+'Inject Register'!D15</x:f>
        <x:v>111.40727314910602</x:v>
      </x:c>
      <x:c r="F15" s="64" t="n">
        <x:f>Assumptions!D11</x:f>
        <x:v>120</x:v>
      </x:c>
      <x:c r="G15" s="39" t="n">
        <x:v>1</x:v>
      </x:c>
      <x:c r="H15" s="64" t="n">
        <x:v>0</x:v>
      </x:c>
      <x:c r="I15" s="39" t="n">
        <x:f>MIN(Regeneration!L7:L14)</x:f>
        <x:v>0.6</x:v>
      </x:c>
      <x:c r="J15" s="64" t="n">
        <x:f>MAX(Regeneration!N7:N14)</x:f>
        <x:v>600</x:v>
      </x:c>
      <x:c r="K15" s="22" t="str">
        <x:f>IF(E15&lt;=F15,"PASS","FAIL")</x:f>
        <x:v>PASS</x:v>
      </x:c>
      <x:c r="L15" s="22" t="str">
        <x:f>IF(AND(G15&gt;=Assumptions!D28,OR(D15&lt;&gt;"I09",H15&lt;=Assumptions!D34)),"PASS","FAIL")</x:f>
        <x:v>PASS</x:v>
      </x:c>
      <x:c r="M15" s="22" t="str">
        <x:f>IF(OR(D15&lt;&gt;"I10",J15&lt;=Assumptions!D33),"PASS","FAIL")</x:f>
        <x:v>PASS</x:v>
      </x:c>
      <x:c r="N15" s="22" t="str">
        <x:v>OPEN</x:v>
      </x:c>
      <x:c r="O15" s="24" t="str">
        <x:f>IF(AND(K15="PASS",L15="PASS",M15="PASS",N15="ACCEPTED"),"ADMITTED","HOLD")</x:f>
        <x:v>HOLD</x:v>
      </x:c>
    </x:row>
    <x:row r="16" ht="30" customHeight="1">
      <x:c r="B16" s="22" t="str">
        <x:v>SC-R1-I09</x:v>
      </x:c>
      <x:c r="C16" s="22" t="str">
        <x:v>R1</x:v>
      </x:c>
      <x:c r="D16" s="22" t="str">
        <x:v>I09</x:v>
      </x:c>
      <x:c r="E16" s="64" t="n">
        <x:f>'Material Build'!O7+'Inject Register'!D16</x:f>
        <x:v>105.40727314910602</x:v>
      </x:c>
      <x:c r="F16" s="64" t="n">
        <x:f>Assumptions!D11</x:f>
        <x:v>120</x:v>
      </x:c>
      <x:c r="G16" s="39" t="n">
        <x:f>IF('Hydraulic Build'!D29&gt;='Architecture Roots'!V7,1,'Hydraulic Build'!D31)</x:f>
        <x:v>1</x:v>
      </x:c>
      <x:c r="H16" s="64" t="n">
        <x:f>'Architecture Roots'!V7</x:f>
        <x:v>6</x:v>
      </x:c>
      <x:c r="I16" s="39" t="n">
        <x:f>MIN(Regeneration!L7:L14)</x:f>
        <x:v>0.6</x:v>
      </x:c>
      <x:c r="J16" s="64" t="n">
        <x:f>MAX(Regeneration!N7:N14)</x:f>
        <x:v>600</x:v>
      </x:c>
      <x:c r="K16" s="22" t="str">
        <x:f>IF(E16&lt;=F16,"PASS","FAIL")</x:f>
        <x:v>PASS</x:v>
      </x:c>
      <x:c r="L16" s="22" t="str">
        <x:f>IF(AND(G16&gt;=Assumptions!D28,OR(D16&lt;&gt;"I09",H16&lt;=Assumptions!D34)),"PASS","FAIL")</x:f>
        <x:v>PASS</x:v>
      </x:c>
      <x:c r="M16" s="22" t="str">
        <x:f>IF(OR(D16&lt;&gt;"I10",J16&lt;=Assumptions!D33),"PASS","FAIL")</x:f>
        <x:v>PASS</x:v>
      </x:c>
      <x:c r="N16" s="22" t="str">
        <x:v>OPEN</x:v>
      </x:c>
      <x:c r="O16" s="24" t="str">
        <x:f>IF(AND(K16="PASS",L16="PASS",M16="PASS",N16="ACCEPTED"),"ADMITTED","HOLD")</x:f>
        <x:v>HOLD</x:v>
      </x:c>
    </x:row>
    <x:row r="17" ht="30" customHeight="1">
      <x:c r="B17" s="22" t="str">
        <x:v>SC-R1-I10</x:v>
      </x:c>
      <x:c r="C17" s="22" t="str">
        <x:v>R1</x:v>
      </x:c>
      <x:c r="D17" s="22" t="str">
        <x:v>I10</x:v>
      </x:c>
      <x:c r="E17" s="64" t="n">
        <x:f>'Material Build'!O7+'Inject Register'!D17</x:f>
        <x:v>105.40727314910602</x:v>
      </x:c>
      <x:c r="F17" s="64" t="n">
        <x:f>Assumptions!D11</x:f>
        <x:v>120</x:v>
      </x:c>
      <x:c r="G17" s="39" t="n">
        <x:v>1</x:v>
      </x:c>
      <x:c r="H17" s="64" t="n">
        <x:v>0</x:v>
      </x:c>
      <x:c r="I17" s="39" t="n">
        <x:f>MIN(Regeneration!L7:L14)</x:f>
        <x:v>0.6</x:v>
      </x:c>
      <x:c r="J17" s="64" t="n">
        <x:f>MAX(Regeneration!N7:N14)</x:f>
        <x:v>600</x:v>
      </x:c>
      <x:c r="K17" s="22" t="str">
        <x:f>IF(E17&lt;=F17,"PASS","FAIL")</x:f>
        <x:v>PASS</x:v>
      </x:c>
      <x:c r="L17" s="22" t="str">
        <x:f>IF(AND(G17&gt;=Assumptions!D28,OR(D17&lt;&gt;"I09",H17&lt;=Assumptions!D34)),"PASS","FAIL")</x:f>
        <x:v>PASS</x:v>
      </x:c>
      <x:c r="M17" s="22" t="str">
        <x:f>IF(OR(D17&lt;&gt;"I10",J17&lt;=Assumptions!D33),"PASS","FAIL")</x:f>
        <x:v>PASS</x:v>
      </x:c>
      <x:c r="N17" s="22" t="str">
        <x:v>OPEN</x:v>
      </x:c>
      <x:c r="O17" s="24" t="str">
        <x:f>IF(AND(K17="PASS",L17="PASS",M17="PASS",N17="ACCEPTED"),"ADMITTED","HOLD")</x:f>
        <x:v>HOLD</x:v>
      </x:c>
    </x:row>
    <x:row r="18" ht="30" customHeight="1">
      <x:c r="B18" s="22" t="str">
        <x:v>SC-R2-BASE</x:v>
      </x:c>
      <x:c r="C18" s="22" t="str">
        <x:v>R2</x:v>
      </x:c>
      <x:c r="D18" s="22" t="str">
        <x:v>BASE</x:v>
      </x:c>
      <x:c r="E18" s="64" t="n">
        <x:f>'Material Build'!O8+'Inject Register'!E7</x:f>
        <x:v>102.3707075628459</x:v>
      </x:c>
      <x:c r="F18" s="64" t="n">
        <x:f>Assumptions!D11</x:f>
        <x:v>120</x:v>
      </x:c>
      <x:c r="G18" s="39" t="n">
        <x:v>1</x:v>
      </x:c>
      <x:c r="H18" s="64" t="n">
        <x:v>0</x:v>
      </x:c>
      <x:c r="I18" s="39" t="n">
        <x:f>MIN(Regeneration!L15:L22)</x:f>
        <x:v>0.6</x:v>
      </x:c>
      <x:c r="J18" s="64" t="n">
        <x:f>MAX(Regeneration!N15:N22)</x:f>
        <x:v>660</x:v>
      </x:c>
      <x:c r="K18" s="22" t="str">
        <x:f>IF(E18&lt;=F18,"PASS","FAIL")</x:f>
        <x:v>PASS</x:v>
      </x:c>
      <x:c r="L18" s="22" t="str">
        <x:f>IF(AND(G18&gt;=Assumptions!D28,OR(D18&lt;&gt;"I09",H18&lt;=Assumptions!D34)),"PASS","FAIL")</x:f>
        <x:v>PASS</x:v>
      </x:c>
      <x:c r="M18" s="22" t="str">
        <x:f>IF(OR(D18&lt;&gt;"I10",J18&lt;=Assumptions!D33),"PASS","FAIL")</x:f>
        <x:v>PASS</x:v>
      </x:c>
      <x:c r="N18" s="22" t="str">
        <x:v>OPEN</x:v>
      </x:c>
      <x:c r="O18" s="24" t="str">
        <x:f>IF(AND(K18="PASS",L18="PASS",M18="PASS",N18="ACCEPTED"),"ADMITTED","HOLD")</x:f>
        <x:v>HOLD</x:v>
      </x:c>
    </x:row>
    <x:row r="19" ht="30" customHeight="1">
      <x:c r="B19" s="22" t="str">
        <x:v>SC-R2-I01</x:v>
      </x:c>
      <x:c r="C19" s="22" t="str">
        <x:v>R2</x:v>
      </x:c>
      <x:c r="D19" s="22" t="str">
        <x:v>I01</x:v>
      </x:c>
      <x:c r="E19" s="64" t="n">
        <x:f>'Material Build'!O8+'Inject Register'!E8</x:f>
        <x:v>102.3707075628459</x:v>
      </x:c>
      <x:c r="F19" s="64" t="n">
        <x:f>Assumptions!D11</x:f>
        <x:v>120</x:v>
      </x:c>
      <x:c r="G19" s="39" t="n">
        <x:v>1</x:v>
      </x:c>
      <x:c r="H19" s="64" t="n">
        <x:v>0</x:v>
      </x:c>
      <x:c r="I19" s="39" t="n">
        <x:f>MIN(Regeneration!L15:L22)</x:f>
        <x:v>0.6</x:v>
      </x:c>
      <x:c r="J19" s="64" t="n">
        <x:f>MAX(Regeneration!N15:N22)</x:f>
        <x:v>660</x:v>
      </x:c>
      <x:c r="K19" s="22" t="str">
        <x:f>IF(E19&lt;=F19,"PASS","FAIL")</x:f>
        <x:v>PASS</x:v>
      </x:c>
      <x:c r="L19" s="22" t="str">
        <x:f>IF(AND(G19&gt;=Assumptions!D28,OR(D19&lt;&gt;"I09",H19&lt;=Assumptions!D34)),"PASS","FAIL")</x:f>
        <x:v>PASS</x:v>
      </x:c>
      <x:c r="M19" s="22" t="str">
        <x:f>IF(OR(D19&lt;&gt;"I10",J19&lt;=Assumptions!D33),"PASS","FAIL")</x:f>
        <x:v>PASS</x:v>
      </x:c>
      <x:c r="N19" s="22" t="str">
        <x:v>OPEN</x:v>
      </x:c>
      <x:c r="O19" s="24" t="str">
        <x:f>IF(AND(K19="PASS",L19="PASS",M19="PASS",N19="ACCEPTED"),"ADMITTED","HOLD")</x:f>
        <x:v>HOLD</x:v>
      </x:c>
    </x:row>
    <x:row r="20" ht="30" customHeight="1">
      <x:c r="B20" s="22" t="str">
        <x:v>SC-R2-I02</x:v>
      </x:c>
      <x:c r="C20" s="22" t="str">
        <x:v>R2</x:v>
      </x:c>
      <x:c r="D20" s="22" t="str">
        <x:v>I02</x:v>
      </x:c>
      <x:c r="E20" s="64" t="n">
        <x:f>'Material Build'!O8+'Inject Register'!E9</x:f>
        <x:v>102.3707075628459</x:v>
      </x:c>
      <x:c r="F20" s="64" t="n">
        <x:f>Assumptions!D11</x:f>
        <x:v>120</x:v>
      </x:c>
      <x:c r="G20" s="39" t="n">
        <x:v>1</x:v>
      </x:c>
      <x:c r="H20" s="64" t="n">
        <x:v>0</x:v>
      </x:c>
      <x:c r="I20" s="39" t="n">
        <x:f>MIN(Regeneration!L15:L22)</x:f>
        <x:v>0.6</x:v>
      </x:c>
      <x:c r="J20" s="64" t="n">
        <x:f>MAX(Regeneration!N15:N22)</x:f>
        <x:v>660</x:v>
      </x:c>
      <x:c r="K20" s="22" t="str">
        <x:f>IF(E20&lt;=F20,"PASS","FAIL")</x:f>
        <x:v>PASS</x:v>
      </x:c>
      <x:c r="L20" s="22" t="str">
        <x:f>IF(AND(G20&gt;=Assumptions!D28,OR(D20&lt;&gt;"I09",H20&lt;=Assumptions!D34)),"PASS","FAIL")</x:f>
        <x:v>PASS</x:v>
      </x:c>
      <x:c r="M20" s="22" t="str">
        <x:f>IF(OR(D20&lt;&gt;"I10",J20&lt;=Assumptions!D33),"PASS","FAIL")</x:f>
        <x:v>PASS</x:v>
      </x:c>
      <x:c r="N20" s="22" t="str">
        <x:v>OPEN</x:v>
      </x:c>
      <x:c r="O20" s="24" t="str">
        <x:f>IF(AND(K20="PASS",L20="PASS",M20="PASS",N20="ACCEPTED"),"ADMITTED","HOLD")</x:f>
        <x:v>HOLD</x:v>
      </x:c>
    </x:row>
    <x:row r="21" ht="30" customHeight="1">
      <x:c r="B21" s="22" t="str">
        <x:v>SC-R2-I03</x:v>
      </x:c>
      <x:c r="C21" s="22" t="str">
        <x:v>R2</x:v>
      </x:c>
      <x:c r="D21" s="22" t="str">
        <x:v>I03</x:v>
      </x:c>
      <x:c r="E21" s="64" t="n">
        <x:f>'Material Build'!O8+'Inject Register'!E10</x:f>
        <x:v>102.3707075628459</x:v>
      </x:c>
      <x:c r="F21" s="64" t="n">
        <x:f>Assumptions!D11</x:f>
        <x:v>120</x:v>
      </x:c>
      <x:c r="G21" s="39" t="n">
        <x:v>1</x:v>
      </x:c>
      <x:c r="H21" s="64" t="n">
        <x:v>0</x:v>
      </x:c>
      <x:c r="I21" s="39" t="n">
        <x:f>MIN(Regeneration!L15:L22)</x:f>
        <x:v>0.6</x:v>
      </x:c>
      <x:c r="J21" s="64" t="n">
        <x:f>MAX(Regeneration!N15:N22)</x:f>
        <x:v>660</x:v>
      </x:c>
      <x:c r="K21" s="22" t="str">
        <x:f>IF(E21&lt;=F21,"PASS","FAIL")</x:f>
        <x:v>PASS</x:v>
      </x:c>
      <x:c r="L21" s="22" t="str">
        <x:f>IF(AND(G21&gt;=Assumptions!D28,OR(D21&lt;&gt;"I09",H21&lt;=Assumptions!D34)),"PASS","FAIL")</x:f>
        <x:v>PASS</x:v>
      </x:c>
      <x:c r="M21" s="22" t="str">
        <x:f>IF(OR(D21&lt;&gt;"I10",J21&lt;=Assumptions!D33),"PASS","FAIL")</x:f>
        <x:v>PASS</x:v>
      </x:c>
      <x:c r="N21" s="22" t="str">
        <x:v>OPEN</x:v>
      </x:c>
      <x:c r="O21" s="24" t="str">
        <x:f>IF(AND(K21="PASS",L21="PASS",M21="PASS",N21="ACCEPTED"),"ADMITTED","HOLD")</x:f>
        <x:v>HOLD</x:v>
      </x:c>
    </x:row>
    <x:row r="22" ht="30" customHeight="1">
      <x:c r="B22" s="22" t="str">
        <x:v>SC-R2-I04</x:v>
      </x:c>
      <x:c r="C22" s="22" t="str">
        <x:v>R2</x:v>
      </x:c>
      <x:c r="D22" s="22" t="str">
        <x:v>I04</x:v>
      </x:c>
      <x:c r="E22" s="64" t="n">
        <x:f>'Material Build'!O8+'Inject Register'!E11</x:f>
        <x:v>116.3707075628459</x:v>
      </x:c>
      <x:c r="F22" s="64" t="n">
        <x:f>Assumptions!D11</x:f>
        <x:v>120</x:v>
      </x:c>
      <x:c r="G22" s="39" t="n">
        <x:v>1</x:v>
      </x:c>
      <x:c r="H22" s="64" t="n">
        <x:v>0</x:v>
      </x:c>
      <x:c r="I22" s="39" t="n">
        <x:f>MIN(Regeneration!L15:L22)</x:f>
        <x:v>0.6</x:v>
      </x:c>
      <x:c r="J22" s="64" t="n">
        <x:f>MAX(Regeneration!N15:N22)</x:f>
        <x:v>660</x:v>
      </x:c>
      <x:c r="K22" s="22" t="str">
        <x:f>IF(E22&lt;=F22,"PASS","FAIL")</x:f>
        <x:v>PASS</x:v>
      </x:c>
      <x:c r="L22" s="22" t="str">
        <x:f>IF(AND(G22&gt;=Assumptions!D28,OR(D22&lt;&gt;"I09",H22&lt;=Assumptions!D34)),"PASS","FAIL")</x:f>
        <x:v>PASS</x:v>
      </x:c>
      <x:c r="M22" s="22" t="str">
        <x:f>IF(OR(D22&lt;&gt;"I10",J22&lt;=Assumptions!D33),"PASS","FAIL")</x:f>
        <x:v>PASS</x:v>
      </x:c>
      <x:c r="N22" s="22" t="str">
        <x:v>OPEN</x:v>
      </x:c>
      <x:c r="O22" s="24" t="str">
        <x:f>IF(AND(K22="PASS",L22="PASS",M22="PASS",N22="ACCEPTED"),"ADMITTED","HOLD")</x:f>
        <x:v>HOLD</x:v>
      </x:c>
    </x:row>
    <x:row r="23" ht="30" customHeight="1">
      <x:c r="B23" s="22" t="str">
        <x:v>SC-R2-I05</x:v>
      </x:c>
      <x:c r="C23" s="22" t="str">
        <x:v>R2</x:v>
      </x:c>
      <x:c r="D23" s="22" t="str">
        <x:v>I05</x:v>
      </x:c>
      <x:c r="E23" s="64" t="n">
        <x:f>'Material Build'!O8+'Inject Register'!E12</x:f>
        <x:v>112.3707075628459</x:v>
      </x:c>
      <x:c r="F23" s="64" t="n">
        <x:f>Assumptions!D11</x:f>
        <x:v>120</x:v>
      </x:c>
      <x:c r="G23" s="39" t="n">
        <x:v>1</x:v>
      </x:c>
      <x:c r="H23" s="64" t="n">
        <x:v>0</x:v>
      </x:c>
      <x:c r="I23" s="39" t="n">
        <x:f>MIN(Regeneration!L15:L22)</x:f>
        <x:v>0.6</x:v>
      </x:c>
      <x:c r="J23" s="64" t="n">
        <x:f>MAX(Regeneration!N15:N22)</x:f>
        <x:v>660</x:v>
      </x:c>
      <x:c r="K23" s="22" t="str">
        <x:f>IF(E23&lt;=F23,"PASS","FAIL")</x:f>
        <x:v>PASS</x:v>
      </x:c>
      <x:c r="L23" s="22" t="str">
        <x:f>IF(AND(G23&gt;=Assumptions!D28,OR(D23&lt;&gt;"I09",H23&lt;=Assumptions!D34)),"PASS","FAIL")</x:f>
        <x:v>PASS</x:v>
      </x:c>
      <x:c r="M23" s="22" t="str">
        <x:f>IF(OR(D23&lt;&gt;"I10",J23&lt;=Assumptions!D33),"PASS","FAIL")</x:f>
        <x:v>PASS</x:v>
      </x:c>
      <x:c r="N23" s="22" t="str">
        <x:v>OPEN</x:v>
      </x:c>
      <x:c r="O23" s="24" t="str">
        <x:f>IF(AND(K23="PASS",L23="PASS",M23="PASS",N23="ACCEPTED"),"ADMITTED","HOLD")</x:f>
        <x:v>HOLD</x:v>
      </x:c>
    </x:row>
    <x:row r="24" ht="30" customHeight="1">
      <x:c r="B24" s="22" t="str">
        <x:v>SC-R2-I06</x:v>
      </x:c>
      <x:c r="C24" s="22" t="str">
        <x:v>R2</x:v>
      </x:c>
      <x:c r="D24" s="22" t="str">
        <x:v>I06</x:v>
      </x:c>
      <x:c r="E24" s="64" t="n">
        <x:f>'Material Build'!O8+'Inject Register'!E13</x:f>
        <x:v>104.3707075628459</x:v>
      </x:c>
      <x:c r="F24" s="64" t="n">
        <x:f>Assumptions!D11</x:f>
        <x:v>120</x:v>
      </x:c>
      <x:c r="G24" s="39" t="n">
        <x:v>1</x:v>
      </x:c>
      <x:c r="H24" s="64" t="n">
        <x:v>0</x:v>
      </x:c>
      <x:c r="I24" s="39" t="n">
        <x:f>MIN(Regeneration!L15:L22)</x:f>
        <x:v>0.6</x:v>
      </x:c>
      <x:c r="J24" s="64" t="n">
        <x:f>MAX(Regeneration!N15:N22)</x:f>
        <x:v>660</x:v>
      </x:c>
      <x:c r="K24" s="22" t="str">
        <x:f>IF(E24&lt;=F24,"PASS","FAIL")</x:f>
        <x:v>PASS</x:v>
      </x:c>
      <x:c r="L24" s="22" t="str">
        <x:f>IF(AND(G24&gt;=Assumptions!D28,OR(D24&lt;&gt;"I09",H24&lt;=Assumptions!D34)),"PASS","FAIL")</x:f>
        <x:v>PASS</x:v>
      </x:c>
      <x:c r="M24" s="22" t="str">
        <x:f>IF(OR(D24&lt;&gt;"I10",J24&lt;=Assumptions!D33),"PASS","FAIL")</x:f>
        <x:v>PASS</x:v>
      </x:c>
      <x:c r="N24" s="22" t="str">
        <x:v>OPEN</x:v>
      </x:c>
      <x:c r="O24" s="24" t="str">
        <x:f>IF(AND(K24="PASS",L24="PASS",M24="PASS",N24="ACCEPTED"),"ADMITTED","HOLD")</x:f>
        <x:v>HOLD</x:v>
      </x:c>
    </x:row>
    <x:row r="25" ht="30" customHeight="1">
      <x:c r="B25" s="22" t="str">
        <x:v>SC-R2-I07</x:v>
      </x:c>
      <x:c r="C25" s="22" t="str">
        <x:v>R2</x:v>
      </x:c>
      <x:c r="D25" s="22" t="str">
        <x:v>I07</x:v>
      </x:c>
      <x:c r="E25" s="64" t="n">
        <x:f>'Material Build'!O8+'Inject Register'!E14</x:f>
        <x:v>106.3707075628459</x:v>
      </x:c>
      <x:c r="F25" s="64" t="n">
        <x:f>Assumptions!D11</x:f>
        <x:v>120</x:v>
      </x:c>
      <x:c r="G25" s="39" t="n">
        <x:v>1</x:v>
      </x:c>
      <x:c r="H25" s="64" t="n">
        <x:v>0</x:v>
      </x:c>
      <x:c r="I25" s="39" t="n">
        <x:f>MIN(Regeneration!L15:L22)</x:f>
        <x:v>0.6</x:v>
      </x:c>
      <x:c r="J25" s="64" t="n">
        <x:f>MAX(Regeneration!N15:N22)</x:f>
        <x:v>660</x:v>
      </x:c>
      <x:c r="K25" s="22" t="str">
        <x:f>IF(E25&lt;=F25,"PASS","FAIL")</x:f>
        <x:v>PASS</x:v>
      </x:c>
      <x:c r="L25" s="22" t="str">
        <x:f>IF(AND(G25&gt;=Assumptions!D28,OR(D25&lt;&gt;"I09",H25&lt;=Assumptions!D34)),"PASS","FAIL")</x:f>
        <x:v>PASS</x:v>
      </x:c>
      <x:c r="M25" s="22" t="str">
        <x:f>IF(OR(D25&lt;&gt;"I10",J25&lt;=Assumptions!D33),"PASS","FAIL")</x:f>
        <x:v>PASS</x:v>
      </x:c>
      <x:c r="N25" s="22" t="str">
        <x:v>OPEN</x:v>
      </x:c>
      <x:c r="O25" s="24" t="str">
        <x:f>IF(AND(K25="PASS",L25="PASS",M25="PASS",N25="ACCEPTED"),"ADMITTED","HOLD")</x:f>
        <x:v>HOLD</x:v>
      </x:c>
    </x:row>
    <x:row r="26" ht="30" customHeight="1">
      <x:c r="B26" s="22" t="str">
        <x:v>SC-R2-I08</x:v>
      </x:c>
      <x:c r="C26" s="22" t="str">
        <x:v>R2</x:v>
      </x:c>
      <x:c r="D26" s="22" t="str">
        <x:v>I08</x:v>
      </x:c>
      <x:c r="E26" s="64" t="n">
        <x:f>'Material Build'!O8+'Inject Register'!E15</x:f>
        <x:v>108.3707075628459</x:v>
      </x:c>
      <x:c r="F26" s="64" t="n">
        <x:f>Assumptions!D11</x:f>
        <x:v>120</x:v>
      </x:c>
      <x:c r="G26" s="39" t="n">
        <x:v>1</x:v>
      </x:c>
      <x:c r="H26" s="64" t="n">
        <x:v>0</x:v>
      </x:c>
      <x:c r="I26" s="39" t="n">
        <x:f>MIN(Regeneration!L15:L22)</x:f>
        <x:v>0.6</x:v>
      </x:c>
      <x:c r="J26" s="64" t="n">
        <x:f>MAX(Regeneration!N15:N22)</x:f>
        <x:v>660</x:v>
      </x:c>
      <x:c r="K26" s="22" t="str">
        <x:f>IF(E26&lt;=F26,"PASS","FAIL")</x:f>
        <x:v>PASS</x:v>
      </x:c>
      <x:c r="L26" s="22" t="str">
        <x:f>IF(AND(G26&gt;=Assumptions!D28,OR(D26&lt;&gt;"I09",H26&lt;=Assumptions!D34)),"PASS","FAIL")</x:f>
        <x:v>PASS</x:v>
      </x:c>
      <x:c r="M26" s="22" t="str">
        <x:f>IF(OR(D26&lt;&gt;"I10",J26&lt;=Assumptions!D33),"PASS","FAIL")</x:f>
        <x:v>PASS</x:v>
      </x:c>
      <x:c r="N26" s="22" t="str">
        <x:v>OPEN</x:v>
      </x:c>
      <x:c r="O26" s="24" t="str">
        <x:f>IF(AND(K26="PASS",L26="PASS",M26="PASS",N26="ACCEPTED"),"ADMITTED","HOLD")</x:f>
        <x:v>HOLD</x:v>
      </x:c>
    </x:row>
    <x:row r="27" ht="30" customHeight="1">
      <x:c r="B27" s="22" t="str">
        <x:v>SC-R2-I09</x:v>
      </x:c>
      <x:c r="C27" s="22" t="str">
        <x:v>R2</x:v>
      </x:c>
      <x:c r="D27" s="22" t="str">
        <x:v>I09</x:v>
      </x:c>
      <x:c r="E27" s="64" t="n">
        <x:f>'Material Build'!O8+'Inject Register'!E16</x:f>
        <x:v>102.3707075628459</x:v>
      </x:c>
      <x:c r="F27" s="64" t="n">
        <x:f>Assumptions!D11</x:f>
        <x:v>120</x:v>
      </x:c>
      <x:c r="G27" s="39" t="n">
        <x:f>IF('Hydraulic Build'!D29&gt;='Architecture Roots'!V8,1,'Hydraulic Build'!D31)</x:f>
        <x:v>1</x:v>
      </x:c>
      <x:c r="H27" s="64" t="n">
        <x:f>'Architecture Roots'!V8</x:f>
        <x:v>6</x:v>
      </x:c>
      <x:c r="I27" s="39" t="n">
        <x:f>MIN(Regeneration!L15:L22)</x:f>
        <x:v>0.6</x:v>
      </x:c>
      <x:c r="J27" s="64" t="n">
        <x:f>MAX(Regeneration!N15:N22)</x:f>
        <x:v>660</x:v>
      </x:c>
      <x:c r="K27" s="22" t="str">
        <x:f>IF(E27&lt;=F27,"PASS","FAIL")</x:f>
        <x:v>PASS</x:v>
      </x:c>
      <x:c r="L27" s="22" t="str">
        <x:f>IF(AND(G27&gt;=Assumptions!D28,OR(D27&lt;&gt;"I09",H27&lt;=Assumptions!D34)),"PASS","FAIL")</x:f>
        <x:v>PASS</x:v>
      </x:c>
      <x:c r="M27" s="22" t="str">
        <x:f>IF(OR(D27&lt;&gt;"I10",J27&lt;=Assumptions!D33),"PASS","FAIL")</x:f>
        <x:v>PASS</x:v>
      </x:c>
      <x:c r="N27" s="22" t="str">
        <x:v>OPEN</x:v>
      </x:c>
      <x:c r="O27" s="24" t="str">
        <x:f>IF(AND(K27="PASS",L27="PASS",M27="PASS",N27="ACCEPTED"),"ADMITTED","HOLD")</x:f>
        <x:v>HOLD</x:v>
      </x:c>
    </x:row>
    <x:row r="28" ht="30" customHeight="1">
      <x:c r="B28" s="22" t="str">
        <x:v>SC-R2-I10</x:v>
      </x:c>
      <x:c r="C28" s="22" t="str">
        <x:v>R2</x:v>
      </x:c>
      <x:c r="D28" s="22" t="str">
        <x:v>I10</x:v>
      </x:c>
      <x:c r="E28" s="64" t="n">
        <x:f>'Material Build'!O8+'Inject Register'!E17</x:f>
        <x:v>102.3707075628459</x:v>
      </x:c>
      <x:c r="F28" s="64" t="n">
        <x:f>Assumptions!D11</x:f>
        <x:v>120</x:v>
      </x:c>
      <x:c r="G28" s="39" t="n">
        <x:v>1</x:v>
      </x:c>
      <x:c r="H28" s="64" t="n">
        <x:v>0</x:v>
      </x:c>
      <x:c r="I28" s="39" t="n">
        <x:f>MIN(Regeneration!L15:L22)</x:f>
        <x:v>0.6</x:v>
      </x:c>
      <x:c r="J28" s="64" t="n">
        <x:f>MAX(Regeneration!N15:N22)</x:f>
        <x:v>660</x:v>
      </x:c>
      <x:c r="K28" s="22" t="str">
        <x:f>IF(E28&lt;=F28,"PASS","FAIL")</x:f>
        <x:v>PASS</x:v>
      </x:c>
      <x:c r="L28" s="22" t="str">
        <x:f>IF(AND(G28&gt;=Assumptions!D28,OR(D28&lt;&gt;"I09",H28&lt;=Assumptions!D34)),"PASS","FAIL")</x:f>
        <x:v>PASS</x:v>
      </x:c>
      <x:c r="M28" s="22" t="str">
        <x:f>IF(OR(D28&lt;&gt;"I10",J28&lt;=Assumptions!D33),"PASS","FAIL")</x:f>
        <x:v>PASS</x:v>
      </x:c>
      <x:c r="N28" s="22" t="str">
        <x:v>OPEN</x:v>
      </x:c>
      <x:c r="O28" s="24" t="str">
        <x:f>IF(AND(K28="PASS",L28="PASS",M28="PASS",N28="ACCEPTED"),"ADMITTED","HOLD")</x:f>
        <x:v>HOLD</x:v>
      </x:c>
    </x:row>
    <x:row r="29" ht="30" customHeight="1">
      <x:c r="B29" s="22" t="str">
        <x:v>SC-R3-BASE</x:v>
      </x:c>
      <x:c r="C29" s="22" t="str">
        <x:v>R3</x:v>
      </x:c>
      <x:c r="D29" s="22" t="str">
        <x:v>BASE</x:v>
      </x:c>
      <x:c r="E29" s="64" t="n">
        <x:f>'Material Build'!O9+'Inject Register'!F7</x:f>
        <x:v>105.61315510901608</x:v>
      </x:c>
      <x:c r="F29" s="64" t="n">
        <x:f>Assumptions!D11</x:f>
        <x:v>120</x:v>
      </x:c>
      <x:c r="G29" s="39" t="n">
        <x:v>1</x:v>
      </x:c>
      <x:c r="H29" s="64" t="n">
        <x:v>0</x:v>
      </x:c>
      <x:c r="I29" s="39" t="n">
        <x:f>MIN(Regeneration!L23:L30)</x:f>
        <x:v>0.6</x:v>
      </x:c>
      <x:c r="J29" s="64" t="n">
        <x:f>MAX(Regeneration!N23:N30)</x:f>
        <x:v>540</x:v>
      </x:c>
      <x:c r="K29" s="22" t="str">
        <x:f>IF(E29&lt;=F29,"PASS","FAIL")</x:f>
        <x:v>PASS</x:v>
      </x:c>
      <x:c r="L29" s="22" t="str">
        <x:f>IF(AND(G29&gt;=Assumptions!D28,OR(D29&lt;&gt;"I09",H29&lt;=Assumptions!D34)),"PASS","FAIL")</x:f>
        <x:v>PASS</x:v>
      </x:c>
      <x:c r="M29" s="22" t="str">
        <x:f>IF(OR(D29&lt;&gt;"I10",J29&lt;=Assumptions!D33),"PASS","FAIL")</x:f>
        <x:v>PASS</x:v>
      </x:c>
      <x:c r="N29" s="22" t="str">
        <x:v>OPEN</x:v>
      </x:c>
      <x:c r="O29" s="24" t="str">
        <x:f>IF(AND(K29="PASS",L29="PASS",M29="PASS",N29="ACCEPTED"),"ADMITTED","HOLD")</x:f>
        <x:v>HOLD</x:v>
      </x:c>
    </x:row>
    <x:row r="30" ht="30" customHeight="1">
      <x:c r="B30" s="22" t="str">
        <x:v>SC-R3-I01</x:v>
      </x:c>
      <x:c r="C30" s="22" t="str">
        <x:v>R3</x:v>
      </x:c>
      <x:c r="D30" s="22" t="str">
        <x:v>I01</x:v>
      </x:c>
      <x:c r="E30" s="64" t="n">
        <x:f>'Material Build'!O9+'Inject Register'!F8</x:f>
        <x:v>105.61315510901608</x:v>
      </x:c>
      <x:c r="F30" s="64" t="n">
        <x:f>Assumptions!D11</x:f>
        <x:v>120</x:v>
      </x:c>
      <x:c r="G30" s="39" t="n">
        <x:v>1</x:v>
      </x:c>
      <x:c r="H30" s="64" t="n">
        <x:v>0</x:v>
      </x:c>
      <x:c r="I30" s="39" t="n">
        <x:f>MIN(Regeneration!L23:L30)</x:f>
        <x:v>0.6</x:v>
      </x:c>
      <x:c r="J30" s="64" t="n">
        <x:f>MAX(Regeneration!N23:N30)</x:f>
        <x:v>540</x:v>
      </x:c>
      <x:c r="K30" s="22" t="str">
        <x:f>IF(E30&lt;=F30,"PASS","FAIL")</x:f>
        <x:v>PASS</x:v>
      </x:c>
      <x:c r="L30" s="22" t="str">
        <x:f>IF(AND(G30&gt;=Assumptions!D28,OR(D30&lt;&gt;"I09",H30&lt;=Assumptions!D34)),"PASS","FAIL")</x:f>
        <x:v>PASS</x:v>
      </x:c>
      <x:c r="M30" s="22" t="str">
        <x:f>IF(OR(D30&lt;&gt;"I10",J30&lt;=Assumptions!D33),"PASS","FAIL")</x:f>
        <x:v>PASS</x:v>
      </x:c>
      <x:c r="N30" s="22" t="str">
        <x:v>OPEN</x:v>
      </x:c>
      <x:c r="O30" s="24" t="str">
        <x:f>IF(AND(K30="PASS",L30="PASS",M30="PASS",N30="ACCEPTED"),"ADMITTED","HOLD")</x:f>
        <x:v>HOLD</x:v>
      </x:c>
    </x:row>
    <x:row r="31" ht="30" customHeight="1">
      <x:c r="B31" s="22" t="str">
        <x:v>SC-R3-I02</x:v>
      </x:c>
      <x:c r="C31" s="22" t="str">
        <x:v>R3</x:v>
      </x:c>
      <x:c r="D31" s="22" t="str">
        <x:v>I02</x:v>
      </x:c>
      <x:c r="E31" s="64" t="n">
        <x:f>'Material Build'!O9+'Inject Register'!F9</x:f>
        <x:v>105.61315510901608</x:v>
      </x:c>
      <x:c r="F31" s="64" t="n">
        <x:f>Assumptions!D11</x:f>
        <x:v>120</x:v>
      </x:c>
      <x:c r="G31" s="39" t="n">
        <x:v>1</x:v>
      </x:c>
      <x:c r="H31" s="64" t="n">
        <x:v>0</x:v>
      </x:c>
      <x:c r="I31" s="39" t="n">
        <x:f>MIN(Regeneration!L23:L30)</x:f>
        <x:v>0.6</x:v>
      </x:c>
      <x:c r="J31" s="64" t="n">
        <x:f>MAX(Regeneration!N23:N30)</x:f>
        <x:v>540</x:v>
      </x:c>
      <x:c r="K31" s="22" t="str">
        <x:f>IF(E31&lt;=F31,"PASS","FAIL")</x:f>
        <x:v>PASS</x:v>
      </x:c>
      <x:c r="L31" s="22" t="str">
        <x:f>IF(AND(G31&gt;=Assumptions!D28,OR(D31&lt;&gt;"I09",H31&lt;=Assumptions!D34)),"PASS","FAIL")</x:f>
        <x:v>PASS</x:v>
      </x:c>
      <x:c r="M31" s="22" t="str">
        <x:f>IF(OR(D31&lt;&gt;"I10",J31&lt;=Assumptions!D33),"PASS","FAIL")</x:f>
        <x:v>PASS</x:v>
      </x:c>
      <x:c r="N31" s="22" t="str">
        <x:v>OPEN</x:v>
      </x:c>
      <x:c r="O31" s="24" t="str">
        <x:f>IF(AND(K31="PASS",L31="PASS",M31="PASS",N31="ACCEPTED"),"ADMITTED","HOLD")</x:f>
        <x:v>HOLD</x:v>
      </x:c>
    </x:row>
    <x:row r="32" ht="30" customHeight="1">
      <x:c r="B32" s="22" t="str">
        <x:v>SC-R3-I03</x:v>
      </x:c>
      <x:c r="C32" s="22" t="str">
        <x:v>R3</x:v>
      </x:c>
      <x:c r="D32" s="22" t="str">
        <x:v>I03</x:v>
      </x:c>
      <x:c r="E32" s="64" t="n">
        <x:f>'Material Build'!O9+'Inject Register'!F10</x:f>
        <x:v>105.61315510901608</x:v>
      </x:c>
      <x:c r="F32" s="64" t="n">
        <x:f>Assumptions!D11</x:f>
        <x:v>120</x:v>
      </x:c>
      <x:c r="G32" s="39" t="n">
        <x:v>1</x:v>
      </x:c>
      <x:c r="H32" s="64" t="n">
        <x:v>0</x:v>
      </x:c>
      <x:c r="I32" s="39" t="n">
        <x:f>MIN(Regeneration!L23:L30)</x:f>
        <x:v>0.6</x:v>
      </x:c>
      <x:c r="J32" s="64" t="n">
        <x:f>MAX(Regeneration!N23:N30)</x:f>
        <x:v>540</x:v>
      </x:c>
      <x:c r="K32" s="22" t="str">
        <x:f>IF(E32&lt;=F32,"PASS","FAIL")</x:f>
        <x:v>PASS</x:v>
      </x:c>
      <x:c r="L32" s="22" t="str">
        <x:f>IF(AND(G32&gt;=Assumptions!D28,OR(D32&lt;&gt;"I09",H32&lt;=Assumptions!D34)),"PASS","FAIL")</x:f>
        <x:v>PASS</x:v>
      </x:c>
      <x:c r="M32" s="22" t="str">
        <x:f>IF(OR(D32&lt;&gt;"I10",J32&lt;=Assumptions!D33),"PASS","FAIL")</x:f>
        <x:v>PASS</x:v>
      </x:c>
      <x:c r="N32" s="22" t="str">
        <x:v>OPEN</x:v>
      </x:c>
      <x:c r="O32" s="24" t="str">
        <x:f>IF(AND(K32="PASS",L32="PASS",M32="PASS",N32="ACCEPTED"),"ADMITTED","HOLD")</x:f>
        <x:v>HOLD</x:v>
      </x:c>
    </x:row>
    <x:row r="33" ht="30" customHeight="1">
      <x:c r="B33" s="22" t="str">
        <x:v>SC-R3-I04</x:v>
      </x:c>
      <x:c r="C33" s="22" t="str">
        <x:v>R3</x:v>
      </x:c>
      <x:c r="D33" s="22" t="str">
        <x:v>I04</x:v>
      </x:c>
      <x:c r="E33" s="64" t="n">
        <x:f>'Material Build'!O9+'Inject Register'!F11</x:f>
        <x:v>113.61315510901608</x:v>
      </x:c>
      <x:c r="F33" s="64" t="n">
        <x:f>Assumptions!D11</x:f>
        <x:v>120</x:v>
      </x:c>
      <x:c r="G33" s="39" t="n">
        <x:v>1</x:v>
      </x:c>
      <x:c r="H33" s="64" t="n">
        <x:v>0</x:v>
      </x:c>
      <x:c r="I33" s="39" t="n">
        <x:f>MIN(Regeneration!L23:L30)</x:f>
        <x:v>0.6</x:v>
      </x:c>
      <x:c r="J33" s="64" t="n">
        <x:f>MAX(Regeneration!N23:N30)</x:f>
        <x:v>540</x:v>
      </x:c>
      <x:c r="K33" s="22" t="str">
        <x:f>IF(E33&lt;=F33,"PASS","FAIL")</x:f>
        <x:v>PASS</x:v>
      </x:c>
      <x:c r="L33" s="22" t="str">
        <x:f>IF(AND(G33&gt;=Assumptions!D28,OR(D33&lt;&gt;"I09",H33&lt;=Assumptions!D34)),"PASS","FAIL")</x:f>
        <x:v>PASS</x:v>
      </x:c>
      <x:c r="M33" s="22" t="str">
        <x:f>IF(OR(D33&lt;&gt;"I10",J33&lt;=Assumptions!D33),"PASS","FAIL")</x:f>
        <x:v>PASS</x:v>
      </x:c>
      <x:c r="N33" s="22" t="str">
        <x:v>OPEN</x:v>
      </x:c>
      <x:c r="O33" s="24" t="str">
        <x:f>IF(AND(K33="PASS",L33="PASS",M33="PASS",N33="ACCEPTED"),"ADMITTED","HOLD")</x:f>
        <x:v>HOLD</x:v>
      </x:c>
    </x:row>
    <x:row r="34" ht="30" customHeight="1">
      <x:c r="B34" s="22" t="str">
        <x:v>SC-R3-I05</x:v>
      </x:c>
      <x:c r="C34" s="22" t="str">
        <x:v>R3</x:v>
      </x:c>
      <x:c r="D34" s="22" t="str">
        <x:v>I05</x:v>
      </x:c>
      <x:c r="E34" s="64" t="n">
        <x:f>'Material Build'!O9+'Inject Register'!F12</x:f>
        <x:v>111.61315510901608</x:v>
      </x:c>
      <x:c r="F34" s="64" t="n">
        <x:f>Assumptions!D11</x:f>
        <x:v>120</x:v>
      </x:c>
      <x:c r="G34" s="39" t="n">
        <x:v>1</x:v>
      </x:c>
      <x:c r="H34" s="64" t="n">
        <x:v>0</x:v>
      </x:c>
      <x:c r="I34" s="39" t="n">
        <x:f>MIN(Regeneration!L23:L30)</x:f>
        <x:v>0.6</x:v>
      </x:c>
      <x:c r="J34" s="64" t="n">
        <x:f>MAX(Regeneration!N23:N30)</x:f>
        <x:v>540</x:v>
      </x:c>
      <x:c r="K34" s="22" t="str">
        <x:f>IF(E34&lt;=F34,"PASS","FAIL")</x:f>
        <x:v>PASS</x:v>
      </x:c>
      <x:c r="L34" s="22" t="str">
        <x:f>IF(AND(G34&gt;=Assumptions!D28,OR(D34&lt;&gt;"I09",H34&lt;=Assumptions!D34)),"PASS","FAIL")</x:f>
        <x:v>PASS</x:v>
      </x:c>
      <x:c r="M34" s="22" t="str">
        <x:f>IF(OR(D34&lt;&gt;"I10",J34&lt;=Assumptions!D33),"PASS","FAIL")</x:f>
        <x:v>PASS</x:v>
      </x:c>
      <x:c r="N34" s="22" t="str">
        <x:v>OPEN</x:v>
      </x:c>
      <x:c r="O34" s="24" t="str">
        <x:f>IF(AND(K34="PASS",L34="PASS",M34="PASS",N34="ACCEPTED"),"ADMITTED","HOLD")</x:f>
        <x:v>HOLD</x:v>
      </x:c>
    </x:row>
    <x:row r="35" ht="30" customHeight="1">
      <x:c r="B35" s="22" t="str">
        <x:v>SC-R3-I06</x:v>
      </x:c>
      <x:c r="C35" s="22" t="str">
        <x:v>R3</x:v>
      </x:c>
      <x:c r="D35" s="22" t="str">
        <x:v>I06</x:v>
      </x:c>
      <x:c r="E35" s="64" t="n">
        <x:f>'Material Build'!O9+'Inject Register'!F13</x:f>
        <x:v>107.61315510901608</x:v>
      </x:c>
      <x:c r="F35" s="64" t="n">
        <x:f>Assumptions!D11</x:f>
        <x:v>120</x:v>
      </x:c>
      <x:c r="G35" s="39" t="n">
        <x:v>1</x:v>
      </x:c>
      <x:c r="H35" s="64" t="n">
        <x:v>0</x:v>
      </x:c>
      <x:c r="I35" s="39" t="n">
        <x:f>MIN(Regeneration!L23:L30)</x:f>
        <x:v>0.6</x:v>
      </x:c>
      <x:c r="J35" s="64" t="n">
        <x:f>MAX(Regeneration!N23:N30)</x:f>
        <x:v>540</x:v>
      </x:c>
      <x:c r="K35" s="22" t="str">
        <x:f>IF(E35&lt;=F35,"PASS","FAIL")</x:f>
        <x:v>PASS</x:v>
      </x:c>
      <x:c r="L35" s="22" t="str">
        <x:f>IF(AND(G35&gt;=Assumptions!D28,OR(D35&lt;&gt;"I09",H35&lt;=Assumptions!D34)),"PASS","FAIL")</x:f>
        <x:v>PASS</x:v>
      </x:c>
      <x:c r="M35" s="22" t="str">
        <x:f>IF(OR(D35&lt;&gt;"I10",J35&lt;=Assumptions!D33),"PASS","FAIL")</x:f>
        <x:v>PASS</x:v>
      </x:c>
      <x:c r="N35" s="22" t="str">
        <x:v>OPEN</x:v>
      </x:c>
      <x:c r="O35" s="24" t="str">
        <x:f>IF(AND(K35="PASS",L35="PASS",M35="PASS",N35="ACCEPTED"),"ADMITTED","HOLD")</x:f>
        <x:v>HOLD</x:v>
      </x:c>
    </x:row>
    <x:row r="36" ht="30" customHeight="1">
      <x:c r="B36" s="22" t="str">
        <x:v>SC-R3-I07</x:v>
      </x:c>
      <x:c r="C36" s="22" t="str">
        <x:v>R3</x:v>
      </x:c>
      <x:c r="D36" s="22" t="str">
        <x:v>I07</x:v>
      </x:c>
      <x:c r="E36" s="64" t="n">
        <x:f>'Material Build'!O9+'Inject Register'!F14</x:f>
        <x:v>109.61315510901608</x:v>
      </x:c>
      <x:c r="F36" s="64" t="n">
        <x:f>Assumptions!D11</x:f>
        <x:v>120</x:v>
      </x:c>
      <x:c r="G36" s="39" t="n">
        <x:v>1</x:v>
      </x:c>
      <x:c r="H36" s="64" t="n">
        <x:v>0</x:v>
      </x:c>
      <x:c r="I36" s="39" t="n">
        <x:f>MIN(Regeneration!L23:L30)</x:f>
        <x:v>0.6</x:v>
      </x:c>
      <x:c r="J36" s="64" t="n">
        <x:f>MAX(Regeneration!N23:N30)</x:f>
        <x:v>540</x:v>
      </x:c>
      <x:c r="K36" s="22" t="str">
        <x:f>IF(E36&lt;=F36,"PASS","FAIL")</x:f>
        <x:v>PASS</x:v>
      </x:c>
      <x:c r="L36" s="22" t="str">
        <x:f>IF(AND(G36&gt;=Assumptions!D28,OR(D36&lt;&gt;"I09",H36&lt;=Assumptions!D34)),"PASS","FAIL")</x:f>
        <x:v>PASS</x:v>
      </x:c>
      <x:c r="M36" s="22" t="str">
        <x:f>IF(OR(D36&lt;&gt;"I10",J36&lt;=Assumptions!D33),"PASS","FAIL")</x:f>
        <x:v>PASS</x:v>
      </x:c>
      <x:c r="N36" s="22" t="str">
        <x:v>OPEN</x:v>
      </x:c>
      <x:c r="O36" s="24" t="str">
        <x:f>IF(AND(K36="PASS",L36="PASS",M36="PASS",N36="ACCEPTED"),"ADMITTED","HOLD")</x:f>
        <x:v>HOLD</x:v>
      </x:c>
    </x:row>
    <x:row r="37" ht="30" customHeight="1">
      <x:c r="B37" s="22" t="str">
        <x:v>SC-R3-I08</x:v>
      </x:c>
      <x:c r="C37" s="22" t="str">
        <x:v>R3</x:v>
      </x:c>
      <x:c r="D37" s="22" t="str">
        <x:v>I08</x:v>
      </x:c>
      <x:c r="E37" s="64" t="n">
        <x:f>'Material Build'!O9+'Inject Register'!F15</x:f>
        <x:v>111.61315510901608</x:v>
      </x:c>
      <x:c r="F37" s="64" t="n">
        <x:f>Assumptions!D11</x:f>
        <x:v>120</x:v>
      </x:c>
      <x:c r="G37" s="39" t="n">
        <x:v>1</x:v>
      </x:c>
      <x:c r="H37" s="64" t="n">
        <x:v>0</x:v>
      </x:c>
      <x:c r="I37" s="39" t="n">
        <x:f>MIN(Regeneration!L23:L30)</x:f>
        <x:v>0.6</x:v>
      </x:c>
      <x:c r="J37" s="64" t="n">
        <x:f>MAX(Regeneration!N23:N30)</x:f>
        <x:v>540</x:v>
      </x:c>
      <x:c r="K37" s="22" t="str">
        <x:f>IF(E37&lt;=F37,"PASS","FAIL")</x:f>
        <x:v>PASS</x:v>
      </x:c>
      <x:c r="L37" s="22" t="str">
        <x:f>IF(AND(G37&gt;=Assumptions!D28,OR(D37&lt;&gt;"I09",H37&lt;=Assumptions!D34)),"PASS","FAIL")</x:f>
        <x:v>PASS</x:v>
      </x:c>
      <x:c r="M37" s="22" t="str">
        <x:f>IF(OR(D37&lt;&gt;"I10",J37&lt;=Assumptions!D33),"PASS","FAIL")</x:f>
        <x:v>PASS</x:v>
      </x:c>
      <x:c r="N37" s="22" t="str">
        <x:v>OPEN</x:v>
      </x:c>
      <x:c r="O37" s="24" t="str">
        <x:f>IF(AND(K37="PASS",L37="PASS",M37="PASS",N37="ACCEPTED"),"ADMITTED","HOLD")</x:f>
        <x:v>HOLD</x:v>
      </x:c>
    </x:row>
    <x:row r="38" ht="30" customHeight="1">
      <x:c r="B38" s="22" t="str">
        <x:v>SC-R3-I09</x:v>
      </x:c>
      <x:c r="C38" s="22" t="str">
        <x:v>R3</x:v>
      </x:c>
      <x:c r="D38" s="22" t="str">
        <x:v>I09</x:v>
      </x:c>
      <x:c r="E38" s="64" t="n">
        <x:f>'Material Build'!O9+'Inject Register'!F16</x:f>
        <x:v>105.61315510901608</x:v>
      </x:c>
      <x:c r="F38" s="64" t="n">
        <x:f>Assumptions!D11</x:f>
        <x:v>120</x:v>
      </x:c>
      <x:c r="G38" s="39" t="n">
        <x:f>IF('Hydraulic Build'!D29&gt;='Architecture Roots'!V9,1,'Hydraulic Build'!D31)</x:f>
        <x:v>1</x:v>
      </x:c>
      <x:c r="H38" s="64" t="n">
        <x:f>'Architecture Roots'!V9</x:f>
        <x:v>6</x:v>
      </x:c>
      <x:c r="I38" s="39" t="n">
        <x:f>MIN(Regeneration!L23:L30)</x:f>
        <x:v>0.6</x:v>
      </x:c>
      <x:c r="J38" s="64" t="n">
        <x:f>MAX(Regeneration!N23:N30)</x:f>
        <x:v>540</x:v>
      </x:c>
      <x:c r="K38" s="22" t="str">
        <x:f>IF(E38&lt;=F38,"PASS","FAIL")</x:f>
        <x:v>PASS</x:v>
      </x:c>
      <x:c r="L38" s="22" t="str">
        <x:f>IF(AND(G38&gt;=Assumptions!D28,OR(D38&lt;&gt;"I09",H38&lt;=Assumptions!D34)),"PASS","FAIL")</x:f>
        <x:v>PASS</x:v>
      </x:c>
      <x:c r="M38" s="22" t="str">
        <x:f>IF(OR(D38&lt;&gt;"I10",J38&lt;=Assumptions!D33),"PASS","FAIL")</x:f>
        <x:v>PASS</x:v>
      </x:c>
      <x:c r="N38" s="22" t="str">
        <x:v>OPEN</x:v>
      </x:c>
      <x:c r="O38" s="24" t="str">
        <x:f>IF(AND(K38="PASS",L38="PASS",M38="PASS",N38="ACCEPTED"),"ADMITTED","HOLD")</x:f>
        <x:v>HOLD</x:v>
      </x:c>
    </x:row>
    <x:row r="39" ht="30" customHeight="1">
      <x:c r="B39" s="26" t="str">
        <x:v>SC-R3-I10</x:v>
      </x:c>
      <x:c r="C39" s="26" t="str">
        <x:v>R3</x:v>
      </x:c>
      <x:c r="D39" s="26" t="str">
        <x:v>I10</x:v>
      </x:c>
      <x:c r="E39" s="66" t="n">
        <x:f>'Material Build'!O9+'Inject Register'!F17</x:f>
        <x:v>105.61315510901608</x:v>
      </x:c>
      <x:c r="F39" s="66" t="n">
        <x:f>Assumptions!D11</x:f>
        <x:v>120</x:v>
      </x:c>
      <x:c r="G39" s="56" t="n">
        <x:v>1</x:v>
      </x:c>
      <x:c r="H39" s="66" t="n">
        <x:v>0</x:v>
      </x:c>
      <x:c r="I39" s="56" t="n">
        <x:f>MIN(Regeneration!L23:L30)</x:f>
        <x:v>0.6</x:v>
      </x:c>
      <x:c r="J39" s="66" t="n">
        <x:f>MAX(Regeneration!N23:N30)</x:f>
        <x:v>540</x:v>
      </x:c>
      <x:c r="K39" s="26" t="str">
        <x:f>IF(E39&lt;=F39,"PASS","FAIL")</x:f>
        <x:v>PASS</x:v>
      </x:c>
      <x:c r="L39" s="26" t="str">
        <x:f>IF(AND(G39&gt;=Assumptions!D28,OR(D39&lt;&gt;"I09",H39&lt;=Assumptions!D34)),"PASS","FAIL")</x:f>
        <x:v>PASS</x:v>
      </x:c>
      <x:c r="M39" s="26" t="str">
        <x:f>IF(OR(D39&lt;&gt;"I10",J39&lt;=Assumptions!D33),"PASS","FAIL")</x:f>
        <x:v>PASS</x:v>
      </x:c>
      <x:c r="N39" s="26" t="str">
        <x:v>OPEN</x:v>
      </x:c>
      <x:c r="O39" s="28" t="str">
        <x:f>IF(AND(K39="PASS",L39="PASS",M39="PASS",N39="ACCEPTED"),"ADMITTED","HOLD")</x:f>
        <x:v>HOLD</x:v>
      </x:c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mergeCells>
    <x:mergeCell ref="B3:O3"/>
  </x:mergeCells>
  <x:conditionalFormatting sqref="K7:O39">
    <x:cfRule type="containsText" dxfId="117" priority="1" operator="containsText" text="FAIL"/>
    <x:cfRule type="containsText" dxfId="118" priority="2" operator="containsText" text="BLOCKED"/>
    <x:cfRule type="containsText" dxfId="119" priority="3" operator="containsText" text="HOLD"/>
    <x:cfRule type="containsText" dxfId="120" priority="4" operator="containsText" text="OPEN"/>
    <x:cfRule type="containsText" dxfId="121" priority="5" operator="containsText" text="NOT ADMITTED"/>
    <x:cfRule type="containsText" dxfId="122" priority="6" operator="containsText" text="PASS"/>
    <x:cfRule type="containsText" dxfId="123" priority="7" operator="containsText" text="CLOSED"/>
    <x:cfRule type="containsText" dxfId="124" priority="8" operator="containsText" text="ADEQUATE"/>
    <x:cfRule type="containsText" dxfId="125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17d77b4094ec454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7" hidden="0" customWidth="1"/>
    <x:col min="3" max="3" width="10" hidden="0" customWidth="1"/>
    <x:col min="4" max="4" width="34" hidden="0" customWidth="1"/>
    <x:col min="5" max="5" width="17" hidden="0" customWidth="1"/>
    <x:col min="6" max="6" width="16" hidden="0" customWidth="1"/>
    <x:col min="7" max="7" width="17" hidden="0" customWidth="1"/>
    <x:col min="8" max="8" width="19" hidden="0" customWidth="1"/>
    <x:col min="9" max="9" width="19" hidden="0" customWidth="1"/>
    <x:col min="10" max="10" width="17" hidden="0" customWidth="1"/>
    <x:col min="11" max="11" width="18" hidden="0" customWidth="1"/>
    <x:col min="12" max="12" width="16" hidden="0" customWidth="1"/>
    <x:col min="13" max="13" width="16" hidden="0" customWidth="1"/>
    <x:col min="14" max="14" width="15" hidden="0" customWidth="1"/>
    <x:col min="15" max="15" width="16" hidden="0" customWidth="1"/>
    <x:col min="16" max="16" width="18" hidden="0" customWidth="1"/>
  </x:cols>
  <x:sheetData>
    <x:row r="2">
      <x:c r="B2" s="3" t="str">
        <x:v>Protected-reserve use and regeneration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The destructive article may draw the reserve below its floor. Readiness returns only when accepted replacement stock restores every component within 720 hours.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20" t="str">
        <x:v>Record</x:v>
      </x:c>
      <x:c r="C6" s="21" t="str">
        <x:v>Root</x:v>
      </x:c>
      <x:c r="D6" s="21" t="str">
        <x:v>Component</x:v>
      </x:c>
      <x:c r="E6" s="21" t="str">
        <x:v>Protected floor</x:v>
      </x:c>
      <x:c r="F6" s="21" t="str">
        <x:v>Unit</x:v>
      </x:c>
      <x:c r="G6" s="21" t="str">
        <x:v>Exercise draw</x:v>
      </x:c>
      <x:c r="H6" s="21" t="str">
        <x:v>Immediate return</x:v>
      </x:c>
      <x:c r="I6" s="21" t="str">
        <x:v>Reman/new output</x:v>
      </x:c>
      <x:c r="J6" s="21" t="str">
        <x:v>Pre-regen qty</x:v>
      </x:c>
      <x:c r="K6" s="21" t="str">
        <x:v>Post-regen qty</x:v>
      </x:c>
      <x:c r="L6" s="21" t="str">
        <x:v>Pre/floor</x:v>
      </x:c>
      <x:c r="M6" s="21" t="str">
        <x:v>Post/floor</x:v>
      </x:c>
      <x:c r="N6" s="21" t="str">
        <x:v>Restore h</x:v>
      </x:c>
      <x:c r="O6" s="21" t="str">
        <x:v>Deadline h</x:v>
      </x:c>
      <x:c r="P6" s="21" t="str">
        <x:v>Planning result</x:v>
      </x:c>
    </x:row>
    <x:row r="7" ht="30" customHeight="1">
      <x:c r="B7" s="22" t="str">
        <x:v>RG-R1-01</x:v>
      </x:c>
      <x:c r="C7" s="22" t="str">
        <x:v>R1</x:v>
      </x:c>
      <x:c r="D7" s="22" t="str">
        <x:v>Conduit reserve</x:v>
      </x:c>
      <x:c r="E7" s="64" t="n">
        <x:v>4</x:v>
      </x:c>
      <x:c r="F7" s="64" t="str">
        <x:v>pipe-km</x:v>
      </x:c>
      <x:c r="G7" s="64" t="n">
        <x:v>0.4</x:v>
      </x:c>
      <x:c r="H7" s="64" t="n">
        <x:v>0</x:v>
      </x:c>
      <x:c r="I7" s="64" t="n">
        <x:v>0.4</x:v>
      </x:c>
      <x:c r="J7" s="64" t="n">
        <x:f>E7-G7+H7</x:f>
        <x:v>3.6</x:v>
      </x:c>
      <x:c r="K7" s="64" t="n">
        <x:f>J7+I7</x:f>
        <x:v>4</x:v>
      </x:c>
      <x:c r="L7" s="39" t="n">
        <x:f>J7/E7</x:f>
        <x:v>0.9</x:v>
      </x:c>
      <x:c r="M7" s="39" t="n">
        <x:f>K7/E7</x:f>
        <x:v>1</x:v>
      </x:c>
      <x:c r="N7" s="64" t="n">
        <x:v>525</x:v>
      </x:c>
      <x:c r="O7" s="64" t="n">
        <x:v>720</x:v>
      </x:c>
      <x:c r="P7" s="24" t="str">
        <x:f>IF(AND(M7&gt;=1,N7&lt;=O7),"PASS","FAIL")</x:f>
        <x:v>PASS</x:v>
      </x:c>
    </x:row>
    <x:row r="8" ht="30" customHeight="1">
      <x:c r="B8" s="22" t="str">
        <x:v>RG-R1-02</x:v>
      </x:c>
      <x:c r="C8" s="22" t="str">
        <x:v>R1</x:v>
      </x:c>
      <x:c r="D8" s="22" t="str">
        <x:v>Pump and isolation spare</x:v>
      </x:c>
      <x:c r="E8" s="64" t="n">
        <x:v>1</x:v>
      </x:c>
      <x:c r="F8" s="64" t="str">
        <x:v>skid</x:v>
      </x:c>
      <x:c r="G8" s="64" t="n">
        <x:v>1</x:v>
      </x:c>
      <x:c r="H8" s="64" t="n">
        <x:v>0.6</x:v>
      </x:c>
      <x:c r="I8" s="64" t="n">
        <x:v>0.4</x:v>
      </x:c>
      <x:c r="J8" s="64" t="n">
        <x:f>E8-G8+H8</x:f>
        <x:v>0.6</x:v>
      </x:c>
      <x:c r="K8" s="64" t="n">
        <x:f>J8+I8</x:f>
        <x:v>1</x:v>
      </x:c>
      <x:c r="L8" s="39" t="n">
        <x:f>J8/E8</x:f>
        <x:v>0.6</x:v>
      </x:c>
      <x:c r="M8" s="39" t="n">
        <x:f>K8/E8</x:f>
        <x:v>1</x:v>
      </x:c>
      <x:c r="N8" s="64" t="n">
        <x:v>375</x:v>
      </x:c>
      <x:c r="O8" s="64" t="n">
        <x:v>720</x:v>
      </x:c>
      <x:c r="P8" s="24" t="str">
        <x:f>IF(AND(M8&gt;=1,N8&lt;=O8),"PASS","FAIL")</x:f>
        <x:v>PASS</x:v>
      </x:c>
    </x:row>
    <x:row r="9" ht="30" customHeight="1">
      <x:c r="B9" s="22" t="str">
        <x:v>RG-R1-03</x:v>
      </x:c>
      <x:c r="C9" s="22" t="str">
        <x:v>R1</x:v>
      </x:c>
      <x:c r="D9" s="22" t="str">
        <x:v>Power module reserve</x:v>
      </x:c>
      <x:c r="E9" s="64" t="n">
        <x:v>1</x:v>
      </x:c>
      <x:c r="F9" s="64" t="str">
        <x:v>module</x:v>
      </x:c>
      <x:c r="G9" s="64" t="n">
        <x:v>1</x:v>
      </x:c>
      <x:c r="H9" s="64" t="n">
        <x:v>0.75</x:v>
      </x:c>
      <x:c r="I9" s="64" t="n">
        <x:v>0.25</x:v>
      </x:c>
      <x:c r="J9" s="64" t="n">
        <x:f>E9-G9+H9</x:f>
        <x:v>0.75</x:v>
      </x:c>
      <x:c r="K9" s="64" t="n">
        <x:f>J9+I9</x:f>
        <x:v>1</x:v>
      </x:c>
      <x:c r="L9" s="39" t="n">
        <x:f>J9/E9</x:f>
        <x:v>0.75</x:v>
      </x:c>
      <x:c r="M9" s="39" t="n">
        <x:f>K9/E9</x:f>
        <x:v>1</x:v>
      </x:c>
      <x:c r="N9" s="64" t="n">
        <x:v>450</x:v>
      </x:c>
      <x:c r="O9" s="64" t="n">
        <x:v>720</x:v>
      </x:c>
      <x:c r="P9" s="24" t="str">
        <x:f>IF(AND(M9&gt;=1,N9&lt;=O9),"PASS","FAIL")</x:f>
        <x:v>PASS</x:v>
      </x:c>
    </x:row>
    <x:row r="10" ht="30" customHeight="1">
      <x:c r="B10" s="22" t="str">
        <x:v>RG-R1-04</x:v>
      </x:c>
      <x:c r="C10" s="22" t="str">
        <x:v>R1</x:v>
      </x:c>
      <x:c r="D10" s="22" t="str">
        <x:v>Joining-cell reserve</x:v>
      </x:c>
      <x:c r="E10" s="64" t="n">
        <x:v>2</x:v>
      </x:c>
      <x:c r="F10" s="64" t="str">
        <x:v>cells</x:v>
      </x:c>
      <x:c r="G10" s="64" t="n">
        <x:v>1</x:v>
      </x:c>
      <x:c r="H10" s="64" t="n">
        <x:v>0.5</x:v>
      </x:c>
      <x:c r="I10" s="64" t="n">
        <x:v>0.5</x:v>
      </x:c>
      <x:c r="J10" s="64" t="n">
        <x:f>E10-G10+H10</x:f>
        <x:v>1.5</x:v>
      </x:c>
      <x:c r="K10" s="64" t="n">
        <x:f>J10+I10</x:f>
        <x:v>2</x:v>
      </x:c>
      <x:c r="L10" s="39" t="n">
        <x:f>J10/E10</x:f>
        <x:v>0.75</x:v>
      </x:c>
      <x:c r="M10" s="39" t="n">
        <x:f>K10/E10</x:f>
        <x:v>1</x:v>
      </x:c>
      <x:c r="N10" s="64" t="n">
        <x:v>300</x:v>
      </x:c>
      <x:c r="O10" s="64" t="n">
        <x:v>720</x:v>
      </x:c>
      <x:c r="P10" s="24" t="str">
        <x:f>IF(AND(M10&gt;=1,N10&lt;=O10),"PASS","FAIL")</x:f>
        <x:v>PASS</x:v>
      </x:c>
    </x:row>
    <x:row r="11" ht="30" customHeight="1">
      <x:c r="B11" s="22" t="str">
        <x:v>RG-R1-05</x:v>
      </x:c>
      <x:c r="C11" s="22" t="str">
        <x:v>R1</x:v>
      </x:c>
      <x:c r="D11" s="22" t="str">
        <x:v>Metrology-pod reserve</x:v>
      </x:c>
      <x:c r="E11" s="64" t="n">
        <x:v>1</x:v>
      </x:c>
      <x:c r="F11" s="64" t="str">
        <x:v>pod</x:v>
      </x:c>
      <x:c r="G11" s="64" t="n">
        <x:v>1</x:v>
      </x:c>
      <x:c r="H11" s="64" t="n">
        <x:v>1</x:v>
      </x:c>
      <x:c r="I11" s="64" t="n">
        <x:v>0</x:v>
      </x:c>
      <x:c r="J11" s="64" t="n">
        <x:f>E11-G11+H11</x:f>
        <x:v>1</x:v>
      </x:c>
      <x:c r="K11" s="64" t="n">
        <x:f>J11+I11</x:f>
        <x:v>1</x:v>
      </x:c>
      <x:c r="L11" s="39" t="n">
        <x:f>J11/E11</x:f>
        <x:v>1</x:v>
      </x:c>
      <x:c r="M11" s="39" t="n">
        <x:f>K11/E11</x:f>
        <x:v>1</x:v>
      </x:c>
      <x:c r="N11" s="64" t="n">
        <x:v>210</x:v>
      </x:c>
      <x:c r="O11" s="64" t="n">
        <x:v>720</x:v>
      </x:c>
      <x:c r="P11" s="24" t="str">
        <x:f>IF(AND(M11&gt;=1,N11&lt;=O11),"PASS","FAIL")</x:f>
        <x:v>PASS</x:v>
      </x:c>
    </x:row>
    <x:row r="12" ht="30" customHeight="1">
      <x:c r="B12" s="22" t="str">
        <x:v>RG-R1-06</x:v>
      </x:c>
      <x:c r="C12" s="22" t="str">
        <x:v>R1</x:v>
      </x:c>
      <x:c r="D12" s="22" t="str">
        <x:v>Receiver-adapter reserve</x:v>
      </x:c>
      <x:c r="E12" s="64" t="n">
        <x:v>1</x:v>
      </x:c>
      <x:c r="F12" s="64" t="str">
        <x:v>set</x:v>
      </x:c>
      <x:c r="G12" s="64" t="n">
        <x:v>0</x:v>
      </x:c>
      <x:c r="H12" s="64" t="n">
        <x:v>0</x:v>
      </x:c>
      <x:c r="I12" s="64" t="n">
        <x:v>0</x:v>
      </x:c>
      <x:c r="J12" s="64" t="n">
        <x:f>E12-G12+H12</x:f>
        <x:v>1</x:v>
      </x:c>
      <x:c r="K12" s="64" t="n">
        <x:f>J12+I12</x:f>
        <x:v>1</x:v>
      </x:c>
      <x:c r="L12" s="39" t="n">
        <x:f>J12/E12</x:f>
        <x:v>1</x:v>
      </x:c>
      <x:c r="M12" s="39" t="n">
        <x:f>K12/E12</x:f>
        <x:v>1</x:v>
      </x:c>
      <x:c r="N12" s="64" t="n">
        <x:v>150</x:v>
      </x:c>
      <x:c r="O12" s="64" t="n">
        <x:v>720</x:v>
      </x:c>
      <x:c r="P12" s="24" t="str">
        <x:f>IF(AND(M12&gt;=1,N12&lt;=O12),"PASS","FAIL")</x:f>
        <x:v>PASS</x:v>
      </x:c>
    </x:row>
    <x:row r="13" ht="30" customHeight="1">
      <x:c r="B13" s="22" t="str">
        <x:v>RG-R1-07</x:v>
      </x:c>
      <x:c r="C13" s="22" t="str">
        <x:v>R1</x:v>
      </x:c>
      <x:c r="D13" s="22" t="str">
        <x:v>Repair-robot reserve</x:v>
      </x:c>
      <x:c r="E13" s="64" t="n">
        <x:v>2</x:v>
      </x:c>
      <x:c r="F13" s="64" t="str">
        <x:v>robots</x:v>
      </x:c>
      <x:c r="G13" s="64" t="n">
        <x:v>1</x:v>
      </x:c>
      <x:c r="H13" s="64" t="n">
        <x:v>0.5</x:v>
      </x:c>
      <x:c r="I13" s="64" t="n">
        <x:v>0.5</x:v>
      </x:c>
      <x:c r="J13" s="64" t="n">
        <x:f>E13-G13+H13</x:f>
        <x:v>1.5</x:v>
      </x:c>
      <x:c r="K13" s="64" t="n">
        <x:f>J13+I13</x:f>
        <x:v>2</x:v>
      </x:c>
      <x:c r="L13" s="39" t="n">
        <x:f>J13/E13</x:f>
        <x:v>0.75</x:v>
      </x:c>
      <x:c r="M13" s="39" t="n">
        <x:f>K13/E13</x:f>
        <x:v>1</x:v>
      </x:c>
      <x:c r="N13" s="64" t="n">
        <x:v>375</x:v>
      </x:c>
      <x:c r="O13" s="64" t="n">
        <x:v>720</x:v>
      </x:c>
      <x:c r="P13" s="24" t="str">
        <x:f>IF(AND(M13&gt;=1,N13&lt;=O13),"PASS","FAIL")</x:f>
        <x:v>PASS</x:v>
      </x:c>
    </x:row>
    <x:row r="14" ht="30" customHeight="1">
      <x:c r="B14" s="22" t="str">
        <x:v>RG-R1-08</x:v>
      </x:c>
      <x:c r="C14" s="22" t="str">
        <x:v>R1</x:v>
      </x:c>
      <x:c r="D14" s="22" t="str">
        <x:v>Sanitary and repair consumables</x:v>
      </x:c>
      <x:c r="E14" s="64" t="n">
        <x:v>20</x:v>
      </x:c>
      <x:c r="F14" s="64" t="str">
        <x:v>kits</x:v>
      </x:c>
      <x:c r="G14" s="64" t="n">
        <x:v>6</x:v>
      </x:c>
      <x:c r="H14" s="64" t="n">
        <x:v>0</x:v>
      </x:c>
      <x:c r="I14" s="64" t="n">
        <x:v>6</x:v>
      </x:c>
      <x:c r="J14" s="64" t="n">
        <x:f>E14-G14+H14</x:f>
        <x:v>14</x:v>
      </x:c>
      <x:c r="K14" s="64" t="n">
        <x:f>J14+I14</x:f>
        <x:v>20</x:v>
      </x:c>
      <x:c r="L14" s="39" t="n">
        <x:f>J14/E14</x:f>
        <x:v>0.7</x:v>
      </x:c>
      <x:c r="M14" s="39" t="n">
        <x:f>K14/E14</x:f>
        <x:v>1</x:v>
      </x:c>
      <x:c r="N14" s="64" t="n">
        <x:v>600</x:v>
      </x:c>
      <x:c r="O14" s="64" t="n">
        <x:v>720</x:v>
      </x:c>
      <x:c r="P14" s="24" t="str">
        <x:f>IF(AND(M14&gt;=1,N14&lt;=O14),"PASS","FAIL")</x:f>
        <x:v>PASS</x:v>
      </x:c>
    </x:row>
    <x:row r="15" ht="30" customHeight="1">
      <x:c r="B15" s="22" t="str">
        <x:v>RG-R2-01</x:v>
      </x:c>
      <x:c r="C15" s="22" t="str">
        <x:v>R2</x:v>
      </x:c>
      <x:c r="D15" s="22" t="str">
        <x:v>Conduit reserve</x:v>
      </x:c>
      <x:c r="E15" s="64" t="n">
        <x:v>4</x:v>
      </x:c>
      <x:c r="F15" s="64" t="str">
        <x:v>pipe-km</x:v>
      </x:c>
      <x:c r="G15" s="64" t="n">
        <x:v>0.4</x:v>
      </x:c>
      <x:c r="H15" s="64" t="n">
        <x:v>0</x:v>
      </x:c>
      <x:c r="I15" s="64" t="n">
        <x:v>0.4</x:v>
      </x:c>
      <x:c r="J15" s="64" t="n">
        <x:f>E15-G15+H15</x:f>
        <x:v>3.6</x:v>
      </x:c>
      <x:c r="K15" s="64" t="n">
        <x:f>J15+I15</x:f>
        <x:v>4</x:v>
      </x:c>
      <x:c r="L15" s="39" t="n">
        <x:f>J15/E15</x:f>
        <x:v>0.9</x:v>
      </x:c>
      <x:c r="M15" s="39" t="n">
        <x:f>K15/E15</x:f>
        <x:v>1</x:v>
      </x:c>
      <x:c r="N15" s="64" t="n">
        <x:v>578</x:v>
      </x:c>
      <x:c r="O15" s="64" t="n">
        <x:v>720</x:v>
      </x:c>
      <x:c r="P15" s="24" t="str">
        <x:f>IF(AND(M15&gt;=1,N15&lt;=O15),"PASS","FAIL")</x:f>
        <x:v>PASS</x:v>
      </x:c>
    </x:row>
    <x:row r="16" ht="30" customHeight="1">
      <x:c r="B16" s="22" t="str">
        <x:v>RG-R2-02</x:v>
      </x:c>
      <x:c r="C16" s="22" t="str">
        <x:v>R2</x:v>
      </x:c>
      <x:c r="D16" s="22" t="str">
        <x:v>Pump and isolation spare</x:v>
      </x:c>
      <x:c r="E16" s="64" t="n">
        <x:v>1</x:v>
      </x:c>
      <x:c r="F16" s="64" t="str">
        <x:v>skid</x:v>
      </x:c>
      <x:c r="G16" s="64" t="n">
        <x:v>1</x:v>
      </x:c>
      <x:c r="H16" s="64" t="n">
        <x:v>0.6</x:v>
      </x:c>
      <x:c r="I16" s="64" t="n">
        <x:v>0.4</x:v>
      </x:c>
      <x:c r="J16" s="64" t="n">
        <x:f>E16-G16+H16</x:f>
        <x:v>0.6</x:v>
      </x:c>
      <x:c r="K16" s="64" t="n">
        <x:f>J16+I16</x:f>
        <x:v>1</x:v>
      </x:c>
      <x:c r="L16" s="39" t="n">
        <x:f>J16/E16</x:f>
        <x:v>0.6</x:v>
      </x:c>
      <x:c r="M16" s="39" t="n">
        <x:f>K16/E16</x:f>
        <x:v>1</x:v>
      </x:c>
      <x:c r="N16" s="64" t="n">
        <x:v>413</x:v>
      </x:c>
      <x:c r="O16" s="64" t="n">
        <x:v>720</x:v>
      </x:c>
      <x:c r="P16" s="24" t="str">
        <x:f>IF(AND(M16&gt;=1,N16&lt;=O16),"PASS","FAIL")</x:f>
        <x:v>PASS</x:v>
      </x:c>
    </x:row>
    <x:row r="17" ht="30" customHeight="1">
      <x:c r="B17" s="22" t="str">
        <x:v>RG-R2-03</x:v>
      </x:c>
      <x:c r="C17" s="22" t="str">
        <x:v>R2</x:v>
      </x:c>
      <x:c r="D17" s="22" t="str">
        <x:v>Power module reserve</x:v>
      </x:c>
      <x:c r="E17" s="64" t="n">
        <x:v>1</x:v>
      </x:c>
      <x:c r="F17" s="64" t="str">
        <x:v>module</x:v>
      </x:c>
      <x:c r="G17" s="64" t="n">
        <x:v>1</x:v>
      </x:c>
      <x:c r="H17" s="64" t="n">
        <x:v>0.75</x:v>
      </x:c>
      <x:c r="I17" s="64" t="n">
        <x:v>0.25</x:v>
      </x:c>
      <x:c r="J17" s="64" t="n">
        <x:f>E17-G17+H17</x:f>
        <x:v>0.75</x:v>
      </x:c>
      <x:c r="K17" s="64" t="n">
        <x:f>J17+I17</x:f>
        <x:v>1</x:v>
      </x:c>
      <x:c r="L17" s="39" t="n">
        <x:f>J17/E17</x:f>
        <x:v>0.75</x:v>
      </x:c>
      <x:c r="M17" s="39" t="n">
        <x:f>K17/E17</x:f>
        <x:v>1</x:v>
      </x:c>
      <x:c r="N17" s="64" t="n">
        <x:v>495</x:v>
      </x:c>
      <x:c r="O17" s="64" t="n">
        <x:v>720</x:v>
      </x:c>
      <x:c r="P17" s="24" t="str">
        <x:f>IF(AND(M17&gt;=1,N17&lt;=O17),"PASS","FAIL")</x:f>
        <x:v>PASS</x:v>
      </x:c>
    </x:row>
    <x:row r="18" ht="30" customHeight="1">
      <x:c r="B18" s="22" t="str">
        <x:v>RG-R2-04</x:v>
      </x:c>
      <x:c r="C18" s="22" t="str">
        <x:v>R2</x:v>
      </x:c>
      <x:c r="D18" s="22" t="str">
        <x:v>Joining-cell reserve</x:v>
      </x:c>
      <x:c r="E18" s="64" t="n">
        <x:v>2</x:v>
      </x:c>
      <x:c r="F18" s="64" t="str">
        <x:v>cells</x:v>
      </x:c>
      <x:c r="G18" s="64" t="n">
        <x:v>1</x:v>
      </x:c>
      <x:c r="H18" s="64" t="n">
        <x:v>0.5</x:v>
      </x:c>
      <x:c r="I18" s="64" t="n">
        <x:v>0.5</x:v>
      </x:c>
      <x:c r="J18" s="64" t="n">
        <x:f>E18-G18+H18</x:f>
        <x:v>1.5</x:v>
      </x:c>
      <x:c r="K18" s="64" t="n">
        <x:f>J18+I18</x:f>
        <x:v>2</x:v>
      </x:c>
      <x:c r="L18" s="39" t="n">
        <x:f>J18/E18</x:f>
        <x:v>0.75</x:v>
      </x:c>
      <x:c r="M18" s="39" t="n">
        <x:f>K18/E18</x:f>
        <x:v>1</x:v>
      </x:c>
      <x:c r="N18" s="64" t="n">
        <x:v>330</x:v>
      </x:c>
      <x:c r="O18" s="64" t="n">
        <x:v>720</x:v>
      </x:c>
      <x:c r="P18" s="24" t="str">
        <x:f>IF(AND(M18&gt;=1,N18&lt;=O18),"PASS","FAIL")</x:f>
        <x:v>PASS</x:v>
      </x:c>
    </x:row>
    <x:row r="19" ht="30" customHeight="1">
      <x:c r="B19" s="22" t="str">
        <x:v>RG-R2-05</x:v>
      </x:c>
      <x:c r="C19" s="22" t="str">
        <x:v>R2</x:v>
      </x:c>
      <x:c r="D19" s="22" t="str">
        <x:v>Metrology-pod reserve</x:v>
      </x:c>
      <x:c r="E19" s="64" t="n">
        <x:v>1</x:v>
      </x:c>
      <x:c r="F19" s="64" t="str">
        <x:v>pod</x:v>
      </x:c>
      <x:c r="G19" s="64" t="n">
        <x:v>1</x:v>
      </x:c>
      <x:c r="H19" s="64" t="n">
        <x:v>1</x:v>
      </x:c>
      <x:c r="I19" s="64" t="n">
        <x:v>0</x:v>
      </x:c>
      <x:c r="J19" s="64" t="n">
        <x:f>E19-G19+H19</x:f>
        <x:v>1</x:v>
      </x:c>
      <x:c r="K19" s="64" t="n">
        <x:f>J19+I19</x:f>
        <x:v>1</x:v>
      </x:c>
      <x:c r="L19" s="39" t="n">
        <x:f>J19/E19</x:f>
        <x:v>1</x:v>
      </x:c>
      <x:c r="M19" s="39" t="n">
        <x:f>K19/E19</x:f>
        <x:v>1</x:v>
      </x:c>
      <x:c r="N19" s="64" t="n">
        <x:v>231</x:v>
      </x:c>
      <x:c r="O19" s="64" t="n">
        <x:v>720</x:v>
      </x:c>
      <x:c r="P19" s="24" t="str">
        <x:f>IF(AND(M19&gt;=1,N19&lt;=O19),"PASS","FAIL")</x:f>
        <x:v>PASS</x:v>
      </x:c>
    </x:row>
    <x:row r="20" ht="30" customHeight="1">
      <x:c r="B20" s="22" t="str">
        <x:v>RG-R2-06</x:v>
      </x:c>
      <x:c r="C20" s="22" t="str">
        <x:v>R2</x:v>
      </x:c>
      <x:c r="D20" s="22" t="str">
        <x:v>Receiver-adapter reserve</x:v>
      </x:c>
      <x:c r="E20" s="64" t="n">
        <x:v>1</x:v>
      </x:c>
      <x:c r="F20" s="64" t="str">
        <x:v>set</x:v>
      </x:c>
      <x:c r="G20" s="64" t="n">
        <x:v>0</x:v>
      </x:c>
      <x:c r="H20" s="64" t="n">
        <x:v>0</x:v>
      </x:c>
      <x:c r="I20" s="64" t="n">
        <x:v>0</x:v>
      </x:c>
      <x:c r="J20" s="64" t="n">
        <x:f>E20-G20+H20</x:f>
        <x:v>1</x:v>
      </x:c>
      <x:c r="K20" s="64" t="n">
        <x:f>J20+I20</x:f>
        <x:v>1</x:v>
      </x:c>
      <x:c r="L20" s="39" t="n">
        <x:f>J20/E20</x:f>
        <x:v>1</x:v>
      </x:c>
      <x:c r="M20" s="39" t="n">
        <x:f>K20/E20</x:f>
        <x:v>1</x:v>
      </x:c>
      <x:c r="N20" s="64" t="n">
        <x:v>165</x:v>
      </x:c>
      <x:c r="O20" s="64" t="n">
        <x:v>720</x:v>
      </x:c>
      <x:c r="P20" s="24" t="str">
        <x:f>IF(AND(M20&gt;=1,N20&lt;=O20),"PASS","FAIL")</x:f>
        <x:v>PASS</x:v>
      </x:c>
    </x:row>
    <x:row r="21" ht="30" customHeight="1">
      <x:c r="B21" s="22" t="str">
        <x:v>RG-R2-07</x:v>
      </x:c>
      <x:c r="C21" s="22" t="str">
        <x:v>R2</x:v>
      </x:c>
      <x:c r="D21" s="22" t="str">
        <x:v>Repair-robot reserve</x:v>
      </x:c>
      <x:c r="E21" s="64" t="n">
        <x:v>2</x:v>
      </x:c>
      <x:c r="F21" s="64" t="str">
        <x:v>robots</x:v>
      </x:c>
      <x:c r="G21" s="64" t="n">
        <x:v>1</x:v>
      </x:c>
      <x:c r="H21" s="64" t="n">
        <x:v>0.5</x:v>
      </x:c>
      <x:c r="I21" s="64" t="n">
        <x:v>0.5</x:v>
      </x:c>
      <x:c r="J21" s="64" t="n">
        <x:f>E21-G21+H21</x:f>
        <x:v>1.5</x:v>
      </x:c>
      <x:c r="K21" s="64" t="n">
        <x:f>J21+I21</x:f>
        <x:v>2</x:v>
      </x:c>
      <x:c r="L21" s="39" t="n">
        <x:f>J21/E21</x:f>
        <x:v>0.75</x:v>
      </x:c>
      <x:c r="M21" s="39" t="n">
        <x:f>K21/E21</x:f>
        <x:v>1</x:v>
      </x:c>
      <x:c r="N21" s="64" t="n">
        <x:v>413</x:v>
      </x:c>
      <x:c r="O21" s="64" t="n">
        <x:v>720</x:v>
      </x:c>
      <x:c r="P21" s="24" t="str">
        <x:f>IF(AND(M21&gt;=1,N21&lt;=O21),"PASS","FAIL")</x:f>
        <x:v>PASS</x:v>
      </x:c>
    </x:row>
    <x:row r="22" ht="30" customHeight="1">
      <x:c r="B22" s="22" t="str">
        <x:v>RG-R2-08</x:v>
      </x:c>
      <x:c r="C22" s="22" t="str">
        <x:v>R2</x:v>
      </x:c>
      <x:c r="D22" s="22" t="str">
        <x:v>Sanitary and repair consumables</x:v>
      </x:c>
      <x:c r="E22" s="64" t="n">
        <x:v>20</x:v>
      </x:c>
      <x:c r="F22" s="64" t="str">
        <x:v>kits</x:v>
      </x:c>
      <x:c r="G22" s="64" t="n">
        <x:v>6</x:v>
      </x:c>
      <x:c r="H22" s="64" t="n">
        <x:v>0</x:v>
      </x:c>
      <x:c r="I22" s="64" t="n">
        <x:v>6</x:v>
      </x:c>
      <x:c r="J22" s="64" t="n">
        <x:f>E22-G22+H22</x:f>
        <x:v>14</x:v>
      </x:c>
      <x:c r="K22" s="64" t="n">
        <x:f>J22+I22</x:f>
        <x:v>20</x:v>
      </x:c>
      <x:c r="L22" s="39" t="n">
        <x:f>J22/E22</x:f>
        <x:v>0.7</x:v>
      </x:c>
      <x:c r="M22" s="39" t="n">
        <x:f>K22/E22</x:f>
        <x:v>1</x:v>
      </x:c>
      <x:c r="N22" s="64" t="n">
        <x:v>660</x:v>
      </x:c>
      <x:c r="O22" s="64" t="n">
        <x:v>720</x:v>
      </x:c>
      <x:c r="P22" s="24" t="str">
        <x:f>IF(AND(M22&gt;=1,N22&lt;=O22),"PASS","FAIL")</x:f>
        <x:v>PASS</x:v>
      </x:c>
    </x:row>
    <x:row r="23" ht="30" customHeight="1">
      <x:c r="B23" s="22" t="str">
        <x:v>RG-R3-01</x:v>
      </x:c>
      <x:c r="C23" s="22" t="str">
        <x:v>R3</x:v>
      </x:c>
      <x:c r="D23" s="22" t="str">
        <x:v>Conduit reserve</x:v>
      </x:c>
      <x:c r="E23" s="64" t="n">
        <x:v>4</x:v>
      </x:c>
      <x:c r="F23" s="64" t="str">
        <x:v>pipe-km</x:v>
      </x:c>
      <x:c r="G23" s="64" t="n">
        <x:v>0.4</x:v>
      </x:c>
      <x:c r="H23" s="64" t="n">
        <x:v>0</x:v>
      </x:c>
      <x:c r="I23" s="64" t="n">
        <x:v>0.4</x:v>
      </x:c>
      <x:c r="J23" s="64" t="n">
        <x:f>E23-G23+H23</x:f>
        <x:v>3.6</x:v>
      </x:c>
      <x:c r="K23" s="64" t="n">
        <x:f>J23+I23</x:f>
        <x:v>4</x:v>
      </x:c>
      <x:c r="L23" s="39" t="n">
        <x:f>J23/E23</x:f>
        <x:v>0.9</x:v>
      </x:c>
      <x:c r="M23" s="39" t="n">
        <x:f>K23/E23</x:f>
        <x:v>1</x:v>
      </x:c>
      <x:c r="N23" s="64" t="n">
        <x:v>473</x:v>
      </x:c>
      <x:c r="O23" s="64" t="n">
        <x:v>720</x:v>
      </x:c>
      <x:c r="P23" s="24" t="str">
        <x:f>IF(AND(M23&gt;=1,N23&lt;=O23),"PASS","FAIL")</x:f>
        <x:v>PASS</x:v>
      </x:c>
    </x:row>
    <x:row r="24" ht="30" customHeight="1">
      <x:c r="B24" s="22" t="str">
        <x:v>RG-R3-02</x:v>
      </x:c>
      <x:c r="C24" s="22" t="str">
        <x:v>R3</x:v>
      </x:c>
      <x:c r="D24" s="22" t="str">
        <x:v>Pump and isolation spare</x:v>
      </x:c>
      <x:c r="E24" s="64" t="n">
        <x:v>1</x:v>
      </x:c>
      <x:c r="F24" s="64" t="str">
        <x:v>skid</x:v>
      </x:c>
      <x:c r="G24" s="64" t="n">
        <x:v>1</x:v>
      </x:c>
      <x:c r="H24" s="64" t="n">
        <x:v>0.6</x:v>
      </x:c>
      <x:c r="I24" s="64" t="n">
        <x:v>0.4</x:v>
      </x:c>
      <x:c r="J24" s="64" t="n">
        <x:f>E24-G24+H24</x:f>
        <x:v>0.6</x:v>
      </x:c>
      <x:c r="K24" s="64" t="n">
        <x:f>J24+I24</x:f>
        <x:v>1</x:v>
      </x:c>
      <x:c r="L24" s="39" t="n">
        <x:f>J24/E24</x:f>
        <x:v>0.6</x:v>
      </x:c>
      <x:c r="M24" s="39" t="n">
        <x:f>K24/E24</x:f>
        <x:v>1</x:v>
      </x:c>
      <x:c r="N24" s="64" t="n">
        <x:v>338</x:v>
      </x:c>
      <x:c r="O24" s="64" t="n">
        <x:v>720</x:v>
      </x:c>
      <x:c r="P24" s="24" t="str">
        <x:f>IF(AND(M24&gt;=1,N24&lt;=O24),"PASS","FAIL")</x:f>
        <x:v>PASS</x:v>
      </x:c>
    </x:row>
    <x:row r="25" ht="30" customHeight="1">
      <x:c r="B25" s="22" t="str">
        <x:v>RG-R3-03</x:v>
      </x:c>
      <x:c r="C25" s="22" t="str">
        <x:v>R3</x:v>
      </x:c>
      <x:c r="D25" s="22" t="str">
        <x:v>Power module reserve</x:v>
      </x:c>
      <x:c r="E25" s="64" t="n">
        <x:v>1</x:v>
      </x:c>
      <x:c r="F25" s="64" t="str">
        <x:v>module</x:v>
      </x:c>
      <x:c r="G25" s="64" t="n">
        <x:v>1</x:v>
      </x:c>
      <x:c r="H25" s="64" t="n">
        <x:v>0.75</x:v>
      </x:c>
      <x:c r="I25" s="64" t="n">
        <x:v>0.25</x:v>
      </x:c>
      <x:c r="J25" s="64" t="n">
        <x:f>E25-G25+H25</x:f>
        <x:v>0.75</x:v>
      </x:c>
      <x:c r="K25" s="64" t="n">
        <x:f>J25+I25</x:f>
        <x:v>1</x:v>
      </x:c>
      <x:c r="L25" s="39" t="n">
        <x:f>J25/E25</x:f>
        <x:v>0.75</x:v>
      </x:c>
      <x:c r="M25" s="39" t="n">
        <x:f>K25/E25</x:f>
        <x:v>1</x:v>
      </x:c>
      <x:c r="N25" s="64" t="n">
        <x:v>405</x:v>
      </x:c>
      <x:c r="O25" s="64" t="n">
        <x:v>720</x:v>
      </x:c>
      <x:c r="P25" s="24" t="str">
        <x:f>IF(AND(M25&gt;=1,N25&lt;=O25),"PASS","FAIL")</x:f>
        <x:v>PASS</x:v>
      </x:c>
    </x:row>
    <x:row r="26" ht="30" customHeight="1">
      <x:c r="B26" s="22" t="str">
        <x:v>RG-R3-04</x:v>
      </x:c>
      <x:c r="C26" s="22" t="str">
        <x:v>R3</x:v>
      </x:c>
      <x:c r="D26" s="22" t="str">
        <x:v>Joining-cell reserve</x:v>
      </x:c>
      <x:c r="E26" s="64" t="n">
        <x:v>2</x:v>
      </x:c>
      <x:c r="F26" s="64" t="str">
        <x:v>cells</x:v>
      </x:c>
      <x:c r="G26" s="64" t="n">
        <x:v>1</x:v>
      </x:c>
      <x:c r="H26" s="64" t="n">
        <x:v>0.5</x:v>
      </x:c>
      <x:c r="I26" s="64" t="n">
        <x:v>0.5</x:v>
      </x:c>
      <x:c r="J26" s="64" t="n">
        <x:f>E26-G26+H26</x:f>
        <x:v>1.5</x:v>
      </x:c>
      <x:c r="K26" s="64" t="n">
        <x:f>J26+I26</x:f>
        <x:v>2</x:v>
      </x:c>
      <x:c r="L26" s="39" t="n">
        <x:f>J26/E26</x:f>
        <x:v>0.75</x:v>
      </x:c>
      <x:c r="M26" s="39" t="n">
        <x:f>K26/E26</x:f>
        <x:v>1</x:v>
      </x:c>
      <x:c r="N26" s="64" t="n">
        <x:v>270</x:v>
      </x:c>
      <x:c r="O26" s="64" t="n">
        <x:v>720</x:v>
      </x:c>
      <x:c r="P26" s="24" t="str">
        <x:f>IF(AND(M26&gt;=1,N26&lt;=O26),"PASS","FAIL")</x:f>
        <x:v>PASS</x:v>
      </x:c>
    </x:row>
    <x:row r="27" ht="30" customHeight="1">
      <x:c r="B27" s="22" t="str">
        <x:v>RG-R3-05</x:v>
      </x:c>
      <x:c r="C27" s="22" t="str">
        <x:v>R3</x:v>
      </x:c>
      <x:c r="D27" s="22" t="str">
        <x:v>Metrology-pod reserve</x:v>
      </x:c>
      <x:c r="E27" s="64" t="n">
        <x:v>1</x:v>
      </x:c>
      <x:c r="F27" s="64" t="str">
        <x:v>pod</x:v>
      </x:c>
      <x:c r="G27" s="64" t="n">
        <x:v>1</x:v>
      </x:c>
      <x:c r="H27" s="64" t="n">
        <x:v>1</x:v>
      </x:c>
      <x:c r="I27" s="64" t="n">
        <x:v>0</x:v>
      </x:c>
      <x:c r="J27" s="64" t="n">
        <x:f>E27-G27+H27</x:f>
        <x:v>1</x:v>
      </x:c>
      <x:c r="K27" s="64" t="n">
        <x:f>J27+I27</x:f>
        <x:v>1</x:v>
      </x:c>
      <x:c r="L27" s="39" t="n">
        <x:f>J27/E27</x:f>
        <x:v>1</x:v>
      </x:c>
      <x:c r="M27" s="39" t="n">
        <x:f>K27/E27</x:f>
        <x:v>1</x:v>
      </x:c>
      <x:c r="N27" s="64" t="n">
        <x:v>189</x:v>
      </x:c>
      <x:c r="O27" s="64" t="n">
        <x:v>720</x:v>
      </x:c>
      <x:c r="P27" s="24" t="str">
        <x:f>IF(AND(M27&gt;=1,N27&lt;=O27),"PASS","FAIL")</x:f>
        <x:v>PASS</x:v>
      </x:c>
    </x:row>
    <x:row r="28" ht="30" customHeight="1">
      <x:c r="B28" s="22" t="str">
        <x:v>RG-R3-06</x:v>
      </x:c>
      <x:c r="C28" s="22" t="str">
        <x:v>R3</x:v>
      </x:c>
      <x:c r="D28" s="22" t="str">
        <x:v>Receiver-adapter reserve</x:v>
      </x:c>
      <x:c r="E28" s="64" t="n">
        <x:v>1</x:v>
      </x:c>
      <x:c r="F28" s="64" t="str">
        <x:v>set</x:v>
      </x:c>
      <x:c r="G28" s="64" t="n">
        <x:v>0</x:v>
      </x:c>
      <x:c r="H28" s="64" t="n">
        <x:v>0</x:v>
      </x:c>
      <x:c r="I28" s="64" t="n">
        <x:v>0</x:v>
      </x:c>
      <x:c r="J28" s="64" t="n">
        <x:f>E28-G28+H28</x:f>
        <x:v>1</x:v>
      </x:c>
      <x:c r="K28" s="64" t="n">
        <x:f>J28+I28</x:f>
        <x:v>1</x:v>
      </x:c>
      <x:c r="L28" s="39" t="n">
        <x:f>J28/E28</x:f>
        <x:v>1</x:v>
      </x:c>
      <x:c r="M28" s="39" t="n">
        <x:f>K28/E28</x:f>
        <x:v>1</x:v>
      </x:c>
      <x:c r="N28" s="64" t="n">
        <x:v>135</x:v>
      </x:c>
      <x:c r="O28" s="64" t="n">
        <x:v>720</x:v>
      </x:c>
      <x:c r="P28" s="24" t="str">
        <x:f>IF(AND(M28&gt;=1,N28&lt;=O28),"PASS","FAIL")</x:f>
        <x:v>PASS</x:v>
      </x:c>
    </x:row>
    <x:row r="29" ht="30" customHeight="1">
      <x:c r="B29" s="22" t="str">
        <x:v>RG-R3-07</x:v>
      </x:c>
      <x:c r="C29" s="22" t="str">
        <x:v>R3</x:v>
      </x:c>
      <x:c r="D29" s="22" t="str">
        <x:v>Repair-robot reserve</x:v>
      </x:c>
      <x:c r="E29" s="64" t="n">
        <x:v>2</x:v>
      </x:c>
      <x:c r="F29" s="64" t="str">
        <x:v>robots</x:v>
      </x:c>
      <x:c r="G29" s="64" t="n">
        <x:v>1</x:v>
      </x:c>
      <x:c r="H29" s="64" t="n">
        <x:v>0.5</x:v>
      </x:c>
      <x:c r="I29" s="64" t="n">
        <x:v>0.5</x:v>
      </x:c>
      <x:c r="J29" s="64" t="n">
        <x:f>E29-G29+H29</x:f>
        <x:v>1.5</x:v>
      </x:c>
      <x:c r="K29" s="64" t="n">
        <x:f>J29+I29</x:f>
        <x:v>2</x:v>
      </x:c>
      <x:c r="L29" s="39" t="n">
        <x:f>J29/E29</x:f>
        <x:v>0.75</x:v>
      </x:c>
      <x:c r="M29" s="39" t="n">
        <x:f>K29/E29</x:f>
        <x:v>1</x:v>
      </x:c>
      <x:c r="N29" s="64" t="n">
        <x:v>338</x:v>
      </x:c>
      <x:c r="O29" s="64" t="n">
        <x:v>720</x:v>
      </x:c>
      <x:c r="P29" s="24" t="str">
        <x:f>IF(AND(M29&gt;=1,N29&lt;=O29),"PASS","FAIL")</x:f>
        <x:v>PASS</x:v>
      </x:c>
    </x:row>
    <x:row r="30" ht="30" customHeight="1">
      <x:c r="B30" s="26" t="str">
        <x:v>RG-R3-08</x:v>
      </x:c>
      <x:c r="C30" s="26" t="str">
        <x:v>R3</x:v>
      </x:c>
      <x:c r="D30" s="26" t="str">
        <x:v>Sanitary and repair consumables</x:v>
      </x:c>
      <x:c r="E30" s="66" t="n">
        <x:v>20</x:v>
      </x:c>
      <x:c r="F30" s="66" t="str">
        <x:v>kits</x:v>
      </x:c>
      <x:c r="G30" s="66" t="n">
        <x:v>6</x:v>
      </x:c>
      <x:c r="H30" s="66" t="n">
        <x:v>0</x:v>
      </x:c>
      <x:c r="I30" s="66" t="n">
        <x:v>6</x:v>
      </x:c>
      <x:c r="J30" s="66" t="n">
        <x:f>E30-G30+H30</x:f>
        <x:v>14</x:v>
      </x:c>
      <x:c r="K30" s="66" t="n">
        <x:f>J30+I30</x:f>
        <x:v>20</x:v>
      </x:c>
      <x:c r="L30" s="56" t="n">
        <x:f>J30/E30</x:f>
        <x:v>0.7</x:v>
      </x:c>
      <x:c r="M30" s="56" t="n">
        <x:f>K30/E30</x:f>
        <x:v>1</x:v>
      </x:c>
      <x:c r="N30" s="66" t="n">
        <x:v>540</x:v>
      </x:c>
      <x:c r="O30" s="66" t="n">
        <x:v>720</x:v>
      </x:c>
      <x:c r="P30" s="28" t="str">
        <x:f>IF(AND(M30&gt;=1,N30&lt;=O30),"PASS","FAIL")</x:f>
        <x:v>PASS</x:v>
      </x:c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</x:sheetData>
  <x:mergeCells>
    <x:mergeCell ref="B3:P3"/>
  </x:mergeCells>
  <x:conditionalFormatting sqref="P7:P30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HOLD"/>
    <x:cfRule type="containsText" dxfId="75" priority="4" operator="containsText" text="OPEN"/>
    <x:cfRule type="containsText" dxfId="76" priority="5" operator="containsText" text="NOT ADMITTED"/>
    <x:cfRule type="containsText" dxfId="77" priority="6" operator="containsText" text="PASS"/>
    <x:cfRule type="containsText" dxfId="78" priority="7" operator="containsText" text="CLOSED"/>
    <x:cfRule type="containsText" dxfId="79" priority="8" operator="containsText" text="ADEQUATE"/>
    <x:cfRule type="containsText" dxfId="80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430f16f12163430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8" hidden="0" customWidth="1"/>
    <x:col min="3" max="3" width="15" hidden="0" customWidth="1"/>
    <x:col min="4" max="4" width="17" hidden="0" customWidth="1"/>
    <x:col min="5" max="5" width="23" hidden="0" customWidth="1"/>
    <x:col min="6" max="6" width="31" hidden="0" customWidth="1"/>
    <x:col min="7" max="7" width="14" hidden="0" customWidth="1"/>
    <x:col min="8" max="8" width="15" hidden="0" customWidth="1"/>
    <x:col min="9" max="9" width="48" hidden="0" customWidth="1"/>
    <x:col min="10" max="10" width="35" hidden="0" customWidth="1"/>
  </x:cols>
  <x:sheetData>
    <x:row r="2">
      <x:c r="B2" s="3" t="str">
        <x:v>F36 capital and annual readiness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All values are planning allocations inside Pass 99's F36 family envelope and, therefore, inside AIMC. This pass adds no money to the force total.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0" t="str">
        <x:v>Capital use</x:v>
      </x:c>
      <x:c r="C6" s="21" t="str">
        <x:v>Share</x:v>
      </x:c>
      <x:c r="D6" s="21" t="str">
        <x:v>USD B</x:v>
      </x:c>
      <x:c r="E6" s="21" t="str">
        <x:v>25-year annualized USD B</x:v>
      </x:c>
      <x:c r="F6" s="21" t="str">
        <x:v>Boundary</x:v>
      </x:c>
      <x:c r="G6" s="21" t="str">
        <x:v>Evidence</x:v>
      </x:c>
      <x:c r="H6" s="21" t="str">
        <x:v>Decision</x:v>
      </x:c>
      <x:c r="I6" s="21" t="str">
        <x:v>Double-count rule</x:v>
      </x:c>
      <x:c r="J6" s="21" t="str">
        <x:v>Reopen trigger</x:v>
      </x:c>
    </x:row>
    <x:row r="7" ht="38" customHeight="1">
      <x:c r="B7" s="29" t="str">
        <x:v>Requirements, digital thread and source/receiver contract</x:v>
      </x:c>
      <x:c r="C7" s="42" t="n">
        <x:v>0.06</x:v>
      </x:c>
      <x:c r="D7" s="41" t="n">
        <x:f>C7*Assumptions!D39</x:f>
        <x:v>2.3210586817568437</x:v>
      </x:c>
      <x:c r="E7" s="41" t="n">
        <x:f>D7/Assumptions!D41</x:f>
        <x:v>0.09284234727027375</x:v>
      </x:c>
      <x:c r="F7" s="29" t="str">
        <x:v>inside F36 / Pass 99 / AIMC</x:v>
      </x:c>
      <x:c r="G7" s="29" t="str">
        <x:v>OPEN</x:v>
      </x:c>
      <x:c r="H7" s="29" t="str">
        <x:v>HOLD</x:v>
      </x:c>
      <x:c r="I7" s="29" t="str">
        <x:v>public baseline and executable process state</x:v>
      </x:c>
      <x:c r="J7" s="31" t="str">
        <x:v>appropriation or validated cost</x:v>
      </x:c>
    </x:row>
    <x:row r="8" ht="38" customHeight="1">
      <x:c r="B8" s="29" t="str">
        <x:v>R1 sectional public-root</x:v>
      </x:c>
      <x:c r="C8" s="42" t="n">
        <x:v>0.15</x:v>
      </x:c>
      <x:c r="D8" s="41" t="n">
        <x:f>C8*Assumptions!D39</x:f>
        <x:v>5.802646704392109</x:v>
      </x:c>
      <x:c r="E8" s="41" t="n">
        <x:f>D8/Assumptions!D41</x:f>
        <x:v>0.23210586817568438</x:v>
      </x:c>
      <x:c r="F8" s="29" t="str">
        <x:v>inside F36 / Pass 99 / AIMC</x:v>
      </x:c>
      <x:c r="G8" s="29" t="str">
        <x:v>OPEN</x:v>
      </x:c>
      <x:c r="H8" s="29" t="str">
        <x:v>HOLD</x:v>
      </x:c>
      <x:c r="I8" s="29" t="str">
        <x:v>facility, process, articles and protected tooling</x:v>
      </x:c>
      <x:c r="J8" s="31" t="str">
        <x:v>appropriation or validated cost</x:v>
      </x:c>
    </x:row>
    <x:row r="9" ht="38" customHeight="1">
      <x:c r="B9" s="29" t="str">
        <x:v>R2 mobile continuous-forge root</x:v>
      </x:c>
      <x:c r="C9" s="42" t="n">
        <x:v>0.17</x:v>
      </x:c>
      <x:c r="D9" s="41" t="n">
        <x:f>C9*Assumptions!D39</x:f>
        <x:v>6.576332931644391</x:v>
      </x:c>
      <x:c r="E9" s="41" t="n">
        <x:f>D9/Assumptions!D41</x:f>
        <x:v>0.26305331726577563</x:v>
      </x:c>
      <x:c r="F9" s="29" t="str">
        <x:v>inside F36 / Pass 99 / AIMC</x:v>
      </x:c>
      <x:c r="G9" s="29" t="str">
        <x:v>OPEN</x:v>
      </x:c>
      <x:c r="H9" s="29" t="str">
        <x:v>HOLD</x:v>
      </x:c>
      <x:c r="I9" s="29" t="str">
        <x:v>mobile foundry, feedstock roots and articles</x:v>
      </x:c>
      <x:c r="J9" s="31" t="str">
        <x:v>appropriation or validated cost</x:v>
      </x:c>
    </x:row>
    <x:row r="10" ht="38" customHeight="1">
      <x:c r="B10" s="29" t="str">
        <x:v>R3 structural-ribbon challenge</x:v>
      </x:c>
      <x:c r="C10" s="42" t="n">
        <x:v>0.15</x:v>
      </x:c>
      <x:c r="D10" s="41" t="n">
        <x:f>C10*Assumptions!D39</x:f>
        <x:v>5.802646704392109</x:v>
      </x:c>
      <x:c r="E10" s="41" t="n">
        <x:f>D10/Assumptions!D41</x:f>
        <x:v>0.23210586817568438</x:v>
      </x:c>
      <x:c r="F10" s="29" t="str">
        <x:v>inside F36 / Pass 99 / AIMC</x:v>
      </x:c>
      <x:c r="G10" s="29" t="str">
        <x:v>OPEN</x:v>
      </x:c>
      <x:c r="H10" s="29" t="str">
        <x:v>HOLD</x:v>
      </x:c>
      <x:c r="I10" s="29" t="str">
        <x:v>materials, barrier, closures and destructive articles</x:v>
      </x:c>
      <x:c r="J10" s="31" t="str">
        <x:v>appropriation or validated cost</x:v>
      </x:c>
    </x:row>
    <x:row r="11" ht="38" customHeight="1">
      <x:c r="B11" s="29" t="str">
        <x:v>Dual-route proving corridor and environmental sectors</x:v>
      </x:c>
      <x:c r="C11" s="42" t="n">
        <x:v>0.1</x:v>
      </x:c>
      <x:c r="D11" s="41" t="n">
        <x:f>C11*Assumptions!D39</x:f>
        <x:v>3.8684311362614063</x:v>
      </x:c>
      <x:c r="E11" s="41" t="n">
        <x:f>D11/Assumptions!D41</x:f>
        <x:v>0.15473724545045625</x:v>
      </x:c>
      <x:c r="F11" s="29" t="str">
        <x:v>inside F36 / Pass 99 / AIMC</x:v>
      </x:c>
      <x:c r="G11" s="29" t="str">
        <x:v>OPEN</x:v>
      </x:c>
      <x:c r="H11" s="29" t="str">
        <x:v>HOLD</x:v>
      </x:c>
      <x:c r="I11" s="29" t="str">
        <x:v>range civil works and resettable hazards</x:v>
      </x:c>
      <x:c r="J11" s="31" t="str">
        <x:v>appropriation or validated cost</x:v>
      </x:c>
    </x:row>
    <x:row r="12" ht="38" customHeight="1">
      <x:c r="B12" s="29" t="str">
        <x:v>Mission sets and protected complete-system reserve</x:v>
      </x:c>
      <x:c r="C12" s="42" t="n">
        <x:v>0.17</x:v>
      </x:c>
      <x:c r="D12" s="41" t="n">
        <x:f>C12*Assumptions!D39</x:f>
        <x:v>6.576332931644391</x:v>
      </x:c>
      <x:c r="E12" s="41" t="n">
        <x:f>D12/Assumptions!D41</x:f>
        <x:v>0.26305331726577563</x:v>
      </x:c>
      <x:c r="F12" s="29" t="str">
        <x:v>inside F36 / Pass 99 / AIMC</x:v>
      </x:c>
      <x:c r="G12" s="29" t="str">
        <x:v>OPEN</x:v>
      </x:c>
      <x:c r="H12" s="29" t="str">
        <x:v>HOLD</x:v>
      </x:c>
      <x:c r="I12" s="29" t="str">
        <x:v>field systems, buffers, power and custody</x:v>
      </x:c>
      <x:c r="J12" s="31" t="str">
        <x:v>appropriation or validated cost</x:v>
      </x:c>
    </x:row>
    <x:row r="13" ht="38" customHeight="1">
      <x:c r="B13" s="29" t="str">
        <x:v>Independent metrology, sanitary and evidence system</x:v>
      </x:c>
      <x:c r="C13" s="42" t="n">
        <x:v>0.07</x:v>
      </x:c>
      <x:c r="D13" s="41" t="n">
        <x:f>C13*Assumptions!D39</x:f>
        <x:v>2.7079017953829845</x:v>
      </x:c>
      <x:c r="E13" s="41" t="n">
        <x:f>D13/Assumptions!D41</x:f>
        <x:v>0.10831607181531938</x:v>
      </x:c>
      <x:c r="F13" s="29" t="str">
        <x:v>inside F36 / Pass 99 / AIMC</x:v>
      </x:c>
      <x:c r="G13" s="29" t="str">
        <x:v>OPEN</x:v>
      </x:c>
      <x:c r="H13" s="29" t="str">
        <x:v>HOLD</x:v>
      </x:c>
      <x:c r="I13" s="29" t="str">
        <x:v>public instrumentation and authorities</x:v>
      </x:c>
      <x:c r="J13" s="31" t="str">
        <x:v>appropriation or validated cost</x:v>
      </x:c>
    </x:row>
    <x:row r="14" ht="38" customHeight="1">
      <x:c r="B14" s="29" t="str">
        <x:v>Regeneration and circular-material system</x:v>
      </x:c>
      <x:c r="C14" s="42" t="n">
        <x:v>0.06</x:v>
      </x:c>
      <x:c r="D14" s="41" t="n">
        <x:f>C14*Assumptions!D39</x:f>
        <x:v>2.3210586817568437</x:v>
      </x:c>
      <x:c r="E14" s="41" t="n">
        <x:f>D14/Assumptions!D41</x:f>
        <x:v>0.09284234727027375</x:v>
      </x:c>
      <x:c r="F14" s="29" t="str">
        <x:v>inside F36 / Pass 99 / AIMC</x:v>
      </x:c>
      <x:c r="G14" s="29" t="str">
        <x:v>OPEN</x:v>
      </x:c>
      <x:c r="H14" s="29" t="str">
        <x:v>HOLD</x:v>
      </x:c>
      <x:c r="I14" s="29" t="str">
        <x:v>remanufacture cells and material passports</x:v>
      </x:c>
      <x:c r="J14" s="31" t="str">
        <x:v>appropriation or validated cost</x:v>
      </x:c>
    </x:row>
    <x:row r="15" ht="38" customHeight="1">
      <x:c r="B15" s="29" t="str">
        <x:v>Workforce, exercises and receiver integration</x:v>
      </x:c>
      <x:c r="C15" s="42" t="n">
        <x:v>0.04</x:v>
      </x:c>
      <x:c r="D15" s="41" t="n">
        <x:f>C15*Assumptions!D39</x:f>
        <x:v>1.5473724545045624</x:v>
      </x:c>
      <x:c r="E15" s="41" t="n">
        <x:f>D15/Assumptions!D41</x:f>
        <x:v>0.0618948981801825</x:v>
      </x:c>
      <x:c r="F15" s="29" t="str">
        <x:v>inside F36 / Pass 99 / AIMC</x:v>
      </x:c>
      <x:c r="G15" s="29" t="str">
        <x:v>OPEN</x:v>
      </x:c>
      <x:c r="H15" s="29" t="str">
        <x:v>HOLD</x:v>
      </x:c>
      <x:c r="I15" s="29" t="str">
        <x:v>qualification and no-notice missions</x:v>
      </x:c>
      <x:c r="J15" s="31" t="str">
        <x:v>appropriation or validated cost</x:v>
      </x:c>
    </x:row>
    <x:row r="16" ht="38" customHeight="1">
      <x:c r="B16" s="29" t="str">
        <x:v>Program reserve</x:v>
      </x:c>
      <x:c r="C16" s="42" t="n">
        <x:v>0.03</x:v>
      </x:c>
      <x:c r="D16" s="41" t="n">
        <x:f>C16*Assumptions!D39</x:f>
        <x:v>1.1605293408784219</x:v>
      </x:c>
      <x:c r="E16" s="41" t="n">
        <x:f>D16/Assumptions!D41</x:f>
        <x:v>0.04642117363513688</x:v>
      </x:c>
      <x:c r="F16" s="29" t="str">
        <x:v>inside F36 / Pass 99 / AIMC</x:v>
      </x:c>
      <x:c r="G16" s="29" t="str">
        <x:v>OPEN</x:v>
      </x:c>
      <x:c r="H16" s="29" t="str">
        <x:v>HOLD</x:v>
      </x:c>
      <x:c r="I16" s="29" t="str">
        <x:v>named uncertainty; no evidence credit</x:v>
      </x:c>
      <x:c r="J16" s="31" t="str">
        <x:v>appropriation or validated cost</x:v>
      </x:c>
    </x:row>
    <x:row r="17" ht="38" customHeight="1">
      <x:c r="B17" s="29"/>
      <x:c r="C17" s="42"/>
      <x:c r="D17" s="41"/>
      <x:c r="E17" s="41"/>
      <x:c r="F17" s="29"/>
      <x:c r="G17" s="29"/>
      <x:c r="H17" s="29"/>
      <x:c r="I17" s="29"/>
      <x:c r="J17" s="31"/>
    </x:row>
    <x:row r="18" ht="38" customHeight="1">
      <x:c r="B18" s="29" t="str">
        <x:v>CAPITAL CONTROL</x:v>
      </x:c>
      <x:c r="C18" s="42" t="n">
        <x:v>1</x:v>
      </x:c>
      <x:c r="D18" s="41" t="n">
        <x:f>SUM(D7:D16)</x:f>
        <x:v>38.68431136261406</x:v>
      </x:c>
      <x:c r="E18" s="41" t="n">
        <x:f>SUM(E7:E16)</x:f>
        <x:v>1.5473724545045626</x:v>
      </x:c>
      <x:c r="F18" s="29" t="str">
        <x:v>equals Pass 99 F36 allocation</x:v>
      </x:c>
      <x:c r="G18" s="29" t="str">
        <x:v>OPEN</x:v>
      </x:c>
      <x:c r="H18" s="29" t="str">
        <x:v>HOLD</x:v>
      </x:c>
      <x:c r="I18" s="29" t="str">
        <x:v>one source, many views</x:v>
      </x:c>
      <x:c r="J18" s="31" t="str">
        <x:v>Pass 99 amendment</x:v>
      </x:c>
    </x:row>
    <x:row r="19" ht="38" customHeight="1">
      <x:c r="B19" s="29"/>
      <x:c r="C19" s="42"/>
      <x:c r="D19" s="41"/>
      <x:c r="E19" s="41"/>
      <x:c r="F19" s="29"/>
      <x:c r="G19" s="29"/>
      <x:c r="H19" s="29"/>
      <x:c r="I19" s="29"/>
      <x:c r="J19" s="31"/>
    </x:row>
    <x:row r="20" ht="38" customHeight="1">
      <x:c r="B20" s="29"/>
      <x:c r="C20" s="42"/>
      <x:c r="D20" s="41"/>
      <x:c r="E20" s="41"/>
      <x:c r="F20" s="29"/>
      <x:c r="G20" s="29"/>
      <x:c r="H20" s="29"/>
      <x:c r="I20" s="29"/>
      <x:c r="J20" s="31"/>
    </x:row>
    <x:row r="21" ht="38" customHeight="1">
      <x:c r="B21" s="72" t="str">
        <x:v>Annual readiness allocation</x:v>
      </x:c>
      <x:c r="C21" s="93" t="str">
        <x:v>Annual readiness allocation</x:v>
      </x:c>
      <x:c r="D21" s="94" t="str">
        <x:v>Annual readiness allocation</x:v>
      </x:c>
      <x:c r="E21" s="94" t="str">
        <x:v>Annual readiness allocation</x:v>
      </x:c>
      <x:c r="F21" s="72" t="str">
        <x:v>Annual readiness allocation</x:v>
      </x:c>
      <x:c r="G21" s="72" t="str">
        <x:v>Annual readiness allocation</x:v>
      </x:c>
      <x:c r="H21" s="72" t="str">
        <x:v>Annual readiness allocation</x:v>
      </x:c>
      <x:c r="I21" s="72" t="str">
        <x:v>Annual readiness allocation</x:v>
      </x:c>
      <x:c r="J21" s="73" t="str">
        <x:v>Annual readiness allocation</x:v>
      </x:c>
    </x:row>
    <x:row r="22" ht="38" customHeight="1">
      <x:c r="B22" s="88" t="str">
        <x:v>Operating function</x:v>
      </x:c>
      <x:c r="C22" s="89" t="str">
        <x:v>Share</x:v>
      </x:c>
      <x:c r="D22" s="90" t="str">
        <x:v>USD B/year</x:v>
      </x:c>
      <x:c r="E22" s="90" t="str">
        <x:v>Boundary</x:v>
      </x:c>
      <x:c r="F22" s="91" t="str">
        <x:v>Evidence</x:v>
      </x:c>
      <x:c r="G22" s="91" t="str">
        <x:v>Decision</x:v>
      </x:c>
      <x:c r="H22" s="92" t="str">
        <x:v>Interpretation</x:v>
      </x:c>
      <x:c r="I22" s="29"/>
      <x:c r="J22" s="31"/>
    </x:row>
    <x:row r="23" ht="38" customHeight="1">
      <x:c r="B23" s="29" t="str">
        <x:v>Three industrial roots and cold-start exercises</x:v>
      </x:c>
      <x:c r="C23" s="42" t="n">
        <x:v>0.26</x:v>
      </x:c>
      <x:c r="D23" s="41" t="n">
        <x:f>C23*Assumptions!D40</x:f>
        <x:v>0.6034752572567794</x:v>
      </x:c>
      <x:c r="E23" s="41" t="str">
        <x:v>inside F36 annual readiness</x:v>
      </x:c>
      <x:c r="F23" s="29" t="str">
        <x:v>OPEN</x:v>
      </x:c>
      <x:c r="G23" s="29" t="str">
        <x:v>HOLD</x:v>
      </x:c>
      <x:c r="H23" s="29" t="str">
        <x:v>planning allocation; no observed cost base</x:v>
      </x:c>
      <x:c r="I23" s="29"/>
      <x:c r="J23" s="31"/>
    </x:row>
    <x:row r="24" ht="38" customHeight="1">
      <x:c r="B24" s="29" t="str">
        <x:v>Mission-set readiness and protected reserve rotation</x:v>
      </x:c>
      <x:c r="C24" s="42" t="n">
        <x:v>0.24</x:v>
      </x:c>
      <x:c r="D24" s="41" t="n">
        <x:f>C24*Assumptions!D40</x:f>
        <x:v>0.5570540836216424</x:v>
      </x:c>
      <x:c r="E24" s="41" t="str">
        <x:v>inside F36 annual readiness</x:v>
      </x:c>
      <x:c r="F24" s="29" t="str">
        <x:v>OPEN</x:v>
      </x:c>
      <x:c r="G24" s="29" t="str">
        <x:v>HOLD</x:v>
      </x:c>
      <x:c r="H24" s="29" t="str">
        <x:v>planning allocation; no observed cost base</x:v>
      </x:c>
      <x:c r="I24" s="29"/>
      <x:c r="J24" s="31"/>
    </x:row>
    <x:row r="25" ht="38" customHeight="1">
      <x:c r="B25" s="29" t="str">
        <x:v>Range operations and environmental reset</x:v>
      </x:c>
      <x:c r="C25" s="42" t="n">
        <x:v>0.13</x:v>
      </x:c>
      <x:c r="D25" s="41" t="n">
        <x:f>C25*Assumptions!D40</x:f>
        <x:v>0.3017376286283897</x:v>
      </x:c>
      <x:c r="E25" s="41" t="str">
        <x:v>inside F36 annual readiness</x:v>
      </x:c>
      <x:c r="F25" s="29" t="str">
        <x:v>OPEN</x:v>
      </x:c>
      <x:c r="G25" s="29" t="str">
        <x:v>HOLD</x:v>
      </x:c>
      <x:c r="H25" s="29" t="str">
        <x:v>planning allocation; no observed cost base</x:v>
      </x:c>
      <x:c r="I25" s="29"/>
      <x:c r="J25" s="31"/>
    </x:row>
    <x:row r="26" ht="38" customHeight="1">
      <x:c r="B26" s="29" t="str">
        <x:v>Water-quality and public-effect metrology</x:v>
      </x:c>
      <x:c r="C26" s="42" t="n">
        <x:v>0.1</x:v>
      </x:c>
      <x:c r="D26" s="41" t="n">
        <x:f>C26*Assumptions!D40</x:f>
        <x:v>0.23210586817568438</x:v>
      </x:c>
      <x:c r="E26" s="41" t="str">
        <x:v>inside F36 annual readiness</x:v>
      </x:c>
      <x:c r="F26" s="29" t="str">
        <x:v>OPEN</x:v>
      </x:c>
      <x:c r="G26" s="29" t="str">
        <x:v>HOLD</x:v>
      </x:c>
      <x:c r="H26" s="29" t="str">
        <x:v>planning allocation; no observed cost base</x:v>
      </x:c>
      <x:c r="I26" s="29"/>
      <x:c r="J26" s="31"/>
    </x:row>
    <x:row r="27" ht="38" customHeight="1">
      <x:c r="B27" s="29" t="str">
        <x:v>Workforce qualification and role substitution</x:v>
      </x:c>
      <x:c r="C27" s="42" t="n">
        <x:v>0.09</x:v>
      </x:c>
      <x:c r="D27" s="41" t="n">
        <x:f>C27*Assumptions!D40</x:f>
        <x:v>0.20889528135811591</x:v>
      </x:c>
      <x:c r="E27" s="41" t="str">
        <x:v>inside F36 annual readiness</x:v>
      </x:c>
      <x:c r="F27" s="29" t="str">
        <x:v>OPEN</x:v>
      </x:c>
      <x:c r="G27" s="29" t="str">
        <x:v>HOLD</x:v>
      </x:c>
      <x:c r="H27" s="29" t="str">
        <x:v>planning allocation; no observed cost base</x:v>
      </x:c>
      <x:c r="I27" s="29"/>
      <x:c r="J27" s="31"/>
    </x:row>
    <x:row r="28" ht="38" customHeight="1">
      <x:c r="B28" s="29" t="str">
        <x:v>Regeneration and material recovery</x:v>
      </x:c>
      <x:c r="C28" s="42" t="n">
        <x:v>0.08</x:v>
      </x:c>
      <x:c r="D28" s="41" t="n">
        <x:f>C28*Assumptions!D40</x:f>
        <x:v>0.1856846945405475</x:v>
      </x:c>
      <x:c r="E28" s="41" t="str">
        <x:v>inside F36 annual readiness</x:v>
      </x:c>
      <x:c r="F28" s="29" t="str">
        <x:v>OPEN</x:v>
      </x:c>
      <x:c r="G28" s="29" t="str">
        <x:v>HOLD</x:v>
      </x:c>
      <x:c r="H28" s="29" t="str">
        <x:v>planning allocation; no observed cost base</x:v>
      </x:c>
      <x:c r="I28" s="29"/>
      <x:c r="J28" s="31"/>
    </x:row>
    <x:row r="29" ht="38" customHeight="1">
      <x:c r="B29" s="29" t="str">
        <x:v>Technical baseline, cybersecurity and configuration</x:v>
      </x:c>
      <x:c r="C29" s="42" t="n">
        <x:v>0.06</x:v>
      </x:c>
      <x:c r="D29" s="41" t="n">
        <x:f>C29*Assumptions!D40</x:f>
        <x:v>0.1392635209054106</x:v>
      </x:c>
      <x:c r="E29" s="41" t="str">
        <x:v>inside F36 annual readiness</x:v>
      </x:c>
      <x:c r="F29" s="29" t="str">
        <x:v>OPEN</x:v>
      </x:c>
      <x:c r="G29" s="29" t="str">
        <x:v>HOLD</x:v>
      </x:c>
      <x:c r="H29" s="29" t="str">
        <x:v>planning allocation; no observed cost base</x:v>
      </x:c>
      <x:c r="I29" s="29"/>
      <x:c r="J29" s="31"/>
    </x:row>
    <x:row r="30" ht="38" customHeight="1">
      <x:c r="B30" s="29" t="str">
        <x:v>Receiving-node exercises and standards</x:v>
      </x:c>
      <x:c r="C30" s="42" t="n">
        <x:v>0.04</x:v>
      </x:c>
      <x:c r="D30" s="41" t="n">
        <x:f>C30*Assumptions!D40</x:f>
        <x:v>0.09284234727027375</x:v>
      </x:c>
      <x:c r="E30" s="41" t="str">
        <x:v>inside F36 annual readiness</x:v>
      </x:c>
      <x:c r="F30" s="29" t="str">
        <x:v>OPEN</x:v>
      </x:c>
      <x:c r="G30" s="29" t="str">
        <x:v>HOLD</x:v>
      </x:c>
      <x:c r="H30" s="29" t="str">
        <x:v>planning allocation; no observed cost base</x:v>
      </x:c>
      <x:c r="I30" s="29"/>
      <x:c r="J30" s="31"/>
    </x:row>
    <x:row r="31" ht="38" customHeight="1">
      <x:c r="B31" s="29"/>
      <x:c r="C31" s="42"/>
      <x:c r="D31" s="41"/>
      <x:c r="E31" s="41"/>
      <x:c r="F31" s="29"/>
      <x:c r="G31" s="29"/>
      <x:c r="H31" s="29"/>
      <x:c r="I31" s="29"/>
      <x:c r="J31" s="31"/>
    </x:row>
    <x:row r="32" ht="38" customHeight="1">
      <x:c r="B32" s="33" t="str">
        <x:v>OPERATING CONTROL</x:v>
      </x:c>
      <x:c r="C32" s="95" t="n">
        <x:v>1</x:v>
      </x:c>
      <x:c r="D32" s="43" t="n">
        <x:f>SUM(D23:D30)</x:f>
        <x:v>2.321058681756844</x:v>
      </x:c>
      <x:c r="E32" s="43" t="str">
        <x:v>equals Pass 99 F36 annual allocation</x:v>
      </x:c>
      <x:c r="F32" s="33" t="str">
        <x:v>OPEN</x:v>
      </x:c>
      <x:c r="G32" s="33" t="str">
        <x:v>HOLD</x:v>
      </x:c>
      <x:c r="H32" s="33" t="str">
        <x:v>does not add to AIMC operations</x:v>
      </x:c>
      <x:c r="I32" s="33"/>
      <x:c r="J32" s="35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mergeCells>
    <x:mergeCell ref="B3:J3"/>
    <x:mergeCell ref="B21:J21"/>
  </x:mergeCells>
  <x:conditionalFormatting sqref="G7:H32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HOLD"/>
    <x:cfRule type="containsText" dxfId="129" priority="4" operator="containsText" text="OPEN"/>
    <x:cfRule type="containsText" dxfId="130" priority="5" operator="containsText" text="NOT ADMITTED"/>
    <x:cfRule type="containsText" dxfId="131" priority="6" operator="containsText" text="PASS"/>
    <x:cfRule type="containsText" dxfId="132" priority="7" operator="containsText" text="CLOSED"/>
    <x:cfRule type="containsText" dxfId="133" priority="8" operator="containsText" text="ADEQUATE"/>
    <x:cfRule type="containsText" dxfId="134" priority="9" operator="containsText" text="PLANNING PASS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6" hidden="0" customWidth="1"/>
    <x:col min="4" max="4" width="45" hidden="0" customWidth="1"/>
    <x:col min="5" max="5" width="29" hidden="0" customWidth="1"/>
    <x:col min="6" max="6" width="18" hidden="0" customWidth="1"/>
    <x:col min="7" max="7" width="17" hidden="0" customWidth="1"/>
    <x:col min="8" max="8" width="17" hidden="0" customWidth="1"/>
    <x:col min="9" max="9" width="38" hidden="0" customWidth="1"/>
  </x:cols>
  <x:sheetData>
    <x:row r="2">
      <x:c r="B2" s="3" t="str">
        <x:v>F36 decision and stop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Planning closure governs the next build package. It does not authorize production, public readiness credit or rendering.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20" t="str">
        <x:v>Gate</x:v>
      </x:c>
      <x:c r="C6" s="21" t="str">
        <x:v>Decision</x:v>
      </x:c>
      <x:c r="D6" s="21" t="str">
        <x:v>Threshold</x:v>
      </x:c>
      <x:c r="E6" s="21" t="str">
        <x:v>Source</x:v>
      </x:c>
      <x:c r="F6" s="21" t="str">
        <x:v>Planning state</x:v>
      </x:c>
      <x:c r="G6" s="21" t="str">
        <x:v>Evidence state</x:v>
      </x:c>
      <x:c r="H6" s="21" t="str">
        <x:v>Authority</x:v>
      </x:c>
      <x:c r="I6" s="21" t="str">
        <x:v>Reopen trigger</x:v>
      </x:c>
    </x:row>
    <x:row r="7" ht="42" customHeight="1">
      <x:c r="B7" s="22" t="str">
        <x:v>G01</x:v>
      </x:c>
      <x:c r="C7" s="29" t="str">
        <x:v>Mission identity</x:v>
      </x:c>
      <x:c r="D7" s="29" t="str">
        <x:v>population × service level equals required flow</x:v>
      </x:c>
      <x:c r="E7" s="29" t="str">
        <x:v>Mission Contract!G9</x:v>
      </x:c>
      <x:c r="F7" s="29" t="str">
        <x:f>'Mission Contract'!G9</x:f>
        <x:v>PASS</x:v>
      </x:c>
      <x:c r="G7" s="29" t="str">
        <x:v>N/A</x:v>
      </x:c>
      <x:c r="H7" s="29" t="str">
        <x:f>IF(AND(F7="PASS",OR(G7="ACCEPTED",G7="N/A")),"PROCEED","HOLD")</x:f>
        <x:v>PROCEED</x:v>
      </x:c>
      <x:c r="I7" s="31" t="str">
        <x:v>physical result or requirement amendment</x:v>
      </x:c>
    </x:row>
    <x:row r="8" ht="42" customHeight="1">
      <x:c r="B8" s="22" t="str">
        <x:v>G02</x:v>
      </x:c>
      <x:c r="C8" s="29" t="str">
        <x:v>Corridor geometry</x:v>
      </x:c>
      <x:c r="D8" s="29" t="str">
        <x:v>ten-kilometre service corridor</x:v>
      </x:c>
      <x:c r="E8" s="29" t="str">
        <x:v>Mission Contract!G7</x:v>
      </x:c>
      <x:c r="F8" s="29" t="str">
        <x:f>'Mission Contract'!G7</x:f>
        <x:v>PASS</x:v>
      </x:c>
      <x:c r="G8" s="29" t="str">
        <x:v>N/A</x:v>
      </x:c>
      <x:c r="H8" s="29" t="str">
        <x:f>IF(AND(F8="PASS",OR(G8="ACCEPTED",G8="N/A")),"PROCEED","HOLD")</x:f>
        <x:v>PROCEED</x:v>
      </x:c>
      <x:c r="I8" s="31" t="str">
        <x:v>physical result or requirement amendment</x:v>
      </x:c>
    </x:row>
    <x:row r="9" ht="42" customHeight="1">
      <x:c r="B9" s="22" t="str">
        <x:v>G03</x:v>
      </x:c>
      <x:c r="C9" s="29" t="str">
        <x:v>Dual-route constitution</x:v>
      </x:c>
      <x:c r="D9" s="29" t="str">
        <x:v>two independently isolable paths</x:v>
      </x:c>
      <x:c r="E9" s="29" t="str">
        <x:v>Mission Contract!G12</x:v>
      </x:c>
      <x:c r="F9" s="29" t="str">
        <x:f>'Mission Contract'!G12</x:f>
        <x:v>PASS</x:v>
      </x:c>
      <x:c r="G9" s="29" t="str">
        <x:v>N/A</x:v>
      </x:c>
      <x:c r="H9" s="29" t="str">
        <x:f>IF(AND(F9="PASS",OR(G9="ACCEPTED",G9="N/A")),"PROCEED","HOLD")</x:f>
        <x:v>PROCEED</x:v>
      </x:c>
      <x:c r="I9" s="31" t="str">
        <x:v>physical result or requirement amendment</x:v>
      </x:c>
    </x:row>
    <x:row r="10" ht="42" customHeight="1">
      <x:c r="B10" s="22" t="str">
        <x:v>G04</x:v>
      </x:c>
      <x:c r="C10" s="29" t="str">
        <x:v>Velocity band</x:v>
      </x:c>
      <x:c r="D10" s="29" t="str">
        <x:v>paired-route hydraulics remain in range</x:v>
      </x:c>
      <x:c r="E10" s="29" t="str">
        <x:v>Hydraulic Build!D34</x:v>
      </x:c>
      <x:c r="F10" s="29" t="str">
        <x:f>IF('Hydraulic Build'!D34=1,"PASS","FAIL")</x:f>
        <x:v>PASS</x:v>
      </x:c>
      <x:c r="G10" s="29" t="str">
        <x:v>N/A</x:v>
      </x:c>
      <x:c r="H10" s="29" t="str">
        <x:f>IF(AND(F10="PASS",OR(G10="ACCEPTED",G10="N/A")),"PROCEED","HOLD")</x:f>
        <x:v>PROCEED</x:v>
      </x:c>
      <x:c r="I10" s="31" t="str">
        <x:v>physical result or requirement amendment</x:v>
      </x:c>
    </x:row>
    <x:row r="11" ht="42" customHeight="1">
      <x:c r="B11" s="22" t="str">
        <x:v>G05</x:v>
      </x:c>
      <x:c r="C11" s="29" t="str">
        <x:v>N-1 service</x:v>
      </x:c>
      <x:c r="D11" s="29" t="str">
        <x:v>one route retains at least half demand</x:v>
      </x:c>
      <x:c r="E11" s="29" t="str">
        <x:v>Hydraulic Build!D36</x:v>
      </x:c>
      <x:c r="F11" s="29" t="str">
        <x:f>IF('Hydraulic Build'!D36=1,"PASS","FAIL")</x:f>
        <x:v>PASS</x:v>
      </x:c>
      <x:c r="G11" s="29" t="str">
        <x:v>N/A</x:v>
      </x:c>
      <x:c r="H11" s="29" t="str">
        <x:f>IF(AND(F11="PASS",OR(G11="ACCEPTED",G11="N/A")),"PROCEED","HOLD")</x:f>
        <x:v>PROCEED</x:v>
      </x:c>
      <x:c r="I11" s="31" t="str">
        <x:v>physical result or requirement amendment</x:v>
      </x:c>
    </x:row>
    <x:row r="12" ht="42" customHeight="1">
      <x:c r="B12" s="22" t="str">
        <x:v>G06</x:v>
      </x:c>
      <x:c r="C12" s="29" t="str">
        <x:v>Receiver buffer</x:v>
      </x:c>
      <x:c r="D12" s="29" t="str">
        <x:v>twenty-four hours full demand</x:v>
      </x:c>
      <x:c r="E12" s="29" t="str">
        <x:v>Mission Contract!G14</x:v>
      </x:c>
      <x:c r="F12" s="29" t="str">
        <x:f>'Mission Contract'!G14</x:f>
        <x:v>PASS</x:v>
      </x:c>
      <x:c r="G12" s="29" t="str">
        <x:v>N/A</x:v>
      </x:c>
      <x:c r="H12" s="29" t="str">
        <x:f>IF(AND(F12="PASS",OR(G12="ACCEPTED",G12="N/A")),"PROCEED","HOLD")</x:f>
        <x:v>PROCEED</x:v>
      </x:c>
      <x:c r="I12" s="31" t="str">
        <x:v>physical result or requirement amendment</x:v>
      </x:c>
    </x:row>
    <x:row r="13" ht="42" customHeight="1">
      <x:c r="B13" s="22" t="str">
        <x:v>G07</x:v>
      </x:c>
      <x:c r="C13" s="29" t="str">
        <x:v>R1 first service</x:v>
      </x:c>
      <x:c r="D13" s="29" t="str">
        <x:v>sectional root at or under 120 hours</x:v>
      </x:c>
      <x:c r="E13" s="29" t="str">
        <x:v>Material Build!S7</x:v>
      </x:c>
      <x:c r="F13" s="29" t="str">
        <x:f>'Material Build'!S7</x:f>
        <x:v>PASS</x:v>
      </x:c>
      <x:c r="G13" s="29" t="str">
        <x:v>N/A</x:v>
      </x:c>
      <x:c r="H13" s="29" t="str">
        <x:f>IF(AND(F13="PASS",OR(G13="ACCEPTED",G13="N/A")),"PROCEED","HOLD")</x:f>
        <x:v>PROCEED</x:v>
      </x:c>
      <x:c r="I13" s="31" t="str">
        <x:v>physical result or requirement amendment</x:v>
      </x:c>
    </x:row>
    <x:row r="14" ht="42" customHeight="1">
      <x:c r="B14" s="22" t="str">
        <x:v>G08</x:v>
      </x:c>
      <x:c r="C14" s="29" t="str">
        <x:v>R2 first service</x:v>
      </x:c>
      <x:c r="D14" s="29" t="str">
        <x:v>continuous-forge root at or under 120 hours</x:v>
      </x:c>
      <x:c r="E14" s="29" t="str">
        <x:v>Material Build!S8</x:v>
      </x:c>
      <x:c r="F14" s="29" t="str">
        <x:f>'Material Build'!S8</x:f>
        <x:v>PASS</x:v>
      </x:c>
      <x:c r="G14" s="29" t="str">
        <x:v>N/A</x:v>
      </x:c>
      <x:c r="H14" s="29" t="str">
        <x:f>IF(AND(F14="PASS",OR(G14="ACCEPTED",G14="N/A")),"PROCEED","HOLD")</x:f>
        <x:v>PROCEED</x:v>
      </x:c>
      <x:c r="I14" s="31" t="str">
        <x:v>physical result or requirement amendment</x:v>
      </x:c>
    </x:row>
    <x:row r="15" ht="42" customHeight="1">
      <x:c r="B15" s="22" t="str">
        <x:v>G09</x:v>
      </x:c>
      <x:c r="C15" s="29" t="str">
        <x:v>R3 first service</x:v>
      </x:c>
      <x:c r="D15" s="29" t="str">
        <x:v>challenge root at or under 120 hours</x:v>
      </x:c>
      <x:c r="E15" s="29" t="str">
        <x:v>Material Build!S9</x:v>
      </x:c>
      <x:c r="F15" s="29" t="str">
        <x:f>'Material Build'!S9</x:f>
        <x:v>PASS</x:v>
      </x:c>
      <x:c r="G15" s="29" t="str">
        <x:v>N/A</x:v>
      </x:c>
      <x:c r="H15" s="29" t="str">
        <x:f>IF(AND(F15="PASS",OR(G15="ACCEPTED",G15="N/A")),"PROCEED","HOLD")</x:f>
        <x:v>PROCEED</x:v>
      </x:c>
      <x:c r="I15" s="31" t="str">
        <x:v>physical result or requirement amendment</x:v>
      </x:c>
    </x:row>
    <x:row r="16" ht="42" customHeight="1">
      <x:c r="B16" s="22" t="str">
        <x:v>G10</x:v>
      </x:c>
      <x:c r="C16" s="29" t="str">
        <x:v>Complete reserve</x:v>
      </x:c>
      <x:c r="D16" s="29" t="str">
        <x:v>conduit and decisive subsystem floor</x:v>
      </x:c>
      <x:c r="E16" s="29" t="str">
        <x:v>Mission Contract!G16</x:v>
      </x:c>
      <x:c r="F16" s="29" t="str">
        <x:f>'Mission Contract'!G16</x:f>
        <x:v>PASS</x:v>
      </x:c>
      <x:c r="G16" s="29" t="str">
        <x:v>N/A</x:v>
      </x:c>
      <x:c r="H16" s="29" t="str">
        <x:f>IF(AND(F16="PASS",OR(G16="ACCEPTED",G16="N/A")),"PROCEED","HOLD")</x:f>
        <x:v>PROCEED</x:v>
      </x:c>
      <x:c r="I16" s="31" t="str">
        <x:v>physical result or requirement amendment</x:v>
      </x:c>
    </x:row>
    <x:row r="17" ht="42" customHeight="1">
      <x:c r="B17" s="22" t="str">
        <x:v>G11</x:v>
      </x:c>
      <x:c r="C17" s="29" t="str">
        <x:v>Regeneration deadline</x:v>
      </x:c>
      <x:c r="D17" s="29" t="str">
        <x:v>all roots restore within 720 hours</x:v>
      </x:c>
      <x:c r="E17" s="29" t="str">
        <x:v>Mission Contract!G17</x:v>
      </x:c>
      <x:c r="F17" s="29" t="str">
        <x:f>'Mission Contract'!G17</x:f>
        <x:v>PASS</x:v>
      </x:c>
      <x:c r="G17" s="29" t="str">
        <x:v>N/A</x:v>
      </x:c>
      <x:c r="H17" s="29" t="str">
        <x:f>IF(AND(F17="PASS",OR(G17="ACCEPTED",G17="N/A")),"PROCEED","HOLD")</x:f>
        <x:v>PROCEED</x:v>
      </x:c>
      <x:c r="I17" s="31" t="str">
        <x:v>physical result or requirement amendment</x:v>
      </x:c>
    </x:row>
    <x:row r="18" ht="42" customHeight="1">
      <x:c r="B18" s="22" t="str">
        <x:v>G12</x:v>
      </x:c>
      <x:c r="C18" s="29" t="str">
        <x:v>Receiver labor burden</x:v>
      </x:c>
      <x:c r="D18" s="29" t="str">
        <x:v>no hidden receiver workforce</x:v>
      </x:c>
      <x:c r="E18" s="29" t="str">
        <x:v>Mission Contract!G18</x:v>
      </x:c>
      <x:c r="F18" s="29" t="str">
        <x:f>'Mission Contract'!G18</x:f>
        <x:v>PASS</x:v>
      </x:c>
      <x:c r="G18" s="29" t="str">
        <x:v>N/A</x:v>
      </x:c>
      <x:c r="H18" s="29" t="str">
        <x:f>IF(AND(F18="PASS",OR(G18="ACCEPTED",G18="N/A")),"PROCEED","HOLD")</x:f>
        <x:v>PROCEED</x:v>
      </x:c>
      <x:c r="I18" s="31" t="str">
        <x:v>physical result or requirement amendment</x:v>
      </x:c>
    </x:row>
    <x:row r="19" ht="42" customHeight="1">
      <x:c r="B19" s="22" t="str">
        <x:v>G13</x:v>
      </x:c>
      <x:c r="C19" s="29" t="str">
        <x:v>Receiver power burden</x:v>
      </x:c>
      <x:c r="D19" s="29" t="str">
        <x:v>zero borrowed power</x:v>
      </x:c>
      <x:c r="E19" s="29" t="str">
        <x:v>Mission Contract!G19</x:v>
      </x:c>
      <x:c r="F19" s="29" t="str">
        <x:f>'Mission Contract'!G19</x:f>
        <x:v>PASS</x:v>
      </x:c>
      <x:c r="G19" s="29" t="str">
        <x:v>N/A</x:v>
      </x:c>
      <x:c r="H19" s="29" t="str">
        <x:f>IF(AND(F19="PASS",OR(G19="ACCEPTED",G19="N/A")),"PROCEED","HOLD")</x:f>
        <x:v>PROCEED</x:v>
      </x:c>
      <x:c r="I19" s="31" t="str">
        <x:v>physical result or requirement amendment</x:v>
      </x:c>
    </x:row>
    <x:row r="20" ht="42" customHeight="1">
      <x:c r="B20" s="22" t="str">
        <x:v>G14</x:v>
      </x:c>
      <x:c r="C20" s="29" t="str">
        <x:v>Root utility separation</x:v>
      </x:c>
      <x:c r="D20" s="29" t="str">
        <x:v>no common grid or safe-start chain</x:v>
      </x:c>
      <x:c r="E20" s="29" t="str">
        <x:v>System Boundary!I10</x:v>
      </x:c>
      <x:c r="F20" s="29" t="str">
        <x:f>'System Boundary'!I10</x:f>
        <x:v>CLOSED</x:v>
      </x:c>
      <x:c r="G20" s="29" t="str">
        <x:v>OPEN</x:v>
      </x:c>
      <x:c r="H20" s="29" t="str">
        <x:f>IF(AND(F20="PASS",OR(G20="ACCEPTED",G20="N/A")),"PROCEED","HOLD")</x:f>
        <x:v>HOLD</x:v>
      </x:c>
      <x:c r="I20" s="31" t="str">
        <x:v>physical result or requirement amendment</x:v>
      </x:c>
    </x:row>
    <x:row r="21" ht="42" customHeight="1">
      <x:c r="B21" s="22" t="str">
        <x:v>G15</x:v>
      </x:c>
      <x:c r="C21" s="29" t="str">
        <x:v>Root process separation</x:v>
      </x:c>
      <x:c r="D21" s="29" t="str">
        <x:v>unlike decisive process ancestry</x:v>
      </x:c>
      <x:c r="E21" s="29" t="str">
        <x:v>Architecture Roots!X14</x:v>
      </x:c>
      <x:c r="F21" s="29" t="str">
        <x:f>'Architecture Roots'!X14</x:f>
        <x:v>OPEN</x:v>
      </x:c>
      <x:c r="G21" s="29" t="str">
        <x:v>OPEN</x:v>
      </x:c>
      <x:c r="H21" s="29" t="str">
        <x:f>IF(AND(F21="PASS",OR(G21="ACCEPTED",G21="N/A")),"PROCEED","HOLD")</x:f>
        <x:v>HOLD</x:v>
      </x:c>
      <x:c r="I21" s="31" t="str">
        <x:v>physical result or requirement amendment</x:v>
      </x:c>
    </x:row>
    <x:row r="22" ht="42" customHeight="1">
      <x:c r="B22" s="22" t="str">
        <x:v>G16</x:v>
      </x:c>
      <x:c r="C22" s="29" t="str">
        <x:v>Executable baseline</x:v>
      </x:c>
      <x:c r="D22" s="29" t="str">
        <x:v>second-team cold reconstruction</x:v>
      </x:c>
      <x:c r="E22" s="29" t="str">
        <x:v>Evidence Plan!L26</x:v>
      </x:c>
      <x:c r="F22" s="29" t="str">
        <x:f>'Evidence Plan'!L26</x:f>
        <x:v>HOLD</x:v>
      </x:c>
      <x:c r="G22" s="29" t="str">
        <x:v>OPEN</x:v>
      </x:c>
      <x:c r="H22" s="29" t="str">
        <x:f>IF(AND(F22="PASS",OR(G22="ACCEPTED",G22="N/A")),"PROCEED","HOLD")</x:f>
        <x:v>HOLD</x:v>
      </x:c>
      <x:c r="I22" s="31" t="str">
        <x:v>physical result or requirement amendment</x:v>
      </x:c>
    </x:row>
    <x:row r="23" ht="42" customHeight="1">
      <x:c r="B23" s="22" t="str">
        <x:v>G17</x:v>
      </x:c>
      <x:c r="C23" s="29" t="str">
        <x:v>Offline metrology</x:v>
      </x:c>
      <x:c r="D23" s="29" t="str">
        <x:v>local calibration and public release</x:v>
      </x:c>
      <x:c r="E23" s="29" t="str">
        <x:v>Evidence Plan!L29</x:v>
      </x:c>
      <x:c r="F23" s="29" t="str">
        <x:f>'Evidence Plan'!L29</x:f>
        <x:v>HOLD</x:v>
      </x:c>
      <x:c r="G23" s="29" t="str">
        <x:v>OPEN</x:v>
      </x:c>
      <x:c r="H23" s="29" t="str">
        <x:f>IF(AND(F23="PASS",OR(G23="ACCEPTED",G23="N/A")),"PROCEED","HOLD")</x:f>
        <x:v>HOLD</x:v>
      </x:c>
      <x:c r="I23" s="31" t="str">
        <x:v>physical result or requirement amendment</x:v>
      </x:c>
    </x:row>
    <x:row r="24" ht="42" customHeight="1">
      <x:c r="B24" s="22" t="str">
        <x:v>G18</x:v>
      </x:c>
      <x:c r="C24" s="29" t="str">
        <x:v>No-notice chronology</x:v>
      </x:c>
      <x:c r="D24" s="29" t="str">
        <x:v>sealed common event clock</x:v>
      </x:c>
      <x:c r="E24" s="29" t="str">
        <x:v>Evidence Plan!L24</x:v>
      </x:c>
      <x:c r="F24" s="29" t="str">
        <x:f>'Evidence Plan'!L24</x:f>
        <x:v>HOLD</x:v>
      </x:c>
      <x:c r="G24" s="29" t="str">
        <x:v>OPEN</x:v>
      </x:c>
      <x:c r="H24" s="29" t="str">
        <x:f>IF(AND(F24="PASS",OR(G24="ACCEPTED",G24="N/A")),"PROCEED","HOLD")</x:f>
        <x:v>HOLD</x:v>
      </x:c>
      <x:c r="I24" s="31" t="str">
        <x:v>physical result or requirement amendment</x:v>
      </x:c>
    </x:row>
    <x:row r="25" ht="42" customHeight="1">
      <x:c r="B25" s="22" t="str">
        <x:v>G19</x:v>
      </x:c>
      <x:c r="C25" s="29" t="str">
        <x:v>Original-factory denial</x:v>
      </x:c>
      <x:c r="D25" s="29" t="str">
        <x:v>alternate root produces accepted lot</x:v>
      </x:c>
      <x:c r="E25" s="29" t="str">
        <x:v>Evidence Plan!L25</x:v>
      </x:c>
      <x:c r="F25" s="29" t="str">
        <x:f>'Evidence Plan'!L25</x:f>
        <x:v>HOLD</x:v>
      </x:c>
      <x:c r="G25" s="29" t="str">
        <x:v>OPEN</x:v>
      </x:c>
      <x:c r="H25" s="29" t="str">
        <x:f>IF(AND(F25="PASS",OR(G25="ACCEPTED",G25="N/A")),"PROCEED","HOLD")</x:f>
        <x:v>HOLD</x:v>
      </x:c>
      <x:c r="I25" s="31" t="str">
        <x:v>physical result or requirement amendment</x:v>
      </x:c>
    </x:row>
    <x:row r="26" ht="42" customHeight="1">
      <x:c r="B26" s="22" t="str">
        <x:v>G20</x:v>
      </x:c>
      <x:c r="C26" s="29" t="str">
        <x:v>Grid denial</x:v>
      </x:c>
      <x:c r="D26" s="29" t="str">
        <x:v>article-owned black start and endurance</x:v>
      </x:c>
      <x:c r="E26" s="29" t="str">
        <x:v>Evidence Plan!L21</x:v>
      </x:c>
      <x:c r="F26" s="29" t="str">
        <x:f>'Evidence Plan'!L21</x:f>
        <x:v>HOLD</x:v>
      </x:c>
      <x:c r="G26" s="29" t="str">
        <x:v>OPEN</x:v>
      </x:c>
      <x:c r="H26" s="29" t="str">
        <x:f>IF(AND(F26="PASS",OR(G26="ACCEPTED",G26="N/A")),"PROCEED","HOLD")</x:f>
        <x:v>HOLD</x:v>
      </x:c>
      <x:c r="I26" s="31" t="str">
        <x:v>physical result or requirement amendment</x:v>
      </x:c>
    </x:row>
    <x:row r="27" ht="42" customHeight="1">
      <x:c r="B27" s="22" t="str">
        <x:v>G21</x:v>
      </x:c>
      <x:c r="C27" s="29" t="str">
        <x:v>Corridor denial</x:v>
      </x:c>
      <x:c r="D27" s="29" t="str">
        <x:v>alternate route preserves custody</x:v>
      </x:c>
      <x:c r="E27" s="29" t="str">
        <x:v>Evidence Plan!L31</x:v>
      </x:c>
      <x:c r="F27" s="29" t="str">
        <x:f>'Evidence Plan'!L31</x:f>
        <x:v>HOLD</x:v>
      </x:c>
      <x:c r="G27" s="29" t="str">
        <x:v>OPEN</x:v>
      </x:c>
      <x:c r="H27" s="29" t="str">
        <x:f>IF(AND(F27="PASS",OR(G27="ACCEPTED",G27="N/A")),"PROCEED","HOLD")</x:f>
        <x:v>HOLD</x:v>
      </x:c>
      <x:c r="I27" s="31" t="str">
        <x:v>physical result or requirement amendment</x:v>
      </x:c>
    </x:row>
    <x:row r="28" ht="42" customHeight="1">
      <x:c r="B28" s="22" t="str">
        <x:v>G22</x:v>
      </x:c>
      <x:c r="C28" s="29" t="str">
        <x:v>Joining-cell loss</x:v>
      </x:c>
      <x:c r="D28" s="29" t="str">
        <x:v>protected cell preserves target</x:v>
      </x:c>
      <x:c r="E28" s="29" t="str">
        <x:v>Scenario Results!K23</x:v>
      </x:c>
      <x:c r="F28" s="29" t="str">
        <x:f>'Scenario Results'!K23</x:f>
        <x:v>PASS</x:v>
      </x:c>
      <x:c r="G28" s="29" t="str">
        <x:v>OPEN</x:v>
      </x:c>
      <x:c r="H28" s="29" t="str">
        <x:f>IF(AND(F28="PASS",OR(G28="ACCEPTED",G28="N/A")),"PROCEED","HOLD")</x:f>
        <x:v>HOLD</x:v>
      </x:c>
      <x:c r="I28" s="31" t="str">
        <x:v>physical result or requirement amendment</x:v>
      </x:c>
    </x:row>
    <x:row r="29" ht="42" customHeight="1">
      <x:c r="B29" s="22" t="str">
        <x:v>G23</x:v>
      </x:c>
      <x:c r="C29" s="29" t="str">
        <x:v>Sanitary challenge</x:v>
      </x:c>
      <x:c r="D29" s="29" t="str">
        <x:v>detect, stop and bounded restart</x:v>
      </x:c>
      <x:c r="E29" s="29" t="str">
        <x:v>Scenario Results!L25</x:v>
      </x:c>
      <x:c r="F29" s="29" t="str">
        <x:f>'Scenario Results'!L25</x:f>
        <x:v>PASS</x:v>
      </x:c>
      <x:c r="G29" s="29" t="str">
        <x:v>OPEN</x:v>
      </x:c>
      <x:c r="H29" s="29" t="str">
        <x:f>IF(AND(F29="PASS",OR(G29="ACCEPTED",G29="N/A")),"PROCEED","HOLD")</x:f>
        <x:v>HOLD</x:v>
      </x:c>
      <x:c r="I29" s="31" t="str">
        <x:v>physical result or requirement amendment</x:v>
      </x:c>
    </x:row>
    <x:row r="30" ht="42" customHeight="1">
      <x:c r="B30" s="22" t="str">
        <x:v>G24</x:v>
      </x:c>
      <x:c r="C30" s="29" t="str">
        <x:v>Receiver mismatch</x:v>
      </x:c>
      <x:c r="D30" s="29" t="str">
        <x:v>adapter closes bounded interface</x:v>
      </x:c>
      <x:c r="E30" s="29" t="str">
        <x:v>Scenario Results!L26</x:v>
      </x:c>
      <x:c r="F30" s="29" t="str">
        <x:f>'Scenario Results'!L26</x:f>
        <x:v>PASS</x:v>
      </x:c>
      <x:c r="G30" s="29" t="str">
        <x:v>OPEN</x:v>
      </x:c>
      <x:c r="H30" s="29" t="str">
        <x:f>IF(AND(F30="PASS",OR(G30="ACCEPTED",G30="N/A")),"PROCEED","HOLD")</x:f>
        <x:v>HOLD</x:v>
      </x:c>
      <x:c r="I30" s="31" t="str">
        <x:v>physical result or requirement amendment</x:v>
      </x:c>
    </x:row>
    <x:row r="31" ht="42" customHeight="1">
      <x:c r="B31" s="22" t="str">
        <x:v>G25</x:v>
      </x:c>
      <x:c r="C31" s="29" t="str">
        <x:v>Full-bore rupture</x:v>
      </x:c>
      <x:c r="D31" s="29" t="str">
        <x:v>buffer and repair preserve service</x:v>
      </x:c>
      <x:c r="E31" s="29" t="str">
        <x:v>Scenario Results!L27</x:v>
      </x:c>
      <x:c r="F31" s="29" t="str">
        <x:f>'Scenario Results'!L27</x:f>
        <x:v>PASS</x:v>
      </x:c>
      <x:c r="G31" s="29" t="str">
        <x:v>OPEN</x:v>
      </x:c>
      <x:c r="H31" s="29" t="str">
        <x:f>IF(AND(F31="PASS",OR(G31="ACCEPTED",G31="N/A")),"PROCEED","HOLD")</x:f>
        <x:v>HOLD</x:v>
      </x:c>
      <x:c r="I31" s="31" t="str">
        <x:v>physical result or requirement amendment</x:v>
      </x:c>
    </x:row>
    <x:row r="32" ht="42" customHeight="1">
      <x:c r="B32" s="22" t="str">
        <x:v>G26</x:v>
      </x:c>
      <x:c r="C32" s="29" t="str">
        <x:v>Second-lot order</x:v>
      </x:c>
      <x:c r="D32" s="29" t="str">
        <x:v>accepted reserve restored</x:v>
      </x:c>
      <x:c r="E32" s="29" t="str">
        <x:v>Scenario Results!M28</x:v>
      </x:c>
      <x:c r="F32" s="29" t="str">
        <x:f>'Scenario Results'!M28</x:f>
        <x:v>PASS</x:v>
      </x:c>
      <x:c r="G32" s="29" t="str">
        <x:v>OPEN</x:v>
      </x:c>
      <x:c r="H32" s="29" t="str">
        <x:f>IF(AND(F32="PASS",OR(G32="ACCEPTED",G32="N/A")),"PROCEED","HOLD")</x:f>
        <x:v>HOLD</x:v>
      </x:c>
      <x:c r="I32" s="31" t="str">
        <x:v>physical result or requirement amendment</x:v>
      </x:c>
    </x:row>
    <x:row r="33" ht="42" customHeight="1">
      <x:c r="B33" s="22" t="str">
        <x:v>G27</x:v>
      </x:c>
      <x:c r="C33" s="29" t="str">
        <x:v>Capital nesting</x:v>
      </x:c>
      <x:c r="D33" s="29" t="str">
        <x:v>F36 total equals Pass 99 allocation</x:v>
      </x:c>
      <x:c r="E33" s="29" t="str">
        <x:v>Financial Control!D18</x:v>
      </x:c>
      <x:c r="F33" s="29" t="str">
        <x:f>IF(ABS('Financial Control'!D18-Assumptions!D39)&lt;0.000001,"PASS","FAIL")</x:f>
        <x:v>PASS</x:v>
      </x:c>
      <x:c r="G33" s="29" t="str">
        <x:v>OPEN</x:v>
      </x:c>
      <x:c r="H33" s="29" t="str">
        <x:f>IF(AND(F33="PASS",OR(G33="ACCEPTED",G33="N/A")),"PROCEED","HOLD")</x:f>
        <x:v>HOLD</x:v>
      </x:c>
      <x:c r="I33" s="31" t="str">
        <x:v>physical result or requirement amendment</x:v>
      </x:c>
    </x:row>
    <x:row r="34" ht="42" customHeight="1">
      <x:c r="B34" s="22" t="str">
        <x:v>G28</x:v>
      </x:c>
      <x:c r="C34" s="29" t="str">
        <x:v>Operating nesting</x:v>
      </x:c>
      <x:c r="D34" s="29" t="str">
        <x:v>annual total equals Pass 99 allocation</x:v>
      </x:c>
      <x:c r="E34" s="29" t="str">
        <x:v>Financial Control!D32</x:v>
      </x:c>
      <x:c r="F34" s="29" t="str">
        <x:f>IF(ABS('Financial Control'!D32-Assumptions!D40)&lt;0.000001,"PASS","FAIL")</x:f>
        <x:v>PASS</x:v>
      </x:c>
      <x:c r="G34" s="29" t="str">
        <x:v>OPEN</x:v>
      </x:c>
      <x:c r="H34" s="29" t="str">
        <x:f>IF(AND(F34="PASS",OR(G34="ACCEPTED",G34="N/A")),"PROCEED","HOLD")</x:f>
        <x:v>HOLD</x:v>
      </x:c>
      <x:c r="I34" s="31" t="str">
        <x:v>physical result or requirement amendment</x:v>
      </x:c>
    </x:row>
    <x:row r="35" ht="42" customHeight="1">
      <x:c r="B35" s="22" t="str">
        <x:v>G29</x:v>
      </x:c>
      <x:c r="C35" s="29" t="str">
        <x:v>Physical evidence</x:v>
      </x:c>
      <x:c r="D35" s="29" t="str">
        <x:v>all 32 claims accepted for exact configuration</x:v>
      </x:c>
      <x:c r="E35" s="29" t="str">
        <x:v>Mission Contract!G20</x:v>
      </x:c>
      <x:c r="F35" s="29" t="str">
        <x:f>'Mission Contract'!G20</x:f>
        <x:v>OPEN</x:v>
      </x:c>
      <x:c r="G35" s="29" t="str">
        <x:v>OPEN</x:v>
      </x:c>
      <x:c r="H35" s="29" t="str">
        <x:f>IF(AND(F35="PASS",OR(G35="ACCEPTED",G35="N/A")),"PROCEED","HOLD")</x:f>
        <x:v>HOLD</x:v>
      </x:c>
      <x:c r="I35" s="31" t="str">
        <x:v>accepted representative evidence</x:v>
      </x:c>
    </x:row>
    <x:row r="36" ht="42" customHeight="1">
      <x:c r="B36" s="22" t="str">
        <x:v>G30</x:v>
      </x:c>
      <x:c r="C36" s="29" t="str">
        <x:v>Strict admission</x:v>
      </x:c>
      <x:c r="D36" s="29" t="str">
        <x:v>planning and evidence coexist</x:v>
      </x:c>
      <x:c r="E36" s="29" t="str">
        <x:v>Mission Contract!I20</x:v>
      </x:c>
      <x:c r="F36" s="29" t="str">
        <x:f>'Mission Contract'!I20</x:f>
        <x:v>HOLD</x:v>
      </x:c>
      <x:c r="G36" s="29" t="str">
        <x:v>OPEN</x:v>
      </x:c>
      <x:c r="H36" s="29" t="str">
        <x:f>IF(AND(F36="PASS",OR(G36="ACCEPTED",G36="N/A")),"PROCEED","HOLD")</x:f>
        <x:v>HOLD</x:v>
      </x:c>
      <x:c r="I36" s="31" t="str">
        <x:v>accepted representative evidence</x:v>
      </x:c>
    </x:row>
    <x:row r="37" ht="42" customHeight="1">
      <x:c r="B37" s="26" t="str">
        <x:v>G31</x:v>
      </x:c>
      <x:c r="C37" s="33" t="str">
        <x:v>Rendering authority</x:v>
      </x:c>
      <x:c r="D37" s="33" t="str">
        <x:v>representative geometry and evidence accepted</x:v>
      </x:c>
      <x:c r="E37" s="33" t="str">
        <x:v>Mission Contract!G21</x:v>
      </x:c>
      <x:c r="F37" s="33" t="str">
        <x:f>'Mission Contract'!G21</x:f>
        <x:v>BLOCKED</x:v>
      </x:c>
      <x:c r="G37" s="33" t="str">
        <x:v>OPEN</x:v>
      </x:c>
      <x:c r="H37" s="33" t="str">
        <x:f>IF(AND(F37="PASS",OR(G37="ACCEPTED",G37="N/A")),"PROCEED","HOLD")</x:f>
        <x:v>HOLD</x:v>
      </x:c>
      <x:c r="I37" s="35" t="str">
        <x:v>accepted representative evidence</x:v>
      </x:c>
    </x:row>
    <x:row r="38">
      <x:c r="B38" s="2"/>
      <x:c r="C38" s="2"/>
      <x:c r="D38" s="2"/>
      <x:c r="E38" s="2"/>
      <x:c r="F38" s="2"/>
      <x:c r="G38" s="2"/>
      <x:c r="H38" s="2"/>
      <x:c r="I38" s="2"/>
    </x:row>
    <x:row r="39">
      <x:c r="B39" s="2"/>
      <x:c r="C39" s="2"/>
      <x:c r="D39" s="2"/>
      <x:c r="E39" s="2"/>
      <x:c r="F39" s="2"/>
      <x:c r="G39" s="2"/>
      <x:c r="H39" s="2"/>
      <x:c r="I39" s="2"/>
    </x:row>
    <x:row r="40">
      <x:c r="B40" s="2"/>
      <x:c r="C40" s="2"/>
      <x:c r="D40" s="2"/>
      <x:c r="E40" s="2"/>
      <x:c r="F40" s="2"/>
      <x:c r="G40" s="2"/>
      <x:c r="H40" s="2"/>
      <x:c r="I40" s="2"/>
    </x:row>
    <x:row r="41">
      <x:c r="B41" s="2"/>
      <x:c r="C41" s="2"/>
      <x:c r="D41" s="2"/>
      <x:c r="E41" s="2"/>
      <x:c r="F41" s="2"/>
      <x:c r="G41" s="2"/>
      <x:c r="H41" s="2"/>
      <x:c r="I41" s="2"/>
    </x:row>
    <x:row r="42">
      <x:c r="B42" s="2"/>
      <x:c r="C42" s="2"/>
      <x:c r="D42" s="2"/>
      <x:c r="E42" s="2"/>
      <x:c r="F42" s="2"/>
      <x:c r="G42" s="2"/>
      <x:c r="H42" s="2"/>
      <x:c r="I42" s="2"/>
    </x:row>
    <x:row r="43">
      <x:c r="B43" s="2"/>
      <x:c r="C43" s="2"/>
      <x:c r="D43" s="2"/>
      <x:c r="E43" s="2"/>
      <x:c r="F43" s="2"/>
      <x:c r="G43" s="2"/>
      <x:c r="H43" s="2"/>
      <x:c r="I43" s="2"/>
    </x:row>
    <x:row r="44">
      <x:c r="B44" s="2"/>
      <x:c r="C44" s="2"/>
      <x:c r="D44" s="2"/>
      <x:c r="E44" s="2"/>
      <x:c r="F44" s="2"/>
      <x:c r="G44" s="2"/>
      <x:c r="H44" s="2"/>
      <x:c r="I44" s="2"/>
    </x:row>
    <x:row r="45">
      <x:c r="B45" s="2"/>
      <x:c r="C45" s="2"/>
      <x:c r="D45" s="2"/>
      <x:c r="E45" s="2"/>
      <x:c r="F45" s="2"/>
      <x:c r="G45" s="2"/>
      <x:c r="H45" s="2"/>
      <x:c r="I45" s="2"/>
    </x:row>
    <x:row r="46">
      <x:c r="B46" s="2"/>
      <x:c r="C46" s="2"/>
      <x:c r="D46" s="2"/>
      <x:c r="E46" s="2"/>
      <x:c r="F46" s="2"/>
      <x:c r="G46" s="2"/>
      <x:c r="H46" s="2"/>
      <x:c r="I46" s="2"/>
    </x:row>
    <x:row r="47">
      <x:c r="B47" s="2"/>
      <x:c r="C47" s="2"/>
      <x:c r="D47" s="2"/>
      <x:c r="E47" s="2"/>
      <x:c r="F47" s="2"/>
      <x:c r="G47" s="2"/>
      <x:c r="H47" s="2"/>
      <x:c r="I47" s="2"/>
    </x:row>
    <x:row r="48">
      <x:c r="B48" s="2"/>
      <x:c r="C48" s="2"/>
      <x:c r="D48" s="2"/>
      <x:c r="E48" s="2"/>
      <x:c r="F48" s="2"/>
      <x:c r="G48" s="2"/>
      <x:c r="H48" s="2"/>
      <x:c r="I48" s="2"/>
    </x:row>
  </x:sheetData>
  <x:mergeCells>
    <x:mergeCell ref="B3:I3"/>
  </x:mergeCells>
  <x:conditionalFormatting sqref="F7:H37">
    <x:cfRule type="containsText" dxfId="135" priority="1" operator="containsText" text="FAIL"/>
    <x:cfRule type="containsText" dxfId="136" priority="2" operator="containsText" text="BLOCKED"/>
    <x:cfRule type="containsText" dxfId="137" priority="3" operator="containsText" text="HOLD"/>
    <x:cfRule type="containsText" dxfId="138" priority="4" operator="containsText" text="OPEN"/>
    <x:cfRule type="containsText" dxfId="139" priority="5" operator="containsText" text="NOT ADMITTED"/>
    <x:cfRule type="containsText" dxfId="140" priority="6" operator="containsText" text="PASS"/>
    <x:cfRule type="containsText" dxfId="141" priority="7" operator="containsText" text="CLOSED"/>
    <x:cfRule type="containsText" dxfId="142" priority="8" operator="containsText" text="ADEQUATE"/>
    <x:cfRule type="containsText" dxfId="143" priority="9" operator="containsText" text="PLANNING PASS"/>
  </x:conditionalFormatting>
  <x:pageMargins left="0.7" right="0.7" top="0.75" bottom="0.75" header="0.3" footer="0.3"/>
  <x:tableParts count="1">
    <x:tablePart xmlns:r="http://schemas.openxmlformats.org/officeDocument/2006/relationships" r:id="Rfb8ed5b1765f4c3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9" hidden="0" customWidth="1"/>
    <x:col min="4" max="4" width="53" hidden="0" customWidth="1"/>
    <x:col min="5" max="5" width="14" hidden="0" customWidth="1"/>
    <x:col min="6" max="6" width="14" hidden="0" customWidth="1"/>
    <x:col min="7" max="7" width="15" hidden="0" customWidth="1"/>
  </x:cols>
  <x:sheetData>
    <x:row r="2">
      <x:c r="B2" s="3" t="str">
        <x:v>Workbook integrity and semantic audit</x:v>
      </x:c>
      <x:c r="C2" s="2"/>
      <x:c r="D2" s="2"/>
      <x:c r="E2" s="2"/>
      <x:c r="F2" s="2"/>
      <x:c r="G2" s="2"/>
    </x:row>
    <x:row r="3">
      <x:c r="B3" s="4" t="str">
        <x:v>Controls test identities, time ordering, reserve restoration, decision-state logic and non-error cells. They do not create evidence or readiness.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0" t="str">
        <x:v>Control</x:v>
      </x:c>
      <x:c r="C6" s="21" t="str">
        <x:v>Domain</x:v>
      </x:c>
      <x:c r="D6" s="21" t="str">
        <x:v>Test</x:v>
      </x:c>
      <x:c r="E6" s="21" t="str">
        <x:v>Actual</x:v>
      </x:c>
      <x:c r="F6" s="21" t="str">
        <x:v>Expected</x:v>
      </x:c>
      <x:c r="G6" s="21" t="str">
        <x:v>Result</x:v>
      </x:c>
    </x:row>
    <x:row r="7">
      <x:c r="B7" s="22" t="str">
        <x:v>AC-0001</x:v>
      </x:c>
      <x:c r="C7" s="22" t="str">
        <x:v>mission</x:v>
      </x:c>
      <x:c r="D7" s="22" t="str">
        <x:v>population identity</x:v>
      </x:c>
      <x:c r="E7" s="75" t="n">
        <x:f>IF('Mission Contract'!E9='Mission Contract'!D9,1,0)</x:f>
        <x:v>1</x:v>
      </x:c>
      <x:c r="F7" s="75" t="n">
        <x:v>1</x:v>
      </x:c>
      <x:c r="G7" s="24" t="str">
        <x:f>IF(E7=F7,"PASS","FAIL")</x:f>
        <x:v>PASS</x:v>
      </x:c>
    </x:row>
    <x:row r="8">
      <x:c r="B8" s="22" t="str">
        <x:v>AC-0002</x:v>
      </x:c>
      <x:c r="C8" s="22" t="str">
        <x:v>mission</x:v>
      </x:c>
      <x:c r="D8" s="22" t="str">
        <x:v>corridor total</x:v>
      </x:c>
      <x:c r="E8" s="75" t="n">
        <x:f>IF('Route Constitution'!D16=Assumptions!D7,1,0)</x:f>
        <x:v>1</x:v>
      </x:c>
      <x:c r="F8" s="75" t="n">
        <x:v>1</x:v>
      </x:c>
      <x:c r="G8" s="24" t="str">
        <x:f>IF(E8=F8,"PASS","FAIL")</x:f>
        <x:v>PASS</x:v>
      </x:c>
    </x:row>
    <x:row r="9">
      <x:c r="B9" s="22" t="str">
        <x:v>AC-0003</x:v>
      </x:c>
      <x:c r="C9" s="22" t="str">
        <x:v>mission</x:v>
      </x:c>
      <x:c r="D9" s="22" t="str">
        <x:v>installed pipe equals routes times corridor</x:v>
      </x:c>
      <x:c r="E9" s="75" t="n">
        <x:f>IF('Hydraulic Build'!D16=Assumptions!D7*Assumptions!D16,1,0)</x:f>
        <x:v>1</x:v>
      </x:c>
      <x:c r="F9" s="75" t="n">
        <x:v>1</x:v>
      </x:c>
      <x:c r="G9" s="24" t="str">
        <x:f>IF(E9=F9,"PASS","FAIL")</x:f>
        <x:v>PASS</x:v>
      </x:c>
    </x:row>
    <x:row r="10">
      <x:c r="B10" s="22" t="str">
        <x:v>AC-0004</x:v>
      </x:c>
      <x:c r="C10" s="22" t="str">
        <x:v>mission</x:v>
      </x:c>
      <x:c r="D10" s="22" t="str">
        <x:v>reserve pipe equals twenty percent</x:v>
      </x:c>
      <x:c r="E10" s="75" t="n">
        <x:f>IF(ABS('Hydraulic Build'!D17/'Hydraulic Build'!D16-Assumptions!D13)&lt;0.000001,1,0)</x:f>
        <x:v>1</x:v>
      </x:c>
      <x:c r="F10" s="75" t="n">
        <x:v>1</x:v>
      </x:c>
      <x:c r="G10" s="24" t="str">
        <x:f>IF(E10=F10,"PASS","FAIL")</x:f>
        <x:v>PASS</x:v>
      </x:c>
    </x:row>
    <x:row r="11">
      <x:c r="B11" s="22" t="str">
        <x:v>AC-0005</x:v>
      </x:c>
      <x:c r="C11" s="22" t="str">
        <x:v>finance</x:v>
      </x:c>
      <x:c r="D11" s="22" t="str">
        <x:v>capital nests</x:v>
      </x:c>
      <x:c r="E11" s="75" t="n">
        <x:f>IF(ABS('Financial Control'!D18-Assumptions!D39)&lt;0.000001,1,0)</x:f>
        <x:v>1</x:v>
      </x:c>
      <x:c r="F11" s="75" t="n">
        <x:v>1</x:v>
      </x:c>
      <x:c r="G11" s="24" t="str">
        <x:f>IF(E11=F11,"PASS","FAIL")</x:f>
        <x:v>PASS</x:v>
      </x:c>
    </x:row>
    <x:row r="12">
      <x:c r="B12" s="22" t="str">
        <x:v>AC-0006</x:v>
      </x:c>
      <x:c r="C12" s="22" t="str">
        <x:v>finance</x:v>
      </x:c>
      <x:c r="D12" s="22" t="str">
        <x:v>operations nest</x:v>
      </x:c>
      <x:c r="E12" s="75" t="n">
        <x:f>IF(ABS('Financial Control'!D32-Assumptions!D40)&lt;0.000001,1,0)</x:f>
        <x:v>1</x:v>
      </x:c>
      <x:c r="F12" s="75" t="n">
        <x:v>1</x:v>
      </x:c>
      <x:c r="G12" s="24" t="str">
        <x:f>IF(E12=F12,"PASS","FAIL")</x:f>
        <x:v>PASS</x:v>
      </x:c>
    </x:row>
    <x:row r="13">
      <x:c r="B13" s="22" t="str">
        <x:v>AC-0007</x:v>
      </x:c>
      <x:c r="C13" s="22" t="str">
        <x:v>evidence</x:v>
      </x:c>
      <x:c r="D13" s="22" t="str">
        <x:v>accepted physical evidence is zero</x:v>
      </x:c>
      <x:c r="E13" s="75" t="n">
        <x:f>IF(SUM('Evidence Plan'!J7:J38)=0,1,0)</x:f>
        <x:v>1</x:v>
      </x:c>
      <x:c r="F13" s="75" t="n">
        <x:v>1</x:v>
      </x:c>
      <x:c r="G13" s="24" t="str">
        <x:f>IF(E13=F13,"PASS","FAIL")</x:f>
        <x:v>PASS</x:v>
      </x:c>
    </x:row>
    <x:row r="14">
      <x:c r="B14" s="22" t="str">
        <x:v>AC-0008</x:v>
      </x:c>
      <x:c r="C14" s="22" t="str">
        <x:v>rendering</x:v>
      </x:c>
      <x:c r="D14" s="22" t="str">
        <x:v>rendering authority is zero</x:v>
      </x:c>
      <x:c r="E14" s="75" t="n">
        <x:f>IF(Assumptions!D38=0,1,0)</x:f>
        <x:v>1</x:v>
      </x:c>
      <x:c r="F14" s="75" t="n">
        <x:v>1</x:v>
      </x:c>
      <x:c r="G14" s="24" t="str">
        <x:f>IF(E14=F14,"PASS","FAIL")</x:f>
        <x:v>PASS</x:v>
      </x:c>
    </x:row>
    <x:row r="15">
      <x:c r="B15" s="22" t="str">
        <x:v>AC-0009</x:v>
      </x:c>
      <x:c r="C15" s="22" t="str">
        <x:v>root</x:v>
      </x:c>
      <x:c r="D15" s="22" t="str">
        <x:v>root 1 first service target</x:v>
      </x:c>
      <x:c r="E15" s="75" t="n">
        <x:f>IF('Material Build'!O7&lt;=Assumptions!D11,1,0)</x:f>
        <x:v>1</x:v>
      </x:c>
      <x:c r="F15" s="75" t="n">
        <x:v>1</x:v>
      </x:c>
      <x:c r="G15" s="24" t="str">
        <x:f>IF(E15=F15,"PASS","FAIL")</x:f>
        <x:v>PASS</x:v>
      </x:c>
    </x:row>
    <x:row r="16">
      <x:c r="B16" s="22" t="str">
        <x:v>AC-0010</x:v>
      </x:c>
      <x:c r="C16" s="22" t="str">
        <x:v>root</x:v>
      </x:c>
      <x:c r="D16" s="22" t="str">
        <x:v>root 1 reserve share</x:v>
      </x:c>
      <x:c r="E16" s="75" t="n">
        <x:f>IF('Material Build'!P7&gt;=Assumptions!D13,1,0)</x:f>
        <x:v>1</x:v>
      </x:c>
      <x:c r="F16" s="75" t="n">
        <x:v>1</x:v>
      </x:c>
      <x:c r="G16" s="24" t="str">
        <x:f>IF(E16=F16,"PASS","FAIL")</x:f>
        <x:v>PASS</x:v>
      </x:c>
    </x:row>
    <x:row r="17">
      <x:c r="B17" s="22" t="str">
        <x:v>AC-0011</x:v>
      </x:c>
      <x:c r="C17" s="22" t="str">
        <x:v>root</x:v>
      </x:c>
      <x:c r="D17" s="22" t="str">
        <x:v>root 1 regeneration deadline</x:v>
      </x:c>
      <x:c r="E17" s="75" t="n">
        <x:f>IF('Material Build'!R7&lt;=Assumptions!D33,1,0)</x:f>
        <x:v>1</x:v>
      </x:c>
      <x:c r="F17" s="75" t="n">
        <x:v>1</x:v>
      </x:c>
      <x:c r="G17" s="24" t="str">
        <x:f>IF(E17=F17,"PASS","FAIL")</x:f>
        <x:v>PASS</x:v>
      </x:c>
    </x:row>
    <x:row r="18">
      <x:c r="B18" s="22" t="str">
        <x:v>AC-0012</x:v>
      </x:c>
      <x:c r="C18" s="22" t="str">
        <x:v>root</x:v>
      </x:c>
      <x:c r="D18" s="22" t="str">
        <x:v>root 1 zero borrowed power</x:v>
      </x:c>
      <x:c r="E18" s="75" t="n">
        <x:f>IF('Power &amp; Buffer'!N7=0,1,0)</x:f>
        <x:v>1</x:v>
      </x:c>
      <x:c r="F18" s="75" t="n">
        <x:v>1</x:v>
      </x:c>
      <x:c r="G18" s="24" t="str">
        <x:f>IF(E18=F18,"PASS","FAIL")</x:f>
        <x:v>PASS</x:v>
      </x:c>
    </x:row>
    <x:row r="19">
      <x:c r="B19" s="22" t="str">
        <x:v>AC-0013</x:v>
      </x:c>
      <x:c r="C19" s="22" t="str">
        <x:v>root</x:v>
      </x:c>
      <x:c r="D19" s="22" t="str">
        <x:v>root 2 first service target</x:v>
      </x:c>
      <x:c r="E19" s="75" t="n">
        <x:f>IF('Material Build'!O8&lt;=Assumptions!D11,1,0)</x:f>
        <x:v>1</x:v>
      </x:c>
      <x:c r="F19" s="75" t="n">
        <x:v>1</x:v>
      </x:c>
      <x:c r="G19" s="24" t="str">
        <x:f>IF(E19=F19,"PASS","FAIL")</x:f>
        <x:v>PASS</x:v>
      </x:c>
    </x:row>
    <x:row r="20">
      <x:c r="B20" s="22" t="str">
        <x:v>AC-0014</x:v>
      </x:c>
      <x:c r="C20" s="22" t="str">
        <x:v>root</x:v>
      </x:c>
      <x:c r="D20" s="22" t="str">
        <x:v>root 2 reserve share</x:v>
      </x:c>
      <x:c r="E20" s="75" t="n">
        <x:f>IF('Material Build'!P8&gt;=Assumptions!D13,1,0)</x:f>
        <x:v>1</x:v>
      </x:c>
      <x:c r="F20" s="75" t="n">
        <x:v>1</x:v>
      </x:c>
      <x:c r="G20" s="24" t="str">
        <x:f>IF(E20=F20,"PASS","FAIL")</x:f>
        <x:v>PASS</x:v>
      </x:c>
    </x:row>
    <x:row r="21">
      <x:c r="B21" s="22" t="str">
        <x:v>AC-0015</x:v>
      </x:c>
      <x:c r="C21" s="22" t="str">
        <x:v>root</x:v>
      </x:c>
      <x:c r="D21" s="22" t="str">
        <x:v>root 2 regeneration deadline</x:v>
      </x:c>
      <x:c r="E21" s="75" t="n">
        <x:f>IF('Material Build'!R8&lt;=Assumptions!D33,1,0)</x:f>
        <x:v>1</x:v>
      </x:c>
      <x:c r="F21" s="75" t="n">
        <x:v>1</x:v>
      </x:c>
      <x:c r="G21" s="24" t="str">
        <x:f>IF(E21=F21,"PASS","FAIL")</x:f>
        <x:v>PASS</x:v>
      </x:c>
    </x:row>
    <x:row r="22">
      <x:c r="B22" s="22" t="str">
        <x:v>AC-0016</x:v>
      </x:c>
      <x:c r="C22" s="22" t="str">
        <x:v>root</x:v>
      </x:c>
      <x:c r="D22" s="22" t="str">
        <x:v>root 2 zero borrowed power</x:v>
      </x:c>
      <x:c r="E22" s="75" t="n">
        <x:f>IF('Power &amp; Buffer'!N8=0,1,0)</x:f>
        <x:v>1</x:v>
      </x:c>
      <x:c r="F22" s="75" t="n">
        <x:v>1</x:v>
      </x:c>
      <x:c r="G22" s="24" t="str">
        <x:f>IF(E22=F22,"PASS","FAIL")</x:f>
        <x:v>PASS</x:v>
      </x:c>
    </x:row>
    <x:row r="23">
      <x:c r="B23" s="22" t="str">
        <x:v>AC-0017</x:v>
      </x:c>
      <x:c r="C23" s="22" t="str">
        <x:v>root</x:v>
      </x:c>
      <x:c r="D23" s="22" t="str">
        <x:v>root 3 first service target</x:v>
      </x:c>
      <x:c r="E23" s="75" t="n">
        <x:f>IF('Material Build'!O9&lt;=Assumptions!D11,1,0)</x:f>
        <x:v>1</x:v>
      </x:c>
      <x:c r="F23" s="75" t="n">
        <x:v>1</x:v>
      </x:c>
      <x:c r="G23" s="24" t="str">
        <x:f>IF(E23=F23,"PASS","FAIL")</x:f>
        <x:v>PASS</x:v>
      </x:c>
    </x:row>
    <x:row r="24">
      <x:c r="B24" s="22" t="str">
        <x:v>AC-0018</x:v>
      </x:c>
      <x:c r="C24" s="22" t="str">
        <x:v>root</x:v>
      </x:c>
      <x:c r="D24" s="22" t="str">
        <x:v>root 3 reserve share</x:v>
      </x:c>
      <x:c r="E24" s="75" t="n">
        <x:f>IF('Material Build'!P9&gt;=Assumptions!D13,1,0)</x:f>
        <x:v>1</x:v>
      </x:c>
      <x:c r="F24" s="75" t="n">
        <x:v>1</x:v>
      </x:c>
      <x:c r="G24" s="24" t="str">
        <x:f>IF(E24=F24,"PASS","FAIL")</x:f>
        <x:v>PASS</x:v>
      </x:c>
    </x:row>
    <x:row r="25">
      <x:c r="B25" s="22" t="str">
        <x:v>AC-0019</x:v>
      </x:c>
      <x:c r="C25" s="22" t="str">
        <x:v>root</x:v>
      </x:c>
      <x:c r="D25" s="22" t="str">
        <x:v>root 3 regeneration deadline</x:v>
      </x:c>
      <x:c r="E25" s="75" t="n">
        <x:f>IF('Material Build'!R9&lt;=Assumptions!D33,1,0)</x:f>
        <x:v>1</x:v>
      </x:c>
      <x:c r="F25" s="75" t="n">
        <x:v>1</x:v>
      </x:c>
      <x:c r="G25" s="24" t="str">
        <x:f>IF(E25=F25,"PASS","FAIL")</x:f>
        <x:v>PASS</x:v>
      </x:c>
    </x:row>
    <x:row r="26">
      <x:c r="B26" s="22" t="str">
        <x:v>AC-0020</x:v>
      </x:c>
      <x:c r="C26" s="22" t="str">
        <x:v>root</x:v>
      </x:c>
      <x:c r="D26" s="22" t="str">
        <x:v>root 3 zero borrowed power</x:v>
      </x:c>
      <x:c r="E26" s="75" t="n">
        <x:f>IF('Power &amp; Buffer'!N9=0,1,0)</x:f>
        <x:v>1</x:v>
      </x:c>
      <x:c r="F26" s="75" t="n">
        <x:v>1</x:v>
      </x:c>
      <x:c r="G26" s="24" t="str">
        <x:f>IF(E26=F26,"PASS","FAIL")</x:f>
        <x:v>PASS</x:v>
      </x:c>
    </x:row>
    <x:row r="27">
      <x:c r="B27" s="22" t="str">
        <x:v>AC-0021</x:v>
      </x:c>
      <x:c r="C27" s="22" t="str">
        <x:v>schedule</x:v>
      </x:c>
      <x:c r="D27" s="22" t="str">
        <x:v>row 7 start after material</x:v>
      </x:c>
      <x:c r="E27" s="75" t="n">
        <x:f>IF('Workfront Schedule'!N7&gt;='Workfront Schedule'!K7,1,0)</x:f>
        <x:v>1</x:v>
      </x:c>
      <x:c r="F27" s="75" t="n">
        <x:v>1</x:v>
      </x:c>
      <x:c r="G27" s="24" t="str">
        <x:f>IF(E27=F27,"PASS","FAIL")</x:f>
        <x:v>PASS</x:v>
      </x:c>
    </x:row>
    <x:row r="28">
      <x:c r="B28" s="22" t="str">
        <x:v>AC-0022</x:v>
      </x:c>
      <x:c r="C28" s="22" t="str">
        <x:v>schedule</x:v>
      </x:c>
      <x:c r="D28" s="22" t="str">
        <x:v>row 7 start after access</x:v>
      </x:c>
      <x:c r="E28" s="75" t="n">
        <x:f>IF('Workfront Schedule'!N7&gt;='Workfront Schedule'!L7,1,0)</x:f>
        <x:v>1</x:v>
      </x:c>
      <x:c r="F28" s="75" t="n">
        <x:v>1</x:v>
      </x:c>
      <x:c r="G28" s="24" t="str">
        <x:f>IF(E28=F28,"PASS","FAIL")</x:f>
        <x:v>PASS</x:v>
      </x:c>
    </x:row>
    <x:row r="29">
      <x:c r="B29" s="22" t="str">
        <x:v>AC-0023</x:v>
      </x:c>
      <x:c r="C29" s="22" t="str">
        <x:v>schedule</x:v>
      </x:c>
      <x:c r="D29" s="22" t="str">
        <x:v>row 7 start after predecessor</x:v>
      </x:c>
      <x:c r="E29" s="75" t="n">
        <x:f>IF('Workfront Schedule'!N7&gt;='Workfront Schedule'!M7,1,0)</x:f>
        <x:v>1</x:v>
      </x:c>
      <x:c r="F29" s="75" t="n">
        <x:v>1</x:v>
      </x:c>
      <x:c r="G29" s="24" t="str">
        <x:f>IF(E29=F29,"PASS","FAIL")</x:f>
        <x:v>PASS</x:v>
      </x:c>
    </x:row>
    <x:row r="30">
      <x:c r="B30" s="22" t="str">
        <x:v>AC-0024</x:v>
      </x:c>
      <x:c r="C30" s="22" t="str">
        <x:v>schedule</x:v>
      </x:c>
      <x:c r="D30" s="22" t="str">
        <x:v>row 7 positive duration</x:v>
      </x:c>
      <x:c r="E30" s="75" t="n">
        <x:f>IF('Workfront Schedule'!O7&gt;0,1,0)</x:f>
        <x:v>1</x:v>
      </x:c>
      <x:c r="F30" s="75" t="n">
        <x:v>1</x:v>
      </x:c>
      <x:c r="G30" s="24" t="str">
        <x:f>IF(E30=F30,"PASS","FAIL")</x:f>
        <x:v>PASS</x:v>
      </x:c>
    </x:row>
    <x:row r="31">
      <x:c r="B31" s="22" t="str">
        <x:v>AC-0025</x:v>
      </x:c>
      <x:c r="C31" s="22" t="str">
        <x:v>schedule</x:v>
      </x:c>
      <x:c r="D31" s="22" t="str">
        <x:v>row 7 end identity</x:v>
      </x:c>
      <x:c r="E31" s="75" t="n">
        <x:f>IF(ABS('Workfront Schedule'!P7-'Workfront Schedule'!N7-'Workfront Schedule'!O7)&lt;0.000001,1,0)</x:f>
        <x:v>1</x:v>
      </x:c>
      <x:c r="F31" s="75" t="n">
        <x:v>1</x:v>
      </x:c>
      <x:c r="G31" s="24" t="str">
        <x:f>IF(E31=F31,"PASS","FAIL")</x:f>
        <x:v>PASS</x:v>
      </x:c>
    </x:row>
    <x:row r="32">
      <x:c r="B32" s="22" t="str">
        <x:v>AC-0026</x:v>
      </x:c>
      <x:c r="C32" s="22" t="str">
        <x:v>schedule</x:v>
      </x:c>
      <x:c r="D32" s="22" t="str">
        <x:v>row 8 start after material</x:v>
      </x:c>
      <x:c r="E32" s="75" t="n">
        <x:f>IF('Workfront Schedule'!N8&gt;='Workfront Schedule'!K8,1,0)</x:f>
        <x:v>1</x:v>
      </x:c>
      <x:c r="F32" s="75" t="n">
        <x:v>1</x:v>
      </x:c>
      <x:c r="G32" s="24" t="str">
        <x:f>IF(E32=F32,"PASS","FAIL")</x:f>
        <x:v>PASS</x:v>
      </x:c>
    </x:row>
    <x:row r="33">
      <x:c r="B33" s="22" t="str">
        <x:v>AC-0027</x:v>
      </x:c>
      <x:c r="C33" s="22" t="str">
        <x:v>schedule</x:v>
      </x:c>
      <x:c r="D33" s="22" t="str">
        <x:v>row 8 start after access</x:v>
      </x:c>
      <x:c r="E33" s="75" t="n">
        <x:f>IF('Workfront Schedule'!N8&gt;='Workfront Schedule'!L8,1,0)</x:f>
        <x:v>1</x:v>
      </x:c>
      <x:c r="F33" s="75" t="n">
        <x:v>1</x:v>
      </x:c>
      <x:c r="G33" s="24" t="str">
        <x:f>IF(E33=F33,"PASS","FAIL")</x:f>
        <x:v>PASS</x:v>
      </x:c>
    </x:row>
    <x:row r="34">
      <x:c r="B34" s="22" t="str">
        <x:v>AC-0028</x:v>
      </x:c>
      <x:c r="C34" s="22" t="str">
        <x:v>schedule</x:v>
      </x:c>
      <x:c r="D34" s="22" t="str">
        <x:v>row 8 start after predecessor</x:v>
      </x:c>
      <x:c r="E34" s="75" t="n">
        <x:f>IF('Workfront Schedule'!N8&gt;='Workfront Schedule'!M8,1,0)</x:f>
        <x:v>1</x:v>
      </x:c>
      <x:c r="F34" s="75" t="n">
        <x:v>1</x:v>
      </x:c>
      <x:c r="G34" s="24" t="str">
        <x:f>IF(E34=F34,"PASS","FAIL")</x:f>
        <x:v>PASS</x:v>
      </x:c>
    </x:row>
    <x:row r="35">
      <x:c r="B35" s="22" t="str">
        <x:v>AC-0029</x:v>
      </x:c>
      <x:c r="C35" s="22" t="str">
        <x:v>schedule</x:v>
      </x:c>
      <x:c r="D35" s="22" t="str">
        <x:v>row 8 positive duration</x:v>
      </x:c>
      <x:c r="E35" s="75" t="n">
        <x:f>IF('Workfront Schedule'!O8&gt;0,1,0)</x:f>
        <x:v>1</x:v>
      </x:c>
      <x:c r="F35" s="75" t="n">
        <x:v>1</x:v>
      </x:c>
      <x:c r="G35" s="24" t="str">
        <x:f>IF(E35=F35,"PASS","FAIL")</x:f>
        <x:v>PASS</x:v>
      </x:c>
    </x:row>
    <x:row r="36">
      <x:c r="B36" s="22" t="str">
        <x:v>AC-0030</x:v>
      </x:c>
      <x:c r="C36" s="22" t="str">
        <x:v>schedule</x:v>
      </x:c>
      <x:c r="D36" s="22" t="str">
        <x:v>row 8 end identity</x:v>
      </x:c>
      <x:c r="E36" s="75" t="n">
        <x:f>IF(ABS('Workfront Schedule'!P8-'Workfront Schedule'!N8-'Workfront Schedule'!O8)&lt;0.000001,1,0)</x:f>
        <x:v>1</x:v>
      </x:c>
      <x:c r="F36" s="75" t="n">
        <x:v>1</x:v>
      </x:c>
      <x:c r="G36" s="24" t="str">
        <x:f>IF(E36=F36,"PASS","FAIL")</x:f>
        <x:v>PASS</x:v>
      </x:c>
    </x:row>
    <x:row r="37">
      <x:c r="B37" s="22" t="str">
        <x:v>AC-0031</x:v>
      </x:c>
      <x:c r="C37" s="22" t="str">
        <x:v>schedule</x:v>
      </x:c>
      <x:c r="D37" s="22" t="str">
        <x:v>row 9 start after material</x:v>
      </x:c>
      <x:c r="E37" s="75" t="n">
        <x:f>IF('Workfront Schedule'!N9&gt;='Workfront Schedule'!K9,1,0)</x:f>
        <x:v>1</x:v>
      </x:c>
      <x:c r="F37" s="75" t="n">
        <x:v>1</x:v>
      </x:c>
      <x:c r="G37" s="24" t="str">
        <x:f>IF(E37=F37,"PASS","FAIL")</x:f>
        <x:v>PASS</x:v>
      </x:c>
    </x:row>
    <x:row r="38">
      <x:c r="B38" s="22" t="str">
        <x:v>AC-0032</x:v>
      </x:c>
      <x:c r="C38" s="22" t="str">
        <x:v>schedule</x:v>
      </x:c>
      <x:c r="D38" s="22" t="str">
        <x:v>row 9 start after access</x:v>
      </x:c>
      <x:c r="E38" s="75" t="n">
        <x:f>IF('Workfront Schedule'!N9&gt;='Workfront Schedule'!L9,1,0)</x:f>
        <x:v>1</x:v>
      </x:c>
      <x:c r="F38" s="75" t="n">
        <x:v>1</x:v>
      </x:c>
      <x:c r="G38" s="24" t="str">
        <x:f>IF(E38=F38,"PASS","FAIL")</x:f>
        <x:v>PASS</x:v>
      </x:c>
    </x:row>
    <x:row r="39">
      <x:c r="B39" s="22" t="str">
        <x:v>AC-0033</x:v>
      </x:c>
      <x:c r="C39" s="22" t="str">
        <x:v>schedule</x:v>
      </x:c>
      <x:c r="D39" s="22" t="str">
        <x:v>row 9 start after predecessor</x:v>
      </x:c>
      <x:c r="E39" s="75" t="n">
        <x:f>IF('Workfront Schedule'!N9&gt;='Workfront Schedule'!M9,1,0)</x:f>
        <x:v>1</x:v>
      </x:c>
      <x:c r="F39" s="75" t="n">
        <x:v>1</x:v>
      </x:c>
      <x:c r="G39" s="24" t="str">
        <x:f>IF(E39=F39,"PASS","FAIL")</x:f>
        <x:v>PASS</x:v>
      </x:c>
    </x:row>
    <x:row r="40">
      <x:c r="B40" s="22" t="str">
        <x:v>AC-0034</x:v>
      </x:c>
      <x:c r="C40" s="22" t="str">
        <x:v>schedule</x:v>
      </x:c>
      <x:c r="D40" s="22" t="str">
        <x:v>row 9 positive duration</x:v>
      </x:c>
      <x:c r="E40" s="75" t="n">
        <x:f>IF('Workfront Schedule'!O9&gt;0,1,0)</x:f>
        <x:v>1</x:v>
      </x:c>
      <x:c r="F40" s="75" t="n">
        <x:v>1</x:v>
      </x:c>
      <x:c r="G40" s="24" t="str">
        <x:f>IF(E40=F40,"PASS","FAIL")</x:f>
        <x:v>PASS</x:v>
      </x:c>
    </x:row>
    <x:row r="41">
      <x:c r="B41" s="22" t="str">
        <x:v>AC-0035</x:v>
      </x:c>
      <x:c r="C41" s="22" t="str">
        <x:v>schedule</x:v>
      </x:c>
      <x:c r="D41" s="22" t="str">
        <x:v>row 9 end identity</x:v>
      </x:c>
      <x:c r="E41" s="75" t="n">
        <x:f>IF(ABS('Workfront Schedule'!P9-'Workfront Schedule'!N9-'Workfront Schedule'!O9)&lt;0.000001,1,0)</x:f>
        <x:v>1</x:v>
      </x:c>
      <x:c r="F41" s="75" t="n">
        <x:v>1</x:v>
      </x:c>
      <x:c r="G41" s="24" t="str">
        <x:f>IF(E41=F41,"PASS","FAIL")</x:f>
        <x:v>PASS</x:v>
      </x:c>
    </x:row>
    <x:row r="42">
      <x:c r="B42" s="22" t="str">
        <x:v>AC-0036</x:v>
      </x:c>
      <x:c r="C42" s="22" t="str">
        <x:v>schedule</x:v>
      </x:c>
      <x:c r="D42" s="22" t="str">
        <x:v>row 10 start after material</x:v>
      </x:c>
      <x:c r="E42" s="75" t="n">
        <x:f>IF('Workfront Schedule'!N10&gt;='Workfront Schedule'!K10,1,0)</x:f>
        <x:v>1</x:v>
      </x:c>
      <x:c r="F42" s="75" t="n">
        <x:v>1</x:v>
      </x:c>
      <x:c r="G42" s="24" t="str">
        <x:f>IF(E42=F42,"PASS","FAIL")</x:f>
        <x:v>PASS</x:v>
      </x:c>
    </x:row>
    <x:row r="43">
      <x:c r="B43" s="22" t="str">
        <x:v>AC-0037</x:v>
      </x:c>
      <x:c r="C43" s="22" t="str">
        <x:v>schedule</x:v>
      </x:c>
      <x:c r="D43" s="22" t="str">
        <x:v>row 10 start after access</x:v>
      </x:c>
      <x:c r="E43" s="75" t="n">
        <x:f>IF('Workfront Schedule'!N10&gt;='Workfront Schedule'!L10,1,0)</x:f>
        <x:v>1</x:v>
      </x:c>
      <x:c r="F43" s="75" t="n">
        <x:v>1</x:v>
      </x:c>
      <x:c r="G43" s="24" t="str">
        <x:f>IF(E43=F43,"PASS","FAIL")</x:f>
        <x:v>PASS</x:v>
      </x:c>
    </x:row>
    <x:row r="44">
      <x:c r="B44" s="22" t="str">
        <x:v>AC-0038</x:v>
      </x:c>
      <x:c r="C44" s="22" t="str">
        <x:v>schedule</x:v>
      </x:c>
      <x:c r="D44" s="22" t="str">
        <x:v>row 10 start after predecessor</x:v>
      </x:c>
      <x:c r="E44" s="75" t="n">
        <x:f>IF('Workfront Schedule'!N10&gt;='Workfront Schedule'!M10,1,0)</x:f>
        <x:v>1</x:v>
      </x:c>
      <x:c r="F44" s="75" t="n">
        <x:v>1</x:v>
      </x:c>
      <x:c r="G44" s="24" t="str">
        <x:f>IF(E44=F44,"PASS","FAIL")</x:f>
        <x:v>PASS</x:v>
      </x:c>
    </x:row>
    <x:row r="45">
      <x:c r="B45" s="22" t="str">
        <x:v>AC-0039</x:v>
      </x:c>
      <x:c r="C45" s="22" t="str">
        <x:v>schedule</x:v>
      </x:c>
      <x:c r="D45" s="22" t="str">
        <x:v>row 10 positive duration</x:v>
      </x:c>
      <x:c r="E45" s="75" t="n">
        <x:f>IF('Workfront Schedule'!O10&gt;0,1,0)</x:f>
        <x:v>1</x:v>
      </x:c>
      <x:c r="F45" s="75" t="n">
        <x:v>1</x:v>
      </x:c>
      <x:c r="G45" s="24" t="str">
        <x:f>IF(E45=F45,"PASS","FAIL")</x:f>
        <x:v>PASS</x:v>
      </x:c>
    </x:row>
    <x:row r="46">
      <x:c r="B46" s="22" t="str">
        <x:v>AC-0040</x:v>
      </x:c>
      <x:c r="C46" s="22" t="str">
        <x:v>schedule</x:v>
      </x:c>
      <x:c r="D46" s="22" t="str">
        <x:v>row 10 end identity</x:v>
      </x:c>
      <x:c r="E46" s="75" t="n">
        <x:f>IF(ABS('Workfront Schedule'!P10-'Workfront Schedule'!N10-'Workfront Schedule'!O10)&lt;0.000001,1,0)</x:f>
        <x:v>1</x:v>
      </x:c>
      <x:c r="F46" s="75" t="n">
        <x:v>1</x:v>
      </x:c>
      <x:c r="G46" s="24" t="str">
        <x:f>IF(E46=F46,"PASS","FAIL")</x:f>
        <x:v>PASS</x:v>
      </x:c>
    </x:row>
    <x:row r="47">
      <x:c r="B47" s="22" t="str">
        <x:v>AC-0041</x:v>
      </x:c>
      <x:c r="C47" s="22" t="str">
        <x:v>schedule</x:v>
      </x:c>
      <x:c r="D47" s="22" t="str">
        <x:v>row 11 start after material</x:v>
      </x:c>
      <x:c r="E47" s="75" t="n">
        <x:f>IF('Workfront Schedule'!N11&gt;='Workfront Schedule'!K11,1,0)</x:f>
        <x:v>1</x:v>
      </x:c>
      <x:c r="F47" s="75" t="n">
        <x:v>1</x:v>
      </x:c>
      <x:c r="G47" s="24" t="str">
        <x:f>IF(E47=F47,"PASS","FAIL")</x:f>
        <x:v>PASS</x:v>
      </x:c>
    </x:row>
    <x:row r="48">
      <x:c r="B48" s="22" t="str">
        <x:v>AC-0042</x:v>
      </x:c>
      <x:c r="C48" s="22" t="str">
        <x:v>schedule</x:v>
      </x:c>
      <x:c r="D48" s="22" t="str">
        <x:v>row 11 start after access</x:v>
      </x:c>
      <x:c r="E48" s="75" t="n">
        <x:f>IF('Workfront Schedule'!N11&gt;='Workfront Schedule'!L11,1,0)</x:f>
        <x:v>1</x:v>
      </x:c>
      <x:c r="F48" s="75" t="n">
        <x:v>1</x:v>
      </x:c>
      <x:c r="G48" s="24" t="str">
        <x:f>IF(E48=F48,"PASS","FAIL")</x:f>
        <x:v>PASS</x:v>
      </x:c>
    </x:row>
    <x:row r="49">
      <x:c r="B49" s="22" t="str">
        <x:v>AC-0043</x:v>
      </x:c>
      <x:c r="C49" s="22" t="str">
        <x:v>schedule</x:v>
      </x:c>
      <x:c r="D49" s="22" t="str">
        <x:v>row 11 start after predecessor</x:v>
      </x:c>
      <x:c r="E49" s="75" t="n">
        <x:f>IF('Workfront Schedule'!N11&gt;='Workfront Schedule'!M11,1,0)</x:f>
        <x:v>1</x:v>
      </x:c>
      <x:c r="F49" s="75" t="n">
        <x:v>1</x:v>
      </x:c>
      <x:c r="G49" s="24" t="str">
        <x:f>IF(E49=F49,"PASS","FAIL")</x:f>
        <x:v>PASS</x:v>
      </x:c>
    </x:row>
    <x:row r="50">
      <x:c r="B50" s="22" t="str">
        <x:v>AC-0044</x:v>
      </x:c>
      <x:c r="C50" s="22" t="str">
        <x:v>schedule</x:v>
      </x:c>
      <x:c r="D50" s="22" t="str">
        <x:v>row 11 positive duration</x:v>
      </x:c>
      <x:c r="E50" s="75" t="n">
        <x:f>IF('Workfront Schedule'!O11&gt;0,1,0)</x:f>
        <x:v>1</x:v>
      </x:c>
      <x:c r="F50" s="75" t="n">
        <x:v>1</x:v>
      </x:c>
      <x:c r="G50" s="24" t="str">
        <x:f>IF(E50=F50,"PASS","FAIL")</x:f>
        <x:v>PASS</x:v>
      </x:c>
    </x:row>
    <x:row r="51">
      <x:c r="B51" s="22" t="str">
        <x:v>AC-0045</x:v>
      </x:c>
      <x:c r="C51" s="22" t="str">
        <x:v>schedule</x:v>
      </x:c>
      <x:c r="D51" s="22" t="str">
        <x:v>row 11 end identity</x:v>
      </x:c>
      <x:c r="E51" s="75" t="n">
        <x:f>IF(ABS('Workfront Schedule'!P11-'Workfront Schedule'!N11-'Workfront Schedule'!O11)&lt;0.000001,1,0)</x:f>
        <x:v>1</x:v>
      </x:c>
      <x:c r="F51" s="75" t="n">
        <x:v>1</x:v>
      </x:c>
      <x:c r="G51" s="24" t="str">
        <x:f>IF(E51=F51,"PASS","FAIL")</x:f>
        <x:v>PASS</x:v>
      </x:c>
    </x:row>
    <x:row r="52">
      <x:c r="B52" s="22" t="str">
        <x:v>AC-0046</x:v>
      </x:c>
      <x:c r="C52" s="22" t="str">
        <x:v>schedule</x:v>
      </x:c>
      <x:c r="D52" s="22" t="str">
        <x:v>row 12 start after material</x:v>
      </x:c>
      <x:c r="E52" s="75" t="n">
        <x:f>IF('Workfront Schedule'!N12&gt;='Workfront Schedule'!K12,1,0)</x:f>
        <x:v>1</x:v>
      </x:c>
      <x:c r="F52" s="75" t="n">
        <x:v>1</x:v>
      </x:c>
      <x:c r="G52" s="24" t="str">
        <x:f>IF(E52=F52,"PASS","FAIL")</x:f>
        <x:v>PASS</x:v>
      </x:c>
    </x:row>
    <x:row r="53">
      <x:c r="B53" s="22" t="str">
        <x:v>AC-0047</x:v>
      </x:c>
      <x:c r="C53" s="22" t="str">
        <x:v>schedule</x:v>
      </x:c>
      <x:c r="D53" s="22" t="str">
        <x:v>row 12 start after access</x:v>
      </x:c>
      <x:c r="E53" s="75" t="n">
        <x:f>IF('Workfront Schedule'!N12&gt;='Workfront Schedule'!L12,1,0)</x:f>
        <x:v>1</x:v>
      </x:c>
      <x:c r="F53" s="75" t="n">
        <x:v>1</x:v>
      </x:c>
      <x:c r="G53" s="24" t="str">
        <x:f>IF(E53=F53,"PASS","FAIL")</x:f>
        <x:v>PASS</x:v>
      </x:c>
    </x:row>
    <x:row r="54">
      <x:c r="B54" s="22" t="str">
        <x:v>AC-0048</x:v>
      </x:c>
      <x:c r="C54" s="22" t="str">
        <x:v>schedule</x:v>
      </x:c>
      <x:c r="D54" s="22" t="str">
        <x:v>row 12 start after predecessor</x:v>
      </x:c>
      <x:c r="E54" s="75" t="n">
        <x:f>IF('Workfront Schedule'!N12&gt;='Workfront Schedule'!M12,1,0)</x:f>
        <x:v>1</x:v>
      </x:c>
      <x:c r="F54" s="75" t="n">
        <x:v>1</x:v>
      </x:c>
      <x:c r="G54" s="24" t="str">
        <x:f>IF(E54=F54,"PASS","FAIL")</x:f>
        <x:v>PASS</x:v>
      </x:c>
    </x:row>
    <x:row r="55">
      <x:c r="B55" s="22" t="str">
        <x:v>AC-0049</x:v>
      </x:c>
      <x:c r="C55" s="22" t="str">
        <x:v>schedule</x:v>
      </x:c>
      <x:c r="D55" s="22" t="str">
        <x:v>row 12 positive duration</x:v>
      </x:c>
      <x:c r="E55" s="75" t="n">
        <x:f>IF('Workfront Schedule'!O12&gt;0,1,0)</x:f>
        <x:v>1</x:v>
      </x:c>
      <x:c r="F55" s="75" t="n">
        <x:v>1</x:v>
      </x:c>
      <x:c r="G55" s="24" t="str">
        <x:f>IF(E55=F55,"PASS","FAIL")</x:f>
        <x:v>PASS</x:v>
      </x:c>
    </x:row>
    <x:row r="56">
      <x:c r="B56" s="22" t="str">
        <x:v>AC-0050</x:v>
      </x:c>
      <x:c r="C56" s="22" t="str">
        <x:v>schedule</x:v>
      </x:c>
      <x:c r="D56" s="22" t="str">
        <x:v>row 12 end identity</x:v>
      </x:c>
      <x:c r="E56" s="75" t="n">
        <x:f>IF(ABS('Workfront Schedule'!P12-'Workfront Schedule'!N12-'Workfront Schedule'!O12)&lt;0.000001,1,0)</x:f>
        <x:v>1</x:v>
      </x:c>
      <x:c r="F56" s="75" t="n">
        <x:v>1</x:v>
      </x:c>
      <x:c r="G56" s="24" t="str">
        <x:f>IF(E56=F56,"PASS","FAIL")</x:f>
        <x:v>PASS</x:v>
      </x:c>
    </x:row>
    <x:row r="57">
      <x:c r="B57" s="22" t="str">
        <x:v>AC-0051</x:v>
      </x:c>
      <x:c r="C57" s="22" t="str">
        <x:v>schedule</x:v>
      </x:c>
      <x:c r="D57" s="22" t="str">
        <x:v>row 13 start after material</x:v>
      </x:c>
      <x:c r="E57" s="75" t="n">
        <x:f>IF('Workfront Schedule'!N13&gt;='Workfront Schedule'!K13,1,0)</x:f>
        <x:v>1</x:v>
      </x:c>
      <x:c r="F57" s="75" t="n">
        <x:v>1</x:v>
      </x:c>
      <x:c r="G57" s="24" t="str">
        <x:f>IF(E57=F57,"PASS","FAIL")</x:f>
        <x:v>PASS</x:v>
      </x:c>
    </x:row>
    <x:row r="58">
      <x:c r="B58" s="22" t="str">
        <x:v>AC-0052</x:v>
      </x:c>
      <x:c r="C58" s="22" t="str">
        <x:v>schedule</x:v>
      </x:c>
      <x:c r="D58" s="22" t="str">
        <x:v>row 13 start after access</x:v>
      </x:c>
      <x:c r="E58" s="75" t="n">
        <x:f>IF('Workfront Schedule'!N13&gt;='Workfront Schedule'!L13,1,0)</x:f>
        <x:v>1</x:v>
      </x:c>
      <x:c r="F58" s="75" t="n">
        <x:v>1</x:v>
      </x:c>
      <x:c r="G58" s="24" t="str">
        <x:f>IF(E58=F58,"PASS","FAIL")</x:f>
        <x:v>PASS</x:v>
      </x:c>
    </x:row>
    <x:row r="59">
      <x:c r="B59" s="22" t="str">
        <x:v>AC-0053</x:v>
      </x:c>
      <x:c r="C59" s="22" t="str">
        <x:v>schedule</x:v>
      </x:c>
      <x:c r="D59" s="22" t="str">
        <x:v>row 13 start after predecessor</x:v>
      </x:c>
      <x:c r="E59" s="75" t="n">
        <x:f>IF('Workfront Schedule'!N13&gt;='Workfront Schedule'!M13,1,0)</x:f>
        <x:v>1</x:v>
      </x:c>
      <x:c r="F59" s="75" t="n">
        <x:v>1</x:v>
      </x:c>
      <x:c r="G59" s="24" t="str">
        <x:f>IF(E59=F59,"PASS","FAIL")</x:f>
        <x:v>PASS</x:v>
      </x:c>
    </x:row>
    <x:row r="60">
      <x:c r="B60" s="22" t="str">
        <x:v>AC-0054</x:v>
      </x:c>
      <x:c r="C60" s="22" t="str">
        <x:v>schedule</x:v>
      </x:c>
      <x:c r="D60" s="22" t="str">
        <x:v>row 13 positive duration</x:v>
      </x:c>
      <x:c r="E60" s="75" t="n">
        <x:f>IF('Workfront Schedule'!O13&gt;0,1,0)</x:f>
        <x:v>1</x:v>
      </x:c>
      <x:c r="F60" s="75" t="n">
        <x:v>1</x:v>
      </x:c>
      <x:c r="G60" s="24" t="str">
        <x:f>IF(E60=F60,"PASS","FAIL")</x:f>
        <x:v>PASS</x:v>
      </x:c>
    </x:row>
    <x:row r="61">
      <x:c r="B61" s="22" t="str">
        <x:v>AC-0055</x:v>
      </x:c>
      <x:c r="C61" s="22" t="str">
        <x:v>schedule</x:v>
      </x:c>
      <x:c r="D61" s="22" t="str">
        <x:v>row 13 end identity</x:v>
      </x:c>
      <x:c r="E61" s="75" t="n">
        <x:f>IF(ABS('Workfront Schedule'!P13-'Workfront Schedule'!N13-'Workfront Schedule'!O13)&lt;0.000001,1,0)</x:f>
        <x:v>1</x:v>
      </x:c>
      <x:c r="F61" s="75" t="n">
        <x:v>1</x:v>
      </x:c>
      <x:c r="G61" s="24" t="str">
        <x:f>IF(E61=F61,"PASS","FAIL")</x:f>
        <x:v>PASS</x:v>
      </x:c>
    </x:row>
    <x:row r="62">
      <x:c r="B62" s="22" t="str">
        <x:v>AC-0056</x:v>
      </x:c>
      <x:c r="C62" s="22" t="str">
        <x:v>schedule</x:v>
      </x:c>
      <x:c r="D62" s="22" t="str">
        <x:v>row 14 start after material</x:v>
      </x:c>
      <x:c r="E62" s="75" t="n">
        <x:f>IF('Workfront Schedule'!N14&gt;='Workfront Schedule'!K14,1,0)</x:f>
        <x:v>1</x:v>
      </x:c>
      <x:c r="F62" s="75" t="n">
        <x:v>1</x:v>
      </x:c>
      <x:c r="G62" s="24" t="str">
        <x:f>IF(E62=F62,"PASS","FAIL")</x:f>
        <x:v>PASS</x:v>
      </x:c>
    </x:row>
    <x:row r="63">
      <x:c r="B63" s="22" t="str">
        <x:v>AC-0057</x:v>
      </x:c>
      <x:c r="C63" s="22" t="str">
        <x:v>schedule</x:v>
      </x:c>
      <x:c r="D63" s="22" t="str">
        <x:v>row 14 start after access</x:v>
      </x:c>
      <x:c r="E63" s="75" t="n">
        <x:f>IF('Workfront Schedule'!N14&gt;='Workfront Schedule'!L14,1,0)</x:f>
        <x:v>1</x:v>
      </x:c>
      <x:c r="F63" s="75" t="n">
        <x:v>1</x:v>
      </x:c>
      <x:c r="G63" s="24" t="str">
        <x:f>IF(E63=F63,"PASS","FAIL")</x:f>
        <x:v>PASS</x:v>
      </x:c>
    </x:row>
    <x:row r="64">
      <x:c r="B64" s="22" t="str">
        <x:v>AC-0058</x:v>
      </x:c>
      <x:c r="C64" s="22" t="str">
        <x:v>schedule</x:v>
      </x:c>
      <x:c r="D64" s="22" t="str">
        <x:v>row 14 start after predecessor</x:v>
      </x:c>
      <x:c r="E64" s="75" t="n">
        <x:f>IF('Workfront Schedule'!N14&gt;='Workfront Schedule'!M14,1,0)</x:f>
        <x:v>1</x:v>
      </x:c>
      <x:c r="F64" s="75" t="n">
        <x:v>1</x:v>
      </x:c>
      <x:c r="G64" s="24" t="str">
        <x:f>IF(E64=F64,"PASS","FAIL")</x:f>
        <x:v>PASS</x:v>
      </x:c>
    </x:row>
    <x:row r="65">
      <x:c r="B65" s="22" t="str">
        <x:v>AC-0059</x:v>
      </x:c>
      <x:c r="C65" s="22" t="str">
        <x:v>schedule</x:v>
      </x:c>
      <x:c r="D65" s="22" t="str">
        <x:v>row 14 positive duration</x:v>
      </x:c>
      <x:c r="E65" s="75" t="n">
        <x:f>IF('Workfront Schedule'!O14&gt;0,1,0)</x:f>
        <x:v>1</x:v>
      </x:c>
      <x:c r="F65" s="75" t="n">
        <x:v>1</x:v>
      </x:c>
      <x:c r="G65" s="24" t="str">
        <x:f>IF(E65=F65,"PASS","FAIL")</x:f>
        <x:v>PASS</x:v>
      </x:c>
    </x:row>
    <x:row r="66">
      <x:c r="B66" s="22" t="str">
        <x:v>AC-0060</x:v>
      </x:c>
      <x:c r="C66" s="22" t="str">
        <x:v>schedule</x:v>
      </x:c>
      <x:c r="D66" s="22" t="str">
        <x:v>row 14 end identity</x:v>
      </x:c>
      <x:c r="E66" s="75" t="n">
        <x:f>IF(ABS('Workfront Schedule'!P14-'Workfront Schedule'!N14-'Workfront Schedule'!O14)&lt;0.000001,1,0)</x:f>
        <x:v>1</x:v>
      </x:c>
      <x:c r="F66" s="75" t="n">
        <x:v>1</x:v>
      </x:c>
      <x:c r="G66" s="24" t="str">
        <x:f>IF(E66=F66,"PASS","FAIL")</x:f>
        <x:v>PASS</x:v>
      </x:c>
    </x:row>
    <x:row r="67">
      <x:c r="B67" s="22" t="str">
        <x:v>AC-0061</x:v>
      </x:c>
      <x:c r="C67" s="22" t="str">
        <x:v>schedule</x:v>
      </x:c>
      <x:c r="D67" s="22" t="str">
        <x:v>row 15 start after material</x:v>
      </x:c>
      <x:c r="E67" s="75" t="n">
        <x:f>IF('Workfront Schedule'!N15&gt;='Workfront Schedule'!K15,1,0)</x:f>
        <x:v>1</x:v>
      </x:c>
      <x:c r="F67" s="75" t="n">
        <x:v>1</x:v>
      </x:c>
      <x:c r="G67" s="24" t="str">
        <x:f>IF(E67=F67,"PASS","FAIL")</x:f>
        <x:v>PASS</x:v>
      </x:c>
    </x:row>
    <x:row r="68">
      <x:c r="B68" s="22" t="str">
        <x:v>AC-0062</x:v>
      </x:c>
      <x:c r="C68" s="22" t="str">
        <x:v>schedule</x:v>
      </x:c>
      <x:c r="D68" s="22" t="str">
        <x:v>row 15 start after access</x:v>
      </x:c>
      <x:c r="E68" s="75" t="n">
        <x:f>IF('Workfront Schedule'!N15&gt;='Workfront Schedule'!L15,1,0)</x:f>
        <x:v>1</x:v>
      </x:c>
      <x:c r="F68" s="75" t="n">
        <x:v>1</x:v>
      </x:c>
      <x:c r="G68" s="24" t="str">
        <x:f>IF(E68=F68,"PASS","FAIL")</x:f>
        <x:v>PASS</x:v>
      </x:c>
    </x:row>
    <x:row r="69">
      <x:c r="B69" s="22" t="str">
        <x:v>AC-0063</x:v>
      </x:c>
      <x:c r="C69" s="22" t="str">
        <x:v>schedule</x:v>
      </x:c>
      <x:c r="D69" s="22" t="str">
        <x:v>row 15 start after predecessor</x:v>
      </x:c>
      <x:c r="E69" s="75" t="n">
        <x:f>IF('Workfront Schedule'!N15&gt;='Workfront Schedule'!M15,1,0)</x:f>
        <x:v>1</x:v>
      </x:c>
      <x:c r="F69" s="75" t="n">
        <x:v>1</x:v>
      </x:c>
      <x:c r="G69" s="24" t="str">
        <x:f>IF(E69=F69,"PASS","FAIL")</x:f>
        <x:v>PASS</x:v>
      </x:c>
    </x:row>
    <x:row r="70">
      <x:c r="B70" s="22" t="str">
        <x:v>AC-0064</x:v>
      </x:c>
      <x:c r="C70" s="22" t="str">
        <x:v>schedule</x:v>
      </x:c>
      <x:c r="D70" s="22" t="str">
        <x:v>row 15 positive duration</x:v>
      </x:c>
      <x:c r="E70" s="75" t="n">
        <x:f>IF('Workfront Schedule'!O15&gt;0,1,0)</x:f>
        <x:v>1</x:v>
      </x:c>
      <x:c r="F70" s="75" t="n">
        <x:v>1</x:v>
      </x:c>
      <x:c r="G70" s="24" t="str">
        <x:f>IF(E70=F70,"PASS","FAIL")</x:f>
        <x:v>PASS</x:v>
      </x:c>
    </x:row>
    <x:row r="71">
      <x:c r="B71" s="22" t="str">
        <x:v>AC-0065</x:v>
      </x:c>
      <x:c r="C71" s="22" t="str">
        <x:v>schedule</x:v>
      </x:c>
      <x:c r="D71" s="22" t="str">
        <x:v>row 15 end identity</x:v>
      </x:c>
      <x:c r="E71" s="75" t="n">
        <x:f>IF(ABS('Workfront Schedule'!P15-'Workfront Schedule'!N15-'Workfront Schedule'!O15)&lt;0.000001,1,0)</x:f>
        <x:v>1</x:v>
      </x:c>
      <x:c r="F71" s="75" t="n">
        <x:v>1</x:v>
      </x:c>
      <x:c r="G71" s="24" t="str">
        <x:f>IF(E71=F71,"PASS","FAIL")</x:f>
        <x:v>PASS</x:v>
      </x:c>
    </x:row>
    <x:row r="72">
      <x:c r="B72" s="22" t="str">
        <x:v>AC-0066</x:v>
      </x:c>
      <x:c r="C72" s="22" t="str">
        <x:v>schedule</x:v>
      </x:c>
      <x:c r="D72" s="22" t="str">
        <x:v>row 16 start after material</x:v>
      </x:c>
      <x:c r="E72" s="75" t="n">
        <x:f>IF('Workfront Schedule'!N16&gt;='Workfront Schedule'!K16,1,0)</x:f>
        <x:v>1</x:v>
      </x:c>
      <x:c r="F72" s="75" t="n">
        <x:v>1</x:v>
      </x:c>
      <x:c r="G72" s="24" t="str">
        <x:f>IF(E72=F72,"PASS","FAIL")</x:f>
        <x:v>PASS</x:v>
      </x:c>
    </x:row>
    <x:row r="73">
      <x:c r="B73" s="22" t="str">
        <x:v>AC-0067</x:v>
      </x:c>
      <x:c r="C73" s="22" t="str">
        <x:v>schedule</x:v>
      </x:c>
      <x:c r="D73" s="22" t="str">
        <x:v>row 16 start after access</x:v>
      </x:c>
      <x:c r="E73" s="75" t="n">
        <x:f>IF('Workfront Schedule'!N16&gt;='Workfront Schedule'!L16,1,0)</x:f>
        <x:v>1</x:v>
      </x:c>
      <x:c r="F73" s="75" t="n">
        <x:v>1</x:v>
      </x:c>
      <x:c r="G73" s="24" t="str">
        <x:f>IF(E73=F73,"PASS","FAIL")</x:f>
        <x:v>PASS</x:v>
      </x:c>
    </x:row>
    <x:row r="74">
      <x:c r="B74" s="22" t="str">
        <x:v>AC-0068</x:v>
      </x:c>
      <x:c r="C74" s="22" t="str">
        <x:v>schedule</x:v>
      </x:c>
      <x:c r="D74" s="22" t="str">
        <x:v>row 16 start after predecessor</x:v>
      </x:c>
      <x:c r="E74" s="75" t="n">
        <x:f>IF('Workfront Schedule'!N16&gt;='Workfront Schedule'!M16,1,0)</x:f>
        <x:v>1</x:v>
      </x:c>
      <x:c r="F74" s="75" t="n">
        <x:v>1</x:v>
      </x:c>
      <x:c r="G74" s="24" t="str">
        <x:f>IF(E74=F74,"PASS","FAIL")</x:f>
        <x:v>PASS</x:v>
      </x:c>
    </x:row>
    <x:row r="75">
      <x:c r="B75" s="22" t="str">
        <x:v>AC-0069</x:v>
      </x:c>
      <x:c r="C75" s="22" t="str">
        <x:v>schedule</x:v>
      </x:c>
      <x:c r="D75" s="22" t="str">
        <x:v>row 16 positive duration</x:v>
      </x:c>
      <x:c r="E75" s="75" t="n">
        <x:f>IF('Workfront Schedule'!O16&gt;0,1,0)</x:f>
        <x:v>1</x:v>
      </x:c>
      <x:c r="F75" s="75" t="n">
        <x:v>1</x:v>
      </x:c>
      <x:c r="G75" s="24" t="str">
        <x:f>IF(E75=F75,"PASS","FAIL")</x:f>
        <x:v>PASS</x:v>
      </x:c>
    </x:row>
    <x:row r="76">
      <x:c r="B76" s="22" t="str">
        <x:v>AC-0070</x:v>
      </x:c>
      <x:c r="C76" s="22" t="str">
        <x:v>schedule</x:v>
      </x:c>
      <x:c r="D76" s="22" t="str">
        <x:v>row 16 end identity</x:v>
      </x:c>
      <x:c r="E76" s="75" t="n">
        <x:f>IF(ABS('Workfront Schedule'!P16-'Workfront Schedule'!N16-'Workfront Schedule'!O16)&lt;0.000001,1,0)</x:f>
        <x:v>1</x:v>
      </x:c>
      <x:c r="F76" s="75" t="n">
        <x:v>1</x:v>
      </x:c>
      <x:c r="G76" s="24" t="str">
        <x:f>IF(E76=F76,"PASS","FAIL")</x:f>
        <x:v>PASS</x:v>
      </x:c>
    </x:row>
    <x:row r="77">
      <x:c r="B77" s="22" t="str">
        <x:v>AC-0071</x:v>
      </x:c>
      <x:c r="C77" s="22" t="str">
        <x:v>schedule</x:v>
      </x:c>
      <x:c r="D77" s="22" t="str">
        <x:v>row 17 start after material</x:v>
      </x:c>
      <x:c r="E77" s="75" t="n">
        <x:f>IF('Workfront Schedule'!N17&gt;='Workfront Schedule'!K17,1,0)</x:f>
        <x:v>1</x:v>
      </x:c>
      <x:c r="F77" s="75" t="n">
        <x:v>1</x:v>
      </x:c>
      <x:c r="G77" s="24" t="str">
        <x:f>IF(E77=F77,"PASS","FAIL")</x:f>
        <x:v>PASS</x:v>
      </x:c>
    </x:row>
    <x:row r="78">
      <x:c r="B78" s="22" t="str">
        <x:v>AC-0072</x:v>
      </x:c>
      <x:c r="C78" s="22" t="str">
        <x:v>schedule</x:v>
      </x:c>
      <x:c r="D78" s="22" t="str">
        <x:v>row 17 start after access</x:v>
      </x:c>
      <x:c r="E78" s="75" t="n">
        <x:f>IF('Workfront Schedule'!N17&gt;='Workfront Schedule'!L17,1,0)</x:f>
        <x:v>1</x:v>
      </x:c>
      <x:c r="F78" s="75" t="n">
        <x:v>1</x:v>
      </x:c>
      <x:c r="G78" s="24" t="str">
        <x:f>IF(E78=F78,"PASS","FAIL")</x:f>
        <x:v>PASS</x:v>
      </x:c>
    </x:row>
    <x:row r="79">
      <x:c r="B79" s="22" t="str">
        <x:v>AC-0073</x:v>
      </x:c>
      <x:c r="C79" s="22" t="str">
        <x:v>schedule</x:v>
      </x:c>
      <x:c r="D79" s="22" t="str">
        <x:v>row 17 start after predecessor</x:v>
      </x:c>
      <x:c r="E79" s="75" t="n">
        <x:f>IF('Workfront Schedule'!N17&gt;='Workfront Schedule'!M17,1,0)</x:f>
        <x:v>1</x:v>
      </x:c>
      <x:c r="F79" s="75" t="n">
        <x:v>1</x:v>
      </x:c>
      <x:c r="G79" s="24" t="str">
        <x:f>IF(E79=F79,"PASS","FAIL")</x:f>
        <x:v>PASS</x:v>
      </x:c>
    </x:row>
    <x:row r="80">
      <x:c r="B80" s="22" t="str">
        <x:v>AC-0074</x:v>
      </x:c>
      <x:c r="C80" s="22" t="str">
        <x:v>schedule</x:v>
      </x:c>
      <x:c r="D80" s="22" t="str">
        <x:v>row 17 positive duration</x:v>
      </x:c>
      <x:c r="E80" s="75" t="n">
        <x:f>IF('Workfront Schedule'!O17&gt;0,1,0)</x:f>
        <x:v>1</x:v>
      </x:c>
      <x:c r="F80" s="75" t="n">
        <x:v>1</x:v>
      </x:c>
      <x:c r="G80" s="24" t="str">
        <x:f>IF(E80=F80,"PASS","FAIL")</x:f>
        <x:v>PASS</x:v>
      </x:c>
    </x:row>
    <x:row r="81">
      <x:c r="B81" s="22" t="str">
        <x:v>AC-0075</x:v>
      </x:c>
      <x:c r="C81" s="22" t="str">
        <x:v>schedule</x:v>
      </x:c>
      <x:c r="D81" s="22" t="str">
        <x:v>row 17 end identity</x:v>
      </x:c>
      <x:c r="E81" s="75" t="n">
        <x:f>IF(ABS('Workfront Schedule'!P17-'Workfront Schedule'!N17-'Workfront Schedule'!O17)&lt;0.000001,1,0)</x:f>
        <x:v>1</x:v>
      </x:c>
      <x:c r="F81" s="75" t="n">
        <x:v>1</x:v>
      </x:c>
      <x:c r="G81" s="24" t="str">
        <x:f>IF(E81=F81,"PASS","FAIL")</x:f>
        <x:v>PASS</x:v>
      </x:c>
    </x:row>
    <x:row r="82">
      <x:c r="B82" s="22" t="str">
        <x:v>AC-0076</x:v>
      </x:c>
      <x:c r="C82" s="22" t="str">
        <x:v>schedule</x:v>
      </x:c>
      <x:c r="D82" s="22" t="str">
        <x:v>row 18 start after material</x:v>
      </x:c>
      <x:c r="E82" s="75" t="n">
        <x:f>IF('Workfront Schedule'!N18&gt;='Workfront Schedule'!K18,1,0)</x:f>
        <x:v>1</x:v>
      </x:c>
      <x:c r="F82" s="75" t="n">
        <x:v>1</x:v>
      </x:c>
      <x:c r="G82" s="24" t="str">
        <x:f>IF(E82=F82,"PASS","FAIL")</x:f>
        <x:v>PASS</x:v>
      </x:c>
    </x:row>
    <x:row r="83">
      <x:c r="B83" s="22" t="str">
        <x:v>AC-0077</x:v>
      </x:c>
      <x:c r="C83" s="22" t="str">
        <x:v>schedule</x:v>
      </x:c>
      <x:c r="D83" s="22" t="str">
        <x:v>row 18 start after access</x:v>
      </x:c>
      <x:c r="E83" s="75" t="n">
        <x:f>IF('Workfront Schedule'!N18&gt;='Workfront Schedule'!L18,1,0)</x:f>
        <x:v>1</x:v>
      </x:c>
      <x:c r="F83" s="75" t="n">
        <x:v>1</x:v>
      </x:c>
      <x:c r="G83" s="24" t="str">
        <x:f>IF(E83=F83,"PASS","FAIL")</x:f>
        <x:v>PASS</x:v>
      </x:c>
    </x:row>
    <x:row r="84">
      <x:c r="B84" s="22" t="str">
        <x:v>AC-0078</x:v>
      </x:c>
      <x:c r="C84" s="22" t="str">
        <x:v>schedule</x:v>
      </x:c>
      <x:c r="D84" s="22" t="str">
        <x:v>row 18 start after predecessor</x:v>
      </x:c>
      <x:c r="E84" s="75" t="n">
        <x:f>IF('Workfront Schedule'!N18&gt;='Workfront Schedule'!M18,1,0)</x:f>
        <x:v>1</x:v>
      </x:c>
      <x:c r="F84" s="75" t="n">
        <x:v>1</x:v>
      </x:c>
      <x:c r="G84" s="24" t="str">
        <x:f>IF(E84=F84,"PASS","FAIL")</x:f>
        <x:v>PASS</x:v>
      </x:c>
    </x:row>
    <x:row r="85">
      <x:c r="B85" s="22" t="str">
        <x:v>AC-0079</x:v>
      </x:c>
      <x:c r="C85" s="22" t="str">
        <x:v>schedule</x:v>
      </x:c>
      <x:c r="D85" s="22" t="str">
        <x:v>row 18 positive duration</x:v>
      </x:c>
      <x:c r="E85" s="75" t="n">
        <x:f>IF('Workfront Schedule'!O18&gt;0,1,0)</x:f>
        <x:v>1</x:v>
      </x:c>
      <x:c r="F85" s="75" t="n">
        <x:v>1</x:v>
      </x:c>
      <x:c r="G85" s="24" t="str">
        <x:f>IF(E85=F85,"PASS","FAIL")</x:f>
        <x:v>PASS</x:v>
      </x:c>
    </x:row>
    <x:row r="86">
      <x:c r="B86" s="22" t="str">
        <x:v>AC-0080</x:v>
      </x:c>
      <x:c r="C86" s="22" t="str">
        <x:v>schedule</x:v>
      </x:c>
      <x:c r="D86" s="22" t="str">
        <x:v>row 18 end identity</x:v>
      </x:c>
      <x:c r="E86" s="75" t="n">
        <x:f>IF(ABS('Workfront Schedule'!P18-'Workfront Schedule'!N18-'Workfront Schedule'!O18)&lt;0.000001,1,0)</x:f>
        <x:v>1</x:v>
      </x:c>
      <x:c r="F86" s="75" t="n">
        <x:v>1</x:v>
      </x:c>
      <x:c r="G86" s="24" t="str">
        <x:f>IF(E86=F86,"PASS","FAIL")</x:f>
        <x:v>PASS</x:v>
      </x:c>
    </x:row>
    <x:row r="87">
      <x:c r="B87" s="22" t="str">
        <x:v>AC-0081</x:v>
      </x:c>
      <x:c r="C87" s="22" t="str">
        <x:v>schedule</x:v>
      </x:c>
      <x:c r="D87" s="22" t="str">
        <x:v>row 19 start after material</x:v>
      </x:c>
      <x:c r="E87" s="75" t="n">
        <x:f>IF('Workfront Schedule'!N19&gt;='Workfront Schedule'!K19,1,0)</x:f>
        <x:v>1</x:v>
      </x:c>
      <x:c r="F87" s="75" t="n">
        <x:v>1</x:v>
      </x:c>
      <x:c r="G87" s="24" t="str">
        <x:f>IF(E87=F87,"PASS","FAIL")</x:f>
        <x:v>PASS</x:v>
      </x:c>
    </x:row>
    <x:row r="88">
      <x:c r="B88" s="22" t="str">
        <x:v>AC-0082</x:v>
      </x:c>
      <x:c r="C88" s="22" t="str">
        <x:v>schedule</x:v>
      </x:c>
      <x:c r="D88" s="22" t="str">
        <x:v>row 19 start after access</x:v>
      </x:c>
      <x:c r="E88" s="75" t="n">
        <x:f>IF('Workfront Schedule'!N19&gt;='Workfront Schedule'!L19,1,0)</x:f>
        <x:v>1</x:v>
      </x:c>
      <x:c r="F88" s="75" t="n">
        <x:v>1</x:v>
      </x:c>
      <x:c r="G88" s="24" t="str">
        <x:f>IF(E88=F88,"PASS","FAIL")</x:f>
        <x:v>PASS</x:v>
      </x:c>
    </x:row>
    <x:row r="89">
      <x:c r="B89" s="22" t="str">
        <x:v>AC-0083</x:v>
      </x:c>
      <x:c r="C89" s="22" t="str">
        <x:v>schedule</x:v>
      </x:c>
      <x:c r="D89" s="22" t="str">
        <x:v>row 19 start after predecessor</x:v>
      </x:c>
      <x:c r="E89" s="75" t="n">
        <x:f>IF('Workfront Schedule'!N19&gt;='Workfront Schedule'!M19,1,0)</x:f>
        <x:v>1</x:v>
      </x:c>
      <x:c r="F89" s="75" t="n">
        <x:v>1</x:v>
      </x:c>
      <x:c r="G89" s="24" t="str">
        <x:f>IF(E89=F89,"PASS","FAIL")</x:f>
        <x:v>PASS</x:v>
      </x:c>
    </x:row>
    <x:row r="90">
      <x:c r="B90" s="22" t="str">
        <x:v>AC-0084</x:v>
      </x:c>
      <x:c r="C90" s="22" t="str">
        <x:v>schedule</x:v>
      </x:c>
      <x:c r="D90" s="22" t="str">
        <x:v>row 19 positive duration</x:v>
      </x:c>
      <x:c r="E90" s="75" t="n">
        <x:f>IF('Workfront Schedule'!O19&gt;0,1,0)</x:f>
        <x:v>1</x:v>
      </x:c>
      <x:c r="F90" s="75" t="n">
        <x:v>1</x:v>
      </x:c>
      <x:c r="G90" s="24" t="str">
        <x:f>IF(E90=F90,"PASS","FAIL")</x:f>
        <x:v>PASS</x:v>
      </x:c>
    </x:row>
    <x:row r="91">
      <x:c r="B91" s="22" t="str">
        <x:v>AC-0085</x:v>
      </x:c>
      <x:c r="C91" s="22" t="str">
        <x:v>schedule</x:v>
      </x:c>
      <x:c r="D91" s="22" t="str">
        <x:v>row 19 end identity</x:v>
      </x:c>
      <x:c r="E91" s="75" t="n">
        <x:f>IF(ABS('Workfront Schedule'!P19-'Workfront Schedule'!N19-'Workfront Schedule'!O19)&lt;0.000001,1,0)</x:f>
        <x:v>1</x:v>
      </x:c>
      <x:c r="F91" s="75" t="n">
        <x:v>1</x:v>
      </x:c>
      <x:c r="G91" s="24" t="str">
        <x:f>IF(E91=F91,"PASS","FAIL")</x:f>
        <x:v>PASS</x:v>
      </x:c>
    </x:row>
    <x:row r="92">
      <x:c r="B92" s="22" t="str">
        <x:v>AC-0086</x:v>
      </x:c>
      <x:c r="C92" s="22" t="str">
        <x:v>schedule</x:v>
      </x:c>
      <x:c r="D92" s="22" t="str">
        <x:v>row 20 start after material</x:v>
      </x:c>
      <x:c r="E92" s="75" t="n">
        <x:f>IF('Workfront Schedule'!N20&gt;='Workfront Schedule'!K20,1,0)</x:f>
        <x:v>1</x:v>
      </x:c>
      <x:c r="F92" s="75" t="n">
        <x:v>1</x:v>
      </x:c>
      <x:c r="G92" s="24" t="str">
        <x:f>IF(E92=F92,"PASS","FAIL")</x:f>
        <x:v>PASS</x:v>
      </x:c>
    </x:row>
    <x:row r="93">
      <x:c r="B93" s="22" t="str">
        <x:v>AC-0087</x:v>
      </x:c>
      <x:c r="C93" s="22" t="str">
        <x:v>schedule</x:v>
      </x:c>
      <x:c r="D93" s="22" t="str">
        <x:v>row 20 start after access</x:v>
      </x:c>
      <x:c r="E93" s="75" t="n">
        <x:f>IF('Workfront Schedule'!N20&gt;='Workfront Schedule'!L20,1,0)</x:f>
        <x:v>1</x:v>
      </x:c>
      <x:c r="F93" s="75" t="n">
        <x:v>1</x:v>
      </x:c>
      <x:c r="G93" s="24" t="str">
        <x:f>IF(E93=F93,"PASS","FAIL")</x:f>
        <x:v>PASS</x:v>
      </x:c>
    </x:row>
    <x:row r="94">
      <x:c r="B94" s="22" t="str">
        <x:v>AC-0088</x:v>
      </x:c>
      <x:c r="C94" s="22" t="str">
        <x:v>schedule</x:v>
      </x:c>
      <x:c r="D94" s="22" t="str">
        <x:v>row 20 start after predecessor</x:v>
      </x:c>
      <x:c r="E94" s="75" t="n">
        <x:f>IF('Workfront Schedule'!N20&gt;='Workfront Schedule'!M20,1,0)</x:f>
        <x:v>1</x:v>
      </x:c>
      <x:c r="F94" s="75" t="n">
        <x:v>1</x:v>
      </x:c>
      <x:c r="G94" s="24" t="str">
        <x:f>IF(E94=F94,"PASS","FAIL")</x:f>
        <x:v>PASS</x:v>
      </x:c>
    </x:row>
    <x:row r="95">
      <x:c r="B95" s="22" t="str">
        <x:v>AC-0089</x:v>
      </x:c>
      <x:c r="C95" s="22" t="str">
        <x:v>schedule</x:v>
      </x:c>
      <x:c r="D95" s="22" t="str">
        <x:v>row 20 positive duration</x:v>
      </x:c>
      <x:c r="E95" s="75" t="n">
        <x:f>IF('Workfront Schedule'!O20&gt;0,1,0)</x:f>
        <x:v>1</x:v>
      </x:c>
      <x:c r="F95" s="75" t="n">
        <x:v>1</x:v>
      </x:c>
      <x:c r="G95" s="24" t="str">
        <x:f>IF(E95=F95,"PASS","FAIL")</x:f>
        <x:v>PASS</x:v>
      </x:c>
    </x:row>
    <x:row r="96">
      <x:c r="B96" s="22" t="str">
        <x:v>AC-0090</x:v>
      </x:c>
      <x:c r="C96" s="22" t="str">
        <x:v>schedule</x:v>
      </x:c>
      <x:c r="D96" s="22" t="str">
        <x:v>row 20 end identity</x:v>
      </x:c>
      <x:c r="E96" s="75" t="n">
        <x:f>IF(ABS('Workfront Schedule'!P20-'Workfront Schedule'!N20-'Workfront Schedule'!O20)&lt;0.000001,1,0)</x:f>
        <x:v>1</x:v>
      </x:c>
      <x:c r="F96" s="75" t="n">
        <x:v>1</x:v>
      </x:c>
      <x:c r="G96" s="24" t="str">
        <x:f>IF(E96=F96,"PASS","FAIL")</x:f>
        <x:v>PASS</x:v>
      </x:c>
    </x:row>
    <x:row r="97">
      <x:c r="B97" s="22" t="str">
        <x:v>AC-0091</x:v>
      </x:c>
      <x:c r="C97" s="22" t="str">
        <x:v>schedule</x:v>
      </x:c>
      <x:c r="D97" s="22" t="str">
        <x:v>row 21 start after material</x:v>
      </x:c>
      <x:c r="E97" s="75" t="n">
        <x:f>IF('Workfront Schedule'!N21&gt;='Workfront Schedule'!K21,1,0)</x:f>
        <x:v>1</x:v>
      </x:c>
      <x:c r="F97" s="75" t="n">
        <x:v>1</x:v>
      </x:c>
      <x:c r="G97" s="24" t="str">
        <x:f>IF(E97=F97,"PASS","FAIL")</x:f>
        <x:v>PASS</x:v>
      </x:c>
    </x:row>
    <x:row r="98">
      <x:c r="B98" s="22" t="str">
        <x:v>AC-0092</x:v>
      </x:c>
      <x:c r="C98" s="22" t="str">
        <x:v>schedule</x:v>
      </x:c>
      <x:c r="D98" s="22" t="str">
        <x:v>row 21 start after access</x:v>
      </x:c>
      <x:c r="E98" s="75" t="n">
        <x:f>IF('Workfront Schedule'!N21&gt;='Workfront Schedule'!L21,1,0)</x:f>
        <x:v>1</x:v>
      </x:c>
      <x:c r="F98" s="75" t="n">
        <x:v>1</x:v>
      </x:c>
      <x:c r="G98" s="24" t="str">
        <x:f>IF(E98=F98,"PASS","FAIL")</x:f>
        <x:v>PASS</x:v>
      </x:c>
    </x:row>
    <x:row r="99">
      <x:c r="B99" s="22" t="str">
        <x:v>AC-0093</x:v>
      </x:c>
      <x:c r="C99" s="22" t="str">
        <x:v>schedule</x:v>
      </x:c>
      <x:c r="D99" s="22" t="str">
        <x:v>row 21 start after predecessor</x:v>
      </x:c>
      <x:c r="E99" s="75" t="n">
        <x:f>IF('Workfront Schedule'!N21&gt;='Workfront Schedule'!M21,1,0)</x:f>
        <x:v>1</x:v>
      </x:c>
      <x:c r="F99" s="75" t="n">
        <x:v>1</x:v>
      </x:c>
      <x:c r="G99" s="24" t="str">
        <x:f>IF(E99=F99,"PASS","FAIL")</x:f>
        <x:v>PASS</x:v>
      </x:c>
    </x:row>
    <x:row r="100">
      <x:c r="B100" s="22" t="str">
        <x:v>AC-0094</x:v>
      </x:c>
      <x:c r="C100" s="22" t="str">
        <x:v>schedule</x:v>
      </x:c>
      <x:c r="D100" s="22" t="str">
        <x:v>row 21 positive duration</x:v>
      </x:c>
      <x:c r="E100" s="75" t="n">
        <x:f>IF('Workfront Schedule'!O21&gt;0,1,0)</x:f>
        <x:v>1</x:v>
      </x:c>
      <x:c r="F100" s="75" t="n">
        <x:v>1</x:v>
      </x:c>
      <x:c r="G100" s="24" t="str">
        <x:f>IF(E100=F100,"PASS","FAIL")</x:f>
        <x:v>PASS</x:v>
      </x:c>
    </x:row>
    <x:row r="101">
      <x:c r="B101" s="22" t="str">
        <x:v>AC-0095</x:v>
      </x:c>
      <x:c r="C101" s="22" t="str">
        <x:v>schedule</x:v>
      </x:c>
      <x:c r="D101" s="22" t="str">
        <x:v>row 21 end identity</x:v>
      </x:c>
      <x:c r="E101" s="75" t="n">
        <x:f>IF(ABS('Workfront Schedule'!P21-'Workfront Schedule'!N21-'Workfront Schedule'!O21)&lt;0.000001,1,0)</x:f>
        <x:v>1</x:v>
      </x:c>
      <x:c r="F101" s="75" t="n">
        <x:v>1</x:v>
      </x:c>
      <x:c r="G101" s="24" t="str">
        <x:f>IF(E101=F101,"PASS","FAIL")</x:f>
        <x:v>PASS</x:v>
      </x:c>
    </x:row>
    <x:row r="102">
      <x:c r="B102" s="22" t="str">
        <x:v>AC-0096</x:v>
      </x:c>
      <x:c r="C102" s="22" t="str">
        <x:v>schedule</x:v>
      </x:c>
      <x:c r="D102" s="22" t="str">
        <x:v>row 22 start after material</x:v>
      </x:c>
      <x:c r="E102" s="75" t="n">
        <x:f>IF('Workfront Schedule'!N22&gt;='Workfront Schedule'!K22,1,0)</x:f>
        <x:v>1</x:v>
      </x:c>
      <x:c r="F102" s="75" t="n">
        <x:v>1</x:v>
      </x:c>
      <x:c r="G102" s="24" t="str">
        <x:f>IF(E102=F102,"PASS","FAIL")</x:f>
        <x:v>PASS</x:v>
      </x:c>
    </x:row>
    <x:row r="103">
      <x:c r="B103" s="22" t="str">
        <x:v>AC-0097</x:v>
      </x:c>
      <x:c r="C103" s="22" t="str">
        <x:v>schedule</x:v>
      </x:c>
      <x:c r="D103" s="22" t="str">
        <x:v>row 22 start after access</x:v>
      </x:c>
      <x:c r="E103" s="75" t="n">
        <x:f>IF('Workfront Schedule'!N22&gt;='Workfront Schedule'!L22,1,0)</x:f>
        <x:v>1</x:v>
      </x:c>
      <x:c r="F103" s="75" t="n">
        <x:v>1</x:v>
      </x:c>
      <x:c r="G103" s="24" t="str">
        <x:f>IF(E103=F103,"PASS","FAIL")</x:f>
        <x:v>PASS</x:v>
      </x:c>
    </x:row>
    <x:row r="104">
      <x:c r="B104" s="22" t="str">
        <x:v>AC-0098</x:v>
      </x:c>
      <x:c r="C104" s="22" t="str">
        <x:v>schedule</x:v>
      </x:c>
      <x:c r="D104" s="22" t="str">
        <x:v>row 22 start after predecessor</x:v>
      </x:c>
      <x:c r="E104" s="75" t="n">
        <x:f>IF('Workfront Schedule'!N22&gt;='Workfront Schedule'!M22,1,0)</x:f>
        <x:v>1</x:v>
      </x:c>
      <x:c r="F104" s="75" t="n">
        <x:v>1</x:v>
      </x:c>
      <x:c r="G104" s="24" t="str">
        <x:f>IF(E104=F104,"PASS","FAIL")</x:f>
        <x:v>PASS</x:v>
      </x:c>
    </x:row>
    <x:row r="105">
      <x:c r="B105" s="22" t="str">
        <x:v>AC-0099</x:v>
      </x:c>
      <x:c r="C105" s="22" t="str">
        <x:v>schedule</x:v>
      </x:c>
      <x:c r="D105" s="22" t="str">
        <x:v>row 22 positive duration</x:v>
      </x:c>
      <x:c r="E105" s="75" t="n">
        <x:f>IF('Workfront Schedule'!O22&gt;0,1,0)</x:f>
        <x:v>1</x:v>
      </x:c>
      <x:c r="F105" s="75" t="n">
        <x:v>1</x:v>
      </x:c>
      <x:c r="G105" s="24" t="str">
        <x:f>IF(E105=F105,"PASS","FAIL")</x:f>
        <x:v>PASS</x:v>
      </x:c>
    </x:row>
    <x:row r="106">
      <x:c r="B106" s="22" t="str">
        <x:v>AC-0100</x:v>
      </x:c>
      <x:c r="C106" s="22" t="str">
        <x:v>schedule</x:v>
      </x:c>
      <x:c r="D106" s="22" t="str">
        <x:v>row 22 end identity</x:v>
      </x:c>
      <x:c r="E106" s="75" t="n">
        <x:f>IF(ABS('Workfront Schedule'!P22-'Workfront Schedule'!N22-'Workfront Schedule'!O22)&lt;0.000001,1,0)</x:f>
        <x:v>1</x:v>
      </x:c>
      <x:c r="F106" s="75" t="n">
        <x:v>1</x:v>
      </x:c>
      <x:c r="G106" s="24" t="str">
        <x:f>IF(E106=F106,"PASS","FAIL")</x:f>
        <x:v>PASS</x:v>
      </x:c>
    </x:row>
    <x:row r="107">
      <x:c r="B107" s="22" t="str">
        <x:v>AC-0101</x:v>
      </x:c>
      <x:c r="C107" s="22" t="str">
        <x:v>schedule</x:v>
      </x:c>
      <x:c r="D107" s="22" t="str">
        <x:v>row 23 start after material</x:v>
      </x:c>
      <x:c r="E107" s="75" t="n">
        <x:f>IF('Workfront Schedule'!N23&gt;='Workfront Schedule'!K23,1,0)</x:f>
        <x:v>1</x:v>
      </x:c>
      <x:c r="F107" s="75" t="n">
        <x:v>1</x:v>
      </x:c>
      <x:c r="G107" s="24" t="str">
        <x:f>IF(E107=F107,"PASS","FAIL")</x:f>
        <x:v>PASS</x:v>
      </x:c>
    </x:row>
    <x:row r="108">
      <x:c r="B108" s="22" t="str">
        <x:v>AC-0102</x:v>
      </x:c>
      <x:c r="C108" s="22" t="str">
        <x:v>schedule</x:v>
      </x:c>
      <x:c r="D108" s="22" t="str">
        <x:v>row 23 start after access</x:v>
      </x:c>
      <x:c r="E108" s="75" t="n">
        <x:f>IF('Workfront Schedule'!N23&gt;='Workfront Schedule'!L23,1,0)</x:f>
        <x:v>1</x:v>
      </x:c>
      <x:c r="F108" s="75" t="n">
        <x:v>1</x:v>
      </x:c>
      <x:c r="G108" s="24" t="str">
        <x:f>IF(E108=F108,"PASS","FAIL")</x:f>
        <x:v>PASS</x:v>
      </x:c>
    </x:row>
    <x:row r="109">
      <x:c r="B109" s="22" t="str">
        <x:v>AC-0103</x:v>
      </x:c>
      <x:c r="C109" s="22" t="str">
        <x:v>schedule</x:v>
      </x:c>
      <x:c r="D109" s="22" t="str">
        <x:v>row 23 start after predecessor</x:v>
      </x:c>
      <x:c r="E109" s="75" t="n">
        <x:f>IF('Workfront Schedule'!N23&gt;='Workfront Schedule'!M23,1,0)</x:f>
        <x:v>1</x:v>
      </x:c>
      <x:c r="F109" s="75" t="n">
        <x:v>1</x:v>
      </x:c>
      <x:c r="G109" s="24" t="str">
        <x:f>IF(E109=F109,"PASS","FAIL")</x:f>
        <x:v>PASS</x:v>
      </x:c>
    </x:row>
    <x:row r="110">
      <x:c r="B110" s="22" t="str">
        <x:v>AC-0104</x:v>
      </x:c>
      <x:c r="C110" s="22" t="str">
        <x:v>schedule</x:v>
      </x:c>
      <x:c r="D110" s="22" t="str">
        <x:v>row 23 positive duration</x:v>
      </x:c>
      <x:c r="E110" s="75" t="n">
        <x:f>IF('Workfront Schedule'!O23&gt;0,1,0)</x:f>
        <x:v>1</x:v>
      </x:c>
      <x:c r="F110" s="75" t="n">
        <x:v>1</x:v>
      </x:c>
      <x:c r="G110" s="24" t="str">
        <x:f>IF(E110=F110,"PASS","FAIL")</x:f>
        <x:v>PASS</x:v>
      </x:c>
    </x:row>
    <x:row r="111">
      <x:c r="B111" s="22" t="str">
        <x:v>AC-0105</x:v>
      </x:c>
      <x:c r="C111" s="22" t="str">
        <x:v>schedule</x:v>
      </x:c>
      <x:c r="D111" s="22" t="str">
        <x:v>row 23 end identity</x:v>
      </x:c>
      <x:c r="E111" s="75" t="n">
        <x:f>IF(ABS('Workfront Schedule'!P23-'Workfront Schedule'!N23-'Workfront Schedule'!O23)&lt;0.000001,1,0)</x:f>
        <x:v>1</x:v>
      </x:c>
      <x:c r="F111" s="75" t="n">
        <x:v>1</x:v>
      </x:c>
      <x:c r="G111" s="24" t="str">
        <x:f>IF(E111=F111,"PASS","FAIL")</x:f>
        <x:v>PASS</x:v>
      </x:c>
    </x:row>
    <x:row r="112">
      <x:c r="B112" s="22" t="str">
        <x:v>AC-0106</x:v>
      </x:c>
      <x:c r="C112" s="22" t="str">
        <x:v>schedule</x:v>
      </x:c>
      <x:c r="D112" s="22" t="str">
        <x:v>row 24 start after material</x:v>
      </x:c>
      <x:c r="E112" s="75" t="n">
        <x:f>IF('Workfront Schedule'!N24&gt;='Workfront Schedule'!K24,1,0)</x:f>
        <x:v>1</x:v>
      </x:c>
      <x:c r="F112" s="75" t="n">
        <x:v>1</x:v>
      </x:c>
      <x:c r="G112" s="24" t="str">
        <x:f>IF(E112=F112,"PASS","FAIL")</x:f>
        <x:v>PASS</x:v>
      </x:c>
    </x:row>
    <x:row r="113">
      <x:c r="B113" s="22" t="str">
        <x:v>AC-0107</x:v>
      </x:c>
      <x:c r="C113" s="22" t="str">
        <x:v>schedule</x:v>
      </x:c>
      <x:c r="D113" s="22" t="str">
        <x:v>row 24 start after access</x:v>
      </x:c>
      <x:c r="E113" s="75" t="n">
        <x:f>IF('Workfront Schedule'!N24&gt;='Workfront Schedule'!L24,1,0)</x:f>
        <x:v>1</x:v>
      </x:c>
      <x:c r="F113" s="75" t="n">
        <x:v>1</x:v>
      </x:c>
      <x:c r="G113" s="24" t="str">
        <x:f>IF(E113=F113,"PASS","FAIL")</x:f>
        <x:v>PASS</x:v>
      </x:c>
    </x:row>
    <x:row r="114">
      <x:c r="B114" s="22" t="str">
        <x:v>AC-0108</x:v>
      </x:c>
      <x:c r="C114" s="22" t="str">
        <x:v>schedule</x:v>
      </x:c>
      <x:c r="D114" s="22" t="str">
        <x:v>row 24 start after predecessor</x:v>
      </x:c>
      <x:c r="E114" s="75" t="n">
        <x:f>IF('Workfront Schedule'!N24&gt;='Workfront Schedule'!M24,1,0)</x:f>
        <x:v>1</x:v>
      </x:c>
      <x:c r="F114" s="75" t="n">
        <x:v>1</x:v>
      </x:c>
      <x:c r="G114" s="24" t="str">
        <x:f>IF(E114=F114,"PASS","FAIL")</x:f>
        <x:v>PASS</x:v>
      </x:c>
    </x:row>
    <x:row r="115">
      <x:c r="B115" s="22" t="str">
        <x:v>AC-0109</x:v>
      </x:c>
      <x:c r="C115" s="22" t="str">
        <x:v>schedule</x:v>
      </x:c>
      <x:c r="D115" s="22" t="str">
        <x:v>row 24 positive duration</x:v>
      </x:c>
      <x:c r="E115" s="75" t="n">
        <x:f>IF('Workfront Schedule'!O24&gt;0,1,0)</x:f>
        <x:v>1</x:v>
      </x:c>
      <x:c r="F115" s="75" t="n">
        <x:v>1</x:v>
      </x:c>
      <x:c r="G115" s="24" t="str">
        <x:f>IF(E115=F115,"PASS","FAIL")</x:f>
        <x:v>PASS</x:v>
      </x:c>
    </x:row>
    <x:row r="116">
      <x:c r="B116" s="22" t="str">
        <x:v>AC-0110</x:v>
      </x:c>
      <x:c r="C116" s="22" t="str">
        <x:v>schedule</x:v>
      </x:c>
      <x:c r="D116" s="22" t="str">
        <x:v>row 24 end identity</x:v>
      </x:c>
      <x:c r="E116" s="75" t="n">
        <x:f>IF(ABS('Workfront Schedule'!P24-'Workfront Schedule'!N24-'Workfront Schedule'!O24)&lt;0.000001,1,0)</x:f>
        <x:v>1</x:v>
      </x:c>
      <x:c r="F116" s="75" t="n">
        <x:v>1</x:v>
      </x:c>
      <x:c r="G116" s="24" t="str">
        <x:f>IF(E116=F116,"PASS","FAIL")</x:f>
        <x:v>PASS</x:v>
      </x:c>
    </x:row>
    <x:row r="117">
      <x:c r="B117" s="22" t="str">
        <x:v>AC-0111</x:v>
      </x:c>
      <x:c r="C117" s="22" t="str">
        <x:v>schedule</x:v>
      </x:c>
      <x:c r="D117" s="22" t="str">
        <x:v>row 25 start after material</x:v>
      </x:c>
      <x:c r="E117" s="75" t="n">
        <x:f>IF('Workfront Schedule'!N25&gt;='Workfront Schedule'!K25,1,0)</x:f>
        <x:v>1</x:v>
      </x:c>
      <x:c r="F117" s="75" t="n">
        <x:v>1</x:v>
      </x:c>
      <x:c r="G117" s="24" t="str">
        <x:f>IF(E117=F117,"PASS","FAIL")</x:f>
        <x:v>PASS</x:v>
      </x:c>
    </x:row>
    <x:row r="118">
      <x:c r="B118" s="22" t="str">
        <x:v>AC-0112</x:v>
      </x:c>
      <x:c r="C118" s="22" t="str">
        <x:v>schedule</x:v>
      </x:c>
      <x:c r="D118" s="22" t="str">
        <x:v>row 25 start after access</x:v>
      </x:c>
      <x:c r="E118" s="75" t="n">
        <x:f>IF('Workfront Schedule'!N25&gt;='Workfront Schedule'!L25,1,0)</x:f>
        <x:v>1</x:v>
      </x:c>
      <x:c r="F118" s="75" t="n">
        <x:v>1</x:v>
      </x:c>
      <x:c r="G118" s="24" t="str">
        <x:f>IF(E118=F118,"PASS","FAIL")</x:f>
        <x:v>PASS</x:v>
      </x:c>
    </x:row>
    <x:row r="119">
      <x:c r="B119" s="22" t="str">
        <x:v>AC-0113</x:v>
      </x:c>
      <x:c r="C119" s="22" t="str">
        <x:v>schedule</x:v>
      </x:c>
      <x:c r="D119" s="22" t="str">
        <x:v>row 25 start after predecessor</x:v>
      </x:c>
      <x:c r="E119" s="75" t="n">
        <x:f>IF('Workfront Schedule'!N25&gt;='Workfront Schedule'!M25,1,0)</x:f>
        <x:v>1</x:v>
      </x:c>
      <x:c r="F119" s="75" t="n">
        <x:v>1</x:v>
      </x:c>
      <x:c r="G119" s="24" t="str">
        <x:f>IF(E119=F119,"PASS","FAIL")</x:f>
        <x:v>PASS</x:v>
      </x:c>
    </x:row>
    <x:row r="120">
      <x:c r="B120" s="22" t="str">
        <x:v>AC-0114</x:v>
      </x:c>
      <x:c r="C120" s="22" t="str">
        <x:v>schedule</x:v>
      </x:c>
      <x:c r="D120" s="22" t="str">
        <x:v>row 25 positive duration</x:v>
      </x:c>
      <x:c r="E120" s="75" t="n">
        <x:f>IF('Workfront Schedule'!O25&gt;0,1,0)</x:f>
        <x:v>1</x:v>
      </x:c>
      <x:c r="F120" s="75" t="n">
        <x:v>1</x:v>
      </x:c>
      <x:c r="G120" s="24" t="str">
        <x:f>IF(E120=F120,"PASS","FAIL")</x:f>
        <x:v>PASS</x:v>
      </x:c>
    </x:row>
    <x:row r="121">
      <x:c r="B121" s="22" t="str">
        <x:v>AC-0115</x:v>
      </x:c>
      <x:c r="C121" s="22" t="str">
        <x:v>schedule</x:v>
      </x:c>
      <x:c r="D121" s="22" t="str">
        <x:v>row 25 end identity</x:v>
      </x:c>
      <x:c r="E121" s="75" t="n">
        <x:f>IF(ABS('Workfront Schedule'!P25-'Workfront Schedule'!N25-'Workfront Schedule'!O25)&lt;0.000001,1,0)</x:f>
        <x:v>1</x:v>
      </x:c>
      <x:c r="F121" s="75" t="n">
        <x:v>1</x:v>
      </x:c>
      <x:c r="G121" s="24" t="str">
        <x:f>IF(E121=F121,"PASS","FAIL")</x:f>
        <x:v>PASS</x:v>
      </x:c>
    </x:row>
    <x:row r="122">
      <x:c r="B122" s="22" t="str">
        <x:v>AC-0116</x:v>
      </x:c>
      <x:c r="C122" s="22" t="str">
        <x:v>schedule</x:v>
      </x:c>
      <x:c r="D122" s="22" t="str">
        <x:v>row 26 start after material</x:v>
      </x:c>
      <x:c r="E122" s="75" t="n">
        <x:f>IF('Workfront Schedule'!N26&gt;='Workfront Schedule'!K26,1,0)</x:f>
        <x:v>1</x:v>
      </x:c>
      <x:c r="F122" s="75" t="n">
        <x:v>1</x:v>
      </x:c>
      <x:c r="G122" s="24" t="str">
        <x:f>IF(E122=F122,"PASS","FAIL")</x:f>
        <x:v>PASS</x:v>
      </x:c>
    </x:row>
    <x:row r="123">
      <x:c r="B123" s="22" t="str">
        <x:v>AC-0117</x:v>
      </x:c>
      <x:c r="C123" s="22" t="str">
        <x:v>schedule</x:v>
      </x:c>
      <x:c r="D123" s="22" t="str">
        <x:v>row 26 start after access</x:v>
      </x:c>
      <x:c r="E123" s="75" t="n">
        <x:f>IF('Workfront Schedule'!N26&gt;='Workfront Schedule'!L26,1,0)</x:f>
        <x:v>1</x:v>
      </x:c>
      <x:c r="F123" s="75" t="n">
        <x:v>1</x:v>
      </x:c>
      <x:c r="G123" s="24" t="str">
        <x:f>IF(E123=F123,"PASS","FAIL")</x:f>
        <x:v>PASS</x:v>
      </x:c>
    </x:row>
    <x:row r="124">
      <x:c r="B124" s="22" t="str">
        <x:v>AC-0118</x:v>
      </x:c>
      <x:c r="C124" s="22" t="str">
        <x:v>schedule</x:v>
      </x:c>
      <x:c r="D124" s="22" t="str">
        <x:v>row 26 start after predecessor</x:v>
      </x:c>
      <x:c r="E124" s="75" t="n">
        <x:f>IF('Workfront Schedule'!N26&gt;='Workfront Schedule'!M26,1,0)</x:f>
        <x:v>1</x:v>
      </x:c>
      <x:c r="F124" s="75" t="n">
        <x:v>1</x:v>
      </x:c>
      <x:c r="G124" s="24" t="str">
        <x:f>IF(E124=F124,"PASS","FAIL")</x:f>
        <x:v>PASS</x:v>
      </x:c>
    </x:row>
    <x:row r="125">
      <x:c r="B125" s="22" t="str">
        <x:v>AC-0119</x:v>
      </x:c>
      <x:c r="C125" s="22" t="str">
        <x:v>schedule</x:v>
      </x:c>
      <x:c r="D125" s="22" t="str">
        <x:v>row 26 positive duration</x:v>
      </x:c>
      <x:c r="E125" s="75" t="n">
        <x:f>IF('Workfront Schedule'!O26&gt;0,1,0)</x:f>
        <x:v>1</x:v>
      </x:c>
      <x:c r="F125" s="75" t="n">
        <x:v>1</x:v>
      </x:c>
      <x:c r="G125" s="24" t="str">
        <x:f>IF(E125=F125,"PASS","FAIL")</x:f>
        <x:v>PASS</x:v>
      </x:c>
    </x:row>
    <x:row r="126">
      <x:c r="B126" s="22" t="str">
        <x:v>AC-0120</x:v>
      </x:c>
      <x:c r="C126" s="22" t="str">
        <x:v>schedule</x:v>
      </x:c>
      <x:c r="D126" s="22" t="str">
        <x:v>row 26 end identity</x:v>
      </x:c>
      <x:c r="E126" s="75" t="n">
        <x:f>IF(ABS('Workfront Schedule'!P26-'Workfront Schedule'!N26-'Workfront Schedule'!O26)&lt;0.000001,1,0)</x:f>
        <x:v>1</x:v>
      </x:c>
      <x:c r="F126" s="75" t="n">
        <x:v>1</x:v>
      </x:c>
      <x:c r="G126" s="24" t="str">
        <x:f>IF(E126=F126,"PASS","FAIL")</x:f>
        <x:v>PASS</x:v>
      </x:c>
    </x:row>
    <x:row r="127">
      <x:c r="B127" s="22" t="str">
        <x:v>AC-0121</x:v>
      </x:c>
      <x:c r="C127" s="22" t="str">
        <x:v>schedule</x:v>
      </x:c>
      <x:c r="D127" s="22" t="str">
        <x:v>row 27 start after material</x:v>
      </x:c>
      <x:c r="E127" s="75" t="n">
        <x:f>IF('Workfront Schedule'!N27&gt;='Workfront Schedule'!K27,1,0)</x:f>
        <x:v>1</x:v>
      </x:c>
      <x:c r="F127" s="75" t="n">
        <x:v>1</x:v>
      </x:c>
      <x:c r="G127" s="24" t="str">
        <x:f>IF(E127=F127,"PASS","FAIL")</x:f>
        <x:v>PASS</x:v>
      </x:c>
    </x:row>
    <x:row r="128">
      <x:c r="B128" s="22" t="str">
        <x:v>AC-0122</x:v>
      </x:c>
      <x:c r="C128" s="22" t="str">
        <x:v>schedule</x:v>
      </x:c>
      <x:c r="D128" s="22" t="str">
        <x:v>row 27 start after access</x:v>
      </x:c>
      <x:c r="E128" s="75" t="n">
        <x:f>IF('Workfront Schedule'!N27&gt;='Workfront Schedule'!L27,1,0)</x:f>
        <x:v>1</x:v>
      </x:c>
      <x:c r="F128" s="75" t="n">
        <x:v>1</x:v>
      </x:c>
      <x:c r="G128" s="24" t="str">
        <x:f>IF(E128=F128,"PASS","FAIL")</x:f>
        <x:v>PASS</x:v>
      </x:c>
    </x:row>
    <x:row r="129">
      <x:c r="B129" s="22" t="str">
        <x:v>AC-0123</x:v>
      </x:c>
      <x:c r="C129" s="22" t="str">
        <x:v>schedule</x:v>
      </x:c>
      <x:c r="D129" s="22" t="str">
        <x:v>row 27 start after predecessor</x:v>
      </x:c>
      <x:c r="E129" s="75" t="n">
        <x:f>IF('Workfront Schedule'!N27&gt;='Workfront Schedule'!M27,1,0)</x:f>
        <x:v>1</x:v>
      </x:c>
      <x:c r="F129" s="75" t="n">
        <x:v>1</x:v>
      </x:c>
      <x:c r="G129" s="24" t="str">
        <x:f>IF(E129=F129,"PASS","FAIL")</x:f>
        <x:v>PASS</x:v>
      </x:c>
    </x:row>
    <x:row r="130">
      <x:c r="B130" s="22" t="str">
        <x:v>AC-0124</x:v>
      </x:c>
      <x:c r="C130" s="22" t="str">
        <x:v>schedule</x:v>
      </x:c>
      <x:c r="D130" s="22" t="str">
        <x:v>row 27 positive duration</x:v>
      </x:c>
      <x:c r="E130" s="75" t="n">
        <x:f>IF('Workfront Schedule'!O27&gt;0,1,0)</x:f>
        <x:v>1</x:v>
      </x:c>
      <x:c r="F130" s="75" t="n">
        <x:v>1</x:v>
      </x:c>
      <x:c r="G130" s="24" t="str">
        <x:f>IF(E130=F130,"PASS","FAIL")</x:f>
        <x:v>PASS</x:v>
      </x:c>
    </x:row>
    <x:row r="131">
      <x:c r="B131" s="22" t="str">
        <x:v>AC-0125</x:v>
      </x:c>
      <x:c r="C131" s="22" t="str">
        <x:v>schedule</x:v>
      </x:c>
      <x:c r="D131" s="22" t="str">
        <x:v>row 27 end identity</x:v>
      </x:c>
      <x:c r="E131" s="75" t="n">
        <x:f>IF(ABS('Workfront Schedule'!P27-'Workfront Schedule'!N27-'Workfront Schedule'!O27)&lt;0.000001,1,0)</x:f>
        <x:v>1</x:v>
      </x:c>
      <x:c r="F131" s="75" t="n">
        <x:v>1</x:v>
      </x:c>
      <x:c r="G131" s="24" t="str">
        <x:f>IF(E131=F131,"PASS","FAIL")</x:f>
        <x:v>PASS</x:v>
      </x:c>
    </x:row>
    <x:row r="132">
      <x:c r="B132" s="22" t="str">
        <x:v>AC-0126</x:v>
      </x:c>
      <x:c r="C132" s="22" t="str">
        <x:v>schedule</x:v>
      </x:c>
      <x:c r="D132" s="22" t="str">
        <x:v>row 28 start after material</x:v>
      </x:c>
      <x:c r="E132" s="75" t="n">
        <x:f>IF('Workfront Schedule'!N28&gt;='Workfront Schedule'!K28,1,0)</x:f>
        <x:v>1</x:v>
      </x:c>
      <x:c r="F132" s="75" t="n">
        <x:v>1</x:v>
      </x:c>
      <x:c r="G132" s="24" t="str">
        <x:f>IF(E132=F132,"PASS","FAIL")</x:f>
        <x:v>PASS</x:v>
      </x:c>
    </x:row>
    <x:row r="133">
      <x:c r="B133" s="22" t="str">
        <x:v>AC-0127</x:v>
      </x:c>
      <x:c r="C133" s="22" t="str">
        <x:v>schedule</x:v>
      </x:c>
      <x:c r="D133" s="22" t="str">
        <x:v>row 28 start after access</x:v>
      </x:c>
      <x:c r="E133" s="75" t="n">
        <x:f>IF('Workfront Schedule'!N28&gt;='Workfront Schedule'!L28,1,0)</x:f>
        <x:v>1</x:v>
      </x:c>
      <x:c r="F133" s="75" t="n">
        <x:v>1</x:v>
      </x:c>
      <x:c r="G133" s="24" t="str">
        <x:f>IF(E133=F133,"PASS","FAIL")</x:f>
        <x:v>PASS</x:v>
      </x:c>
    </x:row>
    <x:row r="134">
      <x:c r="B134" s="22" t="str">
        <x:v>AC-0128</x:v>
      </x:c>
      <x:c r="C134" s="22" t="str">
        <x:v>schedule</x:v>
      </x:c>
      <x:c r="D134" s="22" t="str">
        <x:v>row 28 start after predecessor</x:v>
      </x:c>
      <x:c r="E134" s="75" t="n">
        <x:f>IF('Workfront Schedule'!N28&gt;='Workfront Schedule'!M28,1,0)</x:f>
        <x:v>1</x:v>
      </x:c>
      <x:c r="F134" s="75" t="n">
        <x:v>1</x:v>
      </x:c>
      <x:c r="G134" s="24" t="str">
        <x:f>IF(E134=F134,"PASS","FAIL")</x:f>
        <x:v>PASS</x:v>
      </x:c>
    </x:row>
    <x:row r="135">
      <x:c r="B135" s="22" t="str">
        <x:v>AC-0129</x:v>
      </x:c>
      <x:c r="C135" s="22" t="str">
        <x:v>schedule</x:v>
      </x:c>
      <x:c r="D135" s="22" t="str">
        <x:v>row 28 positive duration</x:v>
      </x:c>
      <x:c r="E135" s="75" t="n">
        <x:f>IF('Workfront Schedule'!O28&gt;0,1,0)</x:f>
        <x:v>1</x:v>
      </x:c>
      <x:c r="F135" s="75" t="n">
        <x:v>1</x:v>
      </x:c>
      <x:c r="G135" s="24" t="str">
        <x:f>IF(E135=F135,"PASS","FAIL")</x:f>
        <x:v>PASS</x:v>
      </x:c>
    </x:row>
    <x:row r="136">
      <x:c r="B136" s="22" t="str">
        <x:v>AC-0130</x:v>
      </x:c>
      <x:c r="C136" s="22" t="str">
        <x:v>schedule</x:v>
      </x:c>
      <x:c r="D136" s="22" t="str">
        <x:v>row 28 end identity</x:v>
      </x:c>
      <x:c r="E136" s="75" t="n">
        <x:f>IF(ABS('Workfront Schedule'!P28-'Workfront Schedule'!N28-'Workfront Schedule'!O28)&lt;0.000001,1,0)</x:f>
        <x:v>1</x:v>
      </x:c>
      <x:c r="F136" s="75" t="n">
        <x:v>1</x:v>
      </x:c>
      <x:c r="G136" s="24" t="str">
        <x:f>IF(E136=F136,"PASS","FAIL")</x:f>
        <x:v>PASS</x:v>
      </x:c>
    </x:row>
    <x:row r="137">
      <x:c r="B137" s="22" t="str">
        <x:v>AC-0131</x:v>
      </x:c>
      <x:c r="C137" s="22" t="str">
        <x:v>schedule</x:v>
      </x:c>
      <x:c r="D137" s="22" t="str">
        <x:v>row 29 start after material</x:v>
      </x:c>
      <x:c r="E137" s="75" t="n">
        <x:f>IF('Workfront Schedule'!N29&gt;='Workfront Schedule'!K29,1,0)</x:f>
        <x:v>1</x:v>
      </x:c>
      <x:c r="F137" s="75" t="n">
        <x:v>1</x:v>
      </x:c>
      <x:c r="G137" s="24" t="str">
        <x:f>IF(E137=F137,"PASS","FAIL")</x:f>
        <x:v>PASS</x:v>
      </x:c>
    </x:row>
    <x:row r="138">
      <x:c r="B138" s="22" t="str">
        <x:v>AC-0132</x:v>
      </x:c>
      <x:c r="C138" s="22" t="str">
        <x:v>schedule</x:v>
      </x:c>
      <x:c r="D138" s="22" t="str">
        <x:v>row 29 start after access</x:v>
      </x:c>
      <x:c r="E138" s="75" t="n">
        <x:f>IF('Workfront Schedule'!N29&gt;='Workfront Schedule'!L29,1,0)</x:f>
        <x:v>1</x:v>
      </x:c>
      <x:c r="F138" s="75" t="n">
        <x:v>1</x:v>
      </x:c>
      <x:c r="G138" s="24" t="str">
        <x:f>IF(E138=F138,"PASS","FAIL")</x:f>
        <x:v>PASS</x:v>
      </x:c>
    </x:row>
    <x:row r="139">
      <x:c r="B139" s="22" t="str">
        <x:v>AC-0133</x:v>
      </x:c>
      <x:c r="C139" s="22" t="str">
        <x:v>schedule</x:v>
      </x:c>
      <x:c r="D139" s="22" t="str">
        <x:v>row 29 start after predecessor</x:v>
      </x:c>
      <x:c r="E139" s="75" t="n">
        <x:f>IF('Workfront Schedule'!N29&gt;='Workfront Schedule'!M29,1,0)</x:f>
        <x:v>1</x:v>
      </x:c>
      <x:c r="F139" s="75" t="n">
        <x:v>1</x:v>
      </x:c>
      <x:c r="G139" s="24" t="str">
        <x:f>IF(E139=F139,"PASS","FAIL")</x:f>
        <x:v>PASS</x:v>
      </x:c>
    </x:row>
    <x:row r="140">
      <x:c r="B140" s="22" t="str">
        <x:v>AC-0134</x:v>
      </x:c>
      <x:c r="C140" s="22" t="str">
        <x:v>schedule</x:v>
      </x:c>
      <x:c r="D140" s="22" t="str">
        <x:v>row 29 positive duration</x:v>
      </x:c>
      <x:c r="E140" s="75" t="n">
        <x:f>IF('Workfront Schedule'!O29&gt;0,1,0)</x:f>
        <x:v>1</x:v>
      </x:c>
      <x:c r="F140" s="75" t="n">
        <x:v>1</x:v>
      </x:c>
      <x:c r="G140" s="24" t="str">
        <x:f>IF(E140=F140,"PASS","FAIL")</x:f>
        <x:v>PASS</x:v>
      </x:c>
    </x:row>
    <x:row r="141">
      <x:c r="B141" s="22" t="str">
        <x:v>AC-0135</x:v>
      </x:c>
      <x:c r="C141" s="22" t="str">
        <x:v>schedule</x:v>
      </x:c>
      <x:c r="D141" s="22" t="str">
        <x:v>row 29 end identity</x:v>
      </x:c>
      <x:c r="E141" s="75" t="n">
        <x:f>IF(ABS('Workfront Schedule'!P29-'Workfront Schedule'!N29-'Workfront Schedule'!O29)&lt;0.000001,1,0)</x:f>
        <x:v>1</x:v>
      </x:c>
      <x:c r="F141" s="75" t="n">
        <x:v>1</x:v>
      </x:c>
      <x:c r="G141" s="24" t="str">
        <x:f>IF(E141=F141,"PASS","FAIL")</x:f>
        <x:v>PASS</x:v>
      </x:c>
    </x:row>
    <x:row r="142">
      <x:c r="B142" s="22" t="str">
        <x:v>AC-0136</x:v>
      </x:c>
      <x:c r="C142" s="22" t="str">
        <x:v>schedule</x:v>
      </x:c>
      <x:c r="D142" s="22" t="str">
        <x:v>row 30 start after material</x:v>
      </x:c>
      <x:c r="E142" s="75" t="n">
        <x:f>IF('Workfront Schedule'!N30&gt;='Workfront Schedule'!K30,1,0)</x:f>
        <x:v>1</x:v>
      </x:c>
      <x:c r="F142" s="75" t="n">
        <x:v>1</x:v>
      </x:c>
      <x:c r="G142" s="24" t="str">
        <x:f>IF(E142=F142,"PASS","FAIL")</x:f>
        <x:v>PASS</x:v>
      </x:c>
    </x:row>
    <x:row r="143">
      <x:c r="B143" s="22" t="str">
        <x:v>AC-0137</x:v>
      </x:c>
      <x:c r="C143" s="22" t="str">
        <x:v>schedule</x:v>
      </x:c>
      <x:c r="D143" s="22" t="str">
        <x:v>row 30 start after access</x:v>
      </x:c>
      <x:c r="E143" s="75" t="n">
        <x:f>IF('Workfront Schedule'!N30&gt;='Workfront Schedule'!L30,1,0)</x:f>
        <x:v>1</x:v>
      </x:c>
      <x:c r="F143" s="75" t="n">
        <x:v>1</x:v>
      </x:c>
      <x:c r="G143" s="24" t="str">
        <x:f>IF(E143=F143,"PASS","FAIL")</x:f>
        <x:v>PASS</x:v>
      </x:c>
    </x:row>
    <x:row r="144">
      <x:c r="B144" s="22" t="str">
        <x:v>AC-0138</x:v>
      </x:c>
      <x:c r="C144" s="22" t="str">
        <x:v>schedule</x:v>
      </x:c>
      <x:c r="D144" s="22" t="str">
        <x:v>row 30 start after predecessor</x:v>
      </x:c>
      <x:c r="E144" s="75" t="n">
        <x:f>IF('Workfront Schedule'!N30&gt;='Workfront Schedule'!M30,1,0)</x:f>
        <x:v>1</x:v>
      </x:c>
      <x:c r="F144" s="75" t="n">
        <x:v>1</x:v>
      </x:c>
      <x:c r="G144" s="24" t="str">
        <x:f>IF(E144=F144,"PASS","FAIL")</x:f>
        <x:v>PASS</x:v>
      </x:c>
    </x:row>
    <x:row r="145">
      <x:c r="B145" s="22" t="str">
        <x:v>AC-0139</x:v>
      </x:c>
      <x:c r="C145" s="22" t="str">
        <x:v>schedule</x:v>
      </x:c>
      <x:c r="D145" s="22" t="str">
        <x:v>row 30 positive duration</x:v>
      </x:c>
      <x:c r="E145" s="75" t="n">
        <x:f>IF('Workfront Schedule'!O30&gt;0,1,0)</x:f>
        <x:v>1</x:v>
      </x:c>
      <x:c r="F145" s="75" t="n">
        <x:v>1</x:v>
      </x:c>
      <x:c r="G145" s="24" t="str">
        <x:f>IF(E145=F145,"PASS","FAIL")</x:f>
        <x:v>PASS</x:v>
      </x:c>
    </x:row>
    <x:row r="146">
      <x:c r="B146" s="22" t="str">
        <x:v>AC-0140</x:v>
      </x:c>
      <x:c r="C146" s="22" t="str">
        <x:v>schedule</x:v>
      </x:c>
      <x:c r="D146" s="22" t="str">
        <x:v>row 30 end identity</x:v>
      </x:c>
      <x:c r="E146" s="75" t="n">
        <x:f>IF(ABS('Workfront Schedule'!P30-'Workfront Schedule'!N30-'Workfront Schedule'!O30)&lt;0.000001,1,0)</x:f>
        <x:v>1</x:v>
      </x:c>
      <x:c r="F146" s="75" t="n">
        <x:v>1</x:v>
      </x:c>
      <x:c r="G146" s="24" t="str">
        <x:f>IF(E146=F146,"PASS","FAIL")</x:f>
        <x:v>PASS</x:v>
      </x:c>
    </x:row>
    <x:row r="147">
      <x:c r="B147" s="22" t="str">
        <x:v>AC-0141</x:v>
      </x:c>
      <x:c r="C147" s="22" t="str">
        <x:v>schedule</x:v>
      </x:c>
      <x:c r="D147" s="22" t="str">
        <x:v>row 31 start after material</x:v>
      </x:c>
      <x:c r="E147" s="75" t="n">
        <x:f>IF('Workfront Schedule'!N31&gt;='Workfront Schedule'!K31,1,0)</x:f>
        <x:v>1</x:v>
      </x:c>
      <x:c r="F147" s="75" t="n">
        <x:v>1</x:v>
      </x:c>
      <x:c r="G147" s="24" t="str">
        <x:f>IF(E147=F147,"PASS","FAIL")</x:f>
        <x:v>PASS</x:v>
      </x:c>
    </x:row>
    <x:row r="148">
      <x:c r="B148" s="22" t="str">
        <x:v>AC-0142</x:v>
      </x:c>
      <x:c r="C148" s="22" t="str">
        <x:v>schedule</x:v>
      </x:c>
      <x:c r="D148" s="22" t="str">
        <x:v>row 31 start after access</x:v>
      </x:c>
      <x:c r="E148" s="75" t="n">
        <x:f>IF('Workfront Schedule'!N31&gt;='Workfront Schedule'!L31,1,0)</x:f>
        <x:v>1</x:v>
      </x:c>
      <x:c r="F148" s="75" t="n">
        <x:v>1</x:v>
      </x:c>
      <x:c r="G148" s="24" t="str">
        <x:f>IF(E148=F148,"PASS","FAIL")</x:f>
        <x:v>PASS</x:v>
      </x:c>
    </x:row>
    <x:row r="149">
      <x:c r="B149" s="22" t="str">
        <x:v>AC-0143</x:v>
      </x:c>
      <x:c r="C149" s="22" t="str">
        <x:v>schedule</x:v>
      </x:c>
      <x:c r="D149" s="22" t="str">
        <x:v>row 31 start after predecessor</x:v>
      </x:c>
      <x:c r="E149" s="75" t="n">
        <x:f>IF('Workfront Schedule'!N31&gt;='Workfront Schedule'!M31,1,0)</x:f>
        <x:v>1</x:v>
      </x:c>
      <x:c r="F149" s="75" t="n">
        <x:v>1</x:v>
      </x:c>
      <x:c r="G149" s="24" t="str">
        <x:f>IF(E149=F149,"PASS","FAIL")</x:f>
        <x:v>PASS</x:v>
      </x:c>
    </x:row>
    <x:row r="150">
      <x:c r="B150" s="22" t="str">
        <x:v>AC-0144</x:v>
      </x:c>
      <x:c r="C150" s="22" t="str">
        <x:v>schedule</x:v>
      </x:c>
      <x:c r="D150" s="22" t="str">
        <x:v>row 31 positive duration</x:v>
      </x:c>
      <x:c r="E150" s="75" t="n">
        <x:f>IF('Workfront Schedule'!O31&gt;0,1,0)</x:f>
        <x:v>1</x:v>
      </x:c>
      <x:c r="F150" s="75" t="n">
        <x:v>1</x:v>
      </x:c>
      <x:c r="G150" s="24" t="str">
        <x:f>IF(E150=F150,"PASS","FAIL")</x:f>
        <x:v>PASS</x:v>
      </x:c>
    </x:row>
    <x:row r="151">
      <x:c r="B151" s="22" t="str">
        <x:v>AC-0145</x:v>
      </x:c>
      <x:c r="C151" s="22" t="str">
        <x:v>schedule</x:v>
      </x:c>
      <x:c r="D151" s="22" t="str">
        <x:v>row 31 end identity</x:v>
      </x:c>
      <x:c r="E151" s="75" t="n">
        <x:f>IF(ABS('Workfront Schedule'!P31-'Workfront Schedule'!N31-'Workfront Schedule'!O31)&lt;0.000001,1,0)</x:f>
        <x:v>1</x:v>
      </x:c>
      <x:c r="F151" s="75" t="n">
        <x:v>1</x:v>
      </x:c>
      <x:c r="G151" s="24" t="str">
        <x:f>IF(E151=F151,"PASS","FAIL")</x:f>
        <x:v>PASS</x:v>
      </x:c>
    </x:row>
    <x:row r="152">
      <x:c r="B152" s="22" t="str">
        <x:v>AC-0146</x:v>
      </x:c>
      <x:c r="C152" s="22" t="str">
        <x:v>schedule</x:v>
      </x:c>
      <x:c r="D152" s="22" t="str">
        <x:v>row 32 start after material</x:v>
      </x:c>
      <x:c r="E152" s="75" t="n">
        <x:f>IF('Workfront Schedule'!N32&gt;='Workfront Schedule'!K32,1,0)</x:f>
        <x:v>1</x:v>
      </x:c>
      <x:c r="F152" s="75" t="n">
        <x:v>1</x:v>
      </x:c>
      <x:c r="G152" s="24" t="str">
        <x:f>IF(E152=F152,"PASS","FAIL")</x:f>
        <x:v>PASS</x:v>
      </x:c>
    </x:row>
    <x:row r="153">
      <x:c r="B153" s="22" t="str">
        <x:v>AC-0147</x:v>
      </x:c>
      <x:c r="C153" s="22" t="str">
        <x:v>schedule</x:v>
      </x:c>
      <x:c r="D153" s="22" t="str">
        <x:v>row 32 start after access</x:v>
      </x:c>
      <x:c r="E153" s="75" t="n">
        <x:f>IF('Workfront Schedule'!N32&gt;='Workfront Schedule'!L32,1,0)</x:f>
        <x:v>1</x:v>
      </x:c>
      <x:c r="F153" s="75" t="n">
        <x:v>1</x:v>
      </x:c>
      <x:c r="G153" s="24" t="str">
        <x:f>IF(E153=F153,"PASS","FAIL")</x:f>
        <x:v>PASS</x:v>
      </x:c>
    </x:row>
    <x:row r="154">
      <x:c r="B154" s="22" t="str">
        <x:v>AC-0148</x:v>
      </x:c>
      <x:c r="C154" s="22" t="str">
        <x:v>schedule</x:v>
      </x:c>
      <x:c r="D154" s="22" t="str">
        <x:v>row 32 start after predecessor</x:v>
      </x:c>
      <x:c r="E154" s="75" t="n">
        <x:f>IF('Workfront Schedule'!N32&gt;='Workfront Schedule'!M32,1,0)</x:f>
        <x:v>1</x:v>
      </x:c>
      <x:c r="F154" s="75" t="n">
        <x:v>1</x:v>
      </x:c>
      <x:c r="G154" s="24" t="str">
        <x:f>IF(E154=F154,"PASS","FAIL")</x:f>
        <x:v>PASS</x:v>
      </x:c>
    </x:row>
    <x:row r="155">
      <x:c r="B155" s="22" t="str">
        <x:v>AC-0149</x:v>
      </x:c>
      <x:c r="C155" s="22" t="str">
        <x:v>schedule</x:v>
      </x:c>
      <x:c r="D155" s="22" t="str">
        <x:v>row 32 positive duration</x:v>
      </x:c>
      <x:c r="E155" s="75" t="n">
        <x:f>IF('Workfront Schedule'!O32&gt;0,1,0)</x:f>
        <x:v>1</x:v>
      </x:c>
      <x:c r="F155" s="75" t="n">
        <x:v>1</x:v>
      </x:c>
      <x:c r="G155" s="24" t="str">
        <x:f>IF(E155=F155,"PASS","FAIL")</x:f>
        <x:v>PASS</x:v>
      </x:c>
    </x:row>
    <x:row r="156">
      <x:c r="B156" s="22" t="str">
        <x:v>AC-0150</x:v>
      </x:c>
      <x:c r="C156" s="22" t="str">
        <x:v>schedule</x:v>
      </x:c>
      <x:c r="D156" s="22" t="str">
        <x:v>row 32 end identity</x:v>
      </x:c>
      <x:c r="E156" s="75" t="n">
        <x:f>IF(ABS('Workfront Schedule'!P32-'Workfront Schedule'!N32-'Workfront Schedule'!O32)&lt;0.000001,1,0)</x:f>
        <x:v>1</x:v>
      </x:c>
      <x:c r="F156" s="75" t="n">
        <x:v>1</x:v>
      </x:c>
      <x:c r="G156" s="24" t="str">
        <x:f>IF(E156=F156,"PASS","FAIL")</x:f>
        <x:v>PASS</x:v>
      </x:c>
    </x:row>
    <x:row r="157">
      <x:c r="B157" s="22" t="str">
        <x:v>AC-0151</x:v>
      </x:c>
      <x:c r="C157" s="22" t="str">
        <x:v>schedule</x:v>
      </x:c>
      <x:c r="D157" s="22" t="str">
        <x:v>row 33 start after material</x:v>
      </x:c>
      <x:c r="E157" s="75" t="n">
        <x:f>IF('Workfront Schedule'!N33&gt;='Workfront Schedule'!K33,1,0)</x:f>
        <x:v>1</x:v>
      </x:c>
      <x:c r="F157" s="75" t="n">
        <x:v>1</x:v>
      </x:c>
      <x:c r="G157" s="24" t="str">
        <x:f>IF(E157=F157,"PASS","FAIL")</x:f>
        <x:v>PASS</x:v>
      </x:c>
    </x:row>
    <x:row r="158">
      <x:c r="B158" s="22" t="str">
        <x:v>AC-0152</x:v>
      </x:c>
      <x:c r="C158" s="22" t="str">
        <x:v>schedule</x:v>
      </x:c>
      <x:c r="D158" s="22" t="str">
        <x:v>row 33 start after access</x:v>
      </x:c>
      <x:c r="E158" s="75" t="n">
        <x:f>IF('Workfront Schedule'!N33&gt;='Workfront Schedule'!L33,1,0)</x:f>
        <x:v>1</x:v>
      </x:c>
      <x:c r="F158" s="75" t="n">
        <x:v>1</x:v>
      </x:c>
      <x:c r="G158" s="24" t="str">
        <x:f>IF(E158=F158,"PASS","FAIL")</x:f>
        <x:v>PASS</x:v>
      </x:c>
    </x:row>
    <x:row r="159">
      <x:c r="B159" s="22" t="str">
        <x:v>AC-0153</x:v>
      </x:c>
      <x:c r="C159" s="22" t="str">
        <x:v>schedule</x:v>
      </x:c>
      <x:c r="D159" s="22" t="str">
        <x:v>row 33 start after predecessor</x:v>
      </x:c>
      <x:c r="E159" s="75" t="n">
        <x:f>IF('Workfront Schedule'!N33&gt;='Workfront Schedule'!M33,1,0)</x:f>
        <x:v>1</x:v>
      </x:c>
      <x:c r="F159" s="75" t="n">
        <x:v>1</x:v>
      </x:c>
      <x:c r="G159" s="24" t="str">
        <x:f>IF(E159=F159,"PASS","FAIL")</x:f>
        <x:v>PASS</x:v>
      </x:c>
    </x:row>
    <x:row r="160">
      <x:c r="B160" s="22" t="str">
        <x:v>AC-0154</x:v>
      </x:c>
      <x:c r="C160" s="22" t="str">
        <x:v>schedule</x:v>
      </x:c>
      <x:c r="D160" s="22" t="str">
        <x:v>row 33 positive duration</x:v>
      </x:c>
      <x:c r="E160" s="75" t="n">
        <x:f>IF('Workfront Schedule'!O33&gt;0,1,0)</x:f>
        <x:v>1</x:v>
      </x:c>
      <x:c r="F160" s="75" t="n">
        <x:v>1</x:v>
      </x:c>
      <x:c r="G160" s="24" t="str">
        <x:f>IF(E160=F160,"PASS","FAIL")</x:f>
        <x:v>PASS</x:v>
      </x:c>
    </x:row>
    <x:row r="161">
      <x:c r="B161" s="22" t="str">
        <x:v>AC-0155</x:v>
      </x:c>
      <x:c r="C161" s="22" t="str">
        <x:v>schedule</x:v>
      </x:c>
      <x:c r="D161" s="22" t="str">
        <x:v>row 33 end identity</x:v>
      </x:c>
      <x:c r="E161" s="75" t="n">
        <x:f>IF(ABS('Workfront Schedule'!P33-'Workfront Schedule'!N33-'Workfront Schedule'!O33)&lt;0.000001,1,0)</x:f>
        <x:v>1</x:v>
      </x:c>
      <x:c r="F161" s="75" t="n">
        <x:v>1</x:v>
      </x:c>
      <x:c r="G161" s="24" t="str">
        <x:f>IF(E161=F161,"PASS","FAIL")</x:f>
        <x:v>PASS</x:v>
      </x:c>
    </x:row>
    <x:row r="162">
      <x:c r="B162" s="22" t="str">
        <x:v>AC-0156</x:v>
      </x:c>
      <x:c r="C162" s="22" t="str">
        <x:v>schedule</x:v>
      </x:c>
      <x:c r="D162" s="22" t="str">
        <x:v>row 34 start after material</x:v>
      </x:c>
      <x:c r="E162" s="75" t="n">
        <x:f>IF('Workfront Schedule'!N34&gt;='Workfront Schedule'!K34,1,0)</x:f>
        <x:v>1</x:v>
      </x:c>
      <x:c r="F162" s="75" t="n">
        <x:v>1</x:v>
      </x:c>
      <x:c r="G162" s="24" t="str">
        <x:f>IF(E162=F162,"PASS","FAIL")</x:f>
        <x:v>PASS</x:v>
      </x:c>
    </x:row>
    <x:row r="163">
      <x:c r="B163" s="22" t="str">
        <x:v>AC-0157</x:v>
      </x:c>
      <x:c r="C163" s="22" t="str">
        <x:v>schedule</x:v>
      </x:c>
      <x:c r="D163" s="22" t="str">
        <x:v>row 34 start after access</x:v>
      </x:c>
      <x:c r="E163" s="75" t="n">
        <x:f>IF('Workfront Schedule'!N34&gt;='Workfront Schedule'!L34,1,0)</x:f>
        <x:v>1</x:v>
      </x:c>
      <x:c r="F163" s="75" t="n">
        <x:v>1</x:v>
      </x:c>
      <x:c r="G163" s="24" t="str">
        <x:f>IF(E163=F163,"PASS","FAIL")</x:f>
        <x:v>PASS</x:v>
      </x:c>
    </x:row>
    <x:row r="164">
      <x:c r="B164" s="22" t="str">
        <x:v>AC-0158</x:v>
      </x:c>
      <x:c r="C164" s="22" t="str">
        <x:v>schedule</x:v>
      </x:c>
      <x:c r="D164" s="22" t="str">
        <x:v>row 34 start after predecessor</x:v>
      </x:c>
      <x:c r="E164" s="75" t="n">
        <x:f>IF('Workfront Schedule'!N34&gt;='Workfront Schedule'!M34,1,0)</x:f>
        <x:v>1</x:v>
      </x:c>
      <x:c r="F164" s="75" t="n">
        <x:v>1</x:v>
      </x:c>
      <x:c r="G164" s="24" t="str">
        <x:f>IF(E164=F164,"PASS","FAIL")</x:f>
        <x:v>PASS</x:v>
      </x:c>
    </x:row>
    <x:row r="165">
      <x:c r="B165" s="22" t="str">
        <x:v>AC-0159</x:v>
      </x:c>
      <x:c r="C165" s="22" t="str">
        <x:v>schedule</x:v>
      </x:c>
      <x:c r="D165" s="22" t="str">
        <x:v>row 34 positive duration</x:v>
      </x:c>
      <x:c r="E165" s="75" t="n">
        <x:f>IF('Workfront Schedule'!O34&gt;0,1,0)</x:f>
        <x:v>1</x:v>
      </x:c>
      <x:c r="F165" s="75" t="n">
        <x:v>1</x:v>
      </x:c>
      <x:c r="G165" s="24" t="str">
        <x:f>IF(E165=F165,"PASS","FAIL")</x:f>
        <x:v>PASS</x:v>
      </x:c>
    </x:row>
    <x:row r="166">
      <x:c r="B166" s="22" t="str">
        <x:v>AC-0160</x:v>
      </x:c>
      <x:c r="C166" s="22" t="str">
        <x:v>schedule</x:v>
      </x:c>
      <x:c r="D166" s="22" t="str">
        <x:v>row 34 end identity</x:v>
      </x:c>
      <x:c r="E166" s="75" t="n">
        <x:f>IF(ABS('Workfront Schedule'!P34-'Workfront Schedule'!N34-'Workfront Schedule'!O34)&lt;0.000001,1,0)</x:f>
        <x:v>1</x:v>
      </x:c>
      <x:c r="F166" s="75" t="n">
        <x:v>1</x:v>
      </x:c>
      <x:c r="G166" s="24" t="str">
        <x:f>IF(E166=F166,"PASS","FAIL")</x:f>
        <x:v>PASS</x:v>
      </x:c>
    </x:row>
    <x:row r="167">
      <x:c r="B167" s="22" t="str">
        <x:v>AC-0161</x:v>
      </x:c>
      <x:c r="C167" s="22" t="str">
        <x:v>schedule</x:v>
      </x:c>
      <x:c r="D167" s="22" t="str">
        <x:v>row 35 start after material</x:v>
      </x:c>
      <x:c r="E167" s="75" t="n">
        <x:f>IF('Workfront Schedule'!N35&gt;='Workfront Schedule'!K35,1,0)</x:f>
        <x:v>1</x:v>
      </x:c>
      <x:c r="F167" s="75" t="n">
        <x:v>1</x:v>
      </x:c>
      <x:c r="G167" s="24" t="str">
        <x:f>IF(E167=F167,"PASS","FAIL")</x:f>
        <x:v>PASS</x:v>
      </x:c>
    </x:row>
    <x:row r="168">
      <x:c r="B168" s="22" t="str">
        <x:v>AC-0162</x:v>
      </x:c>
      <x:c r="C168" s="22" t="str">
        <x:v>schedule</x:v>
      </x:c>
      <x:c r="D168" s="22" t="str">
        <x:v>row 35 start after access</x:v>
      </x:c>
      <x:c r="E168" s="75" t="n">
        <x:f>IF('Workfront Schedule'!N35&gt;='Workfront Schedule'!L35,1,0)</x:f>
        <x:v>1</x:v>
      </x:c>
      <x:c r="F168" s="75" t="n">
        <x:v>1</x:v>
      </x:c>
      <x:c r="G168" s="24" t="str">
        <x:f>IF(E168=F168,"PASS","FAIL")</x:f>
        <x:v>PASS</x:v>
      </x:c>
    </x:row>
    <x:row r="169">
      <x:c r="B169" s="22" t="str">
        <x:v>AC-0163</x:v>
      </x:c>
      <x:c r="C169" s="22" t="str">
        <x:v>schedule</x:v>
      </x:c>
      <x:c r="D169" s="22" t="str">
        <x:v>row 35 start after predecessor</x:v>
      </x:c>
      <x:c r="E169" s="75" t="n">
        <x:f>IF('Workfront Schedule'!N35&gt;='Workfront Schedule'!M35,1,0)</x:f>
        <x:v>1</x:v>
      </x:c>
      <x:c r="F169" s="75" t="n">
        <x:v>1</x:v>
      </x:c>
      <x:c r="G169" s="24" t="str">
        <x:f>IF(E169=F169,"PASS","FAIL")</x:f>
        <x:v>PASS</x:v>
      </x:c>
    </x:row>
    <x:row r="170">
      <x:c r="B170" s="22" t="str">
        <x:v>AC-0164</x:v>
      </x:c>
      <x:c r="C170" s="22" t="str">
        <x:v>schedule</x:v>
      </x:c>
      <x:c r="D170" s="22" t="str">
        <x:v>row 35 positive duration</x:v>
      </x:c>
      <x:c r="E170" s="75" t="n">
        <x:f>IF('Workfront Schedule'!O35&gt;0,1,0)</x:f>
        <x:v>1</x:v>
      </x:c>
      <x:c r="F170" s="75" t="n">
        <x:v>1</x:v>
      </x:c>
      <x:c r="G170" s="24" t="str">
        <x:f>IF(E170=F170,"PASS","FAIL")</x:f>
        <x:v>PASS</x:v>
      </x:c>
    </x:row>
    <x:row r="171">
      <x:c r="B171" s="22" t="str">
        <x:v>AC-0165</x:v>
      </x:c>
      <x:c r="C171" s="22" t="str">
        <x:v>schedule</x:v>
      </x:c>
      <x:c r="D171" s="22" t="str">
        <x:v>row 35 end identity</x:v>
      </x:c>
      <x:c r="E171" s="75" t="n">
        <x:f>IF(ABS('Workfront Schedule'!P35-'Workfront Schedule'!N35-'Workfront Schedule'!O35)&lt;0.000001,1,0)</x:f>
        <x:v>1</x:v>
      </x:c>
      <x:c r="F171" s="75" t="n">
        <x:v>1</x:v>
      </x:c>
      <x:c r="G171" s="24" t="str">
        <x:f>IF(E171=F171,"PASS","FAIL")</x:f>
        <x:v>PASS</x:v>
      </x:c>
    </x:row>
    <x:row r="172">
      <x:c r="B172" s="22" t="str">
        <x:v>AC-0166</x:v>
      </x:c>
      <x:c r="C172" s="22" t="str">
        <x:v>schedule</x:v>
      </x:c>
      <x:c r="D172" s="22" t="str">
        <x:v>row 36 start after material</x:v>
      </x:c>
      <x:c r="E172" s="75" t="n">
        <x:f>IF('Workfront Schedule'!N36&gt;='Workfront Schedule'!K36,1,0)</x:f>
        <x:v>1</x:v>
      </x:c>
      <x:c r="F172" s="75" t="n">
        <x:v>1</x:v>
      </x:c>
      <x:c r="G172" s="24" t="str">
        <x:f>IF(E172=F172,"PASS","FAIL")</x:f>
        <x:v>PASS</x:v>
      </x:c>
    </x:row>
    <x:row r="173">
      <x:c r="B173" s="22" t="str">
        <x:v>AC-0167</x:v>
      </x:c>
      <x:c r="C173" s="22" t="str">
        <x:v>schedule</x:v>
      </x:c>
      <x:c r="D173" s="22" t="str">
        <x:v>row 36 start after access</x:v>
      </x:c>
      <x:c r="E173" s="75" t="n">
        <x:f>IF('Workfront Schedule'!N36&gt;='Workfront Schedule'!L36,1,0)</x:f>
        <x:v>1</x:v>
      </x:c>
      <x:c r="F173" s="75" t="n">
        <x:v>1</x:v>
      </x:c>
      <x:c r="G173" s="24" t="str">
        <x:f>IF(E173=F173,"PASS","FAIL")</x:f>
        <x:v>PASS</x:v>
      </x:c>
    </x:row>
    <x:row r="174">
      <x:c r="B174" s="22" t="str">
        <x:v>AC-0168</x:v>
      </x:c>
      <x:c r="C174" s="22" t="str">
        <x:v>schedule</x:v>
      </x:c>
      <x:c r="D174" s="22" t="str">
        <x:v>row 36 start after predecessor</x:v>
      </x:c>
      <x:c r="E174" s="75" t="n">
        <x:f>IF('Workfront Schedule'!N36&gt;='Workfront Schedule'!M36,1,0)</x:f>
        <x:v>1</x:v>
      </x:c>
      <x:c r="F174" s="75" t="n">
        <x:v>1</x:v>
      </x:c>
      <x:c r="G174" s="24" t="str">
        <x:f>IF(E174=F174,"PASS","FAIL")</x:f>
        <x:v>PASS</x:v>
      </x:c>
    </x:row>
    <x:row r="175">
      <x:c r="B175" s="22" t="str">
        <x:v>AC-0169</x:v>
      </x:c>
      <x:c r="C175" s="22" t="str">
        <x:v>schedule</x:v>
      </x:c>
      <x:c r="D175" s="22" t="str">
        <x:v>row 36 positive duration</x:v>
      </x:c>
      <x:c r="E175" s="75" t="n">
        <x:f>IF('Workfront Schedule'!O36&gt;0,1,0)</x:f>
        <x:v>1</x:v>
      </x:c>
      <x:c r="F175" s="75" t="n">
        <x:v>1</x:v>
      </x:c>
      <x:c r="G175" s="24" t="str">
        <x:f>IF(E175=F175,"PASS","FAIL")</x:f>
        <x:v>PASS</x:v>
      </x:c>
    </x:row>
    <x:row r="176">
      <x:c r="B176" s="22" t="str">
        <x:v>AC-0170</x:v>
      </x:c>
      <x:c r="C176" s="22" t="str">
        <x:v>schedule</x:v>
      </x:c>
      <x:c r="D176" s="22" t="str">
        <x:v>row 36 end identity</x:v>
      </x:c>
      <x:c r="E176" s="75" t="n">
        <x:f>IF(ABS('Workfront Schedule'!P36-'Workfront Schedule'!N36-'Workfront Schedule'!O36)&lt;0.000001,1,0)</x:f>
        <x:v>1</x:v>
      </x:c>
      <x:c r="F176" s="75" t="n">
        <x:v>1</x:v>
      </x:c>
      <x:c r="G176" s="24" t="str">
        <x:f>IF(E176=F176,"PASS","FAIL")</x:f>
        <x:v>PASS</x:v>
      </x:c>
    </x:row>
    <x:row r="177">
      <x:c r="B177" s="22" t="str">
        <x:v>AC-0171</x:v>
      </x:c>
      <x:c r="C177" s="22" t="str">
        <x:v>schedule</x:v>
      </x:c>
      <x:c r="D177" s="22" t="str">
        <x:v>row 37 start after material</x:v>
      </x:c>
      <x:c r="E177" s="75" t="n">
        <x:f>IF('Workfront Schedule'!N37&gt;='Workfront Schedule'!K37,1,0)</x:f>
        <x:v>1</x:v>
      </x:c>
      <x:c r="F177" s="75" t="n">
        <x:v>1</x:v>
      </x:c>
      <x:c r="G177" s="24" t="str">
        <x:f>IF(E177=F177,"PASS","FAIL")</x:f>
        <x:v>PASS</x:v>
      </x:c>
    </x:row>
    <x:row r="178">
      <x:c r="B178" s="22" t="str">
        <x:v>AC-0172</x:v>
      </x:c>
      <x:c r="C178" s="22" t="str">
        <x:v>schedule</x:v>
      </x:c>
      <x:c r="D178" s="22" t="str">
        <x:v>row 37 start after access</x:v>
      </x:c>
      <x:c r="E178" s="75" t="n">
        <x:f>IF('Workfront Schedule'!N37&gt;='Workfront Schedule'!L37,1,0)</x:f>
        <x:v>1</x:v>
      </x:c>
      <x:c r="F178" s="75" t="n">
        <x:v>1</x:v>
      </x:c>
      <x:c r="G178" s="24" t="str">
        <x:f>IF(E178=F178,"PASS","FAIL")</x:f>
        <x:v>PASS</x:v>
      </x:c>
    </x:row>
    <x:row r="179">
      <x:c r="B179" s="22" t="str">
        <x:v>AC-0173</x:v>
      </x:c>
      <x:c r="C179" s="22" t="str">
        <x:v>schedule</x:v>
      </x:c>
      <x:c r="D179" s="22" t="str">
        <x:v>row 37 start after predecessor</x:v>
      </x:c>
      <x:c r="E179" s="75" t="n">
        <x:f>IF('Workfront Schedule'!N37&gt;='Workfront Schedule'!M37,1,0)</x:f>
        <x:v>1</x:v>
      </x:c>
      <x:c r="F179" s="75" t="n">
        <x:v>1</x:v>
      </x:c>
      <x:c r="G179" s="24" t="str">
        <x:f>IF(E179=F179,"PASS","FAIL")</x:f>
        <x:v>PASS</x:v>
      </x:c>
    </x:row>
    <x:row r="180">
      <x:c r="B180" s="22" t="str">
        <x:v>AC-0174</x:v>
      </x:c>
      <x:c r="C180" s="22" t="str">
        <x:v>schedule</x:v>
      </x:c>
      <x:c r="D180" s="22" t="str">
        <x:v>row 37 positive duration</x:v>
      </x:c>
      <x:c r="E180" s="75" t="n">
        <x:f>IF('Workfront Schedule'!O37&gt;0,1,0)</x:f>
        <x:v>1</x:v>
      </x:c>
      <x:c r="F180" s="75" t="n">
        <x:v>1</x:v>
      </x:c>
      <x:c r="G180" s="24" t="str">
        <x:f>IF(E180=F180,"PASS","FAIL")</x:f>
        <x:v>PASS</x:v>
      </x:c>
    </x:row>
    <x:row r="181">
      <x:c r="B181" s="22" t="str">
        <x:v>AC-0175</x:v>
      </x:c>
      <x:c r="C181" s="22" t="str">
        <x:v>schedule</x:v>
      </x:c>
      <x:c r="D181" s="22" t="str">
        <x:v>row 37 end identity</x:v>
      </x:c>
      <x:c r="E181" s="75" t="n">
        <x:f>IF(ABS('Workfront Schedule'!P37-'Workfront Schedule'!N37-'Workfront Schedule'!O37)&lt;0.000001,1,0)</x:f>
        <x:v>1</x:v>
      </x:c>
      <x:c r="F181" s="75" t="n">
        <x:v>1</x:v>
      </x:c>
      <x:c r="G181" s="24" t="str">
        <x:f>IF(E181=F181,"PASS","FAIL")</x:f>
        <x:v>PASS</x:v>
      </x:c>
    </x:row>
    <x:row r="182">
      <x:c r="B182" s="22" t="str">
        <x:v>AC-0176</x:v>
      </x:c>
      <x:c r="C182" s="22" t="str">
        <x:v>schedule</x:v>
      </x:c>
      <x:c r="D182" s="22" t="str">
        <x:v>row 38 start after material</x:v>
      </x:c>
      <x:c r="E182" s="75" t="n">
        <x:f>IF('Workfront Schedule'!N38&gt;='Workfront Schedule'!K38,1,0)</x:f>
        <x:v>1</x:v>
      </x:c>
      <x:c r="F182" s="75" t="n">
        <x:v>1</x:v>
      </x:c>
      <x:c r="G182" s="24" t="str">
        <x:f>IF(E182=F182,"PASS","FAIL")</x:f>
        <x:v>PASS</x:v>
      </x:c>
    </x:row>
    <x:row r="183">
      <x:c r="B183" s="22" t="str">
        <x:v>AC-0177</x:v>
      </x:c>
      <x:c r="C183" s="22" t="str">
        <x:v>schedule</x:v>
      </x:c>
      <x:c r="D183" s="22" t="str">
        <x:v>row 38 start after access</x:v>
      </x:c>
      <x:c r="E183" s="75" t="n">
        <x:f>IF('Workfront Schedule'!N38&gt;='Workfront Schedule'!L38,1,0)</x:f>
        <x:v>1</x:v>
      </x:c>
      <x:c r="F183" s="75" t="n">
        <x:v>1</x:v>
      </x:c>
      <x:c r="G183" s="24" t="str">
        <x:f>IF(E183=F183,"PASS","FAIL")</x:f>
        <x:v>PASS</x:v>
      </x:c>
    </x:row>
    <x:row r="184">
      <x:c r="B184" s="22" t="str">
        <x:v>AC-0178</x:v>
      </x:c>
      <x:c r="C184" s="22" t="str">
        <x:v>schedule</x:v>
      </x:c>
      <x:c r="D184" s="22" t="str">
        <x:v>row 38 start after predecessor</x:v>
      </x:c>
      <x:c r="E184" s="75" t="n">
        <x:f>IF('Workfront Schedule'!N38&gt;='Workfront Schedule'!M38,1,0)</x:f>
        <x:v>1</x:v>
      </x:c>
      <x:c r="F184" s="75" t="n">
        <x:v>1</x:v>
      </x:c>
      <x:c r="G184" s="24" t="str">
        <x:f>IF(E184=F184,"PASS","FAIL")</x:f>
        <x:v>PASS</x:v>
      </x:c>
    </x:row>
    <x:row r="185">
      <x:c r="B185" s="22" t="str">
        <x:v>AC-0179</x:v>
      </x:c>
      <x:c r="C185" s="22" t="str">
        <x:v>schedule</x:v>
      </x:c>
      <x:c r="D185" s="22" t="str">
        <x:v>row 38 positive duration</x:v>
      </x:c>
      <x:c r="E185" s="75" t="n">
        <x:f>IF('Workfront Schedule'!O38&gt;0,1,0)</x:f>
        <x:v>1</x:v>
      </x:c>
      <x:c r="F185" s="75" t="n">
        <x:v>1</x:v>
      </x:c>
      <x:c r="G185" s="24" t="str">
        <x:f>IF(E185=F185,"PASS","FAIL")</x:f>
        <x:v>PASS</x:v>
      </x:c>
    </x:row>
    <x:row r="186">
      <x:c r="B186" s="22" t="str">
        <x:v>AC-0180</x:v>
      </x:c>
      <x:c r="C186" s="22" t="str">
        <x:v>schedule</x:v>
      </x:c>
      <x:c r="D186" s="22" t="str">
        <x:v>row 38 end identity</x:v>
      </x:c>
      <x:c r="E186" s="75" t="n">
        <x:f>IF(ABS('Workfront Schedule'!P38-'Workfront Schedule'!N38-'Workfront Schedule'!O38)&lt;0.000001,1,0)</x:f>
        <x:v>1</x:v>
      </x:c>
      <x:c r="F186" s="75" t="n">
        <x:v>1</x:v>
      </x:c>
      <x:c r="G186" s="24" t="str">
        <x:f>IF(E186=F186,"PASS","FAIL")</x:f>
        <x:v>PASS</x:v>
      </x:c>
    </x:row>
    <x:row r="187">
      <x:c r="B187" s="22" t="str">
        <x:v>AC-0181</x:v>
      </x:c>
      <x:c r="C187" s="22" t="str">
        <x:v>schedule</x:v>
      </x:c>
      <x:c r="D187" s="22" t="str">
        <x:v>row 39 start after material</x:v>
      </x:c>
      <x:c r="E187" s="75" t="n">
        <x:f>IF('Workfront Schedule'!N39&gt;='Workfront Schedule'!K39,1,0)</x:f>
        <x:v>1</x:v>
      </x:c>
      <x:c r="F187" s="75" t="n">
        <x:v>1</x:v>
      </x:c>
      <x:c r="G187" s="24" t="str">
        <x:f>IF(E187=F187,"PASS","FAIL")</x:f>
        <x:v>PASS</x:v>
      </x:c>
    </x:row>
    <x:row r="188">
      <x:c r="B188" s="22" t="str">
        <x:v>AC-0182</x:v>
      </x:c>
      <x:c r="C188" s="22" t="str">
        <x:v>schedule</x:v>
      </x:c>
      <x:c r="D188" s="22" t="str">
        <x:v>row 39 start after access</x:v>
      </x:c>
      <x:c r="E188" s="75" t="n">
        <x:f>IF('Workfront Schedule'!N39&gt;='Workfront Schedule'!L39,1,0)</x:f>
        <x:v>1</x:v>
      </x:c>
      <x:c r="F188" s="75" t="n">
        <x:v>1</x:v>
      </x:c>
      <x:c r="G188" s="24" t="str">
        <x:f>IF(E188=F188,"PASS","FAIL")</x:f>
        <x:v>PASS</x:v>
      </x:c>
    </x:row>
    <x:row r="189">
      <x:c r="B189" s="22" t="str">
        <x:v>AC-0183</x:v>
      </x:c>
      <x:c r="C189" s="22" t="str">
        <x:v>schedule</x:v>
      </x:c>
      <x:c r="D189" s="22" t="str">
        <x:v>row 39 start after predecessor</x:v>
      </x:c>
      <x:c r="E189" s="75" t="n">
        <x:f>IF('Workfront Schedule'!N39&gt;='Workfront Schedule'!M39,1,0)</x:f>
        <x:v>1</x:v>
      </x:c>
      <x:c r="F189" s="75" t="n">
        <x:v>1</x:v>
      </x:c>
      <x:c r="G189" s="24" t="str">
        <x:f>IF(E189=F189,"PASS","FAIL")</x:f>
        <x:v>PASS</x:v>
      </x:c>
    </x:row>
    <x:row r="190">
      <x:c r="B190" s="22" t="str">
        <x:v>AC-0184</x:v>
      </x:c>
      <x:c r="C190" s="22" t="str">
        <x:v>schedule</x:v>
      </x:c>
      <x:c r="D190" s="22" t="str">
        <x:v>row 39 positive duration</x:v>
      </x:c>
      <x:c r="E190" s="75" t="n">
        <x:f>IF('Workfront Schedule'!O39&gt;0,1,0)</x:f>
        <x:v>1</x:v>
      </x:c>
      <x:c r="F190" s="75" t="n">
        <x:v>1</x:v>
      </x:c>
      <x:c r="G190" s="24" t="str">
        <x:f>IF(E190=F190,"PASS","FAIL")</x:f>
        <x:v>PASS</x:v>
      </x:c>
    </x:row>
    <x:row r="191">
      <x:c r="B191" s="22" t="str">
        <x:v>AC-0185</x:v>
      </x:c>
      <x:c r="C191" s="22" t="str">
        <x:v>schedule</x:v>
      </x:c>
      <x:c r="D191" s="22" t="str">
        <x:v>row 39 end identity</x:v>
      </x:c>
      <x:c r="E191" s="75" t="n">
        <x:f>IF(ABS('Workfront Schedule'!P39-'Workfront Schedule'!N39-'Workfront Schedule'!O39)&lt;0.000001,1,0)</x:f>
        <x:v>1</x:v>
      </x:c>
      <x:c r="F191" s="75" t="n">
        <x:v>1</x:v>
      </x:c>
      <x:c r="G191" s="24" t="str">
        <x:f>IF(E191=F191,"PASS","FAIL")</x:f>
        <x:v>PASS</x:v>
      </x:c>
    </x:row>
    <x:row r="192">
      <x:c r="B192" s="22" t="str">
        <x:v>AC-0186</x:v>
      </x:c>
      <x:c r="C192" s="22" t="str">
        <x:v>schedule</x:v>
      </x:c>
      <x:c r="D192" s="22" t="str">
        <x:v>row 40 start after material</x:v>
      </x:c>
      <x:c r="E192" s="75" t="n">
        <x:f>IF('Workfront Schedule'!N40&gt;='Workfront Schedule'!K40,1,0)</x:f>
        <x:v>1</x:v>
      </x:c>
      <x:c r="F192" s="75" t="n">
        <x:v>1</x:v>
      </x:c>
      <x:c r="G192" s="24" t="str">
        <x:f>IF(E192=F192,"PASS","FAIL")</x:f>
        <x:v>PASS</x:v>
      </x:c>
    </x:row>
    <x:row r="193">
      <x:c r="B193" s="22" t="str">
        <x:v>AC-0187</x:v>
      </x:c>
      <x:c r="C193" s="22" t="str">
        <x:v>schedule</x:v>
      </x:c>
      <x:c r="D193" s="22" t="str">
        <x:v>row 40 start after access</x:v>
      </x:c>
      <x:c r="E193" s="75" t="n">
        <x:f>IF('Workfront Schedule'!N40&gt;='Workfront Schedule'!L40,1,0)</x:f>
        <x:v>1</x:v>
      </x:c>
      <x:c r="F193" s="75" t="n">
        <x:v>1</x:v>
      </x:c>
      <x:c r="G193" s="24" t="str">
        <x:f>IF(E193=F193,"PASS","FAIL")</x:f>
        <x:v>PASS</x:v>
      </x:c>
    </x:row>
    <x:row r="194">
      <x:c r="B194" s="22" t="str">
        <x:v>AC-0188</x:v>
      </x:c>
      <x:c r="C194" s="22" t="str">
        <x:v>schedule</x:v>
      </x:c>
      <x:c r="D194" s="22" t="str">
        <x:v>row 40 start after predecessor</x:v>
      </x:c>
      <x:c r="E194" s="75" t="n">
        <x:f>IF('Workfront Schedule'!N40&gt;='Workfront Schedule'!M40,1,0)</x:f>
        <x:v>1</x:v>
      </x:c>
      <x:c r="F194" s="75" t="n">
        <x:v>1</x:v>
      </x:c>
      <x:c r="G194" s="24" t="str">
        <x:f>IF(E194=F194,"PASS","FAIL")</x:f>
        <x:v>PASS</x:v>
      </x:c>
    </x:row>
    <x:row r="195">
      <x:c r="B195" s="22" t="str">
        <x:v>AC-0189</x:v>
      </x:c>
      <x:c r="C195" s="22" t="str">
        <x:v>schedule</x:v>
      </x:c>
      <x:c r="D195" s="22" t="str">
        <x:v>row 40 positive duration</x:v>
      </x:c>
      <x:c r="E195" s="75" t="n">
        <x:f>IF('Workfront Schedule'!O40&gt;0,1,0)</x:f>
        <x:v>1</x:v>
      </x:c>
      <x:c r="F195" s="75" t="n">
        <x:v>1</x:v>
      </x:c>
      <x:c r="G195" s="24" t="str">
        <x:f>IF(E195=F195,"PASS","FAIL")</x:f>
        <x:v>PASS</x:v>
      </x:c>
    </x:row>
    <x:row r="196">
      <x:c r="B196" s="22" t="str">
        <x:v>AC-0190</x:v>
      </x:c>
      <x:c r="C196" s="22" t="str">
        <x:v>schedule</x:v>
      </x:c>
      <x:c r="D196" s="22" t="str">
        <x:v>row 40 end identity</x:v>
      </x:c>
      <x:c r="E196" s="75" t="n">
        <x:f>IF(ABS('Workfront Schedule'!P40-'Workfront Schedule'!N40-'Workfront Schedule'!O40)&lt;0.000001,1,0)</x:f>
        <x:v>1</x:v>
      </x:c>
      <x:c r="F196" s="75" t="n">
        <x:v>1</x:v>
      </x:c>
      <x:c r="G196" s="24" t="str">
        <x:f>IF(E196=F196,"PASS","FAIL")</x:f>
        <x:v>PASS</x:v>
      </x:c>
    </x:row>
    <x:row r="197">
      <x:c r="B197" s="22" t="str">
        <x:v>AC-0191</x:v>
      </x:c>
      <x:c r="C197" s="22" t="str">
        <x:v>schedule</x:v>
      </x:c>
      <x:c r="D197" s="22" t="str">
        <x:v>row 41 start after material</x:v>
      </x:c>
      <x:c r="E197" s="75" t="n">
        <x:f>IF('Workfront Schedule'!N41&gt;='Workfront Schedule'!K41,1,0)</x:f>
        <x:v>1</x:v>
      </x:c>
      <x:c r="F197" s="75" t="n">
        <x:v>1</x:v>
      </x:c>
      <x:c r="G197" s="24" t="str">
        <x:f>IF(E197=F197,"PASS","FAIL")</x:f>
        <x:v>PASS</x:v>
      </x:c>
    </x:row>
    <x:row r="198">
      <x:c r="B198" s="22" t="str">
        <x:v>AC-0192</x:v>
      </x:c>
      <x:c r="C198" s="22" t="str">
        <x:v>schedule</x:v>
      </x:c>
      <x:c r="D198" s="22" t="str">
        <x:v>row 41 start after access</x:v>
      </x:c>
      <x:c r="E198" s="75" t="n">
        <x:f>IF('Workfront Schedule'!N41&gt;='Workfront Schedule'!L41,1,0)</x:f>
        <x:v>1</x:v>
      </x:c>
      <x:c r="F198" s="75" t="n">
        <x:v>1</x:v>
      </x:c>
      <x:c r="G198" s="24" t="str">
        <x:f>IF(E198=F198,"PASS","FAIL")</x:f>
        <x:v>PASS</x:v>
      </x:c>
    </x:row>
    <x:row r="199">
      <x:c r="B199" s="22" t="str">
        <x:v>AC-0193</x:v>
      </x:c>
      <x:c r="C199" s="22" t="str">
        <x:v>schedule</x:v>
      </x:c>
      <x:c r="D199" s="22" t="str">
        <x:v>row 41 start after predecessor</x:v>
      </x:c>
      <x:c r="E199" s="75" t="n">
        <x:f>IF('Workfront Schedule'!N41&gt;='Workfront Schedule'!M41,1,0)</x:f>
        <x:v>1</x:v>
      </x:c>
      <x:c r="F199" s="75" t="n">
        <x:v>1</x:v>
      </x:c>
      <x:c r="G199" s="24" t="str">
        <x:f>IF(E199=F199,"PASS","FAIL")</x:f>
        <x:v>PASS</x:v>
      </x:c>
    </x:row>
    <x:row r="200">
      <x:c r="B200" s="22" t="str">
        <x:v>AC-0194</x:v>
      </x:c>
      <x:c r="C200" s="22" t="str">
        <x:v>schedule</x:v>
      </x:c>
      <x:c r="D200" s="22" t="str">
        <x:v>row 41 positive duration</x:v>
      </x:c>
      <x:c r="E200" s="75" t="n">
        <x:f>IF('Workfront Schedule'!O41&gt;0,1,0)</x:f>
        <x:v>1</x:v>
      </x:c>
      <x:c r="F200" s="75" t="n">
        <x:v>1</x:v>
      </x:c>
      <x:c r="G200" s="24" t="str">
        <x:f>IF(E200=F200,"PASS","FAIL")</x:f>
        <x:v>PASS</x:v>
      </x:c>
    </x:row>
    <x:row r="201">
      <x:c r="B201" s="22" t="str">
        <x:v>AC-0195</x:v>
      </x:c>
      <x:c r="C201" s="22" t="str">
        <x:v>schedule</x:v>
      </x:c>
      <x:c r="D201" s="22" t="str">
        <x:v>row 41 end identity</x:v>
      </x:c>
      <x:c r="E201" s="75" t="n">
        <x:f>IF(ABS('Workfront Schedule'!P41-'Workfront Schedule'!N41-'Workfront Schedule'!O41)&lt;0.000001,1,0)</x:f>
        <x:v>1</x:v>
      </x:c>
      <x:c r="F201" s="75" t="n">
        <x:v>1</x:v>
      </x:c>
      <x:c r="G201" s="24" t="str">
        <x:f>IF(E201=F201,"PASS","FAIL")</x:f>
        <x:v>PASS</x:v>
      </x:c>
    </x:row>
    <x:row r="202">
      <x:c r="B202" s="22" t="str">
        <x:v>AC-0196</x:v>
      </x:c>
      <x:c r="C202" s="22" t="str">
        <x:v>schedule</x:v>
      </x:c>
      <x:c r="D202" s="22" t="str">
        <x:v>row 42 start after material</x:v>
      </x:c>
      <x:c r="E202" s="75" t="n">
        <x:f>IF('Workfront Schedule'!N42&gt;='Workfront Schedule'!K42,1,0)</x:f>
        <x:v>1</x:v>
      </x:c>
      <x:c r="F202" s="75" t="n">
        <x:v>1</x:v>
      </x:c>
      <x:c r="G202" s="24" t="str">
        <x:f>IF(E202=F202,"PASS","FAIL")</x:f>
        <x:v>PASS</x:v>
      </x:c>
    </x:row>
    <x:row r="203">
      <x:c r="B203" s="22" t="str">
        <x:v>AC-0197</x:v>
      </x:c>
      <x:c r="C203" s="22" t="str">
        <x:v>schedule</x:v>
      </x:c>
      <x:c r="D203" s="22" t="str">
        <x:v>row 42 start after access</x:v>
      </x:c>
      <x:c r="E203" s="75" t="n">
        <x:f>IF('Workfront Schedule'!N42&gt;='Workfront Schedule'!L42,1,0)</x:f>
        <x:v>1</x:v>
      </x:c>
      <x:c r="F203" s="75" t="n">
        <x:v>1</x:v>
      </x:c>
      <x:c r="G203" s="24" t="str">
        <x:f>IF(E203=F203,"PASS","FAIL")</x:f>
        <x:v>PASS</x:v>
      </x:c>
    </x:row>
    <x:row r="204">
      <x:c r="B204" s="22" t="str">
        <x:v>AC-0198</x:v>
      </x:c>
      <x:c r="C204" s="22" t="str">
        <x:v>schedule</x:v>
      </x:c>
      <x:c r="D204" s="22" t="str">
        <x:v>row 42 start after predecessor</x:v>
      </x:c>
      <x:c r="E204" s="75" t="n">
        <x:f>IF('Workfront Schedule'!N42&gt;='Workfront Schedule'!M42,1,0)</x:f>
        <x:v>1</x:v>
      </x:c>
      <x:c r="F204" s="75" t="n">
        <x:v>1</x:v>
      </x:c>
      <x:c r="G204" s="24" t="str">
        <x:f>IF(E204=F204,"PASS","FAIL")</x:f>
        <x:v>PASS</x:v>
      </x:c>
    </x:row>
    <x:row r="205">
      <x:c r="B205" s="22" t="str">
        <x:v>AC-0199</x:v>
      </x:c>
      <x:c r="C205" s="22" t="str">
        <x:v>schedule</x:v>
      </x:c>
      <x:c r="D205" s="22" t="str">
        <x:v>row 42 positive duration</x:v>
      </x:c>
      <x:c r="E205" s="75" t="n">
        <x:f>IF('Workfront Schedule'!O42&gt;0,1,0)</x:f>
        <x:v>1</x:v>
      </x:c>
      <x:c r="F205" s="75" t="n">
        <x:v>1</x:v>
      </x:c>
      <x:c r="G205" s="24" t="str">
        <x:f>IF(E205=F205,"PASS","FAIL")</x:f>
        <x:v>PASS</x:v>
      </x:c>
    </x:row>
    <x:row r="206">
      <x:c r="B206" s="22" t="str">
        <x:v>AC-0200</x:v>
      </x:c>
      <x:c r="C206" s="22" t="str">
        <x:v>schedule</x:v>
      </x:c>
      <x:c r="D206" s="22" t="str">
        <x:v>row 42 end identity</x:v>
      </x:c>
      <x:c r="E206" s="75" t="n">
        <x:f>IF(ABS('Workfront Schedule'!P42-'Workfront Schedule'!N42-'Workfront Schedule'!O42)&lt;0.000001,1,0)</x:f>
        <x:v>1</x:v>
      </x:c>
      <x:c r="F206" s="75" t="n">
        <x:v>1</x:v>
      </x:c>
      <x:c r="G206" s="24" t="str">
        <x:f>IF(E206=F206,"PASS","FAIL")</x:f>
        <x:v>PASS</x:v>
      </x:c>
    </x:row>
    <x:row r="207">
      <x:c r="B207" s="22" t="str">
        <x:v>AC-0201</x:v>
      </x:c>
      <x:c r="C207" s="22" t="str">
        <x:v>schedule</x:v>
      </x:c>
      <x:c r="D207" s="22" t="str">
        <x:v>row 43 start after material</x:v>
      </x:c>
      <x:c r="E207" s="75" t="n">
        <x:f>IF('Workfront Schedule'!N43&gt;='Workfront Schedule'!K43,1,0)</x:f>
        <x:v>1</x:v>
      </x:c>
      <x:c r="F207" s="75" t="n">
        <x:v>1</x:v>
      </x:c>
      <x:c r="G207" s="24" t="str">
        <x:f>IF(E207=F207,"PASS","FAIL")</x:f>
        <x:v>PASS</x:v>
      </x:c>
    </x:row>
    <x:row r="208">
      <x:c r="B208" s="22" t="str">
        <x:v>AC-0202</x:v>
      </x:c>
      <x:c r="C208" s="22" t="str">
        <x:v>schedule</x:v>
      </x:c>
      <x:c r="D208" s="22" t="str">
        <x:v>row 43 start after access</x:v>
      </x:c>
      <x:c r="E208" s="75" t="n">
        <x:f>IF('Workfront Schedule'!N43&gt;='Workfront Schedule'!L43,1,0)</x:f>
        <x:v>1</x:v>
      </x:c>
      <x:c r="F208" s="75" t="n">
        <x:v>1</x:v>
      </x:c>
      <x:c r="G208" s="24" t="str">
        <x:f>IF(E208=F208,"PASS","FAIL")</x:f>
        <x:v>PASS</x:v>
      </x:c>
    </x:row>
    <x:row r="209">
      <x:c r="B209" s="22" t="str">
        <x:v>AC-0203</x:v>
      </x:c>
      <x:c r="C209" s="22" t="str">
        <x:v>schedule</x:v>
      </x:c>
      <x:c r="D209" s="22" t="str">
        <x:v>row 43 start after predecessor</x:v>
      </x:c>
      <x:c r="E209" s="75" t="n">
        <x:f>IF('Workfront Schedule'!N43&gt;='Workfront Schedule'!M43,1,0)</x:f>
        <x:v>1</x:v>
      </x:c>
      <x:c r="F209" s="75" t="n">
        <x:v>1</x:v>
      </x:c>
      <x:c r="G209" s="24" t="str">
        <x:f>IF(E209=F209,"PASS","FAIL")</x:f>
        <x:v>PASS</x:v>
      </x:c>
    </x:row>
    <x:row r="210">
      <x:c r="B210" s="22" t="str">
        <x:v>AC-0204</x:v>
      </x:c>
      <x:c r="C210" s="22" t="str">
        <x:v>schedule</x:v>
      </x:c>
      <x:c r="D210" s="22" t="str">
        <x:v>row 43 positive duration</x:v>
      </x:c>
      <x:c r="E210" s="75" t="n">
        <x:f>IF('Workfront Schedule'!O43&gt;0,1,0)</x:f>
        <x:v>1</x:v>
      </x:c>
      <x:c r="F210" s="75" t="n">
        <x:v>1</x:v>
      </x:c>
      <x:c r="G210" s="24" t="str">
        <x:f>IF(E210=F210,"PASS","FAIL")</x:f>
        <x:v>PASS</x:v>
      </x:c>
    </x:row>
    <x:row r="211">
      <x:c r="B211" s="22" t="str">
        <x:v>AC-0205</x:v>
      </x:c>
      <x:c r="C211" s="22" t="str">
        <x:v>schedule</x:v>
      </x:c>
      <x:c r="D211" s="22" t="str">
        <x:v>row 43 end identity</x:v>
      </x:c>
      <x:c r="E211" s="75" t="n">
        <x:f>IF(ABS('Workfront Schedule'!P43-'Workfront Schedule'!N43-'Workfront Schedule'!O43)&lt;0.000001,1,0)</x:f>
        <x:v>1</x:v>
      </x:c>
      <x:c r="F211" s="75" t="n">
        <x:v>1</x:v>
      </x:c>
      <x:c r="G211" s="24" t="str">
        <x:f>IF(E211=F211,"PASS","FAIL")</x:f>
        <x:v>PASS</x:v>
      </x:c>
    </x:row>
    <x:row r="212">
      <x:c r="B212" s="22" t="str">
        <x:v>AC-0206</x:v>
      </x:c>
      <x:c r="C212" s="22" t="str">
        <x:v>schedule</x:v>
      </x:c>
      <x:c r="D212" s="22" t="str">
        <x:v>row 44 start after material</x:v>
      </x:c>
      <x:c r="E212" s="75" t="n">
        <x:f>IF('Workfront Schedule'!N44&gt;='Workfront Schedule'!K44,1,0)</x:f>
        <x:v>1</x:v>
      </x:c>
      <x:c r="F212" s="75" t="n">
        <x:v>1</x:v>
      </x:c>
      <x:c r="G212" s="24" t="str">
        <x:f>IF(E212=F212,"PASS","FAIL")</x:f>
        <x:v>PASS</x:v>
      </x:c>
    </x:row>
    <x:row r="213">
      <x:c r="B213" s="22" t="str">
        <x:v>AC-0207</x:v>
      </x:c>
      <x:c r="C213" s="22" t="str">
        <x:v>schedule</x:v>
      </x:c>
      <x:c r="D213" s="22" t="str">
        <x:v>row 44 start after access</x:v>
      </x:c>
      <x:c r="E213" s="75" t="n">
        <x:f>IF('Workfront Schedule'!N44&gt;='Workfront Schedule'!L44,1,0)</x:f>
        <x:v>1</x:v>
      </x:c>
      <x:c r="F213" s="75" t="n">
        <x:v>1</x:v>
      </x:c>
      <x:c r="G213" s="24" t="str">
        <x:f>IF(E213=F213,"PASS","FAIL")</x:f>
        <x:v>PASS</x:v>
      </x:c>
    </x:row>
    <x:row r="214">
      <x:c r="B214" s="22" t="str">
        <x:v>AC-0208</x:v>
      </x:c>
      <x:c r="C214" s="22" t="str">
        <x:v>schedule</x:v>
      </x:c>
      <x:c r="D214" s="22" t="str">
        <x:v>row 44 start after predecessor</x:v>
      </x:c>
      <x:c r="E214" s="75" t="n">
        <x:f>IF('Workfront Schedule'!N44&gt;='Workfront Schedule'!M44,1,0)</x:f>
        <x:v>1</x:v>
      </x:c>
      <x:c r="F214" s="75" t="n">
        <x:v>1</x:v>
      </x:c>
      <x:c r="G214" s="24" t="str">
        <x:f>IF(E214=F214,"PASS","FAIL")</x:f>
        <x:v>PASS</x:v>
      </x:c>
    </x:row>
    <x:row r="215">
      <x:c r="B215" s="22" t="str">
        <x:v>AC-0209</x:v>
      </x:c>
      <x:c r="C215" s="22" t="str">
        <x:v>schedule</x:v>
      </x:c>
      <x:c r="D215" s="22" t="str">
        <x:v>row 44 positive duration</x:v>
      </x:c>
      <x:c r="E215" s="75" t="n">
        <x:f>IF('Workfront Schedule'!O44&gt;0,1,0)</x:f>
        <x:v>1</x:v>
      </x:c>
      <x:c r="F215" s="75" t="n">
        <x:v>1</x:v>
      </x:c>
      <x:c r="G215" s="24" t="str">
        <x:f>IF(E215=F215,"PASS","FAIL")</x:f>
        <x:v>PASS</x:v>
      </x:c>
    </x:row>
    <x:row r="216">
      <x:c r="B216" s="22" t="str">
        <x:v>AC-0210</x:v>
      </x:c>
      <x:c r="C216" s="22" t="str">
        <x:v>schedule</x:v>
      </x:c>
      <x:c r="D216" s="22" t="str">
        <x:v>row 44 end identity</x:v>
      </x:c>
      <x:c r="E216" s="75" t="n">
        <x:f>IF(ABS('Workfront Schedule'!P44-'Workfront Schedule'!N44-'Workfront Schedule'!O44)&lt;0.000001,1,0)</x:f>
        <x:v>1</x:v>
      </x:c>
      <x:c r="F216" s="75" t="n">
        <x:v>1</x:v>
      </x:c>
      <x:c r="G216" s="24" t="str">
        <x:f>IF(E216=F216,"PASS","FAIL")</x:f>
        <x:v>PASS</x:v>
      </x:c>
    </x:row>
    <x:row r="217">
      <x:c r="B217" s="22" t="str">
        <x:v>AC-0211</x:v>
      </x:c>
      <x:c r="C217" s="22" t="str">
        <x:v>schedule</x:v>
      </x:c>
      <x:c r="D217" s="22" t="str">
        <x:v>row 45 start after material</x:v>
      </x:c>
      <x:c r="E217" s="75" t="n">
        <x:f>IF('Workfront Schedule'!N45&gt;='Workfront Schedule'!K45,1,0)</x:f>
        <x:v>1</x:v>
      </x:c>
      <x:c r="F217" s="75" t="n">
        <x:v>1</x:v>
      </x:c>
      <x:c r="G217" s="24" t="str">
        <x:f>IF(E217=F217,"PASS","FAIL")</x:f>
        <x:v>PASS</x:v>
      </x:c>
    </x:row>
    <x:row r="218">
      <x:c r="B218" s="22" t="str">
        <x:v>AC-0212</x:v>
      </x:c>
      <x:c r="C218" s="22" t="str">
        <x:v>schedule</x:v>
      </x:c>
      <x:c r="D218" s="22" t="str">
        <x:v>row 45 start after access</x:v>
      </x:c>
      <x:c r="E218" s="75" t="n">
        <x:f>IF('Workfront Schedule'!N45&gt;='Workfront Schedule'!L45,1,0)</x:f>
        <x:v>1</x:v>
      </x:c>
      <x:c r="F218" s="75" t="n">
        <x:v>1</x:v>
      </x:c>
      <x:c r="G218" s="24" t="str">
        <x:f>IF(E218=F218,"PASS","FAIL")</x:f>
        <x:v>PASS</x:v>
      </x:c>
    </x:row>
    <x:row r="219">
      <x:c r="B219" s="22" t="str">
        <x:v>AC-0213</x:v>
      </x:c>
      <x:c r="C219" s="22" t="str">
        <x:v>schedule</x:v>
      </x:c>
      <x:c r="D219" s="22" t="str">
        <x:v>row 45 start after predecessor</x:v>
      </x:c>
      <x:c r="E219" s="75" t="n">
        <x:f>IF('Workfront Schedule'!N45&gt;='Workfront Schedule'!M45,1,0)</x:f>
        <x:v>1</x:v>
      </x:c>
      <x:c r="F219" s="75" t="n">
        <x:v>1</x:v>
      </x:c>
      <x:c r="G219" s="24" t="str">
        <x:f>IF(E219=F219,"PASS","FAIL")</x:f>
        <x:v>PASS</x:v>
      </x:c>
    </x:row>
    <x:row r="220">
      <x:c r="B220" s="22" t="str">
        <x:v>AC-0214</x:v>
      </x:c>
      <x:c r="C220" s="22" t="str">
        <x:v>schedule</x:v>
      </x:c>
      <x:c r="D220" s="22" t="str">
        <x:v>row 45 positive duration</x:v>
      </x:c>
      <x:c r="E220" s="75" t="n">
        <x:f>IF('Workfront Schedule'!O45&gt;0,1,0)</x:f>
        <x:v>1</x:v>
      </x:c>
      <x:c r="F220" s="75" t="n">
        <x:v>1</x:v>
      </x:c>
      <x:c r="G220" s="24" t="str">
        <x:f>IF(E220=F220,"PASS","FAIL")</x:f>
        <x:v>PASS</x:v>
      </x:c>
    </x:row>
    <x:row r="221">
      <x:c r="B221" s="22" t="str">
        <x:v>AC-0215</x:v>
      </x:c>
      <x:c r="C221" s="22" t="str">
        <x:v>schedule</x:v>
      </x:c>
      <x:c r="D221" s="22" t="str">
        <x:v>row 45 end identity</x:v>
      </x:c>
      <x:c r="E221" s="75" t="n">
        <x:f>IF(ABS('Workfront Schedule'!P45-'Workfront Schedule'!N45-'Workfront Schedule'!O45)&lt;0.000001,1,0)</x:f>
        <x:v>1</x:v>
      </x:c>
      <x:c r="F221" s="75" t="n">
        <x:v>1</x:v>
      </x:c>
      <x:c r="G221" s="24" t="str">
        <x:f>IF(E221=F221,"PASS","FAIL")</x:f>
        <x:v>PASS</x:v>
      </x:c>
    </x:row>
    <x:row r="222">
      <x:c r="B222" s="22" t="str">
        <x:v>AC-0216</x:v>
      </x:c>
      <x:c r="C222" s="22" t="str">
        <x:v>schedule</x:v>
      </x:c>
      <x:c r="D222" s="22" t="str">
        <x:v>row 46 start after material</x:v>
      </x:c>
      <x:c r="E222" s="75" t="n">
        <x:f>IF('Workfront Schedule'!N46&gt;='Workfront Schedule'!K46,1,0)</x:f>
        <x:v>1</x:v>
      </x:c>
      <x:c r="F222" s="75" t="n">
        <x:v>1</x:v>
      </x:c>
      <x:c r="G222" s="24" t="str">
        <x:f>IF(E222=F222,"PASS","FAIL")</x:f>
        <x:v>PASS</x:v>
      </x:c>
    </x:row>
    <x:row r="223">
      <x:c r="B223" s="22" t="str">
        <x:v>AC-0217</x:v>
      </x:c>
      <x:c r="C223" s="22" t="str">
        <x:v>schedule</x:v>
      </x:c>
      <x:c r="D223" s="22" t="str">
        <x:v>row 46 start after access</x:v>
      </x:c>
      <x:c r="E223" s="75" t="n">
        <x:f>IF('Workfront Schedule'!N46&gt;='Workfront Schedule'!L46,1,0)</x:f>
        <x:v>1</x:v>
      </x:c>
      <x:c r="F223" s="75" t="n">
        <x:v>1</x:v>
      </x:c>
      <x:c r="G223" s="24" t="str">
        <x:f>IF(E223=F223,"PASS","FAIL")</x:f>
        <x:v>PASS</x:v>
      </x:c>
    </x:row>
    <x:row r="224">
      <x:c r="B224" s="22" t="str">
        <x:v>AC-0218</x:v>
      </x:c>
      <x:c r="C224" s="22" t="str">
        <x:v>schedule</x:v>
      </x:c>
      <x:c r="D224" s="22" t="str">
        <x:v>row 46 start after predecessor</x:v>
      </x:c>
      <x:c r="E224" s="75" t="n">
        <x:f>IF('Workfront Schedule'!N46&gt;='Workfront Schedule'!M46,1,0)</x:f>
        <x:v>1</x:v>
      </x:c>
      <x:c r="F224" s="75" t="n">
        <x:v>1</x:v>
      </x:c>
      <x:c r="G224" s="24" t="str">
        <x:f>IF(E224=F224,"PASS","FAIL")</x:f>
        <x:v>PASS</x:v>
      </x:c>
    </x:row>
    <x:row r="225">
      <x:c r="B225" s="22" t="str">
        <x:v>AC-0219</x:v>
      </x:c>
      <x:c r="C225" s="22" t="str">
        <x:v>schedule</x:v>
      </x:c>
      <x:c r="D225" s="22" t="str">
        <x:v>row 46 positive duration</x:v>
      </x:c>
      <x:c r="E225" s="75" t="n">
        <x:f>IF('Workfront Schedule'!O46&gt;0,1,0)</x:f>
        <x:v>1</x:v>
      </x:c>
      <x:c r="F225" s="75" t="n">
        <x:v>1</x:v>
      </x:c>
      <x:c r="G225" s="24" t="str">
        <x:f>IF(E225=F225,"PASS","FAIL")</x:f>
        <x:v>PASS</x:v>
      </x:c>
    </x:row>
    <x:row r="226">
      <x:c r="B226" s="22" t="str">
        <x:v>AC-0220</x:v>
      </x:c>
      <x:c r="C226" s="22" t="str">
        <x:v>schedule</x:v>
      </x:c>
      <x:c r="D226" s="22" t="str">
        <x:v>row 46 end identity</x:v>
      </x:c>
      <x:c r="E226" s="75" t="n">
        <x:f>IF(ABS('Workfront Schedule'!P46-'Workfront Schedule'!N46-'Workfront Schedule'!O46)&lt;0.000001,1,0)</x:f>
        <x:v>1</x:v>
      </x:c>
      <x:c r="F226" s="75" t="n">
        <x:v>1</x:v>
      </x:c>
      <x:c r="G226" s="24" t="str">
        <x:f>IF(E226=F226,"PASS","FAIL")</x:f>
        <x:v>PASS</x:v>
      </x:c>
    </x:row>
    <x:row r="227">
      <x:c r="B227" s="22" t="str">
        <x:v>AC-0221</x:v>
      </x:c>
      <x:c r="C227" s="22" t="str">
        <x:v>schedule</x:v>
      </x:c>
      <x:c r="D227" s="22" t="str">
        <x:v>row 47 start after material</x:v>
      </x:c>
      <x:c r="E227" s="75" t="n">
        <x:f>IF('Workfront Schedule'!N47&gt;='Workfront Schedule'!K47,1,0)</x:f>
        <x:v>1</x:v>
      </x:c>
      <x:c r="F227" s="75" t="n">
        <x:v>1</x:v>
      </x:c>
      <x:c r="G227" s="24" t="str">
        <x:f>IF(E227=F227,"PASS","FAIL")</x:f>
        <x:v>PASS</x:v>
      </x:c>
    </x:row>
    <x:row r="228">
      <x:c r="B228" s="22" t="str">
        <x:v>AC-0222</x:v>
      </x:c>
      <x:c r="C228" s="22" t="str">
        <x:v>schedule</x:v>
      </x:c>
      <x:c r="D228" s="22" t="str">
        <x:v>row 47 start after access</x:v>
      </x:c>
      <x:c r="E228" s="75" t="n">
        <x:f>IF('Workfront Schedule'!N47&gt;='Workfront Schedule'!L47,1,0)</x:f>
        <x:v>1</x:v>
      </x:c>
      <x:c r="F228" s="75" t="n">
        <x:v>1</x:v>
      </x:c>
      <x:c r="G228" s="24" t="str">
        <x:f>IF(E228=F228,"PASS","FAIL")</x:f>
        <x:v>PASS</x:v>
      </x:c>
    </x:row>
    <x:row r="229">
      <x:c r="B229" s="22" t="str">
        <x:v>AC-0223</x:v>
      </x:c>
      <x:c r="C229" s="22" t="str">
        <x:v>schedule</x:v>
      </x:c>
      <x:c r="D229" s="22" t="str">
        <x:v>row 47 start after predecessor</x:v>
      </x:c>
      <x:c r="E229" s="75" t="n">
        <x:f>IF('Workfront Schedule'!N47&gt;='Workfront Schedule'!M47,1,0)</x:f>
        <x:v>1</x:v>
      </x:c>
      <x:c r="F229" s="75" t="n">
        <x:v>1</x:v>
      </x:c>
      <x:c r="G229" s="24" t="str">
        <x:f>IF(E229=F229,"PASS","FAIL")</x:f>
        <x:v>PASS</x:v>
      </x:c>
    </x:row>
    <x:row r="230">
      <x:c r="B230" s="22" t="str">
        <x:v>AC-0224</x:v>
      </x:c>
      <x:c r="C230" s="22" t="str">
        <x:v>schedule</x:v>
      </x:c>
      <x:c r="D230" s="22" t="str">
        <x:v>row 47 positive duration</x:v>
      </x:c>
      <x:c r="E230" s="75" t="n">
        <x:f>IF('Workfront Schedule'!O47&gt;0,1,0)</x:f>
        <x:v>1</x:v>
      </x:c>
      <x:c r="F230" s="75" t="n">
        <x:v>1</x:v>
      </x:c>
      <x:c r="G230" s="24" t="str">
        <x:f>IF(E230=F230,"PASS","FAIL")</x:f>
        <x:v>PASS</x:v>
      </x:c>
    </x:row>
    <x:row r="231">
      <x:c r="B231" s="22" t="str">
        <x:v>AC-0225</x:v>
      </x:c>
      <x:c r="C231" s="22" t="str">
        <x:v>schedule</x:v>
      </x:c>
      <x:c r="D231" s="22" t="str">
        <x:v>row 47 end identity</x:v>
      </x:c>
      <x:c r="E231" s="75" t="n">
        <x:f>IF(ABS('Workfront Schedule'!P47-'Workfront Schedule'!N47-'Workfront Schedule'!O47)&lt;0.000001,1,0)</x:f>
        <x:v>1</x:v>
      </x:c>
      <x:c r="F231" s="75" t="n">
        <x:v>1</x:v>
      </x:c>
      <x:c r="G231" s="24" t="str">
        <x:f>IF(E231=F231,"PASS","FAIL")</x:f>
        <x:v>PASS</x:v>
      </x:c>
    </x:row>
    <x:row r="232">
      <x:c r="B232" s="22" t="str">
        <x:v>AC-0226</x:v>
      </x:c>
      <x:c r="C232" s="22" t="str">
        <x:v>schedule</x:v>
      </x:c>
      <x:c r="D232" s="22" t="str">
        <x:v>row 48 start after material</x:v>
      </x:c>
      <x:c r="E232" s="75" t="n">
        <x:f>IF('Workfront Schedule'!N48&gt;='Workfront Schedule'!K48,1,0)</x:f>
        <x:v>1</x:v>
      </x:c>
      <x:c r="F232" s="75" t="n">
        <x:v>1</x:v>
      </x:c>
      <x:c r="G232" s="24" t="str">
        <x:f>IF(E232=F232,"PASS","FAIL")</x:f>
        <x:v>PASS</x:v>
      </x:c>
    </x:row>
    <x:row r="233">
      <x:c r="B233" s="22" t="str">
        <x:v>AC-0227</x:v>
      </x:c>
      <x:c r="C233" s="22" t="str">
        <x:v>schedule</x:v>
      </x:c>
      <x:c r="D233" s="22" t="str">
        <x:v>row 48 start after access</x:v>
      </x:c>
      <x:c r="E233" s="75" t="n">
        <x:f>IF('Workfront Schedule'!N48&gt;='Workfront Schedule'!L48,1,0)</x:f>
        <x:v>1</x:v>
      </x:c>
      <x:c r="F233" s="75" t="n">
        <x:v>1</x:v>
      </x:c>
      <x:c r="G233" s="24" t="str">
        <x:f>IF(E233=F233,"PASS","FAIL")</x:f>
        <x:v>PASS</x:v>
      </x:c>
    </x:row>
    <x:row r="234">
      <x:c r="B234" s="22" t="str">
        <x:v>AC-0228</x:v>
      </x:c>
      <x:c r="C234" s="22" t="str">
        <x:v>schedule</x:v>
      </x:c>
      <x:c r="D234" s="22" t="str">
        <x:v>row 48 start after predecessor</x:v>
      </x:c>
      <x:c r="E234" s="75" t="n">
        <x:f>IF('Workfront Schedule'!N48&gt;='Workfront Schedule'!M48,1,0)</x:f>
        <x:v>1</x:v>
      </x:c>
      <x:c r="F234" s="75" t="n">
        <x:v>1</x:v>
      </x:c>
      <x:c r="G234" s="24" t="str">
        <x:f>IF(E234=F234,"PASS","FAIL")</x:f>
        <x:v>PASS</x:v>
      </x:c>
    </x:row>
    <x:row r="235">
      <x:c r="B235" s="22" t="str">
        <x:v>AC-0229</x:v>
      </x:c>
      <x:c r="C235" s="22" t="str">
        <x:v>schedule</x:v>
      </x:c>
      <x:c r="D235" s="22" t="str">
        <x:v>row 48 positive duration</x:v>
      </x:c>
      <x:c r="E235" s="75" t="n">
        <x:f>IF('Workfront Schedule'!O48&gt;0,1,0)</x:f>
        <x:v>1</x:v>
      </x:c>
      <x:c r="F235" s="75" t="n">
        <x:v>1</x:v>
      </x:c>
      <x:c r="G235" s="24" t="str">
        <x:f>IF(E235=F235,"PASS","FAIL")</x:f>
        <x:v>PASS</x:v>
      </x:c>
    </x:row>
    <x:row r="236">
      <x:c r="B236" s="22" t="str">
        <x:v>AC-0230</x:v>
      </x:c>
      <x:c r="C236" s="22" t="str">
        <x:v>schedule</x:v>
      </x:c>
      <x:c r="D236" s="22" t="str">
        <x:v>row 48 end identity</x:v>
      </x:c>
      <x:c r="E236" s="75" t="n">
        <x:f>IF(ABS('Workfront Schedule'!P48-'Workfront Schedule'!N48-'Workfront Schedule'!O48)&lt;0.000001,1,0)</x:f>
        <x:v>1</x:v>
      </x:c>
      <x:c r="F236" s="75" t="n">
        <x:v>1</x:v>
      </x:c>
      <x:c r="G236" s="24" t="str">
        <x:f>IF(E236=F236,"PASS","FAIL")</x:f>
        <x:v>PASS</x:v>
      </x:c>
    </x:row>
    <x:row r="237">
      <x:c r="B237" s="22" t="str">
        <x:v>AC-0231</x:v>
      </x:c>
      <x:c r="C237" s="22" t="str">
        <x:v>schedule</x:v>
      </x:c>
      <x:c r="D237" s="22" t="str">
        <x:v>row 49 start after material</x:v>
      </x:c>
      <x:c r="E237" s="75" t="n">
        <x:f>IF('Workfront Schedule'!N49&gt;='Workfront Schedule'!K49,1,0)</x:f>
        <x:v>1</x:v>
      </x:c>
      <x:c r="F237" s="75" t="n">
        <x:v>1</x:v>
      </x:c>
      <x:c r="G237" s="24" t="str">
        <x:f>IF(E237=F237,"PASS","FAIL")</x:f>
        <x:v>PASS</x:v>
      </x:c>
    </x:row>
    <x:row r="238">
      <x:c r="B238" s="22" t="str">
        <x:v>AC-0232</x:v>
      </x:c>
      <x:c r="C238" s="22" t="str">
        <x:v>schedule</x:v>
      </x:c>
      <x:c r="D238" s="22" t="str">
        <x:v>row 49 start after access</x:v>
      </x:c>
      <x:c r="E238" s="75" t="n">
        <x:f>IF('Workfront Schedule'!N49&gt;='Workfront Schedule'!L49,1,0)</x:f>
        <x:v>1</x:v>
      </x:c>
      <x:c r="F238" s="75" t="n">
        <x:v>1</x:v>
      </x:c>
      <x:c r="G238" s="24" t="str">
        <x:f>IF(E238=F238,"PASS","FAIL")</x:f>
        <x:v>PASS</x:v>
      </x:c>
    </x:row>
    <x:row r="239">
      <x:c r="B239" s="22" t="str">
        <x:v>AC-0233</x:v>
      </x:c>
      <x:c r="C239" s="22" t="str">
        <x:v>schedule</x:v>
      </x:c>
      <x:c r="D239" s="22" t="str">
        <x:v>row 49 start after predecessor</x:v>
      </x:c>
      <x:c r="E239" s="75" t="n">
        <x:f>IF('Workfront Schedule'!N49&gt;='Workfront Schedule'!M49,1,0)</x:f>
        <x:v>1</x:v>
      </x:c>
      <x:c r="F239" s="75" t="n">
        <x:v>1</x:v>
      </x:c>
      <x:c r="G239" s="24" t="str">
        <x:f>IF(E239=F239,"PASS","FAIL")</x:f>
        <x:v>PASS</x:v>
      </x:c>
    </x:row>
    <x:row r="240">
      <x:c r="B240" s="22" t="str">
        <x:v>AC-0234</x:v>
      </x:c>
      <x:c r="C240" s="22" t="str">
        <x:v>schedule</x:v>
      </x:c>
      <x:c r="D240" s="22" t="str">
        <x:v>row 49 positive duration</x:v>
      </x:c>
      <x:c r="E240" s="75" t="n">
        <x:f>IF('Workfront Schedule'!O49&gt;0,1,0)</x:f>
        <x:v>1</x:v>
      </x:c>
      <x:c r="F240" s="75" t="n">
        <x:v>1</x:v>
      </x:c>
      <x:c r="G240" s="24" t="str">
        <x:f>IF(E240=F240,"PASS","FAIL")</x:f>
        <x:v>PASS</x:v>
      </x:c>
    </x:row>
    <x:row r="241">
      <x:c r="B241" s="22" t="str">
        <x:v>AC-0235</x:v>
      </x:c>
      <x:c r="C241" s="22" t="str">
        <x:v>schedule</x:v>
      </x:c>
      <x:c r="D241" s="22" t="str">
        <x:v>row 49 end identity</x:v>
      </x:c>
      <x:c r="E241" s="75" t="n">
        <x:f>IF(ABS('Workfront Schedule'!P49-'Workfront Schedule'!N49-'Workfront Schedule'!O49)&lt;0.000001,1,0)</x:f>
        <x:v>1</x:v>
      </x:c>
      <x:c r="F241" s="75" t="n">
        <x:v>1</x:v>
      </x:c>
      <x:c r="G241" s="24" t="str">
        <x:f>IF(E241=F241,"PASS","FAIL")</x:f>
        <x:v>PASS</x:v>
      </x:c>
    </x:row>
    <x:row r="242">
      <x:c r="B242" s="22" t="str">
        <x:v>AC-0236</x:v>
      </x:c>
      <x:c r="C242" s="22" t="str">
        <x:v>schedule</x:v>
      </x:c>
      <x:c r="D242" s="22" t="str">
        <x:v>row 50 start after material</x:v>
      </x:c>
      <x:c r="E242" s="75" t="n">
        <x:f>IF('Workfront Schedule'!N50&gt;='Workfront Schedule'!K50,1,0)</x:f>
        <x:v>1</x:v>
      </x:c>
      <x:c r="F242" s="75" t="n">
        <x:v>1</x:v>
      </x:c>
      <x:c r="G242" s="24" t="str">
        <x:f>IF(E242=F242,"PASS","FAIL")</x:f>
        <x:v>PASS</x:v>
      </x:c>
    </x:row>
    <x:row r="243">
      <x:c r="B243" s="22" t="str">
        <x:v>AC-0237</x:v>
      </x:c>
      <x:c r="C243" s="22" t="str">
        <x:v>schedule</x:v>
      </x:c>
      <x:c r="D243" s="22" t="str">
        <x:v>row 50 start after access</x:v>
      </x:c>
      <x:c r="E243" s="75" t="n">
        <x:f>IF('Workfront Schedule'!N50&gt;='Workfront Schedule'!L50,1,0)</x:f>
        <x:v>1</x:v>
      </x:c>
      <x:c r="F243" s="75" t="n">
        <x:v>1</x:v>
      </x:c>
      <x:c r="G243" s="24" t="str">
        <x:f>IF(E243=F243,"PASS","FAIL")</x:f>
        <x:v>PASS</x:v>
      </x:c>
    </x:row>
    <x:row r="244">
      <x:c r="B244" s="22" t="str">
        <x:v>AC-0238</x:v>
      </x:c>
      <x:c r="C244" s="22" t="str">
        <x:v>schedule</x:v>
      </x:c>
      <x:c r="D244" s="22" t="str">
        <x:v>row 50 start after predecessor</x:v>
      </x:c>
      <x:c r="E244" s="75" t="n">
        <x:f>IF('Workfront Schedule'!N50&gt;='Workfront Schedule'!M50,1,0)</x:f>
        <x:v>1</x:v>
      </x:c>
      <x:c r="F244" s="75" t="n">
        <x:v>1</x:v>
      </x:c>
      <x:c r="G244" s="24" t="str">
        <x:f>IF(E244=F244,"PASS","FAIL")</x:f>
        <x:v>PASS</x:v>
      </x:c>
    </x:row>
    <x:row r="245">
      <x:c r="B245" s="22" t="str">
        <x:v>AC-0239</x:v>
      </x:c>
      <x:c r="C245" s="22" t="str">
        <x:v>schedule</x:v>
      </x:c>
      <x:c r="D245" s="22" t="str">
        <x:v>row 50 positive duration</x:v>
      </x:c>
      <x:c r="E245" s="75" t="n">
        <x:f>IF('Workfront Schedule'!O50&gt;0,1,0)</x:f>
        <x:v>1</x:v>
      </x:c>
      <x:c r="F245" s="75" t="n">
        <x:v>1</x:v>
      </x:c>
      <x:c r="G245" s="24" t="str">
        <x:f>IF(E245=F245,"PASS","FAIL")</x:f>
        <x:v>PASS</x:v>
      </x:c>
    </x:row>
    <x:row r="246">
      <x:c r="B246" s="22" t="str">
        <x:v>AC-0240</x:v>
      </x:c>
      <x:c r="C246" s="22" t="str">
        <x:v>schedule</x:v>
      </x:c>
      <x:c r="D246" s="22" t="str">
        <x:v>row 50 end identity</x:v>
      </x:c>
      <x:c r="E246" s="75" t="n">
        <x:f>IF(ABS('Workfront Schedule'!P50-'Workfront Schedule'!N50-'Workfront Schedule'!O50)&lt;0.000001,1,0)</x:f>
        <x:v>1</x:v>
      </x:c>
      <x:c r="F246" s="75" t="n">
        <x:v>1</x:v>
      </x:c>
      <x:c r="G246" s="24" t="str">
        <x:f>IF(E246=F246,"PASS","FAIL")</x:f>
        <x:v>PASS</x:v>
      </x:c>
    </x:row>
    <x:row r="247">
      <x:c r="B247" s="22" t="str">
        <x:v>AC-0241</x:v>
      </x:c>
      <x:c r="C247" s="22" t="str">
        <x:v>schedule</x:v>
      </x:c>
      <x:c r="D247" s="22" t="str">
        <x:v>row 51 start after material</x:v>
      </x:c>
      <x:c r="E247" s="75" t="n">
        <x:f>IF('Workfront Schedule'!N51&gt;='Workfront Schedule'!K51,1,0)</x:f>
        <x:v>1</x:v>
      </x:c>
      <x:c r="F247" s="75" t="n">
        <x:v>1</x:v>
      </x:c>
      <x:c r="G247" s="24" t="str">
        <x:f>IF(E247=F247,"PASS","FAIL")</x:f>
        <x:v>PASS</x:v>
      </x:c>
    </x:row>
    <x:row r="248">
      <x:c r="B248" s="22" t="str">
        <x:v>AC-0242</x:v>
      </x:c>
      <x:c r="C248" s="22" t="str">
        <x:v>schedule</x:v>
      </x:c>
      <x:c r="D248" s="22" t="str">
        <x:v>row 51 start after access</x:v>
      </x:c>
      <x:c r="E248" s="75" t="n">
        <x:f>IF('Workfront Schedule'!N51&gt;='Workfront Schedule'!L51,1,0)</x:f>
        <x:v>1</x:v>
      </x:c>
      <x:c r="F248" s="75" t="n">
        <x:v>1</x:v>
      </x:c>
      <x:c r="G248" s="24" t="str">
        <x:f>IF(E248=F248,"PASS","FAIL")</x:f>
        <x:v>PASS</x:v>
      </x:c>
    </x:row>
    <x:row r="249">
      <x:c r="B249" s="22" t="str">
        <x:v>AC-0243</x:v>
      </x:c>
      <x:c r="C249" s="22" t="str">
        <x:v>schedule</x:v>
      </x:c>
      <x:c r="D249" s="22" t="str">
        <x:v>row 51 start after predecessor</x:v>
      </x:c>
      <x:c r="E249" s="75" t="n">
        <x:f>IF('Workfront Schedule'!N51&gt;='Workfront Schedule'!M51,1,0)</x:f>
        <x:v>1</x:v>
      </x:c>
      <x:c r="F249" s="75" t="n">
        <x:v>1</x:v>
      </x:c>
      <x:c r="G249" s="24" t="str">
        <x:f>IF(E249=F249,"PASS","FAIL")</x:f>
        <x:v>PASS</x:v>
      </x:c>
    </x:row>
    <x:row r="250">
      <x:c r="B250" s="22" t="str">
        <x:v>AC-0244</x:v>
      </x:c>
      <x:c r="C250" s="22" t="str">
        <x:v>schedule</x:v>
      </x:c>
      <x:c r="D250" s="22" t="str">
        <x:v>row 51 positive duration</x:v>
      </x:c>
      <x:c r="E250" s="75" t="n">
        <x:f>IF('Workfront Schedule'!O51&gt;0,1,0)</x:f>
        <x:v>1</x:v>
      </x:c>
      <x:c r="F250" s="75" t="n">
        <x:v>1</x:v>
      </x:c>
      <x:c r="G250" s="24" t="str">
        <x:f>IF(E250=F250,"PASS","FAIL")</x:f>
        <x:v>PASS</x:v>
      </x:c>
    </x:row>
    <x:row r="251">
      <x:c r="B251" s="22" t="str">
        <x:v>AC-0245</x:v>
      </x:c>
      <x:c r="C251" s="22" t="str">
        <x:v>schedule</x:v>
      </x:c>
      <x:c r="D251" s="22" t="str">
        <x:v>row 51 end identity</x:v>
      </x:c>
      <x:c r="E251" s="75" t="n">
        <x:f>IF(ABS('Workfront Schedule'!P51-'Workfront Schedule'!N51-'Workfront Schedule'!O51)&lt;0.000001,1,0)</x:f>
        <x:v>1</x:v>
      </x:c>
      <x:c r="F251" s="75" t="n">
        <x:v>1</x:v>
      </x:c>
      <x:c r="G251" s="24" t="str">
        <x:f>IF(E251=F251,"PASS","FAIL")</x:f>
        <x:v>PASS</x:v>
      </x:c>
    </x:row>
    <x:row r="252">
      <x:c r="B252" s="22" t="str">
        <x:v>AC-0246</x:v>
      </x:c>
      <x:c r="C252" s="22" t="str">
        <x:v>schedule</x:v>
      </x:c>
      <x:c r="D252" s="22" t="str">
        <x:v>row 52 start after material</x:v>
      </x:c>
      <x:c r="E252" s="75" t="n">
        <x:f>IF('Workfront Schedule'!N52&gt;='Workfront Schedule'!K52,1,0)</x:f>
        <x:v>1</x:v>
      </x:c>
      <x:c r="F252" s="75" t="n">
        <x:v>1</x:v>
      </x:c>
      <x:c r="G252" s="24" t="str">
        <x:f>IF(E252=F252,"PASS","FAIL")</x:f>
        <x:v>PASS</x:v>
      </x:c>
    </x:row>
    <x:row r="253">
      <x:c r="B253" s="22" t="str">
        <x:v>AC-0247</x:v>
      </x:c>
      <x:c r="C253" s="22" t="str">
        <x:v>schedule</x:v>
      </x:c>
      <x:c r="D253" s="22" t="str">
        <x:v>row 52 start after access</x:v>
      </x:c>
      <x:c r="E253" s="75" t="n">
        <x:f>IF('Workfront Schedule'!N52&gt;='Workfront Schedule'!L52,1,0)</x:f>
        <x:v>1</x:v>
      </x:c>
      <x:c r="F253" s="75" t="n">
        <x:v>1</x:v>
      </x:c>
      <x:c r="G253" s="24" t="str">
        <x:f>IF(E253=F253,"PASS","FAIL")</x:f>
        <x:v>PASS</x:v>
      </x:c>
    </x:row>
    <x:row r="254">
      <x:c r="B254" s="22" t="str">
        <x:v>AC-0248</x:v>
      </x:c>
      <x:c r="C254" s="22" t="str">
        <x:v>schedule</x:v>
      </x:c>
      <x:c r="D254" s="22" t="str">
        <x:v>row 52 start after predecessor</x:v>
      </x:c>
      <x:c r="E254" s="75" t="n">
        <x:f>IF('Workfront Schedule'!N52&gt;='Workfront Schedule'!M52,1,0)</x:f>
        <x:v>1</x:v>
      </x:c>
      <x:c r="F254" s="75" t="n">
        <x:v>1</x:v>
      </x:c>
      <x:c r="G254" s="24" t="str">
        <x:f>IF(E254=F254,"PASS","FAIL")</x:f>
        <x:v>PASS</x:v>
      </x:c>
    </x:row>
    <x:row r="255">
      <x:c r="B255" s="22" t="str">
        <x:v>AC-0249</x:v>
      </x:c>
      <x:c r="C255" s="22" t="str">
        <x:v>schedule</x:v>
      </x:c>
      <x:c r="D255" s="22" t="str">
        <x:v>row 52 positive duration</x:v>
      </x:c>
      <x:c r="E255" s="75" t="n">
        <x:f>IF('Workfront Schedule'!O52&gt;0,1,0)</x:f>
        <x:v>1</x:v>
      </x:c>
      <x:c r="F255" s="75" t="n">
        <x:v>1</x:v>
      </x:c>
      <x:c r="G255" s="24" t="str">
        <x:f>IF(E255=F255,"PASS","FAIL")</x:f>
        <x:v>PASS</x:v>
      </x:c>
    </x:row>
    <x:row r="256">
      <x:c r="B256" s="22" t="str">
        <x:v>AC-0250</x:v>
      </x:c>
      <x:c r="C256" s="22" t="str">
        <x:v>schedule</x:v>
      </x:c>
      <x:c r="D256" s="22" t="str">
        <x:v>row 52 end identity</x:v>
      </x:c>
      <x:c r="E256" s="75" t="n">
        <x:f>IF(ABS('Workfront Schedule'!P52-'Workfront Schedule'!N52-'Workfront Schedule'!O52)&lt;0.000001,1,0)</x:f>
        <x:v>1</x:v>
      </x:c>
      <x:c r="F256" s="75" t="n">
        <x:v>1</x:v>
      </x:c>
      <x:c r="G256" s="24" t="str">
        <x:f>IF(E256=F256,"PASS","FAIL")</x:f>
        <x:v>PASS</x:v>
      </x:c>
    </x:row>
    <x:row r="257">
      <x:c r="B257" s="22" t="str">
        <x:v>AC-0251</x:v>
      </x:c>
      <x:c r="C257" s="22" t="str">
        <x:v>schedule</x:v>
      </x:c>
      <x:c r="D257" s="22" t="str">
        <x:v>row 53 start after material</x:v>
      </x:c>
      <x:c r="E257" s="75" t="n">
        <x:f>IF('Workfront Schedule'!N53&gt;='Workfront Schedule'!K53,1,0)</x:f>
        <x:v>1</x:v>
      </x:c>
      <x:c r="F257" s="75" t="n">
        <x:v>1</x:v>
      </x:c>
      <x:c r="G257" s="24" t="str">
        <x:f>IF(E257=F257,"PASS","FAIL")</x:f>
        <x:v>PASS</x:v>
      </x:c>
    </x:row>
    <x:row r="258">
      <x:c r="B258" s="22" t="str">
        <x:v>AC-0252</x:v>
      </x:c>
      <x:c r="C258" s="22" t="str">
        <x:v>schedule</x:v>
      </x:c>
      <x:c r="D258" s="22" t="str">
        <x:v>row 53 start after access</x:v>
      </x:c>
      <x:c r="E258" s="75" t="n">
        <x:f>IF('Workfront Schedule'!N53&gt;='Workfront Schedule'!L53,1,0)</x:f>
        <x:v>1</x:v>
      </x:c>
      <x:c r="F258" s="75" t="n">
        <x:v>1</x:v>
      </x:c>
      <x:c r="G258" s="24" t="str">
        <x:f>IF(E258=F258,"PASS","FAIL")</x:f>
        <x:v>PASS</x:v>
      </x:c>
    </x:row>
    <x:row r="259">
      <x:c r="B259" s="22" t="str">
        <x:v>AC-0253</x:v>
      </x:c>
      <x:c r="C259" s="22" t="str">
        <x:v>schedule</x:v>
      </x:c>
      <x:c r="D259" s="22" t="str">
        <x:v>row 53 start after predecessor</x:v>
      </x:c>
      <x:c r="E259" s="75" t="n">
        <x:f>IF('Workfront Schedule'!N53&gt;='Workfront Schedule'!M53,1,0)</x:f>
        <x:v>1</x:v>
      </x:c>
      <x:c r="F259" s="75" t="n">
        <x:v>1</x:v>
      </x:c>
      <x:c r="G259" s="24" t="str">
        <x:f>IF(E259=F259,"PASS","FAIL")</x:f>
        <x:v>PASS</x:v>
      </x:c>
    </x:row>
    <x:row r="260">
      <x:c r="B260" s="22" t="str">
        <x:v>AC-0254</x:v>
      </x:c>
      <x:c r="C260" s="22" t="str">
        <x:v>schedule</x:v>
      </x:c>
      <x:c r="D260" s="22" t="str">
        <x:v>row 53 positive duration</x:v>
      </x:c>
      <x:c r="E260" s="75" t="n">
        <x:f>IF('Workfront Schedule'!O53&gt;0,1,0)</x:f>
        <x:v>1</x:v>
      </x:c>
      <x:c r="F260" s="75" t="n">
        <x:v>1</x:v>
      </x:c>
      <x:c r="G260" s="24" t="str">
        <x:f>IF(E260=F260,"PASS","FAIL")</x:f>
        <x:v>PASS</x:v>
      </x:c>
    </x:row>
    <x:row r="261">
      <x:c r="B261" s="22" t="str">
        <x:v>AC-0255</x:v>
      </x:c>
      <x:c r="C261" s="22" t="str">
        <x:v>schedule</x:v>
      </x:c>
      <x:c r="D261" s="22" t="str">
        <x:v>row 53 end identity</x:v>
      </x:c>
      <x:c r="E261" s="75" t="n">
        <x:f>IF(ABS('Workfront Schedule'!P53-'Workfront Schedule'!N53-'Workfront Schedule'!O53)&lt;0.000001,1,0)</x:f>
        <x:v>1</x:v>
      </x:c>
      <x:c r="F261" s="75" t="n">
        <x:v>1</x:v>
      </x:c>
      <x:c r="G261" s="24" t="str">
        <x:f>IF(E261=F261,"PASS","FAIL")</x:f>
        <x:v>PASS</x:v>
      </x:c>
    </x:row>
    <x:row r="262">
      <x:c r="B262" s="22" t="str">
        <x:v>AC-0256</x:v>
      </x:c>
      <x:c r="C262" s="22" t="str">
        <x:v>schedule</x:v>
      </x:c>
      <x:c r="D262" s="22" t="str">
        <x:v>row 54 start after material</x:v>
      </x:c>
      <x:c r="E262" s="75" t="n">
        <x:f>IF('Workfront Schedule'!N54&gt;='Workfront Schedule'!K54,1,0)</x:f>
        <x:v>1</x:v>
      </x:c>
      <x:c r="F262" s="75" t="n">
        <x:v>1</x:v>
      </x:c>
      <x:c r="G262" s="24" t="str">
        <x:f>IF(E262=F262,"PASS","FAIL")</x:f>
        <x:v>PASS</x:v>
      </x:c>
    </x:row>
    <x:row r="263">
      <x:c r="B263" s="22" t="str">
        <x:v>AC-0257</x:v>
      </x:c>
      <x:c r="C263" s="22" t="str">
        <x:v>schedule</x:v>
      </x:c>
      <x:c r="D263" s="22" t="str">
        <x:v>row 54 start after access</x:v>
      </x:c>
      <x:c r="E263" s="75" t="n">
        <x:f>IF('Workfront Schedule'!N54&gt;='Workfront Schedule'!L54,1,0)</x:f>
        <x:v>1</x:v>
      </x:c>
      <x:c r="F263" s="75" t="n">
        <x:v>1</x:v>
      </x:c>
      <x:c r="G263" s="24" t="str">
        <x:f>IF(E263=F263,"PASS","FAIL")</x:f>
        <x:v>PASS</x:v>
      </x:c>
    </x:row>
    <x:row r="264">
      <x:c r="B264" s="22" t="str">
        <x:v>AC-0258</x:v>
      </x:c>
      <x:c r="C264" s="22" t="str">
        <x:v>schedule</x:v>
      </x:c>
      <x:c r="D264" s="22" t="str">
        <x:v>row 54 start after predecessor</x:v>
      </x:c>
      <x:c r="E264" s="75" t="n">
        <x:f>IF('Workfront Schedule'!N54&gt;='Workfront Schedule'!M54,1,0)</x:f>
        <x:v>1</x:v>
      </x:c>
      <x:c r="F264" s="75" t="n">
        <x:v>1</x:v>
      </x:c>
      <x:c r="G264" s="24" t="str">
        <x:f>IF(E264=F264,"PASS","FAIL")</x:f>
        <x:v>PASS</x:v>
      </x:c>
    </x:row>
    <x:row r="265">
      <x:c r="B265" s="22" t="str">
        <x:v>AC-0259</x:v>
      </x:c>
      <x:c r="C265" s="22" t="str">
        <x:v>schedule</x:v>
      </x:c>
      <x:c r="D265" s="22" t="str">
        <x:v>row 54 positive duration</x:v>
      </x:c>
      <x:c r="E265" s="75" t="n">
        <x:f>IF('Workfront Schedule'!O54&gt;0,1,0)</x:f>
        <x:v>1</x:v>
      </x:c>
      <x:c r="F265" s="75" t="n">
        <x:v>1</x:v>
      </x:c>
      <x:c r="G265" s="24" t="str">
        <x:f>IF(E265=F265,"PASS","FAIL")</x:f>
        <x:v>PASS</x:v>
      </x:c>
    </x:row>
    <x:row r="266">
      <x:c r="B266" s="22" t="str">
        <x:v>AC-0260</x:v>
      </x:c>
      <x:c r="C266" s="22" t="str">
        <x:v>schedule</x:v>
      </x:c>
      <x:c r="D266" s="22" t="str">
        <x:v>row 54 end identity</x:v>
      </x:c>
      <x:c r="E266" s="75" t="n">
        <x:f>IF(ABS('Workfront Schedule'!P54-'Workfront Schedule'!N54-'Workfront Schedule'!O54)&lt;0.000001,1,0)</x:f>
        <x:v>1</x:v>
      </x:c>
      <x:c r="F266" s="75" t="n">
        <x:v>1</x:v>
      </x:c>
      <x:c r="G266" s="24" t="str">
        <x:f>IF(E266=F266,"PASS","FAIL")</x:f>
        <x:v>PASS</x:v>
      </x:c>
    </x:row>
    <x:row r="267">
      <x:c r="B267" s="22" t="str">
        <x:v>AC-0261</x:v>
      </x:c>
      <x:c r="C267" s="22" t="str">
        <x:v>scenario</x:v>
      </x:c>
      <x:c r="D267" s="22" t="str">
        <x:v>row 7 time-state logic</x:v>
      </x:c>
      <x:c r="E267" s="75" t="n">
        <x:f>IF('Scenario Results'!K7=IF('Scenario Results'!E7&lt;='Scenario Results'!F7,"PASS","FAIL"),1,0)</x:f>
        <x:v>1</x:v>
      </x:c>
      <x:c r="F267" s="75" t="n">
        <x:v>1</x:v>
      </x:c>
      <x:c r="G267" s="24" t="str">
        <x:f>IF(E267=F267,"PASS","FAIL")</x:f>
        <x:v>PASS</x:v>
      </x:c>
    </x:row>
    <x:row r="268">
      <x:c r="B268" s="22" t="str">
        <x:v>AC-0262</x:v>
      </x:c>
      <x:c r="C268" s="22" t="str">
        <x:v>scenario</x:v>
      </x:c>
      <x:c r="D268" s="22" t="str">
        <x:v>row 7 admission held without evidence</x:v>
      </x:c>
      <x:c r="E268" s="75" t="n">
        <x:f>IF(AND('Scenario Results'!N7="OPEN",'Scenario Results'!O7="HOLD"),1,0)</x:f>
        <x:v>1</x:v>
      </x:c>
      <x:c r="F268" s="75" t="n">
        <x:v>1</x:v>
      </x:c>
      <x:c r="G268" s="24" t="str">
        <x:f>IF(E268=F268,"PASS","FAIL")</x:f>
        <x:v>PASS</x:v>
      </x:c>
    </x:row>
    <x:row r="269">
      <x:c r="B269" s="22" t="str">
        <x:v>AC-0263</x:v>
      </x:c>
      <x:c r="C269" s="22" t="str">
        <x:v>scenario</x:v>
      </x:c>
      <x:c r="D269" s="22" t="str">
        <x:v>row 7 service floor</x:v>
      </x:c>
      <x:c r="E269" s="75" t="n">
        <x:f>IF('Scenario Results'!G7&gt;=Assumptions!D28,1,0)</x:f>
        <x:v>1</x:v>
      </x:c>
      <x:c r="F269" s="75" t="n">
        <x:v>1</x:v>
      </x:c>
      <x:c r="G269" s="24" t="str">
        <x:f>IF(E269=F269,"PASS","FAIL")</x:f>
        <x:v>PASS</x:v>
      </x:c>
    </x:row>
    <x:row r="270">
      <x:c r="B270" s="22" t="str">
        <x:v>AC-0264</x:v>
      </x:c>
      <x:c r="C270" s="22" t="str">
        <x:v>scenario</x:v>
      </x:c>
      <x:c r="D270" s="22" t="str">
        <x:v>row 7 reset within deadline</x:v>
      </x:c>
      <x:c r="E270" s="75" t="n">
        <x:f>IF('Scenario Results'!J7&lt;=Assumptions!D33,1,0)</x:f>
        <x:v>1</x:v>
      </x:c>
      <x:c r="F270" s="75" t="n">
        <x:v>1</x:v>
      </x:c>
      <x:c r="G270" s="24" t="str">
        <x:f>IF(E270=F270,"PASS","FAIL")</x:f>
        <x:v>PASS</x:v>
      </x:c>
    </x:row>
    <x:row r="271">
      <x:c r="B271" s="22" t="str">
        <x:v>AC-0265</x:v>
      </x:c>
      <x:c r="C271" s="22" t="str">
        <x:v>scenario</x:v>
      </x:c>
      <x:c r="D271" s="22" t="str">
        <x:v>row 8 time-state logic</x:v>
      </x:c>
      <x:c r="E271" s="75" t="n">
        <x:f>IF('Scenario Results'!K8=IF('Scenario Results'!E8&lt;='Scenario Results'!F8,"PASS","FAIL"),1,0)</x:f>
        <x:v>1</x:v>
      </x:c>
      <x:c r="F271" s="75" t="n">
        <x:v>1</x:v>
      </x:c>
      <x:c r="G271" s="24" t="str">
        <x:f>IF(E271=F271,"PASS","FAIL")</x:f>
        <x:v>PASS</x:v>
      </x:c>
    </x:row>
    <x:row r="272">
      <x:c r="B272" s="22" t="str">
        <x:v>AC-0266</x:v>
      </x:c>
      <x:c r="C272" s="22" t="str">
        <x:v>scenario</x:v>
      </x:c>
      <x:c r="D272" s="22" t="str">
        <x:v>row 8 admission held without evidence</x:v>
      </x:c>
      <x:c r="E272" s="75" t="n">
        <x:f>IF(AND('Scenario Results'!N8="OPEN",'Scenario Results'!O8="HOLD"),1,0)</x:f>
        <x:v>1</x:v>
      </x:c>
      <x:c r="F272" s="75" t="n">
        <x:v>1</x:v>
      </x:c>
      <x:c r="G272" s="24" t="str">
        <x:f>IF(E272=F272,"PASS","FAIL")</x:f>
        <x:v>PASS</x:v>
      </x:c>
    </x:row>
    <x:row r="273">
      <x:c r="B273" s="22" t="str">
        <x:v>AC-0267</x:v>
      </x:c>
      <x:c r="C273" s="22" t="str">
        <x:v>scenario</x:v>
      </x:c>
      <x:c r="D273" s="22" t="str">
        <x:v>row 8 service floor</x:v>
      </x:c>
      <x:c r="E273" s="75" t="n">
        <x:f>IF('Scenario Results'!G8&gt;=Assumptions!D28,1,0)</x:f>
        <x:v>1</x:v>
      </x:c>
      <x:c r="F273" s="75" t="n">
        <x:v>1</x:v>
      </x:c>
      <x:c r="G273" s="24" t="str">
        <x:f>IF(E273=F273,"PASS","FAIL")</x:f>
        <x:v>PASS</x:v>
      </x:c>
    </x:row>
    <x:row r="274">
      <x:c r="B274" s="22" t="str">
        <x:v>AC-0268</x:v>
      </x:c>
      <x:c r="C274" s="22" t="str">
        <x:v>scenario</x:v>
      </x:c>
      <x:c r="D274" s="22" t="str">
        <x:v>row 8 reset within deadline</x:v>
      </x:c>
      <x:c r="E274" s="75" t="n">
        <x:f>IF('Scenario Results'!J8&lt;=Assumptions!D33,1,0)</x:f>
        <x:v>1</x:v>
      </x:c>
      <x:c r="F274" s="75" t="n">
        <x:v>1</x:v>
      </x:c>
      <x:c r="G274" s="24" t="str">
        <x:f>IF(E274=F274,"PASS","FAIL")</x:f>
        <x:v>PASS</x:v>
      </x:c>
    </x:row>
    <x:row r="275">
      <x:c r="B275" s="22" t="str">
        <x:v>AC-0269</x:v>
      </x:c>
      <x:c r="C275" s="22" t="str">
        <x:v>scenario</x:v>
      </x:c>
      <x:c r="D275" s="22" t="str">
        <x:v>row 9 time-state logic</x:v>
      </x:c>
      <x:c r="E275" s="75" t="n">
        <x:f>IF('Scenario Results'!K9=IF('Scenario Results'!E9&lt;='Scenario Results'!F9,"PASS","FAIL"),1,0)</x:f>
        <x:v>1</x:v>
      </x:c>
      <x:c r="F275" s="75" t="n">
        <x:v>1</x:v>
      </x:c>
      <x:c r="G275" s="24" t="str">
        <x:f>IF(E275=F275,"PASS","FAIL")</x:f>
        <x:v>PASS</x:v>
      </x:c>
    </x:row>
    <x:row r="276">
      <x:c r="B276" s="22" t="str">
        <x:v>AC-0270</x:v>
      </x:c>
      <x:c r="C276" s="22" t="str">
        <x:v>scenario</x:v>
      </x:c>
      <x:c r="D276" s="22" t="str">
        <x:v>row 9 admission held without evidence</x:v>
      </x:c>
      <x:c r="E276" s="75" t="n">
        <x:f>IF(AND('Scenario Results'!N9="OPEN",'Scenario Results'!O9="HOLD"),1,0)</x:f>
        <x:v>1</x:v>
      </x:c>
      <x:c r="F276" s="75" t="n">
        <x:v>1</x:v>
      </x:c>
      <x:c r="G276" s="24" t="str">
        <x:f>IF(E276=F276,"PASS","FAIL")</x:f>
        <x:v>PASS</x:v>
      </x:c>
    </x:row>
    <x:row r="277">
      <x:c r="B277" s="22" t="str">
        <x:v>AC-0271</x:v>
      </x:c>
      <x:c r="C277" s="22" t="str">
        <x:v>scenario</x:v>
      </x:c>
      <x:c r="D277" s="22" t="str">
        <x:v>row 9 service floor</x:v>
      </x:c>
      <x:c r="E277" s="75" t="n">
        <x:f>IF('Scenario Results'!G9&gt;=Assumptions!D28,1,0)</x:f>
        <x:v>1</x:v>
      </x:c>
      <x:c r="F277" s="75" t="n">
        <x:v>1</x:v>
      </x:c>
      <x:c r="G277" s="24" t="str">
        <x:f>IF(E277=F277,"PASS","FAIL")</x:f>
        <x:v>PASS</x:v>
      </x:c>
    </x:row>
    <x:row r="278">
      <x:c r="B278" s="22" t="str">
        <x:v>AC-0272</x:v>
      </x:c>
      <x:c r="C278" s="22" t="str">
        <x:v>scenario</x:v>
      </x:c>
      <x:c r="D278" s="22" t="str">
        <x:v>row 9 reset within deadline</x:v>
      </x:c>
      <x:c r="E278" s="75" t="n">
        <x:f>IF('Scenario Results'!J9&lt;=Assumptions!D33,1,0)</x:f>
        <x:v>1</x:v>
      </x:c>
      <x:c r="F278" s="75" t="n">
        <x:v>1</x:v>
      </x:c>
      <x:c r="G278" s="24" t="str">
        <x:f>IF(E278=F278,"PASS","FAIL")</x:f>
        <x:v>PASS</x:v>
      </x:c>
    </x:row>
    <x:row r="279">
      <x:c r="B279" s="22" t="str">
        <x:v>AC-0273</x:v>
      </x:c>
      <x:c r="C279" s="22" t="str">
        <x:v>scenario</x:v>
      </x:c>
      <x:c r="D279" s="22" t="str">
        <x:v>row 10 time-state logic</x:v>
      </x:c>
      <x:c r="E279" s="75" t="n">
        <x:f>IF('Scenario Results'!K10=IF('Scenario Results'!E10&lt;='Scenario Results'!F10,"PASS","FAIL"),1,0)</x:f>
        <x:v>1</x:v>
      </x:c>
      <x:c r="F279" s="75" t="n">
        <x:v>1</x:v>
      </x:c>
      <x:c r="G279" s="24" t="str">
        <x:f>IF(E279=F279,"PASS","FAIL")</x:f>
        <x:v>PASS</x:v>
      </x:c>
    </x:row>
    <x:row r="280">
      <x:c r="B280" s="22" t="str">
        <x:v>AC-0274</x:v>
      </x:c>
      <x:c r="C280" s="22" t="str">
        <x:v>scenario</x:v>
      </x:c>
      <x:c r="D280" s="22" t="str">
        <x:v>row 10 admission held without evidence</x:v>
      </x:c>
      <x:c r="E280" s="75" t="n">
        <x:f>IF(AND('Scenario Results'!N10="OPEN",'Scenario Results'!O10="HOLD"),1,0)</x:f>
        <x:v>1</x:v>
      </x:c>
      <x:c r="F280" s="75" t="n">
        <x:v>1</x:v>
      </x:c>
      <x:c r="G280" s="24" t="str">
        <x:f>IF(E280=F280,"PASS","FAIL")</x:f>
        <x:v>PASS</x:v>
      </x:c>
    </x:row>
    <x:row r="281">
      <x:c r="B281" s="22" t="str">
        <x:v>AC-0275</x:v>
      </x:c>
      <x:c r="C281" s="22" t="str">
        <x:v>scenario</x:v>
      </x:c>
      <x:c r="D281" s="22" t="str">
        <x:v>row 10 service floor</x:v>
      </x:c>
      <x:c r="E281" s="75" t="n">
        <x:f>IF('Scenario Results'!G10&gt;=Assumptions!D28,1,0)</x:f>
        <x:v>1</x:v>
      </x:c>
      <x:c r="F281" s="75" t="n">
        <x:v>1</x:v>
      </x:c>
      <x:c r="G281" s="24" t="str">
        <x:f>IF(E281=F281,"PASS","FAIL")</x:f>
        <x:v>PASS</x:v>
      </x:c>
    </x:row>
    <x:row r="282">
      <x:c r="B282" s="22" t="str">
        <x:v>AC-0276</x:v>
      </x:c>
      <x:c r="C282" s="22" t="str">
        <x:v>scenario</x:v>
      </x:c>
      <x:c r="D282" s="22" t="str">
        <x:v>row 10 reset within deadline</x:v>
      </x:c>
      <x:c r="E282" s="75" t="n">
        <x:f>IF('Scenario Results'!J10&lt;=Assumptions!D33,1,0)</x:f>
        <x:v>1</x:v>
      </x:c>
      <x:c r="F282" s="75" t="n">
        <x:v>1</x:v>
      </x:c>
      <x:c r="G282" s="24" t="str">
        <x:f>IF(E282=F282,"PASS","FAIL")</x:f>
        <x:v>PASS</x:v>
      </x:c>
    </x:row>
    <x:row r="283">
      <x:c r="B283" s="22" t="str">
        <x:v>AC-0277</x:v>
      </x:c>
      <x:c r="C283" s="22" t="str">
        <x:v>scenario</x:v>
      </x:c>
      <x:c r="D283" s="22" t="str">
        <x:v>row 11 time-state logic</x:v>
      </x:c>
      <x:c r="E283" s="75" t="n">
        <x:f>IF('Scenario Results'!K11=IF('Scenario Results'!E11&lt;='Scenario Results'!F11,"PASS","FAIL"),1,0)</x:f>
        <x:v>1</x:v>
      </x:c>
      <x:c r="F283" s="75" t="n">
        <x:v>1</x:v>
      </x:c>
      <x:c r="G283" s="24" t="str">
        <x:f>IF(E283=F283,"PASS","FAIL")</x:f>
        <x:v>PASS</x:v>
      </x:c>
    </x:row>
    <x:row r="284">
      <x:c r="B284" s="22" t="str">
        <x:v>AC-0278</x:v>
      </x:c>
      <x:c r="C284" s="22" t="str">
        <x:v>scenario</x:v>
      </x:c>
      <x:c r="D284" s="22" t="str">
        <x:v>row 11 admission held without evidence</x:v>
      </x:c>
      <x:c r="E284" s="75" t="n">
        <x:f>IF(AND('Scenario Results'!N11="OPEN",'Scenario Results'!O11="HOLD"),1,0)</x:f>
        <x:v>1</x:v>
      </x:c>
      <x:c r="F284" s="75" t="n">
        <x:v>1</x:v>
      </x:c>
      <x:c r="G284" s="24" t="str">
        <x:f>IF(E284=F284,"PASS","FAIL")</x:f>
        <x:v>PASS</x:v>
      </x:c>
    </x:row>
    <x:row r="285">
      <x:c r="B285" s="22" t="str">
        <x:v>AC-0279</x:v>
      </x:c>
      <x:c r="C285" s="22" t="str">
        <x:v>scenario</x:v>
      </x:c>
      <x:c r="D285" s="22" t="str">
        <x:v>row 11 service floor</x:v>
      </x:c>
      <x:c r="E285" s="75" t="n">
        <x:f>IF('Scenario Results'!G11&gt;=Assumptions!D28,1,0)</x:f>
        <x:v>1</x:v>
      </x:c>
      <x:c r="F285" s="75" t="n">
        <x:v>1</x:v>
      </x:c>
      <x:c r="G285" s="24" t="str">
        <x:f>IF(E285=F285,"PASS","FAIL")</x:f>
        <x:v>PASS</x:v>
      </x:c>
    </x:row>
    <x:row r="286">
      <x:c r="B286" s="22" t="str">
        <x:v>AC-0280</x:v>
      </x:c>
      <x:c r="C286" s="22" t="str">
        <x:v>scenario</x:v>
      </x:c>
      <x:c r="D286" s="22" t="str">
        <x:v>row 11 reset within deadline</x:v>
      </x:c>
      <x:c r="E286" s="75" t="n">
        <x:f>IF('Scenario Results'!J11&lt;=Assumptions!D33,1,0)</x:f>
        <x:v>1</x:v>
      </x:c>
      <x:c r="F286" s="75" t="n">
        <x:v>1</x:v>
      </x:c>
      <x:c r="G286" s="24" t="str">
        <x:f>IF(E286=F286,"PASS","FAIL")</x:f>
        <x:v>PASS</x:v>
      </x:c>
    </x:row>
    <x:row r="287">
      <x:c r="B287" s="22" t="str">
        <x:v>AC-0281</x:v>
      </x:c>
      <x:c r="C287" s="22" t="str">
        <x:v>scenario</x:v>
      </x:c>
      <x:c r="D287" s="22" t="str">
        <x:v>row 12 time-state logic</x:v>
      </x:c>
      <x:c r="E287" s="75" t="n">
        <x:f>IF('Scenario Results'!K12=IF('Scenario Results'!E12&lt;='Scenario Results'!F12,"PASS","FAIL"),1,0)</x:f>
        <x:v>1</x:v>
      </x:c>
      <x:c r="F287" s="75" t="n">
        <x:v>1</x:v>
      </x:c>
      <x:c r="G287" s="24" t="str">
        <x:f>IF(E287=F287,"PASS","FAIL")</x:f>
        <x:v>PASS</x:v>
      </x:c>
    </x:row>
    <x:row r="288">
      <x:c r="B288" s="22" t="str">
        <x:v>AC-0282</x:v>
      </x:c>
      <x:c r="C288" s="22" t="str">
        <x:v>scenario</x:v>
      </x:c>
      <x:c r="D288" s="22" t="str">
        <x:v>row 12 admission held without evidence</x:v>
      </x:c>
      <x:c r="E288" s="75" t="n">
        <x:f>IF(AND('Scenario Results'!N12="OPEN",'Scenario Results'!O12="HOLD"),1,0)</x:f>
        <x:v>1</x:v>
      </x:c>
      <x:c r="F288" s="75" t="n">
        <x:v>1</x:v>
      </x:c>
      <x:c r="G288" s="24" t="str">
        <x:f>IF(E288=F288,"PASS","FAIL")</x:f>
        <x:v>PASS</x:v>
      </x:c>
    </x:row>
    <x:row r="289">
      <x:c r="B289" s="22" t="str">
        <x:v>AC-0283</x:v>
      </x:c>
      <x:c r="C289" s="22" t="str">
        <x:v>scenario</x:v>
      </x:c>
      <x:c r="D289" s="22" t="str">
        <x:v>row 12 service floor</x:v>
      </x:c>
      <x:c r="E289" s="75" t="n">
        <x:f>IF('Scenario Results'!G12&gt;=Assumptions!D28,1,0)</x:f>
        <x:v>1</x:v>
      </x:c>
      <x:c r="F289" s="75" t="n">
        <x:v>1</x:v>
      </x:c>
      <x:c r="G289" s="24" t="str">
        <x:f>IF(E289=F289,"PASS","FAIL")</x:f>
        <x:v>PASS</x:v>
      </x:c>
    </x:row>
    <x:row r="290">
      <x:c r="B290" s="22" t="str">
        <x:v>AC-0284</x:v>
      </x:c>
      <x:c r="C290" s="22" t="str">
        <x:v>scenario</x:v>
      </x:c>
      <x:c r="D290" s="22" t="str">
        <x:v>row 12 reset within deadline</x:v>
      </x:c>
      <x:c r="E290" s="75" t="n">
        <x:f>IF('Scenario Results'!J12&lt;=Assumptions!D33,1,0)</x:f>
        <x:v>1</x:v>
      </x:c>
      <x:c r="F290" s="75" t="n">
        <x:v>1</x:v>
      </x:c>
      <x:c r="G290" s="24" t="str">
        <x:f>IF(E290=F290,"PASS","FAIL")</x:f>
        <x:v>PASS</x:v>
      </x:c>
    </x:row>
    <x:row r="291">
      <x:c r="B291" s="22" t="str">
        <x:v>AC-0285</x:v>
      </x:c>
      <x:c r="C291" s="22" t="str">
        <x:v>scenario</x:v>
      </x:c>
      <x:c r="D291" s="22" t="str">
        <x:v>row 13 time-state logic</x:v>
      </x:c>
      <x:c r="E291" s="75" t="n">
        <x:f>IF('Scenario Results'!K13=IF('Scenario Results'!E13&lt;='Scenario Results'!F13,"PASS","FAIL"),1,0)</x:f>
        <x:v>1</x:v>
      </x:c>
      <x:c r="F291" s="75" t="n">
        <x:v>1</x:v>
      </x:c>
      <x:c r="G291" s="24" t="str">
        <x:f>IF(E291=F291,"PASS","FAIL")</x:f>
        <x:v>PASS</x:v>
      </x:c>
    </x:row>
    <x:row r="292">
      <x:c r="B292" s="22" t="str">
        <x:v>AC-0286</x:v>
      </x:c>
      <x:c r="C292" s="22" t="str">
        <x:v>scenario</x:v>
      </x:c>
      <x:c r="D292" s="22" t="str">
        <x:v>row 13 admission held without evidence</x:v>
      </x:c>
      <x:c r="E292" s="75" t="n">
        <x:f>IF(AND('Scenario Results'!N13="OPEN",'Scenario Results'!O13="HOLD"),1,0)</x:f>
        <x:v>1</x:v>
      </x:c>
      <x:c r="F292" s="75" t="n">
        <x:v>1</x:v>
      </x:c>
      <x:c r="G292" s="24" t="str">
        <x:f>IF(E292=F292,"PASS","FAIL")</x:f>
        <x:v>PASS</x:v>
      </x:c>
    </x:row>
    <x:row r="293">
      <x:c r="B293" s="22" t="str">
        <x:v>AC-0287</x:v>
      </x:c>
      <x:c r="C293" s="22" t="str">
        <x:v>scenario</x:v>
      </x:c>
      <x:c r="D293" s="22" t="str">
        <x:v>row 13 service floor</x:v>
      </x:c>
      <x:c r="E293" s="75" t="n">
        <x:f>IF('Scenario Results'!G13&gt;=Assumptions!D28,1,0)</x:f>
        <x:v>1</x:v>
      </x:c>
      <x:c r="F293" s="75" t="n">
        <x:v>1</x:v>
      </x:c>
      <x:c r="G293" s="24" t="str">
        <x:f>IF(E293=F293,"PASS","FAIL")</x:f>
        <x:v>PASS</x:v>
      </x:c>
    </x:row>
    <x:row r="294">
      <x:c r="B294" s="22" t="str">
        <x:v>AC-0288</x:v>
      </x:c>
      <x:c r="C294" s="22" t="str">
        <x:v>scenario</x:v>
      </x:c>
      <x:c r="D294" s="22" t="str">
        <x:v>row 13 reset within deadline</x:v>
      </x:c>
      <x:c r="E294" s="75" t="n">
        <x:f>IF('Scenario Results'!J13&lt;=Assumptions!D33,1,0)</x:f>
        <x:v>1</x:v>
      </x:c>
      <x:c r="F294" s="75" t="n">
        <x:v>1</x:v>
      </x:c>
      <x:c r="G294" s="24" t="str">
        <x:f>IF(E294=F294,"PASS","FAIL")</x:f>
        <x:v>PASS</x:v>
      </x:c>
    </x:row>
    <x:row r="295">
      <x:c r="B295" s="22" t="str">
        <x:v>AC-0289</x:v>
      </x:c>
      <x:c r="C295" s="22" t="str">
        <x:v>scenario</x:v>
      </x:c>
      <x:c r="D295" s="22" t="str">
        <x:v>row 14 time-state logic</x:v>
      </x:c>
      <x:c r="E295" s="75" t="n">
        <x:f>IF('Scenario Results'!K14=IF('Scenario Results'!E14&lt;='Scenario Results'!F14,"PASS","FAIL"),1,0)</x:f>
        <x:v>1</x:v>
      </x:c>
      <x:c r="F295" s="75" t="n">
        <x:v>1</x:v>
      </x:c>
      <x:c r="G295" s="24" t="str">
        <x:f>IF(E295=F295,"PASS","FAIL")</x:f>
        <x:v>PASS</x:v>
      </x:c>
    </x:row>
    <x:row r="296">
      <x:c r="B296" s="22" t="str">
        <x:v>AC-0290</x:v>
      </x:c>
      <x:c r="C296" s="22" t="str">
        <x:v>scenario</x:v>
      </x:c>
      <x:c r="D296" s="22" t="str">
        <x:v>row 14 admission held without evidence</x:v>
      </x:c>
      <x:c r="E296" s="75" t="n">
        <x:f>IF(AND('Scenario Results'!N14="OPEN",'Scenario Results'!O14="HOLD"),1,0)</x:f>
        <x:v>1</x:v>
      </x:c>
      <x:c r="F296" s="75" t="n">
        <x:v>1</x:v>
      </x:c>
      <x:c r="G296" s="24" t="str">
        <x:f>IF(E296=F296,"PASS","FAIL")</x:f>
        <x:v>PASS</x:v>
      </x:c>
    </x:row>
    <x:row r="297">
      <x:c r="B297" s="22" t="str">
        <x:v>AC-0291</x:v>
      </x:c>
      <x:c r="C297" s="22" t="str">
        <x:v>scenario</x:v>
      </x:c>
      <x:c r="D297" s="22" t="str">
        <x:v>row 14 service floor</x:v>
      </x:c>
      <x:c r="E297" s="75" t="n">
        <x:f>IF('Scenario Results'!G14&gt;=Assumptions!D28,1,0)</x:f>
        <x:v>1</x:v>
      </x:c>
      <x:c r="F297" s="75" t="n">
        <x:v>1</x:v>
      </x:c>
      <x:c r="G297" s="24" t="str">
        <x:f>IF(E297=F297,"PASS","FAIL")</x:f>
        <x:v>PASS</x:v>
      </x:c>
    </x:row>
    <x:row r="298">
      <x:c r="B298" s="22" t="str">
        <x:v>AC-0292</x:v>
      </x:c>
      <x:c r="C298" s="22" t="str">
        <x:v>scenario</x:v>
      </x:c>
      <x:c r="D298" s="22" t="str">
        <x:v>row 14 reset within deadline</x:v>
      </x:c>
      <x:c r="E298" s="75" t="n">
        <x:f>IF('Scenario Results'!J14&lt;=Assumptions!D33,1,0)</x:f>
        <x:v>1</x:v>
      </x:c>
      <x:c r="F298" s="75" t="n">
        <x:v>1</x:v>
      </x:c>
      <x:c r="G298" s="24" t="str">
        <x:f>IF(E298=F298,"PASS","FAIL")</x:f>
        <x:v>PASS</x:v>
      </x:c>
    </x:row>
    <x:row r="299">
      <x:c r="B299" s="22" t="str">
        <x:v>AC-0293</x:v>
      </x:c>
      <x:c r="C299" s="22" t="str">
        <x:v>scenario</x:v>
      </x:c>
      <x:c r="D299" s="22" t="str">
        <x:v>row 15 time-state logic</x:v>
      </x:c>
      <x:c r="E299" s="75" t="n">
        <x:f>IF('Scenario Results'!K15=IF('Scenario Results'!E15&lt;='Scenario Results'!F15,"PASS","FAIL"),1,0)</x:f>
        <x:v>1</x:v>
      </x:c>
      <x:c r="F299" s="75" t="n">
        <x:v>1</x:v>
      </x:c>
      <x:c r="G299" s="24" t="str">
        <x:f>IF(E299=F299,"PASS","FAIL")</x:f>
        <x:v>PASS</x:v>
      </x:c>
    </x:row>
    <x:row r="300">
      <x:c r="B300" s="22" t="str">
        <x:v>AC-0294</x:v>
      </x:c>
      <x:c r="C300" s="22" t="str">
        <x:v>scenario</x:v>
      </x:c>
      <x:c r="D300" s="22" t="str">
        <x:v>row 15 admission held without evidence</x:v>
      </x:c>
      <x:c r="E300" s="75" t="n">
        <x:f>IF(AND('Scenario Results'!N15="OPEN",'Scenario Results'!O15="HOLD"),1,0)</x:f>
        <x:v>1</x:v>
      </x:c>
      <x:c r="F300" s="75" t="n">
        <x:v>1</x:v>
      </x:c>
      <x:c r="G300" s="24" t="str">
        <x:f>IF(E300=F300,"PASS","FAIL")</x:f>
        <x:v>PASS</x:v>
      </x:c>
    </x:row>
    <x:row r="301">
      <x:c r="B301" s="22" t="str">
        <x:v>AC-0295</x:v>
      </x:c>
      <x:c r="C301" s="22" t="str">
        <x:v>scenario</x:v>
      </x:c>
      <x:c r="D301" s="22" t="str">
        <x:v>row 15 service floor</x:v>
      </x:c>
      <x:c r="E301" s="75" t="n">
        <x:f>IF('Scenario Results'!G15&gt;=Assumptions!D28,1,0)</x:f>
        <x:v>1</x:v>
      </x:c>
      <x:c r="F301" s="75" t="n">
        <x:v>1</x:v>
      </x:c>
      <x:c r="G301" s="24" t="str">
        <x:f>IF(E301=F301,"PASS","FAIL")</x:f>
        <x:v>PASS</x:v>
      </x:c>
    </x:row>
    <x:row r="302">
      <x:c r="B302" s="22" t="str">
        <x:v>AC-0296</x:v>
      </x:c>
      <x:c r="C302" s="22" t="str">
        <x:v>scenario</x:v>
      </x:c>
      <x:c r="D302" s="22" t="str">
        <x:v>row 15 reset within deadline</x:v>
      </x:c>
      <x:c r="E302" s="75" t="n">
        <x:f>IF('Scenario Results'!J15&lt;=Assumptions!D33,1,0)</x:f>
        <x:v>1</x:v>
      </x:c>
      <x:c r="F302" s="75" t="n">
        <x:v>1</x:v>
      </x:c>
      <x:c r="G302" s="24" t="str">
        <x:f>IF(E302=F302,"PASS","FAIL")</x:f>
        <x:v>PASS</x:v>
      </x:c>
    </x:row>
    <x:row r="303">
      <x:c r="B303" s="22" t="str">
        <x:v>AC-0297</x:v>
      </x:c>
      <x:c r="C303" s="22" t="str">
        <x:v>scenario</x:v>
      </x:c>
      <x:c r="D303" s="22" t="str">
        <x:v>row 16 time-state logic</x:v>
      </x:c>
      <x:c r="E303" s="75" t="n">
        <x:f>IF('Scenario Results'!K16=IF('Scenario Results'!E16&lt;='Scenario Results'!F16,"PASS","FAIL"),1,0)</x:f>
        <x:v>1</x:v>
      </x:c>
      <x:c r="F303" s="75" t="n">
        <x:v>1</x:v>
      </x:c>
      <x:c r="G303" s="24" t="str">
        <x:f>IF(E303=F303,"PASS","FAIL")</x:f>
        <x:v>PASS</x:v>
      </x:c>
    </x:row>
    <x:row r="304">
      <x:c r="B304" s="22" t="str">
        <x:v>AC-0298</x:v>
      </x:c>
      <x:c r="C304" s="22" t="str">
        <x:v>scenario</x:v>
      </x:c>
      <x:c r="D304" s="22" t="str">
        <x:v>row 16 admission held without evidence</x:v>
      </x:c>
      <x:c r="E304" s="75" t="n">
        <x:f>IF(AND('Scenario Results'!N16="OPEN",'Scenario Results'!O16="HOLD"),1,0)</x:f>
        <x:v>1</x:v>
      </x:c>
      <x:c r="F304" s="75" t="n">
        <x:v>1</x:v>
      </x:c>
      <x:c r="G304" s="24" t="str">
        <x:f>IF(E304=F304,"PASS","FAIL")</x:f>
        <x:v>PASS</x:v>
      </x:c>
    </x:row>
    <x:row r="305">
      <x:c r="B305" s="22" t="str">
        <x:v>AC-0299</x:v>
      </x:c>
      <x:c r="C305" s="22" t="str">
        <x:v>scenario</x:v>
      </x:c>
      <x:c r="D305" s="22" t="str">
        <x:v>row 16 service floor</x:v>
      </x:c>
      <x:c r="E305" s="75" t="n">
        <x:f>IF('Scenario Results'!G16&gt;=Assumptions!D28,1,0)</x:f>
        <x:v>1</x:v>
      </x:c>
      <x:c r="F305" s="75" t="n">
        <x:v>1</x:v>
      </x:c>
      <x:c r="G305" s="24" t="str">
        <x:f>IF(E305=F305,"PASS","FAIL")</x:f>
        <x:v>PASS</x:v>
      </x:c>
    </x:row>
    <x:row r="306">
      <x:c r="B306" s="22" t="str">
        <x:v>AC-0300</x:v>
      </x:c>
      <x:c r="C306" s="22" t="str">
        <x:v>scenario</x:v>
      </x:c>
      <x:c r="D306" s="22" t="str">
        <x:v>row 16 reset within deadline</x:v>
      </x:c>
      <x:c r="E306" s="75" t="n">
        <x:f>IF('Scenario Results'!J16&lt;=Assumptions!D33,1,0)</x:f>
        <x:v>1</x:v>
      </x:c>
      <x:c r="F306" s="75" t="n">
        <x:v>1</x:v>
      </x:c>
      <x:c r="G306" s="24" t="str">
        <x:f>IF(E306=F306,"PASS","FAIL")</x:f>
        <x:v>PASS</x:v>
      </x:c>
    </x:row>
    <x:row r="307">
      <x:c r="B307" s="22" t="str">
        <x:v>AC-0301</x:v>
      </x:c>
      <x:c r="C307" s="22" t="str">
        <x:v>scenario</x:v>
      </x:c>
      <x:c r="D307" s="22" t="str">
        <x:v>row 17 time-state logic</x:v>
      </x:c>
      <x:c r="E307" s="75" t="n">
        <x:f>IF('Scenario Results'!K17=IF('Scenario Results'!E17&lt;='Scenario Results'!F17,"PASS","FAIL"),1,0)</x:f>
        <x:v>1</x:v>
      </x:c>
      <x:c r="F307" s="75" t="n">
        <x:v>1</x:v>
      </x:c>
      <x:c r="G307" s="24" t="str">
        <x:f>IF(E307=F307,"PASS","FAIL")</x:f>
        <x:v>PASS</x:v>
      </x:c>
    </x:row>
    <x:row r="308">
      <x:c r="B308" s="22" t="str">
        <x:v>AC-0302</x:v>
      </x:c>
      <x:c r="C308" s="22" t="str">
        <x:v>scenario</x:v>
      </x:c>
      <x:c r="D308" s="22" t="str">
        <x:v>row 17 admission held without evidence</x:v>
      </x:c>
      <x:c r="E308" s="75" t="n">
        <x:f>IF(AND('Scenario Results'!N17="OPEN",'Scenario Results'!O17="HOLD"),1,0)</x:f>
        <x:v>1</x:v>
      </x:c>
      <x:c r="F308" s="75" t="n">
        <x:v>1</x:v>
      </x:c>
      <x:c r="G308" s="24" t="str">
        <x:f>IF(E308=F308,"PASS","FAIL")</x:f>
        <x:v>PASS</x:v>
      </x:c>
    </x:row>
    <x:row r="309">
      <x:c r="B309" s="22" t="str">
        <x:v>AC-0303</x:v>
      </x:c>
      <x:c r="C309" s="22" t="str">
        <x:v>scenario</x:v>
      </x:c>
      <x:c r="D309" s="22" t="str">
        <x:v>row 17 service floor</x:v>
      </x:c>
      <x:c r="E309" s="75" t="n">
        <x:f>IF('Scenario Results'!G17&gt;=Assumptions!D28,1,0)</x:f>
        <x:v>1</x:v>
      </x:c>
      <x:c r="F309" s="75" t="n">
        <x:v>1</x:v>
      </x:c>
      <x:c r="G309" s="24" t="str">
        <x:f>IF(E309=F309,"PASS","FAIL")</x:f>
        <x:v>PASS</x:v>
      </x:c>
    </x:row>
    <x:row r="310">
      <x:c r="B310" s="22" t="str">
        <x:v>AC-0304</x:v>
      </x:c>
      <x:c r="C310" s="22" t="str">
        <x:v>scenario</x:v>
      </x:c>
      <x:c r="D310" s="22" t="str">
        <x:v>row 17 reset within deadline</x:v>
      </x:c>
      <x:c r="E310" s="75" t="n">
        <x:f>IF('Scenario Results'!J17&lt;=Assumptions!D33,1,0)</x:f>
        <x:v>1</x:v>
      </x:c>
      <x:c r="F310" s="75" t="n">
        <x:v>1</x:v>
      </x:c>
      <x:c r="G310" s="24" t="str">
        <x:f>IF(E310=F310,"PASS","FAIL")</x:f>
        <x:v>PASS</x:v>
      </x:c>
    </x:row>
    <x:row r="311">
      <x:c r="B311" s="22" t="str">
        <x:v>AC-0305</x:v>
      </x:c>
      <x:c r="C311" s="22" t="str">
        <x:v>scenario</x:v>
      </x:c>
      <x:c r="D311" s="22" t="str">
        <x:v>row 18 time-state logic</x:v>
      </x:c>
      <x:c r="E311" s="75" t="n">
        <x:f>IF('Scenario Results'!K18=IF('Scenario Results'!E18&lt;='Scenario Results'!F18,"PASS","FAIL"),1,0)</x:f>
        <x:v>1</x:v>
      </x:c>
      <x:c r="F311" s="75" t="n">
        <x:v>1</x:v>
      </x:c>
      <x:c r="G311" s="24" t="str">
        <x:f>IF(E311=F311,"PASS","FAIL")</x:f>
        <x:v>PASS</x:v>
      </x:c>
    </x:row>
    <x:row r="312">
      <x:c r="B312" s="22" t="str">
        <x:v>AC-0306</x:v>
      </x:c>
      <x:c r="C312" s="22" t="str">
        <x:v>scenario</x:v>
      </x:c>
      <x:c r="D312" s="22" t="str">
        <x:v>row 18 admission held without evidence</x:v>
      </x:c>
      <x:c r="E312" s="75" t="n">
        <x:f>IF(AND('Scenario Results'!N18="OPEN",'Scenario Results'!O18="HOLD"),1,0)</x:f>
        <x:v>1</x:v>
      </x:c>
      <x:c r="F312" s="75" t="n">
        <x:v>1</x:v>
      </x:c>
      <x:c r="G312" s="24" t="str">
        <x:f>IF(E312=F312,"PASS","FAIL")</x:f>
        <x:v>PASS</x:v>
      </x:c>
    </x:row>
    <x:row r="313">
      <x:c r="B313" s="22" t="str">
        <x:v>AC-0307</x:v>
      </x:c>
      <x:c r="C313" s="22" t="str">
        <x:v>scenario</x:v>
      </x:c>
      <x:c r="D313" s="22" t="str">
        <x:v>row 18 service floor</x:v>
      </x:c>
      <x:c r="E313" s="75" t="n">
        <x:f>IF('Scenario Results'!G18&gt;=Assumptions!D28,1,0)</x:f>
        <x:v>1</x:v>
      </x:c>
      <x:c r="F313" s="75" t="n">
        <x:v>1</x:v>
      </x:c>
      <x:c r="G313" s="24" t="str">
        <x:f>IF(E313=F313,"PASS","FAIL")</x:f>
        <x:v>PASS</x:v>
      </x:c>
    </x:row>
    <x:row r="314">
      <x:c r="B314" s="22" t="str">
        <x:v>AC-0308</x:v>
      </x:c>
      <x:c r="C314" s="22" t="str">
        <x:v>scenario</x:v>
      </x:c>
      <x:c r="D314" s="22" t="str">
        <x:v>row 18 reset within deadline</x:v>
      </x:c>
      <x:c r="E314" s="75" t="n">
        <x:f>IF('Scenario Results'!J18&lt;=Assumptions!D33,1,0)</x:f>
        <x:v>1</x:v>
      </x:c>
      <x:c r="F314" s="75" t="n">
        <x:v>1</x:v>
      </x:c>
      <x:c r="G314" s="24" t="str">
        <x:f>IF(E314=F314,"PASS","FAIL")</x:f>
        <x:v>PASS</x:v>
      </x:c>
    </x:row>
    <x:row r="315">
      <x:c r="B315" s="22" t="str">
        <x:v>AC-0309</x:v>
      </x:c>
      <x:c r="C315" s="22" t="str">
        <x:v>scenario</x:v>
      </x:c>
      <x:c r="D315" s="22" t="str">
        <x:v>row 19 time-state logic</x:v>
      </x:c>
      <x:c r="E315" s="75" t="n">
        <x:f>IF('Scenario Results'!K19=IF('Scenario Results'!E19&lt;='Scenario Results'!F19,"PASS","FAIL"),1,0)</x:f>
        <x:v>1</x:v>
      </x:c>
      <x:c r="F315" s="75" t="n">
        <x:v>1</x:v>
      </x:c>
      <x:c r="G315" s="24" t="str">
        <x:f>IF(E315=F315,"PASS","FAIL")</x:f>
        <x:v>PASS</x:v>
      </x:c>
    </x:row>
    <x:row r="316">
      <x:c r="B316" s="22" t="str">
        <x:v>AC-0310</x:v>
      </x:c>
      <x:c r="C316" s="22" t="str">
        <x:v>scenario</x:v>
      </x:c>
      <x:c r="D316" s="22" t="str">
        <x:v>row 19 admission held without evidence</x:v>
      </x:c>
      <x:c r="E316" s="75" t="n">
        <x:f>IF(AND('Scenario Results'!N19="OPEN",'Scenario Results'!O19="HOLD"),1,0)</x:f>
        <x:v>1</x:v>
      </x:c>
      <x:c r="F316" s="75" t="n">
        <x:v>1</x:v>
      </x:c>
      <x:c r="G316" s="24" t="str">
        <x:f>IF(E316=F316,"PASS","FAIL")</x:f>
        <x:v>PASS</x:v>
      </x:c>
    </x:row>
    <x:row r="317">
      <x:c r="B317" s="22" t="str">
        <x:v>AC-0311</x:v>
      </x:c>
      <x:c r="C317" s="22" t="str">
        <x:v>scenario</x:v>
      </x:c>
      <x:c r="D317" s="22" t="str">
        <x:v>row 19 service floor</x:v>
      </x:c>
      <x:c r="E317" s="75" t="n">
        <x:f>IF('Scenario Results'!G19&gt;=Assumptions!D28,1,0)</x:f>
        <x:v>1</x:v>
      </x:c>
      <x:c r="F317" s="75" t="n">
        <x:v>1</x:v>
      </x:c>
      <x:c r="G317" s="24" t="str">
        <x:f>IF(E317=F317,"PASS","FAIL")</x:f>
        <x:v>PASS</x:v>
      </x:c>
    </x:row>
    <x:row r="318">
      <x:c r="B318" s="22" t="str">
        <x:v>AC-0312</x:v>
      </x:c>
      <x:c r="C318" s="22" t="str">
        <x:v>scenario</x:v>
      </x:c>
      <x:c r="D318" s="22" t="str">
        <x:v>row 19 reset within deadline</x:v>
      </x:c>
      <x:c r="E318" s="75" t="n">
        <x:f>IF('Scenario Results'!J19&lt;=Assumptions!D33,1,0)</x:f>
        <x:v>1</x:v>
      </x:c>
      <x:c r="F318" s="75" t="n">
        <x:v>1</x:v>
      </x:c>
      <x:c r="G318" s="24" t="str">
        <x:f>IF(E318=F318,"PASS","FAIL")</x:f>
        <x:v>PASS</x:v>
      </x:c>
    </x:row>
    <x:row r="319">
      <x:c r="B319" s="22" t="str">
        <x:v>AC-0313</x:v>
      </x:c>
      <x:c r="C319" s="22" t="str">
        <x:v>scenario</x:v>
      </x:c>
      <x:c r="D319" s="22" t="str">
        <x:v>row 20 time-state logic</x:v>
      </x:c>
      <x:c r="E319" s="75" t="n">
        <x:f>IF('Scenario Results'!K20=IF('Scenario Results'!E20&lt;='Scenario Results'!F20,"PASS","FAIL"),1,0)</x:f>
        <x:v>1</x:v>
      </x:c>
      <x:c r="F319" s="75" t="n">
        <x:v>1</x:v>
      </x:c>
      <x:c r="G319" s="24" t="str">
        <x:f>IF(E319=F319,"PASS","FAIL")</x:f>
        <x:v>PASS</x:v>
      </x:c>
    </x:row>
    <x:row r="320">
      <x:c r="B320" s="22" t="str">
        <x:v>AC-0314</x:v>
      </x:c>
      <x:c r="C320" s="22" t="str">
        <x:v>scenario</x:v>
      </x:c>
      <x:c r="D320" s="22" t="str">
        <x:v>row 20 admission held without evidence</x:v>
      </x:c>
      <x:c r="E320" s="75" t="n">
        <x:f>IF(AND('Scenario Results'!N20="OPEN",'Scenario Results'!O20="HOLD"),1,0)</x:f>
        <x:v>1</x:v>
      </x:c>
      <x:c r="F320" s="75" t="n">
        <x:v>1</x:v>
      </x:c>
      <x:c r="G320" s="24" t="str">
        <x:f>IF(E320=F320,"PASS","FAIL")</x:f>
        <x:v>PASS</x:v>
      </x:c>
    </x:row>
    <x:row r="321">
      <x:c r="B321" s="22" t="str">
        <x:v>AC-0315</x:v>
      </x:c>
      <x:c r="C321" s="22" t="str">
        <x:v>scenario</x:v>
      </x:c>
      <x:c r="D321" s="22" t="str">
        <x:v>row 20 service floor</x:v>
      </x:c>
      <x:c r="E321" s="75" t="n">
        <x:f>IF('Scenario Results'!G20&gt;=Assumptions!D28,1,0)</x:f>
        <x:v>1</x:v>
      </x:c>
      <x:c r="F321" s="75" t="n">
        <x:v>1</x:v>
      </x:c>
      <x:c r="G321" s="24" t="str">
        <x:f>IF(E321=F321,"PASS","FAIL")</x:f>
        <x:v>PASS</x:v>
      </x:c>
    </x:row>
    <x:row r="322">
      <x:c r="B322" s="22" t="str">
        <x:v>AC-0316</x:v>
      </x:c>
      <x:c r="C322" s="22" t="str">
        <x:v>scenario</x:v>
      </x:c>
      <x:c r="D322" s="22" t="str">
        <x:v>row 20 reset within deadline</x:v>
      </x:c>
      <x:c r="E322" s="75" t="n">
        <x:f>IF('Scenario Results'!J20&lt;=Assumptions!D33,1,0)</x:f>
        <x:v>1</x:v>
      </x:c>
      <x:c r="F322" s="75" t="n">
        <x:v>1</x:v>
      </x:c>
      <x:c r="G322" s="24" t="str">
        <x:f>IF(E322=F322,"PASS","FAIL")</x:f>
        <x:v>PASS</x:v>
      </x:c>
    </x:row>
    <x:row r="323">
      <x:c r="B323" s="22" t="str">
        <x:v>AC-0317</x:v>
      </x:c>
      <x:c r="C323" s="22" t="str">
        <x:v>scenario</x:v>
      </x:c>
      <x:c r="D323" s="22" t="str">
        <x:v>row 21 time-state logic</x:v>
      </x:c>
      <x:c r="E323" s="75" t="n">
        <x:f>IF('Scenario Results'!K21=IF('Scenario Results'!E21&lt;='Scenario Results'!F21,"PASS","FAIL"),1,0)</x:f>
        <x:v>1</x:v>
      </x:c>
      <x:c r="F323" s="75" t="n">
        <x:v>1</x:v>
      </x:c>
      <x:c r="G323" s="24" t="str">
        <x:f>IF(E323=F323,"PASS","FAIL")</x:f>
        <x:v>PASS</x:v>
      </x:c>
    </x:row>
    <x:row r="324">
      <x:c r="B324" s="22" t="str">
        <x:v>AC-0318</x:v>
      </x:c>
      <x:c r="C324" s="22" t="str">
        <x:v>scenario</x:v>
      </x:c>
      <x:c r="D324" s="22" t="str">
        <x:v>row 21 admission held without evidence</x:v>
      </x:c>
      <x:c r="E324" s="75" t="n">
        <x:f>IF(AND('Scenario Results'!N21="OPEN",'Scenario Results'!O21="HOLD"),1,0)</x:f>
        <x:v>1</x:v>
      </x:c>
      <x:c r="F324" s="75" t="n">
        <x:v>1</x:v>
      </x:c>
      <x:c r="G324" s="24" t="str">
        <x:f>IF(E324=F324,"PASS","FAIL")</x:f>
        <x:v>PASS</x:v>
      </x:c>
    </x:row>
    <x:row r="325">
      <x:c r="B325" s="22" t="str">
        <x:v>AC-0319</x:v>
      </x:c>
      <x:c r="C325" s="22" t="str">
        <x:v>scenario</x:v>
      </x:c>
      <x:c r="D325" s="22" t="str">
        <x:v>row 21 service floor</x:v>
      </x:c>
      <x:c r="E325" s="75" t="n">
        <x:f>IF('Scenario Results'!G21&gt;=Assumptions!D28,1,0)</x:f>
        <x:v>1</x:v>
      </x:c>
      <x:c r="F325" s="75" t="n">
        <x:v>1</x:v>
      </x:c>
      <x:c r="G325" s="24" t="str">
        <x:f>IF(E325=F325,"PASS","FAIL")</x:f>
        <x:v>PASS</x:v>
      </x:c>
    </x:row>
    <x:row r="326">
      <x:c r="B326" s="22" t="str">
        <x:v>AC-0320</x:v>
      </x:c>
      <x:c r="C326" s="22" t="str">
        <x:v>scenario</x:v>
      </x:c>
      <x:c r="D326" s="22" t="str">
        <x:v>row 21 reset within deadline</x:v>
      </x:c>
      <x:c r="E326" s="75" t="n">
        <x:f>IF('Scenario Results'!J21&lt;=Assumptions!D33,1,0)</x:f>
        <x:v>1</x:v>
      </x:c>
      <x:c r="F326" s="75" t="n">
        <x:v>1</x:v>
      </x:c>
      <x:c r="G326" s="24" t="str">
        <x:f>IF(E326=F326,"PASS","FAIL")</x:f>
        <x:v>PASS</x:v>
      </x:c>
    </x:row>
    <x:row r="327">
      <x:c r="B327" s="22" t="str">
        <x:v>AC-0321</x:v>
      </x:c>
      <x:c r="C327" s="22" t="str">
        <x:v>scenario</x:v>
      </x:c>
      <x:c r="D327" s="22" t="str">
        <x:v>row 22 time-state logic</x:v>
      </x:c>
      <x:c r="E327" s="75" t="n">
        <x:f>IF('Scenario Results'!K22=IF('Scenario Results'!E22&lt;='Scenario Results'!F22,"PASS","FAIL"),1,0)</x:f>
        <x:v>1</x:v>
      </x:c>
      <x:c r="F327" s="75" t="n">
        <x:v>1</x:v>
      </x:c>
      <x:c r="G327" s="24" t="str">
        <x:f>IF(E327=F327,"PASS","FAIL")</x:f>
        <x:v>PASS</x:v>
      </x:c>
    </x:row>
    <x:row r="328">
      <x:c r="B328" s="22" t="str">
        <x:v>AC-0322</x:v>
      </x:c>
      <x:c r="C328" s="22" t="str">
        <x:v>scenario</x:v>
      </x:c>
      <x:c r="D328" s="22" t="str">
        <x:v>row 22 admission held without evidence</x:v>
      </x:c>
      <x:c r="E328" s="75" t="n">
        <x:f>IF(AND('Scenario Results'!N22="OPEN",'Scenario Results'!O22="HOLD"),1,0)</x:f>
        <x:v>1</x:v>
      </x:c>
      <x:c r="F328" s="75" t="n">
        <x:v>1</x:v>
      </x:c>
      <x:c r="G328" s="24" t="str">
        <x:f>IF(E328=F328,"PASS","FAIL")</x:f>
        <x:v>PASS</x:v>
      </x:c>
    </x:row>
    <x:row r="329">
      <x:c r="B329" s="22" t="str">
        <x:v>AC-0323</x:v>
      </x:c>
      <x:c r="C329" s="22" t="str">
        <x:v>scenario</x:v>
      </x:c>
      <x:c r="D329" s="22" t="str">
        <x:v>row 22 service floor</x:v>
      </x:c>
      <x:c r="E329" s="75" t="n">
        <x:f>IF('Scenario Results'!G22&gt;=Assumptions!D28,1,0)</x:f>
        <x:v>1</x:v>
      </x:c>
      <x:c r="F329" s="75" t="n">
        <x:v>1</x:v>
      </x:c>
      <x:c r="G329" s="24" t="str">
        <x:f>IF(E329=F329,"PASS","FAIL")</x:f>
        <x:v>PASS</x:v>
      </x:c>
    </x:row>
    <x:row r="330">
      <x:c r="B330" s="22" t="str">
        <x:v>AC-0324</x:v>
      </x:c>
      <x:c r="C330" s="22" t="str">
        <x:v>scenario</x:v>
      </x:c>
      <x:c r="D330" s="22" t="str">
        <x:v>row 22 reset within deadline</x:v>
      </x:c>
      <x:c r="E330" s="75" t="n">
        <x:f>IF('Scenario Results'!J22&lt;=Assumptions!D33,1,0)</x:f>
        <x:v>1</x:v>
      </x:c>
      <x:c r="F330" s="75" t="n">
        <x:v>1</x:v>
      </x:c>
      <x:c r="G330" s="24" t="str">
        <x:f>IF(E330=F330,"PASS","FAIL")</x:f>
        <x:v>PASS</x:v>
      </x:c>
    </x:row>
    <x:row r="331">
      <x:c r="B331" s="22" t="str">
        <x:v>AC-0325</x:v>
      </x:c>
      <x:c r="C331" s="22" t="str">
        <x:v>scenario</x:v>
      </x:c>
      <x:c r="D331" s="22" t="str">
        <x:v>row 23 time-state logic</x:v>
      </x:c>
      <x:c r="E331" s="75" t="n">
        <x:f>IF('Scenario Results'!K23=IF('Scenario Results'!E23&lt;='Scenario Results'!F23,"PASS","FAIL"),1,0)</x:f>
        <x:v>1</x:v>
      </x:c>
      <x:c r="F331" s="75" t="n">
        <x:v>1</x:v>
      </x:c>
      <x:c r="G331" s="24" t="str">
        <x:f>IF(E331=F331,"PASS","FAIL")</x:f>
        <x:v>PASS</x:v>
      </x:c>
    </x:row>
    <x:row r="332">
      <x:c r="B332" s="22" t="str">
        <x:v>AC-0326</x:v>
      </x:c>
      <x:c r="C332" s="22" t="str">
        <x:v>scenario</x:v>
      </x:c>
      <x:c r="D332" s="22" t="str">
        <x:v>row 23 admission held without evidence</x:v>
      </x:c>
      <x:c r="E332" s="75" t="n">
        <x:f>IF(AND('Scenario Results'!N23="OPEN",'Scenario Results'!O23="HOLD"),1,0)</x:f>
        <x:v>1</x:v>
      </x:c>
      <x:c r="F332" s="75" t="n">
        <x:v>1</x:v>
      </x:c>
      <x:c r="G332" s="24" t="str">
        <x:f>IF(E332=F332,"PASS","FAIL")</x:f>
        <x:v>PASS</x:v>
      </x:c>
    </x:row>
    <x:row r="333">
      <x:c r="B333" s="22" t="str">
        <x:v>AC-0327</x:v>
      </x:c>
      <x:c r="C333" s="22" t="str">
        <x:v>scenario</x:v>
      </x:c>
      <x:c r="D333" s="22" t="str">
        <x:v>row 23 service floor</x:v>
      </x:c>
      <x:c r="E333" s="75" t="n">
        <x:f>IF('Scenario Results'!G23&gt;=Assumptions!D28,1,0)</x:f>
        <x:v>1</x:v>
      </x:c>
      <x:c r="F333" s="75" t="n">
        <x:v>1</x:v>
      </x:c>
      <x:c r="G333" s="24" t="str">
        <x:f>IF(E333=F333,"PASS","FAIL")</x:f>
        <x:v>PASS</x:v>
      </x:c>
    </x:row>
    <x:row r="334">
      <x:c r="B334" s="22" t="str">
        <x:v>AC-0328</x:v>
      </x:c>
      <x:c r="C334" s="22" t="str">
        <x:v>scenario</x:v>
      </x:c>
      <x:c r="D334" s="22" t="str">
        <x:v>row 23 reset within deadline</x:v>
      </x:c>
      <x:c r="E334" s="75" t="n">
        <x:f>IF('Scenario Results'!J23&lt;=Assumptions!D33,1,0)</x:f>
        <x:v>1</x:v>
      </x:c>
      <x:c r="F334" s="75" t="n">
        <x:v>1</x:v>
      </x:c>
      <x:c r="G334" s="24" t="str">
        <x:f>IF(E334=F334,"PASS","FAIL")</x:f>
        <x:v>PASS</x:v>
      </x:c>
    </x:row>
    <x:row r="335">
      <x:c r="B335" s="22" t="str">
        <x:v>AC-0329</x:v>
      </x:c>
      <x:c r="C335" s="22" t="str">
        <x:v>scenario</x:v>
      </x:c>
      <x:c r="D335" s="22" t="str">
        <x:v>row 24 time-state logic</x:v>
      </x:c>
      <x:c r="E335" s="75" t="n">
        <x:f>IF('Scenario Results'!K24=IF('Scenario Results'!E24&lt;='Scenario Results'!F24,"PASS","FAIL"),1,0)</x:f>
        <x:v>1</x:v>
      </x:c>
      <x:c r="F335" s="75" t="n">
        <x:v>1</x:v>
      </x:c>
      <x:c r="G335" s="24" t="str">
        <x:f>IF(E335=F335,"PASS","FAIL")</x:f>
        <x:v>PASS</x:v>
      </x:c>
    </x:row>
    <x:row r="336">
      <x:c r="B336" s="22" t="str">
        <x:v>AC-0330</x:v>
      </x:c>
      <x:c r="C336" s="22" t="str">
        <x:v>scenario</x:v>
      </x:c>
      <x:c r="D336" s="22" t="str">
        <x:v>row 24 admission held without evidence</x:v>
      </x:c>
      <x:c r="E336" s="75" t="n">
        <x:f>IF(AND('Scenario Results'!N24="OPEN",'Scenario Results'!O24="HOLD"),1,0)</x:f>
        <x:v>1</x:v>
      </x:c>
      <x:c r="F336" s="75" t="n">
        <x:v>1</x:v>
      </x:c>
      <x:c r="G336" s="24" t="str">
        <x:f>IF(E336=F336,"PASS","FAIL")</x:f>
        <x:v>PASS</x:v>
      </x:c>
    </x:row>
    <x:row r="337">
      <x:c r="B337" s="22" t="str">
        <x:v>AC-0331</x:v>
      </x:c>
      <x:c r="C337" s="22" t="str">
        <x:v>scenario</x:v>
      </x:c>
      <x:c r="D337" s="22" t="str">
        <x:v>row 24 service floor</x:v>
      </x:c>
      <x:c r="E337" s="75" t="n">
        <x:f>IF('Scenario Results'!G24&gt;=Assumptions!D28,1,0)</x:f>
        <x:v>1</x:v>
      </x:c>
      <x:c r="F337" s="75" t="n">
        <x:v>1</x:v>
      </x:c>
      <x:c r="G337" s="24" t="str">
        <x:f>IF(E337=F337,"PASS","FAIL")</x:f>
        <x:v>PASS</x:v>
      </x:c>
    </x:row>
    <x:row r="338">
      <x:c r="B338" s="22" t="str">
        <x:v>AC-0332</x:v>
      </x:c>
      <x:c r="C338" s="22" t="str">
        <x:v>scenario</x:v>
      </x:c>
      <x:c r="D338" s="22" t="str">
        <x:v>row 24 reset within deadline</x:v>
      </x:c>
      <x:c r="E338" s="75" t="n">
        <x:f>IF('Scenario Results'!J24&lt;=Assumptions!D33,1,0)</x:f>
        <x:v>1</x:v>
      </x:c>
      <x:c r="F338" s="75" t="n">
        <x:v>1</x:v>
      </x:c>
      <x:c r="G338" s="24" t="str">
        <x:f>IF(E338=F338,"PASS","FAIL")</x:f>
        <x:v>PASS</x:v>
      </x:c>
    </x:row>
    <x:row r="339">
      <x:c r="B339" s="22" t="str">
        <x:v>AC-0333</x:v>
      </x:c>
      <x:c r="C339" s="22" t="str">
        <x:v>scenario</x:v>
      </x:c>
      <x:c r="D339" s="22" t="str">
        <x:v>row 25 time-state logic</x:v>
      </x:c>
      <x:c r="E339" s="75" t="n">
        <x:f>IF('Scenario Results'!K25=IF('Scenario Results'!E25&lt;='Scenario Results'!F25,"PASS","FAIL"),1,0)</x:f>
        <x:v>1</x:v>
      </x:c>
      <x:c r="F339" s="75" t="n">
        <x:v>1</x:v>
      </x:c>
      <x:c r="G339" s="24" t="str">
        <x:f>IF(E339=F339,"PASS","FAIL")</x:f>
        <x:v>PASS</x:v>
      </x:c>
    </x:row>
    <x:row r="340">
      <x:c r="B340" s="22" t="str">
        <x:v>AC-0334</x:v>
      </x:c>
      <x:c r="C340" s="22" t="str">
        <x:v>scenario</x:v>
      </x:c>
      <x:c r="D340" s="22" t="str">
        <x:v>row 25 admission held without evidence</x:v>
      </x:c>
      <x:c r="E340" s="75" t="n">
        <x:f>IF(AND('Scenario Results'!N25="OPEN",'Scenario Results'!O25="HOLD"),1,0)</x:f>
        <x:v>1</x:v>
      </x:c>
      <x:c r="F340" s="75" t="n">
        <x:v>1</x:v>
      </x:c>
      <x:c r="G340" s="24" t="str">
        <x:f>IF(E340=F340,"PASS","FAIL")</x:f>
        <x:v>PASS</x:v>
      </x:c>
    </x:row>
    <x:row r="341">
      <x:c r="B341" s="22" t="str">
        <x:v>AC-0335</x:v>
      </x:c>
      <x:c r="C341" s="22" t="str">
        <x:v>scenario</x:v>
      </x:c>
      <x:c r="D341" s="22" t="str">
        <x:v>row 25 service floor</x:v>
      </x:c>
      <x:c r="E341" s="75" t="n">
        <x:f>IF('Scenario Results'!G25&gt;=Assumptions!D28,1,0)</x:f>
        <x:v>1</x:v>
      </x:c>
      <x:c r="F341" s="75" t="n">
        <x:v>1</x:v>
      </x:c>
      <x:c r="G341" s="24" t="str">
        <x:f>IF(E341=F341,"PASS","FAIL")</x:f>
        <x:v>PASS</x:v>
      </x:c>
    </x:row>
    <x:row r="342">
      <x:c r="B342" s="22" t="str">
        <x:v>AC-0336</x:v>
      </x:c>
      <x:c r="C342" s="22" t="str">
        <x:v>scenario</x:v>
      </x:c>
      <x:c r="D342" s="22" t="str">
        <x:v>row 25 reset within deadline</x:v>
      </x:c>
      <x:c r="E342" s="75" t="n">
        <x:f>IF('Scenario Results'!J25&lt;=Assumptions!D33,1,0)</x:f>
        <x:v>1</x:v>
      </x:c>
      <x:c r="F342" s="75" t="n">
        <x:v>1</x:v>
      </x:c>
      <x:c r="G342" s="24" t="str">
        <x:f>IF(E342=F342,"PASS","FAIL")</x:f>
        <x:v>PASS</x:v>
      </x:c>
    </x:row>
    <x:row r="343">
      <x:c r="B343" s="22" t="str">
        <x:v>AC-0337</x:v>
      </x:c>
      <x:c r="C343" s="22" t="str">
        <x:v>scenario</x:v>
      </x:c>
      <x:c r="D343" s="22" t="str">
        <x:v>row 26 time-state logic</x:v>
      </x:c>
      <x:c r="E343" s="75" t="n">
        <x:f>IF('Scenario Results'!K26=IF('Scenario Results'!E26&lt;='Scenario Results'!F26,"PASS","FAIL"),1,0)</x:f>
        <x:v>1</x:v>
      </x:c>
      <x:c r="F343" s="75" t="n">
        <x:v>1</x:v>
      </x:c>
      <x:c r="G343" s="24" t="str">
        <x:f>IF(E343=F343,"PASS","FAIL")</x:f>
        <x:v>PASS</x:v>
      </x:c>
    </x:row>
    <x:row r="344">
      <x:c r="B344" s="22" t="str">
        <x:v>AC-0338</x:v>
      </x:c>
      <x:c r="C344" s="22" t="str">
        <x:v>scenario</x:v>
      </x:c>
      <x:c r="D344" s="22" t="str">
        <x:v>row 26 admission held without evidence</x:v>
      </x:c>
      <x:c r="E344" s="75" t="n">
        <x:f>IF(AND('Scenario Results'!N26="OPEN",'Scenario Results'!O26="HOLD"),1,0)</x:f>
        <x:v>1</x:v>
      </x:c>
      <x:c r="F344" s="75" t="n">
        <x:v>1</x:v>
      </x:c>
      <x:c r="G344" s="24" t="str">
        <x:f>IF(E344=F344,"PASS","FAIL")</x:f>
        <x:v>PASS</x:v>
      </x:c>
    </x:row>
    <x:row r="345">
      <x:c r="B345" s="22" t="str">
        <x:v>AC-0339</x:v>
      </x:c>
      <x:c r="C345" s="22" t="str">
        <x:v>scenario</x:v>
      </x:c>
      <x:c r="D345" s="22" t="str">
        <x:v>row 26 service floor</x:v>
      </x:c>
      <x:c r="E345" s="75" t="n">
        <x:f>IF('Scenario Results'!G26&gt;=Assumptions!D28,1,0)</x:f>
        <x:v>1</x:v>
      </x:c>
      <x:c r="F345" s="75" t="n">
        <x:v>1</x:v>
      </x:c>
      <x:c r="G345" s="24" t="str">
        <x:f>IF(E345=F345,"PASS","FAIL")</x:f>
        <x:v>PASS</x:v>
      </x:c>
    </x:row>
    <x:row r="346">
      <x:c r="B346" s="22" t="str">
        <x:v>AC-0340</x:v>
      </x:c>
      <x:c r="C346" s="22" t="str">
        <x:v>scenario</x:v>
      </x:c>
      <x:c r="D346" s="22" t="str">
        <x:v>row 26 reset within deadline</x:v>
      </x:c>
      <x:c r="E346" s="75" t="n">
        <x:f>IF('Scenario Results'!J26&lt;=Assumptions!D33,1,0)</x:f>
        <x:v>1</x:v>
      </x:c>
      <x:c r="F346" s="75" t="n">
        <x:v>1</x:v>
      </x:c>
      <x:c r="G346" s="24" t="str">
        <x:f>IF(E346=F346,"PASS","FAIL")</x:f>
        <x:v>PASS</x:v>
      </x:c>
    </x:row>
    <x:row r="347">
      <x:c r="B347" s="22" t="str">
        <x:v>AC-0341</x:v>
      </x:c>
      <x:c r="C347" s="22" t="str">
        <x:v>scenario</x:v>
      </x:c>
      <x:c r="D347" s="22" t="str">
        <x:v>row 27 time-state logic</x:v>
      </x:c>
      <x:c r="E347" s="75" t="n">
        <x:f>IF('Scenario Results'!K27=IF('Scenario Results'!E27&lt;='Scenario Results'!F27,"PASS","FAIL"),1,0)</x:f>
        <x:v>1</x:v>
      </x:c>
      <x:c r="F347" s="75" t="n">
        <x:v>1</x:v>
      </x:c>
      <x:c r="G347" s="24" t="str">
        <x:f>IF(E347=F347,"PASS","FAIL")</x:f>
        <x:v>PASS</x:v>
      </x:c>
    </x:row>
    <x:row r="348">
      <x:c r="B348" s="22" t="str">
        <x:v>AC-0342</x:v>
      </x:c>
      <x:c r="C348" s="22" t="str">
        <x:v>scenario</x:v>
      </x:c>
      <x:c r="D348" s="22" t="str">
        <x:v>row 27 admission held without evidence</x:v>
      </x:c>
      <x:c r="E348" s="75" t="n">
        <x:f>IF(AND('Scenario Results'!N27="OPEN",'Scenario Results'!O27="HOLD"),1,0)</x:f>
        <x:v>1</x:v>
      </x:c>
      <x:c r="F348" s="75" t="n">
        <x:v>1</x:v>
      </x:c>
      <x:c r="G348" s="24" t="str">
        <x:f>IF(E348=F348,"PASS","FAIL")</x:f>
        <x:v>PASS</x:v>
      </x:c>
    </x:row>
    <x:row r="349">
      <x:c r="B349" s="22" t="str">
        <x:v>AC-0343</x:v>
      </x:c>
      <x:c r="C349" s="22" t="str">
        <x:v>scenario</x:v>
      </x:c>
      <x:c r="D349" s="22" t="str">
        <x:v>row 27 service floor</x:v>
      </x:c>
      <x:c r="E349" s="75" t="n">
        <x:f>IF('Scenario Results'!G27&gt;=Assumptions!D28,1,0)</x:f>
        <x:v>1</x:v>
      </x:c>
      <x:c r="F349" s="75" t="n">
        <x:v>1</x:v>
      </x:c>
      <x:c r="G349" s="24" t="str">
        <x:f>IF(E349=F349,"PASS","FAIL")</x:f>
        <x:v>PASS</x:v>
      </x:c>
    </x:row>
    <x:row r="350">
      <x:c r="B350" s="22" t="str">
        <x:v>AC-0344</x:v>
      </x:c>
      <x:c r="C350" s="22" t="str">
        <x:v>scenario</x:v>
      </x:c>
      <x:c r="D350" s="22" t="str">
        <x:v>row 27 reset within deadline</x:v>
      </x:c>
      <x:c r="E350" s="75" t="n">
        <x:f>IF('Scenario Results'!J27&lt;=Assumptions!D33,1,0)</x:f>
        <x:v>1</x:v>
      </x:c>
      <x:c r="F350" s="75" t="n">
        <x:v>1</x:v>
      </x:c>
      <x:c r="G350" s="24" t="str">
        <x:f>IF(E350=F350,"PASS","FAIL")</x:f>
        <x:v>PASS</x:v>
      </x:c>
    </x:row>
    <x:row r="351">
      <x:c r="B351" s="22" t="str">
        <x:v>AC-0345</x:v>
      </x:c>
      <x:c r="C351" s="22" t="str">
        <x:v>scenario</x:v>
      </x:c>
      <x:c r="D351" s="22" t="str">
        <x:v>row 28 time-state logic</x:v>
      </x:c>
      <x:c r="E351" s="75" t="n">
        <x:f>IF('Scenario Results'!K28=IF('Scenario Results'!E28&lt;='Scenario Results'!F28,"PASS","FAIL"),1,0)</x:f>
        <x:v>1</x:v>
      </x:c>
      <x:c r="F351" s="75" t="n">
        <x:v>1</x:v>
      </x:c>
      <x:c r="G351" s="24" t="str">
        <x:f>IF(E351=F351,"PASS","FAIL")</x:f>
        <x:v>PASS</x:v>
      </x:c>
    </x:row>
    <x:row r="352">
      <x:c r="B352" s="22" t="str">
        <x:v>AC-0346</x:v>
      </x:c>
      <x:c r="C352" s="22" t="str">
        <x:v>scenario</x:v>
      </x:c>
      <x:c r="D352" s="22" t="str">
        <x:v>row 28 admission held without evidence</x:v>
      </x:c>
      <x:c r="E352" s="75" t="n">
        <x:f>IF(AND('Scenario Results'!N28="OPEN",'Scenario Results'!O28="HOLD"),1,0)</x:f>
        <x:v>1</x:v>
      </x:c>
      <x:c r="F352" s="75" t="n">
        <x:v>1</x:v>
      </x:c>
      <x:c r="G352" s="24" t="str">
        <x:f>IF(E352=F352,"PASS","FAIL")</x:f>
        <x:v>PASS</x:v>
      </x:c>
    </x:row>
    <x:row r="353">
      <x:c r="B353" s="22" t="str">
        <x:v>AC-0347</x:v>
      </x:c>
      <x:c r="C353" s="22" t="str">
        <x:v>scenario</x:v>
      </x:c>
      <x:c r="D353" s="22" t="str">
        <x:v>row 28 service floor</x:v>
      </x:c>
      <x:c r="E353" s="75" t="n">
        <x:f>IF('Scenario Results'!G28&gt;=Assumptions!D28,1,0)</x:f>
        <x:v>1</x:v>
      </x:c>
      <x:c r="F353" s="75" t="n">
        <x:v>1</x:v>
      </x:c>
      <x:c r="G353" s="24" t="str">
        <x:f>IF(E353=F353,"PASS","FAIL")</x:f>
        <x:v>PASS</x:v>
      </x:c>
    </x:row>
    <x:row r="354">
      <x:c r="B354" s="22" t="str">
        <x:v>AC-0348</x:v>
      </x:c>
      <x:c r="C354" s="22" t="str">
        <x:v>scenario</x:v>
      </x:c>
      <x:c r="D354" s="22" t="str">
        <x:v>row 28 reset within deadline</x:v>
      </x:c>
      <x:c r="E354" s="75" t="n">
        <x:f>IF('Scenario Results'!J28&lt;=Assumptions!D33,1,0)</x:f>
        <x:v>1</x:v>
      </x:c>
      <x:c r="F354" s="75" t="n">
        <x:v>1</x:v>
      </x:c>
      <x:c r="G354" s="24" t="str">
        <x:f>IF(E354=F354,"PASS","FAIL")</x:f>
        <x:v>PASS</x:v>
      </x:c>
    </x:row>
    <x:row r="355">
      <x:c r="B355" s="22" t="str">
        <x:v>AC-0349</x:v>
      </x:c>
      <x:c r="C355" s="22" t="str">
        <x:v>scenario</x:v>
      </x:c>
      <x:c r="D355" s="22" t="str">
        <x:v>row 29 time-state logic</x:v>
      </x:c>
      <x:c r="E355" s="75" t="n">
        <x:f>IF('Scenario Results'!K29=IF('Scenario Results'!E29&lt;='Scenario Results'!F29,"PASS","FAIL"),1,0)</x:f>
        <x:v>1</x:v>
      </x:c>
      <x:c r="F355" s="75" t="n">
        <x:v>1</x:v>
      </x:c>
      <x:c r="G355" s="24" t="str">
        <x:f>IF(E355=F355,"PASS","FAIL")</x:f>
        <x:v>PASS</x:v>
      </x:c>
    </x:row>
    <x:row r="356">
      <x:c r="B356" s="22" t="str">
        <x:v>AC-0350</x:v>
      </x:c>
      <x:c r="C356" s="22" t="str">
        <x:v>scenario</x:v>
      </x:c>
      <x:c r="D356" s="22" t="str">
        <x:v>row 29 admission held without evidence</x:v>
      </x:c>
      <x:c r="E356" s="75" t="n">
        <x:f>IF(AND('Scenario Results'!N29="OPEN",'Scenario Results'!O29="HOLD"),1,0)</x:f>
        <x:v>1</x:v>
      </x:c>
      <x:c r="F356" s="75" t="n">
        <x:v>1</x:v>
      </x:c>
      <x:c r="G356" s="24" t="str">
        <x:f>IF(E356=F356,"PASS","FAIL")</x:f>
        <x:v>PASS</x:v>
      </x:c>
    </x:row>
    <x:row r="357">
      <x:c r="B357" s="22" t="str">
        <x:v>AC-0351</x:v>
      </x:c>
      <x:c r="C357" s="22" t="str">
        <x:v>scenario</x:v>
      </x:c>
      <x:c r="D357" s="22" t="str">
        <x:v>row 29 service floor</x:v>
      </x:c>
      <x:c r="E357" s="75" t="n">
        <x:f>IF('Scenario Results'!G29&gt;=Assumptions!D28,1,0)</x:f>
        <x:v>1</x:v>
      </x:c>
      <x:c r="F357" s="75" t="n">
        <x:v>1</x:v>
      </x:c>
      <x:c r="G357" s="24" t="str">
        <x:f>IF(E357=F357,"PASS","FAIL")</x:f>
        <x:v>PASS</x:v>
      </x:c>
    </x:row>
    <x:row r="358">
      <x:c r="B358" s="22" t="str">
        <x:v>AC-0352</x:v>
      </x:c>
      <x:c r="C358" s="22" t="str">
        <x:v>scenario</x:v>
      </x:c>
      <x:c r="D358" s="22" t="str">
        <x:v>row 29 reset within deadline</x:v>
      </x:c>
      <x:c r="E358" s="75" t="n">
        <x:f>IF('Scenario Results'!J29&lt;=Assumptions!D33,1,0)</x:f>
        <x:v>1</x:v>
      </x:c>
      <x:c r="F358" s="75" t="n">
        <x:v>1</x:v>
      </x:c>
      <x:c r="G358" s="24" t="str">
        <x:f>IF(E358=F358,"PASS","FAIL")</x:f>
        <x:v>PASS</x:v>
      </x:c>
    </x:row>
    <x:row r="359">
      <x:c r="B359" s="22" t="str">
        <x:v>AC-0353</x:v>
      </x:c>
      <x:c r="C359" s="22" t="str">
        <x:v>scenario</x:v>
      </x:c>
      <x:c r="D359" s="22" t="str">
        <x:v>row 30 time-state logic</x:v>
      </x:c>
      <x:c r="E359" s="75" t="n">
        <x:f>IF('Scenario Results'!K30=IF('Scenario Results'!E30&lt;='Scenario Results'!F30,"PASS","FAIL"),1,0)</x:f>
        <x:v>1</x:v>
      </x:c>
      <x:c r="F359" s="75" t="n">
        <x:v>1</x:v>
      </x:c>
      <x:c r="G359" s="24" t="str">
        <x:f>IF(E359=F359,"PASS","FAIL")</x:f>
        <x:v>PASS</x:v>
      </x:c>
    </x:row>
    <x:row r="360">
      <x:c r="B360" s="22" t="str">
        <x:v>AC-0354</x:v>
      </x:c>
      <x:c r="C360" s="22" t="str">
        <x:v>scenario</x:v>
      </x:c>
      <x:c r="D360" s="22" t="str">
        <x:v>row 30 admission held without evidence</x:v>
      </x:c>
      <x:c r="E360" s="75" t="n">
        <x:f>IF(AND('Scenario Results'!N30="OPEN",'Scenario Results'!O30="HOLD"),1,0)</x:f>
        <x:v>1</x:v>
      </x:c>
      <x:c r="F360" s="75" t="n">
        <x:v>1</x:v>
      </x:c>
      <x:c r="G360" s="24" t="str">
        <x:f>IF(E360=F360,"PASS","FAIL")</x:f>
        <x:v>PASS</x:v>
      </x:c>
    </x:row>
    <x:row r="361">
      <x:c r="B361" s="22" t="str">
        <x:v>AC-0355</x:v>
      </x:c>
      <x:c r="C361" s="22" t="str">
        <x:v>scenario</x:v>
      </x:c>
      <x:c r="D361" s="22" t="str">
        <x:v>row 30 service floor</x:v>
      </x:c>
      <x:c r="E361" s="75" t="n">
        <x:f>IF('Scenario Results'!G30&gt;=Assumptions!D28,1,0)</x:f>
        <x:v>1</x:v>
      </x:c>
      <x:c r="F361" s="75" t="n">
        <x:v>1</x:v>
      </x:c>
      <x:c r="G361" s="24" t="str">
        <x:f>IF(E361=F361,"PASS","FAIL")</x:f>
        <x:v>PASS</x:v>
      </x:c>
    </x:row>
    <x:row r="362">
      <x:c r="B362" s="22" t="str">
        <x:v>AC-0356</x:v>
      </x:c>
      <x:c r="C362" s="22" t="str">
        <x:v>scenario</x:v>
      </x:c>
      <x:c r="D362" s="22" t="str">
        <x:v>row 30 reset within deadline</x:v>
      </x:c>
      <x:c r="E362" s="75" t="n">
        <x:f>IF('Scenario Results'!J30&lt;=Assumptions!D33,1,0)</x:f>
        <x:v>1</x:v>
      </x:c>
      <x:c r="F362" s="75" t="n">
        <x:v>1</x:v>
      </x:c>
      <x:c r="G362" s="24" t="str">
        <x:f>IF(E362=F362,"PASS","FAIL")</x:f>
        <x:v>PASS</x:v>
      </x:c>
    </x:row>
    <x:row r="363">
      <x:c r="B363" s="22" t="str">
        <x:v>AC-0357</x:v>
      </x:c>
      <x:c r="C363" s="22" t="str">
        <x:v>scenario</x:v>
      </x:c>
      <x:c r="D363" s="22" t="str">
        <x:v>row 31 time-state logic</x:v>
      </x:c>
      <x:c r="E363" s="75" t="n">
        <x:f>IF('Scenario Results'!K31=IF('Scenario Results'!E31&lt;='Scenario Results'!F31,"PASS","FAIL"),1,0)</x:f>
        <x:v>1</x:v>
      </x:c>
      <x:c r="F363" s="75" t="n">
        <x:v>1</x:v>
      </x:c>
      <x:c r="G363" s="24" t="str">
        <x:f>IF(E363=F363,"PASS","FAIL")</x:f>
        <x:v>PASS</x:v>
      </x:c>
    </x:row>
    <x:row r="364">
      <x:c r="B364" s="22" t="str">
        <x:v>AC-0358</x:v>
      </x:c>
      <x:c r="C364" s="22" t="str">
        <x:v>scenario</x:v>
      </x:c>
      <x:c r="D364" s="22" t="str">
        <x:v>row 31 admission held without evidence</x:v>
      </x:c>
      <x:c r="E364" s="75" t="n">
        <x:f>IF(AND('Scenario Results'!N31="OPEN",'Scenario Results'!O31="HOLD"),1,0)</x:f>
        <x:v>1</x:v>
      </x:c>
      <x:c r="F364" s="75" t="n">
        <x:v>1</x:v>
      </x:c>
      <x:c r="G364" s="24" t="str">
        <x:f>IF(E364=F364,"PASS","FAIL")</x:f>
        <x:v>PASS</x:v>
      </x:c>
    </x:row>
    <x:row r="365">
      <x:c r="B365" s="22" t="str">
        <x:v>AC-0359</x:v>
      </x:c>
      <x:c r="C365" s="22" t="str">
        <x:v>scenario</x:v>
      </x:c>
      <x:c r="D365" s="22" t="str">
        <x:v>row 31 service floor</x:v>
      </x:c>
      <x:c r="E365" s="75" t="n">
        <x:f>IF('Scenario Results'!G31&gt;=Assumptions!D28,1,0)</x:f>
        <x:v>1</x:v>
      </x:c>
      <x:c r="F365" s="75" t="n">
        <x:v>1</x:v>
      </x:c>
      <x:c r="G365" s="24" t="str">
        <x:f>IF(E365=F365,"PASS","FAIL")</x:f>
        <x:v>PASS</x:v>
      </x:c>
    </x:row>
    <x:row r="366">
      <x:c r="B366" s="22" t="str">
        <x:v>AC-0360</x:v>
      </x:c>
      <x:c r="C366" s="22" t="str">
        <x:v>scenario</x:v>
      </x:c>
      <x:c r="D366" s="22" t="str">
        <x:v>row 31 reset within deadline</x:v>
      </x:c>
      <x:c r="E366" s="75" t="n">
        <x:f>IF('Scenario Results'!J31&lt;=Assumptions!D33,1,0)</x:f>
        <x:v>1</x:v>
      </x:c>
      <x:c r="F366" s="75" t="n">
        <x:v>1</x:v>
      </x:c>
      <x:c r="G366" s="24" t="str">
        <x:f>IF(E366=F366,"PASS","FAIL")</x:f>
        <x:v>PASS</x:v>
      </x:c>
    </x:row>
    <x:row r="367">
      <x:c r="B367" s="22" t="str">
        <x:v>AC-0361</x:v>
      </x:c>
      <x:c r="C367" s="22" t="str">
        <x:v>scenario</x:v>
      </x:c>
      <x:c r="D367" s="22" t="str">
        <x:v>row 32 time-state logic</x:v>
      </x:c>
      <x:c r="E367" s="75" t="n">
        <x:f>IF('Scenario Results'!K32=IF('Scenario Results'!E32&lt;='Scenario Results'!F32,"PASS","FAIL"),1,0)</x:f>
        <x:v>1</x:v>
      </x:c>
      <x:c r="F367" s="75" t="n">
        <x:v>1</x:v>
      </x:c>
      <x:c r="G367" s="24" t="str">
        <x:f>IF(E367=F367,"PASS","FAIL")</x:f>
        <x:v>PASS</x:v>
      </x:c>
    </x:row>
    <x:row r="368">
      <x:c r="B368" s="22" t="str">
        <x:v>AC-0362</x:v>
      </x:c>
      <x:c r="C368" s="22" t="str">
        <x:v>scenario</x:v>
      </x:c>
      <x:c r="D368" s="22" t="str">
        <x:v>row 32 admission held without evidence</x:v>
      </x:c>
      <x:c r="E368" s="75" t="n">
        <x:f>IF(AND('Scenario Results'!N32="OPEN",'Scenario Results'!O32="HOLD"),1,0)</x:f>
        <x:v>1</x:v>
      </x:c>
      <x:c r="F368" s="75" t="n">
        <x:v>1</x:v>
      </x:c>
      <x:c r="G368" s="24" t="str">
        <x:f>IF(E368=F368,"PASS","FAIL")</x:f>
        <x:v>PASS</x:v>
      </x:c>
    </x:row>
    <x:row r="369">
      <x:c r="B369" s="22" t="str">
        <x:v>AC-0363</x:v>
      </x:c>
      <x:c r="C369" s="22" t="str">
        <x:v>scenario</x:v>
      </x:c>
      <x:c r="D369" s="22" t="str">
        <x:v>row 32 service floor</x:v>
      </x:c>
      <x:c r="E369" s="75" t="n">
        <x:f>IF('Scenario Results'!G32&gt;=Assumptions!D28,1,0)</x:f>
        <x:v>1</x:v>
      </x:c>
      <x:c r="F369" s="75" t="n">
        <x:v>1</x:v>
      </x:c>
      <x:c r="G369" s="24" t="str">
        <x:f>IF(E369=F369,"PASS","FAIL")</x:f>
        <x:v>PASS</x:v>
      </x:c>
    </x:row>
    <x:row r="370">
      <x:c r="B370" s="22" t="str">
        <x:v>AC-0364</x:v>
      </x:c>
      <x:c r="C370" s="22" t="str">
        <x:v>scenario</x:v>
      </x:c>
      <x:c r="D370" s="22" t="str">
        <x:v>row 32 reset within deadline</x:v>
      </x:c>
      <x:c r="E370" s="75" t="n">
        <x:f>IF('Scenario Results'!J32&lt;=Assumptions!D33,1,0)</x:f>
        <x:v>1</x:v>
      </x:c>
      <x:c r="F370" s="75" t="n">
        <x:v>1</x:v>
      </x:c>
      <x:c r="G370" s="24" t="str">
        <x:f>IF(E370=F370,"PASS","FAIL")</x:f>
        <x:v>PASS</x:v>
      </x:c>
    </x:row>
    <x:row r="371">
      <x:c r="B371" s="22" t="str">
        <x:v>AC-0365</x:v>
      </x:c>
      <x:c r="C371" s="22" t="str">
        <x:v>scenario</x:v>
      </x:c>
      <x:c r="D371" s="22" t="str">
        <x:v>row 33 time-state logic</x:v>
      </x:c>
      <x:c r="E371" s="75" t="n">
        <x:f>IF('Scenario Results'!K33=IF('Scenario Results'!E33&lt;='Scenario Results'!F33,"PASS","FAIL"),1,0)</x:f>
        <x:v>1</x:v>
      </x:c>
      <x:c r="F371" s="75" t="n">
        <x:v>1</x:v>
      </x:c>
      <x:c r="G371" s="24" t="str">
        <x:f>IF(E371=F371,"PASS","FAIL")</x:f>
        <x:v>PASS</x:v>
      </x:c>
    </x:row>
    <x:row r="372">
      <x:c r="B372" s="22" t="str">
        <x:v>AC-0366</x:v>
      </x:c>
      <x:c r="C372" s="22" t="str">
        <x:v>scenario</x:v>
      </x:c>
      <x:c r="D372" s="22" t="str">
        <x:v>row 33 admission held without evidence</x:v>
      </x:c>
      <x:c r="E372" s="75" t="n">
        <x:f>IF(AND('Scenario Results'!N33="OPEN",'Scenario Results'!O33="HOLD"),1,0)</x:f>
        <x:v>1</x:v>
      </x:c>
      <x:c r="F372" s="75" t="n">
        <x:v>1</x:v>
      </x:c>
      <x:c r="G372" s="24" t="str">
        <x:f>IF(E372=F372,"PASS","FAIL")</x:f>
        <x:v>PASS</x:v>
      </x:c>
    </x:row>
    <x:row r="373">
      <x:c r="B373" s="22" t="str">
        <x:v>AC-0367</x:v>
      </x:c>
      <x:c r="C373" s="22" t="str">
        <x:v>scenario</x:v>
      </x:c>
      <x:c r="D373" s="22" t="str">
        <x:v>row 33 service floor</x:v>
      </x:c>
      <x:c r="E373" s="75" t="n">
        <x:f>IF('Scenario Results'!G33&gt;=Assumptions!D28,1,0)</x:f>
        <x:v>1</x:v>
      </x:c>
      <x:c r="F373" s="75" t="n">
        <x:v>1</x:v>
      </x:c>
      <x:c r="G373" s="24" t="str">
        <x:f>IF(E373=F373,"PASS","FAIL")</x:f>
        <x:v>PASS</x:v>
      </x:c>
    </x:row>
    <x:row r="374">
      <x:c r="B374" s="22" t="str">
        <x:v>AC-0368</x:v>
      </x:c>
      <x:c r="C374" s="22" t="str">
        <x:v>scenario</x:v>
      </x:c>
      <x:c r="D374" s="22" t="str">
        <x:v>row 33 reset within deadline</x:v>
      </x:c>
      <x:c r="E374" s="75" t="n">
        <x:f>IF('Scenario Results'!J33&lt;=Assumptions!D33,1,0)</x:f>
        <x:v>1</x:v>
      </x:c>
      <x:c r="F374" s="75" t="n">
        <x:v>1</x:v>
      </x:c>
      <x:c r="G374" s="24" t="str">
        <x:f>IF(E374=F374,"PASS","FAIL")</x:f>
        <x:v>PASS</x:v>
      </x:c>
    </x:row>
    <x:row r="375">
      <x:c r="B375" s="22" t="str">
        <x:v>AC-0369</x:v>
      </x:c>
      <x:c r="C375" s="22" t="str">
        <x:v>scenario</x:v>
      </x:c>
      <x:c r="D375" s="22" t="str">
        <x:v>row 34 time-state logic</x:v>
      </x:c>
      <x:c r="E375" s="75" t="n">
        <x:f>IF('Scenario Results'!K34=IF('Scenario Results'!E34&lt;='Scenario Results'!F34,"PASS","FAIL"),1,0)</x:f>
        <x:v>1</x:v>
      </x:c>
      <x:c r="F375" s="75" t="n">
        <x:v>1</x:v>
      </x:c>
      <x:c r="G375" s="24" t="str">
        <x:f>IF(E375=F375,"PASS","FAIL")</x:f>
        <x:v>PASS</x:v>
      </x:c>
    </x:row>
    <x:row r="376">
      <x:c r="B376" s="22" t="str">
        <x:v>AC-0370</x:v>
      </x:c>
      <x:c r="C376" s="22" t="str">
        <x:v>scenario</x:v>
      </x:c>
      <x:c r="D376" s="22" t="str">
        <x:v>row 34 admission held without evidence</x:v>
      </x:c>
      <x:c r="E376" s="75" t="n">
        <x:f>IF(AND('Scenario Results'!N34="OPEN",'Scenario Results'!O34="HOLD"),1,0)</x:f>
        <x:v>1</x:v>
      </x:c>
      <x:c r="F376" s="75" t="n">
        <x:v>1</x:v>
      </x:c>
      <x:c r="G376" s="24" t="str">
        <x:f>IF(E376=F376,"PASS","FAIL")</x:f>
        <x:v>PASS</x:v>
      </x:c>
    </x:row>
    <x:row r="377">
      <x:c r="B377" s="22" t="str">
        <x:v>AC-0371</x:v>
      </x:c>
      <x:c r="C377" s="22" t="str">
        <x:v>scenario</x:v>
      </x:c>
      <x:c r="D377" s="22" t="str">
        <x:v>row 34 service floor</x:v>
      </x:c>
      <x:c r="E377" s="75" t="n">
        <x:f>IF('Scenario Results'!G34&gt;=Assumptions!D28,1,0)</x:f>
        <x:v>1</x:v>
      </x:c>
      <x:c r="F377" s="75" t="n">
        <x:v>1</x:v>
      </x:c>
      <x:c r="G377" s="24" t="str">
        <x:f>IF(E377=F377,"PASS","FAIL")</x:f>
        <x:v>PASS</x:v>
      </x:c>
    </x:row>
    <x:row r="378">
      <x:c r="B378" s="22" t="str">
        <x:v>AC-0372</x:v>
      </x:c>
      <x:c r="C378" s="22" t="str">
        <x:v>scenario</x:v>
      </x:c>
      <x:c r="D378" s="22" t="str">
        <x:v>row 34 reset within deadline</x:v>
      </x:c>
      <x:c r="E378" s="75" t="n">
        <x:f>IF('Scenario Results'!J34&lt;=Assumptions!D33,1,0)</x:f>
        <x:v>1</x:v>
      </x:c>
      <x:c r="F378" s="75" t="n">
        <x:v>1</x:v>
      </x:c>
      <x:c r="G378" s="24" t="str">
        <x:f>IF(E378=F378,"PASS","FAIL")</x:f>
        <x:v>PASS</x:v>
      </x:c>
    </x:row>
    <x:row r="379">
      <x:c r="B379" s="22" t="str">
        <x:v>AC-0373</x:v>
      </x:c>
      <x:c r="C379" s="22" t="str">
        <x:v>scenario</x:v>
      </x:c>
      <x:c r="D379" s="22" t="str">
        <x:v>row 35 time-state logic</x:v>
      </x:c>
      <x:c r="E379" s="75" t="n">
        <x:f>IF('Scenario Results'!K35=IF('Scenario Results'!E35&lt;='Scenario Results'!F35,"PASS","FAIL"),1,0)</x:f>
        <x:v>1</x:v>
      </x:c>
      <x:c r="F379" s="75" t="n">
        <x:v>1</x:v>
      </x:c>
      <x:c r="G379" s="24" t="str">
        <x:f>IF(E379=F379,"PASS","FAIL")</x:f>
        <x:v>PASS</x:v>
      </x:c>
    </x:row>
    <x:row r="380">
      <x:c r="B380" s="22" t="str">
        <x:v>AC-0374</x:v>
      </x:c>
      <x:c r="C380" s="22" t="str">
        <x:v>scenario</x:v>
      </x:c>
      <x:c r="D380" s="22" t="str">
        <x:v>row 35 admission held without evidence</x:v>
      </x:c>
      <x:c r="E380" s="75" t="n">
        <x:f>IF(AND('Scenario Results'!N35="OPEN",'Scenario Results'!O35="HOLD"),1,0)</x:f>
        <x:v>1</x:v>
      </x:c>
      <x:c r="F380" s="75" t="n">
        <x:v>1</x:v>
      </x:c>
      <x:c r="G380" s="24" t="str">
        <x:f>IF(E380=F380,"PASS","FAIL")</x:f>
        <x:v>PASS</x:v>
      </x:c>
    </x:row>
    <x:row r="381">
      <x:c r="B381" s="22" t="str">
        <x:v>AC-0375</x:v>
      </x:c>
      <x:c r="C381" s="22" t="str">
        <x:v>scenario</x:v>
      </x:c>
      <x:c r="D381" s="22" t="str">
        <x:v>row 35 service floor</x:v>
      </x:c>
      <x:c r="E381" s="75" t="n">
        <x:f>IF('Scenario Results'!G35&gt;=Assumptions!D28,1,0)</x:f>
        <x:v>1</x:v>
      </x:c>
      <x:c r="F381" s="75" t="n">
        <x:v>1</x:v>
      </x:c>
      <x:c r="G381" s="24" t="str">
        <x:f>IF(E381=F381,"PASS","FAIL")</x:f>
        <x:v>PASS</x:v>
      </x:c>
    </x:row>
    <x:row r="382">
      <x:c r="B382" s="22" t="str">
        <x:v>AC-0376</x:v>
      </x:c>
      <x:c r="C382" s="22" t="str">
        <x:v>scenario</x:v>
      </x:c>
      <x:c r="D382" s="22" t="str">
        <x:v>row 35 reset within deadline</x:v>
      </x:c>
      <x:c r="E382" s="75" t="n">
        <x:f>IF('Scenario Results'!J35&lt;=Assumptions!D33,1,0)</x:f>
        <x:v>1</x:v>
      </x:c>
      <x:c r="F382" s="75" t="n">
        <x:v>1</x:v>
      </x:c>
      <x:c r="G382" s="24" t="str">
        <x:f>IF(E382=F382,"PASS","FAIL")</x:f>
        <x:v>PASS</x:v>
      </x:c>
    </x:row>
    <x:row r="383">
      <x:c r="B383" s="22" t="str">
        <x:v>AC-0377</x:v>
      </x:c>
      <x:c r="C383" s="22" t="str">
        <x:v>scenario</x:v>
      </x:c>
      <x:c r="D383" s="22" t="str">
        <x:v>row 36 time-state logic</x:v>
      </x:c>
      <x:c r="E383" s="75" t="n">
        <x:f>IF('Scenario Results'!K36=IF('Scenario Results'!E36&lt;='Scenario Results'!F36,"PASS","FAIL"),1,0)</x:f>
        <x:v>1</x:v>
      </x:c>
      <x:c r="F383" s="75" t="n">
        <x:v>1</x:v>
      </x:c>
      <x:c r="G383" s="24" t="str">
        <x:f>IF(E383=F383,"PASS","FAIL")</x:f>
        <x:v>PASS</x:v>
      </x:c>
    </x:row>
    <x:row r="384">
      <x:c r="B384" s="22" t="str">
        <x:v>AC-0378</x:v>
      </x:c>
      <x:c r="C384" s="22" t="str">
        <x:v>scenario</x:v>
      </x:c>
      <x:c r="D384" s="22" t="str">
        <x:v>row 36 admission held without evidence</x:v>
      </x:c>
      <x:c r="E384" s="75" t="n">
        <x:f>IF(AND('Scenario Results'!N36="OPEN",'Scenario Results'!O36="HOLD"),1,0)</x:f>
        <x:v>1</x:v>
      </x:c>
      <x:c r="F384" s="75" t="n">
        <x:v>1</x:v>
      </x:c>
      <x:c r="G384" s="24" t="str">
        <x:f>IF(E384=F384,"PASS","FAIL")</x:f>
        <x:v>PASS</x:v>
      </x:c>
    </x:row>
    <x:row r="385">
      <x:c r="B385" s="22" t="str">
        <x:v>AC-0379</x:v>
      </x:c>
      <x:c r="C385" s="22" t="str">
        <x:v>scenario</x:v>
      </x:c>
      <x:c r="D385" s="22" t="str">
        <x:v>row 36 service floor</x:v>
      </x:c>
      <x:c r="E385" s="75" t="n">
        <x:f>IF('Scenario Results'!G36&gt;=Assumptions!D28,1,0)</x:f>
        <x:v>1</x:v>
      </x:c>
      <x:c r="F385" s="75" t="n">
        <x:v>1</x:v>
      </x:c>
      <x:c r="G385" s="24" t="str">
        <x:f>IF(E385=F385,"PASS","FAIL")</x:f>
        <x:v>PASS</x:v>
      </x:c>
    </x:row>
    <x:row r="386">
      <x:c r="B386" s="22" t="str">
        <x:v>AC-0380</x:v>
      </x:c>
      <x:c r="C386" s="22" t="str">
        <x:v>scenario</x:v>
      </x:c>
      <x:c r="D386" s="22" t="str">
        <x:v>row 36 reset within deadline</x:v>
      </x:c>
      <x:c r="E386" s="75" t="n">
        <x:f>IF('Scenario Results'!J36&lt;=Assumptions!D33,1,0)</x:f>
        <x:v>1</x:v>
      </x:c>
      <x:c r="F386" s="75" t="n">
        <x:v>1</x:v>
      </x:c>
      <x:c r="G386" s="24" t="str">
        <x:f>IF(E386=F386,"PASS","FAIL")</x:f>
        <x:v>PASS</x:v>
      </x:c>
    </x:row>
    <x:row r="387">
      <x:c r="B387" s="22" t="str">
        <x:v>AC-0381</x:v>
      </x:c>
      <x:c r="C387" s="22" t="str">
        <x:v>scenario</x:v>
      </x:c>
      <x:c r="D387" s="22" t="str">
        <x:v>row 37 time-state logic</x:v>
      </x:c>
      <x:c r="E387" s="75" t="n">
        <x:f>IF('Scenario Results'!K37=IF('Scenario Results'!E37&lt;='Scenario Results'!F37,"PASS","FAIL"),1,0)</x:f>
        <x:v>1</x:v>
      </x:c>
      <x:c r="F387" s="75" t="n">
        <x:v>1</x:v>
      </x:c>
      <x:c r="G387" s="24" t="str">
        <x:f>IF(E387=F387,"PASS","FAIL")</x:f>
        <x:v>PASS</x:v>
      </x:c>
    </x:row>
    <x:row r="388">
      <x:c r="B388" s="22" t="str">
        <x:v>AC-0382</x:v>
      </x:c>
      <x:c r="C388" s="22" t="str">
        <x:v>scenario</x:v>
      </x:c>
      <x:c r="D388" s="22" t="str">
        <x:v>row 37 admission held without evidence</x:v>
      </x:c>
      <x:c r="E388" s="75" t="n">
        <x:f>IF(AND('Scenario Results'!N37="OPEN",'Scenario Results'!O37="HOLD"),1,0)</x:f>
        <x:v>1</x:v>
      </x:c>
      <x:c r="F388" s="75" t="n">
        <x:v>1</x:v>
      </x:c>
      <x:c r="G388" s="24" t="str">
        <x:f>IF(E388=F388,"PASS","FAIL")</x:f>
        <x:v>PASS</x:v>
      </x:c>
    </x:row>
    <x:row r="389">
      <x:c r="B389" s="22" t="str">
        <x:v>AC-0383</x:v>
      </x:c>
      <x:c r="C389" s="22" t="str">
        <x:v>scenario</x:v>
      </x:c>
      <x:c r="D389" s="22" t="str">
        <x:v>row 37 service floor</x:v>
      </x:c>
      <x:c r="E389" s="75" t="n">
        <x:f>IF('Scenario Results'!G37&gt;=Assumptions!D28,1,0)</x:f>
        <x:v>1</x:v>
      </x:c>
      <x:c r="F389" s="75" t="n">
        <x:v>1</x:v>
      </x:c>
      <x:c r="G389" s="24" t="str">
        <x:f>IF(E389=F389,"PASS","FAIL")</x:f>
        <x:v>PASS</x:v>
      </x:c>
    </x:row>
    <x:row r="390">
      <x:c r="B390" s="22" t="str">
        <x:v>AC-0384</x:v>
      </x:c>
      <x:c r="C390" s="22" t="str">
        <x:v>scenario</x:v>
      </x:c>
      <x:c r="D390" s="22" t="str">
        <x:v>row 37 reset within deadline</x:v>
      </x:c>
      <x:c r="E390" s="75" t="n">
        <x:f>IF('Scenario Results'!J37&lt;=Assumptions!D33,1,0)</x:f>
        <x:v>1</x:v>
      </x:c>
      <x:c r="F390" s="75" t="n">
        <x:v>1</x:v>
      </x:c>
      <x:c r="G390" s="24" t="str">
        <x:f>IF(E390=F390,"PASS","FAIL")</x:f>
        <x:v>PASS</x:v>
      </x:c>
    </x:row>
    <x:row r="391">
      <x:c r="B391" s="22" t="str">
        <x:v>AC-0385</x:v>
      </x:c>
      <x:c r="C391" s="22" t="str">
        <x:v>scenario</x:v>
      </x:c>
      <x:c r="D391" s="22" t="str">
        <x:v>row 38 time-state logic</x:v>
      </x:c>
      <x:c r="E391" s="75" t="n">
        <x:f>IF('Scenario Results'!K38=IF('Scenario Results'!E38&lt;='Scenario Results'!F38,"PASS","FAIL"),1,0)</x:f>
        <x:v>1</x:v>
      </x:c>
      <x:c r="F391" s="75" t="n">
        <x:v>1</x:v>
      </x:c>
      <x:c r="G391" s="24" t="str">
        <x:f>IF(E391=F391,"PASS","FAIL")</x:f>
        <x:v>PASS</x:v>
      </x:c>
    </x:row>
    <x:row r="392">
      <x:c r="B392" s="22" t="str">
        <x:v>AC-0386</x:v>
      </x:c>
      <x:c r="C392" s="22" t="str">
        <x:v>scenario</x:v>
      </x:c>
      <x:c r="D392" s="22" t="str">
        <x:v>row 38 admission held without evidence</x:v>
      </x:c>
      <x:c r="E392" s="75" t="n">
        <x:f>IF(AND('Scenario Results'!N38="OPEN",'Scenario Results'!O38="HOLD"),1,0)</x:f>
        <x:v>1</x:v>
      </x:c>
      <x:c r="F392" s="75" t="n">
        <x:v>1</x:v>
      </x:c>
      <x:c r="G392" s="24" t="str">
        <x:f>IF(E392=F392,"PASS","FAIL")</x:f>
        <x:v>PASS</x:v>
      </x:c>
    </x:row>
    <x:row r="393">
      <x:c r="B393" s="22" t="str">
        <x:v>AC-0387</x:v>
      </x:c>
      <x:c r="C393" s="22" t="str">
        <x:v>scenario</x:v>
      </x:c>
      <x:c r="D393" s="22" t="str">
        <x:v>row 38 service floor</x:v>
      </x:c>
      <x:c r="E393" s="75" t="n">
        <x:f>IF('Scenario Results'!G38&gt;=Assumptions!D28,1,0)</x:f>
        <x:v>1</x:v>
      </x:c>
      <x:c r="F393" s="75" t="n">
        <x:v>1</x:v>
      </x:c>
      <x:c r="G393" s="24" t="str">
        <x:f>IF(E393=F393,"PASS","FAIL")</x:f>
        <x:v>PASS</x:v>
      </x:c>
    </x:row>
    <x:row r="394">
      <x:c r="B394" s="22" t="str">
        <x:v>AC-0388</x:v>
      </x:c>
      <x:c r="C394" s="22" t="str">
        <x:v>scenario</x:v>
      </x:c>
      <x:c r="D394" s="22" t="str">
        <x:v>row 38 reset within deadline</x:v>
      </x:c>
      <x:c r="E394" s="75" t="n">
        <x:f>IF('Scenario Results'!J38&lt;=Assumptions!D33,1,0)</x:f>
        <x:v>1</x:v>
      </x:c>
      <x:c r="F394" s="75" t="n">
        <x:v>1</x:v>
      </x:c>
      <x:c r="G394" s="24" t="str">
        <x:f>IF(E394=F394,"PASS","FAIL")</x:f>
        <x:v>PASS</x:v>
      </x:c>
    </x:row>
    <x:row r="395">
      <x:c r="B395" s="22" t="str">
        <x:v>AC-0389</x:v>
      </x:c>
      <x:c r="C395" s="22" t="str">
        <x:v>scenario</x:v>
      </x:c>
      <x:c r="D395" s="22" t="str">
        <x:v>row 39 time-state logic</x:v>
      </x:c>
      <x:c r="E395" s="75" t="n">
        <x:f>IF('Scenario Results'!K39=IF('Scenario Results'!E39&lt;='Scenario Results'!F39,"PASS","FAIL"),1,0)</x:f>
        <x:v>1</x:v>
      </x:c>
      <x:c r="F395" s="75" t="n">
        <x:v>1</x:v>
      </x:c>
      <x:c r="G395" s="24" t="str">
        <x:f>IF(E395=F395,"PASS","FAIL")</x:f>
        <x:v>PASS</x:v>
      </x:c>
    </x:row>
    <x:row r="396">
      <x:c r="B396" s="22" t="str">
        <x:v>AC-0390</x:v>
      </x:c>
      <x:c r="C396" s="22" t="str">
        <x:v>scenario</x:v>
      </x:c>
      <x:c r="D396" s="22" t="str">
        <x:v>row 39 admission held without evidence</x:v>
      </x:c>
      <x:c r="E396" s="75" t="n">
        <x:f>IF(AND('Scenario Results'!N39="OPEN",'Scenario Results'!O39="HOLD"),1,0)</x:f>
        <x:v>1</x:v>
      </x:c>
      <x:c r="F396" s="75" t="n">
        <x:v>1</x:v>
      </x:c>
      <x:c r="G396" s="24" t="str">
        <x:f>IF(E396=F396,"PASS","FAIL")</x:f>
        <x:v>PASS</x:v>
      </x:c>
    </x:row>
    <x:row r="397">
      <x:c r="B397" s="22" t="str">
        <x:v>AC-0391</x:v>
      </x:c>
      <x:c r="C397" s="22" t="str">
        <x:v>scenario</x:v>
      </x:c>
      <x:c r="D397" s="22" t="str">
        <x:v>row 39 service floor</x:v>
      </x:c>
      <x:c r="E397" s="75" t="n">
        <x:f>IF('Scenario Results'!G39&gt;=Assumptions!D28,1,0)</x:f>
        <x:v>1</x:v>
      </x:c>
      <x:c r="F397" s="75" t="n">
        <x:v>1</x:v>
      </x:c>
      <x:c r="G397" s="24" t="str">
        <x:f>IF(E397=F397,"PASS","FAIL")</x:f>
        <x:v>PASS</x:v>
      </x:c>
    </x:row>
    <x:row r="398">
      <x:c r="B398" s="22" t="str">
        <x:v>AC-0392</x:v>
      </x:c>
      <x:c r="C398" s="22" t="str">
        <x:v>scenario</x:v>
      </x:c>
      <x:c r="D398" s="22" t="str">
        <x:v>row 39 reset within deadline</x:v>
      </x:c>
      <x:c r="E398" s="75" t="n">
        <x:f>IF('Scenario Results'!J39&lt;=Assumptions!D33,1,0)</x:f>
        <x:v>1</x:v>
      </x:c>
      <x:c r="F398" s="75" t="n">
        <x:v>1</x:v>
      </x:c>
      <x:c r="G398" s="24" t="str">
        <x:f>IF(E398=F398,"PASS","FAIL")</x:f>
        <x:v>PASS</x:v>
      </x:c>
    </x:row>
    <x:row r="399">
      <x:c r="B399" s="22" t="str">
        <x:v>AC-0393</x:v>
      </x:c>
      <x:c r="C399" s="22" t="str">
        <x:v>regeneration</x:v>
      </x:c>
      <x:c r="D399" s="22" t="str">
        <x:v>row 7 pre-regeneration identity</x:v>
      </x:c>
      <x:c r="E399" s="75" t="n">
        <x:f>IF(ABS(Regeneration!J7-(Regeneration!E7-Regeneration!G7+Regeneration!H7))&lt;0.000001,1,0)</x:f>
        <x:v>1</x:v>
      </x:c>
      <x:c r="F399" s="75" t="n">
        <x:v>1</x:v>
      </x:c>
      <x:c r="G399" s="24" t="str">
        <x:f>IF(E399=F399,"PASS","FAIL")</x:f>
        <x:v>PASS</x:v>
      </x:c>
    </x:row>
    <x:row r="400">
      <x:c r="B400" s="22" t="str">
        <x:v>AC-0394</x:v>
      </x:c>
      <x:c r="C400" s="22" t="str">
        <x:v>regeneration</x:v>
      </x:c>
      <x:c r="D400" s="22" t="str">
        <x:v>row 7 post-regeneration identity</x:v>
      </x:c>
      <x:c r="E400" s="75" t="n">
        <x:f>IF(ABS(Regeneration!K7-(Regeneration!J7+Regeneration!I7))&lt;0.000001,1,0)</x:f>
        <x:v>1</x:v>
      </x:c>
      <x:c r="F400" s="75" t="n">
        <x:v>1</x:v>
      </x:c>
      <x:c r="G400" s="24" t="str">
        <x:f>IF(E400=F400,"PASS","FAIL")</x:f>
        <x:v>PASS</x:v>
      </x:c>
    </x:row>
    <x:row r="401">
      <x:c r="B401" s="22" t="str">
        <x:v>AC-0395</x:v>
      </x:c>
      <x:c r="C401" s="22" t="str">
        <x:v>regeneration</x:v>
      </x:c>
      <x:c r="D401" s="22" t="str">
        <x:v>row 7 floor restored</x:v>
      </x:c>
      <x:c r="E401" s="75" t="n">
        <x:f>IF(Regeneration!M7&gt;=1,1,0)</x:f>
        <x:v>1</x:v>
      </x:c>
      <x:c r="F401" s="75" t="n">
        <x:v>1</x:v>
      </x:c>
      <x:c r="G401" s="24" t="str">
        <x:f>IF(E401=F401,"PASS","FAIL")</x:f>
        <x:v>PASS</x:v>
      </x:c>
    </x:row>
    <x:row r="402">
      <x:c r="B402" s="22" t="str">
        <x:v>AC-0396</x:v>
      </x:c>
      <x:c r="C402" s="22" t="str">
        <x:v>regeneration</x:v>
      </x:c>
      <x:c r="D402" s="22" t="str">
        <x:v>row 7 deadline</x:v>
      </x:c>
      <x:c r="E402" s="75" t="n">
        <x:f>IF(Regeneration!N7&lt;=Regeneration!O7,1,0)</x:f>
        <x:v>1</x:v>
      </x:c>
      <x:c r="F402" s="75" t="n">
        <x:v>1</x:v>
      </x:c>
      <x:c r="G402" s="24" t="str">
        <x:f>IF(E402=F402,"PASS","FAIL")</x:f>
        <x:v>PASS</x:v>
      </x:c>
    </x:row>
    <x:row r="403">
      <x:c r="B403" s="22" t="str">
        <x:v>AC-0397</x:v>
      </x:c>
      <x:c r="C403" s="22" t="str">
        <x:v>regeneration</x:v>
      </x:c>
      <x:c r="D403" s="22" t="str">
        <x:v>row 8 pre-regeneration identity</x:v>
      </x:c>
      <x:c r="E403" s="75" t="n">
        <x:f>IF(ABS(Regeneration!J8-(Regeneration!E8-Regeneration!G8+Regeneration!H8))&lt;0.000001,1,0)</x:f>
        <x:v>1</x:v>
      </x:c>
      <x:c r="F403" s="75" t="n">
        <x:v>1</x:v>
      </x:c>
      <x:c r="G403" s="24" t="str">
        <x:f>IF(E403=F403,"PASS","FAIL")</x:f>
        <x:v>PASS</x:v>
      </x:c>
    </x:row>
    <x:row r="404">
      <x:c r="B404" s="22" t="str">
        <x:v>AC-0398</x:v>
      </x:c>
      <x:c r="C404" s="22" t="str">
        <x:v>regeneration</x:v>
      </x:c>
      <x:c r="D404" s="22" t="str">
        <x:v>row 8 post-regeneration identity</x:v>
      </x:c>
      <x:c r="E404" s="75" t="n">
        <x:f>IF(ABS(Regeneration!K8-(Regeneration!J8+Regeneration!I8))&lt;0.000001,1,0)</x:f>
        <x:v>1</x:v>
      </x:c>
      <x:c r="F404" s="75" t="n">
        <x:v>1</x:v>
      </x:c>
      <x:c r="G404" s="24" t="str">
        <x:f>IF(E404=F404,"PASS","FAIL")</x:f>
        <x:v>PASS</x:v>
      </x:c>
    </x:row>
    <x:row r="405">
      <x:c r="B405" s="22" t="str">
        <x:v>AC-0399</x:v>
      </x:c>
      <x:c r="C405" s="22" t="str">
        <x:v>regeneration</x:v>
      </x:c>
      <x:c r="D405" s="22" t="str">
        <x:v>row 8 floor restored</x:v>
      </x:c>
      <x:c r="E405" s="75" t="n">
        <x:f>IF(Regeneration!M8&gt;=1,1,0)</x:f>
        <x:v>1</x:v>
      </x:c>
      <x:c r="F405" s="75" t="n">
        <x:v>1</x:v>
      </x:c>
      <x:c r="G405" s="24" t="str">
        <x:f>IF(E405=F405,"PASS","FAIL")</x:f>
        <x:v>PASS</x:v>
      </x:c>
    </x:row>
    <x:row r="406">
      <x:c r="B406" s="22" t="str">
        <x:v>AC-0400</x:v>
      </x:c>
      <x:c r="C406" s="22" t="str">
        <x:v>regeneration</x:v>
      </x:c>
      <x:c r="D406" s="22" t="str">
        <x:v>row 8 deadline</x:v>
      </x:c>
      <x:c r="E406" s="75" t="n">
        <x:f>IF(Regeneration!N8&lt;=Regeneration!O8,1,0)</x:f>
        <x:v>1</x:v>
      </x:c>
      <x:c r="F406" s="75" t="n">
        <x:v>1</x:v>
      </x:c>
      <x:c r="G406" s="24" t="str">
        <x:f>IF(E406=F406,"PASS","FAIL")</x:f>
        <x:v>PASS</x:v>
      </x:c>
    </x:row>
    <x:row r="407">
      <x:c r="B407" s="22" t="str">
        <x:v>AC-0401</x:v>
      </x:c>
      <x:c r="C407" s="22" t="str">
        <x:v>regeneration</x:v>
      </x:c>
      <x:c r="D407" s="22" t="str">
        <x:v>row 9 pre-regeneration identity</x:v>
      </x:c>
      <x:c r="E407" s="75" t="n">
        <x:f>IF(ABS(Regeneration!J9-(Regeneration!E9-Regeneration!G9+Regeneration!H9))&lt;0.000001,1,0)</x:f>
        <x:v>1</x:v>
      </x:c>
      <x:c r="F407" s="75" t="n">
        <x:v>1</x:v>
      </x:c>
      <x:c r="G407" s="24" t="str">
        <x:f>IF(E407=F407,"PASS","FAIL")</x:f>
        <x:v>PASS</x:v>
      </x:c>
    </x:row>
    <x:row r="408">
      <x:c r="B408" s="22" t="str">
        <x:v>AC-0402</x:v>
      </x:c>
      <x:c r="C408" s="22" t="str">
        <x:v>regeneration</x:v>
      </x:c>
      <x:c r="D408" s="22" t="str">
        <x:v>row 9 post-regeneration identity</x:v>
      </x:c>
      <x:c r="E408" s="75" t="n">
        <x:f>IF(ABS(Regeneration!K9-(Regeneration!J9+Regeneration!I9))&lt;0.000001,1,0)</x:f>
        <x:v>1</x:v>
      </x:c>
      <x:c r="F408" s="75" t="n">
        <x:v>1</x:v>
      </x:c>
      <x:c r="G408" s="24" t="str">
        <x:f>IF(E408=F408,"PASS","FAIL")</x:f>
        <x:v>PASS</x:v>
      </x:c>
    </x:row>
    <x:row r="409">
      <x:c r="B409" s="22" t="str">
        <x:v>AC-0403</x:v>
      </x:c>
      <x:c r="C409" s="22" t="str">
        <x:v>regeneration</x:v>
      </x:c>
      <x:c r="D409" s="22" t="str">
        <x:v>row 9 floor restored</x:v>
      </x:c>
      <x:c r="E409" s="75" t="n">
        <x:f>IF(Regeneration!M9&gt;=1,1,0)</x:f>
        <x:v>1</x:v>
      </x:c>
      <x:c r="F409" s="75" t="n">
        <x:v>1</x:v>
      </x:c>
      <x:c r="G409" s="24" t="str">
        <x:f>IF(E409=F409,"PASS","FAIL")</x:f>
        <x:v>PASS</x:v>
      </x:c>
    </x:row>
    <x:row r="410">
      <x:c r="B410" s="22" t="str">
        <x:v>AC-0404</x:v>
      </x:c>
      <x:c r="C410" s="22" t="str">
        <x:v>regeneration</x:v>
      </x:c>
      <x:c r="D410" s="22" t="str">
        <x:v>row 9 deadline</x:v>
      </x:c>
      <x:c r="E410" s="75" t="n">
        <x:f>IF(Regeneration!N9&lt;=Regeneration!O9,1,0)</x:f>
        <x:v>1</x:v>
      </x:c>
      <x:c r="F410" s="75" t="n">
        <x:v>1</x:v>
      </x:c>
      <x:c r="G410" s="24" t="str">
        <x:f>IF(E410=F410,"PASS","FAIL")</x:f>
        <x:v>PASS</x:v>
      </x:c>
    </x:row>
    <x:row r="411">
      <x:c r="B411" s="22" t="str">
        <x:v>AC-0405</x:v>
      </x:c>
      <x:c r="C411" s="22" t="str">
        <x:v>regeneration</x:v>
      </x:c>
      <x:c r="D411" s="22" t="str">
        <x:v>row 10 pre-regeneration identity</x:v>
      </x:c>
      <x:c r="E411" s="75" t="n">
        <x:f>IF(ABS(Regeneration!J10-(Regeneration!E10-Regeneration!G10+Regeneration!H10))&lt;0.000001,1,0)</x:f>
        <x:v>1</x:v>
      </x:c>
      <x:c r="F411" s="75" t="n">
        <x:v>1</x:v>
      </x:c>
      <x:c r="G411" s="24" t="str">
        <x:f>IF(E411=F411,"PASS","FAIL")</x:f>
        <x:v>PASS</x:v>
      </x:c>
    </x:row>
    <x:row r="412">
      <x:c r="B412" s="22" t="str">
        <x:v>AC-0406</x:v>
      </x:c>
      <x:c r="C412" s="22" t="str">
        <x:v>regeneration</x:v>
      </x:c>
      <x:c r="D412" s="22" t="str">
        <x:v>row 10 post-regeneration identity</x:v>
      </x:c>
      <x:c r="E412" s="75" t="n">
        <x:f>IF(ABS(Regeneration!K10-(Regeneration!J10+Regeneration!I10))&lt;0.000001,1,0)</x:f>
        <x:v>1</x:v>
      </x:c>
      <x:c r="F412" s="75" t="n">
        <x:v>1</x:v>
      </x:c>
      <x:c r="G412" s="24" t="str">
        <x:f>IF(E412=F412,"PASS","FAIL")</x:f>
        <x:v>PASS</x:v>
      </x:c>
    </x:row>
    <x:row r="413">
      <x:c r="B413" s="22" t="str">
        <x:v>AC-0407</x:v>
      </x:c>
      <x:c r="C413" s="22" t="str">
        <x:v>regeneration</x:v>
      </x:c>
      <x:c r="D413" s="22" t="str">
        <x:v>row 10 floor restored</x:v>
      </x:c>
      <x:c r="E413" s="75" t="n">
        <x:f>IF(Regeneration!M10&gt;=1,1,0)</x:f>
        <x:v>1</x:v>
      </x:c>
      <x:c r="F413" s="75" t="n">
        <x:v>1</x:v>
      </x:c>
      <x:c r="G413" s="24" t="str">
        <x:f>IF(E413=F413,"PASS","FAIL")</x:f>
        <x:v>PASS</x:v>
      </x:c>
    </x:row>
    <x:row r="414">
      <x:c r="B414" s="22" t="str">
        <x:v>AC-0408</x:v>
      </x:c>
      <x:c r="C414" s="22" t="str">
        <x:v>regeneration</x:v>
      </x:c>
      <x:c r="D414" s="22" t="str">
        <x:v>row 10 deadline</x:v>
      </x:c>
      <x:c r="E414" s="75" t="n">
        <x:f>IF(Regeneration!N10&lt;=Regeneration!O10,1,0)</x:f>
        <x:v>1</x:v>
      </x:c>
      <x:c r="F414" s="75" t="n">
        <x:v>1</x:v>
      </x:c>
      <x:c r="G414" s="24" t="str">
        <x:f>IF(E414=F414,"PASS","FAIL")</x:f>
        <x:v>PASS</x:v>
      </x:c>
    </x:row>
    <x:row r="415">
      <x:c r="B415" s="22" t="str">
        <x:v>AC-0409</x:v>
      </x:c>
      <x:c r="C415" s="22" t="str">
        <x:v>regeneration</x:v>
      </x:c>
      <x:c r="D415" s="22" t="str">
        <x:v>row 11 pre-regeneration identity</x:v>
      </x:c>
      <x:c r="E415" s="75" t="n">
        <x:f>IF(ABS(Regeneration!J11-(Regeneration!E11-Regeneration!G11+Regeneration!H11))&lt;0.000001,1,0)</x:f>
        <x:v>1</x:v>
      </x:c>
      <x:c r="F415" s="75" t="n">
        <x:v>1</x:v>
      </x:c>
      <x:c r="G415" s="24" t="str">
        <x:f>IF(E415=F415,"PASS","FAIL")</x:f>
        <x:v>PASS</x:v>
      </x:c>
    </x:row>
    <x:row r="416">
      <x:c r="B416" s="22" t="str">
        <x:v>AC-0410</x:v>
      </x:c>
      <x:c r="C416" s="22" t="str">
        <x:v>regeneration</x:v>
      </x:c>
      <x:c r="D416" s="22" t="str">
        <x:v>row 11 post-regeneration identity</x:v>
      </x:c>
      <x:c r="E416" s="75" t="n">
        <x:f>IF(ABS(Regeneration!K11-(Regeneration!J11+Regeneration!I11))&lt;0.000001,1,0)</x:f>
        <x:v>1</x:v>
      </x:c>
      <x:c r="F416" s="75" t="n">
        <x:v>1</x:v>
      </x:c>
      <x:c r="G416" s="24" t="str">
        <x:f>IF(E416=F416,"PASS","FAIL")</x:f>
        <x:v>PASS</x:v>
      </x:c>
    </x:row>
    <x:row r="417">
      <x:c r="B417" s="22" t="str">
        <x:v>AC-0411</x:v>
      </x:c>
      <x:c r="C417" s="22" t="str">
        <x:v>regeneration</x:v>
      </x:c>
      <x:c r="D417" s="22" t="str">
        <x:v>row 11 floor restored</x:v>
      </x:c>
      <x:c r="E417" s="75" t="n">
        <x:f>IF(Regeneration!M11&gt;=1,1,0)</x:f>
        <x:v>1</x:v>
      </x:c>
      <x:c r="F417" s="75" t="n">
        <x:v>1</x:v>
      </x:c>
      <x:c r="G417" s="24" t="str">
        <x:f>IF(E417=F417,"PASS","FAIL")</x:f>
        <x:v>PASS</x:v>
      </x:c>
    </x:row>
    <x:row r="418">
      <x:c r="B418" s="22" t="str">
        <x:v>AC-0412</x:v>
      </x:c>
      <x:c r="C418" s="22" t="str">
        <x:v>regeneration</x:v>
      </x:c>
      <x:c r="D418" s="22" t="str">
        <x:v>row 11 deadline</x:v>
      </x:c>
      <x:c r="E418" s="75" t="n">
        <x:f>IF(Regeneration!N11&lt;=Regeneration!O11,1,0)</x:f>
        <x:v>1</x:v>
      </x:c>
      <x:c r="F418" s="75" t="n">
        <x:v>1</x:v>
      </x:c>
      <x:c r="G418" s="24" t="str">
        <x:f>IF(E418=F418,"PASS","FAIL")</x:f>
        <x:v>PASS</x:v>
      </x:c>
    </x:row>
    <x:row r="419">
      <x:c r="B419" s="22" t="str">
        <x:v>AC-0413</x:v>
      </x:c>
      <x:c r="C419" s="22" t="str">
        <x:v>regeneration</x:v>
      </x:c>
      <x:c r="D419" s="22" t="str">
        <x:v>row 12 pre-regeneration identity</x:v>
      </x:c>
      <x:c r="E419" s="75" t="n">
        <x:f>IF(ABS(Regeneration!J12-(Regeneration!E12-Regeneration!G12+Regeneration!H12))&lt;0.000001,1,0)</x:f>
        <x:v>1</x:v>
      </x:c>
      <x:c r="F419" s="75" t="n">
        <x:v>1</x:v>
      </x:c>
      <x:c r="G419" s="24" t="str">
        <x:f>IF(E419=F419,"PASS","FAIL")</x:f>
        <x:v>PASS</x:v>
      </x:c>
    </x:row>
    <x:row r="420">
      <x:c r="B420" s="22" t="str">
        <x:v>AC-0414</x:v>
      </x:c>
      <x:c r="C420" s="22" t="str">
        <x:v>regeneration</x:v>
      </x:c>
      <x:c r="D420" s="22" t="str">
        <x:v>row 12 post-regeneration identity</x:v>
      </x:c>
      <x:c r="E420" s="75" t="n">
        <x:f>IF(ABS(Regeneration!K12-(Regeneration!J12+Regeneration!I12))&lt;0.000001,1,0)</x:f>
        <x:v>1</x:v>
      </x:c>
      <x:c r="F420" s="75" t="n">
        <x:v>1</x:v>
      </x:c>
      <x:c r="G420" s="24" t="str">
        <x:f>IF(E420=F420,"PASS","FAIL")</x:f>
        <x:v>PASS</x:v>
      </x:c>
    </x:row>
    <x:row r="421">
      <x:c r="B421" s="22" t="str">
        <x:v>AC-0415</x:v>
      </x:c>
      <x:c r="C421" s="22" t="str">
        <x:v>regeneration</x:v>
      </x:c>
      <x:c r="D421" s="22" t="str">
        <x:v>row 12 floor restored</x:v>
      </x:c>
      <x:c r="E421" s="75" t="n">
        <x:f>IF(Regeneration!M12&gt;=1,1,0)</x:f>
        <x:v>1</x:v>
      </x:c>
      <x:c r="F421" s="75" t="n">
        <x:v>1</x:v>
      </x:c>
      <x:c r="G421" s="24" t="str">
        <x:f>IF(E421=F421,"PASS","FAIL")</x:f>
        <x:v>PASS</x:v>
      </x:c>
    </x:row>
    <x:row r="422">
      <x:c r="B422" s="22" t="str">
        <x:v>AC-0416</x:v>
      </x:c>
      <x:c r="C422" s="22" t="str">
        <x:v>regeneration</x:v>
      </x:c>
      <x:c r="D422" s="22" t="str">
        <x:v>row 12 deadline</x:v>
      </x:c>
      <x:c r="E422" s="75" t="n">
        <x:f>IF(Regeneration!N12&lt;=Regeneration!O12,1,0)</x:f>
        <x:v>1</x:v>
      </x:c>
      <x:c r="F422" s="75" t="n">
        <x:v>1</x:v>
      </x:c>
      <x:c r="G422" s="24" t="str">
        <x:f>IF(E422=F422,"PASS","FAIL")</x:f>
        <x:v>PASS</x:v>
      </x:c>
    </x:row>
    <x:row r="423">
      <x:c r="B423" s="22" t="str">
        <x:v>AC-0417</x:v>
      </x:c>
      <x:c r="C423" s="22" t="str">
        <x:v>regeneration</x:v>
      </x:c>
      <x:c r="D423" s="22" t="str">
        <x:v>row 13 pre-regeneration identity</x:v>
      </x:c>
      <x:c r="E423" s="75" t="n">
        <x:f>IF(ABS(Regeneration!J13-(Regeneration!E13-Regeneration!G13+Regeneration!H13))&lt;0.000001,1,0)</x:f>
        <x:v>1</x:v>
      </x:c>
      <x:c r="F423" s="75" t="n">
        <x:v>1</x:v>
      </x:c>
      <x:c r="G423" s="24" t="str">
        <x:f>IF(E423=F423,"PASS","FAIL")</x:f>
        <x:v>PASS</x:v>
      </x:c>
    </x:row>
    <x:row r="424">
      <x:c r="B424" s="22" t="str">
        <x:v>AC-0418</x:v>
      </x:c>
      <x:c r="C424" s="22" t="str">
        <x:v>regeneration</x:v>
      </x:c>
      <x:c r="D424" s="22" t="str">
        <x:v>row 13 post-regeneration identity</x:v>
      </x:c>
      <x:c r="E424" s="75" t="n">
        <x:f>IF(ABS(Regeneration!K13-(Regeneration!J13+Regeneration!I13))&lt;0.000001,1,0)</x:f>
        <x:v>1</x:v>
      </x:c>
      <x:c r="F424" s="75" t="n">
        <x:v>1</x:v>
      </x:c>
      <x:c r="G424" s="24" t="str">
        <x:f>IF(E424=F424,"PASS","FAIL")</x:f>
        <x:v>PASS</x:v>
      </x:c>
    </x:row>
    <x:row r="425">
      <x:c r="B425" s="22" t="str">
        <x:v>AC-0419</x:v>
      </x:c>
      <x:c r="C425" s="22" t="str">
        <x:v>regeneration</x:v>
      </x:c>
      <x:c r="D425" s="22" t="str">
        <x:v>row 13 floor restored</x:v>
      </x:c>
      <x:c r="E425" s="75" t="n">
        <x:f>IF(Regeneration!M13&gt;=1,1,0)</x:f>
        <x:v>1</x:v>
      </x:c>
      <x:c r="F425" s="75" t="n">
        <x:v>1</x:v>
      </x:c>
      <x:c r="G425" s="24" t="str">
        <x:f>IF(E425=F425,"PASS","FAIL")</x:f>
        <x:v>PASS</x:v>
      </x:c>
    </x:row>
    <x:row r="426">
      <x:c r="B426" s="22" t="str">
        <x:v>AC-0420</x:v>
      </x:c>
      <x:c r="C426" s="22" t="str">
        <x:v>regeneration</x:v>
      </x:c>
      <x:c r="D426" s="22" t="str">
        <x:v>row 13 deadline</x:v>
      </x:c>
      <x:c r="E426" s="75" t="n">
        <x:f>IF(Regeneration!N13&lt;=Regeneration!O13,1,0)</x:f>
        <x:v>1</x:v>
      </x:c>
      <x:c r="F426" s="75" t="n">
        <x:v>1</x:v>
      </x:c>
      <x:c r="G426" s="24" t="str">
        <x:f>IF(E426=F426,"PASS","FAIL")</x:f>
        <x:v>PASS</x:v>
      </x:c>
    </x:row>
    <x:row r="427">
      <x:c r="B427" s="22" t="str">
        <x:v>AC-0421</x:v>
      </x:c>
      <x:c r="C427" s="22" t="str">
        <x:v>regeneration</x:v>
      </x:c>
      <x:c r="D427" s="22" t="str">
        <x:v>row 14 pre-regeneration identity</x:v>
      </x:c>
      <x:c r="E427" s="75" t="n">
        <x:f>IF(ABS(Regeneration!J14-(Regeneration!E14-Regeneration!G14+Regeneration!H14))&lt;0.000001,1,0)</x:f>
        <x:v>1</x:v>
      </x:c>
      <x:c r="F427" s="75" t="n">
        <x:v>1</x:v>
      </x:c>
      <x:c r="G427" s="24" t="str">
        <x:f>IF(E427=F427,"PASS","FAIL")</x:f>
        <x:v>PASS</x:v>
      </x:c>
    </x:row>
    <x:row r="428">
      <x:c r="B428" s="22" t="str">
        <x:v>AC-0422</x:v>
      </x:c>
      <x:c r="C428" s="22" t="str">
        <x:v>regeneration</x:v>
      </x:c>
      <x:c r="D428" s="22" t="str">
        <x:v>row 14 post-regeneration identity</x:v>
      </x:c>
      <x:c r="E428" s="75" t="n">
        <x:f>IF(ABS(Regeneration!K14-(Regeneration!J14+Regeneration!I14))&lt;0.000001,1,0)</x:f>
        <x:v>1</x:v>
      </x:c>
      <x:c r="F428" s="75" t="n">
        <x:v>1</x:v>
      </x:c>
      <x:c r="G428" s="24" t="str">
        <x:f>IF(E428=F428,"PASS","FAIL")</x:f>
        <x:v>PASS</x:v>
      </x:c>
    </x:row>
    <x:row r="429">
      <x:c r="B429" s="22" t="str">
        <x:v>AC-0423</x:v>
      </x:c>
      <x:c r="C429" s="22" t="str">
        <x:v>regeneration</x:v>
      </x:c>
      <x:c r="D429" s="22" t="str">
        <x:v>row 14 floor restored</x:v>
      </x:c>
      <x:c r="E429" s="75" t="n">
        <x:f>IF(Regeneration!M14&gt;=1,1,0)</x:f>
        <x:v>1</x:v>
      </x:c>
      <x:c r="F429" s="75" t="n">
        <x:v>1</x:v>
      </x:c>
      <x:c r="G429" s="24" t="str">
        <x:f>IF(E429=F429,"PASS","FAIL")</x:f>
        <x:v>PASS</x:v>
      </x:c>
    </x:row>
    <x:row r="430">
      <x:c r="B430" s="22" t="str">
        <x:v>AC-0424</x:v>
      </x:c>
      <x:c r="C430" s="22" t="str">
        <x:v>regeneration</x:v>
      </x:c>
      <x:c r="D430" s="22" t="str">
        <x:v>row 14 deadline</x:v>
      </x:c>
      <x:c r="E430" s="75" t="n">
        <x:f>IF(Regeneration!N14&lt;=Regeneration!O14,1,0)</x:f>
        <x:v>1</x:v>
      </x:c>
      <x:c r="F430" s="75" t="n">
        <x:v>1</x:v>
      </x:c>
      <x:c r="G430" s="24" t="str">
        <x:f>IF(E430=F430,"PASS","FAIL")</x:f>
        <x:v>PASS</x:v>
      </x:c>
    </x:row>
    <x:row r="431">
      <x:c r="B431" s="22" t="str">
        <x:v>AC-0425</x:v>
      </x:c>
      <x:c r="C431" s="22" t="str">
        <x:v>regeneration</x:v>
      </x:c>
      <x:c r="D431" s="22" t="str">
        <x:v>row 15 pre-regeneration identity</x:v>
      </x:c>
      <x:c r="E431" s="75" t="n">
        <x:f>IF(ABS(Regeneration!J15-(Regeneration!E15-Regeneration!G15+Regeneration!H15))&lt;0.000001,1,0)</x:f>
        <x:v>1</x:v>
      </x:c>
      <x:c r="F431" s="75" t="n">
        <x:v>1</x:v>
      </x:c>
      <x:c r="G431" s="24" t="str">
        <x:f>IF(E431=F431,"PASS","FAIL")</x:f>
        <x:v>PASS</x:v>
      </x:c>
    </x:row>
    <x:row r="432">
      <x:c r="B432" s="22" t="str">
        <x:v>AC-0426</x:v>
      </x:c>
      <x:c r="C432" s="22" t="str">
        <x:v>regeneration</x:v>
      </x:c>
      <x:c r="D432" s="22" t="str">
        <x:v>row 15 post-regeneration identity</x:v>
      </x:c>
      <x:c r="E432" s="75" t="n">
        <x:f>IF(ABS(Regeneration!K15-(Regeneration!J15+Regeneration!I15))&lt;0.000001,1,0)</x:f>
        <x:v>1</x:v>
      </x:c>
      <x:c r="F432" s="75" t="n">
        <x:v>1</x:v>
      </x:c>
      <x:c r="G432" s="24" t="str">
        <x:f>IF(E432=F432,"PASS","FAIL")</x:f>
        <x:v>PASS</x:v>
      </x:c>
    </x:row>
    <x:row r="433">
      <x:c r="B433" s="22" t="str">
        <x:v>AC-0427</x:v>
      </x:c>
      <x:c r="C433" s="22" t="str">
        <x:v>regeneration</x:v>
      </x:c>
      <x:c r="D433" s="22" t="str">
        <x:v>row 15 floor restored</x:v>
      </x:c>
      <x:c r="E433" s="75" t="n">
        <x:f>IF(Regeneration!M15&gt;=1,1,0)</x:f>
        <x:v>1</x:v>
      </x:c>
      <x:c r="F433" s="75" t="n">
        <x:v>1</x:v>
      </x:c>
      <x:c r="G433" s="24" t="str">
        <x:f>IF(E433=F433,"PASS","FAIL")</x:f>
        <x:v>PASS</x:v>
      </x:c>
    </x:row>
    <x:row r="434">
      <x:c r="B434" s="22" t="str">
        <x:v>AC-0428</x:v>
      </x:c>
      <x:c r="C434" s="22" t="str">
        <x:v>regeneration</x:v>
      </x:c>
      <x:c r="D434" s="22" t="str">
        <x:v>row 15 deadline</x:v>
      </x:c>
      <x:c r="E434" s="75" t="n">
        <x:f>IF(Regeneration!N15&lt;=Regeneration!O15,1,0)</x:f>
        <x:v>1</x:v>
      </x:c>
      <x:c r="F434" s="75" t="n">
        <x:v>1</x:v>
      </x:c>
      <x:c r="G434" s="24" t="str">
        <x:f>IF(E434=F434,"PASS","FAIL")</x:f>
        <x:v>PASS</x:v>
      </x:c>
    </x:row>
    <x:row r="435">
      <x:c r="B435" s="22" t="str">
        <x:v>AC-0429</x:v>
      </x:c>
      <x:c r="C435" s="22" t="str">
        <x:v>regeneration</x:v>
      </x:c>
      <x:c r="D435" s="22" t="str">
        <x:v>row 16 pre-regeneration identity</x:v>
      </x:c>
      <x:c r="E435" s="75" t="n">
        <x:f>IF(ABS(Regeneration!J16-(Regeneration!E16-Regeneration!G16+Regeneration!H16))&lt;0.000001,1,0)</x:f>
        <x:v>1</x:v>
      </x:c>
      <x:c r="F435" s="75" t="n">
        <x:v>1</x:v>
      </x:c>
      <x:c r="G435" s="24" t="str">
        <x:f>IF(E435=F435,"PASS","FAIL")</x:f>
        <x:v>PASS</x:v>
      </x:c>
    </x:row>
    <x:row r="436">
      <x:c r="B436" s="22" t="str">
        <x:v>AC-0430</x:v>
      </x:c>
      <x:c r="C436" s="22" t="str">
        <x:v>regeneration</x:v>
      </x:c>
      <x:c r="D436" s="22" t="str">
        <x:v>row 16 post-regeneration identity</x:v>
      </x:c>
      <x:c r="E436" s="75" t="n">
        <x:f>IF(ABS(Regeneration!K16-(Regeneration!J16+Regeneration!I16))&lt;0.000001,1,0)</x:f>
        <x:v>1</x:v>
      </x:c>
      <x:c r="F436" s="75" t="n">
        <x:v>1</x:v>
      </x:c>
      <x:c r="G436" s="24" t="str">
        <x:f>IF(E436=F436,"PASS","FAIL")</x:f>
        <x:v>PASS</x:v>
      </x:c>
    </x:row>
    <x:row r="437">
      <x:c r="B437" s="22" t="str">
        <x:v>AC-0431</x:v>
      </x:c>
      <x:c r="C437" s="22" t="str">
        <x:v>regeneration</x:v>
      </x:c>
      <x:c r="D437" s="22" t="str">
        <x:v>row 16 floor restored</x:v>
      </x:c>
      <x:c r="E437" s="75" t="n">
        <x:f>IF(Regeneration!M16&gt;=1,1,0)</x:f>
        <x:v>1</x:v>
      </x:c>
      <x:c r="F437" s="75" t="n">
        <x:v>1</x:v>
      </x:c>
      <x:c r="G437" s="24" t="str">
        <x:f>IF(E437=F437,"PASS","FAIL")</x:f>
        <x:v>PASS</x:v>
      </x:c>
    </x:row>
    <x:row r="438">
      <x:c r="B438" s="22" t="str">
        <x:v>AC-0432</x:v>
      </x:c>
      <x:c r="C438" s="22" t="str">
        <x:v>regeneration</x:v>
      </x:c>
      <x:c r="D438" s="22" t="str">
        <x:v>row 16 deadline</x:v>
      </x:c>
      <x:c r="E438" s="75" t="n">
        <x:f>IF(Regeneration!N16&lt;=Regeneration!O16,1,0)</x:f>
        <x:v>1</x:v>
      </x:c>
      <x:c r="F438" s="75" t="n">
        <x:v>1</x:v>
      </x:c>
      <x:c r="G438" s="24" t="str">
        <x:f>IF(E438=F438,"PASS","FAIL")</x:f>
        <x:v>PASS</x:v>
      </x:c>
    </x:row>
    <x:row r="439">
      <x:c r="B439" s="22" t="str">
        <x:v>AC-0433</x:v>
      </x:c>
      <x:c r="C439" s="22" t="str">
        <x:v>regeneration</x:v>
      </x:c>
      <x:c r="D439" s="22" t="str">
        <x:v>row 17 pre-regeneration identity</x:v>
      </x:c>
      <x:c r="E439" s="75" t="n">
        <x:f>IF(ABS(Regeneration!J17-(Regeneration!E17-Regeneration!G17+Regeneration!H17))&lt;0.000001,1,0)</x:f>
        <x:v>1</x:v>
      </x:c>
      <x:c r="F439" s="75" t="n">
        <x:v>1</x:v>
      </x:c>
      <x:c r="G439" s="24" t="str">
        <x:f>IF(E439=F439,"PASS","FAIL")</x:f>
        <x:v>PASS</x:v>
      </x:c>
    </x:row>
    <x:row r="440">
      <x:c r="B440" s="22" t="str">
        <x:v>AC-0434</x:v>
      </x:c>
      <x:c r="C440" s="22" t="str">
        <x:v>regeneration</x:v>
      </x:c>
      <x:c r="D440" s="22" t="str">
        <x:v>row 17 post-regeneration identity</x:v>
      </x:c>
      <x:c r="E440" s="75" t="n">
        <x:f>IF(ABS(Regeneration!K17-(Regeneration!J17+Regeneration!I17))&lt;0.000001,1,0)</x:f>
        <x:v>1</x:v>
      </x:c>
      <x:c r="F440" s="75" t="n">
        <x:v>1</x:v>
      </x:c>
      <x:c r="G440" s="24" t="str">
        <x:f>IF(E440=F440,"PASS","FAIL")</x:f>
        <x:v>PASS</x:v>
      </x:c>
    </x:row>
    <x:row r="441">
      <x:c r="B441" s="22" t="str">
        <x:v>AC-0435</x:v>
      </x:c>
      <x:c r="C441" s="22" t="str">
        <x:v>regeneration</x:v>
      </x:c>
      <x:c r="D441" s="22" t="str">
        <x:v>row 17 floor restored</x:v>
      </x:c>
      <x:c r="E441" s="75" t="n">
        <x:f>IF(Regeneration!M17&gt;=1,1,0)</x:f>
        <x:v>1</x:v>
      </x:c>
      <x:c r="F441" s="75" t="n">
        <x:v>1</x:v>
      </x:c>
      <x:c r="G441" s="24" t="str">
        <x:f>IF(E441=F441,"PASS","FAIL")</x:f>
        <x:v>PASS</x:v>
      </x:c>
    </x:row>
    <x:row r="442">
      <x:c r="B442" s="22" t="str">
        <x:v>AC-0436</x:v>
      </x:c>
      <x:c r="C442" s="22" t="str">
        <x:v>regeneration</x:v>
      </x:c>
      <x:c r="D442" s="22" t="str">
        <x:v>row 17 deadline</x:v>
      </x:c>
      <x:c r="E442" s="75" t="n">
        <x:f>IF(Regeneration!N17&lt;=Regeneration!O17,1,0)</x:f>
        <x:v>1</x:v>
      </x:c>
      <x:c r="F442" s="75" t="n">
        <x:v>1</x:v>
      </x:c>
      <x:c r="G442" s="24" t="str">
        <x:f>IF(E442=F442,"PASS","FAIL")</x:f>
        <x:v>PASS</x:v>
      </x:c>
    </x:row>
    <x:row r="443">
      <x:c r="B443" s="22" t="str">
        <x:v>AC-0437</x:v>
      </x:c>
      <x:c r="C443" s="22" t="str">
        <x:v>regeneration</x:v>
      </x:c>
      <x:c r="D443" s="22" t="str">
        <x:v>row 18 pre-regeneration identity</x:v>
      </x:c>
      <x:c r="E443" s="75" t="n">
        <x:f>IF(ABS(Regeneration!J18-(Regeneration!E18-Regeneration!G18+Regeneration!H18))&lt;0.000001,1,0)</x:f>
        <x:v>1</x:v>
      </x:c>
      <x:c r="F443" s="75" t="n">
        <x:v>1</x:v>
      </x:c>
      <x:c r="G443" s="24" t="str">
        <x:f>IF(E443=F443,"PASS","FAIL")</x:f>
        <x:v>PASS</x:v>
      </x:c>
    </x:row>
    <x:row r="444">
      <x:c r="B444" s="22" t="str">
        <x:v>AC-0438</x:v>
      </x:c>
      <x:c r="C444" s="22" t="str">
        <x:v>regeneration</x:v>
      </x:c>
      <x:c r="D444" s="22" t="str">
        <x:v>row 18 post-regeneration identity</x:v>
      </x:c>
      <x:c r="E444" s="75" t="n">
        <x:f>IF(ABS(Regeneration!K18-(Regeneration!J18+Regeneration!I18))&lt;0.000001,1,0)</x:f>
        <x:v>1</x:v>
      </x:c>
      <x:c r="F444" s="75" t="n">
        <x:v>1</x:v>
      </x:c>
      <x:c r="G444" s="24" t="str">
        <x:f>IF(E444=F444,"PASS","FAIL")</x:f>
        <x:v>PASS</x:v>
      </x:c>
    </x:row>
    <x:row r="445">
      <x:c r="B445" s="22" t="str">
        <x:v>AC-0439</x:v>
      </x:c>
      <x:c r="C445" s="22" t="str">
        <x:v>regeneration</x:v>
      </x:c>
      <x:c r="D445" s="22" t="str">
        <x:v>row 18 floor restored</x:v>
      </x:c>
      <x:c r="E445" s="75" t="n">
        <x:f>IF(Regeneration!M18&gt;=1,1,0)</x:f>
        <x:v>1</x:v>
      </x:c>
      <x:c r="F445" s="75" t="n">
        <x:v>1</x:v>
      </x:c>
      <x:c r="G445" s="24" t="str">
        <x:f>IF(E445=F445,"PASS","FAIL")</x:f>
        <x:v>PASS</x:v>
      </x:c>
    </x:row>
    <x:row r="446">
      <x:c r="B446" s="22" t="str">
        <x:v>AC-0440</x:v>
      </x:c>
      <x:c r="C446" s="22" t="str">
        <x:v>regeneration</x:v>
      </x:c>
      <x:c r="D446" s="22" t="str">
        <x:v>row 18 deadline</x:v>
      </x:c>
      <x:c r="E446" s="75" t="n">
        <x:f>IF(Regeneration!N18&lt;=Regeneration!O18,1,0)</x:f>
        <x:v>1</x:v>
      </x:c>
      <x:c r="F446" s="75" t="n">
        <x:v>1</x:v>
      </x:c>
      <x:c r="G446" s="24" t="str">
        <x:f>IF(E446=F446,"PASS","FAIL")</x:f>
        <x:v>PASS</x:v>
      </x:c>
    </x:row>
    <x:row r="447">
      <x:c r="B447" s="22" t="str">
        <x:v>AC-0441</x:v>
      </x:c>
      <x:c r="C447" s="22" t="str">
        <x:v>regeneration</x:v>
      </x:c>
      <x:c r="D447" s="22" t="str">
        <x:v>row 19 pre-regeneration identity</x:v>
      </x:c>
      <x:c r="E447" s="75" t="n">
        <x:f>IF(ABS(Regeneration!J19-(Regeneration!E19-Regeneration!G19+Regeneration!H19))&lt;0.000001,1,0)</x:f>
        <x:v>1</x:v>
      </x:c>
      <x:c r="F447" s="75" t="n">
        <x:v>1</x:v>
      </x:c>
      <x:c r="G447" s="24" t="str">
        <x:f>IF(E447=F447,"PASS","FAIL")</x:f>
        <x:v>PASS</x:v>
      </x:c>
    </x:row>
    <x:row r="448">
      <x:c r="B448" s="22" t="str">
        <x:v>AC-0442</x:v>
      </x:c>
      <x:c r="C448" s="22" t="str">
        <x:v>regeneration</x:v>
      </x:c>
      <x:c r="D448" s="22" t="str">
        <x:v>row 19 post-regeneration identity</x:v>
      </x:c>
      <x:c r="E448" s="75" t="n">
        <x:f>IF(ABS(Regeneration!K19-(Regeneration!J19+Regeneration!I19))&lt;0.000001,1,0)</x:f>
        <x:v>1</x:v>
      </x:c>
      <x:c r="F448" s="75" t="n">
        <x:v>1</x:v>
      </x:c>
      <x:c r="G448" s="24" t="str">
        <x:f>IF(E448=F448,"PASS","FAIL")</x:f>
        <x:v>PASS</x:v>
      </x:c>
    </x:row>
    <x:row r="449">
      <x:c r="B449" s="22" t="str">
        <x:v>AC-0443</x:v>
      </x:c>
      <x:c r="C449" s="22" t="str">
        <x:v>regeneration</x:v>
      </x:c>
      <x:c r="D449" s="22" t="str">
        <x:v>row 19 floor restored</x:v>
      </x:c>
      <x:c r="E449" s="75" t="n">
        <x:f>IF(Regeneration!M19&gt;=1,1,0)</x:f>
        <x:v>1</x:v>
      </x:c>
      <x:c r="F449" s="75" t="n">
        <x:v>1</x:v>
      </x:c>
      <x:c r="G449" s="24" t="str">
        <x:f>IF(E449=F449,"PASS","FAIL")</x:f>
        <x:v>PASS</x:v>
      </x:c>
    </x:row>
    <x:row r="450">
      <x:c r="B450" s="22" t="str">
        <x:v>AC-0444</x:v>
      </x:c>
      <x:c r="C450" s="22" t="str">
        <x:v>regeneration</x:v>
      </x:c>
      <x:c r="D450" s="22" t="str">
        <x:v>row 19 deadline</x:v>
      </x:c>
      <x:c r="E450" s="75" t="n">
        <x:f>IF(Regeneration!N19&lt;=Regeneration!O19,1,0)</x:f>
        <x:v>1</x:v>
      </x:c>
      <x:c r="F450" s="75" t="n">
        <x:v>1</x:v>
      </x:c>
      <x:c r="G450" s="24" t="str">
        <x:f>IF(E450=F450,"PASS","FAIL")</x:f>
        <x:v>PASS</x:v>
      </x:c>
    </x:row>
    <x:row r="451">
      <x:c r="B451" s="22" t="str">
        <x:v>AC-0445</x:v>
      </x:c>
      <x:c r="C451" s="22" t="str">
        <x:v>regeneration</x:v>
      </x:c>
      <x:c r="D451" s="22" t="str">
        <x:v>row 20 pre-regeneration identity</x:v>
      </x:c>
      <x:c r="E451" s="75" t="n">
        <x:f>IF(ABS(Regeneration!J20-(Regeneration!E20-Regeneration!G20+Regeneration!H20))&lt;0.000001,1,0)</x:f>
        <x:v>1</x:v>
      </x:c>
      <x:c r="F451" s="75" t="n">
        <x:v>1</x:v>
      </x:c>
      <x:c r="G451" s="24" t="str">
        <x:f>IF(E451=F451,"PASS","FAIL")</x:f>
        <x:v>PASS</x:v>
      </x:c>
    </x:row>
    <x:row r="452">
      <x:c r="B452" s="22" t="str">
        <x:v>AC-0446</x:v>
      </x:c>
      <x:c r="C452" s="22" t="str">
        <x:v>regeneration</x:v>
      </x:c>
      <x:c r="D452" s="22" t="str">
        <x:v>row 20 post-regeneration identity</x:v>
      </x:c>
      <x:c r="E452" s="75" t="n">
        <x:f>IF(ABS(Regeneration!K20-(Regeneration!J20+Regeneration!I20))&lt;0.000001,1,0)</x:f>
        <x:v>1</x:v>
      </x:c>
      <x:c r="F452" s="75" t="n">
        <x:v>1</x:v>
      </x:c>
      <x:c r="G452" s="24" t="str">
        <x:f>IF(E452=F452,"PASS","FAIL")</x:f>
        <x:v>PASS</x:v>
      </x:c>
    </x:row>
    <x:row r="453">
      <x:c r="B453" s="22" t="str">
        <x:v>AC-0447</x:v>
      </x:c>
      <x:c r="C453" s="22" t="str">
        <x:v>regeneration</x:v>
      </x:c>
      <x:c r="D453" s="22" t="str">
        <x:v>row 20 floor restored</x:v>
      </x:c>
      <x:c r="E453" s="75" t="n">
        <x:f>IF(Regeneration!M20&gt;=1,1,0)</x:f>
        <x:v>1</x:v>
      </x:c>
      <x:c r="F453" s="75" t="n">
        <x:v>1</x:v>
      </x:c>
      <x:c r="G453" s="24" t="str">
        <x:f>IF(E453=F453,"PASS","FAIL")</x:f>
        <x:v>PASS</x:v>
      </x:c>
    </x:row>
    <x:row r="454">
      <x:c r="B454" s="22" t="str">
        <x:v>AC-0448</x:v>
      </x:c>
      <x:c r="C454" s="22" t="str">
        <x:v>regeneration</x:v>
      </x:c>
      <x:c r="D454" s="22" t="str">
        <x:v>row 20 deadline</x:v>
      </x:c>
      <x:c r="E454" s="75" t="n">
        <x:f>IF(Regeneration!N20&lt;=Regeneration!O20,1,0)</x:f>
        <x:v>1</x:v>
      </x:c>
      <x:c r="F454" s="75" t="n">
        <x:v>1</x:v>
      </x:c>
      <x:c r="G454" s="24" t="str">
        <x:f>IF(E454=F454,"PASS","FAIL")</x:f>
        <x:v>PASS</x:v>
      </x:c>
    </x:row>
    <x:row r="455">
      <x:c r="B455" s="22" t="str">
        <x:v>AC-0449</x:v>
      </x:c>
      <x:c r="C455" s="22" t="str">
        <x:v>regeneration</x:v>
      </x:c>
      <x:c r="D455" s="22" t="str">
        <x:v>row 21 pre-regeneration identity</x:v>
      </x:c>
      <x:c r="E455" s="75" t="n">
        <x:f>IF(ABS(Regeneration!J21-(Regeneration!E21-Regeneration!G21+Regeneration!H21))&lt;0.000001,1,0)</x:f>
        <x:v>1</x:v>
      </x:c>
      <x:c r="F455" s="75" t="n">
        <x:v>1</x:v>
      </x:c>
      <x:c r="G455" s="24" t="str">
        <x:f>IF(E455=F455,"PASS","FAIL")</x:f>
        <x:v>PASS</x:v>
      </x:c>
    </x:row>
    <x:row r="456">
      <x:c r="B456" s="22" t="str">
        <x:v>AC-0450</x:v>
      </x:c>
      <x:c r="C456" s="22" t="str">
        <x:v>regeneration</x:v>
      </x:c>
      <x:c r="D456" s="22" t="str">
        <x:v>row 21 post-regeneration identity</x:v>
      </x:c>
      <x:c r="E456" s="75" t="n">
        <x:f>IF(ABS(Regeneration!K21-(Regeneration!J21+Regeneration!I21))&lt;0.000001,1,0)</x:f>
        <x:v>1</x:v>
      </x:c>
      <x:c r="F456" s="75" t="n">
        <x:v>1</x:v>
      </x:c>
      <x:c r="G456" s="24" t="str">
        <x:f>IF(E456=F456,"PASS","FAIL")</x:f>
        <x:v>PASS</x:v>
      </x:c>
    </x:row>
    <x:row r="457">
      <x:c r="B457" s="22" t="str">
        <x:v>AC-0451</x:v>
      </x:c>
      <x:c r="C457" s="22" t="str">
        <x:v>regeneration</x:v>
      </x:c>
      <x:c r="D457" s="22" t="str">
        <x:v>row 21 floor restored</x:v>
      </x:c>
      <x:c r="E457" s="75" t="n">
        <x:f>IF(Regeneration!M21&gt;=1,1,0)</x:f>
        <x:v>1</x:v>
      </x:c>
      <x:c r="F457" s="75" t="n">
        <x:v>1</x:v>
      </x:c>
      <x:c r="G457" s="24" t="str">
        <x:f>IF(E457=F457,"PASS","FAIL")</x:f>
        <x:v>PASS</x:v>
      </x:c>
    </x:row>
    <x:row r="458">
      <x:c r="B458" s="22" t="str">
        <x:v>AC-0452</x:v>
      </x:c>
      <x:c r="C458" s="22" t="str">
        <x:v>regeneration</x:v>
      </x:c>
      <x:c r="D458" s="22" t="str">
        <x:v>row 21 deadline</x:v>
      </x:c>
      <x:c r="E458" s="75" t="n">
        <x:f>IF(Regeneration!N21&lt;=Regeneration!O21,1,0)</x:f>
        <x:v>1</x:v>
      </x:c>
      <x:c r="F458" s="75" t="n">
        <x:v>1</x:v>
      </x:c>
      <x:c r="G458" s="24" t="str">
        <x:f>IF(E458=F458,"PASS","FAIL")</x:f>
        <x:v>PASS</x:v>
      </x:c>
    </x:row>
    <x:row r="459">
      <x:c r="B459" s="22" t="str">
        <x:v>AC-0453</x:v>
      </x:c>
      <x:c r="C459" s="22" t="str">
        <x:v>regeneration</x:v>
      </x:c>
      <x:c r="D459" s="22" t="str">
        <x:v>row 22 pre-regeneration identity</x:v>
      </x:c>
      <x:c r="E459" s="75" t="n">
        <x:f>IF(ABS(Regeneration!J22-(Regeneration!E22-Regeneration!G22+Regeneration!H22))&lt;0.000001,1,0)</x:f>
        <x:v>1</x:v>
      </x:c>
      <x:c r="F459" s="75" t="n">
        <x:v>1</x:v>
      </x:c>
      <x:c r="G459" s="24" t="str">
        <x:f>IF(E459=F459,"PASS","FAIL")</x:f>
        <x:v>PASS</x:v>
      </x:c>
    </x:row>
    <x:row r="460">
      <x:c r="B460" s="22" t="str">
        <x:v>AC-0454</x:v>
      </x:c>
      <x:c r="C460" s="22" t="str">
        <x:v>regeneration</x:v>
      </x:c>
      <x:c r="D460" s="22" t="str">
        <x:v>row 22 post-regeneration identity</x:v>
      </x:c>
      <x:c r="E460" s="75" t="n">
        <x:f>IF(ABS(Regeneration!K22-(Regeneration!J22+Regeneration!I22))&lt;0.000001,1,0)</x:f>
        <x:v>1</x:v>
      </x:c>
      <x:c r="F460" s="75" t="n">
        <x:v>1</x:v>
      </x:c>
      <x:c r="G460" s="24" t="str">
        <x:f>IF(E460=F460,"PASS","FAIL")</x:f>
        <x:v>PASS</x:v>
      </x:c>
    </x:row>
    <x:row r="461">
      <x:c r="B461" s="22" t="str">
        <x:v>AC-0455</x:v>
      </x:c>
      <x:c r="C461" s="22" t="str">
        <x:v>regeneration</x:v>
      </x:c>
      <x:c r="D461" s="22" t="str">
        <x:v>row 22 floor restored</x:v>
      </x:c>
      <x:c r="E461" s="75" t="n">
        <x:f>IF(Regeneration!M22&gt;=1,1,0)</x:f>
        <x:v>1</x:v>
      </x:c>
      <x:c r="F461" s="75" t="n">
        <x:v>1</x:v>
      </x:c>
      <x:c r="G461" s="24" t="str">
        <x:f>IF(E461=F461,"PASS","FAIL")</x:f>
        <x:v>PASS</x:v>
      </x:c>
    </x:row>
    <x:row r="462">
      <x:c r="B462" s="22" t="str">
        <x:v>AC-0456</x:v>
      </x:c>
      <x:c r="C462" s="22" t="str">
        <x:v>regeneration</x:v>
      </x:c>
      <x:c r="D462" s="22" t="str">
        <x:v>row 22 deadline</x:v>
      </x:c>
      <x:c r="E462" s="75" t="n">
        <x:f>IF(Regeneration!N22&lt;=Regeneration!O22,1,0)</x:f>
        <x:v>1</x:v>
      </x:c>
      <x:c r="F462" s="75" t="n">
        <x:v>1</x:v>
      </x:c>
      <x:c r="G462" s="24" t="str">
        <x:f>IF(E462=F462,"PASS","FAIL")</x:f>
        <x:v>PASS</x:v>
      </x:c>
    </x:row>
    <x:row r="463">
      <x:c r="B463" s="22" t="str">
        <x:v>AC-0457</x:v>
      </x:c>
      <x:c r="C463" s="22" t="str">
        <x:v>regeneration</x:v>
      </x:c>
      <x:c r="D463" s="22" t="str">
        <x:v>row 23 pre-regeneration identity</x:v>
      </x:c>
      <x:c r="E463" s="75" t="n">
        <x:f>IF(ABS(Regeneration!J23-(Regeneration!E23-Regeneration!G23+Regeneration!H23))&lt;0.000001,1,0)</x:f>
        <x:v>1</x:v>
      </x:c>
      <x:c r="F463" s="75" t="n">
        <x:v>1</x:v>
      </x:c>
      <x:c r="G463" s="24" t="str">
        <x:f>IF(E463=F463,"PASS","FAIL")</x:f>
        <x:v>PASS</x:v>
      </x:c>
    </x:row>
    <x:row r="464">
      <x:c r="B464" s="22" t="str">
        <x:v>AC-0458</x:v>
      </x:c>
      <x:c r="C464" s="22" t="str">
        <x:v>regeneration</x:v>
      </x:c>
      <x:c r="D464" s="22" t="str">
        <x:v>row 23 post-regeneration identity</x:v>
      </x:c>
      <x:c r="E464" s="75" t="n">
        <x:f>IF(ABS(Regeneration!K23-(Regeneration!J23+Regeneration!I23))&lt;0.000001,1,0)</x:f>
        <x:v>1</x:v>
      </x:c>
      <x:c r="F464" s="75" t="n">
        <x:v>1</x:v>
      </x:c>
      <x:c r="G464" s="24" t="str">
        <x:f>IF(E464=F464,"PASS","FAIL")</x:f>
        <x:v>PASS</x:v>
      </x:c>
    </x:row>
    <x:row r="465">
      <x:c r="B465" s="22" t="str">
        <x:v>AC-0459</x:v>
      </x:c>
      <x:c r="C465" s="22" t="str">
        <x:v>regeneration</x:v>
      </x:c>
      <x:c r="D465" s="22" t="str">
        <x:v>row 23 floor restored</x:v>
      </x:c>
      <x:c r="E465" s="75" t="n">
        <x:f>IF(Regeneration!M23&gt;=1,1,0)</x:f>
        <x:v>1</x:v>
      </x:c>
      <x:c r="F465" s="75" t="n">
        <x:v>1</x:v>
      </x:c>
      <x:c r="G465" s="24" t="str">
        <x:f>IF(E465=F465,"PASS","FAIL")</x:f>
        <x:v>PASS</x:v>
      </x:c>
    </x:row>
    <x:row r="466">
      <x:c r="B466" s="22" t="str">
        <x:v>AC-0460</x:v>
      </x:c>
      <x:c r="C466" s="22" t="str">
        <x:v>regeneration</x:v>
      </x:c>
      <x:c r="D466" s="22" t="str">
        <x:v>row 23 deadline</x:v>
      </x:c>
      <x:c r="E466" s="75" t="n">
        <x:f>IF(Regeneration!N23&lt;=Regeneration!O23,1,0)</x:f>
        <x:v>1</x:v>
      </x:c>
      <x:c r="F466" s="75" t="n">
        <x:v>1</x:v>
      </x:c>
      <x:c r="G466" s="24" t="str">
        <x:f>IF(E466=F466,"PASS","FAIL")</x:f>
        <x:v>PASS</x:v>
      </x:c>
    </x:row>
    <x:row r="467">
      <x:c r="B467" s="22" t="str">
        <x:v>AC-0461</x:v>
      </x:c>
      <x:c r="C467" s="22" t="str">
        <x:v>regeneration</x:v>
      </x:c>
      <x:c r="D467" s="22" t="str">
        <x:v>row 24 pre-regeneration identity</x:v>
      </x:c>
      <x:c r="E467" s="75" t="n">
        <x:f>IF(ABS(Regeneration!J24-(Regeneration!E24-Regeneration!G24+Regeneration!H24))&lt;0.000001,1,0)</x:f>
        <x:v>1</x:v>
      </x:c>
      <x:c r="F467" s="75" t="n">
        <x:v>1</x:v>
      </x:c>
      <x:c r="G467" s="24" t="str">
        <x:f>IF(E467=F467,"PASS","FAIL")</x:f>
        <x:v>PASS</x:v>
      </x:c>
    </x:row>
    <x:row r="468">
      <x:c r="B468" s="22" t="str">
        <x:v>AC-0462</x:v>
      </x:c>
      <x:c r="C468" s="22" t="str">
        <x:v>regeneration</x:v>
      </x:c>
      <x:c r="D468" s="22" t="str">
        <x:v>row 24 post-regeneration identity</x:v>
      </x:c>
      <x:c r="E468" s="75" t="n">
        <x:f>IF(ABS(Regeneration!K24-(Regeneration!J24+Regeneration!I24))&lt;0.000001,1,0)</x:f>
        <x:v>1</x:v>
      </x:c>
      <x:c r="F468" s="75" t="n">
        <x:v>1</x:v>
      </x:c>
      <x:c r="G468" s="24" t="str">
        <x:f>IF(E468=F468,"PASS","FAIL")</x:f>
        <x:v>PASS</x:v>
      </x:c>
    </x:row>
    <x:row r="469">
      <x:c r="B469" s="22" t="str">
        <x:v>AC-0463</x:v>
      </x:c>
      <x:c r="C469" s="22" t="str">
        <x:v>regeneration</x:v>
      </x:c>
      <x:c r="D469" s="22" t="str">
        <x:v>row 24 floor restored</x:v>
      </x:c>
      <x:c r="E469" s="75" t="n">
        <x:f>IF(Regeneration!M24&gt;=1,1,0)</x:f>
        <x:v>1</x:v>
      </x:c>
      <x:c r="F469" s="75" t="n">
        <x:v>1</x:v>
      </x:c>
      <x:c r="G469" s="24" t="str">
        <x:f>IF(E469=F469,"PASS","FAIL")</x:f>
        <x:v>PASS</x:v>
      </x:c>
    </x:row>
    <x:row r="470">
      <x:c r="B470" s="22" t="str">
        <x:v>AC-0464</x:v>
      </x:c>
      <x:c r="C470" s="22" t="str">
        <x:v>regeneration</x:v>
      </x:c>
      <x:c r="D470" s="22" t="str">
        <x:v>row 24 deadline</x:v>
      </x:c>
      <x:c r="E470" s="75" t="n">
        <x:f>IF(Regeneration!N24&lt;=Regeneration!O24,1,0)</x:f>
        <x:v>1</x:v>
      </x:c>
      <x:c r="F470" s="75" t="n">
        <x:v>1</x:v>
      </x:c>
      <x:c r="G470" s="24" t="str">
        <x:f>IF(E470=F470,"PASS","FAIL")</x:f>
        <x:v>PASS</x:v>
      </x:c>
    </x:row>
    <x:row r="471">
      <x:c r="B471" s="22" t="str">
        <x:v>AC-0465</x:v>
      </x:c>
      <x:c r="C471" s="22" t="str">
        <x:v>regeneration</x:v>
      </x:c>
      <x:c r="D471" s="22" t="str">
        <x:v>row 25 pre-regeneration identity</x:v>
      </x:c>
      <x:c r="E471" s="75" t="n">
        <x:f>IF(ABS(Regeneration!J25-(Regeneration!E25-Regeneration!G25+Regeneration!H25))&lt;0.000001,1,0)</x:f>
        <x:v>1</x:v>
      </x:c>
      <x:c r="F471" s="75" t="n">
        <x:v>1</x:v>
      </x:c>
      <x:c r="G471" s="24" t="str">
        <x:f>IF(E471=F471,"PASS","FAIL")</x:f>
        <x:v>PASS</x:v>
      </x:c>
    </x:row>
    <x:row r="472">
      <x:c r="B472" s="22" t="str">
        <x:v>AC-0466</x:v>
      </x:c>
      <x:c r="C472" s="22" t="str">
        <x:v>regeneration</x:v>
      </x:c>
      <x:c r="D472" s="22" t="str">
        <x:v>row 25 post-regeneration identity</x:v>
      </x:c>
      <x:c r="E472" s="75" t="n">
        <x:f>IF(ABS(Regeneration!K25-(Regeneration!J25+Regeneration!I25))&lt;0.000001,1,0)</x:f>
        <x:v>1</x:v>
      </x:c>
      <x:c r="F472" s="75" t="n">
        <x:v>1</x:v>
      </x:c>
      <x:c r="G472" s="24" t="str">
        <x:f>IF(E472=F472,"PASS","FAIL")</x:f>
        <x:v>PASS</x:v>
      </x:c>
    </x:row>
    <x:row r="473">
      <x:c r="B473" s="22" t="str">
        <x:v>AC-0467</x:v>
      </x:c>
      <x:c r="C473" s="22" t="str">
        <x:v>regeneration</x:v>
      </x:c>
      <x:c r="D473" s="22" t="str">
        <x:v>row 25 floor restored</x:v>
      </x:c>
      <x:c r="E473" s="75" t="n">
        <x:f>IF(Regeneration!M25&gt;=1,1,0)</x:f>
        <x:v>1</x:v>
      </x:c>
      <x:c r="F473" s="75" t="n">
        <x:v>1</x:v>
      </x:c>
      <x:c r="G473" s="24" t="str">
        <x:f>IF(E473=F473,"PASS","FAIL")</x:f>
        <x:v>PASS</x:v>
      </x:c>
    </x:row>
    <x:row r="474">
      <x:c r="B474" s="22" t="str">
        <x:v>AC-0468</x:v>
      </x:c>
      <x:c r="C474" s="22" t="str">
        <x:v>regeneration</x:v>
      </x:c>
      <x:c r="D474" s="22" t="str">
        <x:v>row 25 deadline</x:v>
      </x:c>
      <x:c r="E474" s="75" t="n">
        <x:f>IF(Regeneration!N25&lt;=Regeneration!O25,1,0)</x:f>
        <x:v>1</x:v>
      </x:c>
      <x:c r="F474" s="75" t="n">
        <x:v>1</x:v>
      </x:c>
      <x:c r="G474" s="24" t="str">
        <x:f>IF(E474=F474,"PASS","FAIL")</x:f>
        <x:v>PASS</x:v>
      </x:c>
    </x:row>
    <x:row r="475">
      <x:c r="B475" s="22" t="str">
        <x:v>AC-0469</x:v>
      </x:c>
      <x:c r="C475" s="22" t="str">
        <x:v>regeneration</x:v>
      </x:c>
      <x:c r="D475" s="22" t="str">
        <x:v>row 26 pre-regeneration identity</x:v>
      </x:c>
      <x:c r="E475" s="75" t="n">
        <x:f>IF(ABS(Regeneration!J26-(Regeneration!E26-Regeneration!G26+Regeneration!H26))&lt;0.000001,1,0)</x:f>
        <x:v>1</x:v>
      </x:c>
      <x:c r="F475" s="75" t="n">
        <x:v>1</x:v>
      </x:c>
      <x:c r="G475" s="24" t="str">
        <x:f>IF(E475=F475,"PASS","FAIL")</x:f>
        <x:v>PASS</x:v>
      </x:c>
    </x:row>
    <x:row r="476">
      <x:c r="B476" s="22" t="str">
        <x:v>AC-0470</x:v>
      </x:c>
      <x:c r="C476" s="22" t="str">
        <x:v>regeneration</x:v>
      </x:c>
      <x:c r="D476" s="22" t="str">
        <x:v>row 26 post-regeneration identity</x:v>
      </x:c>
      <x:c r="E476" s="75" t="n">
        <x:f>IF(ABS(Regeneration!K26-(Regeneration!J26+Regeneration!I26))&lt;0.000001,1,0)</x:f>
        <x:v>1</x:v>
      </x:c>
      <x:c r="F476" s="75" t="n">
        <x:v>1</x:v>
      </x:c>
      <x:c r="G476" s="24" t="str">
        <x:f>IF(E476=F476,"PASS","FAIL")</x:f>
        <x:v>PASS</x:v>
      </x:c>
    </x:row>
    <x:row r="477">
      <x:c r="B477" s="22" t="str">
        <x:v>AC-0471</x:v>
      </x:c>
      <x:c r="C477" s="22" t="str">
        <x:v>regeneration</x:v>
      </x:c>
      <x:c r="D477" s="22" t="str">
        <x:v>row 26 floor restored</x:v>
      </x:c>
      <x:c r="E477" s="75" t="n">
        <x:f>IF(Regeneration!M26&gt;=1,1,0)</x:f>
        <x:v>1</x:v>
      </x:c>
      <x:c r="F477" s="75" t="n">
        <x:v>1</x:v>
      </x:c>
      <x:c r="G477" s="24" t="str">
        <x:f>IF(E477=F477,"PASS","FAIL")</x:f>
        <x:v>PASS</x:v>
      </x:c>
    </x:row>
    <x:row r="478">
      <x:c r="B478" s="22" t="str">
        <x:v>AC-0472</x:v>
      </x:c>
      <x:c r="C478" s="22" t="str">
        <x:v>regeneration</x:v>
      </x:c>
      <x:c r="D478" s="22" t="str">
        <x:v>row 26 deadline</x:v>
      </x:c>
      <x:c r="E478" s="75" t="n">
        <x:f>IF(Regeneration!N26&lt;=Regeneration!O26,1,0)</x:f>
        <x:v>1</x:v>
      </x:c>
      <x:c r="F478" s="75" t="n">
        <x:v>1</x:v>
      </x:c>
      <x:c r="G478" s="24" t="str">
        <x:f>IF(E478=F478,"PASS","FAIL")</x:f>
        <x:v>PASS</x:v>
      </x:c>
    </x:row>
    <x:row r="479">
      <x:c r="B479" s="22" t="str">
        <x:v>AC-0473</x:v>
      </x:c>
      <x:c r="C479" s="22" t="str">
        <x:v>regeneration</x:v>
      </x:c>
      <x:c r="D479" s="22" t="str">
        <x:v>row 27 pre-regeneration identity</x:v>
      </x:c>
      <x:c r="E479" s="75" t="n">
        <x:f>IF(ABS(Regeneration!J27-(Regeneration!E27-Regeneration!G27+Regeneration!H27))&lt;0.000001,1,0)</x:f>
        <x:v>1</x:v>
      </x:c>
      <x:c r="F479" s="75" t="n">
        <x:v>1</x:v>
      </x:c>
      <x:c r="G479" s="24" t="str">
        <x:f>IF(E479=F479,"PASS","FAIL")</x:f>
        <x:v>PASS</x:v>
      </x:c>
    </x:row>
    <x:row r="480">
      <x:c r="B480" s="22" t="str">
        <x:v>AC-0474</x:v>
      </x:c>
      <x:c r="C480" s="22" t="str">
        <x:v>regeneration</x:v>
      </x:c>
      <x:c r="D480" s="22" t="str">
        <x:v>row 27 post-regeneration identity</x:v>
      </x:c>
      <x:c r="E480" s="75" t="n">
        <x:f>IF(ABS(Regeneration!K27-(Regeneration!J27+Regeneration!I27))&lt;0.000001,1,0)</x:f>
        <x:v>1</x:v>
      </x:c>
      <x:c r="F480" s="75" t="n">
        <x:v>1</x:v>
      </x:c>
      <x:c r="G480" s="24" t="str">
        <x:f>IF(E480=F480,"PASS","FAIL")</x:f>
        <x:v>PASS</x:v>
      </x:c>
    </x:row>
    <x:row r="481">
      <x:c r="B481" s="22" t="str">
        <x:v>AC-0475</x:v>
      </x:c>
      <x:c r="C481" s="22" t="str">
        <x:v>regeneration</x:v>
      </x:c>
      <x:c r="D481" s="22" t="str">
        <x:v>row 27 floor restored</x:v>
      </x:c>
      <x:c r="E481" s="75" t="n">
        <x:f>IF(Regeneration!M27&gt;=1,1,0)</x:f>
        <x:v>1</x:v>
      </x:c>
      <x:c r="F481" s="75" t="n">
        <x:v>1</x:v>
      </x:c>
      <x:c r="G481" s="24" t="str">
        <x:f>IF(E481=F481,"PASS","FAIL")</x:f>
        <x:v>PASS</x:v>
      </x:c>
    </x:row>
    <x:row r="482">
      <x:c r="B482" s="22" t="str">
        <x:v>AC-0476</x:v>
      </x:c>
      <x:c r="C482" s="22" t="str">
        <x:v>regeneration</x:v>
      </x:c>
      <x:c r="D482" s="22" t="str">
        <x:v>row 27 deadline</x:v>
      </x:c>
      <x:c r="E482" s="75" t="n">
        <x:f>IF(Regeneration!N27&lt;=Regeneration!O27,1,0)</x:f>
        <x:v>1</x:v>
      </x:c>
      <x:c r="F482" s="75" t="n">
        <x:v>1</x:v>
      </x:c>
      <x:c r="G482" s="24" t="str">
        <x:f>IF(E482=F482,"PASS","FAIL")</x:f>
        <x:v>PASS</x:v>
      </x:c>
    </x:row>
    <x:row r="483">
      <x:c r="B483" s="22" t="str">
        <x:v>AC-0477</x:v>
      </x:c>
      <x:c r="C483" s="22" t="str">
        <x:v>regeneration</x:v>
      </x:c>
      <x:c r="D483" s="22" t="str">
        <x:v>row 28 pre-regeneration identity</x:v>
      </x:c>
      <x:c r="E483" s="75" t="n">
        <x:f>IF(ABS(Regeneration!J28-(Regeneration!E28-Regeneration!G28+Regeneration!H28))&lt;0.000001,1,0)</x:f>
        <x:v>1</x:v>
      </x:c>
      <x:c r="F483" s="75" t="n">
        <x:v>1</x:v>
      </x:c>
      <x:c r="G483" s="24" t="str">
        <x:f>IF(E483=F483,"PASS","FAIL")</x:f>
        <x:v>PASS</x:v>
      </x:c>
    </x:row>
    <x:row r="484">
      <x:c r="B484" s="22" t="str">
        <x:v>AC-0478</x:v>
      </x:c>
      <x:c r="C484" s="22" t="str">
        <x:v>regeneration</x:v>
      </x:c>
      <x:c r="D484" s="22" t="str">
        <x:v>row 28 post-regeneration identity</x:v>
      </x:c>
      <x:c r="E484" s="75" t="n">
        <x:f>IF(ABS(Regeneration!K28-(Regeneration!J28+Regeneration!I28))&lt;0.000001,1,0)</x:f>
        <x:v>1</x:v>
      </x:c>
      <x:c r="F484" s="75" t="n">
        <x:v>1</x:v>
      </x:c>
      <x:c r="G484" s="24" t="str">
        <x:f>IF(E484=F484,"PASS","FAIL")</x:f>
        <x:v>PASS</x:v>
      </x:c>
    </x:row>
    <x:row r="485">
      <x:c r="B485" s="22" t="str">
        <x:v>AC-0479</x:v>
      </x:c>
      <x:c r="C485" s="22" t="str">
        <x:v>regeneration</x:v>
      </x:c>
      <x:c r="D485" s="22" t="str">
        <x:v>row 28 floor restored</x:v>
      </x:c>
      <x:c r="E485" s="75" t="n">
        <x:f>IF(Regeneration!M28&gt;=1,1,0)</x:f>
        <x:v>1</x:v>
      </x:c>
      <x:c r="F485" s="75" t="n">
        <x:v>1</x:v>
      </x:c>
      <x:c r="G485" s="24" t="str">
        <x:f>IF(E485=F485,"PASS","FAIL")</x:f>
        <x:v>PASS</x:v>
      </x:c>
    </x:row>
    <x:row r="486">
      <x:c r="B486" s="22" t="str">
        <x:v>AC-0480</x:v>
      </x:c>
      <x:c r="C486" s="22" t="str">
        <x:v>regeneration</x:v>
      </x:c>
      <x:c r="D486" s="22" t="str">
        <x:v>row 28 deadline</x:v>
      </x:c>
      <x:c r="E486" s="75" t="n">
        <x:f>IF(Regeneration!N28&lt;=Regeneration!O28,1,0)</x:f>
        <x:v>1</x:v>
      </x:c>
      <x:c r="F486" s="75" t="n">
        <x:v>1</x:v>
      </x:c>
      <x:c r="G486" s="24" t="str">
        <x:f>IF(E486=F486,"PASS","FAIL")</x:f>
        <x:v>PASS</x:v>
      </x:c>
    </x:row>
    <x:row r="487">
      <x:c r="B487" s="22" t="str">
        <x:v>AC-0481</x:v>
      </x:c>
      <x:c r="C487" s="22" t="str">
        <x:v>regeneration</x:v>
      </x:c>
      <x:c r="D487" s="22" t="str">
        <x:v>row 29 pre-regeneration identity</x:v>
      </x:c>
      <x:c r="E487" s="75" t="n">
        <x:f>IF(ABS(Regeneration!J29-(Regeneration!E29-Regeneration!G29+Regeneration!H29))&lt;0.000001,1,0)</x:f>
        <x:v>1</x:v>
      </x:c>
      <x:c r="F487" s="75" t="n">
        <x:v>1</x:v>
      </x:c>
      <x:c r="G487" s="24" t="str">
        <x:f>IF(E487=F487,"PASS","FAIL")</x:f>
        <x:v>PASS</x:v>
      </x:c>
    </x:row>
    <x:row r="488">
      <x:c r="B488" s="22" t="str">
        <x:v>AC-0482</x:v>
      </x:c>
      <x:c r="C488" s="22" t="str">
        <x:v>regeneration</x:v>
      </x:c>
      <x:c r="D488" s="22" t="str">
        <x:v>row 29 post-regeneration identity</x:v>
      </x:c>
      <x:c r="E488" s="75" t="n">
        <x:f>IF(ABS(Regeneration!K29-(Regeneration!J29+Regeneration!I29))&lt;0.000001,1,0)</x:f>
        <x:v>1</x:v>
      </x:c>
      <x:c r="F488" s="75" t="n">
        <x:v>1</x:v>
      </x:c>
      <x:c r="G488" s="24" t="str">
        <x:f>IF(E488=F488,"PASS","FAIL")</x:f>
        <x:v>PASS</x:v>
      </x:c>
    </x:row>
    <x:row r="489">
      <x:c r="B489" s="22" t="str">
        <x:v>AC-0483</x:v>
      </x:c>
      <x:c r="C489" s="22" t="str">
        <x:v>regeneration</x:v>
      </x:c>
      <x:c r="D489" s="22" t="str">
        <x:v>row 29 floor restored</x:v>
      </x:c>
      <x:c r="E489" s="75" t="n">
        <x:f>IF(Regeneration!M29&gt;=1,1,0)</x:f>
        <x:v>1</x:v>
      </x:c>
      <x:c r="F489" s="75" t="n">
        <x:v>1</x:v>
      </x:c>
      <x:c r="G489" s="24" t="str">
        <x:f>IF(E489=F489,"PASS","FAIL")</x:f>
        <x:v>PASS</x:v>
      </x:c>
    </x:row>
    <x:row r="490">
      <x:c r="B490" s="22" t="str">
        <x:v>AC-0484</x:v>
      </x:c>
      <x:c r="C490" s="22" t="str">
        <x:v>regeneration</x:v>
      </x:c>
      <x:c r="D490" s="22" t="str">
        <x:v>row 29 deadline</x:v>
      </x:c>
      <x:c r="E490" s="75" t="n">
        <x:f>IF(Regeneration!N29&lt;=Regeneration!O29,1,0)</x:f>
        <x:v>1</x:v>
      </x:c>
      <x:c r="F490" s="75" t="n">
        <x:v>1</x:v>
      </x:c>
      <x:c r="G490" s="24" t="str">
        <x:f>IF(E490=F490,"PASS","FAIL")</x:f>
        <x:v>PASS</x:v>
      </x:c>
    </x:row>
    <x:row r="491">
      <x:c r="B491" s="22" t="str">
        <x:v>AC-0485</x:v>
      </x:c>
      <x:c r="C491" s="22" t="str">
        <x:v>regeneration</x:v>
      </x:c>
      <x:c r="D491" s="22" t="str">
        <x:v>row 30 pre-regeneration identity</x:v>
      </x:c>
      <x:c r="E491" s="75" t="n">
        <x:f>IF(ABS(Regeneration!J30-(Regeneration!E30-Regeneration!G30+Regeneration!H30))&lt;0.000001,1,0)</x:f>
        <x:v>1</x:v>
      </x:c>
      <x:c r="F491" s="75" t="n">
        <x:v>1</x:v>
      </x:c>
      <x:c r="G491" s="24" t="str">
        <x:f>IF(E491=F491,"PASS","FAIL")</x:f>
        <x:v>PASS</x:v>
      </x:c>
    </x:row>
    <x:row r="492">
      <x:c r="B492" s="22" t="str">
        <x:v>AC-0486</x:v>
      </x:c>
      <x:c r="C492" s="22" t="str">
        <x:v>regeneration</x:v>
      </x:c>
      <x:c r="D492" s="22" t="str">
        <x:v>row 30 post-regeneration identity</x:v>
      </x:c>
      <x:c r="E492" s="75" t="n">
        <x:f>IF(ABS(Regeneration!K30-(Regeneration!J30+Regeneration!I30))&lt;0.000001,1,0)</x:f>
        <x:v>1</x:v>
      </x:c>
      <x:c r="F492" s="75" t="n">
        <x:v>1</x:v>
      </x:c>
      <x:c r="G492" s="24" t="str">
        <x:f>IF(E492=F492,"PASS","FAIL")</x:f>
        <x:v>PASS</x:v>
      </x:c>
    </x:row>
    <x:row r="493">
      <x:c r="B493" s="22" t="str">
        <x:v>AC-0487</x:v>
      </x:c>
      <x:c r="C493" s="22" t="str">
        <x:v>regeneration</x:v>
      </x:c>
      <x:c r="D493" s="22" t="str">
        <x:v>row 30 floor restored</x:v>
      </x:c>
      <x:c r="E493" s="75" t="n">
        <x:f>IF(Regeneration!M30&gt;=1,1,0)</x:f>
        <x:v>1</x:v>
      </x:c>
      <x:c r="F493" s="75" t="n">
        <x:v>1</x:v>
      </x:c>
      <x:c r="G493" s="24" t="str">
        <x:f>IF(E493=F493,"PASS","FAIL")</x:f>
        <x:v>PASS</x:v>
      </x:c>
    </x:row>
    <x:row r="494">
      <x:c r="B494" s="22" t="str">
        <x:v>AC-0488</x:v>
      </x:c>
      <x:c r="C494" s="22" t="str">
        <x:v>regeneration</x:v>
      </x:c>
      <x:c r="D494" s="22" t="str">
        <x:v>row 30 deadline</x:v>
      </x:c>
      <x:c r="E494" s="75" t="n">
        <x:f>IF(Regeneration!N30&lt;=Regeneration!O30,1,0)</x:f>
        <x:v>1</x:v>
      </x:c>
      <x:c r="F494" s="75" t="n">
        <x:v>1</x:v>
      </x:c>
      <x:c r="G494" s="24" t="str">
        <x:f>IF(E494=F494,"PASS","FAIL")</x:f>
        <x:v>PASS</x:v>
      </x:c>
    </x:row>
    <x:row r="495">
      <x:c r="B495" s="22" t="str">
        <x:v>AC-0489</x:v>
      </x:c>
      <x:c r="C495" s="22" t="str">
        <x:v>cargo</x:v>
      </x:c>
      <x:c r="D495" s="22" t="str">
        <x:v>row 7 mass identity</x:v>
      </x:c>
      <x:c r="E495" s="75" t="n">
        <x:f>IF(ABS('Cargo Register'!H7-'Cargo Register'!E7*'Cargo Register'!F7)&lt;0.000001,1,0)</x:f>
        <x:v>1</x:v>
      </x:c>
      <x:c r="F495" s="75" t="n">
        <x:v>1</x:v>
      </x:c>
      <x:c r="G495" s="24" t="str">
        <x:f>IF(E495=F495,"PASS","FAIL")</x:f>
        <x:v>PASS</x:v>
      </x:c>
    </x:row>
    <x:row r="496">
      <x:c r="B496" s="22" t="str">
        <x:v>AC-0490</x:v>
      </x:c>
      <x:c r="C496" s="22" t="str">
        <x:v>cargo</x:v>
      </x:c>
      <x:c r="D496" s="22" t="str">
        <x:v>row 7 cube identity</x:v>
      </x:c>
      <x:c r="E496" s="75" t="n">
        <x:f>IF(ABS('Cargo Register'!I7-'Cargo Register'!E7*'Cargo Register'!G7)&lt;0.000001,1,0)</x:f>
        <x:v>1</x:v>
      </x:c>
      <x:c r="F496" s="75" t="n">
        <x:v>1</x:v>
      </x:c>
      <x:c r="G496" s="24" t="str">
        <x:f>IF(E496=F496,"PASS","FAIL")</x:f>
        <x:v>PASS</x:v>
      </x:c>
    </x:row>
    <x:row r="497">
      <x:c r="B497" s="22" t="str">
        <x:v>AC-0491</x:v>
      </x:c>
      <x:c r="C497" s="22" t="str">
        <x:v>cargo</x:v>
      </x:c>
      <x:c r="D497" s="22" t="str">
        <x:v>row 7 chargeable floor</x:v>
      </x:c>
      <x:c r="E497" s="75" t="n">
        <x:f>IF('Cargo Register'!J7&gt;='Cargo Register'!H7,1,0)</x:f>
        <x:v>1</x:v>
      </x:c>
      <x:c r="F497" s="75" t="n">
        <x:v>1</x:v>
      </x:c>
      <x:c r="G497" s="24" t="str">
        <x:f>IF(E497=F497,"PASS","FAIL")</x:f>
        <x:v>PASS</x:v>
      </x:c>
    </x:row>
    <x:row r="498">
      <x:c r="B498" s="22" t="str">
        <x:v>AC-0492</x:v>
      </x:c>
      <x:c r="C498" s="22" t="str">
        <x:v>cargo</x:v>
      </x:c>
      <x:c r="D498" s="22" t="str">
        <x:v>row 8 mass identity</x:v>
      </x:c>
      <x:c r="E498" s="75" t="n">
        <x:f>IF(ABS('Cargo Register'!H8-'Cargo Register'!E8*'Cargo Register'!F8)&lt;0.000001,1,0)</x:f>
        <x:v>1</x:v>
      </x:c>
      <x:c r="F498" s="75" t="n">
        <x:v>1</x:v>
      </x:c>
      <x:c r="G498" s="24" t="str">
        <x:f>IF(E498=F498,"PASS","FAIL")</x:f>
        <x:v>PASS</x:v>
      </x:c>
    </x:row>
    <x:row r="499">
      <x:c r="B499" s="22" t="str">
        <x:v>AC-0493</x:v>
      </x:c>
      <x:c r="C499" s="22" t="str">
        <x:v>cargo</x:v>
      </x:c>
      <x:c r="D499" s="22" t="str">
        <x:v>row 8 cube identity</x:v>
      </x:c>
      <x:c r="E499" s="75" t="n">
        <x:f>IF(ABS('Cargo Register'!I8-'Cargo Register'!E8*'Cargo Register'!G8)&lt;0.000001,1,0)</x:f>
        <x:v>1</x:v>
      </x:c>
      <x:c r="F499" s="75" t="n">
        <x:v>1</x:v>
      </x:c>
      <x:c r="G499" s="24" t="str">
        <x:f>IF(E499=F499,"PASS","FAIL")</x:f>
        <x:v>PASS</x:v>
      </x:c>
    </x:row>
    <x:row r="500">
      <x:c r="B500" s="22" t="str">
        <x:v>AC-0494</x:v>
      </x:c>
      <x:c r="C500" s="22" t="str">
        <x:v>cargo</x:v>
      </x:c>
      <x:c r="D500" s="22" t="str">
        <x:v>row 8 chargeable floor</x:v>
      </x:c>
      <x:c r="E500" s="75" t="n">
        <x:f>IF('Cargo Register'!J8&gt;='Cargo Register'!H8,1,0)</x:f>
        <x:v>1</x:v>
      </x:c>
      <x:c r="F500" s="75" t="n">
        <x:v>1</x:v>
      </x:c>
      <x:c r="G500" s="24" t="str">
        <x:f>IF(E500=F500,"PASS","FAIL")</x:f>
        <x:v>PASS</x:v>
      </x:c>
    </x:row>
    <x:row r="501">
      <x:c r="B501" s="22" t="str">
        <x:v>AC-0495</x:v>
      </x:c>
      <x:c r="C501" s="22" t="str">
        <x:v>cargo</x:v>
      </x:c>
      <x:c r="D501" s="22" t="str">
        <x:v>row 9 mass identity</x:v>
      </x:c>
      <x:c r="E501" s="75" t="n">
        <x:f>IF(ABS('Cargo Register'!H9-'Cargo Register'!E9*'Cargo Register'!F9)&lt;0.000001,1,0)</x:f>
        <x:v>1</x:v>
      </x:c>
      <x:c r="F501" s="75" t="n">
        <x:v>1</x:v>
      </x:c>
      <x:c r="G501" s="24" t="str">
        <x:f>IF(E501=F501,"PASS","FAIL")</x:f>
        <x:v>PASS</x:v>
      </x:c>
    </x:row>
    <x:row r="502">
      <x:c r="B502" s="22" t="str">
        <x:v>AC-0496</x:v>
      </x:c>
      <x:c r="C502" s="22" t="str">
        <x:v>cargo</x:v>
      </x:c>
      <x:c r="D502" s="22" t="str">
        <x:v>row 9 cube identity</x:v>
      </x:c>
      <x:c r="E502" s="75" t="n">
        <x:f>IF(ABS('Cargo Register'!I9-'Cargo Register'!E9*'Cargo Register'!G9)&lt;0.000001,1,0)</x:f>
        <x:v>1</x:v>
      </x:c>
      <x:c r="F502" s="75" t="n">
        <x:v>1</x:v>
      </x:c>
      <x:c r="G502" s="24" t="str">
        <x:f>IF(E502=F502,"PASS","FAIL")</x:f>
        <x:v>PASS</x:v>
      </x:c>
    </x:row>
    <x:row r="503">
      <x:c r="B503" s="22" t="str">
        <x:v>AC-0497</x:v>
      </x:c>
      <x:c r="C503" s="22" t="str">
        <x:v>cargo</x:v>
      </x:c>
      <x:c r="D503" s="22" t="str">
        <x:v>row 9 chargeable floor</x:v>
      </x:c>
      <x:c r="E503" s="75" t="n">
        <x:f>IF('Cargo Register'!J9&gt;='Cargo Register'!H9,1,0)</x:f>
        <x:v>1</x:v>
      </x:c>
      <x:c r="F503" s="75" t="n">
        <x:v>1</x:v>
      </x:c>
      <x:c r="G503" s="24" t="str">
        <x:f>IF(E503=F503,"PASS","FAIL")</x:f>
        <x:v>PASS</x:v>
      </x:c>
    </x:row>
    <x:row r="504">
      <x:c r="B504" s="22" t="str">
        <x:v>AC-0498</x:v>
      </x:c>
      <x:c r="C504" s="22" t="str">
        <x:v>cargo</x:v>
      </x:c>
      <x:c r="D504" s="22" t="str">
        <x:v>row 10 mass identity</x:v>
      </x:c>
      <x:c r="E504" s="75" t="n">
        <x:f>IF(ABS('Cargo Register'!H10-'Cargo Register'!E10*'Cargo Register'!F10)&lt;0.000001,1,0)</x:f>
        <x:v>1</x:v>
      </x:c>
      <x:c r="F504" s="75" t="n">
        <x:v>1</x:v>
      </x:c>
      <x:c r="G504" s="24" t="str">
        <x:f>IF(E504=F504,"PASS","FAIL")</x:f>
        <x:v>PASS</x:v>
      </x:c>
    </x:row>
    <x:row r="505">
      <x:c r="B505" s="22" t="str">
        <x:v>AC-0499</x:v>
      </x:c>
      <x:c r="C505" s="22" t="str">
        <x:v>cargo</x:v>
      </x:c>
      <x:c r="D505" s="22" t="str">
        <x:v>row 10 cube identity</x:v>
      </x:c>
      <x:c r="E505" s="75" t="n">
        <x:f>IF(ABS('Cargo Register'!I10-'Cargo Register'!E10*'Cargo Register'!G10)&lt;0.000001,1,0)</x:f>
        <x:v>1</x:v>
      </x:c>
      <x:c r="F505" s="75" t="n">
        <x:v>1</x:v>
      </x:c>
      <x:c r="G505" s="24" t="str">
        <x:f>IF(E505=F505,"PASS","FAIL")</x:f>
        <x:v>PASS</x:v>
      </x:c>
    </x:row>
    <x:row r="506">
      <x:c r="B506" s="22" t="str">
        <x:v>AC-0500</x:v>
      </x:c>
      <x:c r="C506" s="22" t="str">
        <x:v>cargo</x:v>
      </x:c>
      <x:c r="D506" s="22" t="str">
        <x:v>row 10 chargeable floor</x:v>
      </x:c>
      <x:c r="E506" s="75" t="n">
        <x:f>IF('Cargo Register'!J10&gt;='Cargo Register'!H10,1,0)</x:f>
        <x:v>1</x:v>
      </x:c>
      <x:c r="F506" s="75" t="n">
        <x:v>1</x:v>
      </x:c>
      <x:c r="G506" s="24" t="str">
        <x:f>IF(E506=F506,"PASS","FAIL")</x:f>
        <x:v>PASS</x:v>
      </x:c>
    </x:row>
    <x:row r="507">
      <x:c r="B507" s="22" t="str">
        <x:v>AC-0501</x:v>
      </x:c>
      <x:c r="C507" s="22" t="str">
        <x:v>cargo</x:v>
      </x:c>
      <x:c r="D507" s="22" t="str">
        <x:v>row 11 mass identity</x:v>
      </x:c>
      <x:c r="E507" s="75" t="n">
        <x:f>IF(ABS('Cargo Register'!H11-'Cargo Register'!E11*'Cargo Register'!F11)&lt;0.000001,1,0)</x:f>
        <x:v>1</x:v>
      </x:c>
      <x:c r="F507" s="75" t="n">
        <x:v>1</x:v>
      </x:c>
      <x:c r="G507" s="24" t="str">
        <x:f>IF(E507=F507,"PASS","FAIL")</x:f>
        <x:v>PASS</x:v>
      </x:c>
    </x:row>
    <x:row r="508">
      <x:c r="B508" s="22" t="str">
        <x:v>AC-0502</x:v>
      </x:c>
      <x:c r="C508" s="22" t="str">
        <x:v>cargo</x:v>
      </x:c>
      <x:c r="D508" s="22" t="str">
        <x:v>row 11 cube identity</x:v>
      </x:c>
      <x:c r="E508" s="75" t="n">
        <x:f>IF(ABS('Cargo Register'!I11-'Cargo Register'!E11*'Cargo Register'!G11)&lt;0.000001,1,0)</x:f>
        <x:v>1</x:v>
      </x:c>
      <x:c r="F508" s="75" t="n">
        <x:v>1</x:v>
      </x:c>
      <x:c r="G508" s="24" t="str">
        <x:f>IF(E508=F508,"PASS","FAIL")</x:f>
        <x:v>PASS</x:v>
      </x:c>
    </x:row>
    <x:row r="509">
      <x:c r="B509" s="22" t="str">
        <x:v>AC-0503</x:v>
      </x:c>
      <x:c r="C509" s="22" t="str">
        <x:v>cargo</x:v>
      </x:c>
      <x:c r="D509" s="22" t="str">
        <x:v>row 11 chargeable floor</x:v>
      </x:c>
      <x:c r="E509" s="75" t="n">
        <x:f>IF('Cargo Register'!J11&gt;='Cargo Register'!H11,1,0)</x:f>
        <x:v>1</x:v>
      </x:c>
      <x:c r="F509" s="75" t="n">
        <x:v>1</x:v>
      </x:c>
      <x:c r="G509" s="24" t="str">
        <x:f>IF(E509=F509,"PASS","FAIL")</x:f>
        <x:v>PASS</x:v>
      </x:c>
    </x:row>
    <x:row r="510">
      <x:c r="B510" s="22" t="str">
        <x:v>AC-0504</x:v>
      </x:c>
      <x:c r="C510" s="22" t="str">
        <x:v>cargo</x:v>
      </x:c>
      <x:c r="D510" s="22" t="str">
        <x:v>row 12 mass identity</x:v>
      </x:c>
      <x:c r="E510" s="75" t="n">
        <x:f>IF(ABS('Cargo Register'!H12-'Cargo Register'!E12*'Cargo Register'!F12)&lt;0.000001,1,0)</x:f>
        <x:v>1</x:v>
      </x:c>
      <x:c r="F510" s="75" t="n">
        <x:v>1</x:v>
      </x:c>
      <x:c r="G510" s="24" t="str">
        <x:f>IF(E510=F510,"PASS","FAIL")</x:f>
        <x:v>PASS</x:v>
      </x:c>
    </x:row>
    <x:row r="511">
      <x:c r="B511" s="22" t="str">
        <x:v>AC-0505</x:v>
      </x:c>
      <x:c r="C511" s="22" t="str">
        <x:v>cargo</x:v>
      </x:c>
      <x:c r="D511" s="22" t="str">
        <x:v>row 12 cube identity</x:v>
      </x:c>
      <x:c r="E511" s="75" t="n">
        <x:f>IF(ABS('Cargo Register'!I12-'Cargo Register'!E12*'Cargo Register'!G12)&lt;0.000001,1,0)</x:f>
        <x:v>1</x:v>
      </x:c>
      <x:c r="F511" s="75" t="n">
        <x:v>1</x:v>
      </x:c>
      <x:c r="G511" s="24" t="str">
        <x:f>IF(E511=F511,"PASS","FAIL")</x:f>
        <x:v>PASS</x:v>
      </x:c>
    </x:row>
    <x:row r="512">
      <x:c r="B512" s="22" t="str">
        <x:v>AC-0506</x:v>
      </x:c>
      <x:c r="C512" s="22" t="str">
        <x:v>cargo</x:v>
      </x:c>
      <x:c r="D512" s="22" t="str">
        <x:v>row 12 chargeable floor</x:v>
      </x:c>
      <x:c r="E512" s="75" t="n">
        <x:f>IF('Cargo Register'!J12&gt;='Cargo Register'!H12,1,0)</x:f>
        <x:v>1</x:v>
      </x:c>
      <x:c r="F512" s="75" t="n">
        <x:v>1</x:v>
      </x:c>
      <x:c r="G512" s="24" t="str">
        <x:f>IF(E512=F512,"PASS","FAIL")</x:f>
        <x:v>PASS</x:v>
      </x:c>
    </x:row>
    <x:row r="513">
      <x:c r="B513" s="22" t="str">
        <x:v>AC-0507</x:v>
      </x:c>
      <x:c r="C513" s="22" t="str">
        <x:v>cargo</x:v>
      </x:c>
      <x:c r="D513" s="22" t="str">
        <x:v>row 13 mass identity</x:v>
      </x:c>
      <x:c r="E513" s="75" t="n">
        <x:f>IF(ABS('Cargo Register'!H13-'Cargo Register'!E13*'Cargo Register'!F13)&lt;0.000001,1,0)</x:f>
        <x:v>1</x:v>
      </x:c>
      <x:c r="F513" s="75" t="n">
        <x:v>1</x:v>
      </x:c>
      <x:c r="G513" s="24" t="str">
        <x:f>IF(E513=F513,"PASS","FAIL")</x:f>
        <x:v>PASS</x:v>
      </x:c>
    </x:row>
    <x:row r="514">
      <x:c r="B514" s="22" t="str">
        <x:v>AC-0508</x:v>
      </x:c>
      <x:c r="C514" s="22" t="str">
        <x:v>cargo</x:v>
      </x:c>
      <x:c r="D514" s="22" t="str">
        <x:v>row 13 cube identity</x:v>
      </x:c>
      <x:c r="E514" s="75" t="n">
        <x:f>IF(ABS('Cargo Register'!I13-'Cargo Register'!E13*'Cargo Register'!G13)&lt;0.000001,1,0)</x:f>
        <x:v>1</x:v>
      </x:c>
      <x:c r="F514" s="75" t="n">
        <x:v>1</x:v>
      </x:c>
      <x:c r="G514" s="24" t="str">
        <x:f>IF(E514=F514,"PASS","FAIL")</x:f>
        <x:v>PASS</x:v>
      </x:c>
    </x:row>
    <x:row r="515">
      <x:c r="B515" s="22" t="str">
        <x:v>AC-0509</x:v>
      </x:c>
      <x:c r="C515" s="22" t="str">
        <x:v>cargo</x:v>
      </x:c>
      <x:c r="D515" s="22" t="str">
        <x:v>row 13 chargeable floor</x:v>
      </x:c>
      <x:c r="E515" s="75" t="n">
        <x:f>IF('Cargo Register'!J13&gt;='Cargo Register'!H13,1,0)</x:f>
        <x:v>1</x:v>
      </x:c>
      <x:c r="F515" s="75" t="n">
        <x:v>1</x:v>
      </x:c>
      <x:c r="G515" s="24" t="str">
        <x:f>IF(E515=F515,"PASS","FAIL")</x:f>
        <x:v>PASS</x:v>
      </x:c>
    </x:row>
    <x:row r="516">
      <x:c r="B516" s="22" t="str">
        <x:v>AC-0510</x:v>
      </x:c>
      <x:c r="C516" s="22" t="str">
        <x:v>cargo</x:v>
      </x:c>
      <x:c r="D516" s="22" t="str">
        <x:v>row 14 mass identity</x:v>
      </x:c>
      <x:c r="E516" s="75" t="n">
        <x:f>IF(ABS('Cargo Register'!H14-'Cargo Register'!E14*'Cargo Register'!F14)&lt;0.000001,1,0)</x:f>
        <x:v>1</x:v>
      </x:c>
      <x:c r="F516" s="75" t="n">
        <x:v>1</x:v>
      </x:c>
      <x:c r="G516" s="24" t="str">
        <x:f>IF(E516=F516,"PASS","FAIL")</x:f>
        <x:v>PASS</x:v>
      </x:c>
    </x:row>
    <x:row r="517">
      <x:c r="B517" s="22" t="str">
        <x:v>AC-0511</x:v>
      </x:c>
      <x:c r="C517" s="22" t="str">
        <x:v>cargo</x:v>
      </x:c>
      <x:c r="D517" s="22" t="str">
        <x:v>row 14 cube identity</x:v>
      </x:c>
      <x:c r="E517" s="75" t="n">
        <x:f>IF(ABS('Cargo Register'!I14-'Cargo Register'!E14*'Cargo Register'!G14)&lt;0.000001,1,0)</x:f>
        <x:v>1</x:v>
      </x:c>
      <x:c r="F517" s="75" t="n">
        <x:v>1</x:v>
      </x:c>
      <x:c r="G517" s="24" t="str">
        <x:f>IF(E517=F517,"PASS","FAIL")</x:f>
        <x:v>PASS</x:v>
      </x:c>
    </x:row>
    <x:row r="518">
      <x:c r="B518" s="22" t="str">
        <x:v>AC-0512</x:v>
      </x:c>
      <x:c r="C518" s="22" t="str">
        <x:v>cargo</x:v>
      </x:c>
      <x:c r="D518" s="22" t="str">
        <x:v>row 14 chargeable floor</x:v>
      </x:c>
      <x:c r="E518" s="75" t="n">
        <x:f>IF('Cargo Register'!J14&gt;='Cargo Register'!H14,1,0)</x:f>
        <x:v>1</x:v>
      </x:c>
      <x:c r="F518" s="75" t="n">
        <x:v>1</x:v>
      </x:c>
      <x:c r="G518" s="24" t="str">
        <x:f>IF(E518=F518,"PASS","FAIL")</x:f>
        <x:v>PASS</x:v>
      </x:c>
    </x:row>
    <x:row r="519">
      <x:c r="B519" s="22" t="str">
        <x:v>AC-0513</x:v>
      </x:c>
      <x:c r="C519" s="22" t="str">
        <x:v>cargo</x:v>
      </x:c>
      <x:c r="D519" s="22" t="str">
        <x:v>row 15 mass identity</x:v>
      </x:c>
      <x:c r="E519" s="75" t="n">
        <x:f>IF(ABS('Cargo Register'!H15-'Cargo Register'!E15*'Cargo Register'!F15)&lt;0.000001,1,0)</x:f>
        <x:v>1</x:v>
      </x:c>
      <x:c r="F519" s="75" t="n">
        <x:v>1</x:v>
      </x:c>
      <x:c r="G519" s="24" t="str">
        <x:f>IF(E519=F519,"PASS","FAIL")</x:f>
        <x:v>PASS</x:v>
      </x:c>
    </x:row>
    <x:row r="520">
      <x:c r="B520" s="22" t="str">
        <x:v>AC-0514</x:v>
      </x:c>
      <x:c r="C520" s="22" t="str">
        <x:v>cargo</x:v>
      </x:c>
      <x:c r="D520" s="22" t="str">
        <x:v>row 15 cube identity</x:v>
      </x:c>
      <x:c r="E520" s="75" t="n">
        <x:f>IF(ABS('Cargo Register'!I15-'Cargo Register'!E15*'Cargo Register'!G15)&lt;0.000001,1,0)</x:f>
        <x:v>1</x:v>
      </x:c>
      <x:c r="F520" s="75" t="n">
        <x:v>1</x:v>
      </x:c>
      <x:c r="G520" s="24" t="str">
        <x:f>IF(E520=F520,"PASS","FAIL")</x:f>
        <x:v>PASS</x:v>
      </x:c>
    </x:row>
    <x:row r="521">
      <x:c r="B521" s="22" t="str">
        <x:v>AC-0515</x:v>
      </x:c>
      <x:c r="C521" s="22" t="str">
        <x:v>cargo</x:v>
      </x:c>
      <x:c r="D521" s="22" t="str">
        <x:v>row 15 chargeable floor</x:v>
      </x:c>
      <x:c r="E521" s="75" t="n">
        <x:f>IF('Cargo Register'!J15&gt;='Cargo Register'!H15,1,0)</x:f>
        <x:v>1</x:v>
      </x:c>
      <x:c r="F521" s="75" t="n">
        <x:v>1</x:v>
      </x:c>
      <x:c r="G521" s="24" t="str">
        <x:f>IF(E521=F521,"PASS","FAIL")</x:f>
        <x:v>PASS</x:v>
      </x:c>
    </x:row>
    <x:row r="522">
      <x:c r="B522" s="22" t="str">
        <x:v>AC-0516</x:v>
      </x:c>
      <x:c r="C522" s="22" t="str">
        <x:v>cargo</x:v>
      </x:c>
      <x:c r="D522" s="22" t="str">
        <x:v>row 16 mass identity</x:v>
      </x:c>
      <x:c r="E522" s="75" t="n">
        <x:f>IF(ABS('Cargo Register'!H16-'Cargo Register'!E16*'Cargo Register'!F16)&lt;0.000001,1,0)</x:f>
        <x:v>1</x:v>
      </x:c>
      <x:c r="F522" s="75" t="n">
        <x:v>1</x:v>
      </x:c>
      <x:c r="G522" s="24" t="str">
        <x:f>IF(E522=F522,"PASS","FAIL")</x:f>
        <x:v>PASS</x:v>
      </x:c>
    </x:row>
    <x:row r="523">
      <x:c r="B523" s="22" t="str">
        <x:v>AC-0517</x:v>
      </x:c>
      <x:c r="C523" s="22" t="str">
        <x:v>cargo</x:v>
      </x:c>
      <x:c r="D523" s="22" t="str">
        <x:v>row 16 cube identity</x:v>
      </x:c>
      <x:c r="E523" s="75" t="n">
        <x:f>IF(ABS('Cargo Register'!I16-'Cargo Register'!E16*'Cargo Register'!G16)&lt;0.000001,1,0)</x:f>
        <x:v>1</x:v>
      </x:c>
      <x:c r="F523" s="75" t="n">
        <x:v>1</x:v>
      </x:c>
      <x:c r="G523" s="24" t="str">
        <x:f>IF(E523=F523,"PASS","FAIL")</x:f>
        <x:v>PASS</x:v>
      </x:c>
    </x:row>
    <x:row r="524">
      <x:c r="B524" s="22" t="str">
        <x:v>AC-0518</x:v>
      </x:c>
      <x:c r="C524" s="22" t="str">
        <x:v>cargo</x:v>
      </x:c>
      <x:c r="D524" s="22" t="str">
        <x:v>row 16 chargeable floor</x:v>
      </x:c>
      <x:c r="E524" s="75" t="n">
        <x:f>IF('Cargo Register'!J16&gt;='Cargo Register'!H16,1,0)</x:f>
        <x:v>1</x:v>
      </x:c>
      <x:c r="F524" s="75" t="n">
        <x:v>1</x:v>
      </x:c>
      <x:c r="G524" s="24" t="str">
        <x:f>IF(E524=F524,"PASS","FAIL")</x:f>
        <x:v>PASS</x:v>
      </x:c>
    </x:row>
    <x:row r="525">
      <x:c r="B525" s="22" t="str">
        <x:v>AC-0519</x:v>
      </x:c>
      <x:c r="C525" s="22" t="str">
        <x:v>cargo</x:v>
      </x:c>
      <x:c r="D525" s="22" t="str">
        <x:v>row 17 mass identity</x:v>
      </x:c>
      <x:c r="E525" s="75" t="n">
        <x:f>IF(ABS('Cargo Register'!H17-'Cargo Register'!E17*'Cargo Register'!F17)&lt;0.000001,1,0)</x:f>
        <x:v>1</x:v>
      </x:c>
      <x:c r="F525" s="75" t="n">
        <x:v>1</x:v>
      </x:c>
      <x:c r="G525" s="24" t="str">
        <x:f>IF(E525=F525,"PASS","FAIL")</x:f>
        <x:v>PASS</x:v>
      </x:c>
    </x:row>
    <x:row r="526">
      <x:c r="B526" s="22" t="str">
        <x:v>AC-0520</x:v>
      </x:c>
      <x:c r="C526" s="22" t="str">
        <x:v>cargo</x:v>
      </x:c>
      <x:c r="D526" s="22" t="str">
        <x:v>row 17 cube identity</x:v>
      </x:c>
      <x:c r="E526" s="75" t="n">
        <x:f>IF(ABS('Cargo Register'!I17-'Cargo Register'!E17*'Cargo Register'!G17)&lt;0.000001,1,0)</x:f>
        <x:v>1</x:v>
      </x:c>
      <x:c r="F526" s="75" t="n">
        <x:v>1</x:v>
      </x:c>
      <x:c r="G526" s="24" t="str">
        <x:f>IF(E526=F526,"PASS","FAIL")</x:f>
        <x:v>PASS</x:v>
      </x:c>
    </x:row>
    <x:row r="527">
      <x:c r="B527" s="22" t="str">
        <x:v>AC-0521</x:v>
      </x:c>
      <x:c r="C527" s="22" t="str">
        <x:v>cargo</x:v>
      </x:c>
      <x:c r="D527" s="22" t="str">
        <x:v>row 17 chargeable floor</x:v>
      </x:c>
      <x:c r="E527" s="75" t="n">
        <x:f>IF('Cargo Register'!J17&gt;='Cargo Register'!H17,1,0)</x:f>
        <x:v>1</x:v>
      </x:c>
      <x:c r="F527" s="75" t="n">
        <x:v>1</x:v>
      </x:c>
      <x:c r="G527" s="24" t="str">
        <x:f>IF(E527=F527,"PASS","FAIL")</x:f>
        <x:v>PASS</x:v>
      </x:c>
    </x:row>
    <x:row r="528">
      <x:c r="B528" s="22" t="str">
        <x:v>AC-0522</x:v>
      </x:c>
      <x:c r="C528" s="22" t="str">
        <x:v>cargo</x:v>
      </x:c>
      <x:c r="D528" s="22" t="str">
        <x:v>row 18 mass identity</x:v>
      </x:c>
      <x:c r="E528" s="75" t="n">
        <x:f>IF(ABS('Cargo Register'!H18-'Cargo Register'!E18*'Cargo Register'!F18)&lt;0.000001,1,0)</x:f>
        <x:v>1</x:v>
      </x:c>
      <x:c r="F528" s="75" t="n">
        <x:v>1</x:v>
      </x:c>
      <x:c r="G528" s="24" t="str">
        <x:f>IF(E528=F528,"PASS","FAIL")</x:f>
        <x:v>PASS</x:v>
      </x:c>
    </x:row>
    <x:row r="529">
      <x:c r="B529" s="22" t="str">
        <x:v>AC-0523</x:v>
      </x:c>
      <x:c r="C529" s="22" t="str">
        <x:v>cargo</x:v>
      </x:c>
      <x:c r="D529" s="22" t="str">
        <x:v>row 18 cube identity</x:v>
      </x:c>
      <x:c r="E529" s="75" t="n">
        <x:f>IF(ABS('Cargo Register'!I18-'Cargo Register'!E18*'Cargo Register'!G18)&lt;0.000001,1,0)</x:f>
        <x:v>1</x:v>
      </x:c>
      <x:c r="F529" s="75" t="n">
        <x:v>1</x:v>
      </x:c>
      <x:c r="G529" s="24" t="str">
        <x:f>IF(E529=F529,"PASS","FAIL")</x:f>
        <x:v>PASS</x:v>
      </x:c>
    </x:row>
    <x:row r="530">
      <x:c r="B530" s="22" t="str">
        <x:v>AC-0524</x:v>
      </x:c>
      <x:c r="C530" s="22" t="str">
        <x:v>cargo</x:v>
      </x:c>
      <x:c r="D530" s="22" t="str">
        <x:v>row 18 chargeable floor</x:v>
      </x:c>
      <x:c r="E530" s="75" t="n">
        <x:f>IF('Cargo Register'!J18&gt;='Cargo Register'!H18,1,0)</x:f>
        <x:v>1</x:v>
      </x:c>
      <x:c r="F530" s="75" t="n">
        <x:v>1</x:v>
      </x:c>
      <x:c r="G530" s="24" t="str">
        <x:f>IF(E530=F530,"PASS","FAIL")</x:f>
        <x:v>PASS</x:v>
      </x:c>
    </x:row>
    <x:row r="531">
      <x:c r="B531" s="22" t="str">
        <x:v>AC-0525</x:v>
      </x:c>
      <x:c r="C531" s="22" t="str">
        <x:v>cargo</x:v>
      </x:c>
      <x:c r="D531" s="22" t="str">
        <x:v>row 19 mass identity</x:v>
      </x:c>
      <x:c r="E531" s="75" t="n">
        <x:f>IF(ABS('Cargo Register'!H19-'Cargo Register'!E19*'Cargo Register'!F19)&lt;0.000001,1,0)</x:f>
        <x:v>1</x:v>
      </x:c>
      <x:c r="F531" s="75" t="n">
        <x:v>1</x:v>
      </x:c>
      <x:c r="G531" s="24" t="str">
        <x:f>IF(E531=F531,"PASS","FAIL")</x:f>
        <x:v>PASS</x:v>
      </x:c>
    </x:row>
    <x:row r="532">
      <x:c r="B532" s="22" t="str">
        <x:v>AC-0526</x:v>
      </x:c>
      <x:c r="C532" s="22" t="str">
        <x:v>cargo</x:v>
      </x:c>
      <x:c r="D532" s="22" t="str">
        <x:v>row 19 cube identity</x:v>
      </x:c>
      <x:c r="E532" s="75" t="n">
        <x:f>IF(ABS('Cargo Register'!I19-'Cargo Register'!E19*'Cargo Register'!G19)&lt;0.000001,1,0)</x:f>
        <x:v>1</x:v>
      </x:c>
      <x:c r="F532" s="75" t="n">
        <x:v>1</x:v>
      </x:c>
      <x:c r="G532" s="24" t="str">
        <x:f>IF(E532=F532,"PASS","FAIL")</x:f>
        <x:v>PASS</x:v>
      </x:c>
    </x:row>
    <x:row r="533">
      <x:c r="B533" s="22" t="str">
        <x:v>AC-0527</x:v>
      </x:c>
      <x:c r="C533" s="22" t="str">
        <x:v>cargo</x:v>
      </x:c>
      <x:c r="D533" s="22" t="str">
        <x:v>row 19 chargeable floor</x:v>
      </x:c>
      <x:c r="E533" s="75" t="n">
        <x:f>IF('Cargo Register'!J19&gt;='Cargo Register'!H19,1,0)</x:f>
        <x:v>1</x:v>
      </x:c>
      <x:c r="F533" s="75" t="n">
        <x:v>1</x:v>
      </x:c>
      <x:c r="G533" s="24" t="str">
        <x:f>IF(E533=F533,"PASS","FAIL")</x:f>
        <x:v>PASS</x:v>
      </x:c>
    </x:row>
    <x:row r="534">
      <x:c r="B534" s="22" t="str">
        <x:v>AC-0528</x:v>
      </x:c>
      <x:c r="C534" s="22" t="str">
        <x:v>cargo</x:v>
      </x:c>
      <x:c r="D534" s="22" t="str">
        <x:v>row 20 mass identity</x:v>
      </x:c>
      <x:c r="E534" s="75" t="n">
        <x:f>IF(ABS('Cargo Register'!H20-'Cargo Register'!E20*'Cargo Register'!F20)&lt;0.000001,1,0)</x:f>
        <x:v>1</x:v>
      </x:c>
      <x:c r="F534" s="75" t="n">
        <x:v>1</x:v>
      </x:c>
      <x:c r="G534" s="24" t="str">
        <x:f>IF(E534=F534,"PASS","FAIL")</x:f>
        <x:v>PASS</x:v>
      </x:c>
    </x:row>
    <x:row r="535">
      <x:c r="B535" s="22" t="str">
        <x:v>AC-0529</x:v>
      </x:c>
      <x:c r="C535" s="22" t="str">
        <x:v>cargo</x:v>
      </x:c>
      <x:c r="D535" s="22" t="str">
        <x:v>row 20 cube identity</x:v>
      </x:c>
      <x:c r="E535" s="75" t="n">
        <x:f>IF(ABS('Cargo Register'!I20-'Cargo Register'!E20*'Cargo Register'!G20)&lt;0.000001,1,0)</x:f>
        <x:v>1</x:v>
      </x:c>
      <x:c r="F535" s="75" t="n">
        <x:v>1</x:v>
      </x:c>
      <x:c r="G535" s="24" t="str">
        <x:f>IF(E535=F535,"PASS","FAIL")</x:f>
        <x:v>PASS</x:v>
      </x:c>
    </x:row>
    <x:row r="536">
      <x:c r="B536" s="22" t="str">
        <x:v>AC-0530</x:v>
      </x:c>
      <x:c r="C536" s="22" t="str">
        <x:v>cargo</x:v>
      </x:c>
      <x:c r="D536" s="22" t="str">
        <x:v>row 20 chargeable floor</x:v>
      </x:c>
      <x:c r="E536" s="75" t="n">
        <x:f>IF('Cargo Register'!J20&gt;='Cargo Register'!H20,1,0)</x:f>
        <x:v>1</x:v>
      </x:c>
      <x:c r="F536" s="75" t="n">
        <x:v>1</x:v>
      </x:c>
      <x:c r="G536" s="24" t="str">
        <x:f>IF(E536=F536,"PASS","FAIL")</x:f>
        <x:v>PASS</x:v>
      </x:c>
    </x:row>
    <x:row r="537">
      <x:c r="B537" s="22" t="str">
        <x:v>AC-0531</x:v>
      </x:c>
      <x:c r="C537" s="22" t="str">
        <x:v>cargo</x:v>
      </x:c>
      <x:c r="D537" s="22" t="str">
        <x:v>row 21 mass identity</x:v>
      </x:c>
      <x:c r="E537" s="75" t="n">
        <x:f>IF(ABS('Cargo Register'!H21-'Cargo Register'!E21*'Cargo Register'!F21)&lt;0.000001,1,0)</x:f>
        <x:v>1</x:v>
      </x:c>
      <x:c r="F537" s="75" t="n">
        <x:v>1</x:v>
      </x:c>
      <x:c r="G537" s="24" t="str">
        <x:f>IF(E537=F537,"PASS","FAIL")</x:f>
        <x:v>PASS</x:v>
      </x:c>
    </x:row>
    <x:row r="538">
      <x:c r="B538" s="22" t="str">
        <x:v>AC-0532</x:v>
      </x:c>
      <x:c r="C538" s="22" t="str">
        <x:v>cargo</x:v>
      </x:c>
      <x:c r="D538" s="22" t="str">
        <x:v>row 21 cube identity</x:v>
      </x:c>
      <x:c r="E538" s="75" t="n">
        <x:f>IF(ABS('Cargo Register'!I21-'Cargo Register'!E21*'Cargo Register'!G21)&lt;0.000001,1,0)</x:f>
        <x:v>1</x:v>
      </x:c>
      <x:c r="F538" s="75" t="n">
        <x:v>1</x:v>
      </x:c>
      <x:c r="G538" s="24" t="str">
        <x:f>IF(E538=F538,"PASS","FAIL")</x:f>
        <x:v>PASS</x:v>
      </x:c>
    </x:row>
    <x:row r="539">
      <x:c r="B539" s="22" t="str">
        <x:v>AC-0533</x:v>
      </x:c>
      <x:c r="C539" s="22" t="str">
        <x:v>cargo</x:v>
      </x:c>
      <x:c r="D539" s="22" t="str">
        <x:v>row 21 chargeable floor</x:v>
      </x:c>
      <x:c r="E539" s="75" t="n">
        <x:f>IF('Cargo Register'!J21&gt;='Cargo Register'!H21,1,0)</x:f>
        <x:v>1</x:v>
      </x:c>
      <x:c r="F539" s="75" t="n">
        <x:v>1</x:v>
      </x:c>
      <x:c r="G539" s="24" t="str">
        <x:f>IF(E539=F539,"PASS","FAIL")</x:f>
        <x:v>PASS</x:v>
      </x:c>
    </x:row>
    <x:row r="540">
      <x:c r="B540" s="22" t="str">
        <x:v>AC-0534</x:v>
      </x:c>
      <x:c r="C540" s="22" t="str">
        <x:v>cargo</x:v>
      </x:c>
      <x:c r="D540" s="22" t="str">
        <x:v>row 22 mass identity</x:v>
      </x:c>
      <x:c r="E540" s="75" t="n">
        <x:f>IF(ABS('Cargo Register'!H22-'Cargo Register'!E22*'Cargo Register'!F22)&lt;0.000001,1,0)</x:f>
        <x:v>1</x:v>
      </x:c>
      <x:c r="F540" s="75" t="n">
        <x:v>1</x:v>
      </x:c>
      <x:c r="G540" s="24" t="str">
        <x:f>IF(E540=F540,"PASS","FAIL")</x:f>
        <x:v>PASS</x:v>
      </x:c>
    </x:row>
    <x:row r="541">
      <x:c r="B541" s="22" t="str">
        <x:v>AC-0535</x:v>
      </x:c>
      <x:c r="C541" s="22" t="str">
        <x:v>cargo</x:v>
      </x:c>
      <x:c r="D541" s="22" t="str">
        <x:v>row 22 cube identity</x:v>
      </x:c>
      <x:c r="E541" s="75" t="n">
        <x:f>IF(ABS('Cargo Register'!I22-'Cargo Register'!E22*'Cargo Register'!G22)&lt;0.000001,1,0)</x:f>
        <x:v>1</x:v>
      </x:c>
      <x:c r="F541" s="75" t="n">
        <x:v>1</x:v>
      </x:c>
      <x:c r="G541" s="24" t="str">
        <x:f>IF(E541=F541,"PASS","FAIL")</x:f>
        <x:v>PASS</x:v>
      </x:c>
    </x:row>
    <x:row r="542">
      <x:c r="B542" s="22" t="str">
        <x:v>AC-0536</x:v>
      </x:c>
      <x:c r="C542" s="22" t="str">
        <x:v>cargo</x:v>
      </x:c>
      <x:c r="D542" s="22" t="str">
        <x:v>row 22 chargeable floor</x:v>
      </x:c>
      <x:c r="E542" s="75" t="n">
        <x:f>IF('Cargo Register'!J22&gt;='Cargo Register'!H22,1,0)</x:f>
        <x:v>1</x:v>
      </x:c>
      <x:c r="F542" s="75" t="n">
        <x:v>1</x:v>
      </x:c>
      <x:c r="G542" s="24" t="str">
        <x:f>IF(E542=F542,"PASS","FAIL")</x:f>
        <x:v>PASS</x:v>
      </x:c>
    </x:row>
    <x:row r="543">
      <x:c r="B543" s="22" t="str">
        <x:v>AC-0537</x:v>
      </x:c>
      <x:c r="C543" s="22" t="str">
        <x:v>cargo</x:v>
      </x:c>
      <x:c r="D543" s="22" t="str">
        <x:v>row 23 mass identity</x:v>
      </x:c>
      <x:c r="E543" s="75" t="n">
        <x:f>IF(ABS('Cargo Register'!H23-'Cargo Register'!E23*'Cargo Register'!F23)&lt;0.000001,1,0)</x:f>
        <x:v>1</x:v>
      </x:c>
      <x:c r="F543" s="75" t="n">
        <x:v>1</x:v>
      </x:c>
      <x:c r="G543" s="24" t="str">
        <x:f>IF(E543=F543,"PASS","FAIL")</x:f>
        <x:v>PASS</x:v>
      </x:c>
    </x:row>
    <x:row r="544">
      <x:c r="B544" s="22" t="str">
        <x:v>AC-0538</x:v>
      </x:c>
      <x:c r="C544" s="22" t="str">
        <x:v>cargo</x:v>
      </x:c>
      <x:c r="D544" s="22" t="str">
        <x:v>row 23 cube identity</x:v>
      </x:c>
      <x:c r="E544" s="75" t="n">
        <x:f>IF(ABS('Cargo Register'!I23-'Cargo Register'!E23*'Cargo Register'!G23)&lt;0.000001,1,0)</x:f>
        <x:v>1</x:v>
      </x:c>
      <x:c r="F544" s="75" t="n">
        <x:v>1</x:v>
      </x:c>
      <x:c r="G544" s="24" t="str">
        <x:f>IF(E544=F544,"PASS","FAIL")</x:f>
        <x:v>PASS</x:v>
      </x:c>
    </x:row>
    <x:row r="545">
      <x:c r="B545" s="22" t="str">
        <x:v>AC-0539</x:v>
      </x:c>
      <x:c r="C545" s="22" t="str">
        <x:v>cargo</x:v>
      </x:c>
      <x:c r="D545" s="22" t="str">
        <x:v>row 23 chargeable floor</x:v>
      </x:c>
      <x:c r="E545" s="75" t="n">
        <x:f>IF('Cargo Register'!J23&gt;='Cargo Register'!H23,1,0)</x:f>
        <x:v>1</x:v>
      </x:c>
      <x:c r="F545" s="75" t="n">
        <x:v>1</x:v>
      </x:c>
      <x:c r="G545" s="24" t="str">
        <x:f>IF(E545=F545,"PASS","FAIL")</x:f>
        <x:v>PASS</x:v>
      </x:c>
    </x:row>
    <x:row r="546">
      <x:c r="B546" s="22" t="str">
        <x:v>AC-0540</x:v>
      </x:c>
      <x:c r="C546" s="22" t="str">
        <x:v>cargo</x:v>
      </x:c>
      <x:c r="D546" s="22" t="str">
        <x:v>row 24 mass identity</x:v>
      </x:c>
      <x:c r="E546" s="75" t="n">
        <x:f>IF(ABS('Cargo Register'!H24-'Cargo Register'!E24*'Cargo Register'!F24)&lt;0.000001,1,0)</x:f>
        <x:v>1</x:v>
      </x:c>
      <x:c r="F546" s="75" t="n">
        <x:v>1</x:v>
      </x:c>
      <x:c r="G546" s="24" t="str">
        <x:f>IF(E546=F546,"PASS","FAIL")</x:f>
        <x:v>PASS</x:v>
      </x:c>
    </x:row>
    <x:row r="547">
      <x:c r="B547" s="22" t="str">
        <x:v>AC-0541</x:v>
      </x:c>
      <x:c r="C547" s="22" t="str">
        <x:v>cargo</x:v>
      </x:c>
      <x:c r="D547" s="22" t="str">
        <x:v>row 24 cube identity</x:v>
      </x:c>
      <x:c r="E547" s="75" t="n">
        <x:f>IF(ABS('Cargo Register'!I24-'Cargo Register'!E24*'Cargo Register'!G24)&lt;0.000001,1,0)</x:f>
        <x:v>1</x:v>
      </x:c>
      <x:c r="F547" s="75" t="n">
        <x:v>1</x:v>
      </x:c>
      <x:c r="G547" s="24" t="str">
        <x:f>IF(E547=F547,"PASS","FAIL")</x:f>
        <x:v>PASS</x:v>
      </x:c>
    </x:row>
    <x:row r="548">
      <x:c r="B548" s="22" t="str">
        <x:v>AC-0542</x:v>
      </x:c>
      <x:c r="C548" s="22" t="str">
        <x:v>cargo</x:v>
      </x:c>
      <x:c r="D548" s="22" t="str">
        <x:v>row 24 chargeable floor</x:v>
      </x:c>
      <x:c r="E548" s="75" t="n">
        <x:f>IF('Cargo Register'!J24&gt;='Cargo Register'!H24,1,0)</x:f>
        <x:v>1</x:v>
      </x:c>
      <x:c r="F548" s="75" t="n">
        <x:v>1</x:v>
      </x:c>
      <x:c r="G548" s="24" t="str">
        <x:f>IF(E548=F548,"PASS","FAIL")</x:f>
        <x:v>PASS</x:v>
      </x:c>
    </x:row>
    <x:row r="549">
      <x:c r="B549" s="22" t="str">
        <x:v>AC-0543</x:v>
      </x:c>
      <x:c r="C549" s="22" t="str">
        <x:v>cargo</x:v>
      </x:c>
      <x:c r="D549" s="22" t="str">
        <x:v>row 25 mass identity</x:v>
      </x:c>
      <x:c r="E549" s="75" t="n">
        <x:f>IF(ABS('Cargo Register'!H25-'Cargo Register'!E25*'Cargo Register'!F25)&lt;0.000001,1,0)</x:f>
        <x:v>1</x:v>
      </x:c>
      <x:c r="F549" s="75" t="n">
        <x:v>1</x:v>
      </x:c>
      <x:c r="G549" s="24" t="str">
        <x:f>IF(E549=F549,"PASS","FAIL")</x:f>
        <x:v>PASS</x:v>
      </x:c>
    </x:row>
    <x:row r="550">
      <x:c r="B550" s="22" t="str">
        <x:v>AC-0544</x:v>
      </x:c>
      <x:c r="C550" s="22" t="str">
        <x:v>cargo</x:v>
      </x:c>
      <x:c r="D550" s="22" t="str">
        <x:v>row 25 cube identity</x:v>
      </x:c>
      <x:c r="E550" s="75" t="n">
        <x:f>IF(ABS('Cargo Register'!I25-'Cargo Register'!E25*'Cargo Register'!G25)&lt;0.000001,1,0)</x:f>
        <x:v>1</x:v>
      </x:c>
      <x:c r="F550" s="75" t="n">
        <x:v>1</x:v>
      </x:c>
      <x:c r="G550" s="24" t="str">
        <x:f>IF(E550=F550,"PASS","FAIL")</x:f>
        <x:v>PASS</x:v>
      </x:c>
    </x:row>
    <x:row r="551">
      <x:c r="B551" s="22" t="str">
        <x:v>AC-0545</x:v>
      </x:c>
      <x:c r="C551" s="22" t="str">
        <x:v>cargo</x:v>
      </x:c>
      <x:c r="D551" s="22" t="str">
        <x:v>row 25 chargeable floor</x:v>
      </x:c>
      <x:c r="E551" s="75" t="n">
        <x:f>IF('Cargo Register'!J25&gt;='Cargo Register'!H25,1,0)</x:f>
        <x:v>1</x:v>
      </x:c>
      <x:c r="F551" s="75" t="n">
        <x:v>1</x:v>
      </x:c>
      <x:c r="G551" s="24" t="str">
        <x:f>IF(E551=F551,"PASS","FAIL")</x:f>
        <x:v>PASS</x:v>
      </x:c>
    </x:row>
    <x:row r="552">
      <x:c r="B552" s="22" t="str">
        <x:v>AC-0546</x:v>
      </x:c>
      <x:c r="C552" s="22" t="str">
        <x:v>cargo</x:v>
      </x:c>
      <x:c r="D552" s="22" t="str">
        <x:v>row 26 mass identity</x:v>
      </x:c>
      <x:c r="E552" s="75" t="n">
        <x:f>IF(ABS('Cargo Register'!H26-'Cargo Register'!E26*'Cargo Register'!F26)&lt;0.000001,1,0)</x:f>
        <x:v>1</x:v>
      </x:c>
      <x:c r="F552" s="75" t="n">
        <x:v>1</x:v>
      </x:c>
      <x:c r="G552" s="24" t="str">
        <x:f>IF(E552=F552,"PASS","FAIL")</x:f>
        <x:v>PASS</x:v>
      </x:c>
    </x:row>
    <x:row r="553">
      <x:c r="B553" s="22" t="str">
        <x:v>AC-0547</x:v>
      </x:c>
      <x:c r="C553" s="22" t="str">
        <x:v>cargo</x:v>
      </x:c>
      <x:c r="D553" s="22" t="str">
        <x:v>row 26 cube identity</x:v>
      </x:c>
      <x:c r="E553" s="75" t="n">
        <x:f>IF(ABS('Cargo Register'!I26-'Cargo Register'!E26*'Cargo Register'!G26)&lt;0.000001,1,0)</x:f>
        <x:v>1</x:v>
      </x:c>
      <x:c r="F553" s="75" t="n">
        <x:v>1</x:v>
      </x:c>
      <x:c r="G553" s="24" t="str">
        <x:f>IF(E553=F553,"PASS","FAIL")</x:f>
        <x:v>PASS</x:v>
      </x:c>
    </x:row>
    <x:row r="554">
      <x:c r="B554" s="22" t="str">
        <x:v>AC-0548</x:v>
      </x:c>
      <x:c r="C554" s="22" t="str">
        <x:v>cargo</x:v>
      </x:c>
      <x:c r="D554" s="22" t="str">
        <x:v>row 26 chargeable floor</x:v>
      </x:c>
      <x:c r="E554" s="75" t="n">
        <x:f>IF('Cargo Register'!J26&gt;='Cargo Register'!H26,1,0)</x:f>
        <x:v>1</x:v>
      </x:c>
      <x:c r="F554" s="75" t="n">
        <x:v>1</x:v>
      </x:c>
      <x:c r="G554" s="24" t="str">
        <x:f>IF(E554=F554,"PASS","FAIL")</x:f>
        <x:v>PASS</x:v>
      </x:c>
    </x:row>
    <x:row r="555">
      <x:c r="B555" s="22" t="str">
        <x:v>AC-0549</x:v>
      </x:c>
      <x:c r="C555" s="22" t="str">
        <x:v>cargo</x:v>
      </x:c>
      <x:c r="D555" s="22" t="str">
        <x:v>row 27 mass identity</x:v>
      </x:c>
      <x:c r="E555" s="75" t="n">
        <x:f>IF(ABS('Cargo Register'!H27-'Cargo Register'!E27*'Cargo Register'!F27)&lt;0.000001,1,0)</x:f>
        <x:v>1</x:v>
      </x:c>
      <x:c r="F555" s="75" t="n">
        <x:v>1</x:v>
      </x:c>
      <x:c r="G555" s="24" t="str">
        <x:f>IF(E555=F555,"PASS","FAIL")</x:f>
        <x:v>PASS</x:v>
      </x:c>
    </x:row>
    <x:row r="556">
      <x:c r="B556" s="22" t="str">
        <x:v>AC-0550</x:v>
      </x:c>
      <x:c r="C556" s="22" t="str">
        <x:v>cargo</x:v>
      </x:c>
      <x:c r="D556" s="22" t="str">
        <x:v>row 27 cube identity</x:v>
      </x:c>
      <x:c r="E556" s="75" t="n">
        <x:f>IF(ABS('Cargo Register'!I27-'Cargo Register'!E27*'Cargo Register'!G27)&lt;0.000001,1,0)</x:f>
        <x:v>1</x:v>
      </x:c>
      <x:c r="F556" s="75" t="n">
        <x:v>1</x:v>
      </x:c>
      <x:c r="G556" s="24" t="str">
        <x:f>IF(E556=F556,"PASS","FAIL")</x:f>
        <x:v>PASS</x:v>
      </x:c>
    </x:row>
    <x:row r="557">
      <x:c r="B557" s="22" t="str">
        <x:v>AC-0551</x:v>
      </x:c>
      <x:c r="C557" s="22" t="str">
        <x:v>cargo</x:v>
      </x:c>
      <x:c r="D557" s="22" t="str">
        <x:v>row 27 chargeable floor</x:v>
      </x:c>
      <x:c r="E557" s="75" t="n">
        <x:f>IF('Cargo Register'!J27&gt;='Cargo Register'!H27,1,0)</x:f>
        <x:v>1</x:v>
      </x:c>
      <x:c r="F557" s="75" t="n">
        <x:v>1</x:v>
      </x:c>
      <x:c r="G557" s="24" t="str">
        <x:f>IF(E557=F557,"PASS","FAIL")</x:f>
        <x:v>PASS</x:v>
      </x:c>
    </x:row>
    <x:row r="558">
      <x:c r="B558" s="22" t="str">
        <x:v>AC-0552</x:v>
      </x:c>
      <x:c r="C558" s="22" t="str">
        <x:v>cargo</x:v>
      </x:c>
      <x:c r="D558" s="22" t="str">
        <x:v>row 28 mass identity</x:v>
      </x:c>
      <x:c r="E558" s="75" t="n">
        <x:f>IF(ABS('Cargo Register'!H28-'Cargo Register'!E28*'Cargo Register'!F28)&lt;0.000001,1,0)</x:f>
        <x:v>1</x:v>
      </x:c>
      <x:c r="F558" s="75" t="n">
        <x:v>1</x:v>
      </x:c>
      <x:c r="G558" s="24" t="str">
        <x:f>IF(E558=F558,"PASS","FAIL")</x:f>
        <x:v>PASS</x:v>
      </x:c>
    </x:row>
    <x:row r="559">
      <x:c r="B559" s="22" t="str">
        <x:v>AC-0553</x:v>
      </x:c>
      <x:c r="C559" s="22" t="str">
        <x:v>cargo</x:v>
      </x:c>
      <x:c r="D559" s="22" t="str">
        <x:v>row 28 cube identity</x:v>
      </x:c>
      <x:c r="E559" s="75" t="n">
        <x:f>IF(ABS('Cargo Register'!I28-'Cargo Register'!E28*'Cargo Register'!G28)&lt;0.000001,1,0)</x:f>
        <x:v>1</x:v>
      </x:c>
      <x:c r="F559" s="75" t="n">
        <x:v>1</x:v>
      </x:c>
      <x:c r="G559" s="24" t="str">
        <x:f>IF(E559=F559,"PASS","FAIL")</x:f>
        <x:v>PASS</x:v>
      </x:c>
    </x:row>
    <x:row r="560">
      <x:c r="B560" s="22" t="str">
        <x:v>AC-0554</x:v>
      </x:c>
      <x:c r="C560" s="22" t="str">
        <x:v>cargo</x:v>
      </x:c>
      <x:c r="D560" s="22" t="str">
        <x:v>row 28 chargeable floor</x:v>
      </x:c>
      <x:c r="E560" s="75" t="n">
        <x:f>IF('Cargo Register'!J28&gt;='Cargo Register'!H28,1,0)</x:f>
        <x:v>1</x:v>
      </x:c>
      <x:c r="F560" s="75" t="n">
        <x:v>1</x:v>
      </x:c>
      <x:c r="G560" s="24" t="str">
        <x:f>IF(E560=F560,"PASS","FAIL")</x:f>
        <x:v>PASS</x:v>
      </x:c>
    </x:row>
    <x:row r="561">
      <x:c r="B561" s="22" t="str">
        <x:v>AC-0555</x:v>
      </x:c>
      <x:c r="C561" s="22" t="str">
        <x:v>cargo</x:v>
      </x:c>
      <x:c r="D561" s="22" t="str">
        <x:v>row 29 mass identity</x:v>
      </x:c>
      <x:c r="E561" s="75" t="n">
        <x:f>IF(ABS('Cargo Register'!H29-'Cargo Register'!E29*'Cargo Register'!F29)&lt;0.000001,1,0)</x:f>
        <x:v>1</x:v>
      </x:c>
      <x:c r="F561" s="75" t="n">
        <x:v>1</x:v>
      </x:c>
      <x:c r="G561" s="24" t="str">
        <x:f>IF(E561=F561,"PASS","FAIL")</x:f>
        <x:v>PASS</x:v>
      </x:c>
    </x:row>
    <x:row r="562">
      <x:c r="B562" s="22" t="str">
        <x:v>AC-0556</x:v>
      </x:c>
      <x:c r="C562" s="22" t="str">
        <x:v>cargo</x:v>
      </x:c>
      <x:c r="D562" s="22" t="str">
        <x:v>row 29 cube identity</x:v>
      </x:c>
      <x:c r="E562" s="75" t="n">
        <x:f>IF(ABS('Cargo Register'!I29-'Cargo Register'!E29*'Cargo Register'!G29)&lt;0.000001,1,0)</x:f>
        <x:v>1</x:v>
      </x:c>
      <x:c r="F562" s="75" t="n">
        <x:v>1</x:v>
      </x:c>
      <x:c r="G562" s="24" t="str">
        <x:f>IF(E562=F562,"PASS","FAIL")</x:f>
        <x:v>PASS</x:v>
      </x:c>
    </x:row>
    <x:row r="563">
      <x:c r="B563" s="22" t="str">
        <x:v>AC-0557</x:v>
      </x:c>
      <x:c r="C563" s="22" t="str">
        <x:v>cargo</x:v>
      </x:c>
      <x:c r="D563" s="22" t="str">
        <x:v>row 29 chargeable floor</x:v>
      </x:c>
      <x:c r="E563" s="75" t="n">
        <x:f>IF('Cargo Register'!J29&gt;='Cargo Register'!H29,1,0)</x:f>
        <x:v>1</x:v>
      </x:c>
      <x:c r="F563" s="75" t="n">
        <x:v>1</x:v>
      </x:c>
      <x:c r="G563" s="24" t="str">
        <x:f>IF(E563=F563,"PASS","FAIL")</x:f>
        <x:v>PASS</x:v>
      </x:c>
    </x:row>
    <x:row r="564">
      <x:c r="B564" s="22" t="str">
        <x:v>AC-0558</x:v>
      </x:c>
      <x:c r="C564" s="22" t="str">
        <x:v>cargo</x:v>
      </x:c>
      <x:c r="D564" s="22" t="str">
        <x:v>row 30 mass identity</x:v>
      </x:c>
      <x:c r="E564" s="75" t="n">
        <x:f>IF(ABS('Cargo Register'!H30-'Cargo Register'!E30*'Cargo Register'!F30)&lt;0.000001,1,0)</x:f>
        <x:v>1</x:v>
      </x:c>
      <x:c r="F564" s="75" t="n">
        <x:v>1</x:v>
      </x:c>
      <x:c r="G564" s="24" t="str">
        <x:f>IF(E564=F564,"PASS","FAIL")</x:f>
        <x:v>PASS</x:v>
      </x:c>
    </x:row>
    <x:row r="565">
      <x:c r="B565" s="22" t="str">
        <x:v>AC-0559</x:v>
      </x:c>
      <x:c r="C565" s="22" t="str">
        <x:v>cargo</x:v>
      </x:c>
      <x:c r="D565" s="22" t="str">
        <x:v>row 30 cube identity</x:v>
      </x:c>
      <x:c r="E565" s="75" t="n">
        <x:f>IF(ABS('Cargo Register'!I30-'Cargo Register'!E30*'Cargo Register'!G30)&lt;0.000001,1,0)</x:f>
        <x:v>1</x:v>
      </x:c>
      <x:c r="F565" s="75" t="n">
        <x:v>1</x:v>
      </x:c>
      <x:c r="G565" s="24" t="str">
        <x:f>IF(E565=F565,"PASS","FAIL")</x:f>
        <x:v>PASS</x:v>
      </x:c>
    </x:row>
    <x:row r="566">
      <x:c r="B566" s="22" t="str">
        <x:v>AC-0560</x:v>
      </x:c>
      <x:c r="C566" s="22" t="str">
        <x:v>cargo</x:v>
      </x:c>
      <x:c r="D566" s="22" t="str">
        <x:v>row 30 chargeable floor</x:v>
      </x:c>
      <x:c r="E566" s="75" t="n">
        <x:f>IF('Cargo Register'!J30&gt;='Cargo Register'!H30,1,0)</x:f>
        <x:v>1</x:v>
      </x:c>
      <x:c r="F566" s="75" t="n">
        <x:v>1</x:v>
      </x:c>
      <x:c r="G566" s="24" t="str">
        <x:f>IF(E566=F566,"PASS","FAIL")</x:f>
        <x:v>PASS</x:v>
      </x:c>
    </x:row>
    <x:row r="567">
      <x:c r="B567" s="22" t="str">
        <x:v>AC-0561</x:v>
      </x:c>
      <x:c r="C567" s="22" t="str">
        <x:v>cargo</x:v>
      </x:c>
      <x:c r="D567" s="22" t="str">
        <x:v>row 31 mass identity</x:v>
      </x:c>
      <x:c r="E567" s="75" t="n">
        <x:f>IF(ABS('Cargo Register'!H31-'Cargo Register'!E31*'Cargo Register'!F31)&lt;0.000001,1,0)</x:f>
        <x:v>1</x:v>
      </x:c>
      <x:c r="F567" s="75" t="n">
        <x:v>1</x:v>
      </x:c>
      <x:c r="G567" s="24" t="str">
        <x:f>IF(E567=F567,"PASS","FAIL")</x:f>
        <x:v>PASS</x:v>
      </x:c>
    </x:row>
    <x:row r="568">
      <x:c r="B568" s="22" t="str">
        <x:v>AC-0562</x:v>
      </x:c>
      <x:c r="C568" s="22" t="str">
        <x:v>cargo</x:v>
      </x:c>
      <x:c r="D568" s="22" t="str">
        <x:v>row 31 cube identity</x:v>
      </x:c>
      <x:c r="E568" s="75" t="n">
        <x:f>IF(ABS('Cargo Register'!I31-'Cargo Register'!E31*'Cargo Register'!G31)&lt;0.000001,1,0)</x:f>
        <x:v>1</x:v>
      </x:c>
      <x:c r="F568" s="75" t="n">
        <x:v>1</x:v>
      </x:c>
      <x:c r="G568" s="24" t="str">
        <x:f>IF(E568=F568,"PASS","FAIL")</x:f>
        <x:v>PASS</x:v>
      </x:c>
    </x:row>
    <x:row r="569">
      <x:c r="B569" s="22" t="str">
        <x:v>AC-0563</x:v>
      </x:c>
      <x:c r="C569" s="22" t="str">
        <x:v>cargo</x:v>
      </x:c>
      <x:c r="D569" s="22" t="str">
        <x:v>row 31 chargeable floor</x:v>
      </x:c>
      <x:c r="E569" s="75" t="n">
        <x:f>IF('Cargo Register'!J31&gt;='Cargo Register'!H31,1,0)</x:f>
        <x:v>1</x:v>
      </x:c>
      <x:c r="F569" s="75" t="n">
        <x:v>1</x:v>
      </x:c>
      <x:c r="G569" s="24" t="str">
        <x:f>IF(E569=F569,"PASS","FAIL")</x:f>
        <x:v>PASS</x:v>
      </x:c>
    </x:row>
    <x:row r="570">
      <x:c r="B570" s="22" t="str">
        <x:v>AC-0564</x:v>
      </x:c>
      <x:c r="C570" s="22" t="str">
        <x:v>cargo</x:v>
      </x:c>
      <x:c r="D570" s="22" t="str">
        <x:v>row 32 mass identity</x:v>
      </x:c>
      <x:c r="E570" s="75" t="n">
        <x:f>IF(ABS('Cargo Register'!H32-'Cargo Register'!E32*'Cargo Register'!F32)&lt;0.000001,1,0)</x:f>
        <x:v>1</x:v>
      </x:c>
      <x:c r="F570" s="75" t="n">
        <x:v>1</x:v>
      </x:c>
      <x:c r="G570" s="24" t="str">
        <x:f>IF(E570=F570,"PASS","FAIL")</x:f>
        <x:v>PASS</x:v>
      </x:c>
    </x:row>
    <x:row r="571">
      <x:c r="B571" s="22" t="str">
        <x:v>AC-0565</x:v>
      </x:c>
      <x:c r="C571" s="22" t="str">
        <x:v>cargo</x:v>
      </x:c>
      <x:c r="D571" s="22" t="str">
        <x:v>row 32 cube identity</x:v>
      </x:c>
      <x:c r="E571" s="75" t="n">
        <x:f>IF(ABS('Cargo Register'!I32-'Cargo Register'!E32*'Cargo Register'!G32)&lt;0.000001,1,0)</x:f>
        <x:v>1</x:v>
      </x:c>
      <x:c r="F571" s="75" t="n">
        <x:v>1</x:v>
      </x:c>
      <x:c r="G571" s="24" t="str">
        <x:f>IF(E571=F571,"PASS","FAIL")</x:f>
        <x:v>PASS</x:v>
      </x:c>
    </x:row>
    <x:row r="572">
      <x:c r="B572" s="22" t="str">
        <x:v>AC-0566</x:v>
      </x:c>
      <x:c r="C572" s="22" t="str">
        <x:v>cargo</x:v>
      </x:c>
      <x:c r="D572" s="22" t="str">
        <x:v>row 32 chargeable floor</x:v>
      </x:c>
      <x:c r="E572" s="75" t="n">
        <x:f>IF('Cargo Register'!J32&gt;='Cargo Register'!H32,1,0)</x:f>
        <x:v>1</x:v>
      </x:c>
      <x:c r="F572" s="75" t="n">
        <x:v>1</x:v>
      </x:c>
      <x:c r="G572" s="24" t="str">
        <x:f>IF(E572=F572,"PASS","FAIL")</x:f>
        <x:v>PASS</x:v>
      </x:c>
    </x:row>
    <x:row r="573">
      <x:c r="B573" s="22" t="str">
        <x:v>AC-0567</x:v>
      </x:c>
      <x:c r="C573" s="22" t="str">
        <x:v>cargo</x:v>
      </x:c>
      <x:c r="D573" s="22" t="str">
        <x:v>row 33 mass identity</x:v>
      </x:c>
      <x:c r="E573" s="75" t="n">
        <x:f>IF(ABS('Cargo Register'!H33-'Cargo Register'!E33*'Cargo Register'!F33)&lt;0.000001,1,0)</x:f>
        <x:v>1</x:v>
      </x:c>
      <x:c r="F573" s="75" t="n">
        <x:v>1</x:v>
      </x:c>
      <x:c r="G573" s="24" t="str">
        <x:f>IF(E573=F573,"PASS","FAIL")</x:f>
        <x:v>PASS</x:v>
      </x:c>
    </x:row>
    <x:row r="574">
      <x:c r="B574" s="22" t="str">
        <x:v>AC-0568</x:v>
      </x:c>
      <x:c r="C574" s="22" t="str">
        <x:v>cargo</x:v>
      </x:c>
      <x:c r="D574" s="22" t="str">
        <x:v>row 33 cube identity</x:v>
      </x:c>
      <x:c r="E574" s="75" t="n">
        <x:f>IF(ABS('Cargo Register'!I33-'Cargo Register'!E33*'Cargo Register'!G33)&lt;0.000001,1,0)</x:f>
        <x:v>1</x:v>
      </x:c>
      <x:c r="F574" s="75" t="n">
        <x:v>1</x:v>
      </x:c>
      <x:c r="G574" s="24" t="str">
        <x:f>IF(E574=F574,"PASS","FAIL")</x:f>
        <x:v>PASS</x:v>
      </x:c>
    </x:row>
    <x:row r="575">
      <x:c r="B575" s="22" t="str">
        <x:v>AC-0569</x:v>
      </x:c>
      <x:c r="C575" s="22" t="str">
        <x:v>cargo</x:v>
      </x:c>
      <x:c r="D575" s="22" t="str">
        <x:v>row 33 chargeable floor</x:v>
      </x:c>
      <x:c r="E575" s="75" t="n">
        <x:f>IF('Cargo Register'!J33&gt;='Cargo Register'!H33,1,0)</x:f>
        <x:v>1</x:v>
      </x:c>
      <x:c r="F575" s="75" t="n">
        <x:v>1</x:v>
      </x:c>
      <x:c r="G575" s="24" t="str">
        <x:f>IF(E575=F575,"PASS","FAIL")</x:f>
        <x:v>PASS</x:v>
      </x:c>
    </x:row>
    <x:row r="576">
      <x:c r="B576" s="22" t="str">
        <x:v>AC-0570</x:v>
      </x:c>
      <x:c r="C576" s="22" t="str">
        <x:v>cargo</x:v>
      </x:c>
      <x:c r="D576" s="22" t="str">
        <x:v>row 34 mass identity</x:v>
      </x:c>
      <x:c r="E576" s="75" t="n">
        <x:f>IF(ABS('Cargo Register'!H34-'Cargo Register'!E34*'Cargo Register'!F34)&lt;0.000001,1,0)</x:f>
        <x:v>1</x:v>
      </x:c>
      <x:c r="F576" s="75" t="n">
        <x:v>1</x:v>
      </x:c>
      <x:c r="G576" s="24" t="str">
        <x:f>IF(E576=F576,"PASS","FAIL")</x:f>
        <x:v>PASS</x:v>
      </x:c>
    </x:row>
    <x:row r="577">
      <x:c r="B577" s="22" t="str">
        <x:v>AC-0571</x:v>
      </x:c>
      <x:c r="C577" s="22" t="str">
        <x:v>cargo</x:v>
      </x:c>
      <x:c r="D577" s="22" t="str">
        <x:v>row 34 cube identity</x:v>
      </x:c>
      <x:c r="E577" s="75" t="n">
        <x:f>IF(ABS('Cargo Register'!I34-'Cargo Register'!E34*'Cargo Register'!G34)&lt;0.000001,1,0)</x:f>
        <x:v>1</x:v>
      </x:c>
      <x:c r="F577" s="75" t="n">
        <x:v>1</x:v>
      </x:c>
      <x:c r="G577" s="24" t="str">
        <x:f>IF(E577=F577,"PASS","FAIL")</x:f>
        <x:v>PASS</x:v>
      </x:c>
    </x:row>
    <x:row r="578">
      <x:c r="B578" s="22" t="str">
        <x:v>AC-0572</x:v>
      </x:c>
      <x:c r="C578" s="22" t="str">
        <x:v>cargo</x:v>
      </x:c>
      <x:c r="D578" s="22" t="str">
        <x:v>row 34 chargeable floor</x:v>
      </x:c>
      <x:c r="E578" s="75" t="n">
        <x:f>IF('Cargo Register'!J34&gt;='Cargo Register'!H34,1,0)</x:f>
        <x:v>1</x:v>
      </x:c>
      <x:c r="F578" s="75" t="n">
        <x:v>1</x:v>
      </x:c>
      <x:c r="G578" s="24" t="str">
        <x:f>IF(E578=F578,"PASS","FAIL")</x:f>
        <x:v>PASS</x:v>
      </x:c>
    </x:row>
    <x:row r="579">
      <x:c r="B579" s="22" t="str">
        <x:v>AC-0573</x:v>
      </x:c>
      <x:c r="C579" s="22" t="str">
        <x:v>cargo</x:v>
      </x:c>
      <x:c r="D579" s="22" t="str">
        <x:v>row 35 mass identity</x:v>
      </x:c>
      <x:c r="E579" s="75" t="n">
        <x:f>IF(ABS('Cargo Register'!H35-'Cargo Register'!E35*'Cargo Register'!F35)&lt;0.000001,1,0)</x:f>
        <x:v>1</x:v>
      </x:c>
      <x:c r="F579" s="75" t="n">
        <x:v>1</x:v>
      </x:c>
      <x:c r="G579" s="24" t="str">
        <x:f>IF(E579=F579,"PASS","FAIL")</x:f>
        <x:v>PASS</x:v>
      </x:c>
    </x:row>
    <x:row r="580">
      <x:c r="B580" s="22" t="str">
        <x:v>AC-0574</x:v>
      </x:c>
      <x:c r="C580" s="22" t="str">
        <x:v>cargo</x:v>
      </x:c>
      <x:c r="D580" s="22" t="str">
        <x:v>row 35 cube identity</x:v>
      </x:c>
      <x:c r="E580" s="75" t="n">
        <x:f>IF(ABS('Cargo Register'!I35-'Cargo Register'!E35*'Cargo Register'!G35)&lt;0.000001,1,0)</x:f>
        <x:v>1</x:v>
      </x:c>
      <x:c r="F580" s="75" t="n">
        <x:v>1</x:v>
      </x:c>
      <x:c r="G580" s="24" t="str">
        <x:f>IF(E580=F580,"PASS","FAIL")</x:f>
        <x:v>PASS</x:v>
      </x:c>
    </x:row>
    <x:row r="581">
      <x:c r="B581" s="22" t="str">
        <x:v>AC-0575</x:v>
      </x:c>
      <x:c r="C581" s="22" t="str">
        <x:v>cargo</x:v>
      </x:c>
      <x:c r="D581" s="22" t="str">
        <x:v>row 35 chargeable floor</x:v>
      </x:c>
      <x:c r="E581" s="75" t="n">
        <x:f>IF('Cargo Register'!J35&gt;='Cargo Register'!H35,1,0)</x:f>
        <x:v>1</x:v>
      </x:c>
      <x:c r="F581" s="75" t="n">
        <x:v>1</x:v>
      </x:c>
      <x:c r="G581" s="24" t="str">
        <x:f>IF(E581=F581,"PASS","FAIL")</x:f>
        <x:v>PASS</x:v>
      </x:c>
    </x:row>
    <x:row r="582">
      <x:c r="B582" s="22" t="str">
        <x:v>AC-0576</x:v>
      </x:c>
      <x:c r="C582" s="22" t="str">
        <x:v>cargo</x:v>
      </x:c>
      <x:c r="D582" s="22" t="str">
        <x:v>row 36 mass identity</x:v>
      </x:c>
      <x:c r="E582" s="75" t="n">
        <x:f>IF(ABS('Cargo Register'!H36-'Cargo Register'!E36*'Cargo Register'!F36)&lt;0.000001,1,0)</x:f>
        <x:v>1</x:v>
      </x:c>
      <x:c r="F582" s="75" t="n">
        <x:v>1</x:v>
      </x:c>
      <x:c r="G582" s="24" t="str">
        <x:f>IF(E582=F582,"PASS","FAIL")</x:f>
        <x:v>PASS</x:v>
      </x:c>
    </x:row>
    <x:row r="583">
      <x:c r="B583" s="22" t="str">
        <x:v>AC-0577</x:v>
      </x:c>
      <x:c r="C583" s="22" t="str">
        <x:v>cargo</x:v>
      </x:c>
      <x:c r="D583" s="22" t="str">
        <x:v>row 36 cube identity</x:v>
      </x:c>
      <x:c r="E583" s="75" t="n">
        <x:f>IF(ABS('Cargo Register'!I36-'Cargo Register'!E36*'Cargo Register'!G36)&lt;0.000001,1,0)</x:f>
        <x:v>1</x:v>
      </x:c>
      <x:c r="F583" s="75" t="n">
        <x:v>1</x:v>
      </x:c>
      <x:c r="G583" s="24" t="str">
        <x:f>IF(E583=F583,"PASS","FAIL")</x:f>
        <x:v>PASS</x:v>
      </x:c>
    </x:row>
    <x:row r="584">
      <x:c r="B584" s="22" t="str">
        <x:v>AC-0578</x:v>
      </x:c>
      <x:c r="C584" s="22" t="str">
        <x:v>cargo</x:v>
      </x:c>
      <x:c r="D584" s="22" t="str">
        <x:v>row 36 chargeable floor</x:v>
      </x:c>
      <x:c r="E584" s="75" t="n">
        <x:f>IF('Cargo Register'!J36&gt;='Cargo Register'!H36,1,0)</x:f>
        <x:v>1</x:v>
      </x:c>
      <x:c r="F584" s="75" t="n">
        <x:v>1</x:v>
      </x:c>
      <x:c r="G584" s="24" t="str">
        <x:f>IF(E584=F584,"PASS","FAIL")</x:f>
        <x:v>PASS</x:v>
      </x:c>
    </x:row>
    <x:row r="585">
      <x:c r="B585" s="22" t="str">
        <x:v>AC-0579</x:v>
      </x:c>
      <x:c r="C585" s="22" t="str">
        <x:v>cargo</x:v>
      </x:c>
      <x:c r="D585" s="22" t="str">
        <x:v>row 37 mass identity</x:v>
      </x:c>
      <x:c r="E585" s="75" t="n">
        <x:f>IF(ABS('Cargo Register'!H37-'Cargo Register'!E37*'Cargo Register'!F37)&lt;0.000001,1,0)</x:f>
        <x:v>1</x:v>
      </x:c>
      <x:c r="F585" s="75" t="n">
        <x:v>1</x:v>
      </x:c>
      <x:c r="G585" s="24" t="str">
        <x:f>IF(E585=F585,"PASS","FAIL")</x:f>
        <x:v>PASS</x:v>
      </x:c>
    </x:row>
    <x:row r="586">
      <x:c r="B586" s="22" t="str">
        <x:v>AC-0580</x:v>
      </x:c>
      <x:c r="C586" s="22" t="str">
        <x:v>cargo</x:v>
      </x:c>
      <x:c r="D586" s="22" t="str">
        <x:v>row 37 cube identity</x:v>
      </x:c>
      <x:c r="E586" s="75" t="n">
        <x:f>IF(ABS('Cargo Register'!I37-'Cargo Register'!E37*'Cargo Register'!G37)&lt;0.000001,1,0)</x:f>
        <x:v>1</x:v>
      </x:c>
      <x:c r="F586" s="75" t="n">
        <x:v>1</x:v>
      </x:c>
      <x:c r="G586" s="24" t="str">
        <x:f>IF(E586=F586,"PASS","FAIL")</x:f>
        <x:v>PASS</x:v>
      </x:c>
    </x:row>
    <x:row r="587">
      <x:c r="B587" s="22" t="str">
        <x:v>AC-0581</x:v>
      </x:c>
      <x:c r="C587" s="22" t="str">
        <x:v>cargo</x:v>
      </x:c>
      <x:c r="D587" s="22" t="str">
        <x:v>row 37 chargeable floor</x:v>
      </x:c>
      <x:c r="E587" s="75" t="n">
        <x:f>IF('Cargo Register'!J37&gt;='Cargo Register'!H37,1,0)</x:f>
        <x:v>1</x:v>
      </x:c>
      <x:c r="F587" s="75" t="n">
        <x:v>1</x:v>
      </x:c>
      <x:c r="G587" s="24" t="str">
        <x:f>IF(E587=F587,"PASS","FAIL")</x:f>
        <x:v>PASS</x:v>
      </x:c>
    </x:row>
    <x:row r="588">
      <x:c r="B588" s="22" t="str">
        <x:v>AC-0582</x:v>
      </x:c>
      <x:c r="C588" s="22" t="str">
        <x:v>cargo</x:v>
      </x:c>
      <x:c r="D588" s="22" t="str">
        <x:v>row 38 mass identity</x:v>
      </x:c>
      <x:c r="E588" s="75" t="n">
        <x:f>IF(ABS('Cargo Register'!H38-'Cargo Register'!E38*'Cargo Register'!F38)&lt;0.000001,1,0)</x:f>
        <x:v>1</x:v>
      </x:c>
      <x:c r="F588" s="75" t="n">
        <x:v>1</x:v>
      </x:c>
      <x:c r="G588" s="24" t="str">
        <x:f>IF(E588=F588,"PASS","FAIL")</x:f>
        <x:v>PASS</x:v>
      </x:c>
    </x:row>
    <x:row r="589">
      <x:c r="B589" s="22" t="str">
        <x:v>AC-0583</x:v>
      </x:c>
      <x:c r="C589" s="22" t="str">
        <x:v>cargo</x:v>
      </x:c>
      <x:c r="D589" s="22" t="str">
        <x:v>row 38 cube identity</x:v>
      </x:c>
      <x:c r="E589" s="75" t="n">
        <x:f>IF(ABS('Cargo Register'!I38-'Cargo Register'!E38*'Cargo Register'!G38)&lt;0.000001,1,0)</x:f>
        <x:v>1</x:v>
      </x:c>
      <x:c r="F589" s="75" t="n">
        <x:v>1</x:v>
      </x:c>
      <x:c r="G589" s="24" t="str">
        <x:f>IF(E589=F589,"PASS","FAIL")</x:f>
        <x:v>PASS</x:v>
      </x:c>
    </x:row>
    <x:row r="590">
      <x:c r="B590" s="22" t="str">
        <x:v>AC-0584</x:v>
      </x:c>
      <x:c r="C590" s="22" t="str">
        <x:v>cargo</x:v>
      </x:c>
      <x:c r="D590" s="22" t="str">
        <x:v>row 38 chargeable floor</x:v>
      </x:c>
      <x:c r="E590" s="75" t="n">
        <x:f>IF('Cargo Register'!J38&gt;='Cargo Register'!H38,1,0)</x:f>
        <x:v>1</x:v>
      </x:c>
      <x:c r="F590" s="75" t="n">
        <x:v>1</x:v>
      </x:c>
      <x:c r="G590" s="24" t="str">
        <x:f>IF(E590=F590,"PASS","FAIL")</x:f>
        <x:v>PASS</x:v>
      </x:c>
    </x:row>
    <x:row r="591">
      <x:c r="B591" s="22" t="str">
        <x:v>AC-0585</x:v>
      </x:c>
      <x:c r="C591" s="22" t="str">
        <x:v>cargo</x:v>
      </x:c>
      <x:c r="D591" s="22" t="str">
        <x:v>row 39 mass identity</x:v>
      </x:c>
      <x:c r="E591" s="75" t="n">
        <x:f>IF(ABS('Cargo Register'!H39-'Cargo Register'!E39*'Cargo Register'!F39)&lt;0.000001,1,0)</x:f>
        <x:v>1</x:v>
      </x:c>
      <x:c r="F591" s="75" t="n">
        <x:v>1</x:v>
      </x:c>
      <x:c r="G591" s="24" t="str">
        <x:f>IF(E591=F591,"PASS","FAIL")</x:f>
        <x:v>PASS</x:v>
      </x:c>
    </x:row>
    <x:row r="592">
      <x:c r="B592" s="22" t="str">
        <x:v>AC-0586</x:v>
      </x:c>
      <x:c r="C592" s="22" t="str">
        <x:v>cargo</x:v>
      </x:c>
      <x:c r="D592" s="22" t="str">
        <x:v>row 39 cube identity</x:v>
      </x:c>
      <x:c r="E592" s="75" t="n">
        <x:f>IF(ABS('Cargo Register'!I39-'Cargo Register'!E39*'Cargo Register'!G39)&lt;0.000001,1,0)</x:f>
        <x:v>1</x:v>
      </x:c>
      <x:c r="F592" s="75" t="n">
        <x:v>1</x:v>
      </x:c>
      <x:c r="G592" s="24" t="str">
        <x:f>IF(E592=F592,"PASS","FAIL")</x:f>
        <x:v>PASS</x:v>
      </x:c>
    </x:row>
    <x:row r="593">
      <x:c r="B593" s="22" t="str">
        <x:v>AC-0587</x:v>
      </x:c>
      <x:c r="C593" s="22" t="str">
        <x:v>cargo</x:v>
      </x:c>
      <x:c r="D593" s="22" t="str">
        <x:v>row 39 chargeable floor</x:v>
      </x:c>
      <x:c r="E593" s="75" t="n">
        <x:f>IF('Cargo Register'!J39&gt;='Cargo Register'!H39,1,0)</x:f>
        <x:v>1</x:v>
      </x:c>
      <x:c r="F593" s="75" t="n">
        <x:v>1</x:v>
      </x:c>
      <x:c r="G593" s="24" t="str">
        <x:f>IF(E593=F593,"PASS","FAIL")</x:f>
        <x:v>PASS</x:v>
      </x:c>
    </x:row>
    <x:row r="594">
      <x:c r="B594" s="22" t="str">
        <x:v>AC-0588</x:v>
      </x:c>
      <x:c r="C594" s="22" t="str">
        <x:v>cargo</x:v>
      </x:c>
      <x:c r="D594" s="22" t="str">
        <x:v>row 40 mass identity</x:v>
      </x:c>
      <x:c r="E594" s="75" t="n">
        <x:f>IF(ABS('Cargo Register'!H40-'Cargo Register'!E40*'Cargo Register'!F40)&lt;0.000001,1,0)</x:f>
        <x:v>1</x:v>
      </x:c>
      <x:c r="F594" s="75" t="n">
        <x:v>1</x:v>
      </x:c>
      <x:c r="G594" s="24" t="str">
        <x:f>IF(E594=F594,"PASS","FAIL")</x:f>
        <x:v>PASS</x:v>
      </x:c>
    </x:row>
    <x:row r="595">
      <x:c r="B595" s="22" t="str">
        <x:v>AC-0589</x:v>
      </x:c>
      <x:c r="C595" s="22" t="str">
        <x:v>cargo</x:v>
      </x:c>
      <x:c r="D595" s="22" t="str">
        <x:v>row 40 cube identity</x:v>
      </x:c>
      <x:c r="E595" s="75" t="n">
        <x:f>IF(ABS('Cargo Register'!I40-'Cargo Register'!E40*'Cargo Register'!G40)&lt;0.000001,1,0)</x:f>
        <x:v>1</x:v>
      </x:c>
      <x:c r="F595" s="75" t="n">
        <x:v>1</x:v>
      </x:c>
      <x:c r="G595" s="24" t="str">
        <x:f>IF(E595=F595,"PASS","FAIL")</x:f>
        <x:v>PASS</x:v>
      </x:c>
    </x:row>
    <x:row r="596">
      <x:c r="B596" s="22" t="str">
        <x:v>AC-0590</x:v>
      </x:c>
      <x:c r="C596" s="22" t="str">
        <x:v>cargo</x:v>
      </x:c>
      <x:c r="D596" s="22" t="str">
        <x:v>row 40 chargeable floor</x:v>
      </x:c>
      <x:c r="E596" s="75" t="n">
        <x:f>IF('Cargo Register'!J40&gt;='Cargo Register'!H40,1,0)</x:f>
        <x:v>1</x:v>
      </x:c>
      <x:c r="F596" s="75" t="n">
        <x:v>1</x:v>
      </x:c>
      <x:c r="G596" s="24" t="str">
        <x:f>IF(E596=F596,"PASS","FAIL")</x:f>
        <x:v>PASS</x:v>
      </x:c>
    </x:row>
    <x:row r="597">
      <x:c r="B597" s="22" t="str">
        <x:v>AC-0591</x:v>
      </x:c>
      <x:c r="C597" s="22" t="str">
        <x:v>cargo</x:v>
      </x:c>
      <x:c r="D597" s="22" t="str">
        <x:v>row 41 mass identity</x:v>
      </x:c>
      <x:c r="E597" s="75" t="n">
        <x:f>IF(ABS('Cargo Register'!H41-'Cargo Register'!E41*'Cargo Register'!F41)&lt;0.000001,1,0)</x:f>
        <x:v>1</x:v>
      </x:c>
      <x:c r="F597" s="75" t="n">
        <x:v>1</x:v>
      </x:c>
      <x:c r="G597" s="24" t="str">
        <x:f>IF(E597=F597,"PASS","FAIL")</x:f>
        <x:v>PASS</x:v>
      </x:c>
    </x:row>
    <x:row r="598">
      <x:c r="B598" s="22" t="str">
        <x:v>AC-0592</x:v>
      </x:c>
      <x:c r="C598" s="22" t="str">
        <x:v>cargo</x:v>
      </x:c>
      <x:c r="D598" s="22" t="str">
        <x:v>row 41 cube identity</x:v>
      </x:c>
      <x:c r="E598" s="75" t="n">
        <x:f>IF(ABS('Cargo Register'!I41-'Cargo Register'!E41*'Cargo Register'!G41)&lt;0.000001,1,0)</x:f>
        <x:v>1</x:v>
      </x:c>
      <x:c r="F598" s="75" t="n">
        <x:v>1</x:v>
      </x:c>
      <x:c r="G598" s="24" t="str">
        <x:f>IF(E598=F598,"PASS","FAIL")</x:f>
        <x:v>PASS</x:v>
      </x:c>
    </x:row>
    <x:row r="599">
      <x:c r="B599" s="22" t="str">
        <x:v>AC-0593</x:v>
      </x:c>
      <x:c r="C599" s="22" t="str">
        <x:v>cargo</x:v>
      </x:c>
      <x:c r="D599" s="22" t="str">
        <x:v>row 41 chargeable floor</x:v>
      </x:c>
      <x:c r="E599" s="75" t="n">
        <x:f>IF('Cargo Register'!J41&gt;='Cargo Register'!H41,1,0)</x:f>
        <x:v>1</x:v>
      </x:c>
      <x:c r="F599" s="75" t="n">
        <x:v>1</x:v>
      </x:c>
      <x:c r="G599" s="24" t="str">
        <x:f>IF(E599=F599,"PASS","FAIL")</x:f>
        <x:v>PASS</x:v>
      </x:c>
    </x:row>
    <x:row r="600">
      <x:c r="B600" s="22" t="str">
        <x:v>AC-0594</x:v>
      </x:c>
      <x:c r="C600" s="22" t="str">
        <x:v>cargo</x:v>
      </x:c>
      <x:c r="D600" s="22" t="str">
        <x:v>row 42 mass identity</x:v>
      </x:c>
      <x:c r="E600" s="75" t="n">
        <x:f>IF(ABS('Cargo Register'!H42-'Cargo Register'!E42*'Cargo Register'!F42)&lt;0.000001,1,0)</x:f>
        <x:v>1</x:v>
      </x:c>
      <x:c r="F600" s="75" t="n">
        <x:v>1</x:v>
      </x:c>
      <x:c r="G600" s="24" t="str">
        <x:f>IF(E600=F600,"PASS","FAIL")</x:f>
        <x:v>PASS</x:v>
      </x:c>
    </x:row>
    <x:row r="601">
      <x:c r="B601" s="22" t="str">
        <x:v>AC-0595</x:v>
      </x:c>
      <x:c r="C601" s="22" t="str">
        <x:v>cargo</x:v>
      </x:c>
      <x:c r="D601" s="22" t="str">
        <x:v>row 42 cube identity</x:v>
      </x:c>
      <x:c r="E601" s="75" t="n">
        <x:f>IF(ABS('Cargo Register'!I42-'Cargo Register'!E42*'Cargo Register'!G42)&lt;0.000001,1,0)</x:f>
        <x:v>1</x:v>
      </x:c>
      <x:c r="F601" s="75" t="n">
        <x:v>1</x:v>
      </x:c>
      <x:c r="G601" s="24" t="str">
        <x:f>IF(E601=F601,"PASS","FAIL")</x:f>
        <x:v>PASS</x:v>
      </x:c>
    </x:row>
    <x:row r="602">
      <x:c r="B602" s="22" t="str">
        <x:v>AC-0596</x:v>
      </x:c>
      <x:c r="C602" s="22" t="str">
        <x:v>cargo</x:v>
      </x:c>
      <x:c r="D602" s="22" t="str">
        <x:v>row 42 chargeable floor</x:v>
      </x:c>
      <x:c r="E602" s="75" t="n">
        <x:f>IF('Cargo Register'!J42&gt;='Cargo Register'!H42,1,0)</x:f>
        <x:v>1</x:v>
      </x:c>
      <x:c r="F602" s="75" t="n">
        <x:v>1</x:v>
      </x:c>
      <x:c r="G602" s="24" t="str">
        <x:f>IF(E602=F602,"PASS","FAIL")</x:f>
        <x:v>PASS</x:v>
      </x:c>
    </x:row>
    <x:row r="603">
      <x:c r="B603" s="22" t="str">
        <x:v>AC-0597</x:v>
      </x:c>
      <x:c r="C603" s="22" t="str">
        <x:v>cargo</x:v>
      </x:c>
      <x:c r="D603" s="22" t="str">
        <x:v>row 43 mass identity</x:v>
      </x:c>
      <x:c r="E603" s="75" t="n">
        <x:f>IF(ABS('Cargo Register'!H43-'Cargo Register'!E43*'Cargo Register'!F43)&lt;0.000001,1,0)</x:f>
        <x:v>1</x:v>
      </x:c>
      <x:c r="F603" s="75" t="n">
        <x:v>1</x:v>
      </x:c>
      <x:c r="G603" s="24" t="str">
        <x:f>IF(E603=F603,"PASS","FAIL")</x:f>
        <x:v>PASS</x:v>
      </x:c>
    </x:row>
    <x:row r="604">
      <x:c r="B604" s="22" t="str">
        <x:v>AC-0598</x:v>
      </x:c>
      <x:c r="C604" s="22" t="str">
        <x:v>cargo</x:v>
      </x:c>
      <x:c r="D604" s="22" t="str">
        <x:v>row 43 cube identity</x:v>
      </x:c>
      <x:c r="E604" s="75" t="n">
        <x:f>IF(ABS('Cargo Register'!I43-'Cargo Register'!E43*'Cargo Register'!G43)&lt;0.000001,1,0)</x:f>
        <x:v>1</x:v>
      </x:c>
      <x:c r="F604" s="75" t="n">
        <x:v>1</x:v>
      </x:c>
      <x:c r="G604" s="24" t="str">
        <x:f>IF(E604=F604,"PASS","FAIL")</x:f>
        <x:v>PASS</x:v>
      </x:c>
    </x:row>
    <x:row r="605">
      <x:c r="B605" s="22" t="str">
        <x:v>AC-0599</x:v>
      </x:c>
      <x:c r="C605" s="22" t="str">
        <x:v>cargo</x:v>
      </x:c>
      <x:c r="D605" s="22" t="str">
        <x:v>row 43 chargeable floor</x:v>
      </x:c>
      <x:c r="E605" s="75" t="n">
        <x:f>IF('Cargo Register'!J43&gt;='Cargo Register'!H43,1,0)</x:f>
        <x:v>1</x:v>
      </x:c>
      <x:c r="F605" s="75" t="n">
        <x:v>1</x:v>
      </x:c>
      <x:c r="G605" s="24" t="str">
        <x:f>IF(E605=F605,"PASS","FAIL")</x:f>
        <x:v>PASS</x:v>
      </x:c>
    </x:row>
    <x:row r="606">
      <x:c r="B606" s="22" t="str">
        <x:v>AC-0600</x:v>
      </x:c>
      <x:c r="C606" s="22" t="str">
        <x:v>cargo</x:v>
      </x:c>
      <x:c r="D606" s="22" t="str">
        <x:v>row 44 mass identity</x:v>
      </x:c>
      <x:c r="E606" s="75" t="n">
        <x:f>IF(ABS('Cargo Register'!H44-'Cargo Register'!E44*'Cargo Register'!F44)&lt;0.000001,1,0)</x:f>
        <x:v>1</x:v>
      </x:c>
      <x:c r="F606" s="75" t="n">
        <x:v>1</x:v>
      </x:c>
      <x:c r="G606" s="24" t="str">
        <x:f>IF(E606=F606,"PASS","FAIL")</x:f>
        <x:v>PASS</x:v>
      </x:c>
    </x:row>
    <x:row r="607">
      <x:c r="B607" s="22" t="str">
        <x:v>AC-0601</x:v>
      </x:c>
      <x:c r="C607" s="22" t="str">
        <x:v>cargo</x:v>
      </x:c>
      <x:c r="D607" s="22" t="str">
        <x:v>row 44 cube identity</x:v>
      </x:c>
      <x:c r="E607" s="75" t="n">
        <x:f>IF(ABS('Cargo Register'!I44-'Cargo Register'!E44*'Cargo Register'!G44)&lt;0.000001,1,0)</x:f>
        <x:v>1</x:v>
      </x:c>
      <x:c r="F607" s="75" t="n">
        <x:v>1</x:v>
      </x:c>
      <x:c r="G607" s="24" t="str">
        <x:f>IF(E607=F607,"PASS","FAIL")</x:f>
        <x:v>PASS</x:v>
      </x:c>
    </x:row>
    <x:row r="608">
      <x:c r="B608" s="22" t="str">
        <x:v>AC-0602</x:v>
      </x:c>
      <x:c r="C608" s="22" t="str">
        <x:v>cargo</x:v>
      </x:c>
      <x:c r="D608" s="22" t="str">
        <x:v>row 44 chargeable floor</x:v>
      </x:c>
      <x:c r="E608" s="75" t="n">
        <x:f>IF('Cargo Register'!J44&gt;='Cargo Register'!H44,1,0)</x:f>
        <x:v>1</x:v>
      </x:c>
      <x:c r="F608" s="75" t="n">
        <x:v>1</x:v>
      </x:c>
      <x:c r="G608" s="24" t="str">
        <x:f>IF(E608=F608,"PASS","FAIL")</x:f>
        <x:v>PASS</x:v>
      </x:c>
    </x:row>
    <x:row r="609">
      <x:c r="B609" s="22" t="str">
        <x:v>AC-0603</x:v>
      </x:c>
      <x:c r="C609" s="22" t="str">
        <x:v>cargo</x:v>
      </x:c>
      <x:c r="D609" s="22" t="str">
        <x:v>row 45 mass identity</x:v>
      </x:c>
      <x:c r="E609" s="75" t="n">
        <x:f>IF(ABS('Cargo Register'!H45-'Cargo Register'!E45*'Cargo Register'!F45)&lt;0.000001,1,0)</x:f>
        <x:v>1</x:v>
      </x:c>
      <x:c r="F609" s="75" t="n">
        <x:v>1</x:v>
      </x:c>
      <x:c r="G609" s="24" t="str">
        <x:f>IF(E609=F609,"PASS","FAIL")</x:f>
        <x:v>PASS</x:v>
      </x:c>
    </x:row>
    <x:row r="610">
      <x:c r="B610" s="22" t="str">
        <x:v>AC-0604</x:v>
      </x:c>
      <x:c r="C610" s="22" t="str">
        <x:v>cargo</x:v>
      </x:c>
      <x:c r="D610" s="22" t="str">
        <x:v>row 45 cube identity</x:v>
      </x:c>
      <x:c r="E610" s="75" t="n">
        <x:f>IF(ABS('Cargo Register'!I45-'Cargo Register'!E45*'Cargo Register'!G45)&lt;0.000001,1,0)</x:f>
        <x:v>1</x:v>
      </x:c>
      <x:c r="F610" s="75" t="n">
        <x:v>1</x:v>
      </x:c>
      <x:c r="G610" s="24" t="str">
        <x:f>IF(E610=F610,"PASS","FAIL")</x:f>
        <x:v>PASS</x:v>
      </x:c>
    </x:row>
    <x:row r="611">
      <x:c r="B611" s="22" t="str">
        <x:v>AC-0605</x:v>
      </x:c>
      <x:c r="C611" s="22" t="str">
        <x:v>cargo</x:v>
      </x:c>
      <x:c r="D611" s="22" t="str">
        <x:v>row 45 chargeable floor</x:v>
      </x:c>
      <x:c r="E611" s="75" t="n">
        <x:f>IF('Cargo Register'!J45&gt;='Cargo Register'!H45,1,0)</x:f>
        <x:v>1</x:v>
      </x:c>
      <x:c r="F611" s="75" t="n">
        <x:v>1</x:v>
      </x:c>
      <x:c r="G611" s="24" t="str">
        <x:f>IF(E611=F611,"PASS","FAIL")</x:f>
        <x:v>PASS</x:v>
      </x:c>
    </x:row>
    <x:row r="612">
      <x:c r="B612" s="22" t="str">
        <x:v>AC-0606</x:v>
      </x:c>
      <x:c r="C612" s="22" t="str">
        <x:v>evidence</x:v>
      </x:c>
      <x:c r="D612" s="22" t="str">
        <x:v>claim 7 zero accepted</x:v>
      </x:c>
      <x:c r="E612" s="75" t="n">
        <x:f>IF('Evidence Plan'!J7=0,1,0)</x:f>
        <x:v>1</x:v>
      </x:c>
      <x:c r="F612" s="75" t="n">
        <x:v>1</x:v>
      </x:c>
      <x:c r="G612" s="24" t="str">
        <x:f>IF(E612=F612,"PASS","FAIL")</x:f>
        <x:v>PASS</x:v>
      </x:c>
    </x:row>
    <x:row r="613">
      <x:c r="B613" s="22" t="str">
        <x:v>AC-0607</x:v>
      </x:c>
      <x:c r="C613" s="22" t="str">
        <x:v>evidence</x:v>
      </x:c>
      <x:c r="D613" s="22" t="str">
        <x:v>claim 7 zero credit</x:v>
      </x:c>
      <x:c r="E613" s="75" t="n">
        <x:f>IF('Evidence Plan'!K7=0,1,0)</x:f>
        <x:v>1</x:v>
      </x:c>
      <x:c r="F613" s="75" t="n">
        <x:v>1</x:v>
      </x:c>
      <x:c r="G613" s="24" t="str">
        <x:f>IF(E613=F613,"PASS","FAIL")</x:f>
        <x:v>PASS</x:v>
      </x:c>
    </x:row>
    <x:row r="614">
      <x:c r="B614" s="22" t="str">
        <x:v>AC-0608</x:v>
      </x:c>
      <x:c r="C614" s="22" t="str">
        <x:v>evidence</x:v>
      </x:c>
      <x:c r="D614" s="22" t="str">
        <x:v>claim 7 admission held</x:v>
      </x:c>
      <x:c r="E614" s="75" t="n">
        <x:f>IF('Evidence Plan'!L7="HOLD",1,0)</x:f>
        <x:v>1</x:v>
      </x:c>
      <x:c r="F614" s="75" t="n">
        <x:v>1</x:v>
      </x:c>
      <x:c r="G614" s="24" t="str">
        <x:f>IF(E614=F614,"PASS","FAIL")</x:f>
        <x:v>PASS</x:v>
      </x:c>
    </x:row>
    <x:row r="615">
      <x:c r="B615" s="22" t="str">
        <x:v>AC-0609</x:v>
      </x:c>
      <x:c r="C615" s="22" t="str">
        <x:v>evidence</x:v>
      </x:c>
      <x:c r="D615" s="22" t="str">
        <x:v>claim 8 zero accepted</x:v>
      </x:c>
      <x:c r="E615" s="75" t="n">
        <x:f>IF('Evidence Plan'!J8=0,1,0)</x:f>
        <x:v>1</x:v>
      </x:c>
      <x:c r="F615" s="75" t="n">
        <x:v>1</x:v>
      </x:c>
      <x:c r="G615" s="24" t="str">
        <x:f>IF(E615=F615,"PASS","FAIL")</x:f>
        <x:v>PASS</x:v>
      </x:c>
    </x:row>
    <x:row r="616">
      <x:c r="B616" s="22" t="str">
        <x:v>AC-0610</x:v>
      </x:c>
      <x:c r="C616" s="22" t="str">
        <x:v>evidence</x:v>
      </x:c>
      <x:c r="D616" s="22" t="str">
        <x:v>claim 8 zero credit</x:v>
      </x:c>
      <x:c r="E616" s="75" t="n">
        <x:f>IF('Evidence Plan'!K8=0,1,0)</x:f>
        <x:v>1</x:v>
      </x:c>
      <x:c r="F616" s="75" t="n">
        <x:v>1</x:v>
      </x:c>
      <x:c r="G616" s="24" t="str">
        <x:f>IF(E616=F616,"PASS","FAIL")</x:f>
        <x:v>PASS</x:v>
      </x:c>
    </x:row>
    <x:row r="617">
      <x:c r="B617" s="22" t="str">
        <x:v>AC-0611</x:v>
      </x:c>
      <x:c r="C617" s="22" t="str">
        <x:v>evidence</x:v>
      </x:c>
      <x:c r="D617" s="22" t="str">
        <x:v>claim 8 admission held</x:v>
      </x:c>
      <x:c r="E617" s="75" t="n">
        <x:f>IF('Evidence Plan'!L8="HOLD",1,0)</x:f>
        <x:v>1</x:v>
      </x:c>
      <x:c r="F617" s="75" t="n">
        <x:v>1</x:v>
      </x:c>
      <x:c r="G617" s="24" t="str">
        <x:f>IF(E617=F617,"PASS","FAIL")</x:f>
        <x:v>PASS</x:v>
      </x:c>
    </x:row>
    <x:row r="618">
      <x:c r="B618" s="22" t="str">
        <x:v>AC-0612</x:v>
      </x:c>
      <x:c r="C618" s="22" t="str">
        <x:v>evidence</x:v>
      </x:c>
      <x:c r="D618" s="22" t="str">
        <x:v>claim 9 zero accepted</x:v>
      </x:c>
      <x:c r="E618" s="75" t="n">
        <x:f>IF('Evidence Plan'!J9=0,1,0)</x:f>
        <x:v>1</x:v>
      </x:c>
      <x:c r="F618" s="75" t="n">
        <x:v>1</x:v>
      </x:c>
      <x:c r="G618" s="24" t="str">
        <x:f>IF(E618=F618,"PASS","FAIL")</x:f>
        <x:v>PASS</x:v>
      </x:c>
    </x:row>
    <x:row r="619">
      <x:c r="B619" s="22" t="str">
        <x:v>AC-0613</x:v>
      </x:c>
      <x:c r="C619" s="22" t="str">
        <x:v>evidence</x:v>
      </x:c>
      <x:c r="D619" s="22" t="str">
        <x:v>claim 9 zero credit</x:v>
      </x:c>
      <x:c r="E619" s="75" t="n">
        <x:f>IF('Evidence Plan'!K9=0,1,0)</x:f>
        <x:v>1</x:v>
      </x:c>
      <x:c r="F619" s="75" t="n">
        <x:v>1</x:v>
      </x:c>
      <x:c r="G619" s="24" t="str">
        <x:f>IF(E619=F619,"PASS","FAIL")</x:f>
        <x:v>PASS</x:v>
      </x:c>
    </x:row>
    <x:row r="620">
      <x:c r="B620" s="22" t="str">
        <x:v>AC-0614</x:v>
      </x:c>
      <x:c r="C620" s="22" t="str">
        <x:v>evidence</x:v>
      </x:c>
      <x:c r="D620" s="22" t="str">
        <x:v>claim 9 admission held</x:v>
      </x:c>
      <x:c r="E620" s="75" t="n">
        <x:f>IF('Evidence Plan'!L9="HOLD",1,0)</x:f>
        <x:v>1</x:v>
      </x:c>
      <x:c r="F620" s="75" t="n">
        <x:v>1</x:v>
      </x:c>
      <x:c r="G620" s="24" t="str">
        <x:f>IF(E620=F620,"PASS","FAIL")</x:f>
        <x:v>PASS</x:v>
      </x:c>
    </x:row>
    <x:row r="621">
      <x:c r="B621" s="22" t="str">
        <x:v>AC-0615</x:v>
      </x:c>
      <x:c r="C621" s="22" t="str">
        <x:v>evidence</x:v>
      </x:c>
      <x:c r="D621" s="22" t="str">
        <x:v>claim 10 zero accepted</x:v>
      </x:c>
      <x:c r="E621" s="75" t="n">
        <x:f>IF('Evidence Plan'!J10=0,1,0)</x:f>
        <x:v>1</x:v>
      </x:c>
      <x:c r="F621" s="75" t="n">
        <x:v>1</x:v>
      </x:c>
      <x:c r="G621" s="24" t="str">
        <x:f>IF(E621=F621,"PASS","FAIL")</x:f>
        <x:v>PASS</x:v>
      </x:c>
    </x:row>
    <x:row r="622">
      <x:c r="B622" s="22" t="str">
        <x:v>AC-0616</x:v>
      </x:c>
      <x:c r="C622" s="22" t="str">
        <x:v>evidence</x:v>
      </x:c>
      <x:c r="D622" s="22" t="str">
        <x:v>claim 10 zero credit</x:v>
      </x:c>
      <x:c r="E622" s="75" t="n">
        <x:f>IF('Evidence Plan'!K10=0,1,0)</x:f>
        <x:v>1</x:v>
      </x:c>
      <x:c r="F622" s="75" t="n">
        <x:v>1</x:v>
      </x:c>
      <x:c r="G622" s="24" t="str">
        <x:f>IF(E622=F622,"PASS","FAIL")</x:f>
        <x:v>PASS</x:v>
      </x:c>
    </x:row>
    <x:row r="623">
      <x:c r="B623" s="22" t="str">
        <x:v>AC-0617</x:v>
      </x:c>
      <x:c r="C623" s="22" t="str">
        <x:v>evidence</x:v>
      </x:c>
      <x:c r="D623" s="22" t="str">
        <x:v>claim 10 admission held</x:v>
      </x:c>
      <x:c r="E623" s="75" t="n">
        <x:f>IF('Evidence Plan'!L10="HOLD",1,0)</x:f>
        <x:v>1</x:v>
      </x:c>
      <x:c r="F623" s="75" t="n">
        <x:v>1</x:v>
      </x:c>
      <x:c r="G623" s="24" t="str">
        <x:f>IF(E623=F623,"PASS","FAIL")</x:f>
        <x:v>PASS</x:v>
      </x:c>
    </x:row>
    <x:row r="624">
      <x:c r="B624" s="22" t="str">
        <x:v>AC-0618</x:v>
      </x:c>
      <x:c r="C624" s="22" t="str">
        <x:v>evidence</x:v>
      </x:c>
      <x:c r="D624" s="22" t="str">
        <x:v>claim 11 zero accepted</x:v>
      </x:c>
      <x:c r="E624" s="75" t="n">
        <x:f>IF('Evidence Plan'!J11=0,1,0)</x:f>
        <x:v>1</x:v>
      </x:c>
      <x:c r="F624" s="75" t="n">
        <x:v>1</x:v>
      </x:c>
      <x:c r="G624" s="24" t="str">
        <x:f>IF(E624=F624,"PASS","FAIL")</x:f>
        <x:v>PASS</x:v>
      </x:c>
    </x:row>
    <x:row r="625">
      <x:c r="B625" s="22" t="str">
        <x:v>AC-0619</x:v>
      </x:c>
      <x:c r="C625" s="22" t="str">
        <x:v>evidence</x:v>
      </x:c>
      <x:c r="D625" s="22" t="str">
        <x:v>claim 11 zero credit</x:v>
      </x:c>
      <x:c r="E625" s="75" t="n">
        <x:f>IF('Evidence Plan'!K11=0,1,0)</x:f>
        <x:v>1</x:v>
      </x:c>
      <x:c r="F625" s="75" t="n">
        <x:v>1</x:v>
      </x:c>
      <x:c r="G625" s="24" t="str">
        <x:f>IF(E625=F625,"PASS","FAIL")</x:f>
        <x:v>PASS</x:v>
      </x:c>
    </x:row>
    <x:row r="626">
      <x:c r="B626" s="22" t="str">
        <x:v>AC-0620</x:v>
      </x:c>
      <x:c r="C626" s="22" t="str">
        <x:v>evidence</x:v>
      </x:c>
      <x:c r="D626" s="22" t="str">
        <x:v>claim 11 admission held</x:v>
      </x:c>
      <x:c r="E626" s="75" t="n">
        <x:f>IF('Evidence Plan'!L11="HOLD",1,0)</x:f>
        <x:v>1</x:v>
      </x:c>
      <x:c r="F626" s="75" t="n">
        <x:v>1</x:v>
      </x:c>
      <x:c r="G626" s="24" t="str">
        <x:f>IF(E626=F626,"PASS","FAIL")</x:f>
        <x:v>PASS</x:v>
      </x:c>
    </x:row>
    <x:row r="627">
      <x:c r="B627" s="22" t="str">
        <x:v>AC-0621</x:v>
      </x:c>
      <x:c r="C627" s="22" t="str">
        <x:v>evidence</x:v>
      </x:c>
      <x:c r="D627" s="22" t="str">
        <x:v>claim 12 zero accepted</x:v>
      </x:c>
      <x:c r="E627" s="75" t="n">
        <x:f>IF('Evidence Plan'!J12=0,1,0)</x:f>
        <x:v>1</x:v>
      </x:c>
      <x:c r="F627" s="75" t="n">
        <x:v>1</x:v>
      </x:c>
      <x:c r="G627" s="24" t="str">
        <x:f>IF(E627=F627,"PASS","FAIL")</x:f>
        <x:v>PASS</x:v>
      </x:c>
    </x:row>
    <x:row r="628">
      <x:c r="B628" s="22" t="str">
        <x:v>AC-0622</x:v>
      </x:c>
      <x:c r="C628" s="22" t="str">
        <x:v>evidence</x:v>
      </x:c>
      <x:c r="D628" s="22" t="str">
        <x:v>claim 12 zero credit</x:v>
      </x:c>
      <x:c r="E628" s="75" t="n">
        <x:f>IF('Evidence Plan'!K12=0,1,0)</x:f>
        <x:v>1</x:v>
      </x:c>
      <x:c r="F628" s="75" t="n">
        <x:v>1</x:v>
      </x:c>
      <x:c r="G628" s="24" t="str">
        <x:f>IF(E628=F628,"PASS","FAIL")</x:f>
        <x:v>PASS</x:v>
      </x:c>
    </x:row>
    <x:row r="629">
      <x:c r="B629" s="22" t="str">
        <x:v>AC-0623</x:v>
      </x:c>
      <x:c r="C629" s="22" t="str">
        <x:v>evidence</x:v>
      </x:c>
      <x:c r="D629" s="22" t="str">
        <x:v>claim 12 admission held</x:v>
      </x:c>
      <x:c r="E629" s="75" t="n">
        <x:f>IF('Evidence Plan'!L12="HOLD",1,0)</x:f>
        <x:v>1</x:v>
      </x:c>
      <x:c r="F629" s="75" t="n">
        <x:v>1</x:v>
      </x:c>
      <x:c r="G629" s="24" t="str">
        <x:f>IF(E629=F629,"PASS","FAIL")</x:f>
        <x:v>PASS</x:v>
      </x:c>
    </x:row>
    <x:row r="630">
      <x:c r="B630" s="22" t="str">
        <x:v>AC-0624</x:v>
      </x:c>
      <x:c r="C630" s="22" t="str">
        <x:v>evidence</x:v>
      </x:c>
      <x:c r="D630" s="22" t="str">
        <x:v>claim 13 zero accepted</x:v>
      </x:c>
      <x:c r="E630" s="75" t="n">
        <x:f>IF('Evidence Plan'!J13=0,1,0)</x:f>
        <x:v>1</x:v>
      </x:c>
      <x:c r="F630" s="75" t="n">
        <x:v>1</x:v>
      </x:c>
      <x:c r="G630" s="24" t="str">
        <x:f>IF(E630=F630,"PASS","FAIL")</x:f>
        <x:v>PASS</x:v>
      </x:c>
    </x:row>
    <x:row r="631">
      <x:c r="B631" s="22" t="str">
        <x:v>AC-0625</x:v>
      </x:c>
      <x:c r="C631" s="22" t="str">
        <x:v>evidence</x:v>
      </x:c>
      <x:c r="D631" s="22" t="str">
        <x:v>claim 13 zero credit</x:v>
      </x:c>
      <x:c r="E631" s="75" t="n">
        <x:f>IF('Evidence Plan'!K13=0,1,0)</x:f>
        <x:v>1</x:v>
      </x:c>
      <x:c r="F631" s="75" t="n">
        <x:v>1</x:v>
      </x:c>
      <x:c r="G631" s="24" t="str">
        <x:f>IF(E631=F631,"PASS","FAIL")</x:f>
        <x:v>PASS</x:v>
      </x:c>
    </x:row>
    <x:row r="632">
      <x:c r="B632" s="22" t="str">
        <x:v>AC-0626</x:v>
      </x:c>
      <x:c r="C632" s="22" t="str">
        <x:v>evidence</x:v>
      </x:c>
      <x:c r="D632" s="22" t="str">
        <x:v>claim 13 admission held</x:v>
      </x:c>
      <x:c r="E632" s="75" t="n">
        <x:f>IF('Evidence Plan'!L13="HOLD",1,0)</x:f>
        <x:v>1</x:v>
      </x:c>
      <x:c r="F632" s="75" t="n">
        <x:v>1</x:v>
      </x:c>
      <x:c r="G632" s="24" t="str">
        <x:f>IF(E632=F632,"PASS","FAIL")</x:f>
        <x:v>PASS</x:v>
      </x:c>
    </x:row>
    <x:row r="633">
      <x:c r="B633" s="22" t="str">
        <x:v>AC-0627</x:v>
      </x:c>
      <x:c r="C633" s="22" t="str">
        <x:v>evidence</x:v>
      </x:c>
      <x:c r="D633" s="22" t="str">
        <x:v>claim 14 zero accepted</x:v>
      </x:c>
      <x:c r="E633" s="75" t="n">
        <x:f>IF('Evidence Plan'!J14=0,1,0)</x:f>
        <x:v>1</x:v>
      </x:c>
      <x:c r="F633" s="75" t="n">
        <x:v>1</x:v>
      </x:c>
      <x:c r="G633" s="24" t="str">
        <x:f>IF(E633=F633,"PASS","FAIL")</x:f>
        <x:v>PASS</x:v>
      </x:c>
    </x:row>
    <x:row r="634">
      <x:c r="B634" s="22" t="str">
        <x:v>AC-0628</x:v>
      </x:c>
      <x:c r="C634" s="22" t="str">
        <x:v>evidence</x:v>
      </x:c>
      <x:c r="D634" s="22" t="str">
        <x:v>claim 14 zero credit</x:v>
      </x:c>
      <x:c r="E634" s="75" t="n">
        <x:f>IF('Evidence Plan'!K14=0,1,0)</x:f>
        <x:v>1</x:v>
      </x:c>
      <x:c r="F634" s="75" t="n">
        <x:v>1</x:v>
      </x:c>
      <x:c r="G634" s="24" t="str">
        <x:f>IF(E634=F634,"PASS","FAIL")</x:f>
        <x:v>PASS</x:v>
      </x:c>
    </x:row>
    <x:row r="635">
      <x:c r="B635" s="22" t="str">
        <x:v>AC-0629</x:v>
      </x:c>
      <x:c r="C635" s="22" t="str">
        <x:v>evidence</x:v>
      </x:c>
      <x:c r="D635" s="22" t="str">
        <x:v>claim 14 admission held</x:v>
      </x:c>
      <x:c r="E635" s="75" t="n">
        <x:f>IF('Evidence Plan'!L14="HOLD",1,0)</x:f>
        <x:v>1</x:v>
      </x:c>
      <x:c r="F635" s="75" t="n">
        <x:v>1</x:v>
      </x:c>
      <x:c r="G635" s="24" t="str">
        <x:f>IF(E635=F635,"PASS","FAIL")</x:f>
        <x:v>PASS</x:v>
      </x:c>
    </x:row>
    <x:row r="636">
      <x:c r="B636" s="22" t="str">
        <x:v>AC-0630</x:v>
      </x:c>
      <x:c r="C636" s="22" t="str">
        <x:v>evidence</x:v>
      </x:c>
      <x:c r="D636" s="22" t="str">
        <x:v>claim 15 zero accepted</x:v>
      </x:c>
      <x:c r="E636" s="75" t="n">
        <x:f>IF('Evidence Plan'!J15=0,1,0)</x:f>
        <x:v>1</x:v>
      </x:c>
      <x:c r="F636" s="75" t="n">
        <x:v>1</x:v>
      </x:c>
      <x:c r="G636" s="24" t="str">
        <x:f>IF(E636=F636,"PASS","FAIL")</x:f>
        <x:v>PASS</x:v>
      </x:c>
    </x:row>
    <x:row r="637">
      <x:c r="B637" s="22" t="str">
        <x:v>AC-0631</x:v>
      </x:c>
      <x:c r="C637" s="22" t="str">
        <x:v>evidence</x:v>
      </x:c>
      <x:c r="D637" s="22" t="str">
        <x:v>claim 15 zero credit</x:v>
      </x:c>
      <x:c r="E637" s="75" t="n">
        <x:f>IF('Evidence Plan'!K15=0,1,0)</x:f>
        <x:v>1</x:v>
      </x:c>
      <x:c r="F637" s="75" t="n">
        <x:v>1</x:v>
      </x:c>
      <x:c r="G637" s="24" t="str">
        <x:f>IF(E637=F637,"PASS","FAIL")</x:f>
        <x:v>PASS</x:v>
      </x:c>
    </x:row>
    <x:row r="638">
      <x:c r="B638" s="22" t="str">
        <x:v>AC-0632</x:v>
      </x:c>
      <x:c r="C638" s="22" t="str">
        <x:v>evidence</x:v>
      </x:c>
      <x:c r="D638" s="22" t="str">
        <x:v>claim 15 admission held</x:v>
      </x:c>
      <x:c r="E638" s="75" t="n">
        <x:f>IF('Evidence Plan'!L15="HOLD",1,0)</x:f>
        <x:v>1</x:v>
      </x:c>
      <x:c r="F638" s="75" t="n">
        <x:v>1</x:v>
      </x:c>
      <x:c r="G638" s="24" t="str">
        <x:f>IF(E638=F638,"PASS","FAIL")</x:f>
        <x:v>PASS</x:v>
      </x:c>
    </x:row>
    <x:row r="639">
      <x:c r="B639" s="22" t="str">
        <x:v>AC-0633</x:v>
      </x:c>
      <x:c r="C639" s="22" t="str">
        <x:v>evidence</x:v>
      </x:c>
      <x:c r="D639" s="22" t="str">
        <x:v>claim 16 zero accepted</x:v>
      </x:c>
      <x:c r="E639" s="75" t="n">
        <x:f>IF('Evidence Plan'!J16=0,1,0)</x:f>
        <x:v>1</x:v>
      </x:c>
      <x:c r="F639" s="75" t="n">
        <x:v>1</x:v>
      </x:c>
      <x:c r="G639" s="24" t="str">
        <x:f>IF(E639=F639,"PASS","FAIL")</x:f>
        <x:v>PASS</x:v>
      </x:c>
    </x:row>
    <x:row r="640">
      <x:c r="B640" s="22" t="str">
        <x:v>AC-0634</x:v>
      </x:c>
      <x:c r="C640" s="22" t="str">
        <x:v>evidence</x:v>
      </x:c>
      <x:c r="D640" s="22" t="str">
        <x:v>claim 16 zero credit</x:v>
      </x:c>
      <x:c r="E640" s="75" t="n">
        <x:f>IF('Evidence Plan'!K16=0,1,0)</x:f>
        <x:v>1</x:v>
      </x:c>
      <x:c r="F640" s="75" t="n">
        <x:v>1</x:v>
      </x:c>
      <x:c r="G640" s="24" t="str">
        <x:f>IF(E640=F640,"PASS","FAIL")</x:f>
        <x:v>PASS</x:v>
      </x:c>
    </x:row>
    <x:row r="641">
      <x:c r="B641" s="22" t="str">
        <x:v>AC-0635</x:v>
      </x:c>
      <x:c r="C641" s="22" t="str">
        <x:v>evidence</x:v>
      </x:c>
      <x:c r="D641" s="22" t="str">
        <x:v>claim 16 admission held</x:v>
      </x:c>
      <x:c r="E641" s="75" t="n">
        <x:f>IF('Evidence Plan'!L16="HOLD",1,0)</x:f>
        <x:v>1</x:v>
      </x:c>
      <x:c r="F641" s="75" t="n">
        <x:v>1</x:v>
      </x:c>
      <x:c r="G641" s="24" t="str">
        <x:f>IF(E641=F641,"PASS","FAIL")</x:f>
        <x:v>PASS</x:v>
      </x:c>
    </x:row>
    <x:row r="642">
      <x:c r="B642" s="22" t="str">
        <x:v>AC-0636</x:v>
      </x:c>
      <x:c r="C642" s="22" t="str">
        <x:v>evidence</x:v>
      </x:c>
      <x:c r="D642" s="22" t="str">
        <x:v>claim 17 zero accepted</x:v>
      </x:c>
      <x:c r="E642" s="75" t="n">
        <x:f>IF('Evidence Plan'!J17=0,1,0)</x:f>
        <x:v>1</x:v>
      </x:c>
      <x:c r="F642" s="75" t="n">
        <x:v>1</x:v>
      </x:c>
      <x:c r="G642" s="24" t="str">
        <x:f>IF(E642=F642,"PASS","FAIL")</x:f>
        <x:v>PASS</x:v>
      </x:c>
    </x:row>
    <x:row r="643">
      <x:c r="B643" s="22" t="str">
        <x:v>AC-0637</x:v>
      </x:c>
      <x:c r="C643" s="22" t="str">
        <x:v>evidence</x:v>
      </x:c>
      <x:c r="D643" s="22" t="str">
        <x:v>claim 17 zero credit</x:v>
      </x:c>
      <x:c r="E643" s="75" t="n">
        <x:f>IF('Evidence Plan'!K17=0,1,0)</x:f>
        <x:v>1</x:v>
      </x:c>
      <x:c r="F643" s="75" t="n">
        <x:v>1</x:v>
      </x:c>
      <x:c r="G643" s="24" t="str">
        <x:f>IF(E643=F643,"PASS","FAIL")</x:f>
        <x:v>PASS</x:v>
      </x:c>
    </x:row>
    <x:row r="644">
      <x:c r="B644" s="22" t="str">
        <x:v>AC-0638</x:v>
      </x:c>
      <x:c r="C644" s="22" t="str">
        <x:v>evidence</x:v>
      </x:c>
      <x:c r="D644" s="22" t="str">
        <x:v>claim 17 admission held</x:v>
      </x:c>
      <x:c r="E644" s="75" t="n">
        <x:f>IF('Evidence Plan'!L17="HOLD",1,0)</x:f>
        <x:v>1</x:v>
      </x:c>
      <x:c r="F644" s="75" t="n">
        <x:v>1</x:v>
      </x:c>
      <x:c r="G644" s="24" t="str">
        <x:f>IF(E644=F644,"PASS","FAIL")</x:f>
        <x:v>PASS</x:v>
      </x:c>
    </x:row>
    <x:row r="645">
      <x:c r="B645" s="22" t="str">
        <x:v>AC-0639</x:v>
      </x:c>
      <x:c r="C645" s="22" t="str">
        <x:v>evidence</x:v>
      </x:c>
      <x:c r="D645" s="22" t="str">
        <x:v>claim 18 zero accepted</x:v>
      </x:c>
      <x:c r="E645" s="75" t="n">
        <x:f>IF('Evidence Plan'!J18=0,1,0)</x:f>
        <x:v>1</x:v>
      </x:c>
      <x:c r="F645" s="75" t="n">
        <x:v>1</x:v>
      </x:c>
      <x:c r="G645" s="24" t="str">
        <x:f>IF(E645=F645,"PASS","FAIL")</x:f>
        <x:v>PASS</x:v>
      </x:c>
    </x:row>
    <x:row r="646">
      <x:c r="B646" s="22" t="str">
        <x:v>AC-0640</x:v>
      </x:c>
      <x:c r="C646" s="22" t="str">
        <x:v>evidence</x:v>
      </x:c>
      <x:c r="D646" s="22" t="str">
        <x:v>claim 18 zero credit</x:v>
      </x:c>
      <x:c r="E646" s="75" t="n">
        <x:f>IF('Evidence Plan'!K18=0,1,0)</x:f>
        <x:v>1</x:v>
      </x:c>
      <x:c r="F646" s="75" t="n">
        <x:v>1</x:v>
      </x:c>
      <x:c r="G646" s="24" t="str">
        <x:f>IF(E646=F646,"PASS","FAIL")</x:f>
        <x:v>PASS</x:v>
      </x:c>
    </x:row>
    <x:row r="647">
      <x:c r="B647" s="22" t="str">
        <x:v>AC-0641</x:v>
      </x:c>
      <x:c r="C647" s="22" t="str">
        <x:v>evidence</x:v>
      </x:c>
      <x:c r="D647" s="22" t="str">
        <x:v>claim 18 admission held</x:v>
      </x:c>
      <x:c r="E647" s="75" t="n">
        <x:f>IF('Evidence Plan'!L18="HOLD",1,0)</x:f>
        <x:v>1</x:v>
      </x:c>
      <x:c r="F647" s="75" t="n">
        <x:v>1</x:v>
      </x:c>
      <x:c r="G647" s="24" t="str">
        <x:f>IF(E647=F647,"PASS","FAIL")</x:f>
        <x:v>PASS</x:v>
      </x:c>
    </x:row>
    <x:row r="648">
      <x:c r="B648" s="22" t="str">
        <x:v>AC-0642</x:v>
      </x:c>
      <x:c r="C648" s="22" t="str">
        <x:v>evidence</x:v>
      </x:c>
      <x:c r="D648" s="22" t="str">
        <x:v>claim 19 zero accepted</x:v>
      </x:c>
      <x:c r="E648" s="75" t="n">
        <x:f>IF('Evidence Plan'!J19=0,1,0)</x:f>
        <x:v>1</x:v>
      </x:c>
      <x:c r="F648" s="75" t="n">
        <x:v>1</x:v>
      </x:c>
      <x:c r="G648" s="24" t="str">
        <x:f>IF(E648=F648,"PASS","FAIL")</x:f>
        <x:v>PASS</x:v>
      </x:c>
    </x:row>
    <x:row r="649">
      <x:c r="B649" s="22" t="str">
        <x:v>AC-0643</x:v>
      </x:c>
      <x:c r="C649" s="22" t="str">
        <x:v>evidence</x:v>
      </x:c>
      <x:c r="D649" s="22" t="str">
        <x:v>claim 19 zero credit</x:v>
      </x:c>
      <x:c r="E649" s="75" t="n">
        <x:f>IF('Evidence Plan'!K19=0,1,0)</x:f>
        <x:v>1</x:v>
      </x:c>
      <x:c r="F649" s="75" t="n">
        <x:v>1</x:v>
      </x:c>
      <x:c r="G649" s="24" t="str">
        <x:f>IF(E649=F649,"PASS","FAIL")</x:f>
        <x:v>PASS</x:v>
      </x:c>
    </x:row>
    <x:row r="650">
      <x:c r="B650" s="22" t="str">
        <x:v>AC-0644</x:v>
      </x:c>
      <x:c r="C650" s="22" t="str">
        <x:v>evidence</x:v>
      </x:c>
      <x:c r="D650" s="22" t="str">
        <x:v>claim 19 admission held</x:v>
      </x:c>
      <x:c r="E650" s="75" t="n">
        <x:f>IF('Evidence Plan'!L19="HOLD",1,0)</x:f>
        <x:v>1</x:v>
      </x:c>
      <x:c r="F650" s="75" t="n">
        <x:v>1</x:v>
      </x:c>
      <x:c r="G650" s="24" t="str">
        <x:f>IF(E650=F650,"PASS","FAIL")</x:f>
        <x:v>PASS</x:v>
      </x:c>
    </x:row>
    <x:row r="651">
      <x:c r="B651" s="22" t="str">
        <x:v>AC-0645</x:v>
      </x:c>
      <x:c r="C651" s="22" t="str">
        <x:v>evidence</x:v>
      </x:c>
      <x:c r="D651" s="22" t="str">
        <x:v>claim 20 zero accepted</x:v>
      </x:c>
      <x:c r="E651" s="75" t="n">
        <x:f>IF('Evidence Plan'!J20=0,1,0)</x:f>
        <x:v>1</x:v>
      </x:c>
      <x:c r="F651" s="75" t="n">
        <x:v>1</x:v>
      </x:c>
      <x:c r="G651" s="24" t="str">
        <x:f>IF(E651=F651,"PASS","FAIL")</x:f>
        <x:v>PASS</x:v>
      </x:c>
    </x:row>
    <x:row r="652">
      <x:c r="B652" s="22" t="str">
        <x:v>AC-0646</x:v>
      </x:c>
      <x:c r="C652" s="22" t="str">
        <x:v>evidence</x:v>
      </x:c>
      <x:c r="D652" s="22" t="str">
        <x:v>claim 20 zero credit</x:v>
      </x:c>
      <x:c r="E652" s="75" t="n">
        <x:f>IF('Evidence Plan'!K20=0,1,0)</x:f>
        <x:v>1</x:v>
      </x:c>
      <x:c r="F652" s="75" t="n">
        <x:v>1</x:v>
      </x:c>
      <x:c r="G652" s="24" t="str">
        <x:f>IF(E652=F652,"PASS","FAIL")</x:f>
        <x:v>PASS</x:v>
      </x:c>
    </x:row>
    <x:row r="653">
      <x:c r="B653" s="22" t="str">
        <x:v>AC-0647</x:v>
      </x:c>
      <x:c r="C653" s="22" t="str">
        <x:v>evidence</x:v>
      </x:c>
      <x:c r="D653" s="22" t="str">
        <x:v>claim 20 admission held</x:v>
      </x:c>
      <x:c r="E653" s="75" t="n">
        <x:f>IF('Evidence Plan'!L20="HOLD",1,0)</x:f>
        <x:v>1</x:v>
      </x:c>
      <x:c r="F653" s="75" t="n">
        <x:v>1</x:v>
      </x:c>
      <x:c r="G653" s="24" t="str">
        <x:f>IF(E653=F653,"PASS","FAIL")</x:f>
        <x:v>PASS</x:v>
      </x:c>
    </x:row>
    <x:row r="654">
      <x:c r="B654" s="22" t="str">
        <x:v>AC-0648</x:v>
      </x:c>
      <x:c r="C654" s="22" t="str">
        <x:v>evidence</x:v>
      </x:c>
      <x:c r="D654" s="22" t="str">
        <x:v>claim 21 zero accepted</x:v>
      </x:c>
      <x:c r="E654" s="75" t="n">
        <x:f>IF('Evidence Plan'!J21=0,1,0)</x:f>
        <x:v>1</x:v>
      </x:c>
      <x:c r="F654" s="75" t="n">
        <x:v>1</x:v>
      </x:c>
      <x:c r="G654" s="24" t="str">
        <x:f>IF(E654=F654,"PASS","FAIL")</x:f>
        <x:v>PASS</x:v>
      </x:c>
    </x:row>
    <x:row r="655">
      <x:c r="B655" s="22" t="str">
        <x:v>AC-0649</x:v>
      </x:c>
      <x:c r="C655" s="22" t="str">
        <x:v>evidence</x:v>
      </x:c>
      <x:c r="D655" s="22" t="str">
        <x:v>claim 21 zero credit</x:v>
      </x:c>
      <x:c r="E655" s="75" t="n">
        <x:f>IF('Evidence Plan'!K21=0,1,0)</x:f>
        <x:v>1</x:v>
      </x:c>
      <x:c r="F655" s="75" t="n">
        <x:v>1</x:v>
      </x:c>
      <x:c r="G655" s="24" t="str">
        <x:f>IF(E655=F655,"PASS","FAIL")</x:f>
        <x:v>PASS</x:v>
      </x:c>
    </x:row>
    <x:row r="656">
      <x:c r="B656" s="22" t="str">
        <x:v>AC-0650</x:v>
      </x:c>
      <x:c r="C656" s="22" t="str">
        <x:v>evidence</x:v>
      </x:c>
      <x:c r="D656" s="22" t="str">
        <x:v>claim 21 admission held</x:v>
      </x:c>
      <x:c r="E656" s="75" t="n">
        <x:f>IF('Evidence Plan'!L21="HOLD",1,0)</x:f>
        <x:v>1</x:v>
      </x:c>
      <x:c r="F656" s="75" t="n">
        <x:v>1</x:v>
      </x:c>
      <x:c r="G656" s="24" t="str">
        <x:f>IF(E656=F656,"PASS","FAIL")</x:f>
        <x:v>PASS</x:v>
      </x:c>
    </x:row>
    <x:row r="657">
      <x:c r="B657" s="22" t="str">
        <x:v>AC-0651</x:v>
      </x:c>
      <x:c r="C657" s="22" t="str">
        <x:v>evidence</x:v>
      </x:c>
      <x:c r="D657" s="22" t="str">
        <x:v>claim 22 zero accepted</x:v>
      </x:c>
      <x:c r="E657" s="75" t="n">
        <x:f>IF('Evidence Plan'!J22=0,1,0)</x:f>
        <x:v>1</x:v>
      </x:c>
      <x:c r="F657" s="75" t="n">
        <x:v>1</x:v>
      </x:c>
      <x:c r="G657" s="24" t="str">
        <x:f>IF(E657=F657,"PASS","FAIL")</x:f>
        <x:v>PASS</x:v>
      </x:c>
    </x:row>
    <x:row r="658">
      <x:c r="B658" s="22" t="str">
        <x:v>AC-0652</x:v>
      </x:c>
      <x:c r="C658" s="22" t="str">
        <x:v>evidence</x:v>
      </x:c>
      <x:c r="D658" s="22" t="str">
        <x:v>claim 22 zero credit</x:v>
      </x:c>
      <x:c r="E658" s="75" t="n">
        <x:f>IF('Evidence Plan'!K22=0,1,0)</x:f>
        <x:v>1</x:v>
      </x:c>
      <x:c r="F658" s="75" t="n">
        <x:v>1</x:v>
      </x:c>
      <x:c r="G658" s="24" t="str">
        <x:f>IF(E658=F658,"PASS","FAIL")</x:f>
        <x:v>PASS</x:v>
      </x:c>
    </x:row>
    <x:row r="659">
      <x:c r="B659" s="22" t="str">
        <x:v>AC-0653</x:v>
      </x:c>
      <x:c r="C659" s="22" t="str">
        <x:v>evidence</x:v>
      </x:c>
      <x:c r="D659" s="22" t="str">
        <x:v>claim 22 admission held</x:v>
      </x:c>
      <x:c r="E659" s="75" t="n">
        <x:f>IF('Evidence Plan'!L22="HOLD",1,0)</x:f>
        <x:v>1</x:v>
      </x:c>
      <x:c r="F659" s="75" t="n">
        <x:v>1</x:v>
      </x:c>
      <x:c r="G659" s="24" t="str">
        <x:f>IF(E659=F659,"PASS","FAIL")</x:f>
        <x:v>PASS</x:v>
      </x:c>
    </x:row>
    <x:row r="660">
      <x:c r="B660" s="22" t="str">
        <x:v>AC-0654</x:v>
      </x:c>
      <x:c r="C660" s="22" t="str">
        <x:v>evidence</x:v>
      </x:c>
      <x:c r="D660" s="22" t="str">
        <x:v>claim 23 zero accepted</x:v>
      </x:c>
      <x:c r="E660" s="75" t="n">
        <x:f>IF('Evidence Plan'!J23=0,1,0)</x:f>
        <x:v>1</x:v>
      </x:c>
      <x:c r="F660" s="75" t="n">
        <x:v>1</x:v>
      </x:c>
      <x:c r="G660" s="24" t="str">
        <x:f>IF(E660=F660,"PASS","FAIL")</x:f>
        <x:v>PASS</x:v>
      </x:c>
    </x:row>
    <x:row r="661">
      <x:c r="B661" s="22" t="str">
        <x:v>AC-0655</x:v>
      </x:c>
      <x:c r="C661" s="22" t="str">
        <x:v>evidence</x:v>
      </x:c>
      <x:c r="D661" s="22" t="str">
        <x:v>claim 23 zero credit</x:v>
      </x:c>
      <x:c r="E661" s="75" t="n">
        <x:f>IF('Evidence Plan'!K23=0,1,0)</x:f>
        <x:v>1</x:v>
      </x:c>
      <x:c r="F661" s="75" t="n">
        <x:v>1</x:v>
      </x:c>
      <x:c r="G661" s="24" t="str">
        <x:f>IF(E661=F661,"PASS","FAIL")</x:f>
        <x:v>PASS</x:v>
      </x:c>
    </x:row>
    <x:row r="662">
      <x:c r="B662" s="22" t="str">
        <x:v>AC-0656</x:v>
      </x:c>
      <x:c r="C662" s="22" t="str">
        <x:v>evidence</x:v>
      </x:c>
      <x:c r="D662" s="22" t="str">
        <x:v>claim 23 admission held</x:v>
      </x:c>
      <x:c r="E662" s="75" t="n">
        <x:f>IF('Evidence Plan'!L23="HOLD",1,0)</x:f>
        <x:v>1</x:v>
      </x:c>
      <x:c r="F662" s="75" t="n">
        <x:v>1</x:v>
      </x:c>
      <x:c r="G662" s="24" t="str">
        <x:f>IF(E662=F662,"PASS","FAIL")</x:f>
        <x:v>PASS</x:v>
      </x:c>
    </x:row>
    <x:row r="663">
      <x:c r="B663" s="22" t="str">
        <x:v>AC-0657</x:v>
      </x:c>
      <x:c r="C663" s="22" t="str">
        <x:v>evidence</x:v>
      </x:c>
      <x:c r="D663" s="22" t="str">
        <x:v>claim 24 zero accepted</x:v>
      </x:c>
      <x:c r="E663" s="75" t="n">
        <x:f>IF('Evidence Plan'!J24=0,1,0)</x:f>
        <x:v>1</x:v>
      </x:c>
      <x:c r="F663" s="75" t="n">
        <x:v>1</x:v>
      </x:c>
      <x:c r="G663" s="24" t="str">
        <x:f>IF(E663=F663,"PASS","FAIL")</x:f>
        <x:v>PASS</x:v>
      </x:c>
    </x:row>
    <x:row r="664">
      <x:c r="B664" s="22" t="str">
        <x:v>AC-0658</x:v>
      </x:c>
      <x:c r="C664" s="22" t="str">
        <x:v>evidence</x:v>
      </x:c>
      <x:c r="D664" s="22" t="str">
        <x:v>claim 24 zero credit</x:v>
      </x:c>
      <x:c r="E664" s="75" t="n">
        <x:f>IF('Evidence Plan'!K24=0,1,0)</x:f>
        <x:v>1</x:v>
      </x:c>
      <x:c r="F664" s="75" t="n">
        <x:v>1</x:v>
      </x:c>
      <x:c r="G664" s="24" t="str">
        <x:f>IF(E664=F664,"PASS","FAIL")</x:f>
        <x:v>PASS</x:v>
      </x:c>
    </x:row>
    <x:row r="665">
      <x:c r="B665" s="22" t="str">
        <x:v>AC-0659</x:v>
      </x:c>
      <x:c r="C665" s="22" t="str">
        <x:v>evidence</x:v>
      </x:c>
      <x:c r="D665" s="22" t="str">
        <x:v>claim 24 admission held</x:v>
      </x:c>
      <x:c r="E665" s="75" t="n">
        <x:f>IF('Evidence Plan'!L24="HOLD",1,0)</x:f>
        <x:v>1</x:v>
      </x:c>
      <x:c r="F665" s="75" t="n">
        <x:v>1</x:v>
      </x:c>
      <x:c r="G665" s="24" t="str">
        <x:f>IF(E665=F665,"PASS","FAIL")</x:f>
        <x:v>PASS</x:v>
      </x:c>
    </x:row>
    <x:row r="666">
      <x:c r="B666" s="22" t="str">
        <x:v>AC-0660</x:v>
      </x:c>
      <x:c r="C666" s="22" t="str">
        <x:v>evidence</x:v>
      </x:c>
      <x:c r="D666" s="22" t="str">
        <x:v>claim 25 zero accepted</x:v>
      </x:c>
      <x:c r="E666" s="75" t="n">
        <x:f>IF('Evidence Plan'!J25=0,1,0)</x:f>
        <x:v>1</x:v>
      </x:c>
      <x:c r="F666" s="75" t="n">
        <x:v>1</x:v>
      </x:c>
      <x:c r="G666" s="24" t="str">
        <x:f>IF(E666=F666,"PASS","FAIL")</x:f>
        <x:v>PASS</x:v>
      </x:c>
    </x:row>
    <x:row r="667">
      <x:c r="B667" s="22" t="str">
        <x:v>AC-0661</x:v>
      </x:c>
      <x:c r="C667" s="22" t="str">
        <x:v>evidence</x:v>
      </x:c>
      <x:c r="D667" s="22" t="str">
        <x:v>claim 25 zero credit</x:v>
      </x:c>
      <x:c r="E667" s="75" t="n">
        <x:f>IF('Evidence Plan'!K25=0,1,0)</x:f>
        <x:v>1</x:v>
      </x:c>
      <x:c r="F667" s="75" t="n">
        <x:v>1</x:v>
      </x:c>
      <x:c r="G667" s="24" t="str">
        <x:f>IF(E667=F667,"PASS","FAIL")</x:f>
        <x:v>PASS</x:v>
      </x:c>
    </x:row>
    <x:row r="668">
      <x:c r="B668" s="22" t="str">
        <x:v>AC-0662</x:v>
      </x:c>
      <x:c r="C668" s="22" t="str">
        <x:v>evidence</x:v>
      </x:c>
      <x:c r="D668" s="22" t="str">
        <x:v>claim 25 admission held</x:v>
      </x:c>
      <x:c r="E668" s="75" t="n">
        <x:f>IF('Evidence Plan'!L25="HOLD",1,0)</x:f>
        <x:v>1</x:v>
      </x:c>
      <x:c r="F668" s="75" t="n">
        <x:v>1</x:v>
      </x:c>
      <x:c r="G668" s="24" t="str">
        <x:f>IF(E668=F668,"PASS","FAIL")</x:f>
        <x:v>PASS</x:v>
      </x:c>
    </x:row>
    <x:row r="669">
      <x:c r="B669" s="22" t="str">
        <x:v>AC-0663</x:v>
      </x:c>
      <x:c r="C669" s="22" t="str">
        <x:v>evidence</x:v>
      </x:c>
      <x:c r="D669" s="22" t="str">
        <x:v>claim 26 zero accepted</x:v>
      </x:c>
      <x:c r="E669" s="75" t="n">
        <x:f>IF('Evidence Plan'!J26=0,1,0)</x:f>
        <x:v>1</x:v>
      </x:c>
      <x:c r="F669" s="75" t="n">
        <x:v>1</x:v>
      </x:c>
      <x:c r="G669" s="24" t="str">
        <x:f>IF(E669=F669,"PASS","FAIL")</x:f>
        <x:v>PASS</x:v>
      </x:c>
    </x:row>
    <x:row r="670">
      <x:c r="B670" s="22" t="str">
        <x:v>AC-0664</x:v>
      </x:c>
      <x:c r="C670" s="22" t="str">
        <x:v>evidence</x:v>
      </x:c>
      <x:c r="D670" s="22" t="str">
        <x:v>claim 26 zero credit</x:v>
      </x:c>
      <x:c r="E670" s="75" t="n">
        <x:f>IF('Evidence Plan'!K26=0,1,0)</x:f>
        <x:v>1</x:v>
      </x:c>
      <x:c r="F670" s="75" t="n">
        <x:v>1</x:v>
      </x:c>
      <x:c r="G670" s="24" t="str">
        <x:f>IF(E670=F670,"PASS","FAIL")</x:f>
        <x:v>PASS</x:v>
      </x:c>
    </x:row>
    <x:row r="671">
      <x:c r="B671" s="22" t="str">
        <x:v>AC-0665</x:v>
      </x:c>
      <x:c r="C671" s="22" t="str">
        <x:v>evidence</x:v>
      </x:c>
      <x:c r="D671" s="22" t="str">
        <x:v>claim 26 admission held</x:v>
      </x:c>
      <x:c r="E671" s="75" t="n">
        <x:f>IF('Evidence Plan'!L26="HOLD",1,0)</x:f>
        <x:v>1</x:v>
      </x:c>
      <x:c r="F671" s="75" t="n">
        <x:v>1</x:v>
      </x:c>
      <x:c r="G671" s="24" t="str">
        <x:f>IF(E671=F671,"PASS","FAIL")</x:f>
        <x:v>PASS</x:v>
      </x:c>
    </x:row>
    <x:row r="672">
      <x:c r="B672" s="22" t="str">
        <x:v>AC-0666</x:v>
      </x:c>
      <x:c r="C672" s="22" t="str">
        <x:v>evidence</x:v>
      </x:c>
      <x:c r="D672" s="22" t="str">
        <x:v>claim 27 zero accepted</x:v>
      </x:c>
      <x:c r="E672" s="75" t="n">
        <x:f>IF('Evidence Plan'!J27=0,1,0)</x:f>
        <x:v>1</x:v>
      </x:c>
      <x:c r="F672" s="75" t="n">
        <x:v>1</x:v>
      </x:c>
      <x:c r="G672" s="24" t="str">
        <x:f>IF(E672=F672,"PASS","FAIL")</x:f>
        <x:v>PASS</x:v>
      </x:c>
    </x:row>
    <x:row r="673">
      <x:c r="B673" s="22" t="str">
        <x:v>AC-0667</x:v>
      </x:c>
      <x:c r="C673" s="22" t="str">
        <x:v>evidence</x:v>
      </x:c>
      <x:c r="D673" s="22" t="str">
        <x:v>claim 27 zero credit</x:v>
      </x:c>
      <x:c r="E673" s="75" t="n">
        <x:f>IF('Evidence Plan'!K27=0,1,0)</x:f>
        <x:v>1</x:v>
      </x:c>
      <x:c r="F673" s="75" t="n">
        <x:v>1</x:v>
      </x:c>
      <x:c r="G673" s="24" t="str">
        <x:f>IF(E673=F673,"PASS","FAIL")</x:f>
        <x:v>PASS</x:v>
      </x:c>
    </x:row>
    <x:row r="674">
      <x:c r="B674" s="22" t="str">
        <x:v>AC-0668</x:v>
      </x:c>
      <x:c r="C674" s="22" t="str">
        <x:v>evidence</x:v>
      </x:c>
      <x:c r="D674" s="22" t="str">
        <x:v>claim 27 admission held</x:v>
      </x:c>
      <x:c r="E674" s="75" t="n">
        <x:f>IF('Evidence Plan'!L27="HOLD",1,0)</x:f>
        <x:v>1</x:v>
      </x:c>
      <x:c r="F674" s="75" t="n">
        <x:v>1</x:v>
      </x:c>
      <x:c r="G674" s="24" t="str">
        <x:f>IF(E674=F674,"PASS","FAIL")</x:f>
        <x:v>PASS</x:v>
      </x:c>
    </x:row>
    <x:row r="675">
      <x:c r="B675" s="22" t="str">
        <x:v>AC-0669</x:v>
      </x:c>
      <x:c r="C675" s="22" t="str">
        <x:v>evidence</x:v>
      </x:c>
      <x:c r="D675" s="22" t="str">
        <x:v>claim 28 zero accepted</x:v>
      </x:c>
      <x:c r="E675" s="75" t="n">
        <x:f>IF('Evidence Plan'!J28=0,1,0)</x:f>
        <x:v>1</x:v>
      </x:c>
      <x:c r="F675" s="75" t="n">
        <x:v>1</x:v>
      </x:c>
      <x:c r="G675" s="24" t="str">
        <x:f>IF(E675=F675,"PASS","FAIL")</x:f>
        <x:v>PASS</x:v>
      </x:c>
    </x:row>
    <x:row r="676">
      <x:c r="B676" s="22" t="str">
        <x:v>AC-0670</x:v>
      </x:c>
      <x:c r="C676" s="22" t="str">
        <x:v>evidence</x:v>
      </x:c>
      <x:c r="D676" s="22" t="str">
        <x:v>claim 28 zero credit</x:v>
      </x:c>
      <x:c r="E676" s="75" t="n">
        <x:f>IF('Evidence Plan'!K28=0,1,0)</x:f>
        <x:v>1</x:v>
      </x:c>
      <x:c r="F676" s="75" t="n">
        <x:v>1</x:v>
      </x:c>
      <x:c r="G676" s="24" t="str">
        <x:f>IF(E676=F676,"PASS","FAIL")</x:f>
        <x:v>PASS</x:v>
      </x:c>
    </x:row>
    <x:row r="677">
      <x:c r="B677" s="22" t="str">
        <x:v>AC-0671</x:v>
      </x:c>
      <x:c r="C677" s="22" t="str">
        <x:v>evidence</x:v>
      </x:c>
      <x:c r="D677" s="22" t="str">
        <x:v>claim 28 admission held</x:v>
      </x:c>
      <x:c r="E677" s="75" t="n">
        <x:f>IF('Evidence Plan'!L28="HOLD",1,0)</x:f>
        <x:v>1</x:v>
      </x:c>
      <x:c r="F677" s="75" t="n">
        <x:v>1</x:v>
      </x:c>
      <x:c r="G677" s="24" t="str">
        <x:f>IF(E677=F677,"PASS","FAIL")</x:f>
        <x:v>PASS</x:v>
      </x:c>
    </x:row>
    <x:row r="678">
      <x:c r="B678" s="22" t="str">
        <x:v>AC-0672</x:v>
      </x:c>
      <x:c r="C678" s="22" t="str">
        <x:v>evidence</x:v>
      </x:c>
      <x:c r="D678" s="22" t="str">
        <x:v>claim 29 zero accepted</x:v>
      </x:c>
      <x:c r="E678" s="75" t="n">
        <x:f>IF('Evidence Plan'!J29=0,1,0)</x:f>
        <x:v>1</x:v>
      </x:c>
      <x:c r="F678" s="75" t="n">
        <x:v>1</x:v>
      </x:c>
      <x:c r="G678" s="24" t="str">
        <x:f>IF(E678=F678,"PASS","FAIL")</x:f>
        <x:v>PASS</x:v>
      </x:c>
    </x:row>
    <x:row r="679">
      <x:c r="B679" s="22" t="str">
        <x:v>AC-0673</x:v>
      </x:c>
      <x:c r="C679" s="22" t="str">
        <x:v>evidence</x:v>
      </x:c>
      <x:c r="D679" s="22" t="str">
        <x:v>claim 29 zero credit</x:v>
      </x:c>
      <x:c r="E679" s="75" t="n">
        <x:f>IF('Evidence Plan'!K29=0,1,0)</x:f>
        <x:v>1</x:v>
      </x:c>
      <x:c r="F679" s="75" t="n">
        <x:v>1</x:v>
      </x:c>
      <x:c r="G679" s="24" t="str">
        <x:f>IF(E679=F679,"PASS","FAIL")</x:f>
        <x:v>PASS</x:v>
      </x:c>
    </x:row>
    <x:row r="680">
      <x:c r="B680" s="22" t="str">
        <x:v>AC-0674</x:v>
      </x:c>
      <x:c r="C680" s="22" t="str">
        <x:v>evidence</x:v>
      </x:c>
      <x:c r="D680" s="22" t="str">
        <x:v>claim 29 admission held</x:v>
      </x:c>
      <x:c r="E680" s="75" t="n">
        <x:f>IF('Evidence Plan'!L29="HOLD",1,0)</x:f>
        <x:v>1</x:v>
      </x:c>
      <x:c r="F680" s="75" t="n">
        <x:v>1</x:v>
      </x:c>
      <x:c r="G680" s="24" t="str">
        <x:f>IF(E680=F680,"PASS","FAIL")</x:f>
        <x:v>PASS</x:v>
      </x:c>
    </x:row>
    <x:row r="681">
      <x:c r="B681" s="22" t="str">
        <x:v>AC-0675</x:v>
      </x:c>
      <x:c r="C681" s="22" t="str">
        <x:v>evidence</x:v>
      </x:c>
      <x:c r="D681" s="22" t="str">
        <x:v>claim 30 zero accepted</x:v>
      </x:c>
      <x:c r="E681" s="75" t="n">
        <x:f>IF('Evidence Plan'!J30=0,1,0)</x:f>
        <x:v>1</x:v>
      </x:c>
      <x:c r="F681" s="75" t="n">
        <x:v>1</x:v>
      </x:c>
      <x:c r="G681" s="24" t="str">
        <x:f>IF(E681=F681,"PASS","FAIL")</x:f>
        <x:v>PASS</x:v>
      </x:c>
    </x:row>
    <x:row r="682">
      <x:c r="B682" s="22" t="str">
        <x:v>AC-0676</x:v>
      </x:c>
      <x:c r="C682" s="22" t="str">
        <x:v>evidence</x:v>
      </x:c>
      <x:c r="D682" s="22" t="str">
        <x:v>claim 30 zero credit</x:v>
      </x:c>
      <x:c r="E682" s="75" t="n">
        <x:f>IF('Evidence Plan'!K30=0,1,0)</x:f>
        <x:v>1</x:v>
      </x:c>
      <x:c r="F682" s="75" t="n">
        <x:v>1</x:v>
      </x:c>
      <x:c r="G682" s="24" t="str">
        <x:f>IF(E682=F682,"PASS","FAIL")</x:f>
        <x:v>PASS</x:v>
      </x:c>
    </x:row>
    <x:row r="683">
      <x:c r="B683" s="22" t="str">
        <x:v>AC-0677</x:v>
      </x:c>
      <x:c r="C683" s="22" t="str">
        <x:v>evidence</x:v>
      </x:c>
      <x:c r="D683" s="22" t="str">
        <x:v>claim 30 admission held</x:v>
      </x:c>
      <x:c r="E683" s="75" t="n">
        <x:f>IF('Evidence Plan'!L30="HOLD",1,0)</x:f>
        <x:v>1</x:v>
      </x:c>
      <x:c r="F683" s="75" t="n">
        <x:v>1</x:v>
      </x:c>
      <x:c r="G683" s="24" t="str">
        <x:f>IF(E683=F683,"PASS","FAIL")</x:f>
        <x:v>PASS</x:v>
      </x:c>
    </x:row>
    <x:row r="684">
      <x:c r="B684" s="22" t="str">
        <x:v>AC-0678</x:v>
      </x:c>
      <x:c r="C684" s="22" t="str">
        <x:v>evidence</x:v>
      </x:c>
      <x:c r="D684" s="22" t="str">
        <x:v>claim 31 zero accepted</x:v>
      </x:c>
      <x:c r="E684" s="75" t="n">
        <x:f>IF('Evidence Plan'!J31=0,1,0)</x:f>
        <x:v>1</x:v>
      </x:c>
      <x:c r="F684" s="75" t="n">
        <x:v>1</x:v>
      </x:c>
      <x:c r="G684" s="24" t="str">
        <x:f>IF(E684=F684,"PASS","FAIL")</x:f>
        <x:v>PASS</x:v>
      </x:c>
    </x:row>
    <x:row r="685">
      <x:c r="B685" s="22" t="str">
        <x:v>AC-0679</x:v>
      </x:c>
      <x:c r="C685" s="22" t="str">
        <x:v>evidence</x:v>
      </x:c>
      <x:c r="D685" s="22" t="str">
        <x:v>claim 31 zero credit</x:v>
      </x:c>
      <x:c r="E685" s="75" t="n">
        <x:f>IF('Evidence Plan'!K31=0,1,0)</x:f>
        <x:v>1</x:v>
      </x:c>
      <x:c r="F685" s="75" t="n">
        <x:v>1</x:v>
      </x:c>
      <x:c r="G685" s="24" t="str">
        <x:f>IF(E685=F685,"PASS","FAIL")</x:f>
        <x:v>PASS</x:v>
      </x:c>
    </x:row>
    <x:row r="686">
      <x:c r="B686" s="22" t="str">
        <x:v>AC-0680</x:v>
      </x:c>
      <x:c r="C686" s="22" t="str">
        <x:v>evidence</x:v>
      </x:c>
      <x:c r="D686" s="22" t="str">
        <x:v>claim 31 admission held</x:v>
      </x:c>
      <x:c r="E686" s="75" t="n">
        <x:f>IF('Evidence Plan'!L31="HOLD",1,0)</x:f>
        <x:v>1</x:v>
      </x:c>
      <x:c r="F686" s="75" t="n">
        <x:v>1</x:v>
      </x:c>
      <x:c r="G686" s="24" t="str">
        <x:f>IF(E686=F686,"PASS","FAIL")</x:f>
        <x:v>PASS</x:v>
      </x:c>
    </x:row>
    <x:row r="687">
      <x:c r="B687" s="22" t="str">
        <x:v>AC-0681</x:v>
      </x:c>
      <x:c r="C687" s="22" t="str">
        <x:v>evidence</x:v>
      </x:c>
      <x:c r="D687" s="22" t="str">
        <x:v>claim 32 zero accepted</x:v>
      </x:c>
      <x:c r="E687" s="75" t="n">
        <x:f>IF('Evidence Plan'!J32=0,1,0)</x:f>
        <x:v>1</x:v>
      </x:c>
      <x:c r="F687" s="75" t="n">
        <x:v>1</x:v>
      </x:c>
      <x:c r="G687" s="24" t="str">
        <x:f>IF(E687=F687,"PASS","FAIL")</x:f>
        <x:v>PASS</x:v>
      </x:c>
    </x:row>
    <x:row r="688">
      <x:c r="B688" s="22" t="str">
        <x:v>AC-0682</x:v>
      </x:c>
      <x:c r="C688" s="22" t="str">
        <x:v>evidence</x:v>
      </x:c>
      <x:c r="D688" s="22" t="str">
        <x:v>claim 32 zero credit</x:v>
      </x:c>
      <x:c r="E688" s="75" t="n">
        <x:f>IF('Evidence Plan'!K32=0,1,0)</x:f>
        <x:v>1</x:v>
      </x:c>
      <x:c r="F688" s="75" t="n">
        <x:v>1</x:v>
      </x:c>
      <x:c r="G688" s="24" t="str">
        <x:f>IF(E688=F688,"PASS","FAIL")</x:f>
        <x:v>PASS</x:v>
      </x:c>
    </x:row>
    <x:row r="689">
      <x:c r="B689" s="22" t="str">
        <x:v>AC-0683</x:v>
      </x:c>
      <x:c r="C689" s="22" t="str">
        <x:v>evidence</x:v>
      </x:c>
      <x:c r="D689" s="22" t="str">
        <x:v>claim 32 admission held</x:v>
      </x:c>
      <x:c r="E689" s="75" t="n">
        <x:f>IF('Evidence Plan'!L32="HOLD",1,0)</x:f>
        <x:v>1</x:v>
      </x:c>
      <x:c r="F689" s="75" t="n">
        <x:v>1</x:v>
      </x:c>
      <x:c r="G689" s="24" t="str">
        <x:f>IF(E689=F689,"PASS","FAIL")</x:f>
        <x:v>PASS</x:v>
      </x:c>
    </x:row>
    <x:row r="690">
      <x:c r="B690" s="22" t="str">
        <x:v>AC-0684</x:v>
      </x:c>
      <x:c r="C690" s="22" t="str">
        <x:v>evidence</x:v>
      </x:c>
      <x:c r="D690" s="22" t="str">
        <x:v>claim 33 zero accepted</x:v>
      </x:c>
      <x:c r="E690" s="75" t="n">
        <x:f>IF('Evidence Plan'!J33=0,1,0)</x:f>
        <x:v>1</x:v>
      </x:c>
      <x:c r="F690" s="75" t="n">
        <x:v>1</x:v>
      </x:c>
      <x:c r="G690" s="24" t="str">
        <x:f>IF(E690=F690,"PASS","FAIL")</x:f>
        <x:v>PASS</x:v>
      </x:c>
    </x:row>
    <x:row r="691">
      <x:c r="B691" s="22" t="str">
        <x:v>AC-0685</x:v>
      </x:c>
      <x:c r="C691" s="22" t="str">
        <x:v>evidence</x:v>
      </x:c>
      <x:c r="D691" s="22" t="str">
        <x:v>claim 33 zero credit</x:v>
      </x:c>
      <x:c r="E691" s="75" t="n">
        <x:f>IF('Evidence Plan'!K33=0,1,0)</x:f>
        <x:v>1</x:v>
      </x:c>
      <x:c r="F691" s="75" t="n">
        <x:v>1</x:v>
      </x:c>
      <x:c r="G691" s="24" t="str">
        <x:f>IF(E691=F691,"PASS","FAIL")</x:f>
        <x:v>PASS</x:v>
      </x:c>
    </x:row>
    <x:row r="692">
      <x:c r="B692" s="22" t="str">
        <x:v>AC-0686</x:v>
      </x:c>
      <x:c r="C692" s="22" t="str">
        <x:v>evidence</x:v>
      </x:c>
      <x:c r="D692" s="22" t="str">
        <x:v>claim 33 admission held</x:v>
      </x:c>
      <x:c r="E692" s="75" t="n">
        <x:f>IF('Evidence Plan'!L33="HOLD",1,0)</x:f>
        <x:v>1</x:v>
      </x:c>
      <x:c r="F692" s="75" t="n">
        <x:v>1</x:v>
      </x:c>
      <x:c r="G692" s="24" t="str">
        <x:f>IF(E692=F692,"PASS","FAIL")</x:f>
        <x:v>PASS</x:v>
      </x:c>
    </x:row>
    <x:row r="693">
      <x:c r="B693" s="22" t="str">
        <x:v>AC-0687</x:v>
      </x:c>
      <x:c r="C693" s="22" t="str">
        <x:v>evidence</x:v>
      </x:c>
      <x:c r="D693" s="22" t="str">
        <x:v>claim 34 zero accepted</x:v>
      </x:c>
      <x:c r="E693" s="75" t="n">
        <x:f>IF('Evidence Plan'!J34=0,1,0)</x:f>
        <x:v>1</x:v>
      </x:c>
      <x:c r="F693" s="75" t="n">
        <x:v>1</x:v>
      </x:c>
      <x:c r="G693" s="24" t="str">
        <x:f>IF(E693=F693,"PASS","FAIL")</x:f>
        <x:v>PASS</x:v>
      </x:c>
    </x:row>
    <x:row r="694">
      <x:c r="B694" s="22" t="str">
        <x:v>AC-0688</x:v>
      </x:c>
      <x:c r="C694" s="22" t="str">
        <x:v>evidence</x:v>
      </x:c>
      <x:c r="D694" s="22" t="str">
        <x:v>claim 34 zero credit</x:v>
      </x:c>
      <x:c r="E694" s="75" t="n">
        <x:f>IF('Evidence Plan'!K34=0,1,0)</x:f>
        <x:v>1</x:v>
      </x:c>
      <x:c r="F694" s="75" t="n">
        <x:v>1</x:v>
      </x:c>
      <x:c r="G694" s="24" t="str">
        <x:f>IF(E694=F694,"PASS","FAIL")</x:f>
        <x:v>PASS</x:v>
      </x:c>
    </x:row>
    <x:row r="695">
      <x:c r="B695" s="22" t="str">
        <x:v>AC-0689</x:v>
      </x:c>
      <x:c r="C695" s="22" t="str">
        <x:v>evidence</x:v>
      </x:c>
      <x:c r="D695" s="22" t="str">
        <x:v>claim 34 admission held</x:v>
      </x:c>
      <x:c r="E695" s="75" t="n">
        <x:f>IF('Evidence Plan'!L34="HOLD",1,0)</x:f>
        <x:v>1</x:v>
      </x:c>
      <x:c r="F695" s="75" t="n">
        <x:v>1</x:v>
      </x:c>
      <x:c r="G695" s="24" t="str">
        <x:f>IF(E695=F695,"PASS","FAIL")</x:f>
        <x:v>PASS</x:v>
      </x:c>
    </x:row>
    <x:row r="696">
      <x:c r="B696" s="22" t="str">
        <x:v>AC-0690</x:v>
      </x:c>
      <x:c r="C696" s="22" t="str">
        <x:v>evidence</x:v>
      </x:c>
      <x:c r="D696" s="22" t="str">
        <x:v>claim 35 zero accepted</x:v>
      </x:c>
      <x:c r="E696" s="75" t="n">
        <x:f>IF('Evidence Plan'!J35=0,1,0)</x:f>
        <x:v>1</x:v>
      </x:c>
      <x:c r="F696" s="75" t="n">
        <x:v>1</x:v>
      </x:c>
      <x:c r="G696" s="24" t="str">
        <x:f>IF(E696=F696,"PASS","FAIL")</x:f>
        <x:v>PASS</x:v>
      </x:c>
    </x:row>
    <x:row r="697">
      <x:c r="B697" s="22" t="str">
        <x:v>AC-0691</x:v>
      </x:c>
      <x:c r="C697" s="22" t="str">
        <x:v>evidence</x:v>
      </x:c>
      <x:c r="D697" s="22" t="str">
        <x:v>claim 35 zero credit</x:v>
      </x:c>
      <x:c r="E697" s="75" t="n">
        <x:f>IF('Evidence Plan'!K35=0,1,0)</x:f>
        <x:v>1</x:v>
      </x:c>
      <x:c r="F697" s="75" t="n">
        <x:v>1</x:v>
      </x:c>
      <x:c r="G697" s="24" t="str">
        <x:f>IF(E697=F697,"PASS","FAIL")</x:f>
        <x:v>PASS</x:v>
      </x:c>
    </x:row>
    <x:row r="698">
      <x:c r="B698" s="22" t="str">
        <x:v>AC-0692</x:v>
      </x:c>
      <x:c r="C698" s="22" t="str">
        <x:v>evidence</x:v>
      </x:c>
      <x:c r="D698" s="22" t="str">
        <x:v>claim 35 admission held</x:v>
      </x:c>
      <x:c r="E698" s="75" t="n">
        <x:f>IF('Evidence Plan'!L35="HOLD",1,0)</x:f>
        <x:v>1</x:v>
      </x:c>
      <x:c r="F698" s="75" t="n">
        <x:v>1</x:v>
      </x:c>
      <x:c r="G698" s="24" t="str">
        <x:f>IF(E698=F698,"PASS","FAIL")</x:f>
        <x:v>PASS</x:v>
      </x:c>
    </x:row>
    <x:row r="699">
      <x:c r="B699" s="22" t="str">
        <x:v>AC-0693</x:v>
      </x:c>
      <x:c r="C699" s="22" t="str">
        <x:v>evidence</x:v>
      </x:c>
      <x:c r="D699" s="22" t="str">
        <x:v>claim 36 zero accepted</x:v>
      </x:c>
      <x:c r="E699" s="75" t="n">
        <x:f>IF('Evidence Plan'!J36=0,1,0)</x:f>
        <x:v>1</x:v>
      </x:c>
      <x:c r="F699" s="75" t="n">
        <x:v>1</x:v>
      </x:c>
      <x:c r="G699" s="24" t="str">
        <x:f>IF(E699=F699,"PASS","FAIL")</x:f>
        <x:v>PASS</x:v>
      </x:c>
    </x:row>
    <x:row r="700">
      <x:c r="B700" s="22" t="str">
        <x:v>AC-0694</x:v>
      </x:c>
      <x:c r="C700" s="22" t="str">
        <x:v>evidence</x:v>
      </x:c>
      <x:c r="D700" s="22" t="str">
        <x:v>claim 36 zero credit</x:v>
      </x:c>
      <x:c r="E700" s="75" t="n">
        <x:f>IF('Evidence Plan'!K36=0,1,0)</x:f>
        <x:v>1</x:v>
      </x:c>
      <x:c r="F700" s="75" t="n">
        <x:v>1</x:v>
      </x:c>
      <x:c r="G700" s="24" t="str">
        <x:f>IF(E700=F700,"PASS","FAIL")</x:f>
        <x:v>PASS</x:v>
      </x:c>
    </x:row>
    <x:row r="701">
      <x:c r="B701" s="22" t="str">
        <x:v>AC-0695</x:v>
      </x:c>
      <x:c r="C701" s="22" t="str">
        <x:v>evidence</x:v>
      </x:c>
      <x:c r="D701" s="22" t="str">
        <x:v>claim 36 admission held</x:v>
      </x:c>
      <x:c r="E701" s="75" t="n">
        <x:f>IF('Evidence Plan'!L36="HOLD",1,0)</x:f>
        <x:v>1</x:v>
      </x:c>
      <x:c r="F701" s="75" t="n">
        <x:v>1</x:v>
      </x:c>
      <x:c r="G701" s="24" t="str">
        <x:f>IF(E701=F701,"PASS","FAIL")</x:f>
        <x:v>PASS</x:v>
      </x:c>
    </x:row>
    <x:row r="702">
      <x:c r="B702" s="22" t="str">
        <x:v>AC-0696</x:v>
      </x:c>
      <x:c r="C702" s="22" t="str">
        <x:v>evidence</x:v>
      </x:c>
      <x:c r="D702" s="22" t="str">
        <x:v>claim 37 zero accepted</x:v>
      </x:c>
      <x:c r="E702" s="75" t="n">
        <x:f>IF('Evidence Plan'!J37=0,1,0)</x:f>
        <x:v>1</x:v>
      </x:c>
      <x:c r="F702" s="75" t="n">
        <x:v>1</x:v>
      </x:c>
      <x:c r="G702" s="24" t="str">
        <x:f>IF(E702=F702,"PASS","FAIL")</x:f>
        <x:v>PASS</x:v>
      </x:c>
    </x:row>
    <x:row r="703">
      <x:c r="B703" s="22" t="str">
        <x:v>AC-0697</x:v>
      </x:c>
      <x:c r="C703" s="22" t="str">
        <x:v>evidence</x:v>
      </x:c>
      <x:c r="D703" s="22" t="str">
        <x:v>claim 37 zero credit</x:v>
      </x:c>
      <x:c r="E703" s="75" t="n">
        <x:f>IF('Evidence Plan'!K37=0,1,0)</x:f>
        <x:v>1</x:v>
      </x:c>
      <x:c r="F703" s="75" t="n">
        <x:v>1</x:v>
      </x:c>
      <x:c r="G703" s="24" t="str">
        <x:f>IF(E703=F703,"PASS","FAIL")</x:f>
        <x:v>PASS</x:v>
      </x:c>
    </x:row>
    <x:row r="704">
      <x:c r="B704" s="22" t="str">
        <x:v>AC-0698</x:v>
      </x:c>
      <x:c r="C704" s="22" t="str">
        <x:v>evidence</x:v>
      </x:c>
      <x:c r="D704" s="22" t="str">
        <x:v>claim 37 admission held</x:v>
      </x:c>
      <x:c r="E704" s="75" t="n">
        <x:f>IF('Evidence Plan'!L37="HOLD",1,0)</x:f>
        <x:v>1</x:v>
      </x:c>
      <x:c r="F704" s="75" t="n">
        <x:v>1</x:v>
      </x:c>
      <x:c r="G704" s="24" t="str">
        <x:f>IF(E704=F704,"PASS","FAIL")</x:f>
        <x:v>PASS</x:v>
      </x:c>
    </x:row>
    <x:row r="705">
      <x:c r="B705" s="22" t="str">
        <x:v>AC-0699</x:v>
      </x:c>
      <x:c r="C705" s="22" t="str">
        <x:v>evidence</x:v>
      </x:c>
      <x:c r="D705" s="22" t="str">
        <x:v>claim 38 zero accepted</x:v>
      </x:c>
      <x:c r="E705" s="75" t="n">
        <x:f>IF('Evidence Plan'!J38=0,1,0)</x:f>
        <x:v>1</x:v>
      </x:c>
      <x:c r="F705" s="75" t="n">
        <x:v>1</x:v>
      </x:c>
      <x:c r="G705" s="24" t="str">
        <x:f>IF(E705=F705,"PASS","FAIL")</x:f>
        <x:v>PASS</x:v>
      </x:c>
    </x:row>
    <x:row r="706">
      <x:c r="B706" s="22" t="str">
        <x:v>AC-0700</x:v>
      </x:c>
      <x:c r="C706" s="22" t="str">
        <x:v>evidence</x:v>
      </x:c>
      <x:c r="D706" s="22" t="str">
        <x:v>claim 38 zero credit</x:v>
      </x:c>
      <x:c r="E706" s="75" t="n">
        <x:f>IF('Evidence Plan'!K38=0,1,0)</x:f>
        <x:v>1</x:v>
      </x:c>
      <x:c r="F706" s="75" t="n">
        <x:v>1</x:v>
      </x:c>
      <x:c r="G706" s="24" t="str">
        <x:f>IF(E706=F706,"PASS","FAIL")</x:f>
        <x:v>PASS</x:v>
      </x:c>
    </x:row>
    <x:row r="707">
      <x:c r="B707" s="22" t="str">
        <x:v>AC-0701</x:v>
      </x:c>
      <x:c r="C707" s="22" t="str">
        <x:v>evidence</x:v>
      </x:c>
      <x:c r="D707" s="22" t="str">
        <x:v>claim 38 admission held</x:v>
      </x:c>
      <x:c r="E707" s="75" t="n">
        <x:f>IF('Evidence Plan'!L38="HOLD",1,0)</x:f>
        <x:v>1</x:v>
      </x:c>
      <x:c r="F707" s="75" t="n">
        <x:v>1</x:v>
      </x:c>
      <x:c r="G707" s="24" t="str">
        <x:f>IF(E707=F707,"PASS","FAIL")</x:f>
        <x:v>PASS</x:v>
      </x:c>
    </x:row>
    <x:row r="708">
      <x:c r="B708" s="22" t="str">
        <x:v>AC-0702</x:v>
      </x:c>
      <x:c r="C708" s="22" t="str">
        <x:v>non-error</x:v>
      </x:c>
      <x:c r="D708" s="22" t="str">
        <x:v>Hydraulic Build D7</x:v>
      </x:c>
      <x:c r="E708" s="75" t="n">
        <x:f>IF(ISERROR('Hydraulic Build'!D7),0,1)</x:f>
        <x:v>1</x:v>
      </x:c>
      <x:c r="F708" s="75" t="n">
        <x:v>1</x:v>
      </x:c>
      <x:c r="G708" s="24" t="str">
        <x:f>IF(E708=F708,"PASS","FAIL")</x:f>
        <x:v>PASS</x:v>
      </x:c>
    </x:row>
    <x:row r="709">
      <x:c r="B709" s="22" t="str">
        <x:v>AC-0703</x:v>
      </x:c>
      <x:c r="C709" s="22" t="str">
        <x:v>non-error</x:v>
      </x:c>
      <x:c r="D709" s="22" t="str">
        <x:v>Hydraulic Build D8</x:v>
      </x:c>
      <x:c r="E709" s="75" t="n">
        <x:f>IF(ISERROR('Hydraulic Build'!D8),0,1)</x:f>
        <x:v>1</x:v>
      </x:c>
      <x:c r="F709" s="75" t="n">
        <x:v>1</x:v>
      </x:c>
      <x:c r="G709" s="24" t="str">
        <x:f>IF(E709=F709,"PASS","FAIL")</x:f>
        <x:v>PASS</x:v>
      </x:c>
    </x:row>
    <x:row r="710">
      <x:c r="B710" s="22" t="str">
        <x:v>AC-0704</x:v>
      </x:c>
      <x:c r="C710" s="22" t="str">
        <x:v>non-error</x:v>
      </x:c>
      <x:c r="D710" s="22" t="str">
        <x:v>Hydraulic Build D9</x:v>
      </x:c>
      <x:c r="E710" s="75" t="n">
        <x:f>IF(ISERROR('Hydraulic Build'!D9),0,1)</x:f>
        <x:v>1</x:v>
      </x:c>
      <x:c r="F710" s="75" t="n">
        <x:v>1</x:v>
      </x:c>
      <x:c r="G710" s="24" t="str">
        <x:f>IF(E710=F710,"PASS","FAIL")</x:f>
        <x:v>PASS</x:v>
      </x:c>
    </x:row>
    <x:row r="711">
      <x:c r="B711" s="22" t="str">
        <x:v>AC-0705</x:v>
      </x:c>
      <x:c r="C711" s="22" t="str">
        <x:v>non-error</x:v>
      </x:c>
      <x:c r="D711" s="22" t="str">
        <x:v>Hydraulic Build D10</x:v>
      </x:c>
      <x:c r="E711" s="75" t="n">
        <x:f>IF(ISERROR('Hydraulic Build'!D10),0,1)</x:f>
        <x:v>1</x:v>
      </x:c>
      <x:c r="F711" s="75" t="n">
        <x:v>1</x:v>
      </x:c>
      <x:c r="G711" s="24" t="str">
        <x:f>IF(E711=F711,"PASS","FAIL")</x:f>
        <x:v>PASS</x:v>
      </x:c>
    </x:row>
    <x:row r="712">
      <x:c r="B712" s="22" t="str">
        <x:v>AC-0706</x:v>
      </x:c>
      <x:c r="C712" s="22" t="str">
        <x:v>non-error</x:v>
      </x:c>
      <x:c r="D712" s="22" t="str">
        <x:v>Hydraulic Build D11</x:v>
      </x:c>
      <x:c r="E712" s="75" t="n">
        <x:f>IF(ISERROR('Hydraulic Build'!D11),0,1)</x:f>
        <x:v>1</x:v>
      </x:c>
      <x:c r="F712" s="75" t="n">
        <x:v>1</x:v>
      </x:c>
      <x:c r="G712" s="24" t="str">
        <x:f>IF(E712=F712,"PASS","FAIL")</x:f>
        <x:v>PASS</x:v>
      </x:c>
    </x:row>
    <x:row r="713">
      <x:c r="B713" s="22" t="str">
        <x:v>AC-0707</x:v>
      </x:c>
      <x:c r="C713" s="22" t="str">
        <x:v>non-error</x:v>
      </x:c>
      <x:c r="D713" s="22" t="str">
        <x:v>Hydraulic Build D12</x:v>
      </x:c>
      <x:c r="E713" s="75" t="n">
        <x:f>IF(ISERROR('Hydraulic Build'!D12),0,1)</x:f>
        <x:v>1</x:v>
      </x:c>
      <x:c r="F713" s="75" t="n">
        <x:v>1</x:v>
      </x:c>
      <x:c r="G713" s="24" t="str">
        <x:f>IF(E713=F713,"PASS","FAIL")</x:f>
        <x:v>PASS</x:v>
      </x:c>
    </x:row>
    <x:row r="714">
      <x:c r="B714" s="22" t="str">
        <x:v>AC-0708</x:v>
      </x:c>
      <x:c r="C714" s="22" t="str">
        <x:v>non-error</x:v>
      </x:c>
      <x:c r="D714" s="22" t="str">
        <x:v>Hydraulic Build D13</x:v>
      </x:c>
      <x:c r="E714" s="75" t="n">
        <x:f>IF(ISERROR('Hydraulic Build'!D13),0,1)</x:f>
        <x:v>1</x:v>
      </x:c>
      <x:c r="F714" s="75" t="n">
        <x:v>1</x:v>
      </x:c>
      <x:c r="G714" s="24" t="str">
        <x:f>IF(E714=F714,"PASS","FAIL")</x:f>
        <x:v>PASS</x:v>
      </x:c>
    </x:row>
    <x:row r="715">
      <x:c r="B715" s="22" t="str">
        <x:v>AC-0709</x:v>
      </x:c>
      <x:c r="C715" s="22" t="str">
        <x:v>non-error</x:v>
      </x:c>
      <x:c r="D715" s="22" t="str">
        <x:v>Hydraulic Build D14</x:v>
      </x:c>
      <x:c r="E715" s="75" t="n">
        <x:f>IF(ISERROR('Hydraulic Build'!D14),0,1)</x:f>
        <x:v>1</x:v>
      </x:c>
      <x:c r="F715" s="75" t="n">
        <x:v>1</x:v>
      </x:c>
      <x:c r="G715" s="24" t="str">
        <x:f>IF(E715=F715,"PASS","FAIL")</x:f>
        <x:v>PASS</x:v>
      </x:c>
    </x:row>
    <x:row r="716">
      <x:c r="B716" s="22" t="str">
        <x:v>AC-0710</x:v>
      </x:c>
      <x:c r="C716" s="22" t="str">
        <x:v>non-error</x:v>
      </x:c>
      <x:c r="D716" s="22" t="str">
        <x:v>Hydraulic Build D15</x:v>
      </x:c>
      <x:c r="E716" s="75" t="n">
        <x:f>IF(ISERROR('Hydraulic Build'!D15),0,1)</x:f>
        <x:v>1</x:v>
      </x:c>
      <x:c r="F716" s="75" t="n">
        <x:v>1</x:v>
      </x:c>
      <x:c r="G716" s="24" t="str">
        <x:f>IF(E716=F716,"PASS","FAIL")</x:f>
        <x:v>PASS</x:v>
      </x:c>
    </x:row>
    <x:row r="717">
      <x:c r="B717" s="22" t="str">
        <x:v>AC-0711</x:v>
      </x:c>
      <x:c r="C717" s="22" t="str">
        <x:v>non-error</x:v>
      </x:c>
      <x:c r="D717" s="22" t="str">
        <x:v>Hydraulic Build D16</x:v>
      </x:c>
      <x:c r="E717" s="75" t="n">
        <x:f>IF(ISERROR('Hydraulic Build'!D16),0,1)</x:f>
        <x:v>1</x:v>
      </x:c>
      <x:c r="F717" s="75" t="n">
        <x:v>1</x:v>
      </x:c>
      <x:c r="G717" s="24" t="str">
        <x:f>IF(E717=F717,"PASS","FAIL")</x:f>
        <x:v>PASS</x:v>
      </x:c>
    </x:row>
    <x:row r="718">
      <x:c r="B718" s="22" t="str">
        <x:v>AC-0712</x:v>
      </x:c>
      <x:c r="C718" s="22" t="str">
        <x:v>non-error</x:v>
      </x:c>
      <x:c r="D718" s="22" t="str">
        <x:v>Hydraulic Build D17</x:v>
      </x:c>
      <x:c r="E718" s="75" t="n">
        <x:f>IF(ISERROR('Hydraulic Build'!D17),0,1)</x:f>
        <x:v>1</x:v>
      </x:c>
      <x:c r="F718" s="75" t="n">
        <x:v>1</x:v>
      </x:c>
      <x:c r="G718" s="24" t="str">
        <x:f>IF(E718=F718,"PASS","FAIL")</x:f>
        <x:v>PASS</x:v>
      </x:c>
    </x:row>
    <x:row r="719">
      <x:c r="B719" s="22" t="str">
        <x:v>AC-0713</x:v>
      </x:c>
      <x:c r="C719" s="22" t="str">
        <x:v>non-error</x:v>
      </x:c>
      <x:c r="D719" s="22" t="str">
        <x:v>Hydraulic Build D18</x:v>
      </x:c>
      <x:c r="E719" s="75" t="n">
        <x:f>IF(ISERROR('Hydraulic Build'!D18),0,1)</x:f>
        <x:v>1</x:v>
      </x:c>
      <x:c r="F719" s="75" t="n">
        <x:v>1</x:v>
      </x:c>
      <x:c r="G719" s="24" t="str">
        <x:f>IF(E719=F719,"PASS","FAIL")</x:f>
        <x:v>PASS</x:v>
      </x:c>
    </x:row>
    <x:row r="720">
      <x:c r="B720" s="22" t="str">
        <x:v>AC-0714</x:v>
      </x:c>
      <x:c r="C720" s="22" t="str">
        <x:v>non-error</x:v>
      </x:c>
      <x:c r="D720" s="22" t="str">
        <x:v>Hydraulic Build D19</x:v>
      </x:c>
      <x:c r="E720" s="75" t="n">
        <x:f>IF(ISERROR('Hydraulic Build'!D19),0,1)</x:f>
        <x:v>1</x:v>
      </x:c>
      <x:c r="F720" s="75" t="n">
        <x:v>1</x:v>
      </x:c>
      <x:c r="G720" s="24" t="str">
        <x:f>IF(E720=F720,"PASS","FAIL")</x:f>
        <x:v>PASS</x:v>
      </x:c>
    </x:row>
    <x:row r="721">
      <x:c r="B721" s="22" t="str">
        <x:v>AC-0715</x:v>
      </x:c>
      <x:c r="C721" s="22" t="str">
        <x:v>non-error</x:v>
      </x:c>
      <x:c r="D721" s="22" t="str">
        <x:v>Hydraulic Build D20</x:v>
      </x:c>
      <x:c r="E721" s="75" t="n">
        <x:f>IF(ISERROR('Hydraulic Build'!D20),0,1)</x:f>
        <x:v>1</x:v>
      </x:c>
      <x:c r="F721" s="75" t="n">
        <x:v>1</x:v>
      </x:c>
      <x:c r="G721" s="24" t="str">
        <x:f>IF(E721=F721,"PASS","FAIL")</x:f>
        <x:v>PASS</x:v>
      </x:c>
    </x:row>
    <x:row r="722">
      <x:c r="B722" s="22" t="str">
        <x:v>AC-0716</x:v>
      </x:c>
      <x:c r="C722" s="22" t="str">
        <x:v>non-error</x:v>
      </x:c>
      <x:c r="D722" s="22" t="str">
        <x:v>Hydraulic Build D21</x:v>
      </x:c>
      <x:c r="E722" s="75" t="n">
        <x:f>IF(ISERROR('Hydraulic Build'!D21),0,1)</x:f>
        <x:v>1</x:v>
      </x:c>
      <x:c r="F722" s="75" t="n">
        <x:v>1</x:v>
      </x:c>
      <x:c r="G722" s="24" t="str">
        <x:f>IF(E722=F722,"PASS","FAIL")</x:f>
        <x:v>PASS</x:v>
      </x:c>
    </x:row>
    <x:row r="723">
      <x:c r="B723" s="22" t="str">
        <x:v>AC-0717</x:v>
      </x:c>
      <x:c r="C723" s="22" t="str">
        <x:v>non-error</x:v>
      </x:c>
      <x:c r="D723" s="22" t="str">
        <x:v>Hydraulic Build D22</x:v>
      </x:c>
      <x:c r="E723" s="75" t="n">
        <x:f>IF(ISERROR('Hydraulic Build'!D22),0,1)</x:f>
        <x:v>1</x:v>
      </x:c>
      <x:c r="F723" s="75" t="n">
        <x:v>1</x:v>
      </x:c>
      <x:c r="G723" s="24" t="str">
        <x:f>IF(E723=F723,"PASS","FAIL")</x:f>
        <x:v>PASS</x:v>
      </x:c>
    </x:row>
    <x:row r="724">
      <x:c r="B724" s="22" t="str">
        <x:v>AC-0718</x:v>
      </x:c>
      <x:c r="C724" s="22" t="str">
        <x:v>non-error</x:v>
      </x:c>
      <x:c r="D724" s="22" t="str">
        <x:v>Hydraulic Build D23</x:v>
      </x:c>
      <x:c r="E724" s="75" t="n">
        <x:f>IF(ISERROR('Hydraulic Build'!D23),0,1)</x:f>
        <x:v>1</x:v>
      </x:c>
      <x:c r="F724" s="75" t="n">
        <x:v>1</x:v>
      </x:c>
      <x:c r="G724" s="24" t="str">
        <x:f>IF(E724=F724,"PASS","FAIL")</x:f>
        <x:v>PASS</x:v>
      </x:c>
    </x:row>
    <x:row r="725">
      <x:c r="B725" s="22" t="str">
        <x:v>AC-0719</x:v>
      </x:c>
      <x:c r="C725" s="22" t="str">
        <x:v>non-error</x:v>
      </x:c>
      <x:c r="D725" s="22" t="str">
        <x:v>Hydraulic Build D24</x:v>
      </x:c>
      <x:c r="E725" s="75" t="n">
        <x:f>IF(ISERROR('Hydraulic Build'!D24),0,1)</x:f>
        <x:v>1</x:v>
      </x:c>
      <x:c r="F725" s="75" t="n">
        <x:v>1</x:v>
      </x:c>
      <x:c r="G725" s="24" t="str">
        <x:f>IF(E725=F725,"PASS","FAIL")</x:f>
        <x:v>PASS</x:v>
      </x:c>
    </x:row>
    <x:row r="726">
      <x:c r="B726" s="22" t="str">
        <x:v>AC-0720</x:v>
      </x:c>
      <x:c r="C726" s="22" t="str">
        <x:v>non-error</x:v>
      </x:c>
      <x:c r="D726" s="22" t="str">
        <x:v>Hydraulic Build D25</x:v>
      </x:c>
      <x:c r="E726" s="75" t="n">
        <x:f>IF(ISERROR('Hydraulic Build'!D25),0,1)</x:f>
        <x:v>1</x:v>
      </x:c>
      <x:c r="F726" s="75" t="n">
        <x:v>1</x:v>
      </x:c>
      <x:c r="G726" s="24" t="str">
        <x:f>IF(E726=F726,"PASS","FAIL")</x:f>
        <x:v>PASS</x:v>
      </x:c>
    </x:row>
    <x:row r="727">
      <x:c r="B727" s="22" t="str">
        <x:v>AC-0721</x:v>
      </x:c>
      <x:c r="C727" s="22" t="str">
        <x:v>non-error</x:v>
      </x:c>
      <x:c r="D727" s="22" t="str">
        <x:v>Hydraulic Build D26</x:v>
      </x:c>
      <x:c r="E727" s="75" t="n">
        <x:f>IF(ISERROR('Hydraulic Build'!D26),0,1)</x:f>
        <x:v>1</x:v>
      </x:c>
      <x:c r="F727" s="75" t="n">
        <x:v>1</x:v>
      </x:c>
      <x:c r="G727" s="24" t="str">
        <x:f>IF(E727=F727,"PASS","FAIL")</x:f>
        <x:v>PASS</x:v>
      </x:c>
    </x:row>
    <x:row r="728">
      <x:c r="B728" s="22" t="str">
        <x:v>AC-0722</x:v>
      </x:c>
      <x:c r="C728" s="22" t="str">
        <x:v>non-error</x:v>
      </x:c>
      <x:c r="D728" s="22" t="str">
        <x:v>Hydraulic Build D27</x:v>
      </x:c>
      <x:c r="E728" s="75" t="n">
        <x:f>IF(ISERROR('Hydraulic Build'!D27),0,1)</x:f>
        <x:v>1</x:v>
      </x:c>
      <x:c r="F728" s="75" t="n">
        <x:v>1</x:v>
      </x:c>
      <x:c r="G728" s="24" t="str">
        <x:f>IF(E728=F728,"PASS","FAIL")</x:f>
        <x:v>PASS</x:v>
      </x:c>
    </x:row>
    <x:row r="729">
      <x:c r="B729" s="22" t="str">
        <x:v>AC-0723</x:v>
      </x:c>
      <x:c r="C729" s="22" t="str">
        <x:v>non-error</x:v>
      </x:c>
      <x:c r="D729" s="22" t="str">
        <x:v>Hydraulic Build D28</x:v>
      </x:c>
      <x:c r="E729" s="75" t="n">
        <x:f>IF(ISERROR('Hydraulic Build'!D28),0,1)</x:f>
        <x:v>1</x:v>
      </x:c>
      <x:c r="F729" s="75" t="n">
        <x:v>1</x:v>
      </x:c>
      <x:c r="G729" s="24" t="str">
        <x:f>IF(E729=F729,"PASS","FAIL")</x:f>
        <x:v>PASS</x:v>
      </x:c>
    </x:row>
    <x:row r="730">
      <x:c r="B730" s="22" t="str">
        <x:v>AC-0724</x:v>
      </x:c>
      <x:c r="C730" s="22" t="str">
        <x:v>non-error</x:v>
      </x:c>
      <x:c r="D730" s="22" t="str">
        <x:v>Hydraulic Build D29</x:v>
      </x:c>
      <x:c r="E730" s="75" t="n">
        <x:f>IF(ISERROR('Hydraulic Build'!D29),0,1)</x:f>
        <x:v>1</x:v>
      </x:c>
      <x:c r="F730" s="75" t="n">
        <x:v>1</x:v>
      </x:c>
      <x:c r="G730" s="24" t="str">
        <x:f>IF(E730=F730,"PASS","FAIL")</x:f>
        <x:v>PASS</x:v>
      </x:c>
    </x:row>
    <x:row r="731">
      <x:c r="B731" s="22" t="str">
        <x:v>AC-0725</x:v>
      </x:c>
      <x:c r="C731" s="22" t="str">
        <x:v>non-error</x:v>
      </x:c>
      <x:c r="D731" s="22" t="str">
        <x:v>Hydraulic Build D30</x:v>
      </x:c>
      <x:c r="E731" s="75" t="n">
        <x:f>IF(ISERROR('Hydraulic Build'!D30),0,1)</x:f>
        <x:v>1</x:v>
      </x:c>
      <x:c r="F731" s="75" t="n">
        <x:v>1</x:v>
      </x:c>
      <x:c r="G731" s="24" t="str">
        <x:f>IF(E731=F731,"PASS","FAIL")</x:f>
        <x:v>PASS</x:v>
      </x:c>
    </x:row>
    <x:row r="732">
      <x:c r="B732" s="22" t="str">
        <x:v>AC-0726</x:v>
      </x:c>
      <x:c r="C732" s="22" t="str">
        <x:v>non-error</x:v>
      </x:c>
      <x:c r="D732" s="22" t="str">
        <x:v>Hydraulic Build D31</x:v>
      </x:c>
      <x:c r="E732" s="75" t="n">
        <x:f>IF(ISERROR('Hydraulic Build'!D31),0,1)</x:f>
        <x:v>1</x:v>
      </x:c>
      <x:c r="F732" s="75" t="n">
        <x:v>1</x:v>
      </x:c>
      <x:c r="G732" s="24" t="str">
        <x:f>IF(E732=F732,"PASS","FAIL")</x:f>
        <x:v>PASS</x:v>
      </x:c>
    </x:row>
    <x:row r="733">
      <x:c r="B733" s="22" t="str">
        <x:v>AC-0727</x:v>
      </x:c>
      <x:c r="C733" s="22" t="str">
        <x:v>non-error</x:v>
      </x:c>
      <x:c r="D733" s="22" t="str">
        <x:v>Hydraulic Build D32</x:v>
      </x:c>
      <x:c r="E733" s="75" t="n">
        <x:f>IF(ISERROR('Hydraulic Build'!D32),0,1)</x:f>
        <x:v>1</x:v>
      </x:c>
      <x:c r="F733" s="75" t="n">
        <x:v>1</x:v>
      </x:c>
      <x:c r="G733" s="24" t="str">
        <x:f>IF(E733=F733,"PASS","FAIL")</x:f>
        <x:v>PASS</x:v>
      </x:c>
    </x:row>
    <x:row r="734">
      <x:c r="B734" s="22" t="str">
        <x:v>AC-0728</x:v>
      </x:c>
      <x:c r="C734" s="22" t="str">
        <x:v>non-error</x:v>
      </x:c>
      <x:c r="D734" s="22" t="str">
        <x:v>Hydraulic Build D33</x:v>
      </x:c>
      <x:c r="E734" s="75" t="n">
        <x:f>IF(ISERROR('Hydraulic Build'!D33),0,1)</x:f>
        <x:v>1</x:v>
      </x:c>
      <x:c r="F734" s="75" t="n">
        <x:v>1</x:v>
      </x:c>
      <x:c r="G734" s="24" t="str">
        <x:f>IF(E734=F734,"PASS","FAIL")</x:f>
        <x:v>PASS</x:v>
      </x:c>
    </x:row>
    <x:row r="735">
      <x:c r="B735" s="22" t="str">
        <x:v>AC-0729</x:v>
      </x:c>
      <x:c r="C735" s="22" t="str">
        <x:v>non-error</x:v>
      </x:c>
      <x:c r="D735" s="22" t="str">
        <x:v>Hydraulic Build D34</x:v>
      </x:c>
      <x:c r="E735" s="75" t="n">
        <x:f>IF(ISERROR('Hydraulic Build'!D34),0,1)</x:f>
        <x:v>1</x:v>
      </x:c>
      <x:c r="F735" s="75" t="n">
        <x:v>1</x:v>
      </x:c>
      <x:c r="G735" s="24" t="str">
        <x:f>IF(E735=F735,"PASS","FAIL")</x:f>
        <x:v>PASS</x:v>
      </x:c>
    </x:row>
    <x:row r="736">
      <x:c r="B736" s="22" t="str">
        <x:v>AC-0730</x:v>
      </x:c>
      <x:c r="C736" s="22" t="str">
        <x:v>non-error</x:v>
      </x:c>
      <x:c r="D736" s="22" t="str">
        <x:v>Hydraulic Build D35</x:v>
      </x:c>
      <x:c r="E736" s="75" t="n">
        <x:f>IF(ISERROR('Hydraulic Build'!D35),0,1)</x:f>
        <x:v>1</x:v>
      </x:c>
      <x:c r="F736" s="75" t="n">
        <x:v>1</x:v>
      </x:c>
      <x:c r="G736" s="24" t="str">
        <x:f>IF(E736=F736,"PASS","FAIL")</x:f>
        <x:v>PASS</x:v>
      </x:c>
    </x:row>
    <x:row r="737">
      <x:c r="B737" s="22" t="str">
        <x:v>AC-0731</x:v>
      </x:c>
      <x:c r="C737" s="22" t="str">
        <x:v>non-error</x:v>
      </x:c>
      <x:c r="D737" s="22" t="str">
        <x:v>Hydraulic Build D36</x:v>
      </x:c>
      <x:c r="E737" s="75" t="n">
        <x:f>IF(ISERROR('Hydraulic Build'!D36),0,1)</x:f>
        <x:v>1</x:v>
      </x:c>
      <x:c r="F737" s="75" t="n">
        <x:v>1</x:v>
      </x:c>
      <x:c r="G737" s="24" t="str">
        <x:f>IF(E737=F737,"PASS","FAIL")</x:f>
        <x:v>PASS</x:v>
      </x:c>
    </x:row>
    <x:row r="738">
      <x:c r="B738" s="22" t="str">
        <x:v>AC-0732</x:v>
      </x:c>
      <x:c r="C738" s="22" t="str">
        <x:v>non-error</x:v>
      </x:c>
      <x:c r="D738" s="22" t="str">
        <x:v>Material Build C7</x:v>
      </x:c>
      <x:c r="E738" s="75" t="n">
        <x:f>IF(ISERROR('Material Build'!C7),0,1)</x:f>
        <x:v>1</x:v>
      </x:c>
      <x:c r="F738" s="75" t="n">
        <x:v>1</x:v>
      </x:c>
      <x:c r="G738" s="24" t="str">
        <x:f>IF(E738=F738,"PASS","FAIL")</x:f>
        <x:v>PASS</x:v>
      </x:c>
    </x:row>
    <x:row r="739">
      <x:c r="B739" s="22" t="str">
        <x:v>AC-0733</x:v>
      </x:c>
      <x:c r="C739" s="22" t="str">
        <x:v>non-error</x:v>
      </x:c>
      <x:c r="D739" s="22" t="str">
        <x:v>Material Build D7</x:v>
      </x:c>
      <x:c r="E739" s="75" t="n">
        <x:f>IF(ISERROR('Material Build'!D7),0,1)</x:f>
        <x:v>1</x:v>
      </x:c>
      <x:c r="F739" s="75" t="n">
        <x:v>1</x:v>
      </x:c>
      <x:c r="G739" s="24" t="str">
        <x:f>IF(E739=F739,"PASS","FAIL")</x:f>
        <x:v>PASS</x:v>
      </x:c>
    </x:row>
    <x:row r="740">
      <x:c r="B740" s="22" t="str">
        <x:v>AC-0734</x:v>
      </x:c>
      <x:c r="C740" s="22" t="str">
        <x:v>non-error</x:v>
      </x:c>
      <x:c r="D740" s="22" t="str">
        <x:v>Material Build E7</x:v>
      </x:c>
      <x:c r="E740" s="75" t="n">
        <x:f>IF(ISERROR('Material Build'!E7),0,1)</x:f>
        <x:v>1</x:v>
      </x:c>
      <x:c r="F740" s="75" t="n">
        <x:v>1</x:v>
      </x:c>
      <x:c r="G740" s="24" t="str">
        <x:f>IF(E740=F740,"PASS","FAIL")</x:f>
        <x:v>PASS</x:v>
      </x:c>
    </x:row>
    <x:row r="741">
      <x:c r="B741" s="22" t="str">
        <x:v>AC-0735</x:v>
      </x:c>
      <x:c r="C741" s="22" t="str">
        <x:v>non-error</x:v>
      </x:c>
      <x:c r="D741" s="22" t="str">
        <x:v>Material Build F7</x:v>
      </x:c>
      <x:c r="E741" s="75" t="n">
        <x:f>IF(ISERROR('Material Build'!F7),0,1)</x:f>
        <x:v>1</x:v>
      </x:c>
      <x:c r="F741" s="75" t="n">
        <x:v>1</x:v>
      </x:c>
      <x:c r="G741" s="24" t="str">
        <x:f>IF(E741=F741,"PASS","FAIL")</x:f>
        <x:v>PASS</x:v>
      </x:c>
    </x:row>
    <x:row r="742">
      <x:c r="B742" s="22" t="str">
        <x:v>AC-0736</x:v>
      </x:c>
      <x:c r="C742" s="22" t="str">
        <x:v>non-error</x:v>
      </x:c>
      <x:c r="D742" s="22" t="str">
        <x:v>Material Build G7</x:v>
      </x:c>
      <x:c r="E742" s="75" t="n">
        <x:f>IF(ISERROR('Material Build'!G7),0,1)</x:f>
        <x:v>1</x:v>
      </x:c>
      <x:c r="F742" s="75" t="n">
        <x:v>1</x:v>
      </x:c>
      <x:c r="G742" s="24" t="str">
        <x:f>IF(E742=F742,"PASS","FAIL")</x:f>
        <x:v>PASS</x:v>
      </x:c>
    </x:row>
    <x:row r="743">
      <x:c r="B743" s="22" t="str">
        <x:v>AC-0737</x:v>
      </x:c>
      <x:c r="C743" s="22" t="str">
        <x:v>non-error</x:v>
      </x:c>
      <x:c r="D743" s="22" t="str">
        <x:v>Material Build H7</x:v>
      </x:c>
      <x:c r="E743" s="75" t="n">
        <x:f>IF(ISERROR('Material Build'!H7),0,1)</x:f>
        <x:v>1</x:v>
      </x:c>
      <x:c r="F743" s="75" t="n">
        <x:v>1</x:v>
      </x:c>
      <x:c r="G743" s="24" t="str">
        <x:f>IF(E743=F743,"PASS","FAIL")</x:f>
        <x:v>PASS</x:v>
      </x:c>
    </x:row>
    <x:row r="744">
      <x:c r="B744" s="22" t="str">
        <x:v>AC-0738</x:v>
      </x:c>
      <x:c r="C744" s="22" t="str">
        <x:v>non-error</x:v>
      </x:c>
      <x:c r="D744" s="22" t="str">
        <x:v>Material Build I7</x:v>
      </x:c>
      <x:c r="E744" s="75" t="n">
        <x:f>IF(ISERROR('Material Build'!I7),0,1)</x:f>
        <x:v>1</x:v>
      </x:c>
      <x:c r="F744" s="75" t="n">
        <x:v>1</x:v>
      </x:c>
      <x:c r="G744" s="24" t="str">
        <x:f>IF(E744=F744,"PASS","FAIL")</x:f>
        <x:v>PASS</x:v>
      </x:c>
    </x:row>
    <x:row r="745">
      <x:c r="B745" s="22" t="str">
        <x:v>AC-0739</x:v>
      </x:c>
      <x:c r="C745" s="22" t="str">
        <x:v>non-error</x:v>
      </x:c>
      <x:c r="D745" s="22" t="str">
        <x:v>Material Build J7</x:v>
      </x:c>
      <x:c r="E745" s="75" t="n">
        <x:f>IF(ISERROR('Material Build'!J7),0,1)</x:f>
        <x:v>1</x:v>
      </x:c>
      <x:c r="F745" s="75" t="n">
        <x:v>1</x:v>
      </x:c>
      <x:c r="G745" s="24" t="str">
        <x:f>IF(E745=F745,"PASS","FAIL")</x:f>
        <x:v>PASS</x:v>
      </x:c>
    </x:row>
    <x:row r="746">
      <x:c r="B746" s="22" t="str">
        <x:v>AC-0740</x:v>
      </x:c>
      <x:c r="C746" s="22" t="str">
        <x:v>non-error</x:v>
      </x:c>
      <x:c r="D746" s="22" t="str">
        <x:v>Material Build K7</x:v>
      </x:c>
      <x:c r="E746" s="75" t="n">
        <x:f>IF(ISERROR('Material Build'!K7),0,1)</x:f>
        <x:v>1</x:v>
      </x:c>
      <x:c r="F746" s="75" t="n">
        <x:v>1</x:v>
      </x:c>
      <x:c r="G746" s="24" t="str">
        <x:f>IF(E746=F746,"PASS","FAIL")</x:f>
        <x:v>PASS</x:v>
      </x:c>
    </x:row>
    <x:row r="747">
      <x:c r="B747" s="22" t="str">
        <x:v>AC-0741</x:v>
      </x:c>
      <x:c r="C747" s="22" t="str">
        <x:v>non-error</x:v>
      </x:c>
      <x:c r="D747" s="22" t="str">
        <x:v>Material Build L7</x:v>
      </x:c>
      <x:c r="E747" s="75" t="n">
        <x:f>IF(ISERROR('Material Build'!L7),0,1)</x:f>
        <x:v>1</x:v>
      </x:c>
      <x:c r="F747" s="75" t="n">
        <x:v>1</x:v>
      </x:c>
      <x:c r="G747" s="24" t="str">
        <x:f>IF(E747=F747,"PASS","FAIL")</x:f>
        <x:v>PASS</x:v>
      </x:c>
    </x:row>
    <x:row r="748">
      <x:c r="B748" s="22" t="str">
        <x:v>AC-0742</x:v>
      </x:c>
      <x:c r="C748" s="22" t="str">
        <x:v>non-error</x:v>
      </x:c>
      <x:c r="D748" s="22" t="str">
        <x:v>Material Build M7</x:v>
      </x:c>
      <x:c r="E748" s="75" t="n">
        <x:f>IF(ISERROR('Material Build'!M7),0,1)</x:f>
        <x:v>1</x:v>
      </x:c>
      <x:c r="F748" s="75" t="n">
        <x:v>1</x:v>
      </x:c>
      <x:c r="G748" s="24" t="str">
        <x:f>IF(E748=F748,"PASS","FAIL")</x:f>
        <x:v>PASS</x:v>
      </x:c>
    </x:row>
    <x:row r="749">
      <x:c r="B749" s="22" t="str">
        <x:v>AC-0743</x:v>
      </x:c>
      <x:c r="C749" s="22" t="str">
        <x:v>non-error</x:v>
      </x:c>
      <x:c r="D749" s="22" t="str">
        <x:v>Material Build N7</x:v>
      </x:c>
      <x:c r="E749" s="75" t="n">
        <x:f>IF(ISERROR('Material Build'!N7),0,1)</x:f>
        <x:v>1</x:v>
      </x:c>
      <x:c r="F749" s="75" t="n">
        <x:v>1</x:v>
      </x:c>
      <x:c r="G749" s="24" t="str">
        <x:f>IF(E749=F749,"PASS","FAIL")</x:f>
        <x:v>PASS</x:v>
      </x:c>
    </x:row>
    <x:row r="750">
      <x:c r="B750" s="22" t="str">
        <x:v>AC-0744</x:v>
      </x:c>
      <x:c r="C750" s="22" t="str">
        <x:v>non-error</x:v>
      </x:c>
      <x:c r="D750" s="22" t="str">
        <x:v>Material Build O7</x:v>
      </x:c>
      <x:c r="E750" s="75" t="n">
        <x:f>IF(ISERROR('Material Build'!O7),0,1)</x:f>
        <x:v>1</x:v>
      </x:c>
      <x:c r="F750" s="75" t="n">
        <x:v>1</x:v>
      </x:c>
      <x:c r="G750" s="24" t="str">
        <x:f>IF(E750=F750,"PASS","FAIL")</x:f>
        <x:v>PASS</x:v>
      </x:c>
    </x:row>
    <x:row r="751">
      <x:c r="B751" s="22" t="str">
        <x:v>AC-0745</x:v>
      </x:c>
      <x:c r="C751" s="22" t="str">
        <x:v>non-error</x:v>
      </x:c>
      <x:c r="D751" s="22" t="str">
        <x:v>Material Build P7</x:v>
      </x:c>
      <x:c r="E751" s="75" t="n">
        <x:f>IF(ISERROR('Material Build'!P7),0,1)</x:f>
        <x:v>1</x:v>
      </x:c>
      <x:c r="F751" s="75" t="n">
        <x:v>1</x:v>
      </x:c>
      <x:c r="G751" s="24" t="str">
        <x:f>IF(E751=F751,"PASS","FAIL")</x:f>
        <x:v>PASS</x:v>
      </x:c>
    </x:row>
    <x:row r="752">
      <x:c r="B752" s="22" t="str">
        <x:v>AC-0746</x:v>
      </x:c>
      <x:c r="C752" s="22" t="str">
        <x:v>non-error</x:v>
      </x:c>
      <x:c r="D752" s="22" t="str">
        <x:v>Material Build Q7</x:v>
      </x:c>
      <x:c r="E752" s="75" t="n">
        <x:f>IF(ISERROR('Material Build'!Q7),0,1)</x:f>
        <x:v>1</x:v>
      </x:c>
      <x:c r="F752" s="75" t="n">
        <x:v>1</x:v>
      </x:c>
      <x:c r="G752" s="24" t="str">
        <x:f>IF(E752=F752,"PASS","FAIL")</x:f>
        <x:v>PASS</x:v>
      </x:c>
    </x:row>
    <x:row r="753">
      <x:c r="B753" s="22" t="str">
        <x:v>AC-0747</x:v>
      </x:c>
      <x:c r="C753" s="22" t="str">
        <x:v>non-error</x:v>
      </x:c>
      <x:c r="D753" s="22" t="str">
        <x:v>Material Build R7</x:v>
      </x:c>
      <x:c r="E753" s="75" t="n">
        <x:f>IF(ISERROR('Material Build'!R7),0,1)</x:f>
        <x:v>1</x:v>
      </x:c>
      <x:c r="F753" s="75" t="n">
        <x:v>1</x:v>
      </x:c>
      <x:c r="G753" s="24" t="str">
        <x:f>IF(E753=F753,"PASS","FAIL")</x:f>
        <x:v>PASS</x:v>
      </x:c>
    </x:row>
    <x:row r="754">
      <x:c r="B754" s="22" t="str">
        <x:v>AC-0748</x:v>
      </x:c>
      <x:c r="C754" s="22" t="str">
        <x:v>non-error</x:v>
      </x:c>
      <x:c r="D754" s="22" t="str">
        <x:v>Material Build C8</x:v>
      </x:c>
      <x:c r="E754" s="75" t="n">
        <x:f>IF(ISERROR('Material Build'!C8),0,1)</x:f>
        <x:v>1</x:v>
      </x:c>
      <x:c r="F754" s="75" t="n">
        <x:v>1</x:v>
      </x:c>
      <x:c r="G754" s="24" t="str">
        <x:f>IF(E754=F754,"PASS","FAIL")</x:f>
        <x:v>PASS</x:v>
      </x:c>
    </x:row>
    <x:row r="755">
      <x:c r="B755" s="22" t="str">
        <x:v>AC-0749</x:v>
      </x:c>
      <x:c r="C755" s="22" t="str">
        <x:v>non-error</x:v>
      </x:c>
      <x:c r="D755" s="22" t="str">
        <x:v>Material Build D8</x:v>
      </x:c>
      <x:c r="E755" s="75" t="n">
        <x:f>IF(ISERROR('Material Build'!D8),0,1)</x:f>
        <x:v>1</x:v>
      </x:c>
      <x:c r="F755" s="75" t="n">
        <x:v>1</x:v>
      </x:c>
      <x:c r="G755" s="24" t="str">
        <x:f>IF(E755=F755,"PASS","FAIL")</x:f>
        <x:v>PASS</x:v>
      </x:c>
    </x:row>
    <x:row r="756">
      <x:c r="B756" s="22" t="str">
        <x:v>AC-0750</x:v>
      </x:c>
      <x:c r="C756" s="22" t="str">
        <x:v>non-error</x:v>
      </x:c>
      <x:c r="D756" s="22" t="str">
        <x:v>Material Build E8</x:v>
      </x:c>
      <x:c r="E756" s="75" t="n">
        <x:f>IF(ISERROR('Material Build'!E8),0,1)</x:f>
        <x:v>1</x:v>
      </x:c>
      <x:c r="F756" s="75" t="n">
        <x:v>1</x:v>
      </x:c>
      <x:c r="G756" s="24" t="str">
        <x:f>IF(E756=F756,"PASS","FAIL")</x:f>
        <x:v>PASS</x:v>
      </x:c>
    </x:row>
    <x:row r="757">
      <x:c r="B757" s="22" t="str">
        <x:v>AC-0751</x:v>
      </x:c>
      <x:c r="C757" s="22" t="str">
        <x:v>non-error</x:v>
      </x:c>
      <x:c r="D757" s="22" t="str">
        <x:v>Material Build F8</x:v>
      </x:c>
      <x:c r="E757" s="75" t="n">
        <x:f>IF(ISERROR('Material Build'!F8),0,1)</x:f>
        <x:v>1</x:v>
      </x:c>
      <x:c r="F757" s="75" t="n">
        <x:v>1</x:v>
      </x:c>
      <x:c r="G757" s="24" t="str">
        <x:f>IF(E757=F757,"PASS","FAIL")</x:f>
        <x:v>PASS</x:v>
      </x:c>
    </x:row>
    <x:row r="758">
      <x:c r="B758" s="22" t="str">
        <x:v>AC-0752</x:v>
      </x:c>
      <x:c r="C758" s="22" t="str">
        <x:v>non-error</x:v>
      </x:c>
      <x:c r="D758" s="22" t="str">
        <x:v>Material Build G8</x:v>
      </x:c>
      <x:c r="E758" s="75" t="n">
        <x:f>IF(ISERROR('Material Build'!G8),0,1)</x:f>
        <x:v>1</x:v>
      </x:c>
      <x:c r="F758" s="75" t="n">
        <x:v>1</x:v>
      </x:c>
      <x:c r="G758" s="24" t="str">
        <x:f>IF(E758=F758,"PASS","FAIL")</x:f>
        <x:v>PASS</x:v>
      </x:c>
    </x:row>
    <x:row r="759">
      <x:c r="B759" s="22" t="str">
        <x:v>AC-0753</x:v>
      </x:c>
      <x:c r="C759" s="22" t="str">
        <x:v>non-error</x:v>
      </x:c>
      <x:c r="D759" s="22" t="str">
        <x:v>Material Build H8</x:v>
      </x:c>
      <x:c r="E759" s="75" t="n">
        <x:f>IF(ISERROR('Material Build'!H8),0,1)</x:f>
        <x:v>1</x:v>
      </x:c>
      <x:c r="F759" s="75" t="n">
        <x:v>1</x:v>
      </x:c>
      <x:c r="G759" s="24" t="str">
        <x:f>IF(E759=F759,"PASS","FAIL")</x:f>
        <x:v>PASS</x:v>
      </x:c>
    </x:row>
    <x:row r="760">
      <x:c r="B760" s="22" t="str">
        <x:v>AC-0754</x:v>
      </x:c>
      <x:c r="C760" s="22" t="str">
        <x:v>non-error</x:v>
      </x:c>
      <x:c r="D760" s="22" t="str">
        <x:v>Material Build I8</x:v>
      </x:c>
      <x:c r="E760" s="75" t="n">
        <x:f>IF(ISERROR('Material Build'!I8),0,1)</x:f>
        <x:v>1</x:v>
      </x:c>
      <x:c r="F760" s="75" t="n">
        <x:v>1</x:v>
      </x:c>
      <x:c r="G760" s="24" t="str">
        <x:f>IF(E760=F760,"PASS","FAIL")</x:f>
        <x:v>PASS</x:v>
      </x:c>
    </x:row>
    <x:row r="761">
      <x:c r="B761" s="22" t="str">
        <x:v>AC-0755</x:v>
      </x:c>
      <x:c r="C761" s="22" t="str">
        <x:v>non-error</x:v>
      </x:c>
      <x:c r="D761" s="22" t="str">
        <x:v>Material Build J8</x:v>
      </x:c>
      <x:c r="E761" s="75" t="n">
        <x:f>IF(ISERROR('Material Build'!J8),0,1)</x:f>
        <x:v>1</x:v>
      </x:c>
      <x:c r="F761" s="75" t="n">
        <x:v>1</x:v>
      </x:c>
      <x:c r="G761" s="24" t="str">
        <x:f>IF(E761=F761,"PASS","FAIL")</x:f>
        <x:v>PASS</x:v>
      </x:c>
    </x:row>
    <x:row r="762">
      <x:c r="B762" s="22" t="str">
        <x:v>AC-0756</x:v>
      </x:c>
      <x:c r="C762" s="22" t="str">
        <x:v>non-error</x:v>
      </x:c>
      <x:c r="D762" s="22" t="str">
        <x:v>Material Build K8</x:v>
      </x:c>
      <x:c r="E762" s="75" t="n">
        <x:f>IF(ISERROR('Material Build'!K8),0,1)</x:f>
        <x:v>1</x:v>
      </x:c>
      <x:c r="F762" s="75" t="n">
        <x:v>1</x:v>
      </x:c>
      <x:c r="G762" s="24" t="str">
        <x:f>IF(E762=F762,"PASS","FAIL")</x:f>
        <x:v>PASS</x:v>
      </x:c>
    </x:row>
    <x:row r="763">
      <x:c r="B763" s="22" t="str">
        <x:v>AC-0757</x:v>
      </x:c>
      <x:c r="C763" s="22" t="str">
        <x:v>non-error</x:v>
      </x:c>
      <x:c r="D763" s="22" t="str">
        <x:v>Material Build L8</x:v>
      </x:c>
      <x:c r="E763" s="75" t="n">
        <x:f>IF(ISERROR('Material Build'!L8),0,1)</x:f>
        <x:v>1</x:v>
      </x:c>
      <x:c r="F763" s="75" t="n">
        <x:v>1</x:v>
      </x:c>
      <x:c r="G763" s="24" t="str">
        <x:f>IF(E763=F763,"PASS","FAIL")</x:f>
        <x:v>PASS</x:v>
      </x:c>
    </x:row>
    <x:row r="764">
      <x:c r="B764" s="22" t="str">
        <x:v>AC-0758</x:v>
      </x:c>
      <x:c r="C764" s="22" t="str">
        <x:v>non-error</x:v>
      </x:c>
      <x:c r="D764" s="22" t="str">
        <x:v>Material Build M8</x:v>
      </x:c>
      <x:c r="E764" s="75" t="n">
        <x:f>IF(ISERROR('Material Build'!M8),0,1)</x:f>
        <x:v>1</x:v>
      </x:c>
      <x:c r="F764" s="75" t="n">
        <x:v>1</x:v>
      </x:c>
      <x:c r="G764" s="24" t="str">
        <x:f>IF(E764=F764,"PASS","FAIL")</x:f>
        <x:v>PASS</x:v>
      </x:c>
    </x:row>
    <x:row r="765">
      <x:c r="B765" s="22" t="str">
        <x:v>AC-0759</x:v>
      </x:c>
      <x:c r="C765" s="22" t="str">
        <x:v>non-error</x:v>
      </x:c>
      <x:c r="D765" s="22" t="str">
        <x:v>Material Build N8</x:v>
      </x:c>
      <x:c r="E765" s="75" t="n">
        <x:f>IF(ISERROR('Material Build'!N8),0,1)</x:f>
        <x:v>1</x:v>
      </x:c>
      <x:c r="F765" s="75" t="n">
        <x:v>1</x:v>
      </x:c>
      <x:c r="G765" s="24" t="str">
        <x:f>IF(E765=F765,"PASS","FAIL")</x:f>
        <x:v>PASS</x:v>
      </x:c>
    </x:row>
    <x:row r="766">
      <x:c r="B766" s="22" t="str">
        <x:v>AC-0760</x:v>
      </x:c>
      <x:c r="C766" s="22" t="str">
        <x:v>non-error</x:v>
      </x:c>
      <x:c r="D766" s="22" t="str">
        <x:v>Material Build O8</x:v>
      </x:c>
      <x:c r="E766" s="75" t="n">
        <x:f>IF(ISERROR('Material Build'!O8),0,1)</x:f>
        <x:v>1</x:v>
      </x:c>
      <x:c r="F766" s="75" t="n">
        <x:v>1</x:v>
      </x:c>
      <x:c r="G766" s="24" t="str">
        <x:f>IF(E766=F766,"PASS","FAIL")</x:f>
        <x:v>PASS</x:v>
      </x:c>
    </x:row>
    <x:row r="767">
      <x:c r="B767" s="22" t="str">
        <x:v>AC-0761</x:v>
      </x:c>
      <x:c r="C767" s="22" t="str">
        <x:v>non-error</x:v>
      </x:c>
      <x:c r="D767" s="22" t="str">
        <x:v>Material Build P8</x:v>
      </x:c>
      <x:c r="E767" s="75" t="n">
        <x:f>IF(ISERROR('Material Build'!P8),0,1)</x:f>
        <x:v>1</x:v>
      </x:c>
      <x:c r="F767" s="75" t="n">
        <x:v>1</x:v>
      </x:c>
      <x:c r="G767" s="24" t="str">
        <x:f>IF(E767=F767,"PASS","FAIL")</x:f>
        <x:v>PASS</x:v>
      </x:c>
    </x:row>
    <x:row r="768">
      <x:c r="B768" s="22" t="str">
        <x:v>AC-0762</x:v>
      </x:c>
      <x:c r="C768" s="22" t="str">
        <x:v>non-error</x:v>
      </x:c>
      <x:c r="D768" s="22" t="str">
        <x:v>Material Build Q8</x:v>
      </x:c>
      <x:c r="E768" s="75" t="n">
        <x:f>IF(ISERROR('Material Build'!Q8),0,1)</x:f>
        <x:v>1</x:v>
      </x:c>
      <x:c r="F768" s="75" t="n">
        <x:v>1</x:v>
      </x:c>
      <x:c r="G768" s="24" t="str">
        <x:f>IF(E768=F768,"PASS","FAIL")</x:f>
        <x:v>PASS</x:v>
      </x:c>
    </x:row>
    <x:row r="769">
      <x:c r="B769" s="22" t="str">
        <x:v>AC-0763</x:v>
      </x:c>
      <x:c r="C769" s="22" t="str">
        <x:v>non-error</x:v>
      </x:c>
      <x:c r="D769" s="22" t="str">
        <x:v>Material Build R8</x:v>
      </x:c>
      <x:c r="E769" s="75" t="n">
        <x:f>IF(ISERROR('Material Build'!R8),0,1)</x:f>
        <x:v>1</x:v>
      </x:c>
      <x:c r="F769" s="75" t="n">
        <x:v>1</x:v>
      </x:c>
      <x:c r="G769" s="24" t="str">
        <x:f>IF(E769=F769,"PASS","FAIL")</x:f>
        <x:v>PASS</x:v>
      </x:c>
    </x:row>
    <x:row r="770">
      <x:c r="B770" s="22" t="str">
        <x:v>AC-0764</x:v>
      </x:c>
      <x:c r="C770" s="22" t="str">
        <x:v>non-error</x:v>
      </x:c>
      <x:c r="D770" s="22" t="str">
        <x:v>Material Build C9</x:v>
      </x:c>
      <x:c r="E770" s="75" t="n">
        <x:f>IF(ISERROR('Material Build'!C9),0,1)</x:f>
        <x:v>1</x:v>
      </x:c>
      <x:c r="F770" s="75" t="n">
        <x:v>1</x:v>
      </x:c>
      <x:c r="G770" s="24" t="str">
        <x:f>IF(E770=F770,"PASS","FAIL")</x:f>
        <x:v>PASS</x:v>
      </x:c>
    </x:row>
    <x:row r="771">
      <x:c r="B771" s="22" t="str">
        <x:v>AC-0765</x:v>
      </x:c>
      <x:c r="C771" s="22" t="str">
        <x:v>non-error</x:v>
      </x:c>
      <x:c r="D771" s="22" t="str">
        <x:v>Material Build D9</x:v>
      </x:c>
      <x:c r="E771" s="75" t="n">
        <x:f>IF(ISERROR('Material Build'!D9),0,1)</x:f>
        <x:v>1</x:v>
      </x:c>
      <x:c r="F771" s="75" t="n">
        <x:v>1</x:v>
      </x:c>
      <x:c r="G771" s="24" t="str">
        <x:f>IF(E771=F771,"PASS","FAIL")</x:f>
        <x:v>PASS</x:v>
      </x:c>
    </x:row>
    <x:row r="772">
      <x:c r="B772" s="22" t="str">
        <x:v>AC-0766</x:v>
      </x:c>
      <x:c r="C772" s="22" t="str">
        <x:v>non-error</x:v>
      </x:c>
      <x:c r="D772" s="22" t="str">
        <x:v>Material Build E9</x:v>
      </x:c>
      <x:c r="E772" s="75" t="n">
        <x:f>IF(ISERROR('Material Build'!E9),0,1)</x:f>
        <x:v>1</x:v>
      </x:c>
      <x:c r="F772" s="75" t="n">
        <x:v>1</x:v>
      </x:c>
      <x:c r="G772" s="24" t="str">
        <x:f>IF(E772=F772,"PASS","FAIL")</x:f>
        <x:v>PASS</x:v>
      </x:c>
    </x:row>
    <x:row r="773">
      <x:c r="B773" s="22" t="str">
        <x:v>AC-0767</x:v>
      </x:c>
      <x:c r="C773" s="22" t="str">
        <x:v>non-error</x:v>
      </x:c>
      <x:c r="D773" s="22" t="str">
        <x:v>Material Build F9</x:v>
      </x:c>
      <x:c r="E773" s="75" t="n">
        <x:f>IF(ISERROR('Material Build'!F9),0,1)</x:f>
        <x:v>1</x:v>
      </x:c>
      <x:c r="F773" s="75" t="n">
        <x:v>1</x:v>
      </x:c>
      <x:c r="G773" s="24" t="str">
        <x:f>IF(E773=F773,"PASS","FAIL")</x:f>
        <x:v>PASS</x:v>
      </x:c>
    </x:row>
    <x:row r="774">
      <x:c r="B774" s="22" t="str">
        <x:v>AC-0768</x:v>
      </x:c>
      <x:c r="C774" s="22" t="str">
        <x:v>non-error</x:v>
      </x:c>
      <x:c r="D774" s="22" t="str">
        <x:v>Material Build G9</x:v>
      </x:c>
      <x:c r="E774" s="75" t="n">
        <x:f>IF(ISERROR('Material Build'!G9),0,1)</x:f>
        <x:v>1</x:v>
      </x:c>
      <x:c r="F774" s="75" t="n">
        <x:v>1</x:v>
      </x:c>
      <x:c r="G774" s="24" t="str">
        <x:f>IF(E774=F774,"PASS","FAIL")</x:f>
        <x:v>PASS</x:v>
      </x:c>
    </x:row>
    <x:row r="775">
      <x:c r="B775" s="22" t="str">
        <x:v>AC-0769</x:v>
      </x:c>
      <x:c r="C775" s="22" t="str">
        <x:v>non-error</x:v>
      </x:c>
      <x:c r="D775" s="22" t="str">
        <x:v>Material Build H9</x:v>
      </x:c>
      <x:c r="E775" s="75" t="n">
        <x:f>IF(ISERROR('Material Build'!H9),0,1)</x:f>
        <x:v>1</x:v>
      </x:c>
      <x:c r="F775" s="75" t="n">
        <x:v>1</x:v>
      </x:c>
      <x:c r="G775" s="24" t="str">
        <x:f>IF(E775=F775,"PASS","FAIL")</x:f>
        <x:v>PASS</x:v>
      </x:c>
    </x:row>
    <x:row r="776">
      <x:c r="B776" s="22" t="str">
        <x:v>AC-0770</x:v>
      </x:c>
      <x:c r="C776" s="22" t="str">
        <x:v>non-error</x:v>
      </x:c>
      <x:c r="D776" s="22" t="str">
        <x:v>Material Build I9</x:v>
      </x:c>
      <x:c r="E776" s="75" t="n">
        <x:f>IF(ISERROR('Material Build'!I9),0,1)</x:f>
        <x:v>1</x:v>
      </x:c>
      <x:c r="F776" s="75" t="n">
        <x:v>1</x:v>
      </x:c>
      <x:c r="G776" s="24" t="str">
        <x:f>IF(E776=F776,"PASS","FAIL")</x:f>
        <x:v>PASS</x:v>
      </x:c>
    </x:row>
    <x:row r="777">
      <x:c r="B777" s="22" t="str">
        <x:v>AC-0771</x:v>
      </x:c>
      <x:c r="C777" s="22" t="str">
        <x:v>non-error</x:v>
      </x:c>
      <x:c r="D777" s="22" t="str">
        <x:v>Material Build J9</x:v>
      </x:c>
      <x:c r="E777" s="75" t="n">
        <x:f>IF(ISERROR('Material Build'!J9),0,1)</x:f>
        <x:v>1</x:v>
      </x:c>
      <x:c r="F777" s="75" t="n">
        <x:v>1</x:v>
      </x:c>
      <x:c r="G777" s="24" t="str">
        <x:f>IF(E777=F777,"PASS","FAIL")</x:f>
        <x:v>PASS</x:v>
      </x:c>
    </x:row>
    <x:row r="778">
      <x:c r="B778" s="22" t="str">
        <x:v>AC-0772</x:v>
      </x:c>
      <x:c r="C778" s="22" t="str">
        <x:v>non-error</x:v>
      </x:c>
      <x:c r="D778" s="22" t="str">
        <x:v>Material Build K9</x:v>
      </x:c>
      <x:c r="E778" s="75" t="n">
        <x:f>IF(ISERROR('Material Build'!K9),0,1)</x:f>
        <x:v>1</x:v>
      </x:c>
      <x:c r="F778" s="75" t="n">
        <x:v>1</x:v>
      </x:c>
      <x:c r="G778" s="24" t="str">
        <x:f>IF(E778=F778,"PASS","FAIL")</x:f>
        <x:v>PASS</x:v>
      </x:c>
    </x:row>
    <x:row r="779">
      <x:c r="B779" s="22" t="str">
        <x:v>AC-0773</x:v>
      </x:c>
      <x:c r="C779" s="22" t="str">
        <x:v>non-error</x:v>
      </x:c>
      <x:c r="D779" s="22" t="str">
        <x:v>Material Build L9</x:v>
      </x:c>
      <x:c r="E779" s="75" t="n">
        <x:f>IF(ISERROR('Material Build'!L9),0,1)</x:f>
        <x:v>1</x:v>
      </x:c>
      <x:c r="F779" s="75" t="n">
        <x:v>1</x:v>
      </x:c>
      <x:c r="G779" s="24" t="str">
        <x:f>IF(E779=F779,"PASS","FAIL")</x:f>
        <x:v>PASS</x:v>
      </x:c>
    </x:row>
    <x:row r="780">
      <x:c r="B780" s="22" t="str">
        <x:v>AC-0774</x:v>
      </x:c>
      <x:c r="C780" s="22" t="str">
        <x:v>non-error</x:v>
      </x:c>
      <x:c r="D780" s="22" t="str">
        <x:v>Material Build M9</x:v>
      </x:c>
      <x:c r="E780" s="75" t="n">
        <x:f>IF(ISERROR('Material Build'!M9),0,1)</x:f>
        <x:v>1</x:v>
      </x:c>
      <x:c r="F780" s="75" t="n">
        <x:v>1</x:v>
      </x:c>
      <x:c r="G780" s="24" t="str">
        <x:f>IF(E780=F780,"PASS","FAIL")</x:f>
        <x:v>PASS</x:v>
      </x:c>
    </x:row>
    <x:row r="781">
      <x:c r="B781" s="22" t="str">
        <x:v>AC-0775</x:v>
      </x:c>
      <x:c r="C781" s="22" t="str">
        <x:v>non-error</x:v>
      </x:c>
      <x:c r="D781" s="22" t="str">
        <x:v>Material Build N9</x:v>
      </x:c>
      <x:c r="E781" s="75" t="n">
        <x:f>IF(ISERROR('Material Build'!N9),0,1)</x:f>
        <x:v>1</x:v>
      </x:c>
      <x:c r="F781" s="75" t="n">
        <x:v>1</x:v>
      </x:c>
      <x:c r="G781" s="24" t="str">
        <x:f>IF(E781=F781,"PASS","FAIL")</x:f>
        <x:v>PASS</x:v>
      </x:c>
    </x:row>
    <x:row r="782">
      <x:c r="B782" s="22" t="str">
        <x:v>AC-0776</x:v>
      </x:c>
      <x:c r="C782" s="22" t="str">
        <x:v>non-error</x:v>
      </x:c>
      <x:c r="D782" s="22" t="str">
        <x:v>Material Build O9</x:v>
      </x:c>
      <x:c r="E782" s="75" t="n">
        <x:f>IF(ISERROR('Material Build'!O9),0,1)</x:f>
        <x:v>1</x:v>
      </x:c>
      <x:c r="F782" s="75" t="n">
        <x:v>1</x:v>
      </x:c>
      <x:c r="G782" s="24" t="str">
        <x:f>IF(E782=F782,"PASS","FAIL")</x:f>
        <x:v>PASS</x:v>
      </x:c>
    </x:row>
    <x:row r="783">
      <x:c r="B783" s="22" t="str">
        <x:v>AC-0777</x:v>
      </x:c>
      <x:c r="C783" s="22" t="str">
        <x:v>non-error</x:v>
      </x:c>
      <x:c r="D783" s="22" t="str">
        <x:v>Material Build P9</x:v>
      </x:c>
      <x:c r="E783" s="75" t="n">
        <x:f>IF(ISERROR('Material Build'!P9),0,1)</x:f>
        <x:v>1</x:v>
      </x:c>
      <x:c r="F783" s="75" t="n">
        <x:v>1</x:v>
      </x:c>
      <x:c r="G783" s="24" t="str">
        <x:f>IF(E783=F783,"PASS","FAIL")</x:f>
        <x:v>PASS</x:v>
      </x:c>
    </x:row>
    <x:row r="784">
      <x:c r="B784" s="22" t="str">
        <x:v>AC-0778</x:v>
      </x:c>
      <x:c r="C784" s="22" t="str">
        <x:v>non-error</x:v>
      </x:c>
      <x:c r="D784" s="22" t="str">
        <x:v>Material Build Q9</x:v>
      </x:c>
      <x:c r="E784" s="75" t="n">
        <x:f>IF(ISERROR('Material Build'!Q9),0,1)</x:f>
        <x:v>1</x:v>
      </x:c>
      <x:c r="F784" s="75" t="n">
        <x:v>1</x:v>
      </x:c>
      <x:c r="G784" s="24" t="str">
        <x:f>IF(E784=F784,"PASS","FAIL")</x:f>
        <x:v>PASS</x:v>
      </x:c>
    </x:row>
    <x:row r="785">
      <x:c r="B785" s="22" t="str">
        <x:v>AC-0779</x:v>
      </x:c>
      <x:c r="C785" s="22" t="str">
        <x:v>non-error</x:v>
      </x:c>
      <x:c r="D785" s="22" t="str">
        <x:v>Material Build R9</x:v>
      </x:c>
      <x:c r="E785" s="75" t="n">
        <x:f>IF(ISERROR('Material Build'!R9),0,1)</x:f>
        <x:v>1</x:v>
      </x:c>
      <x:c r="F785" s="75" t="n">
        <x:v>1</x:v>
      </x:c>
      <x:c r="G785" s="24" t="str">
        <x:f>IF(E785=F785,"PASS","FAIL")</x:f>
        <x:v>PASS</x:v>
      </x:c>
    </x:row>
    <x:row r="786">
      <x:c r="B786" s="22" t="str">
        <x:v>AC-0780</x:v>
      </x:c>
      <x:c r="C786" s="22" t="str">
        <x:v>non-error</x:v>
      </x:c>
      <x:c r="D786" s="22" t="str">
        <x:v>Workfront Schedule G7</x:v>
      </x:c>
      <x:c r="E786" s="75" t="n">
        <x:f>IF(ISERROR('Workfront Schedule'!G7),0,1)</x:f>
        <x:v>1</x:v>
      </x:c>
      <x:c r="F786" s="75" t="n">
        <x:v>1</x:v>
      </x:c>
      <x:c r="G786" s="24" t="str">
        <x:f>IF(E786=F786,"PASS","FAIL")</x:f>
        <x:v>PASS</x:v>
      </x:c>
    </x:row>
    <x:row r="787">
      <x:c r="B787" s="22" t="str">
        <x:v>AC-0781</x:v>
      </x:c>
      <x:c r="C787" s="22" t="str">
        <x:v>non-error</x:v>
      </x:c>
      <x:c r="D787" s="22" t="str">
        <x:v>Workfront Schedule H7</x:v>
      </x:c>
      <x:c r="E787" s="75" t="n">
        <x:f>IF(ISERROR('Workfront Schedule'!H7),0,1)</x:f>
        <x:v>1</x:v>
      </x:c>
      <x:c r="F787" s="75" t="n">
        <x:v>1</x:v>
      </x:c>
      <x:c r="G787" s="24" t="str">
        <x:f>IF(E787=F787,"PASS","FAIL")</x:f>
        <x:v>PASS</x:v>
      </x:c>
    </x:row>
    <x:row r="788">
      <x:c r="B788" s="22" t="str">
        <x:v>AC-0782</x:v>
      </x:c>
      <x:c r="C788" s="22" t="str">
        <x:v>non-error</x:v>
      </x:c>
      <x:c r="D788" s="22" t="str">
        <x:v>Workfront Schedule I7</x:v>
      </x:c>
      <x:c r="E788" s="75" t="n">
        <x:f>IF(ISERROR('Workfront Schedule'!I7),0,1)</x:f>
        <x:v>1</x:v>
      </x:c>
      <x:c r="F788" s="75" t="n">
        <x:v>1</x:v>
      </x:c>
      <x:c r="G788" s="24" t="str">
        <x:f>IF(E788=F788,"PASS","FAIL")</x:f>
        <x:v>PASS</x:v>
      </x:c>
    </x:row>
    <x:row r="789">
      <x:c r="B789" s="22" t="str">
        <x:v>AC-0783</x:v>
      </x:c>
      <x:c r="C789" s="22" t="str">
        <x:v>non-error</x:v>
      </x:c>
      <x:c r="D789" s="22" t="str">
        <x:v>Workfront Schedule J7</x:v>
      </x:c>
      <x:c r="E789" s="75" t="n">
        <x:f>IF(ISERROR('Workfront Schedule'!J7),0,1)</x:f>
        <x:v>1</x:v>
      </x:c>
      <x:c r="F789" s="75" t="n">
        <x:v>1</x:v>
      </x:c>
      <x:c r="G789" s="24" t="str">
        <x:f>IF(E789=F789,"PASS","FAIL")</x:f>
        <x:v>PASS</x:v>
      </x:c>
    </x:row>
    <x:row r="790">
      <x:c r="B790" s="22" t="str">
        <x:v>AC-0784</x:v>
      </x:c>
      <x:c r="C790" s="22" t="str">
        <x:v>non-error</x:v>
      </x:c>
      <x:c r="D790" s="22" t="str">
        <x:v>Workfront Schedule K7</x:v>
      </x:c>
      <x:c r="E790" s="75" t="n">
        <x:f>IF(ISERROR('Workfront Schedule'!K7),0,1)</x:f>
        <x:v>1</x:v>
      </x:c>
      <x:c r="F790" s="75" t="n">
        <x:v>1</x:v>
      </x:c>
      <x:c r="G790" s="24" t="str">
        <x:f>IF(E790=F790,"PASS","FAIL")</x:f>
        <x:v>PASS</x:v>
      </x:c>
    </x:row>
    <x:row r="791">
      <x:c r="B791" s="22" t="str">
        <x:v>AC-0785</x:v>
      </x:c>
      <x:c r="C791" s="22" t="str">
        <x:v>non-error</x:v>
      </x:c>
      <x:c r="D791" s="22" t="str">
        <x:v>Workfront Schedule L7</x:v>
      </x:c>
      <x:c r="E791" s="75" t="n">
        <x:f>IF(ISERROR('Workfront Schedule'!L7),0,1)</x:f>
        <x:v>1</x:v>
      </x:c>
      <x:c r="F791" s="75" t="n">
        <x:v>1</x:v>
      </x:c>
      <x:c r="G791" s="24" t="str">
        <x:f>IF(E791=F791,"PASS","FAIL")</x:f>
        <x:v>PASS</x:v>
      </x:c>
    </x:row>
    <x:row r="792">
      <x:c r="B792" s="22" t="str">
        <x:v>AC-0786</x:v>
      </x:c>
      <x:c r="C792" s="22" t="str">
        <x:v>non-error</x:v>
      </x:c>
      <x:c r="D792" s="22" t="str">
        <x:v>Workfront Schedule M7</x:v>
      </x:c>
      <x:c r="E792" s="75" t="n">
        <x:f>IF(ISERROR('Workfront Schedule'!M7),0,1)</x:f>
        <x:v>1</x:v>
      </x:c>
      <x:c r="F792" s="75" t="n">
        <x:v>1</x:v>
      </x:c>
      <x:c r="G792" s="24" t="str">
        <x:f>IF(E792=F792,"PASS","FAIL")</x:f>
        <x:v>PASS</x:v>
      </x:c>
    </x:row>
    <x:row r="793">
      <x:c r="B793" s="22" t="str">
        <x:v>AC-0787</x:v>
      </x:c>
      <x:c r="C793" s="22" t="str">
        <x:v>non-error</x:v>
      </x:c>
      <x:c r="D793" s="22" t="str">
        <x:v>Workfront Schedule N7</x:v>
      </x:c>
      <x:c r="E793" s="75" t="n">
        <x:f>IF(ISERROR('Workfront Schedule'!N7),0,1)</x:f>
        <x:v>1</x:v>
      </x:c>
      <x:c r="F793" s="75" t="n">
        <x:v>1</x:v>
      </x:c>
      <x:c r="G793" s="24" t="str">
        <x:f>IF(E793=F793,"PASS","FAIL")</x:f>
        <x:v>PASS</x:v>
      </x:c>
    </x:row>
    <x:row r="794">
      <x:c r="B794" s="22" t="str">
        <x:v>AC-0788</x:v>
      </x:c>
      <x:c r="C794" s="22" t="str">
        <x:v>non-error</x:v>
      </x:c>
      <x:c r="D794" s="22" t="str">
        <x:v>Workfront Schedule O7</x:v>
      </x:c>
      <x:c r="E794" s="75" t="n">
        <x:f>IF(ISERROR('Workfront Schedule'!O7),0,1)</x:f>
        <x:v>1</x:v>
      </x:c>
      <x:c r="F794" s="75" t="n">
        <x:v>1</x:v>
      </x:c>
      <x:c r="G794" s="24" t="str">
        <x:f>IF(E794=F794,"PASS","FAIL")</x:f>
        <x:v>PASS</x:v>
      </x:c>
    </x:row>
    <x:row r="795">
      <x:c r="B795" s="22" t="str">
        <x:v>AC-0789</x:v>
      </x:c>
      <x:c r="C795" s="22" t="str">
        <x:v>non-error</x:v>
      </x:c>
      <x:c r="D795" s="22" t="str">
        <x:v>Workfront Schedule P7</x:v>
      </x:c>
      <x:c r="E795" s="75" t="n">
        <x:f>IF(ISERROR('Workfront Schedule'!P7),0,1)</x:f>
        <x:v>1</x:v>
      </x:c>
      <x:c r="F795" s="75" t="n">
        <x:v>1</x:v>
      </x:c>
      <x:c r="G795" s="24" t="str">
        <x:f>IF(E795=F795,"PASS","FAIL")</x:f>
        <x:v>PASS</x:v>
      </x:c>
    </x:row>
    <x:row r="796">
      <x:c r="B796" s="22" t="str">
        <x:v>AC-0790</x:v>
      </x:c>
      <x:c r="C796" s="22" t="str">
        <x:v>non-error</x:v>
      </x:c>
      <x:c r="D796" s="22" t="str">
        <x:v>Workfront Schedule G8</x:v>
      </x:c>
      <x:c r="E796" s="75" t="n">
        <x:f>IF(ISERROR('Workfront Schedule'!G8),0,1)</x:f>
        <x:v>1</x:v>
      </x:c>
      <x:c r="F796" s="75" t="n">
        <x:v>1</x:v>
      </x:c>
      <x:c r="G796" s="24" t="str">
        <x:f>IF(E796=F796,"PASS","FAIL")</x:f>
        <x:v>PASS</x:v>
      </x:c>
    </x:row>
    <x:row r="797">
      <x:c r="B797" s="22" t="str">
        <x:v>AC-0791</x:v>
      </x:c>
      <x:c r="C797" s="22" t="str">
        <x:v>non-error</x:v>
      </x:c>
      <x:c r="D797" s="22" t="str">
        <x:v>Workfront Schedule H8</x:v>
      </x:c>
      <x:c r="E797" s="75" t="n">
        <x:f>IF(ISERROR('Workfront Schedule'!H8),0,1)</x:f>
        <x:v>1</x:v>
      </x:c>
      <x:c r="F797" s="75" t="n">
        <x:v>1</x:v>
      </x:c>
      <x:c r="G797" s="24" t="str">
        <x:f>IF(E797=F797,"PASS","FAIL")</x:f>
        <x:v>PASS</x:v>
      </x:c>
    </x:row>
    <x:row r="798">
      <x:c r="B798" s="22" t="str">
        <x:v>AC-0792</x:v>
      </x:c>
      <x:c r="C798" s="22" t="str">
        <x:v>non-error</x:v>
      </x:c>
      <x:c r="D798" s="22" t="str">
        <x:v>Workfront Schedule I8</x:v>
      </x:c>
      <x:c r="E798" s="75" t="n">
        <x:f>IF(ISERROR('Workfront Schedule'!I8),0,1)</x:f>
        <x:v>1</x:v>
      </x:c>
      <x:c r="F798" s="75" t="n">
        <x:v>1</x:v>
      </x:c>
      <x:c r="G798" s="24" t="str">
        <x:f>IF(E798=F798,"PASS","FAIL")</x:f>
        <x:v>PASS</x:v>
      </x:c>
    </x:row>
    <x:row r="799">
      <x:c r="B799" s="22" t="str">
        <x:v>AC-0793</x:v>
      </x:c>
      <x:c r="C799" s="22" t="str">
        <x:v>non-error</x:v>
      </x:c>
      <x:c r="D799" s="22" t="str">
        <x:v>Workfront Schedule J8</x:v>
      </x:c>
      <x:c r="E799" s="75" t="n">
        <x:f>IF(ISERROR('Workfront Schedule'!J8),0,1)</x:f>
        <x:v>1</x:v>
      </x:c>
      <x:c r="F799" s="75" t="n">
        <x:v>1</x:v>
      </x:c>
      <x:c r="G799" s="24" t="str">
        <x:f>IF(E799=F799,"PASS","FAIL")</x:f>
        <x:v>PASS</x:v>
      </x:c>
    </x:row>
    <x:row r="800">
      <x:c r="B800" s="22" t="str">
        <x:v>AC-0794</x:v>
      </x:c>
      <x:c r="C800" s="22" t="str">
        <x:v>non-error</x:v>
      </x:c>
      <x:c r="D800" s="22" t="str">
        <x:v>Workfront Schedule K8</x:v>
      </x:c>
      <x:c r="E800" s="75" t="n">
        <x:f>IF(ISERROR('Workfront Schedule'!K8),0,1)</x:f>
        <x:v>1</x:v>
      </x:c>
      <x:c r="F800" s="75" t="n">
        <x:v>1</x:v>
      </x:c>
      <x:c r="G800" s="24" t="str">
        <x:f>IF(E800=F800,"PASS","FAIL")</x:f>
        <x:v>PASS</x:v>
      </x:c>
    </x:row>
    <x:row r="801">
      <x:c r="B801" s="22" t="str">
        <x:v>AC-0795</x:v>
      </x:c>
      <x:c r="C801" s="22" t="str">
        <x:v>non-error</x:v>
      </x:c>
      <x:c r="D801" s="22" t="str">
        <x:v>Workfront Schedule L8</x:v>
      </x:c>
      <x:c r="E801" s="75" t="n">
        <x:f>IF(ISERROR('Workfront Schedule'!L8),0,1)</x:f>
        <x:v>1</x:v>
      </x:c>
      <x:c r="F801" s="75" t="n">
        <x:v>1</x:v>
      </x:c>
      <x:c r="G801" s="24" t="str">
        <x:f>IF(E801=F801,"PASS","FAIL")</x:f>
        <x:v>PASS</x:v>
      </x:c>
    </x:row>
    <x:row r="802">
      <x:c r="B802" s="22" t="str">
        <x:v>AC-0796</x:v>
      </x:c>
      <x:c r="C802" s="22" t="str">
        <x:v>non-error</x:v>
      </x:c>
      <x:c r="D802" s="22" t="str">
        <x:v>Workfront Schedule M8</x:v>
      </x:c>
      <x:c r="E802" s="75" t="n">
        <x:f>IF(ISERROR('Workfront Schedule'!M8),0,1)</x:f>
        <x:v>1</x:v>
      </x:c>
      <x:c r="F802" s="75" t="n">
        <x:v>1</x:v>
      </x:c>
      <x:c r="G802" s="24" t="str">
        <x:f>IF(E802=F802,"PASS","FAIL")</x:f>
        <x:v>PASS</x:v>
      </x:c>
    </x:row>
    <x:row r="803">
      <x:c r="B803" s="22" t="str">
        <x:v>AC-0797</x:v>
      </x:c>
      <x:c r="C803" s="22" t="str">
        <x:v>non-error</x:v>
      </x:c>
      <x:c r="D803" s="22" t="str">
        <x:v>Workfront Schedule N8</x:v>
      </x:c>
      <x:c r="E803" s="75" t="n">
        <x:f>IF(ISERROR('Workfront Schedule'!N8),0,1)</x:f>
        <x:v>1</x:v>
      </x:c>
      <x:c r="F803" s="75" t="n">
        <x:v>1</x:v>
      </x:c>
      <x:c r="G803" s="24" t="str">
        <x:f>IF(E803=F803,"PASS","FAIL")</x:f>
        <x:v>PASS</x:v>
      </x:c>
    </x:row>
    <x:row r="804">
      <x:c r="B804" s="22" t="str">
        <x:v>AC-0798</x:v>
      </x:c>
      <x:c r="C804" s="22" t="str">
        <x:v>non-error</x:v>
      </x:c>
      <x:c r="D804" s="22" t="str">
        <x:v>Workfront Schedule O8</x:v>
      </x:c>
      <x:c r="E804" s="75" t="n">
        <x:f>IF(ISERROR('Workfront Schedule'!O8),0,1)</x:f>
        <x:v>1</x:v>
      </x:c>
      <x:c r="F804" s="75" t="n">
        <x:v>1</x:v>
      </x:c>
      <x:c r="G804" s="24" t="str">
        <x:f>IF(E804=F804,"PASS","FAIL")</x:f>
        <x:v>PASS</x:v>
      </x:c>
    </x:row>
    <x:row r="805">
      <x:c r="B805" s="22" t="str">
        <x:v>AC-0799</x:v>
      </x:c>
      <x:c r="C805" s="22" t="str">
        <x:v>non-error</x:v>
      </x:c>
      <x:c r="D805" s="22" t="str">
        <x:v>Workfront Schedule P8</x:v>
      </x:c>
      <x:c r="E805" s="75" t="n">
        <x:f>IF(ISERROR('Workfront Schedule'!P8),0,1)</x:f>
        <x:v>1</x:v>
      </x:c>
      <x:c r="F805" s="75" t="n">
        <x:v>1</x:v>
      </x:c>
      <x:c r="G805" s="24" t="str">
        <x:f>IF(E805=F805,"PASS","FAIL")</x:f>
        <x:v>PASS</x:v>
      </x:c>
    </x:row>
    <x:row r="806">
      <x:c r="B806" s="22" t="str">
        <x:v>AC-0800</x:v>
      </x:c>
      <x:c r="C806" s="22" t="str">
        <x:v>non-error</x:v>
      </x:c>
      <x:c r="D806" s="22" t="str">
        <x:v>Workfront Schedule G9</x:v>
      </x:c>
      <x:c r="E806" s="75" t="n">
        <x:f>IF(ISERROR('Workfront Schedule'!G9),0,1)</x:f>
        <x:v>1</x:v>
      </x:c>
      <x:c r="F806" s="75" t="n">
        <x:v>1</x:v>
      </x:c>
      <x:c r="G806" s="24" t="str">
        <x:f>IF(E806=F806,"PASS","FAIL")</x:f>
        <x:v>PASS</x:v>
      </x:c>
    </x:row>
    <x:row r="807">
      <x:c r="B807" s="22" t="str">
        <x:v>AC-0801</x:v>
      </x:c>
      <x:c r="C807" s="22" t="str">
        <x:v>non-error</x:v>
      </x:c>
      <x:c r="D807" s="22" t="str">
        <x:v>Workfront Schedule H9</x:v>
      </x:c>
      <x:c r="E807" s="75" t="n">
        <x:f>IF(ISERROR('Workfront Schedule'!H9),0,1)</x:f>
        <x:v>1</x:v>
      </x:c>
      <x:c r="F807" s="75" t="n">
        <x:v>1</x:v>
      </x:c>
      <x:c r="G807" s="24" t="str">
        <x:f>IF(E807=F807,"PASS","FAIL")</x:f>
        <x:v>PASS</x:v>
      </x:c>
    </x:row>
    <x:row r="808">
      <x:c r="B808" s="22" t="str">
        <x:v>AC-0802</x:v>
      </x:c>
      <x:c r="C808" s="22" t="str">
        <x:v>non-error</x:v>
      </x:c>
      <x:c r="D808" s="22" t="str">
        <x:v>Workfront Schedule I9</x:v>
      </x:c>
      <x:c r="E808" s="75" t="n">
        <x:f>IF(ISERROR('Workfront Schedule'!I9),0,1)</x:f>
        <x:v>1</x:v>
      </x:c>
      <x:c r="F808" s="75" t="n">
        <x:v>1</x:v>
      </x:c>
      <x:c r="G808" s="24" t="str">
        <x:f>IF(E808=F808,"PASS","FAIL")</x:f>
        <x:v>PASS</x:v>
      </x:c>
    </x:row>
    <x:row r="809">
      <x:c r="B809" s="22" t="str">
        <x:v>AC-0803</x:v>
      </x:c>
      <x:c r="C809" s="22" t="str">
        <x:v>non-error</x:v>
      </x:c>
      <x:c r="D809" s="22" t="str">
        <x:v>Workfront Schedule J9</x:v>
      </x:c>
      <x:c r="E809" s="75" t="n">
        <x:f>IF(ISERROR('Workfront Schedule'!J9),0,1)</x:f>
        <x:v>1</x:v>
      </x:c>
      <x:c r="F809" s="75" t="n">
        <x:v>1</x:v>
      </x:c>
      <x:c r="G809" s="24" t="str">
        <x:f>IF(E809=F809,"PASS","FAIL")</x:f>
        <x:v>PASS</x:v>
      </x:c>
    </x:row>
    <x:row r="810">
      <x:c r="B810" s="22" t="str">
        <x:v>AC-0804</x:v>
      </x:c>
      <x:c r="C810" s="22" t="str">
        <x:v>non-error</x:v>
      </x:c>
      <x:c r="D810" s="22" t="str">
        <x:v>Workfront Schedule K9</x:v>
      </x:c>
      <x:c r="E810" s="75" t="n">
        <x:f>IF(ISERROR('Workfront Schedule'!K9),0,1)</x:f>
        <x:v>1</x:v>
      </x:c>
      <x:c r="F810" s="75" t="n">
        <x:v>1</x:v>
      </x:c>
      <x:c r="G810" s="24" t="str">
        <x:f>IF(E810=F810,"PASS","FAIL")</x:f>
        <x:v>PASS</x:v>
      </x:c>
    </x:row>
    <x:row r="811">
      <x:c r="B811" s="22" t="str">
        <x:v>AC-0805</x:v>
      </x:c>
      <x:c r="C811" s="22" t="str">
        <x:v>non-error</x:v>
      </x:c>
      <x:c r="D811" s="22" t="str">
        <x:v>Workfront Schedule L9</x:v>
      </x:c>
      <x:c r="E811" s="75" t="n">
        <x:f>IF(ISERROR('Workfront Schedule'!L9),0,1)</x:f>
        <x:v>1</x:v>
      </x:c>
      <x:c r="F811" s="75" t="n">
        <x:v>1</x:v>
      </x:c>
      <x:c r="G811" s="24" t="str">
        <x:f>IF(E811=F811,"PASS","FAIL")</x:f>
        <x:v>PASS</x:v>
      </x:c>
    </x:row>
    <x:row r="812">
      <x:c r="B812" s="22" t="str">
        <x:v>AC-0806</x:v>
      </x:c>
      <x:c r="C812" s="22" t="str">
        <x:v>non-error</x:v>
      </x:c>
      <x:c r="D812" s="22" t="str">
        <x:v>Workfront Schedule M9</x:v>
      </x:c>
      <x:c r="E812" s="75" t="n">
        <x:f>IF(ISERROR('Workfront Schedule'!M9),0,1)</x:f>
        <x:v>1</x:v>
      </x:c>
      <x:c r="F812" s="75" t="n">
        <x:v>1</x:v>
      </x:c>
      <x:c r="G812" s="24" t="str">
        <x:f>IF(E812=F812,"PASS","FAIL")</x:f>
        <x:v>PASS</x:v>
      </x:c>
    </x:row>
    <x:row r="813">
      <x:c r="B813" s="22" t="str">
        <x:v>AC-0807</x:v>
      </x:c>
      <x:c r="C813" s="22" t="str">
        <x:v>non-error</x:v>
      </x:c>
      <x:c r="D813" s="22" t="str">
        <x:v>Workfront Schedule N9</x:v>
      </x:c>
      <x:c r="E813" s="75" t="n">
        <x:f>IF(ISERROR('Workfront Schedule'!N9),0,1)</x:f>
        <x:v>1</x:v>
      </x:c>
      <x:c r="F813" s="75" t="n">
        <x:v>1</x:v>
      </x:c>
      <x:c r="G813" s="24" t="str">
        <x:f>IF(E813=F813,"PASS","FAIL")</x:f>
        <x:v>PASS</x:v>
      </x:c>
    </x:row>
    <x:row r="814">
      <x:c r="B814" s="22" t="str">
        <x:v>AC-0808</x:v>
      </x:c>
      <x:c r="C814" s="22" t="str">
        <x:v>non-error</x:v>
      </x:c>
      <x:c r="D814" s="22" t="str">
        <x:v>Workfront Schedule O9</x:v>
      </x:c>
      <x:c r="E814" s="75" t="n">
        <x:f>IF(ISERROR('Workfront Schedule'!O9),0,1)</x:f>
        <x:v>1</x:v>
      </x:c>
      <x:c r="F814" s="75" t="n">
        <x:v>1</x:v>
      </x:c>
      <x:c r="G814" s="24" t="str">
        <x:f>IF(E814=F814,"PASS","FAIL")</x:f>
        <x:v>PASS</x:v>
      </x:c>
    </x:row>
    <x:row r="815">
      <x:c r="B815" s="22" t="str">
        <x:v>AC-0809</x:v>
      </x:c>
      <x:c r="C815" s="22" t="str">
        <x:v>non-error</x:v>
      </x:c>
      <x:c r="D815" s="22" t="str">
        <x:v>Workfront Schedule P9</x:v>
      </x:c>
      <x:c r="E815" s="75" t="n">
        <x:f>IF(ISERROR('Workfront Schedule'!P9),0,1)</x:f>
        <x:v>1</x:v>
      </x:c>
      <x:c r="F815" s="75" t="n">
        <x:v>1</x:v>
      </x:c>
      <x:c r="G815" s="24" t="str">
        <x:f>IF(E815=F815,"PASS","FAIL")</x:f>
        <x:v>PASS</x:v>
      </x:c>
    </x:row>
    <x:row r="816">
      <x:c r="B816" s="22" t="str">
        <x:v>AC-0810</x:v>
      </x:c>
      <x:c r="C816" s="22" t="str">
        <x:v>non-error</x:v>
      </x:c>
      <x:c r="D816" s="22" t="str">
        <x:v>Workfront Schedule G10</x:v>
      </x:c>
      <x:c r="E816" s="75" t="n">
        <x:f>IF(ISERROR('Workfront Schedule'!G10),0,1)</x:f>
        <x:v>1</x:v>
      </x:c>
      <x:c r="F816" s="75" t="n">
        <x:v>1</x:v>
      </x:c>
      <x:c r="G816" s="24" t="str">
        <x:f>IF(E816=F816,"PASS","FAIL")</x:f>
        <x:v>PASS</x:v>
      </x:c>
    </x:row>
    <x:row r="817">
      <x:c r="B817" s="22" t="str">
        <x:v>AC-0811</x:v>
      </x:c>
      <x:c r="C817" s="22" t="str">
        <x:v>non-error</x:v>
      </x:c>
      <x:c r="D817" s="22" t="str">
        <x:v>Workfront Schedule H10</x:v>
      </x:c>
      <x:c r="E817" s="75" t="n">
        <x:f>IF(ISERROR('Workfront Schedule'!H10),0,1)</x:f>
        <x:v>1</x:v>
      </x:c>
      <x:c r="F817" s="75" t="n">
        <x:v>1</x:v>
      </x:c>
      <x:c r="G817" s="24" t="str">
        <x:f>IF(E817=F817,"PASS","FAIL")</x:f>
        <x:v>PASS</x:v>
      </x:c>
    </x:row>
    <x:row r="818">
      <x:c r="B818" s="22" t="str">
        <x:v>AC-0812</x:v>
      </x:c>
      <x:c r="C818" s="22" t="str">
        <x:v>non-error</x:v>
      </x:c>
      <x:c r="D818" s="22" t="str">
        <x:v>Workfront Schedule I10</x:v>
      </x:c>
      <x:c r="E818" s="75" t="n">
        <x:f>IF(ISERROR('Workfront Schedule'!I10),0,1)</x:f>
        <x:v>1</x:v>
      </x:c>
      <x:c r="F818" s="75" t="n">
        <x:v>1</x:v>
      </x:c>
      <x:c r="G818" s="24" t="str">
        <x:f>IF(E818=F818,"PASS","FAIL")</x:f>
        <x:v>PASS</x:v>
      </x:c>
    </x:row>
    <x:row r="819">
      <x:c r="B819" s="22" t="str">
        <x:v>AC-0813</x:v>
      </x:c>
      <x:c r="C819" s="22" t="str">
        <x:v>non-error</x:v>
      </x:c>
      <x:c r="D819" s="22" t="str">
        <x:v>Workfront Schedule J10</x:v>
      </x:c>
      <x:c r="E819" s="75" t="n">
        <x:f>IF(ISERROR('Workfront Schedule'!J10),0,1)</x:f>
        <x:v>1</x:v>
      </x:c>
      <x:c r="F819" s="75" t="n">
        <x:v>1</x:v>
      </x:c>
      <x:c r="G819" s="24" t="str">
        <x:f>IF(E819=F819,"PASS","FAIL")</x:f>
        <x:v>PASS</x:v>
      </x:c>
    </x:row>
    <x:row r="820">
      <x:c r="B820" s="22" t="str">
        <x:v>AC-0814</x:v>
      </x:c>
      <x:c r="C820" s="22" t="str">
        <x:v>non-error</x:v>
      </x:c>
      <x:c r="D820" s="22" t="str">
        <x:v>Workfront Schedule K10</x:v>
      </x:c>
      <x:c r="E820" s="75" t="n">
        <x:f>IF(ISERROR('Workfront Schedule'!K10),0,1)</x:f>
        <x:v>1</x:v>
      </x:c>
      <x:c r="F820" s="75" t="n">
        <x:v>1</x:v>
      </x:c>
      <x:c r="G820" s="24" t="str">
        <x:f>IF(E820=F820,"PASS","FAIL")</x:f>
        <x:v>PASS</x:v>
      </x:c>
    </x:row>
    <x:row r="821">
      <x:c r="B821" s="22" t="str">
        <x:v>AC-0815</x:v>
      </x:c>
      <x:c r="C821" s="22" t="str">
        <x:v>non-error</x:v>
      </x:c>
      <x:c r="D821" s="22" t="str">
        <x:v>Workfront Schedule L10</x:v>
      </x:c>
      <x:c r="E821" s="75" t="n">
        <x:f>IF(ISERROR('Workfront Schedule'!L10),0,1)</x:f>
        <x:v>1</x:v>
      </x:c>
      <x:c r="F821" s="75" t="n">
        <x:v>1</x:v>
      </x:c>
      <x:c r="G821" s="24" t="str">
        <x:f>IF(E821=F821,"PASS","FAIL")</x:f>
        <x:v>PASS</x:v>
      </x:c>
    </x:row>
    <x:row r="822">
      <x:c r="B822" s="22" t="str">
        <x:v>AC-0816</x:v>
      </x:c>
      <x:c r="C822" s="22" t="str">
        <x:v>non-error</x:v>
      </x:c>
      <x:c r="D822" s="22" t="str">
        <x:v>Workfront Schedule M10</x:v>
      </x:c>
      <x:c r="E822" s="75" t="n">
        <x:f>IF(ISERROR('Workfront Schedule'!M10),0,1)</x:f>
        <x:v>1</x:v>
      </x:c>
      <x:c r="F822" s="75" t="n">
        <x:v>1</x:v>
      </x:c>
      <x:c r="G822" s="24" t="str">
        <x:f>IF(E822=F822,"PASS","FAIL")</x:f>
        <x:v>PASS</x:v>
      </x:c>
    </x:row>
    <x:row r="823">
      <x:c r="B823" s="22" t="str">
        <x:v>AC-0817</x:v>
      </x:c>
      <x:c r="C823" s="22" t="str">
        <x:v>non-error</x:v>
      </x:c>
      <x:c r="D823" s="22" t="str">
        <x:v>Workfront Schedule N10</x:v>
      </x:c>
      <x:c r="E823" s="75" t="n">
        <x:f>IF(ISERROR('Workfront Schedule'!N10),0,1)</x:f>
        <x:v>1</x:v>
      </x:c>
      <x:c r="F823" s="75" t="n">
        <x:v>1</x:v>
      </x:c>
      <x:c r="G823" s="24" t="str">
        <x:f>IF(E823=F823,"PASS","FAIL")</x:f>
        <x:v>PASS</x:v>
      </x:c>
    </x:row>
    <x:row r="824">
      <x:c r="B824" s="22" t="str">
        <x:v>AC-0818</x:v>
      </x:c>
      <x:c r="C824" s="22" t="str">
        <x:v>non-error</x:v>
      </x:c>
      <x:c r="D824" s="22" t="str">
        <x:v>Workfront Schedule O10</x:v>
      </x:c>
      <x:c r="E824" s="75" t="n">
        <x:f>IF(ISERROR('Workfront Schedule'!O10),0,1)</x:f>
        <x:v>1</x:v>
      </x:c>
      <x:c r="F824" s="75" t="n">
        <x:v>1</x:v>
      </x:c>
      <x:c r="G824" s="24" t="str">
        <x:f>IF(E824=F824,"PASS","FAIL")</x:f>
        <x:v>PASS</x:v>
      </x:c>
    </x:row>
    <x:row r="825">
      <x:c r="B825" s="22" t="str">
        <x:v>AC-0819</x:v>
      </x:c>
      <x:c r="C825" s="22" t="str">
        <x:v>non-error</x:v>
      </x:c>
      <x:c r="D825" s="22" t="str">
        <x:v>Workfront Schedule P10</x:v>
      </x:c>
      <x:c r="E825" s="75" t="n">
        <x:f>IF(ISERROR('Workfront Schedule'!P10),0,1)</x:f>
        <x:v>1</x:v>
      </x:c>
      <x:c r="F825" s="75" t="n">
        <x:v>1</x:v>
      </x:c>
      <x:c r="G825" s="24" t="str">
        <x:f>IF(E825=F825,"PASS","FAIL")</x:f>
        <x:v>PASS</x:v>
      </x:c>
    </x:row>
    <x:row r="826">
      <x:c r="B826" s="22" t="str">
        <x:v>AC-0820</x:v>
      </x:c>
      <x:c r="C826" s="22" t="str">
        <x:v>non-error</x:v>
      </x:c>
      <x:c r="D826" s="22" t="str">
        <x:v>Workfront Schedule G11</x:v>
      </x:c>
      <x:c r="E826" s="75" t="n">
        <x:f>IF(ISERROR('Workfront Schedule'!G11),0,1)</x:f>
        <x:v>1</x:v>
      </x:c>
      <x:c r="F826" s="75" t="n">
        <x:v>1</x:v>
      </x:c>
      <x:c r="G826" s="24" t="str">
        <x:f>IF(E826=F826,"PASS","FAIL")</x:f>
        <x:v>PASS</x:v>
      </x:c>
    </x:row>
    <x:row r="827">
      <x:c r="B827" s="22" t="str">
        <x:v>AC-0821</x:v>
      </x:c>
      <x:c r="C827" s="22" t="str">
        <x:v>non-error</x:v>
      </x:c>
      <x:c r="D827" s="22" t="str">
        <x:v>Workfront Schedule H11</x:v>
      </x:c>
      <x:c r="E827" s="75" t="n">
        <x:f>IF(ISERROR('Workfront Schedule'!H11),0,1)</x:f>
        <x:v>1</x:v>
      </x:c>
      <x:c r="F827" s="75" t="n">
        <x:v>1</x:v>
      </x:c>
      <x:c r="G827" s="24" t="str">
        <x:f>IF(E827=F827,"PASS","FAIL")</x:f>
        <x:v>PASS</x:v>
      </x:c>
    </x:row>
    <x:row r="828">
      <x:c r="B828" s="22" t="str">
        <x:v>AC-0822</x:v>
      </x:c>
      <x:c r="C828" s="22" t="str">
        <x:v>non-error</x:v>
      </x:c>
      <x:c r="D828" s="22" t="str">
        <x:v>Workfront Schedule I11</x:v>
      </x:c>
      <x:c r="E828" s="75" t="n">
        <x:f>IF(ISERROR('Workfront Schedule'!I11),0,1)</x:f>
        <x:v>1</x:v>
      </x:c>
      <x:c r="F828" s="75" t="n">
        <x:v>1</x:v>
      </x:c>
      <x:c r="G828" s="24" t="str">
        <x:f>IF(E828=F828,"PASS","FAIL")</x:f>
        <x:v>PASS</x:v>
      </x:c>
    </x:row>
    <x:row r="829">
      <x:c r="B829" s="22" t="str">
        <x:v>AC-0823</x:v>
      </x:c>
      <x:c r="C829" s="22" t="str">
        <x:v>non-error</x:v>
      </x:c>
      <x:c r="D829" s="22" t="str">
        <x:v>Workfront Schedule J11</x:v>
      </x:c>
      <x:c r="E829" s="75" t="n">
        <x:f>IF(ISERROR('Workfront Schedule'!J11),0,1)</x:f>
        <x:v>1</x:v>
      </x:c>
      <x:c r="F829" s="75" t="n">
        <x:v>1</x:v>
      </x:c>
      <x:c r="G829" s="24" t="str">
        <x:f>IF(E829=F829,"PASS","FAIL")</x:f>
        <x:v>PASS</x:v>
      </x:c>
    </x:row>
    <x:row r="830">
      <x:c r="B830" s="22" t="str">
        <x:v>AC-0824</x:v>
      </x:c>
      <x:c r="C830" s="22" t="str">
        <x:v>non-error</x:v>
      </x:c>
      <x:c r="D830" s="22" t="str">
        <x:v>Workfront Schedule K11</x:v>
      </x:c>
      <x:c r="E830" s="75" t="n">
        <x:f>IF(ISERROR('Workfront Schedule'!K11),0,1)</x:f>
        <x:v>1</x:v>
      </x:c>
      <x:c r="F830" s="75" t="n">
        <x:v>1</x:v>
      </x:c>
      <x:c r="G830" s="24" t="str">
        <x:f>IF(E830=F830,"PASS","FAIL")</x:f>
        <x:v>PASS</x:v>
      </x:c>
    </x:row>
    <x:row r="831">
      <x:c r="B831" s="22" t="str">
        <x:v>AC-0825</x:v>
      </x:c>
      <x:c r="C831" s="22" t="str">
        <x:v>non-error</x:v>
      </x:c>
      <x:c r="D831" s="22" t="str">
        <x:v>Workfront Schedule L11</x:v>
      </x:c>
      <x:c r="E831" s="75" t="n">
        <x:f>IF(ISERROR('Workfront Schedule'!L11),0,1)</x:f>
        <x:v>1</x:v>
      </x:c>
      <x:c r="F831" s="75" t="n">
        <x:v>1</x:v>
      </x:c>
      <x:c r="G831" s="24" t="str">
        <x:f>IF(E831=F831,"PASS","FAIL")</x:f>
        <x:v>PASS</x:v>
      </x:c>
    </x:row>
    <x:row r="832">
      <x:c r="B832" s="22" t="str">
        <x:v>AC-0826</x:v>
      </x:c>
      <x:c r="C832" s="22" t="str">
        <x:v>non-error</x:v>
      </x:c>
      <x:c r="D832" s="22" t="str">
        <x:v>Workfront Schedule M11</x:v>
      </x:c>
      <x:c r="E832" s="75" t="n">
        <x:f>IF(ISERROR('Workfront Schedule'!M11),0,1)</x:f>
        <x:v>1</x:v>
      </x:c>
      <x:c r="F832" s="75" t="n">
        <x:v>1</x:v>
      </x:c>
      <x:c r="G832" s="24" t="str">
        <x:f>IF(E832=F832,"PASS","FAIL")</x:f>
        <x:v>PASS</x:v>
      </x:c>
    </x:row>
    <x:row r="833">
      <x:c r="B833" s="22" t="str">
        <x:v>AC-0827</x:v>
      </x:c>
      <x:c r="C833" s="22" t="str">
        <x:v>non-error</x:v>
      </x:c>
      <x:c r="D833" s="22" t="str">
        <x:v>Workfront Schedule N11</x:v>
      </x:c>
      <x:c r="E833" s="75" t="n">
        <x:f>IF(ISERROR('Workfront Schedule'!N11),0,1)</x:f>
        <x:v>1</x:v>
      </x:c>
      <x:c r="F833" s="75" t="n">
        <x:v>1</x:v>
      </x:c>
      <x:c r="G833" s="24" t="str">
        <x:f>IF(E833=F833,"PASS","FAIL")</x:f>
        <x:v>PASS</x:v>
      </x:c>
    </x:row>
    <x:row r="834">
      <x:c r="B834" s="22" t="str">
        <x:v>AC-0828</x:v>
      </x:c>
      <x:c r="C834" s="22" t="str">
        <x:v>non-error</x:v>
      </x:c>
      <x:c r="D834" s="22" t="str">
        <x:v>Workfront Schedule O11</x:v>
      </x:c>
      <x:c r="E834" s="75" t="n">
        <x:f>IF(ISERROR('Workfront Schedule'!O11),0,1)</x:f>
        <x:v>1</x:v>
      </x:c>
      <x:c r="F834" s="75" t="n">
        <x:v>1</x:v>
      </x:c>
      <x:c r="G834" s="24" t="str">
        <x:f>IF(E834=F834,"PASS","FAIL")</x:f>
        <x:v>PASS</x:v>
      </x:c>
    </x:row>
    <x:row r="835">
      <x:c r="B835" s="22" t="str">
        <x:v>AC-0829</x:v>
      </x:c>
      <x:c r="C835" s="22" t="str">
        <x:v>non-error</x:v>
      </x:c>
      <x:c r="D835" s="22" t="str">
        <x:v>Workfront Schedule P11</x:v>
      </x:c>
      <x:c r="E835" s="75" t="n">
        <x:f>IF(ISERROR('Workfront Schedule'!P11),0,1)</x:f>
        <x:v>1</x:v>
      </x:c>
      <x:c r="F835" s="75" t="n">
        <x:v>1</x:v>
      </x:c>
      <x:c r="G835" s="24" t="str">
        <x:f>IF(E835=F835,"PASS","FAIL")</x:f>
        <x:v>PASS</x:v>
      </x:c>
    </x:row>
    <x:row r="836">
      <x:c r="B836" s="22" t="str">
        <x:v>AC-0830</x:v>
      </x:c>
      <x:c r="C836" s="22" t="str">
        <x:v>non-error</x:v>
      </x:c>
      <x:c r="D836" s="22" t="str">
        <x:v>Workfront Schedule G12</x:v>
      </x:c>
      <x:c r="E836" s="75" t="n">
        <x:f>IF(ISERROR('Workfront Schedule'!G12),0,1)</x:f>
        <x:v>1</x:v>
      </x:c>
      <x:c r="F836" s="75" t="n">
        <x:v>1</x:v>
      </x:c>
      <x:c r="G836" s="24" t="str">
        <x:f>IF(E836=F836,"PASS","FAIL")</x:f>
        <x:v>PASS</x:v>
      </x:c>
    </x:row>
    <x:row r="837">
      <x:c r="B837" s="22" t="str">
        <x:v>AC-0831</x:v>
      </x:c>
      <x:c r="C837" s="22" t="str">
        <x:v>non-error</x:v>
      </x:c>
      <x:c r="D837" s="22" t="str">
        <x:v>Workfront Schedule H12</x:v>
      </x:c>
      <x:c r="E837" s="75" t="n">
        <x:f>IF(ISERROR('Workfront Schedule'!H12),0,1)</x:f>
        <x:v>1</x:v>
      </x:c>
      <x:c r="F837" s="75" t="n">
        <x:v>1</x:v>
      </x:c>
      <x:c r="G837" s="24" t="str">
        <x:f>IF(E837=F837,"PASS","FAIL")</x:f>
        <x:v>PASS</x:v>
      </x:c>
    </x:row>
    <x:row r="838">
      <x:c r="B838" s="22" t="str">
        <x:v>AC-0832</x:v>
      </x:c>
      <x:c r="C838" s="22" t="str">
        <x:v>non-error</x:v>
      </x:c>
      <x:c r="D838" s="22" t="str">
        <x:v>Workfront Schedule I12</x:v>
      </x:c>
      <x:c r="E838" s="75" t="n">
        <x:f>IF(ISERROR('Workfront Schedule'!I12),0,1)</x:f>
        <x:v>1</x:v>
      </x:c>
      <x:c r="F838" s="75" t="n">
        <x:v>1</x:v>
      </x:c>
      <x:c r="G838" s="24" t="str">
        <x:f>IF(E838=F838,"PASS","FAIL")</x:f>
        <x:v>PASS</x:v>
      </x:c>
    </x:row>
    <x:row r="839">
      <x:c r="B839" s="22" t="str">
        <x:v>AC-0833</x:v>
      </x:c>
      <x:c r="C839" s="22" t="str">
        <x:v>non-error</x:v>
      </x:c>
      <x:c r="D839" s="22" t="str">
        <x:v>Workfront Schedule J12</x:v>
      </x:c>
      <x:c r="E839" s="75" t="n">
        <x:f>IF(ISERROR('Workfront Schedule'!J12),0,1)</x:f>
        <x:v>1</x:v>
      </x:c>
      <x:c r="F839" s="75" t="n">
        <x:v>1</x:v>
      </x:c>
      <x:c r="G839" s="24" t="str">
        <x:f>IF(E839=F839,"PASS","FAIL")</x:f>
        <x:v>PASS</x:v>
      </x:c>
    </x:row>
    <x:row r="840">
      <x:c r="B840" s="22" t="str">
        <x:v>AC-0834</x:v>
      </x:c>
      <x:c r="C840" s="22" t="str">
        <x:v>non-error</x:v>
      </x:c>
      <x:c r="D840" s="22" t="str">
        <x:v>Workfront Schedule K12</x:v>
      </x:c>
      <x:c r="E840" s="75" t="n">
        <x:f>IF(ISERROR('Workfront Schedule'!K12),0,1)</x:f>
        <x:v>1</x:v>
      </x:c>
      <x:c r="F840" s="75" t="n">
        <x:v>1</x:v>
      </x:c>
      <x:c r="G840" s="24" t="str">
        <x:f>IF(E840=F840,"PASS","FAIL")</x:f>
        <x:v>PASS</x:v>
      </x:c>
    </x:row>
    <x:row r="841">
      <x:c r="B841" s="22" t="str">
        <x:v>AC-0835</x:v>
      </x:c>
      <x:c r="C841" s="22" t="str">
        <x:v>non-error</x:v>
      </x:c>
      <x:c r="D841" s="22" t="str">
        <x:v>Workfront Schedule L12</x:v>
      </x:c>
      <x:c r="E841" s="75" t="n">
        <x:f>IF(ISERROR('Workfront Schedule'!L12),0,1)</x:f>
        <x:v>1</x:v>
      </x:c>
      <x:c r="F841" s="75" t="n">
        <x:v>1</x:v>
      </x:c>
      <x:c r="G841" s="24" t="str">
        <x:f>IF(E841=F841,"PASS","FAIL")</x:f>
        <x:v>PASS</x:v>
      </x:c>
    </x:row>
    <x:row r="842">
      <x:c r="B842" s="22" t="str">
        <x:v>AC-0836</x:v>
      </x:c>
      <x:c r="C842" s="22" t="str">
        <x:v>non-error</x:v>
      </x:c>
      <x:c r="D842" s="22" t="str">
        <x:v>Workfront Schedule M12</x:v>
      </x:c>
      <x:c r="E842" s="75" t="n">
        <x:f>IF(ISERROR('Workfront Schedule'!M12),0,1)</x:f>
        <x:v>1</x:v>
      </x:c>
      <x:c r="F842" s="75" t="n">
        <x:v>1</x:v>
      </x:c>
      <x:c r="G842" s="24" t="str">
        <x:f>IF(E842=F842,"PASS","FAIL")</x:f>
        <x:v>PASS</x:v>
      </x:c>
    </x:row>
    <x:row r="843">
      <x:c r="B843" s="22" t="str">
        <x:v>AC-0837</x:v>
      </x:c>
      <x:c r="C843" s="22" t="str">
        <x:v>non-error</x:v>
      </x:c>
      <x:c r="D843" s="22" t="str">
        <x:v>Workfront Schedule N12</x:v>
      </x:c>
      <x:c r="E843" s="75" t="n">
        <x:f>IF(ISERROR('Workfront Schedule'!N12),0,1)</x:f>
        <x:v>1</x:v>
      </x:c>
      <x:c r="F843" s="75" t="n">
        <x:v>1</x:v>
      </x:c>
      <x:c r="G843" s="24" t="str">
        <x:f>IF(E843=F843,"PASS","FAIL")</x:f>
        <x:v>PASS</x:v>
      </x:c>
    </x:row>
    <x:row r="844">
      <x:c r="B844" s="22" t="str">
        <x:v>AC-0838</x:v>
      </x:c>
      <x:c r="C844" s="22" t="str">
        <x:v>non-error</x:v>
      </x:c>
      <x:c r="D844" s="22" t="str">
        <x:v>Workfront Schedule O12</x:v>
      </x:c>
      <x:c r="E844" s="75" t="n">
        <x:f>IF(ISERROR('Workfront Schedule'!O12),0,1)</x:f>
        <x:v>1</x:v>
      </x:c>
      <x:c r="F844" s="75" t="n">
        <x:v>1</x:v>
      </x:c>
      <x:c r="G844" s="24" t="str">
        <x:f>IF(E844=F844,"PASS","FAIL")</x:f>
        <x:v>PASS</x:v>
      </x:c>
    </x:row>
    <x:row r="845">
      <x:c r="B845" s="22" t="str">
        <x:v>AC-0839</x:v>
      </x:c>
      <x:c r="C845" s="22" t="str">
        <x:v>non-error</x:v>
      </x:c>
      <x:c r="D845" s="22" t="str">
        <x:v>Workfront Schedule P12</x:v>
      </x:c>
      <x:c r="E845" s="75" t="n">
        <x:f>IF(ISERROR('Workfront Schedule'!P12),0,1)</x:f>
        <x:v>1</x:v>
      </x:c>
      <x:c r="F845" s="75" t="n">
        <x:v>1</x:v>
      </x:c>
      <x:c r="G845" s="24" t="str">
        <x:f>IF(E845=F845,"PASS","FAIL")</x:f>
        <x:v>PASS</x:v>
      </x:c>
    </x:row>
    <x:row r="846">
      <x:c r="B846" s="22" t="str">
        <x:v>AC-0840</x:v>
      </x:c>
      <x:c r="C846" s="22" t="str">
        <x:v>non-error</x:v>
      </x:c>
      <x:c r="D846" s="22" t="str">
        <x:v>Workfront Schedule G13</x:v>
      </x:c>
      <x:c r="E846" s="75" t="n">
        <x:f>IF(ISERROR('Workfront Schedule'!G13),0,1)</x:f>
        <x:v>1</x:v>
      </x:c>
      <x:c r="F846" s="75" t="n">
        <x:v>1</x:v>
      </x:c>
      <x:c r="G846" s="24" t="str">
        <x:f>IF(E846=F846,"PASS","FAIL")</x:f>
        <x:v>PASS</x:v>
      </x:c>
    </x:row>
    <x:row r="847">
      <x:c r="B847" s="22" t="str">
        <x:v>AC-0841</x:v>
      </x:c>
      <x:c r="C847" s="22" t="str">
        <x:v>non-error</x:v>
      </x:c>
      <x:c r="D847" s="22" t="str">
        <x:v>Workfront Schedule H13</x:v>
      </x:c>
      <x:c r="E847" s="75" t="n">
        <x:f>IF(ISERROR('Workfront Schedule'!H13),0,1)</x:f>
        <x:v>1</x:v>
      </x:c>
      <x:c r="F847" s="75" t="n">
        <x:v>1</x:v>
      </x:c>
      <x:c r="G847" s="24" t="str">
        <x:f>IF(E847=F847,"PASS","FAIL")</x:f>
        <x:v>PASS</x:v>
      </x:c>
    </x:row>
    <x:row r="848">
      <x:c r="B848" s="22" t="str">
        <x:v>AC-0842</x:v>
      </x:c>
      <x:c r="C848" s="22" t="str">
        <x:v>non-error</x:v>
      </x:c>
      <x:c r="D848" s="22" t="str">
        <x:v>Workfront Schedule I13</x:v>
      </x:c>
      <x:c r="E848" s="75" t="n">
        <x:f>IF(ISERROR('Workfront Schedule'!I13),0,1)</x:f>
        <x:v>1</x:v>
      </x:c>
      <x:c r="F848" s="75" t="n">
        <x:v>1</x:v>
      </x:c>
      <x:c r="G848" s="24" t="str">
        <x:f>IF(E848=F848,"PASS","FAIL")</x:f>
        <x:v>PASS</x:v>
      </x:c>
    </x:row>
    <x:row r="849">
      <x:c r="B849" s="22" t="str">
        <x:v>AC-0843</x:v>
      </x:c>
      <x:c r="C849" s="22" t="str">
        <x:v>non-error</x:v>
      </x:c>
      <x:c r="D849" s="22" t="str">
        <x:v>Workfront Schedule J13</x:v>
      </x:c>
      <x:c r="E849" s="75" t="n">
        <x:f>IF(ISERROR('Workfront Schedule'!J13),0,1)</x:f>
        <x:v>1</x:v>
      </x:c>
      <x:c r="F849" s="75" t="n">
        <x:v>1</x:v>
      </x:c>
      <x:c r="G849" s="24" t="str">
        <x:f>IF(E849=F849,"PASS","FAIL")</x:f>
        <x:v>PASS</x:v>
      </x:c>
    </x:row>
    <x:row r="850">
      <x:c r="B850" s="22" t="str">
        <x:v>AC-0844</x:v>
      </x:c>
      <x:c r="C850" s="22" t="str">
        <x:v>non-error</x:v>
      </x:c>
      <x:c r="D850" s="22" t="str">
        <x:v>Workfront Schedule K13</x:v>
      </x:c>
      <x:c r="E850" s="75" t="n">
        <x:f>IF(ISERROR('Workfront Schedule'!K13),0,1)</x:f>
        <x:v>1</x:v>
      </x:c>
      <x:c r="F850" s="75" t="n">
        <x:v>1</x:v>
      </x:c>
      <x:c r="G850" s="24" t="str">
        <x:f>IF(E850=F850,"PASS","FAIL")</x:f>
        <x:v>PASS</x:v>
      </x:c>
    </x:row>
    <x:row r="851">
      <x:c r="B851" s="22" t="str">
        <x:v>AC-0845</x:v>
      </x:c>
      <x:c r="C851" s="22" t="str">
        <x:v>non-error</x:v>
      </x:c>
      <x:c r="D851" s="22" t="str">
        <x:v>Workfront Schedule L13</x:v>
      </x:c>
      <x:c r="E851" s="75" t="n">
        <x:f>IF(ISERROR('Workfront Schedule'!L13),0,1)</x:f>
        <x:v>1</x:v>
      </x:c>
      <x:c r="F851" s="75" t="n">
        <x:v>1</x:v>
      </x:c>
      <x:c r="G851" s="24" t="str">
        <x:f>IF(E851=F851,"PASS","FAIL")</x:f>
        <x:v>PASS</x:v>
      </x:c>
    </x:row>
    <x:row r="852">
      <x:c r="B852" s="22" t="str">
        <x:v>AC-0846</x:v>
      </x:c>
      <x:c r="C852" s="22" t="str">
        <x:v>non-error</x:v>
      </x:c>
      <x:c r="D852" s="22" t="str">
        <x:v>Workfront Schedule M13</x:v>
      </x:c>
      <x:c r="E852" s="75" t="n">
        <x:f>IF(ISERROR('Workfront Schedule'!M13),0,1)</x:f>
        <x:v>1</x:v>
      </x:c>
      <x:c r="F852" s="75" t="n">
        <x:v>1</x:v>
      </x:c>
      <x:c r="G852" s="24" t="str">
        <x:f>IF(E852=F852,"PASS","FAIL")</x:f>
        <x:v>PASS</x:v>
      </x:c>
    </x:row>
    <x:row r="853">
      <x:c r="B853" s="22" t="str">
        <x:v>AC-0847</x:v>
      </x:c>
      <x:c r="C853" s="22" t="str">
        <x:v>non-error</x:v>
      </x:c>
      <x:c r="D853" s="22" t="str">
        <x:v>Workfront Schedule N13</x:v>
      </x:c>
      <x:c r="E853" s="75" t="n">
        <x:f>IF(ISERROR('Workfront Schedule'!N13),0,1)</x:f>
        <x:v>1</x:v>
      </x:c>
      <x:c r="F853" s="75" t="n">
        <x:v>1</x:v>
      </x:c>
      <x:c r="G853" s="24" t="str">
        <x:f>IF(E853=F853,"PASS","FAIL")</x:f>
        <x:v>PASS</x:v>
      </x:c>
    </x:row>
    <x:row r="854">
      <x:c r="B854" s="22" t="str">
        <x:v>AC-0848</x:v>
      </x:c>
      <x:c r="C854" s="22" t="str">
        <x:v>non-error</x:v>
      </x:c>
      <x:c r="D854" s="22" t="str">
        <x:v>Workfront Schedule O13</x:v>
      </x:c>
      <x:c r="E854" s="75" t="n">
        <x:f>IF(ISERROR('Workfront Schedule'!O13),0,1)</x:f>
        <x:v>1</x:v>
      </x:c>
      <x:c r="F854" s="75" t="n">
        <x:v>1</x:v>
      </x:c>
      <x:c r="G854" s="24" t="str">
        <x:f>IF(E854=F854,"PASS","FAIL")</x:f>
        <x:v>PASS</x:v>
      </x:c>
    </x:row>
    <x:row r="855">
      <x:c r="B855" s="22" t="str">
        <x:v>AC-0849</x:v>
      </x:c>
      <x:c r="C855" s="22" t="str">
        <x:v>non-error</x:v>
      </x:c>
      <x:c r="D855" s="22" t="str">
        <x:v>Workfront Schedule P13</x:v>
      </x:c>
      <x:c r="E855" s="75" t="n">
        <x:f>IF(ISERROR('Workfront Schedule'!P13),0,1)</x:f>
        <x:v>1</x:v>
      </x:c>
      <x:c r="F855" s="75" t="n">
        <x:v>1</x:v>
      </x:c>
      <x:c r="G855" s="24" t="str">
        <x:f>IF(E855=F855,"PASS","FAIL")</x:f>
        <x:v>PASS</x:v>
      </x:c>
    </x:row>
    <x:row r="856">
      <x:c r="B856" s="22" t="str">
        <x:v>AC-0850</x:v>
      </x:c>
      <x:c r="C856" s="22" t="str">
        <x:v>non-error</x:v>
      </x:c>
      <x:c r="D856" s="22" t="str">
        <x:v>Workfront Schedule G14</x:v>
      </x:c>
      <x:c r="E856" s="75" t="n">
        <x:f>IF(ISERROR('Workfront Schedule'!G14),0,1)</x:f>
        <x:v>1</x:v>
      </x:c>
      <x:c r="F856" s="75" t="n">
        <x:v>1</x:v>
      </x:c>
      <x:c r="G856" s="24" t="str">
        <x:f>IF(E856=F856,"PASS","FAIL")</x:f>
        <x:v>PASS</x:v>
      </x:c>
    </x:row>
    <x:row r="857">
      <x:c r="B857" s="22" t="str">
        <x:v>AC-0851</x:v>
      </x:c>
      <x:c r="C857" s="22" t="str">
        <x:v>non-error</x:v>
      </x:c>
      <x:c r="D857" s="22" t="str">
        <x:v>Workfront Schedule H14</x:v>
      </x:c>
      <x:c r="E857" s="75" t="n">
        <x:f>IF(ISERROR('Workfront Schedule'!H14),0,1)</x:f>
        <x:v>1</x:v>
      </x:c>
      <x:c r="F857" s="75" t="n">
        <x:v>1</x:v>
      </x:c>
      <x:c r="G857" s="24" t="str">
        <x:f>IF(E857=F857,"PASS","FAIL")</x:f>
        <x:v>PASS</x:v>
      </x:c>
    </x:row>
    <x:row r="858">
      <x:c r="B858" s="22" t="str">
        <x:v>AC-0852</x:v>
      </x:c>
      <x:c r="C858" s="22" t="str">
        <x:v>non-error</x:v>
      </x:c>
      <x:c r="D858" s="22" t="str">
        <x:v>Workfront Schedule I14</x:v>
      </x:c>
      <x:c r="E858" s="75" t="n">
        <x:f>IF(ISERROR('Workfront Schedule'!I14),0,1)</x:f>
        <x:v>1</x:v>
      </x:c>
      <x:c r="F858" s="75" t="n">
        <x:v>1</x:v>
      </x:c>
      <x:c r="G858" s="24" t="str">
        <x:f>IF(E858=F858,"PASS","FAIL")</x:f>
        <x:v>PASS</x:v>
      </x:c>
    </x:row>
    <x:row r="859">
      <x:c r="B859" s="22" t="str">
        <x:v>AC-0853</x:v>
      </x:c>
      <x:c r="C859" s="22" t="str">
        <x:v>non-error</x:v>
      </x:c>
      <x:c r="D859" s="22" t="str">
        <x:v>Workfront Schedule J14</x:v>
      </x:c>
      <x:c r="E859" s="75" t="n">
        <x:f>IF(ISERROR('Workfront Schedule'!J14),0,1)</x:f>
        <x:v>1</x:v>
      </x:c>
      <x:c r="F859" s="75" t="n">
        <x:v>1</x:v>
      </x:c>
      <x:c r="G859" s="24" t="str">
        <x:f>IF(E859=F859,"PASS","FAIL")</x:f>
        <x:v>PASS</x:v>
      </x:c>
    </x:row>
    <x:row r="860">
      <x:c r="B860" s="22" t="str">
        <x:v>AC-0854</x:v>
      </x:c>
      <x:c r="C860" s="22" t="str">
        <x:v>non-error</x:v>
      </x:c>
      <x:c r="D860" s="22" t="str">
        <x:v>Workfront Schedule K14</x:v>
      </x:c>
      <x:c r="E860" s="75" t="n">
        <x:f>IF(ISERROR('Workfront Schedule'!K14),0,1)</x:f>
        <x:v>1</x:v>
      </x:c>
      <x:c r="F860" s="75" t="n">
        <x:v>1</x:v>
      </x:c>
      <x:c r="G860" s="24" t="str">
        <x:f>IF(E860=F860,"PASS","FAIL")</x:f>
        <x:v>PASS</x:v>
      </x:c>
    </x:row>
    <x:row r="861">
      <x:c r="B861" s="22" t="str">
        <x:v>AC-0855</x:v>
      </x:c>
      <x:c r="C861" s="22" t="str">
        <x:v>non-error</x:v>
      </x:c>
      <x:c r="D861" s="22" t="str">
        <x:v>Workfront Schedule L14</x:v>
      </x:c>
      <x:c r="E861" s="75" t="n">
        <x:f>IF(ISERROR('Workfront Schedule'!L14),0,1)</x:f>
        <x:v>1</x:v>
      </x:c>
      <x:c r="F861" s="75" t="n">
        <x:v>1</x:v>
      </x:c>
      <x:c r="G861" s="24" t="str">
        <x:f>IF(E861=F861,"PASS","FAIL")</x:f>
        <x:v>PASS</x:v>
      </x:c>
    </x:row>
    <x:row r="862">
      <x:c r="B862" s="22" t="str">
        <x:v>AC-0856</x:v>
      </x:c>
      <x:c r="C862" s="22" t="str">
        <x:v>non-error</x:v>
      </x:c>
      <x:c r="D862" s="22" t="str">
        <x:v>Workfront Schedule M14</x:v>
      </x:c>
      <x:c r="E862" s="75" t="n">
        <x:f>IF(ISERROR('Workfront Schedule'!M14),0,1)</x:f>
        <x:v>1</x:v>
      </x:c>
      <x:c r="F862" s="75" t="n">
        <x:v>1</x:v>
      </x:c>
      <x:c r="G862" s="24" t="str">
        <x:f>IF(E862=F862,"PASS","FAIL")</x:f>
        <x:v>PASS</x:v>
      </x:c>
    </x:row>
    <x:row r="863">
      <x:c r="B863" s="22" t="str">
        <x:v>AC-0857</x:v>
      </x:c>
      <x:c r="C863" s="22" t="str">
        <x:v>non-error</x:v>
      </x:c>
      <x:c r="D863" s="22" t="str">
        <x:v>Workfront Schedule N14</x:v>
      </x:c>
      <x:c r="E863" s="75" t="n">
        <x:f>IF(ISERROR('Workfront Schedule'!N14),0,1)</x:f>
        <x:v>1</x:v>
      </x:c>
      <x:c r="F863" s="75" t="n">
        <x:v>1</x:v>
      </x:c>
      <x:c r="G863" s="24" t="str">
        <x:f>IF(E863=F863,"PASS","FAIL")</x:f>
        <x:v>PASS</x:v>
      </x:c>
    </x:row>
    <x:row r="864">
      <x:c r="B864" s="22" t="str">
        <x:v>AC-0858</x:v>
      </x:c>
      <x:c r="C864" s="22" t="str">
        <x:v>non-error</x:v>
      </x:c>
      <x:c r="D864" s="22" t="str">
        <x:v>Workfront Schedule O14</x:v>
      </x:c>
      <x:c r="E864" s="75" t="n">
        <x:f>IF(ISERROR('Workfront Schedule'!O14),0,1)</x:f>
        <x:v>1</x:v>
      </x:c>
      <x:c r="F864" s="75" t="n">
        <x:v>1</x:v>
      </x:c>
      <x:c r="G864" s="24" t="str">
        <x:f>IF(E864=F864,"PASS","FAIL")</x:f>
        <x:v>PASS</x:v>
      </x:c>
    </x:row>
    <x:row r="865">
      <x:c r="B865" s="22" t="str">
        <x:v>AC-0859</x:v>
      </x:c>
      <x:c r="C865" s="22" t="str">
        <x:v>non-error</x:v>
      </x:c>
      <x:c r="D865" s="22" t="str">
        <x:v>Workfront Schedule P14</x:v>
      </x:c>
      <x:c r="E865" s="75" t="n">
        <x:f>IF(ISERROR('Workfront Schedule'!P14),0,1)</x:f>
        <x:v>1</x:v>
      </x:c>
      <x:c r="F865" s="75" t="n">
        <x:v>1</x:v>
      </x:c>
      <x:c r="G865" s="24" t="str">
        <x:f>IF(E865=F865,"PASS","FAIL")</x:f>
        <x:v>PASS</x:v>
      </x:c>
    </x:row>
    <x:row r="866">
      <x:c r="B866" s="22" t="str">
        <x:v>AC-0860</x:v>
      </x:c>
      <x:c r="C866" s="22" t="str">
        <x:v>non-error</x:v>
      </x:c>
      <x:c r="D866" s="22" t="str">
        <x:v>Workfront Schedule G15</x:v>
      </x:c>
      <x:c r="E866" s="75" t="n">
        <x:f>IF(ISERROR('Workfront Schedule'!G15),0,1)</x:f>
        <x:v>1</x:v>
      </x:c>
      <x:c r="F866" s="75" t="n">
        <x:v>1</x:v>
      </x:c>
      <x:c r="G866" s="24" t="str">
        <x:f>IF(E866=F866,"PASS","FAIL")</x:f>
        <x:v>PASS</x:v>
      </x:c>
    </x:row>
    <x:row r="867">
      <x:c r="B867" s="22" t="str">
        <x:v>AC-0861</x:v>
      </x:c>
      <x:c r="C867" s="22" t="str">
        <x:v>non-error</x:v>
      </x:c>
      <x:c r="D867" s="22" t="str">
        <x:v>Workfront Schedule H15</x:v>
      </x:c>
      <x:c r="E867" s="75" t="n">
        <x:f>IF(ISERROR('Workfront Schedule'!H15),0,1)</x:f>
        <x:v>1</x:v>
      </x:c>
      <x:c r="F867" s="75" t="n">
        <x:v>1</x:v>
      </x:c>
      <x:c r="G867" s="24" t="str">
        <x:f>IF(E867=F867,"PASS","FAIL")</x:f>
        <x:v>PASS</x:v>
      </x:c>
    </x:row>
    <x:row r="868">
      <x:c r="B868" s="22" t="str">
        <x:v>AC-0862</x:v>
      </x:c>
      <x:c r="C868" s="22" t="str">
        <x:v>non-error</x:v>
      </x:c>
      <x:c r="D868" s="22" t="str">
        <x:v>Workfront Schedule I15</x:v>
      </x:c>
      <x:c r="E868" s="75" t="n">
        <x:f>IF(ISERROR('Workfront Schedule'!I15),0,1)</x:f>
        <x:v>1</x:v>
      </x:c>
      <x:c r="F868" s="75" t="n">
        <x:v>1</x:v>
      </x:c>
      <x:c r="G868" s="24" t="str">
        <x:f>IF(E868=F868,"PASS","FAIL")</x:f>
        <x:v>PASS</x:v>
      </x:c>
    </x:row>
    <x:row r="869">
      <x:c r="B869" s="22" t="str">
        <x:v>AC-0863</x:v>
      </x:c>
      <x:c r="C869" s="22" t="str">
        <x:v>non-error</x:v>
      </x:c>
      <x:c r="D869" s="22" t="str">
        <x:v>Workfront Schedule J15</x:v>
      </x:c>
      <x:c r="E869" s="75" t="n">
        <x:f>IF(ISERROR('Workfront Schedule'!J15),0,1)</x:f>
        <x:v>1</x:v>
      </x:c>
      <x:c r="F869" s="75" t="n">
        <x:v>1</x:v>
      </x:c>
      <x:c r="G869" s="24" t="str">
        <x:f>IF(E869=F869,"PASS","FAIL")</x:f>
        <x:v>PASS</x:v>
      </x:c>
    </x:row>
    <x:row r="870">
      <x:c r="B870" s="22" t="str">
        <x:v>AC-0864</x:v>
      </x:c>
      <x:c r="C870" s="22" t="str">
        <x:v>non-error</x:v>
      </x:c>
      <x:c r="D870" s="22" t="str">
        <x:v>Workfront Schedule K15</x:v>
      </x:c>
      <x:c r="E870" s="75" t="n">
        <x:f>IF(ISERROR('Workfront Schedule'!K15),0,1)</x:f>
        <x:v>1</x:v>
      </x:c>
      <x:c r="F870" s="75" t="n">
        <x:v>1</x:v>
      </x:c>
      <x:c r="G870" s="24" t="str">
        <x:f>IF(E870=F870,"PASS","FAIL")</x:f>
        <x:v>PASS</x:v>
      </x:c>
    </x:row>
    <x:row r="871">
      <x:c r="B871" s="22" t="str">
        <x:v>AC-0865</x:v>
      </x:c>
      <x:c r="C871" s="22" t="str">
        <x:v>non-error</x:v>
      </x:c>
      <x:c r="D871" s="22" t="str">
        <x:v>Workfront Schedule L15</x:v>
      </x:c>
      <x:c r="E871" s="75" t="n">
        <x:f>IF(ISERROR('Workfront Schedule'!L15),0,1)</x:f>
        <x:v>1</x:v>
      </x:c>
      <x:c r="F871" s="75" t="n">
        <x:v>1</x:v>
      </x:c>
      <x:c r="G871" s="24" t="str">
        <x:f>IF(E871=F871,"PASS","FAIL")</x:f>
        <x:v>PASS</x:v>
      </x:c>
    </x:row>
    <x:row r="872">
      <x:c r="B872" s="22" t="str">
        <x:v>AC-0866</x:v>
      </x:c>
      <x:c r="C872" s="22" t="str">
        <x:v>non-error</x:v>
      </x:c>
      <x:c r="D872" s="22" t="str">
        <x:v>Workfront Schedule M15</x:v>
      </x:c>
      <x:c r="E872" s="75" t="n">
        <x:f>IF(ISERROR('Workfront Schedule'!M15),0,1)</x:f>
        <x:v>1</x:v>
      </x:c>
      <x:c r="F872" s="75" t="n">
        <x:v>1</x:v>
      </x:c>
      <x:c r="G872" s="24" t="str">
        <x:f>IF(E872=F872,"PASS","FAIL")</x:f>
        <x:v>PASS</x:v>
      </x:c>
    </x:row>
    <x:row r="873">
      <x:c r="B873" s="22" t="str">
        <x:v>AC-0867</x:v>
      </x:c>
      <x:c r="C873" s="22" t="str">
        <x:v>non-error</x:v>
      </x:c>
      <x:c r="D873" s="22" t="str">
        <x:v>Workfront Schedule N15</x:v>
      </x:c>
      <x:c r="E873" s="75" t="n">
        <x:f>IF(ISERROR('Workfront Schedule'!N15),0,1)</x:f>
        <x:v>1</x:v>
      </x:c>
      <x:c r="F873" s="75" t="n">
        <x:v>1</x:v>
      </x:c>
      <x:c r="G873" s="24" t="str">
        <x:f>IF(E873=F873,"PASS","FAIL")</x:f>
        <x:v>PASS</x:v>
      </x:c>
    </x:row>
    <x:row r="874">
      <x:c r="B874" s="22" t="str">
        <x:v>AC-0868</x:v>
      </x:c>
      <x:c r="C874" s="22" t="str">
        <x:v>non-error</x:v>
      </x:c>
      <x:c r="D874" s="22" t="str">
        <x:v>Workfront Schedule O15</x:v>
      </x:c>
      <x:c r="E874" s="75" t="n">
        <x:f>IF(ISERROR('Workfront Schedule'!O15),0,1)</x:f>
        <x:v>1</x:v>
      </x:c>
      <x:c r="F874" s="75" t="n">
        <x:v>1</x:v>
      </x:c>
      <x:c r="G874" s="24" t="str">
        <x:f>IF(E874=F874,"PASS","FAIL")</x:f>
        <x:v>PASS</x:v>
      </x:c>
    </x:row>
    <x:row r="875">
      <x:c r="B875" s="22" t="str">
        <x:v>AC-0869</x:v>
      </x:c>
      <x:c r="C875" s="22" t="str">
        <x:v>non-error</x:v>
      </x:c>
      <x:c r="D875" s="22" t="str">
        <x:v>Workfront Schedule P15</x:v>
      </x:c>
      <x:c r="E875" s="75" t="n">
        <x:f>IF(ISERROR('Workfront Schedule'!P15),0,1)</x:f>
        <x:v>1</x:v>
      </x:c>
      <x:c r="F875" s="75" t="n">
        <x:v>1</x:v>
      </x:c>
      <x:c r="G875" s="24" t="str">
        <x:f>IF(E875=F875,"PASS","FAIL")</x:f>
        <x:v>PASS</x:v>
      </x:c>
    </x:row>
    <x:row r="876">
      <x:c r="B876" s="22" t="str">
        <x:v>AC-0870</x:v>
      </x:c>
      <x:c r="C876" s="22" t="str">
        <x:v>non-error</x:v>
      </x:c>
      <x:c r="D876" s="22" t="str">
        <x:v>Workfront Schedule G16</x:v>
      </x:c>
      <x:c r="E876" s="75" t="n">
        <x:f>IF(ISERROR('Workfront Schedule'!G16),0,1)</x:f>
        <x:v>1</x:v>
      </x:c>
      <x:c r="F876" s="75" t="n">
        <x:v>1</x:v>
      </x:c>
      <x:c r="G876" s="24" t="str">
        <x:f>IF(E876=F876,"PASS","FAIL")</x:f>
        <x:v>PASS</x:v>
      </x:c>
    </x:row>
    <x:row r="877">
      <x:c r="B877" s="22" t="str">
        <x:v>AC-0871</x:v>
      </x:c>
      <x:c r="C877" s="22" t="str">
        <x:v>non-error</x:v>
      </x:c>
      <x:c r="D877" s="22" t="str">
        <x:v>Workfront Schedule H16</x:v>
      </x:c>
      <x:c r="E877" s="75" t="n">
        <x:f>IF(ISERROR('Workfront Schedule'!H16),0,1)</x:f>
        <x:v>1</x:v>
      </x:c>
      <x:c r="F877" s="75" t="n">
        <x:v>1</x:v>
      </x:c>
      <x:c r="G877" s="24" t="str">
        <x:f>IF(E877=F877,"PASS","FAIL")</x:f>
        <x:v>PASS</x:v>
      </x:c>
    </x:row>
    <x:row r="878">
      <x:c r="B878" s="22" t="str">
        <x:v>AC-0872</x:v>
      </x:c>
      <x:c r="C878" s="22" t="str">
        <x:v>non-error</x:v>
      </x:c>
      <x:c r="D878" s="22" t="str">
        <x:v>Workfront Schedule I16</x:v>
      </x:c>
      <x:c r="E878" s="75" t="n">
        <x:f>IF(ISERROR('Workfront Schedule'!I16),0,1)</x:f>
        <x:v>1</x:v>
      </x:c>
      <x:c r="F878" s="75" t="n">
        <x:v>1</x:v>
      </x:c>
      <x:c r="G878" s="24" t="str">
        <x:f>IF(E878=F878,"PASS","FAIL")</x:f>
        <x:v>PASS</x:v>
      </x:c>
    </x:row>
    <x:row r="879">
      <x:c r="B879" s="22" t="str">
        <x:v>AC-0873</x:v>
      </x:c>
      <x:c r="C879" s="22" t="str">
        <x:v>non-error</x:v>
      </x:c>
      <x:c r="D879" s="22" t="str">
        <x:v>Workfront Schedule J16</x:v>
      </x:c>
      <x:c r="E879" s="75" t="n">
        <x:f>IF(ISERROR('Workfront Schedule'!J16),0,1)</x:f>
        <x:v>1</x:v>
      </x:c>
      <x:c r="F879" s="75" t="n">
        <x:v>1</x:v>
      </x:c>
      <x:c r="G879" s="24" t="str">
        <x:f>IF(E879=F879,"PASS","FAIL")</x:f>
        <x:v>PASS</x:v>
      </x:c>
    </x:row>
    <x:row r="880">
      <x:c r="B880" s="22" t="str">
        <x:v>AC-0874</x:v>
      </x:c>
      <x:c r="C880" s="22" t="str">
        <x:v>non-error</x:v>
      </x:c>
      <x:c r="D880" s="22" t="str">
        <x:v>Workfront Schedule K16</x:v>
      </x:c>
      <x:c r="E880" s="75" t="n">
        <x:f>IF(ISERROR('Workfront Schedule'!K16),0,1)</x:f>
        <x:v>1</x:v>
      </x:c>
      <x:c r="F880" s="75" t="n">
        <x:v>1</x:v>
      </x:c>
      <x:c r="G880" s="24" t="str">
        <x:f>IF(E880=F880,"PASS","FAIL")</x:f>
        <x:v>PASS</x:v>
      </x:c>
    </x:row>
    <x:row r="881">
      <x:c r="B881" s="22" t="str">
        <x:v>AC-0875</x:v>
      </x:c>
      <x:c r="C881" s="22" t="str">
        <x:v>non-error</x:v>
      </x:c>
      <x:c r="D881" s="22" t="str">
        <x:v>Workfront Schedule L16</x:v>
      </x:c>
      <x:c r="E881" s="75" t="n">
        <x:f>IF(ISERROR('Workfront Schedule'!L16),0,1)</x:f>
        <x:v>1</x:v>
      </x:c>
      <x:c r="F881" s="75" t="n">
        <x:v>1</x:v>
      </x:c>
      <x:c r="G881" s="24" t="str">
        <x:f>IF(E881=F881,"PASS","FAIL")</x:f>
        <x:v>PASS</x:v>
      </x:c>
    </x:row>
    <x:row r="882">
      <x:c r="B882" s="22" t="str">
        <x:v>AC-0876</x:v>
      </x:c>
      <x:c r="C882" s="22" t="str">
        <x:v>non-error</x:v>
      </x:c>
      <x:c r="D882" s="22" t="str">
        <x:v>Workfront Schedule M16</x:v>
      </x:c>
      <x:c r="E882" s="75" t="n">
        <x:f>IF(ISERROR('Workfront Schedule'!M16),0,1)</x:f>
        <x:v>1</x:v>
      </x:c>
      <x:c r="F882" s="75" t="n">
        <x:v>1</x:v>
      </x:c>
      <x:c r="G882" s="24" t="str">
        <x:f>IF(E882=F882,"PASS","FAIL")</x:f>
        <x:v>PASS</x:v>
      </x:c>
    </x:row>
    <x:row r="883">
      <x:c r="B883" s="22" t="str">
        <x:v>AC-0877</x:v>
      </x:c>
      <x:c r="C883" s="22" t="str">
        <x:v>non-error</x:v>
      </x:c>
      <x:c r="D883" s="22" t="str">
        <x:v>Workfront Schedule N16</x:v>
      </x:c>
      <x:c r="E883" s="75" t="n">
        <x:f>IF(ISERROR('Workfront Schedule'!N16),0,1)</x:f>
        <x:v>1</x:v>
      </x:c>
      <x:c r="F883" s="75" t="n">
        <x:v>1</x:v>
      </x:c>
      <x:c r="G883" s="24" t="str">
        <x:f>IF(E883=F883,"PASS","FAIL")</x:f>
        <x:v>PASS</x:v>
      </x:c>
    </x:row>
    <x:row r="884">
      <x:c r="B884" s="22" t="str">
        <x:v>AC-0878</x:v>
      </x:c>
      <x:c r="C884" s="22" t="str">
        <x:v>non-error</x:v>
      </x:c>
      <x:c r="D884" s="22" t="str">
        <x:v>Workfront Schedule O16</x:v>
      </x:c>
      <x:c r="E884" s="75" t="n">
        <x:f>IF(ISERROR('Workfront Schedule'!O16),0,1)</x:f>
        <x:v>1</x:v>
      </x:c>
      <x:c r="F884" s="75" t="n">
        <x:v>1</x:v>
      </x:c>
      <x:c r="G884" s="24" t="str">
        <x:f>IF(E884=F884,"PASS","FAIL")</x:f>
        <x:v>PASS</x:v>
      </x:c>
    </x:row>
    <x:row r="885">
      <x:c r="B885" s="22" t="str">
        <x:v>AC-0879</x:v>
      </x:c>
      <x:c r="C885" s="22" t="str">
        <x:v>non-error</x:v>
      </x:c>
      <x:c r="D885" s="22" t="str">
        <x:v>Workfront Schedule P16</x:v>
      </x:c>
      <x:c r="E885" s="75" t="n">
        <x:f>IF(ISERROR('Workfront Schedule'!P16),0,1)</x:f>
        <x:v>1</x:v>
      </x:c>
      <x:c r="F885" s="75" t="n">
        <x:v>1</x:v>
      </x:c>
      <x:c r="G885" s="24" t="str">
        <x:f>IF(E885=F885,"PASS","FAIL")</x:f>
        <x:v>PASS</x:v>
      </x:c>
    </x:row>
    <x:row r="886">
      <x:c r="B886" s="22" t="str">
        <x:v>AC-0880</x:v>
      </x:c>
      <x:c r="C886" s="22" t="str">
        <x:v>non-error</x:v>
      </x:c>
      <x:c r="D886" s="22" t="str">
        <x:v>Workfront Schedule G17</x:v>
      </x:c>
      <x:c r="E886" s="75" t="n">
        <x:f>IF(ISERROR('Workfront Schedule'!G17),0,1)</x:f>
        <x:v>1</x:v>
      </x:c>
      <x:c r="F886" s="75" t="n">
        <x:v>1</x:v>
      </x:c>
      <x:c r="G886" s="24" t="str">
        <x:f>IF(E886=F886,"PASS","FAIL")</x:f>
        <x:v>PASS</x:v>
      </x:c>
    </x:row>
    <x:row r="887">
      <x:c r="B887" s="22" t="str">
        <x:v>AC-0881</x:v>
      </x:c>
      <x:c r="C887" s="22" t="str">
        <x:v>non-error</x:v>
      </x:c>
      <x:c r="D887" s="22" t="str">
        <x:v>Workfront Schedule H17</x:v>
      </x:c>
      <x:c r="E887" s="75" t="n">
        <x:f>IF(ISERROR('Workfront Schedule'!H17),0,1)</x:f>
        <x:v>1</x:v>
      </x:c>
      <x:c r="F887" s="75" t="n">
        <x:v>1</x:v>
      </x:c>
      <x:c r="G887" s="24" t="str">
        <x:f>IF(E887=F887,"PASS","FAIL")</x:f>
        <x:v>PASS</x:v>
      </x:c>
    </x:row>
    <x:row r="888">
      <x:c r="B888" s="22" t="str">
        <x:v>AC-0882</x:v>
      </x:c>
      <x:c r="C888" s="22" t="str">
        <x:v>non-error</x:v>
      </x:c>
      <x:c r="D888" s="22" t="str">
        <x:v>Workfront Schedule I17</x:v>
      </x:c>
      <x:c r="E888" s="75" t="n">
        <x:f>IF(ISERROR('Workfront Schedule'!I17),0,1)</x:f>
        <x:v>1</x:v>
      </x:c>
      <x:c r="F888" s="75" t="n">
        <x:v>1</x:v>
      </x:c>
      <x:c r="G888" s="24" t="str">
        <x:f>IF(E888=F888,"PASS","FAIL")</x:f>
        <x:v>PASS</x:v>
      </x:c>
    </x:row>
    <x:row r="889">
      <x:c r="B889" s="22" t="str">
        <x:v>AC-0883</x:v>
      </x:c>
      <x:c r="C889" s="22" t="str">
        <x:v>non-error</x:v>
      </x:c>
      <x:c r="D889" s="22" t="str">
        <x:v>Workfront Schedule J17</x:v>
      </x:c>
      <x:c r="E889" s="75" t="n">
        <x:f>IF(ISERROR('Workfront Schedule'!J17),0,1)</x:f>
        <x:v>1</x:v>
      </x:c>
      <x:c r="F889" s="75" t="n">
        <x:v>1</x:v>
      </x:c>
      <x:c r="G889" s="24" t="str">
        <x:f>IF(E889=F889,"PASS","FAIL")</x:f>
        <x:v>PASS</x:v>
      </x:c>
    </x:row>
    <x:row r="890">
      <x:c r="B890" s="22" t="str">
        <x:v>AC-0884</x:v>
      </x:c>
      <x:c r="C890" s="22" t="str">
        <x:v>non-error</x:v>
      </x:c>
      <x:c r="D890" s="22" t="str">
        <x:v>Workfront Schedule K17</x:v>
      </x:c>
      <x:c r="E890" s="75" t="n">
        <x:f>IF(ISERROR('Workfront Schedule'!K17),0,1)</x:f>
        <x:v>1</x:v>
      </x:c>
      <x:c r="F890" s="75" t="n">
        <x:v>1</x:v>
      </x:c>
      <x:c r="G890" s="24" t="str">
        <x:f>IF(E890=F890,"PASS","FAIL")</x:f>
        <x:v>PASS</x:v>
      </x:c>
    </x:row>
    <x:row r="891">
      <x:c r="B891" s="22" t="str">
        <x:v>AC-0885</x:v>
      </x:c>
      <x:c r="C891" s="22" t="str">
        <x:v>non-error</x:v>
      </x:c>
      <x:c r="D891" s="22" t="str">
        <x:v>Workfront Schedule L17</x:v>
      </x:c>
      <x:c r="E891" s="75" t="n">
        <x:f>IF(ISERROR('Workfront Schedule'!L17),0,1)</x:f>
        <x:v>1</x:v>
      </x:c>
      <x:c r="F891" s="75" t="n">
        <x:v>1</x:v>
      </x:c>
      <x:c r="G891" s="24" t="str">
        <x:f>IF(E891=F891,"PASS","FAIL")</x:f>
        <x:v>PASS</x:v>
      </x:c>
    </x:row>
    <x:row r="892">
      <x:c r="B892" s="22" t="str">
        <x:v>AC-0886</x:v>
      </x:c>
      <x:c r="C892" s="22" t="str">
        <x:v>non-error</x:v>
      </x:c>
      <x:c r="D892" s="22" t="str">
        <x:v>Workfront Schedule M17</x:v>
      </x:c>
      <x:c r="E892" s="75" t="n">
        <x:f>IF(ISERROR('Workfront Schedule'!M17),0,1)</x:f>
        <x:v>1</x:v>
      </x:c>
      <x:c r="F892" s="75" t="n">
        <x:v>1</x:v>
      </x:c>
      <x:c r="G892" s="24" t="str">
        <x:f>IF(E892=F892,"PASS","FAIL")</x:f>
        <x:v>PASS</x:v>
      </x:c>
    </x:row>
    <x:row r="893">
      <x:c r="B893" s="22" t="str">
        <x:v>AC-0887</x:v>
      </x:c>
      <x:c r="C893" s="22" t="str">
        <x:v>non-error</x:v>
      </x:c>
      <x:c r="D893" s="22" t="str">
        <x:v>Workfront Schedule N17</x:v>
      </x:c>
      <x:c r="E893" s="75" t="n">
        <x:f>IF(ISERROR('Workfront Schedule'!N17),0,1)</x:f>
        <x:v>1</x:v>
      </x:c>
      <x:c r="F893" s="75" t="n">
        <x:v>1</x:v>
      </x:c>
      <x:c r="G893" s="24" t="str">
        <x:f>IF(E893=F893,"PASS","FAIL")</x:f>
        <x:v>PASS</x:v>
      </x:c>
    </x:row>
    <x:row r="894">
      <x:c r="B894" s="22" t="str">
        <x:v>AC-0888</x:v>
      </x:c>
      <x:c r="C894" s="22" t="str">
        <x:v>non-error</x:v>
      </x:c>
      <x:c r="D894" s="22" t="str">
        <x:v>Workfront Schedule O17</x:v>
      </x:c>
      <x:c r="E894" s="75" t="n">
        <x:f>IF(ISERROR('Workfront Schedule'!O17),0,1)</x:f>
        <x:v>1</x:v>
      </x:c>
      <x:c r="F894" s="75" t="n">
        <x:v>1</x:v>
      </x:c>
      <x:c r="G894" s="24" t="str">
        <x:f>IF(E894=F894,"PASS","FAIL")</x:f>
        <x:v>PASS</x:v>
      </x:c>
    </x:row>
    <x:row r="895">
      <x:c r="B895" s="22" t="str">
        <x:v>AC-0889</x:v>
      </x:c>
      <x:c r="C895" s="22" t="str">
        <x:v>non-error</x:v>
      </x:c>
      <x:c r="D895" s="22" t="str">
        <x:v>Workfront Schedule P17</x:v>
      </x:c>
      <x:c r="E895" s="75" t="n">
        <x:f>IF(ISERROR('Workfront Schedule'!P17),0,1)</x:f>
        <x:v>1</x:v>
      </x:c>
      <x:c r="F895" s="75" t="n">
        <x:v>1</x:v>
      </x:c>
      <x:c r="G895" s="24" t="str">
        <x:f>IF(E895=F895,"PASS","FAIL")</x:f>
        <x:v>PASS</x:v>
      </x:c>
    </x:row>
    <x:row r="896">
      <x:c r="B896" s="22" t="str">
        <x:v>AC-0890</x:v>
      </x:c>
      <x:c r="C896" s="22" t="str">
        <x:v>non-error</x:v>
      </x:c>
      <x:c r="D896" s="22" t="str">
        <x:v>Workfront Schedule G18</x:v>
      </x:c>
      <x:c r="E896" s="75" t="n">
        <x:f>IF(ISERROR('Workfront Schedule'!G18),0,1)</x:f>
        <x:v>1</x:v>
      </x:c>
      <x:c r="F896" s="75" t="n">
        <x:v>1</x:v>
      </x:c>
      <x:c r="G896" s="24" t="str">
        <x:f>IF(E896=F896,"PASS","FAIL")</x:f>
        <x:v>PASS</x:v>
      </x:c>
    </x:row>
    <x:row r="897">
      <x:c r="B897" s="22" t="str">
        <x:v>AC-0891</x:v>
      </x:c>
      <x:c r="C897" s="22" t="str">
        <x:v>non-error</x:v>
      </x:c>
      <x:c r="D897" s="22" t="str">
        <x:v>Workfront Schedule H18</x:v>
      </x:c>
      <x:c r="E897" s="75" t="n">
        <x:f>IF(ISERROR('Workfront Schedule'!H18),0,1)</x:f>
        <x:v>1</x:v>
      </x:c>
      <x:c r="F897" s="75" t="n">
        <x:v>1</x:v>
      </x:c>
      <x:c r="G897" s="24" t="str">
        <x:f>IF(E897=F897,"PASS","FAIL")</x:f>
        <x:v>PASS</x:v>
      </x:c>
    </x:row>
    <x:row r="898">
      <x:c r="B898" s="22" t="str">
        <x:v>AC-0892</x:v>
      </x:c>
      <x:c r="C898" s="22" t="str">
        <x:v>non-error</x:v>
      </x:c>
      <x:c r="D898" s="22" t="str">
        <x:v>Workfront Schedule I18</x:v>
      </x:c>
      <x:c r="E898" s="75" t="n">
        <x:f>IF(ISERROR('Workfront Schedule'!I18),0,1)</x:f>
        <x:v>1</x:v>
      </x:c>
      <x:c r="F898" s="75" t="n">
        <x:v>1</x:v>
      </x:c>
      <x:c r="G898" s="24" t="str">
        <x:f>IF(E898=F898,"PASS","FAIL")</x:f>
        <x:v>PASS</x:v>
      </x:c>
    </x:row>
    <x:row r="899">
      <x:c r="B899" s="22" t="str">
        <x:v>AC-0893</x:v>
      </x:c>
      <x:c r="C899" s="22" t="str">
        <x:v>non-error</x:v>
      </x:c>
      <x:c r="D899" s="22" t="str">
        <x:v>Workfront Schedule J18</x:v>
      </x:c>
      <x:c r="E899" s="75" t="n">
        <x:f>IF(ISERROR('Workfront Schedule'!J18),0,1)</x:f>
        <x:v>1</x:v>
      </x:c>
      <x:c r="F899" s="75" t="n">
        <x:v>1</x:v>
      </x:c>
      <x:c r="G899" s="24" t="str">
        <x:f>IF(E899=F899,"PASS","FAIL")</x:f>
        <x:v>PASS</x:v>
      </x:c>
    </x:row>
    <x:row r="900">
      <x:c r="B900" s="22" t="str">
        <x:v>AC-0894</x:v>
      </x:c>
      <x:c r="C900" s="22" t="str">
        <x:v>non-error</x:v>
      </x:c>
      <x:c r="D900" s="22" t="str">
        <x:v>Workfront Schedule K18</x:v>
      </x:c>
      <x:c r="E900" s="75" t="n">
        <x:f>IF(ISERROR('Workfront Schedule'!K18),0,1)</x:f>
        <x:v>1</x:v>
      </x:c>
      <x:c r="F900" s="75" t="n">
        <x:v>1</x:v>
      </x:c>
      <x:c r="G900" s="24" t="str">
        <x:f>IF(E900=F900,"PASS","FAIL")</x:f>
        <x:v>PASS</x:v>
      </x:c>
    </x:row>
    <x:row r="901">
      <x:c r="B901" s="22" t="str">
        <x:v>AC-0895</x:v>
      </x:c>
      <x:c r="C901" s="22" t="str">
        <x:v>non-error</x:v>
      </x:c>
      <x:c r="D901" s="22" t="str">
        <x:v>Workfront Schedule L18</x:v>
      </x:c>
      <x:c r="E901" s="75" t="n">
        <x:f>IF(ISERROR('Workfront Schedule'!L18),0,1)</x:f>
        <x:v>1</x:v>
      </x:c>
      <x:c r="F901" s="75" t="n">
        <x:v>1</x:v>
      </x:c>
      <x:c r="G901" s="24" t="str">
        <x:f>IF(E901=F901,"PASS","FAIL")</x:f>
        <x:v>PASS</x:v>
      </x:c>
    </x:row>
    <x:row r="902">
      <x:c r="B902" s="22" t="str">
        <x:v>AC-0896</x:v>
      </x:c>
      <x:c r="C902" s="22" t="str">
        <x:v>non-error</x:v>
      </x:c>
      <x:c r="D902" s="22" t="str">
        <x:v>Workfront Schedule M18</x:v>
      </x:c>
      <x:c r="E902" s="75" t="n">
        <x:f>IF(ISERROR('Workfront Schedule'!M18),0,1)</x:f>
        <x:v>1</x:v>
      </x:c>
      <x:c r="F902" s="75" t="n">
        <x:v>1</x:v>
      </x:c>
      <x:c r="G902" s="24" t="str">
        <x:f>IF(E902=F902,"PASS","FAIL")</x:f>
        <x:v>PASS</x:v>
      </x:c>
    </x:row>
    <x:row r="903">
      <x:c r="B903" s="22" t="str">
        <x:v>AC-0897</x:v>
      </x:c>
      <x:c r="C903" s="22" t="str">
        <x:v>non-error</x:v>
      </x:c>
      <x:c r="D903" s="22" t="str">
        <x:v>Workfront Schedule N18</x:v>
      </x:c>
      <x:c r="E903" s="75" t="n">
        <x:f>IF(ISERROR('Workfront Schedule'!N18),0,1)</x:f>
        <x:v>1</x:v>
      </x:c>
      <x:c r="F903" s="75" t="n">
        <x:v>1</x:v>
      </x:c>
      <x:c r="G903" s="24" t="str">
        <x:f>IF(E903=F903,"PASS","FAIL")</x:f>
        <x:v>PASS</x:v>
      </x:c>
    </x:row>
    <x:row r="904">
      <x:c r="B904" s="22" t="str">
        <x:v>AC-0898</x:v>
      </x:c>
      <x:c r="C904" s="22" t="str">
        <x:v>non-error</x:v>
      </x:c>
      <x:c r="D904" s="22" t="str">
        <x:v>Workfront Schedule O18</x:v>
      </x:c>
      <x:c r="E904" s="75" t="n">
        <x:f>IF(ISERROR('Workfront Schedule'!O18),0,1)</x:f>
        <x:v>1</x:v>
      </x:c>
      <x:c r="F904" s="75" t="n">
        <x:v>1</x:v>
      </x:c>
      <x:c r="G904" s="24" t="str">
        <x:f>IF(E904=F904,"PASS","FAIL")</x:f>
        <x:v>PASS</x:v>
      </x:c>
    </x:row>
    <x:row r="905">
      <x:c r="B905" s="22" t="str">
        <x:v>AC-0899</x:v>
      </x:c>
      <x:c r="C905" s="22" t="str">
        <x:v>non-error</x:v>
      </x:c>
      <x:c r="D905" s="22" t="str">
        <x:v>Workfront Schedule P18</x:v>
      </x:c>
      <x:c r="E905" s="75" t="n">
        <x:f>IF(ISERROR('Workfront Schedule'!P18),0,1)</x:f>
        <x:v>1</x:v>
      </x:c>
      <x:c r="F905" s="75" t="n">
        <x:v>1</x:v>
      </x:c>
      <x:c r="G905" s="24" t="str">
        <x:f>IF(E905=F905,"PASS","FAIL")</x:f>
        <x:v>PASS</x:v>
      </x:c>
    </x:row>
    <x:row r="906">
      <x:c r="B906" s="22" t="str">
        <x:v>AC-0900</x:v>
      </x:c>
      <x:c r="C906" s="22" t="str">
        <x:v>non-error</x:v>
      </x:c>
      <x:c r="D906" s="22" t="str">
        <x:v>Workfront Schedule G19</x:v>
      </x:c>
      <x:c r="E906" s="75" t="n">
        <x:f>IF(ISERROR('Workfront Schedule'!G19),0,1)</x:f>
        <x:v>1</x:v>
      </x:c>
      <x:c r="F906" s="75" t="n">
        <x:v>1</x:v>
      </x:c>
      <x:c r="G906" s="24" t="str">
        <x:f>IF(E906=F906,"PASS","FAIL")</x:f>
        <x:v>PASS</x:v>
      </x:c>
    </x:row>
    <x:row r="907">
      <x:c r="B907" s="22" t="str">
        <x:v>AC-0901</x:v>
      </x:c>
      <x:c r="C907" s="22" t="str">
        <x:v>non-error</x:v>
      </x:c>
      <x:c r="D907" s="22" t="str">
        <x:v>Workfront Schedule H19</x:v>
      </x:c>
      <x:c r="E907" s="75" t="n">
        <x:f>IF(ISERROR('Workfront Schedule'!H19),0,1)</x:f>
        <x:v>1</x:v>
      </x:c>
      <x:c r="F907" s="75" t="n">
        <x:v>1</x:v>
      </x:c>
      <x:c r="G907" s="24" t="str">
        <x:f>IF(E907=F907,"PASS","FAIL")</x:f>
        <x:v>PASS</x:v>
      </x:c>
    </x:row>
    <x:row r="908">
      <x:c r="B908" s="22" t="str">
        <x:v>AC-0902</x:v>
      </x:c>
      <x:c r="C908" s="22" t="str">
        <x:v>non-error</x:v>
      </x:c>
      <x:c r="D908" s="22" t="str">
        <x:v>Workfront Schedule I19</x:v>
      </x:c>
      <x:c r="E908" s="75" t="n">
        <x:f>IF(ISERROR('Workfront Schedule'!I19),0,1)</x:f>
        <x:v>1</x:v>
      </x:c>
      <x:c r="F908" s="75" t="n">
        <x:v>1</x:v>
      </x:c>
      <x:c r="G908" s="24" t="str">
        <x:f>IF(E908=F908,"PASS","FAIL")</x:f>
        <x:v>PASS</x:v>
      </x:c>
    </x:row>
    <x:row r="909">
      <x:c r="B909" s="22" t="str">
        <x:v>AC-0903</x:v>
      </x:c>
      <x:c r="C909" s="22" t="str">
        <x:v>non-error</x:v>
      </x:c>
      <x:c r="D909" s="22" t="str">
        <x:v>Workfront Schedule J19</x:v>
      </x:c>
      <x:c r="E909" s="75" t="n">
        <x:f>IF(ISERROR('Workfront Schedule'!J19),0,1)</x:f>
        <x:v>1</x:v>
      </x:c>
      <x:c r="F909" s="75" t="n">
        <x:v>1</x:v>
      </x:c>
      <x:c r="G909" s="24" t="str">
        <x:f>IF(E909=F909,"PASS","FAIL")</x:f>
        <x:v>PASS</x:v>
      </x:c>
    </x:row>
    <x:row r="910">
      <x:c r="B910" s="22" t="str">
        <x:v>AC-0904</x:v>
      </x:c>
      <x:c r="C910" s="22" t="str">
        <x:v>non-error</x:v>
      </x:c>
      <x:c r="D910" s="22" t="str">
        <x:v>Workfront Schedule K19</x:v>
      </x:c>
      <x:c r="E910" s="75" t="n">
        <x:f>IF(ISERROR('Workfront Schedule'!K19),0,1)</x:f>
        <x:v>1</x:v>
      </x:c>
      <x:c r="F910" s="75" t="n">
        <x:v>1</x:v>
      </x:c>
      <x:c r="G910" s="24" t="str">
        <x:f>IF(E910=F910,"PASS","FAIL")</x:f>
        <x:v>PASS</x:v>
      </x:c>
    </x:row>
    <x:row r="911">
      <x:c r="B911" s="22" t="str">
        <x:v>AC-0905</x:v>
      </x:c>
      <x:c r="C911" s="22" t="str">
        <x:v>non-error</x:v>
      </x:c>
      <x:c r="D911" s="22" t="str">
        <x:v>Workfront Schedule L19</x:v>
      </x:c>
      <x:c r="E911" s="75" t="n">
        <x:f>IF(ISERROR('Workfront Schedule'!L19),0,1)</x:f>
        <x:v>1</x:v>
      </x:c>
      <x:c r="F911" s="75" t="n">
        <x:v>1</x:v>
      </x:c>
      <x:c r="G911" s="24" t="str">
        <x:f>IF(E911=F911,"PASS","FAIL")</x:f>
        <x:v>PASS</x:v>
      </x:c>
    </x:row>
    <x:row r="912">
      <x:c r="B912" s="22" t="str">
        <x:v>AC-0906</x:v>
      </x:c>
      <x:c r="C912" s="22" t="str">
        <x:v>non-error</x:v>
      </x:c>
      <x:c r="D912" s="22" t="str">
        <x:v>Workfront Schedule M19</x:v>
      </x:c>
      <x:c r="E912" s="75" t="n">
        <x:f>IF(ISERROR('Workfront Schedule'!M19),0,1)</x:f>
        <x:v>1</x:v>
      </x:c>
      <x:c r="F912" s="75" t="n">
        <x:v>1</x:v>
      </x:c>
      <x:c r="G912" s="24" t="str">
        <x:f>IF(E912=F912,"PASS","FAIL")</x:f>
        <x:v>PASS</x:v>
      </x:c>
    </x:row>
    <x:row r="913">
      <x:c r="B913" s="22" t="str">
        <x:v>AC-0907</x:v>
      </x:c>
      <x:c r="C913" s="22" t="str">
        <x:v>non-error</x:v>
      </x:c>
      <x:c r="D913" s="22" t="str">
        <x:v>Workfront Schedule N19</x:v>
      </x:c>
      <x:c r="E913" s="75" t="n">
        <x:f>IF(ISERROR('Workfront Schedule'!N19),0,1)</x:f>
        <x:v>1</x:v>
      </x:c>
      <x:c r="F913" s="75" t="n">
        <x:v>1</x:v>
      </x:c>
      <x:c r="G913" s="24" t="str">
        <x:f>IF(E913=F913,"PASS","FAIL")</x:f>
        <x:v>PASS</x:v>
      </x:c>
    </x:row>
    <x:row r="914">
      <x:c r="B914" s="22" t="str">
        <x:v>AC-0908</x:v>
      </x:c>
      <x:c r="C914" s="22" t="str">
        <x:v>non-error</x:v>
      </x:c>
      <x:c r="D914" s="22" t="str">
        <x:v>Workfront Schedule O19</x:v>
      </x:c>
      <x:c r="E914" s="75" t="n">
        <x:f>IF(ISERROR('Workfront Schedule'!O19),0,1)</x:f>
        <x:v>1</x:v>
      </x:c>
      <x:c r="F914" s="75" t="n">
        <x:v>1</x:v>
      </x:c>
      <x:c r="G914" s="24" t="str">
        <x:f>IF(E914=F914,"PASS","FAIL")</x:f>
        <x:v>PASS</x:v>
      </x:c>
    </x:row>
    <x:row r="915">
      <x:c r="B915" s="22" t="str">
        <x:v>AC-0909</x:v>
      </x:c>
      <x:c r="C915" s="22" t="str">
        <x:v>non-error</x:v>
      </x:c>
      <x:c r="D915" s="22" t="str">
        <x:v>Workfront Schedule P19</x:v>
      </x:c>
      <x:c r="E915" s="75" t="n">
        <x:f>IF(ISERROR('Workfront Schedule'!P19),0,1)</x:f>
        <x:v>1</x:v>
      </x:c>
      <x:c r="F915" s="75" t="n">
        <x:v>1</x:v>
      </x:c>
      <x:c r="G915" s="24" t="str">
        <x:f>IF(E915=F915,"PASS","FAIL")</x:f>
        <x:v>PASS</x:v>
      </x:c>
    </x:row>
    <x:row r="916">
      <x:c r="B916" s="22" t="str">
        <x:v>AC-0910</x:v>
      </x:c>
      <x:c r="C916" s="22" t="str">
        <x:v>non-error</x:v>
      </x:c>
      <x:c r="D916" s="22" t="str">
        <x:v>Workfront Schedule G20</x:v>
      </x:c>
      <x:c r="E916" s="75" t="n">
        <x:f>IF(ISERROR('Workfront Schedule'!G20),0,1)</x:f>
        <x:v>1</x:v>
      </x:c>
      <x:c r="F916" s="75" t="n">
        <x:v>1</x:v>
      </x:c>
      <x:c r="G916" s="24" t="str">
        <x:f>IF(E916=F916,"PASS","FAIL")</x:f>
        <x:v>PASS</x:v>
      </x:c>
    </x:row>
    <x:row r="917">
      <x:c r="B917" s="22" t="str">
        <x:v>AC-0911</x:v>
      </x:c>
      <x:c r="C917" s="22" t="str">
        <x:v>non-error</x:v>
      </x:c>
      <x:c r="D917" s="22" t="str">
        <x:v>Workfront Schedule H20</x:v>
      </x:c>
      <x:c r="E917" s="75" t="n">
        <x:f>IF(ISERROR('Workfront Schedule'!H20),0,1)</x:f>
        <x:v>1</x:v>
      </x:c>
      <x:c r="F917" s="75" t="n">
        <x:v>1</x:v>
      </x:c>
      <x:c r="G917" s="24" t="str">
        <x:f>IF(E917=F917,"PASS","FAIL")</x:f>
        <x:v>PASS</x:v>
      </x:c>
    </x:row>
    <x:row r="918">
      <x:c r="B918" s="22" t="str">
        <x:v>AC-0912</x:v>
      </x:c>
      <x:c r="C918" s="22" t="str">
        <x:v>non-error</x:v>
      </x:c>
      <x:c r="D918" s="22" t="str">
        <x:v>Workfront Schedule I20</x:v>
      </x:c>
      <x:c r="E918" s="75" t="n">
        <x:f>IF(ISERROR('Workfront Schedule'!I20),0,1)</x:f>
        <x:v>1</x:v>
      </x:c>
      <x:c r="F918" s="75" t="n">
        <x:v>1</x:v>
      </x:c>
      <x:c r="G918" s="24" t="str">
        <x:f>IF(E918=F918,"PASS","FAIL")</x:f>
        <x:v>PASS</x:v>
      </x:c>
    </x:row>
    <x:row r="919">
      <x:c r="B919" s="22" t="str">
        <x:v>AC-0913</x:v>
      </x:c>
      <x:c r="C919" s="22" t="str">
        <x:v>non-error</x:v>
      </x:c>
      <x:c r="D919" s="22" t="str">
        <x:v>Workfront Schedule J20</x:v>
      </x:c>
      <x:c r="E919" s="75" t="n">
        <x:f>IF(ISERROR('Workfront Schedule'!J20),0,1)</x:f>
        <x:v>1</x:v>
      </x:c>
      <x:c r="F919" s="75" t="n">
        <x:v>1</x:v>
      </x:c>
      <x:c r="G919" s="24" t="str">
        <x:f>IF(E919=F919,"PASS","FAIL")</x:f>
        <x:v>PASS</x:v>
      </x:c>
    </x:row>
    <x:row r="920">
      <x:c r="B920" s="22" t="str">
        <x:v>AC-0914</x:v>
      </x:c>
      <x:c r="C920" s="22" t="str">
        <x:v>non-error</x:v>
      </x:c>
      <x:c r="D920" s="22" t="str">
        <x:v>Workfront Schedule K20</x:v>
      </x:c>
      <x:c r="E920" s="75" t="n">
        <x:f>IF(ISERROR('Workfront Schedule'!K20),0,1)</x:f>
        <x:v>1</x:v>
      </x:c>
      <x:c r="F920" s="75" t="n">
        <x:v>1</x:v>
      </x:c>
      <x:c r="G920" s="24" t="str">
        <x:f>IF(E920=F920,"PASS","FAIL")</x:f>
        <x:v>PASS</x:v>
      </x:c>
    </x:row>
    <x:row r="921">
      <x:c r="B921" s="22" t="str">
        <x:v>AC-0915</x:v>
      </x:c>
      <x:c r="C921" s="22" t="str">
        <x:v>non-error</x:v>
      </x:c>
      <x:c r="D921" s="22" t="str">
        <x:v>Workfront Schedule L20</x:v>
      </x:c>
      <x:c r="E921" s="75" t="n">
        <x:f>IF(ISERROR('Workfront Schedule'!L20),0,1)</x:f>
        <x:v>1</x:v>
      </x:c>
      <x:c r="F921" s="75" t="n">
        <x:v>1</x:v>
      </x:c>
      <x:c r="G921" s="24" t="str">
        <x:f>IF(E921=F921,"PASS","FAIL")</x:f>
        <x:v>PASS</x:v>
      </x:c>
    </x:row>
    <x:row r="922">
      <x:c r="B922" s="22" t="str">
        <x:v>AC-0916</x:v>
      </x:c>
      <x:c r="C922" s="22" t="str">
        <x:v>non-error</x:v>
      </x:c>
      <x:c r="D922" s="22" t="str">
        <x:v>Workfront Schedule M20</x:v>
      </x:c>
      <x:c r="E922" s="75" t="n">
        <x:f>IF(ISERROR('Workfront Schedule'!M20),0,1)</x:f>
        <x:v>1</x:v>
      </x:c>
      <x:c r="F922" s="75" t="n">
        <x:v>1</x:v>
      </x:c>
      <x:c r="G922" s="24" t="str">
        <x:f>IF(E922=F922,"PASS","FAIL")</x:f>
        <x:v>PASS</x:v>
      </x:c>
    </x:row>
    <x:row r="923">
      <x:c r="B923" s="22" t="str">
        <x:v>AC-0917</x:v>
      </x:c>
      <x:c r="C923" s="22" t="str">
        <x:v>non-error</x:v>
      </x:c>
      <x:c r="D923" s="22" t="str">
        <x:v>Workfront Schedule N20</x:v>
      </x:c>
      <x:c r="E923" s="75" t="n">
        <x:f>IF(ISERROR('Workfront Schedule'!N20),0,1)</x:f>
        <x:v>1</x:v>
      </x:c>
      <x:c r="F923" s="75" t="n">
        <x:v>1</x:v>
      </x:c>
      <x:c r="G923" s="24" t="str">
        <x:f>IF(E923=F923,"PASS","FAIL")</x:f>
        <x:v>PASS</x:v>
      </x:c>
    </x:row>
    <x:row r="924">
      <x:c r="B924" s="22" t="str">
        <x:v>AC-0918</x:v>
      </x:c>
      <x:c r="C924" s="22" t="str">
        <x:v>non-error</x:v>
      </x:c>
      <x:c r="D924" s="22" t="str">
        <x:v>Workfront Schedule O20</x:v>
      </x:c>
      <x:c r="E924" s="75" t="n">
        <x:f>IF(ISERROR('Workfront Schedule'!O20),0,1)</x:f>
        <x:v>1</x:v>
      </x:c>
      <x:c r="F924" s="75" t="n">
        <x:v>1</x:v>
      </x:c>
      <x:c r="G924" s="24" t="str">
        <x:f>IF(E924=F924,"PASS","FAIL")</x:f>
        <x:v>PASS</x:v>
      </x:c>
    </x:row>
    <x:row r="925">
      <x:c r="B925" s="22" t="str">
        <x:v>AC-0919</x:v>
      </x:c>
      <x:c r="C925" s="22" t="str">
        <x:v>non-error</x:v>
      </x:c>
      <x:c r="D925" s="22" t="str">
        <x:v>Workfront Schedule P20</x:v>
      </x:c>
      <x:c r="E925" s="75" t="n">
        <x:f>IF(ISERROR('Workfront Schedule'!P20),0,1)</x:f>
        <x:v>1</x:v>
      </x:c>
      <x:c r="F925" s="75" t="n">
        <x:v>1</x:v>
      </x:c>
      <x:c r="G925" s="24" t="str">
        <x:f>IF(E925=F925,"PASS","FAIL")</x:f>
        <x:v>PASS</x:v>
      </x:c>
    </x:row>
    <x:row r="926">
      <x:c r="B926" s="22" t="str">
        <x:v>AC-0920</x:v>
      </x:c>
      <x:c r="C926" s="22" t="str">
        <x:v>non-error</x:v>
      </x:c>
      <x:c r="D926" s="22" t="str">
        <x:v>Workfront Schedule G21</x:v>
      </x:c>
      <x:c r="E926" s="75" t="n">
        <x:f>IF(ISERROR('Workfront Schedule'!G21),0,1)</x:f>
        <x:v>1</x:v>
      </x:c>
      <x:c r="F926" s="75" t="n">
        <x:v>1</x:v>
      </x:c>
      <x:c r="G926" s="24" t="str">
        <x:f>IF(E926=F926,"PASS","FAIL")</x:f>
        <x:v>PASS</x:v>
      </x:c>
    </x:row>
    <x:row r="927">
      <x:c r="B927" s="22" t="str">
        <x:v>AC-0921</x:v>
      </x:c>
      <x:c r="C927" s="22" t="str">
        <x:v>non-error</x:v>
      </x:c>
      <x:c r="D927" s="22" t="str">
        <x:v>Workfront Schedule H21</x:v>
      </x:c>
      <x:c r="E927" s="75" t="n">
        <x:f>IF(ISERROR('Workfront Schedule'!H21),0,1)</x:f>
        <x:v>1</x:v>
      </x:c>
      <x:c r="F927" s="75" t="n">
        <x:v>1</x:v>
      </x:c>
      <x:c r="G927" s="24" t="str">
        <x:f>IF(E927=F927,"PASS","FAIL")</x:f>
        <x:v>PASS</x:v>
      </x:c>
    </x:row>
    <x:row r="928">
      <x:c r="B928" s="22" t="str">
        <x:v>AC-0922</x:v>
      </x:c>
      <x:c r="C928" s="22" t="str">
        <x:v>non-error</x:v>
      </x:c>
      <x:c r="D928" s="22" t="str">
        <x:v>Workfront Schedule I21</x:v>
      </x:c>
      <x:c r="E928" s="75" t="n">
        <x:f>IF(ISERROR('Workfront Schedule'!I21),0,1)</x:f>
        <x:v>1</x:v>
      </x:c>
      <x:c r="F928" s="75" t="n">
        <x:v>1</x:v>
      </x:c>
      <x:c r="G928" s="24" t="str">
        <x:f>IF(E928=F928,"PASS","FAIL")</x:f>
        <x:v>PASS</x:v>
      </x:c>
    </x:row>
    <x:row r="929">
      <x:c r="B929" s="22" t="str">
        <x:v>AC-0923</x:v>
      </x:c>
      <x:c r="C929" s="22" t="str">
        <x:v>non-error</x:v>
      </x:c>
      <x:c r="D929" s="22" t="str">
        <x:v>Workfront Schedule J21</x:v>
      </x:c>
      <x:c r="E929" s="75" t="n">
        <x:f>IF(ISERROR('Workfront Schedule'!J21),0,1)</x:f>
        <x:v>1</x:v>
      </x:c>
      <x:c r="F929" s="75" t="n">
        <x:v>1</x:v>
      </x:c>
      <x:c r="G929" s="24" t="str">
        <x:f>IF(E929=F929,"PASS","FAIL")</x:f>
        <x:v>PASS</x:v>
      </x:c>
    </x:row>
    <x:row r="930">
      <x:c r="B930" s="22" t="str">
        <x:v>AC-0924</x:v>
      </x:c>
      <x:c r="C930" s="22" t="str">
        <x:v>non-error</x:v>
      </x:c>
      <x:c r="D930" s="22" t="str">
        <x:v>Workfront Schedule K21</x:v>
      </x:c>
      <x:c r="E930" s="75" t="n">
        <x:f>IF(ISERROR('Workfront Schedule'!K21),0,1)</x:f>
        <x:v>1</x:v>
      </x:c>
      <x:c r="F930" s="75" t="n">
        <x:v>1</x:v>
      </x:c>
      <x:c r="G930" s="24" t="str">
        <x:f>IF(E930=F930,"PASS","FAIL")</x:f>
        <x:v>PASS</x:v>
      </x:c>
    </x:row>
    <x:row r="931">
      <x:c r="B931" s="22" t="str">
        <x:v>AC-0925</x:v>
      </x:c>
      <x:c r="C931" s="22" t="str">
        <x:v>non-error</x:v>
      </x:c>
      <x:c r="D931" s="22" t="str">
        <x:v>Workfront Schedule L21</x:v>
      </x:c>
      <x:c r="E931" s="75" t="n">
        <x:f>IF(ISERROR('Workfront Schedule'!L21),0,1)</x:f>
        <x:v>1</x:v>
      </x:c>
      <x:c r="F931" s="75" t="n">
        <x:v>1</x:v>
      </x:c>
      <x:c r="G931" s="24" t="str">
        <x:f>IF(E931=F931,"PASS","FAIL")</x:f>
        <x:v>PASS</x:v>
      </x:c>
    </x:row>
    <x:row r="932">
      <x:c r="B932" s="22" t="str">
        <x:v>AC-0926</x:v>
      </x:c>
      <x:c r="C932" s="22" t="str">
        <x:v>non-error</x:v>
      </x:c>
      <x:c r="D932" s="22" t="str">
        <x:v>Workfront Schedule M21</x:v>
      </x:c>
      <x:c r="E932" s="75" t="n">
        <x:f>IF(ISERROR('Workfront Schedule'!M21),0,1)</x:f>
        <x:v>1</x:v>
      </x:c>
      <x:c r="F932" s="75" t="n">
        <x:v>1</x:v>
      </x:c>
      <x:c r="G932" s="24" t="str">
        <x:f>IF(E932=F932,"PASS","FAIL")</x:f>
        <x:v>PASS</x:v>
      </x:c>
    </x:row>
    <x:row r="933">
      <x:c r="B933" s="22" t="str">
        <x:v>AC-0927</x:v>
      </x:c>
      <x:c r="C933" s="22" t="str">
        <x:v>non-error</x:v>
      </x:c>
      <x:c r="D933" s="22" t="str">
        <x:v>Workfront Schedule N21</x:v>
      </x:c>
      <x:c r="E933" s="75" t="n">
        <x:f>IF(ISERROR('Workfront Schedule'!N21),0,1)</x:f>
        <x:v>1</x:v>
      </x:c>
      <x:c r="F933" s="75" t="n">
        <x:v>1</x:v>
      </x:c>
      <x:c r="G933" s="24" t="str">
        <x:f>IF(E933=F933,"PASS","FAIL")</x:f>
        <x:v>PASS</x:v>
      </x:c>
    </x:row>
    <x:row r="934">
      <x:c r="B934" s="22" t="str">
        <x:v>AC-0928</x:v>
      </x:c>
      <x:c r="C934" s="22" t="str">
        <x:v>non-error</x:v>
      </x:c>
      <x:c r="D934" s="22" t="str">
        <x:v>Workfront Schedule O21</x:v>
      </x:c>
      <x:c r="E934" s="75" t="n">
        <x:f>IF(ISERROR('Workfront Schedule'!O21),0,1)</x:f>
        <x:v>1</x:v>
      </x:c>
      <x:c r="F934" s="75" t="n">
        <x:v>1</x:v>
      </x:c>
      <x:c r="G934" s="24" t="str">
        <x:f>IF(E934=F934,"PASS","FAIL")</x:f>
        <x:v>PASS</x:v>
      </x:c>
    </x:row>
    <x:row r="935">
      <x:c r="B935" s="22" t="str">
        <x:v>AC-0929</x:v>
      </x:c>
      <x:c r="C935" s="22" t="str">
        <x:v>non-error</x:v>
      </x:c>
      <x:c r="D935" s="22" t="str">
        <x:v>Workfront Schedule P21</x:v>
      </x:c>
      <x:c r="E935" s="75" t="n">
        <x:f>IF(ISERROR('Workfront Schedule'!P21),0,1)</x:f>
        <x:v>1</x:v>
      </x:c>
      <x:c r="F935" s="75" t="n">
        <x:v>1</x:v>
      </x:c>
      <x:c r="G935" s="24" t="str">
        <x:f>IF(E935=F935,"PASS","FAIL")</x:f>
        <x:v>PASS</x:v>
      </x:c>
    </x:row>
    <x:row r="936">
      <x:c r="B936" s="22" t="str">
        <x:v>AC-0930</x:v>
      </x:c>
      <x:c r="C936" s="22" t="str">
        <x:v>non-error</x:v>
      </x:c>
      <x:c r="D936" s="22" t="str">
        <x:v>Workfront Schedule G22</x:v>
      </x:c>
      <x:c r="E936" s="75" t="n">
        <x:f>IF(ISERROR('Workfront Schedule'!G22),0,1)</x:f>
        <x:v>1</x:v>
      </x:c>
      <x:c r="F936" s="75" t="n">
        <x:v>1</x:v>
      </x:c>
      <x:c r="G936" s="24" t="str">
        <x:f>IF(E936=F936,"PASS","FAIL")</x:f>
        <x:v>PASS</x:v>
      </x:c>
    </x:row>
    <x:row r="937">
      <x:c r="B937" s="22" t="str">
        <x:v>AC-0931</x:v>
      </x:c>
      <x:c r="C937" s="22" t="str">
        <x:v>non-error</x:v>
      </x:c>
      <x:c r="D937" s="22" t="str">
        <x:v>Workfront Schedule H22</x:v>
      </x:c>
      <x:c r="E937" s="75" t="n">
        <x:f>IF(ISERROR('Workfront Schedule'!H22),0,1)</x:f>
        <x:v>1</x:v>
      </x:c>
      <x:c r="F937" s="75" t="n">
        <x:v>1</x:v>
      </x:c>
      <x:c r="G937" s="24" t="str">
        <x:f>IF(E937=F937,"PASS","FAIL")</x:f>
        <x:v>PASS</x:v>
      </x:c>
    </x:row>
    <x:row r="938">
      <x:c r="B938" s="22" t="str">
        <x:v>AC-0932</x:v>
      </x:c>
      <x:c r="C938" s="22" t="str">
        <x:v>non-error</x:v>
      </x:c>
      <x:c r="D938" s="22" t="str">
        <x:v>Workfront Schedule I22</x:v>
      </x:c>
      <x:c r="E938" s="75" t="n">
        <x:f>IF(ISERROR('Workfront Schedule'!I22),0,1)</x:f>
        <x:v>1</x:v>
      </x:c>
      <x:c r="F938" s="75" t="n">
        <x:v>1</x:v>
      </x:c>
      <x:c r="G938" s="24" t="str">
        <x:f>IF(E938=F938,"PASS","FAIL")</x:f>
        <x:v>PASS</x:v>
      </x:c>
    </x:row>
    <x:row r="939">
      <x:c r="B939" s="22" t="str">
        <x:v>AC-0933</x:v>
      </x:c>
      <x:c r="C939" s="22" t="str">
        <x:v>non-error</x:v>
      </x:c>
      <x:c r="D939" s="22" t="str">
        <x:v>Workfront Schedule J22</x:v>
      </x:c>
      <x:c r="E939" s="75" t="n">
        <x:f>IF(ISERROR('Workfront Schedule'!J22),0,1)</x:f>
        <x:v>1</x:v>
      </x:c>
      <x:c r="F939" s="75" t="n">
        <x:v>1</x:v>
      </x:c>
      <x:c r="G939" s="24" t="str">
        <x:f>IF(E939=F939,"PASS","FAIL")</x:f>
        <x:v>PASS</x:v>
      </x:c>
    </x:row>
    <x:row r="940">
      <x:c r="B940" s="22" t="str">
        <x:v>AC-0934</x:v>
      </x:c>
      <x:c r="C940" s="22" t="str">
        <x:v>non-error</x:v>
      </x:c>
      <x:c r="D940" s="22" t="str">
        <x:v>Workfront Schedule K22</x:v>
      </x:c>
      <x:c r="E940" s="75" t="n">
        <x:f>IF(ISERROR('Workfront Schedule'!K22),0,1)</x:f>
        <x:v>1</x:v>
      </x:c>
      <x:c r="F940" s="75" t="n">
        <x:v>1</x:v>
      </x:c>
      <x:c r="G940" s="24" t="str">
        <x:f>IF(E940=F940,"PASS","FAIL")</x:f>
        <x:v>PASS</x:v>
      </x:c>
    </x:row>
    <x:row r="941">
      <x:c r="B941" s="22" t="str">
        <x:v>AC-0935</x:v>
      </x:c>
      <x:c r="C941" s="22" t="str">
        <x:v>non-error</x:v>
      </x:c>
      <x:c r="D941" s="22" t="str">
        <x:v>Workfront Schedule L22</x:v>
      </x:c>
      <x:c r="E941" s="75" t="n">
        <x:f>IF(ISERROR('Workfront Schedule'!L22),0,1)</x:f>
        <x:v>1</x:v>
      </x:c>
      <x:c r="F941" s="75" t="n">
        <x:v>1</x:v>
      </x:c>
      <x:c r="G941" s="24" t="str">
        <x:f>IF(E941=F941,"PASS","FAIL")</x:f>
        <x:v>PASS</x:v>
      </x:c>
    </x:row>
    <x:row r="942">
      <x:c r="B942" s="22" t="str">
        <x:v>AC-0936</x:v>
      </x:c>
      <x:c r="C942" s="22" t="str">
        <x:v>non-error</x:v>
      </x:c>
      <x:c r="D942" s="22" t="str">
        <x:v>Workfront Schedule M22</x:v>
      </x:c>
      <x:c r="E942" s="75" t="n">
        <x:f>IF(ISERROR('Workfront Schedule'!M22),0,1)</x:f>
        <x:v>1</x:v>
      </x:c>
      <x:c r="F942" s="75" t="n">
        <x:v>1</x:v>
      </x:c>
      <x:c r="G942" s="24" t="str">
        <x:f>IF(E942=F942,"PASS","FAIL")</x:f>
        <x:v>PASS</x:v>
      </x:c>
    </x:row>
    <x:row r="943">
      <x:c r="B943" s="22" t="str">
        <x:v>AC-0937</x:v>
      </x:c>
      <x:c r="C943" s="22" t="str">
        <x:v>non-error</x:v>
      </x:c>
      <x:c r="D943" s="22" t="str">
        <x:v>Workfront Schedule N22</x:v>
      </x:c>
      <x:c r="E943" s="75" t="n">
        <x:f>IF(ISERROR('Workfront Schedule'!N22),0,1)</x:f>
        <x:v>1</x:v>
      </x:c>
      <x:c r="F943" s="75" t="n">
        <x:v>1</x:v>
      </x:c>
      <x:c r="G943" s="24" t="str">
        <x:f>IF(E943=F943,"PASS","FAIL")</x:f>
        <x:v>PASS</x:v>
      </x:c>
    </x:row>
    <x:row r="944">
      <x:c r="B944" s="22" t="str">
        <x:v>AC-0938</x:v>
      </x:c>
      <x:c r="C944" s="22" t="str">
        <x:v>non-error</x:v>
      </x:c>
      <x:c r="D944" s="22" t="str">
        <x:v>Workfront Schedule O22</x:v>
      </x:c>
      <x:c r="E944" s="75" t="n">
        <x:f>IF(ISERROR('Workfront Schedule'!O22),0,1)</x:f>
        <x:v>1</x:v>
      </x:c>
      <x:c r="F944" s="75" t="n">
        <x:v>1</x:v>
      </x:c>
      <x:c r="G944" s="24" t="str">
        <x:f>IF(E944=F944,"PASS","FAIL")</x:f>
        <x:v>PASS</x:v>
      </x:c>
    </x:row>
    <x:row r="945">
      <x:c r="B945" s="22" t="str">
        <x:v>AC-0939</x:v>
      </x:c>
      <x:c r="C945" s="22" t="str">
        <x:v>non-error</x:v>
      </x:c>
      <x:c r="D945" s="22" t="str">
        <x:v>Workfront Schedule P22</x:v>
      </x:c>
      <x:c r="E945" s="75" t="n">
        <x:f>IF(ISERROR('Workfront Schedule'!P22),0,1)</x:f>
        <x:v>1</x:v>
      </x:c>
      <x:c r="F945" s="75" t="n">
        <x:v>1</x:v>
      </x:c>
      <x:c r="G945" s="24" t="str">
        <x:f>IF(E945=F945,"PASS","FAIL")</x:f>
        <x:v>PASS</x:v>
      </x:c>
    </x:row>
    <x:row r="946">
      <x:c r="B946" s="22" t="str">
        <x:v>AC-0940</x:v>
      </x:c>
      <x:c r="C946" s="22" t="str">
        <x:v>non-error</x:v>
      </x:c>
      <x:c r="D946" s="22" t="str">
        <x:v>Workfront Schedule G23</x:v>
      </x:c>
      <x:c r="E946" s="75" t="n">
        <x:f>IF(ISERROR('Workfront Schedule'!G23),0,1)</x:f>
        <x:v>1</x:v>
      </x:c>
      <x:c r="F946" s="75" t="n">
        <x:v>1</x:v>
      </x:c>
      <x:c r="G946" s="24" t="str">
        <x:f>IF(E946=F946,"PASS","FAIL")</x:f>
        <x:v>PASS</x:v>
      </x:c>
    </x:row>
    <x:row r="947">
      <x:c r="B947" s="22" t="str">
        <x:v>AC-0941</x:v>
      </x:c>
      <x:c r="C947" s="22" t="str">
        <x:v>non-error</x:v>
      </x:c>
      <x:c r="D947" s="22" t="str">
        <x:v>Workfront Schedule H23</x:v>
      </x:c>
      <x:c r="E947" s="75" t="n">
        <x:f>IF(ISERROR('Workfront Schedule'!H23),0,1)</x:f>
        <x:v>1</x:v>
      </x:c>
      <x:c r="F947" s="75" t="n">
        <x:v>1</x:v>
      </x:c>
      <x:c r="G947" s="24" t="str">
        <x:f>IF(E947=F947,"PASS","FAIL")</x:f>
        <x:v>PASS</x:v>
      </x:c>
    </x:row>
    <x:row r="948">
      <x:c r="B948" s="22" t="str">
        <x:v>AC-0942</x:v>
      </x:c>
      <x:c r="C948" s="22" t="str">
        <x:v>non-error</x:v>
      </x:c>
      <x:c r="D948" s="22" t="str">
        <x:v>Workfront Schedule I23</x:v>
      </x:c>
      <x:c r="E948" s="75" t="n">
        <x:f>IF(ISERROR('Workfront Schedule'!I23),0,1)</x:f>
        <x:v>1</x:v>
      </x:c>
      <x:c r="F948" s="75" t="n">
        <x:v>1</x:v>
      </x:c>
      <x:c r="G948" s="24" t="str">
        <x:f>IF(E948=F948,"PASS","FAIL")</x:f>
        <x:v>PASS</x:v>
      </x:c>
    </x:row>
    <x:row r="949">
      <x:c r="B949" s="22" t="str">
        <x:v>AC-0943</x:v>
      </x:c>
      <x:c r="C949" s="22" t="str">
        <x:v>non-error</x:v>
      </x:c>
      <x:c r="D949" s="22" t="str">
        <x:v>Workfront Schedule J23</x:v>
      </x:c>
      <x:c r="E949" s="75" t="n">
        <x:f>IF(ISERROR('Workfront Schedule'!J23),0,1)</x:f>
        <x:v>1</x:v>
      </x:c>
      <x:c r="F949" s="75" t="n">
        <x:v>1</x:v>
      </x:c>
      <x:c r="G949" s="24" t="str">
        <x:f>IF(E949=F949,"PASS","FAIL")</x:f>
        <x:v>PASS</x:v>
      </x:c>
    </x:row>
    <x:row r="950">
      <x:c r="B950" s="22" t="str">
        <x:v>AC-0944</x:v>
      </x:c>
      <x:c r="C950" s="22" t="str">
        <x:v>non-error</x:v>
      </x:c>
      <x:c r="D950" s="22" t="str">
        <x:v>Workfront Schedule K23</x:v>
      </x:c>
      <x:c r="E950" s="75" t="n">
        <x:f>IF(ISERROR('Workfront Schedule'!K23),0,1)</x:f>
        <x:v>1</x:v>
      </x:c>
      <x:c r="F950" s="75" t="n">
        <x:v>1</x:v>
      </x:c>
      <x:c r="G950" s="24" t="str">
        <x:f>IF(E950=F950,"PASS","FAIL")</x:f>
        <x:v>PASS</x:v>
      </x:c>
    </x:row>
    <x:row r="951">
      <x:c r="B951" s="22" t="str">
        <x:v>AC-0945</x:v>
      </x:c>
      <x:c r="C951" s="22" t="str">
        <x:v>non-error</x:v>
      </x:c>
      <x:c r="D951" s="22" t="str">
        <x:v>Workfront Schedule L23</x:v>
      </x:c>
      <x:c r="E951" s="75" t="n">
        <x:f>IF(ISERROR('Workfront Schedule'!L23),0,1)</x:f>
        <x:v>1</x:v>
      </x:c>
      <x:c r="F951" s="75" t="n">
        <x:v>1</x:v>
      </x:c>
      <x:c r="G951" s="24" t="str">
        <x:f>IF(E951=F951,"PASS","FAIL")</x:f>
        <x:v>PASS</x:v>
      </x:c>
    </x:row>
    <x:row r="952">
      <x:c r="B952" s="22" t="str">
        <x:v>AC-0946</x:v>
      </x:c>
      <x:c r="C952" s="22" t="str">
        <x:v>non-error</x:v>
      </x:c>
      <x:c r="D952" s="22" t="str">
        <x:v>Workfront Schedule M23</x:v>
      </x:c>
      <x:c r="E952" s="75" t="n">
        <x:f>IF(ISERROR('Workfront Schedule'!M23),0,1)</x:f>
        <x:v>1</x:v>
      </x:c>
      <x:c r="F952" s="75" t="n">
        <x:v>1</x:v>
      </x:c>
      <x:c r="G952" s="24" t="str">
        <x:f>IF(E952=F952,"PASS","FAIL")</x:f>
        <x:v>PASS</x:v>
      </x:c>
    </x:row>
    <x:row r="953">
      <x:c r="B953" s="22" t="str">
        <x:v>AC-0947</x:v>
      </x:c>
      <x:c r="C953" s="22" t="str">
        <x:v>non-error</x:v>
      </x:c>
      <x:c r="D953" s="22" t="str">
        <x:v>Workfront Schedule N23</x:v>
      </x:c>
      <x:c r="E953" s="75" t="n">
        <x:f>IF(ISERROR('Workfront Schedule'!N23),0,1)</x:f>
        <x:v>1</x:v>
      </x:c>
      <x:c r="F953" s="75" t="n">
        <x:v>1</x:v>
      </x:c>
      <x:c r="G953" s="24" t="str">
        <x:f>IF(E953=F953,"PASS","FAIL")</x:f>
        <x:v>PASS</x:v>
      </x:c>
    </x:row>
    <x:row r="954">
      <x:c r="B954" s="22" t="str">
        <x:v>AC-0948</x:v>
      </x:c>
      <x:c r="C954" s="22" t="str">
        <x:v>non-error</x:v>
      </x:c>
      <x:c r="D954" s="22" t="str">
        <x:v>Workfront Schedule O23</x:v>
      </x:c>
      <x:c r="E954" s="75" t="n">
        <x:f>IF(ISERROR('Workfront Schedule'!O23),0,1)</x:f>
        <x:v>1</x:v>
      </x:c>
      <x:c r="F954" s="75" t="n">
        <x:v>1</x:v>
      </x:c>
      <x:c r="G954" s="24" t="str">
        <x:f>IF(E954=F954,"PASS","FAIL")</x:f>
        <x:v>PASS</x:v>
      </x:c>
    </x:row>
    <x:row r="955">
      <x:c r="B955" s="22" t="str">
        <x:v>AC-0949</x:v>
      </x:c>
      <x:c r="C955" s="22" t="str">
        <x:v>non-error</x:v>
      </x:c>
      <x:c r="D955" s="22" t="str">
        <x:v>Workfront Schedule P23</x:v>
      </x:c>
      <x:c r="E955" s="75" t="n">
        <x:f>IF(ISERROR('Workfront Schedule'!P23),0,1)</x:f>
        <x:v>1</x:v>
      </x:c>
      <x:c r="F955" s="75" t="n">
        <x:v>1</x:v>
      </x:c>
      <x:c r="G955" s="24" t="str">
        <x:f>IF(E955=F955,"PASS","FAIL")</x:f>
        <x:v>PASS</x:v>
      </x:c>
    </x:row>
    <x:row r="956">
      <x:c r="B956" s="22" t="str">
        <x:v>AC-0950</x:v>
      </x:c>
      <x:c r="C956" s="22" t="str">
        <x:v>non-error</x:v>
      </x:c>
      <x:c r="D956" s="22" t="str">
        <x:v>Workfront Schedule G24</x:v>
      </x:c>
      <x:c r="E956" s="75" t="n">
        <x:f>IF(ISERROR('Workfront Schedule'!G24),0,1)</x:f>
        <x:v>1</x:v>
      </x:c>
      <x:c r="F956" s="75" t="n">
        <x:v>1</x:v>
      </x:c>
      <x:c r="G956" s="24" t="str">
        <x:f>IF(E956=F956,"PASS","FAIL")</x:f>
        <x:v>PASS</x:v>
      </x:c>
    </x:row>
    <x:row r="957">
      <x:c r="B957" s="22" t="str">
        <x:v>AC-0951</x:v>
      </x:c>
      <x:c r="C957" s="22" t="str">
        <x:v>non-error</x:v>
      </x:c>
      <x:c r="D957" s="22" t="str">
        <x:v>Workfront Schedule H24</x:v>
      </x:c>
      <x:c r="E957" s="75" t="n">
        <x:f>IF(ISERROR('Workfront Schedule'!H24),0,1)</x:f>
        <x:v>1</x:v>
      </x:c>
      <x:c r="F957" s="75" t="n">
        <x:v>1</x:v>
      </x:c>
      <x:c r="G957" s="24" t="str">
        <x:f>IF(E957=F957,"PASS","FAIL")</x:f>
        <x:v>PASS</x:v>
      </x:c>
    </x:row>
    <x:row r="958">
      <x:c r="B958" s="22" t="str">
        <x:v>AC-0952</x:v>
      </x:c>
      <x:c r="C958" s="22" t="str">
        <x:v>non-error</x:v>
      </x:c>
      <x:c r="D958" s="22" t="str">
        <x:v>Workfront Schedule I24</x:v>
      </x:c>
      <x:c r="E958" s="75" t="n">
        <x:f>IF(ISERROR('Workfront Schedule'!I24),0,1)</x:f>
        <x:v>1</x:v>
      </x:c>
      <x:c r="F958" s="75" t="n">
        <x:v>1</x:v>
      </x:c>
      <x:c r="G958" s="24" t="str">
        <x:f>IF(E958=F958,"PASS","FAIL")</x:f>
        <x:v>PASS</x:v>
      </x:c>
    </x:row>
    <x:row r="959">
      <x:c r="B959" s="22" t="str">
        <x:v>AC-0953</x:v>
      </x:c>
      <x:c r="C959" s="22" t="str">
        <x:v>non-error</x:v>
      </x:c>
      <x:c r="D959" s="22" t="str">
        <x:v>Workfront Schedule J24</x:v>
      </x:c>
      <x:c r="E959" s="75" t="n">
        <x:f>IF(ISERROR('Workfront Schedule'!J24),0,1)</x:f>
        <x:v>1</x:v>
      </x:c>
      <x:c r="F959" s="75" t="n">
        <x:v>1</x:v>
      </x:c>
      <x:c r="G959" s="24" t="str">
        <x:f>IF(E959=F959,"PASS","FAIL")</x:f>
        <x:v>PASS</x:v>
      </x:c>
    </x:row>
    <x:row r="960">
      <x:c r="B960" s="22" t="str">
        <x:v>AC-0954</x:v>
      </x:c>
      <x:c r="C960" s="22" t="str">
        <x:v>non-error</x:v>
      </x:c>
      <x:c r="D960" s="22" t="str">
        <x:v>Workfront Schedule K24</x:v>
      </x:c>
      <x:c r="E960" s="75" t="n">
        <x:f>IF(ISERROR('Workfront Schedule'!K24),0,1)</x:f>
        <x:v>1</x:v>
      </x:c>
      <x:c r="F960" s="75" t="n">
        <x:v>1</x:v>
      </x:c>
      <x:c r="G960" s="24" t="str">
        <x:f>IF(E960=F960,"PASS","FAIL")</x:f>
        <x:v>PASS</x:v>
      </x:c>
    </x:row>
    <x:row r="961">
      <x:c r="B961" s="22" t="str">
        <x:v>AC-0955</x:v>
      </x:c>
      <x:c r="C961" s="22" t="str">
        <x:v>non-error</x:v>
      </x:c>
      <x:c r="D961" s="22" t="str">
        <x:v>Workfront Schedule L24</x:v>
      </x:c>
      <x:c r="E961" s="75" t="n">
        <x:f>IF(ISERROR('Workfront Schedule'!L24),0,1)</x:f>
        <x:v>1</x:v>
      </x:c>
      <x:c r="F961" s="75" t="n">
        <x:v>1</x:v>
      </x:c>
      <x:c r="G961" s="24" t="str">
        <x:f>IF(E961=F961,"PASS","FAIL")</x:f>
        <x:v>PASS</x:v>
      </x:c>
    </x:row>
    <x:row r="962">
      <x:c r="B962" s="22" t="str">
        <x:v>AC-0956</x:v>
      </x:c>
      <x:c r="C962" s="22" t="str">
        <x:v>non-error</x:v>
      </x:c>
      <x:c r="D962" s="22" t="str">
        <x:v>Workfront Schedule M24</x:v>
      </x:c>
      <x:c r="E962" s="75" t="n">
        <x:f>IF(ISERROR('Workfront Schedule'!M24),0,1)</x:f>
        <x:v>1</x:v>
      </x:c>
      <x:c r="F962" s="75" t="n">
        <x:v>1</x:v>
      </x:c>
      <x:c r="G962" s="24" t="str">
        <x:f>IF(E962=F962,"PASS","FAIL")</x:f>
        <x:v>PASS</x:v>
      </x:c>
    </x:row>
    <x:row r="963">
      <x:c r="B963" s="22" t="str">
        <x:v>AC-0957</x:v>
      </x:c>
      <x:c r="C963" s="22" t="str">
        <x:v>non-error</x:v>
      </x:c>
      <x:c r="D963" s="22" t="str">
        <x:v>Workfront Schedule N24</x:v>
      </x:c>
      <x:c r="E963" s="75" t="n">
        <x:f>IF(ISERROR('Workfront Schedule'!N24),0,1)</x:f>
        <x:v>1</x:v>
      </x:c>
      <x:c r="F963" s="75" t="n">
        <x:v>1</x:v>
      </x:c>
      <x:c r="G963" s="24" t="str">
        <x:f>IF(E963=F963,"PASS","FAIL")</x:f>
        <x:v>PASS</x:v>
      </x:c>
    </x:row>
    <x:row r="964">
      <x:c r="B964" s="22" t="str">
        <x:v>AC-0958</x:v>
      </x:c>
      <x:c r="C964" s="22" t="str">
        <x:v>non-error</x:v>
      </x:c>
      <x:c r="D964" s="22" t="str">
        <x:v>Workfront Schedule O24</x:v>
      </x:c>
      <x:c r="E964" s="75" t="n">
        <x:f>IF(ISERROR('Workfront Schedule'!O24),0,1)</x:f>
        <x:v>1</x:v>
      </x:c>
      <x:c r="F964" s="75" t="n">
        <x:v>1</x:v>
      </x:c>
      <x:c r="G964" s="24" t="str">
        <x:f>IF(E964=F964,"PASS","FAIL")</x:f>
        <x:v>PASS</x:v>
      </x:c>
    </x:row>
    <x:row r="965">
      <x:c r="B965" s="22" t="str">
        <x:v>AC-0959</x:v>
      </x:c>
      <x:c r="C965" s="22" t="str">
        <x:v>non-error</x:v>
      </x:c>
      <x:c r="D965" s="22" t="str">
        <x:v>Workfront Schedule P24</x:v>
      </x:c>
      <x:c r="E965" s="75" t="n">
        <x:f>IF(ISERROR('Workfront Schedule'!P24),0,1)</x:f>
        <x:v>1</x:v>
      </x:c>
      <x:c r="F965" s="75" t="n">
        <x:v>1</x:v>
      </x:c>
      <x:c r="G965" s="24" t="str">
        <x:f>IF(E965=F965,"PASS","FAIL")</x:f>
        <x:v>PASS</x:v>
      </x:c>
    </x:row>
    <x:row r="966">
      <x:c r="B966" s="22" t="str">
        <x:v>AC-0960</x:v>
      </x:c>
      <x:c r="C966" s="22" t="str">
        <x:v>non-error</x:v>
      </x:c>
      <x:c r="D966" s="22" t="str">
        <x:v>Workfront Schedule G25</x:v>
      </x:c>
      <x:c r="E966" s="75" t="n">
        <x:f>IF(ISERROR('Workfront Schedule'!G25),0,1)</x:f>
        <x:v>1</x:v>
      </x:c>
      <x:c r="F966" s="75" t="n">
        <x:v>1</x:v>
      </x:c>
      <x:c r="G966" s="24" t="str">
        <x:f>IF(E966=F966,"PASS","FAIL")</x:f>
        <x:v>PASS</x:v>
      </x:c>
    </x:row>
    <x:row r="967">
      <x:c r="B967" s="22" t="str">
        <x:v>AC-0961</x:v>
      </x:c>
      <x:c r="C967" s="22" t="str">
        <x:v>non-error</x:v>
      </x:c>
      <x:c r="D967" s="22" t="str">
        <x:v>Workfront Schedule H25</x:v>
      </x:c>
      <x:c r="E967" s="75" t="n">
        <x:f>IF(ISERROR('Workfront Schedule'!H25),0,1)</x:f>
        <x:v>1</x:v>
      </x:c>
      <x:c r="F967" s="75" t="n">
        <x:v>1</x:v>
      </x:c>
      <x:c r="G967" s="24" t="str">
        <x:f>IF(E967=F967,"PASS","FAIL")</x:f>
        <x:v>PASS</x:v>
      </x:c>
    </x:row>
    <x:row r="968">
      <x:c r="B968" s="22" t="str">
        <x:v>AC-0962</x:v>
      </x:c>
      <x:c r="C968" s="22" t="str">
        <x:v>non-error</x:v>
      </x:c>
      <x:c r="D968" s="22" t="str">
        <x:v>Workfront Schedule I25</x:v>
      </x:c>
      <x:c r="E968" s="75" t="n">
        <x:f>IF(ISERROR('Workfront Schedule'!I25),0,1)</x:f>
        <x:v>1</x:v>
      </x:c>
      <x:c r="F968" s="75" t="n">
        <x:v>1</x:v>
      </x:c>
      <x:c r="G968" s="24" t="str">
        <x:f>IF(E968=F968,"PASS","FAIL")</x:f>
        <x:v>PASS</x:v>
      </x:c>
    </x:row>
    <x:row r="969">
      <x:c r="B969" s="22" t="str">
        <x:v>AC-0963</x:v>
      </x:c>
      <x:c r="C969" s="22" t="str">
        <x:v>non-error</x:v>
      </x:c>
      <x:c r="D969" s="22" t="str">
        <x:v>Workfront Schedule J25</x:v>
      </x:c>
      <x:c r="E969" s="75" t="n">
        <x:f>IF(ISERROR('Workfront Schedule'!J25),0,1)</x:f>
        <x:v>1</x:v>
      </x:c>
      <x:c r="F969" s="75" t="n">
        <x:v>1</x:v>
      </x:c>
      <x:c r="G969" s="24" t="str">
        <x:f>IF(E969=F969,"PASS","FAIL")</x:f>
        <x:v>PASS</x:v>
      </x:c>
    </x:row>
    <x:row r="970">
      <x:c r="B970" s="22" t="str">
        <x:v>AC-0964</x:v>
      </x:c>
      <x:c r="C970" s="22" t="str">
        <x:v>non-error</x:v>
      </x:c>
      <x:c r="D970" s="22" t="str">
        <x:v>Workfront Schedule K25</x:v>
      </x:c>
      <x:c r="E970" s="75" t="n">
        <x:f>IF(ISERROR('Workfront Schedule'!K25),0,1)</x:f>
        <x:v>1</x:v>
      </x:c>
      <x:c r="F970" s="75" t="n">
        <x:v>1</x:v>
      </x:c>
      <x:c r="G970" s="24" t="str">
        <x:f>IF(E970=F970,"PASS","FAIL")</x:f>
        <x:v>PASS</x:v>
      </x:c>
    </x:row>
    <x:row r="971">
      <x:c r="B971" s="22" t="str">
        <x:v>AC-0965</x:v>
      </x:c>
      <x:c r="C971" s="22" t="str">
        <x:v>non-error</x:v>
      </x:c>
      <x:c r="D971" s="22" t="str">
        <x:v>Workfront Schedule L25</x:v>
      </x:c>
      <x:c r="E971" s="75" t="n">
        <x:f>IF(ISERROR('Workfront Schedule'!L25),0,1)</x:f>
        <x:v>1</x:v>
      </x:c>
      <x:c r="F971" s="75" t="n">
        <x:v>1</x:v>
      </x:c>
      <x:c r="G971" s="24" t="str">
        <x:f>IF(E971=F971,"PASS","FAIL")</x:f>
        <x:v>PASS</x:v>
      </x:c>
    </x:row>
    <x:row r="972">
      <x:c r="B972" s="22" t="str">
        <x:v>AC-0966</x:v>
      </x:c>
      <x:c r="C972" s="22" t="str">
        <x:v>non-error</x:v>
      </x:c>
      <x:c r="D972" s="22" t="str">
        <x:v>Workfront Schedule M25</x:v>
      </x:c>
      <x:c r="E972" s="75" t="n">
        <x:f>IF(ISERROR('Workfront Schedule'!M25),0,1)</x:f>
        <x:v>1</x:v>
      </x:c>
      <x:c r="F972" s="75" t="n">
        <x:v>1</x:v>
      </x:c>
      <x:c r="G972" s="24" t="str">
        <x:f>IF(E972=F972,"PASS","FAIL")</x:f>
        <x:v>PASS</x:v>
      </x:c>
    </x:row>
    <x:row r="973">
      <x:c r="B973" s="22" t="str">
        <x:v>AC-0967</x:v>
      </x:c>
      <x:c r="C973" s="22" t="str">
        <x:v>non-error</x:v>
      </x:c>
      <x:c r="D973" s="22" t="str">
        <x:v>Workfront Schedule N25</x:v>
      </x:c>
      <x:c r="E973" s="75" t="n">
        <x:f>IF(ISERROR('Workfront Schedule'!N25),0,1)</x:f>
        <x:v>1</x:v>
      </x:c>
      <x:c r="F973" s="75" t="n">
        <x:v>1</x:v>
      </x:c>
      <x:c r="G973" s="24" t="str">
        <x:f>IF(E973=F973,"PASS","FAIL")</x:f>
        <x:v>PASS</x:v>
      </x:c>
    </x:row>
    <x:row r="974">
      <x:c r="B974" s="22" t="str">
        <x:v>AC-0968</x:v>
      </x:c>
      <x:c r="C974" s="22" t="str">
        <x:v>non-error</x:v>
      </x:c>
      <x:c r="D974" s="22" t="str">
        <x:v>Workfront Schedule O25</x:v>
      </x:c>
      <x:c r="E974" s="75" t="n">
        <x:f>IF(ISERROR('Workfront Schedule'!O25),0,1)</x:f>
        <x:v>1</x:v>
      </x:c>
      <x:c r="F974" s="75" t="n">
        <x:v>1</x:v>
      </x:c>
      <x:c r="G974" s="24" t="str">
        <x:f>IF(E974=F974,"PASS","FAIL")</x:f>
        <x:v>PASS</x:v>
      </x:c>
    </x:row>
    <x:row r="975">
      <x:c r="B975" s="22" t="str">
        <x:v>AC-0969</x:v>
      </x:c>
      <x:c r="C975" s="22" t="str">
        <x:v>non-error</x:v>
      </x:c>
      <x:c r="D975" s="22" t="str">
        <x:v>Workfront Schedule P25</x:v>
      </x:c>
      <x:c r="E975" s="75" t="n">
        <x:f>IF(ISERROR('Workfront Schedule'!P25),0,1)</x:f>
        <x:v>1</x:v>
      </x:c>
      <x:c r="F975" s="75" t="n">
        <x:v>1</x:v>
      </x:c>
      <x:c r="G975" s="24" t="str">
        <x:f>IF(E975=F975,"PASS","FAIL")</x:f>
        <x:v>PASS</x:v>
      </x:c>
    </x:row>
    <x:row r="976">
      <x:c r="B976" s="22" t="str">
        <x:v>AC-0970</x:v>
      </x:c>
      <x:c r="C976" s="22" t="str">
        <x:v>non-error</x:v>
      </x:c>
      <x:c r="D976" s="22" t="str">
        <x:v>Workfront Schedule G26</x:v>
      </x:c>
      <x:c r="E976" s="75" t="n">
        <x:f>IF(ISERROR('Workfront Schedule'!G26),0,1)</x:f>
        <x:v>1</x:v>
      </x:c>
      <x:c r="F976" s="75" t="n">
        <x:v>1</x:v>
      </x:c>
      <x:c r="G976" s="24" t="str">
        <x:f>IF(E976=F976,"PASS","FAIL")</x:f>
        <x:v>PASS</x:v>
      </x:c>
    </x:row>
    <x:row r="977">
      <x:c r="B977" s="22" t="str">
        <x:v>AC-0971</x:v>
      </x:c>
      <x:c r="C977" s="22" t="str">
        <x:v>non-error</x:v>
      </x:c>
      <x:c r="D977" s="22" t="str">
        <x:v>Workfront Schedule H26</x:v>
      </x:c>
      <x:c r="E977" s="75" t="n">
        <x:f>IF(ISERROR('Workfront Schedule'!H26),0,1)</x:f>
        <x:v>1</x:v>
      </x:c>
      <x:c r="F977" s="75" t="n">
        <x:v>1</x:v>
      </x:c>
      <x:c r="G977" s="24" t="str">
        <x:f>IF(E977=F977,"PASS","FAIL")</x:f>
        <x:v>PASS</x:v>
      </x:c>
    </x:row>
    <x:row r="978">
      <x:c r="B978" s="22" t="str">
        <x:v>AC-0972</x:v>
      </x:c>
      <x:c r="C978" s="22" t="str">
        <x:v>non-error</x:v>
      </x:c>
      <x:c r="D978" s="22" t="str">
        <x:v>Workfront Schedule I26</x:v>
      </x:c>
      <x:c r="E978" s="75" t="n">
        <x:f>IF(ISERROR('Workfront Schedule'!I26),0,1)</x:f>
        <x:v>1</x:v>
      </x:c>
      <x:c r="F978" s="75" t="n">
        <x:v>1</x:v>
      </x:c>
      <x:c r="G978" s="24" t="str">
        <x:f>IF(E978=F978,"PASS","FAIL")</x:f>
        <x:v>PASS</x:v>
      </x:c>
    </x:row>
    <x:row r="979">
      <x:c r="B979" s="22" t="str">
        <x:v>AC-0973</x:v>
      </x:c>
      <x:c r="C979" s="22" t="str">
        <x:v>non-error</x:v>
      </x:c>
      <x:c r="D979" s="22" t="str">
        <x:v>Workfront Schedule J26</x:v>
      </x:c>
      <x:c r="E979" s="75" t="n">
        <x:f>IF(ISERROR('Workfront Schedule'!J26),0,1)</x:f>
        <x:v>1</x:v>
      </x:c>
      <x:c r="F979" s="75" t="n">
        <x:v>1</x:v>
      </x:c>
      <x:c r="G979" s="24" t="str">
        <x:f>IF(E979=F979,"PASS","FAIL")</x:f>
        <x:v>PASS</x:v>
      </x:c>
    </x:row>
    <x:row r="980">
      <x:c r="B980" s="22" t="str">
        <x:v>AC-0974</x:v>
      </x:c>
      <x:c r="C980" s="22" t="str">
        <x:v>non-error</x:v>
      </x:c>
      <x:c r="D980" s="22" t="str">
        <x:v>Workfront Schedule K26</x:v>
      </x:c>
      <x:c r="E980" s="75" t="n">
        <x:f>IF(ISERROR('Workfront Schedule'!K26),0,1)</x:f>
        <x:v>1</x:v>
      </x:c>
      <x:c r="F980" s="75" t="n">
        <x:v>1</x:v>
      </x:c>
      <x:c r="G980" s="24" t="str">
        <x:f>IF(E980=F980,"PASS","FAIL")</x:f>
        <x:v>PASS</x:v>
      </x:c>
    </x:row>
    <x:row r="981">
      <x:c r="B981" s="22" t="str">
        <x:v>AC-0975</x:v>
      </x:c>
      <x:c r="C981" s="22" t="str">
        <x:v>non-error</x:v>
      </x:c>
      <x:c r="D981" s="22" t="str">
        <x:v>Workfront Schedule L26</x:v>
      </x:c>
      <x:c r="E981" s="75" t="n">
        <x:f>IF(ISERROR('Workfront Schedule'!L26),0,1)</x:f>
        <x:v>1</x:v>
      </x:c>
      <x:c r="F981" s="75" t="n">
        <x:v>1</x:v>
      </x:c>
      <x:c r="G981" s="24" t="str">
        <x:f>IF(E981=F981,"PASS","FAIL")</x:f>
        <x:v>PASS</x:v>
      </x:c>
    </x:row>
    <x:row r="982">
      <x:c r="B982" s="22" t="str">
        <x:v>AC-0976</x:v>
      </x:c>
      <x:c r="C982" s="22" t="str">
        <x:v>non-error</x:v>
      </x:c>
      <x:c r="D982" s="22" t="str">
        <x:v>Workfront Schedule M26</x:v>
      </x:c>
      <x:c r="E982" s="75" t="n">
        <x:f>IF(ISERROR('Workfront Schedule'!M26),0,1)</x:f>
        <x:v>1</x:v>
      </x:c>
      <x:c r="F982" s="75" t="n">
        <x:v>1</x:v>
      </x:c>
      <x:c r="G982" s="24" t="str">
        <x:f>IF(E982=F982,"PASS","FAIL")</x:f>
        <x:v>PASS</x:v>
      </x:c>
    </x:row>
    <x:row r="983">
      <x:c r="B983" s="22" t="str">
        <x:v>AC-0977</x:v>
      </x:c>
      <x:c r="C983" s="22" t="str">
        <x:v>non-error</x:v>
      </x:c>
      <x:c r="D983" s="22" t="str">
        <x:v>Workfront Schedule N26</x:v>
      </x:c>
      <x:c r="E983" s="75" t="n">
        <x:f>IF(ISERROR('Workfront Schedule'!N26),0,1)</x:f>
        <x:v>1</x:v>
      </x:c>
      <x:c r="F983" s="75" t="n">
        <x:v>1</x:v>
      </x:c>
      <x:c r="G983" s="24" t="str">
        <x:f>IF(E983=F983,"PASS","FAIL")</x:f>
        <x:v>PASS</x:v>
      </x:c>
    </x:row>
    <x:row r="984">
      <x:c r="B984" s="22" t="str">
        <x:v>AC-0978</x:v>
      </x:c>
      <x:c r="C984" s="22" t="str">
        <x:v>non-error</x:v>
      </x:c>
      <x:c r="D984" s="22" t="str">
        <x:v>Workfront Schedule O26</x:v>
      </x:c>
      <x:c r="E984" s="75" t="n">
        <x:f>IF(ISERROR('Workfront Schedule'!O26),0,1)</x:f>
        <x:v>1</x:v>
      </x:c>
      <x:c r="F984" s="75" t="n">
        <x:v>1</x:v>
      </x:c>
      <x:c r="G984" s="24" t="str">
        <x:f>IF(E984=F984,"PASS","FAIL")</x:f>
        <x:v>PASS</x:v>
      </x:c>
    </x:row>
    <x:row r="985">
      <x:c r="B985" s="22" t="str">
        <x:v>AC-0979</x:v>
      </x:c>
      <x:c r="C985" s="22" t="str">
        <x:v>non-error</x:v>
      </x:c>
      <x:c r="D985" s="22" t="str">
        <x:v>Workfront Schedule P26</x:v>
      </x:c>
      <x:c r="E985" s="75" t="n">
        <x:f>IF(ISERROR('Workfront Schedule'!P26),0,1)</x:f>
        <x:v>1</x:v>
      </x:c>
      <x:c r="F985" s="75" t="n">
        <x:v>1</x:v>
      </x:c>
      <x:c r="G985" s="24" t="str">
        <x:f>IF(E985=F985,"PASS","FAIL")</x:f>
        <x:v>PASS</x:v>
      </x:c>
    </x:row>
    <x:row r="986">
      <x:c r="B986" s="22" t="str">
        <x:v>AC-0980</x:v>
      </x:c>
      <x:c r="C986" s="22" t="str">
        <x:v>non-error</x:v>
      </x:c>
      <x:c r="D986" s="22" t="str">
        <x:v>Workfront Schedule G27</x:v>
      </x:c>
      <x:c r="E986" s="75" t="n">
        <x:f>IF(ISERROR('Workfront Schedule'!G27),0,1)</x:f>
        <x:v>1</x:v>
      </x:c>
      <x:c r="F986" s="75" t="n">
        <x:v>1</x:v>
      </x:c>
      <x:c r="G986" s="24" t="str">
        <x:f>IF(E986=F986,"PASS","FAIL")</x:f>
        <x:v>PASS</x:v>
      </x:c>
    </x:row>
    <x:row r="987">
      <x:c r="B987" s="22" t="str">
        <x:v>AC-0981</x:v>
      </x:c>
      <x:c r="C987" s="22" t="str">
        <x:v>non-error</x:v>
      </x:c>
      <x:c r="D987" s="22" t="str">
        <x:v>Workfront Schedule H27</x:v>
      </x:c>
      <x:c r="E987" s="75" t="n">
        <x:f>IF(ISERROR('Workfront Schedule'!H27),0,1)</x:f>
        <x:v>1</x:v>
      </x:c>
      <x:c r="F987" s="75" t="n">
        <x:v>1</x:v>
      </x:c>
      <x:c r="G987" s="24" t="str">
        <x:f>IF(E987=F987,"PASS","FAIL")</x:f>
        <x:v>PASS</x:v>
      </x:c>
    </x:row>
    <x:row r="988">
      <x:c r="B988" s="22" t="str">
        <x:v>AC-0982</x:v>
      </x:c>
      <x:c r="C988" s="22" t="str">
        <x:v>non-error</x:v>
      </x:c>
      <x:c r="D988" s="22" t="str">
        <x:v>Workfront Schedule I27</x:v>
      </x:c>
      <x:c r="E988" s="75" t="n">
        <x:f>IF(ISERROR('Workfront Schedule'!I27),0,1)</x:f>
        <x:v>1</x:v>
      </x:c>
      <x:c r="F988" s="75" t="n">
        <x:v>1</x:v>
      </x:c>
      <x:c r="G988" s="24" t="str">
        <x:f>IF(E988=F988,"PASS","FAIL")</x:f>
        <x:v>PASS</x:v>
      </x:c>
    </x:row>
    <x:row r="989">
      <x:c r="B989" s="22" t="str">
        <x:v>AC-0983</x:v>
      </x:c>
      <x:c r="C989" s="22" t="str">
        <x:v>non-error</x:v>
      </x:c>
      <x:c r="D989" s="22" t="str">
        <x:v>Workfront Schedule J27</x:v>
      </x:c>
      <x:c r="E989" s="75" t="n">
        <x:f>IF(ISERROR('Workfront Schedule'!J27),0,1)</x:f>
        <x:v>1</x:v>
      </x:c>
      <x:c r="F989" s="75" t="n">
        <x:v>1</x:v>
      </x:c>
      <x:c r="G989" s="24" t="str">
        <x:f>IF(E989=F989,"PASS","FAIL")</x:f>
        <x:v>PASS</x:v>
      </x:c>
    </x:row>
    <x:row r="990">
      <x:c r="B990" s="22" t="str">
        <x:v>AC-0984</x:v>
      </x:c>
      <x:c r="C990" s="22" t="str">
        <x:v>non-error</x:v>
      </x:c>
      <x:c r="D990" s="22" t="str">
        <x:v>Workfront Schedule K27</x:v>
      </x:c>
      <x:c r="E990" s="75" t="n">
        <x:f>IF(ISERROR('Workfront Schedule'!K27),0,1)</x:f>
        <x:v>1</x:v>
      </x:c>
      <x:c r="F990" s="75" t="n">
        <x:v>1</x:v>
      </x:c>
      <x:c r="G990" s="24" t="str">
        <x:f>IF(E990=F990,"PASS","FAIL")</x:f>
        <x:v>PASS</x:v>
      </x:c>
    </x:row>
    <x:row r="991">
      <x:c r="B991" s="22" t="str">
        <x:v>AC-0985</x:v>
      </x:c>
      <x:c r="C991" s="22" t="str">
        <x:v>non-error</x:v>
      </x:c>
      <x:c r="D991" s="22" t="str">
        <x:v>Workfront Schedule L27</x:v>
      </x:c>
      <x:c r="E991" s="75" t="n">
        <x:f>IF(ISERROR('Workfront Schedule'!L27),0,1)</x:f>
        <x:v>1</x:v>
      </x:c>
      <x:c r="F991" s="75" t="n">
        <x:v>1</x:v>
      </x:c>
      <x:c r="G991" s="24" t="str">
        <x:f>IF(E991=F991,"PASS","FAIL")</x:f>
        <x:v>PASS</x:v>
      </x:c>
    </x:row>
    <x:row r="992">
      <x:c r="B992" s="22" t="str">
        <x:v>AC-0986</x:v>
      </x:c>
      <x:c r="C992" s="22" t="str">
        <x:v>non-error</x:v>
      </x:c>
      <x:c r="D992" s="22" t="str">
        <x:v>Workfront Schedule M27</x:v>
      </x:c>
      <x:c r="E992" s="75" t="n">
        <x:f>IF(ISERROR('Workfront Schedule'!M27),0,1)</x:f>
        <x:v>1</x:v>
      </x:c>
      <x:c r="F992" s="75" t="n">
        <x:v>1</x:v>
      </x:c>
      <x:c r="G992" s="24" t="str">
        <x:f>IF(E992=F992,"PASS","FAIL")</x:f>
        <x:v>PASS</x:v>
      </x:c>
    </x:row>
    <x:row r="993">
      <x:c r="B993" s="22" t="str">
        <x:v>AC-0987</x:v>
      </x:c>
      <x:c r="C993" s="22" t="str">
        <x:v>non-error</x:v>
      </x:c>
      <x:c r="D993" s="22" t="str">
        <x:v>Workfront Schedule N27</x:v>
      </x:c>
      <x:c r="E993" s="75" t="n">
        <x:f>IF(ISERROR('Workfront Schedule'!N27),0,1)</x:f>
        <x:v>1</x:v>
      </x:c>
      <x:c r="F993" s="75" t="n">
        <x:v>1</x:v>
      </x:c>
      <x:c r="G993" s="24" t="str">
        <x:f>IF(E993=F993,"PASS","FAIL")</x:f>
        <x:v>PASS</x:v>
      </x:c>
    </x:row>
    <x:row r="994">
      <x:c r="B994" s="22" t="str">
        <x:v>AC-0988</x:v>
      </x:c>
      <x:c r="C994" s="22" t="str">
        <x:v>non-error</x:v>
      </x:c>
      <x:c r="D994" s="22" t="str">
        <x:v>Workfront Schedule O27</x:v>
      </x:c>
      <x:c r="E994" s="75" t="n">
        <x:f>IF(ISERROR('Workfront Schedule'!O27),0,1)</x:f>
        <x:v>1</x:v>
      </x:c>
      <x:c r="F994" s="75" t="n">
        <x:v>1</x:v>
      </x:c>
      <x:c r="G994" s="24" t="str">
        <x:f>IF(E994=F994,"PASS","FAIL")</x:f>
        <x:v>PASS</x:v>
      </x:c>
    </x:row>
    <x:row r="995">
      <x:c r="B995" s="22" t="str">
        <x:v>AC-0989</x:v>
      </x:c>
      <x:c r="C995" s="22" t="str">
        <x:v>non-error</x:v>
      </x:c>
      <x:c r="D995" s="22" t="str">
        <x:v>Workfront Schedule P27</x:v>
      </x:c>
      <x:c r="E995" s="75" t="n">
        <x:f>IF(ISERROR('Workfront Schedule'!P27),0,1)</x:f>
        <x:v>1</x:v>
      </x:c>
      <x:c r="F995" s="75" t="n">
        <x:v>1</x:v>
      </x:c>
      <x:c r="G995" s="24" t="str">
        <x:f>IF(E995=F995,"PASS","FAIL")</x:f>
        <x:v>PASS</x:v>
      </x:c>
    </x:row>
    <x:row r="996">
      <x:c r="B996" s="22" t="str">
        <x:v>AC-0990</x:v>
      </x:c>
      <x:c r="C996" s="22" t="str">
        <x:v>non-error</x:v>
      </x:c>
      <x:c r="D996" s="22" t="str">
        <x:v>Workfront Schedule G28</x:v>
      </x:c>
      <x:c r="E996" s="75" t="n">
        <x:f>IF(ISERROR('Workfront Schedule'!G28),0,1)</x:f>
        <x:v>1</x:v>
      </x:c>
      <x:c r="F996" s="75" t="n">
        <x:v>1</x:v>
      </x:c>
      <x:c r="G996" s="24" t="str">
        <x:f>IF(E996=F996,"PASS","FAIL")</x:f>
        <x:v>PASS</x:v>
      </x:c>
    </x:row>
    <x:row r="997">
      <x:c r="B997" s="22" t="str">
        <x:v>AC-0991</x:v>
      </x:c>
      <x:c r="C997" s="22" t="str">
        <x:v>non-error</x:v>
      </x:c>
      <x:c r="D997" s="22" t="str">
        <x:v>Workfront Schedule H28</x:v>
      </x:c>
      <x:c r="E997" s="75" t="n">
        <x:f>IF(ISERROR('Workfront Schedule'!H28),0,1)</x:f>
        <x:v>1</x:v>
      </x:c>
      <x:c r="F997" s="75" t="n">
        <x:v>1</x:v>
      </x:c>
      <x:c r="G997" s="24" t="str">
        <x:f>IF(E997=F997,"PASS","FAIL")</x:f>
        <x:v>PASS</x:v>
      </x:c>
    </x:row>
    <x:row r="998">
      <x:c r="B998" s="22" t="str">
        <x:v>AC-0992</x:v>
      </x:c>
      <x:c r="C998" s="22" t="str">
        <x:v>non-error</x:v>
      </x:c>
      <x:c r="D998" s="22" t="str">
        <x:v>Workfront Schedule I28</x:v>
      </x:c>
      <x:c r="E998" s="75" t="n">
        <x:f>IF(ISERROR('Workfront Schedule'!I28),0,1)</x:f>
        <x:v>1</x:v>
      </x:c>
      <x:c r="F998" s="75" t="n">
        <x:v>1</x:v>
      </x:c>
      <x:c r="G998" s="24" t="str">
        <x:f>IF(E998=F998,"PASS","FAIL")</x:f>
        <x:v>PASS</x:v>
      </x:c>
    </x:row>
    <x:row r="999">
      <x:c r="B999" s="22" t="str">
        <x:v>AC-0993</x:v>
      </x:c>
      <x:c r="C999" s="22" t="str">
        <x:v>non-error</x:v>
      </x:c>
      <x:c r="D999" s="22" t="str">
        <x:v>Workfront Schedule J28</x:v>
      </x:c>
      <x:c r="E999" s="75" t="n">
        <x:f>IF(ISERROR('Workfront Schedule'!J28),0,1)</x:f>
        <x:v>1</x:v>
      </x:c>
      <x:c r="F999" s="75" t="n">
        <x:v>1</x:v>
      </x:c>
      <x:c r="G999" s="24" t="str">
        <x:f>IF(E999=F999,"PASS","FAIL")</x:f>
        <x:v>PASS</x:v>
      </x:c>
    </x:row>
    <x:row r="1000">
      <x:c r="B1000" s="22" t="str">
        <x:v>AC-0994</x:v>
      </x:c>
      <x:c r="C1000" s="22" t="str">
        <x:v>non-error</x:v>
      </x:c>
      <x:c r="D1000" s="22" t="str">
        <x:v>Workfront Schedule K28</x:v>
      </x:c>
      <x:c r="E1000" s="75" t="n">
        <x:f>IF(ISERROR('Workfront Schedule'!K28),0,1)</x:f>
        <x:v>1</x:v>
      </x:c>
      <x:c r="F1000" s="75" t="n">
        <x:v>1</x:v>
      </x:c>
      <x:c r="G1000" s="24" t="str">
        <x:f>IF(E1000=F1000,"PASS","FAIL")</x:f>
        <x:v>PASS</x:v>
      </x:c>
    </x:row>
    <x:row r="1001">
      <x:c r="B1001" s="22" t="str">
        <x:v>AC-0995</x:v>
      </x:c>
      <x:c r="C1001" s="22" t="str">
        <x:v>non-error</x:v>
      </x:c>
      <x:c r="D1001" s="22" t="str">
        <x:v>Workfront Schedule L28</x:v>
      </x:c>
      <x:c r="E1001" s="75" t="n">
        <x:f>IF(ISERROR('Workfront Schedule'!L28),0,1)</x:f>
        <x:v>1</x:v>
      </x:c>
      <x:c r="F1001" s="75" t="n">
        <x:v>1</x:v>
      </x:c>
      <x:c r="G1001" s="24" t="str">
        <x:f>IF(E1001=F1001,"PASS","FAIL")</x:f>
        <x:v>PASS</x:v>
      </x:c>
    </x:row>
    <x:row r="1002">
      <x:c r="B1002" s="22" t="str">
        <x:v>AC-0996</x:v>
      </x:c>
      <x:c r="C1002" s="22" t="str">
        <x:v>non-error</x:v>
      </x:c>
      <x:c r="D1002" s="22" t="str">
        <x:v>Workfront Schedule M28</x:v>
      </x:c>
      <x:c r="E1002" s="75" t="n">
        <x:f>IF(ISERROR('Workfront Schedule'!M28),0,1)</x:f>
        <x:v>1</x:v>
      </x:c>
      <x:c r="F1002" s="75" t="n">
        <x:v>1</x:v>
      </x:c>
      <x:c r="G1002" s="24" t="str">
        <x:f>IF(E1002=F1002,"PASS","FAIL")</x:f>
        <x:v>PASS</x:v>
      </x:c>
    </x:row>
    <x:row r="1003">
      <x:c r="B1003" s="22" t="str">
        <x:v>AC-0997</x:v>
      </x:c>
      <x:c r="C1003" s="22" t="str">
        <x:v>non-error</x:v>
      </x:c>
      <x:c r="D1003" s="22" t="str">
        <x:v>Workfront Schedule N28</x:v>
      </x:c>
      <x:c r="E1003" s="75" t="n">
        <x:f>IF(ISERROR('Workfront Schedule'!N28),0,1)</x:f>
        <x:v>1</x:v>
      </x:c>
      <x:c r="F1003" s="75" t="n">
        <x:v>1</x:v>
      </x:c>
      <x:c r="G1003" s="24" t="str">
        <x:f>IF(E1003=F1003,"PASS","FAIL")</x:f>
        <x:v>PASS</x:v>
      </x:c>
    </x:row>
    <x:row r="1004">
      <x:c r="B1004" s="22" t="str">
        <x:v>AC-0998</x:v>
      </x:c>
      <x:c r="C1004" s="22" t="str">
        <x:v>non-error</x:v>
      </x:c>
      <x:c r="D1004" s="22" t="str">
        <x:v>Workfront Schedule O28</x:v>
      </x:c>
      <x:c r="E1004" s="75" t="n">
        <x:f>IF(ISERROR('Workfront Schedule'!O28),0,1)</x:f>
        <x:v>1</x:v>
      </x:c>
      <x:c r="F1004" s="75" t="n">
        <x:v>1</x:v>
      </x:c>
      <x:c r="G1004" s="24" t="str">
        <x:f>IF(E1004=F1004,"PASS","FAIL")</x:f>
        <x:v>PASS</x:v>
      </x:c>
    </x:row>
    <x:row r="1005">
      <x:c r="B1005" s="22" t="str">
        <x:v>AC-0999</x:v>
      </x:c>
      <x:c r="C1005" s="22" t="str">
        <x:v>non-error</x:v>
      </x:c>
      <x:c r="D1005" s="22" t="str">
        <x:v>Workfront Schedule P28</x:v>
      </x:c>
      <x:c r="E1005" s="75" t="n">
        <x:f>IF(ISERROR('Workfront Schedule'!P28),0,1)</x:f>
        <x:v>1</x:v>
      </x:c>
      <x:c r="F1005" s="75" t="n">
        <x:v>1</x:v>
      </x:c>
      <x:c r="G1005" s="24" t="str">
        <x:f>IF(E1005=F1005,"PASS","FAIL")</x:f>
        <x:v>PASS</x:v>
      </x:c>
    </x:row>
    <x:row r="1006">
      <x:c r="B1006" s="22" t="str">
        <x:v>AC-1000</x:v>
      </x:c>
      <x:c r="C1006" s="22" t="str">
        <x:v>non-error</x:v>
      </x:c>
      <x:c r="D1006" s="22" t="str">
        <x:v>Workfront Schedule G29</x:v>
      </x:c>
      <x:c r="E1006" s="75" t="n">
        <x:f>IF(ISERROR('Workfront Schedule'!G29),0,1)</x:f>
        <x:v>1</x:v>
      </x:c>
      <x:c r="F1006" s="75" t="n">
        <x:v>1</x:v>
      </x:c>
      <x:c r="G1006" s="24" t="str">
        <x:f>IF(E1006=F1006,"PASS","FAIL")</x:f>
        <x:v>PASS</x:v>
      </x:c>
    </x:row>
    <x:row r="1007">
      <x:c r="B1007" s="22" t="str">
        <x:v>AC-1001</x:v>
      </x:c>
      <x:c r="C1007" s="22" t="str">
        <x:v>non-error</x:v>
      </x:c>
      <x:c r="D1007" s="22" t="str">
        <x:v>Workfront Schedule H29</x:v>
      </x:c>
      <x:c r="E1007" s="75" t="n">
        <x:f>IF(ISERROR('Workfront Schedule'!H29),0,1)</x:f>
        <x:v>1</x:v>
      </x:c>
      <x:c r="F1007" s="75" t="n">
        <x:v>1</x:v>
      </x:c>
      <x:c r="G1007" s="24" t="str">
        <x:f>IF(E1007=F1007,"PASS","FAIL")</x:f>
        <x:v>PASS</x:v>
      </x:c>
    </x:row>
    <x:row r="1008">
      <x:c r="B1008" s="22" t="str">
        <x:v>AC-1002</x:v>
      </x:c>
      <x:c r="C1008" s="22" t="str">
        <x:v>non-error</x:v>
      </x:c>
      <x:c r="D1008" s="22" t="str">
        <x:v>Workfront Schedule I29</x:v>
      </x:c>
      <x:c r="E1008" s="75" t="n">
        <x:f>IF(ISERROR('Workfront Schedule'!I29),0,1)</x:f>
        <x:v>1</x:v>
      </x:c>
      <x:c r="F1008" s="75" t="n">
        <x:v>1</x:v>
      </x:c>
      <x:c r="G1008" s="24" t="str">
        <x:f>IF(E1008=F1008,"PASS","FAIL")</x:f>
        <x:v>PASS</x:v>
      </x:c>
    </x:row>
    <x:row r="1009">
      <x:c r="B1009" s="22" t="str">
        <x:v>AC-1003</x:v>
      </x:c>
      <x:c r="C1009" s="22" t="str">
        <x:v>non-error</x:v>
      </x:c>
      <x:c r="D1009" s="22" t="str">
        <x:v>Workfront Schedule J29</x:v>
      </x:c>
      <x:c r="E1009" s="75" t="n">
        <x:f>IF(ISERROR('Workfront Schedule'!J29),0,1)</x:f>
        <x:v>1</x:v>
      </x:c>
      <x:c r="F1009" s="75" t="n">
        <x:v>1</x:v>
      </x:c>
      <x:c r="G1009" s="24" t="str">
        <x:f>IF(E1009=F1009,"PASS","FAIL")</x:f>
        <x:v>PASS</x:v>
      </x:c>
    </x:row>
    <x:row r="1010">
      <x:c r="B1010" s="22" t="str">
        <x:v>AC-1004</x:v>
      </x:c>
      <x:c r="C1010" s="22" t="str">
        <x:v>non-error</x:v>
      </x:c>
      <x:c r="D1010" s="22" t="str">
        <x:v>Workfront Schedule K29</x:v>
      </x:c>
      <x:c r="E1010" s="75" t="n">
        <x:f>IF(ISERROR('Workfront Schedule'!K29),0,1)</x:f>
        <x:v>1</x:v>
      </x:c>
      <x:c r="F1010" s="75" t="n">
        <x:v>1</x:v>
      </x:c>
      <x:c r="G1010" s="24" t="str">
        <x:f>IF(E1010=F1010,"PASS","FAIL")</x:f>
        <x:v>PASS</x:v>
      </x:c>
    </x:row>
    <x:row r="1011">
      <x:c r="B1011" s="22" t="str">
        <x:v>AC-1005</x:v>
      </x:c>
      <x:c r="C1011" s="22" t="str">
        <x:v>non-error</x:v>
      </x:c>
      <x:c r="D1011" s="22" t="str">
        <x:v>Workfront Schedule L29</x:v>
      </x:c>
      <x:c r="E1011" s="75" t="n">
        <x:f>IF(ISERROR('Workfront Schedule'!L29),0,1)</x:f>
        <x:v>1</x:v>
      </x:c>
      <x:c r="F1011" s="75" t="n">
        <x:v>1</x:v>
      </x:c>
      <x:c r="G1011" s="24" t="str">
        <x:f>IF(E1011=F1011,"PASS","FAIL")</x:f>
        <x:v>PASS</x:v>
      </x:c>
    </x:row>
    <x:row r="1012">
      <x:c r="B1012" s="22" t="str">
        <x:v>AC-1006</x:v>
      </x:c>
      <x:c r="C1012" s="22" t="str">
        <x:v>non-error</x:v>
      </x:c>
      <x:c r="D1012" s="22" t="str">
        <x:v>Workfront Schedule M29</x:v>
      </x:c>
      <x:c r="E1012" s="75" t="n">
        <x:f>IF(ISERROR('Workfront Schedule'!M29),0,1)</x:f>
        <x:v>1</x:v>
      </x:c>
      <x:c r="F1012" s="75" t="n">
        <x:v>1</x:v>
      </x:c>
      <x:c r="G1012" s="24" t="str">
        <x:f>IF(E1012=F1012,"PASS","FAIL")</x:f>
        <x:v>PASS</x:v>
      </x:c>
    </x:row>
    <x:row r="1013">
      <x:c r="B1013" s="22" t="str">
        <x:v>AC-1007</x:v>
      </x:c>
      <x:c r="C1013" s="22" t="str">
        <x:v>non-error</x:v>
      </x:c>
      <x:c r="D1013" s="22" t="str">
        <x:v>Workfront Schedule N29</x:v>
      </x:c>
      <x:c r="E1013" s="75" t="n">
        <x:f>IF(ISERROR('Workfront Schedule'!N29),0,1)</x:f>
        <x:v>1</x:v>
      </x:c>
      <x:c r="F1013" s="75" t="n">
        <x:v>1</x:v>
      </x:c>
      <x:c r="G1013" s="24" t="str">
        <x:f>IF(E1013=F1013,"PASS","FAIL")</x:f>
        <x:v>PASS</x:v>
      </x:c>
    </x:row>
    <x:row r="1014">
      <x:c r="B1014" s="22" t="str">
        <x:v>AC-1008</x:v>
      </x:c>
      <x:c r="C1014" s="22" t="str">
        <x:v>non-error</x:v>
      </x:c>
      <x:c r="D1014" s="22" t="str">
        <x:v>Workfront Schedule O29</x:v>
      </x:c>
      <x:c r="E1014" s="75" t="n">
        <x:f>IF(ISERROR('Workfront Schedule'!O29),0,1)</x:f>
        <x:v>1</x:v>
      </x:c>
      <x:c r="F1014" s="75" t="n">
        <x:v>1</x:v>
      </x:c>
      <x:c r="G1014" s="24" t="str">
        <x:f>IF(E1014=F1014,"PASS","FAIL")</x:f>
        <x:v>PASS</x:v>
      </x:c>
    </x:row>
    <x:row r="1015">
      <x:c r="B1015" s="22" t="str">
        <x:v>AC-1009</x:v>
      </x:c>
      <x:c r="C1015" s="22" t="str">
        <x:v>non-error</x:v>
      </x:c>
      <x:c r="D1015" s="22" t="str">
        <x:v>Workfront Schedule P29</x:v>
      </x:c>
      <x:c r="E1015" s="75" t="n">
        <x:f>IF(ISERROR('Workfront Schedule'!P29),0,1)</x:f>
        <x:v>1</x:v>
      </x:c>
      <x:c r="F1015" s="75" t="n">
        <x:v>1</x:v>
      </x:c>
      <x:c r="G1015" s="24" t="str">
        <x:f>IF(E1015=F1015,"PASS","FAIL")</x:f>
        <x:v>PASS</x:v>
      </x:c>
    </x:row>
    <x:row r="1016">
      <x:c r="B1016" s="22" t="str">
        <x:v>AC-1010</x:v>
      </x:c>
      <x:c r="C1016" s="22" t="str">
        <x:v>non-error</x:v>
      </x:c>
      <x:c r="D1016" s="22" t="str">
        <x:v>Workfront Schedule G30</x:v>
      </x:c>
      <x:c r="E1016" s="75" t="n">
        <x:f>IF(ISERROR('Workfront Schedule'!G30),0,1)</x:f>
        <x:v>1</x:v>
      </x:c>
      <x:c r="F1016" s="75" t="n">
        <x:v>1</x:v>
      </x:c>
      <x:c r="G1016" s="24" t="str">
        <x:f>IF(E1016=F1016,"PASS","FAIL")</x:f>
        <x:v>PASS</x:v>
      </x:c>
    </x:row>
    <x:row r="1017">
      <x:c r="B1017" s="22" t="str">
        <x:v>AC-1011</x:v>
      </x:c>
      <x:c r="C1017" s="22" t="str">
        <x:v>non-error</x:v>
      </x:c>
      <x:c r="D1017" s="22" t="str">
        <x:v>Workfront Schedule H30</x:v>
      </x:c>
      <x:c r="E1017" s="75" t="n">
        <x:f>IF(ISERROR('Workfront Schedule'!H30),0,1)</x:f>
        <x:v>1</x:v>
      </x:c>
      <x:c r="F1017" s="75" t="n">
        <x:v>1</x:v>
      </x:c>
      <x:c r="G1017" s="24" t="str">
        <x:f>IF(E1017=F1017,"PASS","FAIL")</x:f>
        <x:v>PASS</x:v>
      </x:c>
    </x:row>
    <x:row r="1018">
      <x:c r="B1018" s="22" t="str">
        <x:v>AC-1012</x:v>
      </x:c>
      <x:c r="C1018" s="22" t="str">
        <x:v>non-error</x:v>
      </x:c>
      <x:c r="D1018" s="22" t="str">
        <x:v>Workfront Schedule I30</x:v>
      </x:c>
      <x:c r="E1018" s="75" t="n">
        <x:f>IF(ISERROR('Workfront Schedule'!I30),0,1)</x:f>
        <x:v>1</x:v>
      </x:c>
      <x:c r="F1018" s="75" t="n">
        <x:v>1</x:v>
      </x:c>
      <x:c r="G1018" s="24" t="str">
        <x:f>IF(E1018=F1018,"PASS","FAIL")</x:f>
        <x:v>PASS</x:v>
      </x:c>
    </x:row>
    <x:row r="1019">
      <x:c r="B1019" s="22" t="str">
        <x:v>AC-1013</x:v>
      </x:c>
      <x:c r="C1019" s="22" t="str">
        <x:v>non-error</x:v>
      </x:c>
      <x:c r="D1019" s="22" t="str">
        <x:v>Workfront Schedule J30</x:v>
      </x:c>
      <x:c r="E1019" s="75" t="n">
        <x:f>IF(ISERROR('Workfront Schedule'!J30),0,1)</x:f>
        <x:v>1</x:v>
      </x:c>
      <x:c r="F1019" s="75" t="n">
        <x:v>1</x:v>
      </x:c>
      <x:c r="G1019" s="24" t="str">
        <x:f>IF(E1019=F1019,"PASS","FAIL")</x:f>
        <x:v>PASS</x:v>
      </x:c>
    </x:row>
    <x:row r="1020">
      <x:c r="B1020" s="22" t="str">
        <x:v>AC-1014</x:v>
      </x:c>
      <x:c r="C1020" s="22" t="str">
        <x:v>non-error</x:v>
      </x:c>
      <x:c r="D1020" s="22" t="str">
        <x:v>Workfront Schedule K30</x:v>
      </x:c>
      <x:c r="E1020" s="75" t="n">
        <x:f>IF(ISERROR('Workfront Schedule'!K30),0,1)</x:f>
        <x:v>1</x:v>
      </x:c>
      <x:c r="F1020" s="75" t="n">
        <x:v>1</x:v>
      </x:c>
      <x:c r="G1020" s="24" t="str">
        <x:f>IF(E1020=F1020,"PASS","FAIL")</x:f>
        <x:v>PASS</x:v>
      </x:c>
    </x:row>
    <x:row r="1021">
      <x:c r="B1021" s="22" t="str">
        <x:v>AC-1015</x:v>
      </x:c>
      <x:c r="C1021" s="22" t="str">
        <x:v>non-error</x:v>
      </x:c>
      <x:c r="D1021" s="22" t="str">
        <x:v>Workfront Schedule L30</x:v>
      </x:c>
      <x:c r="E1021" s="75" t="n">
        <x:f>IF(ISERROR('Workfront Schedule'!L30),0,1)</x:f>
        <x:v>1</x:v>
      </x:c>
      <x:c r="F1021" s="75" t="n">
        <x:v>1</x:v>
      </x:c>
      <x:c r="G1021" s="24" t="str">
        <x:f>IF(E1021=F1021,"PASS","FAIL")</x:f>
        <x:v>PASS</x:v>
      </x:c>
    </x:row>
    <x:row r="1022">
      <x:c r="B1022" s="22" t="str">
        <x:v>AC-1016</x:v>
      </x:c>
      <x:c r="C1022" s="22" t="str">
        <x:v>non-error</x:v>
      </x:c>
      <x:c r="D1022" s="22" t="str">
        <x:v>Workfront Schedule M30</x:v>
      </x:c>
      <x:c r="E1022" s="75" t="n">
        <x:f>IF(ISERROR('Workfront Schedule'!M30),0,1)</x:f>
        <x:v>1</x:v>
      </x:c>
      <x:c r="F1022" s="75" t="n">
        <x:v>1</x:v>
      </x:c>
      <x:c r="G1022" s="24" t="str">
        <x:f>IF(E1022=F1022,"PASS","FAIL")</x:f>
        <x:v>PASS</x:v>
      </x:c>
    </x:row>
    <x:row r="1023">
      <x:c r="B1023" s="22" t="str">
        <x:v>AC-1017</x:v>
      </x:c>
      <x:c r="C1023" s="22" t="str">
        <x:v>non-error</x:v>
      </x:c>
      <x:c r="D1023" s="22" t="str">
        <x:v>Workfront Schedule N30</x:v>
      </x:c>
      <x:c r="E1023" s="75" t="n">
        <x:f>IF(ISERROR('Workfront Schedule'!N30),0,1)</x:f>
        <x:v>1</x:v>
      </x:c>
      <x:c r="F1023" s="75" t="n">
        <x:v>1</x:v>
      </x:c>
      <x:c r="G1023" s="24" t="str">
        <x:f>IF(E1023=F1023,"PASS","FAIL")</x:f>
        <x:v>PASS</x:v>
      </x:c>
    </x:row>
    <x:row r="1024">
      <x:c r="B1024" s="22" t="str">
        <x:v>AC-1018</x:v>
      </x:c>
      <x:c r="C1024" s="22" t="str">
        <x:v>non-error</x:v>
      </x:c>
      <x:c r="D1024" s="22" t="str">
        <x:v>Workfront Schedule O30</x:v>
      </x:c>
      <x:c r="E1024" s="75" t="n">
        <x:f>IF(ISERROR('Workfront Schedule'!O30),0,1)</x:f>
        <x:v>1</x:v>
      </x:c>
      <x:c r="F1024" s="75" t="n">
        <x:v>1</x:v>
      </x:c>
      <x:c r="G1024" s="24" t="str">
        <x:f>IF(E1024=F1024,"PASS","FAIL")</x:f>
        <x:v>PASS</x:v>
      </x:c>
    </x:row>
    <x:row r="1025">
      <x:c r="B1025" s="22" t="str">
        <x:v>AC-1019</x:v>
      </x:c>
      <x:c r="C1025" s="22" t="str">
        <x:v>non-error</x:v>
      </x:c>
      <x:c r="D1025" s="22" t="str">
        <x:v>Workfront Schedule P30</x:v>
      </x:c>
      <x:c r="E1025" s="75" t="n">
        <x:f>IF(ISERROR('Workfront Schedule'!P30),0,1)</x:f>
        <x:v>1</x:v>
      </x:c>
      <x:c r="F1025" s="75" t="n">
        <x:v>1</x:v>
      </x:c>
      <x:c r="G1025" s="24" t="str">
        <x:f>IF(E1025=F1025,"PASS","FAIL")</x:f>
        <x:v>PASS</x:v>
      </x:c>
    </x:row>
    <x:row r="1026">
      <x:c r="B1026" s="22" t="str">
        <x:v>AC-1020</x:v>
      </x:c>
      <x:c r="C1026" s="22" t="str">
        <x:v>non-error</x:v>
      </x:c>
      <x:c r="D1026" s="22" t="str">
        <x:v>Workfront Schedule G31</x:v>
      </x:c>
      <x:c r="E1026" s="75" t="n">
        <x:f>IF(ISERROR('Workfront Schedule'!G31),0,1)</x:f>
        <x:v>1</x:v>
      </x:c>
      <x:c r="F1026" s="75" t="n">
        <x:v>1</x:v>
      </x:c>
      <x:c r="G1026" s="24" t="str">
        <x:f>IF(E1026=F1026,"PASS","FAIL")</x:f>
        <x:v>PASS</x:v>
      </x:c>
    </x:row>
    <x:row r="1027">
      <x:c r="B1027" s="22" t="str">
        <x:v>AC-1021</x:v>
      </x:c>
      <x:c r="C1027" s="22" t="str">
        <x:v>non-error</x:v>
      </x:c>
      <x:c r="D1027" s="22" t="str">
        <x:v>Workfront Schedule H31</x:v>
      </x:c>
      <x:c r="E1027" s="75" t="n">
        <x:f>IF(ISERROR('Workfront Schedule'!H31),0,1)</x:f>
        <x:v>1</x:v>
      </x:c>
      <x:c r="F1027" s="75" t="n">
        <x:v>1</x:v>
      </x:c>
      <x:c r="G1027" s="24" t="str">
        <x:f>IF(E1027=F1027,"PASS","FAIL")</x:f>
        <x:v>PASS</x:v>
      </x:c>
    </x:row>
    <x:row r="1028">
      <x:c r="B1028" s="22" t="str">
        <x:v>AC-1022</x:v>
      </x:c>
      <x:c r="C1028" s="22" t="str">
        <x:v>non-error</x:v>
      </x:c>
      <x:c r="D1028" s="22" t="str">
        <x:v>Workfront Schedule I31</x:v>
      </x:c>
      <x:c r="E1028" s="75" t="n">
        <x:f>IF(ISERROR('Workfront Schedule'!I31),0,1)</x:f>
        <x:v>1</x:v>
      </x:c>
      <x:c r="F1028" s="75" t="n">
        <x:v>1</x:v>
      </x:c>
      <x:c r="G1028" s="24" t="str">
        <x:f>IF(E1028=F1028,"PASS","FAIL")</x:f>
        <x:v>PASS</x:v>
      </x:c>
    </x:row>
    <x:row r="1029">
      <x:c r="B1029" s="22" t="str">
        <x:v>AC-1023</x:v>
      </x:c>
      <x:c r="C1029" s="22" t="str">
        <x:v>non-error</x:v>
      </x:c>
      <x:c r="D1029" s="22" t="str">
        <x:v>Workfront Schedule J31</x:v>
      </x:c>
      <x:c r="E1029" s="75" t="n">
        <x:f>IF(ISERROR('Workfront Schedule'!J31),0,1)</x:f>
        <x:v>1</x:v>
      </x:c>
      <x:c r="F1029" s="75" t="n">
        <x:v>1</x:v>
      </x:c>
      <x:c r="G1029" s="24" t="str">
        <x:f>IF(E1029=F1029,"PASS","FAIL")</x:f>
        <x:v>PASS</x:v>
      </x:c>
    </x:row>
    <x:row r="1030">
      <x:c r="B1030" s="22" t="str">
        <x:v>AC-1024</x:v>
      </x:c>
      <x:c r="C1030" s="22" t="str">
        <x:v>non-error</x:v>
      </x:c>
      <x:c r="D1030" s="22" t="str">
        <x:v>Workfront Schedule K31</x:v>
      </x:c>
      <x:c r="E1030" s="75" t="n">
        <x:f>IF(ISERROR('Workfront Schedule'!K31),0,1)</x:f>
        <x:v>1</x:v>
      </x:c>
      <x:c r="F1030" s="75" t="n">
        <x:v>1</x:v>
      </x:c>
      <x:c r="G1030" s="24" t="str">
        <x:f>IF(E1030=F1030,"PASS","FAIL")</x:f>
        <x:v>PASS</x:v>
      </x:c>
    </x:row>
    <x:row r="1031">
      <x:c r="B1031" s="22" t="str">
        <x:v>AC-1025</x:v>
      </x:c>
      <x:c r="C1031" s="22" t="str">
        <x:v>non-error</x:v>
      </x:c>
      <x:c r="D1031" s="22" t="str">
        <x:v>Workfront Schedule L31</x:v>
      </x:c>
      <x:c r="E1031" s="75" t="n">
        <x:f>IF(ISERROR('Workfront Schedule'!L31),0,1)</x:f>
        <x:v>1</x:v>
      </x:c>
      <x:c r="F1031" s="75" t="n">
        <x:v>1</x:v>
      </x:c>
      <x:c r="G1031" s="24" t="str">
        <x:f>IF(E1031=F1031,"PASS","FAIL")</x:f>
        <x:v>PASS</x:v>
      </x:c>
    </x:row>
    <x:row r="1032">
      <x:c r="B1032" s="22" t="str">
        <x:v>AC-1026</x:v>
      </x:c>
      <x:c r="C1032" s="22" t="str">
        <x:v>non-error</x:v>
      </x:c>
      <x:c r="D1032" s="22" t="str">
        <x:v>Workfront Schedule M31</x:v>
      </x:c>
      <x:c r="E1032" s="75" t="n">
        <x:f>IF(ISERROR('Workfront Schedule'!M31),0,1)</x:f>
        <x:v>1</x:v>
      </x:c>
      <x:c r="F1032" s="75" t="n">
        <x:v>1</x:v>
      </x:c>
      <x:c r="G1032" s="24" t="str">
        <x:f>IF(E1032=F1032,"PASS","FAIL")</x:f>
        <x:v>PASS</x:v>
      </x:c>
    </x:row>
    <x:row r="1033">
      <x:c r="B1033" s="22" t="str">
        <x:v>AC-1027</x:v>
      </x:c>
      <x:c r="C1033" s="22" t="str">
        <x:v>non-error</x:v>
      </x:c>
      <x:c r="D1033" s="22" t="str">
        <x:v>Workfront Schedule N31</x:v>
      </x:c>
      <x:c r="E1033" s="75" t="n">
        <x:f>IF(ISERROR('Workfront Schedule'!N31),0,1)</x:f>
        <x:v>1</x:v>
      </x:c>
      <x:c r="F1033" s="75" t="n">
        <x:v>1</x:v>
      </x:c>
      <x:c r="G1033" s="24" t="str">
        <x:f>IF(E1033=F1033,"PASS","FAIL")</x:f>
        <x:v>PASS</x:v>
      </x:c>
    </x:row>
    <x:row r="1034">
      <x:c r="B1034" s="22" t="str">
        <x:v>AC-1028</x:v>
      </x:c>
      <x:c r="C1034" s="22" t="str">
        <x:v>non-error</x:v>
      </x:c>
      <x:c r="D1034" s="22" t="str">
        <x:v>Workfront Schedule O31</x:v>
      </x:c>
      <x:c r="E1034" s="75" t="n">
        <x:f>IF(ISERROR('Workfront Schedule'!O31),0,1)</x:f>
        <x:v>1</x:v>
      </x:c>
      <x:c r="F1034" s="75" t="n">
        <x:v>1</x:v>
      </x:c>
      <x:c r="G1034" s="24" t="str">
        <x:f>IF(E1034=F1034,"PASS","FAIL")</x:f>
        <x:v>PASS</x:v>
      </x:c>
    </x:row>
    <x:row r="1035">
      <x:c r="B1035" s="22" t="str">
        <x:v>AC-1029</x:v>
      </x:c>
      <x:c r="C1035" s="22" t="str">
        <x:v>non-error</x:v>
      </x:c>
      <x:c r="D1035" s="22" t="str">
        <x:v>Workfront Schedule P31</x:v>
      </x:c>
      <x:c r="E1035" s="75" t="n">
        <x:f>IF(ISERROR('Workfront Schedule'!P31),0,1)</x:f>
        <x:v>1</x:v>
      </x:c>
      <x:c r="F1035" s="75" t="n">
        <x:v>1</x:v>
      </x:c>
      <x:c r="G1035" s="24" t="str">
        <x:f>IF(E1035=F1035,"PASS","FAIL")</x:f>
        <x:v>PASS</x:v>
      </x:c>
    </x:row>
    <x:row r="1036">
      <x:c r="B1036" s="22" t="str">
        <x:v>AC-1030</x:v>
      </x:c>
      <x:c r="C1036" s="22" t="str">
        <x:v>non-error</x:v>
      </x:c>
      <x:c r="D1036" s="22" t="str">
        <x:v>Workfront Schedule G32</x:v>
      </x:c>
      <x:c r="E1036" s="75" t="n">
        <x:f>IF(ISERROR('Workfront Schedule'!G32),0,1)</x:f>
        <x:v>1</x:v>
      </x:c>
      <x:c r="F1036" s="75" t="n">
        <x:v>1</x:v>
      </x:c>
      <x:c r="G1036" s="24" t="str">
        <x:f>IF(E1036=F1036,"PASS","FAIL")</x:f>
        <x:v>PASS</x:v>
      </x:c>
    </x:row>
    <x:row r="1037">
      <x:c r="B1037" s="22" t="str">
        <x:v>AC-1031</x:v>
      </x:c>
      <x:c r="C1037" s="22" t="str">
        <x:v>non-error</x:v>
      </x:c>
      <x:c r="D1037" s="22" t="str">
        <x:v>Workfront Schedule H32</x:v>
      </x:c>
      <x:c r="E1037" s="75" t="n">
        <x:f>IF(ISERROR('Workfront Schedule'!H32),0,1)</x:f>
        <x:v>1</x:v>
      </x:c>
      <x:c r="F1037" s="75" t="n">
        <x:v>1</x:v>
      </x:c>
      <x:c r="G1037" s="24" t="str">
        <x:f>IF(E1037=F1037,"PASS","FAIL")</x:f>
        <x:v>PASS</x:v>
      </x:c>
    </x:row>
    <x:row r="1038">
      <x:c r="B1038" s="22" t="str">
        <x:v>AC-1032</x:v>
      </x:c>
      <x:c r="C1038" s="22" t="str">
        <x:v>non-error</x:v>
      </x:c>
      <x:c r="D1038" s="22" t="str">
        <x:v>Workfront Schedule I32</x:v>
      </x:c>
      <x:c r="E1038" s="75" t="n">
        <x:f>IF(ISERROR('Workfront Schedule'!I32),0,1)</x:f>
        <x:v>1</x:v>
      </x:c>
      <x:c r="F1038" s="75" t="n">
        <x:v>1</x:v>
      </x:c>
      <x:c r="G1038" s="24" t="str">
        <x:f>IF(E1038=F1038,"PASS","FAIL")</x:f>
        <x:v>PASS</x:v>
      </x:c>
    </x:row>
    <x:row r="1039">
      <x:c r="B1039" s="22" t="str">
        <x:v>AC-1033</x:v>
      </x:c>
      <x:c r="C1039" s="22" t="str">
        <x:v>non-error</x:v>
      </x:c>
      <x:c r="D1039" s="22" t="str">
        <x:v>Workfront Schedule J32</x:v>
      </x:c>
      <x:c r="E1039" s="75" t="n">
        <x:f>IF(ISERROR('Workfront Schedule'!J32),0,1)</x:f>
        <x:v>1</x:v>
      </x:c>
      <x:c r="F1039" s="75" t="n">
        <x:v>1</x:v>
      </x:c>
      <x:c r="G1039" s="24" t="str">
        <x:f>IF(E1039=F1039,"PASS","FAIL")</x:f>
        <x:v>PASS</x:v>
      </x:c>
    </x:row>
    <x:row r="1040">
      <x:c r="B1040" s="22" t="str">
        <x:v>AC-1034</x:v>
      </x:c>
      <x:c r="C1040" s="22" t="str">
        <x:v>non-error</x:v>
      </x:c>
      <x:c r="D1040" s="22" t="str">
        <x:v>Workfront Schedule K32</x:v>
      </x:c>
      <x:c r="E1040" s="75" t="n">
        <x:f>IF(ISERROR('Workfront Schedule'!K32),0,1)</x:f>
        <x:v>1</x:v>
      </x:c>
      <x:c r="F1040" s="75" t="n">
        <x:v>1</x:v>
      </x:c>
      <x:c r="G1040" s="24" t="str">
        <x:f>IF(E1040=F1040,"PASS","FAIL")</x:f>
        <x:v>PASS</x:v>
      </x:c>
    </x:row>
    <x:row r="1041">
      <x:c r="B1041" s="22" t="str">
        <x:v>AC-1035</x:v>
      </x:c>
      <x:c r="C1041" s="22" t="str">
        <x:v>non-error</x:v>
      </x:c>
      <x:c r="D1041" s="22" t="str">
        <x:v>Workfront Schedule L32</x:v>
      </x:c>
      <x:c r="E1041" s="75" t="n">
        <x:f>IF(ISERROR('Workfront Schedule'!L32),0,1)</x:f>
        <x:v>1</x:v>
      </x:c>
      <x:c r="F1041" s="75" t="n">
        <x:v>1</x:v>
      </x:c>
      <x:c r="G1041" s="24" t="str">
        <x:f>IF(E1041=F1041,"PASS","FAIL")</x:f>
        <x:v>PASS</x:v>
      </x:c>
    </x:row>
    <x:row r="1042">
      <x:c r="B1042" s="22" t="str">
        <x:v>AC-1036</x:v>
      </x:c>
      <x:c r="C1042" s="22" t="str">
        <x:v>non-error</x:v>
      </x:c>
      <x:c r="D1042" s="22" t="str">
        <x:v>Workfront Schedule M32</x:v>
      </x:c>
      <x:c r="E1042" s="75" t="n">
        <x:f>IF(ISERROR('Workfront Schedule'!M32),0,1)</x:f>
        <x:v>1</x:v>
      </x:c>
      <x:c r="F1042" s="75" t="n">
        <x:v>1</x:v>
      </x:c>
      <x:c r="G1042" s="24" t="str">
        <x:f>IF(E1042=F1042,"PASS","FAIL")</x:f>
        <x:v>PASS</x:v>
      </x:c>
    </x:row>
    <x:row r="1043">
      <x:c r="B1043" s="22" t="str">
        <x:v>AC-1037</x:v>
      </x:c>
      <x:c r="C1043" s="22" t="str">
        <x:v>non-error</x:v>
      </x:c>
      <x:c r="D1043" s="22" t="str">
        <x:v>Workfront Schedule N32</x:v>
      </x:c>
      <x:c r="E1043" s="75" t="n">
        <x:f>IF(ISERROR('Workfront Schedule'!N32),0,1)</x:f>
        <x:v>1</x:v>
      </x:c>
      <x:c r="F1043" s="75" t="n">
        <x:v>1</x:v>
      </x:c>
      <x:c r="G1043" s="24" t="str">
        <x:f>IF(E1043=F1043,"PASS","FAIL")</x:f>
        <x:v>PASS</x:v>
      </x:c>
    </x:row>
    <x:row r="1044">
      <x:c r="B1044" s="22" t="str">
        <x:v>AC-1038</x:v>
      </x:c>
      <x:c r="C1044" s="22" t="str">
        <x:v>non-error</x:v>
      </x:c>
      <x:c r="D1044" s="22" t="str">
        <x:v>Workfront Schedule O32</x:v>
      </x:c>
      <x:c r="E1044" s="75" t="n">
        <x:f>IF(ISERROR('Workfront Schedule'!O32),0,1)</x:f>
        <x:v>1</x:v>
      </x:c>
      <x:c r="F1044" s="75" t="n">
        <x:v>1</x:v>
      </x:c>
      <x:c r="G1044" s="24" t="str">
        <x:f>IF(E1044=F1044,"PASS","FAIL")</x:f>
        <x:v>PASS</x:v>
      </x:c>
    </x:row>
    <x:row r="1045">
      <x:c r="B1045" s="22" t="str">
        <x:v>AC-1039</x:v>
      </x:c>
      <x:c r="C1045" s="22" t="str">
        <x:v>non-error</x:v>
      </x:c>
      <x:c r="D1045" s="22" t="str">
        <x:v>Workfront Schedule P32</x:v>
      </x:c>
      <x:c r="E1045" s="75" t="n">
        <x:f>IF(ISERROR('Workfront Schedule'!P32),0,1)</x:f>
        <x:v>1</x:v>
      </x:c>
      <x:c r="F1045" s="75" t="n">
        <x:v>1</x:v>
      </x:c>
      <x:c r="G1045" s="24" t="str">
        <x:f>IF(E1045=F1045,"PASS","FAIL")</x:f>
        <x:v>PASS</x:v>
      </x:c>
    </x:row>
    <x:row r="1046">
      <x:c r="B1046" s="22" t="str">
        <x:v>AC-1040</x:v>
      </x:c>
      <x:c r="C1046" s="22" t="str">
        <x:v>non-error</x:v>
      </x:c>
      <x:c r="D1046" s="22" t="str">
        <x:v>Workfront Schedule G33</x:v>
      </x:c>
      <x:c r="E1046" s="75" t="n">
        <x:f>IF(ISERROR('Workfront Schedule'!G33),0,1)</x:f>
        <x:v>1</x:v>
      </x:c>
      <x:c r="F1046" s="75" t="n">
        <x:v>1</x:v>
      </x:c>
      <x:c r="G1046" s="24" t="str">
        <x:f>IF(E1046=F1046,"PASS","FAIL")</x:f>
        <x:v>PASS</x:v>
      </x:c>
    </x:row>
    <x:row r="1047">
      <x:c r="B1047" s="22" t="str">
        <x:v>AC-1041</x:v>
      </x:c>
      <x:c r="C1047" s="22" t="str">
        <x:v>non-error</x:v>
      </x:c>
      <x:c r="D1047" s="22" t="str">
        <x:v>Workfront Schedule H33</x:v>
      </x:c>
      <x:c r="E1047" s="75" t="n">
        <x:f>IF(ISERROR('Workfront Schedule'!H33),0,1)</x:f>
        <x:v>1</x:v>
      </x:c>
      <x:c r="F1047" s="75" t="n">
        <x:v>1</x:v>
      </x:c>
      <x:c r="G1047" s="24" t="str">
        <x:f>IF(E1047=F1047,"PASS","FAIL")</x:f>
        <x:v>PASS</x:v>
      </x:c>
    </x:row>
    <x:row r="1048">
      <x:c r="B1048" s="22" t="str">
        <x:v>AC-1042</x:v>
      </x:c>
      <x:c r="C1048" s="22" t="str">
        <x:v>non-error</x:v>
      </x:c>
      <x:c r="D1048" s="22" t="str">
        <x:v>Workfront Schedule I33</x:v>
      </x:c>
      <x:c r="E1048" s="75" t="n">
        <x:f>IF(ISERROR('Workfront Schedule'!I33),0,1)</x:f>
        <x:v>1</x:v>
      </x:c>
      <x:c r="F1048" s="75" t="n">
        <x:v>1</x:v>
      </x:c>
      <x:c r="G1048" s="24" t="str">
        <x:f>IF(E1048=F1048,"PASS","FAIL")</x:f>
        <x:v>PASS</x:v>
      </x:c>
    </x:row>
    <x:row r="1049">
      <x:c r="B1049" s="22" t="str">
        <x:v>AC-1043</x:v>
      </x:c>
      <x:c r="C1049" s="22" t="str">
        <x:v>non-error</x:v>
      </x:c>
      <x:c r="D1049" s="22" t="str">
        <x:v>Workfront Schedule J33</x:v>
      </x:c>
      <x:c r="E1049" s="75" t="n">
        <x:f>IF(ISERROR('Workfront Schedule'!J33),0,1)</x:f>
        <x:v>1</x:v>
      </x:c>
      <x:c r="F1049" s="75" t="n">
        <x:v>1</x:v>
      </x:c>
      <x:c r="G1049" s="24" t="str">
        <x:f>IF(E1049=F1049,"PASS","FAIL")</x:f>
        <x:v>PASS</x:v>
      </x:c>
    </x:row>
    <x:row r="1050">
      <x:c r="B1050" s="22" t="str">
        <x:v>AC-1044</x:v>
      </x:c>
      <x:c r="C1050" s="22" t="str">
        <x:v>non-error</x:v>
      </x:c>
      <x:c r="D1050" s="22" t="str">
        <x:v>Workfront Schedule K33</x:v>
      </x:c>
      <x:c r="E1050" s="75" t="n">
        <x:f>IF(ISERROR('Workfront Schedule'!K33),0,1)</x:f>
        <x:v>1</x:v>
      </x:c>
      <x:c r="F1050" s="75" t="n">
        <x:v>1</x:v>
      </x:c>
      <x:c r="G1050" s="24" t="str">
        <x:f>IF(E1050=F1050,"PASS","FAIL")</x:f>
        <x:v>PASS</x:v>
      </x:c>
    </x:row>
    <x:row r="1051">
      <x:c r="B1051" s="22" t="str">
        <x:v>AC-1045</x:v>
      </x:c>
      <x:c r="C1051" s="22" t="str">
        <x:v>non-error</x:v>
      </x:c>
      <x:c r="D1051" s="22" t="str">
        <x:v>Workfront Schedule L33</x:v>
      </x:c>
      <x:c r="E1051" s="75" t="n">
        <x:f>IF(ISERROR('Workfront Schedule'!L33),0,1)</x:f>
        <x:v>1</x:v>
      </x:c>
      <x:c r="F1051" s="75" t="n">
        <x:v>1</x:v>
      </x:c>
      <x:c r="G1051" s="24" t="str">
        <x:f>IF(E1051=F1051,"PASS","FAIL")</x:f>
        <x:v>PASS</x:v>
      </x:c>
    </x:row>
    <x:row r="1052">
      <x:c r="B1052" s="22" t="str">
        <x:v>AC-1046</x:v>
      </x:c>
      <x:c r="C1052" s="22" t="str">
        <x:v>non-error</x:v>
      </x:c>
      <x:c r="D1052" s="22" t="str">
        <x:v>Workfront Schedule M33</x:v>
      </x:c>
      <x:c r="E1052" s="75" t="n">
        <x:f>IF(ISERROR('Workfront Schedule'!M33),0,1)</x:f>
        <x:v>1</x:v>
      </x:c>
      <x:c r="F1052" s="75" t="n">
        <x:v>1</x:v>
      </x:c>
      <x:c r="G1052" s="24" t="str">
        <x:f>IF(E1052=F1052,"PASS","FAIL")</x:f>
        <x:v>PASS</x:v>
      </x:c>
    </x:row>
    <x:row r="1053">
      <x:c r="B1053" s="22" t="str">
        <x:v>AC-1047</x:v>
      </x:c>
      <x:c r="C1053" s="22" t="str">
        <x:v>non-error</x:v>
      </x:c>
      <x:c r="D1053" s="22" t="str">
        <x:v>Workfront Schedule N33</x:v>
      </x:c>
      <x:c r="E1053" s="75" t="n">
        <x:f>IF(ISERROR('Workfront Schedule'!N33),0,1)</x:f>
        <x:v>1</x:v>
      </x:c>
      <x:c r="F1053" s="75" t="n">
        <x:v>1</x:v>
      </x:c>
      <x:c r="G1053" s="24" t="str">
        <x:f>IF(E1053=F1053,"PASS","FAIL")</x:f>
        <x:v>PASS</x:v>
      </x:c>
    </x:row>
    <x:row r="1054">
      <x:c r="B1054" s="22" t="str">
        <x:v>AC-1048</x:v>
      </x:c>
      <x:c r="C1054" s="22" t="str">
        <x:v>non-error</x:v>
      </x:c>
      <x:c r="D1054" s="22" t="str">
        <x:v>Workfront Schedule O33</x:v>
      </x:c>
      <x:c r="E1054" s="75" t="n">
        <x:f>IF(ISERROR('Workfront Schedule'!O33),0,1)</x:f>
        <x:v>1</x:v>
      </x:c>
      <x:c r="F1054" s="75" t="n">
        <x:v>1</x:v>
      </x:c>
      <x:c r="G1054" s="24" t="str">
        <x:f>IF(E1054=F1054,"PASS","FAIL")</x:f>
        <x:v>PASS</x:v>
      </x:c>
    </x:row>
    <x:row r="1055">
      <x:c r="B1055" s="22" t="str">
        <x:v>AC-1049</x:v>
      </x:c>
      <x:c r="C1055" s="22" t="str">
        <x:v>non-error</x:v>
      </x:c>
      <x:c r="D1055" s="22" t="str">
        <x:v>Workfront Schedule P33</x:v>
      </x:c>
      <x:c r="E1055" s="75" t="n">
        <x:f>IF(ISERROR('Workfront Schedule'!P33),0,1)</x:f>
        <x:v>1</x:v>
      </x:c>
      <x:c r="F1055" s="75" t="n">
        <x:v>1</x:v>
      </x:c>
      <x:c r="G1055" s="24" t="str">
        <x:f>IF(E1055=F1055,"PASS","FAIL")</x:f>
        <x:v>PASS</x:v>
      </x:c>
    </x:row>
    <x:row r="1056">
      <x:c r="B1056" s="22" t="str">
        <x:v>AC-1050</x:v>
      </x:c>
      <x:c r="C1056" s="22" t="str">
        <x:v>non-error</x:v>
      </x:c>
      <x:c r="D1056" s="22" t="str">
        <x:v>Workfront Schedule G34</x:v>
      </x:c>
      <x:c r="E1056" s="75" t="n">
        <x:f>IF(ISERROR('Workfront Schedule'!G34),0,1)</x:f>
        <x:v>1</x:v>
      </x:c>
      <x:c r="F1056" s="75" t="n">
        <x:v>1</x:v>
      </x:c>
      <x:c r="G1056" s="24" t="str">
        <x:f>IF(E1056=F1056,"PASS","FAIL")</x:f>
        <x:v>PASS</x:v>
      </x:c>
    </x:row>
    <x:row r="1057">
      <x:c r="B1057" s="22" t="str">
        <x:v>AC-1051</x:v>
      </x:c>
      <x:c r="C1057" s="22" t="str">
        <x:v>non-error</x:v>
      </x:c>
      <x:c r="D1057" s="22" t="str">
        <x:v>Workfront Schedule H34</x:v>
      </x:c>
      <x:c r="E1057" s="75" t="n">
        <x:f>IF(ISERROR('Workfront Schedule'!H34),0,1)</x:f>
        <x:v>1</x:v>
      </x:c>
      <x:c r="F1057" s="75" t="n">
        <x:v>1</x:v>
      </x:c>
      <x:c r="G1057" s="24" t="str">
        <x:f>IF(E1057=F1057,"PASS","FAIL")</x:f>
        <x:v>PASS</x:v>
      </x:c>
    </x:row>
    <x:row r="1058">
      <x:c r="B1058" s="22" t="str">
        <x:v>AC-1052</x:v>
      </x:c>
      <x:c r="C1058" s="22" t="str">
        <x:v>non-error</x:v>
      </x:c>
      <x:c r="D1058" s="22" t="str">
        <x:v>Workfront Schedule I34</x:v>
      </x:c>
      <x:c r="E1058" s="75" t="n">
        <x:f>IF(ISERROR('Workfront Schedule'!I34),0,1)</x:f>
        <x:v>1</x:v>
      </x:c>
      <x:c r="F1058" s="75" t="n">
        <x:v>1</x:v>
      </x:c>
      <x:c r="G1058" s="24" t="str">
        <x:f>IF(E1058=F1058,"PASS","FAIL")</x:f>
        <x:v>PASS</x:v>
      </x:c>
    </x:row>
    <x:row r="1059">
      <x:c r="B1059" s="22" t="str">
        <x:v>AC-1053</x:v>
      </x:c>
      <x:c r="C1059" s="22" t="str">
        <x:v>non-error</x:v>
      </x:c>
      <x:c r="D1059" s="22" t="str">
        <x:v>Workfront Schedule J34</x:v>
      </x:c>
      <x:c r="E1059" s="75" t="n">
        <x:f>IF(ISERROR('Workfront Schedule'!J34),0,1)</x:f>
        <x:v>1</x:v>
      </x:c>
      <x:c r="F1059" s="75" t="n">
        <x:v>1</x:v>
      </x:c>
      <x:c r="G1059" s="24" t="str">
        <x:f>IF(E1059=F1059,"PASS","FAIL")</x:f>
        <x:v>PASS</x:v>
      </x:c>
    </x:row>
    <x:row r="1060">
      <x:c r="B1060" s="22" t="str">
        <x:v>AC-1054</x:v>
      </x:c>
      <x:c r="C1060" s="22" t="str">
        <x:v>non-error</x:v>
      </x:c>
      <x:c r="D1060" s="22" t="str">
        <x:v>Workfront Schedule K34</x:v>
      </x:c>
      <x:c r="E1060" s="75" t="n">
        <x:f>IF(ISERROR('Workfront Schedule'!K34),0,1)</x:f>
        <x:v>1</x:v>
      </x:c>
      <x:c r="F1060" s="75" t="n">
        <x:v>1</x:v>
      </x:c>
      <x:c r="G1060" s="24" t="str">
        <x:f>IF(E1060=F1060,"PASS","FAIL")</x:f>
        <x:v>PASS</x:v>
      </x:c>
    </x:row>
    <x:row r="1061">
      <x:c r="B1061" s="22" t="str">
        <x:v>AC-1055</x:v>
      </x:c>
      <x:c r="C1061" s="22" t="str">
        <x:v>non-error</x:v>
      </x:c>
      <x:c r="D1061" s="22" t="str">
        <x:v>Workfront Schedule L34</x:v>
      </x:c>
      <x:c r="E1061" s="75" t="n">
        <x:f>IF(ISERROR('Workfront Schedule'!L34),0,1)</x:f>
        <x:v>1</x:v>
      </x:c>
      <x:c r="F1061" s="75" t="n">
        <x:v>1</x:v>
      </x:c>
      <x:c r="G1061" s="24" t="str">
        <x:f>IF(E1061=F1061,"PASS","FAIL")</x:f>
        <x:v>PASS</x:v>
      </x:c>
    </x:row>
    <x:row r="1062">
      <x:c r="B1062" s="22" t="str">
        <x:v>AC-1056</x:v>
      </x:c>
      <x:c r="C1062" s="22" t="str">
        <x:v>non-error</x:v>
      </x:c>
      <x:c r="D1062" s="22" t="str">
        <x:v>Workfront Schedule M34</x:v>
      </x:c>
      <x:c r="E1062" s="75" t="n">
        <x:f>IF(ISERROR('Workfront Schedule'!M34),0,1)</x:f>
        <x:v>1</x:v>
      </x:c>
      <x:c r="F1062" s="75" t="n">
        <x:v>1</x:v>
      </x:c>
      <x:c r="G1062" s="24" t="str">
        <x:f>IF(E1062=F1062,"PASS","FAIL")</x:f>
        <x:v>PASS</x:v>
      </x:c>
    </x:row>
    <x:row r="1063">
      <x:c r="B1063" s="22" t="str">
        <x:v>AC-1057</x:v>
      </x:c>
      <x:c r="C1063" s="22" t="str">
        <x:v>non-error</x:v>
      </x:c>
      <x:c r="D1063" s="22" t="str">
        <x:v>Workfront Schedule N34</x:v>
      </x:c>
      <x:c r="E1063" s="75" t="n">
        <x:f>IF(ISERROR('Workfront Schedule'!N34),0,1)</x:f>
        <x:v>1</x:v>
      </x:c>
      <x:c r="F1063" s="75" t="n">
        <x:v>1</x:v>
      </x:c>
      <x:c r="G1063" s="24" t="str">
        <x:f>IF(E1063=F1063,"PASS","FAIL")</x:f>
        <x:v>PASS</x:v>
      </x:c>
    </x:row>
    <x:row r="1064">
      <x:c r="B1064" s="22" t="str">
        <x:v>AC-1058</x:v>
      </x:c>
      <x:c r="C1064" s="22" t="str">
        <x:v>non-error</x:v>
      </x:c>
      <x:c r="D1064" s="22" t="str">
        <x:v>Workfront Schedule O34</x:v>
      </x:c>
      <x:c r="E1064" s="75" t="n">
        <x:f>IF(ISERROR('Workfront Schedule'!O34),0,1)</x:f>
        <x:v>1</x:v>
      </x:c>
      <x:c r="F1064" s="75" t="n">
        <x:v>1</x:v>
      </x:c>
      <x:c r="G1064" s="24" t="str">
        <x:f>IF(E1064=F1064,"PASS","FAIL")</x:f>
        <x:v>PASS</x:v>
      </x:c>
    </x:row>
    <x:row r="1065">
      <x:c r="B1065" s="22" t="str">
        <x:v>AC-1059</x:v>
      </x:c>
      <x:c r="C1065" s="22" t="str">
        <x:v>non-error</x:v>
      </x:c>
      <x:c r="D1065" s="22" t="str">
        <x:v>Workfront Schedule P34</x:v>
      </x:c>
      <x:c r="E1065" s="75" t="n">
        <x:f>IF(ISERROR('Workfront Schedule'!P34),0,1)</x:f>
        <x:v>1</x:v>
      </x:c>
      <x:c r="F1065" s="75" t="n">
        <x:v>1</x:v>
      </x:c>
      <x:c r="G1065" s="24" t="str">
        <x:f>IF(E1065=F1065,"PASS","FAIL")</x:f>
        <x:v>PASS</x:v>
      </x:c>
    </x:row>
    <x:row r="1066">
      <x:c r="B1066" s="22" t="str">
        <x:v>AC-1060</x:v>
      </x:c>
      <x:c r="C1066" s="22" t="str">
        <x:v>non-error</x:v>
      </x:c>
      <x:c r="D1066" s="22" t="str">
        <x:v>Workfront Schedule G35</x:v>
      </x:c>
      <x:c r="E1066" s="75" t="n">
        <x:f>IF(ISERROR('Workfront Schedule'!G35),0,1)</x:f>
        <x:v>1</x:v>
      </x:c>
      <x:c r="F1066" s="75" t="n">
        <x:v>1</x:v>
      </x:c>
      <x:c r="G1066" s="24" t="str">
        <x:f>IF(E1066=F1066,"PASS","FAIL")</x:f>
        <x:v>PASS</x:v>
      </x:c>
    </x:row>
    <x:row r="1067">
      <x:c r="B1067" s="22" t="str">
        <x:v>AC-1061</x:v>
      </x:c>
      <x:c r="C1067" s="22" t="str">
        <x:v>non-error</x:v>
      </x:c>
      <x:c r="D1067" s="22" t="str">
        <x:v>Workfront Schedule H35</x:v>
      </x:c>
      <x:c r="E1067" s="75" t="n">
        <x:f>IF(ISERROR('Workfront Schedule'!H35),0,1)</x:f>
        <x:v>1</x:v>
      </x:c>
      <x:c r="F1067" s="75" t="n">
        <x:v>1</x:v>
      </x:c>
      <x:c r="G1067" s="24" t="str">
        <x:f>IF(E1067=F1067,"PASS","FAIL")</x:f>
        <x:v>PASS</x:v>
      </x:c>
    </x:row>
    <x:row r="1068">
      <x:c r="B1068" s="22" t="str">
        <x:v>AC-1062</x:v>
      </x:c>
      <x:c r="C1068" s="22" t="str">
        <x:v>non-error</x:v>
      </x:c>
      <x:c r="D1068" s="22" t="str">
        <x:v>Workfront Schedule I35</x:v>
      </x:c>
      <x:c r="E1068" s="75" t="n">
        <x:f>IF(ISERROR('Workfront Schedule'!I35),0,1)</x:f>
        <x:v>1</x:v>
      </x:c>
      <x:c r="F1068" s="75" t="n">
        <x:v>1</x:v>
      </x:c>
      <x:c r="G1068" s="24" t="str">
        <x:f>IF(E1068=F1068,"PASS","FAIL")</x:f>
        <x:v>PASS</x:v>
      </x:c>
    </x:row>
    <x:row r="1069">
      <x:c r="B1069" s="22" t="str">
        <x:v>AC-1063</x:v>
      </x:c>
      <x:c r="C1069" s="22" t="str">
        <x:v>non-error</x:v>
      </x:c>
      <x:c r="D1069" s="22" t="str">
        <x:v>Workfront Schedule J35</x:v>
      </x:c>
      <x:c r="E1069" s="75" t="n">
        <x:f>IF(ISERROR('Workfront Schedule'!J35),0,1)</x:f>
        <x:v>1</x:v>
      </x:c>
      <x:c r="F1069" s="75" t="n">
        <x:v>1</x:v>
      </x:c>
      <x:c r="G1069" s="24" t="str">
        <x:f>IF(E1069=F1069,"PASS","FAIL")</x:f>
        <x:v>PASS</x:v>
      </x:c>
    </x:row>
    <x:row r="1070">
      <x:c r="B1070" s="22" t="str">
        <x:v>AC-1064</x:v>
      </x:c>
      <x:c r="C1070" s="22" t="str">
        <x:v>non-error</x:v>
      </x:c>
      <x:c r="D1070" s="22" t="str">
        <x:v>Workfront Schedule K35</x:v>
      </x:c>
      <x:c r="E1070" s="75" t="n">
        <x:f>IF(ISERROR('Workfront Schedule'!K35),0,1)</x:f>
        <x:v>1</x:v>
      </x:c>
      <x:c r="F1070" s="75" t="n">
        <x:v>1</x:v>
      </x:c>
      <x:c r="G1070" s="24" t="str">
        <x:f>IF(E1070=F1070,"PASS","FAIL")</x:f>
        <x:v>PASS</x:v>
      </x:c>
    </x:row>
    <x:row r="1071">
      <x:c r="B1071" s="22" t="str">
        <x:v>AC-1065</x:v>
      </x:c>
      <x:c r="C1071" s="22" t="str">
        <x:v>non-error</x:v>
      </x:c>
      <x:c r="D1071" s="22" t="str">
        <x:v>Workfront Schedule L35</x:v>
      </x:c>
      <x:c r="E1071" s="75" t="n">
        <x:f>IF(ISERROR('Workfront Schedule'!L35),0,1)</x:f>
        <x:v>1</x:v>
      </x:c>
      <x:c r="F1071" s="75" t="n">
        <x:v>1</x:v>
      </x:c>
      <x:c r="G1071" s="24" t="str">
        <x:f>IF(E1071=F1071,"PASS","FAIL")</x:f>
        <x:v>PASS</x:v>
      </x:c>
    </x:row>
    <x:row r="1072">
      <x:c r="B1072" s="22" t="str">
        <x:v>AC-1066</x:v>
      </x:c>
      <x:c r="C1072" s="22" t="str">
        <x:v>non-error</x:v>
      </x:c>
      <x:c r="D1072" s="22" t="str">
        <x:v>Workfront Schedule M35</x:v>
      </x:c>
      <x:c r="E1072" s="75" t="n">
        <x:f>IF(ISERROR('Workfront Schedule'!M35),0,1)</x:f>
        <x:v>1</x:v>
      </x:c>
      <x:c r="F1072" s="75" t="n">
        <x:v>1</x:v>
      </x:c>
      <x:c r="G1072" s="24" t="str">
        <x:f>IF(E1072=F1072,"PASS","FAIL")</x:f>
        <x:v>PASS</x:v>
      </x:c>
    </x:row>
    <x:row r="1073">
      <x:c r="B1073" s="22" t="str">
        <x:v>AC-1067</x:v>
      </x:c>
      <x:c r="C1073" s="22" t="str">
        <x:v>non-error</x:v>
      </x:c>
      <x:c r="D1073" s="22" t="str">
        <x:v>Workfront Schedule N35</x:v>
      </x:c>
      <x:c r="E1073" s="75" t="n">
        <x:f>IF(ISERROR('Workfront Schedule'!N35),0,1)</x:f>
        <x:v>1</x:v>
      </x:c>
      <x:c r="F1073" s="75" t="n">
        <x:v>1</x:v>
      </x:c>
      <x:c r="G1073" s="24" t="str">
        <x:f>IF(E1073=F1073,"PASS","FAIL")</x:f>
        <x:v>PASS</x:v>
      </x:c>
    </x:row>
    <x:row r="1074">
      <x:c r="B1074" s="22" t="str">
        <x:v>AC-1068</x:v>
      </x:c>
      <x:c r="C1074" s="22" t="str">
        <x:v>non-error</x:v>
      </x:c>
      <x:c r="D1074" s="22" t="str">
        <x:v>Workfront Schedule O35</x:v>
      </x:c>
      <x:c r="E1074" s="75" t="n">
        <x:f>IF(ISERROR('Workfront Schedule'!O35),0,1)</x:f>
        <x:v>1</x:v>
      </x:c>
      <x:c r="F1074" s="75" t="n">
        <x:v>1</x:v>
      </x:c>
      <x:c r="G1074" s="24" t="str">
        <x:f>IF(E1074=F1074,"PASS","FAIL")</x:f>
        <x:v>PASS</x:v>
      </x:c>
    </x:row>
    <x:row r="1075">
      <x:c r="B1075" s="22" t="str">
        <x:v>AC-1069</x:v>
      </x:c>
      <x:c r="C1075" s="22" t="str">
        <x:v>non-error</x:v>
      </x:c>
      <x:c r="D1075" s="22" t="str">
        <x:v>Workfront Schedule P35</x:v>
      </x:c>
      <x:c r="E1075" s="75" t="n">
        <x:f>IF(ISERROR('Workfront Schedule'!P35),0,1)</x:f>
        <x:v>1</x:v>
      </x:c>
      <x:c r="F1075" s="75" t="n">
        <x:v>1</x:v>
      </x:c>
      <x:c r="G1075" s="24" t="str">
        <x:f>IF(E1075=F1075,"PASS","FAIL")</x:f>
        <x:v>PASS</x:v>
      </x:c>
    </x:row>
    <x:row r="1076">
      <x:c r="B1076" s="22" t="str">
        <x:v>AC-1070</x:v>
      </x:c>
      <x:c r="C1076" s="22" t="str">
        <x:v>non-error</x:v>
      </x:c>
      <x:c r="D1076" s="22" t="str">
        <x:v>Workfront Schedule G36</x:v>
      </x:c>
      <x:c r="E1076" s="75" t="n">
        <x:f>IF(ISERROR('Workfront Schedule'!G36),0,1)</x:f>
        <x:v>1</x:v>
      </x:c>
      <x:c r="F1076" s="75" t="n">
        <x:v>1</x:v>
      </x:c>
      <x:c r="G1076" s="24" t="str">
        <x:f>IF(E1076=F1076,"PASS","FAIL")</x:f>
        <x:v>PASS</x:v>
      </x:c>
    </x:row>
    <x:row r="1077">
      <x:c r="B1077" s="22" t="str">
        <x:v>AC-1071</x:v>
      </x:c>
      <x:c r="C1077" s="22" t="str">
        <x:v>non-error</x:v>
      </x:c>
      <x:c r="D1077" s="22" t="str">
        <x:v>Workfront Schedule H36</x:v>
      </x:c>
      <x:c r="E1077" s="75" t="n">
        <x:f>IF(ISERROR('Workfront Schedule'!H36),0,1)</x:f>
        <x:v>1</x:v>
      </x:c>
      <x:c r="F1077" s="75" t="n">
        <x:v>1</x:v>
      </x:c>
      <x:c r="G1077" s="24" t="str">
        <x:f>IF(E1077=F1077,"PASS","FAIL")</x:f>
        <x:v>PASS</x:v>
      </x:c>
    </x:row>
    <x:row r="1078">
      <x:c r="B1078" s="22" t="str">
        <x:v>AC-1072</x:v>
      </x:c>
      <x:c r="C1078" s="22" t="str">
        <x:v>non-error</x:v>
      </x:c>
      <x:c r="D1078" s="22" t="str">
        <x:v>Workfront Schedule I36</x:v>
      </x:c>
      <x:c r="E1078" s="75" t="n">
        <x:f>IF(ISERROR('Workfront Schedule'!I36),0,1)</x:f>
        <x:v>1</x:v>
      </x:c>
      <x:c r="F1078" s="75" t="n">
        <x:v>1</x:v>
      </x:c>
      <x:c r="G1078" s="24" t="str">
        <x:f>IF(E1078=F1078,"PASS","FAIL")</x:f>
        <x:v>PASS</x:v>
      </x:c>
    </x:row>
    <x:row r="1079">
      <x:c r="B1079" s="22" t="str">
        <x:v>AC-1073</x:v>
      </x:c>
      <x:c r="C1079" s="22" t="str">
        <x:v>non-error</x:v>
      </x:c>
      <x:c r="D1079" s="22" t="str">
        <x:v>Workfront Schedule J36</x:v>
      </x:c>
      <x:c r="E1079" s="75" t="n">
        <x:f>IF(ISERROR('Workfront Schedule'!J36),0,1)</x:f>
        <x:v>1</x:v>
      </x:c>
      <x:c r="F1079" s="75" t="n">
        <x:v>1</x:v>
      </x:c>
      <x:c r="G1079" s="24" t="str">
        <x:f>IF(E1079=F1079,"PASS","FAIL")</x:f>
        <x:v>PASS</x:v>
      </x:c>
    </x:row>
    <x:row r="1080">
      <x:c r="B1080" s="22" t="str">
        <x:v>AC-1074</x:v>
      </x:c>
      <x:c r="C1080" s="22" t="str">
        <x:v>non-error</x:v>
      </x:c>
      <x:c r="D1080" s="22" t="str">
        <x:v>Workfront Schedule K36</x:v>
      </x:c>
      <x:c r="E1080" s="75" t="n">
        <x:f>IF(ISERROR('Workfront Schedule'!K36),0,1)</x:f>
        <x:v>1</x:v>
      </x:c>
      <x:c r="F1080" s="75" t="n">
        <x:v>1</x:v>
      </x:c>
      <x:c r="G1080" s="24" t="str">
        <x:f>IF(E1080=F1080,"PASS","FAIL")</x:f>
        <x:v>PASS</x:v>
      </x:c>
    </x:row>
    <x:row r="1081">
      <x:c r="B1081" s="22" t="str">
        <x:v>AC-1075</x:v>
      </x:c>
      <x:c r="C1081" s="22" t="str">
        <x:v>non-error</x:v>
      </x:c>
      <x:c r="D1081" s="22" t="str">
        <x:v>Workfront Schedule L36</x:v>
      </x:c>
      <x:c r="E1081" s="75" t="n">
        <x:f>IF(ISERROR('Workfront Schedule'!L36),0,1)</x:f>
        <x:v>1</x:v>
      </x:c>
      <x:c r="F1081" s="75" t="n">
        <x:v>1</x:v>
      </x:c>
      <x:c r="G1081" s="24" t="str">
        <x:f>IF(E1081=F1081,"PASS","FAIL")</x:f>
        <x:v>PASS</x:v>
      </x:c>
    </x:row>
    <x:row r="1082">
      <x:c r="B1082" s="22" t="str">
        <x:v>AC-1076</x:v>
      </x:c>
      <x:c r="C1082" s="22" t="str">
        <x:v>non-error</x:v>
      </x:c>
      <x:c r="D1082" s="22" t="str">
        <x:v>Workfront Schedule M36</x:v>
      </x:c>
      <x:c r="E1082" s="75" t="n">
        <x:f>IF(ISERROR('Workfront Schedule'!M36),0,1)</x:f>
        <x:v>1</x:v>
      </x:c>
      <x:c r="F1082" s="75" t="n">
        <x:v>1</x:v>
      </x:c>
      <x:c r="G1082" s="24" t="str">
        <x:f>IF(E1082=F1082,"PASS","FAIL")</x:f>
        <x:v>PASS</x:v>
      </x:c>
    </x:row>
    <x:row r="1083">
      <x:c r="B1083" s="22" t="str">
        <x:v>AC-1077</x:v>
      </x:c>
      <x:c r="C1083" s="22" t="str">
        <x:v>non-error</x:v>
      </x:c>
      <x:c r="D1083" s="22" t="str">
        <x:v>Workfront Schedule N36</x:v>
      </x:c>
      <x:c r="E1083" s="75" t="n">
        <x:f>IF(ISERROR('Workfront Schedule'!N36),0,1)</x:f>
        <x:v>1</x:v>
      </x:c>
      <x:c r="F1083" s="75" t="n">
        <x:v>1</x:v>
      </x:c>
      <x:c r="G1083" s="24" t="str">
        <x:f>IF(E1083=F1083,"PASS","FAIL")</x:f>
        <x:v>PASS</x:v>
      </x:c>
    </x:row>
    <x:row r="1084">
      <x:c r="B1084" s="22" t="str">
        <x:v>AC-1078</x:v>
      </x:c>
      <x:c r="C1084" s="22" t="str">
        <x:v>non-error</x:v>
      </x:c>
      <x:c r="D1084" s="22" t="str">
        <x:v>Workfront Schedule O36</x:v>
      </x:c>
      <x:c r="E1084" s="75" t="n">
        <x:f>IF(ISERROR('Workfront Schedule'!O36),0,1)</x:f>
        <x:v>1</x:v>
      </x:c>
      <x:c r="F1084" s="75" t="n">
        <x:v>1</x:v>
      </x:c>
      <x:c r="G1084" s="24" t="str">
        <x:f>IF(E1084=F1084,"PASS","FAIL")</x:f>
        <x:v>PASS</x:v>
      </x:c>
    </x:row>
    <x:row r="1085">
      <x:c r="B1085" s="22" t="str">
        <x:v>AC-1079</x:v>
      </x:c>
      <x:c r="C1085" s="22" t="str">
        <x:v>non-error</x:v>
      </x:c>
      <x:c r="D1085" s="22" t="str">
        <x:v>Workfront Schedule P36</x:v>
      </x:c>
      <x:c r="E1085" s="75" t="n">
        <x:f>IF(ISERROR('Workfront Schedule'!P36),0,1)</x:f>
        <x:v>1</x:v>
      </x:c>
      <x:c r="F1085" s="75" t="n">
        <x:v>1</x:v>
      </x:c>
      <x:c r="G1085" s="24" t="str">
        <x:f>IF(E1085=F1085,"PASS","FAIL")</x:f>
        <x:v>PASS</x:v>
      </x:c>
    </x:row>
    <x:row r="1086">
      <x:c r="B1086" s="22" t="str">
        <x:v>AC-1080</x:v>
      </x:c>
      <x:c r="C1086" s="22" t="str">
        <x:v>non-error</x:v>
      </x:c>
      <x:c r="D1086" s="22" t="str">
        <x:v>Workfront Schedule G37</x:v>
      </x:c>
      <x:c r="E1086" s="75" t="n">
        <x:f>IF(ISERROR('Workfront Schedule'!G37),0,1)</x:f>
        <x:v>1</x:v>
      </x:c>
      <x:c r="F1086" s="75" t="n">
        <x:v>1</x:v>
      </x:c>
      <x:c r="G1086" s="24" t="str">
        <x:f>IF(E1086=F1086,"PASS","FAIL")</x:f>
        <x:v>PASS</x:v>
      </x:c>
    </x:row>
    <x:row r="1087">
      <x:c r="B1087" s="22" t="str">
        <x:v>AC-1081</x:v>
      </x:c>
      <x:c r="C1087" s="22" t="str">
        <x:v>non-error</x:v>
      </x:c>
      <x:c r="D1087" s="22" t="str">
        <x:v>Workfront Schedule H37</x:v>
      </x:c>
      <x:c r="E1087" s="75" t="n">
        <x:f>IF(ISERROR('Workfront Schedule'!H37),0,1)</x:f>
        <x:v>1</x:v>
      </x:c>
      <x:c r="F1087" s="75" t="n">
        <x:v>1</x:v>
      </x:c>
      <x:c r="G1087" s="24" t="str">
        <x:f>IF(E1087=F1087,"PASS","FAIL")</x:f>
        <x:v>PASS</x:v>
      </x:c>
    </x:row>
    <x:row r="1088">
      <x:c r="B1088" s="22" t="str">
        <x:v>AC-1082</x:v>
      </x:c>
      <x:c r="C1088" s="22" t="str">
        <x:v>non-error</x:v>
      </x:c>
      <x:c r="D1088" s="22" t="str">
        <x:v>Workfront Schedule I37</x:v>
      </x:c>
      <x:c r="E1088" s="75" t="n">
        <x:f>IF(ISERROR('Workfront Schedule'!I37),0,1)</x:f>
        <x:v>1</x:v>
      </x:c>
      <x:c r="F1088" s="75" t="n">
        <x:v>1</x:v>
      </x:c>
      <x:c r="G1088" s="24" t="str">
        <x:f>IF(E1088=F1088,"PASS","FAIL")</x:f>
        <x:v>PASS</x:v>
      </x:c>
    </x:row>
    <x:row r="1089">
      <x:c r="B1089" s="22" t="str">
        <x:v>AC-1083</x:v>
      </x:c>
      <x:c r="C1089" s="22" t="str">
        <x:v>non-error</x:v>
      </x:c>
      <x:c r="D1089" s="22" t="str">
        <x:v>Workfront Schedule J37</x:v>
      </x:c>
      <x:c r="E1089" s="75" t="n">
        <x:f>IF(ISERROR('Workfront Schedule'!J37),0,1)</x:f>
        <x:v>1</x:v>
      </x:c>
      <x:c r="F1089" s="75" t="n">
        <x:v>1</x:v>
      </x:c>
      <x:c r="G1089" s="24" t="str">
        <x:f>IF(E1089=F1089,"PASS","FAIL")</x:f>
        <x:v>PASS</x:v>
      </x:c>
    </x:row>
    <x:row r="1090">
      <x:c r="B1090" s="22" t="str">
        <x:v>AC-1084</x:v>
      </x:c>
      <x:c r="C1090" s="22" t="str">
        <x:v>non-error</x:v>
      </x:c>
      <x:c r="D1090" s="22" t="str">
        <x:v>Workfront Schedule K37</x:v>
      </x:c>
      <x:c r="E1090" s="75" t="n">
        <x:f>IF(ISERROR('Workfront Schedule'!K37),0,1)</x:f>
        <x:v>1</x:v>
      </x:c>
      <x:c r="F1090" s="75" t="n">
        <x:v>1</x:v>
      </x:c>
      <x:c r="G1090" s="24" t="str">
        <x:f>IF(E1090=F1090,"PASS","FAIL")</x:f>
        <x:v>PASS</x:v>
      </x:c>
    </x:row>
    <x:row r="1091">
      <x:c r="B1091" s="22" t="str">
        <x:v>AC-1085</x:v>
      </x:c>
      <x:c r="C1091" s="22" t="str">
        <x:v>non-error</x:v>
      </x:c>
      <x:c r="D1091" s="22" t="str">
        <x:v>Workfront Schedule L37</x:v>
      </x:c>
      <x:c r="E1091" s="75" t="n">
        <x:f>IF(ISERROR('Workfront Schedule'!L37),0,1)</x:f>
        <x:v>1</x:v>
      </x:c>
      <x:c r="F1091" s="75" t="n">
        <x:v>1</x:v>
      </x:c>
      <x:c r="G1091" s="24" t="str">
        <x:f>IF(E1091=F1091,"PASS","FAIL")</x:f>
        <x:v>PASS</x:v>
      </x:c>
    </x:row>
    <x:row r="1092">
      <x:c r="B1092" s="22" t="str">
        <x:v>AC-1086</x:v>
      </x:c>
      <x:c r="C1092" s="22" t="str">
        <x:v>non-error</x:v>
      </x:c>
      <x:c r="D1092" s="22" t="str">
        <x:v>Workfront Schedule M37</x:v>
      </x:c>
      <x:c r="E1092" s="75" t="n">
        <x:f>IF(ISERROR('Workfront Schedule'!M37),0,1)</x:f>
        <x:v>1</x:v>
      </x:c>
      <x:c r="F1092" s="75" t="n">
        <x:v>1</x:v>
      </x:c>
      <x:c r="G1092" s="24" t="str">
        <x:f>IF(E1092=F1092,"PASS","FAIL")</x:f>
        <x:v>PASS</x:v>
      </x:c>
    </x:row>
    <x:row r="1093">
      <x:c r="B1093" s="22" t="str">
        <x:v>AC-1087</x:v>
      </x:c>
      <x:c r="C1093" s="22" t="str">
        <x:v>non-error</x:v>
      </x:c>
      <x:c r="D1093" s="22" t="str">
        <x:v>Workfront Schedule N37</x:v>
      </x:c>
      <x:c r="E1093" s="75" t="n">
        <x:f>IF(ISERROR('Workfront Schedule'!N37),0,1)</x:f>
        <x:v>1</x:v>
      </x:c>
      <x:c r="F1093" s="75" t="n">
        <x:v>1</x:v>
      </x:c>
      <x:c r="G1093" s="24" t="str">
        <x:f>IF(E1093=F1093,"PASS","FAIL")</x:f>
        <x:v>PASS</x:v>
      </x:c>
    </x:row>
    <x:row r="1094">
      <x:c r="B1094" s="22" t="str">
        <x:v>AC-1088</x:v>
      </x:c>
      <x:c r="C1094" s="22" t="str">
        <x:v>non-error</x:v>
      </x:c>
      <x:c r="D1094" s="22" t="str">
        <x:v>Workfront Schedule O37</x:v>
      </x:c>
      <x:c r="E1094" s="75" t="n">
        <x:f>IF(ISERROR('Workfront Schedule'!O37),0,1)</x:f>
        <x:v>1</x:v>
      </x:c>
      <x:c r="F1094" s="75" t="n">
        <x:v>1</x:v>
      </x:c>
      <x:c r="G1094" s="24" t="str">
        <x:f>IF(E1094=F1094,"PASS","FAIL")</x:f>
        <x:v>PASS</x:v>
      </x:c>
    </x:row>
    <x:row r="1095">
      <x:c r="B1095" s="22" t="str">
        <x:v>AC-1089</x:v>
      </x:c>
      <x:c r="C1095" s="22" t="str">
        <x:v>non-error</x:v>
      </x:c>
      <x:c r="D1095" s="22" t="str">
        <x:v>Workfront Schedule P37</x:v>
      </x:c>
      <x:c r="E1095" s="75" t="n">
        <x:f>IF(ISERROR('Workfront Schedule'!P37),0,1)</x:f>
        <x:v>1</x:v>
      </x:c>
      <x:c r="F1095" s="75" t="n">
        <x:v>1</x:v>
      </x:c>
      <x:c r="G1095" s="24" t="str">
        <x:f>IF(E1095=F1095,"PASS","FAIL")</x:f>
        <x:v>PASS</x:v>
      </x:c>
    </x:row>
    <x:row r="1096">
      <x:c r="B1096" s="22" t="str">
        <x:v>AC-1090</x:v>
      </x:c>
      <x:c r="C1096" s="22" t="str">
        <x:v>non-error</x:v>
      </x:c>
      <x:c r="D1096" s="22" t="str">
        <x:v>Workfront Schedule G38</x:v>
      </x:c>
      <x:c r="E1096" s="75" t="n">
        <x:f>IF(ISERROR('Workfront Schedule'!G38),0,1)</x:f>
        <x:v>1</x:v>
      </x:c>
      <x:c r="F1096" s="75" t="n">
        <x:v>1</x:v>
      </x:c>
      <x:c r="G1096" s="24" t="str">
        <x:f>IF(E1096=F1096,"PASS","FAIL")</x:f>
        <x:v>PASS</x:v>
      </x:c>
    </x:row>
    <x:row r="1097">
      <x:c r="B1097" s="22" t="str">
        <x:v>AC-1091</x:v>
      </x:c>
      <x:c r="C1097" s="22" t="str">
        <x:v>non-error</x:v>
      </x:c>
      <x:c r="D1097" s="22" t="str">
        <x:v>Workfront Schedule H38</x:v>
      </x:c>
      <x:c r="E1097" s="75" t="n">
        <x:f>IF(ISERROR('Workfront Schedule'!H38),0,1)</x:f>
        <x:v>1</x:v>
      </x:c>
      <x:c r="F1097" s="75" t="n">
        <x:v>1</x:v>
      </x:c>
      <x:c r="G1097" s="24" t="str">
        <x:f>IF(E1097=F1097,"PASS","FAIL")</x:f>
        <x:v>PASS</x:v>
      </x:c>
    </x:row>
    <x:row r="1098">
      <x:c r="B1098" s="22" t="str">
        <x:v>AC-1092</x:v>
      </x:c>
      <x:c r="C1098" s="22" t="str">
        <x:v>non-error</x:v>
      </x:c>
      <x:c r="D1098" s="22" t="str">
        <x:v>Workfront Schedule I38</x:v>
      </x:c>
      <x:c r="E1098" s="75" t="n">
        <x:f>IF(ISERROR('Workfront Schedule'!I38),0,1)</x:f>
        <x:v>1</x:v>
      </x:c>
      <x:c r="F1098" s="75" t="n">
        <x:v>1</x:v>
      </x:c>
      <x:c r="G1098" s="24" t="str">
        <x:f>IF(E1098=F1098,"PASS","FAIL")</x:f>
        <x:v>PASS</x:v>
      </x:c>
    </x:row>
    <x:row r="1099">
      <x:c r="B1099" s="22" t="str">
        <x:v>AC-1093</x:v>
      </x:c>
      <x:c r="C1099" s="22" t="str">
        <x:v>non-error</x:v>
      </x:c>
      <x:c r="D1099" s="22" t="str">
        <x:v>Workfront Schedule J38</x:v>
      </x:c>
      <x:c r="E1099" s="75" t="n">
        <x:f>IF(ISERROR('Workfront Schedule'!J38),0,1)</x:f>
        <x:v>1</x:v>
      </x:c>
      <x:c r="F1099" s="75" t="n">
        <x:v>1</x:v>
      </x:c>
      <x:c r="G1099" s="24" t="str">
        <x:f>IF(E1099=F1099,"PASS","FAIL")</x:f>
        <x:v>PASS</x:v>
      </x:c>
    </x:row>
    <x:row r="1100">
      <x:c r="B1100" s="22" t="str">
        <x:v>AC-1094</x:v>
      </x:c>
      <x:c r="C1100" s="22" t="str">
        <x:v>non-error</x:v>
      </x:c>
      <x:c r="D1100" s="22" t="str">
        <x:v>Workfront Schedule K38</x:v>
      </x:c>
      <x:c r="E1100" s="75" t="n">
        <x:f>IF(ISERROR('Workfront Schedule'!K38),0,1)</x:f>
        <x:v>1</x:v>
      </x:c>
      <x:c r="F1100" s="75" t="n">
        <x:v>1</x:v>
      </x:c>
      <x:c r="G1100" s="24" t="str">
        <x:f>IF(E1100=F1100,"PASS","FAIL")</x:f>
        <x:v>PASS</x:v>
      </x:c>
    </x:row>
    <x:row r="1101">
      <x:c r="B1101" s="22" t="str">
        <x:v>AC-1095</x:v>
      </x:c>
      <x:c r="C1101" s="22" t="str">
        <x:v>non-error</x:v>
      </x:c>
      <x:c r="D1101" s="22" t="str">
        <x:v>Workfront Schedule L38</x:v>
      </x:c>
      <x:c r="E1101" s="75" t="n">
        <x:f>IF(ISERROR('Workfront Schedule'!L38),0,1)</x:f>
        <x:v>1</x:v>
      </x:c>
      <x:c r="F1101" s="75" t="n">
        <x:v>1</x:v>
      </x:c>
      <x:c r="G1101" s="24" t="str">
        <x:f>IF(E1101=F1101,"PASS","FAIL")</x:f>
        <x:v>PASS</x:v>
      </x:c>
    </x:row>
    <x:row r="1102">
      <x:c r="B1102" s="22" t="str">
        <x:v>AC-1096</x:v>
      </x:c>
      <x:c r="C1102" s="22" t="str">
        <x:v>non-error</x:v>
      </x:c>
      <x:c r="D1102" s="22" t="str">
        <x:v>Workfront Schedule M38</x:v>
      </x:c>
      <x:c r="E1102" s="75" t="n">
        <x:f>IF(ISERROR('Workfront Schedule'!M38),0,1)</x:f>
        <x:v>1</x:v>
      </x:c>
      <x:c r="F1102" s="75" t="n">
        <x:v>1</x:v>
      </x:c>
      <x:c r="G1102" s="24" t="str">
        <x:f>IF(E1102=F1102,"PASS","FAIL")</x:f>
        <x:v>PASS</x:v>
      </x:c>
    </x:row>
    <x:row r="1103">
      <x:c r="B1103" s="22" t="str">
        <x:v>AC-1097</x:v>
      </x:c>
      <x:c r="C1103" s="22" t="str">
        <x:v>non-error</x:v>
      </x:c>
      <x:c r="D1103" s="22" t="str">
        <x:v>Workfront Schedule N38</x:v>
      </x:c>
      <x:c r="E1103" s="75" t="n">
        <x:f>IF(ISERROR('Workfront Schedule'!N38),0,1)</x:f>
        <x:v>1</x:v>
      </x:c>
      <x:c r="F1103" s="75" t="n">
        <x:v>1</x:v>
      </x:c>
      <x:c r="G1103" s="24" t="str">
        <x:f>IF(E1103=F1103,"PASS","FAIL")</x:f>
        <x:v>PASS</x:v>
      </x:c>
    </x:row>
    <x:row r="1104">
      <x:c r="B1104" s="22" t="str">
        <x:v>AC-1098</x:v>
      </x:c>
      <x:c r="C1104" s="22" t="str">
        <x:v>non-error</x:v>
      </x:c>
      <x:c r="D1104" s="22" t="str">
        <x:v>Workfront Schedule O38</x:v>
      </x:c>
      <x:c r="E1104" s="75" t="n">
        <x:f>IF(ISERROR('Workfront Schedule'!O38),0,1)</x:f>
        <x:v>1</x:v>
      </x:c>
      <x:c r="F1104" s="75" t="n">
        <x:v>1</x:v>
      </x:c>
      <x:c r="G1104" s="24" t="str">
        <x:f>IF(E1104=F1104,"PASS","FAIL")</x:f>
        <x:v>PASS</x:v>
      </x:c>
    </x:row>
    <x:row r="1105">
      <x:c r="B1105" s="22" t="str">
        <x:v>AC-1099</x:v>
      </x:c>
      <x:c r="C1105" s="22" t="str">
        <x:v>non-error</x:v>
      </x:c>
      <x:c r="D1105" s="22" t="str">
        <x:v>Workfront Schedule P38</x:v>
      </x:c>
      <x:c r="E1105" s="75" t="n">
        <x:f>IF(ISERROR('Workfront Schedule'!P38),0,1)</x:f>
        <x:v>1</x:v>
      </x:c>
      <x:c r="F1105" s="75" t="n">
        <x:v>1</x:v>
      </x:c>
      <x:c r="G1105" s="24" t="str">
        <x:f>IF(E1105=F1105,"PASS","FAIL")</x:f>
        <x:v>PASS</x:v>
      </x:c>
    </x:row>
    <x:row r="1106">
      <x:c r="B1106" s="22" t="str">
        <x:v>AC-1100</x:v>
      </x:c>
      <x:c r="C1106" s="22" t="str">
        <x:v>non-error</x:v>
      </x:c>
      <x:c r="D1106" s="22" t="str">
        <x:v>Workfront Schedule G39</x:v>
      </x:c>
      <x:c r="E1106" s="75" t="n">
        <x:f>IF(ISERROR('Workfront Schedule'!G39),0,1)</x:f>
        <x:v>1</x:v>
      </x:c>
      <x:c r="F1106" s="75" t="n">
        <x:v>1</x:v>
      </x:c>
      <x:c r="G1106" s="24" t="str">
        <x:f>IF(E1106=F1106,"PASS","FAIL")</x:f>
        <x:v>PASS</x:v>
      </x:c>
    </x:row>
    <x:row r="1107">
      <x:c r="B1107" s="22" t="str">
        <x:v>AC-1101</x:v>
      </x:c>
      <x:c r="C1107" s="22" t="str">
        <x:v>non-error</x:v>
      </x:c>
      <x:c r="D1107" s="22" t="str">
        <x:v>Workfront Schedule H39</x:v>
      </x:c>
      <x:c r="E1107" s="75" t="n">
        <x:f>IF(ISERROR('Workfront Schedule'!H39),0,1)</x:f>
        <x:v>1</x:v>
      </x:c>
      <x:c r="F1107" s="75" t="n">
        <x:v>1</x:v>
      </x:c>
      <x:c r="G1107" s="24" t="str">
        <x:f>IF(E1107=F1107,"PASS","FAIL")</x:f>
        <x:v>PASS</x:v>
      </x:c>
    </x:row>
    <x:row r="1108">
      <x:c r="B1108" s="22" t="str">
        <x:v>AC-1102</x:v>
      </x:c>
      <x:c r="C1108" s="22" t="str">
        <x:v>non-error</x:v>
      </x:c>
      <x:c r="D1108" s="22" t="str">
        <x:v>Workfront Schedule I39</x:v>
      </x:c>
      <x:c r="E1108" s="75" t="n">
        <x:f>IF(ISERROR('Workfront Schedule'!I39),0,1)</x:f>
        <x:v>1</x:v>
      </x:c>
      <x:c r="F1108" s="75" t="n">
        <x:v>1</x:v>
      </x:c>
      <x:c r="G1108" s="24" t="str">
        <x:f>IF(E1108=F1108,"PASS","FAIL")</x:f>
        <x:v>PASS</x:v>
      </x:c>
    </x:row>
    <x:row r="1109">
      <x:c r="B1109" s="22" t="str">
        <x:v>AC-1103</x:v>
      </x:c>
      <x:c r="C1109" s="22" t="str">
        <x:v>non-error</x:v>
      </x:c>
      <x:c r="D1109" s="22" t="str">
        <x:v>Workfront Schedule J39</x:v>
      </x:c>
      <x:c r="E1109" s="75" t="n">
        <x:f>IF(ISERROR('Workfront Schedule'!J39),0,1)</x:f>
        <x:v>1</x:v>
      </x:c>
      <x:c r="F1109" s="75" t="n">
        <x:v>1</x:v>
      </x:c>
      <x:c r="G1109" s="24" t="str">
        <x:f>IF(E1109=F1109,"PASS","FAIL")</x:f>
        <x:v>PASS</x:v>
      </x:c>
    </x:row>
    <x:row r="1110">
      <x:c r="B1110" s="22" t="str">
        <x:v>AC-1104</x:v>
      </x:c>
      <x:c r="C1110" s="22" t="str">
        <x:v>non-error</x:v>
      </x:c>
      <x:c r="D1110" s="22" t="str">
        <x:v>Workfront Schedule K39</x:v>
      </x:c>
      <x:c r="E1110" s="75" t="n">
        <x:f>IF(ISERROR('Workfront Schedule'!K39),0,1)</x:f>
        <x:v>1</x:v>
      </x:c>
      <x:c r="F1110" s="75" t="n">
        <x:v>1</x:v>
      </x:c>
      <x:c r="G1110" s="24" t="str">
        <x:f>IF(E1110=F1110,"PASS","FAIL")</x:f>
        <x:v>PASS</x:v>
      </x:c>
    </x:row>
    <x:row r="1111">
      <x:c r="B1111" s="22" t="str">
        <x:v>AC-1105</x:v>
      </x:c>
      <x:c r="C1111" s="22" t="str">
        <x:v>non-error</x:v>
      </x:c>
      <x:c r="D1111" s="22" t="str">
        <x:v>Workfront Schedule L39</x:v>
      </x:c>
      <x:c r="E1111" s="75" t="n">
        <x:f>IF(ISERROR('Workfront Schedule'!L39),0,1)</x:f>
        <x:v>1</x:v>
      </x:c>
      <x:c r="F1111" s="75" t="n">
        <x:v>1</x:v>
      </x:c>
      <x:c r="G1111" s="24" t="str">
        <x:f>IF(E1111=F1111,"PASS","FAIL")</x:f>
        <x:v>PASS</x:v>
      </x:c>
    </x:row>
    <x:row r="1112">
      <x:c r="B1112" s="22" t="str">
        <x:v>AC-1106</x:v>
      </x:c>
      <x:c r="C1112" s="22" t="str">
        <x:v>non-error</x:v>
      </x:c>
      <x:c r="D1112" s="22" t="str">
        <x:v>Workfront Schedule M39</x:v>
      </x:c>
      <x:c r="E1112" s="75" t="n">
        <x:f>IF(ISERROR('Workfront Schedule'!M39),0,1)</x:f>
        <x:v>1</x:v>
      </x:c>
      <x:c r="F1112" s="75" t="n">
        <x:v>1</x:v>
      </x:c>
      <x:c r="G1112" s="24" t="str">
        <x:f>IF(E1112=F1112,"PASS","FAIL")</x:f>
        <x:v>PASS</x:v>
      </x:c>
    </x:row>
    <x:row r="1113">
      <x:c r="B1113" s="22" t="str">
        <x:v>AC-1107</x:v>
      </x:c>
      <x:c r="C1113" s="22" t="str">
        <x:v>non-error</x:v>
      </x:c>
      <x:c r="D1113" s="22" t="str">
        <x:v>Workfront Schedule N39</x:v>
      </x:c>
      <x:c r="E1113" s="75" t="n">
        <x:f>IF(ISERROR('Workfront Schedule'!N39),0,1)</x:f>
        <x:v>1</x:v>
      </x:c>
      <x:c r="F1113" s="75" t="n">
        <x:v>1</x:v>
      </x:c>
      <x:c r="G1113" s="24" t="str">
        <x:f>IF(E1113=F1113,"PASS","FAIL")</x:f>
        <x:v>PASS</x:v>
      </x:c>
    </x:row>
    <x:row r="1114">
      <x:c r="B1114" s="22" t="str">
        <x:v>AC-1108</x:v>
      </x:c>
      <x:c r="C1114" s="22" t="str">
        <x:v>non-error</x:v>
      </x:c>
      <x:c r="D1114" s="22" t="str">
        <x:v>Workfront Schedule O39</x:v>
      </x:c>
      <x:c r="E1114" s="75" t="n">
        <x:f>IF(ISERROR('Workfront Schedule'!O39),0,1)</x:f>
        <x:v>1</x:v>
      </x:c>
      <x:c r="F1114" s="75" t="n">
        <x:v>1</x:v>
      </x:c>
      <x:c r="G1114" s="24" t="str">
        <x:f>IF(E1114=F1114,"PASS","FAIL")</x:f>
        <x:v>PASS</x:v>
      </x:c>
    </x:row>
    <x:row r="1115">
      <x:c r="B1115" s="22" t="str">
        <x:v>AC-1109</x:v>
      </x:c>
      <x:c r="C1115" s="22" t="str">
        <x:v>non-error</x:v>
      </x:c>
      <x:c r="D1115" s="22" t="str">
        <x:v>Workfront Schedule P39</x:v>
      </x:c>
      <x:c r="E1115" s="75" t="n">
        <x:f>IF(ISERROR('Workfront Schedule'!P39),0,1)</x:f>
        <x:v>1</x:v>
      </x:c>
      <x:c r="F1115" s="75" t="n">
        <x:v>1</x:v>
      </x:c>
      <x:c r="G1115" s="24" t="str">
        <x:f>IF(E1115=F1115,"PASS","FAIL")</x:f>
        <x:v>PASS</x:v>
      </x:c>
    </x:row>
    <x:row r="1116">
      <x:c r="B1116" s="22" t="str">
        <x:v>AC-1110</x:v>
      </x:c>
      <x:c r="C1116" s="22" t="str">
        <x:v>non-error</x:v>
      </x:c>
      <x:c r="D1116" s="22" t="str">
        <x:v>Workfront Schedule G40</x:v>
      </x:c>
      <x:c r="E1116" s="75" t="n">
        <x:f>IF(ISERROR('Workfront Schedule'!G40),0,1)</x:f>
        <x:v>1</x:v>
      </x:c>
      <x:c r="F1116" s="75" t="n">
        <x:v>1</x:v>
      </x:c>
      <x:c r="G1116" s="24" t="str">
        <x:f>IF(E1116=F1116,"PASS","FAIL")</x:f>
        <x:v>PASS</x:v>
      </x:c>
    </x:row>
    <x:row r="1117">
      <x:c r="B1117" s="22" t="str">
        <x:v>AC-1111</x:v>
      </x:c>
      <x:c r="C1117" s="22" t="str">
        <x:v>non-error</x:v>
      </x:c>
      <x:c r="D1117" s="22" t="str">
        <x:v>Workfront Schedule H40</x:v>
      </x:c>
      <x:c r="E1117" s="75" t="n">
        <x:f>IF(ISERROR('Workfront Schedule'!H40),0,1)</x:f>
        <x:v>1</x:v>
      </x:c>
      <x:c r="F1117" s="75" t="n">
        <x:v>1</x:v>
      </x:c>
      <x:c r="G1117" s="24" t="str">
        <x:f>IF(E1117=F1117,"PASS","FAIL")</x:f>
        <x:v>PASS</x:v>
      </x:c>
    </x:row>
    <x:row r="1118">
      <x:c r="B1118" s="22" t="str">
        <x:v>AC-1112</x:v>
      </x:c>
      <x:c r="C1118" s="22" t="str">
        <x:v>non-error</x:v>
      </x:c>
      <x:c r="D1118" s="22" t="str">
        <x:v>Workfront Schedule I40</x:v>
      </x:c>
      <x:c r="E1118" s="75" t="n">
        <x:f>IF(ISERROR('Workfront Schedule'!I40),0,1)</x:f>
        <x:v>1</x:v>
      </x:c>
      <x:c r="F1118" s="75" t="n">
        <x:v>1</x:v>
      </x:c>
      <x:c r="G1118" s="24" t="str">
        <x:f>IF(E1118=F1118,"PASS","FAIL")</x:f>
        <x:v>PASS</x:v>
      </x:c>
    </x:row>
    <x:row r="1119">
      <x:c r="B1119" s="22" t="str">
        <x:v>AC-1113</x:v>
      </x:c>
      <x:c r="C1119" s="22" t="str">
        <x:v>non-error</x:v>
      </x:c>
      <x:c r="D1119" s="22" t="str">
        <x:v>Workfront Schedule J40</x:v>
      </x:c>
      <x:c r="E1119" s="75" t="n">
        <x:f>IF(ISERROR('Workfront Schedule'!J40),0,1)</x:f>
        <x:v>1</x:v>
      </x:c>
      <x:c r="F1119" s="75" t="n">
        <x:v>1</x:v>
      </x:c>
      <x:c r="G1119" s="24" t="str">
        <x:f>IF(E1119=F1119,"PASS","FAIL")</x:f>
        <x:v>PASS</x:v>
      </x:c>
    </x:row>
    <x:row r="1120">
      <x:c r="B1120" s="22" t="str">
        <x:v>AC-1114</x:v>
      </x:c>
      <x:c r="C1120" s="22" t="str">
        <x:v>non-error</x:v>
      </x:c>
      <x:c r="D1120" s="22" t="str">
        <x:v>Workfront Schedule K40</x:v>
      </x:c>
      <x:c r="E1120" s="75" t="n">
        <x:f>IF(ISERROR('Workfront Schedule'!K40),0,1)</x:f>
        <x:v>1</x:v>
      </x:c>
      <x:c r="F1120" s="75" t="n">
        <x:v>1</x:v>
      </x:c>
      <x:c r="G1120" s="24" t="str">
        <x:f>IF(E1120=F1120,"PASS","FAIL")</x:f>
        <x:v>PASS</x:v>
      </x:c>
    </x:row>
    <x:row r="1121">
      <x:c r="B1121" s="22" t="str">
        <x:v>AC-1115</x:v>
      </x:c>
      <x:c r="C1121" s="22" t="str">
        <x:v>non-error</x:v>
      </x:c>
      <x:c r="D1121" s="22" t="str">
        <x:v>Workfront Schedule L40</x:v>
      </x:c>
      <x:c r="E1121" s="75" t="n">
        <x:f>IF(ISERROR('Workfront Schedule'!L40),0,1)</x:f>
        <x:v>1</x:v>
      </x:c>
      <x:c r="F1121" s="75" t="n">
        <x:v>1</x:v>
      </x:c>
      <x:c r="G1121" s="24" t="str">
        <x:f>IF(E1121=F1121,"PASS","FAIL")</x:f>
        <x:v>PASS</x:v>
      </x:c>
    </x:row>
    <x:row r="1122">
      <x:c r="B1122" s="22" t="str">
        <x:v>AC-1116</x:v>
      </x:c>
      <x:c r="C1122" s="22" t="str">
        <x:v>non-error</x:v>
      </x:c>
      <x:c r="D1122" s="22" t="str">
        <x:v>Workfront Schedule M40</x:v>
      </x:c>
      <x:c r="E1122" s="75" t="n">
        <x:f>IF(ISERROR('Workfront Schedule'!M40),0,1)</x:f>
        <x:v>1</x:v>
      </x:c>
      <x:c r="F1122" s="75" t="n">
        <x:v>1</x:v>
      </x:c>
      <x:c r="G1122" s="24" t="str">
        <x:f>IF(E1122=F1122,"PASS","FAIL")</x:f>
        <x:v>PASS</x:v>
      </x:c>
    </x:row>
    <x:row r="1123">
      <x:c r="B1123" s="22" t="str">
        <x:v>AC-1117</x:v>
      </x:c>
      <x:c r="C1123" s="22" t="str">
        <x:v>non-error</x:v>
      </x:c>
      <x:c r="D1123" s="22" t="str">
        <x:v>Workfront Schedule N40</x:v>
      </x:c>
      <x:c r="E1123" s="75" t="n">
        <x:f>IF(ISERROR('Workfront Schedule'!N40),0,1)</x:f>
        <x:v>1</x:v>
      </x:c>
      <x:c r="F1123" s="75" t="n">
        <x:v>1</x:v>
      </x:c>
      <x:c r="G1123" s="24" t="str">
        <x:f>IF(E1123=F1123,"PASS","FAIL")</x:f>
        <x:v>PASS</x:v>
      </x:c>
    </x:row>
    <x:row r="1124">
      <x:c r="B1124" s="22" t="str">
        <x:v>AC-1118</x:v>
      </x:c>
      <x:c r="C1124" s="22" t="str">
        <x:v>non-error</x:v>
      </x:c>
      <x:c r="D1124" s="22" t="str">
        <x:v>Workfront Schedule O40</x:v>
      </x:c>
      <x:c r="E1124" s="75" t="n">
        <x:f>IF(ISERROR('Workfront Schedule'!O40),0,1)</x:f>
        <x:v>1</x:v>
      </x:c>
      <x:c r="F1124" s="75" t="n">
        <x:v>1</x:v>
      </x:c>
      <x:c r="G1124" s="24" t="str">
        <x:f>IF(E1124=F1124,"PASS","FAIL")</x:f>
        <x:v>PASS</x:v>
      </x:c>
    </x:row>
    <x:row r="1125">
      <x:c r="B1125" s="22" t="str">
        <x:v>AC-1119</x:v>
      </x:c>
      <x:c r="C1125" s="22" t="str">
        <x:v>non-error</x:v>
      </x:c>
      <x:c r="D1125" s="22" t="str">
        <x:v>Workfront Schedule P40</x:v>
      </x:c>
      <x:c r="E1125" s="75" t="n">
        <x:f>IF(ISERROR('Workfront Schedule'!P40),0,1)</x:f>
        <x:v>1</x:v>
      </x:c>
      <x:c r="F1125" s="75" t="n">
        <x:v>1</x:v>
      </x:c>
      <x:c r="G1125" s="24" t="str">
        <x:f>IF(E1125=F1125,"PASS","FAIL")</x:f>
        <x:v>PASS</x:v>
      </x:c>
    </x:row>
    <x:row r="1126">
      <x:c r="B1126" s="22" t="str">
        <x:v>AC-1120</x:v>
      </x:c>
      <x:c r="C1126" s="22" t="str">
        <x:v>non-error</x:v>
      </x:c>
      <x:c r="D1126" s="22" t="str">
        <x:v>Workfront Schedule G41</x:v>
      </x:c>
      <x:c r="E1126" s="75" t="n">
        <x:f>IF(ISERROR('Workfront Schedule'!G41),0,1)</x:f>
        <x:v>1</x:v>
      </x:c>
      <x:c r="F1126" s="75" t="n">
        <x:v>1</x:v>
      </x:c>
      <x:c r="G1126" s="24" t="str">
        <x:f>IF(E1126=F1126,"PASS","FAIL")</x:f>
        <x:v>PASS</x:v>
      </x:c>
    </x:row>
    <x:row r="1127">
      <x:c r="B1127" s="22" t="str">
        <x:v>AC-1121</x:v>
      </x:c>
      <x:c r="C1127" s="22" t="str">
        <x:v>non-error</x:v>
      </x:c>
      <x:c r="D1127" s="22" t="str">
        <x:v>Workfront Schedule H41</x:v>
      </x:c>
      <x:c r="E1127" s="75" t="n">
        <x:f>IF(ISERROR('Workfront Schedule'!H41),0,1)</x:f>
        <x:v>1</x:v>
      </x:c>
      <x:c r="F1127" s="75" t="n">
        <x:v>1</x:v>
      </x:c>
      <x:c r="G1127" s="24" t="str">
        <x:f>IF(E1127=F1127,"PASS","FAIL")</x:f>
        <x:v>PASS</x:v>
      </x:c>
    </x:row>
    <x:row r="1128">
      <x:c r="B1128" s="22" t="str">
        <x:v>AC-1122</x:v>
      </x:c>
      <x:c r="C1128" s="22" t="str">
        <x:v>non-error</x:v>
      </x:c>
      <x:c r="D1128" s="22" t="str">
        <x:v>Workfront Schedule I41</x:v>
      </x:c>
      <x:c r="E1128" s="75" t="n">
        <x:f>IF(ISERROR('Workfront Schedule'!I41),0,1)</x:f>
        <x:v>1</x:v>
      </x:c>
      <x:c r="F1128" s="75" t="n">
        <x:v>1</x:v>
      </x:c>
      <x:c r="G1128" s="24" t="str">
        <x:f>IF(E1128=F1128,"PASS","FAIL")</x:f>
        <x:v>PASS</x:v>
      </x:c>
    </x:row>
    <x:row r="1129">
      <x:c r="B1129" s="22" t="str">
        <x:v>AC-1123</x:v>
      </x:c>
      <x:c r="C1129" s="22" t="str">
        <x:v>non-error</x:v>
      </x:c>
      <x:c r="D1129" s="22" t="str">
        <x:v>Workfront Schedule J41</x:v>
      </x:c>
      <x:c r="E1129" s="75" t="n">
        <x:f>IF(ISERROR('Workfront Schedule'!J41),0,1)</x:f>
        <x:v>1</x:v>
      </x:c>
      <x:c r="F1129" s="75" t="n">
        <x:v>1</x:v>
      </x:c>
      <x:c r="G1129" s="24" t="str">
        <x:f>IF(E1129=F1129,"PASS","FAIL")</x:f>
        <x:v>PASS</x:v>
      </x:c>
    </x:row>
    <x:row r="1130">
      <x:c r="B1130" s="22" t="str">
        <x:v>AC-1124</x:v>
      </x:c>
      <x:c r="C1130" s="22" t="str">
        <x:v>non-error</x:v>
      </x:c>
      <x:c r="D1130" s="22" t="str">
        <x:v>Workfront Schedule K41</x:v>
      </x:c>
      <x:c r="E1130" s="75" t="n">
        <x:f>IF(ISERROR('Workfront Schedule'!K41),0,1)</x:f>
        <x:v>1</x:v>
      </x:c>
      <x:c r="F1130" s="75" t="n">
        <x:v>1</x:v>
      </x:c>
      <x:c r="G1130" s="24" t="str">
        <x:f>IF(E1130=F1130,"PASS","FAIL")</x:f>
        <x:v>PASS</x:v>
      </x:c>
    </x:row>
    <x:row r="1131">
      <x:c r="B1131" s="22" t="str">
        <x:v>AC-1125</x:v>
      </x:c>
      <x:c r="C1131" s="22" t="str">
        <x:v>non-error</x:v>
      </x:c>
      <x:c r="D1131" s="22" t="str">
        <x:v>Workfront Schedule L41</x:v>
      </x:c>
      <x:c r="E1131" s="75" t="n">
        <x:f>IF(ISERROR('Workfront Schedule'!L41),0,1)</x:f>
        <x:v>1</x:v>
      </x:c>
      <x:c r="F1131" s="75" t="n">
        <x:v>1</x:v>
      </x:c>
      <x:c r="G1131" s="24" t="str">
        <x:f>IF(E1131=F1131,"PASS","FAIL")</x:f>
        <x:v>PASS</x:v>
      </x:c>
    </x:row>
    <x:row r="1132">
      <x:c r="B1132" s="22" t="str">
        <x:v>AC-1126</x:v>
      </x:c>
      <x:c r="C1132" s="22" t="str">
        <x:v>non-error</x:v>
      </x:c>
      <x:c r="D1132" s="22" t="str">
        <x:v>Workfront Schedule M41</x:v>
      </x:c>
      <x:c r="E1132" s="75" t="n">
        <x:f>IF(ISERROR('Workfront Schedule'!M41),0,1)</x:f>
        <x:v>1</x:v>
      </x:c>
      <x:c r="F1132" s="75" t="n">
        <x:v>1</x:v>
      </x:c>
      <x:c r="G1132" s="24" t="str">
        <x:f>IF(E1132=F1132,"PASS","FAIL")</x:f>
        <x:v>PASS</x:v>
      </x:c>
    </x:row>
    <x:row r="1133">
      <x:c r="B1133" s="22" t="str">
        <x:v>AC-1127</x:v>
      </x:c>
      <x:c r="C1133" s="22" t="str">
        <x:v>non-error</x:v>
      </x:c>
      <x:c r="D1133" s="22" t="str">
        <x:v>Workfront Schedule N41</x:v>
      </x:c>
      <x:c r="E1133" s="75" t="n">
        <x:f>IF(ISERROR('Workfront Schedule'!N41),0,1)</x:f>
        <x:v>1</x:v>
      </x:c>
      <x:c r="F1133" s="75" t="n">
        <x:v>1</x:v>
      </x:c>
      <x:c r="G1133" s="24" t="str">
        <x:f>IF(E1133=F1133,"PASS","FAIL")</x:f>
        <x:v>PASS</x:v>
      </x:c>
    </x:row>
    <x:row r="1134">
      <x:c r="B1134" s="22" t="str">
        <x:v>AC-1128</x:v>
      </x:c>
      <x:c r="C1134" s="22" t="str">
        <x:v>non-error</x:v>
      </x:c>
      <x:c r="D1134" s="22" t="str">
        <x:v>Workfront Schedule O41</x:v>
      </x:c>
      <x:c r="E1134" s="75" t="n">
        <x:f>IF(ISERROR('Workfront Schedule'!O41),0,1)</x:f>
        <x:v>1</x:v>
      </x:c>
      <x:c r="F1134" s="75" t="n">
        <x:v>1</x:v>
      </x:c>
      <x:c r="G1134" s="24" t="str">
        <x:f>IF(E1134=F1134,"PASS","FAIL")</x:f>
        <x:v>PASS</x:v>
      </x:c>
    </x:row>
    <x:row r="1135">
      <x:c r="B1135" s="22" t="str">
        <x:v>AC-1129</x:v>
      </x:c>
      <x:c r="C1135" s="22" t="str">
        <x:v>non-error</x:v>
      </x:c>
      <x:c r="D1135" s="22" t="str">
        <x:v>Workfront Schedule P41</x:v>
      </x:c>
      <x:c r="E1135" s="75" t="n">
        <x:f>IF(ISERROR('Workfront Schedule'!P41),0,1)</x:f>
        <x:v>1</x:v>
      </x:c>
      <x:c r="F1135" s="75" t="n">
        <x:v>1</x:v>
      </x:c>
      <x:c r="G1135" s="24" t="str">
        <x:f>IF(E1135=F1135,"PASS","FAIL")</x:f>
        <x:v>PASS</x:v>
      </x:c>
    </x:row>
    <x:row r="1136">
      <x:c r="B1136" s="22" t="str">
        <x:v>AC-1130</x:v>
      </x:c>
      <x:c r="C1136" s="22" t="str">
        <x:v>non-error</x:v>
      </x:c>
      <x:c r="D1136" s="22" t="str">
        <x:v>Workfront Schedule G42</x:v>
      </x:c>
      <x:c r="E1136" s="75" t="n">
        <x:f>IF(ISERROR('Workfront Schedule'!G42),0,1)</x:f>
        <x:v>1</x:v>
      </x:c>
      <x:c r="F1136" s="75" t="n">
        <x:v>1</x:v>
      </x:c>
      <x:c r="G1136" s="24" t="str">
        <x:f>IF(E1136=F1136,"PASS","FAIL")</x:f>
        <x:v>PASS</x:v>
      </x:c>
    </x:row>
    <x:row r="1137">
      <x:c r="B1137" s="22" t="str">
        <x:v>AC-1131</x:v>
      </x:c>
      <x:c r="C1137" s="22" t="str">
        <x:v>non-error</x:v>
      </x:c>
      <x:c r="D1137" s="22" t="str">
        <x:v>Workfront Schedule H42</x:v>
      </x:c>
      <x:c r="E1137" s="75" t="n">
        <x:f>IF(ISERROR('Workfront Schedule'!H42),0,1)</x:f>
        <x:v>1</x:v>
      </x:c>
      <x:c r="F1137" s="75" t="n">
        <x:v>1</x:v>
      </x:c>
      <x:c r="G1137" s="24" t="str">
        <x:f>IF(E1137=F1137,"PASS","FAIL")</x:f>
        <x:v>PASS</x:v>
      </x:c>
    </x:row>
    <x:row r="1138">
      <x:c r="B1138" s="22" t="str">
        <x:v>AC-1132</x:v>
      </x:c>
      <x:c r="C1138" s="22" t="str">
        <x:v>non-error</x:v>
      </x:c>
      <x:c r="D1138" s="22" t="str">
        <x:v>Workfront Schedule I42</x:v>
      </x:c>
      <x:c r="E1138" s="75" t="n">
        <x:f>IF(ISERROR('Workfront Schedule'!I42),0,1)</x:f>
        <x:v>1</x:v>
      </x:c>
      <x:c r="F1138" s="75" t="n">
        <x:v>1</x:v>
      </x:c>
      <x:c r="G1138" s="24" t="str">
        <x:f>IF(E1138=F1138,"PASS","FAIL")</x:f>
        <x:v>PASS</x:v>
      </x:c>
    </x:row>
    <x:row r="1139">
      <x:c r="B1139" s="22" t="str">
        <x:v>AC-1133</x:v>
      </x:c>
      <x:c r="C1139" s="22" t="str">
        <x:v>non-error</x:v>
      </x:c>
      <x:c r="D1139" s="22" t="str">
        <x:v>Workfront Schedule J42</x:v>
      </x:c>
      <x:c r="E1139" s="75" t="n">
        <x:f>IF(ISERROR('Workfront Schedule'!J42),0,1)</x:f>
        <x:v>1</x:v>
      </x:c>
      <x:c r="F1139" s="75" t="n">
        <x:v>1</x:v>
      </x:c>
      <x:c r="G1139" s="24" t="str">
        <x:f>IF(E1139=F1139,"PASS","FAIL")</x:f>
        <x:v>PASS</x:v>
      </x:c>
    </x:row>
    <x:row r="1140">
      <x:c r="B1140" s="22" t="str">
        <x:v>AC-1134</x:v>
      </x:c>
      <x:c r="C1140" s="22" t="str">
        <x:v>non-error</x:v>
      </x:c>
      <x:c r="D1140" s="22" t="str">
        <x:v>Workfront Schedule K42</x:v>
      </x:c>
      <x:c r="E1140" s="75" t="n">
        <x:f>IF(ISERROR('Workfront Schedule'!K42),0,1)</x:f>
        <x:v>1</x:v>
      </x:c>
      <x:c r="F1140" s="75" t="n">
        <x:v>1</x:v>
      </x:c>
      <x:c r="G1140" s="24" t="str">
        <x:f>IF(E1140=F1140,"PASS","FAIL")</x:f>
        <x:v>PASS</x:v>
      </x:c>
    </x:row>
    <x:row r="1141">
      <x:c r="B1141" s="22" t="str">
        <x:v>AC-1135</x:v>
      </x:c>
      <x:c r="C1141" s="22" t="str">
        <x:v>non-error</x:v>
      </x:c>
      <x:c r="D1141" s="22" t="str">
        <x:v>Workfront Schedule L42</x:v>
      </x:c>
      <x:c r="E1141" s="75" t="n">
        <x:f>IF(ISERROR('Workfront Schedule'!L42),0,1)</x:f>
        <x:v>1</x:v>
      </x:c>
      <x:c r="F1141" s="75" t="n">
        <x:v>1</x:v>
      </x:c>
      <x:c r="G1141" s="24" t="str">
        <x:f>IF(E1141=F1141,"PASS","FAIL")</x:f>
        <x:v>PASS</x:v>
      </x:c>
    </x:row>
    <x:row r="1142">
      <x:c r="B1142" s="22" t="str">
        <x:v>AC-1136</x:v>
      </x:c>
      <x:c r="C1142" s="22" t="str">
        <x:v>non-error</x:v>
      </x:c>
      <x:c r="D1142" s="22" t="str">
        <x:v>Workfront Schedule M42</x:v>
      </x:c>
      <x:c r="E1142" s="75" t="n">
        <x:f>IF(ISERROR('Workfront Schedule'!M42),0,1)</x:f>
        <x:v>1</x:v>
      </x:c>
      <x:c r="F1142" s="75" t="n">
        <x:v>1</x:v>
      </x:c>
      <x:c r="G1142" s="24" t="str">
        <x:f>IF(E1142=F1142,"PASS","FAIL")</x:f>
        <x:v>PASS</x:v>
      </x:c>
    </x:row>
    <x:row r="1143">
      <x:c r="B1143" s="22" t="str">
        <x:v>AC-1137</x:v>
      </x:c>
      <x:c r="C1143" s="22" t="str">
        <x:v>non-error</x:v>
      </x:c>
      <x:c r="D1143" s="22" t="str">
        <x:v>Workfront Schedule N42</x:v>
      </x:c>
      <x:c r="E1143" s="75" t="n">
        <x:f>IF(ISERROR('Workfront Schedule'!N42),0,1)</x:f>
        <x:v>1</x:v>
      </x:c>
      <x:c r="F1143" s="75" t="n">
        <x:v>1</x:v>
      </x:c>
      <x:c r="G1143" s="24" t="str">
        <x:f>IF(E1143=F1143,"PASS","FAIL")</x:f>
        <x:v>PASS</x:v>
      </x:c>
    </x:row>
    <x:row r="1144">
      <x:c r="B1144" s="22" t="str">
        <x:v>AC-1138</x:v>
      </x:c>
      <x:c r="C1144" s="22" t="str">
        <x:v>non-error</x:v>
      </x:c>
      <x:c r="D1144" s="22" t="str">
        <x:v>Workfront Schedule O42</x:v>
      </x:c>
      <x:c r="E1144" s="75" t="n">
        <x:f>IF(ISERROR('Workfront Schedule'!O42),0,1)</x:f>
        <x:v>1</x:v>
      </x:c>
      <x:c r="F1144" s="75" t="n">
        <x:v>1</x:v>
      </x:c>
      <x:c r="G1144" s="24" t="str">
        <x:f>IF(E1144=F1144,"PASS","FAIL")</x:f>
        <x:v>PASS</x:v>
      </x:c>
    </x:row>
    <x:row r="1145">
      <x:c r="B1145" s="22" t="str">
        <x:v>AC-1139</x:v>
      </x:c>
      <x:c r="C1145" s="22" t="str">
        <x:v>non-error</x:v>
      </x:c>
      <x:c r="D1145" s="22" t="str">
        <x:v>Workfront Schedule P42</x:v>
      </x:c>
      <x:c r="E1145" s="75" t="n">
        <x:f>IF(ISERROR('Workfront Schedule'!P42),0,1)</x:f>
        <x:v>1</x:v>
      </x:c>
      <x:c r="F1145" s="75" t="n">
        <x:v>1</x:v>
      </x:c>
      <x:c r="G1145" s="24" t="str">
        <x:f>IF(E1145=F1145,"PASS","FAIL")</x:f>
        <x:v>PASS</x:v>
      </x:c>
    </x:row>
    <x:row r="1146">
      <x:c r="B1146" s="22" t="str">
        <x:v>AC-1140</x:v>
      </x:c>
      <x:c r="C1146" s="22" t="str">
        <x:v>non-error</x:v>
      </x:c>
      <x:c r="D1146" s="22" t="str">
        <x:v>Workfront Schedule G43</x:v>
      </x:c>
      <x:c r="E1146" s="75" t="n">
        <x:f>IF(ISERROR('Workfront Schedule'!G43),0,1)</x:f>
        <x:v>1</x:v>
      </x:c>
      <x:c r="F1146" s="75" t="n">
        <x:v>1</x:v>
      </x:c>
      <x:c r="G1146" s="24" t="str">
        <x:f>IF(E1146=F1146,"PASS","FAIL")</x:f>
        <x:v>PASS</x:v>
      </x:c>
    </x:row>
    <x:row r="1147">
      <x:c r="B1147" s="22" t="str">
        <x:v>AC-1141</x:v>
      </x:c>
      <x:c r="C1147" s="22" t="str">
        <x:v>non-error</x:v>
      </x:c>
      <x:c r="D1147" s="22" t="str">
        <x:v>Workfront Schedule H43</x:v>
      </x:c>
      <x:c r="E1147" s="75" t="n">
        <x:f>IF(ISERROR('Workfront Schedule'!H43),0,1)</x:f>
        <x:v>1</x:v>
      </x:c>
      <x:c r="F1147" s="75" t="n">
        <x:v>1</x:v>
      </x:c>
      <x:c r="G1147" s="24" t="str">
        <x:f>IF(E1147=F1147,"PASS","FAIL")</x:f>
        <x:v>PASS</x:v>
      </x:c>
    </x:row>
    <x:row r="1148">
      <x:c r="B1148" s="22" t="str">
        <x:v>AC-1142</x:v>
      </x:c>
      <x:c r="C1148" s="22" t="str">
        <x:v>non-error</x:v>
      </x:c>
      <x:c r="D1148" s="22" t="str">
        <x:v>Workfront Schedule I43</x:v>
      </x:c>
      <x:c r="E1148" s="75" t="n">
        <x:f>IF(ISERROR('Workfront Schedule'!I43),0,1)</x:f>
        <x:v>1</x:v>
      </x:c>
      <x:c r="F1148" s="75" t="n">
        <x:v>1</x:v>
      </x:c>
      <x:c r="G1148" s="24" t="str">
        <x:f>IF(E1148=F1148,"PASS","FAIL")</x:f>
        <x:v>PASS</x:v>
      </x:c>
    </x:row>
    <x:row r="1149">
      <x:c r="B1149" s="22" t="str">
        <x:v>AC-1143</x:v>
      </x:c>
      <x:c r="C1149" s="22" t="str">
        <x:v>non-error</x:v>
      </x:c>
      <x:c r="D1149" s="22" t="str">
        <x:v>Workfront Schedule J43</x:v>
      </x:c>
      <x:c r="E1149" s="75" t="n">
        <x:f>IF(ISERROR('Workfront Schedule'!J43),0,1)</x:f>
        <x:v>1</x:v>
      </x:c>
      <x:c r="F1149" s="75" t="n">
        <x:v>1</x:v>
      </x:c>
      <x:c r="G1149" s="24" t="str">
        <x:f>IF(E1149=F1149,"PASS","FAIL")</x:f>
        <x:v>PASS</x:v>
      </x:c>
    </x:row>
    <x:row r="1150">
      <x:c r="B1150" s="22" t="str">
        <x:v>AC-1144</x:v>
      </x:c>
      <x:c r="C1150" s="22" t="str">
        <x:v>non-error</x:v>
      </x:c>
      <x:c r="D1150" s="22" t="str">
        <x:v>Workfront Schedule K43</x:v>
      </x:c>
      <x:c r="E1150" s="75" t="n">
        <x:f>IF(ISERROR('Workfront Schedule'!K43),0,1)</x:f>
        <x:v>1</x:v>
      </x:c>
      <x:c r="F1150" s="75" t="n">
        <x:v>1</x:v>
      </x:c>
      <x:c r="G1150" s="24" t="str">
        <x:f>IF(E1150=F1150,"PASS","FAIL")</x:f>
        <x:v>PASS</x:v>
      </x:c>
    </x:row>
    <x:row r="1151">
      <x:c r="B1151" s="22" t="str">
        <x:v>AC-1145</x:v>
      </x:c>
      <x:c r="C1151" s="22" t="str">
        <x:v>non-error</x:v>
      </x:c>
      <x:c r="D1151" s="22" t="str">
        <x:v>Workfront Schedule L43</x:v>
      </x:c>
      <x:c r="E1151" s="75" t="n">
        <x:f>IF(ISERROR('Workfront Schedule'!L43),0,1)</x:f>
        <x:v>1</x:v>
      </x:c>
      <x:c r="F1151" s="75" t="n">
        <x:v>1</x:v>
      </x:c>
      <x:c r="G1151" s="24" t="str">
        <x:f>IF(E1151=F1151,"PASS","FAIL")</x:f>
        <x:v>PASS</x:v>
      </x:c>
    </x:row>
    <x:row r="1152">
      <x:c r="B1152" s="22" t="str">
        <x:v>AC-1146</x:v>
      </x:c>
      <x:c r="C1152" s="22" t="str">
        <x:v>non-error</x:v>
      </x:c>
      <x:c r="D1152" s="22" t="str">
        <x:v>Workfront Schedule M43</x:v>
      </x:c>
      <x:c r="E1152" s="75" t="n">
        <x:f>IF(ISERROR('Workfront Schedule'!M43),0,1)</x:f>
        <x:v>1</x:v>
      </x:c>
      <x:c r="F1152" s="75" t="n">
        <x:v>1</x:v>
      </x:c>
      <x:c r="G1152" s="24" t="str">
        <x:f>IF(E1152=F1152,"PASS","FAIL")</x:f>
        <x:v>PASS</x:v>
      </x:c>
    </x:row>
    <x:row r="1153">
      <x:c r="B1153" s="22" t="str">
        <x:v>AC-1147</x:v>
      </x:c>
      <x:c r="C1153" s="22" t="str">
        <x:v>non-error</x:v>
      </x:c>
      <x:c r="D1153" s="22" t="str">
        <x:v>Workfront Schedule N43</x:v>
      </x:c>
      <x:c r="E1153" s="75" t="n">
        <x:f>IF(ISERROR('Workfront Schedule'!N43),0,1)</x:f>
        <x:v>1</x:v>
      </x:c>
      <x:c r="F1153" s="75" t="n">
        <x:v>1</x:v>
      </x:c>
      <x:c r="G1153" s="24" t="str">
        <x:f>IF(E1153=F1153,"PASS","FAIL")</x:f>
        <x:v>PASS</x:v>
      </x:c>
    </x:row>
    <x:row r="1154">
      <x:c r="B1154" s="22" t="str">
        <x:v>AC-1148</x:v>
      </x:c>
      <x:c r="C1154" s="22" t="str">
        <x:v>non-error</x:v>
      </x:c>
      <x:c r="D1154" s="22" t="str">
        <x:v>Workfront Schedule O43</x:v>
      </x:c>
      <x:c r="E1154" s="75" t="n">
        <x:f>IF(ISERROR('Workfront Schedule'!O43),0,1)</x:f>
        <x:v>1</x:v>
      </x:c>
      <x:c r="F1154" s="75" t="n">
        <x:v>1</x:v>
      </x:c>
      <x:c r="G1154" s="24" t="str">
        <x:f>IF(E1154=F1154,"PASS","FAIL")</x:f>
        <x:v>PASS</x:v>
      </x:c>
    </x:row>
    <x:row r="1155">
      <x:c r="B1155" s="22" t="str">
        <x:v>AC-1149</x:v>
      </x:c>
      <x:c r="C1155" s="22" t="str">
        <x:v>non-error</x:v>
      </x:c>
      <x:c r="D1155" s="22" t="str">
        <x:v>Workfront Schedule P43</x:v>
      </x:c>
      <x:c r="E1155" s="75" t="n">
        <x:f>IF(ISERROR('Workfront Schedule'!P43),0,1)</x:f>
        <x:v>1</x:v>
      </x:c>
      <x:c r="F1155" s="75" t="n">
        <x:v>1</x:v>
      </x:c>
      <x:c r="G1155" s="24" t="str">
        <x:f>IF(E1155=F1155,"PASS","FAIL")</x:f>
        <x:v>PASS</x:v>
      </x:c>
    </x:row>
    <x:row r="1156">
      <x:c r="B1156" s="22" t="str">
        <x:v>AC-1150</x:v>
      </x:c>
      <x:c r="C1156" s="22" t="str">
        <x:v>non-error</x:v>
      </x:c>
      <x:c r="D1156" s="22" t="str">
        <x:v>Workfront Schedule G44</x:v>
      </x:c>
      <x:c r="E1156" s="75" t="n">
        <x:f>IF(ISERROR('Workfront Schedule'!G44),0,1)</x:f>
        <x:v>1</x:v>
      </x:c>
      <x:c r="F1156" s="75" t="n">
        <x:v>1</x:v>
      </x:c>
      <x:c r="G1156" s="24" t="str">
        <x:f>IF(E1156=F1156,"PASS","FAIL")</x:f>
        <x:v>PASS</x:v>
      </x:c>
    </x:row>
    <x:row r="1157">
      <x:c r="B1157" s="22" t="str">
        <x:v>AC-1151</x:v>
      </x:c>
      <x:c r="C1157" s="22" t="str">
        <x:v>non-error</x:v>
      </x:c>
      <x:c r="D1157" s="22" t="str">
        <x:v>Workfront Schedule H44</x:v>
      </x:c>
      <x:c r="E1157" s="75" t="n">
        <x:f>IF(ISERROR('Workfront Schedule'!H44),0,1)</x:f>
        <x:v>1</x:v>
      </x:c>
      <x:c r="F1157" s="75" t="n">
        <x:v>1</x:v>
      </x:c>
      <x:c r="G1157" s="24" t="str">
        <x:f>IF(E1157=F1157,"PASS","FAIL")</x:f>
        <x:v>PASS</x:v>
      </x:c>
    </x:row>
    <x:row r="1158">
      <x:c r="B1158" s="22" t="str">
        <x:v>AC-1152</x:v>
      </x:c>
      <x:c r="C1158" s="22" t="str">
        <x:v>non-error</x:v>
      </x:c>
      <x:c r="D1158" s="22" t="str">
        <x:v>Workfront Schedule I44</x:v>
      </x:c>
      <x:c r="E1158" s="75" t="n">
        <x:f>IF(ISERROR('Workfront Schedule'!I44),0,1)</x:f>
        <x:v>1</x:v>
      </x:c>
      <x:c r="F1158" s="75" t="n">
        <x:v>1</x:v>
      </x:c>
      <x:c r="G1158" s="24" t="str">
        <x:f>IF(E1158=F1158,"PASS","FAIL")</x:f>
        <x:v>PASS</x:v>
      </x:c>
    </x:row>
    <x:row r="1159">
      <x:c r="B1159" s="22" t="str">
        <x:v>AC-1153</x:v>
      </x:c>
      <x:c r="C1159" s="22" t="str">
        <x:v>non-error</x:v>
      </x:c>
      <x:c r="D1159" s="22" t="str">
        <x:v>Workfront Schedule J44</x:v>
      </x:c>
      <x:c r="E1159" s="75" t="n">
        <x:f>IF(ISERROR('Workfront Schedule'!J44),0,1)</x:f>
        <x:v>1</x:v>
      </x:c>
      <x:c r="F1159" s="75" t="n">
        <x:v>1</x:v>
      </x:c>
      <x:c r="G1159" s="24" t="str">
        <x:f>IF(E1159=F1159,"PASS","FAIL")</x:f>
        <x:v>PASS</x:v>
      </x:c>
    </x:row>
    <x:row r="1160">
      <x:c r="B1160" s="22" t="str">
        <x:v>AC-1154</x:v>
      </x:c>
      <x:c r="C1160" s="22" t="str">
        <x:v>non-error</x:v>
      </x:c>
      <x:c r="D1160" s="22" t="str">
        <x:v>Workfront Schedule K44</x:v>
      </x:c>
      <x:c r="E1160" s="75" t="n">
        <x:f>IF(ISERROR('Workfront Schedule'!K44),0,1)</x:f>
        <x:v>1</x:v>
      </x:c>
      <x:c r="F1160" s="75" t="n">
        <x:v>1</x:v>
      </x:c>
      <x:c r="G1160" s="24" t="str">
        <x:f>IF(E1160=F1160,"PASS","FAIL")</x:f>
        <x:v>PASS</x:v>
      </x:c>
    </x:row>
    <x:row r="1161">
      <x:c r="B1161" s="22" t="str">
        <x:v>AC-1155</x:v>
      </x:c>
      <x:c r="C1161" s="22" t="str">
        <x:v>non-error</x:v>
      </x:c>
      <x:c r="D1161" s="22" t="str">
        <x:v>Workfront Schedule L44</x:v>
      </x:c>
      <x:c r="E1161" s="75" t="n">
        <x:f>IF(ISERROR('Workfront Schedule'!L44),0,1)</x:f>
        <x:v>1</x:v>
      </x:c>
      <x:c r="F1161" s="75" t="n">
        <x:v>1</x:v>
      </x:c>
      <x:c r="G1161" s="24" t="str">
        <x:f>IF(E1161=F1161,"PASS","FAIL")</x:f>
        <x:v>PASS</x:v>
      </x:c>
    </x:row>
    <x:row r="1162">
      <x:c r="B1162" s="22" t="str">
        <x:v>AC-1156</x:v>
      </x:c>
      <x:c r="C1162" s="22" t="str">
        <x:v>non-error</x:v>
      </x:c>
      <x:c r="D1162" s="22" t="str">
        <x:v>Workfront Schedule M44</x:v>
      </x:c>
      <x:c r="E1162" s="75" t="n">
        <x:f>IF(ISERROR('Workfront Schedule'!M44),0,1)</x:f>
        <x:v>1</x:v>
      </x:c>
      <x:c r="F1162" s="75" t="n">
        <x:v>1</x:v>
      </x:c>
      <x:c r="G1162" s="24" t="str">
        <x:f>IF(E1162=F1162,"PASS","FAIL")</x:f>
        <x:v>PASS</x:v>
      </x:c>
    </x:row>
    <x:row r="1163">
      <x:c r="B1163" s="22" t="str">
        <x:v>AC-1157</x:v>
      </x:c>
      <x:c r="C1163" s="22" t="str">
        <x:v>non-error</x:v>
      </x:c>
      <x:c r="D1163" s="22" t="str">
        <x:v>Workfront Schedule N44</x:v>
      </x:c>
      <x:c r="E1163" s="75" t="n">
        <x:f>IF(ISERROR('Workfront Schedule'!N44),0,1)</x:f>
        <x:v>1</x:v>
      </x:c>
      <x:c r="F1163" s="75" t="n">
        <x:v>1</x:v>
      </x:c>
      <x:c r="G1163" s="24" t="str">
        <x:f>IF(E1163=F1163,"PASS","FAIL")</x:f>
        <x:v>PASS</x:v>
      </x:c>
    </x:row>
    <x:row r="1164">
      <x:c r="B1164" s="22" t="str">
        <x:v>AC-1158</x:v>
      </x:c>
      <x:c r="C1164" s="22" t="str">
        <x:v>non-error</x:v>
      </x:c>
      <x:c r="D1164" s="22" t="str">
        <x:v>Workfront Schedule O44</x:v>
      </x:c>
      <x:c r="E1164" s="75" t="n">
        <x:f>IF(ISERROR('Workfront Schedule'!O44),0,1)</x:f>
        <x:v>1</x:v>
      </x:c>
      <x:c r="F1164" s="75" t="n">
        <x:v>1</x:v>
      </x:c>
      <x:c r="G1164" s="24" t="str">
        <x:f>IF(E1164=F1164,"PASS","FAIL")</x:f>
        <x:v>PASS</x:v>
      </x:c>
    </x:row>
    <x:row r="1165">
      <x:c r="B1165" s="22" t="str">
        <x:v>AC-1159</x:v>
      </x:c>
      <x:c r="C1165" s="22" t="str">
        <x:v>non-error</x:v>
      </x:c>
      <x:c r="D1165" s="22" t="str">
        <x:v>Workfront Schedule P44</x:v>
      </x:c>
      <x:c r="E1165" s="75" t="n">
        <x:f>IF(ISERROR('Workfront Schedule'!P44),0,1)</x:f>
        <x:v>1</x:v>
      </x:c>
      <x:c r="F1165" s="75" t="n">
        <x:v>1</x:v>
      </x:c>
      <x:c r="G1165" s="24" t="str">
        <x:f>IF(E1165=F1165,"PASS","FAIL")</x:f>
        <x:v>PASS</x:v>
      </x:c>
    </x:row>
    <x:row r="1166">
      <x:c r="B1166" s="22" t="str">
        <x:v>AC-1160</x:v>
      </x:c>
      <x:c r="C1166" s="22" t="str">
        <x:v>non-error</x:v>
      </x:c>
      <x:c r="D1166" s="22" t="str">
        <x:v>Workfront Schedule G45</x:v>
      </x:c>
      <x:c r="E1166" s="75" t="n">
        <x:f>IF(ISERROR('Workfront Schedule'!G45),0,1)</x:f>
        <x:v>1</x:v>
      </x:c>
      <x:c r="F1166" s="75" t="n">
        <x:v>1</x:v>
      </x:c>
      <x:c r="G1166" s="24" t="str">
        <x:f>IF(E1166=F1166,"PASS","FAIL")</x:f>
        <x:v>PASS</x:v>
      </x:c>
    </x:row>
    <x:row r="1167">
      <x:c r="B1167" s="22" t="str">
        <x:v>AC-1161</x:v>
      </x:c>
      <x:c r="C1167" s="22" t="str">
        <x:v>non-error</x:v>
      </x:c>
      <x:c r="D1167" s="22" t="str">
        <x:v>Workfront Schedule H45</x:v>
      </x:c>
      <x:c r="E1167" s="75" t="n">
        <x:f>IF(ISERROR('Workfront Schedule'!H45),0,1)</x:f>
        <x:v>1</x:v>
      </x:c>
      <x:c r="F1167" s="75" t="n">
        <x:v>1</x:v>
      </x:c>
      <x:c r="G1167" s="24" t="str">
        <x:f>IF(E1167=F1167,"PASS","FAIL")</x:f>
        <x:v>PASS</x:v>
      </x:c>
    </x:row>
    <x:row r="1168">
      <x:c r="B1168" s="22" t="str">
        <x:v>AC-1162</x:v>
      </x:c>
      <x:c r="C1168" s="22" t="str">
        <x:v>non-error</x:v>
      </x:c>
      <x:c r="D1168" s="22" t="str">
        <x:v>Workfront Schedule I45</x:v>
      </x:c>
      <x:c r="E1168" s="75" t="n">
        <x:f>IF(ISERROR('Workfront Schedule'!I45),0,1)</x:f>
        <x:v>1</x:v>
      </x:c>
      <x:c r="F1168" s="75" t="n">
        <x:v>1</x:v>
      </x:c>
      <x:c r="G1168" s="24" t="str">
        <x:f>IF(E1168=F1168,"PASS","FAIL")</x:f>
        <x:v>PASS</x:v>
      </x:c>
    </x:row>
    <x:row r="1169">
      <x:c r="B1169" s="22" t="str">
        <x:v>AC-1163</x:v>
      </x:c>
      <x:c r="C1169" s="22" t="str">
        <x:v>non-error</x:v>
      </x:c>
      <x:c r="D1169" s="22" t="str">
        <x:v>Workfront Schedule J45</x:v>
      </x:c>
      <x:c r="E1169" s="75" t="n">
        <x:f>IF(ISERROR('Workfront Schedule'!J45),0,1)</x:f>
        <x:v>1</x:v>
      </x:c>
      <x:c r="F1169" s="75" t="n">
        <x:v>1</x:v>
      </x:c>
      <x:c r="G1169" s="24" t="str">
        <x:f>IF(E1169=F1169,"PASS","FAIL")</x:f>
        <x:v>PASS</x:v>
      </x:c>
    </x:row>
    <x:row r="1170">
      <x:c r="B1170" s="22" t="str">
        <x:v>AC-1164</x:v>
      </x:c>
      <x:c r="C1170" s="22" t="str">
        <x:v>non-error</x:v>
      </x:c>
      <x:c r="D1170" s="22" t="str">
        <x:v>Workfront Schedule K45</x:v>
      </x:c>
      <x:c r="E1170" s="75" t="n">
        <x:f>IF(ISERROR('Workfront Schedule'!K45),0,1)</x:f>
        <x:v>1</x:v>
      </x:c>
      <x:c r="F1170" s="75" t="n">
        <x:v>1</x:v>
      </x:c>
      <x:c r="G1170" s="24" t="str">
        <x:f>IF(E1170=F1170,"PASS","FAIL")</x:f>
        <x:v>PASS</x:v>
      </x:c>
    </x:row>
    <x:row r="1171">
      <x:c r="B1171" s="22" t="str">
        <x:v>AC-1165</x:v>
      </x:c>
      <x:c r="C1171" s="22" t="str">
        <x:v>non-error</x:v>
      </x:c>
      <x:c r="D1171" s="22" t="str">
        <x:v>Workfront Schedule L45</x:v>
      </x:c>
      <x:c r="E1171" s="75" t="n">
        <x:f>IF(ISERROR('Workfront Schedule'!L45),0,1)</x:f>
        <x:v>1</x:v>
      </x:c>
      <x:c r="F1171" s="75" t="n">
        <x:v>1</x:v>
      </x:c>
      <x:c r="G1171" s="24" t="str">
        <x:f>IF(E1171=F1171,"PASS","FAIL")</x:f>
        <x:v>PASS</x:v>
      </x:c>
    </x:row>
    <x:row r="1172">
      <x:c r="B1172" s="22" t="str">
        <x:v>AC-1166</x:v>
      </x:c>
      <x:c r="C1172" s="22" t="str">
        <x:v>non-error</x:v>
      </x:c>
      <x:c r="D1172" s="22" t="str">
        <x:v>Workfront Schedule M45</x:v>
      </x:c>
      <x:c r="E1172" s="75" t="n">
        <x:f>IF(ISERROR('Workfront Schedule'!M45),0,1)</x:f>
        <x:v>1</x:v>
      </x:c>
      <x:c r="F1172" s="75" t="n">
        <x:v>1</x:v>
      </x:c>
      <x:c r="G1172" s="24" t="str">
        <x:f>IF(E1172=F1172,"PASS","FAIL")</x:f>
        <x:v>PASS</x:v>
      </x:c>
    </x:row>
    <x:row r="1173">
      <x:c r="B1173" s="22" t="str">
        <x:v>AC-1167</x:v>
      </x:c>
      <x:c r="C1173" s="22" t="str">
        <x:v>non-error</x:v>
      </x:c>
      <x:c r="D1173" s="22" t="str">
        <x:v>Workfront Schedule N45</x:v>
      </x:c>
      <x:c r="E1173" s="75" t="n">
        <x:f>IF(ISERROR('Workfront Schedule'!N45),0,1)</x:f>
        <x:v>1</x:v>
      </x:c>
      <x:c r="F1173" s="75" t="n">
        <x:v>1</x:v>
      </x:c>
      <x:c r="G1173" s="24" t="str">
        <x:f>IF(E1173=F1173,"PASS","FAIL")</x:f>
        <x:v>PASS</x:v>
      </x:c>
    </x:row>
    <x:row r="1174">
      <x:c r="B1174" s="22" t="str">
        <x:v>AC-1168</x:v>
      </x:c>
      <x:c r="C1174" s="22" t="str">
        <x:v>non-error</x:v>
      </x:c>
      <x:c r="D1174" s="22" t="str">
        <x:v>Workfront Schedule O45</x:v>
      </x:c>
      <x:c r="E1174" s="75" t="n">
        <x:f>IF(ISERROR('Workfront Schedule'!O45),0,1)</x:f>
        <x:v>1</x:v>
      </x:c>
      <x:c r="F1174" s="75" t="n">
        <x:v>1</x:v>
      </x:c>
      <x:c r="G1174" s="24" t="str">
        <x:f>IF(E1174=F1174,"PASS","FAIL")</x:f>
        <x:v>PASS</x:v>
      </x:c>
    </x:row>
    <x:row r="1175">
      <x:c r="B1175" s="22" t="str">
        <x:v>AC-1169</x:v>
      </x:c>
      <x:c r="C1175" s="22" t="str">
        <x:v>non-error</x:v>
      </x:c>
      <x:c r="D1175" s="22" t="str">
        <x:v>Workfront Schedule P45</x:v>
      </x:c>
      <x:c r="E1175" s="75" t="n">
        <x:f>IF(ISERROR('Workfront Schedule'!P45),0,1)</x:f>
        <x:v>1</x:v>
      </x:c>
      <x:c r="F1175" s="75" t="n">
        <x:v>1</x:v>
      </x:c>
      <x:c r="G1175" s="24" t="str">
        <x:f>IF(E1175=F1175,"PASS","FAIL")</x:f>
        <x:v>PASS</x:v>
      </x:c>
    </x:row>
    <x:row r="1176">
      <x:c r="B1176" s="22" t="str">
        <x:v>AC-1170</x:v>
      </x:c>
      <x:c r="C1176" s="22" t="str">
        <x:v>non-error</x:v>
      </x:c>
      <x:c r="D1176" s="22" t="str">
        <x:v>Workfront Schedule G46</x:v>
      </x:c>
      <x:c r="E1176" s="75" t="n">
        <x:f>IF(ISERROR('Workfront Schedule'!G46),0,1)</x:f>
        <x:v>1</x:v>
      </x:c>
      <x:c r="F1176" s="75" t="n">
        <x:v>1</x:v>
      </x:c>
      <x:c r="G1176" s="24" t="str">
        <x:f>IF(E1176=F1176,"PASS","FAIL")</x:f>
        <x:v>PASS</x:v>
      </x:c>
    </x:row>
    <x:row r="1177">
      <x:c r="B1177" s="22" t="str">
        <x:v>AC-1171</x:v>
      </x:c>
      <x:c r="C1177" s="22" t="str">
        <x:v>non-error</x:v>
      </x:c>
      <x:c r="D1177" s="22" t="str">
        <x:v>Workfront Schedule H46</x:v>
      </x:c>
      <x:c r="E1177" s="75" t="n">
        <x:f>IF(ISERROR('Workfront Schedule'!H46),0,1)</x:f>
        <x:v>1</x:v>
      </x:c>
      <x:c r="F1177" s="75" t="n">
        <x:v>1</x:v>
      </x:c>
      <x:c r="G1177" s="24" t="str">
        <x:f>IF(E1177=F1177,"PASS","FAIL")</x:f>
        <x:v>PASS</x:v>
      </x:c>
    </x:row>
    <x:row r="1178">
      <x:c r="B1178" s="22" t="str">
        <x:v>AC-1172</x:v>
      </x:c>
      <x:c r="C1178" s="22" t="str">
        <x:v>non-error</x:v>
      </x:c>
      <x:c r="D1178" s="22" t="str">
        <x:v>Workfront Schedule I46</x:v>
      </x:c>
      <x:c r="E1178" s="75" t="n">
        <x:f>IF(ISERROR('Workfront Schedule'!I46),0,1)</x:f>
        <x:v>1</x:v>
      </x:c>
      <x:c r="F1178" s="75" t="n">
        <x:v>1</x:v>
      </x:c>
      <x:c r="G1178" s="24" t="str">
        <x:f>IF(E1178=F1178,"PASS","FAIL")</x:f>
        <x:v>PASS</x:v>
      </x:c>
    </x:row>
    <x:row r="1179">
      <x:c r="B1179" s="22" t="str">
        <x:v>AC-1173</x:v>
      </x:c>
      <x:c r="C1179" s="22" t="str">
        <x:v>non-error</x:v>
      </x:c>
      <x:c r="D1179" s="22" t="str">
        <x:v>Workfront Schedule J46</x:v>
      </x:c>
      <x:c r="E1179" s="75" t="n">
        <x:f>IF(ISERROR('Workfront Schedule'!J46),0,1)</x:f>
        <x:v>1</x:v>
      </x:c>
      <x:c r="F1179" s="75" t="n">
        <x:v>1</x:v>
      </x:c>
      <x:c r="G1179" s="24" t="str">
        <x:f>IF(E1179=F1179,"PASS","FAIL")</x:f>
        <x:v>PASS</x:v>
      </x:c>
    </x:row>
    <x:row r="1180">
      <x:c r="B1180" s="22" t="str">
        <x:v>AC-1174</x:v>
      </x:c>
      <x:c r="C1180" s="22" t="str">
        <x:v>non-error</x:v>
      </x:c>
      <x:c r="D1180" s="22" t="str">
        <x:v>Workfront Schedule K46</x:v>
      </x:c>
      <x:c r="E1180" s="75" t="n">
        <x:f>IF(ISERROR('Workfront Schedule'!K46),0,1)</x:f>
        <x:v>1</x:v>
      </x:c>
      <x:c r="F1180" s="75" t="n">
        <x:v>1</x:v>
      </x:c>
      <x:c r="G1180" s="24" t="str">
        <x:f>IF(E1180=F1180,"PASS","FAIL")</x:f>
        <x:v>PASS</x:v>
      </x:c>
    </x:row>
    <x:row r="1181">
      <x:c r="B1181" s="22" t="str">
        <x:v>AC-1175</x:v>
      </x:c>
      <x:c r="C1181" s="22" t="str">
        <x:v>non-error</x:v>
      </x:c>
      <x:c r="D1181" s="22" t="str">
        <x:v>Workfront Schedule L46</x:v>
      </x:c>
      <x:c r="E1181" s="75" t="n">
        <x:f>IF(ISERROR('Workfront Schedule'!L46),0,1)</x:f>
        <x:v>1</x:v>
      </x:c>
      <x:c r="F1181" s="75" t="n">
        <x:v>1</x:v>
      </x:c>
      <x:c r="G1181" s="24" t="str">
        <x:f>IF(E1181=F1181,"PASS","FAIL")</x:f>
        <x:v>PASS</x:v>
      </x:c>
    </x:row>
    <x:row r="1182">
      <x:c r="B1182" s="22" t="str">
        <x:v>AC-1176</x:v>
      </x:c>
      <x:c r="C1182" s="22" t="str">
        <x:v>non-error</x:v>
      </x:c>
      <x:c r="D1182" s="22" t="str">
        <x:v>Workfront Schedule M46</x:v>
      </x:c>
      <x:c r="E1182" s="75" t="n">
        <x:f>IF(ISERROR('Workfront Schedule'!M46),0,1)</x:f>
        <x:v>1</x:v>
      </x:c>
      <x:c r="F1182" s="75" t="n">
        <x:v>1</x:v>
      </x:c>
      <x:c r="G1182" s="24" t="str">
        <x:f>IF(E1182=F1182,"PASS","FAIL")</x:f>
        <x:v>PASS</x:v>
      </x:c>
    </x:row>
    <x:row r="1183">
      <x:c r="B1183" s="22" t="str">
        <x:v>AC-1177</x:v>
      </x:c>
      <x:c r="C1183" s="22" t="str">
        <x:v>non-error</x:v>
      </x:c>
      <x:c r="D1183" s="22" t="str">
        <x:v>Workfront Schedule N46</x:v>
      </x:c>
      <x:c r="E1183" s="75" t="n">
        <x:f>IF(ISERROR('Workfront Schedule'!N46),0,1)</x:f>
        <x:v>1</x:v>
      </x:c>
      <x:c r="F1183" s="75" t="n">
        <x:v>1</x:v>
      </x:c>
      <x:c r="G1183" s="24" t="str">
        <x:f>IF(E1183=F1183,"PASS","FAIL")</x:f>
        <x:v>PASS</x:v>
      </x:c>
    </x:row>
    <x:row r="1184">
      <x:c r="B1184" s="22" t="str">
        <x:v>AC-1178</x:v>
      </x:c>
      <x:c r="C1184" s="22" t="str">
        <x:v>non-error</x:v>
      </x:c>
      <x:c r="D1184" s="22" t="str">
        <x:v>Workfront Schedule O46</x:v>
      </x:c>
      <x:c r="E1184" s="75" t="n">
        <x:f>IF(ISERROR('Workfront Schedule'!O46),0,1)</x:f>
        <x:v>1</x:v>
      </x:c>
      <x:c r="F1184" s="75" t="n">
        <x:v>1</x:v>
      </x:c>
      <x:c r="G1184" s="24" t="str">
        <x:f>IF(E1184=F1184,"PASS","FAIL")</x:f>
        <x:v>PASS</x:v>
      </x:c>
    </x:row>
    <x:row r="1185">
      <x:c r="B1185" s="22" t="str">
        <x:v>AC-1179</x:v>
      </x:c>
      <x:c r="C1185" s="22" t="str">
        <x:v>non-error</x:v>
      </x:c>
      <x:c r="D1185" s="22" t="str">
        <x:v>Workfront Schedule P46</x:v>
      </x:c>
      <x:c r="E1185" s="75" t="n">
        <x:f>IF(ISERROR('Workfront Schedule'!P46),0,1)</x:f>
        <x:v>1</x:v>
      </x:c>
      <x:c r="F1185" s="75" t="n">
        <x:v>1</x:v>
      </x:c>
      <x:c r="G1185" s="24" t="str">
        <x:f>IF(E1185=F1185,"PASS","FAIL")</x:f>
        <x:v>PASS</x:v>
      </x:c>
    </x:row>
    <x:row r="1186">
      <x:c r="B1186" s="22" t="str">
        <x:v>AC-1180</x:v>
      </x:c>
      <x:c r="C1186" s="22" t="str">
        <x:v>non-error</x:v>
      </x:c>
      <x:c r="D1186" s="22" t="str">
        <x:v>Workfront Schedule G47</x:v>
      </x:c>
      <x:c r="E1186" s="75" t="n">
        <x:f>IF(ISERROR('Workfront Schedule'!G47),0,1)</x:f>
        <x:v>1</x:v>
      </x:c>
      <x:c r="F1186" s="75" t="n">
        <x:v>1</x:v>
      </x:c>
      <x:c r="G1186" s="24" t="str">
        <x:f>IF(E1186=F1186,"PASS","FAIL")</x:f>
        <x:v>PASS</x:v>
      </x:c>
    </x:row>
    <x:row r="1187">
      <x:c r="B1187" s="22" t="str">
        <x:v>AC-1181</x:v>
      </x:c>
      <x:c r="C1187" s="22" t="str">
        <x:v>non-error</x:v>
      </x:c>
      <x:c r="D1187" s="22" t="str">
        <x:v>Workfront Schedule H47</x:v>
      </x:c>
      <x:c r="E1187" s="75" t="n">
        <x:f>IF(ISERROR('Workfront Schedule'!H47),0,1)</x:f>
        <x:v>1</x:v>
      </x:c>
      <x:c r="F1187" s="75" t="n">
        <x:v>1</x:v>
      </x:c>
      <x:c r="G1187" s="24" t="str">
        <x:f>IF(E1187=F1187,"PASS","FAIL")</x:f>
        <x:v>PASS</x:v>
      </x:c>
    </x:row>
    <x:row r="1188">
      <x:c r="B1188" s="22" t="str">
        <x:v>AC-1182</x:v>
      </x:c>
      <x:c r="C1188" s="22" t="str">
        <x:v>non-error</x:v>
      </x:c>
      <x:c r="D1188" s="22" t="str">
        <x:v>Workfront Schedule I47</x:v>
      </x:c>
      <x:c r="E1188" s="75" t="n">
        <x:f>IF(ISERROR('Workfront Schedule'!I47),0,1)</x:f>
        <x:v>1</x:v>
      </x:c>
      <x:c r="F1188" s="75" t="n">
        <x:v>1</x:v>
      </x:c>
      <x:c r="G1188" s="24" t="str">
        <x:f>IF(E1188=F1188,"PASS","FAIL")</x:f>
        <x:v>PASS</x:v>
      </x:c>
    </x:row>
    <x:row r="1189">
      <x:c r="B1189" s="22" t="str">
        <x:v>AC-1183</x:v>
      </x:c>
      <x:c r="C1189" s="22" t="str">
        <x:v>non-error</x:v>
      </x:c>
      <x:c r="D1189" s="22" t="str">
        <x:v>Workfront Schedule J47</x:v>
      </x:c>
      <x:c r="E1189" s="75" t="n">
        <x:f>IF(ISERROR('Workfront Schedule'!J47),0,1)</x:f>
        <x:v>1</x:v>
      </x:c>
      <x:c r="F1189" s="75" t="n">
        <x:v>1</x:v>
      </x:c>
      <x:c r="G1189" s="24" t="str">
        <x:f>IF(E1189=F1189,"PASS","FAIL")</x:f>
        <x:v>PASS</x:v>
      </x:c>
    </x:row>
    <x:row r="1190">
      <x:c r="B1190" s="22" t="str">
        <x:v>AC-1184</x:v>
      </x:c>
      <x:c r="C1190" s="22" t="str">
        <x:v>non-error</x:v>
      </x:c>
      <x:c r="D1190" s="22" t="str">
        <x:v>Workfront Schedule K47</x:v>
      </x:c>
      <x:c r="E1190" s="75" t="n">
        <x:f>IF(ISERROR('Workfront Schedule'!K47),0,1)</x:f>
        <x:v>1</x:v>
      </x:c>
      <x:c r="F1190" s="75" t="n">
        <x:v>1</x:v>
      </x:c>
      <x:c r="G1190" s="24" t="str">
        <x:f>IF(E1190=F1190,"PASS","FAIL")</x:f>
        <x:v>PASS</x:v>
      </x:c>
    </x:row>
    <x:row r="1191">
      <x:c r="B1191" s="22" t="str">
        <x:v>AC-1185</x:v>
      </x:c>
      <x:c r="C1191" s="22" t="str">
        <x:v>non-error</x:v>
      </x:c>
      <x:c r="D1191" s="22" t="str">
        <x:v>Workfront Schedule L47</x:v>
      </x:c>
      <x:c r="E1191" s="75" t="n">
        <x:f>IF(ISERROR('Workfront Schedule'!L47),0,1)</x:f>
        <x:v>1</x:v>
      </x:c>
      <x:c r="F1191" s="75" t="n">
        <x:v>1</x:v>
      </x:c>
      <x:c r="G1191" s="24" t="str">
        <x:f>IF(E1191=F1191,"PASS","FAIL")</x:f>
        <x:v>PASS</x:v>
      </x:c>
    </x:row>
    <x:row r="1192">
      <x:c r="B1192" s="22" t="str">
        <x:v>AC-1186</x:v>
      </x:c>
      <x:c r="C1192" s="22" t="str">
        <x:v>non-error</x:v>
      </x:c>
      <x:c r="D1192" s="22" t="str">
        <x:v>Workfront Schedule M47</x:v>
      </x:c>
      <x:c r="E1192" s="75" t="n">
        <x:f>IF(ISERROR('Workfront Schedule'!M47),0,1)</x:f>
        <x:v>1</x:v>
      </x:c>
      <x:c r="F1192" s="75" t="n">
        <x:v>1</x:v>
      </x:c>
      <x:c r="G1192" s="24" t="str">
        <x:f>IF(E1192=F1192,"PASS","FAIL")</x:f>
        <x:v>PASS</x:v>
      </x:c>
    </x:row>
    <x:row r="1193">
      <x:c r="B1193" s="22" t="str">
        <x:v>AC-1187</x:v>
      </x:c>
      <x:c r="C1193" s="22" t="str">
        <x:v>non-error</x:v>
      </x:c>
      <x:c r="D1193" s="22" t="str">
        <x:v>Workfront Schedule N47</x:v>
      </x:c>
      <x:c r="E1193" s="75" t="n">
        <x:f>IF(ISERROR('Workfront Schedule'!N47),0,1)</x:f>
        <x:v>1</x:v>
      </x:c>
      <x:c r="F1193" s="75" t="n">
        <x:v>1</x:v>
      </x:c>
      <x:c r="G1193" s="24" t="str">
        <x:f>IF(E1193=F1193,"PASS","FAIL")</x:f>
        <x:v>PASS</x:v>
      </x:c>
    </x:row>
    <x:row r="1194">
      <x:c r="B1194" s="22" t="str">
        <x:v>AC-1188</x:v>
      </x:c>
      <x:c r="C1194" s="22" t="str">
        <x:v>non-error</x:v>
      </x:c>
      <x:c r="D1194" s="22" t="str">
        <x:v>Workfront Schedule O47</x:v>
      </x:c>
      <x:c r="E1194" s="75" t="n">
        <x:f>IF(ISERROR('Workfront Schedule'!O47),0,1)</x:f>
        <x:v>1</x:v>
      </x:c>
      <x:c r="F1194" s="75" t="n">
        <x:v>1</x:v>
      </x:c>
      <x:c r="G1194" s="24" t="str">
        <x:f>IF(E1194=F1194,"PASS","FAIL")</x:f>
        <x:v>PASS</x:v>
      </x:c>
    </x:row>
    <x:row r="1195">
      <x:c r="B1195" s="22" t="str">
        <x:v>AC-1189</x:v>
      </x:c>
      <x:c r="C1195" s="22" t="str">
        <x:v>non-error</x:v>
      </x:c>
      <x:c r="D1195" s="22" t="str">
        <x:v>Workfront Schedule P47</x:v>
      </x:c>
      <x:c r="E1195" s="75" t="n">
        <x:f>IF(ISERROR('Workfront Schedule'!P47),0,1)</x:f>
        <x:v>1</x:v>
      </x:c>
      <x:c r="F1195" s="75" t="n">
        <x:v>1</x:v>
      </x:c>
      <x:c r="G1195" s="24" t="str">
        <x:f>IF(E1195=F1195,"PASS","FAIL")</x:f>
        <x:v>PASS</x:v>
      </x:c>
    </x:row>
    <x:row r="1196">
      <x:c r="B1196" s="22" t="str">
        <x:v>AC-1190</x:v>
      </x:c>
      <x:c r="C1196" s="22" t="str">
        <x:v>non-error</x:v>
      </x:c>
      <x:c r="D1196" s="22" t="str">
        <x:v>Workfront Schedule G48</x:v>
      </x:c>
      <x:c r="E1196" s="75" t="n">
        <x:f>IF(ISERROR('Workfront Schedule'!G48),0,1)</x:f>
        <x:v>1</x:v>
      </x:c>
      <x:c r="F1196" s="75" t="n">
        <x:v>1</x:v>
      </x:c>
      <x:c r="G1196" s="24" t="str">
        <x:f>IF(E1196=F1196,"PASS","FAIL")</x:f>
        <x:v>PASS</x:v>
      </x:c>
    </x:row>
    <x:row r="1197">
      <x:c r="B1197" s="22" t="str">
        <x:v>AC-1191</x:v>
      </x:c>
      <x:c r="C1197" s="22" t="str">
        <x:v>non-error</x:v>
      </x:c>
      <x:c r="D1197" s="22" t="str">
        <x:v>Workfront Schedule H48</x:v>
      </x:c>
      <x:c r="E1197" s="75" t="n">
        <x:f>IF(ISERROR('Workfront Schedule'!H48),0,1)</x:f>
        <x:v>1</x:v>
      </x:c>
      <x:c r="F1197" s="75" t="n">
        <x:v>1</x:v>
      </x:c>
      <x:c r="G1197" s="24" t="str">
        <x:f>IF(E1197=F1197,"PASS","FAIL")</x:f>
        <x:v>PASS</x:v>
      </x:c>
    </x:row>
    <x:row r="1198">
      <x:c r="B1198" s="22" t="str">
        <x:v>AC-1192</x:v>
      </x:c>
      <x:c r="C1198" s="22" t="str">
        <x:v>non-error</x:v>
      </x:c>
      <x:c r="D1198" s="22" t="str">
        <x:v>Workfront Schedule I48</x:v>
      </x:c>
      <x:c r="E1198" s="75" t="n">
        <x:f>IF(ISERROR('Workfront Schedule'!I48),0,1)</x:f>
        <x:v>1</x:v>
      </x:c>
      <x:c r="F1198" s="75" t="n">
        <x:v>1</x:v>
      </x:c>
      <x:c r="G1198" s="24" t="str">
        <x:f>IF(E1198=F1198,"PASS","FAIL")</x:f>
        <x:v>PASS</x:v>
      </x:c>
    </x:row>
    <x:row r="1199">
      <x:c r="B1199" s="22" t="str">
        <x:v>AC-1193</x:v>
      </x:c>
      <x:c r="C1199" s="22" t="str">
        <x:v>non-error</x:v>
      </x:c>
      <x:c r="D1199" s="22" t="str">
        <x:v>Workfront Schedule J48</x:v>
      </x:c>
      <x:c r="E1199" s="75" t="n">
        <x:f>IF(ISERROR('Workfront Schedule'!J48),0,1)</x:f>
        <x:v>1</x:v>
      </x:c>
      <x:c r="F1199" s="75" t="n">
        <x:v>1</x:v>
      </x:c>
      <x:c r="G1199" s="24" t="str">
        <x:f>IF(E1199=F1199,"PASS","FAIL")</x:f>
        <x:v>PASS</x:v>
      </x:c>
    </x:row>
    <x:row r="1200">
      <x:c r="B1200" s="22" t="str">
        <x:v>AC-1194</x:v>
      </x:c>
      <x:c r="C1200" s="22" t="str">
        <x:v>non-error</x:v>
      </x:c>
      <x:c r="D1200" s="22" t="str">
        <x:v>Workfront Schedule K48</x:v>
      </x:c>
      <x:c r="E1200" s="75" t="n">
        <x:f>IF(ISERROR('Workfront Schedule'!K48),0,1)</x:f>
        <x:v>1</x:v>
      </x:c>
      <x:c r="F1200" s="75" t="n">
        <x:v>1</x:v>
      </x:c>
      <x:c r="G1200" s="24" t="str">
        <x:f>IF(E1200=F1200,"PASS","FAIL")</x:f>
        <x:v>PASS</x:v>
      </x:c>
    </x:row>
    <x:row r="1201">
      <x:c r="B1201" s="22" t="str">
        <x:v>AC-1195</x:v>
      </x:c>
      <x:c r="C1201" s="22" t="str">
        <x:v>non-error</x:v>
      </x:c>
      <x:c r="D1201" s="22" t="str">
        <x:v>Workfront Schedule L48</x:v>
      </x:c>
      <x:c r="E1201" s="75" t="n">
        <x:f>IF(ISERROR('Workfront Schedule'!L48),0,1)</x:f>
        <x:v>1</x:v>
      </x:c>
      <x:c r="F1201" s="75" t="n">
        <x:v>1</x:v>
      </x:c>
      <x:c r="G1201" s="24" t="str">
        <x:f>IF(E1201=F1201,"PASS","FAIL")</x:f>
        <x:v>PASS</x:v>
      </x:c>
    </x:row>
    <x:row r="1202">
      <x:c r="B1202" s="22" t="str">
        <x:v>AC-1196</x:v>
      </x:c>
      <x:c r="C1202" s="22" t="str">
        <x:v>non-error</x:v>
      </x:c>
      <x:c r="D1202" s="22" t="str">
        <x:v>Workfront Schedule M48</x:v>
      </x:c>
      <x:c r="E1202" s="75" t="n">
        <x:f>IF(ISERROR('Workfront Schedule'!M48),0,1)</x:f>
        <x:v>1</x:v>
      </x:c>
      <x:c r="F1202" s="75" t="n">
        <x:v>1</x:v>
      </x:c>
      <x:c r="G1202" s="24" t="str">
        <x:f>IF(E1202=F1202,"PASS","FAIL")</x:f>
        <x:v>PASS</x:v>
      </x:c>
    </x:row>
    <x:row r="1203">
      <x:c r="B1203" s="22" t="str">
        <x:v>AC-1197</x:v>
      </x:c>
      <x:c r="C1203" s="22" t="str">
        <x:v>non-error</x:v>
      </x:c>
      <x:c r="D1203" s="22" t="str">
        <x:v>Workfront Schedule N48</x:v>
      </x:c>
      <x:c r="E1203" s="75" t="n">
        <x:f>IF(ISERROR('Workfront Schedule'!N48),0,1)</x:f>
        <x:v>1</x:v>
      </x:c>
      <x:c r="F1203" s="75" t="n">
        <x:v>1</x:v>
      </x:c>
      <x:c r="G1203" s="24" t="str">
        <x:f>IF(E1203=F1203,"PASS","FAIL")</x:f>
        <x:v>PASS</x:v>
      </x:c>
    </x:row>
    <x:row r="1204">
      <x:c r="B1204" s="22" t="str">
        <x:v>AC-1198</x:v>
      </x:c>
      <x:c r="C1204" s="22" t="str">
        <x:v>non-error</x:v>
      </x:c>
      <x:c r="D1204" s="22" t="str">
        <x:v>Workfront Schedule O48</x:v>
      </x:c>
      <x:c r="E1204" s="75" t="n">
        <x:f>IF(ISERROR('Workfront Schedule'!O48),0,1)</x:f>
        <x:v>1</x:v>
      </x:c>
      <x:c r="F1204" s="75" t="n">
        <x:v>1</x:v>
      </x:c>
      <x:c r="G1204" s="24" t="str">
        <x:f>IF(E1204=F1204,"PASS","FAIL")</x:f>
        <x:v>PASS</x:v>
      </x:c>
    </x:row>
    <x:row r="1205">
      <x:c r="B1205" s="22" t="str">
        <x:v>AC-1199</x:v>
      </x:c>
      <x:c r="C1205" s="22" t="str">
        <x:v>non-error</x:v>
      </x:c>
      <x:c r="D1205" s="22" t="str">
        <x:v>Workfront Schedule P48</x:v>
      </x:c>
      <x:c r="E1205" s="75" t="n">
        <x:f>IF(ISERROR('Workfront Schedule'!P48),0,1)</x:f>
        <x:v>1</x:v>
      </x:c>
      <x:c r="F1205" s="75" t="n">
        <x:v>1</x:v>
      </x:c>
      <x:c r="G1205" s="24" t="str">
        <x:f>IF(E1205=F1205,"PASS","FAIL")</x:f>
        <x:v>PASS</x:v>
      </x:c>
    </x:row>
    <x:row r="1206">
      <x:c r="B1206" s="22" t="str">
        <x:v>AC-1200</x:v>
      </x:c>
      <x:c r="C1206" s="22" t="str">
        <x:v>non-error</x:v>
      </x:c>
      <x:c r="D1206" s="22" t="str">
        <x:v>Workfront Schedule G49</x:v>
      </x:c>
      <x:c r="E1206" s="75" t="n">
        <x:f>IF(ISERROR('Workfront Schedule'!G49),0,1)</x:f>
        <x:v>1</x:v>
      </x:c>
      <x:c r="F1206" s="75" t="n">
        <x:v>1</x:v>
      </x:c>
      <x:c r="G1206" s="24" t="str">
        <x:f>IF(E1206=F1206,"PASS","FAIL")</x:f>
        <x:v>PASS</x:v>
      </x:c>
    </x:row>
    <x:row r="1207">
      <x:c r="B1207" s="22" t="str">
        <x:v>AC-1201</x:v>
      </x:c>
      <x:c r="C1207" s="22" t="str">
        <x:v>non-error</x:v>
      </x:c>
      <x:c r="D1207" s="22" t="str">
        <x:v>Workfront Schedule H49</x:v>
      </x:c>
      <x:c r="E1207" s="75" t="n">
        <x:f>IF(ISERROR('Workfront Schedule'!H49),0,1)</x:f>
        <x:v>1</x:v>
      </x:c>
      <x:c r="F1207" s="75" t="n">
        <x:v>1</x:v>
      </x:c>
      <x:c r="G1207" s="24" t="str">
        <x:f>IF(E1207=F1207,"PASS","FAIL")</x:f>
        <x:v>PASS</x:v>
      </x:c>
    </x:row>
    <x:row r="1208">
      <x:c r="B1208" s="22" t="str">
        <x:v>AC-1202</x:v>
      </x:c>
      <x:c r="C1208" s="22" t="str">
        <x:v>non-error</x:v>
      </x:c>
      <x:c r="D1208" s="22" t="str">
        <x:v>Workfront Schedule I49</x:v>
      </x:c>
      <x:c r="E1208" s="75" t="n">
        <x:f>IF(ISERROR('Workfront Schedule'!I49),0,1)</x:f>
        <x:v>1</x:v>
      </x:c>
      <x:c r="F1208" s="75" t="n">
        <x:v>1</x:v>
      </x:c>
      <x:c r="G1208" s="24" t="str">
        <x:f>IF(E1208=F1208,"PASS","FAIL")</x:f>
        <x:v>PASS</x:v>
      </x:c>
    </x:row>
    <x:row r="1209">
      <x:c r="B1209" s="22" t="str">
        <x:v>AC-1203</x:v>
      </x:c>
      <x:c r="C1209" s="22" t="str">
        <x:v>non-error</x:v>
      </x:c>
      <x:c r="D1209" s="22" t="str">
        <x:v>Workfront Schedule J49</x:v>
      </x:c>
      <x:c r="E1209" s="75" t="n">
        <x:f>IF(ISERROR('Workfront Schedule'!J49),0,1)</x:f>
        <x:v>1</x:v>
      </x:c>
      <x:c r="F1209" s="75" t="n">
        <x:v>1</x:v>
      </x:c>
      <x:c r="G1209" s="24" t="str">
        <x:f>IF(E1209=F1209,"PASS","FAIL")</x:f>
        <x:v>PASS</x:v>
      </x:c>
    </x:row>
    <x:row r="1210">
      <x:c r="B1210" s="22" t="str">
        <x:v>AC-1204</x:v>
      </x:c>
      <x:c r="C1210" s="22" t="str">
        <x:v>non-error</x:v>
      </x:c>
      <x:c r="D1210" s="22" t="str">
        <x:v>Workfront Schedule K49</x:v>
      </x:c>
      <x:c r="E1210" s="75" t="n">
        <x:f>IF(ISERROR('Workfront Schedule'!K49),0,1)</x:f>
        <x:v>1</x:v>
      </x:c>
      <x:c r="F1210" s="75" t="n">
        <x:v>1</x:v>
      </x:c>
      <x:c r="G1210" s="24" t="str">
        <x:f>IF(E1210=F1210,"PASS","FAIL")</x:f>
        <x:v>PASS</x:v>
      </x:c>
    </x:row>
    <x:row r="1211">
      <x:c r="B1211" s="22" t="str">
        <x:v>AC-1205</x:v>
      </x:c>
      <x:c r="C1211" s="22" t="str">
        <x:v>non-error</x:v>
      </x:c>
      <x:c r="D1211" s="22" t="str">
        <x:v>Workfront Schedule L49</x:v>
      </x:c>
      <x:c r="E1211" s="75" t="n">
        <x:f>IF(ISERROR('Workfront Schedule'!L49),0,1)</x:f>
        <x:v>1</x:v>
      </x:c>
      <x:c r="F1211" s="75" t="n">
        <x:v>1</x:v>
      </x:c>
      <x:c r="G1211" s="24" t="str">
        <x:f>IF(E1211=F1211,"PASS","FAIL")</x:f>
        <x:v>PASS</x:v>
      </x:c>
    </x:row>
    <x:row r="1212">
      <x:c r="B1212" s="22" t="str">
        <x:v>AC-1206</x:v>
      </x:c>
      <x:c r="C1212" s="22" t="str">
        <x:v>non-error</x:v>
      </x:c>
      <x:c r="D1212" s="22" t="str">
        <x:v>Workfront Schedule M49</x:v>
      </x:c>
      <x:c r="E1212" s="75" t="n">
        <x:f>IF(ISERROR('Workfront Schedule'!M49),0,1)</x:f>
        <x:v>1</x:v>
      </x:c>
      <x:c r="F1212" s="75" t="n">
        <x:v>1</x:v>
      </x:c>
      <x:c r="G1212" s="24" t="str">
        <x:f>IF(E1212=F1212,"PASS","FAIL")</x:f>
        <x:v>PASS</x:v>
      </x:c>
    </x:row>
    <x:row r="1213">
      <x:c r="B1213" s="22" t="str">
        <x:v>AC-1207</x:v>
      </x:c>
      <x:c r="C1213" s="22" t="str">
        <x:v>non-error</x:v>
      </x:c>
      <x:c r="D1213" s="22" t="str">
        <x:v>Workfront Schedule N49</x:v>
      </x:c>
      <x:c r="E1213" s="75" t="n">
        <x:f>IF(ISERROR('Workfront Schedule'!N49),0,1)</x:f>
        <x:v>1</x:v>
      </x:c>
      <x:c r="F1213" s="75" t="n">
        <x:v>1</x:v>
      </x:c>
      <x:c r="G1213" s="24" t="str">
        <x:f>IF(E1213=F1213,"PASS","FAIL")</x:f>
        <x:v>PASS</x:v>
      </x:c>
    </x:row>
    <x:row r="1214">
      <x:c r="B1214" s="22" t="str">
        <x:v>AC-1208</x:v>
      </x:c>
      <x:c r="C1214" s="22" t="str">
        <x:v>non-error</x:v>
      </x:c>
      <x:c r="D1214" s="22" t="str">
        <x:v>Workfront Schedule O49</x:v>
      </x:c>
      <x:c r="E1214" s="75" t="n">
        <x:f>IF(ISERROR('Workfront Schedule'!O49),0,1)</x:f>
        <x:v>1</x:v>
      </x:c>
      <x:c r="F1214" s="75" t="n">
        <x:v>1</x:v>
      </x:c>
      <x:c r="G1214" s="24" t="str">
        <x:f>IF(E1214=F1214,"PASS","FAIL")</x:f>
        <x:v>PASS</x:v>
      </x:c>
    </x:row>
    <x:row r="1215">
      <x:c r="B1215" s="22" t="str">
        <x:v>AC-1209</x:v>
      </x:c>
      <x:c r="C1215" s="22" t="str">
        <x:v>non-error</x:v>
      </x:c>
      <x:c r="D1215" s="22" t="str">
        <x:v>Workfront Schedule P49</x:v>
      </x:c>
      <x:c r="E1215" s="75" t="n">
        <x:f>IF(ISERROR('Workfront Schedule'!P49),0,1)</x:f>
        <x:v>1</x:v>
      </x:c>
      <x:c r="F1215" s="75" t="n">
        <x:v>1</x:v>
      </x:c>
      <x:c r="G1215" s="24" t="str">
        <x:f>IF(E1215=F1215,"PASS","FAIL")</x:f>
        <x:v>PASS</x:v>
      </x:c>
    </x:row>
    <x:row r="1216">
      <x:c r="B1216" s="22" t="str">
        <x:v>AC-1210</x:v>
      </x:c>
      <x:c r="C1216" s="22" t="str">
        <x:v>non-error</x:v>
      </x:c>
      <x:c r="D1216" s="22" t="str">
        <x:v>Workfront Schedule G50</x:v>
      </x:c>
      <x:c r="E1216" s="75" t="n">
        <x:f>IF(ISERROR('Workfront Schedule'!G50),0,1)</x:f>
        <x:v>1</x:v>
      </x:c>
      <x:c r="F1216" s="75" t="n">
        <x:v>1</x:v>
      </x:c>
      <x:c r="G1216" s="24" t="str">
        <x:f>IF(E1216=F1216,"PASS","FAIL")</x:f>
        <x:v>PASS</x:v>
      </x:c>
    </x:row>
    <x:row r="1217">
      <x:c r="B1217" s="22" t="str">
        <x:v>AC-1211</x:v>
      </x:c>
      <x:c r="C1217" s="22" t="str">
        <x:v>non-error</x:v>
      </x:c>
      <x:c r="D1217" s="22" t="str">
        <x:v>Workfront Schedule H50</x:v>
      </x:c>
      <x:c r="E1217" s="75" t="n">
        <x:f>IF(ISERROR('Workfront Schedule'!H50),0,1)</x:f>
        <x:v>1</x:v>
      </x:c>
      <x:c r="F1217" s="75" t="n">
        <x:v>1</x:v>
      </x:c>
      <x:c r="G1217" s="24" t="str">
        <x:f>IF(E1217=F1217,"PASS","FAIL")</x:f>
        <x:v>PASS</x:v>
      </x:c>
    </x:row>
    <x:row r="1218">
      <x:c r="B1218" s="22" t="str">
        <x:v>AC-1212</x:v>
      </x:c>
      <x:c r="C1218" s="22" t="str">
        <x:v>non-error</x:v>
      </x:c>
      <x:c r="D1218" s="22" t="str">
        <x:v>Workfront Schedule I50</x:v>
      </x:c>
      <x:c r="E1218" s="75" t="n">
        <x:f>IF(ISERROR('Workfront Schedule'!I50),0,1)</x:f>
        <x:v>1</x:v>
      </x:c>
      <x:c r="F1218" s="75" t="n">
        <x:v>1</x:v>
      </x:c>
      <x:c r="G1218" s="24" t="str">
        <x:f>IF(E1218=F1218,"PASS","FAIL")</x:f>
        <x:v>PASS</x:v>
      </x:c>
    </x:row>
    <x:row r="1219">
      <x:c r="B1219" s="22" t="str">
        <x:v>AC-1213</x:v>
      </x:c>
      <x:c r="C1219" s="22" t="str">
        <x:v>non-error</x:v>
      </x:c>
      <x:c r="D1219" s="22" t="str">
        <x:v>Workfront Schedule J50</x:v>
      </x:c>
      <x:c r="E1219" s="75" t="n">
        <x:f>IF(ISERROR('Workfront Schedule'!J50),0,1)</x:f>
        <x:v>1</x:v>
      </x:c>
      <x:c r="F1219" s="75" t="n">
        <x:v>1</x:v>
      </x:c>
      <x:c r="G1219" s="24" t="str">
        <x:f>IF(E1219=F1219,"PASS","FAIL")</x:f>
        <x:v>PASS</x:v>
      </x:c>
    </x:row>
    <x:row r="1220">
      <x:c r="B1220" s="22" t="str">
        <x:v>AC-1214</x:v>
      </x:c>
      <x:c r="C1220" s="22" t="str">
        <x:v>non-error</x:v>
      </x:c>
      <x:c r="D1220" s="22" t="str">
        <x:v>Workfront Schedule K50</x:v>
      </x:c>
      <x:c r="E1220" s="75" t="n">
        <x:f>IF(ISERROR('Workfront Schedule'!K50),0,1)</x:f>
        <x:v>1</x:v>
      </x:c>
      <x:c r="F1220" s="75" t="n">
        <x:v>1</x:v>
      </x:c>
      <x:c r="G1220" s="24" t="str">
        <x:f>IF(E1220=F1220,"PASS","FAIL")</x:f>
        <x:v>PASS</x:v>
      </x:c>
    </x:row>
    <x:row r="1221">
      <x:c r="B1221" s="22" t="str">
        <x:v>AC-1215</x:v>
      </x:c>
      <x:c r="C1221" s="22" t="str">
        <x:v>non-error</x:v>
      </x:c>
      <x:c r="D1221" s="22" t="str">
        <x:v>Workfront Schedule L50</x:v>
      </x:c>
      <x:c r="E1221" s="75" t="n">
        <x:f>IF(ISERROR('Workfront Schedule'!L50),0,1)</x:f>
        <x:v>1</x:v>
      </x:c>
      <x:c r="F1221" s="75" t="n">
        <x:v>1</x:v>
      </x:c>
      <x:c r="G1221" s="24" t="str">
        <x:f>IF(E1221=F1221,"PASS","FAIL")</x:f>
        <x:v>PASS</x:v>
      </x:c>
    </x:row>
    <x:row r="1222">
      <x:c r="B1222" s="22" t="str">
        <x:v>AC-1216</x:v>
      </x:c>
      <x:c r="C1222" s="22" t="str">
        <x:v>non-error</x:v>
      </x:c>
      <x:c r="D1222" s="22" t="str">
        <x:v>Workfront Schedule M50</x:v>
      </x:c>
      <x:c r="E1222" s="75" t="n">
        <x:f>IF(ISERROR('Workfront Schedule'!M50),0,1)</x:f>
        <x:v>1</x:v>
      </x:c>
      <x:c r="F1222" s="75" t="n">
        <x:v>1</x:v>
      </x:c>
      <x:c r="G1222" s="24" t="str">
        <x:f>IF(E1222=F1222,"PASS","FAIL")</x:f>
        <x:v>PASS</x:v>
      </x:c>
    </x:row>
    <x:row r="1223">
      <x:c r="B1223" s="22" t="str">
        <x:v>AC-1217</x:v>
      </x:c>
      <x:c r="C1223" s="22" t="str">
        <x:v>non-error</x:v>
      </x:c>
      <x:c r="D1223" s="22" t="str">
        <x:v>Workfront Schedule N50</x:v>
      </x:c>
      <x:c r="E1223" s="75" t="n">
        <x:f>IF(ISERROR('Workfront Schedule'!N50),0,1)</x:f>
        <x:v>1</x:v>
      </x:c>
      <x:c r="F1223" s="75" t="n">
        <x:v>1</x:v>
      </x:c>
      <x:c r="G1223" s="24" t="str">
        <x:f>IF(E1223=F1223,"PASS","FAIL")</x:f>
        <x:v>PASS</x:v>
      </x:c>
    </x:row>
    <x:row r="1224">
      <x:c r="B1224" s="22" t="str">
        <x:v>AC-1218</x:v>
      </x:c>
      <x:c r="C1224" s="22" t="str">
        <x:v>non-error</x:v>
      </x:c>
      <x:c r="D1224" s="22" t="str">
        <x:v>Workfront Schedule O50</x:v>
      </x:c>
      <x:c r="E1224" s="75" t="n">
        <x:f>IF(ISERROR('Workfront Schedule'!O50),0,1)</x:f>
        <x:v>1</x:v>
      </x:c>
      <x:c r="F1224" s="75" t="n">
        <x:v>1</x:v>
      </x:c>
      <x:c r="G1224" s="24" t="str">
        <x:f>IF(E1224=F1224,"PASS","FAIL")</x:f>
        <x:v>PASS</x:v>
      </x:c>
    </x:row>
    <x:row r="1225">
      <x:c r="B1225" s="22" t="str">
        <x:v>AC-1219</x:v>
      </x:c>
      <x:c r="C1225" s="22" t="str">
        <x:v>non-error</x:v>
      </x:c>
      <x:c r="D1225" s="22" t="str">
        <x:v>Workfront Schedule P50</x:v>
      </x:c>
      <x:c r="E1225" s="75" t="n">
        <x:f>IF(ISERROR('Workfront Schedule'!P50),0,1)</x:f>
        <x:v>1</x:v>
      </x:c>
      <x:c r="F1225" s="75" t="n">
        <x:v>1</x:v>
      </x:c>
      <x:c r="G1225" s="24" t="str">
        <x:f>IF(E1225=F1225,"PASS","FAIL")</x:f>
        <x:v>PASS</x:v>
      </x:c>
    </x:row>
    <x:row r="1226">
      <x:c r="B1226" s="22" t="str">
        <x:v>AC-1220</x:v>
      </x:c>
      <x:c r="C1226" s="22" t="str">
        <x:v>non-error</x:v>
      </x:c>
      <x:c r="D1226" s="22" t="str">
        <x:v>Workfront Schedule G51</x:v>
      </x:c>
      <x:c r="E1226" s="75" t="n">
        <x:f>IF(ISERROR('Workfront Schedule'!G51),0,1)</x:f>
        <x:v>1</x:v>
      </x:c>
      <x:c r="F1226" s="75" t="n">
        <x:v>1</x:v>
      </x:c>
      <x:c r="G1226" s="24" t="str">
        <x:f>IF(E1226=F1226,"PASS","FAIL")</x:f>
        <x:v>PASS</x:v>
      </x:c>
    </x:row>
    <x:row r="1227">
      <x:c r="B1227" s="22" t="str">
        <x:v>AC-1221</x:v>
      </x:c>
      <x:c r="C1227" s="22" t="str">
        <x:v>non-error</x:v>
      </x:c>
      <x:c r="D1227" s="22" t="str">
        <x:v>Workfront Schedule H51</x:v>
      </x:c>
      <x:c r="E1227" s="75" t="n">
        <x:f>IF(ISERROR('Workfront Schedule'!H51),0,1)</x:f>
        <x:v>1</x:v>
      </x:c>
      <x:c r="F1227" s="75" t="n">
        <x:v>1</x:v>
      </x:c>
      <x:c r="G1227" s="24" t="str">
        <x:f>IF(E1227=F1227,"PASS","FAIL")</x:f>
        <x:v>PASS</x:v>
      </x:c>
    </x:row>
    <x:row r="1228">
      <x:c r="B1228" s="22" t="str">
        <x:v>AC-1222</x:v>
      </x:c>
      <x:c r="C1228" s="22" t="str">
        <x:v>non-error</x:v>
      </x:c>
      <x:c r="D1228" s="22" t="str">
        <x:v>Workfront Schedule I51</x:v>
      </x:c>
      <x:c r="E1228" s="75" t="n">
        <x:f>IF(ISERROR('Workfront Schedule'!I51),0,1)</x:f>
        <x:v>1</x:v>
      </x:c>
      <x:c r="F1228" s="75" t="n">
        <x:v>1</x:v>
      </x:c>
      <x:c r="G1228" s="24" t="str">
        <x:f>IF(E1228=F1228,"PASS","FAIL")</x:f>
        <x:v>PASS</x:v>
      </x:c>
    </x:row>
    <x:row r="1229">
      <x:c r="B1229" s="22" t="str">
        <x:v>AC-1223</x:v>
      </x:c>
      <x:c r="C1229" s="22" t="str">
        <x:v>non-error</x:v>
      </x:c>
      <x:c r="D1229" s="22" t="str">
        <x:v>Workfront Schedule J51</x:v>
      </x:c>
      <x:c r="E1229" s="75" t="n">
        <x:f>IF(ISERROR('Workfront Schedule'!J51),0,1)</x:f>
        <x:v>1</x:v>
      </x:c>
      <x:c r="F1229" s="75" t="n">
        <x:v>1</x:v>
      </x:c>
      <x:c r="G1229" s="24" t="str">
        <x:f>IF(E1229=F1229,"PASS","FAIL")</x:f>
        <x:v>PASS</x:v>
      </x:c>
    </x:row>
    <x:row r="1230">
      <x:c r="B1230" s="22" t="str">
        <x:v>AC-1224</x:v>
      </x:c>
      <x:c r="C1230" s="22" t="str">
        <x:v>non-error</x:v>
      </x:c>
      <x:c r="D1230" s="22" t="str">
        <x:v>Workfront Schedule K51</x:v>
      </x:c>
      <x:c r="E1230" s="75" t="n">
        <x:f>IF(ISERROR('Workfront Schedule'!K51),0,1)</x:f>
        <x:v>1</x:v>
      </x:c>
      <x:c r="F1230" s="75" t="n">
        <x:v>1</x:v>
      </x:c>
      <x:c r="G1230" s="24" t="str">
        <x:f>IF(E1230=F1230,"PASS","FAIL")</x:f>
        <x:v>PASS</x:v>
      </x:c>
    </x:row>
    <x:row r="1231">
      <x:c r="B1231" s="22" t="str">
        <x:v>AC-1225</x:v>
      </x:c>
      <x:c r="C1231" s="22" t="str">
        <x:v>non-error</x:v>
      </x:c>
      <x:c r="D1231" s="22" t="str">
        <x:v>Workfront Schedule L51</x:v>
      </x:c>
      <x:c r="E1231" s="75" t="n">
        <x:f>IF(ISERROR('Workfront Schedule'!L51),0,1)</x:f>
        <x:v>1</x:v>
      </x:c>
      <x:c r="F1231" s="75" t="n">
        <x:v>1</x:v>
      </x:c>
      <x:c r="G1231" s="24" t="str">
        <x:f>IF(E1231=F1231,"PASS","FAIL")</x:f>
        <x:v>PASS</x:v>
      </x:c>
    </x:row>
    <x:row r="1232">
      <x:c r="B1232" s="22" t="str">
        <x:v>AC-1226</x:v>
      </x:c>
      <x:c r="C1232" s="22" t="str">
        <x:v>non-error</x:v>
      </x:c>
      <x:c r="D1232" s="22" t="str">
        <x:v>Workfront Schedule M51</x:v>
      </x:c>
      <x:c r="E1232" s="75" t="n">
        <x:f>IF(ISERROR('Workfront Schedule'!M51),0,1)</x:f>
        <x:v>1</x:v>
      </x:c>
      <x:c r="F1232" s="75" t="n">
        <x:v>1</x:v>
      </x:c>
      <x:c r="G1232" s="24" t="str">
        <x:f>IF(E1232=F1232,"PASS","FAIL")</x:f>
        <x:v>PASS</x:v>
      </x:c>
    </x:row>
    <x:row r="1233">
      <x:c r="B1233" s="22" t="str">
        <x:v>AC-1227</x:v>
      </x:c>
      <x:c r="C1233" s="22" t="str">
        <x:v>non-error</x:v>
      </x:c>
      <x:c r="D1233" s="22" t="str">
        <x:v>Workfront Schedule N51</x:v>
      </x:c>
      <x:c r="E1233" s="75" t="n">
        <x:f>IF(ISERROR('Workfront Schedule'!N51),0,1)</x:f>
        <x:v>1</x:v>
      </x:c>
      <x:c r="F1233" s="75" t="n">
        <x:v>1</x:v>
      </x:c>
      <x:c r="G1233" s="24" t="str">
        <x:f>IF(E1233=F1233,"PASS","FAIL")</x:f>
        <x:v>PASS</x:v>
      </x:c>
    </x:row>
    <x:row r="1234">
      <x:c r="B1234" s="22" t="str">
        <x:v>AC-1228</x:v>
      </x:c>
      <x:c r="C1234" s="22" t="str">
        <x:v>non-error</x:v>
      </x:c>
      <x:c r="D1234" s="22" t="str">
        <x:v>Workfront Schedule O51</x:v>
      </x:c>
      <x:c r="E1234" s="75" t="n">
        <x:f>IF(ISERROR('Workfront Schedule'!O51),0,1)</x:f>
        <x:v>1</x:v>
      </x:c>
      <x:c r="F1234" s="75" t="n">
        <x:v>1</x:v>
      </x:c>
      <x:c r="G1234" s="24" t="str">
        <x:f>IF(E1234=F1234,"PASS","FAIL")</x:f>
        <x:v>PASS</x:v>
      </x:c>
    </x:row>
    <x:row r="1235">
      <x:c r="B1235" s="22" t="str">
        <x:v>AC-1229</x:v>
      </x:c>
      <x:c r="C1235" s="22" t="str">
        <x:v>non-error</x:v>
      </x:c>
      <x:c r="D1235" s="22" t="str">
        <x:v>Workfront Schedule P51</x:v>
      </x:c>
      <x:c r="E1235" s="75" t="n">
        <x:f>IF(ISERROR('Workfront Schedule'!P51),0,1)</x:f>
        <x:v>1</x:v>
      </x:c>
      <x:c r="F1235" s="75" t="n">
        <x:v>1</x:v>
      </x:c>
      <x:c r="G1235" s="24" t="str">
        <x:f>IF(E1235=F1235,"PASS","FAIL")</x:f>
        <x:v>PASS</x:v>
      </x:c>
    </x:row>
    <x:row r="1236">
      <x:c r="B1236" s="22" t="str">
        <x:v>AC-1230</x:v>
      </x:c>
      <x:c r="C1236" s="22" t="str">
        <x:v>non-error</x:v>
      </x:c>
      <x:c r="D1236" s="22" t="str">
        <x:v>Workfront Schedule G52</x:v>
      </x:c>
      <x:c r="E1236" s="75" t="n">
        <x:f>IF(ISERROR('Workfront Schedule'!G52),0,1)</x:f>
        <x:v>1</x:v>
      </x:c>
      <x:c r="F1236" s="75" t="n">
        <x:v>1</x:v>
      </x:c>
      <x:c r="G1236" s="24" t="str">
        <x:f>IF(E1236=F1236,"PASS","FAIL")</x:f>
        <x:v>PASS</x:v>
      </x:c>
    </x:row>
    <x:row r="1237">
      <x:c r="B1237" s="22" t="str">
        <x:v>AC-1231</x:v>
      </x:c>
      <x:c r="C1237" s="22" t="str">
        <x:v>non-error</x:v>
      </x:c>
      <x:c r="D1237" s="22" t="str">
        <x:v>Workfront Schedule H52</x:v>
      </x:c>
      <x:c r="E1237" s="75" t="n">
        <x:f>IF(ISERROR('Workfront Schedule'!H52),0,1)</x:f>
        <x:v>1</x:v>
      </x:c>
      <x:c r="F1237" s="75" t="n">
        <x:v>1</x:v>
      </x:c>
      <x:c r="G1237" s="24" t="str">
        <x:f>IF(E1237=F1237,"PASS","FAIL")</x:f>
        <x:v>PASS</x:v>
      </x:c>
    </x:row>
    <x:row r="1238">
      <x:c r="B1238" s="22" t="str">
        <x:v>AC-1232</x:v>
      </x:c>
      <x:c r="C1238" s="22" t="str">
        <x:v>non-error</x:v>
      </x:c>
      <x:c r="D1238" s="22" t="str">
        <x:v>Workfront Schedule I52</x:v>
      </x:c>
      <x:c r="E1238" s="75" t="n">
        <x:f>IF(ISERROR('Workfront Schedule'!I52),0,1)</x:f>
        <x:v>1</x:v>
      </x:c>
      <x:c r="F1238" s="75" t="n">
        <x:v>1</x:v>
      </x:c>
      <x:c r="G1238" s="24" t="str">
        <x:f>IF(E1238=F1238,"PASS","FAIL")</x:f>
        <x:v>PASS</x:v>
      </x:c>
    </x:row>
    <x:row r="1239">
      <x:c r="B1239" s="22" t="str">
        <x:v>AC-1233</x:v>
      </x:c>
      <x:c r="C1239" s="22" t="str">
        <x:v>non-error</x:v>
      </x:c>
      <x:c r="D1239" s="22" t="str">
        <x:v>Workfront Schedule J52</x:v>
      </x:c>
      <x:c r="E1239" s="75" t="n">
        <x:f>IF(ISERROR('Workfront Schedule'!J52),0,1)</x:f>
        <x:v>1</x:v>
      </x:c>
      <x:c r="F1239" s="75" t="n">
        <x:v>1</x:v>
      </x:c>
      <x:c r="G1239" s="24" t="str">
        <x:f>IF(E1239=F1239,"PASS","FAIL")</x:f>
        <x:v>PASS</x:v>
      </x:c>
    </x:row>
    <x:row r="1240">
      <x:c r="B1240" s="22" t="str">
        <x:v>AC-1234</x:v>
      </x:c>
      <x:c r="C1240" s="22" t="str">
        <x:v>non-error</x:v>
      </x:c>
      <x:c r="D1240" s="22" t="str">
        <x:v>Workfront Schedule K52</x:v>
      </x:c>
      <x:c r="E1240" s="75" t="n">
        <x:f>IF(ISERROR('Workfront Schedule'!K52),0,1)</x:f>
        <x:v>1</x:v>
      </x:c>
      <x:c r="F1240" s="75" t="n">
        <x:v>1</x:v>
      </x:c>
      <x:c r="G1240" s="24" t="str">
        <x:f>IF(E1240=F1240,"PASS","FAIL")</x:f>
        <x:v>PASS</x:v>
      </x:c>
    </x:row>
    <x:row r="1241">
      <x:c r="B1241" s="22" t="str">
        <x:v>AC-1235</x:v>
      </x:c>
      <x:c r="C1241" s="22" t="str">
        <x:v>non-error</x:v>
      </x:c>
      <x:c r="D1241" s="22" t="str">
        <x:v>Workfront Schedule L52</x:v>
      </x:c>
      <x:c r="E1241" s="75" t="n">
        <x:f>IF(ISERROR('Workfront Schedule'!L52),0,1)</x:f>
        <x:v>1</x:v>
      </x:c>
      <x:c r="F1241" s="75" t="n">
        <x:v>1</x:v>
      </x:c>
      <x:c r="G1241" s="24" t="str">
        <x:f>IF(E1241=F1241,"PASS","FAIL")</x:f>
        <x:v>PASS</x:v>
      </x:c>
    </x:row>
    <x:row r="1242">
      <x:c r="B1242" s="22" t="str">
        <x:v>AC-1236</x:v>
      </x:c>
      <x:c r="C1242" s="22" t="str">
        <x:v>non-error</x:v>
      </x:c>
      <x:c r="D1242" s="22" t="str">
        <x:v>Workfront Schedule M52</x:v>
      </x:c>
      <x:c r="E1242" s="75" t="n">
        <x:f>IF(ISERROR('Workfront Schedule'!M52),0,1)</x:f>
        <x:v>1</x:v>
      </x:c>
      <x:c r="F1242" s="75" t="n">
        <x:v>1</x:v>
      </x:c>
      <x:c r="G1242" s="24" t="str">
        <x:f>IF(E1242=F1242,"PASS","FAIL")</x:f>
        <x:v>PASS</x:v>
      </x:c>
    </x:row>
    <x:row r="1243">
      <x:c r="B1243" s="22" t="str">
        <x:v>AC-1237</x:v>
      </x:c>
      <x:c r="C1243" s="22" t="str">
        <x:v>non-error</x:v>
      </x:c>
      <x:c r="D1243" s="22" t="str">
        <x:v>Workfront Schedule N52</x:v>
      </x:c>
      <x:c r="E1243" s="75" t="n">
        <x:f>IF(ISERROR('Workfront Schedule'!N52),0,1)</x:f>
        <x:v>1</x:v>
      </x:c>
      <x:c r="F1243" s="75" t="n">
        <x:v>1</x:v>
      </x:c>
      <x:c r="G1243" s="24" t="str">
        <x:f>IF(E1243=F1243,"PASS","FAIL")</x:f>
        <x:v>PASS</x:v>
      </x:c>
    </x:row>
    <x:row r="1244">
      <x:c r="B1244" s="22" t="str">
        <x:v>AC-1238</x:v>
      </x:c>
      <x:c r="C1244" s="22" t="str">
        <x:v>non-error</x:v>
      </x:c>
      <x:c r="D1244" s="22" t="str">
        <x:v>Workfront Schedule O52</x:v>
      </x:c>
      <x:c r="E1244" s="75" t="n">
        <x:f>IF(ISERROR('Workfront Schedule'!O52),0,1)</x:f>
        <x:v>1</x:v>
      </x:c>
      <x:c r="F1244" s="75" t="n">
        <x:v>1</x:v>
      </x:c>
      <x:c r="G1244" s="24" t="str">
        <x:f>IF(E1244=F1244,"PASS","FAIL")</x:f>
        <x:v>PASS</x:v>
      </x:c>
    </x:row>
    <x:row r="1245">
      <x:c r="B1245" s="22" t="str">
        <x:v>AC-1239</x:v>
      </x:c>
      <x:c r="C1245" s="22" t="str">
        <x:v>non-error</x:v>
      </x:c>
      <x:c r="D1245" s="22" t="str">
        <x:v>Workfront Schedule P52</x:v>
      </x:c>
      <x:c r="E1245" s="75" t="n">
        <x:f>IF(ISERROR('Workfront Schedule'!P52),0,1)</x:f>
        <x:v>1</x:v>
      </x:c>
      <x:c r="F1245" s="75" t="n">
        <x:v>1</x:v>
      </x:c>
      <x:c r="G1245" s="24" t="str">
        <x:f>IF(E1245=F1245,"PASS","FAIL")</x:f>
        <x:v>PASS</x:v>
      </x:c>
    </x:row>
    <x:row r="1246">
      <x:c r="B1246" s="22" t="str">
        <x:v>AC-1240</x:v>
      </x:c>
      <x:c r="C1246" s="22" t="str">
        <x:v>non-error</x:v>
      </x:c>
      <x:c r="D1246" s="22" t="str">
        <x:v>Workfront Schedule G53</x:v>
      </x:c>
      <x:c r="E1246" s="75" t="n">
        <x:f>IF(ISERROR('Workfront Schedule'!G53),0,1)</x:f>
        <x:v>1</x:v>
      </x:c>
      <x:c r="F1246" s="75" t="n">
        <x:v>1</x:v>
      </x:c>
      <x:c r="G1246" s="24" t="str">
        <x:f>IF(E1246=F1246,"PASS","FAIL")</x:f>
        <x:v>PASS</x:v>
      </x:c>
    </x:row>
    <x:row r="1247">
      <x:c r="B1247" s="22" t="str">
        <x:v>AC-1241</x:v>
      </x:c>
      <x:c r="C1247" s="22" t="str">
        <x:v>non-error</x:v>
      </x:c>
      <x:c r="D1247" s="22" t="str">
        <x:v>Workfront Schedule H53</x:v>
      </x:c>
      <x:c r="E1247" s="75" t="n">
        <x:f>IF(ISERROR('Workfront Schedule'!H53),0,1)</x:f>
        <x:v>1</x:v>
      </x:c>
      <x:c r="F1247" s="75" t="n">
        <x:v>1</x:v>
      </x:c>
      <x:c r="G1247" s="24" t="str">
        <x:f>IF(E1247=F1247,"PASS","FAIL")</x:f>
        <x:v>PASS</x:v>
      </x:c>
    </x:row>
    <x:row r="1248">
      <x:c r="B1248" s="22" t="str">
        <x:v>AC-1242</x:v>
      </x:c>
      <x:c r="C1248" s="22" t="str">
        <x:v>non-error</x:v>
      </x:c>
      <x:c r="D1248" s="22" t="str">
        <x:v>Workfront Schedule I53</x:v>
      </x:c>
      <x:c r="E1248" s="75" t="n">
        <x:f>IF(ISERROR('Workfront Schedule'!I53),0,1)</x:f>
        <x:v>1</x:v>
      </x:c>
      <x:c r="F1248" s="75" t="n">
        <x:v>1</x:v>
      </x:c>
      <x:c r="G1248" s="24" t="str">
        <x:f>IF(E1248=F1248,"PASS","FAIL")</x:f>
        <x:v>PASS</x:v>
      </x:c>
    </x:row>
    <x:row r="1249">
      <x:c r="B1249" s="22" t="str">
        <x:v>AC-1243</x:v>
      </x:c>
      <x:c r="C1249" s="22" t="str">
        <x:v>non-error</x:v>
      </x:c>
      <x:c r="D1249" s="22" t="str">
        <x:v>Workfront Schedule J53</x:v>
      </x:c>
      <x:c r="E1249" s="75" t="n">
        <x:f>IF(ISERROR('Workfront Schedule'!J53),0,1)</x:f>
        <x:v>1</x:v>
      </x:c>
      <x:c r="F1249" s="75" t="n">
        <x:v>1</x:v>
      </x:c>
      <x:c r="G1249" s="24" t="str">
        <x:f>IF(E1249=F1249,"PASS","FAIL")</x:f>
        <x:v>PASS</x:v>
      </x:c>
    </x:row>
    <x:row r="1250">
      <x:c r="B1250" s="22" t="str">
        <x:v>AC-1244</x:v>
      </x:c>
      <x:c r="C1250" s="22" t="str">
        <x:v>non-error</x:v>
      </x:c>
      <x:c r="D1250" s="22" t="str">
        <x:v>Workfront Schedule K53</x:v>
      </x:c>
      <x:c r="E1250" s="75" t="n">
        <x:f>IF(ISERROR('Workfront Schedule'!K53),0,1)</x:f>
        <x:v>1</x:v>
      </x:c>
      <x:c r="F1250" s="75" t="n">
        <x:v>1</x:v>
      </x:c>
      <x:c r="G1250" s="24" t="str">
        <x:f>IF(E1250=F1250,"PASS","FAIL")</x:f>
        <x:v>PASS</x:v>
      </x:c>
    </x:row>
    <x:row r="1251">
      <x:c r="B1251" s="22" t="str">
        <x:v>AC-1245</x:v>
      </x:c>
      <x:c r="C1251" s="22" t="str">
        <x:v>non-error</x:v>
      </x:c>
      <x:c r="D1251" s="22" t="str">
        <x:v>Workfront Schedule L53</x:v>
      </x:c>
      <x:c r="E1251" s="75" t="n">
        <x:f>IF(ISERROR('Workfront Schedule'!L53),0,1)</x:f>
        <x:v>1</x:v>
      </x:c>
      <x:c r="F1251" s="75" t="n">
        <x:v>1</x:v>
      </x:c>
      <x:c r="G1251" s="24" t="str">
        <x:f>IF(E1251=F1251,"PASS","FAIL")</x:f>
        <x:v>PASS</x:v>
      </x:c>
    </x:row>
    <x:row r="1252">
      <x:c r="B1252" s="22" t="str">
        <x:v>AC-1246</x:v>
      </x:c>
      <x:c r="C1252" s="22" t="str">
        <x:v>non-error</x:v>
      </x:c>
      <x:c r="D1252" s="22" t="str">
        <x:v>Workfront Schedule M53</x:v>
      </x:c>
      <x:c r="E1252" s="75" t="n">
        <x:f>IF(ISERROR('Workfront Schedule'!M53),0,1)</x:f>
        <x:v>1</x:v>
      </x:c>
      <x:c r="F1252" s="75" t="n">
        <x:v>1</x:v>
      </x:c>
      <x:c r="G1252" s="24" t="str">
        <x:f>IF(E1252=F1252,"PASS","FAIL")</x:f>
        <x:v>PASS</x:v>
      </x:c>
    </x:row>
    <x:row r="1253">
      <x:c r="B1253" s="22" t="str">
        <x:v>AC-1247</x:v>
      </x:c>
      <x:c r="C1253" s="22" t="str">
        <x:v>non-error</x:v>
      </x:c>
      <x:c r="D1253" s="22" t="str">
        <x:v>Workfront Schedule N53</x:v>
      </x:c>
      <x:c r="E1253" s="75" t="n">
        <x:f>IF(ISERROR('Workfront Schedule'!N53),0,1)</x:f>
        <x:v>1</x:v>
      </x:c>
      <x:c r="F1253" s="75" t="n">
        <x:v>1</x:v>
      </x:c>
      <x:c r="G1253" s="24" t="str">
        <x:f>IF(E1253=F1253,"PASS","FAIL")</x:f>
        <x:v>PASS</x:v>
      </x:c>
    </x:row>
    <x:row r="1254">
      <x:c r="B1254" s="22" t="str">
        <x:v>AC-1248</x:v>
      </x:c>
      <x:c r="C1254" s="22" t="str">
        <x:v>non-error</x:v>
      </x:c>
      <x:c r="D1254" s="22" t="str">
        <x:v>Workfront Schedule O53</x:v>
      </x:c>
      <x:c r="E1254" s="75" t="n">
        <x:f>IF(ISERROR('Workfront Schedule'!O53),0,1)</x:f>
        <x:v>1</x:v>
      </x:c>
      <x:c r="F1254" s="75" t="n">
        <x:v>1</x:v>
      </x:c>
      <x:c r="G1254" s="24" t="str">
        <x:f>IF(E1254=F1254,"PASS","FAIL")</x:f>
        <x:v>PASS</x:v>
      </x:c>
    </x:row>
    <x:row r="1255">
      <x:c r="B1255" s="22" t="str">
        <x:v>AC-1249</x:v>
      </x:c>
      <x:c r="C1255" s="22" t="str">
        <x:v>non-error</x:v>
      </x:c>
      <x:c r="D1255" s="22" t="str">
        <x:v>Workfront Schedule P53</x:v>
      </x:c>
      <x:c r="E1255" s="75" t="n">
        <x:f>IF(ISERROR('Workfront Schedule'!P53),0,1)</x:f>
        <x:v>1</x:v>
      </x:c>
      <x:c r="F1255" s="75" t="n">
        <x:v>1</x:v>
      </x:c>
      <x:c r="G1255" s="24" t="str">
        <x:f>IF(E1255=F1255,"PASS","FAIL")</x:f>
        <x:v>PASS</x:v>
      </x:c>
    </x:row>
    <x:row r="1256">
      <x:c r="B1256" s="22" t="str">
        <x:v>AC-1250</x:v>
      </x:c>
      <x:c r="C1256" s="22" t="str">
        <x:v>non-error</x:v>
      </x:c>
      <x:c r="D1256" s="22" t="str">
        <x:v>Workfront Schedule G54</x:v>
      </x:c>
      <x:c r="E1256" s="75" t="n">
        <x:f>IF(ISERROR('Workfront Schedule'!G54),0,1)</x:f>
        <x:v>1</x:v>
      </x:c>
      <x:c r="F1256" s="75" t="n">
        <x:v>1</x:v>
      </x:c>
      <x:c r="G1256" s="24" t="str">
        <x:f>IF(E1256=F1256,"PASS","FAIL")</x:f>
        <x:v>PASS</x:v>
      </x:c>
    </x:row>
    <x:row r="1257">
      <x:c r="B1257" s="22" t="str">
        <x:v>AC-1251</x:v>
      </x:c>
      <x:c r="C1257" s="22" t="str">
        <x:v>non-error</x:v>
      </x:c>
      <x:c r="D1257" s="22" t="str">
        <x:v>Workfront Schedule H54</x:v>
      </x:c>
      <x:c r="E1257" s="75" t="n">
        <x:f>IF(ISERROR('Workfront Schedule'!H54),0,1)</x:f>
        <x:v>1</x:v>
      </x:c>
      <x:c r="F1257" s="75" t="n">
        <x:v>1</x:v>
      </x:c>
      <x:c r="G1257" s="24" t="str">
        <x:f>IF(E1257=F1257,"PASS","FAIL")</x:f>
        <x:v>PASS</x:v>
      </x:c>
    </x:row>
    <x:row r="1258">
      <x:c r="B1258" s="22" t="str">
        <x:v>AC-1252</x:v>
      </x:c>
      <x:c r="C1258" s="22" t="str">
        <x:v>non-error</x:v>
      </x:c>
      <x:c r="D1258" s="22" t="str">
        <x:v>Workfront Schedule I54</x:v>
      </x:c>
      <x:c r="E1258" s="75" t="n">
        <x:f>IF(ISERROR('Workfront Schedule'!I54),0,1)</x:f>
        <x:v>1</x:v>
      </x:c>
      <x:c r="F1258" s="75" t="n">
        <x:v>1</x:v>
      </x:c>
      <x:c r="G1258" s="24" t="str">
        <x:f>IF(E1258=F1258,"PASS","FAIL")</x:f>
        <x:v>PASS</x:v>
      </x:c>
    </x:row>
    <x:row r="1259">
      <x:c r="B1259" s="22" t="str">
        <x:v>AC-1253</x:v>
      </x:c>
      <x:c r="C1259" s="22" t="str">
        <x:v>non-error</x:v>
      </x:c>
      <x:c r="D1259" s="22" t="str">
        <x:v>Workfront Schedule J54</x:v>
      </x:c>
      <x:c r="E1259" s="75" t="n">
        <x:f>IF(ISERROR('Workfront Schedule'!J54),0,1)</x:f>
        <x:v>1</x:v>
      </x:c>
      <x:c r="F1259" s="75" t="n">
        <x:v>1</x:v>
      </x:c>
      <x:c r="G1259" s="24" t="str">
        <x:f>IF(E1259=F1259,"PASS","FAIL")</x:f>
        <x:v>PASS</x:v>
      </x:c>
    </x:row>
    <x:row r="1260">
      <x:c r="B1260" s="22" t="str">
        <x:v>AC-1254</x:v>
      </x:c>
      <x:c r="C1260" s="22" t="str">
        <x:v>non-error</x:v>
      </x:c>
      <x:c r="D1260" s="22" t="str">
        <x:v>Workfront Schedule K54</x:v>
      </x:c>
      <x:c r="E1260" s="75" t="n">
        <x:f>IF(ISERROR('Workfront Schedule'!K54),0,1)</x:f>
        <x:v>1</x:v>
      </x:c>
      <x:c r="F1260" s="75" t="n">
        <x:v>1</x:v>
      </x:c>
      <x:c r="G1260" s="24" t="str">
        <x:f>IF(E1260=F1260,"PASS","FAIL")</x:f>
        <x:v>PASS</x:v>
      </x:c>
    </x:row>
    <x:row r="1261">
      <x:c r="B1261" s="22" t="str">
        <x:v>AC-1255</x:v>
      </x:c>
      <x:c r="C1261" s="22" t="str">
        <x:v>non-error</x:v>
      </x:c>
      <x:c r="D1261" s="22" t="str">
        <x:v>Workfront Schedule L54</x:v>
      </x:c>
      <x:c r="E1261" s="75" t="n">
        <x:f>IF(ISERROR('Workfront Schedule'!L54),0,1)</x:f>
        <x:v>1</x:v>
      </x:c>
      <x:c r="F1261" s="75" t="n">
        <x:v>1</x:v>
      </x:c>
      <x:c r="G1261" s="24" t="str">
        <x:f>IF(E1261=F1261,"PASS","FAIL")</x:f>
        <x:v>PASS</x:v>
      </x:c>
    </x:row>
    <x:row r="1262">
      <x:c r="B1262" s="22" t="str">
        <x:v>AC-1256</x:v>
      </x:c>
      <x:c r="C1262" s="22" t="str">
        <x:v>non-error</x:v>
      </x:c>
      <x:c r="D1262" s="22" t="str">
        <x:v>Workfront Schedule M54</x:v>
      </x:c>
      <x:c r="E1262" s="75" t="n">
        <x:f>IF(ISERROR('Workfront Schedule'!M54),0,1)</x:f>
        <x:v>1</x:v>
      </x:c>
      <x:c r="F1262" s="75" t="n">
        <x:v>1</x:v>
      </x:c>
      <x:c r="G1262" s="24" t="str">
        <x:f>IF(E1262=F1262,"PASS","FAIL")</x:f>
        <x:v>PASS</x:v>
      </x:c>
    </x:row>
    <x:row r="1263">
      <x:c r="B1263" s="22" t="str">
        <x:v>AC-1257</x:v>
      </x:c>
      <x:c r="C1263" s="22" t="str">
        <x:v>non-error</x:v>
      </x:c>
      <x:c r="D1263" s="22" t="str">
        <x:v>Workfront Schedule N54</x:v>
      </x:c>
      <x:c r="E1263" s="75" t="n">
        <x:f>IF(ISERROR('Workfront Schedule'!N54),0,1)</x:f>
        <x:v>1</x:v>
      </x:c>
      <x:c r="F1263" s="75" t="n">
        <x:v>1</x:v>
      </x:c>
      <x:c r="G1263" s="24" t="str">
        <x:f>IF(E1263=F1263,"PASS","FAIL")</x:f>
        <x:v>PASS</x:v>
      </x:c>
    </x:row>
    <x:row r="1264">
      <x:c r="B1264" s="22" t="str">
        <x:v>AC-1258</x:v>
      </x:c>
      <x:c r="C1264" s="22" t="str">
        <x:v>non-error</x:v>
      </x:c>
      <x:c r="D1264" s="22" t="str">
        <x:v>Workfront Schedule O54</x:v>
      </x:c>
      <x:c r="E1264" s="75" t="n">
        <x:f>IF(ISERROR('Workfront Schedule'!O54),0,1)</x:f>
        <x:v>1</x:v>
      </x:c>
      <x:c r="F1264" s="75" t="n">
        <x:v>1</x:v>
      </x:c>
      <x:c r="G1264" s="24" t="str">
        <x:f>IF(E1264=F1264,"PASS","FAIL")</x:f>
        <x:v>PASS</x:v>
      </x:c>
    </x:row>
    <x:row r="1265">
      <x:c r="B1265" s="22" t="str">
        <x:v>AC-1259</x:v>
      </x:c>
      <x:c r="C1265" s="22" t="str">
        <x:v>non-error</x:v>
      </x:c>
      <x:c r="D1265" s="22" t="str">
        <x:v>Workfront Schedule P54</x:v>
      </x:c>
      <x:c r="E1265" s="75" t="n">
        <x:f>IF(ISERROR('Workfront Schedule'!P54),0,1)</x:f>
        <x:v>1</x:v>
      </x:c>
      <x:c r="F1265" s="75" t="n">
        <x:v>1</x:v>
      </x:c>
      <x:c r="G1265" s="24" t="str">
        <x:f>IF(E1265=F1265,"PASS","FAIL")</x:f>
        <x:v>PASS</x:v>
      </x:c>
    </x:row>
    <x:row r="1266">
      <x:c r="B1266" s="22" t="str">
        <x:v>AC-1260</x:v>
      </x:c>
      <x:c r="C1266" s="22" t="str">
        <x:v>non-error</x:v>
      </x:c>
      <x:c r="D1266" s="22" t="str">
        <x:v>Power &amp; Buffer C7</x:v>
      </x:c>
      <x:c r="E1266" s="75" t="n">
        <x:f>IF(ISERROR('Power &amp; Buffer'!C7),0,1)</x:f>
        <x:v>1</x:v>
      </x:c>
      <x:c r="F1266" s="75" t="n">
        <x:v>1</x:v>
      </x:c>
      <x:c r="G1266" s="24" t="str">
        <x:f>IF(E1266=F1266,"PASS","FAIL")</x:f>
        <x:v>PASS</x:v>
      </x:c>
    </x:row>
    <x:row r="1267">
      <x:c r="B1267" s="22" t="str">
        <x:v>AC-1261</x:v>
      </x:c>
      <x:c r="C1267" s="22" t="str">
        <x:v>non-error</x:v>
      </x:c>
      <x:c r="D1267" s="22" t="str">
        <x:v>Power &amp; Buffer D7</x:v>
      </x:c>
      <x:c r="E1267" s="75" t="n">
        <x:f>IF(ISERROR('Power &amp; Buffer'!D7),0,1)</x:f>
        <x:v>1</x:v>
      </x:c>
      <x:c r="F1267" s="75" t="n">
        <x:v>1</x:v>
      </x:c>
      <x:c r="G1267" s="24" t="str">
        <x:f>IF(E1267=F1267,"PASS","FAIL")</x:f>
        <x:v>PASS</x:v>
      </x:c>
    </x:row>
    <x:row r="1268">
      <x:c r="B1268" s="22" t="str">
        <x:v>AC-1262</x:v>
      </x:c>
      <x:c r="C1268" s="22" t="str">
        <x:v>non-error</x:v>
      </x:c>
      <x:c r="D1268" s="22" t="str">
        <x:v>Power &amp; Buffer E7</x:v>
      </x:c>
      <x:c r="E1268" s="75" t="n">
        <x:f>IF(ISERROR('Power &amp; Buffer'!E7),0,1)</x:f>
        <x:v>1</x:v>
      </x:c>
      <x:c r="F1268" s="75" t="n">
        <x:v>1</x:v>
      </x:c>
      <x:c r="G1268" s="24" t="str">
        <x:f>IF(E1268=F1268,"PASS","FAIL")</x:f>
        <x:v>PASS</x:v>
      </x:c>
    </x:row>
    <x:row r="1269">
      <x:c r="B1269" s="22" t="str">
        <x:v>AC-1263</x:v>
      </x:c>
      <x:c r="C1269" s="22" t="str">
        <x:v>non-error</x:v>
      </x:c>
      <x:c r="D1269" s="22" t="str">
        <x:v>Power &amp; Buffer F7</x:v>
      </x:c>
      <x:c r="E1269" s="75" t="n">
        <x:f>IF(ISERROR('Power &amp; Buffer'!F7),0,1)</x:f>
        <x:v>1</x:v>
      </x:c>
      <x:c r="F1269" s="75" t="n">
        <x:v>1</x:v>
      </x:c>
      <x:c r="G1269" s="24" t="str">
        <x:f>IF(E1269=F1269,"PASS","FAIL")</x:f>
        <x:v>PASS</x:v>
      </x:c>
    </x:row>
    <x:row r="1270">
      <x:c r="B1270" s="22" t="str">
        <x:v>AC-1264</x:v>
      </x:c>
      <x:c r="C1270" s="22" t="str">
        <x:v>non-error</x:v>
      </x:c>
      <x:c r="D1270" s="22" t="str">
        <x:v>Power &amp; Buffer G7</x:v>
      </x:c>
      <x:c r="E1270" s="75" t="n">
        <x:f>IF(ISERROR('Power &amp; Buffer'!G7),0,1)</x:f>
        <x:v>1</x:v>
      </x:c>
      <x:c r="F1270" s="75" t="n">
        <x:v>1</x:v>
      </x:c>
      <x:c r="G1270" s="24" t="str">
        <x:f>IF(E1270=F1270,"PASS","FAIL")</x:f>
        <x:v>PASS</x:v>
      </x:c>
    </x:row>
    <x:row r="1271">
      <x:c r="B1271" s="22" t="str">
        <x:v>AC-1265</x:v>
      </x:c>
      <x:c r="C1271" s="22" t="str">
        <x:v>non-error</x:v>
      </x:c>
      <x:c r="D1271" s="22" t="str">
        <x:v>Power &amp; Buffer H7</x:v>
      </x:c>
      <x:c r="E1271" s="75" t="n">
        <x:f>IF(ISERROR('Power &amp; Buffer'!H7),0,1)</x:f>
        <x:v>1</x:v>
      </x:c>
      <x:c r="F1271" s="75" t="n">
        <x:v>1</x:v>
      </x:c>
      <x:c r="G1271" s="24" t="str">
        <x:f>IF(E1271=F1271,"PASS","FAIL")</x:f>
        <x:v>PASS</x:v>
      </x:c>
    </x:row>
    <x:row r="1272">
      <x:c r="B1272" s="22" t="str">
        <x:v>AC-1266</x:v>
      </x:c>
      <x:c r="C1272" s="22" t="str">
        <x:v>non-error</x:v>
      </x:c>
      <x:c r="D1272" s="22" t="str">
        <x:v>Power &amp; Buffer I7</x:v>
      </x:c>
      <x:c r="E1272" s="75" t="n">
        <x:f>IF(ISERROR('Power &amp; Buffer'!I7),0,1)</x:f>
        <x:v>1</x:v>
      </x:c>
      <x:c r="F1272" s="75" t="n">
        <x:v>1</x:v>
      </x:c>
      <x:c r="G1272" s="24" t="str">
        <x:f>IF(E1272=F1272,"PASS","FAIL")</x:f>
        <x:v>PASS</x:v>
      </x:c>
    </x:row>
    <x:row r="1273">
      <x:c r="B1273" s="22" t="str">
        <x:v>AC-1267</x:v>
      </x:c>
      <x:c r="C1273" s="22" t="str">
        <x:v>non-error</x:v>
      </x:c>
      <x:c r="D1273" s="22" t="str">
        <x:v>Power &amp; Buffer J7</x:v>
      </x:c>
      <x:c r="E1273" s="75" t="n">
        <x:f>IF(ISERROR('Power &amp; Buffer'!J7),0,1)</x:f>
        <x:v>1</x:v>
      </x:c>
      <x:c r="F1273" s="75" t="n">
        <x:v>1</x:v>
      </x:c>
      <x:c r="G1273" s="24" t="str">
        <x:f>IF(E1273=F1273,"PASS","FAIL")</x:f>
        <x:v>PASS</x:v>
      </x:c>
    </x:row>
    <x:row r="1274">
      <x:c r="B1274" s="22" t="str">
        <x:v>AC-1268</x:v>
      </x:c>
      <x:c r="C1274" s="22" t="str">
        <x:v>non-error</x:v>
      </x:c>
      <x:c r="D1274" s="22" t="str">
        <x:v>Power &amp; Buffer K7</x:v>
      </x:c>
      <x:c r="E1274" s="75" t="n">
        <x:f>IF(ISERROR('Power &amp; Buffer'!K7),0,1)</x:f>
        <x:v>1</x:v>
      </x:c>
      <x:c r="F1274" s="75" t="n">
        <x:v>1</x:v>
      </x:c>
      <x:c r="G1274" s="24" t="str">
        <x:f>IF(E1274=F1274,"PASS","FAIL")</x:f>
        <x:v>PASS</x:v>
      </x:c>
    </x:row>
    <x:row r="1275">
      <x:c r="B1275" s="22" t="str">
        <x:v>AC-1269</x:v>
      </x:c>
      <x:c r="C1275" s="22" t="str">
        <x:v>non-error</x:v>
      </x:c>
      <x:c r="D1275" s="22" t="str">
        <x:v>Power &amp; Buffer L7</x:v>
      </x:c>
      <x:c r="E1275" s="75" t="n">
        <x:f>IF(ISERROR('Power &amp; Buffer'!L7),0,1)</x:f>
        <x:v>1</x:v>
      </x:c>
      <x:c r="F1275" s="75" t="n">
        <x:v>1</x:v>
      </x:c>
      <x:c r="G1275" s="24" t="str">
        <x:f>IF(E1275=F1275,"PASS","FAIL")</x:f>
        <x:v>PASS</x:v>
      </x:c>
    </x:row>
    <x:row r="1276">
      <x:c r="B1276" s="22" t="str">
        <x:v>AC-1270</x:v>
      </x:c>
      <x:c r="C1276" s="22" t="str">
        <x:v>non-error</x:v>
      </x:c>
      <x:c r="D1276" s="22" t="str">
        <x:v>Power &amp; Buffer M7</x:v>
      </x:c>
      <x:c r="E1276" s="75" t="n">
        <x:f>IF(ISERROR('Power &amp; Buffer'!M7),0,1)</x:f>
        <x:v>1</x:v>
      </x:c>
      <x:c r="F1276" s="75" t="n">
        <x:v>1</x:v>
      </x:c>
      <x:c r="G1276" s="24" t="str">
        <x:f>IF(E1276=F1276,"PASS","FAIL")</x:f>
        <x:v>PASS</x:v>
      </x:c>
    </x:row>
    <x:row r="1277">
      <x:c r="B1277" s="22" t="str">
        <x:v>AC-1271</x:v>
      </x:c>
      <x:c r="C1277" s="22" t="str">
        <x:v>non-error</x:v>
      </x:c>
      <x:c r="D1277" s="22" t="str">
        <x:v>Power &amp; Buffer N7</x:v>
      </x:c>
      <x:c r="E1277" s="75" t="n">
        <x:f>IF(ISERROR('Power &amp; Buffer'!N7),0,1)</x:f>
        <x:v>1</x:v>
      </x:c>
      <x:c r="F1277" s="75" t="n">
        <x:v>1</x:v>
      </x:c>
      <x:c r="G1277" s="24" t="str">
        <x:f>IF(E1277=F1277,"PASS","FAIL")</x:f>
        <x:v>PASS</x:v>
      </x:c>
    </x:row>
    <x:row r="1278">
      <x:c r="B1278" s="22" t="str">
        <x:v>AC-1272</x:v>
      </x:c>
      <x:c r="C1278" s="22" t="str">
        <x:v>non-error</x:v>
      </x:c>
      <x:c r="D1278" s="22" t="str">
        <x:v>Power &amp; Buffer C8</x:v>
      </x:c>
      <x:c r="E1278" s="75" t="n">
        <x:f>IF(ISERROR('Power &amp; Buffer'!C8),0,1)</x:f>
        <x:v>1</x:v>
      </x:c>
      <x:c r="F1278" s="75" t="n">
        <x:v>1</x:v>
      </x:c>
      <x:c r="G1278" s="24" t="str">
        <x:f>IF(E1278=F1278,"PASS","FAIL")</x:f>
        <x:v>PASS</x:v>
      </x:c>
    </x:row>
    <x:row r="1279">
      <x:c r="B1279" s="22" t="str">
        <x:v>AC-1273</x:v>
      </x:c>
      <x:c r="C1279" s="22" t="str">
        <x:v>non-error</x:v>
      </x:c>
      <x:c r="D1279" s="22" t="str">
        <x:v>Power &amp; Buffer D8</x:v>
      </x:c>
      <x:c r="E1279" s="75" t="n">
        <x:f>IF(ISERROR('Power &amp; Buffer'!D8),0,1)</x:f>
        <x:v>1</x:v>
      </x:c>
      <x:c r="F1279" s="75" t="n">
        <x:v>1</x:v>
      </x:c>
      <x:c r="G1279" s="24" t="str">
        <x:f>IF(E1279=F1279,"PASS","FAIL")</x:f>
        <x:v>PASS</x:v>
      </x:c>
    </x:row>
    <x:row r="1280">
      <x:c r="B1280" s="22" t="str">
        <x:v>AC-1274</x:v>
      </x:c>
      <x:c r="C1280" s="22" t="str">
        <x:v>non-error</x:v>
      </x:c>
      <x:c r="D1280" s="22" t="str">
        <x:v>Power &amp; Buffer E8</x:v>
      </x:c>
      <x:c r="E1280" s="75" t="n">
        <x:f>IF(ISERROR('Power &amp; Buffer'!E8),0,1)</x:f>
        <x:v>1</x:v>
      </x:c>
      <x:c r="F1280" s="75" t="n">
        <x:v>1</x:v>
      </x:c>
      <x:c r="G1280" s="24" t="str">
        <x:f>IF(E1280=F1280,"PASS","FAIL")</x:f>
        <x:v>PASS</x:v>
      </x:c>
    </x:row>
    <x:row r="1281">
      <x:c r="B1281" s="22" t="str">
        <x:v>AC-1275</x:v>
      </x:c>
      <x:c r="C1281" s="22" t="str">
        <x:v>non-error</x:v>
      </x:c>
      <x:c r="D1281" s="22" t="str">
        <x:v>Power &amp; Buffer F8</x:v>
      </x:c>
      <x:c r="E1281" s="75" t="n">
        <x:f>IF(ISERROR('Power &amp; Buffer'!F8),0,1)</x:f>
        <x:v>1</x:v>
      </x:c>
      <x:c r="F1281" s="75" t="n">
        <x:v>1</x:v>
      </x:c>
      <x:c r="G1281" s="24" t="str">
        <x:f>IF(E1281=F1281,"PASS","FAIL")</x:f>
        <x:v>PASS</x:v>
      </x:c>
    </x:row>
    <x:row r="1282">
      <x:c r="B1282" s="22" t="str">
        <x:v>AC-1276</x:v>
      </x:c>
      <x:c r="C1282" s="22" t="str">
        <x:v>non-error</x:v>
      </x:c>
      <x:c r="D1282" s="22" t="str">
        <x:v>Power &amp; Buffer G8</x:v>
      </x:c>
      <x:c r="E1282" s="75" t="n">
        <x:f>IF(ISERROR('Power &amp; Buffer'!G8),0,1)</x:f>
        <x:v>1</x:v>
      </x:c>
      <x:c r="F1282" s="75" t="n">
        <x:v>1</x:v>
      </x:c>
      <x:c r="G1282" s="24" t="str">
        <x:f>IF(E1282=F1282,"PASS","FAIL")</x:f>
        <x:v>PASS</x:v>
      </x:c>
    </x:row>
    <x:row r="1283">
      <x:c r="B1283" s="22" t="str">
        <x:v>AC-1277</x:v>
      </x:c>
      <x:c r="C1283" s="22" t="str">
        <x:v>non-error</x:v>
      </x:c>
      <x:c r="D1283" s="22" t="str">
        <x:v>Power &amp; Buffer H8</x:v>
      </x:c>
      <x:c r="E1283" s="75" t="n">
        <x:f>IF(ISERROR('Power &amp; Buffer'!H8),0,1)</x:f>
        <x:v>1</x:v>
      </x:c>
      <x:c r="F1283" s="75" t="n">
        <x:v>1</x:v>
      </x:c>
      <x:c r="G1283" s="24" t="str">
        <x:f>IF(E1283=F1283,"PASS","FAIL")</x:f>
        <x:v>PASS</x:v>
      </x:c>
    </x:row>
    <x:row r="1284">
      <x:c r="B1284" s="22" t="str">
        <x:v>AC-1278</x:v>
      </x:c>
      <x:c r="C1284" s="22" t="str">
        <x:v>non-error</x:v>
      </x:c>
      <x:c r="D1284" s="22" t="str">
        <x:v>Power &amp; Buffer I8</x:v>
      </x:c>
      <x:c r="E1284" s="75" t="n">
        <x:f>IF(ISERROR('Power &amp; Buffer'!I8),0,1)</x:f>
        <x:v>1</x:v>
      </x:c>
      <x:c r="F1284" s="75" t="n">
        <x:v>1</x:v>
      </x:c>
      <x:c r="G1284" s="24" t="str">
        <x:f>IF(E1284=F1284,"PASS","FAIL")</x:f>
        <x:v>PASS</x:v>
      </x:c>
    </x:row>
    <x:row r="1285">
      <x:c r="B1285" s="22" t="str">
        <x:v>AC-1279</x:v>
      </x:c>
      <x:c r="C1285" s="22" t="str">
        <x:v>non-error</x:v>
      </x:c>
      <x:c r="D1285" s="22" t="str">
        <x:v>Power &amp; Buffer J8</x:v>
      </x:c>
      <x:c r="E1285" s="75" t="n">
        <x:f>IF(ISERROR('Power &amp; Buffer'!J8),0,1)</x:f>
        <x:v>1</x:v>
      </x:c>
      <x:c r="F1285" s="75" t="n">
        <x:v>1</x:v>
      </x:c>
      <x:c r="G1285" s="24" t="str">
        <x:f>IF(E1285=F1285,"PASS","FAIL")</x:f>
        <x:v>PASS</x:v>
      </x:c>
    </x:row>
    <x:row r="1286">
      <x:c r="B1286" s="22" t="str">
        <x:v>AC-1280</x:v>
      </x:c>
      <x:c r="C1286" s="22" t="str">
        <x:v>non-error</x:v>
      </x:c>
      <x:c r="D1286" s="22" t="str">
        <x:v>Power &amp; Buffer K8</x:v>
      </x:c>
      <x:c r="E1286" s="75" t="n">
        <x:f>IF(ISERROR('Power &amp; Buffer'!K8),0,1)</x:f>
        <x:v>1</x:v>
      </x:c>
      <x:c r="F1286" s="75" t="n">
        <x:v>1</x:v>
      </x:c>
      <x:c r="G1286" s="24" t="str">
        <x:f>IF(E1286=F1286,"PASS","FAIL")</x:f>
        <x:v>PASS</x:v>
      </x:c>
    </x:row>
    <x:row r="1287">
      <x:c r="B1287" s="22" t="str">
        <x:v>AC-1281</x:v>
      </x:c>
      <x:c r="C1287" s="22" t="str">
        <x:v>non-error</x:v>
      </x:c>
      <x:c r="D1287" s="22" t="str">
        <x:v>Power &amp; Buffer L8</x:v>
      </x:c>
      <x:c r="E1287" s="75" t="n">
        <x:f>IF(ISERROR('Power &amp; Buffer'!L8),0,1)</x:f>
        <x:v>1</x:v>
      </x:c>
      <x:c r="F1287" s="75" t="n">
        <x:v>1</x:v>
      </x:c>
      <x:c r="G1287" s="24" t="str">
        <x:f>IF(E1287=F1287,"PASS","FAIL")</x:f>
        <x:v>PASS</x:v>
      </x:c>
    </x:row>
    <x:row r="1288">
      <x:c r="B1288" s="22" t="str">
        <x:v>AC-1282</x:v>
      </x:c>
      <x:c r="C1288" s="22" t="str">
        <x:v>non-error</x:v>
      </x:c>
      <x:c r="D1288" s="22" t="str">
        <x:v>Power &amp; Buffer M8</x:v>
      </x:c>
      <x:c r="E1288" s="75" t="n">
        <x:f>IF(ISERROR('Power &amp; Buffer'!M8),0,1)</x:f>
        <x:v>1</x:v>
      </x:c>
      <x:c r="F1288" s="75" t="n">
        <x:v>1</x:v>
      </x:c>
      <x:c r="G1288" s="24" t="str">
        <x:f>IF(E1288=F1288,"PASS","FAIL")</x:f>
        <x:v>PASS</x:v>
      </x:c>
    </x:row>
    <x:row r="1289">
      <x:c r="B1289" s="22" t="str">
        <x:v>AC-1283</x:v>
      </x:c>
      <x:c r="C1289" s="22" t="str">
        <x:v>non-error</x:v>
      </x:c>
      <x:c r="D1289" s="22" t="str">
        <x:v>Power &amp; Buffer N8</x:v>
      </x:c>
      <x:c r="E1289" s="75" t="n">
        <x:f>IF(ISERROR('Power &amp; Buffer'!N8),0,1)</x:f>
        <x:v>1</x:v>
      </x:c>
      <x:c r="F1289" s="75" t="n">
        <x:v>1</x:v>
      </x:c>
      <x:c r="G1289" s="24" t="str">
        <x:f>IF(E1289=F1289,"PASS","FAIL")</x:f>
        <x:v>PASS</x:v>
      </x:c>
    </x:row>
    <x:row r="1290">
      <x:c r="B1290" s="22" t="str">
        <x:v>AC-1284</x:v>
      </x:c>
      <x:c r="C1290" s="22" t="str">
        <x:v>non-error</x:v>
      </x:c>
      <x:c r="D1290" s="22" t="str">
        <x:v>Power &amp; Buffer C9</x:v>
      </x:c>
      <x:c r="E1290" s="75" t="n">
        <x:f>IF(ISERROR('Power &amp; Buffer'!C9),0,1)</x:f>
        <x:v>1</x:v>
      </x:c>
      <x:c r="F1290" s="75" t="n">
        <x:v>1</x:v>
      </x:c>
      <x:c r="G1290" s="24" t="str">
        <x:f>IF(E1290=F1290,"PASS","FAIL")</x:f>
        <x:v>PASS</x:v>
      </x:c>
    </x:row>
    <x:row r="1291">
      <x:c r="B1291" s="22" t="str">
        <x:v>AC-1285</x:v>
      </x:c>
      <x:c r="C1291" s="22" t="str">
        <x:v>non-error</x:v>
      </x:c>
      <x:c r="D1291" s="22" t="str">
        <x:v>Power &amp; Buffer D9</x:v>
      </x:c>
      <x:c r="E1291" s="75" t="n">
        <x:f>IF(ISERROR('Power &amp; Buffer'!D9),0,1)</x:f>
        <x:v>1</x:v>
      </x:c>
      <x:c r="F1291" s="75" t="n">
        <x:v>1</x:v>
      </x:c>
      <x:c r="G1291" s="24" t="str">
        <x:f>IF(E1291=F1291,"PASS","FAIL")</x:f>
        <x:v>PASS</x:v>
      </x:c>
    </x:row>
    <x:row r="1292">
      <x:c r="B1292" s="22" t="str">
        <x:v>AC-1286</x:v>
      </x:c>
      <x:c r="C1292" s="22" t="str">
        <x:v>non-error</x:v>
      </x:c>
      <x:c r="D1292" s="22" t="str">
        <x:v>Power &amp; Buffer E9</x:v>
      </x:c>
      <x:c r="E1292" s="75" t="n">
        <x:f>IF(ISERROR('Power &amp; Buffer'!E9),0,1)</x:f>
        <x:v>1</x:v>
      </x:c>
      <x:c r="F1292" s="75" t="n">
        <x:v>1</x:v>
      </x:c>
      <x:c r="G1292" s="24" t="str">
        <x:f>IF(E1292=F1292,"PASS","FAIL")</x:f>
        <x:v>PASS</x:v>
      </x:c>
    </x:row>
    <x:row r="1293">
      <x:c r="B1293" s="22" t="str">
        <x:v>AC-1287</x:v>
      </x:c>
      <x:c r="C1293" s="22" t="str">
        <x:v>non-error</x:v>
      </x:c>
      <x:c r="D1293" s="22" t="str">
        <x:v>Power &amp; Buffer F9</x:v>
      </x:c>
      <x:c r="E1293" s="75" t="n">
        <x:f>IF(ISERROR('Power &amp; Buffer'!F9),0,1)</x:f>
        <x:v>1</x:v>
      </x:c>
      <x:c r="F1293" s="75" t="n">
        <x:v>1</x:v>
      </x:c>
      <x:c r="G1293" s="24" t="str">
        <x:f>IF(E1293=F1293,"PASS","FAIL")</x:f>
        <x:v>PASS</x:v>
      </x:c>
    </x:row>
    <x:row r="1294">
      <x:c r="B1294" s="22" t="str">
        <x:v>AC-1288</x:v>
      </x:c>
      <x:c r="C1294" s="22" t="str">
        <x:v>non-error</x:v>
      </x:c>
      <x:c r="D1294" s="22" t="str">
        <x:v>Power &amp; Buffer G9</x:v>
      </x:c>
      <x:c r="E1294" s="75" t="n">
        <x:f>IF(ISERROR('Power &amp; Buffer'!G9),0,1)</x:f>
        <x:v>1</x:v>
      </x:c>
      <x:c r="F1294" s="75" t="n">
        <x:v>1</x:v>
      </x:c>
      <x:c r="G1294" s="24" t="str">
        <x:f>IF(E1294=F1294,"PASS","FAIL")</x:f>
        <x:v>PASS</x:v>
      </x:c>
    </x:row>
    <x:row r="1295">
      <x:c r="B1295" s="22" t="str">
        <x:v>AC-1289</x:v>
      </x:c>
      <x:c r="C1295" s="22" t="str">
        <x:v>non-error</x:v>
      </x:c>
      <x:c r="D1295" s="22" t="str">
        <x:v>Power &amp; Buffer H9</x:v>
      </x:c>
      <x:c r="E1295" s="75" t="n">
        <x:f>IF(ISERROR('Power &amp; Buffer'!H9),0,1)</x:f>
        <x:v>1</x:v>
      </x:c>
      <x:c r="F1295" s="75" t="n">
        <x:v>1</x:v>
      </x:c>
      <x:c r="G1295" s="24" t="str">
        <x:f>IF(E1295=F1295,"PASS","FAIL")</x:f>
        <x:v>PASS</x:v>
      </x:c>
    </x:row>
    <x:row r="1296">
      <x:c r="B1296" s="22" t="str">
        <x:v>AC-1290</x:v>
      </x:c>
      <x:c r="C1296" s="22" t="str">
        <x:v>non-error</x:v>
      </x:c>
      <x:c r="D1296" s="22" t="str">
        <x:v>Power &amp; Buffer I9</x:v>
      </x:c>
      <x:c r="E1296" s="75" t="n">
        <x:f>IF(ISERROR('Power &amp; Buffer'!I9),0,1)</x:f>
        <x:v>1</x:v>
      </x:c>
      <x:c r="F1296" s="75" t="n">
        <x:v>1</x:v>
      </x:c>
      <x:c r="G1296" s="24" t="str">
        <x:f>IF(E1296=F1296,"PASS","FAIL")</x:f>
        <x:v>PASS</x:v>
      </x:c>
    </x:row>
    <x:row r="1297">
      <x:c r="B1297" s="22" t="str">
        <x:v>AC-1291</x:v>
      </x:c>
      <x:c r="C1297" s="22" t="str">
        <x:v>non-error</x:v>
      </x:c>
      <x:c r="D1297" s="22" t="str">
        <x:v>Power &amp; Buffer J9</x:v>
      </x:c>
      <x:c r="E1297" s="75" t="n">
        <x:f>IF(ISERROR('Power &amp; Buffer'!J9),0,1)</x:f>
        <x:v>1</x:v>
      </x:c>
      <x:c r="F1297" s="75" t="n">
        <x:v>1</x:v>
      </x:c>
      <x:c r="G1297" s="24" t="str">
        <x:f>IF(E1297=F1297,"PASS","FAIL")</x:f>
        <x:v>PASS</x:v>
      </x:c>
    </x:row>
    <x:row r="1298">
      <x:c r="B1298" s="22" t="str">
        <x:v>AC-1292</x:v>
      </x:c>
      <x:c r="C1298" s="22" t="str">
        <x:v>non-error</x:v>
      </x:c>
      <x:c r="D1298" s="22" t="str">
        <x:v>Power &amp; Buffer K9</x:v>
      </x:c>
      <x:c r="E1298" s="75" t="n">
        <x:f>IF(ISERROR('Power &amp; Buffer'!K9),0,1)</x:f>
        <x:v>1</x:v>
      </x:c>
      <x:c r="F1298" s="75" t="n">
        <x:v>1</x:v>
      </x:c>
      <x:c r="G1298" s="24" t="str">
        <x:f>IF(E1298=F1298,"PASS","FAIL")</x:f>
        <x:v>PASS</x:v>
      </x:c>
    </x:row>
    <x:row r="1299">
      <x:c r="B1299" s="22" t="str">
        <x:v>AC-1293</x:v>
      </x:c>
      <x:c r="C1299" s="22" t="str">
        <x:v>non-error</x:v>
      </x:c>
      <x:c r="D1299" s="22" t="str">
        <x:v>Power &amp; Buffer L9</x:v>
      </x:c>
      <x:c r="E1299" s="75" t="n">
        <x:f>IF(ISERROR('Power &amp; Buffer'!L9),0,1)</x:f>
        <x:v>1</x:v>
      </x:c>
      <x:c r="F1299" s="75" t="n">
        <x:v>1</x:v>
      </x:c>
      <x:c r="G1299" s="24" t="str">
        <x:f>IF(E1299=F1299,"PASS","FAIL")</x:f>
        <x:v>PASS</x:v>
      </x:c>
    </x:row>
    <x:row r="1300">
      <x:c r="B1300" s="22" t="str">
        <x:v>AC-1294</x:v>
      </x:c>
      <x:c r="C1300" s="22" t="str">
        <x:v>non-error</x:v>
      </x:c>
      <x:c r="D1300" s="22" t="str">
        <x:v>Power &amp; Buffer M9</x:v>
      </x:c>
      <x:c r="E1300" s="75" t="n">
        <x:f>IF(ISERROR('Power &amp; Buffer'!M9),0,1)</x:f>
        <x:v>1</x:v>
      </x:c>
      <x:c r="F1300" s="75" t="n">
        <x:v>1</x:v>
      </x:c>
      <x:c r="G1300" s="24" t="str">
        <x:f>IF(E1300=F1300,"PASS","FAIL")</x:f>
        <x:v>PASS</x:v>
      </x:c>
    </x:row>
    <x:row r="1301">
      <x:c r="B1301" s="22" t="str">
        <x:v>AC-1295</x:v>
      </x:c>
      <x:c r="C1301" s="22" t="str">
        <x:v>non-error</x:v>
      </x:c>
      <x:c r="D1301" s="22" t="str">
        <x:v>Power &amp; Buffer N9</x:v>
      </x:c>
      <x:c r="E1301" s="75" t="n">
        <x:f>IF(ISERROR('Power &amp; Buffer'!N9),0,1)</x:f>
        <x:v>1</x:v>
      </x:c>
      <x:c r="F1301" s="75" t="n">
        <x:v>1</x:v>
      </x:c>
      <x:c r="G1301" s="24" t="str">
        <x:f>IF(E1301=F1301,"PASS","FAIL")</x:f>
        <x:v>PASS</x:v>
      </x:c>
    </x:row>
    <x:row r="1302">
      <x:c r="B1302" s="22" t="str">
        <x:v>AC-1296</x:v>
      </x:c>
      <x:c r="C1302" s="22" t="str">
        <x:v>non-error</x:v>
      </x:c>
      <x:c r="D1302" s="22" t="str">
        <x:v>Scenario Results E7</x:v>
      </x:c>
      <x:c r="E1302" s="75" t="n">
        <x:f>IF(ISERROR('Scenario Results'!E7),0,1)</x:f>
        <x:v>1</x:v>
      </x:c>
      <x:c r="F1302" s="75" t="n">
        <x:v>1</x:v>
      </x:c>
      <x:c r="G1302" s="24" t="str">
        <x:f>IF(E1302=F1302,"PASS","FAIL")</x:f>
        <x:v>PASS</x:v>
      </x:c>
    </x:row>
    <x:row r="1303">
      <x:c r="B1303" s="22" t="str">
        <x:v>AC-1297</x:v>
      </x:c>
      <x:c r="C1303" s="22" t="str">
        <x:v>non-error</x:v>
      </x:c>
      <x:c r="D1303" s="22" t="str">
        <x:v>Scenario Results F7</x:v>
      </x:c>
      <x:c r="E1303" s="75" t="n">
        <x:f>IF(ISERROR('Scenario Results'!F7),0,1)</x:f>
        <x:v>1</x:v>
      </x:c>
      <x:c r="F1303" s="75" t="n">
        <x:v>1</x:v>
      </x:c>
      <x:c r="G1303" s="24" t="str">
        <x:f>IF(E1303=F1303,"PASS","FAIL")</x:f>
        <x:v>PASS</x:v>
      </x:c>
    </x:row>
    <x:row r="1304">
      <x:c r="B1304" s="22" t="str">
        <x:v>AC-1298</x:v>
      </x:c>
      <x:c r="C1304" s="22" t="str">
        <x:v>non-error</x:v>
      </x:c>
      <x:c r="D1304" s="22" t="str">
        <x:v>Scenario Results G7</x:v>
      </x:c>
      <x:c r="E1304" s="75" t="n">
        <x:f>IF(ISERROR('Scenario Results'!G7),0,1)</x:f>
        <x:v>1</x:v>
      </x:c>
      <x:c r="F1304" s="75" t="n">
        <x:v>1</x:v>
      </x:c>
      <x:c r="G1304" s="24" t="str">
        <x:f>IF(E1304=F1304,"PASS","FAIL")</x:f>
        <x:v>PASS</x:v>
      </x:c>
    </x:row>
    <x:row r="1305">
      <x:c r="B1305" s="22" t="str">
        <x:v>AC-1299</x:v>
      </x:c>
      <x:c r="C1305" s="22" t="str">
        <x:v>non-error</x:v>
      </x:c>
      <x:c r="D1305" s="22" t="str">
        <x:v>Scenario Results H7</x:v>
      </x:c>
      <x:c r="E1305" s="75" t="n">
        <x:f>IF(ISERROR('Scenario Results'!H7),0,1)</x:f>
        <x:v>1</x:v>
      </x:c>
      <x:c r="F1305" s="75" t="n">
        <x:v>1</x:v>
      </x:c>
      <x:c r="G1305" s="24" t="str">
        <x:f>IF(E1305=F1305,"PASS","FAIL")</x:f>
        <x:v>PASS</x:v>
      </x:c>
    </x:row>
    <x:row r="1306">
      <x:c r="B1306" s="22" t="str">
        <x:v>AC-1300</x:v>
      </x:c>
      <x:c r="C1306" s="22" t="str">
        <x:v>non-error</x:v>
      </x:c>
      <x:c r="D1306" s="22" t="str">
        <x:v>Scenario Results I7</x:v>
      </x:c>
      <x:c r="E1306" s="75" t="n">
        <x:f>IF(ISERROR('Scenario Results'!I7),0,1)</x:f>
        <x:v>1</x:v>
      </x:c>
      <x:c r="F1306" s="75" t="n">
        <x:v>1</x:v>
      </x:c>
      <x:c r="G1306" s="24" t="str">
        <x:f>IF(E1306=F1306,"PASS","FAIL")</x:f>
        <x:v>PASS</x:v>
      </x:c>
    </x:row>
    <x:row r="1307">
      <x:c r="B1307" s="22" t="str">
        <x:v>AC-1301</x:v>
      </x:c>
      <x:c r="C1307" s="22" t="str">
        <x:v>non-error</x:v>
      </x:c>
      <x:c r="D1307" s="22" t="str">
        <x:v>Scenario Results J7</x:v>
      </x:c>
      <x:c r="E1307" s="75" t="n">
        <x:f>IF(ISERROR('Scenario Results'!J7),0,1)</x:f>
        <x:v>1</x:v>
      </x:c>
      <x:c r="F1307" s="75" t="n">
        <x:v>1</x:v>
      </x:c>
      <x:c r="G1307" s="24" t="str">
        <x:f>IF(E1307=F1307,"PASS","FAIL")</x:f>
        <x:v>PASS</x:v>
      </x:c>
    </x:row>
    <x:row r="1308">
      <x:c r="B1308" s="22" t="str">
        <x:v>AC-1302</x:v>
      </x:c>
      <x:c r="C1308" s="22" t="str">
        <x:v>non-error</x:v>
      </x:c>
      <x:c r="D1308" s="22" t="str">
        <x:v>Scenario Results E8</x:v>
      </x:c>
      <x:c r="E1308" s="75" t="n">
        <x:f>IF(ISERROR('Scenario Results'!E8),0,1)</x:f>
        <x:v>1</x:v>
      </x:c>
      <x:c r="F1308" s="75" t="n">
        <x:v>1</x:v>
      </x:c>
      <x:c r="G1308" s="24" t="str">
        <x:f>IF(E1308=F1308,"PASS","FAIL")</x:f>
        <x:v>PASS</x:v>
      </x:c>
    </x:row>
    <x:row r="1309">
      <x:c r="B1309" s="22" t="str">
        <x:v>AC-1303</x:v>
      </x:c>
      <x:c r="C1309" s="22" t="str">
        <x:v>non-error</x:v>
      </x:c>
      <x:c r="D1309" s="22" t="str">
        <x:v>Scenario Results F8</x:v>
      </x:c>
      <x:c r="E1309" s="75" t="n">
        <x:f>IF(ISERROR('Scenario Results'!F8),0,1)</x:f>
        <x:v>1</x:v>
      </x:c>
      <x:c r="F1309" s="75" t="n">
        <x:v>1</x:v>
      </x:c>
      <x:c r="G1309" s="24" t="str">
        <x:f>IF(E1309=F1309,"PASS","FAIL")</x:f>
        <x:v>PASS</x:v>
      </x:c>
    </x:row>
    <x:row r="1310">
      <x:c r="B1310" s="22" t="str">
        <x:v>AC-1304</x:v>
      </x:c>
      <x:c r="C1310" s="22" t="str">
        <x:v>non-error</x:v>
      </x:c>
      <x:c r="D1310" s="22" t="str">
        <x:v>Scenario Results G8</x:v>
      </x:c>
      <x:c r="E1310" s="75" t="n">
        <x:f>IF(ISERROR('Scenario Results'!G8),0,1)</x:f>
        <x:v>1</x:v>
      </x:c>
      <x:c r="F1310" s="75" t="n">
        <x:v>1</x:v>
      </x:c>
      <x:c r="G1310" s="24" t="str">
        <x:f>IF(E1310=F1310,"PASS","FAIL")</x:f>
        <x:v>PASS</x:v>
      </x:c>
    </x:row>
    <x:row r="1311">
      <x:c r="B1311" s="22" t="str">
        <x:v>AC-1305</x:v>
      </x:c>
      <x:c r="C1311" s="22" t="str">
        <x:v>non-error</x:v>
      </x:c>
      <x:c r="D1311" s="22" t="str">
        <x:v>Scenario Results H8</x:v>
      </x:c>
      <x:c r="E1311" s="75" t="n">
        <x:f>IF(ISERROR('Scenario Results'!H8),0,1)</x:f>
        <x:v>1</x:v>
      </x:c>
      <x:c r="F1311" s="75" t="n">
        <x:v>1</x:v>
      </x:c>
      <x:c r="G1311" s="24" t="str">
        <x:f>IF(E1311=F1311,"PASS","FAIL")</x:f>
        <x:v>PASS</x:v>
      </x:c>
    </x:row>
    <x:row r="1312">
      <x:c r="B1312" s="22" t="str">
        <x:v>AC-1306</x:v>
      </x:c>
      <x:c r="C1312" s="22" t="str">
        <x:v>non-error</x:v>
      </x:c>
      <x:c r="D1312" s="22" t="str">
        <x:v>Scenario Results I8</x:v>
      </x:c>
      <x:c r="E1312" s="75" t="n">
        <x:f>IF(ISERROR('Scenario Results'!I8),0,1)</x:f>
        <x:v>1</x:v>
      </x:c>
      <x:c r="F1312" s="75" t="n">
        <x:v>1</x:v>
      </x:c>
      <x:c r="G1312" s="24" t="str">
        <x:f>IF(E1312=F1312,"PASS","FAIL")</x:f>
        <x:v>PASS</x:v>
      </x:c>
    </x:row>
    <x:row r="1313">
      <x:c r="B1313" s="22" t="str">
        <x:v>AC-1307</x:v>
      </x:c>
      <x:c r="C1313" s="22" t="str">
        <x:v>non-error</x:v>
      </x:c>
      <x:c r="D1313" s="22" t="str">
        <x:v>Scenario Results J8</x:v>
      </x:c>
      <x:c r="E1313" s="75" t="n">
        <x:f>IF(ISERROR('Scenario Results'!J8),0,1)</x:f>
        <x:v>1</x:v>
      </x:c>
      <x:c r="F1313" s="75" t="n">
        <x:v>1</x:v>
      </x:c>
      <x:c r="G1313" s="24" t="str">
        <x:f>IF(E1313=F1313,"PASS","FAIL")</x:f>
        <x:v>PASS</x:v>
      </x:c>
    </x:row>
    <x:row r="1314">
      <x:c r="B1314" s="22" t="str">
        <x:v>AC-1308</x:v>
      </x:c>
      <x:c r="C1314" s="22" t="str">
        <x:v>non-error</x:v>
      </x:c>
      <x:c r="D1314" s="22" t="str">
        <x:v>Scenario Results E9</x:v>
      </x:c>
      <x:c r="E1314" s="75" t="n">
        <x:f>IF(ISERROR('Scenario Results'!E9),0,1)</x:f>
        <x:v>1</x:v>
      </x:c>
      <x:c r="F1314" s="75" t="n">
        <x:v>1</x:v>
      </x:c>
      <x:c r="G1314" s="24" t="str">
        <x:f>IF(E1314=F1314,"PASS","FAIL")</x:f>
        <x:v>PASS</x:v>
      </x:c>
    </x:row>
    <x:row r="1315">
      <x:c r="B1315" s="22" t="str">
        <x:v>AC-1309</x:v>
      </x:c>
      <x:c r="C1315" s="22" t="str">
        <x:v>non-error</x:v>
      </x:c>
      <x:c r="D1315" s="22" t="str">
        <x:v>Scenario Results F9</x:v>
      </x:c>
      <x:c r="E1315" s="75" t="n">
        <x:f>IF(ISERROR('Scenario Results'!F9),0,1)</x:f>
        <x:v>1</x:v>
      </x:c>
      <x:c r="F1315" s="75" t="n">
        <x:v>1</x:v>
      </x:c>
      <x:c r="G1315" s="24" t="str">
        <x:f>IF(E1315=F1315,"PASS","FAIL")</x:f>
        <x:v>PASS</x:v>
      </x:c>
    </x:row>
    <x:row r="1316">
      <x:c r="B1316" s="22" t="str">
        <x:v>AC-1310</x:v>
      </x:c>
      <x:c r="C1316" s="22" t="str">
        <x:v>non-error</x:v>
      </x:c>
      <x:c r="D1316" s="22" t="str">
        <x:v>Scenario Results G9</x:v>
      </x:c>
      <x:c r="E1316" s="75" t="n">
        <x:f>IF(ISERROR('Scenario Results'!G9),0,1)</x:f>
        <x:v>1</x:v>
      </x:c>
      <x:c r="F1316" s="75" t="n">
        <x:v>1</x:v>
      </x:c>
      <x:c r="G1316" s="24" t="str">
        <x:f>IF(E1316=F1316,"PASS","FAIL")</x:f>
        <x:v>PASS</x:v>
      </x:c>
    </x:row>
    <x:row r="1317">
      <x:c r="B1317" s="22" t="str">
        <x:v>AC-1311</x:v>
      </x:c>
      <x:c r="C1317" s="22" t="str">
        <x:v>non-error</x:v>
      </x:c>
      <x:c r="D1317" s="22" t="str">
        <x:v>Scenario Results H9</x:v>
      </x:c>
      <x:c r="E1317" s="75" t="n">
        <x:f>IF(ISERROR('Scenario Results'!H9),0,1)</x:f>
        <x:v>1</x:v>
      </x:c>
      <x:c r="F1317" s="75" t="n">
        <x:v>1</x:v>
      </x:c>
      <x:c r="G1317" s="24" t="str">
        <x:f>IF(E1317=F1317,"PASS","FAIL")</x:f>
        <x:v>PASS</x:v>
      </x:c>
    </x:row>
    <x:row r="1318">
      <x:c r="B1318" s="22" t="str">
        <x:v>AC-1312</x:v>
      </x:c>
      <x:c r="C1318" s="22" t="str">
        <x:v>non-error</x:v>
      </x:c>
      <x:c r="D1318" s="22" t="str">
        <x:v>Scenario Results I9</x:v>
      </x:c>
      <x:c r="E1318" s="75" t="n">
        <x:f>IF(ISERROR('Scenario Results'!I9),0,1)</x:f>
        <x:v>1</x:v>
      </x:c>
      <x:c r="F1318" s="75" t="n">
        <x:v>1</x:v>
      </x:c>
      <x:c r="G1318" s="24" t="str">
        <x:f>IF(E1318=F1318,"PASS","FAIL")</x:f>
        <x:v>PASS</x:v>
      </x:c>
    </x:row>
    <x:row r="1319">
      <x:c r="B1319" s="22" t="str">
        <x:v>AC-1313</x:v>
      </x:c>
      <x:c r="C1319" s="22" t="str">
        <x:v>non-error</x:v>
      </x:c>
      <x:c r="D1319" s="22" t="str">
        <x:v>Scenario Results J9</x:v>
      </x:c>
      <x:c r="E1319" s="75" t="n">
        <x:f>IF(ISERROR('Scenario Results'!J9),0,1)</x:f>
        <x:v>1</x:v>
      </x:c>
      <x:c r="F1319" s="75" t="n">
        <x:v>1</x:v>
      </x:c>
      <x:c r="G1319" s="24" t="str">
        <x:f>IF(E1319=F1319,"PASS","FAIL")</x:f>
        <x:v>PASS</x:v>
      </x:c>
    </x:row>
    <x:row r="1320">
      <x:c r="B1320" s="22" t="str">
        <x:v>AC-1314</x:v>
      </x:c>
      <x:c r="C1320" s="22" t="str">
        <x:v>non-error</x:v>
      </x:c>
      <x:c r="D1320" s="22" t="str">
        <x:v>Scenario Results E10</x:v>
      </x:c>
      <x:c r="E1320" s="75" t="n">
        <x:f>IF(ISERROR('Scenario Results'!E10),0,1)</x:f>
        <x:v>1</x:v>
      </x:c>
      <x:c r="F1320" s="75" t="n">
        <x:v>1</x:v>
      </x:c>
      <x:c r="G1320" s="24" t="str">
        <x:f>IF(E1320=F1320,"PASS","FAIL")</x:f>
        <x:v>PASS</x:v>
      </x:c>
    </x:row>
    <x:row r="1321">
      <x:c r="B1321" s="22" t="str">
        <x:v>AC-1315</x:v>
      </x:c>
      <x:c r="C1321" s="22" t="str">
        <x:v>non-error</x:v>
      </x:c>
      <x:c r="D1321" s="22" t="str">
        <x:v>Scenario Results F10</x:v>
      </x:c>
      <x:c r="E1321" s="75" t="n">
        <x:f>IF(ISERROR('Scenario Results'!F10),0,1)</x:f>
        <x:v>1</x:v>
      </x:c>
      <x:c r="F1321" s="75" t="n">
        <x:v>1</x:v>
      </x:c>
      <x:c r="G1321" s="24" t="str">
        <x:f>IF(E1321=F1321,"PASS","FAIL")</x:f>
        <x:v>PASS</x:v>
      </x:c>
    </x:row>
    <x:row r="1322">
      <x:c r="B1322" s="22" t="str">
        <x:v>AC-1316</x:v>
      </x:c>
      <x:c r="C1322" s="22" t="str">
        <x:v>non-error</x:v>
      </x:c>
      <x:c r="D1322" s="22" t="str">
        <x:v>Scenario Results G10</x:v>
      </x:c>
      <x:c r="E1322" s="75" t="n">
        <x:f>IF(ISERROR('Scenario Results'!G10),0,1)</x:f>
        <x:v>1</x:v>
      </x:c>
      <x:c r="F1322" s="75" t="n">
        <x:v>1</x:v>
      </x:c>
      <x:c r="G1322" s="24" t="str">
        <x:f>IF(E1322=F1322,"PASS","FAIL")</x:f>
        <x:v>PASS</x:v>
      </x:c>
    </x:row>
    <x:row r="1323">
      <x:c r="B1323" s="22" t="str">
        <x:v>AC-1317</x:v>
      </x:c>
      <x:c r="C1323" s="22" t="str">
        <x:v>non-error</x:v>
      </x:c>
      <x:c r="D1323" s="22" t="str">
        <x:v>Scenario Results H10</x:v>
      </x:c>
      <x:c r="E1323" s="75" t="n">
        <x:f>IF(ISERROR('Scenario Results'!H10),0,1)</x:f>
        <x:v>1</x:v>
      </x:c>
      <x:c r="F1323" s="75" t="n">
        <x:v>1</x:v>
      </x:c>
      <x:c r="G1323" s="24" t="str">
        <x:f>IF(E1323=F1323,"PASS","FAIL")</x:f>
        <x:v>PASS</x:v>
      </x:c>
    </x:row>
    <x:row r="1324">
      <x:c r="B1324" s="22" t="str">
        <x:v>AC-1318</x:v>
      </x:c>
      <x:c r="C1324" s="22" t="str">
        <x:v>non-error</x:v>
      </x:c>
      <x:c r="D1324" s="22" t="str">
        <x:v>Scenario Results I10</x:v>
      </x:c>
      <x:c r="E1324" s="75" t="n">
        <x:f>IF(ISERROR('Scenario Results'!I10),0,1)</x:f>
        <x:v>1</x:v>
      </x:c>
      <x:c r="F1324" s="75" t="n">
        <x:v>1</x:v>
      </x:c>
      <x:c r="G1324" s="24" t="str">
        <x:f>IF(E1324=F1324,"PASS","FAIL")</x:f>
        <x:v>PASS</x:v>
      </x:c>
    </x:row>
    <x:row r="1325">
      <x:c r="B1325" s="22" t="str">
        <x:v>AC-1319</x:v>
      </x:c>
      <x:c r="C1325" s="22" t="str">
        <x:v>non-error</x:v>
      </x:c>
      <x:c r="D1325" s="22" t="str">
        <x:v>Scenario Results J10</x:v>
      </x:c>
      <x:c r="E1325" s="75" t="n">
        <x:f>IF(ISERROR('Scenario Results'!J10),0,1)</x:f>
        <x:v>1</x:v>
      </x:c>
      <x:c r="F1325" s="75" t="n">
        <x:v>1</x:v>
      </x:c>
      <x:c r="G1325" s="24" t="str">
        <x:f>IF(E1325=F1325,"PASS","FAIL")</x:f>
        <x:v>PASS</x:v>
      </x:c>
    </x:row>
    <x:row r="1326">
      <x:c r="B1326" s="22" t="str">
        <x:v>AC-1320</x:v>
      </x:c>
      <x:c r="C1326" s="22" t="str">
        <x:v>non-error</x:v>
      </x:c>
      <x:c r="D1326" s="22" t="str">
        <x:v>Scenario Results E11</x:v>
      </x:c>
      <x:c r="E1326" s="75" t="n">
        <x:f>IF(ISERROR('Scenario Results'!E11),0,1)</x:f>
        <x:v>1</x:v>
      </x:c>
      <x:c r="F1326" s="75" t="n">
        <x:v>1</x:v>
      </x:c>
      <x:c r="G1326" s="24" t="str">
        <x:f>IF(E1326=F1326,"PASS","FAIL")</x:f>
        <x:v>PASS</x:v>
      </x:c>
    </x:row>
    <x:row r="1327">
      <x:c r="B1327" s="22" t="str">
        <x:v>AC-1321</x:v>
      </x:c>
      <x:c r="C1327" s="22" t="str">
        <x:v>non-error</x:v>
      </x:c>
      <x:c r="D1327" s="22" t="str">
        <x:v>Scenario Results F11</x:v>
      </x:c>
      <x:c r="E1327" s="75" t="n">
        <x:f>IF(ISERROR('Scenario Results'!F11),0,1)</x:f>
        <x:v>1</x:v>
      </x:c>
      <x:c r="F1327" s="75" t="n">
        <x:v>1</x:v>
      </x:c>
      <x:c r="G1327" s="24" t="str">
        <x:f>IF(E1327=F1327,"PASS","FAIL")</x:f>
        <x:v>PASS</x:v>
      </x:c>
    </x:row>
    <x:row r="1328">
      <x:c r="B1328" s="22" t="str">
        <x:v>AC-1322</x:v>
      </x:c>
      <x:c r="C1328" s="22" t="str">
        <x:v>non-error</x:v>
      </x:c>
      <x:c r="D1328" s="22" t="str">
        <x:v>Scenario Results G11</x:v>
      </x:c>
      <x:c r="E1328" s="75" t="n">
        <x:f>IF(ISERROR('Scenario Results'!G11),0,1)</x:f>
        <x:v>1</x:v>
      </x:c>
      <x:c r="F1328" s="75" t="n">
        <x:v>1</x:v>
      </x:c>
      <x:c r="G1328" s="24" t="str">
        <x:f>IF(E1328=F1328,"PASS","FAIL")</x:f>
        <x:v>PASS</x:v>
      </x:c>
    </x:row>
    <x:row r="1329">
      <x:c r="B1329" s="22" t="str">
        <x:v>AC-1323</x:v>
      </x:c>
      <x:c r="C1329" s="22" t="str">
        <x:v>non-error</x:v>
      </x:c>
      <x:c r="D1329" s="22" t="str">
        <x:v>Scenario Results H11</x:v>
      </x:c>
      <x:c r="E1329" s="75" t="n">
        <x:f>IF(ISERROR('Scenario Results'!H11),0,1)</x:f>
        <x:v>1</x:v>
      </x:c>
      <x:c r="F1329" s="75" t="n">
        <x:v>1</x:v>
      </x:c>
      <x:c r="G1329" s="24" t="str">
        <x:f>IF(E1329=F1329,"PASS","FAIL")</x:f>
        <x:v>PASS</x:v>
      </x:c>
    </x:row>
    <x:row r="1330">
      <x:c r="B1330" s="22" t="str">
        <x:v>AC-1324</x:v>
      </x:c>
      <x:c r="C1330" s="22" t="str">
        <x:v>non-error</x:v>
      </x:c>
      <x:c r="D1330" s="22" t="str">
        <x:v>Scenario Results I11</x:v>
      </x:c>
      <x:c r="E1330" s="75" t="n">
        <x:f>IF(ISERROR('Scenario Results'!I11),0,1)</x:f>
        <x:v>1</x:v>
      </x:c>
      <x:c r="F1330" s="75" t="n">
        <x:v>1</x:v>
      </x:c>
      <x:c r="G1330" s="24" t="str">
        <x:f>IF(E1330=F1330,"PASS","FAIL")</x:f>
        <x:v>PASS</x:v>
      </x:c>
    </x:row>
    <x:row r="1331">
      <x:c r="B1331" s="22" t="str">
        <x:v>AC-1325</x:v>
      </x:c>
      <x:c r="C1331" s="22" t="str">
        <x:v>non-error</x:v>
      </x:c>
      <x:c r="D1331" s="22" t="str">
        <x:v>Scenario Results J11</x:v>
      </x:c>
      <x:c r="E1331" s="75" t="n">
        <x:f>IF(ISERROR('Scenario Results'!J11),0,1)</x:f>
        <x:v>1</x:v>
      </x:c>
      <x:c r="F1331" s="75" t="n">
        <x:v>1</x:v>
      </x:c>
      <x:c r="G1331" s="24" t="str">
        <x:f>IF(E1331=F1331,"PASS","FAIL")</x:f>
        <x:v>PASS</x:v>
      </x:c>
    </x:row>
    <x:row r="1332">
      <x:c r="B1332" s="22" t="str">
        <x:v>AC-1326</x:v>
      </x:c>
      <x:c r="C1332" s="22" t="str">
        <x:v>non-error</x:v>
      </x:c>
      <x:c r="D1332" s="22" t="str">
        <x:v>Scenario Results E12</x:v>
      </x:c>
      <x:c r="E1332" s="75" t="n">
        <x:f>IF(ISERROR('Scenario Results'!E12),0,1)</x:f>
        <x:v>1</x:v>
      </x:c>
      <x:c r="F1332" s="75" t="n">
        <x:v>1</x:v>
      </x:c>
      <x:c r="G1332" s="24" t="str">
        <x:f>IF(E1332=F1332,"PASS","FAIL")</x:f>
        <x:v>PASS</x:v>
      </x:c>
    </x:row>
    <x:row r="1333">
      <x:c r="B1333" s="22" t="str">
        <x:v>AC-1327</x:v>
      </x:c>
      <x:c r="C1333" s="22" t="str">
        <x:v>non-error</x:v>
      </x:c>
      <x:c r="D1333" s="22" t="str">
        <x:v>Scenario Results F12</x:v>
      </x:c>
      <x:c r="E1333" s="75" t="n">
        <x:f>IF(ISERROR('Scenario Results'!F12),0,1)</x:f>
        <x:v>1</x:v>
      </x:c>
      <x:c r="F1333" s="75" t="n">
        <x:v>1</x:v>
      </x:c>
      <x:c r="G1333" s="24" t="str">
        <x:f>IF(E1333=F1333,"PASS","FAIL")</x:f>
        <x:v>PASS</x:v>
      </x:c>
    </x:row>
    <x:row r="1334">
      <x:c r="B1334" s="22" t="str">
        <x:v>AC-1328</x:v>
      </x:c>
      <x:c r="C1334" s="22" t="str">
        <x:v>non-error</x:v>
      </x:c>
      <x:c r="D1334" s="22" t="str">
        <x:v>Scenario Results G12</x:v>
      </x:c>
      <x:c r="E1334" s="75" t="n">
        <x:f>IF(ISERROR('Scenario Results'!G12),0,1)</x:f>
        <x:v>1</x:v>
      </x:c>
      <x:c r="F1334" s="75" t="n">
        <x:v>1</x:v>
      </x:c>
      <x:c r="G1334" s="24" t="str">
        <x:f>IF(E1334=F1334,"PASS","FAIL")</x:f>
        <x:v>PASS</x:v>
      </x:c>
    </x:row>
    <x:row r="1335">
      <x:c r="B1335" s="22" t="str">
        <x:v>AC-1329</x:v>
      </x:c>
      <x:c r="C1335" s="22" t="str">
        <x:v>non-error</x:v>
      </x:c>
      <x:c r="D1335" s="22" t="str">
        <x:v>Scenario Results H12</x:v>
      </x:c>
      <x:c r="E1335" s="75" t="n">
        <x:f>IF(ISERROR('Scenario Results'!H12),0,1)</x:f>
        <x:v>1</x:v>
      </x:c>
      <x:c r="F1335" s="75" t="n">
        <x:v>1</x:v>
      </x:c>
      <x:c r="G1335" s="24" t="str">
        <x:f>IF(E1335=F1335,"PASS","FAIL")</x:f>
        <x:v>PASS</x:v>
      </x:c>
    </x:row>
    <x:row r="1336">
      <x:c r="B1336" s="22" t="str">
        <x:v>AC-1330</x:v>
      </x:c>
      <x:c r="C1336" s="22" t="str">
        <x:v>non-error</x:v>
      </x:c>
      <x:c r="D1336" s="22" t="str">
        <x:v>Scenario Results I12</x:v>
      </x:c>
      <x:c r="E1336" s="75" t="n">
        <x:f>IF(ISERROR('Scenario Results'!I12),0,1)</x:f>
        <x:v>1</x:v>
      </x:c>
      <x:c r="F1336" s="75" t="n">
        <x:v>1</x:v>
      </x:c>
      <x:c r="G1336" s="24" t="str">
        <x:f>IF(E1336=F1336,"PASS","FAIL")</x:f>
        <x:v>PASS</x:v>
      </x:c>
    </x:row>
    <x:row r="1337">
      <x:c r="B1337" s="22" t="str">
        <x:v>AC-1331</x:v>
      </x:c>
      <x:c r="C1337" s="22" t="str">
        <x:v>non-error</x:v>
      </x:c>
      <x:c r="D1337" s="22" t="str">
        <x:v>Scenario Results J12</x:v>
      </x:c>
      <x:c r="E1337" s="75" t="n">
        <x:f>IF(ISERROR('Scenario Results'!J12),0,1)</x:f>
        <x:v>1</x:v>
      </x:c>
      <x:c r="F1337" s="75" t="n">
        <x:v>1</x:v>
      </x:c>
      <x:c r="G1337" s="24" t="str">
        <x:f>IF(E1337=F1337,"PASS","FAIL")</x:f>
        <x:v>PASS</x:v>
      </x:c>
    </x:row>
    <x:row r="1338">
      <x:c r="B1338" s="22" t="str">
        <x:v>AC-1332</x:v>
      </x:c>
      <x:c r="C1338" s="22" t="str">
        <x:v>non-error</x:v>
      </x:c>
      <x:c r="D1338" s="22" t="str">
        <x:v>Scenario Results E13</x:v>
      </x:c>
      <x:c r="E1338" s="75" t="n">
        <x:f>IF(ISERROR('Scenario Results'!E13),0,1)</x:f>
        <x:v>1</x:v>
      </x:c>
      <x:c r="F1338" s="75" t="n">
        <x:v>1</x:v>
      </x:c>
      <x:c r="G1338" s="24" t="str">
        <x:f>IF(E1338=F1338,"PASS","FAIL")</x:f>
        <x:v>PASS</x:v>
      </x:c>
    </x:row>
    <x:row r="1339">
      <x:c r="B1339" s="22" t="str">
        <x:v>AC-1333</x:v>
      </x:c>
      <x:c r="C1339" s="22" t="str">
        <x:v>non-error</x:v>
      </x:c>
      <x:c r="D1339" s="22" t="str">
        <x:v>Scenario Results F13</x:v>
      </x:c>
      <x:c r="E1339" s="75" t="n">
        <x:f>IF(ISERROR('Scenario Results'!F13),0,1)</x:f>
        <x:v>1</x:v>
      </x:c>
      <x:c r="F1339" s="75" t="n">
        <x:v>1</x:v>
      </x:c>
      <x:c r="G1339" s="24" t="str">
        <x:f>IF(E1339=F1339,"PASS","FAIL")</x:f>
        <x:v>PASS</x:v>
      </x:c>
    </x:row>
    <x:row r="1340">
      <x:c r="B1340" s="22" t="str">
        <x:v>AC-1334</x:v>
      </x:c>
      <x:c r="C1340" s="22" t="str">
        <x:v>non-error</x:v>
      </x:c>
      <x:c r="D1340" s="22" t="str">
        <x:v>Scenario Results G13</x:v>
      </x:c>
      <x:c r="E1340" s="75" t="n">
        <x:f>IF(ISERROR('Scenario Results'!G13),0,1)</x:f>
        <x:v>1</x:v>
      </x:c>
      <x:c r="F1340" s="75" t="n">
        <x:v>1</x:v>
      </x:c>
      <x:c r="G1340" s="24" t="str">
        <x:f>IF(E1340=F1340,"PASS","FAIL")</x:f>
        <x:v>PASS</x:v>
      </x:c>
    </x:row>
    <x:row r="1341">
      <x:c r="B1341" s="22" t="str">
        <x:v>AC-1335</x:v>
      </x:c>
      <x:c r="C1341" s="22" t="str">
        <x:v>non-error</x:v>
      </x:c>
      <x:c r="D1341" s="22" t="str">
        <x:v>Scenario Results H13</x:v>
      </x:c>
      <x:c r="E1341" s="75" t="n">
        <x:f>IF(ISERROR('Scenario Results'!H13),0,1)</x:f>
        <x:v>1</x:v>
      </x:c>
      <x:c r="F1341" s="75" t="n">
        <x:v>1</x:v>
      </x:c>
      <x:c r="G1341" s="24" t="str">
        <x:f>IF(E1341=F1341,"PASS","FAIL")</x:f>
        <x:v>PASS</x:v>
      </x:c>
    </x:row>
    <x:row r="1342">
      <x:c r="B1342" s="22" t="str">
        <x:v>AC-1336</x:v>
      </x:c>
      <x:c r="C1342" s="22" t="str">
        <x:v>non-error</x:v>
      </x:c>
      <x:c r="D1342" s="22" t="str">
        <x:v>Scenario Results I13</x:v>
      </x:c>
      <x:c r="E1342" s="75" t="n">
        <x:f>IF(ISERROR('Scenario Results'!I13),0,1)</x:f>
        <x:v>1</x:v>
      </x:c>
      <x:c r="F1342" s="75" t="n">
        <x:v>1</x:v>
      </x:c>
      <x:c r="G1342" s="24" t="str">
        <x:f>IF(E1342=F1342,"PASS","FAIL")</x:f>
        <x:v>PASS</x:v>
      </x:c>
    </x:row>
    <x:row r="1343">
      <x:c r="B1343" s="22" t="str">
        <x:v>AC-1337</x:v>
      </x:c>
      <x:c r="C1343" s="22" t="str">
        <x:v>non-error</x:v>
      </x:c>
      <x:c r="D1343" s="22" t="str">
        <x:v>Scenario Results J13</x:v>
      </x:c>
      <x:c r="E1343" s="75" t="n">
        <x:f>IF(ISERROR('Scenario Results'!J13),0,1)</x:f>
        <x:v>1</x:v>
      </x:c>
      <x:c r="F1343" s="75" t="n">
        <x:v>1</x:v>
      </x:c>
      <x:c r="G1343" s="24" t="str">
        <x:f>IF(E1343=F1343,"PASS","FAIL")</x:f>
        <x:v>PASS</x:v>
      </x:c>
    </x:row>
    <x:row r="1344">
      <x:c r="B1344" s="22" t="str">
        <x:v>AC-1338</x:v>
      </x:c>
      <x:c r="C1344" s="22" t="str">
        <x:v>non-error</x:v>
      </x:c>
      <x:c r="D1344" s="22" t="str">
        <x:v>Scenario Results E14</x:v>
      </x:c>
      <x:c r="E1344" s="75" t="n">
        <x:f>IF(ISERROR('Scenario Results'!E14),0,1)</x:f>
        <x:v>1</x:v>
      </x:c>
      <x:c r="F1344" s="75" t="n">
        <x:v>1</x:v>
      </x:c>
      <x:c r="G1344" s="24" t="str">
        <x:f>IF(E1344=F1344,"PASS","FAIL")</x:f>
        <x:v>PASS</x:v>
      </x:c>
    </x:row>
    <x:row r="1345">
      <x:c r="B1345" s="22" t="str">
        <x:v>AC-1339</x:v>
      </x:c>
      <x:c r="C1345" s="22" t="str">
        <x:v>non-error</x:v>
      </x:c>
      <x:c r="D1345" s="22" t="str">
        <x:v>Scenario Results F14</x:v>
      </x:c>
      <x:c r="E1345" s="75" t="n">
        <x:f>IF(ISERROR('Scenario Results'!F14),0,1)</x:f>
        <x:v>1</x:v>
      </x:c>
      <x:c r="F1345" s="75" t="n">
        <x:v>1</x:v>
      </x:c>
      <x:c r="G1345" s="24" t="str">
        <x:f>IF(E1345=F1345,"PASS","FAIL")</x:f>
        <x:v>PASS</x:v>
      </x:c>
    </x:row>
    <x:row r="1346">
      <x:c r="B1346" s="22" t="str">
        <x:v>AC-1340</x:v>
      </x:c>
      <x:c r="C1346" s="22" t="str">
        <x:v>non-error</x:v>
      </x:c>
      <x:c r="D1346" s="22" t="str">
        <x:v>Scenario Results G14</x:v>
      </x:c>
      <x:c r="E1346" s="75" t="n">
        <x:f>IF(ISERROR('Scenario Results'!G14),0,1)</x:f>
        <x:v>1</x:v>
      </x:c>
      <x:c r="F1346" s="75" t="n">
        <x:v>1</x:v>
      </x:c>
      <x:c r="G1346" s="24" t="str">
        <x:f>IF(E1346=F1346,"PASS","FAIL")</x:f>
        <x:v>PASS</x:v>
      </x:c>
    </x:row>
    <x:row r="1347">
      <x:c r="B1347" s="22" t="str">
        <x:v>AC-1341</x:v>
      </x:c>
      <x:c r="C1347" s="22" t="str">
        <x:v>non-error</x:v>
      </x:c>
      <x:c r="D1347" s="22" t="str">
        <x:v>Scenario Results H14</x:v>
      </x:c>
      <x:c r="E1347" s="75" t="n">
        <x:f>IF(ISERROR('Scenario Results'!H14),0,1)</x:f>
        <x:v>1</x:v>
      </x:c>
      <x:c r="F1347" s="75" t="n">
        <x:v>1</x:v>
      </x:c>
      <x:c r="G1347" s="24" t="str">
        <x:f>IF(E1347=F1347,"PASS","FAIL")</x:f>
        <x:v>PASS</x:v>
      </x:c>
    </x:row>
    <x:row r="1348">
      <x:c r="B1348" s="22" t="str">
        <x:v>AC-1342</x:v>
      </x:c>
      <x:c r="C1348" s="22" t="str">
        <x:v>non-error</x:v>
      </x:c>
      <x:c r="D1348" s="22" t="str">
        <x:v>Scenario Results I14</x:v>
      </x:c>
      <x:c r="E1348" s="75" t="n">
        <x:f>IF(ISERROR('Scenario Results'!I14),0,1)</x:f>
        <x:v>1</x:v>
      </x:c>
      <x:c r="F1348" s="75" t="n">
        <x:v>1</x:v>
      </x:c>
      <x:c r="G1348" s="24" t="str">
        <x:f>IF(E1348=F1348,"PASS","FAIL")</x:f>
        <x:v>PASS</x:v>
      </x:c>
    </x:row>
    <x:row r="1349">
      <x:c r="B1349" s="22" t="str">
        <x:v>AC-1343</x:v>
      </x:c>
      <x:c r="C1349" s="22" t="str">
        <x:v>non-error</x:v>
      </x:c>
      <x:c r="D1349" s="22" t="str">
        <x:v>Scenario Results J14</x:v>
      </x:c>
      <x:c r="E1349" s="75" t="n">
        <x:f>IF(ISERROR('Scenario Results'!J14),0,1)</x:f>
        <x:v>1</x:v>
      </x:c>
      <x:c r="F1349" s="75" t="n">
        <x:v>1</x:v>
      </x:c>
      <x:c r="G1349" s="24" t="str">
        <x:f>IF(E1349=F1349,"PASS","FAIL")</x:f>
        <x:v>PASS</x:v>
      </x:c>
    </x:row>
    <x:row r="1350">
      <x:c r="B1350" s="22" t="str">
        <x:v>AC-1344</x:v>
      </x:c>
      <x:c r="C1350" s="22" t="str">
        <x:v>non-error</x:v>
      </x:c>
      <x:c r="D1350" s="22" t="str">
        <x:v>Scenario Results E15</x:v>
      </x:c>
      <x:c r="E1350" s="75" t="n">
        <x:f>IF(ISERROR('Scenario Results'!E15),0,1)</x:f>
        <x:v>1</x:v>
      </x:c>
      <x:c r="F1350" s="75" t="n">
        <x:v>1</x:v>
      </x:c>
      <x:c r="G1350" s="24" t="str">
        <x:f>IF(E1350=F1350,"PASS","FAIL")</x:f>
        <x:v>PASS</x:v>
      </x:c>
    </x:row>
    <x:row r="1351">
      <x:c r="B1351" s="22" t="str">
        <x:v>AC-1345</x:v>
      </x:c>
      <x:c r="C1351" s="22" t="str">
        <x:v>non-error</x:v>
      </x:c>
      <x:c r="D1351" s="22" t="str">
        <x:v>Scenario Results F15</x:v>
      </x:c>
      <x:c r="E1351" s="75" t="n">
        <x:f>IF(ISERROR('Scenario Results'!F15),0,1)</x:f>
        <x:v>1</x:v>
      </x:c>
      <x:c r="F1351" s="75" t="n">
        <x:v>1</x:v>
      </x:c>
      <x:c r="G1351" s="24" t="str">
        <x:f>IF(E1351=F1351,"PASS","FAIL")</x:f>
        <x:v>PASS</x:v>
      </x:c>
    </x:row>
    <x:row r="1352">
      <x:c r="B1352" s="22" t="str">
        <x:v>AC-1346</x:v>
      </x:c>
      <x:c r="C1352" s="22" t="str">
        <x:v>non-error</x:v>
      </x:c>
      <x:c r="D1352" s="22" t="str">
        <x:v>Scenario Results G15</x:v>
      </x:c>
      <x:c r="E1352" s="75" t="n">
        <x:f>IF(ISERROR('Scenario Results'!G15),0,1)</x:f>
        <x:v>1</x:v>
      </x:c>
      <x:c r="F1352" s="75" t="n">
        <x:v>1</x:v>
      </x:c>
      <x:c r="G1352" s="24" t="str">
        <x:f>IF(E1352=F1352,"PASS","FAIL")</x:f>
        <x:v>PASS</x:v>
      </x:c>
    </x:row>
    <x:row r="1353">
      <x:c r="B1353" s="22" t="str">
        <x:v>AC-1347</x:v>
      </x:c>
      <x:c r="C1353" s="22" t="str">
        <x:v>non-error</x:v>
      </x:c>
      <x:c r="D1353" s="22" t="str">
        <x:v>Scenario Results H15</x:v>
      </x:c>
      <x:c r="E1353" s="75" t="n">
        <x:f>IF(ISERROR('Scenario Results'!H15),0,1)</x:f>
        <x:v>1</x:v>
      </x:c>
      <x:c r="F1353" s="75" t="n">
        <x:v>1</x:v>
      </x:c>
      <x:c r="G1353" s="24" t="str">
        <x:f>IF(E1353=F1353,"PASS","FAIL")</x:f>
        <x:v>PASS</x:v>
      </x:c>
    </x:row>
    <x:row r="1354">
      <x:c r="B1354" s="22" t="str">
        <x:v>AC-1348</x:v>
      </x:c>
      <x:c r="C1354" s="22" t="str">
        <x:v>non-error</x:v>
      </x:c>
      <x:c r="D1354" s="22" t="str">
        <x:v>Scenario Results I15</x:v>
      </x:c>
      <x:c r="E1354" s="75" t="n">
        <x:f>IF(ISERROR('Scenario Results'!I15),0,1)</x:f>
        <x:v>1</x:v>
      </x:c>
      <x:c r="F1354" s="75" t="n">
        <x:v>1</x:v>
      </x:c>
      <x:c r="G1354" s="24" t="str">
        <x:f>IF(E1354=F1354,"PASS","FAIL")</x:f>
        <x:v>PASS</x:v>
      </x:c>
    </x:row>
    <x:row r="1355">
      <x:c r="B1355" s="22" t="str">
        <x:v>AC-1349</x:v>
      </x:c>
      <x:c r="C1355" s="22" t="str">
        <x:v>non-error</x:v>
      </x:c>
      <x:c r="D1355" s="22" t="str">
        <x:v>Scenario Results J15</x:v>
      </x:c>
      <x:c r="E1355" s="75" t="n">
        <x:f>IF(ISERROR('Scenario Results'!J15),0,1)</x:f>
        <x:v>1</x:v>
      </x:c>
      <x:c r="F1355" s="75" t="n">
        <x:v>1</x:v>
      </x:c>
      <x:c r="G1355" s="24" t="str">
        <x:f>IF(E1355=F1355,"PASS","FAIL")</x:f>
        <x:v>PASS</x:v>
      </x:c>
    </x:row>
    <x:row r="1356">
      <x:c r="B1356" s="22" t="str">
        <x:v>AC-1350</x:v>
      </x:c>
      <x:c r="C1356" s="22" t="str">
        <x:v>non-error</x:v>
      </x:c>
      <x:c r="D1356" s="22" t="str">
        <x:v>Scenario Results E16</x:v>
      </x:c>
      <x:c r="E1356" s="75" t="n">
        <x:f>IF(ISERROR('Scenario Results'!E16),0,1)</x:f>
        <x:v>1</x:v>
      </x:c>
      <x:c r="F1356" s="75" t="n">
        <x:v>1</x:v>
      </x:c>
      <x:c r="G1356" s="24" t="str">
        <x:f>IF(E1356=F1356,"PASS","FAIL")</x:f>
        <x:v>PASS</x:v>
      </x:c>
    </x:row>
    <x:row r="1357">
      <x:c r="B1357" s="22" t="str">
        <x:v>AC-1351</x:v>
      </x:c>
      <x:c r="C1357" s="22" t="str">
        <x:v>non-error</x:v>
      </x:c>
      <x:c r="D1357" s="22" t="str">
        <x:v>Scenario Results F16</x:v>
      </x:c>
      <x:c r="E1357" s="75" t="n">
        <x:f>IF(ISERROR('Scenario Results'!F16),0,1)</x:f>
        <x:v>1</x:v>
      </x:c>
      <x:c r="F1357" s="75" t="n">
        <x:v>1</x:v>
      </x:c>
      <x:c r="G1357" s="24" t="str">
        <x:f>IF(E1357=F1357,"PASS","FAIL")</x:f>
        <x:v>PASS</x:v>
      </x:c>
    </x:row>
    <x:row r="1358">
      <x:c r="B1358" s="22" t="str">
        <x:v>AC-1352</x:v>
      </x:c>
      <x:c r="C1358" s="22" t="str">
        <x:v>non-error</x:v>
      </x:c>
      <x:c r="D1358" s="22" t="str">
        <x:v>Scenario Results G16</x:v>
      </x:c>
      <x:c r="E1358" s="75" t="n">
        <x:f>IF(ISERROR('Scenario Results'!G16),0,1)</x:f>
        <x:v>1</x:v>
      </x:c>
      <x:c r="F1358" s="75" t="n">
        <x:v>1</x:v>
      </x:c>
      <x:c r="G1358" s="24" t="str">
        <x:f>IF(E1358=F1358,"PASS","FAIL")</x:f>
        <x:v>PASS</x:v>
      </x:c>
    </x:row>
    <x:row r="1359">
      <x:c r="B1359" s="22" t="str">
        <x:v>AC-1353</x:v>
      </x:c>
      <x:c r="C1359" s="22" t="str">
        <x:v>non-error</x:v>
      </x:c>
      <x:c r="D1359" s="22" t="str">
        <x:v>Scenario Results H16</x:v>
      </x:c>
      <x:c r="E1359" s="75" t="n">
        <x:f>IF(ISERROR('Scenario Results'!H16),0,1)</x:f>
        <x:v>1</x:v>
      </x:c>
      <x:c r="F1359" s="75" t="n">
        <x:v>1</x:v>
      </x:c>
      <x:c r="G1359" s="24" t="str">
        <x:f>IF(E1359=F1359,"PASS","FAIL")</x:f>
        <x:v>PASS</x:v>
      </x:c>
    </x:row>
    <x:row r="1360">
      <x:c r="B1360" s="22" t="str">
        <x:v>AC-1354</x:v>
      </x:c>
      <x:c r="C1360" s="22" t="str">
        <x:v>non-error</x:v>
      </x:c>
      <x:c r="D1360" s="22" t="str">
        <x:v>Scenario Results I16</x:v>
      </x:c>
      <x:c r="E1360" s="75" t="n">
        <x:f>IF(ISERROR('Scenario Results'!I16),0,1)</x:f>
        <x:v>1</x:v>
      </x:c>
      <x:c r="F1360" s="75" t="n">
        <x:v>1</x:v>
      </x:c>
      <x:c r="G1360" s="24" t="str">
        <x:f>IF(E1360=F1360,"PASS","FAIL")</x:f>
        <x:v>PASS</x:v>
      </x:c>
    </x:row>
    <x:row r="1361">
      <x:c r="B1361" s="22" t="str">
        <x:v>AC-1355</x:v>
      </x:c>
      <x:c r="C1361" s="22" t="str">
        <x:v>non-error</x:v>
      </x:c>
      <x:c r="D1361" s="22" t="str">
        <x:v>Scenario Results J16</x:v>
      </x:c>
      <x:c r="E1361" s="75" t="n">
        <x:f>IF(ISERROR('Scenario Results'!J16),0,1)</x:f>
        <x:v>1</x:v>
      </x:c>
      <x:c r="F1361" s="75" t="n">
        <x:v>1</x:v>
      </x:c>
      <x:c r="G1361" s="24" t="str">
        <x:f>IF(E1361=F1361,"PASS","FAIL")</x:f>
        <x:v>PASS</x:v>
      </x:c>
    </x:row>
    <x:row r="1362">
      <x:c r="B1362" s="22" t="str">
        <x:v>AC-1356</x:v>
      </x:c>
      <x:c r="C1362" s="22" t="str">
        <x:v>non-error</x:v>
      </x:c>
      <x:c r="D1362" s="22" t="str">
        <x:v>Scenario Results E17</x:v>
      </x:c>
      <x:c r="E1362" s="75" t="n">
        <x:f>IF(ISERROR('Scenario Results'!E17),0,1)</x:f>
        <x:v>1</x:v>
      </x:c>
      <x:c r="F1362" s="75" t="n">
        <x:v>1</x:v>
      </x:c>
      <x:c r="G1362" s="24" t="str">
        <x:f>IF(E1362=F1362,"PASS","FAIL")</x:f>
        <x:v>PASS</x:v>
      </x:c>
    </x:row>
    <x:row r="1363">
      <x:c r="B1363" s="22" t="str">
        <x:v>AC-1357</x:v>
      </x:c>
      <x:c r="C1363" s="22" t="str">
        <x:v>non-error</x:v>
      </x:c>
      <x:c r="D1363" s="22" t="str">
        <x:v>Scenario Results F17</x:v>
      </x:c>
      <x:c r="E1363" s="75" t="n">
        <x:f>IF(ISERROR('Scenario Results'!F17),0,1)</x:f>
        <x:v>1</x:v>
      </x:c>
      <x:c r="F1363" s="75" t="n">
        <x:v>1</x:v>
      </x:c>
      <x:c r="G1363" s="24" t="str">
        <x:f>IF(E1363=F1363,"PASS","FAIL")</x:f>
        <x:v>PASS</x:v>
      </x:c>
    </x:row>
    <x:row r="1364">
      <x:c r="B1364" s="22" t="str">
        <x:v>AC-1358</x:v>
      </x:c>
      <x:c r="C1364" s="22" t="str">
        <x:v>non-error</x:v>
      </x:c>
      <x:c r="D1364" s="22" t="str">
        <x:v>Scenario Results G17</x:v>
      </x:c>
      <x:c r="E1364" s="75" t="n">
        <x:f>IF(ISERROR('Scenario Results'!G17),0,1)</x:f>
        <x:v>1</x:v>
      </x:c>
      <x:c r="F1364" s="75" t="n">
        <x:v>1</x:v>
      </x:c>
      <x:c r="G1364" s="24" t="str">
        <x:f>IF(E1364=F1364,"PASS","FAIL")</x:f>
        <x:v>PASS</x:v>
      </x:c>
    </x:row>
    <x:row r="1365">
      <x:c r="B1365" s="22" t="str">
        <x:v>AC-1359</x:v>
      </x:c>
      <x:c r="C1365" s="22" t="str">
        <x:v>non-error</x:v>
      </x:c>
      <x:c r="D1365" s="22" t="str">
        <x:v>Scenario Results H17</x:v>
      </x:c>
      <x:c r="E1365" s="75" t="n">
        <x:f>IF(ISERROR('Scenario Results'!H17),0,1)</x:f>
        <x:v>1</x:v>
      </x:c>
      <x:c r="F1365" s="75" t="n">
        <x:v>1</x:v>
      </x:c>
      <x:c r="G1365" s="24" t="str">
        <x:f>IF(E1365=F1365,"PASS","FAIL")</x:f>
        <x:v>PASS</x:v>
      </x:c>
    </x:row>
    <x:row r="1366">
      <x:c r="B1366" s="22" t="str">
        <x:v>AC-1360</x:v>
      </x:c>
      <x:c r="C1366" s="22" t="str">
        <x:v>non-error</x:v>
      </x:c>
      <x:c r="D1366" s="22" t="str">
        <x:v>Scenario Results I17</x:v>
      </x:c>
      <x:c r="E1366" s="75" t="n">
        <x:f>IF(ISERROR('Scenario Results'!I17),0,1)</x:f>
        <x:v>1</x:v>
      </x:c>
      <x:c r="F1366" s="75" t="n">
        <x:v>1</x:v>
      </x:c>
      <x:c r="G1366" s="24" t="str">
        <x:f>IF(E1366=F1366,"PASS","FAIL")</x:f>
        <x:v>PASS</x:v>
      </x:c>
    </x:row>
    <x:row r="1367">
      <x:c r="B1367" s="22" t="str">
        <x:v>AC-1361</x:v>
      </x:c>
      <x:c r="C1367" s="22" t="str">
        <x:v>non-error</x:v>
      </x:c>
      <x:c r="D1367" s="22" t="str">
        <x:v>Scenario Results J17</x:v>
      </x:c>
      <x:c r="E1367" s="75" t="n">
        <x:f>IF(ISERROR('Scenario Results'!J17),0,1)</x:f>
        <x:v>1</x:v>
      </x:c>
      <x:c r="F1367" s="75" t="n">
        <x:v>1</x:v>
      </x:c>
      <x:c r="G1367" s="24" t="str">
        <x:f>IF(E1367=F1367,"PASS","FAIL")</x:f>
        <x:v>PASS</x:v>
      </x:c>
    </x:row>
    <x:row r="1368">
      <x:c r="B1368" s="22" t="str">
        <x:v>AC-1362</x:v>
      </x:c>
      <x:c r="C1368" s="22" t="str">
        <x:v>non-error</x:v>
      </x:c>
      <x:c r="D1368" s="22" t="str">
        <x:v>Scenario Results E18</x:v>
      </x:c>
      <x:c r="E1368" s="75" t="n">
        <x:f>IF(ISERROR('Scenario Results'!E18),0,1)</x:f>
        <x:v>1</x:v>
      </x:c>
      <x:c r="F1368" s="75" t="n">
        <x:v>1</x:v>
      </x:c>
      <x:c r="G1368" s="24" t="str">
        <x:f>IF(E1368=F1368,"PASS","FAIL")</x:f>
        <x:v>PASS</x:v>
      </x:c>
    </x:row>
    <x:row r="1369">
      <x:c r="B1369" s="22" t="str">
        <x:v>AC-1363</x:v>
      </x:c>
      <x:c r="C1369" s="22" t="str">
        <x:v>non-error</x:v>
      </x:c>
      <x:c r="D1369" s="22" t="str">
        <x:v>Scenario Results F18</x:v>
      </x:c>
      <x:c r="E1369" s="75" t="n">
        <x:f>IF(ISERROR('Scenario Results'!F18),0,1)</x:f>
        <x:v>1</x:v>
      </x:c>
      <x:c r="F1369" s="75" t="n">
        <x:v>1</x:v>
      </x:c>
      <x:c r="G1369" s="24" t="str">
        <x:f>IF(E1369=F1369,"PASS","FAIL")</x:f>
        <x:v>PASS</x:v>
      </x:c>
    </x:row>
    <x:row r="1370">
      <x:c r="B1370" s="22" t="str">
        <x:v>AC-1364</x:v>
      </x:c>
      <x:c r="C1370" s="22" t="str">
        <x:v>non-error</x:v>
      </x:c>
      <x:c r="D1370" s="22" t="str">
        <x:v>Scenario Results G18</x:v>
      </x:c>
      <x:c r="E1370" s="75" t="n">
        <x:f>IF(ISERROR('Scenario Results'!G18),0,1)</x:f>
        <x:v>1</x:v>
      </x:c>
      <x:c r="F1370" s="75" t="n">
        <x:v>1</x:v>
      </x:c>
      <x:c r="G1370" s="24" t="str">
        <x:f>IF(E1370=F1370,"PASS","FAIL")</x:f>
        <x:v>PASS</x:v>
      </x:c>
    </x:row>
    <x:row r="1371">
      <x:c r="B1371" s="22" t="str">
        <x:v>AC-1365</x:v>
      </x:c>
      <x:c r="C1371" s="22" t="str">
        <x:v>non-error</x:v>
      </x:c>
      <x:c r="D1371" s="22" t="str">
        <x:v>Scenario Results H18</x:v>
      </x:c>
      <x:c r="E1371" s="75" t="n">
        <x:f>IF(ISERROR('Scenario Results'!H18),0,1)</x:f>
        <x:v>1</x:v>
      </x:c>
      <x:c r="F1371" s="75" t="n">
        <x:v>1</x:v>
      </x:c>
      <x:c r="G1371" s="24" t="str">
        <x:f>IF(E1371=F1371,"PASS","FAIL")</x:f>
        <x:v>PASS</x:v>
      </x:c>
    </x:row>
    <x:row r="1372">
      <x:c r="B1372" s="22" t="str">
        <x:v>AC-1366</x:v>
      </x:c>
      <x:c r="C1372" s="22" t="str">
        <x:v>non-error</x:v>
      </x:c>
      <x:c r="D1372" s="22" t="str">
        <x:v>Scenario Results I18</x:v>
      </x:c>
      <x:c r="E1372" s="75" t="n">
        <x:f>IF(ISERROR('Scenario Results'!I18),0,1)</x:f>
        <x:v>1</x:v>
      </x:c>
      <x:c r="F1372" s="75" t="n">
        <x:v>1</x:v>
      </x:c>
      <x:c r="G1372" s="24" t="str">
        <x:f>IF(E1372=F1372,"PASS","FAIL")</x:f>
        <x:v>PASS</x:v>
      </x:c>
    </x:row>
    <x:row r="1373">
      <x:c r="B1373" s="22" t="str">
        <x:v>AC-1367</x:v>
      </x:c>
      <x:c r="C1373" s="22" t="str">
        <x:v>non-error</x:v>
      </x:c>
      <x:c r="D1373" s="22" t="str">
        <x:v>Scenario Results J18</x:v>
      </x:c>
      <x:c r="E1373" s="75" t="n">
        <x:f>IF(ISERROR('Scenario Results'!J18),0,1)</x:f>
        <x:v>1</x:v>
      </x:c>
      <x:c r="F1373" s="75" t="n">
        <x:v>1</x:v>
      </x:c>
      <x:c r="G1373" s="24" t="str">
        <x:f>IF(E1373=F1373,"PASS","FAIL")</x:f>
        <x:v>PASS</x:v>
      </x:c>
    </x:row>
    <x:row r="1374">
      <x:c r="B1374" s="22" t="str">
        <x:v>AC-1368</x:v>
      </x:c>
      <x:c r="C1374" s="22" t="str">
        <x:v>non-error</x:v>
      </x:c>
      <x:c r="D1374" s="22" t="str">
        <x:v>Scenario Results E19</x:v>
      </x:c>
      <x:c r="E1374" s="75" t="n">
        <x:f>IF(ISERROR('Scenario Results'!E19),0,1)</x:f>
        <x:v>1</x:v>
      </x:c>
      <x:c r="F1374" s="75" t="n">
        <x:v>1</x:v>
      </x:c>
      <x:c r="G1374" s="24" t="str">
        <x:f>IF(E1374=F1374,"PASS","FAIL")</x:f>
        <x:v>PASS</x:v>
      </x:c>
    </x:row>
    <x:row r="1375">
      <x:c r="B1375" s="22" t="str">
        <x:v>AC-1369</x:v>
      </x:c>
      <x:c r="C1375" s="22" t="str">
        <x:v>non-error</x:v>
      </x:c>
      <x:c r="D1375" s="22" t="str">
        <x:v>Scenario Results F19</x:v>
      </x:c>
      <x:c r="E1375" s="75" t="n">
        <x:f>IF(ISERROR('Scenario Results'!F19),0,1)</x:f>
        <x:v>1</x:v>
      </x:c>
      <x:c r="F1375" s="75" t="n">
        <x:v>1</x:v>
      </x:c>
      <x:c r="G1375" s="24" t="str">
        <x:f>IF(E1375=F1375,"PASS","FAIL")</x:f>
        <x:v>PASS</x:v>
      </x:c>
    </x:row>
    <x:row r="1376">
      <x:c r="B1376" s="22" t="str">
        <x:v>AC-1370</x:v>
      </x:c>
      <x:c r="C1376" s="22" t="str">
        <x:v>non-error</x:v>
      </x:c>
      <x:c r="D1376" s="22" t="str">
        <x:v>Scenario Results G19</x:v>
      </x:c>
      <x:c r="E1376" s="75" t="n">
        <x:f>IF(ISERROR('Scenario Results'!G19),0,1)</x:f>
        <x:v>1</x:v>
      </x:c>
      <x:c r="F1376" s="75" t="n">
        <x:v>1</x:v>
      </x:c>
      <x:c r="G1376" s="24" t="str">
        <x:f>IF(E1376=F1376,"PASS","FAIL")</x:f>
        <x:v>PASS</x:v>
      </x:c>
    </x:row>
    <x:row r="1377">
      <x:c r="B1377" s="22" t="str">
        <x:v>AC-1371</x:v>
      </x:c>
      <x:c r="C1377" s="22" t="str">
        <x:v>non-error</x:v>
      </x:c>
      <x:c r="D1377" s="22" t="str">
        <x:v>Scenario Results H19</x:v>
      </x:c>
      <x:c r="E1377" s="75" t="n">
        <x:f>IF(ISERROR('Scenario Results'!H19),0,1)</x:f>
        <x:v>1</x:v>
      </x:c>
      <x:c r="F1377" s="75" t="n">
        <x:v>1</x:v>
      </x:c>
      <x:c r="G1377" s="24" t="str">
        <x:f>IF(E1377=F1377,"PASS","FAIL")</x:f>
        <x:v>PASS</x:v>
      </x:c>
    </x:row>
    <x:row r="1378">
      <x:c r="B1378" s="22" t="str">
        <x:v>AC-1372</x:v>
      </x:c>
      <x:c r="C1378" s="22" t="str">
        <x:v>non-error</x:v>
      </x:c>
      <x:c r="D1378" s="22" t="str">
        <x:v>Scenario Results I19</x:v>
      </x:c>
      <x:c r="E1378" s="75" t="n">
        <x:f>IF(ISERROR('Scenario Results'!I19),0,1)</x:f>
        <x:v>1</x:v>
      </x:c>
      <x:c r="F1378" s="75" t="n">
        <x:v>1</x:v>
      </x:c>
      <x:c r="G1378" s="24" t="str">
        <x:f>IF(E1378=F1378,"PASS","FAIL")</x:f>
        <x:v>PASS</x:v>
      </x:c>
    </x:row>
    <x:row r="1379">
      <x:c r="B1379" s="22" t="str">
        <x:v>AC-1373</x:v>
      </x:c>
      <x:c r="C1379" s="22" t="str">
        <x:v>non-error</x:v>
      </x:c>
      <x:c r="D1379" s="22" t="str">
        <x:v>Scenario Results J19</x:v>
      </x:c>
      <x:c r="E1379" s="75" t="n">
        <x:f>IF(ISERROR('Scenario Results'!J19),0,1)</x:f>
        <x:v>1</x:v>
      </x:c>
      <x:c r="F1379" s="75" t="n">
        <x:v>1</x:v>
      </x:c>
      <x:c r="G1379" s="24" t="str">
        <x:f>IF(E1379=F1379,"PASS","FAIL")</x:f>
        <x:v>PASS</x:v>
      </x:c>
    </x:row>
    <x:row r="1380">
      <x:c r="B1380" s="22" t="str">
        <x:v>AC-1374</x:v>
      </x:c>
      <x:c r="C1380" s="22" t="str">
        <x:v>non-error</x:v>
      </x:c>
      <x:c r="D1380" s="22" t="str">
        <x:v>Scenario Results E20</x:v>
      </x:c>
      <x:c r="E1380" s="75" t="n">
        <x:f>IF(ISERROR('Scenario Results'!E20),0,1)</x:f>
        <x:v>1</x:v>
      </x:c>
      <x:c r="F1380" s="75" t="n">
        <x:v>1</x:v>
      </x:c>
      <x:c r="G1380" s="24" t="str">
        <x:f>IF(E1380=F1380,"PASS","FAIL")</x:f>
        <x:v>PASS</x:v>
      </x:c>
    </x:row>
    <x:row r="1381">
      <x:c r="B1381" s="22" t="str">
        <x:v>AC-1375</x:v>
      </x:c>
      <x:c r="C1381" s="22" t="str">
        <x:v>non-error</x:v>
      </x:c>
      <x:c r="D1381" s="22" t="str">
        <x:v>Scenario Results F20</x:v>
      </x:c>
      <x:c r="E1381" s="75" t="n">
        <x:f>IF(ISERROR('Scenario Results'!F20),0,1)</x:f>
        <x:v>1</x:v>
      </x:c>
      <x:c r="F1381" s="75" t="n">
        <x:v>1</x:v>
      </x:c>
      <x:c r="G1381" s="24" t="str">
        <x:f>IF(E1381=F1381,"PASS","FAIL")</x:f>
        <x:v>PASS</x:v>
      </x:c>
    </x:row>
    <x:row r="1382">
      <x:c r="B1382" s="22" t="str">
        <x:v>AC-1376</x:v>
      </x:c>
      <x:c r="C1382" s="22" t="str">
        <x:v>non-error</x:v>
      </x:c>
      <x:c r="D1382" s="22" t="str">
        <x:v>Scenario Results G20</x:v>
      </x:c>
      <x:c r="E1382" s="75" t="n">
        <x:f>IF(ISERROR('Scenario Results'!G20),0,1)</x:f>
        <x:v>1</x:v>
      </x:c>
      <x:c r="F1382" s="75" t="n">
        <x:v>1</x:v>
      </x:c>
      <x:c r="G1382" s="24" t="str">
        <x:f>IF(E1382=F1382,"PASS","FAIL")</x:f>
        <x:v>PASS</x:v>
      </x:c>
    </x:row>
    <x:row r="1383">
      <x:c r="B1383" s="22" t="str">
        <x:v>AC-1377</x:v>
      </x:c>
      <x:c r="C1383" s="22" t="str">
        <x:v>non-error</x:v>
      </x:c>
      <x:c r="D1383" s="22" t="str">
        <x:v>Scenario Results H20</x:v>
      </x:c>
      <x:c r="E1383" s="75" t="n">
        <x:f>IF(ISERROR('Scenario Results'!H20),0,1)</x:f>
        <x:v>1</x:v>
      </x:c>
      <x:c r="F1383" s="75" t="n">
        <x:v>1</x:v>
      </x:c>
      <x:c r="G1383" s="24" t="str">
        <x:f>IF(E1383=F1383,"PASS","FAIL")</x:f>
        <x:v>PASS</x:v>
      </x:c>
    </x:row>
    <x:row r="1384">
      <x:c r="B1384" s="22" t="str">
        <x:v>AC-1378</x:v>
      </x:c>
      <x:c r="C1384" s="22" t="str">
        <x:v>non-error</x:v>
      </x:c>
      <x:c r="D1384" s="22" t="str">
        <x:v>Scenario Results I20</x:v>
      </x:c>
      <x:c r="E1384" s="75" t="n">
        <x:f>IF(ISERROR('Scenario Results'!I20),0,1)</x:f>
        <x:v>1</x:v>
      </x:c>
      <x:c r="F1384" s="75" t="n">
        <x:v>1</x:v>
      </x:c>
      <x:c r="G1384" s="24" t="str">
        <x:f>IF(E1384=F1384,"PASS","FAIL")</x:f>
        <x:v>PASS</x:v>
      </x:c>
    </x:row>
    <x:row r="1385">
      <x:c r="B1385" s="22" t="str">
        <x:v>AC-1379</x:v>
      </x:c>
      <x:c r="C1385" s="22" t="str">
        <x:v>non-error</x:v>
      </x:c>
      <x:c r="D1385" s="22" t="str">
        <x:v>Scenario Results J20</x:v>
      </x:c>
      <x:c r="E1385" s="75" t="n">
        <x:f>IF(ISERROR('Scenario Results'!J20),0,1)</x:f>
        <x:v>1</x:v>
      </x:c>
      <x:c r="F1385" s="75" t="n">
        <x:v>1</x:v>
      </x:c>
      <x:c r="G1385" s="24" t="str">
        <x:f>IF(E1385=F1385,"PASS","FAIL")</x:f>
        <x:v>PASS</x:v>
      </x:c>
    </x:row>
    <x:row r="1386">
      <x:c r="B1386" s="22" t="str">
        <x:v>AC-1380</x:v>
      </x:c>
      <x:c r="C1386" s="22" t="str">
        <x:v>non-error</x:v>
      </x:c>
      <x:c r="D1386" s="22" t="str">
        <x:v>Scenario Results E21</x:v>
      </x:c>
      <x:c r="E1386" s="75" t="n">
        <x:f>IF(ISERROR('Scenario Results'!E21),0,1)</x:f>
        <x:v>1</x:v>
      </x:c>
      <x:c r="F1386" s="75" t="n">
        <x:v>1</x:v>
      </x:c>
      <x:c r="G1386" s="24" t="str">
        <x:f>IF(E1386=F1386,"PASS","FAIL")</x:f>
        <x:v>PASS</x:v>
      </x:c>
    </x:row>
    <x:row r="1387">
      <x:c r="B1387" s="22" t="str">
        <x:v>AC-1381</x:v>
      </x:c>
      <x:c r="C1387" s="22" t="str">
        <x:v>non-error</x:v>
      </x:c>
      <x:c r="D1387" s="22" t="str">
        <x:v>Scenario Results F21</x:v>
      </x:c>
      <x:c r="E1387" s="75" t="n">
        <x:f>IF(ISERROR('Scenario Results'!F21),0,1)</x:f>
        <x:v>1</x:v>
      </x:c>
      <x:c r="F1387" s="75" t="n">
        <x:v>1</x:v>
      </x:c>
      <x:c r="G1387" s="24" t="str">
        <x:f>IF(E1387=F1387,"PASS","FAIL")</x:f>
        <x:v>PASS</x:v>
      </x:c>
    </x:row>
    <x:row r="1388">
      <x:c r="B1388" s="22" t="str">
        <x:v>AC-1382</x:v>
      </x:c>
      <x:c r="C1388" s="22" t="str">
        <x:v>non-error</x:v>
      </x:c>
      <x:c r="D1388" s="22" t="str">
        <x:v>Scenario Results G21</x:v>
      </x:c>
      <x:c r="E1388" s="75" t="n">
        <x:f>IF(ISERROR('Scenario Results'!G21),0,1)</x:f>
        <x:v>1</x:v>
      </x:c>
      <x:c r="F1388" s="75" t="n">
        <x:v>1</x:v>
      </x:c>
      <x:c r="G1388" s="24" t="str">
        <x:f>IF(E1388=F1388,"PASS","FAIL")</x:f>
        <x:v>PASS</x:v>
      </x:c>
    </x:row>
    <x:row r="1389">
      <x:c r="B1389" s="22" t="str">
        <x:v>AC-1383</x:v>
      </x:c>
      <x:c r="C1389" s="22" t="str">
        <x:v>non-error</x:v>
      </x:c>
      <x:c r="D1389" s="22" t="str">
        <x:v>Scenario Results H21</x:v>
      </x:c>
      <x:c r="E1389" s="75" t="n">
        <x:f>IF(ISERROR('Scenario Results'!H21),0,1)</x:f>
        <x:v>1</x:v>
      </x:c>
      <x:c r="F1389" s="75" t="n">
        <x:v>1</x:v>
      </x:c>
      <x:c r="G1389" s="24" t="str">
        <x:f>IF(E1389=F1389,"PASS","FAIL")</x:f>
        <x:v>PASS</x:v>
      </x:c>
    </x:row>
    <x:row r="1390">
      <x:c r="B1390" s="22" t="str">
        <x:v>AC-1384</x:v>
      </x:c>
      <x:c r="C1390" s="22" t="str">
        <x:v>non-error</x:v>
      </x:c>
      <x:c r="D1390" s="22" t="str">
        <x:v>Scenario Results I21</x:v>
      </x:c>
      <x:c r="E1390" s="75" t="n">
        <x:f>IF(ISERROR('Scenario Results'!I21),0,1)</x:f>
        <x:v>1</x:v>
      </x:c>
      <x:c r="F1390" s="75" t="n">
        <x:v>1</x:v>
      </x:c>
      <x:c r="G1390" s="24" t="str">
        <x:f>IF(E1390=F1390,"PASS","FAIL")</x:f>
        <x:v>PASS</x:v>
      </x:c>
    </x:row>
    <x:row r="1391">
      <x:c r="B1391" s="22" t="str">
        <x:v>AC-1385</x:v>
      </x:c>
      <x:c r="C1391" s="22" t="str">
        <x:v>non-error</x:v>
      </x:c>
      <x:c r="D1391" s="22" t="str">
        <x:v>Scenario Results J21</x:v>
      </x:c>
      <x:c r="E1391" s="75" t="n">
        <x:f>IF(ISERROR('Scenario Results'!J21),0,1)</x:f>
        <x:v>1</x:v>
      </x:c>
      <x:c r="F1391" s="75" t="n">
        <x:v>1</x:v>
      </x:c>
      <x:c r="G1391" s="24" t="str">
        <x:f>IF(E1391=F1391,"PASS","FAIL")</x:f>
        <x:v>PASS</x:v>
      </x:c>
    </x:row>
    <x:row r="1392">
      <x:c r="B1392" s="22" t="str">
        <x:v>AC-1386</x:v>
      </x:c>
      <x:c r="C1392" s="22" t="str">
        <x:v>non-error</x:v>
      </x:c>
      <x:c r="D1392" s="22" t="str">
        <x:v>Scenario Results E22</x:v>
      </x:c>
      <x:c r="E1392" s="75" t="n">
        <x:f>IF(ISERROR('Scenario Results'!E22),0,1)</x:f>
        <x:v>1</x:v>
      </x:c>
      <x:c r="F1392" s="75" t="n">
        <x:v>1</x:v>
      </x:c>
      <x:c r="G1392" s="24" t="str">
        <x:f>IF(E1392=F1392,"PASS","FAIL")</x:f>
        <x:v>PASS</x:v>
      </x:c>
    </x:row>
    <x:row r="1393">
      <x:c r="B1393" s="22" t="str">
        <x:v>AC-1387</x:v>
      </x:c>
      <x:c r="C1393" s="22" t="str">
        <x:v>non-error</x:v>
      </x:c>
      <x:c r="D1393" s="22" t="str">
        <x:v>Scenario Results F22</x:v>
      </x:c>
      <x:c r="E1393" s="75" t="n">
        <x:f>IF(ISERROR('Scenario Results'!F22),0,1)</x:f>
        <x:v>1</x:v>
      </x:c>
      <x:c r="F1393" s="75" t="n">
        <x:v>1</x:v>
      </x:c>
      <x:c r="G1393" s="24" t="str">
        <x:f>IF(E1393=F1393,"PASS","FAIL")</x:f>
        <x:v>PASS</x:v>
      </x:c>
    </x:row>
    <x:row r="1394">
      <x:c r="B1394" s="22" t="str">
        <x:v>AC-1388</x:v>
      </x:c>
      <x:c r="C1394" s="22" t="str">
        <x:v>non-error</x:v>
      </x:c>
      <x:c r="D1394" s="22" t="str">
        <x:v>Scenario Results G22</x:v>
      </x:c>
      <x:c r="E1394" s="75" t="n">
        <x:f>IF(ISERROR('Scenario Results'!G22),0,1)</x:f>
        <x:v>1</x:v>
      </x:c>
      <x:c r="F1394" s="75" t="n">
        <x:v>1</x:v>
      </x:c>
      <x:c r="G1394" s="24" t="str">
        <x:f>IF(E1394=F1394,"PASS","FAIL")</x:f>
        <x:v>PASS</x:v>
      </x:c>
    </x:row>
    <x:row r="1395">
      <x:c r="B1395" s="22" t="str">
        <x:v>AC-1389</x:v>
      </x:c>
      <x:c r="C1395" s="22" t="str">
        <x:v>non-error</x:v>
      </x:c>
      <x:c r="D1395" s="22" t="str">
        <x:v>Scenario Results H22</x:v>
      </x:c>
      <x:c r="E1395" s="75" t="n">
        <x:f>IF(ISERROR('Scenario Results'!H22),0,1)</x:f>
        <x:v>1</x:v>
      </x:c>
      <x:c r="F1395" s="75" t="n">
        <x:v>1</x:v>
      </x:c>
      <x:c r="G1395" s="24" t="str">
        <x:f>IF(E1395=F1395,"PASS","FAIL")</x:f>
        <x:v>PASS</x:v>
      </x:c>
    </x:row>
    <x:row r="1396">
      <x:c r="B1396" s="22" t="str">
        <x:v>AC-1390</x:v>
      </x:c>
      <x:c r="C1396" s="22" t="str">
        <x:v>non-error</x:v>
      </x:c>
      <x:c r="D1396" s="22" t="str">
        <x:v>Scenario Results I22</x:v>
      </x:c>
      <x:c r="E1396" s="75" t="n">
        <x:f>IF(ISERROR('Scenario Results'!I22),0,1)</x:f>
        <x:v>1</x:v>
      </x:c>
      <x:c r="F1396" s="75" t="n">
        <x:v>1</x:v>
      </x:c>
      <x:c r="G1396" s="24" t="str">
        <x:f>IF(E1396=F1396,"PASS","FAIL")</x:f>
        <x:v>PASS</x:v>
      </x:c>
    </x:row>
    <x:row r="1397">
      <x:c r="B1397" s="22" t="str">
        <x:v>AC-1391</x:v>
      </x:c>
      <x:c r="C1397" s="22" t="str">
        <x:v>non-error</x:v>
      </x:c>
      <x:c r="D1397" s="22" t="str">
        <x:v>Scenario Results J22</x:v>
      </x:c>
      <x:c r="E1397" s="75" t="n">
        <x:f>IF(ISERROR('Scenario Results'!J22),0,1)</x:f>
        <x:v>1</x:v>
      </x:c>
      <x:c r="F1397" s="75" t="n">
        <x:v>1</x:v>
      </x:c>
      <x:c r="G1397" s="24" t="str">
        <x:f>IF(E1397=F1397,"PASS","FAIL")</x:f>
        <x:v>PASS</x:v>
      </x:c>
    </x:row>
    <x:row r="1398">
      <x:c r="B1398" s="22" t="str">
        <x:v>AC-1392</x:v>
      </x:c>
      <x:c r="C1398" s="22" t="str">
        <x:v>non-error</x:v>
      </x:c>
      <x:c r="D1398" s="22" t="str">
        <x:v>Scenario Results E23</x:v>
      </x:c>
      <x:c r="E1398" s="75" t="n">
        <x:f>IF(ISERROR('Scenario Results'!E23),0,1)</x:f>
        <x:v>1</x:v>
      </x:c>
      <x:c r="F1398" s="75" t="n">
        <x:v>1</x:v>
      </x:c>
      <x:c r="G1398" s="24" t="str">
        <x:f>IF(E1398=F1398,"PASS","FAIL")</x:f>
        <x:v>PASS</x:v>
      </x:c>
    </x:row>
    <x:row r="1399">
      <x:c r="B1399" s="22" t="str">
        <x:v>AC-1393</x:v>
      </x:c>
      <x:c r="C1399" s="22" t="str">
        <x:v>non-error</x:v>
      </x:c>
      <x:c r="D1399" s="22" t="str">
        <x:v>Scenario Results F23</x:v>
      </x:c>
      <x:c r="E1399" s="75" t="n">
        <x:f>IF(ISERROR('Scenario Results'!F23),0,1)</x:f>
        <x:v>1</x:v>
      </x:c>
      <x:c r="F1399" s="75" t="n">
        <x:v>1</x:v>
      </x:c>
      <x:c r="G1399" s="24" t="str">
        <x:f>IF(E1399=F1399,"PASS","FAIL")</x:f>
        <x:v>PASS</x:v>
      </x:c>
    </x:row>
    <x:row r="1400">
      <x:c r="B1400" s="22" t="str">
        <x:v>AC-1394</x:v>
      </x:c>
      <x:c r="C1400" s="22" t="str">
        <x:v>non-error</x:v>
      </x:c>
      <x:c r="D1400" s="22" t="str">
        <x:v>Scenario Results G23</x:v>
      </x:c>
      <x:c r="E1400" s="75" t="n">
        <x:f>IF(ISERROR('Scenario Results'!G23),0,1)</x:f>
        <x:v>1</x:v>
      </x:c>
      <x:c r="F1400" s="75" t="n">
        <x:v>1</x:v>
      </x:c>
      <x:c r="G1400" s="24" t="str">
        <x:f>IF(E1400=F1400,"PASS","FAIL")</x:f>
        <x:v>PASS</x:v>
      </x:c>
    </x:row>
    <x:row r="1401">
      <x:c r="B1401" s="22" t="str">
        <x:v>AC-1395</x:v>
      </x:c>
      <x:c r="C1401" s="22" t="str">
        <x:v>non-error</x:v>
      </x:c>
      <x:c r="D1401" s="22" t="str">
        <x:v>Scenario Results H23</x:v>
      </x:c>
      <x:c r="E1401" s="75" t="n">
        <x:f>IF(ISERROR('Scenario Results'!H23),0,1)</x:f>
        <x:v>1</x:v>
      </x:c>
      <x:c r="F1401" s="75" t="n">
        <x:v>1</x:v>
      </x:c>
      <x:c r="G1401" s="24" t="str">
        <x:f>IF(E1401=F1401,"PASS","FAIL")</x:f>
        <x:v>PASS</x:v>
      </x:c>
    </x:row>
    <x:row r="1402">
      <x:c r="B1402" s="22" t="str">
        <x:v>AC-1396</x:v>
      </x:c>
      <x:c r="C1402" s="22" t="str">
        <x:v>non-error</x:v>
      </x:c>
      <x:c r="D1402" s="22" t="str">
        <x:v>Scenario Results I23</x:v>
      </x:c>
      <x:c r="E1402" s="75" t="n">
        <x:f>IF(ISERROR('Scenario Results'!I23),0,1)</x:f>
        <x:v>1</x:v>
      </x:c>
      <x:c r="F1402" s="75" t="n">
        <x:v>1</x:v>
      </x:c>
      <x:c r="G1402" s="24" t="str">
        <x:f>IF(E1402=F1402,"PASS","FAIL")</x:f>
        <x:v>PASS</x:v>
      </x:c>
    </x:row>
    <x:row r="1403">
      <x:c r="B1403" s="22" t="str">
        <x:v>AC-1397</x:v>
      </x:c>
      <x:c r="C1403" s="22" t="str">
        <x:v>non-error</x:v>
      </x:c>
      <x:c r="D1403" s="22" t="str">
        <x:v>Scenario Results J23</x:v>
      </x:c>
      <x:c r="E1403" s="75" t="n">
        <x:f>IF(ISERROR('Scenario Results'!J23),0,1)</x:f>
        <x:v>1</x:v>
      </x:c>
      <x:c r="F1403" s="75" t="n">
        <x:v>1</x:v>
      </x:c>
      <x:c r="G1403" s="24" t="str">
        <x:f>IF(E1403=F1403,"PASS","FAIL")</x:f>
        <x:v>PASS</x:v>
      </x:c>
    </x:row>
    <x:row r="1404">
      <x:c r="B1404" s="22" t="str">
        <x:v>AC-1398</x:v>
      </x:c>
      <x:c r="C1404" s="22" t="str">
        <x:v>non-error</x:v>
      </x:c>
      <x:c r="D1404" s="22" t="str">
        <x:v>Scenario Results E24</x:v>
      </x:c>
      <x:c r="E1404" s="75" t="n">
        <x:f>IF(ISERROR('Scenario Results'!E24),0,1)</x:f>
        <x:v>1</x:v>
      </x:c>
      <x:c r="F1404" s="75" t="n">
        <x:v>1</x:v>
      </x:c>
      <x:c r="G1404" s="24" t="str">
        <x:f>IF(E1404=F1404,"PASS","FAIL")</x:f>
        <x:v>PASS</x:v>
      </x:c>
    </x:row>
    <x:row r="1405">
      <x:c r="B1405" s="22" t="str">
        <x:v>AC-1399</x:v>
      </x:c>
      <x:c r="C1405" s="22" t="str">
        <x:v>non-error</x:v>
      </x:c>
      <x:c r="D1405" s="22" t="str">
        <x:v>Scenario Results F24</x:v>
      </x:c>
      <x:c r="E1405" s="75" t="n">
        <x:f>IF(ISERROR('Scenario Results'!F24),0,1)</x:f>
        <x:v>1</x:v>
      </x:c>
      <x:c r="F1405" s="75" t="n">
        <x:v>1</x:v>
      </x:c>
      <x:c r="G1405" s="24" t="str">
        <x:f>IF(E1405=F1405,"PASS","FAIL")</x:f>
        <x:v>PASS</x:v>
      </x:c>
    </x:row>
    <x:row r="1406">
      <x:c r="B1406" s="22" t="str">
        <x:v>AC-1400</x:v>
      </x:c>
      <x:c r="C1406" s="22" t="str">
        <x:v>non-error</x:v>
      </x:c>
      <x:c r="D1406" s="22" t="str">
        <x:v>Scenario Results G24</x:v>
      </x:c>
      <x:c r="E1406" s="75" t="n">
        <x:f>IF(ISERROR('Scenario Results'!G24),0,1)</x:f>
        <x:v>1</x:v>
      </x:c>
      <x:c r="F1406" s="75" t="n">
        <x:v>1</x:v>
      </x:c>
      <x:c r="G1406" s="24" t="str">
        <x:f>IF(E1406=F1406,"PASS","FAIL")</x:f>
        <x:v>PASS</x:v>
      </x:c>
    </x:row>
    <x:row r="1407">
      <x:c r="B1407" s="22" t="str">
        <x:v>AC-1401</x:v>
      </x:c>
      <x:c r="C1407" s="22" t="str">
        <x:v>non-error</x:v>
      </x:c>
      <x:c r="D1407" s="22" t="str">
        <x:v>Scenario Results H24</x:v>
      </x:c>
      <x:c r="E1407" s="75" t="n">
        <x:f>IF(ISERROR('Scenario Results'!H24),0,1)</x:f>
        <x:v>1</x:v>
      </x:c>
      <x:c r="F1407" s="75" t="n">
        <x:v>1</x:v>
      </x:c>
      <x:c r="G1407" s="24" t="str">
        <x:f>IF(E1407=F1407,"PASS","FAIL")</x:f>
        <x:v>PASS</x:v>
      </x:c>
    </x:row>
    <x:row r="1408">
      <x:c r="B1408" s="22" t="str">
        <x:v>AC-1402</x:v>
      </x:c>
      <x:c r="C1408" s="22" t="str">
        <x:v>non-error</x:v>
      </x:c>
      <x:c r="D1408" s="22" t="str">
        <x:v>Scenario Results I24</x:v>
      </x:c>
      <x:c r="E1408" s="75" t="n">
        <x:f>IF(ISERROR('Scenario Results'!I24),0,1)</x:f>
        <x:v>1</x:v>
      </x:c>
      <x:c r="F1408" s="75" t="n">
        <x:v>1</x:v>
      </x:c>
      <x:c r="G1408" s="24" t="str">
        <x:f>IF(E1408=F1408,"PASS","FAIL")</x:f>
        <x:v>PASS</x:v>
      </x:c>
    </x:row>
    <x:row r="1409">
      <x:c r="B1409" s="22" t="str">
        <x:v>AC-1403</x:v>
      </x:c>
      <x:c r="C1409" s="22" t="str">
        <x:v>non-error</x:v>
      </x:c>
      <x:c r="D1409" s="22" t="str">
        <x:v>Scenario Results J24</x:v>
      </x:c>
      <x:c r="E1409" s="75" t="n">
        <x:f>IF(ISERROR('Scenario Results'!J24),0,1)</x:f>
        <x:v>1</x:v>
      </x:c>
      <x:c r="F1409" s="75" t="n">
        <x:v>1</x:v>
      </x:c>
      <x:c r="G1409" s="24" t="str">
        <x:f>IF(E1409=F1409,"PASS","FAIL")</x:f>
        <x:v>PASS</x:v>
      </x:c>
    </x:row>
    <x:row r="1410">
      <x:c r="B1410" s="22" t="str">
        <x:v>AC-1404</x:v>
      </x:c>
      <x:c r="C1410" s="22" t="str">
        <x:v>non-error</x:v>
      </x:c>
      <x:c r="D1410" s="22" t="str">
        <x:v>Scenario Results E25</x:v>
      </x:c>
      <x:c r="E1410" s="75" t="n">
        <x:f>IF(ISERROR('Scenario Results'!E25),0,1)</x:f>
        <x:v>1</x:v>
      </x:c>
      <x:c r="F1410" s="75" t="n">
        <x:v>1</x:v>
      </x:c>
      <x:c r="G1410" s="24" t="str">
        <x:f>IF(E1410=F1410,"PASS","FAIL")</x:f>
        <x:v>PASS</x:v>
      </x:c>
    </x:row>
    <x:row r="1411">
      <x:c r="B1411" s="22" t="str">
        <x:v>AC-1405</x:v>
      </x:c>
      <x:c r="C1411" s="22" t="str">
        <x:v>non-error</x:v>
      </x:c>
      <x:c r="D1411" s="22" t="str">
        <x:v>Scenario Results F25</x:v>
      </x:c>
      <x:c r="E1411" s="75" t="n">
        <x:f>IF(ISERROR('Scenario Results'!F25),0,1)</x:f>
        <x:v>1</x:v>
      </x:c>
      <x:c r="F1411" s="75" t="n">
        <x:v>1</x:v>
      </x:c>
      <x:c r="G1411" s="24" t="str">
        <x:f>IF(E1411=F1411,"PASS","FAIL")</x:f>
        <x:v>PASS</x:v>
      </x:c>
    </x:row>
    <x:row r="1412">
      <x:c r="B1412" s="22" t="str">
        <x:v>AC-1406</x:v>
      </x:c>
      <x:c r="C1412" s="22" t="str">
        <x:v>non-error</x:v>
      </x:c>
      <x:c r="D1412" s="22" t="str">
        <x:v>Scenario Results G25</x:v>
      </x:c>
      <x:c r="E1412" s="75" t="n">
        <x:f>IF(ISERROR('Scenario Results'!G25),0,1)</x:f>
        <x:v>1</x:v>
      </x:c>
      <x:c r="F1412" s="75" t="n">
        <x:v>1</x:v>
      </x:c>
      <x:c r="G1412" s="24" t="str">
        <x:f>IF(E1412=F1412,"PASS","FAIL")</x:f>
        <x:v>PASS</x:v>
      </x:c>
    </x:row>
    <x:row r="1413">
      <x:c r="B1413" s="22" t="str">
        <x:v>AC-1407</x:v>
      </x:c>
      <x:c r="C1413" s="22" t="str">
        <x:v>non-error</x:v>
      </x:c>
      <x:c r="D1413" s="22" t="str">
        <x:v>Scenario Results H25</x:v>
      </x:c>
      <x:c r="E1413" s="75" t="n">
        <x:f>IF(ISERROR('Scenario Results'!H25),0,1)</x:f>
        <x:v>1</x:v>
      </x:c>
      <x:c r="F1413" s="75" t="n">
        <x:v>1</x:v>
      </x:c>
      <x:c r="G1413" s="24" t="str">
        <x:f>IF(E1413=F1413,"PASS","FAIL")</x:f>
        <x:v>PASS</x:v>
      </x:c>
    </x:row>
    <x:row r="1414">
      <x:c r="B1414" s="22" t="str">
        <x:v>AC-1408</x:v>
      </x:c>
      <x:c r="C1414" s="22" t="str">
        <x:v>non-error</x:v>
      </x:c>
      <x:c r="D1414" s="22" t="str">
        <x:v>Scenario Results I25</x:v>
      </x:c>
      <x:c r="E1414" s="75" t="n">
        <x:f>IF(ISERROR('Scenario Results'!I25),0,1)</x:f>
        <x:v>1</x:v>
      </x:c>
      <x:c r="F1414" s="75" t="n">
        <x:v>1</x:v>
      </x:c>
      <x:c r="G1414" s="24" t="str">
        <x:f>IF(E1414=F1414,"PASS","FAIL")</x:f>
        <x:v>PASS</x:v>
      </x:c>
    </x:row>
    <x:row r="1415">
      <x:c r="B1415" s="22" t="str">
        <x:v>AC-1409</x:v>
      </x:c>
      <x:c r="C1415" s="22" t="str">
        <x:v>non-error</x:v>
      </x:c>
      <x:c r="D1415" s="22" t="str">
        <x:v>Scenario Results J25</x:v>
      </x:c>
      <x:c r="E1415" s="75" t="n">
        <x:f>IF(ISERROR('Scenario Results'!J25),0,1)</x:f>
        <x:v>1</x:v>
      </x:c>
      <x:c r="F1415" s="75" t="n">
        <x:v>1</x:v>
      </x:c>
      <x:c r="G1415" s="24" t="str">
        <x:f>IF(E1415=F1415,"PASS","FAIL")</x:f>
        <x:v>PASS</x:v>
      </x:c>
    </x:row>
    <x:row r="1416">
      <x:c r="B1416" s="22" t="str">
        <x:v>AC-1410</x:v>
      </x:c>
      <x:c r="C1416" s="22" t="str">
        <x:v>non-error</x:v>
      </x:c>
      <x:c r="D1416" s="22" t="str">
        <x:v>Scenario Results E26</x:v>
      </x:c>
      <x:c r="E1416" s="75" t="n">
        <x:f>IF(ISERROR('Scenario Results'!E26),0,1)</x:f>
        <x:v>1</x:v>
      </x:c>
      <x:c r="F1416" s="75" t="n">
        <x:v>1</x:v>
      </x:c>
      <x:c r="G1416" s="24" t="str">
        <x:f>IF(E1416=F1416,"PASS","FAIL")</x:f>
        <x:v>PASS</x:v>
      </x:c>
    </x:row>
    <x:row r="1417">
      <x:c r="B1417" s="22" t="str">
        <x:v>AC-1411</x:v>
      </x:c>
      <x:c r="C1417" s="22" t="str">
        <x:v>non-error</x:v>
      </x:c>
      <x:c r="D1417" s="22" t="str">
        <x:v>Scenario Results F26</x:v>
      </x:c>
      <x:c r="E1417" s="75" t="n">
        <x:f>IF(ISERROR('Scenario Results'!F26),0,1)</x:f>
        <x:v>1</x:v>
      </x:c>
      <x:c r="F1417" s="75" t="n">
        <x:v>1</x:v>
      </x:c>
      <x:c r="G1417" s="24" t="str">
        <x:f>IF(E1417=F1417,"PASS","FAIL")</x:f>
        <x:v>PASS</x:v>
      </x:c>
    </x:row>
    <x:row r="1418">
      <x:c r="B1418" s="22" t="str">
        <x:v>AC-1412</x:v>
      </x:c>
      <x:c r="C1418" s="22" t="str">
        <x:v>non-error</x:v>
      </x:c>
      <x:c r="D1418" s="22" t="str">
        <x:v>Scenario Results G26</x:v>
      </x:c>
      <x:c r="E1418" s="75" t="n">
        <x:f>IF(ISERROR('Scenario Results'!G26),0,1)</x:f>
        <x:v>1</x:v>
      </x:c>
      <x:c r="F1418" s="75" t="n">
        <x:v>1</x:v>
      </x:c>
      <x:c r="G1418" s="24" t="str">
        <x:f>IF(E1418=F1418,"PASS","FAIL")</x:f>
        <x:v>PASS</x:v>
      </x:c>
    </x:row>
    <x:row r="1419">
      <x:c r="B1419" s="22" t="str">
        <x:v>AC-1413</x:v>
      </x:c>
      <x:c r="C1419" s="22" t="str">
        <x:v>non-error</x:v>
      </x:c>
      <x:c r="D1419" s="22" t="str">
        <x:v>Scenario Results H26</x:v>
      </x:c>
      <x:c r="E1419" s="75" t="n">
        <x:f>IF(ISERROR('Scenario Results'!H26),0,1)</x:f>
        <x:v>1</x:v>
      </x:c>
      <x:c r="F1419" s="75" t="n">
        <x:v>1</x:v>
      </x:c>
      <x:c r="G1419" s="24" t="str">
        <x:f>IF(E1419=F1419,"PASS","FAIL")</x:f>
        <x:v>PASS</x:v>
      </x:c>
    </x:row>
    <x:row r="1420">
      <x:c r="B1420" s="22" t="str">
        <x:v>AC-1414</x:v>
      </x:c>
      <x:c r="C1420" s="22" t="str">
        <x:v>non-error</x:v>
      </x:c>
      <x:c r="D1420" s="22" t="str">
        <x:v>Scenario Results I26</x:v>
      </x:c>
      <x:c r="E1420" s="75" t="n">
        <x:f>IF(ISERROR('Scenario Results'!I26),0,1)</x:f>
        <x:v>1</x:v>
      </x:c>
      <x:c r="F1420" s="75" t="n">
        <x:v>1</x:v>
      </x:c>
      <x:c r="G1420" s="24" t="str">
        <x:f>IF(E1420=F1420,"PASS","FAIL")</x:f>
        <x:v>PASS</x:v>
      </x:c>
    </x:row>
    <x:row r="1421">
      <x:c r="B1421" s="22" t="str">
        <x:v>AC-1415</x:v>
      </x:c>
      <x:c r="C1421" s="22" t="str">
        <x:v>non-error</x:v>
      </x:c>
      <x:c r="D1421" s="22" t="str">
        <x:v>Scenario Results J26</x:v>
      </x:c>
      <x:c r="E1421" s="75" t="n">
        <x:f>IF(ISERROR('Scenario Results'!J26),0,1)</x:f>
        <x:v>1</x:v>
      </x:c>
      <x:c r="F1421" s="75" t="n">
        <x:v>1</x:v>
      </x:c>
      <x:c r="G1421" s="24" t="str">
        <x:f>IF(E1421=F1421,"PASS","FAIL")</x:f>
        <x:v>PASS</x:v>
      </x:c>
    </x:row>
    <x:row r="1422">
      <x:c r="B1422" s="22" t="str">
        <x:v>AC-1416</x:v>
      </x:c>
      <x:c r="C1422" s="22" t="str">
        <x:v>non-error</x:v>
      </x:c>
      <x:c r="D1422" s="22" t="str">
        <x:v>Scenario Results E27</x:v>
      </x:c>
      <x:c r="E1422" s="75" t="n">
        <x:f>IF(ISERROR('Scenario Results'!E27),0,1)</x:f>
        <x:v>1</x:v>
      </x:c>
      <x:c r="F1422" s="75" t="n">
        <x:v>1</x:v>
      </x:c>
      <x:c r="G1422" s="24" t="str">
        <x:f>IF(E1422=F1422,"PASS","FAIL")</x:f>
        <x:v>PASS</x:v>
      </x:c>
    </x:row>
    <x:row r="1423">
      <x:c r="B1423" s="22" t="str">
        <x:v>AC-1417</x:v>
      </x:c>
      <x:c r="C1423" s="22" t="str">
        <x:v>non-error</x:v>
      </x:c>
      <x:c r="D1423" s="22" t="str">
        <x:v>Scenario Results F27</x:v>
      </x:c>
      <x:c r="E1423" s="75" t="n">
        <x:f>IF(ISERROR('Scenario Results'!F27),0,1)</x:f>
        <x:v>1</x:v>
      </x:c>
      <x:c r="F1423" s="75" t="n">
        <x:v>1</x:v>
      </x:c>
      <x:c r="G1423" s="24" t="str">
        <x:f>IF(E1423=F1423,"PASS","FAIL")</x:f>
        <x:v>PASS</x:v>
      </x:c>
    </x:row>
    <x:row r="1424">
      <x:c r="B1424" s="22" t="str">
        <x:v>AC-1418</x:v>
      </x:c>
      <x:c r="C1424" s="22" t="str">
        <x:v>non-error</x:v>
      </x:c>
      <x:c r="D1424" s="22" t="str">
        <x:v>Scenario Results G27</x:v>
      </x:c>
      <x:c r="E1424" s="75" t="n">
        <x:f>IF(ISERROR('Scenario Results'!G27),0,1)</x:f>
        <x:v>1</x:v>
      </x:c>
      <x:c r="F1424" s="75" t="n">
        <x:v>1</x:v>
      </x:c>
      <x:c r="G1424" s="24" t="str">
        <x:f>IF(E1424=F1424,"PASS","FAIL")</x:f>
        <x:v>PASS</x:v>
      </x:c>
    </x:row>
    <x:row r="1425">
      <x:c r="B1425" s="22" t="str">
        <x:v>AC-1419</x:v>
      </x:c>
      <x:c r="C1425" s="22" t="str">
        <x:v>non-error</x:v>
      </x:c>
      <x:c r="D1425" s="22" t="str">
        <x:v>Scenario Results H27</x:v>
      </x:c>
      <x:c r="E1425" s="75" t="n">
        <x:f>IF(ISERROR('Scenario Results'!H27),0,1)</x:f>
        <x:v>1</x:v>
      </x:c>
      <x:c r="F1425" s="75" t="n">
        <x:v>1</x:v>
      </x:c>
      <x:c r="G1425" s="24" t="str">
        <x:f>IF(E1425=F1425,"PASS","FAIL")</x:f>
        <x:v>PASS</x:v>
      </x:c>
    </x:row>
    <x:row r="1426">
      <x:c r="B1426" s="22" t="str">
        <x:v>AC-1420</x:v>
      </x:c>
      <x:c r="C1426" s="22" t="str">
        <x:v>non-error</x:v>
      </x:c>
      <x:c r="D1426" s="22" t="str">
        <x:v>Scenario Results I27</x:v>
      </x:c>
      <x:c r="E1426" s="75" t="n">
        <x:f>IF(ISERROR('Scenario Results'!I27),0,1)</x:f>
        <x:v>1</x:v>
      </x:c>
      <x:c r="F1426" s="75" t="n">
        <x:v>1</x:v>
      </x:c>
      <x:c r="G1426" s="24" t="str">
        <x:f>IF(E1426=F1426,"PASS","FAIL")</x:f>
        <x:v>PASS</x:v>
      </x:c>
    </x:row>
    <x:row r="1427">
      <x:c r="B1427" s="22" t="str">
        <x:v>AC-1421</x:v>
      </x:c>
      <x:c r="C1427" s="22" t="str">
        <x:v>non-error</x:v>
      </x:c>
      <x:c r="D1427" s="22" t="str">
        <x:v>Scenario Results J27</x:v>
      </x:c>
      <x:c r="E1427" s="75" t="n">
        <x:f>IF(ISERROR('Scenario Results'!J27),0,1)</x:f>
        <x:v>1</x:v>
      </x:c>
      <x:c r="F1427" s="75" t="n">
        <x:v>1</x:v>
      </x:c>
      <x:c r="G1427" s="24" t="str">
        <x:f>IF(E1427=F1427,"PASS","FAIL")</x:f>
        <x:v>PASS</x:v>
      </x:c>
    </x:row>
    <x:row r="1428">
      <x:c r="B1428" s="22" t="str">
        <x:v>AC-1422</x:v>
      </x:c>
      <x:c r="C1428" s="22" t="str">
        <x:v>non-error</x:v>
      </x:c>
      <x:c r="D1428" s="22" t="str">
        <x:v>Scenario Results E28</x:v>
      </x:c>
      <x:c r="E1428" s="75" t="n">
        <x:f>IF(ISERROR('Scenario Results'!E28),0,1)</x:f>
        <x:v>1</x:v>
      </x:c>
      <x:c r="F1428" s="75" t="n">
        <x:v>1</x:v>
      </x:c>
      <x:c r="G1428" s="24" t="str">
        <x:f>IF(E1428=F1428,"PASS","FAIL")</x:f>
        <x:v>PASS</x:v>
      </x:c>
    </x:row>
    <x:row r="1429">
      <x:c r="B1429" s="22" t="str">
        <x:v>AC-1423</x:v>
      </x:c>
      <x:c r="C1429" s="22" t="str">
        <x:v>non-error</x:v>
      </x:c>
      <x:c r="D1429" s="22" t="str">
        <x:v>Scenario Results F28</x:v>
      </x:c>
      <x:c r="E1429" s="75" t="n">
        <x:f>IF(ISERROR('Scenario Results'!F28),0,1)</x:f>
        <x:v>1</x:v>
      </x:c>
      <x:c r="F1429" s="75" t="n">
        <x:v>1</x:v>
      </x:c>
      <x:c r="G1429" s="24" t="str">
        <x:f>IF(E1429=F1429,"PASS","FAIL")</x:f>
        <x:v>PASS</x:v>
      </x:c>
    </x:row>
    <x:row r="1430">
      <x:c r="B1430" s="22" t="str">
        <x:v>AC-1424</x:v>
      </x:c>
      <x:c r="C1430" s="22" t="str">
        <x:v>non-error</x:v>
      </x:c>
      <x:c r="D1430" s="22" t="str">
        <x:v>Scenario Results G28</x:v>
      </x:c>
      <x:c r="E1430" s="75" t="n">
        <x:f>IF(ISERROR('Scenario Results'!G28),0,1)</x:f>
        <x:v>1</x:v>
      </x:c>
      <x:c r="F1430" s="75" t="n">
        <x:v>1</x:v>
      </x:c>
      <x:c r="G1430" s="24" t="str">
        <x:f>IF(E1430=F1430,"PASS","FAIL")</x:f>
        <x:v>PASS</x:v>
      </x:c>
    </x:row>
    <x:row r="1431">
      <x:c r="B1431" s="22" t="str">
        <x:v>AC-1425</x:v>
      </x:c>
      <x:c r="C1431" s="22" t="str">
        <x:v>non-error</x:v>
      </x:c>
      <x:c r="D1431" s="22" t="str">
        <x:v>Scenario Results H28</x:v>
      </x:c>
      <x:c r="E1431" s="75" t="n">
        <x:f>IF(ISERROR('Scenario Results'!H28),0,1)</x:f>
        <x:v>1</x:v>
      </x:c>
      <x:c r="F1431" s="75" t="n">
        <x:v>1</x:v>
      </x:c>
      <x:c r="G1431" s="24" t="str">
        <x:f>IF(E1431=F1431,"PASS","FAIL")</x:f>
        <x:v>PASS</x:v>
      </x:c>
    </x:row>
    <x:row r="1432">
      <x:c r="B1432" s="22" t="str">
        <x:v>AC-1426</x:v>
      </x:c>
      <x:c r="C1432" s="22" t="str">
        <x:v>non-error</x:v>
      </x:c>
      <x:c r="D1432" s="22" t="str">
        <x:v>Scenario Results I28</x:v>
      </x:c>
      <x:c r="E1432" s="75" t="n">
        <x:f>IF(ISERROR('Scenario Results'!I28),0,1)</x:f>
        <x:v>1</x:v>
      </x:c>
      <x:c r="F1432" s="75" t="n">
        <x:v>1</x:v>
      </x:c>
      <x:c r="G1432" s="24" t="str">
        <x:f>IF(E1432=F1432,"PASS","FAIL")</x:f>
        <x:v>PASS</x:v>
      </x:c>
    </x:row>
    <x:row r="1433">
      <x:c r="B1433" s="22" t="str">
        <x:v>AC-1427</x:v>
      </x:c>
      <x:c r="C1433" s="22" t="str">
        <x:v>non-error</x:v>
      </x:c>
      <x:c r="D1433" s="22" t="str">
        <x:v>Scenario Results J28</x:v>
      </x:c>
      <x:c r="E1433" s="75" t="n">
        <x:f>IF(ISERROR('Scenario Results'!J28),0,1)</x:f>
        <x:v>1</x:v>
      </x:c>
      <x:c r="F1433" s="75" t="n">
        <x:v>1</x:v>
      </x:c>
      <x:c r="G1433" s="24" t="str">
        <x:f>IF(E1433=F1433,"PASS","FAIL")</x:f>
        <x:v>PASS</x:v>
      </x:c>
    </x:row>
    <x:row r="1434">
      <x:c r="B1434" s="22" t="str">
        <x:v>AC-1428</x:v>
      </x:c>
      <x:c r="C1434" s="22" t="str">
        <x:v>non-error</x:v>
      </x:c>
      <x:c r="D1434" s="22" t="str">
        <x:v>Scenario Results E29</x:v>
      </x:c>
      <x:c r="E1434" s="75" t="n">
        <x:f>IF(ISERROR('Scenario Results'!E29),0,1)</x:f>
        <x:v>1</x:v>
      </x:c>
      <x:c r="F1434" s="75" t="n">
        <x:v>1</x:v>
      </x:c>
      <x:c r="G1434" s="24" t="str">
        <x:f>IF(E1434=F1434,"PASS","FAIL")</x:f>
        <x:v>PASS</x:v>
      </x:c>
    </x:row>
    <x:row r="1435">
      <x:c r="B1435" s="22" t="str">
        <x:v>AC-1429</x:v>
      </x:c>
      <x:c r="C1435" s="22" t="str">
        <x:v>non-error</x:v>
      </x:c>
      <x:c r="D1435" s="22" t="str">
        <x:v>Scenario Results F29</x:v>
      </x:c>
      <x:c r="E1435" s="75" t="n">
        <x:f>IF(ISERROR('Scenario Results'!F29),0,1)</x:f>
        <x:v>1</x:v>
      </x:c>
      <x:c r="F1435" s="75" t="n">
        <x:v>1</x:v>
      </x:c>
      <x:c r="G1435" s="24" t="str">
        <x:f>IF(E1435=F1435,"PASS","FAIL")</x:f>
        <x:v>PASS</x:v>
      </x:c>
    </x:row>
    <x:row r="1436">
      <x:c r="B1436" s="22" t="str">
        <x:v>AC-1430</x:v>
      </x:c>
      <x:c r="C1436" s="22" t="str">
        <x:v>non-error</x:v>
      </x:c>
      <x:c r="D1436" s="22" t="str">
        <x:v>Scenario Results G29</x:v>
      </x:c>
      <x:c r="E1436" s="75" t="n">
        <x:f>IF(ISERROR('Scenario Results'!G29),0,1)</x:f>
        <x:v>1</x:v>
      </x:c>
      <x:c r="F1436" s="75" t="n">
        <x:v>1</x:v>
      </x:c>
      <x:c r="G1436" s="24" t="str">
        <x:f>IF(E1436=F1436,"PASS","FAIL")</x:f>
        <x:v>PASS</x:v>
      </x:c>
    </x:row>
    <x:row r="1437">
      <x:c r="B1437" s="22" t="str">
        <x:v>AC-1431</x:v>
      </x:c>
      <x:c r="C1437" s="22" t="str">
        <x:v>non-error</x:v>
      </x:c>
      <x:c r="D1437" s="22" t="str">
        <x:v>Scenario Results H29</x:v>
      </x:c>
      <x:c r="E1437" s="75" t="n">
        <x:f>IF(ISERROR('Scenario Results'!H29),0,1)</x:f>
        <x:v>1</x:v>
      </x:c>
      <x:c r="F1437" s="75" t="n">
        <x:v>1</x:v>
      </x:c>
      <x:c r="G1437" s="24" t="str">
        <x:f>IF(E1437=F1437,"PASS","FAIL")</x:f>
        <x:v>PASS</x:v>
      </x:c>
    </x:row>
    <x:row r="1438">
      <x:c r="B1438" s="22" t="str">
        <x:v>AC-1432</x:v>
      </x:c>
      <x:c r="C1438" s="22" t="str">
        <x:v>non-error</x:v>
      </x:c>
      <x:c r="D1438" s="22" t="str">
        <x:v>Scenario Results I29</x:v>
      </x:c>
      <x:c r="E1438" s="75" t="n">
        <x:f>IF(ISERROR('Scenario Results'!I29),0,1)</x:f>
        <x:v>1</x:v>
      </x:c>
      <x:c r="F1438" s="75" t="n">
        <x:v>1</x:v>
      </x:c>
      <x:c r="G1438" s="24" t="str">
        <x:f>IF(E1438=F1438,"PASS","FAIL")</x:f>
        <x:v>PASS</x:v>
      </x:c>
    </x:row>
    <x:row r="1439">
      <x:c r="B1439" s="22" t="str">
        <x:v>AC-1433</x:v>
      </x:c>
      <x:c r="C1439" s="22" t="str">
        <x:v>non-error</x:v>
      </x:c>
      <x:c r="D1439" s="22" t="str">
        <x:v>Scenario Results J29</x:v>
      </x:c>
      <x:c r="E1439" s="75" t="n">
        <x:f>IF(ISERROR('Scenario Results'!J29),0,1)</x:f>
        <x:v>1</x:v>
      </x:c>
      <x:c r="F1439" s="75" t="n">
        <x:v>1</x:v>
      </x:c>
      <x:c r="G1439" s="24" t="str">
        <x:f>IF(E1439=F1439,"PASS","FAIL")</x:f>
        <x:v>PASS</x:v>
      </x:c>
    </x:row>
    <x:row r="1440">
      <x:c r="B1440" s="22" t="str">
        <x:v>AC-1434</x:v>
      </x:c>
      <x:c r="C1440" s="22" t="str">
        <x:v>non-error</x:v>
      </x:c>
      <x:c r="D1440" s="22" t="str">
        <x:v>Scenario Results E30</x:v>
      </x:c>
      <x:c r="E1440" s="75" t="n">
        <x:f>IF(ISERROR('Scenario Results'!E30),0,1)</x:f>
        <x:v>1</x:v>
      </x:c>
      <x:c r="F1440" s="75" t="n">
        <x:v>1</x:v>
      </x:c>
      <x:c r="G1440" s="24" t="str">
        <x:f>IF(E1440=F1440,"PASS","FAIL")</x:f>
        <x:v>PASS</x:v>
      </x:c>
    </x:row>
    <x:row r="1441">
      <x:c r="B1441" s="22" t="str">
        <x:v>AC-1435</x:v>
      </x:c>
      <x:c r="C1441" s="22" t="str">
        <x:v>non-error</x:v>
      </x:c>
      <x:c r="D1441" s="22" t="str">
        <x:v>Scenario Results F30</x:v>
      </x:c>
      <x:c r="E1441" s="75" t="n">
        <x:f>IF(ISERROR('Scenario Results'!F30),0,1)</x:f>
        <x:v>1</x:v>
      </x:c>
      <x:c r="F1441" s="75" t="n">
        <x:v>1</x:v>
      </x:c>
      <x:c r="G1441" s="24" t="str">
        <x:f>IF(E1441=F1441,"PASS","FAIL")</x:f>
        <x:v>PASS</x:v>
      </x:c>
    </x:row>
    <x:row r="1442">
      <x:c r="B1442" s="22" t="str">
        <x:v>AC-1436</x:v>
      </x:c>
      <x:c r="C1442" s="22" t="str">
        <x:v>non-error</x:v>
      </x:c>
      <x:c r="D1442" s="22" t="str">
        <x:v>Scenario Results G30</x:v>
      </x:c>
      <x:c r="E1442" s="75" t="n">
        <x:f>IF(ISERROR('Scenario Results'!G30),0,1)</x:f>
        <x:v>1</x:v>
      </x:c>
      <x:c r="F1442" s="75" t="n">
        <x:v>1</x:v>
      </x:c>
      <x:c r="G1442" s="24" t="str">
        <x:f>IF(E1442=F1442,"PASS","FAIL")</x:f>
        <x:v>PASS</x:v>
      </x:c>
    </x:row>
    <x:row r="1443">
      <x:c r="B1443" s="22" t="str">
        <x:v>AC-1437</x:v>
      </x:c>
      <x:c r="C1443" s="22" t="str">
        <x:v>non-error</x:v>
      </x:c>
      <x:c r="D1443" s="22" t="str">
        <x:v>Scenario Results H30</x:v>
      </x:c>
      <x:c r="E1443" s="75" t="n">
        <x:f>IF(ISERROR('Scenario Results'!H30),0,1)</x:f>
        <x:v>1</x:v>
      </x:c>
      <x:c r="F1443" s="75" t="n">
        <x:v>1</x:v>
      </x:c>
      <x:c r="G1443" s="24" t="str">
        <x:f>IF(E1443=F1443,"PASS","FAIL")</x:f>
        <x:v>PASS</x:v>
      </x:c>
    </x:row>
    <x:row r="1444">
      <x:c r="B1444" s="22" t="str">
        <x:v>AC-1438</x:v>
      </x:c>
      <x:c r="C1444" s="22" t="str">
        <x:v>non-error</x:v>
      </x:c>
      <x:c r="D1444" s="22" t="str">
        <x:v>Scenario Results I30</x:v>
      </x:c>
      <x:c r="E1444" s="75" t="n">
        <x:f>IF(ISERROR('Scenario Results'!I30),0,1)</x:f>
        <x:v>1</x:v>
      </x:c>
      <x:c r="F1444" s="75" t="n">
        <x:v>1</x:v>
      </x:c>
      <x:c r="G1444" s="24" t="str">
        <x:f>IF(E1444=F1444,"PASS","FAIL")</x:f>
        <x:v>PASS</x:v>
      </x:c>
    </x:row>
    <x:row r="1445">
      <x:c r="B1445" s="22" t="str">
        <x:v>AC-1439</x:v>
      </x:c>
      <x:c r="C1445" s="22" t="str">
        <x:v>non-error</x:v>
      </x:c>
      <x:c r="D1445" s="22" t="str">
        <x:v>Scenario Results J30</x:v>
      </x:c>
      <x:c r="E1445" s="75" t="n">
        <x:f>IF(ISERROR('Scenario Results'!J30),0,1)</x:f>
        <x:v>1</x:v>
      </x:c>
      <x:c r="F1445" s="75" t="n">
        <x:v>1</x:v>
      </x:c>
      <x:c r="G1445" s="24" t="str">
        <x:f>IF(E1445=F1445,"PASS","FAIL")</x:f>
        <x:v>PASS</x:v>
      </x:c>
    </x:row>
    <x:row r="1446">
      <x:c r="B1446" s="22" t="str">
        <x:v>AC-1440</x:v>
      </x:c>
      <x:c r="C1446" s="22" t="str">
        <x:v>non-error</x:v>
      </x:c>
      <x:c r="D1446" s="22" t="str">
        <x:v>Scenario Results E31</x:v>
      </x:c>
      <x:c r="E1446" s="75" t="n">
        <x:f>IF(ISERROR('Scenario Results'!E31),0,1)</x:f>
        <x:v>1</x:v>
      </x:c>
      <x:c r="F1446" s="75" t="n">
        <x:v>1</x:v>
      </x:c>
      <x:c r="G1446" s="24" t="str">
        <x:f>IF(E1446=F1446,"PASS","FAIL")</x:f>
        <x:v>PASS</x:v>
      </x:c>
    </x:row>
    <x:row r="1447">
      <x:c r="B1447" s="22" t="str">
        <x:v>AC-1441</x:v>
      </x:c>
      <x:c r="C1447" s="22" t="str">
        <x:v>non-error</x:v>
      </x:c>
      <x:c r="D1447" s="22" t="str">
        <x:v>Scenario Results F31</x:v>
      </x:c>
      <x:c r="E1447" s="75" t="n">
        <x:f>IF(ISERROR('Scenario Results'!F31),0,1)</x:f>
        <x:v>1</x:v>
      </x:c>
      <x:c r="F1447" s="75" t="n">
        <x:v>1</x:v>
      </x:c>
      <x:c r="G1447" s="24" t="str">
        <x:f>IF(E1447=F1447,"PASS","FAIL")</x:f>
        <x:v>PASS</x:v>
      </x:c>
    </x:row>
    <x:row r="1448">
      <x:c r="B1448" s="22" t="str">
        <x:v>AC-1442</x:v>
      </x:c>
      <x:c r="C1448" s="22" t="str">
        <x:v>non-error</x:v>
      </x:c>
      <x:c r="D1448" s="22" t="str">
        <x:v>Scenario Results G31</x:v>
      </x:c>
      <x:c r="E1448" s="75" t="n">
        <x:f>IF(ISERROR('Scenario Results'!G31),0,1)</x:f>
        <x:v>1</x:v>
      </x:c>
      <x:c r="F1448" s="75" t="n">
        <x:v>1</x:v>
      </x:c>
      <x:c r="G1448" s="24" t="str">
        <x:f>IF(E1448=F1448,"PASS","FAIL")</x:f>
        <x:v>PASS</x:v>
      </x:c>
    </x:row>
    <x:row r="1449">
      <x:c r="B1449" s="22" t="str">
        <x:v>AC-1443</x:v>
      </x:c>
      <x:c r="C1449" s="22" t="str">
        <x:v>non-error</x:v>
      </x:c>
      <x:c r="D1449" s="22" t="str">
        <x:v>Scenario Results H31</x:v>
      </x:c>
      <x:c r="E1449" s="75" t="n">
        <x:f>IF(ISERROR('Scenario Results'!H31),0,1)</x:f>
        <x:v>1</x:v>
      </x:c>
      <x:c r="F1449" s="75" t="n">
        <x:v>1</x:v>
      </x:c>
      <x:c r="G1449" s="24" t="str">
        <x:f>IF(E1449=F1449,"PASS","FAIL")</x:f>
        <x:v>PASS</x:v>
      </x:c>
    </x:row>
    <x:row r="1450">
      <x:c r="B1450" s="22" t="str">
        <x:v>AC-1444</x:v>
      </x:c>
      <x:c r="C1450" s="22" t="str">
        <x:v>non-error</x:v>
      </x:c>
      <x:c r="D1450" s="22" t="str">
        <x:v>Scenario Results I31</x:v>
      </x:c>
      <x:c r="E1450" s="75" t="n">
        <x:f>IF(ISERROR('Scenario Results'!I31),0,1)</x:f>
        <x:v>1</x:v>
      </x:c>
      <x:c r="F1450" s="75" t="n">
        <x:v>1</x:v>
      </x:c>
      <x:c r="G1450" s="24" t="str">
        <x:f>IF(E1450=F1450,"PASS","FAIL")</x:f>
        <x:v>PASS</x:v>
      </x:c>
    </x:row>
    <x:row r="1451">
      <x:c r="B1451" s="22" t="str">
        <x:v>AC-1445</x:v>
      </x:c>
      <x:c r="C1451" s="22" t="str">
        <x:v>non-error</x:v>
      </x:c>
      <x:c r="D1451" s="22" t="str">
        <x:v>Scenario Results J31</x:v>
      </x:c>
      <x:c r="E1451" s="75" t="n">
        <x:f>IF(ISERROR('Scenario Results'!J31),0,1)</x:f>
        <x:v>1</x:v>
      </x:c>
      <x:c r="F1451" s="75" t="n">
        <x:v>1</x:v>
      </x:c>
      <x:c r="G1451" s="24" t="str">
        <x:f>IF(E1451=F1451,"PASS","FAIL")</x:f>
        <x:v>PASS</x:v>
      </x:c>
    </x:row>
    <x:row r="1452">
      <x:c r="B1452" s="22" t="str">
        <x:v>AC-1446</x:v>
      </x:c>
      <x:c r="C1452" s="22" t="str">
        <x:v>non-error</x:v>
      </x:c>
      <x:c r="D1452" s="22" t="str">
        <x:v>Scenario Results E32</x:v>
      </x:c>
      <x:c r="E1452" s="75" t="n">
        <x:f>IF(ISERROR('Scenario Results'!E32),0,1)</x:f>
        <x:v>1</x:v>
      </x:c>
      <x:c r="F1452" s="75" t="n">
        <x:v>1</x:v>
      </x:c>
      <x:c r="G1452" s="24" t="str">
        <x:f>IF(E1452=F1452,"PASS","FAIL")</x:f>
        <x:v>PASS</x:v>
      </x:c>
    </x:row>
    <x:row r="1453">
      <x:c r="B1453" s="22" t="str">
        <x:v>AC-1447</x:v>
      </x:c>
      <x:c r="C1453" s="22" t="str">
        <x:v>non-error</x:v>
      </x:c>
      <x:c r="D1453" s="22" t="str">
        <x:v>Scenario Results F32</x:v>
      </x:c>
      <x:c r="E1453" s="75" t="n">
        <x:f>IF(ISERROR('Scenario Results'!F32),0,1)</x:f>
        <x:v>1</x:v>
      </x:c>
      <x:c r="F1453" s="75" t="n">
        <x:v>1</x:v>
      </x:c>
      <x:c r="G1453" s="24" t="str">
        <x:f>IF(E1453=F1453,"PASS","FAIL")</x:f>
        <x:v>PASS</x:v>
      </x:c>
    </x:row>
    <x:row r="1454">
      <x:c r="B1454" s="22" t="str">
        <x:v>AC-1448</x:v>
      </x:c>
      <x:c r="C1454" s="22" t="str">
        <x:v>non-error</x:v>
      </x:c>
      <x:c r="D1454" s="22" t="str">
        <x:v>Scenario Results G32</x:v>
      </x:c>
      <x:c r="E1454" s="75" t="n">
        <x:f>IF(ISERROR('Scenario Results'!G32),0,1)</x:f>
        <x:v>1</x:v>
      </x:c>
      <x:c r="F1454" s="75" t="n">
        <x:v>1</x:v>
      </x:c>
      <x:c r="G1454" s="24" t="str">
        <x:f>IF(E1454=F1454,"PASS","FAIL")</x:f>
        <x:v>PASS</x:v>
      </x:c>
    </x:row>
    <x:row r="1455">
      <x:c r="B1455" s="22" t="str">
        <x:v>AC-1449</x:v>
      </x:c>
      <x:c r="C1455" s="22" t="str">
        <x:v>non-error</x:v>
      </x:c>
      <x:c r="D1455" s="22" t="str">
        <x:v>Scenario Results H32</x:v>
      </x:c>
      <x:c r="E1455" s="75" t="n">
        <x:f>IF(ISERROR('Scenario Results'!H32),0,1)</x:f>
        <x:v>1</x:v>
      </x:c>
      <x:c r="F1455" s="75" t="n">
        <x:v>1</x:v>
      </x:c>
      <x:c r="G1455" s="24" t="str">
        <x:f>IF(E1455=F1455,"PASS","FAIL")</x:f>
        <x:v>PASS</x:v>
      </x:c>
    </x:row>
    <x:row r="1456">
      <x:c r="B1456" s="22" t="str">
        <x:v>AC-1450</x:v>
      </x:c>
      <x:c r="C1456" s="22" t="str">
        <x:v>non-error</x:v>
      </x:c>
      <x:c r="D1456" s="22" t="str">
        <x:v>Scenario Results I32</x:v>
      </x:c>
      <x:c r="E1456" s="75" t="n">
        <x:f>IF(ISERROR('Scenario Results'!I32),0,1)</x:f>
        <x:v>1</x:v>
      </x:c>
      <x:c r="F1456" s="75" t="n">
        <x:v>1</x:v>
      </x:c>
      <x:c r="G1456" s="24" t="str">
        <x:f>IF(E1456=F1456,"PASS","FAIL")</x:f>
        <x:v>PASS</x:v>
      </x:c>
    </x:row>
    <x:row r="1457">
      <x:c r="B1457" s="22" t="str">
        <x:v>AC-1451</x:v>
      </x:c>
      <x:c r="C1457" s="22" t="str">
        <x:v>non-error</x:v>
      </x:c>
      <x:c r="D1457" s="22" t="str">
        <x:v>Scenario Results J32</x:v>
      </x:c>
      <x:c r="E1457" s="75" t="n">
        <x:f>IF(ISERROR('Scenario Results'!J32),0,1)</x:f>
        <x:v>1</x:v>
      </x:c>
      <x:c r="F1457" s="75" t="n">
        <x:v>1</x:v>
      </x:c>
      <x:c r="G1457" s="24" t="str">
        <x:f>IF(E1457=F1457,"PASS","FAIL")</x:f>
        <x:v>PASS</x:v>
      </x:c>
    </x:row>
    <x:row r="1458">
      <x:c r="B1458" s="22" t="str">
        <x:v>AC-1452</x:v>
      </x:c>
      <x:c r="C1458" s="22" t="str">
        <x:v>non-error</x:v>
      </x:c>
      <x:c r="D1458" s="22" t="str">
        <x:v>Scenario Results E33</x:v>
      </x:c>
      <x:c r="E1458" s="75" t="n">
        <x:f>IF(ISERROR('Scenario Results'!E33),0,1)</x:f>
        <x:v>1</x:v>
      </x:c>
      <x:c r="F1458" s="75" t="n">
        <x:v>1</x:v>
      </x:c>
      <x:c r="G1458" s="24" t="str">
        <x:f>IF(E1458=F1458,"PASS","FAIL")</x:f>
        <x:v>PASS</x:v>
      </x:c>
    </x:row>
    <x:row r="1459">
      <x:c r="B1459" s="22" t="str">
        <x:v>AC-1453</x:v>
      </x:c>
      <x:c r="C1459" s="22" t="str">
        <x:v>non-error</x:v>
      </x:c>
      <x:c r="D1459" s="22" t="str">
        <x:v>Scenario Results F33</x:v>
      </x:c>
      <x:c r="E1459" s="75" t="n">
        <x:f>IF(ISERROR('Scenario Results'!F33),0,1)</x:f>
        <x:v>1</x:v>
      </x:c>
      <x:c r="F1459" s="75" t="n">
        <x:v>1</x:v>
      </x:c>
      <x:c r="G1459" s="24" t="str">
        <x:f>IF(E1459=F1459,"PASS","FAIL")</x:f>
        <x:v>PASS</x:v>
      </x:c>
    </x:row>
    <x:row r="1460">
      <x:c r="B1460" s="22" t="str">
        <x:v>AC-1454</x:v>
      </x:c>
      <x:c r="C1460" s="22" t="str">
        <x:v>non-error</x:v>
      </x:c>
      <x:c r="D1460" s="22" t="str">
        <x:v>Scenario Results G33</x:v>
      </x:c>
      <x:c r="E1460" s="75" t="n">
        <x:f>IF(ISERROR('Scenario Results'!G33),0,1)</x:f>
        <x:v>1</x:v>
      </x:c>
      <x:c r="F1460" s="75" t="n">
        <x:v>1</x:v>
      </x:c>
      <x:c r="G1460" s="24" t="str">
        <x:f>IF(E1460=F1460,"PASS","FAIL")</x:f>
        <x:v>PASS</x:v>
      </x:c>
    </x:row>
    <x:row r="1461">
      <x:c r="B1461" s="22" t="str">
        <x:v>AC-1455</x:v>
      </x:c>
      <x:c r="C1461" s="22" t="str">
        <x:v>non-error</x:v>
      </x:c>
      <x:c r="D1461" s="22" t="str">
        <x:v>Scenario Results H33</x:v>
      </x:c>
      <x:c r="E1461" s="75" t="n">
        <x:f>IF(ISERROR('Scenario Results'!H33),0,1)</x:f>
        <x:v>1</x:v>
      </x:c>
      <x:c r="F1461" s="75" t="n">
        <x:v>1</x:v>
      </x:c>
      <x:c r="G1461" s="24" t="str">
        <x:f>IF(E1461=F1461,"PASS","FAIL")</x:f>
        <x:v>PASS</x:v>
      </x:c>
    </x:row>
    <x:row r="1462">
      <x:c r="B1462" s="22" t="str">
        <x:v>AC-1456</x:v>
      </x:c>
      <x:c r="C1462" s="22" t="str">
        <x:v>non-error</x:v>
      </x:c>
      <x:c r="D1462" s="22" t="str">
        <x:v>Scenario Results I33</x:v>
      </x:c>
      <x:c r="E1462" s="75" t="n">
        <x:f>IF(ISERROR('Scenario Results'!I33),0,1)</x:f>
        <x:v>1</x:v>
      </x:c>
      <x:c r="F1462" s="75" t="n">
        <x:v>1</x:v>
      </x:c>
      <x:c r="G1462" s="24" t="str">
        <x:f>IF(E1462=F1462,"PASS","FAIL")</x:f>
        <x:v>PASS</x:v>
      </x:c>
    </x:row>
    <x:row r="1463">
      <x:c r="B1463" s="22" t="str">
        <x:v>AC-1457</x:v>
      </x:c>
      <x:c r="C1463" s="22" t="str">
        <x:v>non-error</x:v>
      </x:c>
      <x:c r="D1463" s="22" t="str">
        <x:v>Scenario Results J33</x:v>
      </x:c>
      <x:c r="E1463" s="75" t="n">
        <x:f>IF(ISERROR('Scenario Results'!J33),0,1)</x:f>
        <x:v>1</x:v>
      </x:c>
      <x:c r="F1463" s="75" t="n">
        <x:v>1</x:v>
      </x:c>
      <x:c r="G1463" s="24" t="str">
        <x:f>IF(E1463=F1463,"PASS","FAIL")</x:f>
        <x:v>PASS</x:v>
      </x:c>
    </x:row>
    <x:row r="1464">
      <x:c r="B1464" s="22" t="str">
        <x:v>AC-1458</x:v>
      </x:c>
      <x:c r="C1464" s="22" t="str">
        <x:v>non-error</x:v>
      </x:c>
      <x:c r="D1464" s="22" t="str">
        <x:v>Scenario Results E34</x:v>
      </x:c>
      <x:c r="E1464" s="75" t="n">
        <x:f>IF(ISERROR('Scenario Results'!E34),0,1)</x:f>
        <x:v>1</x:v>
      </x:c>
      <x:c r="F1464" s="75" t="n">
        <x:v>1</x:v>
      </x:c>
      <x:c r="G1464" s="24" t="str">
        <x:f>IF(E1464=F1464,"PASS","FAIL")</x:f>
        <x:v>PASS</x:v>
      </x:c>
    </x:row>
    <x:row r="1465">
      <x:c r="B1465" s="22" t="str">
        <x:v>AC-1459</x:v>
      </x:c>
      <x:c r="C1465" s="22" t="str">
        <x:v>non-error</x:v>
      </x:c>
      <x:c r="D1465" s="22" t="str">
        <x:v>Scenario Results F34</x:v>
      </x:c>
      <x:c r="E1465" s="75" t="n">
        <x:f>IF(ISERROR('Scenario Results'!F34),0,1)</x:f>
        <x:v>1</x:v>
      </x:c>
      <x:c r="F1465" s="75" t="n">
        <x:v>1</x:v>
      </x:c>
      <x:c r="G1465" s="24" t="str">
        <x:f>IF(E1465=F1465,"PASS","FAIL")</x:f>
        <x:v>PASS</x:v>
      </x:c>
    </x:row>
    <x:row r="1466">
      <x:c r="B1466" s="22" t="str">
        <x:v>AC-1460</x:v>
      </x:c>
      <x:c r="C1466" s="22" t="str">
        <x:v>non-error</x:v>
      </x:c>
      <x:c r="D1466" s="22" t="str">
        <x:v>Scenario Results G34</x:v>
      </x:c>
      <x:c r="E1466" s="75" t="n">
        <x:f>IF(ISERROR('Scenario Results'!G34),0,1)</x:f>
        <x:v>1</x:v>
      </x:c>
      <x:c r="F1466" s="75" t="n">
        <x:v>1</x:v>
      </x:c>
      <x:c r="G1466" s="24" t="str">
        <x:f>IF(E1466=F1466,"PASS","FAIL")</x:f>
        <x:v>PASS</x:v>
      </x:c>
    </x:row>
    <x:row r="1467">
      <x:c r="B1467" s="22" t="str">
        <x:v>AC-1461</x:v>
      </x:c>
      <x:c r="C1467" s="22" t="str">
        <x:v>non-error</x:v>
      </x:c>
      <x:c r="D1467" s="22" t="str">
        <x:v>Scenario Results H34</x:v>
      </x:c>
      <x:c r="E1467" s="75" t="n">
        <x:f>IF(ISERROR('Scenario Results'!H34),0,1)</x:f>
        <x:v>1</x:v>
      </x:c>
      <x:c r="F1467" s="75" t="n">
        <x:v>1</x:v>
      </x:c>
      <x:c r="G1467" s="24" t="str">
        <x:f>IF(E1467=F1467,"PASS","FAIL")</x:f>
        <x:v>PASS</x:v>
      </x:c>
    </x:row>
    <x:row r="1468">
      <x:c r="B1468" s="22" t="str">
        <x:v>AC-1462</x:v>
      </x:c>
      <x:c r="C1468" s="22" t="str">
        <x:v>non-error</x:v>
      </x:c>
      <x:c r="D1468" s="22" t="str">
        <x:v>Scenario Results I34</x:v>
      </x:c>
      <x:c r="E1468" s="75" t="n">
        <x:f>IF(ISERROR('Scenario Results'!I34),0,1)</x:f>
        <x:v>1</x:v>
      </x:c>
      <x:c r="F1468" s="75" t="n">
        <x:v>1</x:v>
      </x:c>
      <x:c r="G1468" s="24" t="str">
        <x:f>IF(E1468=F1468,"PASS","FAIL")</x:f>
        <x:v>PASS</x:v>
      </x:c>
    </x:row>
    <x:row r="1469">
      <x:c r="B1469" s="22" t="str">
        <x:v>AC-1463</x:v>
      </x:c>
      <x:c r="C1469" s="22" t="str">
        <x:v>non-error</x:v>
      </x:c>
      <x:c r="D1469" s="22" t="str">
        <x:v>Scenario Results J34</x:v>
      </x:c>
      <x:c r="E1469" s="75" t="n">
        <x:f>IF(ISERROR('Scenario Results'!J34),0,1)</x:f>
        <x:v>1</x:v>
      </x:c>
      <x:c r="F1469" s="75" t="n">
        <x:v>1</x:v>
      </x:c>
      <x:c r="G1469" s="24" t="str">
        <x:f>IF(E1469=F1469,"PASS","FAIL")</x:f>
        <x:v>PASS</x:v>
      </x:c>
    </x:row>
    <x:row r="1470">
      <x:c r="B1470" s="22" t="str">
        <x:v>AC-1464</x:v>
      </x:c>
      <x:c r="C1470" s="22" t="str">
        <x:v>non-error</x:v>
      </x:c>
      <x:c r="D1470" s="22" t="str">
        <x:v>Scenario Results E35</x:v>
      </x:c>
      <x:c r="E1470" s="75" t="n">
        <x:f>IF(ISERROR('Scenario Results'!E35),0,1)</x:f>
        <x:v>1</x:v>
      </x:c>
      <x:c r="F1470" s="75" t="n">
        <x:v>1</x:v>
      </x:c>
      <x:c r="G1470" s="24" t="str">
        <x:f>IF(E1470=F1470,"PASS","FAIL")</x:f>
        <x:v>PASS</x:v>
      </x:c>
    </x:row>
    <x:row r="1471">
      <x:c r="B1471" s="22" t="str">
        <x:v>AC-1465</x:v>
      </x:c>
      <x:c r="C1471" s="22" t="str">
        <x:v>non-error</x:v>
      </x:c>
      <x:c r="D1471" s="22" t="str">
        <x:v>Scenario Results F35</x:v>
      </x:c>
      <x:c r="E1471" s="75" t="n">
        <x:f>IF(ISERROR('Scenario Results'!F35),0,1)</x:f>
        <x:v>1</x:v>
      </x:c>
      <x:c r="F1471" s="75" t="n">
        <x:v>1</x:v>
      </x:c>
      <x:c r="G1471" s="24" t="str">
        <x:f>IF(E1471=F1471,"PASS","FAIL")</x:f>
        <x:v>PASS</x:v>
      </x:c>
    </x:row>
    <x:row r="1472">
      <x:c r="B1472" s="22" t="str">
        <x:v>AC-1466</x:v>
      </x:c>
      <x:c r="C1472" s="22" t="str">
        <x:v>non-error</x:v>
      </x:c>
      <x:c r="D1472" s="22" t="str">
        <x:v>Scenario Results G35</x:v>
      </x:c>
      <x:c r="E1472" s="75" t="n">
        <x:f>IF(ISERROR('Scenario Results'!G35),0,1)</x:f>
        <x:v>1</x:v>
      </x:c>
      <x:c r="F1472" s="75" t="n">
        <x:v>1</x:v>
      </x:c>
      <x:c r="G1472" s="24" t="str">
        <x:f>IF(E1472=F1472,"PASS","FAIL")</x:f>
        <x:v>PASS</x:v>
      </x:c>
    </x:row>
    <x:row r="1473">
      <x:c r="B1473" s="22" t="str">
        <x:v>AC-1467</x:v>
      </x:c>
      <x:c r="C1473" s="22" t="str">
        <x:v>non-error</x:v>
      </x:c>
      <x:c r="D1473" s="22" t="str">
        <x:v>Scenario Results H35</x:v>
      </x:c>
      <x:c r="E1473" s="75" t="n">
        <x:f>IF(ISERROR('Scenario Results'!H35),0,1)</x:f>
        <x:v>1</x:v>
      </x:c>
      <x:c r="F1473" s="75" t="n">
        <x:v>1</x:v>
      </x:c>
      <x:c r="G1473" s="24" t="str">
        <x:f>IF(E1473=F1473,"PASS","FAIL")</x:f>
        <x:v>PASS</x:v>
      </x:c>
    </x:row>
    <x:row r="1474">
      <x:c r="B1474" s="22" t="str">
        <x:v>AC-1468</x:v>
      </x:c>
      <x:c r="C1474" s="22" t="str">
        <x:v>non-error</x:v>
      </x:c>
      <x:c r="D1474" s="22" t="str">
        <x:v>Scenario Results I35</x:v>
      </x:c>
      <x:c r="E1474" s="75" t="n">
        <x:f>IF(ISERROR('Scenario Results'!I35),0,1)</x:f>
        <x:v>1</x:v>
      </x:c>
      <x:c r="F1474" s="75" t="n">
        <x:v>1</x:v>
      </x:c>
      <x:c r="G1474" s="24" t="str">
        <x:f>IF(E1474=F1474,"PASS","FAIL")</x:f>
        <x:v>PASS</x:v>
      </x:c>
    </x:row>
    <x:row r="1475">
      <x:c r="B1475" s="22" t="str">
        <x:v>AC-1469</x:v>
      </x:c>
      <x:c r="C1475" s="22" t="str">
        <x:v>non-error</x:v>
      </x:c>
      <x:c r="D1475" s="22" t="str">
        <x:v>Scenario Results J35</x:v>
      </x:c>
      <x:c r="E1475" s="75" t="n">
        <x:f>IF(ISERROR('Scenario Results'!J35),0,1)</x:f>
        <x:v>1</x:v>
      </x:c>
      <x:c r="F1475" s="75" t="n">
        <x:v>1</x:v>
      </x:c>
      <x:c r="G1475" s="24" t="str">
        <x:f>IF(E1475=F1475,"PASS","FAIL")</x:f>
        <x:v>PASS</x:v>
      </x:c>
    </x:row>
    <x:row r="1476">
      <x:c r="B1476" s="22" t="str">
        <x:v>AC-1470</x:v>
      </x:c>
      <x:c r="C1476" s="22" t="str">
        <x:v>non-error</x:v>
      </x:c>
      <x:c r="D1476" s="22" t="str">
        <x:v>Scenario Results E36</x:v>
      </x:c>
      <x:c r="E1476" s="75" t="n">
        <x:f>IF(ISERROR('Scenario Results'!E36),0,1)</x:f>
        <x:v>1</x:v>
      </x:c>
      <x:c r="F1476" s="75" t="n">
        <x:v>1</x:v>
      </x:c>
      <x:c r="G1476" s="24" t="str">
        <x:f>IF(E1476=F1476,"PASS","FAIL")</x:f>
        <x:v>PASS</x:v>
      </x:c>
    </x:row>
    <x:row r="1477">
      <x:c r="B1477" s="22" t="str">
        <x:v>AC-1471</x:v>
      </x:c>
      <x:c r="C1477" s="22" t="str">
        <x:v>non-error</x:v>
      </x:c>
      <x:c r="D1477" s="22" t="str">
        <x:v>Scenario Results F36</x:v>
      </x:c>
      <x:c r="E1477" s="75" t="n">
        <x:f>IF(ISERROR('Scenario Results'!F36),0,1)</x:f>
        <x:v>1</x:v>
      </x:c>
      <x:c r="F1477" s="75" t="n">
        <x:v>1</x:v>
      </x:c>
      <x:c r="G1477" s="24" t="str">
        <x:f>IF(E1477=F1477,"PASS","FAIL")</x:f>
        <x:v>PASS</x:v>
      </x:c>
    </x:row>
    <x:row r="1478">
      <x:c r="B1478" s="22" t="str">
        <x:v>AC-1472</x:v>
      </x:c>
      <x:c r="C1478" s="22" t="str">
        <x:v>non-error</x:v>
      </x:c>
      <x:c r="D1478" s="22" t="str">
        <x:v>Scenario Results G36</x:v>
      </x:c>
      <x:c r="E1478" s="75" t="n">
        <x:f>IF(ISERROR('Scenario Results'!G36),0,1)</x:f>
        <x:v>1</x:v>
      </x:c>
      <x:c r="F1478" s="75" t="n">
        <x:v>1</x:v>
      </x:c>
      <x:c r="G1478" s="24" t="str">
        <x:f>IF(E1478=F1478,"PASS","FAIL")</x:f>
        <x:v>PASS</x:v>
      </x:c>
    </x:row>
    <x:row r="1479">
      <x:c r="B1479" s="22" t="str">
        <x:v>AC-1473</x:v>
      </x:c>
      <x:c r="C1479" s="22" t="str">
        <x:v>non-error</x:v>
      </x:c>
      <x:c r="D1479" s="22" t="str">
        <x:v>Scenario Results H36</x:v>
      </x:c>
      <x:c r="E1479" s="75" t="n">
        <x:f>IF(ISERROR('Scenario Results'!H36),0,1)</x:f>
        <x:v>1</x:v>
      </x:c>
      <x:c r="F1479" s="75" t="n">
        <x:v>1</x:v>
      </x:c>
      <x:c r="G1479" s="24" t="str">
        <x:f>IF(E1479=F1479,"PASS","FAIL")</x:f>
        <x:v>PASS</x:v>
      </x:c>
    </x:row>
    <x:row r="1480">
      <x:c r="B1480" s="22" t="str">
        <x:v>AC-1474</x:v>
      </x:c>
      <x:c r="C1480" s="22" t="str">
        <x:v>non-error</x:v>
      </x:c>
      <x:c r="D1480" s="22" t="str">
        <x:v>Scenario Results I36</x:v>
      </x:c>
      <x:c r="E1480" s="75" t="n">
        <x:f>IF(ISERROR('Scenario Results'!I36),0,1)</x:f>
        <x:v>1</x:v>
      </x:c>
      <x:c r="F1480" s="75" t="n">
        <x:v>1</x:v>
      </x:c>
      <x:c r="G1480" s="24" t="str">
        <x:f>IF(E1480=F1480,"PASS","FAIL")</x:f>
        <x:v>PASS</x:v>
      </x:c>
    </x:row>
    <x:row r="1481">
      <x:c r="B1481" s="22" t="str">
        <x:v>AC-1475</x:v>
      </x:c>
      <x:c r="C1481" s="22" t="str">
        <x:v>non-error</x:v>
      </x:c>
      <x:c r="D1481" s="22" t="str">
        <x:v>Scenario Results J36</x:v>
      </x:c>
      <x:c r="E1481" s="75" t="n">
        <x:f>IF(ISERROR('Scenario Results'!J36),0,1)</x:f>
        <x:v>1</x:v>
      </x:c>
      <x:c r="F1481" s="75" t="n">
        <x:v>1</x:v>
      </x:c>
      <x:c r="G1481" s="24" t="str">
        <x:f>IF(E1481=F1481,"PASS","FAIL")</x:f>
        <x:v>PASS</x:v>
      </x:c>
    </x:row>
    <x:row r="1482">
      <x:c r="B1482" s="22" t="str">
        <x:v>AC-1476</x:v>
      </x:c>
      <x:c r="C1482" s="22" t="str">
        <x:v>non-error</x:v>
      </x:c>
      <x:c r="D1482" s="22" t="str">
        <x:v>Scenario Results E37</x:v>
      </x:c>
      <x:c r="E1482" s="75" t="n">
        <x:f>IF(ISERROR('Scenario Results'!E37),0,1)</x:f>
        <x:v>1</x:v>
      </x:c>
      <x:c r="F1482" s="75" t="n">
        <x:v>1</x:v>
      </x:c>
      <x:c r="G1482" s="24" t="str">
        <x:f>IF(E1482=F1482,"PASS","FAIL")</x:f>
        <x:v>PASS</x:v>
      </x:c>
    </x:row>
    <x:row r="1483">
      <x:c r="B1483" s="22" t="str">
        <x:v>AC-1477</x:v>
      </x:c>
      <x:c r="C1483" s="22" t="str">
        <x:v>non-error</x:v>
      </x:c>
      <x:c r="D1483" s="22" t="str">
        <x:v>Scenario Results F37</x:v>
      </x:c>
      <x:c r="E1483" s="75" t="n">
        <x:f>IF(ISERROR('Scenario Results'!F37),0,1)</x:f>
        <x:v>1</x:v>
      </x:c>
      <x:c r="F1483" s="75" t="n">
        <x:v>1</x:v>
      </x:c>
      <x:c r="G1483" s="24" t="str">
        <x:f>IF(E1483=F1483,"PASS","FAIL")</x:f>
        <x:v>PASS</x:v>
      </x:c>
    </x:row>
    <x:row r="1484">
      <x:c r="B1484" s="22" t="str">
        <x:v>AC-1478</x:v>
      </x:c>
      <x:c r="C1484" s="22" t="str">
        <x:v>non-error</x:v>
      </x:c>
      <x:c r="D1484" s="22" t="str">
        <x:v>Scenario Results G37</x:v>
      </x:c>
      <x:c r="E1484" s="75" t="n">
        <x:f>IF(ISERROR('Scenario Results'!G37),0,1)</x:f>
        <x:v>1</x:v>
      </x:c>
      <x:c r="F1484" s="75" t="n">
        <x:v>1</x:v>
      </x:c>
      <x:c r="G1484" s="24" t="str">
        <x:f>IF(E1484=F1484,"PASS","FAIL")</x:f>
        <x:v>PASS</x:v>
      </x:c>
    </x:row>
    <x:row r="1485">
      <x:c r="B1485" s="22" t="str">
        <x:v>AC-1479</x:v>
      </x:c>
      <x:c r="C1485" s="22" t="str">
        <x:v>non-error</x:v>
      </x:c>
      <x:c r="D1485" s="22" t="str">
        <x:v>Scenario Results H37</x:v>
      </x:c>
      <x:c r="E1485" s="75" t="n">
        <x:f>IF(ISERROR('Scenario Results'!H37),0,1)</x:f>
        <x:v>1</x:v>
      </x:c>
      <x:c r="F1485" s="75" t="n">
        <x:v>1</x:v>
      </x:c>
      <x:c r="G1485" s="24" t="str">
        <x:f>IF(E1485=F1485,"PASS","FAIL")</x:f>
        <x:v>PASS</x:v>
      </x:c>
    </x:row>
    <x:row r="1486">
      <x:c r="B1486" s="22" t="str">
        <x:v>AC-1480</x:v>
      </x:c>
      <x:c r="C1486" s="22" t="str">
        <x:v>non-error</x:v>
      </x:c>
      <x:c r="D1486" s="22" t="str">
        <x:v>Scenario Results I37</x:v>
      </x:c>
      <x:c r="E1486" s="75" t="n">
        <x:f>IF(ISERROR('Scenario Results'!I37),0,1)</x:f>
        <x:v>1</x:v>
      </x:c>
      <x:c r="F1486" s="75" t="n">
        <x:v>1</x:v>
      </x:c>
      <x:c r="G1486" s="24" t="str">
        <x:f>IF(E1486=F1486,"PASS","FAIL")</x:f>
        <x:v>PASS</x:v>
      </x:c>
    </x:row>
    <x:row r="1487">
      <x:c r="B1487" s="22" t="str">
        <x:v>AC-1481</x:v>
      </x:c>
      <x:c r="C1487" s="22" t="str">
        <x:v>non-error</x:v>
      </x:c>
      <x:c r="D1487" s="22" t="str">
        <x:v>Scenario Results J37</x:v>
      </x:c>
      <x:c r="E1487" s="75" t="n">
        <x:f>IF(ISERROR('Scenario Results'!J37),0,1)</x:f>
        <x:v>1</x:v>
      </x:c>
      <x:c r="F1487" s="75" t="n">
        <x:v>1</x:v>
      </x:c>
      <x:c r="G1487" s="24" t="str">
        <x:f>IF(E1487=F1487,"PASS","FAIL")</x:f>
        <x:v>PASS</x:v>
      </x:c>
    </x:row>
    <x:row r="1488">
      <x:c r="B1488" s="22" t="str">
        <x:v>AC-1482</x:v>
      </x:c>
      <x:c r="C1488" s="22" t="str">
        <x:v>non-error</x:v>
      </x:c>
      <x:c r="D1488" s="22" t="str">
        <x:v>Scenario Results E38</x:v>
      </x:c>
      <x:c r="E1488" s="75" t="n">
        <x:f>IF(ISERROR('Scenario Results'!E38),0,1)</x:f>
        <x:v>1</x:v>
      </x:c>
      <x:c r="F1488" s="75" t="n">
        <x:v>1</x:v>
      </x:c>
      <x:c r="G1488" s="24" t="str">
        <x:f>IF(E1488=F1488,"PASS","FAIL")</x:f>
        <x:v>PASS</x:v>
      </x:c>
    </x:row>
    <x:row r="1489">
      <x:c r="B1489" s="22" t="str">
        <x:v>AC-1483</x:v>
      </x:c>
      <x:c r="C1489" s="22" t="str">
        <x:v>non-error</x:v>
      </x:c>
      <x:c r="D1489" s="22" t="str">
        <x:v>Scenario Results F38</x:v>
      </x:c>
      <x:c r="E1489" s="75" t="n">
        <x:f>IF(ISERROR('Scenario Results'!F38),0,1)</x:f>
        <x:v>1</x:v>
      </x:c>
      <x:c r="F1489" s="75" t="n">
        <x:v>1</x:v>
      </x:c>
      <x:c r="G1489" s="24" t="str">
        <x:f>IF(E1489=F1489,"PASS","FAIL")</x:f>
        <x:v>PASS</x:v>
      </x:c>
    </x:row>
    <x:row r="1490">
      <x:c r="B1490" s="22" t="str">
        <x:v>AC-1484</x:v>
      </x:c>
      <x:c r="C1490" s="22" t="str">
        <x:v>non-error</x:v>
      </x:c>
      <x:c r="D1490" s="22" t="str">
        <x:v>Scenario Results G38</x:v>
      </x:c>
      <x:c r="E1490" s="75" t="n">
        <x:f>IF(ISERROR('Scenario Results'!G38),0,1)</x:f>
        <x:v>1</x:v>
      </x:c>
      <x:c r="F1490" s="75" t="n">
        <x:v>1</x:v>
      </x:c>
      <x:c r="G1490" s="24" t="str">
        <x:f>IF(E1490=F1490,"PASS","FAIL")</x:f>
        <x:v>PASS</x:v>
      </x:c>
    </x:row>
    <x:row r="1491">
      <x:c r="B1491" s="22" t="str">
        <x:v>AC-1485</x:v>
      </x:c>
      <x:c r="C1491" s="22" t="str">
        <x:v>non-error</x:v>
      </x:c>
      <x:c r="D1491" s="22" t="str">
        <x:v>Scenario Results H38</x:v>
      </x:c>
      <x:c r="E1491" s="75" t="n">
        <x:f>IF(ISERROR('Scenario Results'!H38),0,1)</x:f>
        <x:v>1</x:v>
      </x:c>
      <x:c r="F1491" s="75" t="n">
        <x:v>1</x:v>
      </x:c>
      <x:c r="G1491" s="24" t="str">
        <x:f>IF(E1491=F1491,"PASS","FAIL")</x:f>
        <x:v>PASS</x:v>
      </x:c>
    </x:row>
    <x:row r="1492">
      <x:c r="B1492" s="22" t="str">
        <x:v>AC-1486</x:v>
      </x:c>
      <x:c r="C1492" s="22" t="str">
        <x:v>non-error</x:v>
      </x:c>
      <x:c r="D1492" s="22" t="str">
        <x:v>Scenario Results I38</x:v>
      </x:c>
      <x:c r="E1492" s="75" t="n">
        <x:f>IF(ISERROR('Scenario Results'!I38),0,1)</x:f>
        <x:v>1</x:v>
      </x:c>
      <x:c r="F1492" s="75" t="n">
        <x:v>1</x:v>
      </x:c>
      <x:c r="G1492" s="24" t="str">
        <x:f>IF(E1492=F1492,"PASS","FAIL")</x:f>
        <x:v>PASS</x:v>
      </x:c>
    </x:row>
    <x:row r="1493">
      <x:c r="B1493" s="22" t="str">
        <x:v>AC-1487</x:v>
      </x:c>
      <x:c r="C1493" s="22" t="str">
        <x:v>non-error</x:v>
      </x:c>
      <x:c r="D1493" s="22" t="str">
        <x:v>Scenario Results J38</x:v>
      </x:c>
      <x:c r="E1493" s="75" t="n">
        <x:f>IF(ISERROR('Scenario Results'!J38),0,1)</x:f>
        <x:v>1</x:v>
      </x:c>
      <x:c r="F1493" s="75" t="n">
        <x:v>1</x:v>
      </x:c>
      <x:c r="G1493" s="24" t="str">
        <x:f>IF(E1493=F1493,"PASS","FAIL")</x:f>
        <x:v>PASS</x:v>
      </x:c>
    </x:row>
    <x:row r="1494">
      <x:c r="B1494" s="22" t="str">
        <x:v>AC-1488</x:v>
      </x:c>
      <x:c r="C1494" s="22" t="str">
        <x:v>non-error</x:v>
      </x:c>
      <x:c r="D1494" s="22" t="str">
        <x:v>Scenario Results E39</x:v>
      </x:c>
      <x:c r="E1494" s="75" t="n">
        <x:f>IF(ISERROR('Scenario Results'!E39),0,1)</x:f>
        <x:v>1</x:v>
      </x:c>
      <x:c r="F1494" s="75" t="n">
        <x:v>1</x:v>
      </x:c>
      <x:c r="G1494" s="24" t="str">
        <x:f>IF(E1494=F1494,"PASS","FAIL")</x:f>
        <x:v>PASS</x:v>
      </x:c>
    </x:row>
    <x:row r="1495">
      <x:c r="B1495" s="22" t="str">
        <x:v>AC-1489</x:v>
      </x:c>
      <x:c r="C1495" s="22" t="str">
        <x:v>non-error</x:v>
      </x:c>
      <x:c r="D1495" s="22" t="str">
        <x:v>Scenario Results F39</x:v>
      </x:c>
      <x:c r="E1495" s="75" t="n">
        <x:f>IF(ISERROR('Scenario Results'!F39),0,1)</x:f>
        <x:v>1</x:v>
      </x:c>
      <x:c r="F1495" s="75" t="n">
        <x:v>1</x:v>
      </x:c>
      <x:c r="G1495" s="24" t="str">
        <x:f>IF(E1495=F1495,"PASS","FAIL")</x:f>
        <x:v>PASS</x:v>
      </x:c>
    </x:row>
    <x:row r="1496">
      <x:c r="B1496" s="22" t="str">
        <x:v>AC-1490</x:v>
      </x:c>
      <x:c r="C1496" s="22" t="str">
        <x:v>non-error</x:v>
      </x:c>
      <x:c r="D1496" s="22" t="str">
        <x:v>Scenario Results G39</x:v>
      </x:c>
      <x:c r="E1496" s="75" t="n">
        <x:f>IF(ISERROR('Scenario Results'!G39),0,1)</x:f>
        <x:v>1</x:v>
      </x:c>
      <x:c r="F1496" s="75" t="n">
        <x:v>1</x:v>
      </x:c>
      <x:c r="G1496" s="24" t="str">
        <x:f>IF(E1496=F1496,"PASS","FAIL")</x:f>
        <x:v>PASS</x:v>
      </x:c>
    </x:row>
    <x:row r="1497">
      <x:c r="B1497" s="22" t="str">
        <x:v>AC-1491</x:v>
      </x:c>
      <x:c r="C1497" s="22" t="str">
        <x:v>non-error</x:v>
      </x:c>
      <x:c r="D1497" s="22" t="str">
        <x:v>Scenario Results H39</x:v>
      </x:c>
      <x:c r="E1497" s="75" t="n">
        <x:f>IF(ISERROR('Scenario Results'!H39),0,1)</x:f>
        <x:v>1</x:v>
      </x:c>
      <x:c r="F1497" s="75" t="n">
        <x:v>1</x:v>
      </x:c>
      <x:c r="G1497" s="24" t="str">
        <x:f>IF(E1497=F1497,"PASS","FAIL")</x:f>
        <x:v>PASS</x:v>
      </x:c>
    </x:row>
    <x:row r="1498">
      <x:c r="B1498" s="22" t="str">
        <x:v>AC-1492</x:v>
      </x:c>
      <x:c r="C1498" s="22" t="str">
        <x:v>non-error</x:v>
      </x:c>
      <x:c r="D1498" s="22" t="str">
        <x:v>Scenario Results I39</x:v>
      </x:c>
      <x:c r="E1498" s="75" t="n">
        <x:f>IF(ISERROR('Scenario Results'!I39),0,1)</x:f>
        <x:v>1</x:v>
      </x:c>
      <x:c r="F1498" s="75" t="n">
        <x:v>1</x:v>
      </x:c>
      <x:c r="G1498" s="24" t="str">
        <x:f>IF(E1498=F1498,"PASS","FAIL")</x:f>
        <x:v>PASS</x:v>
      </x:c>
    </x:row>
    <x:row r="1499">
      <x:c r="B1499" s="22" t="str">
        <x:v>AC-1493</x:v>
      </x:c>
      <x:c r="C1499" s="22" t="str">
        <x:v>non-error</x:v>
      </x:c>
      <x:c r="D1499" s="22" t="str">
        <x:v>Scenario Results J39</x:v>
      </x:c>
      <x:c r="E1499" s="75" t="n">
        <x:f>IF(ISERROR('Scenario Results'!J39),0,1)</x:f>
        <x:v>1</x:v>
      </x:c>
      <x:c r="F1499" s="75" t="n">
        <x:v>1</x:v>
      </x:c>
      <x:c r="G1499" s="24" t="str">
        <x:f>IF(E1499=F1499,"PASS","FAIL")</x:f>
        <x:v>PASS</x:v>
      </x:c>
    </x:row>
    <x:row r="1500">
      <x:c r="B1500" s="22" t="str">
        <x:v>AC-1494</x:v>
      </x:c>
      <x:c r="C1500" s="22" t="str">
        <x:v>non-error</x:v>
      </x:c>
      <x:c r="D1500" s="22" t="str">
        <x:v>Regeneration E7</x:v>
      </x:c>
      <x:c r="E1500" s="75" t="n">
        <x:f>IF(ISERROR('Regeneration'!E7),0,1)</x:f>
        <x:v>1</x:v>
      </x:c>
      <x:c r="F1500" s="75" t="n">
        <x:v>1</x:v>
      </x:c>
      <x:c r="G1500" s="24" t="str">
        <x:f>IF(E1500=F1500,"PASS","FAIL")</x:f>
        <x:v>PASS</x:v>
      </x:c>
    </x:row>
    <x:row r="1501">
      <x:c r="B1501" s="22" t="str">
        <x:v>AC-1495</x:v>
      </x:c>
      <x:c r="C1501" s="22" t="str">
        <x:v>non-error</x:v>
      </x:c>
      <x:c r="D1501" s="22" t="str">
        <x:v>Regeneration G7</x:v>
      </x:c>
      <x:c r="E1501" s="75" t="n">
        <x:f>IF(ISERROR('Regeneration'!G7),0,1)</x:f>
        <x:v>1</x:v>
      </x:c>
      <x:c r="F1501" s="75" t="n">
        <x:v>1</x:v>
      </x:c>
      <x:c r="G1501" s="24" t="str">
        <x:f>IF(E1501=F1501,"PASS","FAIL")</x:f>
        <x:v>PASS</x:v>
      </x:c>
    </x:row>
    <x:row r="1502">
      <x:c r="B1502" s="22" t="str">
        <x:v>AC-1496</x:v>
      </x:c>
      <x:c r="C1502" s="22" t="str">
        <x:v>non-error</x:v>
      </x:c>
      <x:c r="D1502" s="22" t="str">
        <x:v>Regeneration H7</x:v>
      </x:c>
      <x:c r="E1502" s="75" t="n">
        <x:f>IF(ISERROR('Regeneration'!H7),0,1)</x:f>
        <x:v>1</x:v>
      </x:c>
      <x:c r="F1502" s="75" t="n">
        <x:v>1</x:v>
      </x:c>
      <x:c r="G1502" s="24" t="str">
        <x:f>IF(E1502=F1502,"PASS","FAIL")</x:f>
        <x:v>PASS</x:v>
      </x:c>
    </x:row>
    <x:row r="1503">
      <x:c r="B1503" s="22" t="str">
        <x:v>AC-1497</x:v>
      </x:c>
      <x:c r="C1503" s="22" t="str">
        <x:v>non-error</x:v>
      </x:c>
      <x:c r="D1503" s="22" t="str">
        <x:v>Regeneration I7</x:v>
      </x:c>
      <x:c r="E1503" s="75" t="n">
        <x:f>IF(ISERROR('Regeneration'!I7),0,1)</x:f>
        <x:v>1</x:v>
      </x:c>
      <x:c r="F1503" s="75" t="n">
        <x:v>1</x:v>
      </x:c>
      <x:c r="G1503" s="24" t="str">
        <x:f>IF(E1503=F1503,"PASS","FAIL")</x:f>
        <x:v>PASS</x:v>
      </x:c>
    </x:row>
    <x:row r="1504">
      <x:c r="B1504" s="22" t="str">
        <x:v>AC-1498</x:v>
      </x:c>
      <x:c r="C1504" s="22" t="str">
        <x:v>non-error</x:v>
      </x:c>
      <x:c r="D1504" s="22" t="str">
        <x:v>Regeneration J7</x:v>
      </x:c>
      <x:c r="E1504" s="75" t="n">
        <x:f>IF(ISERROR('Regeneration'!J7),0,1)</x:f>
        <x:v>1</x:v>
      </x:c>
      <x:c r="F1504" s="75" t="n">
        <x:v>1</x:v>
      </x:c>
      <x:c r="G1504" s="24" t="str">
        <x:f>IF(E1504=F1504,"PASS","FAIL")</x:f>
        <x:v>PASS</x:v>
      </x:c>
    </x:row>
    <x:row r="1505">
      <x:c r="B1505" s="22" t="str">
        <x:v>AC-1499</x:v>
      </x:c>
      <x:c r="C1505" s="22" t="str">
        <x:v>non-error</x:v>
      </x:c>
      <x:c r="D1505" s="22" t="str">
        <x:v>Regeneration K7</x:v>
      </x:c>
      <x:c r="E1505" s="75" t="n">
        <x:f>IF(ISERROR('Regeneration'!K7),0,1)</x:f>
        <x:v>1</x:v>
      </x:c>
      <x:c r="F1505" s="75" t="n">
        <x:v>1</x:v>
      </x:c>
      <x:c r="G1505" s="24" t="str">
        <x:f>IF(E1505=F1505,"PASS","FAIL")</x:f>
        <x:v>PASS</x:v>
      </x:c>
    </x:row>
    <x:row r="1506">
      <x:c r="B1506" s="22" t="str">
        <x:v>AC-1500</x:v>
      </x:c>
      <x:c r="C1506" s="22" t="str">
        <x:v>non-error</x:v>
      </x:c>
      <x:c r="D1506" s="22" t="str">
        <x:v>Regeneration L7</x:v>
      </x:c>
      <x:c r="E1506" s="75" t="n">
        <x:f>IF(ISERROR('Regeneration'!L7),0,1)</x:f>
        <x:v>1</x:v>
      </x:c>
      <x:c r="F1506" s="75" t="n">
        <x:v>1</x:v>
      </x:c>
      <x:c r="G1506" s="24" t="str">
        <x:f>IF(E1506=F1506,"PASS","FAIL")</x:f>
        <x:v>PASS</x:v>
      </x:c>
    </x:row>
    <x:row r="1507">
      <x:c r="B1507" s="22" t="str">
        <x:v>AC-1501</x:v>
      </x:c>
      <x:c r="C1507" s="22" t="str">
        <x:v>non-error</x:v>
      </x:c>
      <x:c r="D1507" s="22" t="str">
        <x:v>Regeneration M7</x:v>
      </x:c>
      <x:c r="E1507" s="75" t="n">
        <x:f>IF(ISERROR('Regeneration'!M7),0,1)</x:f>
        <x:v>1</x:v>
      </x:c>
      <x:c r="F1507" s="75" t="n">
        <x:v>1</x:v>
      </x:c>
      <x:c r="G1507" s="24" t="str">
        <x:f>IF(E1507=F1507,"PASS","FAIL")</x:f>
        <x:v>PASS</x:v>
      </x:c>
    </x:row>
    <x:row r="1508">
      <x:c r="B1508" s="22" t="str">
        <x:v>AC-1502</x:v>
      </x:c>
      <x:c r="C1508" s="22" t="str">
        <x:v>non-error</x:v>
      </x:c>
      <x:c r="D1508" s="22" t="str">
        <x:v>Regeneration N7</x:v>
      </x:c>
      <x:c r="E1508" s="75" t="n">
        <x:f>IF(ISERROR('Regeneration'!N7),0,1)</x:f>
        <x:v>1</x:v>
      </x:c>
      <x:c r="F1508" s="75" t="n">
        <x:v>1</x:v>
      </x:c>
      <x:c r="G1508" s="24" t="str">
        <x:f>IF(E1508=F1508,"PASS","FAIL")</x:f>
        <x:v>PASS</x:v>
      </x:c>
    </x:row>
    <x:row r="1509">
      <x:c r="B1509" s="22" t="str">
        <x:v>AC-1503</x:v>
      </x:c>
      <x:c r="C1509" s="22" t="str">
        <x:v>non-error</x:v>
      </x:c>
      <x:c r="D1509" s="22" t="str">
        <x:v>Regeneration O7</x:v>
      </x:c>
      <x:c r="E1509" s="75" t="n">
        <x:f>IF(ISERROR('Regeneration'!O7),0,1)</x:f>
        <x:v>1</x:v>
      </x:c>
      <x:c r="F1509" s="75" t="n">
        <x:v>1</x:v>
      </x:c>
      <x:c r="G1509" s="24" t="str">
        <x:f>IF(E1509=F1509,"PASS","FAIL")</x:f>
        <x:v>PASS</x:v>
      </x:c>
    </x:row>
    <x:row r="1510">
      <x:c r="B1510" s="22" t="str">
        <x:v>AC-1504</x:v>
      </x:c>
      <x:c r="C1510" s="22" t="str">
        <x:v>non-error</x:v>
      </x:c>
      <x:c r="D1510" s="22" t="str">
        <x:v>Regeneration E8</x:v>
      </x:c>
      <x:c r="E1510" s="75" t="n">
        <x:f>IF(ISERROR('Regeneration'!E8),0,1)</x:f>
        <x:v>1</x:v>
      </x:c>
      <x:c r="F1510" s="75" t="n">
        <x:v>1</x:v>
      </x:c>
      <x:c r="G1510" s="24" t="str">
        <x:f>IF(E1510=F1510,"PASS","FAIL")</x:f>
        <x:v>PASS</x:v>
      </x:c>
    </x:row>
    <x:row r="1511">
      <x:c r="B1511" s="22" t="str">
        <x:v>AC-1505</x:v>
      </x:c>
      <x:c r="C1511" s="22" t="str">
        <x:v>non-error</x:v>
      </x:c>
      <x:c r="D1511" s="22" t="str">
        <x:v>Regeneration G8</x:v>
      </x:c>
      <x:c r="E1511" s="75" t="n">
        <x:f>IF(ISERROR('Regeneration'!G8),0,1)</x:f>
        <x:v>1</x:v>
      </x:c>
      <x:c r="F1511" s="75" t="n">
        <x:v>1</x:v>
      </x:c>
      <x:c r="G1511" s="24" t="str">
        <x:f>IF(E1511=F1511,"PASS","FAIL")</x:f>
        <x:v>PASS</x:v>
      </x:c>
    </x:row>
    <x:row r="1512">
      <x:c r="B1512" s="22" t="str">
        <x:v>AC-1506</x:v>
      </x:c>
      <x:c r="C1512" s="22" t="str">
        <x:v>non-error</x:v>
      </x:c>
      <x:c r="D1512" s="22" t="str">
        <x:v>Regeneration H8</x:v>
      </x:c>
      <x:c r="E1512" s="75" t="n">
        <x:f>IF(ISERROR('Regeneration'!H8),0,1)</x:f>
        <x:v>1</x:v>
      </x:c>
      <x:c r="F1512" s="75" t="n">
        <x:v>1</x:v>
      </x:c>
      <x:c r="G1512" s="24" t="str">
        <x:f>IF(E1512=F1512,"PASS","FAIL")</x:f>
        <x:v>PASS</x:v>
      </x:c>
    </x:row>
    <x:row r="1513">
      <x:c r="B1513" s="22" t="str">
        <x:v>AC-1507</x:v>
      </x:c>
      <x:c r="C1513" s="22" t="str">
        <x:v>non-error</x:v>
      </x:c>
      <x:c r="D1513" s="22" t="str">
        <x:v>Regeneration I8</x:v>
      </x:c>
      <x:c r="E1513" s="75" t="n">
        <x:f>IF(ISERROR('Regeneration'!I8),0,1)</x:f>
        <x:v>1</x:v>
      </x:c>
      <x:c r="F1513" s="75" t="n">
        <x:v>1</x:v>
      </x:c>
      <x:c r="G1513" s="24" t="str">
        <x:f>IF(E1513=F1513,"PASS","FAIL")</x:f>
        <x:v>PASS</x:v>
      </x:c>
    </x:row>
    <x:row r="1514">
      <x:c r="B1514" s="22" t="str">
        <x:v>AC-1508</x:v>
      </x:c>
      <x:c r="C1514" s="22" t="str">
        <x:v>non-error</x:v>
      </x:c>
      <x:c r="D1514" s="22" t="str">
        <x:v>Regeneration J8</x:v>
      </x:c>
      <x:c r="E1514" s="75" t="n">
        <x:f>IF(ISERROR('Regeneration'!J8),0,1)</x:f>
        <x:v>1</x:v>
      </x:c>
      <x:c r="F1514" s="75" t="n">
        <x:v>1</x:v>
      </x:c>
      <x:c r="G1514" s="24" t="str">
        <x:f>IF(E1514=F1514,"PASS","FAIL")</x:f>
        <x:v>PASS</x:v>
      </x:c>
    </x:row>
    <x:row r="1515">
      <x:c r="B1515" s="22" t="str">
        <x:v>AC-1509</x:v>
      </x:c>
      <x:c r="C1515" s="22" t="str">
        <x:v>non-error</x:v>
      </x:c>
      <x:c r="D1515" s="22" t="str">
        <x:v>Regeneration K8</x:v>
      </x:c>
      <x:c r="E1515" s="75" t="n">
        <x:f>IF(ISERROR('Regeneration'!K8),0,1)</x:f>
        <x:v>1</x:v>
      </x:c>
      <x:c r="F1515" s="75" t="n">
        <x:v>1</x:v>
      </x:c>
      <x:c r="G1515" s="24" t="str">
        <x:f>IF(E1515=F1515,"PASS","FAIL")</x:f>
        <x:v>PASS</x:v>
      </x:c>
    </x:row>
    <x:row r="1516">
      <x:c r="B1516" s="22" t="str">
        <x:v>AC-1510</x:v>
      </x:c>
      <x:c r="C1516" s="22" t="str">
        <x:v>non-error</x:v>
      </x:c>
      <x:c r="D1516" s="22" t="str">
        <x:v>Regeneration L8</x:v>
      </x:c>
      <x:c r="E1516" s="75" t="n">
        <x:f>IF(ISERROR('Regeneration'!L8),0,1)</x:f>
        <x:v>1</x:v>
      </x:c>
      <x:c r="F1516" s="75" t="n">
        <x:v>1</x:v>
      </x:c>
      <x:c r="G1516" s="24" t="str">
        <x:f>IF(E1516=F1516,"PASS","FAIL")</x:f>
        <x:v>PASS</x:v>
      </x:c>
    </x:row>
    <x:row r="1517">
      <x:c r="B1517" s="22" t="str">
        <x:v>AC-1511</x:v>
      </x:c>
      <x:c r="C1517" s="22" t="str">
        <x:v>non-error</x:v>
      </x:c>
      <x:c r="D1517" s="22" t="str">
        <x:v>Regeneration M8</x:v>
      </x:c>
      <x:c r="E1517" s="75" t="n">
        <x:f>IF(ISERROR('Regeneration'!M8),0,1)</x:f>
        <x:v>1</x:v>
      </x:c>
      <x:c r="F1517" s="75" t="n">
        <x:v>1</x:v>
      </x:c>
      <x:c r="G1517" s="24" t="str">
        <x:f>IF(E1517=F1517,"PASS","FAIL")</x:f>
        <x:v>PASS</x:v>
      </x:c>
    </x:row>
    <x:row r="1518">
      <x:c r="B1518" s="22" t="str">
        <x:v>AC-1512</x:v>
      </x:c>
      <x:c r="C1518" s="22" t="str">
        <x:v>non-error</x:v>
      </x:c>
      <x:c r="D1518" s="22" t="str">
        <x:v>Regeneration N8</x:v>
      </x:c>
      <x:c r="E1518" s="75" t="n">
        <x:f>IF(ISERROR('Regeneration'!N8),0,1)</x:f>
        <x:v>1</x:v>
      </x:c>
      <x:c r="F1518" s="75" t="n">
        <x:v>1</x:v>
      </x:c>
      <x:c r="G1518" s="24" t="str">
        <x:f>IF(E1518=F1518,"PASS","FAIL")</x:f>
        <x:v>PASS</x:v>
      </x:c>
    </x:row>
    <x:row r="1519">
      <x:c r="B1519" s="22" t="str">
        <x:v>AC-1513</x:v>
      </x:c>
      <x:c r="C1519" s="22" t="str">
        <x:v>non-error</x:v>
      </x:c>
      <x:c r="D1519" s="22" t="str">
        <x:v>Regeneration O8</x:v>
      </x:c>
      <x:c r="E1519" s="75" t="n">
        <x:f>IF(ISERROR('Regeneration'!O8),0,1)</x:f>
        <x:v>1</x:v>
      </x:c>
      <x:c r="F1519" s="75" t="n">
        <x:v>1</x:v>
      </x:c>
      <x:c r="G1519" s="24" t="str">
        <x:f>IF(E1519=F1519,"PASS","FAIL")</x:f>
        <x:v>PASS</x:v>
      </x:c>
    </x:row>
    <x:row r="1520">
      <x:c r="B1520" s="22" t="str">
        <x:v>AC-1514</x:v>
      </x:c>
      <x:c r="C1520" s="22" t="str">
        <x:v>non-error</x:v>
      </x:c>
      <x:c r="D1520" s="22" t="str">
        <x:v>Regeneration E9</x:v>
      </x:c>
      <x:c r="E1520" s="75" t="n">
        <x:f>IF(ISERROR('Regeneration'!E9),0,1)</x:f>
        <x:v>1</x:v>
      </x:c>
      <x:c r="F1520" s="75" t="n">
        <x:v>1</x:v>
      </x:c>
      <x:c r="G1520" s="24" t="str">
        <x:f>IF(E1520=F1520,"PASS","FAIL")</x:f>
        <x:v>PASS</x:v>
      </x:c>
    </x:row>
    <x:row r="1521">
      <x:c r="B1521" s="22" t="str">
        <x:v>AC-1515</x:v>
      </x:c>
      <x:c r="C1521" s="22" t="str">
        <x:v>non-error</x:v>
      </x:c>
      <x:c r="D1521" s="22" t="str">
        <x:v>Regeneration G9</x:v>
      </x:c>
      <x:c r="E1521" s="75" t="n">
        <x:f>IF(ISERROR('Regeneration'!G9),0,1)</x:f>
        <x:v>1</x:v>
      </x:c>
      <x:c r="F1521" s="75" t="n">
        <x:v>1</x:v>
      </x:c>
      <x:c r="G1521" s="24" t="str">
        <x:f>IF(E1521=F1521,"PASS","FAIL")</x:f>
        <x:v>PASS</x:v>
      </x:c>
    </x:row>
    <x:row r="1522">
      <x:c r="B1522" s="22" t="str">
        <x:v>AC-1516</x:v>
      </x:c>
      <x:c r="C1522" s="22" t="str">
        <x:v>non-error</x:v>
      </x:c>
      <x:c r="D1522" s="22" t="str">
        <x:v>Regeneration H9</x:v>
      </x:c>
      <x:c r="E1522" s="75" t="n">
        <x:f>IF(ISERROR('Regeneration'!H9),0,1)</x:f>
        <x:v>1</x:v>
      </x:c>
      <x:c r="F1522" s="75" t="n">
        <x:v>1</x:v>
      </x:c>
      <x:c r="G1522" s="24" t="str">
        <x:f>IF(E1522=F1522,"PASS","FAIL")</x:f>
        <x:v>PASS</x:v>
      </x:c>
    </x:row>
    <x:row r="1523">
      <x:c r="B1523" s="22" t="str">
        <x:v>AC-1517</x:v>
      </x:c>
      <x:c r="C1523" s="22" t="str">
        <x:v>non-error</x:v>
      </x:c>
      <x:c r="D1523" s="22" t="str">
        <x:v>Regeneration I9</x:v>
      </x:c>
      <x:c r="E1523" s="75" t="n">
        <x:f>IF(ISERROR('Regeneration'!I9),0,1)</x:f>
        <x:v>1</x:v>
      </x:c>
      <x:c r="F1523" s="75" t="n">
        <x:v>1</x:v>
      </x:c>
      <x:c r="G1523" s="24" t="str">
        <x:f>IF(E1523=F1523,"PASS","FAIL")</x:f>
        <x:v>PASS</x:v>
      </x:c>
    </x:row>
    <x:row r="1524">
      <x:c r="B1524" s="22" t="str">
        <x:v>AC-1518</x:v>
      </x:c>
      <x:c r="C1524" s="22" t="str">
        <x:v>non-error</x:v>
      </x:c>
      <x:c r="D1524" s="22" t="str">
        <x:v>Regeneration J9</x:v>
      </x:c>
      <x:c r="E1524" s="75" t="n">
        <x:f>IF(ISERROR('Regeneration'!J9),0,1)</x:f>
        <x:v>1</x:v>
      </x:c>
      <x:c r="F1524" s="75" t="n">
        <x:v>1</x:v>
      </x:c>
      <x:c r="G1524" s="24" t="str">
        <x:f>IF(E1524=F1524,"PASS","FAIL")</x:f>
        <x:v>PASS</x:v>
      </x:c>
    </x:row>
    <x:row r="1525">
      <x:c r="B1525" s="22" t="str">
        <x:v>AC-1519</x:v>
      </x:c>
      <x:c r="C1525" s="22" t="str">
        <x:v>non-error</x:v>
      </x:c>
      <x:c r="D1525" s="22" t="str">
        <x:v>Regeneration K9</x:v>
      </x:c>
      <x:c r="E1525" s="75" t="n">
        <x:f>IF(ISERROR('Regeneration'!K9),0,1)</x:f>
        <x:v>1</x:v>
      </x:c>
      <x:c r="F1525" s="75" t="n">
        <x:v>1</x:v>
      </x:c>
      <x:c r="G1525" s="24" t="str">
        <x:f>IF(E1525=F1525,"PASS","FAIL")</x:f>
        <x:v>PASS</x:v>
      </x:c>
    </x:row>
    <x:row r="1526">
      <x:c r="B1526" s="22" t="str">
        <x:v>AC-1520</x:v>
      </x:c>
      <x:c r="C1526" s="22" t="str">
        <x:v>non-error</x:v>
      </x:c>
      <x:c r="D1526" s="22" t="str">
        <x:v>Regeneration L9</x:v>
      </x:c>
      <x:c r="E1526" s="75" t="n">
        <x:f>IF(ISERROR('Regeneration'!L9),0,1)</x:f>
        <x:v>1</x:v>
      </x:c>
      <x:c r="F1526" s="75" t="n">
        <x:v>1</x:v>
      </x:c>
      <x:c r="G1526" s="24" t="str">
        <x:f>IF(E1526=F1526,"PASS","FAIL")</x:f>
        <x:v>PASS</x:v>
      </x:c>
    </x:row>
    <x:row r="1527">
      <x:c r="B1527" s="22" t="str">
        <x:v>AC-1521</x:v>
      </x:c>
      <x:c r="C1527" s="22" t="str">
        <x:v>non-error</x:v>
      </x:c>
      <x:c r="D1527" s="22" t="str">
        <x:v>Regeneration M9</x:v>
      </x:c>
      <x:c r="E1527" s="75" t="n">
        <x:f>IF(ISERROR('Regeneration'!M9),0,1)</x:f>
        <x:v>1</x:v>
      </x:c>
      <x:c r="F1527" s="75" t="n">
        <x:v>1</x:v>
      </x:c>
      <x:c r="G1527" s="24" t="str">
        <x:f>IF(E1527=F1527,"PASS","FAIL")</x:f>
        <x:v>PASS</x:v>
      </x:c>
    </x:row>
    <x:row r="1528">
      <x:c r="B1528" s="22" t="str">
        <x:v>AC-1522</x:v>
      </x:c>
      <x:c r="C1528" s="22" t="str">
        <x:v>non-error</x:v>
      </x:c>
      <x:c r="D1528" s="22" t="str">
        <x:v>Regeneration N9</x:v>
      </x:c>
      <x:c r="E1528" s="75" t="n">
        <x:f>IF(ISERROR('Regeneration'!N9),0,1)</x:f>
        <x:v>1</x:v>
      </x:c>
      <x:c r="F1528" s="75" t="n">
        <x:v>1</x:v>
      </x:c>
      <x:c r="G1528" s="24" t="str">
        <x:f>IF(E1528=F1528,"PASS","FAIL")</x:f>
        <x:v>PASS</x:v>
      </x:c>
    </x:row>
    <x:row r="1529">
      <x:c r="B1529" s="22" t="str">
        <x:v>AC-1523</x:v>
      </x:c>
      <x:c r="C1529" s="22" t="str">
        <x:v>non-error</x:v>
      </x:c>
      <x:c r="D1529" s="22" t="str">
        <x:v>Regeneration O9</x:v>
      </x:c>
      <x:c r="E1529" s="75" t="n">
        <x:f>IF(ISERROR('Regeneration'!O9),0,1)</x:f>
        <x:v>1</x:v>
      </x:c>
      <x:c r="F1529" s="75" t="n">
        <x:v>1</x:v>
      </x:c>
      <x:c r="G1529" s="24" t="str">
        <x:f>IF(E1529=F1529,"PASS","FAIL")</x:f>
        <x:v>PASS</x:v>
      </x:c>
    </x:row>
    <x:row r="1530">
      <x:c r="B1530" s="22" t="str">
        <x:v>AC-1524</x:v>
      </x:c>
      <x:c r="C1530" s="22" t="str">
        <x:v>non-error</x:v>
      </x:c>
      <x:c r="D1530" s="22" t="str">
        <x:v>Regeneration E10</x:v>
      </x:c>
      <x:c r="E1530" s="75" t="n">
        <x:f>IF(ISERROR('Regeneration'!E10),0,1)</x:f>
        <x:v>1</x:v>
      </x:c>
      <x:c r="F1530" s="75" t="n">
        <x:v>1</x:v>
      </x:c>
      <x:c r="G1530" s="24" t="str">
        <x:f>IF(E1530=F1530,"PASS","FAIL")</x:f>
        <x:v>PASS</x:v>
      </x:c>
    </x:row>
    <x:row r="1531">
      <x:c r="B1531" s="22" t="str">
        <x:v>AC-1525</x:v>
      </x:c>
      <x:c r="C1531" s="22" t="str">
        <x:v>non-error</x:v>
      </x:c>
      <x:c r="D1531" s="22" t="str">
        <x:v>Regeneration G10</x:v>
      </x:c>
      <x:c r="E1531" s="75" t="n">
        <x:f>IF(ISERROR('Regeneration'!G10),0,1)</x:f>
        <x:v>1</x:v>
      </x:c>
      <x:c r="F1531" s="75" t="n">
        <x:v>1</x:v>
      </x:c>
      <x:c r="G1531" s="24" t="str">
        <x:f>IF(E1531=F1531,"PASS","FAIL")</x:f>
        <x:v>PASS</x:v>
      </x:c>
    </x:row>
    <x:row r="1532">
      <x:c r="B1532" s="22" t="str">
        <x:v>AC-1526</x:v>
      </x:c>
      <x:c r="C1532" s="22" t="str">
        <x:v>non-error</x:v>
      </x:c>
      <x:c r="D1532" s="22" t="str">
        <x:v>Regeneration H10</x:v>
      </x:c>
      <x:c r="E1532" s="75" t="n">
        <x:f>IF(ISERROR('Regeneration'!H10),0,1)</x:f>
        <x:v>1</x:v>
      </x:c>
      <x:c r="F1532" s="75" t="n">
        <x:v>1</x:v>
      </x:c>
      <x:c r="G1532" s="24" t="str">
        <x:f>IF(E1532=F1532,"PASS","FAIL")</x:f>
        <x:v>PASS</x:v>
      </x:c>
    </x:row>
    <x:row r="1533">
      <x:c r="B1533" s="22" t="str">
        <x:v>AC-1527</x:v>
      </x:c>
      <x:c r="C1533" s="22" t="str">
        <x:v>non-error</x:v>
      </x:c>
      <x:c r="D1533" s="22" t="str">
        <x:v>Regeneration I10</x:v>
      </x:c>
      <x:c r="E1533" s="75" t="n">
        <x:f>IF(ISERROR('Regeneration'!I10),0,1)</x:f>
        <x:v>1</x:v>
      </x:c>
      <x:c r="F1533" s="75" t="n">
        <x:v>1</x:v>
      </x:c>
      <x:c r="G1533" s="24" t="str">
        <x:f>IF(E1533=F1533,"PASS","FAIL")</x:f>
        <x:v>PASS</x:v>
      </x:c>
    </x:row>
    <x:row r="1534">
      <x:c r="B1534" s="22" t="str">
        <x:v>AC-1528</x:v>
      </x:c>
      <x:c r="C1534" s="22" t="str">
        <x:v>non-error</x:v>
      </x:c>
      <x:c r="D1534" s="22" t="str">
        <x:v>Regeneration J10</x:v>
      </x:c>
      <x:c r="E1534" s="75" t="n">
        <x:f>IF(ISERROR('Regeneration'!J10),0,1)</x:f>
        <x:v>1</x:v>
      </x:c>
      <x:c r="F1534" s="75" t="n">
        <x:v>1</x:v>
      </x:c>
      <x:c r="G1534" s="24" t="str">
        <x:f>IF(E1534=F1534,"PASS","FAIL")</x:f>
        <x:v>PASS</x:v>
      </x:c>
    </x:row>
    <x:row r="1535">
      <x:c r="B1535" s="22" t="str">
        <x:v>AC-1529</x:v>
      </x:c>
      <x:c r="C1535" s="22" t="str">
        <x:v>non-error</x:v>
      </x:c>
      <x:c r="D1535" s="22" t="str">
        <x:v>Regeneration K10</x:v>
      </x:c>
      <x:c r="E1535" s="75" t="n">
        <x:f>IF(ISERROR('Regeneration'!K10),0,1)</x:f>
        <x:v>1</x:v>
      </x:c>
      <x:c r="F1535" s="75" t="n">
        <x:v>1</x:v>
      </x:c>
      <x:c r="G1535" s="24" t="str">
        <x:f>IF(E1535=F1535,"PASS","FAIL")</x:f>
        <x:v>PASS</x:v>
      </x:c>
    </x:row>
    <x:row r="1536">
      <x:c r="B1536" s="22" t="str">
        <x:v>AC-1530</x:v>
      </x:c>
      <x:c r="C1536" s="22" t="str">
        <x:v>non-error</x:v>
      </x:c>
      <x:c r="D1536" s="22" t="str">
        <x:v>Regeneration L10</x:v>
      </x:c>
      <x:c r="E1536" s="75" t="n">
        <x:f>IF(ISERROR('Regeneration'!L10),0,1)</x:f>
        <x:v>1</x:v>
      </x:c>
      <x:c r="F1536" s="75" t="n">
        <x:v>1</x:v>
      </x:c>
      <x:c r="G1536" s="24" t="str">
        <x:f>IF(E1536=F1536,"PASS","FAIL")</x:f>
        <x:v>PASS</x:v>
      </x:c>
    </x:row>
    <x:row r="1537">
      <x:c r="B1537" s="22" t="str">
        <x:v>AC-1531</x:v>
      </x:c>
      <x:c r="C1537" s="22" t="str">
        <x:v>non-error</x:v>
      </x:c>
      <x:c r="D1537" s="22" t="str">
        <x:v>Regeneration M10</x:v>
      </x:c>
      <x:c r="E1537" s="75" t="n">
        <x:f>IF(ISERROR('Regeneration'!M10),0,1)</x:f>
        <x:v>1</x:v>
      </x:c>
      <x:c r="F1537" s="75" t="n">
        <x:v>1</x:v>
      </x:c>
      <x:c r="G1537" s="24" t="str">
        <x:f>IF(E1537=F1537,"PASS","FAIL")</x:f>
        <x:v>PASS</x:v>
      </x:c>
    </x:row>
    <x:row r="1538">
      <x:c r="B1538" s="22" t="str">
        <x:v>AC-1532</x:v>
      </x:c>
      <x:c r="C1538" s="22" t="str">
        <x:v>non-error</x:v>
      </x:c>
      <x:c r="D1538" s="22" t="str">
        <x:v>Regeneration N10</x:v>
      </x:c>
      <x:c r="E1538" s="75" t="n">
        <x:f>IF(ISERROR('Regeneration'!N10),0,1)</x:f>
        <x:v>1</x:v>
      </x:c>
      <x:c r="F1538" s="75" t="n">
        <x:v>1</x:v>
      </x:c>
      <x:c r="G1538" s="24" t="str">
        <x:f>IF(E1538=F1538,"PASS","FAIL")</x:f>
        <x:v>PASS</x:v>
      </x:c>
    </x:row>
    <x:row r="1539">
      <x:c r="B1539" s="22" t="str">
        <x:v>AC-1533</x:v>
      </x:c>
      <x:c r="C1539" s="22" t="str">
        <x:v>non-error</x:v>
      </x:c>
      <x:c r="D1539" s="22" t="str">
        <x:v>Regeneration O10</x:v>
      </x:c>
      <x:c r="E1539" s="75" t="n">
        <x:f>IF(ISERROR('Regeneration'!O10),0,1)</x:f>
        <x:v>1</x:v>
      </x:c>
      <x:c r="F1539" s="75" t="n">
        <x:v>1</x:v>
      </x:c>
      <x:c r="G1539" s="24" t="str">
        <x:f>IF(E1539=F1539,"PASS","FAIL")</x:f>
        <x:v>PASS</x:v>
      </x:c>
    </x:row>
    <x:row r="1540">
      <x:c r="B1540" s="22" t="str">
        <x:v>AC-1534</x:v>
      </x:c>
      <x:c r="C1540" s="22" t="str">
        <x:v>non-error</x:v>
      </x:c>
      <x:c r="D1540" s="22" t="str">
        <x:v>Regeneration E11</x:v>
      </x:c>
      <x:c r="E1540" s="75" t="n">
        <x:f>IF(ISERROR('Regeneration'!E11),0,1)</x:f>
        <x:v>1</x:v>
      </x:c>
      <x:c r="F1540" s="75" t="n">
        <x:v>1</x:v>
      </x:c>
      <x:c r="G1540" s="24" t="str">
        <x:f>IF(E1540=F1540,"PASS","FAIL")</x:f>
        <x:v>PASS</x:v>
      </x:c>
    </x:row>
    <x:row r="1541">
      <x:c r="B1541" s="22" t="str">
        <x:v>AC-1535</x:v>
      </x:c>
      <x:c r="C1541" s="22" t="str">
        <x:v>non-error</x:v>
      </x:c>
      <x:c r="D1541" s="22" t="str">
        <x:v>Regeneration G11</x:v>
      </x:c>
      <x:c r="E1541" s="75" t="n">
        <x:f>IF(ISERROR('Regeneration'!G11),0,1)</x:f>
        <x:v>1</x:v>
      </x:c>
      <x:c r="F1541" s="75" t="n">
        <x:v>1</x:v>
      </x:c>
      <x:c r="G1541" s="24" t="str">
        <x:f>IF(E1541=F1541,"PASS","FAIL")</x:f>
        <x:v>PASS</x:v>
      </x:c>
    </x:row>
    <x:row r="1542">
      <x:c r="B1542" s="22" t="str">
        <x:v>AC-1536</x:v>
      </x:c>
      <x:c r="C1542" s="22" t="str">
        <x:v>non-error</x:v>
      </x:c>
      <x:c r="D1542" s="22" t="str">
        <x:v>Regeneration H11</x:v>
      </x:c>
      <x:c r="E1542" s="75" t="n">
        <x:f>IF(ISERROR('Regeneration'!H11),0,1)</x:f>
        <x:v>1</x:v>
      </x:c>
      <x:c r="F1542" s="75" t="n">
        <x:v>1</x:v>
      </x:c>
      <x:c r="G1542" s="24" t="str">
        <x:f>IF(E1542=F1542,"PASS","FAIL")</x:f>
        <x:v>PASS</x:v>
      </x:c>
    </x:row>
    <x:row r="1543">
      <x:c r="B1543" s="22" t="str">
        <x:v>AC-1537</x:v>
      </x:c>
      <x:c r="C1543" s="22" t="str">
        <x:v>non-error</x:v>
      </x:c>
      <x:c r="D1543" s="22" t="str">
        <x:v>Regeneration I11</x:v>
      </x:c>
      <x:c r="E1543" s="75" t="n">
        <x:f>IF(ISERROR('Regeneration'!I11),0,1)</x:f>
        <x:v>1</x:v>
      </x:c>
      <x:c r="F1543" s="75" t="n">
        <x:v>1</x:v>
      </x:c>
      <x:c r="G1543" s="24" t="str">
        <x:f>IF(E1543=F1543,"PASS","FAIL")</x:f>
        <x:v>PASS</x:v>
      </x:c>
    </x:row>
    <x:row r="1544">
      <x:c r="B1544" s="22" t="str">
        <x:v>AC-1538</x:v>
      </x:c>
      <x:c r="C1544" s="22" t="str">
        <x:v>non-error</x:v>
      </x:c>
      <x:c r="D1544" s="22" t="str">
        <x:v>Regeneration J11</x:v>
      </x:c>
      <x:c r="E1544" s="75" t="n">
        <x:f>IF(ISERROR('Regeneration'!J11),0,1)</x:f>
        <x:v>1</x:v>
      </x:c>
      <x:c r="F1544" s="75" t="n">
        <x:v>1</x:v>
      </x:c>
      <x:c r="G1544" s="24" t="str">
        <x:f>IF(E1544=F1544,"PASS","FAIL")</x:f>
        <x:v>PASS</x:v>
      </x:c>
    </x:row>
    <x:row r="1545">
      <x:c r="B1545" s="22" t="str">
        <x:v>AC-1539</x:v>
      </x:c>
      <x:c r="C1545" s="22" t="str">
        <x:v>non-error</x:v>
      </x:c>
      <x:c r="D1545" s="22" t="str">
        <x:v>Regeneration K11</x:v>
      </x:c>
      <x:c r="E1545" s="75" t="n">
        <x:f>IF(ISERROR('Regeneration'!K11),0,1)</x:f>
        <x:v>1</x:v>
      </x:c>
      <x:c r="F1545" s="75" t="n">
        <x:v>1</x:v>
      </x:c>
      <x:c r="G1545" s="24" t="str">
        <x:f>IF(E1545=F1545,"PASS","FAIL")</x:f>
        <x:v>PASS</x:v>
      </x:c>
    </x:row>
    <x:row r="1546">
      <x:c r="B1546" s="22" t="str">
        <x:v>AC-1540</x:v>
      </x:c>
      <x:c r="C1546" s="22" t="str">
        <x:v>non-error</x:v>
      </x:c>
      <x:c r="D1546" s="22" t="str">
        <x:v>Regeneration L11</x:v>
      </x:c>
      <x:c r="E1546" s="75" t="n">
        <x:f>IF(ISERROR('Regeneration'!L11),0,1)</x:f>
        <x:v>1</x:v>
      </x:c>
      <x:c r="F1546" s="75" t="n">
        <x:v>1</x:v>
      </x:c>
      <x:c r="G1546" s="24" t="str">
        <x:f>IF(E1546=F1546,"PASS","FAIL")</x:f>
        <x:v>PASS</x:v>
      </x:c>
    </x:row>
    <x:row r="1547">
      <x:c r="B1547" s="22" t="str">
        <x:v>AC-1541</x:v>
      </x:c>
      <x:c r="C1547" s="22" t="str">
        <x:v>non-error</x:v>
      </x:c>
      <x:c r="D1547" s="22" t="str">
        <x:v>Regeneration M11</x:v>
      </x:c>
      <x:c r="E1547" s="75" t="n">
        <x:f>IF(ISERROR('Regeneration'!M11),0,1)</x:f>
        <x:v>1</x:v>
      </x:c>
      <x:c r="F1547" s="75" t="n">
        <x:v>1</x:v>
      </x:c>
      <x:c r="G1547" s="24" t="str">
        <x:f>IF(E1547=F1547,"PASS","FAIL")</x:f>
        <x:v>PASS</x:v>
      </x:c>
    </x:row>
    <x:row r="1548">
      <x:c r="B1548" s="22" t="str">
        <x:v>AC-1542</x:v>
      </x:c>
      <x:c r="C1548" s="22" t="str">
        <x:v>non-error</x:v>
      </x:c>
      <x:c r="D1548" s="22" t="str">
        <x:v>Regeneration N11</x:v>
      </x:c>
      <x:c r="E1548" s="75" t="n">
        <x:f>IF(ISERROR('Regeneration'!N11),0,1)</x:f>
        <x:v>1</x:v>
      </x:c>
      <x:c r="F1548" s="75" t="n">
        <x:v>1</x:v>
      </x:c>
      <x:c r="G1548" s="24" t="str">
        <x:f>IF(E1548=F1548,"PASS","FAIL")</x:f>
        <x:v>PASS</x:v>
      </x:c>
    </x:row>
    <x:row r="1549">
      <x:c r="B1549" s="22" t="str">
        <x:v>AC-1543</x:v>
      </x:c>
      <x:c r="C1549" s="22" t="str">
        <x:v>non-error</x:v>
      </x:c>
      <x:c r="D1549" s="22" t="str">
        <x:v>Regeneration O11</x:v>
      </x:c>
      <x:c r="E1549" s="75" t="n">
        <x:f>IF(ISERROR('Regeneration'!O11),0,1)</x:f>
        <x:v>1</x:v>
      </x:c>
      <x:c r="F1549" s="75" t="n">
        <x:v>1</x:v>
      </x:c>
      <x:c r="G1549" s="24" t="str">
        <x:f>IF(E1549=F1549,"PASS","FAIL")</x:f>
        <x:v>PASS</x:v>
      </x:c>
    </x:row>
    <x:row r="1550">
      <x:c r="B1550" s="22" t="str">
        <x:v>AC-1544</x:v>
      </x:c>
      <x:c r="C1550" s="22" t="str">
        <x:v>non-error</x:v>
      </x:c>
      <x:c r="D1550" s="22" t="str">
        <x:v>Regeneration E12</x:v>
      </x:c>
      <x:c r="E1550" s="75" t="n">
        <x:f>IF(ISERROR('Regeneration'!E12),0,1)</x:f>
        <x:v>1</x:v>
      </x:c>
      <x:c r="F1550" s="75" t="n">
        <x:v>1</x:v>
      </x:c>
      <x:c r="G1550" s="24" t="str">
        <x:f>IF(E1550=F1550,"PASS","FAIL")</x:f>
        <x:v>PASS</x:v>
      </x:c>
    </x:row>
    <x:row r="1551">
      <x:c r="B1551" s="22" t="str">
        <x:v>AC-1545</x:v>
      </x:c>
      <x:c r="C1551" s="22" t="str">
        <x:v>non-error</x:v>
      </x:c>
      <x:c r="D1551" s="22" t="str">
        <x:v>Regeneration G12</x:v>
      </x:c>
      <x:c r="E1551" s="75" t="n">
        <x:f>IF(ISERROR('Regeneration'!G12),0,1)</x:f>
        <x:v>1</x:v>
      </x:c>
      <x:c r="F1551" s="75" t="n">
        <x:v>1</x:v>
      </x:c>
      <x:c r="G1551" s="24" t="str">
        <x:f>IF(E1551=F1551,"PASS","FAIL")</x:f>
        <x:v>PASS</x:v>
      </x:c>
    </x:row>
    <x:row r="1552">
      <x:c r="B1552" s="22" t="str">
        <x:v>AC-1546</x:v>
      </x:c>
      <x:c r="C1552" s="22" t="str">
        <x:v>non-error</x:v>
      </x:c>
      <x:c r="D1552" s="22" t="str">
        <x:v>Regeneration H12</x:v>
      </x:c>
      <x:c r="E1552" s="75" t="n">
        <x:f>IF(ISERROR('Regeneration'!H12),0,1)</x:f>
        <x:v>1</x:v>
      </x:c>
      <x:c r="F1552" s="75" t="n">
        <x:v>1</x:v>
      </x:c>
      <x:c r="G1552" s="24" t="str">
        <x:f>IF(E1552=F1552,"PASS","FAIL")</x:f>
        <x:v>PASS</x:v>
      </x:c>
    </x:row>
    <x:row r="1553">
      <x:c r="B1553" s="22" t="str">
        <x:v>AC-1547</x:v>
      </x:c>
      <x:c r="C1553" s="22" t="str">
        <x:v>non-error</x:v>
      </x:c>
      <x:c r="D1553" s="22" t="str">
        <x:v>Regeneration I12</x:v>
      </x:c>
      <x:c r="E1553" s="75" t="n">
        <x:f>IF(ISERROR('Regeneration'!I12),0,1)</x:f>
        <x:v>1</x:v>
      </x:c>
      <x:c r="F1553" s="75" t="n">
        <x:v>1</x:v>
      </x:c>
      <x:c r="G1553" s="24" t="str">
        <x:f>IF(E1553=F1553,"PASS","FAIL")</x:f>
        <x:v>PASS</x:v>
      </x:c>
    </x:row>
    <x:row r="1554">
      <x:c r="B1554" s="22" t="str">
        <x:v>AC-1548</x:v>
      </x:c>
      <x:c r="C1554" s="22" t="str">
        <x:v>non-error</x:v>
      </x:c>
      <x:c r="D1554" s="22" t="str">
        <x:v>Regeneration J12</x:v>
      </x:c>
      <x:c r="E1554" s="75" t="n">
        <x:f>IF(ISERROR('Regeneration'!J12),0,1)</x:f>
        <x:v>1</x:v>
      </x:c>
      <x:c r="F1554" s="75" t="n">
        <x:v>1</x:v>
      </x:c>
      <x:c r="G1554" s="24" t="str">
        <x:f>IF(E1554=F1554,"PASS","FAIL")</x:f>
        <x:v>PASS</x:v>
      </x:c>
    </x:row>
    <x:row r="1555">
      <x:c r="B1555" s="22" t="str">
        <x:v>AC-1549</x:v>
      </x:c>
      <x:c r="C1555" s="22" t="str">
        <x:v>non-error</x:v>
      </x:c>
      <x:c r="D1555" s="22" t="str">
        <x:v>Regeneration K12</x:v>
      </x:c>
      <x:c r="E1555" s="75" t="n">
        <x:f>IF(ISERROR('Regeneration'!K12),0,1)</x:f>
        <x:v>1</x:v>
      </x:c>
      <x:c r="F1555" s="75" t="n">
        <x:v>1</x:v>
      </x:c>
      <x:c r="G1555" s="24" t="str">
        <x:f>IF(E1555=F1555,"PASS","FAIL")</x:f>
        <x:v>PASS</x:v>
      </x:c>
    </x:row>
    <x:row r="1556">
      <x:c r="B1556" s="22" t="str">
        <x:v>AC-1550</x:v>
      </x:c>
      <x:c r="C1556" s="22" t="str">
        <x:v>non-error</x:v>
      </x:c>
      <x:c r="D1556" s="22" t="str">
        <x:v>Regeneration L12</x:v>
      </x:c>
      <x:c r="E1556" s="75" t="n">
        <x:f>IF(ISERROR('Regeneration'!L12),0,1)</x:f>
        <x:v>1</x:v>
      </x:c>
      <x:c r="F1556" s="75" t="n">
        <x:v>1</x:v>
      </x:c>
      <x:c r="G1556" s="24" t="str">
        <x:f>IF(E1556=F1556,"PASS","FAIL")</x:f>
        <x:v>PASS</x:v>
      </x:c>
    </x:row>
    <x:row r="1557">
      <x:c r="B1557" s="22" t="str">
        <x:v>AC-1551</x:v>
      </x:c>
      <x:c r="C1557" s="22" t="str">
        <x:v>non-error</x:v>
      </x:c>
      <x:c r="D1557" s="22" t="str">
        <x:v>Regeneration M12</x:v>
      </x:c>
      <x:c r="E1557" s="75" t="n">
        <x:f>IF(ISERROR('Regeneration'!M12),0,1)</x:f>
        <x:v>1</x:v>
      </x:c>
      <x:c r="F1557" s="75" t="n">
        <x:v>1</x:v>
      </x:c>
      <x:c r="G1557" s="24" t="str">
        <x:f>IF(E1557=F1557,"PASS","FAIL")</x:f>
        <x:v>PASS</x:v>
      </x:c>
    </x:row>
    <x:row r="1558">
      <x:c r="B1558" s="22" t="str">
        <x:v>AC-1552</x:v>
      </x:c>
      <x:c r="C1558" s="22" t="str">
        <x:v>non-error</x:v>
      </x:c>
      <x:c r="D1558" s="22" t="str">
        <x:v>Regeneration N12</x:v>
      </x:c>
      <x:c r="E1558" s="75" t="n">
        <x:f>IF(ISERROR('Regeneration'!N12),0,1)</x:f>
        <x:v>1</x:v>
      </x:c>
      <x:c r="F1558" s="75" t="n">
        <x:v>1</x:v>
      </x:c>
      <x:c r="G1558" s="24" t="str">
        <x:f>IF(E1558=F1558,"PASS","FAIL")</x:f>
        <x:v>PASS</x:v>
      </x:c>
    </x:row>
    <x:row r="1559">
      <x:c r="B1559" s="22" t="str">
        <x:v>AC-1553</x:v>
      </x:c>
      <x:c r="C1559" s="22" t="str">
        <x:v>non-error</x:v>
      </x:c>
      <x:c r="D1559" s="22" t="str">
        <x:v>Regeneration O12</x:v>
      </x:c>
      <x:c r="E1559" s="75" t="n">
        <x:f>IF(ISERROR('Regeneration'!O12),0,1)</x:f>
        <x:v>1</x:v>
      </x:c>
      <x:c r="F1559" s="75" t="n">
        <x:v>1</x:v>
      </x:c>
      <x:c r="G1559" s="24" t="str">
        <x:f>IF(E1559=F1559,"PASS","FAIL")</x:f>
        <x:v>PASS</x:v>
      </x:c>
    </x:row>
    <x:row r="1560">
      <x:c r="B1560" s="22" t="str">
        <x:v>AC-1554</x:v>
      </x:c>
      <x:c r="C1560" s="22" t="str">
        <x:v>non-error</x:v>
      </x:c>
      <x:c r="D1560" s="22" t="str">
        <x:v>Regeneration E13</x:v>
      </x:c>
      <x:c r="E1560" s="75" t="n">
        <x:f>IF(ISERROR('Regeneration'!E13),0,1)</x:f>
        <x:v>1</x:v>
      </x:c>
      <x:c r="F1560" s="75" t="n">
        <x:v>1</x:v>
      </x:c>
      <x:c r="G1560" s="24" t="str">
        <x:f>IF(E1560=F1560,"PASS","FAIL")</x:f>
        <x:v>PASS</x:v>
      </x:c>
    </x:row>
    <x:row r="1561">
      <x:c r="B1561" s="22" t="str">
        <x:v>AC-1555</x:v>
      </x:c>
      <x:c r="C1561" s="22" t="str">
        <x:v>non-error</x:v>
      </x:c>
      <x:c r="D1561" s="22" t="str">
        <x:v>Regeneration G13</x:v>
      </x:c>
      <x:c r="E1561" s="75" t="n">
        <x:f>IF(ISERROR('Regeneration'!G13),0,1)</x:f>
        <x:v>1</x:v>
      </x:c>
      <x:c r="F1561" s="75" t="n">
        <x:v>1</x:v>
      </x:c>
      <x:c r="G1561" s="24" t="str">
        <x:f>IF(E1561=F1561,"PASS","FAIL")</x:f>
        <x:v>PASS</x:v>
      </x:c>
    </x:row>
    <x:row r="1562">
      <x:c r="B1562" s="22" t="str">
        <x:v>AC-1556</x:v>
      </x:c>
      <x:c r="C1562" s="22" t="str">
        <x:v>non-error</x:v>
      </x:c>
      <x:c r="D1562" s="22" t="str">
        <x:v>Regeneration H13</x:v>
      </x:c>
      <x:c r="E1562" s="75" t="n">
        <x:f>IF(ISERROR('Regeneration'!H13),0,1)</x:f>
        <x:v>1</x:v>
      </x:c>
      <x:c r="F1562" s="75" t="n">
        <x:v>1</x:v>
      </x:c>
      <x:c r="G1562" s="24" t="str">
        <x:f>IF(E1562=F1562,"PASS","FAIL")</x:f>
        <x:v>PASS</x:v>
      </x:c>
    </x:row>
    <x:row r="1563">
      <x:c r="B1563" s="22" t="str">
        <x:v>AC-1557</x:v>
      </x:c>
      <x:c r="C1563" s="22" t="str">
        <x:v>non-error</x:v>
      </x:c>
      <x:c r="D1563" s="22" t="str">
        <x:v>Regeneration I13</x:v>
      </x:c>
      <x:c r="E1563" s="75" t="n">
        <x:f>IF(ISERROR('Regeneration'!I13),0,1)</x:f>
        <x:v>1</x:v>
      </x:c>
      <x:c r="F1563" s="75" t="n">
        <x:v>1</x:v>
      </x:c>
      <x:c r="G1563" s="24" t="str">
        <x:f>IF(E1563=F1563,"PASS","FAIL")</x:f>
        <x:v>PASS</x:v>
      </x:c>
    </x:row>
    <x:row r="1564">
      <x:c r="B1564" s="22" t="str">
        <x:v>AC-1558</x:v>
      </x:c>
      <x:c r="C1564" s="22" t="str">
        <x:v>non-error</x:v>
      </x:c>
      <x:c r="D1564" s="22" t="str">
        <x:v>Regeneration J13</x:v>
      </x:c>
      <x:c r="E1564" s="75" t="n">
        <x:f>IF(ISERROR('Regeneration'!J13),0,1)</x:f>
        <x:v>1</x:v>
      </x:c>
      <x:c r="F1564" s="75" t="n">
        <x:v>1</x:v>
      </x:c>
      <x:c r="G1564" s="24" t="str">
        <x:f>IF(E1564=F1564,"PASS","FAIL")</x:f>
        <x:v>PASS</x:v>
      </x:c>
    </x:row>
    <x:row r="1565">
      <x:c r="B1565" s="22" t="str">
        <x:v>AC-1559</x:v>
      </x:c>
      <x:c r="C1565" s="22" t="str">
        <x:v>non-error</x:v>
      </x:c>
      <x:c r="D1565" s="22" t="str">
        <x:v>Regeneration K13</x:v>
      </x:c>
      <x:c r="E1565" s="75" t="n">
        <x:f>IF(ISERROR('Regeneration'!K13),0,1)</x:f>
        <x:v>1</x:v>
      </x:c>
      <x:c r="F1565" s="75" t="n">
        <x:v>1</x:v>
      </x:c>
      <x:c r="G1565" s="24" t="str">
        <x:f>IF(E1565=F1565,"PASS","FAIL")</x:f>
        <x:v>PASS</x:v>
      </x:c>
    </x:row>
    <x:row r="1566">
      <x:c r="B1566" s="22" t="str">
        <x:v>AC-1560</x:v>
      </x:c>
      <x:c r="C1566" s="22" t="str">
        <x:v>non-error</x:v>
      </x:c>
      <x:c r="D1566" s="22" t="str">
        <x:v>Regeneration L13</x:v>
      </x:c>
      <x:c r="E1566" s="75" t="n">
        <x:f>IF(ISERROR('Regeneration'!L13),0,1)</x:f>
        <x:v>1</x:v>
      </x:c>
      <x:c r="F1566" s="75" t="n">
        <x:v>1</x:v>
      </x:c>
      <x:c r="G1566" s="24" t="str">
        <x:f>IF(E1566=F1566,"PASS","FAIL")</x:f>
        <x:v>PASS</x:v>
      </x:c>
    </x:row>
    <x:row r="1567">
      <x:c r="B1567" s="22" t="str">
        <x:v>AC-1561</x:v>
      </x:c>
      <x:c r="C1567" s="22" t="str">
        <x:v>non-error</x:v>
      </x:c>
      <x:c r="D1567" s="22" t="str">
        <x:v>Regeneration M13</x:v>
      </x:c>
      <x:c r="E1567" s="75" t="n">
        <x:f>IF(ISERROR('Regeneration'!M13),0,1)</x:f>
        <x:v>1</x:v>
      </x:c>
      <x:c r="F1567" s="75" t="n">
        <x:v>1</x:v>
      </x:c>
      <x:c r="G1567" s="24" t="str">
        <x:f>IF(E1567=F1567,"PASS","FAIL")</x:f>
        <x:v>PASS</x:v>
      </x:c>
    </x:row>
    <x:row r="1568">
      <x:c r="B1568" s="22" t="str">
        <x:v>AC-1562</x:v>
      </x:c>
      <x:c r="C1568" s="22" t="str">
        <x:v>non-error</x:v>
      </x:c>
      <x:c r="D1568" s="22" t="str">
        <x:v>Regeneration N13</x:v>
      </x:c>
      <x:c r="E1568" s="75" t="n">
        <x:f>IF(ISERROR('Regeneration'!N13),0,1)</x:f>
        <x:v>1</x:v>
      </x:c>
      <x:c r="F1568" s="75" t="n">
        <x:v>1</x:v>
      </x:c>
      <x:c r="G1568" s="24" t="str">
        <x:f>IF(E1568=F1568,"PASS","FAIL")</x:f>
        <x:v>PASS</x:v>
      </x:c>
    </x:row>
    <x:row r="1569">
      <x:c r="B1569" s="22" t="str">
        <x:v>AC-1563</x:v>
      </x:c>
      <x:c r="C1569" s="22" t="str">
        <x:v>non-error</x:v>
      </x:c>
      <x:c r="D1569" s="22" t="str">
        <x:v>Regeneration O13</x:v>
      </x:c>
      <x:c r="E1569" s="75" t="n">
        <x:f>IF(ISERROR('Regeneration'!O13),0,1)</x:f>
        <x:v>1</x:v>
      </x:c>
      <x:c r="F1569" s="75" t="n">
        <x:v>1</x:v>
      </x:c>
      <x:c r="G1569" s="24" t="str">
        <x:f>IF(E1569=F1569,"PASS","FAIL")</x:f>
        <x:v>PASS</x:v>
      </x:c>
    </x:row>
    <x:row r="1570">
      <x:c r="B1570" s="22" t="str">
        <x:v>AC-1564</x:v>
      </x:c>
      <x:c r="C1570" s="22" t="str">
        <x:v>non-error</x:v>
      </x:c>
      <x:c r="D1570" s="22" t="str">
        <x:v>Regeneration E14</x:v>
      </x:c>
      <x:c r="E1570" s="75" t="n">
        <x:f>IF(ISERROR('Regeneration'!E14),0,1)</x:f>
        <x:v>1</x:v>
      </x:c>
      <x:c r="F1570" s="75" t="n">
        <x:v>1</x:v>
      </x:c>
      <x:c r="G1570" s="24" t="str">
        <x:f>IF(E1570=F1570,"PASS","FAIL")</x:f>
        <x:v>PASS</x:v>
      </x:c>
    </x:row>
    <x:row r="1571">
      <x:c r="B1571" s="22" t="str">
        <x:v>AC-1565</x:v>
      </x:c>
      <x:c r="C1571" s="22" t="str">
        <x:v>non-error</x:v>
      </x:c>
      <x:c r="D1571" s="22" t="str">
        <x:v>Regeneration G14</x:v>
      </x:c>
      <x:c r="E1571" s="75" t="n">
        <x:f>IF(ISERROR('Regeneration'!G14),0,1)</x:f>
        <x:v>1</x:v>
      </x:c>
      <x:c r="F1571" s="75" t="n">
        <x:v>1</x:v>
      </x:c>
      <x:c r="G1571" s="24" t="str">
        <x:f>IF(E1571=F1571,"PASS","FAIL")</x:f>
        <x:v>PASS</x:v>
      </x:c>
    </x:row>
    <x:row r="1572">
      <x:c r="B1572" s="22" t="str">
        <x:v>AC-1566</x:v>
      </x:c>
      <x:c r="C1572" s="22" t="str">
        <x:v>non-error</x:v>
      </x:c>
      <x:c r="D1572" s="22" t="str">
        <x:v>Regeneration H14</x:v>
      </x:c>
      <x:c r="E1572" s="75" t="n">
        <x:f>IF(ISERROR('Regeneration'!H14),0,1)</x:f>
        <x:v>1</x:v>
      </x:c>
      <x:c r="F1572" s="75" t="n">
        <x:v>1</x:v>
      </x:c>
      <x:c r="G1572" s="24" t="str">
        <x:f>IF(E1572=F1572,"PASS","FAIL")</x:f>
        <x:v>PASS</x:v>
      </x:c>
    </x:row>
    <x:row r="1573">
      <x:c r="B1573" s="22" t="str">
        <x:v>AC-1567</x:v>
      </x:c>
      <x:c r="C1573" s="22" t="str">
        <x:v>non-error</x:v>
      </x:c>
      <x:c r="D1573" s="22" t="str">
        <x:v>Regeneration I14</x:v>
      </x:c>
      <x:c r="E1573" s="75" t="n">
        <x:f>IF(ISERROR('Regeneration'!I14),0,1)</x:f>
        <x:v>1</x:v>
      </x:c>
      <x:c r="F1573" s="75" t="n">
        <x:v>1</x:v>
      </x:c>
      <x:c r="G1573" s="24" t="str">
        <x:f>IF(E1573=F1573,"PASS","FAIL")</x:f>
        <x:v>PASS</x:v>
      </x:c>
    </x:row>
    <x:row r="1574">
      <x:c r="B1574" s="22" t="str">
        <x:v>AC-1568</x:v>
      </x:c>
      <x:c r="C1574" s="22" t="str">
        <x:v>non-error</x:v>
      </x:c>
      <x:c r="D1574" s="22" t="str">
        <x:v>Regeneration J14</x:v>
      </x:c>
      <x:c r="E1574" s="75" t="n">
        <x:f>IF(ISERROR('Regeneration'!J14),0,1)</x:f>
        <x:v>1</x:v>
      </x:c>
      <x:c r="F1574" s="75" t="n">
        <x:v>1</x:v>
      </x:c>
      <x:c r="G1574" s="24" t="str">
        <x:f>IF(E1574=F1574,"PASS","FAIL")</x:f>
        <x:v>PASS</x:v>
      </x:c>
    </x:row>
    <x:row r="1575">
      <x:c r="B1575" s="22" t="str">
        <x:v>AC-1569</x:v>
      </x:c>
      <x:c r="C1575" s="22" t="str">
        <x:v>non-error</x:v>
      </x:c>
      <x:c r="D1575" s="22" t="str">
        <x:v>Regeneration K14</x:v>
      </x:c>
      <x:c r="E1575" s="75" t="n">
        <x:f>IF(ISERROR('Regeneration'!K14),0,1)</x:f>
        <x:v>1</x:v>
      </x:c>
      <x:c r="F1575" s="75" t="n">
        <x:v>1</x:v>
      </x:c>
      <x:c r="G1575" s="24" t="str">
        <x:f>IF(E1575=F1575,"PASS","FAIL")</x:f>
        <x:v>PASS</x:v>
      </x:c>
    </x:row>
    <x:row r="1576">
      <x:c r="B1576" s="22" t="str">
        <x:v>AC-1570</x:v>
      </x:c>
      <x:c r="C1576" s="22" t="str">
        <x:v>non-error</x:v>
      </x:c>
      <x:c r="D1576" s="22" t="str">
        <x:v>Regeneration L14</x:v>
      </x:c>
      <x:c r="E1576" s="75" t="n">
        <x:f>IF(ISERROR('Regeneration'!L14),0,1)</x:f>
        <x:v>1</x:v>
      </x:c>
      <x:c r="F1576" s="75" t="n">
        <x:v>1</x:v>
      </x:c>
      <x:c r="G1576" s="24" t="str">
        <x:f>IF(E1576=F1576,"PASS","FAIL")</x:f>
        <x:v>PASS</x:v>
      </x:c>
    </x:row>
    <x:row r="1577">
      <x:c r="B1577" s="22" t="str">
        <x:v>AC-1571</x:v>
      </x:c>
      <x:c r="C1577" s="22" t="str">
        <x:v>non-error</x:v>
      </x:c>
      <x:c r="D1577" s="22" t="str">
        <x:v>Regeneration M14</x:v>
      </x:c>
      <x:c r="E1577" s="75" t="n">
        <x:f>IF(ISERROR('Regeneration'!M14),0,1)</x:f>
        <x:v>1</x:v>
      </x:c>
      <x:c r="F1577" s="75" t="n">
        <x:v>1</x:v>
      </x:c>
      <x:c r="G1577" s="24" t="str">
        <x:f>IF(E1577=F1577,"PASS","FAIL")</x:f>
        <x:v>PASS</x:v>
      </x:c>
    </x:row>
    <x:row r="1578">
      <x:c r="B1578" s="22" t="str">
        <x:v>AC-1572</x:v>
      </x:c>
      <x:c r="C1578" s="22" t="str">
        <x:v>non-error</x:v>
      </x:c>
      <x:c r="D1578" s="22" t="str">
        <x:v>Regeneration N14</x:v>
      </x:c>
      <x:c r="E1578" s="75" t="n">
        <x:f>IF(ISERROR('Regeneration'!N14),0,1)</x:f>
        <x:v>1</x:v>
      </x:c>
      <x:c r="F1578" s="75" t="n">
        <x:v>1</x:v>
      </x:c>
      <x:c r="G1578" s="24" t="str">
        <x:f>IF(E1578=F1578,"PASS","FAIL")</x:f>
        <x:v>PASS</x:v>
      </x:c>
    </x:row>
    <x:row r="1579">
      <x:c r="B1579" s="22" t="str">
        <x:v>AC-1573</x:v>
      </x:c>
      <x:c r="C1579" s="22" t="str">
        <x:v>non-error</x:v>
      </x:c>
      <x:c r="D1579" s="22" t="str">
        <x:v>Regeneration O14</x:v>
      </x:c>
      <x:c r="E1579" s="75" t="n">
        <x:f>IF(ISERROR('Regeneration'!O14),0,1)</x:f>
        <x:v>1</x:v>
      </x:c>
      <x:c r="F1579" s="75" t="n">
        <x:v>1</x:v>
      </x:c>
      <x:c r="G1579" s="24" t="str">
        <x:f>IF(E1579=F1579,"PASS","FAIL")</x:f>
        <x:v>PASS</x:v>
      </x:c>
    </x:row>
    <x:row r="1580">
      <x:c r="B1580" s="22" t="str">
        <x:v>AC-1574</x:v>
      </x:c>
      <x:c r="C1580" s="22" t="str">
        <x:v>non-error</x:v>
      </x:c>
      <x:c r="D1580" s="22" t="str">
        <x:v>Regeneration E15</x:v>
      </x:c>
      <x:c r="E1580" s="75" t="n">
        <x:f>IF(ISERROR('Regeneration'!E15),0,1)</x:f>
        <x:v>1</x:v>
      </x:c>
      <x:c r="F1580" s="75" t="n">
        <x:v>1</x:v>
      </x:c>
      <x:c r="G1580" s="24" t="str">
        <x:f>IF(E1580=F1580,"PASS","FAIL")</x:f>
        <x:v>PASS</x:v>
      </x:c>
    </x:row>
    <x:row r="1581">
      <x:c r="B1581" s="22" t="str">
        <x:v>AC-1575</x:v>
      </x:c>
      <x:c r="C1581" s="22" t="str">
        <x:v>non-error</x:v>
      </x:c>
      <x:c r="D1581" s="22" t="str">
        <x:v>Regeneration G15</x:v>
      </x:c>
      <x:c r="E1581" s="75" t="n">
        <x:f>IF(ISERROR('Regeneration'!G15),0,1)</x:f>
        <x:v>1</x:v>
      </x:c>
      <x:c r="F1581" s="75" t="n">
        <x:v>1</x:v>
      </x:c>
      <x:c r="G1581" s="24" t="str">
        <x:f>IF(E1581=F1581,"PASS","FAIL")</x:f>
        <x:v>PASS</x:v>
      </x:c>
    </x:row>
    <x:row r="1582">
      <x:c r="B1582" s="22" t="str">
        <x:v>AC-1576</x:v>
      </x:c>
      <x:c r="C1582" s="22" t="str">
        <x:v>non-error</x:v>
      </x:c>
      <x:c r="D1582" s="22" t="str">
        <x:v>Regeneration H15</x:v>
      </x:c>
      <x:c r="E1582" s="75" t="n">
        <x:f>IF(ISERROR('Regeneration'!H15),0,1)</x:f>
        <x:v>1</x:v>
      </x:c>
      <x:c r="F1582" s="75" t="n">
        <x:v>1</x:v>
      </x:c>
      <x:c r="G1582" s="24" t="str">
        <x:f>IF(E1582=F1582,"PASS","FAIL")</x:f>
        <x:v>PASS</x:v>
      </x:c>
    </x:row>
    <x:row r="1583">
      <x:c r="B1583" s="22" t="str">
        <x:v>AC-1577</x:v>
      </x:c>
      <x:c r="C1583" s="22" t="str">
        <x:v>non-error</x:v>
      </x:c>
      <x:c r="D1583" s="22" t="str">
        <x:v>Regeneration I15</x:v>
      </x:c>
      <x:c r="E1583" s="75" t="n">
        <x:f>IF(ISERROR('Regeneration'!I15),0,1)</x:f>
        <x:v>1</x:v>
      </x:c>
      <x:c r="F1583" s="75" t="n">
        <x:v>1</x:v>
      </x:c>
      <x:c r="G1583" s="24" t="str">
        <x:f>IF(E1583=F1583,"PASS","FAIL")</x:f>
        <x:v>PASS</x:v>
      </x:c>
    </x:row>
    <x:row r="1584">
      <x:c r="B1584" s="22" t="str">
        <x:v>AC-1578</x:v>
      </x:c>
      <x:c r="C1584" s="22" t="str">
        <x:v>non-error</x:v>
      </x:c>
      <x:c r="D1584" s="22" t="str">
        <x:v>Regeneration J15</x:v>
      </x:c>
      <x:c r="E1584" s="75" t="n">
        <x:f>IF(ISERROR('Regeneration'!J15),0,1)</x:f>
        <x:v>1</x:v>
      </x:c>
      <x:c r="F1584" s="75" t="n">
        <x:v>1</x:v>
      </x:c>
      <x:c r="G1584" s="24" t="str">
        <x:f>IF(E1584=F1584,"PASS","FAIL")</x:f>
        <x:v>PASS</x:v>
      </x:c>
    </x:row>
    <x:row r="1585">
      <x:c r="B1585" s="22" t="str">
        <x:v>AC-1579</x:v>
      </x:c>
      <x:c r="C1585" s="22" t="str">
        <x:v>non-error</x:v>
      </x:c>
      <x:c r="D1585" s="22" t="str">
        <x:v>Regeneration K15</x:v>
      </x:c>
      <x:c r="E1585" s="75" t="n">
        <x:f>IF(ISERROR('Regeneration'!K15),0,1)</x:f>
        <x:v>1</x:v>
      </x:c>
      <x:c r="F1585" s="75" t="n">
        <x:v>1</x:v>
      </x:c>
      <x:c r="G1585" s="24" t="str">
        <x:f>IF(E1585=F1585,"PASS","FAIL")</x:f>
        <x:v>PASS</x:v>
      </x:c>
    </x:row>
    <x:row r="1586">
      <x:c r="B1586" s="22" t="str">
        <x:v>AC-1580</x:v>
      </x:c>
      <x:c r="C1586" s="22" t="str">
        <x:v>non-error</x:v>
      </x:c>
      <x:c r="D1586" s="22" t="str">
        <x:v>Regeneration L15</x:v>
      </x:c>
      <x:c r="E1586" s="75" t="n">
        <x:f>IF(ISERROR('Regeneration'!L15),0,1)</x:f>
        <x:v>1</x:v>
      </x:c>
      <x:c r="F1586" s="75" t="n">
        <x:v>1</x:v>
      </x:c>
      <x:c r="G1586" s="24" t="str">
        <x:f>IF(E1586=F1586,"PASS","FAIL")</x:f>
        <x:v>PASS</x:v>
      </x:c>
    </x:row>
    <x:row r="1587">
      <x:c r="B1587" s="22" t="str">
        <x:v>AC-1581</x:v>
      </x:c>
      <x:c r="C1587" s="22" t="str">
        <x:v>non-error</x:v>
      </x:c>
      <x:c r="D1587" s="22" t="str">
        <x:v>Regeneration M15</x:v>
      </x:c>
      <x:c r="E1587" s="75" t="n">
        <x:f>IF(ISERROR('Regeneration'!M15),0,1)</x:f>
        <x:v>1</x:v>
      </x:c>
      <x:c r="F1587" s="75" t="n">
        <x:v>1</x:v>
      </x:c>
      <x:c r="G1587" s="24" t="str">
        <x:f>IF(E1587=F1587,"PASS","FAIL")</x:f>
        <x:v>PASS</x:v>
      </x:c>
    </x:row>
    <x:row r="1588">
      <x:c r="B1588" s="22" t="str">
        <x:v>AC-1582</x:v>
      </x:c>
      <x:c r="C1588" s="22" t="str">
        <x:v>non-error</x:v>
      </x:c>
      <x:c r="D1588" s="22" t="str">
        <x:v>Regeneration N15</x:v>
      </x:c>
      <x:c r="E1588" s="75" t="n">
        <x:f>IF(ISERROR('Regeneration'!N15),0,1)</x:f>
        <x:v>1</x:v>
      </x:c>
      <x:c r="F1588" s="75" t="n">
        <x:v>1</x:v>
      </x:c>
      <x:c r="G1588" s="24" t="str">
        <x:f>IF(E1588=F1588,"PASS","FAIL")</x:f>
        <x:v>PASS</x:v>
      </x:c>
    </x:row>
    <x:row r="1589">
      <x:c r="B1589" s="22" t="str">
        <x:v>AC-1583</x:v>
      </x:c>
      <x:c r="C1589" s="22" t="str">
        <x:v>non-error</x:v>
      </x:c>
      <x:c r="D1589" s="22" t="str">
        <x:v>Regeneration O15</x:v>
      </x:c>
      <x:c r="E1589" s="75" t="n">
        <x:f>IF(ISERROR('Regeneration'!O15),0,1)</x:f>
        <x:v>1</x:v>
      </x:c>
      <x:c r="F1589" s="75" t="n">
        <x:v>1</x:v>
      </x:c>
      <x:c r="G1589" s="24" t="str">
        <x:f>IF(E1589=F1589,"PASS","FAIL")</x:f>
        <x:v>PASS</x:v>
      </x:c>
    </x:row>
    <x:row r="1590">
      <x:c r="B1590" s="22" t="str">
        <x:v>AC-1584</x:v>
      </x:c>
      <x:c r="C1590" s="22" t="str">
        <x:v>non-error</x:v>
      </x:c>
      <x:c r="D1590" s="22" t="str">
        <x:v>Regeneration E16</x:v>
      </x:c>
      <x:c r="E1590" s="75" t="n">
        <x:f>IF(ISERROR('Regeneration'!E16),0,1)</x:f>
        <x:v>1</x:v>
      </x:c>
      <x:c r="F1590" s="75" t="n">
        <x:v>1</x:v>
      </x:c>
      <x:c r="G1590" s="24" t="str">
        <x:f>IF(E1590=F1590,"PASS","FAIL")</x:f>
        <x:v>PASS</x:v>
      </x:c>
    </x:row>
    <x:row r="1591">
      <x:c r="B1591" s="22" t="str">
        <x:v>AC-1585</x:v>
      </x:c>
      <x:c r="C1591" s="22" t="str">
        <x:v>non-error</x:v>
      </x:c>
      <x:c r="D1591" s="22" t="str">
        <x:v>Regeneration G16</x:v>
      </x:c>
      <x:c r="E1591" s="75" t="n">
        <x:f>IF(ISERROR('Regeneration'!G16),0,1)</x:f>
        <x:v>1</x:v>
      </x:c>
      <x:c r="F1591" s="75" t="n">
        <x:v>1</x:v>
      </x:c>
      <x:c r="G1591" s="24" t="str">
        <x:f>IF(E1591=F1591,"PASS","FAIL")</x:f>
        <x:v>PASS</x:v>
      </x:c>
    </x:row>
    <x:row r="1592">
      <x:c r="B1592" s="22" t="str">
        <x:v>AC-1586</x:v>
      </x:c>
      <x:c r="C1592" s="22" t="str">
        <x:v>non-error</x:v>
      </x:c>
      <x:c r="D1592" s="22" t="str">
        <x:v>Regeneration H16</x:v>
      </x:c>
      <x:c r="E1592" s="75" t="n">
        <x:f>IF(ISERROR('Regeneration'!H16),0,1)</x:f>
        <x:v>1</x:v>
      </x:c>
      <x:c r="F1592" s="75" t="n">
        <x:v>1</x:v>
      </x:c>
      <x:c r="G1592" s="24" t="str">
        <x:f>IF(E1592=F1592,"PASS","FAIL")</x:f>
        <x:v>PASS</x:v>
      </x:c>
    </x:row>
    <x:row r="1593">
      <x:c r="B1593" s="22" t="str">
        <x:v>AC-1587</x:v>
      </x:c>
      <x:c r="C1593" s="22" t="str">
        <x:v>non-error</x:v>
      </x:c>
      <x:c r="D1593" s="22" t="str">
        <x:v>Regeneration I16</x:v>
      </x:c>
      <x:c r="E1593" s="75" t="n">
        <x:f>IF(ISERROR('Regeneration'!I16),0,1)</x:f>
        <x:v>1</x:v>
      </x:c>
      <x:c r="F1593" s="75" t="n">
        <x:v>1</x:v>
      </x:c>
      <x:c r="G1593" s="24" t="str">
        <x:f>IF(E1593=F1593,"PASS","FAIL")</x:f>
        <x:v>PASS</x:v>
      </x:c>
    </x:row>
    <x:row r="1594">
      <x:c r="B1594" s="22" t="str">
        <x:v>AC-1588</x:v>
      </x:c>
      <x:c r="C1594" s="22" t="str">
        <x:v>non-error</x:v>
      </x:c>
      <x:c r="D1594" s="22" t="str">
        <x:v>Regeneration J16</x:v>
      </x:c>
      <x:c r="E1594" s="75" t="n">
        <x:f>IF(ISERROR('Regeneration'!J16),0,1)</x:f>
        <x:v>1</x:v>
      </x:c>
      <x:c r="F1594" s="75" t="n">
        <x:v>1</x:v>
      </x:c>
      <x:c r="G1594" s="24" t="str">
        <x:f>IF(E1594=F1594,"PASS","FAIL")</x:f>
        <x:v>PASS</x:v>
      </x:c>
    </x:row>
    <x:row r="1595">
      <x:c r="B1595" s="22" t="str">
        <x:v>AC-1589</x:v>
      </x:c>
      <x:c r="C1595" s="22" t="str">
        <x:v>non-error</x:v>
      </x:c>
      <x:c r="D1595" s="22" t="str">
        <x:v>Regeneration K16</x:v>
      </x:c>
      <x:c r="E1595" s="75" t="n">
        <x:f>IF(ISERROR('Regeneration'!K16),0,1)</x:f>
        <x:v>1</x:v>
      </x:c>
      <x:c r="F1595" s="75" t="n">
        <x:v>1</x:v>
      </x:c>
      <x:c r="G1595" s="24" t="str">
        <x:f>IF(E1595=F1595,"PASS","FAIL")</x:f>
        <x:v>PASS</x:v>
      </x:c>
    </x:row>
    <x:row r="1596">
      <x:c r="B1596" s="22" t="str">
        <x:v>AC-1590</x:v>
      </x:c>
      <x:c r="C1596" s="22" t="str">
        <x:v>non-error</x:v>
      </x:c>
      <x:c r="D1596" s="22" t="str">
        <x:v>Regeneration L16</x:v>
      </x:c>
      <x:c r="E1596" s="75" t="n">
        <x:f>IF(ISERROR('Regeneration'!L16),0,1)</x:f>
        <x:v>1</x:v>
      </x:c>
      <x:c r="F1596" s="75" t="n">
        <x:v>1</x:v>
      </x:c>
      <x:c r="G1596" s="24" t="str">
        <x:f>IF(E1596=F1596,"PASS","FAIL")</x:f>
        <x:v>PASS</x:v>
      </x:c>
    </x:row>
    <x:row r="1597">
      <x:c r="B1597" s="22" t="str">
        <x:v>AC-1591</x:v>
      </x:c>
      <x:c r="C1597" s="22" t="str">
        <x:v>non-error</x:v>
      </x:c>
      <x:c r="D1597" s="22" t="str">
        <x:v>Regeneration M16</x:v>
      </x:c>
      <x:c r="E1597" s="75" t="n">
        <x:f>IF(ISERROR('Regeneration'!M16),0,1)</x:f>
        <x:v>1</x:v>
      </x:c>
      <x:c r="F1597" s="75" t="n">
        <x:v>1</x:v>
      </x:c>
      <x:c r="G1597" s="24" t="str">
        <x:f>IF(E1597=F1597,"PASS","FAIL")</x:f>
        <x:v>PASS</x:v>
      </x:c>
    </x:row>
    <x:row r="1598">
      <x:c r="B1598" s="22" t="str">
        <x:v>AC-1592</x:v>
      </x:c>
      <x:c r="C1598" s="22" t="str">
        <x:v>non-error</x:v>
      </x:c>
      <x:c r="D1598" s="22" t="str">
        <x:v>Regeneration N16</x:v>
      </x:c>
      <x:c r="E1598" s="75" t="n">
        <x:f>IF(ISERROR('Regeneration'!N16),0,1)</x:f>
        <x:v>1</x:v>
      </x:c>
      <x:c r="F1598" s="75" t="n">
        <x:v>1</x:v>
      </x:c>
      <x:c r="G1598" s="24" t="str">
        <x:f>IF(E1598=F1598,"PASS","FAIL")</x:f>
        <x:v>PASS</x:v>
      </x:c>
    </x:row>
    <x:row r="1599">
      <x:c r="B1599" s="22" t="str">
        <x:v>AC-1593</x:v>
      </x:c>
      <x:c r="C1599" s="22" t="str">
        <x:v>non-error</x:v>
      </x:c>
      <x:c r="D1599" s="22" t="str">
        <x:v>Regeneration O16</x:v>
      </x:c>
      <x:c r="E1599" s="75" t="n">
        <x:f>IF(ISERROR('Regeneration'!O16),0,1)</x:f>
        <x:v>1</x:v>
      </x:c>
      <x:c r="F1599" s="75" t="n">
        <x:v>1</x:v>
      </x:c>
      <x:c r="G1599" s="24" t="str">
        <x:f>IF(E1599=F1599,"PASS","FAIL")</x:f>
        <x:v>PASS</x:v>
      </x:c>
    </x:row>
    <x:row r="1600">
      <x:c r="B1600" s="22" t="str">
        <x:v>AC-1594</x:v>
      </x:c>
      <x:c r="C1600" s="22" t="str">
        <x:v>non-error</x:v>
      </x:c>
      <x:c r="D1600" s="22" t="str">
        <x:v>Regeneration E17</x:v>
      </x:c>
      <x:c r="E1600" s="75" t="n">
        <x:f>IF(ISERROR('Regeneration'!E17),0,1)</x:f>
        <x:v>1</x:v>
      </x:c>
      <x:c r="F1600" s="75" t="n">
        <x:v>1</x:v>
      </x:c>
      <x:c r="G1600" s="24" t="str">
        <x:f>IF(E1600=F1600,"PASS","FAIL")</x:f>
        <x:v>PASS</x:v>
      </x:c>
    </x:row>
    <x:row r="1601">
      <x:c r="B1601" s="97" t="str">
        <x:v>AC-1595</x:v>
      </x:c>
      <x:c r="C1601" s="97" t="str">
        <x:v>non-error</x:v>
      </x:c>
      <x:c r="D1601" s="97" t="str">
        <x:v>Regeneration G17</x:v>
      </x:c>
      <x:c r="E1601" s="98" t="n">
        <x:f>IF(ISERROR('Regeneration'!G17),0,1)</x:f>
        <x:v>1</x:v>
      </x:c>
      <x:c r="F1601" s="98" t="n">
        <x:v>1</x:v>
      </x:c>
      <x:c r="G1601" s="99" t="str">
        <x:f>IF(E1601=F1601,"PASS","FAIL")</x:f>
        <x:v>PASS</x:v>
      </x:c>
    </x:row>
    <x:row r="1602">
      <x:c r="B1602" s="97" t="str">
        <x:v>AC-1596</x:v>
      </x:c>
      <x:c r="C1602" s="97" t="str">
        <x:v>non-error</x:v>
      </x:c>
      <x:c r="D1602" s="97" t="str">
        <x:v>Regeneration H17</x:v>
      </x:c>
      <x:c r="E1602" s="98" t="n">
        <x:f>IF(ISERROR('Regeneration'!H17),0,1)</x:f>
        <x:v>1</x:v>
      </x:c>
      <x:c r="F1602" s="98" t="n">
        <x:v>1</x:v>
      </x:c>
      <x:c r="G1602" s="99" t="str">
        <x:f>IF(E1602=F1602,"PASS","FAIL")</x:f>
        <x:v>PASS</x:v>
      </x:c>
    </x:row>
    <x:row r="1603">
      <x:c r="B1603" s="97" t="str">
        <x:v>AC-1597</x:v>
      </x:c>
      <x:c r="C1603" s="97" t="str">
        <x:v>non-error</x:v>
      </x:c>
      <x:c r="D1603" s="97" t="str">
        <x:v>Regeneration I17</x:v>
      </x:c>
      <x:c r="E1603" s="98" t="n">
        <x:f>IF(ISERROR('Regeneration'!I17),0,1)</x:f>
        <x:v>1</x:v>
      </x:c>
      <x:c r="F1603" s="98" t="n">
        <x:v>1</x:v>
      </x:c>
      <x:c r="G1603" s="99" t="str">
        <x:f>IF(E1603=F1603,"PASS","FAIL")</x:f>
        <x:v>PASS</x:v>
      </x:c>
    </x:row>
    <x:row r="1604">
      <x:c r="B1604" s="97" t="str">
        <x:v>AC-1598</x:v>
      </x:c>
      <x:c r="C1604" s="97" t="str">
        <x:v>non-error</x:v>
      </x:c>
      <x:c r="D1604" s="97" t="str">
        <x:v>Regeneration J17</x:v>
      </x:c>
      <x:c r="E1604" s="98" t="n">
        <x:f>IF(ISERROR('Regeneration'!J17),0,1)</x:f>
        <x:v>1</x:v>
      </x:c>
      <x:c r="F1604" s="98" t="n">
        <x:v>1</x:v>
      </x:c>
      <x:c r="G1604" s="99" t="str">
        <x:f>IF(E1604=F1604,"PASS","FAIL")</x:f>
        <x:v>PASS</x:v>
      </x:c>
    </x:row>
    <x:row r="1605">
      <x:c r="B1605" s="97" t="str">
        <x:v>AC-1599</x:v>
      </x:c>
      <x:c r="C1605" s="97" t="str">
        <x:v>non-error</x:v>
      </x:c>
      <x:c r="D1605" s="97" t="str">
        <x:v>Regeneration K17</x:v>
      </x:c>
      <x:c r="E1605" s="98" t="n">
        <x:f>IF(ISERROR('Regeneration'!K17),0,1)</x:f>
        <x:v>1</x:v>
      </x:c>
      <x:c r="F1605" s="98" t="n">
        <x:v>1</x:v>
      </x:c>
      <x:c r="G1605" s="99" t="str">
        <x:f>IF(E1605=F1605,"PASS","FAIL")</x:f>
        <x:v>PASS</x:v>
      </x:c>
    </x:row>
    <x:row r="1606">
      <x:c r="B1606" s="97" t="str">
        <x:v>AC-1600</x:v>
      </x:c>
      <x:c r="C1606" s="97" t="str">
        <x:v>non-error</x:v>
      </x:c>
      <x:c r="D1606" s="97" t="str">
        <x:v>Regeneration L17</x:v>
      </x:c>
      <x:c r="E1606" s="98" t="n">
        <x:f>IF(ISERROR('Regeneration'!L17),0,1)</x:f>
        <x:v>1</x:v>
      </x:c>
      <x:c r="F1606" s="98" t="n">
        <x:v>1</x:v>
      </x:c>
      <x:c r="G1606" s="99" t="str">
        <x:f>IF(E1606=F1606,"PASS","FAIL")</x:f>
        <x:v>PASS</x:v>
      </x:c>
    </x:row>
    <x:row r="1607">
      <x:c r="B1607" s="97" t="str">
        <x:v>AC-1601</x:v>
      </x:c>
      <x:c r="C1607" s="97" t="str">
        <x:v>non-error</x:v>
      </x:c>
      <x:c r="D1607" s="97" t="str">
        <x:v>Regeneration M17</x:v>
      </x:c>
      <x:c r="E1607" s="98" t="n">
        <x:f>IF(ISERROR('Regeneration'!M17),0,1)</x:f>
        <x:v>1</x:v>
      </x:c>
      <x:c r="F1607" s="98" t="n">
        <x:v>1</x:v>
      </x:c>
      <x:c r="G1607" s="99" t="str">
        <x:f>IF(E1607=F1607,"PASS","FAIL")</x:f>
        <x:v>PASS</x:v>
      </x:c>
    </x:row>
    <x:row r="1608">
      <x:c r="B1608" s="97" t="str">
        <x:v>AC-1602</x:v>
      </x:c>
      <x:c r="C1608" s="97" t="str">
        <x:v>non-error</x:v>
      </x:c>
      <x:c r="D1608" s="97" t="str">
        <x:v>Regeneration N17</x:v>
      </x:c>
      <x:c r="E1608" s="98" t="n">
        <x:f>IF(ISERROR('Regeneration'!N17),0,1)</x:f>
        <x:v>1</x:v>
      </x:c>
      <x:c r="F1608" s="98" t="n">
        <x:v>1</x:v>
      </x:c>
      <x:c r="G1608" s="99" t="str">
        <x:f>IF(E1608=F1608,"PASS","FAIL")</x:f>
        <x:v>PASS</x:v>
      </x:c>
    </x:row>
    <x:row r="1609">
      <x:c r="B1609" s="97" t="str">
        <x:v>AC-1603</x:v>
      </x:c>
      <x:c r="C1609" s="97" t="str">
        <x:v>non-error</x:v>
      </x:c>
      <x:c r="D1609" s="97" t="str">
        <x:v>Regeneration O17</x:v>
      </x:c>
      <x:c r="E1609" s="98" t="n">
        <x:f>IF(ISERROR('Regeneration'!O17),0,1)</x:f>
        <x:v>1</x:v>
      </x:c>
      <x:c r="F1609" s="98" t="n">
        <x:v>1</x:v>
      </x:c>
      <x:c r="G1609" s="99" t="str">
        <x:f>IF(E1609=F1609,"PASS","FAIL")</x:f>
        <x:v>PASS</x:v>
      </x:c>
    </x:row>
    <x:row r="1610">
      <x:c r="B1610" s="97" t="str">
        <x:v>AC-1604</x:v>
      </x:c>
      <x:c r="C1610" s="97" t="str">
        <x:v>non-error</x:v>
      </x:c>
      <x:c r="D1610" s="97" t="str">
        <x:v>Regeneration E18</x:v>
      </x:c>
      <x:c r="E1610" s="98" t="n">
        <x:f>IF(ISERROR('Regeneration'!E18),0,1)</x:f>
        <x:v>1</x:v>
      </x:c>
      <x:c r="F1610" s="98" t="n">
        <x:v>1</x:v>
      </x:c>
      <x:c r="G1610" s="99" t="str">
        <x:f>IF(E1610=F1610,"PASS","FAIL")</x:f>
        <x:v>PASS</x:v>
      </x:c>
    </x:row>
    <x:row r="1611">
      <x:c r="B1611" s="97" t="str">
        <x:v>AC-1605</x:v>
      </x:c>
      <x:c r="C1611" s="97" t="str">
        <x:v>non-error</x:v>
      </x:c>
      <x:c r="D1611" s="97" t="str">
        <x:v>Regeneration G18</x:v>
      </x:c>
      <x:c r="E1611" s="98" t="n">
        <x:f>IF(ISERROR('Regeneration'!G18),0,1)</x:f>
        <x:v>1</x:v>
      </x:c>
      <x:c r="F1611" s="98" t="n">
        <x:v>1</x:v>
      </x:c>
      <x:c r="G1611" s="99" t="str">
        <x:f>IF(E1611=F1611,"PASS","FAIL")</x:f>
        <x:v>PASS</x:v>
      </x:c>
    </x:row>
    <x:row r="1612">
      <x:c r="B1612" s="97" t="str">
        <x:v>AC-1606</x:v>
      </x:c>
      <x:c r="C1612" s="97" t="str">
        <x:v>non-error</x:v>
      </x:c>
      <x:c r="D1612" s="97" t="str">
        <x:v>Regeneration H18</x:v>
      </x:c>
      <x:c r="E1612" s="98" t="n">
        <x:f>IF(ISERROR('Regeneration'!H18),0,1)</x:f>
        <x:v>1</x:v>
      </x:c>
      <x:c r="F1612" s="98" t="n">
        <x:v>1</x:v>
      </x:c>
      <x:c r="G1612" s="99" t="str">
        <x:f>IF(E1612=F1612,"PASS","FAIL")</x:f>
        <x:v>PASS</x:v>
      </x:c>
    </x:row>
    <x:row r="1613">
      <x:c r="B1613" s="97" t="str">
        <x:v>AC-1607</x:v>
      </x:c>
      <x:c r="C1613" s="97" t="str">
        <x:v>non-error</x:v>
      </x:c>
      <x:c r="D1613" s="97" t="str">
        <x:v>Regeneration I18</x:v>
      </x:c>
      <x:c r="E1613" s="98" t="n">
        <x:f>IF(ISERROR('Regeneration'!I18),0,1)</x:f>
        <x:v>1</x:v>
      </x:c>
      <x:c r="F1613" s="98" t="n">
        <x:v>1</x:v>
      </x:c>
      <x:c r="G1613" s="99" t="str">
        <x:f>IF(E1613=F1613,"PASS","FAIL")</x:f>
        <x:v>PASS</x:v>
      </x:c>
    </x:row>
    <x:row r="1614">
      <x:c r="B1614" s="97" t="str">
        <x:v>AC-1608</x:v>
      </x:c>
      <x:c r="C1614" s="97" t="str">
        <x:v>non-error</x:v>
      </x:c>
      <x:c r="D1614" s="97" t="str">
        <x:v>Regeneration J18</x:v>
      </x:c>
      <x:c r="E1614" s="98" t="n">
        <x:f>IF(ISERROR('Regeneration'!J18),0,1)</x:f>
        <x:v>1</x:v>
      </x:c>
      <x:c r="F1614" s="98" t="n">
        <x:v>1</x:v>
      </x:c>
      <x:c r="G1614" s="99" t="str">
        <x:f>IF(E1614=F1614,"PASS","FAIL")</x:f>
        <x:v>PASS</x:v>
      </x:c>
    </x:row>
    <x:row r="1615">
      <x:c r="B1615" s="97" t="str">
        <x:v>AC-1609</x:v>
      </x:c>
      <x:c r="C1615" s="97" t="str">
        <x:v>non-error</x:v>
      </x:c>
      <x:c r="D1615" s="97" t="str">
        <x:v>Regeneration K18</x:v>
      </x:c>
      <x:c r="E1615" s="98" t="n">
        <x:f>IF(ISERROR('Regeneration'!K18),0,1)</x:f>
        <x:v>1</x:v>
      </x:c>
      <x:c r="F1615" s="98" t="n">
        <x:v>1</x:v>
      </x:c>
      <x:c r="G1615" s="99" t="str">
        <x:f>IF(E1615=F1615,"PASS","FAIL")</x:f>
        <x:v>PASS</x:v>
      </x:c>
    </x:row>
    <x:row r="1616">
      <x:c r="B1616" s="97" t="str">
        <x:v>AC-1610</x:v>
      </x:c>
      <x:c r="C1616" s="97" t="str">
        <x:v>non-error</x:v>
      </x:c>
      <x:c r="D1616" s="97" t="str">
        <x:v>Regeneration L18</x:v>
      </x:c>
      <x:c r="E1616" s="98" t="n">
        <x:f>IF(ISERROR('Regeneration'!L18),0,1)</x:f>
        <x:v>1</x:v>
      </x:c>
      <x:c r="F1616" s="98" t="n">
        <x:v>1</x:v>
      </x:c>
      <x:c r="G1616" s="99" t="str">
        <x:f>IF(E1616=F1616,"PASS","FAIL")</x:f>
        <x:v>PASS</x:v>
      </x:c>
    </x:row>
    <x:row r="1617">
      <x:c r="B1617" s="97" t="str">
        <x:v>AC-1611</x:v>
      </x:c>
      <x:c r="C1617" s="97" t="str">
        <x:v>non-error</x:v>
      </x:c>
      <x:c r="D1617" s="97" t="str">
        <x:v>Regeneration M18</x:v>
      </x:c>
      <x:c r="E1617" s="98" t="n">
        <x:f>IF(ISERROR('Regeneration'!M18),0,1)</x:f>
        <x:v>1</x:v>
      </x:c>
      <x:c r="F1617" s="98" t="n">
        <x:v>1</x:v>
      </x:c>
      <x:c r="G1617" s="99" t="str">
        <x:f>IF(E1617=F1617,"PASS","FAIL")</x:f>
        <x:v>PASS</x:v>
      </x:c>
    </x:row>
    <x:row r="1618">
      <x:c r="B1618" s="97" t="str">
        <x:v>AC-1612</x:v>
      </x:c>
      <x:c r="C1618" s="97" t="str">
        <x:v>non-error</x:v>
      </x:c>
      <x:c r="D1618" s="97" t="str">
        <x:v>Regeneration N18</x:v>
      </x:c>
      <x:c r="E1618" s="98" t="n">
        <x:f>IF(ISERROR('Regeneration'!N18),0,1)</x:f>
        <x:v>1</x:v>
      </x:c>
      <x:c r="F1618" s="98" t="n">
        <x:v>1</x:v>
      </x:c>
      <x:c r="G1618" s="99" t="str">
        <x:f>IF(E1618=F1618,"PASS","FAIL")</x:f>
        <x:v>PASS</x:v>
      </x:c>
    </x:row>
    <x:row r="1619">
      <x:c r="B1619" s="97" t="str">
        <x:v>AC-1613</x:v>
      </x:c>
      <x:c r="C1619" s="97" t="str">
        <x:v>non-error</x:v>
      </x:c>
      <x:c r="D1619" s="97" t="str">
        <x:v>Regeneration O18</x:v>
      </x:c>
      <x:c r="E1619" s="98" t="n">
        <x:f>IF(ISERROR('Regeneration'!O18),0,1)</x:f>
        <x:v>1</x:v>
      </x:c>
      <x:c r="F1619" s="98" t="n">
        <x:v>1</x:v>
      </x:c>
      <x:c r="G1619" s="99" t="str">
        <x:f>IF(E1619=F1619,"PASS","FAIL")</x:f>
        <x:v>PASS</x:v>
      </x:c>
    </x:row>
    <x:row r="1620">
      <x:c r="B1620" s="97" t="str">
        <x:v>AC-1614</x:v>
      </x:c>
      <x:c r="C1620" s="97" t="str">
        <x:v>non-error</x:v>
      </x:c>
      <x:c r="D1620" s="97" t="str">
        <x:v>Regeneration E19</x:v>
      </x:c>
      <x:c r="E1620" s="98" t="n">
        <x:f>IF(ISERROR('Regeneration'!E19),0,1)</x:f>
        <x:v>1</x:v>
      </x:c>
      <x:c r="F1620" s="98" t="n">
        <x:v>1</x:v>
      </x:c>
      <x:c r="G1620" s="99" t="str">
        <x:f>IF(E1620=F1620,"PASS","FAIL")</x:f>
        <x:v>PASS</x:v>
      </x:c>
    </x:row>
    <x:row r="1621">
      <x:c r="B1621" s="97" t="str">
        <x:v>AC-1615</x:v>
      </x:c>
      <x:c r="C1621" s="97" t="str">
        <x:v>non-error</x:v>
      </x:c>
      <x:c r="D1621" s="97" t="str">
        <x:v>Regeneration G19</x:v>
      </x:c>
      <x:c r="E1621" s="98" t="n">
        <x:f>IF(ISERROR('Regeneration'!G19),0,1)</x:f>
        <x:v>1</x:v>
      </x:c>
      <x:c r="F1621" s="98" t="n">
        <x:v>1</x:v>
      </x:c>
      <x:c r="G1621" s="99" t="str">
        <x:f>IF(E1621=F1621,"PASS","FAIL")</x:f>
        <x:v>PASS</x:v>
      </x:c>
    </x:row>
    <x:row r="1622">
      <x:c r="B1622" s="97" t="str">
        <x:v>AC-1616</x:v>
      </x:c>
      <x:c r="C1622" s="97" t="str">
        <x:v>non-error</x:v>
      </x:c>
      <x:c r="D1622" s="97" t="str">
        <x:v>Regeneration H19</x:v>
      </x:c>
      <x:c r="E1622" s="98" t="n">
        <x:f>IF(ISERROR('Regeneration'!H19),0,1)</x:f>
        <x:v>1</x:v>
      </x:c>
      <x:c r="F1622" s="98" t="n">
        <x:v>1</x:v>
      </x:c>
      <x:c r="G1622" s="99" t="str">
        <x:f>IF(E1622=F1622,"PASS","FAIL")</x:f>
        <x:v>PASS</x:v>
      </x:c>
    </x:row>
    <x:row r="1623">
      <x:c r="B1623" s="97" t="str">
        <x:v>AC-1617</x:v>
      </x:c>
      <x:c r="C1623" s="97" t="str">
        <x:v>non-error</x:v>
      </x:c>
      <x:c r="D1623" s="97" t="str">
        <x:v>Regeneration I19</x:v>
      </x:c>
      <x:c r="E1623" s="98" t="n">
        <x:f>IF(ISERROR('Regeneration'!I19),0,1)</x:f>
        <x:v>1</x:v>
      </x:c>
      <x:c r="F1623" s="98" t="n">
        <x:v>1</x:v>
      </x:c>
      <x:c r="G1623" s="99" t="str">
        <x:f>IF(E1623=F1623,"PASS","FAIL")</x:f>
        <x:v>PASS</x:v>
      </x:c>
    </x:row>
    <x:row r="1624">
      <x:c r="B1624" s="97" t="str">
        <x:v>AC-1618</x:v>
      </x:c>
      <x:c r="C1624" s="97" t="str">
        <x:v>non-error</x:v>
      </x:c>
      <x:c r="D1624" s="97" t="str">
        <x:v>Regeneration J19</x:v>
      </x:c>
      <x:c r="E1624" s="98" t="n">
        <x:f>IF(ISERROR('Regeneration'!J19),0,1)</x:f>
        <x:v>1</x:v>
      </x:c>
      <x:c r="F1624" s="98" t="n">
        <x:v>1</x:v>
      </x:c>
      <x:c r="G1624" s="99" t="str">
        <x:f>IF(E1624=F1624,"PASS","FAIL")</x:f>
        <x:v>PASS</x:v>
      </x:c>
    </x:row>
    <x:row r="1625">
      <x:c r="B1625" s="97" t="str">
        <x:v>AC-1619</x:v>
      </x:c>
      <x:c r="C1625" s="97" t="str">
        <x:v>non-error</x:v>
      </x:c>
      <x:c r="D1625" s="97" t="str">
        <x:v>Regeneration K19</x:v>
      </x:c>
      <x:c r="E1625" s="98" t="n">
        <x:f>IF(ISERROR('Regeneration'!K19),0,1)</x:f>
        <x:v>1</x:v>
      </x:c>
      <x:c r="F1625" s="98" t="n">
        <x:v>1</x:v>
      </x:c>
      <x:c r="G1625" s="99" t="str">
        <x:f>IF(E1625=F1625,"PASS","FAIL")</x:f>
        <x:v>PASS</x:v>
      </x:c>
    </x:row>
    <x:row r="1626">
      <x:c r="B1626" s="97" t="str">
        <x:v>AC-1620</x:v>
      </x:c>
      <x:c r="C1626" s="97" t="str">
        <x:v>non-error</x:v>
      </x:c>
      <x:c r="D1626" s="97" t="str">
        <x:v>Regeneration L19</x:v>
      </x:c>
      <x:c r="E1626" s="98" t="n">
        <x:f>IF(ISERROR('Regeneration'!L19),0,1)</x:f>
        <x:v>1</x:v>
      </x:c>
      <x:c r="F1626" s="98" t="n">
        <x:v>1</x:v>
      </x:c>
      <x:c r="G1626" s="99" t="str">
        <x:f>IF(E1626=F1626,"PASS","FAIL")</x:f>
        <x:v>PASS</x:v>
      </x:c>
    </x:row>
    <x:row r="1627">
      <x:c r="B1627" s="97" t="str">
        <x:v>AC-1621</x:v>
      </x:c>
      <x:c r="C1627" s="97" t="str">
        <x:v>non-error</x:v>
      </x:c>
      <x:c r="D1627" s="97" t="str">
        <x:v>Regeneration M19</x:v>
      </x:c>
      <x:c r="E1627" s="98" t="n">
        <x:f>IF(ISERROR('Regeneration'!M19),0,1)</x:f>
        <x:v>1</x:v>
      </x:c>
      <x:c r="F1627" s="98" t="n">
        <x:v>1</x:v>
      </x:c>
      <x:c r="G1627" s="99" t="str">
        <x:f>IF(E1627=F1627,"PASS","FAIL")</x:f>
        <x:v>PASS</x:v>
      </x:c>
    </x:row>
    <x:row r="1628">
      <x:c r="B1628" s="97" t="str">
        <x:v>AC-1622</x:v>
      </x:c>
      <x:c r="C1628" s="97" t="str">
        <x:v>non-error</x:v>
      </x:c>
      <x:c r="D1628" s="97" t="str">
        <x:v>Regeneration N19</x:v>
      </x:c>
      <x:c r="E1628" s="98" t="n">
        <x:f>IF(ISERROR('Regeneration'!N19),0,1)</x:f>
        <x:v>1</x:v>
      </x:c>
      <x:c r="F1628" s="98" t="n">
        <x:v>1</x:v>
      </x:c>
      <x:c r="G1628" s="99" t="str">
        <x:f>IF(E1628=F1628,"PASS","FAIL")</x:f>
        <x:v>PASS</x:v>
      </x:c>
    </x:row>
    <x:row r="1629">
      <x:c r="B1629" s="97" t="str">
        <x:v>AC-1623</x:v>
      </x:c>
      <x:c r="C1629" s="97" t="str">
        <x:v>non-error</x:v>
      </x:c>
      <x:c r="D1629" s="97" t="str">
        <x:v>Regeneration O19</x:v>
      </x:c>
      <x:c r="E1629" s="98" t="n">
        <x:f>IF(ISERROR('Regeneration'!O19),0,1)</x:f>
        <x:v>1</x:v>
      </x:c>
      <x:c r="F1629" s="98" t="n">
        <x:v>1</x:v>
      </x:c>
      <x:c r="G1629" s="99" t="str">
        <x:f>IF(E1629=F1629,"PASS","FAIL")</x:f>
        <x:v>PASS</x:v>
      </x:c>
    </x:row>
    <x:row r="1630">
      <x:c r="B1630" s="97" t="str">
        <x:v>AC-1624</x:v>
      </x:c>
      <x:c r="C1630" s="97" t="str">
        <x:v>non-error</x:v>
      </x:c>
      <x:c r="D1630" s="97" t="str">
        <x:v>Regeneration E20</x:v>
      </x:c>
      <x:c r="E1630" s="98" t="n">
        <x:f>IF(ISERROR('Regeneration'!E20),0,1)</x:f>
        <x:v>1</x:v>
      </x:c>
      <x:c r="F1630" s="98" t="n">
        <x:v>1</x:v>
      </x:c>
      <x:c r="G1630" s="99" t="str">
        <x:f>IF(E1630=F1630,"PASS","FAIL")</x:f>
        <x:v>PASS</x:v>
      </x:c>
    </x:row>
    <x:row r="1631">
      <x:c r="B1631" s="97" t="str">
        <x:v>AC-1625</x:v>
      </x:c>
      <x:c r="C1631" s="97" t="str">
        <x:v>non-error</x:v>
      </x:c>
      <x:c r="D1631" s="97" t="str">
        <x:v>Regeneration G20</x:v>
      </x:c>
      <x:c r="E1631" s="98" t="n">
        <x:f>IF(ISERROR('Regeneration'!G20),0,1)</x:f>
        <x:v>1</x:v>
      </x:c>
      <x:c r="F1631" s="98" t="n">
        <x:v>1</x:v>
      </x:c>
      <x:c r="G1631" s="99" t="str">
        <x:f>IF(E1631=F1631,"PASS","FAIL")</x:f>
        <x:v>PASS</x:v>
      </x:c>
    </x:row>
    <x:row r="1632">
      <x:c r="B1632" s="97" t="str">
        <x:v>AC-1626</x:v>
      </x:c>
      <x:c r="C1632" s="97" t="str">
        <x:v>non-error</x:v>
      </x:c>
      <x:c r="D1632" s="97" t="str">
        <x:v>Regeneration H20</x:v>
      </x:c>
      <x:c r="E1632" s="98" t="n">
        <x:f>IF(ISERROR('Regeneration'!H20),0,1)</x:f>
        <x:v>1</x:v>
      </x:c>
      <x:c r="F1632" s="98" t="n">
        <x:v>1</x:v>
      </x:c>
      <x:c r="G1632" s="99" t="str">
        <x:f>IF(E1632=F1632,"PASS","FAIL")</x:f>
        <x:v>PASS</x:v>
      </x:c>
    </x:row>
    <x:row r="1633">
      <x:c r="B1633" s="97" t="str">
        <x:v>AC-1627</x:v>
      </x:c>
      <x:c r="C1633" s="97" t="str">
        <x:v>non-error</x:v>
      </x:c>
      <x:c r="D1633" s="97" t="str">
        <x:v>Regeneration I20</x:v>
      </x:c>
      <x:c r="E1633" s="98" t="n">
        <x:f>IF(ISERROR('Regeneration'!I20),0,1)</x:f>
        <x:v>1</x:v>
      </x:c>
      <x:c r="F1633" s="98" t="n">
        <x:v>1</x:v>
      </x:c>
      <x:c r="G1633" s="99" t="str">
        <x:f>IF(E1633=F1633,"PASS","FAIL")</x:f>
        <x:v>PASS</x:v>
      </x:c>
    </x:row>
    <x:row r="1634">
      <x:c r="B1634" s="97" t="str">
        <x:v>AC-1628</x:v>
      </x:c>
      <x:c r="C1634" s="97" t="str">
        <x:v>non-error</x:v>
      </x:c>
      <x:c r="D1634" s="97" t="str">
        <x:v>Regeneration J20</x:v>
      </x:c>
      <x:c r="E1634" s="98" t="n">
        <x:f>IF(ISERROR('Regeneration'!J20),0,1)</x:f>
        <x:v>1</x:v>
      </x:c>
      <x:c r="F1634" s="98" t="n">
        <x:v>1</x:v>
      </x:c>
      <x:c r="G1634" s="99" t="str">
        <x:f>IF(E1634=F1634,"PASS","FAIL")</x:f>
        <x:v>PASS</x:v>
      </x:c>
    </x:row>
    <x:row r="1635">
      <x:c r="B1635" s="97" t="str">
        <x:v>AC-1629</x:v>
      </x:c>
      <x:c r="C1635" s="97" t="str">
        <x:v>non-error</x:v>
      </x:c>
      <x:c r="D1635" s="97" t="str">
        <x:v>Regeneration K20</x:v>
      </x:c>
      <x:c r="E1635" s="98" t="n">
        <x:f>IF(ISERROR('Regeneration'!K20),0,1)</x:f>
        <x:v>1</x:v>
      </x:c>
      <x:c r="F1635" s="98" t="n">
        <x:v>1</x:v>
      </x:c>
      <x:c r="G1635" s="99" t="str">
        <x:f>IF(E1635=F1635,"PASS","FAIL")</x:f>
        <x:v>PASS</x:v>
      </x:c>
    </x:row>
    <x:row r="1636">
      <x:c r="B1636" s="97" t="str">
        <x:v>AC-1630</x:v>
      </x:c>
      <x:c r="C1636" s="97" t="str">
        <x:v>non-error</x:v>
      </x:c>
      <x:c r="D1636" s="97" t="str">
        <x:v>Regeneration L20</x:v>
      </x:c>
      <x:c r="E1636" s="98" t="n">
        <x:f>IF(ISERROR('Regeneration'!L20),0,1)</x:f>
        <x:v>1</x:v>
      </x:c>
      <x:c r="F1636" s="98" t="n">
        <x:v>1</x:v>
      </x:c>
      <x:c r="G1636" s="99" t="str">
        <x:f>IF(E1636=F1636,"PASS","FAIL")</x:f>
        <x:v>PASS</x:v>
      </x:c>
    </x:row>
    <x:row r="1637">
      <x:c r="B1637" s="97" t="str">
        <x:v>AC-1631</x:v>
      </x:c>
      <x:c r="C1637" s="97" t="str">
        <x:v>non-error</x:v>
      </x:c>
      <x:c r="D1637" s="97" t="str">
        <x:v>Regeneration M20</x:v>
      </x:c>
      <x:c r="E1637" s="98" t="n">
        <x:f>IF(ISERROR('Regeneration'!M20),0,1)</x:f>
        <x:v>1</x:v>
      </x:c>
      <x:c r="F1637" s="98" t="n">
        <x:v>1</x:v>
      </x:c>
      <x:c r="G1637" s="99" t="str">
        <x:f>IF(E1637=F1637,"PASS","FAIL")</x:f>
        <x:v>PASS</x:v>
      </x:c>
    </x:row>
    <x:row r="1638">
      <x:c r="B1638" s="97" t="str">
        <x:v>AC-1632</x:v>
      </x:c>
      <x:c r="C1638" s="97" t="str">
        <x:v>non-error</x:v>
      </x:c>
      <x:c r="D1638" s="97" t="str">
        <x:v>Regeneration N20</x:v>
      </x:c>
      <x:c r="E1638" s="98" t="n">
        <x:f>IF(ISERROR('Regeneration'!N20),0,1)</x:f>
        <x:v>1</x:v>
      </x:c>
      <x:c r="F1638" s="98" t="n">
        <x:v>1</x:v>
      </x:c>
      <x:c r="G1638" s="99" t="str">
        <x:f>IF(E1638=F1638,"PASS","FAIL")</x:f>
        <x:v>PASS</x:v>
      </x:c>
    </x:row>
    <x:row r="1639">
      <x:c r="B1639" s="97" t="str">
        <x:v>AC-1633</x:v>
      </x:c>
      <x:c r="C1639" s="97" t="str">
        <x:v>non-error</x:v>
      </x:c>
      <x:c r="D1639" s="97" t="str">
        <x:v>Regeneration O20</x:v>
      </x:c>
      <x:c r="E1639" s="98" t="n">
        <x:f>IF(ISERROR('Regeneration'!O20),0,1)</x:f>
        <x:v>1</x:v>
      </x:c>
      <x:c r="F1639" s="98" t="n">
        <x:v>1</x:v>
      </x:c>
      <x:c r="G1639" s="99" t="str">
        <x:f>IF(E1639=F1639,"PASS","FAIL")</x:f>
        <x:v>PASS</x:v>
      </x:c>
    </x:row>
    <x:row r="1640">
      <x:c r="B1640" s="97" t="str">
        <x:v>AC-1634</x:v>
      </x:c>
      <x:c r="C1640" s="97" t="str">
        <x:v>non-error</x:v>
      </x:c>
      <x:c r="D1640" s="97" t="str">
        <x:v>Regeneration E21</x:v>
      </x:c>
      <x:c r="E1640" s="98" t="n">
        <x:f>IF(ISERROR('Regeneration'!E21),0,1)</x:f>
        <x:v>1</x:v>
      </x:c>
      <x:c r="F1640" s="98" t="n">
        <x:v>1</x:v>
      </x:c>
      <x:c r="G1640" s="99" t="str">
        <x:f>IF(E1640=F1640,"PASS","FAIL")</x:f>
        <x:v>PASS</x:v>
      </x:c>
    </x:row>
    <x:row r="1641">
      <x:c r="B1641" s="97" t="str">
        <x:v>AC-1635</x:v>
      </x:c>
      <x:c r="C1641" s="97" t="str">
        <x:v>non-error</x:v>
      </x:c>
      <x:c r="D1641" s="97" t="str">
        <x:v>Regeneration G21</x:v>
      </x:c>
      <x:c r="E1641" s="98" t="n">
        <x:f>IF(ISERROR('Regeneration'!G21),0,1)</x:f>
        <x:v>1</x:v>
      </x:c>
      <x:c r="F1641" s="98" t="n">
        <x:v>1</x:v>
      </x:c>
      <x:c r="G1641" s="99" t="str">
        <x:f>IF(E1641=F1641,"PASS","FAIL")</x:f>
        <x:v>PASS</x:v>
      </x:c>
    </x:row>
    <x:row r="1642">
      <x:c r="B1642" s="97" t="str">
        <x:v>AC-1636</x:v>
      </x:c>
      <x:c r="C1642" s="97" t="str">
        <x:v>non-error</x:v>
      </x:c>
      <x:c r="D1642" s="97" t="str">
        <x:v>Regeneration H21</x:v>
      </x:c>
      <x:c r="E1642" s="98" t="n">
        <x:f>IF(ISERROR('Regeneration'!H21),0,1)</x:f>
        <x:v>1</x:v>
      </x:c>
      <x:c r="F1642" s="98" t="n">
        <x:v>1</x:v>
      </x:c>
      <x:c r="G1642" s="99" t="str">
        <x:f>IF(E1642=F1642,"PASS","FAIL")</x:f>
        <x:v>PASS</x:v>
      </x:c>
    </x:row>
    <x:row r="1643">
      <x:c r="B1643" s="97" t="str">
        <x:v>AC-1637</x:v>
      </x:c>
      <x:c r="C1643" s="97" t="str">
        <x:v>non-error</x:v>
      </x:c>
      <x:c r="D1643" s="97" t="str">
        <x:v>Regeneration I21</x:v>
      </x:c>
      <x:c r="E1643" s="98" t="n">
        <x:f>IF(ISERROR('Regeneration'!I21),0,1)</x:f>
        <x:v>1</x:v>
      </x:c>
      <x:c r="F1643" s="98" t="n">
        <x:v>1</x:v>
      </x:c>
      <x:c r="G1643" s="99" t="str">
        <x:f>IF(E1643=F1643,"PASS","FAIL")</x:f>
        <x:v>PASS</x:v>
      </x:c>
    </x:row>
    <x:row r="1644">
      <x:c r="B1644" s="97" t="str">
        <x:v>AC-1638</x:v>
      </x:c>
      <x:c r="C1644" s="97" t="str">
        <x:v>non-error</x:v>
      </x:c>
      <x:c r="D1644" s="97" t="str">
        <x:v>Regeneration J21</x:v>
      </x:c>
      <x:c r="E1644" s="98" t="n">
        <x:f>IF(ISERROR('Regeneration'!J21),0,1)</x:f>
        <x:v>1</x:v>
      </x:c>
      <x:c r="F1644" s="98" t="n">
        <x:v>1</x:v>
      </x:c>
      <x:c r="G1644" s="99" t="str">
        <x:f>IF(E1644=F1644,"PASS","FAIL")</x:f>
        <x:v>PASS</x:v>
      </x:c>
    </x:row>
    <x:row r="1645">
      <x:c r="B1645" s="97" t="str">
        <x:v>AC-1639</x:v>
      </x:c>
      <x:c r="C1645" s="97" t="str">
        <x:v>non-error</x:v>
      </x:c>
      <x:c r="D1645" s="97" t="str">
        <x:v>Regeneration K21</x:v>
      </x:c>
      <x:c r="E1645" s="98" t="n">
        <x:f>IF(ISERROR('Regeneration'!K21),0,1)</x:f>
        <x:v>1</x:v>
      </x:c>
      <x:c r="F1645" s="98" t="n">
        <x:v>1</x:v>
      </x:c>
      <x:c r="G1645" s="99" t="str">
        <x:f>IF(E1645=F1645,"PASS","FAIL")</x:f>
        <x:v>PASS</x:v>
      </x:c>
    </x:row>
    <x:row r="1646">
      <x:c r="B1646" s="97" t="str">
        <x:v>AC-1640</x:v>
      </x:c>
      <x:c r="C1646" s="97" t="str">
        <x:v>non-error</x:v>
      </x:c>
      <x:c r="D1646" s="97" t="str">
        <x:v>Regeneration L21</x:v>
      </x:c>
      <x:c r="E1646" s="98" t="n">
        <x:f>IF(ISERROR('Regeneration'!L21),0,1)</x:f>
        <x:v>1</x:v>
      </x:c>
      <x:c r="F1646" s="98" t="n">
        <x:v>1</x:v>
      </x:c>
      <x:c r="G1646" s="99" t="str">
        <x:f>IF(E1646=F1646,"PASS","FAIL")</x:f>
        <x:v>PASS</x:v>
      </x:c>
    </x:row>
    <x:row r="1647">
      <x:c r="B1647" s="97" t="str">
        <x:v>AC-1641</x:v>
      </x:c>
      <x:c r="C1647" s="97" t="str">
        <x:v>non-error</x:v>
      </x:c>
      <x:c r="D1647" s="97" t="str">
        <x:v>Regeneration M21</x:v>
      </x:c>
      <x:c r="E1647" s="98" t="n">
        <x:f>IF(ISERROR('Regeneration'!M21),0,1)</x:f>
        <x:v>1</x:v>
      </x:c>
      <x:c r="F1647" s="98" t="n">
        <x:v>1</x:v>
      </x:c>
      <x:c r="G1647" s="99" t="str">
        <x:f>IF(E1647=F1647,"PASS","FAIL")</x:f>
        <x:v>PASS</x:v>
      </x:c>
    </x:row>
    <x:row r="1648">
      <x:c r="B1648" s="97" t="str">
        <x:v>AC-1642</x:v>
      </x:c>
      <x:c r="C1648" s="97" t="str">
        <x:v>non-error</x:v>
      </x:c>
      <x:c r="D1648" s="97" t="str">
        <x:v>Regeneration N21</x:v>
      </x:c>
      <x:c r="E1648" s="98" t="n">
        <x:f>IF(ISERROR('Regeneration'!N21),0,1)</x:f>
        <x:v>1</x:v>
      </x:c>
      <x:c r="F1648" s="98" t="n">
        <x:v>1</x:v>
      </x:c>
      <x:c r="G1648" s="99" t="str">
        <x:f>IF(E1648=F1648,"PASS","FAIL")</x:f>
        <x:v>PASS</x:v>
      </x:c>
    </x:row>
    <x:row r="1649">
      <x:c r="B1649" s="97" t="str">
        <x:v>AC-1643</x:v>
      </x:c>
      <x:c r="C1649" s="97" t="str">
        <x:v>non-error</x:v>
      </x:c>
      <x:c r="D1649" s="97" t="str">
        <x:v>Regeneration O21</x:v>
      </x:c>
      <x:c r="E1649" s="98" t="n">
        <x:f>IF(ISERROR('Regeneration'!O21),0,1)</x:f>
        <x:v>1</x:v>
      </x:c>
      <x:c r="F1649" s="98" t="n">
        <x:v>1</x:v>
      </x:c>
      <x:c r="G1649" s="99" t="str">
        <x:f>IF(E1649=F1649,"PASS","FAIL")</x:f>
        <x:v>PASS</x:v>
      </x:c>
    </x:row>
    <x:row r="1650">
      <x:c r="B1650" s="97" t="str">
        <x:v>AC-1644</x:v>
      </x:c>
      <x:c r="C1650" s="97" t="str">
        <x:v>non-error</x:v>
      </x:c>
      <x:c r="D1650" s="97" t="str">
        <x:v>Regeneration E22</x:v>
      </x:c>
      <x:c r="E1650" s="98" t="n">
        <x:f>IF(ISERROR('Regeneration'!E22),0,1)</x:f>
        <x:v>1</x:v>
      </x:c>
      <x:c r="F1650" s="98" t="n">
        <x:v>1</x:v>
      </x:c>
      <x:c r="G1650" s="99" t="str">
        <x:f>IF(E1650=F1650,"PASS","FAIL")</x:f>
        <x:v>PASS</x:v>
      </x:c>
    </x:row>
    <x:row r="1651">
      <x:c r="B1651" s="97" t="str">
        <x:v>AC-1645</x:v>
      </x:c>
      <x:c r="C1651" s="97" t="str">
        <x:v>non-error</x:v>
      </x:c>
      <x:c r="D1651" s="97" t="str">
        <x:v>Regeneration G22</x:v>
      </x:c>
      <x:c r="E1651" s="98" t="n">
        <x:f>IF(ISERROR('Regeneration'!G22),0,1)</x:f>
        <x:v>1</x:v>
      </x:c>
      <x:c r="F1651" s="98" t="n">
        <x:v>1</x:v>
      </x:c>
      <x:c r="G1651" s="99" t="str">
        <x:f>IF(E1651=F1651,"PASS","FAIL")</x:f>
        <x:v>PASS</x:v>
      </x:c>
    </x:row>
    <x:row r="1652">
      <x:c r="B1652" s="97" t="str">
        <x:v>AC-1646</x:v>
      </x:c>
      <x:c r="C1652" s="97" t="str">
        <x:v>non-error</x:v>
      </x:c>
      <x:c r="D1652" s="97" t="str">
        <x:v>Regeneration H22</x:v>
      </x:c>
      <x:c r="E1652" s="98" t="n">
        <x:f>IF(ISERROR('Regeneration'!H22),0,1)</x:f>
        <x:v>1</x:v>
      </x:c>
      <x:c r="F1652" s="98" t="n">
        <x:v>1</x:v>
      </x:c>
      <x:c r="G1652" s="99" t="str">
        <x:f>IF(E1652=F1652,"PASS","FAIL")</x:f>
        <x:v>PASS</x:v>
      </x:c>
    </x:row>
    <x:row r="1653">
      <x:c r="B1653" s="97" t="str">
        <x:v>AC-1647</x:v>
      </x:c>
      <x:c r="C1653" s="97" t="str">
        <x:v>non-error</x:v>
      </x:c>
      <x:c r="D1653" s="97" t="str">
        <x:v>Regeneration I22</x:v>
      </x:c>
      <x:c r="E1653" s="98" t="n">
        <x:f>IF(ISERROR('Regeneration'!I22),0,1)</x:f>
        <x:v>1</x:v>
      </x:c>
      <x:c r="F1653" s="98" t="n">
        <x:v>1</x:v>
      </x:c>
      <x:c r="G1653" s="99" t="str">
        <x:f>IF(E1653=F1653,"PASS","FAIL")</x:f>
        <x:v>PASS</x:v>
      </x:c>
    </x:row>
    <x:row r="1654">
      <x:c r="B1654" s="97" t="str">
        <x:v>AC-1648</x:v>
      </x:c>
      <x:c r="C1654" s="97" t="str">
        <x:v>non-error</x:v>
      </x:c>
      <x:c r="D1654" s="97" t="str">
        <x:v>Regeneration J22</x:v>
      </x:c>
      <x:c r="E1654" s="98" t="n">
        <x:f>IF(ISERROR('Regeneration'!J22),0,1)</x:f>
        <x:v>1</x:v>
      </x:c>
      <x:c r="F1654" s="98" t="n">
        <x:v>1</x:v>
      </x:c>
      <x:c r="G1654" s="99" t="str">
        <x:f>IF(E1654=F1654,"PASS","FAIL")</x:f>
        <x:v>PASS</x:v>
      </x:c>
    </x:row>
    <x:row r="1655">
      <x:c r="B1655" s="97" t="str">
        <x:v>AC-1649</x:v>
      </x:c>
      <x:c r="C1655" s="97" t="str">
        <x:v>non-error</x:v>
      </x:c>
      <x:c r="D1655" s="97" t="str">
        <x:v>Regeneration K22</x:v>
      </x:c>
      <x:c r="E1655" s="98" t="n">
        <x:f>IF(ISERROR('Regeneration'!K22),0,1)</x:f>
        <x:v>1</x:v>
      </x:c>
      <x:c r="F1655" s="98" t="n">
        <x:v>1</x:v>
      </x:c>
      <x:c r="G1655" s="99" t="str">
        <x:f>IF(E1655=F1655,"PASS","FAIL")</x:f>
        <x:v>PASS</x:v>
      </x:c>
    </x:row>
    <x:row r="1656">
      <x:c r="B1656" s="97" t="str">
        <x:v>AC-1650</x:v>
      </x:c>
      <x:c r="C1656" s="97" t="str">
        <x:v>non-error</x:v>
      </x:c>
      <x:c r="D1656" s="97" t="str">
        <x:v>Regeneration L22</x:v>
      </x:c>
      <x:c r="E1656" s="98" t="n">
        <x:f>IF(ISERROR('Regeneration'!L22),0,1)</x:f>
        <x:v>1</x:v>
      </x:c>
      <x:c r="F1656" s="98" t="n">
        <x:v>1</x:v>
      </x:c>
      <x:c r="G1656" s="99" t="str">
        <x:f>IF(E1656=F1656,"PASS","FAIL")</x:f>
        <x:v>PASS</x:v>
      </x:c>
    </x:row>
    <x:row r="1657">
      <x:c r="B1657" s="97" t="str">
        <x:v>AC-1651</x:v>
      </x:c>
      <x:c r="C1657" s="97" t="str">
        <x:v>non-error</x:v>
      </x:c>
      <x:c r="D1657" s="97" t="str">
        <x:v>Regeneration M22</x:v>
      </x:c>
      <x:c r="E1657" s="98" t="n">
        <x:f>IF(ISERROR('Regeneration'!M22),0,1)</x:f>
        <x:v>1</x:v>
      </x:c>
      <x:c r="F1657" s="98" t="n">
        <x:v>1</x:v>
      </x:c>
      <x:c r="G1657" s="99" t="str">
        <x:f>IF(E1657=F1657,"PASS","FAIL")</x:f>
        <x:v>PASS</x:v>
      </x:c>
    </x:row>
    <x:row r="1658">
      <x:c r="B1658" s="97" t="str">
        <x:v>AC-1652</x:v>
      </x:c>
      <x:c r="C1658" s="97" t="str">
        <x:v>non-error</x:v>
      </x:c>
      <x:c r="D1658" s="97" t="str">
        <x:v>Regeneration N22</x:v>
      </x:c>
      <x:c r="E1658" s="98" t="n">
        <x:f>IF(ISERROR('Regeneration'!N22),0,1)</x:f>
        <x:v>1</x:v>
      </x:c>
      <x:c r="F1658" s="98" t="n">
        <x:v>1</x:v>
      </x:c>
      <x:c r="G1658" s="99" t="str">
        <x:f>IF(E1658=F1658,"PASS","FAIL")</x:f>
        <x:v>PASS</x:v>
      </x:c>
    </x:row>
    <x:row r="1659">
      <x:c r="B1659" s="97" t="str">
        <x:v>AC-1653</x:v>
      </x:c>
      <x:c r="C1659" s="97" t="str">
        <x:v>non-error</x:v>
      </x:c>
      <x:c r="D1659" s="97" t="str">
        <x:v>Regeneration O22</x:v>
      </x:c>
      <x:c r="E1659" s="98" t="n">
        <x:f>IF(ISERROR('Regeneration'!O22),0,1)</x:f>
        <x:v>1</x:v>
      </x:c>
      <x:c r="F1659" s="98" t="n">
        <x:v>1</x:v>
      </x:c>
      <x:c r="G1659" s="99" t="str">
        <x:f>IF(E1659=F1659,"PASS","FAIL")</x:f>
        <x:v>PASS</x:v>
      </x:c>
    </x:row>
    <x:row r="1660">
      <x:c r="B1660" s="97" t="str">
        <x:v>AC-1654</x:v>
      </x:c>
      <x:c r="C1660" s="97" t="str">
        <x:v>non-error</x:v>
      </x:c>
      <x:c r="D1660" s="97" t="str">
        <x:v>Regeneration E23</x:v>
      </x:c>
      <x:c r="E1660" s="98" t="n">
        <x:f>IF(ISERROR('Regeneration'!E23),0,1)</x:f>
        <x:v>1</x:v>
      </x:c>
      <x:c r="F1660" s="98" t="n">
        <x:v>1</x:v>
      </x:c>
      <x:c r="G1660" s="99" t="str">
        <x:f>IF(E1660=F1660,"PASS","FAIL")</x:f>
        <x:v>PASS</x:v>
      </x:c>
    </x:row>
    <x:row r="1661">
      <x:c r="B1661" s="97" t="str">
        <x:v>AC-1655</x:v>
      </x:c>
      <x:c r="C1661" s="97" t="str">
        <x:v>non-error</x:v>
      </x:c>
      <x:c r="D1661" s="97" t="str">
        <x:v>Regeneration G23</x:v>
      </x:c>
      <x:c r="E1661" s="98" t="n">
        <x:f>IF(ISERROR('Regeneration'!G23),0,1)</x:f>
        <x:v>1</x:v>
      </x:c>
      <x:c r="F1661" s="98" t="n">
        <x:v>1</x:v>
      </x:c>
      <x:c r="G1661" s="99" t="str">
        <x:f>IF(E1661=F1661,"PASS","FAIL")</x:f>
        <x:v>PASS</x:v>
      </x:c>
    </x:row>
    <x:row r="1662">
      <x:c r="B1662" s="97" t="str">
        <x:v>AC-1656</x:v>
      </x:c>
      <x:c r="C1662" s="97" t="str">
        <x:v>non-error</x:v>
      </x:c>
      <x:c r="D1662" s="97" t="str">
        <x:v>Regeneration H23</x:v>
      </x:c>
      <x:c r="E1662" s="98" t="n">
        <x:f>IF(ISERROR('Regeneration'!H23),0,1)</x:f>
        <x:v>1</x:v>
      </x:c>
      <x:c r="F1662" s="98" t="n">
        <x:v>1</x:v>
      </x:c>
      <x:c r="G1662" s="99" t="str">
        <x:f>IF(E1662=F1662,"PASS","FAIL")</x:f>
        <x:v>PASS</x:v>
      </x:c>
    </x:row>
    <x:row r="1663">
      <x:c r="B1663" s="97" t="str">
        <x:v>AC-1657</x:v>
      </x:c>
      <x:c r="C1663" s="97" t="str">
        <x:v>non-error</x:v>
      </x:c>
      <x:c r="D1663" s="97" t="str">
        <x:v>Regeneration I23</x:v>
      </x:c>
      <x:c r="E1663" s="98" t="n">
        <x:f>IF(ISERROR('Regeneration'!I23),0,1)</x:f>
        <x:v>1</x:v>
      </x:c>
      <x:c r="F1663" s="98" t="n">
        <x:v>1</x:v>
      </x:c>
      <x:c r="G1663" s="99" t="str">
        <x:f>IF(E1663=F1663,"PASS","FAIL")</x:f>
        <x:v>PASS</x:v>
      </x:c>
    </x:row>
    <x:row r="1664">
      <x:c r="B1664" s="97" t="str">
        <x:v>AC-1658</x:v>
      </x:c>
      <x:c r="C1664" s="97" t="str">
        <x:v>non-error</x:v>
      </x:c>
      <x:c r="D1664" s="97" t="str">
        <x:v>Regeneration J23</x:v>
      </x:c>
      <x:c r="E1664" s="98" t="n">
        <x:f>IF(ISERROR('Regeneration'!J23),0,1)</x:f>
        <x:v>1</x:v>
      </x:c>
      <x:c r="F1664" s="98" t="n">
        <x:v>1</x:v>
      </x:c>
      <x:c r="G1664" s="99" t="str">
        <x:f>IF(E1664=F1664,"PASS","FAIL")</x:f>
        <x:v>PASS</x:v>
      </x:c>
    </x:row>
    <x:row r="1665">
      <x:c r="B1665" s="97" t="str">
        <x:v>AC-1659</x:v>
      </x:c>
      <x:c r="C1665" s="97" t="str">
        <x:v>non-error</x:v>
      </x:c>
      <x:c r="D1665" s="97" t="str">
        <x:v>Regeneration K23</x:v>
      </x:c>
      <x:c r="E1665" s="98" t="n">
        <x:f>IF(ISERROR('Regeneration'!K23),0,1)</x:f>
        <x:v>1</x:v>
      </x:c>
      <x:c r="F1665" s="98" t="n">
        <x:v>1</x:v>
      </x:c>
      <x:c r="G1665" s="99" t="str">
        <x:f>IF(E1665=F1665,"PASS","FAIL")</x:f>
        <x:v>PASS</x:v>
      </x:c>
    </x:row>
    <x:row r="1666">
      <x:c r="B1666" s="97" t="str">
        <x:v>AC-1660</x:v>
      </x:c>
      <x:c r="C1666" s="97" t="str">
        <x:v>non-error</x:v>
      </x:c>
      <x:c r="D1666" s="97" t="str">
        <x:v>Regeneration L23</x:v>
      </x:c>
      <x:c r="E1666" s="98" t="n">
        <x:f>IF(ISERROR('Regeneration'!L23),0,1)</x:f>
        <x:v>1</x:v>
      </x:c>
      <x:c r="F1666" s="98" t="n">
        <x:v>1</x:v>
      </x:c>
      <x:c r="G1666" s="99" t="str">
        <x:f>IF(E1666=F1666,"PASS","FAIL")</x:f>
        <x:v>PASS</x:v>
      </x:c>
    </x:row>
    <x:row r="1667">
      <x:c r="B1667" s="97" t="str">
        <x:v>AC-1661</x:v>
      </x:c>
      <x:c r="C1667" s="97" t="str">
        <x:v>non-error</x:v>
      </x:c>
      <x:c r="D1667" s="97" t="str">
        <x:v>Regeneration M23</x:v>
      </x:c>
      <x:c r="E1667" s="98" t="n">
        <x:f>IF(ISERROR('Regeneration'!M23),0,1)</x:f>
        <x:v>1</x:v>
      </x:c>
      <x:c r="F1667" s="98" t="n">
        <x:v>1</x:v>
      </x:c>
      <x:c r="G1667" s="99" t="str">
        <x:f>IF(E1667=F1667,"PASS","FAIL")</x:f>
        <x:v>PASS</x:v>
      </x:c>
    </x:row>
    <x:row r="1668">
      <x:c r="B1668" s="97" t="str">
        <x:v>AC-1662</x:v>
      </x:c>
      <x:c r="C1668" s="97" t="str">
        <x:v>non-error</x:v>
      </x:c>
      <x:c r="D1668" s="97" t="str">
        <x:v>Regeneration N23</x:v>
      </x:c>
      <x:c r="E1668" s="98" t="n">
        <x:f>IF(ISERROR('Regeneration'!N23),0,1)</x:f>
        <x:v>1</x:v>
      </x:c>
      <x:c r="F1668" s="98" t="n">
        <x:v>1</x:v>
      </x:c>
      <x:c r="G1668" s="99" t="str">
        <x:f>IF(E1668=F1668,"PASS","FAIL")</x:f>
        <x:v>PASS</x:v>
      </x:c>
    </x:row>
    <x:row r="1669">
      <x:c r="B1669" s="97" t="str">
        <x:v>AC-1663</x:v>
      </x:c>
      <x:c r="C1669" s="97" t="str">
        <x:v>non-error</x:v>
      </x:c>
      <x:c r="D1669" s="97" t="str">
        <x:v>Regeneration O23</x:v>
      </x:c>
      <x:c r="E1669" s="98" t="n">
        <x:f>IF(ISERROR('Regeneration'!O23),0,1)</x:f>
        <x:v>1</x:v>
      </x:c>
      <x:c r="F1669" s="98" t="n">
        <x:v>1</x:v>
      </x:c>
      <x:c r="G1669" s="99" t="str">
        <x:f>IF(E1669=F1669,"PASS","FAIL")</x:f>
        <x:v>PASS</x:v>
      </x:c>
    </x:row>
    <x:row r="1670">
      <x:c r="B1670" s="97" t="str">
        <x:v>AC-1664</x:v>
      </x:c>
      <x:c r="C1670" s="97" t="str">
        <x:v>non-error</x:v>
      </x:c>
      <x:c r="D1670" s="97" t="str">
        <x:v>Regeneration E24</x:v>
      </x:c>
      <x:c r="E1670" s="98" t="n">
        <x:f>IF(ISERROR('Regeneration'!E24),0,1)</x:f>
        <x:v>1</x:v>
      </x:c>
      <x:c r="F1670" s="98" t="n">
        <x:v>1</x:v>
      </x:c>
      <x:c r="G1670" s="99" t="str">
        <x:f>IF(E1670=F1670,"PASS","FAIL")</x:f>
        <x:v>PASS</x:v>
      </x:c>
    </x:row>
    <x:row r="1671">
      <x:c r="B1671" s="97" t="str">
        <x:v>AC-1665</x:v>
      </x:c>
      <x:c r="C1671" s="97" t="str">
        <x:v>non-error</x:v>
      </x:c>
      <x:c r="D1671" s="97" t="str">
        <x:v>Regeneration G24</x:v>
      </x:c>
      <x:c r="E1671" s="98" t="n">
        <x:f>IF(ISERROR('Regeneration'!G24),0,1)</x:f>
        <x:v>1</x:v>
      </x:c>
      <x:c r="F1671" s="98" t="n">
        <x:v>1</x:v>
      </x:c>
      <x:c r="G1671" s="99" t="str">
        <x:f>IF(E1671=F1671,"PASS","FAIL")</x:f>
        <x:v>PASS</x:v>
      </x:c>
    </x:row>
    <x:row r="1672">
      <x:c r="B1672" s="97" t="str">
        <x:v>AC-1666</x:v>
      </x:c>
      <x:c r="C1672" s="97" t="str">
        <x:v>non-error</x:v>
      </x:c>
      <x:c r="D1672" s="97" t="str">
        <x:v>Regeneration H24</x:v>
      </x:c>
      <x:c r="E1672" s="98" t="n">
        <x:f>IF(ISERROR('Regeneration'!H24),0,1)</x:f>
        <x:v>1</x:v>
      </x:c>
      <x:c r="F1672" s="98" t="n">
        <x:v>1</x:v>
      </x:c>
      <x:c r="G1672" s="99" t="str">
        <x:f>IF(E1672=F1672,"PASS","FAIL")</x:f>
        <x:v>PASS</x:v>
      </x:c>
    </x:row>
    <x:row r="1673">
      <x:c r="B1673" s="97" t="str">
        <x:v>AC-1667</x:v>
      </x:c>
      <x:c r="C1673" s="97" t="str">
        <x:v>non-error</x:v>
      </x:c>
      <x:c r="D1673" s="97" t="str">
        <x:v>Regeneration I24</x:v>
      </x:c>
      <x:c r="E1673" s="98" t="n">
        <x:f>IF(ISERROR('Regeneration'!I24),0,1)</x:f>
        <x:v>1</x:v>
      </x:c>
      <x:c r="F1673" s="98" t="n">
        <x:v>1</x:v>
      </x:c>
      <x:c r="G1673" s="99" t="str">
        <x:f>IF(E1673=F1673,"PASS","FAIL")</x:f>
        <x:v>PASS</x:v>
      </x:c>
    </x:row>
    <x:row r="1674">
      <x:c r="B1674" s="97" t="str">
        <x:v>AC-1668</x:v>
      </x:c>
      <x:c r="C1674" s="97" t="str">
        <x:v>non-error</x:v>
      </x:c>
      <x:c r="D1674" s="97" t="str">
        <x:v>Regeneration J24</x:v>
      </x:c>
      <x:c r="E1674" s="98" t="n">
        <x:f>IF(ISERROR('Regeneration'!J24),0,1)</x:f>
        <x:v>1</x:v>
      </x:c>
      <x:c r="F1674" s="98" t="n">
        <x:v>1</x:v>
      </x:c>
      <x:c r="G1674" s="99" t="str">
        <x:f>IF(E1674=F1674,"PASS","FAIL")</x:f>
        <x:v>PASS</x:v>
      </x:c>
    </x:row>
    <x:row r="1675">
      <x:c r="B1675" s="97" t="str">
        <x:v>AC-1669</x:v>
      </x:c>
      <x:c r="C1675" s="97" t="str">
        <x:v>non-error</x:v>
      </x:c>
      <x:c r="D1675" s="97" t="str">
        <x:v>Regeneration K24</x:v>
      </x:c>
      <x:c r="E1675" s="98" t="n">
        <x:f>IF(ISERROR('Regeneration'!K24),0,1)</x:f>
        <x:v>1</x:v>
      </x:c>
      <x:c r="F1675" s="98" t="n">
        <x:v>1</x:v>
      </x:c>
      <x:c r="G1675" s="99" t="str">
        <x:f>IF(E1675=F1675,"PASS","FAIL")</x:f>
        <x:v>PASS</x:v>
      </x:c>
    </x:row>
    <x:row r="1676">
      <x:c r="B1676" s="97" t="str">
        <x:v>AC-1670</x:v>
      </x:c>
      <x:c r="C1676" s="97" t="str">
        <x:v>non-error</x:v>
      </x:c>
      <x:c r="D1676" s="97" t="str">
        <x:v>Regeneration L24</x:v>
      </x:c>
      <x:c r="E1676" s="98" t="n">
        <x:f>IF(ISERROR('Regeneration'!L24),0,1)</x:f>
        <x:v>1</x:v>
      </x:c>
      <x:c r="F1676" s="98" t="n">
        <x:v>1</x:v>
      </x:c>
      <x:c r="G1676" s="99" t="str">
        <x:f>IF(E1676=F1676,"PASS","FAIL")</x:f>
        <x:v>PASS</x:v>
      </x:c>
    </x:row>
    <x:row r="1677">
      <x:c r="B1677" s="97" t="str">
        <x:v>AC-1671</x:v>
      </x:c>
      <x:c r="C1677" s="97" t="str">
        <x:v>non-error</x:v>
      </x:c>
      <x:c r="D1677" s="97" t="str">
        <x:v>Regeneration M24</x:v>
      </x:c>
      <x:c r="E1677" s="98" t="n">
        <x:f>IF(ISERROR('Regeneration'!M24),0,1)</x:f>
        <x:v>1</x:v>
      </x:c>
      <x:c r="F1677" s="98" t="n">
        <x:v>1</x:v>
      </x:c>
      <x:c r="G1677" s="99" t="str">
        <x:f>IF(E1677=F1677,"PASS","FAIL")</x:f>
        <x:v>PASS</x:v>
      </x:c>
    </x:row>
    <x:row r="1678">
      <x:c r="B1678" s="97" t="str">
        <x:v>AC-1672</x:v>
      </x:c>
      <x:c r="C1678" s="97" t="str">
        <x:v>non-error</x:v>
      </x:c>
      <x:c r="D1678" s="97" t="str">
        <x:v>Regeneration N24</x:v>
      </x:c>
      <x:c r="E1678" s="98" t="n">
        <x:f>IF(ISERROR('Regeneration'!N24),0,1)</x:f>
        <x:v>1</x:v>
      </x:c>
      <x:c r="F1678" s="98" t="n">
        <x:v>1</x:v>
      </x:c>
      <x:c r="G1678" s="99" t="str">
        <x:f>IF(E1678=F1678,"PASS","FAIL")</x:f>
        <x:v>PASS</x:v>
      </x:c>
    </x:row>
    <x:row r="1679">
      <x:c r="B1679" s="97" t="str">
        <x:v>AC-1673</x:v>
      </x:c>
      <x:c r="C1679" s="97" t="str">
        <x:v>non-error</x:v>
      </x:c>
      <x:c r="D1679" s="97" t="str">
        <x:v>Regeneration O24</x:v>
      </x:c>
      <x:c r="E1679" s="98" t="n">
        <x:f>IF(ISERROR('Regeneration'!O24),0,1)</x:f>
        <x:v>1</x:v>
      </x:c>
      <x:c r="F1679" s="98" t="n">
        <x:v>1</x:v>
      </x:c>
      <x:c r="G1679" s="99" t="str">
        <x:f>IF(E1679=F1679,"PASS","FAIL")</x:f>
        <x:v>PASS</x:v>
      </x:c>
    </x:row>
    <x:row r="1680">
      <x:c r="B1680" s="97" t="str">
        <x:v>AC-1674</x:v>
      </x:c>
      <x:c r="C1680" s="97" t="str">
        <x:v>non-error</x:v>
      </x:c>
      <x:c r="D1680" s="97" t="str">
        <x:v>Regeneration E25</x:v>
      </x:c>
      <x:c r="E1680" s="98" t="n">
        <x:f>IF(ISERROR('Regeneration'!E25),0,1)</x:f>
        <x:v>1</x:v>
      </x:c>
      <x:c r="F1680" s="98" t="n">
        <x:v>1</x:v>
      </x:c>
      <x:c r="G1680" s="99" t="str">
        <x:f>IF(E1680=F1680,"PASS","FAIL")</x:f>
        <x:v>PASS</x:v>
      </x:c>
    </x:row>
    <x:row r="1681">
      <x:c r="B1681" s="97" t="str">
        <x:v>AC-1675</x:v>
      </x:c>
      <x:c r="C1681" s="97" t="str">
        <x:v>non-error</x:v>
      </x:c>
      <x:c r="D1681" s="97" t="str">
        <x:v>Regeneration G25</x:v>
      </x:c>
      <x:c r="E1681" s="98" t="n">
        <x:f>IF(ISERROR('Regeneration'!G25),0,1)</x:f>
        <x:v>1</x:v>
      </x:c>
      <x:c r="F1681" s="98" t="n">
        <x:v>1</x:v>
      </x:c>
      <x:c r="G1681" s="99" t="str">
        <x:f>IF(E1681=F1681,"PASS","FAIL")</x:f>
        <x:v>PASS</x:v>
      </x:c>
    </x:row>
    <x:row r="1682">
      <x:c r="B1682" s="97" t="str">
        <x:v>AC-1676</x:v>
      </x:c>
      <x:c r="C1682" s="97" t="str">
        <x:v>non-error</x:v>
      </x:c>
      <x:c r="D1682" s="97" t="str">
        <x:v>Regeneration H25</x:v>
      </x:c>
      <x:c r="E1682" s="98" t="n">
        <x:f>IF(ISERROR('Regeneration'!H25),0,1)</x:f>
        <x:v>1</x:v>
      </x:c>
      <x:c r="F1682" s="98" t="n">
        <x:v>1</x:v>
      </x:c>
      <x:c r="G1682" s="99" t="str">
        <x:f>IF(E1682=F1682,"PASS","FAIL")</x:f>
        <x:v>PASS</x:v>
      </x:c>
    </x:row>
    <x:row r="1683">
      <x:c r="B1683" s="97" t="str">
        <x:v>AC-1677</x:v>
      </x:c>
      <x:c r="C1683" s="97" t="str">
        <x:v>non-error</x:v>
      </x:c>
      <x:c r="D1683" s="97" t="str">
        <x:v>Regeneration I25</x:v>
      </x:c>
      <x:c r="E1683" s="98" t="n">
        <x:f>IF(ISERROR('Regeneration'!I25),0,1)</x:f>
        <x:v>1</x:v>
      </x:c>
      <x:c r="F1683" s="98" t="n">
        <x:v>1</x:v>
      </x:c>
      <x:c r="G1683" s="99" t="str">
        <x:f>IF(E1683=F1683,"PASS","FAIL")</x:f>
        <x:v>PASS</x:v>
      </x:c>
    </x:row>
    <x:row r="1684">
      <x:c r="B1684" s="97" t="str">
        <x:v>AC-1678</x:v>
      </x:c>
      <x:c r="C1684" s="97" t="str">
        <x:v>non-error</x:v>
      </x:c>
      <x:c r="D1684" s="97" t="str">
        <x:v>Regeneration J25</x:v>
      </x:c>
      <x:c r="E1684" s="98" t="n">
        <x:f>IF(ISERROR('Regeneration'!J25),0,1)</x:f>
        <x:v>1</x:v>
      </x:c>
      <x:c r="F1684" s="98" t="n">
        <x:v>1</x:v>
      </x:c>
      <x:c r="G1684" s="99" t="str">
        <x:f>IF(E1684=F1684,"PASS","FAIL")</x:f>
        <x:v>PASS</x:v>
      </x:c>
    </x:row>
    <x:row r="1685">
      <x:c r="B1685" s="97" t="str">
        <x:v>AC-1679</x:v>
      </x:c>
      <x:c r="C1685" s="97" t="str">
        <x:v>non-error</x:v>
      </x:c>
      <x:c r="D1685" s="97" t="str">
        <x:v>Regeneration K25</x:v>
      </x:c>
      <x:c r="E1685" s="98" t="n">
        <x:f>IF(ISERROR('Regeneration'!K25),0,1)</x:f>
        <x:v>1</x:v>
      </x:c>
      <x:c r="F1685" s="98" t="n">
        <x:v>1</x:v>
      </x:c>
      <x:c r="G1685" s="99" t="str">
        <x:f>IF(E1685=F1685,"PASS","FAIL")</x:f>
        <x:v>PASS</x:v>
      </x:c>
    </x:row>
    <x:row r="1686">
      <x:c r="B1686" s="97" t="str">
        <x:v>AC-1680</x:v>
      </x:c>
      <x:c r="C1686" s="97" t="str">
        <x:v>non-error</x:v>
      </x:c>
      <x:c r="D1686" s="97" t="str">
        <x:v>Regeneration L25</x:v>
      </x:c>
      <x:c r="E1686" s="98" t="n">
        <x:f>IF(ISERROR('Regeneration'!L25),0,1)</x:f>
        <x:v>1</x:v>
      </x:c>
      <x:c r="F1686" s="98" t="n">
        <x:v>1</x:v>
      </x:c>
      <x:c r="G1686" s="99" t="str">
        <x:f>IF(E1686=F1686,"PASS","FAIL")</x:f>
        <x:v>PASS</x:v>
      </x:c>
    </x:row>
    <x:row r="1687">
      <x:c r="B1687" s="97" t="str">
        <x:v>AC-1681</x:v>
      </x:c>
      <x:c r="C1687" s="97" t="str">
        <x:v>non-error</x:v>
      </x:c>
      <x:c r="D1687" s="97" t="str">
        <x:v>Regeneration M25</x:v>
      </x:c>
      <x:c r="E1687" s="98" t="n">
        <x:f>IF(ISERROR('Regeneration'!M25),0,1)</x:f>
        <x:v>1</x:v>
      </x:c>
      <x:c r="F1687" s="98" t="n">
        <x:v>1</x:v>
      </x:c>
      <x:c r="G1687" s="99" t="str">
        <x:f>IF(E1687=F1687,"PASS","FAIL")</x:f>
        <x:v>PASS</x:v>
      </x:c>
    </x:row>
    <x:row r="1688">
      <x:c r="B1688" s="97" t="str">
        <x:v>AC-1682</x:v>
      </x:c>
      <x:c r="C1688" s="97" t="str">
        <x:v>non-error</x:v>
      </x:c>
      <x:c r="D1688" s="97" t="str">
        <x:v>Regeneration N25</x:v>
      </x:c>
      <x:c r="E1688" s="98" t="n">
        <x:f>IF(ISERROR('Regeneration'!N25),0,1)</x:f>
        <x:v>1</x:v>
      </x:c>
      <x:c r="F1688" s="98" t="n">
        <x:v>1</x:v>
      </x:c>
      <x:c r="G1688" s="99" t="str">
        <x:f>IF(E1688=F1688,"PASS","FAIL")</x:f>
        <x:v>PASS</x:v>
      </x:c>
    </x:row>
    <x:row r="1689">
      <x:c r="B1689" s="97" t="str">
        <x:v>AC-1683</x:v>
      </x:c>
      <x:c r="C1689" s="97" t="str">
        <x:v>non-error</x:v>
      </x:c>
      <x:c r="D1689" s="97" t="str">
        <x:v>Regeneration O25</x:v>
      </x:c>
      <x:c r="E1689" s="98" t="n">
        <x:f>IF(ISERROR('Regeneration'!O25),0,1)</x:f>
        <x:v>1</x:v>
      </x:c>
      <x:c r="F1689" s="98" t="n">
        <x:v>1</x:v>
      </x:c>
      <x:c r="G1689" s="99" t="str">
        <x:f>IF(E1689=F1689,"PASS","FAIL")</x:f>
        <x:v>PASS</x:v>
      </x:c>
    </x:row>
    <x:row r="1690">
      <x:c r="B1690" s="97" t="str">
        <x:v>AC-1684</x:v>
      </x:c>
      <x:c r="C1690" s="97" t="str">
        <x:v>non-error</x:v>
      </x:c>
      <x:c r="D1690" s="97" t="str">
        <x:v>Regeneration E26</x:v>
      </x:c>
      <x:c r="E1690" s="98" t="n">
        <x:f>IF(ISERROR('Regeneration'!E26),0,1)</x:f>
        <x:v>1</x:v>
      </x:c>
      <x:c r="F1690" s="98" t="n">
        <x:v>1</x:v>
      </x:c>
      <x:c r="G1690" s="99" t="str">
        <x:f>IF(E1690=F1690,"PASS","FAIL")</x:f>
        <x:v>PASS</x:v>
      </x:c>
    </x:row>
    <x:row r="1691">
      <x:c r="B1691" s="97" t="str">
        <x:v>AC-1685</x:v>
      </x:c>
      <x:c r="C1691" s="97" t="str">
        <x:v>non-error</x:v>
      </x:c>
      <x:c r="D1691" s="97" t="str">
        <x:v>Regeneration G26</x:v>
      </x:c>
      <x:c r="E1691" s="98" t="n">
        <x:f>IF(ISERROR('Regeneration'!G26),0,1)</x:f>
        <x:v>1</x:v>
      </x:c>
      <x:c r="F1691" s="98" t="n">
        <x:v>1</x:v>
      </x:c>
      <x:c r="G1691" s="99" t="str">
        <x:f>IF(E1691=F1691,"PASS","FAIL")</x:f>
        <x:v>PASS</x:v>
      </x:c>
    </x:row>
    <x:row r="1692">
      <x:c r="B1692" s="97" t="str">
        <x:v>AC-1686</x:v>
      </x:c>
      <x:c r="C1692" s="97" t="str">
        <x:v>non-error</x:v>
      </x:c>
      <x:c r="D1692" s="97" t="str">
        <x:v>Regeneration H26</x:v>
      </x:c>
      <x:c r="E1692" s="98" t="n">
        <x:f>IF(ISERROR('Regeneration'!H26),0,1)</x:f>
        <x:v>1</x:v>
      </x:c>
      <x:c r="F1692" s="98" t="n">
        <x:v>1</x:v>
      </x:c>
      <x:c r="G1692" s="99" t="str">
        <x:f>IF(E1692=F1692,"PASS","FAIL")</x:f>
        <x:v>PASS</x:v>
      </x:c>
    </x:row>
    <x:row r="1693">
      <x:c r="B1693" s="97" t="str">
        <x:v>AC-1687</x:v>
      </x:c>
      <x:c r="C1693" s="97" t="str">
        <x:v>non-error</x:v>
      </x:c>
      <x:c r="D1693" s="97" t="str">
        <x:v>Regeneration I26</x:v>
      </x:c>
      <x:c r="E1693" s="98" t="n">
        <x:f>IF(ISERROR('Regeneration'!I26),0,1)</x:f>
        <x:v>1</x:v>
      </x:c>
      <x:c r="F1693" s="98" t="n">
        <x:v>1</x:v>
      </x:c>
      <x:c r="G1693" s="99" t="str">
        <x:f>IF(E1693=F1693,"PASS","FAIL")</x:f>
        <x:v>PASS</x:v>
      </x:c>
    </x:row>
    <x:row r="1694">
      <x:c r="B1694" s="97" t="str">
        <x:v>AC-1688</x:v>
      </x:c>
      <x:c r="C1694" s="97" t="str">
        <x:v>non-error</x:v>
      </x:c>
      <x:c r="D1694" s="97" t="str">
        <x:v>Regeneration J26</x:v>
      </x:c>
      <x:c r="E1694" s="98" t="n">
        <x:f>IF(ISERROR('Regeneration'!J26),0,1)</x:f>
        <x:v>1</x:v>
      </x:c>
      <x:c r="F1694" s="98" t="n">
        <x:v>1</x:v>
      </x:c>
      <x:c r="G1694" s="99" t="str">
        <x:f>IF(E1694=F1694,"PASS","FAIL")</x:f>
        <x:v>PASS</x:v>
      </x:c>
    </x:row>
    <x:row r="1695">
      <x:c r="B1695" s="97" t="str">
        <x:v>AC-1689</x:v>
      </x:c>
      <x:c r="C1695" s="97" t="str">
        <x:v>non-error</x:v>
      </x:c>
      <x:c r="D1695" s="97" t="str">
        <x:v>Regeneration K26</x:v>
      </x:c>
      <x:c r="E1695" s="98" t="n">
        <x:f>IF(ISERROR('Regeneration'!K26),0,1)</x:f>
        <x:v>1</x:v>
      </x:c>
      <x:c r="F1695" s="98" t="n">
        <x:v>1</x:v>
      </x:c>
      <x:c r="G1695" s="99" t="str">
        <x:f>IF(E1695=F1695,"PASS","FAIL")</x:f>
        <x:v>PASS</x:v>
      </x:c>
    </x:row>
    <x:row r="1696">
      <x:c r="B1696" s="97" t="str">
        <x:v>AC-1690</x:v>
      </x:c>
      <x:c r="C1696" s="97" t="str">
        <x:v>non-error</x:v>
      </x:c>
      <x:c r="D1696" s="97" t="str">
        <x:v>Regeneration L26</x:v>
      </x:c>
      <x:c r="E1696" s="98" t="n">
        <x:f>IF(ISERROR('Regeneration'!L26),0,1)</x:f>
        <x:v>1</x:v>
      </x:c>
      <x:c r="F1696" s="98" t="n">
        <x:v>1</x:v>
      </x:c>
      <x:c r="G1696" s="99" t="str">
        <x:f>IF(E1696=F1696,"PASS","FAIL")</x:f>
        <x:v>PASS</x:v>
      </x:c>
    </x:row>
    <x:row r="1697">
      <x:c r="B1697" s="97" t="str">
        <x:v>AC-1691</x:v>
      </x:c>
      <x:c r="C1697" s="97" t="str">
        <x:v>non-error</x:v>
      </x:c>
      <x:c r="D1697" s="97" t="str">
        <x:v>Regeneration M26</x:v>
      </x:c>
      <x:c r="E1697" s="98" t="n">
        <x:f>IF(ISERROR('Regeneration'!M26),0,1)</x:f>
        <x:v>1</x:v>
      </x:c>
      <x:c r="F1697" s="98" t="n">
        <x:v>1</x:v>
      </x:c>
      <x:c r="G1697" s="99" t="str">
        <x:f>IF(E1697=F1697,"PASS","FAIL")</x:f>
        <x:v>PASS</x:v>
      </x:c>
    </x:row>
    <x:row r="1698">
      <x:c r="B1698" s="97" t="str">
        <x:v>AC-1692</x:v>
      </x:c>
      <x:c r="C1698" s="97" t="str">
        <x:v>non-error</x:v>
      </x:c>
      <x:c r="D1698" s="97" t="str">
        <x:v>Regeneration N26</x:v>
      </x:c>
      <x:c r="E1698" s="98" t="n">
        <x:f>IF(ISERROR('Regeneration'!N26),0,1)</x:f>
        <x:v>1</x:v>
      </x:c>
      <x:c r="F1698" s="98" t="n">
        <x:v>1</x:v>
      </x:c>
      <x:c r="G1698" s="99" t="str">
        <x:f>IF(E1698=F1698,"PASS","FAIL")</x:f>
        <x:v>PASS</x:v>
      </x:c>
    </x:row>
    <x:row r="1699">
      <x:c r="B1699" s="97" t="str">
        <x:v>AC-1693</x:v>
      </x:c>
      <x:c r="C1699" s="97" t="str">
        <x:v>non-error</x:v>
      </x:c>
      <x:c r="D1699" s="97" t="str">
        <x:v>Regeneration O26</x:v>
      </x:c>
      <x:c r="E1699" s="98" t="n">
        <x:f>IF(ISERROR('Regeneration'!O26),0,1)</x:f>
        <x:v>1</x:v>
      </x:c>
      <x:c r="F1699" s="98" t="n">
        <x:v>1</x:v>
      </x:c>
      <x:c r="G1699" s="99" t="str">
        <x:f>IF(E1699=F1699,"PASS","FAIL")</x:f>
        <x:v>PASS</x:v>
      </x:c>
    </x:row>
    <x:row r="1700">
      <x:c r="B1700" s="97" t="str">
        <x:v>AC-1694</x:v>
      </x:c>
      <x:c r="C1700" s="97" t="str">
        <x:v>non-error</x:v>
      </x:c>
      <x:c r="D1700" s="97" t="str">
        <x:v>Regeneration E27</x:v>
      </x:c>
      <x:c r="E1700" s="98" t="n">
        <x:f>IF(ISERROR('Regeneration'!E27),0,1)</x:f>
        <x:v>1</x:v>
      </x:c>
      <x:c r="F1700" s="98" t="n">
        <x:v>1</x:v>
      </x:c>
      <x:c r="G1700" s="99" t="str">
        <x:f>IF(E1700=F1700,"PASS","FAIL")</x:f>
        <x:v>PASS</x:v>
      </x:c>
    </x:row>
    <x:row r="1701">
      <x:c r="B1701" s="97" t="str">
        <x:v>AC-1695</x:v>
      </x:c>
      <x:c r="C1701" s="97" t="str">
        <x:v>non-error</x:v>
      </x:c>
      <x:c r="D1701" s="97" t="str">
        <x:v>Regeneration G27</x:v>
      </x:c>
      <x:c r="E1701" s="98" t="n">
        <x:f>IF(ISERROR('Regeneration'!G27),0,1)</x:f>
        <x:v>1</x:v>
      </x:c>
      <x:c r="F1701" s="98" t="n">
        <x:v>1</x:v>
      </x:c>
      <x:c r="G1701" s="99" t="str">
        <x:f>IF(E1701=F1701,"PASS","FAIL")</x:f>
        <x:v>PASS</x:v>
      </x:c>
    </x:row>
    <x:row r="1702">
      <x:c r="B1702" s="97" t="str">
        <x:v>AC-1696</x:v>
      </x:c>
      <x:c r="C1702" s="97" t="str">
        <x:v>non-error</x:v>
      </x:c>
      <x:c r="D1702" s="97" t="str">
        <x:v>Regeneration H27</x:v>
      </x:c>
      <x:c r="E1702" s="98" t="n">
        <x:f>IF(ISERROR('Regeneration'!H27),0,1)</x:f>
        <x:v>1</x:v>
      </x:c>
      <x:c r="F1702" s="98" t="n">
        <x:v>1</x:v>
      </x:c>
      <x:c r="G1702" s="99" t="str">
        <x:f>IF(E1702=F1702,"PASS","FAIL")</x:f>
        <x:v>PASS</x:v>
      </x:c>
    </x:row>
    <x:row r="1703">
      <x:c r="B1703" s="97" t="str">
        <x:v>AC-1697</x:v>
      </x:c>
      <x:c r="C1703" s="97" t="str">
        <x:v>non-error</x:v>
      </x:c>
      <x:c r="D1703" s="97" t="str">
        <x:v>Regeneration I27</x:v>
      </x:c>
      <x:c r="E1703" s="98" t="n">
        <x:f>IF(ISERROR('Regeneration'!I27),0,1)</x:f>
        <x:v>1</x:v>
      </x:c>
      <x:c r="F1703" s="98" t="n">
        <x:v>1</x:v>
      </x:c>
      <x:c r="G1703" s="99" t="str">
        <x:f>IF(E1703=F1703,"PASS","FAIL")</x:f>
        <x:v>PASS</x:v>
      </x:c>
    </x:row>
    <x:row r="1704">
      <x:c r="B1704" s="97" t="str">
        <x:v>AC-1698</x:v>
      </x:c>
      <x:c r="C1704" s="97" t="str">
        <x:v>non-error</x:v>
      </x:c>
      <x:c r="D1704" s="97" t="str">
        <x:v>Regeneration J27</x:v>
      </x:c>
      <x:c r="E1704" s="98" t="n">
        <x:f>IF(ISERROR('Regeneration'!J27),0,1)</x:f>
        <x:v>1</x:v>
      </x:c>
      <x:c r="F1704" s="98" t="n">
        <x:v>1</x:v>
      </x:c>
      <x:c r="G1704" s="99" t="str">
        <x:f>IF(E1704=F1704,"PASS","FAIL")</x:f>
        <x:v>PASS</x:v>
      </x:c>
    </x:row>
    <x:row r="1705">
      <x:c r="B1705" s="97" t="str">
        <x:v>AC-1699</x:v>
      </x:c>
      <x:c r="C1705" s="97" t="str">
        <x:v>non-error</x:v>
      </x:c>
      <x:c r="D1705" s="97" t="str">
        <x:v>Regeneration K27</x:v>
      </x:c>
      <x:c r="E1705" s="98" t="n">
        <x:f>IF(ISERROR('Regeneration'!K27),0,1)</x:f>
        <x:v>1</x:v>
      </x:c>
      <x:c r="F1705" s="98" t="n">
        <x:v>1</x:v>
      </x:c>
      <x:c r="G1705" s="99" t="str">
        <x:f>IF(E1705=F1705,"PASS","FAIL")</x:f>
        <x:v>PASS</x:v>
      </x:c>
    </x:row>
    <x:row r="1706">
      <x:c r="B1706" s="97" t="str">
        <x:v>AC-1700</x:v>
      </x:c>
      <x:c r="C1706" s="97" t="str">
        <x:v>non-error</x:v>
      </x:c>
      <x:c r="D1706" s="97" t="str">
        <x:v>Regeneration L27</x:v>
      </x:c>
      <x:c r="E1706" s="98" t="n">
        <x:f>IF(ISERROR('Regeneration'!L27),0,1)</x:f>
        <x:v>1</x:v>
      </x:c>
      <x:c r="F1706" s="98" t="n">
        <x:v>1</x:v>
      </x:c>
      <x:c r="G1706" s="99" t="str">
        <x:f>IF(E1706=F1706,"PASS","FAIL")</x:f>
        <x:v>PASS</x:v>
      </x:c>
    </x:row>
    <x:row r="1707">
      <x:c r="B1707" s="97" t="str">
        <x:v>AC-1701</x:v>
      </x:c>
      <x:c r="C1707" s="97" t="str">
        <x:v>non-error</x:v>
      </x:c>
      <x:c r="D1707" s="97" t="str">
        <x:v>Regeneration M27</x:v>
      </x:c>
      <x:c r="E1707" s="98" t="n">
        <x:f>IF(ISERROR('Regeneration'!M27),0,1)</x:f>
        <x:v>1</x:v>
      </x:c>
      <x:c r="F1707" s="98" t="n">
        <x:v>1</x:v>
      </x:c>
      <x:c r="G1707" s="99" t="str">
        <x:f>IF(E1707=F1707,"PASS","FAIL")</x:f>
        <x:v>PASS</x:v>
      </x:c>
    </x:row>
    <x:row r="1708">
      <x:c r="B1708" s="97" t="str">
        <x:v>AC-1702</x:v>
      </x:c>
      <x:c r="C1708" s="97" t="str">
        <x:v>non-error</x:v>
      </x:c>
      <x:c r="D1708" s="97" t="str">
        <x:v>Regeneration N27</x:v>
      </x:c>
      <x:c r="E1708" s="98" t="n">
        <x:f>IF(ISERROR('Regeneration'!N27),0,1)</x:f>
        <x:v>1</x:v>
      </x:c>
      <x:c r="F1708" s="98" t="n">
        <x:v>1</x:v>
      </x:c>
      <x:c r="G1708" s="99" t="str">
        <x:f>IF(E1708=F1708,"PASS","FAIL")</x:f>
        <x:v>PASS</x:v>
      </x:c>
    </x:row>
    <x:row r="1709">
      <x:c r="B1709" s="97" t="str">
        <x:v>AC-1703</x:v>
      </x:c>
      <x:c r="C1709" s="97" t="str">
        <x:v>non-error</x:v>
      </x:c>
      <x:c r="D1709" s="97" t="str">
        <x:v>Regeneration O27</x:v>
      </x:c>
      <x:c r="E1709" s="98" t="n">
        <x:f>IF(ISERROR('Regeneration'!O27),0,1)</x:f>
        <x:v>1</x:v>
      </x:c>
      <x:c r="F1709" s="98" t="n">
        <x:v>1</x:v>
      </x:c>
      <x:c r="G1709" s="99" t="str">
        <x:f>IF(E1709=F1709,"PASS","FAIL")</x:f>
        <x:v>PASS</x:v>
      </x:c>
    </x:row>
    <x:row r="1710">
      <x:c r="B1710" s="97" t="str">
        <x:v>AC-1704</x:v>
      </x:c>
      <x:c r="C1710" s="97" t="str">
        <x:v>non-error</x:v>
      </x:c>
      <x:c r="D1710" s="97" t="str">
        <x:v>Regeneration E28</x:v>
      </x:c>
      <x:c r="E1710" s="98" t="n">
        <x:f>IF(ISERROR('Regeneration'!E28),0,1)</x:f>
        <x:v>1</x:v>
      </x:c>
      <x:c r="F1710" s="98" t="n">
        <x:v>1</x:v>
      </x:c>
      <x:c r="G1710" s="99" t="str">
        <x:f>IF(E1710=F1710,"PASS","FAIL")</x:f>
        <x:v>PASS</x:v>
      </x:c>
    </x:row>
    <x:row r="1711">
      <x:c r="B1711" s="97" t="str">
        <x:v>AC-1705</x:v>
      </x:c>
      <x:c r="C1711" s="97" t="str">
        <x:v>non-error</x:v>
      </x:c>
      <x:c r="D1711" s="97" t="str">
        <x:v>Regeneration G28</x:v>
      </x:c>
      <x:c r="E1711" s="98" t="n">
        <x:f>IF(ISERROR('Regeneration'!G28),0,1)</x:f>
        <x:v>1</x:v>
      </x:c>
      <x:c r="F1711" s="98" t="n">
        <x:v>1</x:v>
      </x:c>
      <x:c r="G1711" s="99" t="str">
        <x:f>IF(E1711=F1711,"PASS","FAIL")</x:f>
        <x:v>PASS</x:v>
      </x:c>
    </x:row>
    <x:row r="1712">
      <x:c r="B1712" s="97" t="str">
        <x:v>AC-1706</x:v>
      </x:c>
      <x:c r="C1712" s="97" t="str">
        <x:v>non-error</x:v>
      </x:c>
      <x:c r="D1712" s="97" t="str">
        <x:v>Regeneration H28</x:v>
      </x:c>
      <x:c r="E1712" s="98" t="n">
        <x:f>IF(ISERROR('Regeneration'!H28),0,1)</x:f>
        <x:v>1</x:v>
      </x:c>
      <x:c r="F1712" s="98" t="n">
        <x:v>1</x:v>
      </x:c>
      <x:c r="G1712" s="99" t="str">
        <x:f>IF(E1712=F1712,"PASS","FAIL")</x:f>
        <x:v>PASS</x:v>
      </x:c>
    </x:row>
    <x:row r="1713">
      <x:c r="B1713" s="97" t="str">
        <x:v>AC-1707</x:v>
      </x:c>
      <x:c r="C1713" s="97" t="str">
        <x:v>non-error</x:v>
      </x:c>
      <x:c r="D1713" s="97" t="str">
        <x:v>Regeneration I28</x:v>
      </x:c>
      <x:c r="E1713" s="98" t="n">
        <x:f>IF(ISERROR('Regeneration'!I28),0,1)</x:f>
        <x:v>1</x:v>
      </x:c>
      <x:c r="F1713" s="98" t="n">
        <x:v>1</x:v>
      </x:c>
      <x:c r="G1713" s="99" t="str">
        <x:f>IF(E1713=F1713,"PASS","FAIL")</x:f>
        <x:v>PASS</x:v>
      </x:c>
    </x:row>
    <x:row r="1714">
      <x:c r="B1714" s="97" t="str">
        <x:v>AC-1708</x:v>
      </x:c>
      <x:c r="C1714" s="97" t="str">
        <x:v>non-error</x:v>
      </x:c>
      <x:c r="D1714" s="97" t="str">
        <x:v>Regeneration J28</x:v>
      </x:c>
      <x:c r="E1714" s="98" t="n">
        <x:f>IF(ISERROR('Regeneration'!J28),0,1)</x:f>
        <x:v>1</x:v>
      </x:c>
      <x:c r="F1714" s="98" t="n">
        <x:v>1</x:v>
      </x:c>
      <x:c r="G1714" s="99" t="str">
        <x:f>IF(E1714=F1714,"PASS","FAIL")</x:f>
        <x:v>PASS</x:v>
      </x:c>
    </x:row>
    <x:row r="1715">
      <x:c r="B1715" s="97" t="str">
        <x:v>AC-1709</x:v>
      </x:c>
      <x:c r="C1715" s="97" t="str">
        <x:v>non-error</x:v>
      </x:c>
      <x:c r="D1715" s="97" t="str">
        <x:v>Regeneration K28</x:v>
      </x:c>
      <x:c r="E1715" s="98" t="n">
        <x:f>IF(ISERROR('Regeneration'!K28),0,1)</x:f>
        <x:v>1</x:v>
      </x:c>
      <x:c r="F1715" s="98" t="n">
        <x:v>1</x:v>
      </x:c>
      <x:c r="G1715" s="99" t="str">
        <x:f>IF(E1715=F1715,"PASS","FAIL")</x:f>
        <x:v>PASS</x:v>
      </x:c>
    </x:row>
    <x:row r="1716">
      <x:c r="B1716" s="97" t="str">
        <x:v>AC-1710</x:v>
      </x:c>
      <x:c r="C1716" s="97" t="str">
        <x:v>non-error</x:v>
      </x:c>
      <x:c r="D1716" s="97" t="str">
        <x:v>Regeneration L28</x:v>
      </x:c>
      <x:c r="E1716" s="98" t="n">
        <x:f>IF(ISERROR('Regeneration'!L28),0,1)</x:f>
        <x:v>1</x:v>
      </x:c>
      <x:c r="F1716" s="98" t="n">
        <x:v>1</x:v>
      </x:c>
      <x:c r="G1716" s="99" t="str">
        <x:f>IF(E1716=F1716,"PASS","FAIL")</x:f>
        <x:v>PASS</x:v>
      </x:c>
    </x:row>
    <x:row r="1717">
      <x:c r="B1717" s="97" t="str">
        <x:v>AC-1711</x:v>
      </x:c>
      <x:c r="C1717" s="97" t="str">
        <x:v>non-error</x:v>
      </x:c>
      <x:c r="D1717" s="97" t="str">
        <x:v>Regeneration M28</x:v>
      </x:c>
      <x:c r="E1717" s="98" t="n">
        <x:f>IF(ISERROR('Regeneration'!M28),0,1)</x:f>
        <x:v>1</x:v>
      </x:c>
      <x:c r="F1717" s="98" t="n">
        <x:v>1</x:v>
      </x:c>
      <x:c r="G1717" s="99" t="str">
        <x:f>IF(E1717=F1717,"PASS","FAIL")</x:f>
        <x:v>PASS</x:v>
      </x:c>
    </x:row>
    <x:row r="1718">
      <x:c r="B1718" s="97" t="str">
        <x:v>AC-1712</x:v>
      </x:c>
      <x:c r="C1718" s="97" t="str">
        <x:v>non-error</x:v>
      </x:c>
      <x:c r="D1718" s="97" t="str">
        <x:v>Regeneration N28</x:v>
      </x:c>
      <x:c r="E1718" s="98" t="n">
        <x:f>IF(ISERROR('Regeneration'!N28),0,1)</x:f>
        <x:v>1</x:v>
      </x:c>
      <x:c r="F1718" s="98" t="n">
        <x:v>1</x:v>
      </x:c>
      <x:c r="G1718" s="99" t="str">
        <x:f>IF(E1718=F1718,"PASS","FAIL")</x:f>
        <x:v>PASS</x:v>
      </x:c>
    </x:row>
    <x:row r="1719">
      <x:c r="B1719" s="97" t="str">
        <x:v>AC-1713</x:v>
      </x:c>
      <x:c r="C1719" s="97" t="str">
        <x:v>non-error</x:v>
      </x:c>
      <x:c r="D1719" s="97" t="str">
        <x:v>Regeneration O28</x:v>
      </x:c>
      <x:c r="E1719" s="98" t="n">
        <x:f>IF(ISERROR('Regeneration'!O28),0,1)</x:f>
        <x:v>1</x:v>
      </x:c>
      <x:c r="F1719" s="98" t="n">
        <x:v>1</x:v>
      </x:c>
      <x:c r="G1719" s="99" t="str">
        <x:f>IF(E1719=F1719,"PASS","FAIL")</x:f>
        <x:v>PASS</x:v>
      </x:c>
    </x:row>
    <x:row r="1720">
      <x:c r="B1720" s="97" t="str">
        <x:v>AC-1714</x:v>
      </x:c>
      <x:c r="C1720" s="97" t="str">
        <x:v>non-error</x:v>
      </x:c>
      <x:c r="D1720" s="97" t="str">
        <x:v>Regeneration E29</x:v>
      </x:c>
      <x:c r="E1720" s="98" t="n">
        <x:f>IF(ISERROR('Regeneration'!E29),0,1)</x:f>
        <x:v>1</x:v>
      </x:c>
      <x:c r="F1720" s="98" t="n">
        <x:v>1</x:v>
      </x:c>
      <x:c r="G1720" s="99" t="str">
        <x:f>IF(E1720=F1720,"PASS","FAIL")</x:f>
        <x:v>PASS</x:v>
      </x:c>
    </x:row>
    <x:row r="1721">
      <x:c r="B1721" s="97" t="str">
        <x:v>AC-1715</x:v>
      </x:c>
      <x:c r="C1721" s="97" t="str">
        <x:v>non-error</x:v>
      </x:c>
      <x:c r="D1721" s="97" t="str">
        <x:v>Regeneration G29</x:v>
      </x:c>
      <x:c r="E1721" s="98" t="n">
        <x:f>IF(ISERROR('Regeneration'!G29),0,1)</x:f>
        <x:v>1</x:v>
      </x:c>
      <x:c r="F1721" s="98" t="n">
        <x:v>1</x:v>
      </x:c>
      <x:c r="G1721" s="99" t="str">
        <x:f>IF(E1721=F1721,"PASS","FAIL")</x:f>
        <x:v>PASS</x:v>
      </x:c>
    </x:row>
    <x:row r="1722">
      <x:c r="B1722" s="97" t="str">
        <x:v>AC-1716</x:v>
      </x:c>
      <x:c r="C1722" s="97" t="str">
        <x:v>non-error</x:v>
      </x:c>
      <x:c r="D1722" s="97" t="str">
        <x:v>Regeneration H29</x:v>
      </x:c>
      <x:c r="E1722" s="98" t="n">
        <x:f>IF(ISERROR('Regeneration'!H29),0,1)</x:f>
        <x:v>1</x:v>
      </x:c>
      <x:c r="F1722" s="98" t="n">
        <x:v>1</x:v>
      </x:c>
      <x:c r="G1722" s="99" t="str">
        <x:f>IF(E1722=F1722,"PASS","FAIL")</x:f>
        <x:v>PASS</x:v>
      </x:c>
    </x:row>
    <x:row r="1723">
      <x:c r="B1723" s="97" t="str">
        <x:v>AC-1717</x:v>
      </x:c>
      <x:c r="C1723" s="97" t="str">
        <x:v>non-error</x:v>
      </x:c>
      <x:c r="D1723" s="97" t="str">
        <x:v>Regeneration I29</x:v>
      </x:c>
      <x:c r="E1723" s="98" t="n">
        <x:f>IF(ISERROR('Regeneration'!I29),0,1)</x:f>
        <x:v>1</x:v>
      </x:c>
      <x:c r="F1723" s="98" t="n">
        <x:v>1</x:v>
      </x:c>
      <x:c r="G1723" s="99" t="str">
        <x:f>IF(E1723=F1723,"PASS","FAIL")</x:f>
        <x:v>PASS</x:v>
      </x:c>
    </x:row>
    <x:row r="1724">
      <x:c r="B1724" s="97" t="str">
        <x:v>AC-1718</x:v>
      </x:c>
      <x:c r="C1724" s="97" t="str">
        <x:v>non-error</x:v>
      </x:c>
      <x:c r="D1724" s="97" t="str">
        <x:v>Regeneration J29</x:v>
      </x:c>
      <x:c r="E1724" s="98" t="n">
        <x:f>IF(ISERROR('Regeneration'!J29),0,1)</x:f>
        <x:v>1</x:v>
      </x:c>
      <x:c r="F1724" s="98" t="n">
        <x:v>1</x:v>
      </x:c>
      <x:c r="G1724" s="99" t="str">
        <x:f>IF(E1724=F1724,"PASS","FAIL")</x:f>
        <x:v>PASS</x:v>
      </x:c>
    </x:row>
    <x:row r="1725">
      <x:c r="B1725" s="97" t="str">
        <x:v>AC-1719</x:v>
      </x:c>
      <x:c r="C1725" s="97" t="str">
        <x:v>non-error</x:v>
      </x:c>
      <x:c r="D1725" s="97" t="str">
        <x:v>Regeneration K29</x:v>
      </x:c>
      <x:c r="E1725" s="98" t="n">
        <x:f>IF(ISERROR('Regeneration'!K29),0,1)</x:f>
        <x:v>1</x:v>
      </x:c>
      <x:c r="F1725" s="98" t="n">
        <x:v>1</x:v>
      </x:c>
      <x:c r="G1725" s="99" t="str">
        <x:f>IF(E1725=F1725,"PASS","FAIL")</x:f>
        <x:v>PASS</x:v>
      </x:c>
    </x:row>
    <x:row r="1726">
      <x:c r="B1726" s="97" t="str">
        <x:v>AC-1720</x:v>
      </x:c>
      <x:c r="C1726" s="97" t="str">
        <x:v>non-error</x:v>
      </x:c>
      <x:c r="D1726" s="97" t="str">
        <x:v>Regeneration L29</x:v>
      </x:c>
      <x:c r="E1726" s="98" t="n">
        <x:f>IF(ISERROR('Regeneration'!L29),0,1)</x:f>
        <x:v>1</x:v>
      </x:c>
      <x:c r="F1726" s="98" t="n">
        <x:v>1</x:v>
      </x:c>
      <x:c r="G1726" s="99" t="str">
        <x:f>IF(E1726=F1726,"PASS","FAIL")</x:f>
        <x:v>PASS</x:v>
      </x:c>
    </x:row>
    <x:row r="1727">
      <x:c r="B1727" s="97" t="str">
        <x:v>AC-1721</x:v>
      </x:c>
      <x:c r="C1727" s="97" t="str">
        <x:v>non-error</x:v>
      </x:c>
      <x:c r="D1727" s="97" t="str">
        <x:v>Regeneration M29</x:v>
      </x:c>
      <x:c r="E1727" s="98" t="n">
        <x:f>IF(ISERROR('Regeneration'!M29),0,1)</x:f>
        <x:v>1</x:v>
      </x:c>
      <x:c r="F1727" s="98" t="n">
        <x:v>1</x:v>
      </x:c>
      <x:c r="G1727" s="99" t="str">
        <x:f>IF(E1727=F1727,"PASS","FAIL")</x:f>
        <x:v>PASS</x:v>
      </x:c>
    </x:row>
    <x:row r="1728">
      <x:c r="B1728" s="97" t="str">
        <x:v>AC-1722</x:v>
      </x:c>
      <x:c r="C1728" s="97" t="str">
        <x:v>non-error</x:v>
      </x:c>
      <x:c r="D1728" s="97" t="str">
        <x:v>Regeneration N29</x:v>
      </x:c>
      <x:c r="E1728" s="98" t="n">
        <x:f>IF(ISERROR('Regeneration'!N29),0,1)</x:f>
        <x:v>1</x:v>
      </x:c>
      <x:c r="F1728" s="98" t="n">
        <x:v>1</x:v>
      </x:c>
      <x:c r="G1728" s="99" t="str">
        <x:f>IF(E1728=F1728,"PASS","FAIL")</x:f>
        <x:v>PASS</x:v>
      </x:c>
    </x:row>
    <x:row r="1729">
      <x:c r="B1729" s="97" t="str">
        <x:v>AC-1723</x:v>
      </x:c>
      <x:c r="C1729" s="97" t="str">
        <x:v>non-error</x:v>
      </x:c>
      <x:c r="D1729" s="97" t="str">
        <x:v>Regeneration O29</x:v>
      </x:c>
      <x:c r="E1729" s="98" t="n">
        <x:f>IF(ISERROR('Regeneration'!O29),0,1)</x:f>
        <x:v>1</x:v>
      </x:c>
      <x:c r="F1729" s="98" t="n">
        <x:v>1</x:v>
      </x:c>
      <x:c r="G1729" s="99" t="str">
        <x:f>IF(E1729=F1729,"PASS","FAIL")</x:f>
        <x:v>PASS</x:v>
      </x:c>
    </x:row>
    <x:row r="1730">
      <x:c r="B1730" s="97" t="str">
        <x:v>AC-1724</x:v>
      </x:c>
      <x:c r="C1730" s="97" t="str">
        <x:v>non-error</x:v>
      </x:c>
      <x:c r="D1730" s="97" t="str">
        <x:v>Regeneration E30</x:v>
      </x:c>
      <x:c r="E1730" s="98" t="n">
        <x:f>IF(ISERROR('Regeneration'!E30),0,1)</x:f>
        <x:v>1</x:v>
      </x:c>
      <x:c r="F1730" s="98" t="n">
        <x:v>1</x:v>
      </x:c>
      <x:c r="G1730" s="99" t="str">
        <x:f>IF(E1730=F1730,"PASS","FAIL")</x:f>
        <x:v>PASS</x:v>
      </x:c>
    </x:row>
    <x:row r="1731">
      <x:c r="B1731" s="97" t="str">
        <x:v>AC-1725</x:v>
      </x:c>
      <x:c r="C1731" s="97" t="str">
        <x:v>non-error</x:v>
      </x:c>
      <x:c r="D1731" s="97" t="str">
        <x:v>Regeneration G30</x:v>
      </x:c>
      <x:c r="E1731" s="98" t="n">
        <x:f>IF(ISERROR('Regeneration'!G30),0,1)</x:f>
        <x:v>1</x:v>
      </x:c>
      <x:c r="F1731" s="98" t="n">
        <x:v>1</x:v>
      </x:c>
      <x:c r="G1731" s="99" t="str">
        <x:f>IF(E1731=F1731,"PASS","FAIL")</x:f>
        <x:v>PASS</x:v>
      </x:c>
    </x:row>
    <x:row r="1732">
      <x:c r="B1732" s="97" t="str">
        <x:v>AC-1726</x:v>
      </x:c>
      <x:c r="C1732" s="97" t="str">
        <x:v>non-error</x:v>
      </x:c>
      <x:c r="D1732" s="97" t="str">
        <x:v>Regeneration H30</x:v>
      </x:c>
      <x:c r="E1732" s="98" t="n">
        <x:f>IF(ISERROR('Regeneration'!H30),0,1)</x:f>
        <x:v>1</x:v>
      </x:c>
      <x:c r="F1732" s="98" t="n">
        <x:v>1</x:v>
      </x:c>
      <x:c r="G1732" s="99" t="str">
        <x:f>IF(E1732=F1732,"PASS","FAIL")</x:f>
        <x:v>PASS</x:v>
      </x:c>
    </x:row>
    <x:row r="1733">
      <x:c r="B1733" s="97" t="str">
        <x:v>AC-1727</x:v>
      </x:c>
      <x:c r="C1733" s="97" t="str">
        <x:v>non-error</x:v>
      </x:c>
      <x:c r="D1733" s="97" t="str">
        <x:v>Regeneration I30</x:v>
      </x:c>
      <x:c r="E1733" s="98" t="n">
        <x:f>IF(ISERROR('Regeneration'!I30),0,1)</x:f>
        <x:v>1</x:v>
      </x:c>
      <x:c r="F1733" s="98" t="n">
        <x:v>1</x:v>
      </x:c>
      <x:c r="G1733" s="99" t="str">
        <x:f>IF(E1733=F1733,"PASS","FAIL")</x:f>
        <x:v>PASS</x:v>
      </x:c>
    </x:row>
    <x:row r="1734">
      <x:c r="B1734" s="97" t="str">
        <x:v>AC-1728</x:v>
      </x:c>
      <x:c r="C1734" s="97" t="str">
        <x:v>non-error</x:v>
      </x:c>
      <x:c r="D1734" s="97" t="str">
        <x:v>Regeneration J30</x:v>
      </x:c>
      <x:c r="E1734" s="98" t="n">
        <x:f>IF(ISERROR('Regeneration'!J30),0,1)</x:f>
        <x:v>1</x:v>
      </x:c>
      <x:c r="F1734" s="98" t="n">
        <x:v>1</x:v>
      </x:c>
      <x:c r="G1734" s="99" t="str">
        <x:f>IF(E1734=F1734,"PASS","FAIL")</x:f>
        <x:v>PASS</x:v>
      </x:c>
    </x:row>
    <x:row r="1735">
      <x:c r="B1735" s="97" t="str">
        <x:v>AC-1729</x:v>
      </x:c>
      <x:c r="C1735" s="97" t="str">
        <x:v>non-error</x:v>
      </x:c>
      <x:c r="D1735" s="97" t="str">
        <x:v>Regeneration K30</x:v>
      </x:c>
      <x:c r="E1735" s="98" t="n">
        <x:f>IF(ISERROR('Regeneration'!K30),0,1)</x:f>
        <x:v>1</x:v>
      </x:c>
      <x:c r="F1735" s="98" t="n">
        <x:v>1</x:v>
      </x:c>
      <x:c r="G1735" s="99" t="str">
        <x:f>IF(E1735=F1735,"PASS","FAIL")</x:f>
        <x:v>PASS</x:v>
      </x:c>
    </x:row>
    <x:row r="1736">
      <x:c r="B1736" s="97" t="str">
        <x:v>AC-1730</x:v>
      </x:c>
      <x:c r="C1736" s="97" t="str">
        <x:v>non-error</x:v>
      </x:c>
      <x:c r="D1736" s="97" t="str">
        <x:v>Regeneration L30</x:v>
      </x:c>
      <x:c r="E1736" s="98" t="n">
        <x:f>IF(ISERROR('Regeneration'!L30),0,1)</x:f>
        <x:v>1</x:v>
      </x:c>
      <x:c r="F1736" s="98" t="n">
        <x:v>1</x:v>
      </x:c>
      <x:c r="G1736" s="99" t="str">
        <x:f>IF(E1736=F1736,"PASS","FAIL")</x:f>
        <x:v>PASS</x:v>
      </x:c>
    </x:row>
    <x:row r="1737">
      <x:c r="B1737" s="97" t="str">
        <x:v>AC-1731</x:v>
      </x:c>
      <x:c r="C1737" s="97" t="str">
        <x:v>non-error</x:v>
      </x:c>
      <x:c r="D1737" s="97" t="str">
        <x:v>Regeneration M30</x:v>
      </x:c>
      <x:c r="E1737" s="98" t="n">
        <x:f>IF(ISERROR('Regeneration'!M30),0,1)</x:f>
        <x:v>1</x:v>
      </x:c>
      <x:c r="F1737" s="98" t="n">
        <x:v>1</x:v>
      </x:c>
      <x:c r="G1737" s="99" t="str">
        <x:f>IF(E1737=F1737,"PASS","FAIL")</x:f>
        <x:v>PASS</x:v>
      </x:c>
    </x:row>
    <x:row r="1738">
      <x:c r="B1738" s="97" t="str">
        <x:v>AC-1732</x:v>
      </x:c>
      <x:c r="C1738" s="97" t="str">
        <x:v>non-error</x:v>
      </x:c>
      <x:c r="D1738" s="97" t="str">
        <x:v>Regeneration N30</x:v>
      </x:c>
      <x:c r="E1738" s="98" t="n">
        <x:f>IF(ISERROR('Regeneration'!N30),0,1)</x:f>
        <x:v>1</x:v>
      </x:c>
      <x:c r="F1738" s="98" t="n">
        <x:v>1</x:v>
      </x:c>
      <x:c r="G1738" s="99" t="str">
        <x:f>IF(E1738=F1738,"PASS","FAIL")</x:f>
        <x:v>PASS</x:v>
      </x:c>
    </x:row>
    <x:row r="1739">
      <x:c r="B1739" s="97" t="str">
        <x:v>AC-1733</x:v>
      </x:c>
      <x:c r="C1739" s="97" t="str">
        <x:v>non-error</x:v>
      </x:c>
      <x:c r="D1739" s="97" t="str">
        <x:v>Regeneration O30</x:v>
      </x:c>
      <x:c r="E1739" s="98" t="n">
        <x:f>IF(ISERROR('Regeneration'!O30),0,1)</x:f>
        <x:v>1</x:v>
      </x:c>
      <x:c r="F1739" s="98" t="n">
        <x:v>1</x:v>
      </x:c>
      <x:c r="G1739" s="99" t="str">
        <x:f>IF(E1739=F1739,"PASS","FAIL")</x:f>
        <x:v>PASS</x:v>
      </x:c>
    </x:row>
    <x:row r="1740">
      <x:c r="B1740" s="97" t="str">
        <x:v>AC-1734</x:v>
      </x:c>
      <x:c r="C1740" s="97" t="str">
        <x:v>non-error</x:v>
      </x:c>
      <x:c r="D1740" s="97" t="str">
        <x:v>Financial Control C7</x:v>
      </x:c>
      <x:c r="E1740" s="98" t="n">
        <x:f>IF(ISERROR('Financial Control'!C7),0,1)</x:f>
        <x:v>1</x:v>
      </x:c>
      <x:c r="F1740" s="98" t="n">
        <x:v>1</x:v>
      </x:c>
      <x:c r="G1740" s="99" t="str">
        <x:f>IF(E1740=F1740,"PASS","FAIL")</x:f>
        <x:v>PASS</x:v>
      </x:c>
    </x:row>
    <x:row r="1741">
      <x:c r="B1741" s="97" t="str">
        <x:v>AC-1735</x:v>
      </x:c>
      <x:c r="C1741" s="97" t="str">
        <x:v>non-error</x:v>
      </x:c>
      <x:c r="D1741" s="97" t="str">
        <x:v>Financial Control D7</x:v>
      </x:c>
      <x:c r="E1741" s="98" t="n">
        <x:f>IF(ISERROR('Financial Control'!D7),0,1)</x:f>
        <x:v>1</x:v>
      </x:c>
      <x:c r="F1741" s="98" t="n">
        <x:v>1</x:v>
      </x:c>
      <x:c r="G1741" s="99" t="str">
        <x:f>IF(E1741=F1741,"PASS","FAIL")</x:f>
        <x:v>PASS</x:v>
      </x:c>
    </x:row>
    <x:row r="1742">
      <x:c r="B1742" s="97" t="str">
        <x:v>AC-1736</x:v>
      </x:c>
      <x:c r="C1742" s="97" t="str">
        <x:v>non-error</x:v>
      </x:c>
      <x:c r="D1742" s="97" t="str">
        <x:v>Financial Control C8</x:v>
      </x:c>
      <x:c r="E1742" s="98" t="n">
        <x:f>IF(ISERROR('Financial Control'!C8),0,1)</x:f>
        <x:v>1</x:v>
      </x:c>
      <x:c r="F1742" s="98" t="n">
        <x:v>1</x:v>
      </x:c>
      <x:c r="G1742" s="99" t="str">
        <x:f>IF(E1742=F1742,"PASS","FAIL")</x:f>
        <x:v>PASS</x:v>
      </x:c>
    </x:row>
    <x:row r="1743">
      <x:c r="B1743" s="97" t="str">
        <x:v>AC-1737</x:v>
      </x:c>
      <x:c r="C1743" s="97" t="str">
        <x:v>non-error</x:v>
      </x:c>
      <x:c r="D1743" s="97" t="str">
        <x:v>Financial Control D8</x:v>
      </x:c>
      <x:c r="E1743" s="98" t="n">
        <x:f>IF(ISERROR('Financial Control'!D8),0,1)</x:f>
        <x:v>1</x:v>
      </x:c>
      <x:c r="F1743" s="98" t="n">
        <x:v>1</x:v>
      </x:c>
      <x:c r="G1743" s="99" t="str">
        <x:f>IF(E1743=F1743,"PASS","FAIL")</x:f>
        <x:v>PASS</x:v>
      </x:c>
    </x:row>
    <x:row r="1744">
      <x:c r="B1744" s="97" t="str">
        <x:v>AC-1738</x:v>
      </x:c>
      <x:c r="C1744" s="97" t="str">
        <x:v>non-error</x:v>
      </x:c>
      <x:c r="D1744" s="97" t="str">
        <x:v>Financial Control C9</x:v>
      </x:c>
      <x:c r="E1744" s="98" t="n">
        <x:f>IF(ISERROR('Financial Control'!C9),0,1)</x:f>
        <x:v>1</x:v>
      </x:c>
      <x:c r="F1744" s="98" t="n">
        <x:v>1</x:v>
      </x:c>
      <x:c r="G1744" s="99" t="str">
        <x:f>IF(E1744=F1744,"PASS","FAIL")</x:f>
        <x:v>PASS</x:v>
      </x:c>
    </x:row>
    <x:row r="1745">
      <x:c r="B1745" s="97" t="str">
        <x:v>AC-1739</x:v>
      </x:c>
      <x:c r="C1745" s="97" t="str">
        <x:v>non-error</x:v>
      </x:c>
      <x:c r="D1745" s="97" t="str">
        <x:v>Financial Control D9</x:v>
      </x:c>
      <x:c r="E1745" s="98" t="n">
        <x:f>IF(ISERROR('Financial Control'!D9),0,1)</x:f>
        <x:v>1</x:v>
      </x:c>
      <x:c r="F1745" s="98" t="n">
        <x:v>1</x:v>
      </x:c>
      <x:c r="G1745" s="99" t="str">
        <x:f>IF(E1745=F1745,"PASS","FAIL")</x:f>
        <x:v>PASS</x:v>
      </x:c>
    </x:row>
    <x:row r="1746">
      <x:c r="B1746" s="97" t="str">
        <x:v>AC-1740</x:v>
      </x:c>
      <x:c r="C1746" s="97" t="str">
        <x:v>non-error</x:v>
      </x:c>
      <x:c r="D1746" s="97" t="str">
        <x:v>Financial Control C10</x:v>
      </x:c>
      <x:c r="E1746" s="98" t="n">
        <x:f>IF(ISERROR('Financial Control'!C10),0,1)</x:f>
        <x:v>1</x:v>
      </x:c>
      <x:c r="F1746" s="98" t="n">
        <x:v>1</x:v>
      </x:c>
      <x:c r="G1746" s="99" t="str">
        <x:f>IF(E1746=F1746,"PASS","FAIL")</x:f>
        <x:v>PASS</x:v>
      </x:c>
    </x:row>
    <x:row r="1747">
      <x:c r="B1747" s="97" t="str">
        <x:v>AC-1741</x:v>
      </x:c>
      <x:c r="C1747" s="97" t="str">
        <x:v>non-error</x:v>
      </x:c>
      <x:c r="D1747" s="97" t="str">
        <x:v>Financial Control D10</x:v>
      </x:c>
      <x:c r="E1747" s="98" t="n">
        <x:f>IF(ISERROR('Financial Control'!D10),0,1)</x:f>
        <x:v>1</x:v>
      </x:c>
      <x:c r="F1747" s="98" t="n">
        <x:v>1</x:v>
      </x:c>
      <x:c r="G1747" s="99" t="str">
        <x:f>IF(E1747=F1747,"PASS","FAIL")</x:f>
        <x:v>PASS</x:v>
      </x:c>
    </x:row>
    <x:row r="1748">
      <x:c r="B1748" s="97" t="str">
        <x:v>AC-1742</x:v>
      </x:c>
      <x:c r="C1748" s="97" t="str">
        <x:v>non-error</x:v>
      </x:c>
      <x:c r="D1748" s="97" t="str">
        <x:v>Financial Control C11</x:v>
      </x:c>
      <x:c r="E1748" s="98" t="n">
        <x:f>IF(ISERROR('Financial Control'!C11),0,1)</x:f>
        <x:v>1</x:v>
      </x:c>
      <x:c r="F1748" s="98" t="n">
        <x:v>1</x:v>
      </x:c>
      <x:c r="G1748" s="99" t="str">
        <x:f>IF(E1748=F1748,"PASS","FAIL")</x:f>
        <x:v>PASS</x:v>
      </x:c>
    </x:row>
    <x:row r="1749">
      <x:c r="B1749" s="97" t="str">
        <x:v>AC-1743</x:v>
      </x:c>
      <x:c r="C1749" s="97" t="str">
        <x:v>non-error</x:v>
      </x:c>
      <x:c r="D1749" s="97" t="str">
        <x:v>Financial Control D11</x:v>
      </x:c>
      <x:c r="E1749" s="98" t="n">
        <x:f>IF(ISERROR('Financial Control'!D11),0,1)</x:f>
        <x:v>1</x:v>
      </x:c>
      <x:c r="F1749" s="98" t="n">
        <x:v>1</x:v>
      </x:c>
      <x:c r="G1749" s="99" t="str">
        <x:f>IF(E1749=F1749,"PASS","FAIL")</x:f>
        <x:v>PASS</x:v>
      </x:c>
    </x:row>
    <x:row r="1750">
      <x:c r="B1750" s="97" t="str">
        <x:v>AC-1744</x:v>
      </x:c>
      <x:c r="C1750" s="97" t="str">
        <x:v>non-error</x:v>
      </x:c>
      <x:c r="D1750" s="97" t="str">
        <x:v>Financial Control C12</x:v>
      </x:c>
      <x:c r="E1750" s="98" t="n">
        <x:f>IF(ISERROR('Financial Control'!C12),0,1)</x:f>
        <x:v>1</x:v>
      </x:c>
      <x:c r="F1750" s="98" t="n">
        <x:v>1</x:v>
      </x:c>
      <x:c r="G1750" s="99" t="str">
        <x:f>IF(E1750=F1750,"PASS","FAIL")</x:f>
        <x:v>PASS</x:v>
      </x:c>
    </x:row>
    <x:row r="1751">
      <x:c r="B1751" s="97" t="str">
        <x:v>AC-1745</x:v>
      </x:c>
      <x:c r="C1751" s="97" t="str">
        <x:v>non-error</x:v>
      </x:c>
      <x:c r="D1751" s="97" t="str">
        <x:v>Financial Control D12</x:v>
      </x:c>
      <x:c r="E1751" s="98" t="n">
        <x:f>IF(ISERROR('Financial Control'!D12),0,1)</x:f>
        <x:v>1</x:v>
      </x:c>
      <x:c r="F1751" s="98" t="n">
        <x:v>1</x:v>
      </x:c>
      <x:c r="G1751" s="99" t="str">
        <x:f>IF(E1751=F1751,"PASS","FAIL")</x:f>
        <x:v>PASS</x:v>
      </x:c>
    </x:row>
    <x:row r="1752">
      <x:c r="B1752" s="97" t="str">
        <x:v>AC-1746</x:v>
      </x:c>
      <x:c r="C1752" s="97" t="str">
        <x:v>non-error</x:v>
      </x:c>
      <x:c r="D1752" s="97" t="str">
        <x:v>Financial Control C13</x:v>
      </x:c>
      <x:c r="E1752" s="98" t="n">
        <x:f>IF(ISERROR('Financial Control'!C13),0,1)</x:f>
        <x:v>1</x:v>
      </x:c>
      <x:c r="F1752" s="98" t="n">
        <x:v>1</x:v>
      </x:c>
      <x:c r="G1752" s="99" t="str">
        <x:f>IF(E1752=F1752,"PASS","FAIL")</x:f>
        <x:v>PASS</x:v>
      </x:c>
    </x:row>
    <x:row r="1753">
      <x:c r="B1753" s="97" t="str">
        <x:v>AC-1747</x:v>
      </x:c>
      <x:c r="C1753" s="97" t="str">
        <x:v>non-error</x:v>
      </x:c>
      <x:c r="D1753" s="97" t="str">
        <x:v>Financial Control D13</x:v>
      </x:c>
      <x:c r="E1753" s="98" t="n">
        <x:f>IF(ISERROR('Financial Control'!D13),0,1)</x:f>
        <x:v>1</x:v>
      </x:c>
      <x:c r="F1753" s="98" t="n">
        <x:v>1</x:v>
      </x:c>
      <x:c r="G1753" s="99" t="str">
        <x:f>IF(E1753=F1753,"PASS","FAIL")</x:f>
        <x:v>PASS</x:v>
      </x:c>
    </x:row>
    <x:row r="1754">
      <x:c r="B1754" s="97" t="str">
        <x:v>AC-1748</x:v>
      </x:c>
      <x:c r="C1754" s="97" t="str">
        <x:v>non-error</x:v>
      </x:c>
      <x:c r="D1754" s="97" t="str">
        <x:v>Financial Control C14</x:v>
      </x:c>
      <x:c r="E1754" s="98" t="n">
        <x:f>IF(ISERROR('Financial Control'!C14),0,1)</x:f>
        <x:v>1</x:v>
      </x:c>
      <x:c r="F1754" s="98" t="n">
        <x:v>1</x:v>
      </x:c>
      <x:c r="G1754" s="99" t="str">
        <x:f>IF(E1754=F1754,"PASS","FAIL")</x:f>
        <x:v>PASS</x:v>
      </x:c>
    </x:row>
    <x:row r="1755">
      <x:c r="B1755" s="97" t="str">
        <x:v>AC-1749</x:v>
      </x:c>
      <x:c r="C1755" s="97" t="str">
        <x:v>non-error</x:v>
      </x:c>
      <x:c r="D1755" s="97" t="str">
        <x:v>Financial Control D14</x:v>
      </x:c>
      <x:c r="E1755" s="98" t="n">
        <x:f>IF(ISERROR('Financial Control'!D14),0,1)</x:f>
        <x:v>1</x:v>
      </x:c>
      <x:c r="F1755" s="98" t="n">
        <x:v>1</x:v>
      </x:c>
      <x:c r="G1755" s="99" t="str">
        <x:f>IF(E1755=F1755,"PASS","FAIL")</x:f>
        <x:v>PASS</x:v>
      </x:c>
    </x:row>
    <x:row r="1756">
      <x:c r="B1756" s="97" t="str">
        <x:v>AC-1750</x:v>
      </x:c>
      <x:c r="C1756" s="97" t="str">
        <x:v>non-error</x:v>
      </x:c>
      <x:c r="D1756" s="97" t="str">
        <x:v>Financial Control C15</x:v>
      </x:c>
      <x:c r="E1756" s="98" t="n">
        <x:f>IF(ISERROR('Financial Control'!C15),0,1)</x:f>
        <x:v>1</x:v>
      </x:c>
      <x:c r="F1756" s="98" t="n">
        <x:v>1</x:v>
      </x:c>
      <x:c r="G1756" s="99" t="str">
        <x:f>IF(E1756=F1756,"PASS","FAIL")</x:f>
        <x:v>PASS</x:v>
      </x:c>
    </x:row>
    <x:row r="1757">
      <x:c r="B1757" s="97" t="str">
        <x:v>AC-1751</x:v>
      </x:c>
      <x:c r="C1757" s="97" t="str">
        <x:v>non-error</x:v>
      </x:c>
      <x:c r="D1757" s="97" t="str">
        <x:v>Financial Control D15</x:v>
      </x:c>
      <x:c r="E1757" s="98" t="n">
        <x:f>IF(ISERROR('Financial Control'!D15),0,1)</x:f>
        <x:v>1</x:v>
      </x:c>
      <x:c r="F1757" s="98" t="n">
        <x:v>1</x:v>
      </x:c>
      <x:c r="G1757" s="99" t="str">
        <x:f>IF(E1757=F1757,"PASS","FAIL")</x:f>
        <x:v>PASS</x:v>
      </x:c>
    </x:row>
    <x:row r="1758">
      <x:c r="B1758" s="97" t="str">
        <x:v>AC-1752</x:v>
      </x:c>
      <x:c r="C1758" s="97" t="str">
        <x:v>non-error</x:v>
      </x:c>
      <x:c r="D1758" s="97" t="str">
        <x:v>Financial Control C16</x:v>
      </x:c>
      <x:c r="E1758" s="98" t="n">
        <x:f>IF(ISERROR('Financial Control'!C16),0,1)</x:f>
        <x:v>1</x:v>
      </x:c>
      <x:c r="F1758" s="98" t="n">
        <x:v>1</x:v>
      </x:c>
      <x:c r="G1758" s="99" t="str">
        <x:f>IF(E1758=F1758,"PASS","FAIL")</x:f>
        <x:v>PASS</x:v>
      </x:c>
    </x:row>
    <x:row r="1759">
      <x:c r="B1759" s="97" t="str">
        <x:v>AC-1753</x:v>
      </x:c>
      <x:c r="C1759" s="97" t="str">
        <x:v>non-error</x:v>
      </x:c>
      <x:c r="D1759" s="97" t="str">
        <x:v>Financial Control D16</x:v>
      </x:c>
      <x:c r="E1759" s="98" t="n">
        <x:f>IF(ISERROR('Financial Control'!D16),0,1)</x:f>
        <x:v>1</x:v>
      </x:c>
      <x:c r="F1759" s="98" t="n">
        <x:v>1</x:v>
      </x:c>
      <x:c r="G1759" s="99" t="str">
        <x:f>IF(E1759=F1759,"PASS","FAIL")</x:f>
        <x:v>PASS</x:v>
      </x:c>
    </x:row>
    <x:row r="1760">
      <x:c r="B1760" s="97" t="str">
        <x:v>AC-1754</x:v>
      </x:c>
      <x:c r="C1760" s="97" t="str">
        <x:v>non-error</x:v>
      </x:c>
      <x:c r="D1760" s="97" t="str">
        <x:v>Financial Control C17</x:v>
      </x:c>
      <x:c r="E1760" s="98" t="n">
        <x:f>IF(ISERROR('Financial Control'!C17),0,1)</x:f>
        <x:v>1</x:v>
      </x:c>
      <x:c r="F1760" s="98" t="n">
        <x:v>1</x:v>
      </x:c>
      <x:c r="G1760" s="99" t="str">
        <x:f>IF(E1760=F1760,"PASS","FAIL")</x:f>
        <x:v>PASS</x:v>
      </x:c>
    </x:row>
    <x:row r="1761">
      <x:c r="B1761" s="97" t="str">
        <x:v>AC-1755</x:v>
      </x:c>
      <x:c r="C1761" s="97" t="str">
        <x:v>non-error</x:v>
      </x:c>
      <x:c r="D1761" s="97" t="str">
        <x:v>Financial Control D17</x:v>
      </x:c>
      <x:c r="E1761" s="98" t="n">
        <x:f>IF(ISERROR('Financial Control'!D17),0,1)</x:f>
        <x:v>1</x:v>
      </x:c>
      <x:c r="F1761" s="98" t="n">
        <x:v>1</x:v>
      </x:c>
      <x:c r="G1761" s="99" t="str">
        <x:f>IF(E1761=F1761,"PASS","FAIL")</x:f>
        <x:v>PASS</x:v>
      </x:c>
    </x:row>
    <x:row r="1762">
      <x:c r="B1762" s="97" t="str">
        <x:v>AC-1756</x:v>
      </x:c>
      <x:c r="C1762" s="97" t="str">
        <x:v>non-error</x:v>
      </x:c>
      <x:c r="D1762" s="97" t="str">
        <x:v>Financial Control C18</x:v>
      </x:c>
      <x:c r="E1762" s="98" t="n">
        <x:f>IF(ISERROR('Financial Control'!C18),0,1)</x:f>
        <x:v>1</x:v>
      </x:c>
      <x:c r="F1762" s="98" t="n">
        <x:v>1</x:v>
      </x:c>
      <x:c r="G1762" s="99" t="str">
        <x:f>IF(E1762=F1762,"PASS","FAIL")</x:f>
        <x:v>PASS</x:v>
      </x:c>
    </x:row>
    <x:row r="1763">
      <x:c r="B1763" s="97" t="str">
        <x:v>AC-1757</x:v>
      </x:c>
      <x:c r="C1763" s="97" t="str">
        <x:v>non-error</x:v>
      </x:c>
      <x:c r="D1763" s="97" t="str">
        <x:v>Financial Control D18</x:v>
      </x:c>
      <x:c r="E1763" s="98" t="n">
        <x:f>IF(ISERROR('Financial Control'!D18),0,1)</x:f>
        <x:v>1</x:v>
      </x:c>
      <x:c r="F1763" s="98" t="n">
        <x:v>1</x:v>
      </x:c>
      <x:c r="G1763" s="99" t="str">
        <x:f>IF(E1763=F1763,"PASS","FAIL")</x:f>
        <x:v>PASS</x:v>
      </x:c>
    </x:row>
    <x:row r="1764">
      <x:c r="B1764" s="97" t="str">
        <x:v>AC-1758</x:v>
      </x:c>
      <x:c r="C1764" s="97" t="str">
        <x:v>non-error</x:v>
      </x:c>
      <x:c r="D1764" s="97" t="str">
        <x:v>Financial Control C19</x:v>
      </x:c>
      <x:c r="E1764" s="98" t="n">
        <x:f>IF(ISERROR('Financial Control'!C19),0,1)</x:f>
        <x:v>1</x:v>
      </x:c>
      <x:c r="F1764" s="98" t="n">
        <x:v>1</x:v>
      </x:c>
      <x:c r="G1764" s="99" t="str">
        <x:f>IF(E1764=F1764,"PASS","FAIL")</x:f>
        <x:v>PASS</x:v>
      </x:c>
    </x:row>
    <x:row r="1765">
      <x:c r="B1765" s="97" t="str">
        <x:v>AC-1759</x:v>
      </x:c>
      <x:c r="C1765" s="97" t="str">
        <x:v>non-error</x:v>
      </x:c>
      <x:c r="D1765" s="97" t="str">
        <x:v>Financial Control D19</x:v>
      </x:c>
      <x:c r="E1765" s="98" t="n">
        <x:f>IF(ISERROR('Financial Control'!D19),0,1)</x:f>
        <x:v>1</x:v>
      </x:c>
      <x:c r="F1765" s="98" t="n">
        <x:v>1</x:v>
      </x:c>
      <x:c r="G1765" s="99" t="str">
        <x:f>IF(E1765=F1765,"PASS","FAIL")</x:f>
        <x:v>PASS</x:v>
      </x:c>
    </x:row>
    <x:row r="1766">
      <x:c r="B1766" s="97" t="str">
        <x:v>AC-1760</x:v>
      </x:c>
      <x:c r="C1766" s="97" t="str">
        <x:v>non-error</x:v>
      </x:c>
      <x:c r="D1766" s="97" t="str">
        <x:v>Financial Control C20</x:v>
      </x:c>
      <x:c r="E1766" s="98" t="n">
        <x:f>IF(ISERROR('Financial Control'!C20),0,1)</x:f>
        <x:v>1</x:v>
      </x:c>
      <x:c r="F1766" s="98" t="n">
        <x:v>1</x:v>
      </x:c>
      <x:c r="G1766" s="99" t="str">
        <x:f>IF(E1766=F1766,"PASS","FAIL")</x:f>
        <x:v>PASS</x:v>
      </x:c>
    </x:row>
    <x:row r="1767">
      <x:c r="B1767" s="97" t="str">
        <x:v>AC-1761</x:v>
      </x:c>
      <x:c r="C1767" s="97" t="str">
        <x:v>non-error</x:v>
      </x:c>
      <x:c r="D1767" s="97" t="str">
        <x:v>Financial Control D20</x:v>
      </x:c>
      <x:c r="E1767" s="98" t="n">
        <x:f>IF(ISERROR('Financial Control'!D20),0,1)</x:f>
        <x:v>1</x:v>
      </x:c>
      <x:c r="F1767" s="98" t="n">
        <x:v>1</x:v>
      </x:c>
      <x:c r="G1767" s="99" t="str">
        <x:f>IF(E1767=F1767,"PASS","FAIL")</x:f>
        <x:v>PASS</x:v>
      </x:c>
    </x:row>
    <x:row r="1768">
      <x:c r="B1768" s="97" t="str">
        <x:v>AC-1762</x:v>
      </x:c>
      <x:c r="C1768" s="97" t="str">
        <x:v>non-error</x:v>
      </x:c>
      <x:c r="D1768" s="97" t="str">
        <x:v>Financial Control C21</x:v>
      </x:c>
      <x:c r="E1768" s="98" t="n">
        <x:f>IF(ISERROR('Financial Control'!C21),0,1)</x:f>
        <x:v>1</x:v>
      </x:c>
      <x:c r="F1768" s="98" t="n">
        <x:v>1</x:v>
      </x:c>
      <x:c r="G1768" s="99" t="str">
        <x:f>IF(E1768=F1768,"PASS","FAIL")</x:f>
        <x:v>PASS</x:v>
      </x:c>
    </x:row>
    <x:row r="1769">
      <x:c r="B1769" s="97" t="str">
        <x:v>AC-1763</x:v>
      </x:c>
      <x:c r="C1769" s="97" t="str">
        <x:v>non-error</x:v>
      </x:c>
      <x:c r="D1769" s="97" t="str">
        <x:v>Financial Control D21</x:v>
      </x:c>
      <x:c r="E1769" s="98" t="n">
        <x:f>IF(ISERROR('Financial Control'!D21),0,1)</x:f>
        <x:v>1</x:v>
      </x:c>
      <x:c r="F1769" s="98" t="n">
        <x:v>1</x:v>
      </x:c>
      <x:c r="G1769" s="99" t="str">
        <x:f>IF(E1769=F1769,"PASS","FAIL")</x:f>
        <x:v>PASS</x:v>
      </x:c>
    </x:row>
    <x:row r="1770">
      <x:c r="B1770" s="97" t="str">
        <x:v>AC-1764</x:v>
      </x:c>
      <x:c r="C1770" s="97" t="str">
        <x:v>non-error</x:v>
      </x:c>
      <x:c r="D1770" s="97" t="str">
        <x:v>Financial Control C22</x:v>
      </x:c>
      <x:c r="E1770" s="98" t="n">
        <x:f>IF(ISERROR('Financial Control'!C22),0,1)</x:f>
        <x:v>1</x:v>
      </x:c>
      <x:c r="F1770" s="98" t="n">
        <x:v>1</x:v>
      </x:c>
      <x:c r="G1770" s="99" t="str">
        <x:f>IF(E1770=F1770,"PASS","FAIL")</x:f>
        <x:v>PASS</x:v>
      </x:c>
    </x:row>
    <x:row r="1771">
      <x:c r="B1771" s="97" t="str">
        <x:v>AC-1765</x:v>
      </x:c>
      <x:c r="C1771" s="97" t="str">
        <x:v>non-error</x:v>
      </x:c>
      <x:c r="D1771" s="97" t="str">
        <x:v>Financial Control D22</x:v>
      </x:c>
      <x:c r="E1771" s="98" t="n">
        <x:f>IF(ISERROR('Financial Control'!D22),0,1)</x:f>
        <x:v>1</x:v>
      </x:c>
      <x:c r="F1771" s="98" t="n">
        <x:v>1</x:v>
      </x:c>
      <x:c r="G1771" s="99" t="str">
        <x:f>IF(E1771=F1771,"PASS","FAIL")</x:f>
        <x:v>PASS</x:v>
      </x:c>
    </x:row>
    <x:row r="1772">
      <x:c r="B1772" s="97" t="str">
        <x:v>AC-1766</x:v>
      </x:c>
      <x:c r="C1772" s="97" t="str">
        <x:v>non-error</x:v>
      </x:c>
      <x:c r="D1772" s="97" t="str">
        <x:v>Financial Control C23</x:v>
      </x:c>
      <x:c r="E1772" s="98" t="n">
        <x:f>IF(ISERROR('Financial Control'!C23),0,1)</x:f>
        <x:v>1</x:v>
      </x:c>
      <x:c r="F1772" s="98" t="n">
        <x:v>1</x:v>
      </x:c>
      <x:c r="G1772" s="99" t="str">
        <x:f>IF(E1772=F1772,"PASS","FAIL")</x:f>
        <x:v>PASS</x:v>
      </x:c>
    </x:row>
    <x:row r="1773">
      <x:c r="B1773" s="97" t="str">
        <x:v>AC-1767</x:v>
      </x:c>
      <x:c r="C1773" s="97" t="str">
        <x:v>non-error</x:v>
      </x:c>
      <x:c r="D1773" s="97" t="str">
        <x:v>Financial Control D23</x:v>
      </x:c>
      <x:c r="E1773" s="98" t="n">
        <x:f>IF(ISERROR('Financial Control'!D23),0,1)</x:f>
        <x:v>1</x:v>
      </x:c>
      <x:c r="F1773" s="98" t="n">
        <x:v>1</x:v>
      </x:c>
      <x:c r="G1773" s="99" t="str">
        <x:f>IF(E1773=F1773,"PASS","FAIL")</x:f>
        <x:v>PASS</x:v>
      </x:c>
    </x:row>
    <x:row r="1774">
      <x:c r="B1774" s="97" t="str">
        <x:v>AC-1768</x:v>
      </x:c>
      <x:c r="C1774" s="97" t="str">
        <x:v>non-error</x:v>
      </x:c>
      <x:c r="D1774" s="97" t="str">
        <x:v>Financial Control C24</x:v>
      </x:c>
      <x:c r="E1774" s="98" t="n">
        <x:f>IF(ISERROR('Financial Control'!C24),0,1)</x:f>
        <x:v>1</x:v>
      </x:c>
      <x:c r="F1774" s="98" t="n">
        <x:v>1</x:v>
      </x:c>
      <x:c r="G1774" s="99" t="str">
        <x:f>IF(E1774=F1774,"PASS","FAIL")</x:f>
        <x:v>PASS</x:v>
      </x:c>
    </x:row>
    <x:row r="1775">
      <x:c r="B1775" s="97" t="str">
        <x:v>AC-1769</x:v>
      </x:c>
      <x:c r="C1775" s="97" t="str">
        <x:v>non-error</x:v>
      </x:c>
      <x:c r="D1775" s="97" t="str">
        <x:v>Financial Control D24</x:v>
      </x:c>
      <x:c r="E1775" s="98" t="n">
        <x:f>IF(ISERROR('Financial Control'!D24),0,1)</x:f>
        <x:v>1</x:v>
      </x:c>
      <x:c r="F1775" s="98" t="n">
        <x:v>1</x:v>
      </x:c>
      <x:c r="G1775" s="99" t="str">
        <x:f>IF(E1775=F1775,"PASS","FAIL")</x:f>
        <x:v>PASS</x:v>
      </x:c>
    </x:row>
    <x:row r="1776">
      <x:c r="B1776" s="97" t="str">
        <x:v>AC-1770</x:v>
      </x:c>
      <x:c r="C1776" s="97" t="str">
        <x:v>non-error</x:v>
      </x:c>
      <x:c r="D1776" s="97" t="str">
        <x:v>Financial Control C25</x:v>
      </x:c>
      <x:c r="E1776" s="98" t="n">
        <x:f>IF(ISERROR('Financial Control'!C25),0,1)</x:f>
        <x:v>1</x:v>
      </x:c>
      <x:c r="F1776" s="98" t="n">
        <x:v>1</x:v>
      </x:c>
      <x:c r="G1776" s="99" t="str">
        <x:f>IF(E1776=F1776,"PASS","FAIL")</x:f>
        <x:v>PASS</x:v>
      </x:c>
    </x:row>
    <x:row r="1777">
      <x:c r="B1777" s="97" t="str">
        <x:v>AC-1771</x:v>
      </x:c>
      <x:c r="C1777" s="97" t="str">
        <x:v>non-error</x:v>
      </x:c>
      <x:c r="D1777" s="97" t="str">
        <x:v>Financial Control D25</x:v>
      </x:c>
      <x:c r="E1777" s="98" t="n">
        <x:f>IF(ISERROR('Financial Control'!D25),0,1)</x:f>
        <x:v>1</x:v>
      </x:c>
      <x:c r="F1777" s="98" t="n">
        <x:v>1</x:v>
      </x:c>
      <x:c r="G1777" s="99" t="str">
        <x:f>IF(E1777=F1777,"PASS","FAIL")</x:f>
        <x:v>PASS</x:v>
      </x:c>
    </x:row>
    <x:row r="1778">
      <x:c r="B1778" s="97" t="str">
        <x:v>AC-1772</x:v>
      </x:c>
      <x:c r="C1778" s="97" t="str">
        <x:v>non-error</x:v>
      </x:c>
      <x:c r="D1778" s="97" t="str">
        <x:v>Financial Control C26</x:v>
      </x:c>
      <x:c r="E1778" s="98" t="n">
        <x:f>IF(ISERROR('Financial Control'!C26),0,1)</x:f>
        <x:v>1</x:v>
      </x:c>
      <x:c r="F1778" s="98" t="n">
        <x:v>1</x:v>
      </x:c>
      <x:c r="G1778" s="99" t="str">
        <x:f>IF(E1778=F1778,"PASS","FAIL")</x:f>
        <x:v>PASS</x:v>
      </x:c>
    </x:row>
    <x:row r="1779">
      <x:c r="B1779" s="97" t="str">
        <x:v>AC-1773</x:v>
      </x:c>
      <x:c r="C1779" s="97" t="str">
        <x:v>non-error</x:v>
      </x:c>
      <x:c r="D1779" s="97" t="str">
        <x:v>Financial Control D26</x:v>
      </x:c>
      <x:c r="E1779" s="98" t="n">
        <x:f>IF(ISERROR('Financial Control'!D26),0,1)</x:f>
        <x:v>1</x:v>
      </x:c>
      <x:c r="F1779" s="98" t="n">
        <x:v>1</x:v>
      </x:c>
      <x:c r="G1779" s="99" t="str">
        <x:f>IF(E1779=F1779,"PASS","FAIL")</x:f>
        <x:v>PASS</x:v>
      </x:c>
    </x:row>
    <x:row r="1780">
      <x:c r="B1780" s="97" t="str">
        <x:v>AC-1774</x:v>
      </x:c>
      <x:c r="C1780" s="97" t="str">
        <x:v>non-error</x:v>
      </x:c>
      <x:c r="D1780" s="97" t="str">
        <x:v>Financial Control C27</x:v>
      </x:c>
      <x:c r="E1780" s="98" t="n">
        <x:f>IF(ISERROR('Financial Control'!C27),0,1)</x:f>
        <x:v>1</x:v>
      </x:c>
      <x:c r="F1780" s="98" t="n">
        <x:v>1</x:v>
      </x:c>
      <x:c r="G1780" s="99" t="str">
        <x:f>IF(E1780=F1780,"PASS","FAIL")</x:f>
        <x:v>PASS</x:v>
      </x:c>
    </x:row>
    <x:row r="1781">
      <x:c r="B1781" s="97" t="str">
        <x:v>AC-1775</x:v>
      </x:c>
      <x:c r="C1781" s="97" t="str">
        <x:v>non-error</x:v>
      </x:c>
      <x:c r="D1781" s="97" t="str">
        <x:v>Financial Control D27</x:v>
      </x:c>
      <x:c r="E1781" s="98" t="n">
        <x:f>IF(ISERROR('Financial Control'!D27),0,1)</x:f>
        <x:v>1</x:v>
      </x:c>
      <x:c r="F1781" s="98" t="n">
        <x:v>1</x:v>
      </x:c>
      <x:c r="G1781" s="99" t="str">
        <x:f>IF(E1781=F1781,"PASS","FAIL")</x:f>
        <x:v>PASS</x:v>
      </x:c>
    </x:row>
    <x:row r="1782">
      <x:c r="B1782" s="97" t="str">
        <x:v>AC-1776</x:v>
      </x:c>
      <x:c r="C1782" s="97" t="str">
        <x:v>non-error</x:v>
      </x:c>
      <x:c r="D1782" s="97" t="str">
        <x:v>Financial Control C28</x:v>
      </x:c>
      <x:c r="E1782" s="98" t="n">
        <x:f>IF(ISERROR('Financial Control'!C28),0,1)</x:f>
        <x:v>1</x:v>
      </x:c>
      <x:c r="F1782" s="98" t="n">
        <x:v>1</x:v>
      </x:c>
      <x:c r="G1782" s="99" t="str">
        <x:f>IF(E1782=F1782,"PASS","FAIL")</x:f>
        <x:v>PASS</x:v>
      </x:c>
    </x:row>
    <x:row r="1783">
      <x:c r="B1783" s="97" t="str">
        <x:v>AC-1777</x:v>
      </x:c>
      <x:c r="C1783" s="97" t="str">
        <x:v>non-error</x:v>
      </x:c>
      <x:c r="D1783" s="97" t="str">
        <x:v>Financial Control D28</x:v>
      </x:c>
      <x:c r="E1783" s="98" t="n">
        <x:f>IF(ISERROR('Financial Control'!D28),0,1)</x:f>
        <x:v>1</x:v>
      </x:c>
      <x:c r="F1783" s="98" t="n">
        <x:v>1</x:v>
      </x:c>
      <x:c r="G1783" s="99" t="str">
        <x:f>IF(E1783=F1783,"PASS","FAIL")</x:f>
        <x:v>PASS</x:v>
      </x:c>
    </x:row>
    <x:row r="1784">
      <x:c r="B1784" s="97" t="str">
        <x:v>AC-1778</x:v>
      </x:c>
      <x:c r="C1784" s="97" t="str">
        <x:v>non-error</x:v>
      </x:c>
      <x:c r="D1784" s="97" t="str">
        <x:v>Financial Control C29</x:v>
      </x:c>
      <x:c r="E1784" s="98" t="n">
        <x:f>IF(ISERROR('Financial Control'!C29),0,1)</x:f>
        <x:v>1</x:v>
      </x:c>
      <x:c r="F1784" s="98" t="n">
        <x:v>1</x:v>
      </x:c>
      <x:c r="G1784" s="99" t="str">
        <x:f>IF(E1784=F1784,"PASS","FAIL")</x:f>
        <x:v>PASS</x:v>
      </x:c>
    </x:row>
    <x:row r="1785">
      <x:c r="B1785" s="97" t="str">
        <x:v>AC-1779</x:v>
      </x:c>
      <x:c r="C1785" s="97" t="str">
        <x:v>non-error</x:v>
      </x:c>
      <x:c r="D1785" s="97" t="str">
        <x:v>Financial Control D29</x:v>
      </x:c>
      <x:c r="E1785" s="98" t="n">
        <x:f>IF(ISERROR('Financial Control'!D29),0,1)</x:f>
        <x:v>1</x:v>
      </x:c>
      <x:c r="F1785" s="98" t="n">
        <x:v>1</x:v>
      </x:c>
      <x:c r="G1785" s="99" t="str">
        <x:f>IF(E1785=F1785,"PASS","FAIL")</x:f>
        <x:v>PASS</x:v>
      </x:c>
    </x:row>
    <x:row r="1786">
      <x:c r="B1786" s="97" t="str">
        <x:v>AC-1780</x:v>
      </x:c>
      <x:c r="C1786" s="97" t="str">
        <x:v>non-error</x:v>
      </x:c>
      <x:c r="D1786" s="97" t="str">
        <x:v>Financial Control C30</x:v>
      </x:c>
      <x:c r="E1786" s="98" t="n">
        <x:f>IF(ISERROR('Financial Control'!C30),0,1)</x:f>
        <x:v>1</x:v>
      </x:c>
      <x:c r="F1786" s="98" t="n">
        <x:v>1</x:v>
      </x:c>
      <x:c r="G1786" s="99" t="str">
        <x:f>IF(E1786=F1786,"PASS","FAIL")</x:f>
        <x:v>PASS</x:v>
      </x:c>
    </x:row>
    <x:row r="1787">
      <x:c r="B1787" s="97" t="str">
        <x:v>AC-1781</x:v>
      </x:c>
      <x:c r="C1787" s="97" t="str">
        <x:v>non-error</x:v>
      </x:c>
      <x:c r="D1787" s="97" t="str">
        <x:v>Financial Control D30</x:v>
      </x:c>
      <x:c r="E1787" s="98" t="n">
        <x:f>IF(ISERROR('Financial Control'!D30),0,1)</x:f>
        <x:v>1</x:v>
      </x:c>
      <x:c r="F1787" s="98" t="n">
        <x:v>1</x:v>
      </x:c>
      <x:c r="G1787" s="99" t="str">
        <x:f>IF(E1787=F1787,"PASS","FAIL")</x:f>
        <x:v>PASS</x:v>
      </x:c>
    </x:row>
    <x:row r="1788">
      <x:c r="B1788" s="97" t="str">
        <x:v>AC-1782</x:v>
      </x:c>
      <x:c r="C1788" s="97" t="str">
        <x:v>non-error</x:v>
      </x:c>
      <x:c r="D1788" s="97" t="str">
        <x:v>Financial Control C31</x:v>
      </x:c>
      <x:c r="E1788" s="98" t="n">
        <x:f>IF(ISERROR('Financial Control'!C31),0,1)</x:f>
        <x:v>1</x:v>
      </x:c>
      <x:c r="F1788" s="98" t="n">
        <x:v>1</x:v>
      </x:c>
      <x:c r="G1788" s="99" t="str">
        <x:f>IF(E1788=F1788,"PASS","FAIL")</x:f>
        <x:v>PASS</x:v>
      </x:c>
    </x:row>
    <x:row r="1789">
      <x:c r="B1789" s="97" t="str">
        <x:v>AC-1783</x:v>
      </x:c>
      <x:c r="C1789" s="97" t="str">
        <x:v>non-error</x:v>
      </x:c>
      <x:c r="D1789" s="97" t="str">
        <x:v>Financial Control D31</x:v>
      </x:c>
      <x:c r="E1789" s="98" t="n">
        <x:f>IF(ISERROR('Financial Control'!D31),0,1)</x:f>
        <x:v>1</x:v>
      </x:c>
      <x:c r="F1789" s="98" t="n">
        <x:v>1</x:v>
      </x:c>
      <x:c r="G1789" s="99" t="str">
        <x:f>IF(E1789=F1789,"PASS","FAIL")</x:f>
        <x:v>PASS</x:v>
      </x:c>
    </x:row>
    <x:row r="1790">
      <x:c r="B1790" s="97" t="str">
        <x:v>AC-1784</x:v>
      </x:c>
      <x:c r="C1790" s="97" t="str">
        <x:v>non-error</x:v>
      </x:c>
      <x:c r="D1790" s="97" t="str">
        <x:v>Financial Control C32</x:v>
      </x:c>
      <x:c r="E1790" s="98" t="n">
        <x:f>IF(ISERROR('Financial Control'!C32),0,1)</x:f>
        <x:v>1</x:v>
      </x:c>
      <x:c r="F1790" s="98" t="n">
        <x:v>1</x:v>
      </x:c>
      <x:c r="G1790" s="99" t="str">
        <x:f>IF(E1790=F1790,"PASS","FAIL")</x:f>
        <x:v>PASS</x:v>
      </x:c>
    </x:row>
    <x:row r="1791">
      <x:c r="B1791" s="100" t="str">
        <x:v>AC-1785</x:v>
      </x:c>
      <x:c r="C1791" s="100" t="str">
        <x:v>non-error</x:v>
      </x:c>
      <x:c r="D1791" s="100" t="str">
        <x:v>Financial Control D32</x:v>
      </x:c>
      <x:c r="E1791" s="101" t="n">
        <x:f>IF(ISERROR('Financial Control'!D32),0,1)</x:f>
        <x:v>1</x:v>
      </x:c>
      <x:c r="F1791" s="101" t="n">
        <x:v>1</x:v>
      </x:c>
      <x:c r="G1791" s="102" t="str">
        <x:f>IF(E1791=F1791,"PASS","FAIL")</x:f>
        <x:v>PASS</x:v>
      </x:c>
    </x:row>
  </x:sheetData>
  <x:mergeCells>
    <x:mergeCell ref="B3:G3"/>
  </x:mergeCells>
  <x:conditionalFormatting sqref="G7:G1791">
    <x:cfRule type="containsText" dxfId="153" priority="1" operator="containsText" text="FAIL"/>
    <x:cfRule type="containsText" dxfId="154" priority="2" operator="containsText" text="BLOCKED"/>
    <x:cfRule type="containsText" dxfId="155" priority="3" operator="containsText" text="HOLD"/>
    <x:cfRule type="containsText" dxfId="156" priority="4" operator="containsText" text="OPEN"/>
    <x:cfRule type="containsText" dxfId="157" priority="5" operator="containsText" text="NOT ADMITTED"/>
    <x:cfRule type="containsText" dxfId="158" priority="6" operator="containsText" text="PASS"/>
    <x:cfRule type="containsText" dxfId="159" priority="7" operator="containsText" text="CLOSED"/>
    <x:cfRule type="containsText" dxfId="160" priority="8" operator="containsText" text="ADEQUATE"/>
    <x:cfRule type="containsText" dxfId="161" priority="9" operator="containsText" text="PLANNING PASS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9" hidden="0" customWidth="1"/>
    <x:col min="3" max="3" width="31" hidden="0" customWidth="1"/>
    <x:col min="4" max="4" width="7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B2" s="3" t="str">
        <x:v>How to read and challenge this workbook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This workbook is a design constitution and falsifiable planning model. It is not field evidence, a cost estimate, an environmental review or procurement authority.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52" t="str">
        <x:v>Reading order</x:v>
      </x:c>
      <x:c r="C6" s="53" t="str">
        <x:v>Reading order</x:v>
      </x:c>
      <x:c r="D6" s="53" t="str">
        <x:v>Reading order</x:v>
      </x:c>
      <x:c r="E6" s="53" t="str">
        <x:v>Reading order</x:v>
      </x:c>
      <x:c r="F6" s="53" t="str">
        <x:v>Reading order</x:v>
      </x:c>
      <x:c r="G6" s="53" t="str">
        <x:v>Reading order</x:v>
      </x:c>
      <x:c r="H6" s="53" t="str">
        <x:v>Reading order</x:v>
      </x:c>
      <x:c r="I6" s="53" t="str">
        <x:v>Reading order</x:v>
      </x:c>
      <x:c r="J6" s="54" t="str">
        <x:v>Reading order</x:v>
      </x:c>
    </x:row>
    <x:row r="7" ht="38" customHeight="1">
      <x:c r="B7" s="48" t="str">
        <x:v>1</x:v>
      </x:c>
      <x:c r="C7" s="48" t="str">
        <x:v>Summary</x:v>
      </x:c>
      <x:c r="D7" s="48" t="str">
        <x:v>read the operating answer, scale, state and stocktake</x:v>
      </x:c>
      <x:c r="E7" s="48" t="str"/>
      <x:c r="F7" s="48" t="str"/>
      <x:c r="G7" s="48" t="str"/>
      <x:c r="H7" s="48" t="str"/>
      <x:c r="I7" s="48" t="str"/>
      <x:c r="J7" s="48" t="str"/>
    </x:row>
    <x:row r="8" ht="38" customHeight="1">
      <x:c r="B8" s="48" t="str">
        <x:v>2</x:v>
      </x:c>
      <x:c r="C8" s="48" t="str">
        <x:v>Mission Contract + System Boundary</x:v>
      </x:c>
      <x:c r="D8" s="48" t="str">
        <x:v>separate the public effect from upstream source and downstream municipal-network claims</x:v>
      </x:c>
      <x:c r="E8" s="48" t="str"/>
      <x:c r="F8" s="48" t="str"/>
      <x:c r="G8" s="48" t="str"/>
      <x:c r="H8" s="48" t="str"/>
      <x:c r="I8" s="48" t="str"/>
      <x:c r="J8" s="48" t="str"/>
    </x:row>
    <x:row r="9" ht="38" customHeight="1">
      <x:c r="B9" s="48" t="str">
        <x:v>3</x:v>
      </x:c>
      <x:c r="C9" s="48" t="str">
        <x:v>Hydraulic Build + Route Constitution</x:v>
      </x:c>
      <x:c r="D9" s="48" t="str">
        <x:v>inspect the paired-route physics and representative corridor</x:v>
      </x:c>
      <x:c r="E9" s="48" t="str"/>
      <x:c r="F9" s="48" t="str"/>
      <x:c r="G9" s="48" t="str"/>
      <x:c r="H9" s="48" t="str"/>
      <x:c r="I9" s="48" t="str"/>
      <x:c r="J9" s="48" t="str"/>
    </x:row>
    <x:row r="10" ht="38" customHeight="1">
      <x:c r="B10" s="48" t="str">
        <x:v>4</x:v>
      </x:c>
      <x:c r="C10" s="48" t="str">
        <x:v>Architecture Roots through Crew Build</x:v>
      </x:c>
      <x:c r="D10" s="48" t="str">
        <x:v>reconstruct each complete article rather than comparing pipe forms alone</x:v>
      </x:c>
      <x:c r="E10" s="48" t="str"/>
      <x:c r="F10" s="48" t="str"/>
      <x:c r="G10" s="48" t="str"/>
      <x:c r="H10" s="48" t="str"/>
      <x:c r="I10" s="48" t="str"/>
      <x:c r="J10" s="48" t="str"/>
    </x:row>
    <x:row r="11" ht="38" customHeight="1">
      <x:c r="B11" s="48" t="str">
        <x:v>5</x:v>
      </x:c>
      <x:c r="C11" s="48" t="str">
        <x:v>Evidence Plan + Inject Register</x:v>
      </x:c>
      <x:c r="D11" s="48" t="str">
        <x:v>see what must be broken, observed and independently accepted</x:v>
      </x:c>
      <x:c r="E11" s="48" t="str"/>
      <x:c r="F11" s="48" t="str"/>
      <x:c r="G11" s="48" t="str"/>
      <x:c r="H11" s="48" t="str"/>
      <x:c r="I11" s="48" t="str"/>
      <x:c r="J11" s="48" t="str"/>
    </x:row>
    <x:row r="12" ht="38" customHeight="1">
      <x:c r="B12" s="48" t="str">
        <x:v>6</x:v>
      </x:c>
      <x:c r="C12" s="48" t="str">
        <x:v>Scenario Results + Regeneration</x:v>
      </x:c>
      <x:c r="D12" s="48" t="str">
        <x:v>separate immediate degradation from restored second-wave readiness</x:v>
      </x:c>
      <x:c r="E12" s="48" t="str"/>
      <x:c r="F12" s="48" t="str"/>
      <x:c r="G12" s="48" t="str"/>
      <x:c r="H12" s="48" t="str"/>
      <x:c r="I12" s="48" t="str"/>
      <x:c r="J12" s="48" t="str"/>
    </x:row>
    <x:row r="13" ht="38" customHeight="1">
      <x:c r="B13" s="48" t="str">
        <x:v>7</x:v>
      </x:c>
      <x:c r="C13" s="48" t="str">
        <x:v>Financial Control + Decision Gates + Audit</x:v>
      </x:c>
      <x:c r="D13" s="48" t="str">
        <x:v>confirm nesting, stop rules and internal integrity</x:v>
      </x:c>
      <x:c r="E13" s="48" t="str"/>
      <x:c r="F13" s="48" t="str"/>
      <x:c r="G13" s="48" t="str"/>
      <x:c r="H13" s="48" t="str"/>
      <x:c r="I13" s="48" t="str"/>
      <x:c r="J13" s="48" t="str"/>
    </x:row>
    <x:row r="14" ht="38" customHeight="1">
      <x:c r="B14" s="48"/>
      <x:c r="C14" s="48"/>
      <x:c r="D14" s="48"/>
      <x:c r="E14" s="48"/>
      <x:c r="F14" s="48"/>
      <x:c r="G14" s="48"/>
      <x:c r="H14" s="48"/>
      <x:c r="I14" s="48"/>
      <x:c r="J14" s="48"/>
    </x:row>
    <x:row r="15" ht="38" customHeight="1">
      <x:c r="B15" s="48"/>
      <x:c r="C15" s="48"/>
      <x:c r="D15" s="48"/>
      <x:c r="E15" s="48"/>
      <x:c r="F15" s="48"/>
      <x:c r="G15" s="48"/>
      <x:c r="H15" s="48"/>
      <x:c r="I15" s="48"/>
      <x:c r="J15" s="48"/>
    </x:row>
    <x:row r="16" ht="38" customHeight="1">
      <x:c r="B16" s="103" t="str">
        <x:v>State semantics</x:v>
      </x:c>
      <x:c r="C16" s="104" t="str">
        <x:v>State semantics</x:v>
      </x:c>
      <x:c r="D16" s="104" t="str">
        <x:v>State semantics</x:v>
      </x:c>
      <x:c r="E16" s="104" t="str">
        <x:v>State semantics</x:v>
      </x:c>
      <x:c r="F16" s="104" t="str">
        <x:v>State semantics</x:v>
      </x:c>
      <x:c r="G16" s="104" t="str">
        <x:v>State semantics</x:v>
      </x:c>
      <x:c r="H16" s="104" t="str">
        <x:v>State semantics</x:v>
      </x:c>
      <x:c r="I16" s="104" t="str">
        <x:v>State semantics</x:v>
      </x:c>
      <x:c r="J16" s="105" t="str">
        <x:v>State semantics</x:v>
      </x:c>
    </x:row>
    <x:row r="17" ht="38" customHeight="1">
      <x:c r="B17" s="48" t="str">
        <x:v>PLANNING PASS</x:v>
      </x:c>
      <x:c r="C17" s="48" t="str">
        <x:v>the formula closes under declared targets; no physical claim is earned</x:v>
      </x:c>
      <x:c r="D17" s="48" t="str"/>
      <x:c r="E17" s="48" t="str"/>
      <x:c r="F17" s="48" t="str"/>
      <x:c r="G17" s="48" t="str"/>
      <x:c r="H17" s="48" t="str"/>
      <x:c r="I17" s="48" t="str"/>
      <x:c r="J17" s="48" t="str"/>
    </x:row>
    <x:row r="18" ht="38" customHeight="1">
      <x:c r="B18" s="48" t="str">
        <x:v>OPEN</x:v>
      </x:c>
      <x:c r="C18" s="48" t="str">
        <x:v>required representative evidence does not yet exist in this repository</x:v>
      </x:c>
      <x:c r="D18" s="48" t="str"/>
      <x:c r="E18" s="48" t="str"/>
      <x:c r="F18" s="48" t="str"/>
      <x:c r="G18" s="48" t="str"/>
      <x:c r="H18" s="48" t="str"/>
      <x:c r="I18" s="48" t="str"/>
      <x:c r="J18" s="48" t="str"/>
    </x:row>
    <x:row r="19" ht="38" customHeight="1">
      <x:c r="B19" s="48" t="str">
        <x:v>HOLD</x:v>
      </x:c>
      <x:c r="C19" s="48" t="str">
        <x:v>a downstream authority is denied until its prerequisite evidence closes</x:v>
      </x:c>
      <x:c r="D19" s="48" t="str"/>
      <x:c r="E19" s="48" t="str"/>
      <x:c r="F19" s="48" t="str"/>
      <x:c r="G19" s="48" t="str"/>
      <x:c r="H19" s="48" t="str"/>
      <x:c r="I19" s="48" t="str"/>
      <x:c r="J19" s="48" t="str"/>
    </x:row>
    <x:row r="20" ht="38" customHeight="1">
      <x:c r="B20" s="48" t="str">
        <x:v>CLOSED</x:v>
      </x:c>
      <x:c r="C20" s="48" t="str">
        <x:v>a definition, boundary or arithmetic identity is fixed for the next experiment</x:v>
      </x:c>
      <x:c r="D20" s="48" t="str"/>
      <x:c r="E20" s="48" t="str"/>
      <x:c r="F20" s="48" t="str"/>
      <x:c r="G20" s="48" t="str"/>
      <x:c r="H20" s="48" t="str"/>
      <x:c r="I20" s="48" t="str"/>
      <x:c r="J20" s="48" t="str"/>
    </x:row>
    <x:row r="21" ht="38" customHeight="1">
      <x:c r="B21" s="48" t="str">
        <x:v>ADMITTED</x:v>
      </x:c>
      <x:c r="C21" s="48" t="str">
        <x:v>planning behavior and independently accepted evidence coexist on the same configuration</x:v>
      </x:c>
      <x:c r="D21" s="48" t="str"/>
      <x:c r="E21" s="48" t="str"/>
      <x:c r="F21" s="48" t="str"/>
      <x:c r="G21" s="48" t="str"/>
      <x:c r="H21" s="48" t="str"/>
      <x:c r="I21" s="48" t="str"/>
      <x:c r="J21" s="48" t="str"/>
    </x:row>
    <x:row r="22" ht="38" customHeight="1">
      <x:c r="B22" s="48" t="str">
        <x:v>BLOCKED</x:v>
      </x:c>
      <x:c r="C22" s="48" t="str">
        <x:v>rendering, production or readiness credit is specifically prohibited</x:v>
      </x:c>
      <x:c r="D22" s="48" t="str"/>
      <x:c r="E22" s="48" t="str"/>
      <x:c r="F22" s="48" t="str"/>
      <x:c r="G22" s="48" t="str"/>
      <x:c r="H22" s="48" t="str"/>
      <x:c r="I22" s="48" t="str"/>
      <x:c r="J22" s="48" t="str"/>
    </x:row>
    <x:row r="23" ht="38" customHeight="1">
      <x:c r="B23" s="48"/>
      <x:c r="C23" s="48"/>
      <x:c r="D23" s="48"/>
      <x:c r="E23" s="48"/>
      <x:c r="F23" s="48"/>
      <x:c r="G23" s="48"/>
      <x:c r="H23" s="48"/>
      <x:c r="I23" s="48"/>
      <x:c r="J23" s="48"/>
    </x:row>
    <x:row r="24" ht="38" customHeight="1">
      <x:c r="B24" s="48"/>
      <x:c r="C24" s="48"/>
      <x:c r="D24" s="48"/>
      <x:c r="E24" s="48"/>
      <x:c r="F24" s="48"/>
      <x:c r="G24" s="48"/>
      <x:c r="H24" s="48"/>
      <x:c r="I24" s="48"/>
      <x:c r="J24" s="48"/>
    </x:row>
    <x:row r="25" ht="38" customHeight="1">
      <x:c r="B25" s="103" t="str">
        <x:v>Sensitivity protocol</x:v>
      </x:c>
      <x:c r="C25" s="104" t="str">
        <x:v>Sensitivity protocol</x:v>
      </x:c>
      <x:c r="D25" s="104" t="str">
        <x:v>Sensitivity protocol</x:v>
      </x:c>
      <x:c r="E25" s="104" t="str">
        <x:v>Sensitivity protocol</x:v>
      </x:c>
      <x:c r="F25" s="104" t="str">
        <x:v>Sensitivity protocol</x:v>
      </x:c>
      <x:c r="G25" s="104" t="str">
        <x:v>Sensitivity protocol</x:v>
      </x:c>
      <x:c r="H25" s="104" t="str">
        <x:v>Sensitivity protocol</x:v>
      </x:c>
      <x:c r="I25" s="104" t="str">
        <x:v>Sensitivity protocol</x:v>
      </x:c>
      <x:c r="J25" s="105" t="str">
        <x:v>Sensitivity protocol</x:v>
      </x:c>
    </x:row>
    <x:row r="26" ht="38" customHeight="1">
      <x:c r="B26" s="48" t="str">
        <x:v>S01</x:v>
      </x:c>
      <x:c r="C26" s="48" t="str">
        <x:v>Set pipe diameter to 0.20 m; velocity and friction must worsen and the velocity gate must fail.</x:v>
      </x:c>
      <x:c r="D26" s="48" t="str"/>
      <x:c r="E26" s="48" t="str"/>
      <x:c r="F26" s="48" t="str"/>
      <x:c r="G26" s="48" t="str"/>
      <x:c r="H26" s="48" t="str"/>
      <x:c r="I26" s="48" t="str"/>
      <x:c r="J26" s="48" t="str"/>
    </x:row>
    <x:row r="27" ht="38" customHeight="1">
      <x:c r="B27" s="48" t="str">
        <x:v>S02</x:v>
      </x:c>
      <x:c r="C27" s="48" t="str">
        <x:v>Increase source readiness from 96 to 116 hours; first-service gates must fail.</x:v>
      </x:c>
      <x:c r="D27" s="48" t="str"/>
      <x:c r="E27" s="48" t="str"/>
      <x:c r="F27" s="48" t="str"/>
      <x:c r="G27" s="48" t="str"/>
      <x:c r="H27" s="48" t="str"/>
      <x:c r="I27" s="48" t="str"/>
      <x:c r="J27" s="48" t="str"/>
    </x:row>
    <x:row r="28" ht="38" customHeight="1">
      <x:c r="B28" s="48" t="str">
        <x:v>S03</x:v>
      </x:c>
      <x:c r="C28" s="48" t="str">
        <x:v>Increase an architecture transport lag by 24 hours; its schedule and scenarios must move monotonically.</x:v>
      </x:c>
      <x:c r="D28" s="48" t="str"/>
      <x:c r="E28" s="48" t="str"/>
      <x:c r="F28" s="48" t="str"/>
      <x:c r="G28" s="48" t="str"/>
      <x:c r="H28" s="48" t="str"/>
      <x:c r="I28" s="48" t="str"/>
      <x:c r="J28" s="48" t="str"/>
    </x:row>
    <x:row r="29" ht="38" customHeight="1">
      <x:c r="B29" s="48" t="str">
        <x:v>S04</x:v>
      </x:c>
      <x:c r="C29" s="48" t="str">
        <x:v>Set physical evidence to one; this alone must not populate claim-level acceptance or strict admission.</x:v>
      </x:c>
      <x:c r="D29" s="48" t="str"/>
      <x:c r="E29" s="48" t="str"/>
      <x:c r="F29" s="48" t="str"/>
      <x:c r="G29" s="48" t="str"/>
      <x:c r="H29" s="48" t="str"/>
      <x:c r="I29" s="48" t="str"/>
      <x:c r="J29" s="48" t="str"/>
    </x:row>
    <x:row r="30" ht="38" customHeight="1">
      <x:c r="B30" s="48" t="str">
        <x:v>S05</x:v>
      </x:c>
      <x:c r="C30" s="48" t="str">
        <x:v>Remove one regeneration output; that component and root must fail the protected-floor test.</x:v>
      </x:c>
      <x:c r="D30" s="48" t="str"/>
      <x:c r="E30" s="48" t="str"/>
      <x:c r="F30" s="48" t="str"/>
      <x:c r="G30" s="48" t="str"/>
      <x:c r="H30" s="48" t="str"/>
      <x:c r="I30" s="48" t="str"/>
      <x:c r="J30" s="48" t="str"/>
    </x:row>
    <x:row r="31" ht="38" customHeight="1">
      <x:c r="B31" s="48" t="str">
        <x:v>S06</x:v>
      </x:c>
      <x:c r="C31" s="48" t="str">
        <x:v>Change capital or operating shares; nesting controls must fail unless totals remain one.</x:v>
      </x:c>
      <x:c r="D31" s="48" t="str"/>
      <x:c r="E31" s="48" t="str"/>
      <x:c r="F31" s="48" t="str"/>
      <x:c r="G31" s="48" t="str"/>
      <x:c r="H31" s="48" t="str"/>
      <x:c r="I31" s="48" t="str"/>
      <x:c r="J31" s="48" t="str"/>
    </x:row>
    <x:row r="32" ht="38" customHeight="1">
      <x:c r="B32" s="48" t="str">
        <x:v>S07</x:v>
      </x:c>
      <x:c r="C32" s="48" t="str">
        <x:v>Restore every input and confirm all audit controls return to PASS.</x:v>
      </x:c>
      <x:c r="D32" s="48" t="str"/>
      <x:c r="E32" s="48" t="str"/>
      <x:c r="F32" s="48" t="str"/>
      <x:c r="G32" s="48" t="str"/>
      <x:c r="H32" s="48" t="str"/>
      <x:c r="I32" s="48" t="str"/>
      <x:c r="J32" s="48" t="str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mergeCells>
    <x:mergeCell ref="B3:J3"/>
    <x:mergeCell ref="B6:J6"/>
    <x:mergeCell ref="B16:J16"/>
    <x:mergeCell ref="B25:J25"/>
  </x:mergeCells>
  <x:conditionalFormatting sqref="B17:B22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HOLD"/>
    <x:cfRule type="containsText" dxfId="165" priority="4" operator="containsText" text="OPEN"/>
    <x:cfRule type="containsText" dxfId="166" priority="5" operator="containsText" text="NOT ADMITTED"/>
    <x:cfRule type="containsText" dxfId="167" priority="6" operator="containsText" text="PASS"/>
    <x:cfRule type="containsText" dxfId="168" priority="7" operator="containsText" text="CLOSED"/>
    <x:cfRule type="containsText" dxfId="169" priority="8" operator="containsText" text="ADEQUATE"/>
    <x:cfRule type="containsText" dxfId="170" priority="9" operator="containsText" text="PLANNING PASS"/>
  </x:conditionalFormatting>
  <x:pageMargins left="0.7" right="0.7" top="0.75" bottom="0.75" header="0.3" footer="0.3"/>
</x:worksheet>
</file>