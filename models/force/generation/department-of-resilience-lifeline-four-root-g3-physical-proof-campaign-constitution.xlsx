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dc1c224bf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4dd941bea14f4f89"/>
    <x:sheet xmlns:r="http://schemas.openxmlformats.org/officeDocument/2006/relationships" name="Controls" sheetId="2" r:id="R53205e90bb5440cc"/>
    <x:sheet xmlns:r="http://schemas.openxmlformats.org/officeDocument/2006/relationships" name="Proof Screen" sheetId="3" r:id="R0e06071633d64877"/>
    <x:sheet xmlns:r="http://schemas.openxmlformats.org/officeDocument/2006/relationships" name="Sector Contract" sheetId="4" r:id="R0ae6d38e1da949b3"/>
    <x:sheet xmlns:r="http://schemas.openxmlformats.org/officeDocument/2006/relationships" name="Root Proof Set" sheetId="5" r:id="Rcf5bc525f8f041dc"/>
    <x:sheet xmlns:r="http://schemas.openxmlformats.org/officeDocument/2006/relationships" name="Article Bank" sheetId="6" r:id="R04139064bf23425e"/>
    <x:sheet xmlns:r="http://schemas.openxmlformats.org/officeDocument/2006/relationships" name="Event Register" sheetId="7" r:id="Rc70f385f3b1a4036"/>
    <x:sheet xmlns:r="http://schemas.openxmlformats.org/officeDocument/2006/relationships" name="Evidence Ledger" sheetId="8" r:id="R0816cc649f4b4c9a"/>
    <x:sheet xmlns:r="http://schemas.openxmlformats.org/officeDocument/2006/relationships" name="Range Functions" sheetId="9" r:id="R94fb8be5c0fa4589"/>
    <x:sheet xmlns:r="http://schemas.openxmlformats.org/officeDocument/2006/relationships" name="Range Load" sheetId="10" r:id="R115ad1b03752407c"/>
    <x:sheet xmlns:r="http://schemas.openxmlformats.org/officeDocument/2006/relationships" name="Schedule" sheetId="11" r:id="R57c64d4cc3a147d2"/>
    <x:sheet xmlns:r="http://schemas.openxmlformats.org/officeDocument/2006/relationships" name="Workforce" sheetId="12" r:id="Rb0d43cdffe1c4914"/>
    <x:sheet xmlns:r="http://schemas.openxmlformats.org/officeDocument/2006/relationships" name="Ancestry Ledger" sheetId="13" r:id="Rbe5e7e26a6ec4e1f"/>
    <x:sheet xmlns:r="http://schemas.openxmlformats.org/officeDocument/2006/relationships" name="Gate Coverage" sheetId="14" r:id="Rb3cc25e00f964441"/>
    <x:sheet xmlns:r="http://schemas.openxmlformats.org/officeDocument/2006/relationships" name="Budget" sheetId="15" r:id="Rcf9c52e4aca74e7c"/>
    <x:sheet xmlns:r="http://schemas.openxmlformats.org/officeDocument/2006/relationships" name="Cash Profile" sheetId="16" r:id="Rb45cdfbce6e74beb"/>
    <x:sheet xmlns:r="http://schemas.openxmlformats.org/officeDocument/2006/relationships" name="Audits" sheetId="17" r:id="R436bd5c305a2431a"/>
    <x:sheet xmlns:r="http://schemas.openxmlformats.org/officeDocument/2006/relationships" name="Sources" sheetId="18" r:id="R97fbefa14c134091"/>
    <x:sheet xmlns:r="http://schemas.openxmlformats.org/officeDocument/2006/relationships" name="Read Me" sheetId="19" r:id="R0a9223a4ce91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#,##0"/>
    <x:numFmt numFmtId="202" formatCode="0.0"/>
    <x:numFmt numFmtId="203" formatCode="0.0%"/>
    <x:numFmt numFmtId="204" formatCode="0.00"/>
    <x:numFmt numFmtId="205" formatCode="0%"/>
    <x:numFmt numFmtId="206" formatCode="$0.00"/>
    <x:numFmt numFmtId="207" formatCode="#,##0.00"/>
    <x:numFmt numFmtId="208" formatCode="#,##0.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8" fontId="4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16"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c1eca1bed4bf8" /><Relationship Type="http://schemas.openxmlformats.org/officeDocument/2006/relationships/theme" Target="/xl/theme/theme1.xml" Id="Rae13e69f09f24734" /><Relationship Type="http://schemas.openxmlformats.org/officeDocument/2006/relationships/sharedStrings" Target="/xl/sharedStrings.xml" Id="Reb1a61bbfc2c4c48" /><Relationship Type="http://schemas.openxmlformats.org/officeDocument/2006/relationships/worksheet" Target="/xl/worksheets/sheet1.xml" Id="R4dd941bea14f4f89" /><Relationship Type="http://schemas.openxmlformats.org/officeDocument/2006/relationships/worksheet" Target="/xl/worksheets/sheet2.xml" Id="R53205e90bb5440cc" /><Relationship Type="http://schemas.openxmlformats.org/officeDocument/2006/relationships/worksheet" Target="/xl/worksheets/sheet3.xml" Id="R0e06071633d64877" /><Relationship Type="http://schemas.openxmlformats.org/officeDocument/2006/relationships/worksheet" Target="/xl/worksheets/sheet4.xml" Id="R0ae6d38e1da949b3" /><Relationship Type="http://schemas.openxmlformats.org/officeDocument/2006/relationships/worksheet" Target="/xl/worksheets/sheet5.xml" Id="Rcf5bc525f8f041dc" /><Relationship Type="http://schemas.openxmlformats.org/officeDocument/2006/relationships/worksheet" Target="/xl/worksheets/sheet6.xml" Id="R04139064bf23425e" /><Relationship Type="http://schemas.openxmlformats.org/officeDocument/2006/relationships/worksheet" Target="/xl/worksheets/sheet7.xml" Id="Rc70f385f3b1a4036" /><Relationship Type="http://schemas.openxmlformats.org/officeDocument/2006/relationships/worksheet" Target="/xl/worksheets/sheet8.xml" Id="R0816cc649f4b4c9a" /><Relationship Type="http://schemas.openxmlformats.org/officeDocument/2006/relationships/worksheet" Target="/xl/worksheets/sheet9.xml" Id="R94fb8be5c0fa4589" /><Relationship Type="http://schemas.openxmlformats.org/officeDocument/2006/relationships/worksheet" Target="/xl/worksheets/sheet10.xml" Id="R115ad1b03752407c" /><Relationship Type="http://schemas.openxmlformats.org/officeDocument/2006/relationships/worksheet" Target="/xl/worksheets/sheet11.xml" Id="R57c64d4cc3a147d2" /><Relationship Type="http://schemas.openxmlformats.org/officeDocument/2006/relationships/worksheet" Target="/xl/worksheets/sheet12.xml" Id="Rb0d43cdffe1c4914" /><Relationship Type="http://schemas.openxmlformats.org/officeDocument/2006/relationships/worksheet" Target="/xl/worksheets/sheet13.xml" Id="Rbe5e7e26a6ec4e1f" /><Relationship Type="http://schemas.openxmlformats.org/officeDocument/2006/relationships/worksheet" Target="/xl/worksheets/sheet14.xml" Id="Rb3cc25e00f964441" /><Relationship Type="http://schemas.openxmlformats.org/officeDocument/2006/relationships/worksheet" Target="/xl/worksheets/sheet15.xml" Id="Rcf9c52e4aca74e7c" /><Relationship Type="http://schemas.openxmlformats.org/officeDocument/2006/relationships/worksheet" Target="/xl/worksheets/sheet16.xml" Id="Rb45cdfbce6e74beb" /><Relationship Type="http://schemas.openxmlformats.org/officeDocument/2006/relationships/worksheet" Target="/xl/worksheets/sheet17.xml" Id="R436bd5c305a2431a" /><Relationship Type="http://schemas.openxmlformats.org/officeDocument/2006/relationships/worksheet" Target="/xl/worksheets/sheet18.xml" Id="R97fbefa14c134091" /><Relationship Type="http://schemas.openxmlformats.org/officeDocument/2006/relationships/worksheet" Target="/xl/worksheets/sheet19.xml" Id="R0a9223a4ce914e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e58375c4e74e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Three-sector proof-bank dry mass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Dry mass kt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'Root Proof Set'!$B$14:$B$17</c:f>
              <c:strCache>
                <c:ptCount val="0"/>
              </c:strCache>
            </c:strRef>
          </c:cat>
          <c:val>
            <c:numRef>
              <c:f>'Root Proof Set'!$C$14:$C$17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e58375c4e74e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9e53b1b06fe49e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2" hidden="0" customWidth="1"/>
    <x:col min="3" max="3" width="18" hidden="0" customWidth="1"/>
    <x:col min="4" max="4" width="18" hidden="0" customWidth="1"/>
    <x:col min="5" max="5" width="14" hidden="0" customWidth="1"/>
    <x:col min="6" max="6" width="42" hidden="0" customWidth="1"/>
    <x:col min="7" max="7" width="4" hidden="0" customWidth="1"/>
    <x:col min="8" max="8" width="31" hidden="0" customWidth="1"/>
    <x:col min="9" max="9" width="17" hidden="0" customWidth="1"/>
    <x:col min="10" max="10" width="18" hidden="0" customWidth="1"/>
    <x:col min="11" max="11" width="16" hidden="0" customWidth="1"/>
    <x:col min="12" max="12" width="26" hidden="0" customWidth="1"/>
    <x:col min="13" max="13" width="24" hidden="0" customWidth="1"/>
    <x:col min="14" max="14" width="22" hidden="0" customWidth="1"/>
  </x:cols>
  <x:sheetData>
    <x:row r="2">
      <x:c r="B2" s="35" t="str">
        <x:v>C3-LFG3-2 decision surface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6" t="str">
        <x:v>The physical proof campaign is defined; every physical observation and release remains open.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27" t="str">
        <x:v>Constitutional result</x:v>
      </x:c>
      <x:c r="C6" s="27" t="str">
        <x:v>Constitutional result</x:v>
      </x:c>
      <x:c r="D6" s="27" t="str">
        <x:v>Constitutional result</x:v>
      </x:c>
      <x:c r="E6" s="27" t="str">
        <x:v>Constitutional result</x:v>
      </x:c>
      <x:c r="F6" s="27" t="str">
        <x:v>Constitutional result</x:v>
      </x:c>
      <x:c r="G6" s="27" t="str">
        <x:v>Constitutional result</x:v>
      </x:c>
      <x:c r="H6" s="27" t="str">
        <x:v>Constitutional result</x:v>
      </x:c>
      <x:c r="I6" s="27" t="str">
        <x:v>Constitutional result</x:v>
      </x:c>
      <x:c r="J6" s="27" t="str">
        <x:v>Constitutional result</x:v>
      </x:c>
      <x:c r="K6" s="27" t="str">
        <x:v>Constitutional result</x:v>
      </x:c>
      <x:c r="L6" s="27" t="str">
        <x:v>Constitutional result</x:v>
      </x:c>
      <x:c r="M6" s="27" t="str">
        <x:v>Constitutional result</x:v>
      </x:c>
      <x:c r="N6" s="27" t="str">
        <x:v>Constitutional result</x:v>
      </x:c>
    </x:row>
    <x:row r="7">
      <x:c r="B7" s="7" t="str">
        <x:v>Metric</x:v>
      </x:c>
      <x:c r="C7" s="7" t="str">
        <x:v>Calculated</x:v>
      </x:c>
      <x:c r="D7" s="7" t="str">
        <x:v>Required</x:v>
      </x:c>
      <x:c r="E7" s="7" t="str">
        <x:v>Status</x:v>
      </x:c>
      <x:c r="F7" s="7" t="str">
        <x:v>Meaning</x:v>
      </x:c>
      <x:c r="G7" s="9"/>
      <x:c r="H7" s="27" t="str">
        <x:v>Authority boundary</x:v>
      </x:c>
      <x:c r="I7" s="27" t="str">
        <x:v>Authority boundary</x:v>
      </x:c>
      <x:c r="J7" s="27" t="str">
        <x:v>Authority boundary</x:v>
      </x:c>
      <x:c r="K7" s="27" t="str">
        <x:v>Authority boundary</x:v>
      </x:c>
      <x:c r="L7" s="27" t="str">
        <x:v>Authority boundary</x:v>
      </x:c>
      <x:c r="M7" s="27" t="str">
        <x:v>Authority boundary</x:v>
      </x:c>
      <x:c r="N7" s="27" t="str">
        <x:v>Authority boundary</x:v>
      </x:c>
    </x:row>
    <x:row r="8">
      <x:c r="B8" s="9" t="str">
        <x:v>selected proof alternative</x:v>
      </x:c>
      <x:c r="C8" s="28" t="n">
        <x:f>COUNTIF('Proof Screen'!N7:N10,"SELECTED")</x:f>
        <x:v>1</x:v>
      </x:c>
      <x:c r="D8" s="28" t="n">
        <x:v>1</x:v>
      </x:c>
      <x:c r="E8" s="9" t="str">
        <x:f>IF(ABS(C8-D8)&lt;0.000001,"PASS","FAIL")</x:f>
        <x:v>PASS</x:v>
      </x:c>
      <x:c r="F8" s="9" t="str">
        <x:v>exactly one defensible estate</x:v>
      </x:c>
      <x:c r="G8" s="9"/>
      <x:c r="H8" s="7" t="str">
        <x:v>Authority</x:v>
      </x:c>
      <x:c r="I8" s="7" t="str">
        <x:v>Observed</x:v>
      </x:c>
      <x:c r="J8" s="7" t="str">
        <x:v>Required</x:v>
      </x:c>
      <x:c r="K8" s="7" t="str">
        <x:v>Status</x:v>
      </x:c>
      <x:c r="L8" s="7" t="str">
        <x:v>Consequence</x:v>
      </x:c>
      <x:c r="M8" s="7" t="str">
        <x:v>Owner</x:v>
      </x:c>
      <x:c r="N8" s="7" t="str">
        <x:v>Next proof</x:v>
      </x:c>
    </x:row>
    <x:row r="9">
      <x:c r="B9" s="9" t="str">
        <x:v>complete sectors</x:v>
      </x:c>
      <x:c r="C9" s="28" t="n">
        <x:f>SUM('Root Proof Set'!H7:H10)</x:f>
        <x:v>12</x:v>
      </x:c>
      <x:c r="D9" s="28" t="n">
        <x:v>12</x:v>
      </x:c>
      <x:c r="E9" s="9" t="str">
        <x:f>IF(ABS(C9-D9)&lt;0.000001,"PASS","FAIL")</x:f>
        <x:v>PASS</x:v>
      </x:c>
      <x:c r="F9" s="9" t="str">
        <x:v>three per root</x:v>
      </x:c>
      <x:c r="G9" s="9"/>
      <x:c r="H9" s="9" t="str">
        <x:v>valid physical events</x:v>
      </x:c>
      <x:c r="I9" s="9" t="n">
        <x:f>'Controls'!$D$23</x:f>
        <x:v>0</x:v>
      </x:c>
      <x:c r="J9" s="9" t="n">
        <x:v>168</x:v>
      </x:c>
      <x:c r="K9" s="9" t="str">
        <x:f>IF(I9=J9,"PASS",IF(H9="rendering","BLOCKED","HOLD"))</x:f>
        <x:v>HOLD</x:v>
      </x:c>
      <x:c r="L9" s="9" t="str">
        <x:v>no event credit</x:v>
      </x:c>
      <x:c r="M9" s="9" t="str">
        <x:v>range authority</x:v>
      </x:c>
      <x:c r="N9" s="9" t="str">
        <x:v>source evidence</x:v>
      </x:c>
    </x:row>
    <x:row r="10">
      <x:c r="B10" s="9" t="str">
        <x:v>article units</x:v>
      </x:c>
      <x:c r="C10" s="28" t="n">
        <x:f>SUM('Article Bank'!E7:E46)</x:f>
        <x:v>160</x:v>
      </x:c>
      <x:c r="D10" s="28" t="n">
        <x:v>160</x:v>
      </x:c>
      <x:c r="E10" s="9" t="str">
        <x:f>IF(ABS(C10-D10)&lt;0.000001,"PASS","FAIL")</x:f>
        <x:v>PASS</x:v>
      </x:c>
      <x:c r="F10" s="9" t="str">
        <x:v>top-level units</x:v>
      </x:c>
      <x:c r="G10" s="9"/>
      <x:c r="H10" s="9" t="str">
        <x:v>accepted evidence packages</x:v>
      </x:c>
      <x:c r="I10" s="9" t="n">
        <x:f>'Controls'!$D$24</x:f>
        <x:v>0</x:v>
      </x:c>
      <x:c r="J10" s="9" t="n">
        <x:v>636</x:v>
      </x:c>
      <x:c r="K10" s="9" t="str">
        <x:f>IF(I10=J10,"PASS",IF(H10="rendering","BLOCKED","HOLD"))</x:f>
        <x:v>HOLD</x:v>
      </x:c>
      <x:c r="L10" s="9" t="str">
        <x:v>no evidence credit</x:v>
      </x:c>
      <x:c r="M10" s="9" t="str">
        <x:v>sovereign evidence</x:v>
      </x:c>
      <x:c r="N10" s="9" t="str">
        <x:v>source evidence</x:v>
      </x:c>
    </x:row>
    <x:row r="11">
      <x:c r="B11" s="9" t="str">
        <x:v>dry mass</x:v>
      </x:c>
      <x:c r="C11" s="28" t="n">
        <x:f>SUM('Article Bank'!G7:G46)</x:f>
        <x:v>385300</x:v>
      </x:c>
      <x:c r="D11" s="28" t="n">
        <x:v>385300</x:v>
      </x:c>
      <x:c r="E11" s="9" t="str">
        <x:f>IF(ABS(C11-D11)&lt;0.000001,"PASS","FAIL")</x:f>
        <x:v>PASS</x:v>
      </x:c>
      <x:c r="F11" s="9" t="str">
        <x:v>controlled hypothesis, tonnes</x:v>
      </x:c>
      <x:c r="G11" s="9"/>
      <x:c r="H11" s="9" t="str">
        <x:v>commissioned range functions</x:v>
      </x:c>
      <x:c r="I11" s="9" t="n">
        <x:f>'Controls'!$D$25</x:f>
        <x:v>0</x:v>
      </x:c>
      <x:c r="J11" s="9" t="n">
        <x:v>36</x:v>
      </x:c>
      <x:c r="K11" s="9" t="str">
        <x:f>IF(I11=J11,"PASS",IF(H11="rendering","BLOCKED","HOLD"))</x:f>
        <x:v>HOLD</x:v>
      </x:c>
      <x:c r="L11" s="9" t="str">
        <x:v>no test execution</x:v>
      </x:c>
      <x:c r="M11" s="9" t="str">
        <x:v>public test authority</x:v>
      </x:c>
      <x:c r="N11" s="9" t="str">
        <x:v>source evidence</x:v>
      </x:c>
    </x:row>
    <x:row r="12">
      <x:c r="B12" s="9" t="str">
        <x:v>deployed crew</x:v>
      </x:c>
      <x:c r="C12" s="28" t="n">
        <x:f>SUM('Article Bank'!I7:I46)</x:f>
        <x:v>12465</x:v>
      </x:c>
      <x:c r="D12" s="28" t="n">
        <x:v>12465</x:v>
      </x:c>
      <x:c r="E12" s="9" t="str">
        <x:f>IF(ABS(C12-D12)&lt;0.000001,"PASS","FAIL")</x:f>
        <x:v>PASS</x:v>
      </x:c>
      <x:c r="F12" s="9" t="str">
        <x:v>campaign screen</x:v>
      </x:c>
      <x:c r="G12" s="9"/>
      <x:c r="H12" s="9" t="str">
        <x:v>accepted ancestry identities</x:v>
      </x:c>
      <x:c r="I12" s="9" t="n">
        <x:f>'Controls'!$D$26</x:f>
        <x:v>0</x:v>
      </x:c>
      <x:c r="J12" s="9" t="n">
        <x:v>48</x:v>
      </x:c>
      <x:c r="K12" s="9" t="str">
        <x:f>IF(I12=J12,"PASS",IF(H12="rendering","BLOCKED","HOLD"))</x:f>
        <x:v>HOLD</x:v>
      </x:c>
      <x:c r="L12" s="9" t="str">
        <x:v>no independence claim</x:v>
      </x:c>
      <x:c r="M12" s="9" t="str">
        <x:v>manufacturing authority</x:v>
      </x:c>
      <x:c r="N12" s="9" t="str">
        <x:v>source evidence</x:v>
      </x:c>
    </x:row>
    <x:row r="13">
      <x:c r="B13" s="9" t="str">
        <x:v>valid events</x:v>
      </x:c>
      <x:c r="C13" s="28" t="n">
        <x:f>COUNTA('Event Register'!B7:B174)</x:f>
        <x:v>168</x:v>
      </x:c>
      <x:c r="D13" s="28" t="n">
        <x:v>168</x:v>
      </x:c>
      <x:c r="E13" s="9" t="str">
        <x:f>IF(ABS(C13-D13)&lt;0.000001,"PASS","FAIL")</x:f>
        <x:v>PASS</x:v>
      </x:c>
      <x:c r="F13" s="9" t="str">
        <x:v>evidentiary denominator</x:v>
      </x:c>
      <x:c r="G13" s="9"/>
      <x:c r="H13" s="9" t="str">
        <x:v>passed G3 gates</x:v>
      </x:c>
      <x:c r="I13" s="9" t="n">
        <x:f>'Controls'!$D$27</x:f>
        <x:v>0</x:v>
      </x:c>
      <x:c r="J13" s="9" t="n">
        <x:v>56</x:v>
      </x:c>
      <x:c r="K13" s="9" t="str">
        <x:f>IF(I13=J13,"PASS",IF(H13="rendering","BLOCKED","HOLD"))</x:f>
        <x:v>HOLD</x:v>
      </x:c>
      <x:c r="L13" s="9" t="str">
        <x:v>no G3 release</x:v>
      </x:c>
      <x:c r="M13" s="9" t="str">
        <x:v>release board</x:v>
      </x:c>
      <x:c r="N13" s="9" t="str">
        <x:v>source evidence</x:v>
      </x:c>
    </x:row>
    <x:row r="14">
      <x:c r="B14" s="9" t="str">
        <x:v>evidence packages</x:v>
      </x:c>
      <x:c r="C14" s="28" t="n">
        <x:f>SUM('Evidence Ledger'!E7:E46)</x:f>
        <x:v>636</x:v>
      </x:c>
      <x:c r="D14" s="28" t="n">
        <x:v>636</x:v>
      </x:c>
      <x:c r="E14" s="9" t="str">
        <x:f>IF(ABS(C14-D14)&lt;0.000001,"PASS","FAIL")</x:f>
        <x:v>PASS</x:v>
      </x:c>
      <x:c r="F14" s="9" t="str">
        <x:v>governed package requirement</x:v>
      </x:c>
      <x:c r="G14" s="9"/>
      <x:c r="H14" s="9" t="str">
        <x:v>force credit</x:v>
      </x:c>
      <x:c r="I14" s="9" t="n">
        <x:f>'Controls'!$D$28</x:f>
        <x:v>0</x:v>
      </x:c>
      <x:c r="J14" s="9" t="n">
        <x:v>1</x:v>
      </x:c>
      <x:c r="K14" s="9" t="str">
        <x:f>IF(I14=J14,"PASS",IF(H14="rendering","BLOCKED","HOLD"))</x:f>
        <x:v>HOLD</x:v>
      </x:c>
      <x:c r="L14" s="9" t="str">
        <x:v>no formation credit</x:v>
      </x:c>
      <x:c r="M14" s="9" t="str">
        <x:v>force-generation board</x:v>
      </x:c>
      <x:c r="N14" s="9" t="str">
        <x:v>source evidence</x:v>
      </x:c>
    </x:row>
    <x:row r="15">
      <x:c r="B15" s="9" t="str">
        <x:v>range functions</x:v>
      </x:c>
      <x:c r="C15" s="28" t="n">
        <x:f>COUNTA('Range Functions'!B7:B42)</x:f>
        <x:v>36</x:v>
      </x:c>
      <x:c r="D15" s="28" t="n">
        <x:v>36</x:v>
      </x:c>
      <x:c r="E15" s="9" t="str">
        <x:f>IF(ABS(C15-D15)&lt;0.000001,"PASS","FAIL")</x:f>
        <x:v>PASS</x:v>
      </x:c>
      <x:c r="F15" s="9" t="str">
        <x:v>functions, not locations</x:v>
      </x:c>
      <x:c r="G15" s="9"/>
      <x:c r="H15" s="9" t="str">
        <x:v>rendering</x:v>
      </x:c>
      <x:c r="I15" s="9" t="n">
        <x:f>'Controls'!$D$29</x:f>
        <x:v>0</x:v>
      </x:c>
      <x:c r="J15" s="9" t="n">
        <x:v>1</x:v>
      </x:c>
      <x:c r="K15" s="9" t="str">
        <x:f>IF(I15=J15,"PASS",IF(H15="rendering","BLOCKED","HOLD"))</x:f>
        <x:v>BLOCKED</x:v>
      </x:c>
      <x:c r="L15" s="9" t="str">
        <x:v>exterior work blocked</x:v>
      </x:c>
      <x:c r="M15" s="9" t="str">
        <x:v>configuration authority</x:v>
      </x:c>
      <x:c r="N15" s="9" t="str">
        <x:v>source evidence</x:v>
      </x:c>
    </x:row>
    <x:row r="16">
      <x:c r="B16" s="9" t="str">
        <x:v>ancestry declarations</x:v>
      </x:c>
      <x:c r="C16" s="28" t="n">
        <x:f>COUNTA('Ancestry Ledger'!B7:B54)</x:f>
        <x:v>48</x:v>
      </x:c>
      <x:c r="D16" s="28" t="n">
        <x:v>48</x:v>
      </x:c>
      <x:c r="E16" s="9" t="str">
        <x:f>IF(ABS(C16-D16)&lt;0.000001,"PASS","FAIL")</x:f>
        <x:v>PASS</x:v>
      </x:c>
      <x:c r="F16" s="9" t="str">
        <x:v>identities remain undeclared</x:v>
      </x:c>
      <x:c r="G16" s="9"/>
      <x:c r="H16" s="9"/>
      <x:c r="I16" s="9"/>
      <x:c r="J16" s="9"/>
      <x:c r="K16" s="9"/>
      <x:c r="L16" s="9"/>
      <x:c r="M16" s="9"/>
      <x:c r="N16" s="9"/>
    </x:row>
    <x:row r="17">
      <x:c r="B17" s="9" t="str">
        <x:v>G3 gates</x:v>
      </x:c>
      <x:c r="C17" s="28" t="n">
        <x:f>COUNTA('Gate Coverage'!B7:B62)</x:f>
        <x:v>56</x:v>
      </x:c>
      <x:c r="D17" s="28" t="n">
        <x:v>56</x:v>
      </x:c>
      <x:c r="E17" s="9" t="str">
        <x:f>IF(ABS(C17-D17)&lt;0.000001,"PASS","FAIL")</x:f>
        <x:v>PASS</x:v>
      </x:c>
      <x:c r="F17" s="9" t="str">
        <x:v>all conjunctive</x:v>
      </x:c>
      <x:c r="G17" s="9"/>
      <x:c r="H17" s="9"/>
      <x:c r="I17" s="9"/>
      <x:c r="J17" s="9"/>
      <x:c r="K17" s="9"/>
      <x:c r="L17" s="9"/>
      <x:c r="M17" s="9"/>
      <x:c r="N17" s="9"/>
    </x:row>
    <x:row r="18">
      <x:c r="B18" s="9" t="str">
        <x:v>duration</x:v>
      </x:c>
      <x:c r="C18" s="28" t="n">
        <x:f>MAX(Schedule!D7:D12)</x:f>
        <x:v>84</x:v>
      </x:c>
      <x:c r="D18" s="28" t="n">
        <x:v>84</x:v>
      </x:c>
      <x:c r="E18" s="9" t="str">
        <x:f>IF(ABS(C18-D18)&lt;0.000001,"PASS","FAIL")</x:f>
        <x:v>PASS</x:v>
      </x:c>
      <x:c r="F18" s="9" t="str">
        <x:v>months</x:v>
      </x:c>
      <x:c r="G18" s="9"/>
      <x:c r="H18" s="27" t="str">
        <x:v>Root release</x:v>
      </x:c>
      <x:c r="I18" s="27" t="str">
        <x:v>Root release</x:v>
      </x:c>
      <x:c r="J18" s="27" t="str">
        <x:v>Root release</x:v>
      </x:c>
      <x:c r="K18" s="27" t="str">
        <x:v>Root release</x:v>
      </x:c>
      <x:c r="L18" s="27" t="str">
        <x:v>Root release</x:v>
      </x:c>
      <x:c r="M18" s="27" t="str">
        <x:v>Root release</x:v>
      </x:c>
      <x:c r="N18" s="27" t="str">
        <x:v>Root release</x:v>
      </x:c>
    </x:row>
    <x:row r="19">
      <x:c r="B19" s="9" t="str">
        <x:v>program boundary</x:v>
      </x:c>
      <x:c r="C19" s="28" t="n">
        <x:f>Budget!D14</x:f>
        <x:v>35.976512772822545</x:v>
      </x:c>
      <x:c r="D19" s="28" t="n">
        <x:v>35.976512772822545</x:v>
      </x:c>
      <x:c r="E19" s="9" t="str">
        <x:f>IF(ABS(C19-D19)&lt;0.000001,"PASS","FAIL")</x:f>
        <x:v>PASS</x:v>
      </x:c>
      <x:c r="F19" s="9" t="str">
        <x:v>USD B conserved</x:v>
      </x:c>
      <x:c r="G19" s="9"/>
      <x:c r="H19" s="7" t="str">
        <x:v>Root</x:v>
      </x:c>
      <x:c r="I19" s="7" t="str">
        <x:v>Valid events</x:v>
      </x:c>
      <x:c r="J19" s="7" t="str">
        <x:v>Evidence packages</x:v>
      </x:c>
      <x:c r="K19" s="7" t="str">
        <x:v>Gates passed</x:v>
      </x:c>
      <x:c r="L19" s="7" t="str">
        <x:v>Disposition</x:v>
      </x:c>
      <x:c r="M19" s="9"/>
      <x:c r="N19" s="9"/>
    </x:row>
    <x:row r="20">
      <x:c r="B20" s="9"/>
      <x:c r="C20" s="9"/>
      <x:c r="D20" s="9"/>
      <x:c r="E20" s="9"/>
      <x:c r="F20" s="9"/>
      <x:c r="G20" s="9"/>
      <x:c r="H20" s="9" t="str">
        <x:v>A</x:v>
      </x:c>
      <x:c r="I20" s="9" t="n">
        <x:f>COUNTIFS('Event Register'!$C$7:$C$174,H20,'Event Register'!$M$7:$M$174,1)</x:f>
        <x:v>0</x:v>
      </x:c>
      <x:c r="J20" s="9" t="n">
        <x:f>SUMIFS('Evidence Ledger'!$F$7:$F$46,'Evidence Ledger'!$C$7:$C$46,H20)</x:f>
        <x:v>0</x:v>
      </x:c>
      <x:c r="K20" s="9" t="n">
        <x:f>COUNTIFS('Gate Coverage'!$C$7:$C$62,H20,'Gate Coverage'!$I$7:$I$62,"PASS")</x:f>
        <x:v>0</x:v>
      </x:c>
      <x:c r="L20" s="9" t="str">
        <x:f>IF(AND(I20='Controls'!$D$10,J20='Controls'!$D$12,K20='Controls'!$D$15),"PASS","HOLD")</x:f>
        <x:v>HOLD</x:v>
      </x:c>
      <x:c r="M20" s="9"/>
      <x:c r="N20" s="9"/>
    </x:row>
    <x:row r="21">
      <x:c r="B21" s="9"/>
      <x:c r="C21" s="9"/>
      <x:c r="D21" s="9"/>
      <x:c r="E21" s="9"/>
      <x:c r="F21" s="9"/>
      <x:c r="G21" s="9"/>
      <x:c r="H21" s="9" t="str">
        <x:v>B</x:v>
      </x:c>
      <x:c r="I21" s="9" t="n">
        <x:f>COUNTIFS('Event Register'!$C$7:$C$174,H21,'Event Register'!$M$7:$M$174,1)</x:f>
        <x:v>0</x:v>
      </x:c>
      <x:c r="J21" s="9" t="n">
        <x:f>SUMIFS('Evidence Ledger'!$F$7:$F$46,'Evidence Ledger'!$C$7:$C$46,H21)</x:f>
        <x:v>0</x:v>
      </x:c>
      <x:c r="K21" s="9" t="n">
        <x:f>COUNTIFS('Gate Coverage'!$C$7:$C$62,H21,'Gate Coverage'!$I$7:$I$62,"PASS")</x:f>
        <x:v>0</x:v>
      </x:c>
      <x:c r="L21" s="9" t="str">
        <x:f>IF(AND(I21='Controls'!$D$10,J21='Controls'!$D$12,K21='Controls'!$D$15),"PASS","HOLD")</x:f>
        <x:v>HOLD</x:v>
      </x:c>
      <x:c r="M21" s="9"/>
      <x:c r="N21" s="9"/>
    </x:row>
    <x:row r="22">
      <x:c r="B22" s="9"/>
      <x:c r="C22" s="9"/>
      <x:c r="D22" s="9"/>
      <x:c r="E22" s="9"/>
      <x:c r="F22" s="9"/>
      <x:c r="G22" s="9"/>
      <x:c r="H22" s="9" t="str">
        <x:v>C</x:v>
      </x:c>
      <x:c r="I22" s="9" t="n">
        <x:f>COUNTIFS('Event Register'!$C$7:$C$174,H22,'Event Register'!$M$7:$M$174,1)</x:f>
        <x:v>0</x:v>
      </x:c>
      <x:c r="J22" s="9" t="n">
        <x:f>SUMIFS('Evidence Ledger'!$F$7:$F$46,'Evidence Ledger'!$C$7:$C$46,H22)</x:f>
        <x:v>0</x:v>
      </x:c>
      <x:c r="K22" s="9" t="n">
        <x:f>COUNTIFS('Gate Coverage'!$C$7:$C$62,H22,'Gate Coverage'!$I$7:$I$62,"PASS")</x:f>
        <x:v>0</x:v>
      </x:c>
      <x:c r="L22" s="9" t="str">
        <x:f>IF(AND(I22='Controls'!$D$10,J22='Controls'!$D$12,K22='Controls'!$D$15),"PASS","HOLD")</x:f>
        <x:v>HOLD</x:v>
      </x:c>
      <x:c r="M22" s="9"/>
      <x:c r="N22" s="9"/>
    </x:row>
    <x:row r="23">
      <x:c r="B23" s="10"/>
      <x:c r="C23" s="10"/>
      <x:c r="D23" s="10"/>
      <x:c r="E23" s="10"/>
      <x:c r="F23" s="10"/>
      <x:c r="G23" s="10"/>
      <x:c r="H23" s="10" t="str">
        <x:v>D</x:v>
      </x:c>
      <x:c r="I23" s="10" t="n">
        <x:f>COUNTIFS('Event Register'!$C$7:$C$174,H23,'Event Register'!$M$7:$M$174,1)</x:f>
        <x:v>0</x:v>
      </x:c>
      <x:c r="J23" s="10" t="n">
        <x:f>SUMIFS('Evidence Ledger'!$F$7:$F$46,'Evidence Ledger'!$C$7:$C$46,H23)</x:f>
        <x:v>0</x:v>
      </x:c>
      <x:c r="K23" s="10" t="n">
        <x:f>COUNTIFS('Gate Coverage'!$C$7:$C$62,H23,'Gate Coverage'!$I$7:$I$62,"PASS")</x:f>
        <x:v>0</x:v>
      </x:c>
      <x:c r="L23" s="10" t="str">
        <x:f>IF(AND(I23='Controls'!$D$10,J23='Controls'!$D$12,K23='Controls'!$D$15),"PASS","HOLD")</x:f>
        <x:v>HOLD</x:v>
      </x:c>
      <x:c r="M23" s="10"/>
      <x:c r="N23" s="10"/>
    </x:row>
  </x:sheetData>
  <x:mergeCells>
    <x:mergeCell ref="B2:N2"/>
    <x:mergeCell ref="B3:N3"/>
    <x:mergeCell ref="B6:N6"/>
    <x:mergeCell ref="H7:N7"/>
    <x:mergeCell ref="H18:N18"/>
  </x:mergeCells>
  <x:conditionalFormatting sqref="E8:E19">
    <x:cfRule type="containsText" dxfId="168" priority="1" operator="containsText" text="PASS"/>
    <x:cfRule type="containsText" dxfId="169" priority="2" operator="containsText" text="SELECTED"/>
    <x:cfRule type="containsText" dxfId="170" priority="3" operator="containsText" text="COMPLETE"/>
    <x:cfRule type="containsText" dxfId="171" priority="4" operator="containsText" text="ACCEPTED"/>
    <x:cfRule type="containsText" dxfId="172" priority="5" operator="containsText" text="HOLD"/>
    <x:cfRule type="containsText" dxfId="173" priority="6" operator="containsText" text="OPEN"/>
    <x:cfRule type="containsText" dxfId="174" priority="7" operator="containsText" text="BLOCKED"/>
    <x:cfRule type="containsText" dxfId="175" priority="8" operator="containsText" text="UNTESTED"/>
    <x:cfRule type="containsText" dxfId="176" priority="9" operator="containsText" text="UNASSIGNED"/>
    <x:cfRule type="containsText" dxfId="177" priority="10" operator="containsText" text="FAIL"/>
    <x:cfRule type="containsText" dxfId="178" priority="11" operator="containsText" text="REJECT"/>
    <x:cfRule type="containsText" dxfId="179" priority="12" operator="containsText" text="INVALID"/>
  </x:conditionalFormatting>
  <x:conditionalFormatting sqref="K9:K15">
    <x:cfRule type="containsText" dxfId="180" priority="13" operator="containsText" text="PASS"/>
    <x:cfRule type="containsText" dxfId="181" priority="14" operator="containsText" text="SELECTED"/>
    <x:cfRule type="containsText" dxfId="182" priority="15" operator="containsText" text="COMPLETE"/>
    <x:cfRule type="containsText" dxfId="183" priority="16" operator="containsText" text="ACCEPTED"/>
    <x:cfRule type="containsText" dxfId="184" priority="17" operator="containsText" text="HOLD"/>
    <x:cfRule type="containsText" dxfId="185" priority="18" operator="containsText" text="OPEN"/>
    <x:cfRule type="containsText" dxfId="186" priority="19" operator="containsText" text="BLOCKED"/>
    <x:cfRule type="containsText" dxfId="187" priority="20" operator="containsText" text="UNTESTED"/>
    <x:cfRule type="containsText" dxfId="188" priority="21" operator="containsText" text="UNASSIGNED"/>
    <x:cfRule type="containsText" dxfId="189" priority="22" operator="containsText" text="FAIL"/>
    <x:cfRule type="containsText" dxfId="190" priority="23" operator="containsText" text="REJECT"/>
    <x:cfRule type="containsText" dxfId="191" priority="24" operator="containsText" text="INVALID"/>
  </x:conditionalFormatting>
  <x:conditionalFormatting sqref="L20:L23">
    <x:cfRule type="containsText" dxfId="192" priority="25" operator="containsText" text="PASS"/>
    <x:cfRule type="containsText" dxfId="193" priority="26" operator="containsText" text="SELECTED"/>
    <x:cfRule type="containsText" dxfId="194" priority="27" operator="containsText" text="COMPLETE"/>
    <x:cfRule type="containsText" dxfId="195" priority="28" operator="containsText" text="ACCEPTED"/>
    <x:cfRule type="containsText" dxfId="196" priority="29" operator="containsText" text="HOLD"/>
    <x:cfRule type="containsText" dxfId="197" priority="30" operator="containsText" text="OPEN"/>
    <x:cfRule type="containsText" dxfId="198" priority="31" operator="containsText" text="BLOCKED"/>
    <x:cfRule type="containsText" dxfId="199" priority="32" operator="containsText" text="UNTESTED"/>
    <x:cfRule type="containsText" dxfId="200" priority="33" operator="containsText" text="UNASSIGNED"/>
    <x:cfRule type="containsText" dxfId="201" priority="34" operator="containsText" text="FAIL"/>
    <x:cfRule type="containsText" dxfId="202" priority="35" operator="containsText" text="REJECT"/>
    <x:cfRule type="containsText" dxfId="203" priority="36" operator="containsText" text="INVALI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7C9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2" hidden="0" customWidth="1"/>
    <x:col min="4" max="4" width="18" hidden="0" customWidth="1"/>
    <x:col min="5" max="5" width="22" hidden="0" customWidth="1"/>
    <x:col min="6" max="6" width="16" hidden="0" customWidth="1"/>
    <x:col min="7" max="7" width="24" hidden="0" customWidth="1"/>
  </x:cols>
  <x:sheetData>
    <x:row r="2">
      <x:c r="B2" s="35" t="str">
        <x:v>Pass 177 controls</x:v>
      </x:c>
      <x:c r="C2" s="9"/>
      <x:c r="D2" s="9"/>
      <x:c r="E2" s="9"/>
      <x:c r="F2" s="9"/>
      <x:c r="G2" s="9"/>
      <x:c r="H2" s="9"/>
    </x:row>
    <x:row r="3">
      <x:c r="B3" s="36" t="str">
        <x:v>Blue values are inherited boundaries or controlled hypotheses. Source observations remain zero.</x:v>
      </x:c>
      <x:c r="C3" s="9"/>
      <x:c r="D3" s="9"/>
      <x:c r="E3" s="9"/>
      <x:c r="F3" s="9"/>
      <x:c r="G3" s="9"/>
      <x:c r="H3" s="9"/>
    </x:row>
    <x:row r="4">
      <x:c r="B4" s="37"/>
      <x:c r="C4" s="37"/>
      <x:c r="D4" s="37"/>
      <x:c r="E4" s="37"/>
      <x:c r="F4" s="37"/>
      <x:c r="G4" s="37"/>
      <x:c r="H4" s="37"/>
    </x:row>
    <x:row r="5">
      <x:c r="B5" s="9"/>
      <x:c r="C5" s="9"/>
      <x:c r="D5" s="9"/>
      <x:c r="E5" s="9"/>
      <x:c r="F5" s="9"/>
      <x:c r="G5" s="9"/>
      <x:c r="H5" s="9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  <x:c r="H6" s="9"/>
    </x:row>
    <x:row r="7">
      <x:c r="B7" s="9" t="str">
        <x:v>C01</x:v>
      </x:c>
      <x:c r="C7" s="9" t="str">
        <x:v>Selected sectors per root</x:v>
      </x:c>
      <x:c r="D7" s="13" t="n">
        <x:v>3</x:v>
      </x:c>
      <x:c r="E7" s="9" t="str">
        <x:v>sectors</x:v>
      </x:c>
      <x:c r="F7" s="9" t="str">
        <x:v>DESIGN</x:v>
      </x:c>
      <x:c r="G7" s="9" t="str">
        <x:v>Pass 177 constitution</x:v>
      </x:c>
      <x:c r="H7" s="9"/>
    </x:row>
    <x:row r="8">
      <x:c r="B8" s="9" t="str">
        <x:v>C02</x:v>
      </x:c>
      <x:c r="C8" s="9" t="str">
        <x:v>Complete roots</x:v>
      </x:c>
      <x:c r="D8" s="13" t="n">
        <x:v>4</x:v>
      </x:c>
      <x:c r="E8" s="9" t="str">
        <x:v>roots</x:v>
      </x:c>
      <x:c r="F8" s="9" t="str">
        <x:v>FROZEN</x:v>
      </x:c>
      <x:c r="G8" s="9" t="str">
        <x:v>Pass 177 constitution</x:v>
      </x:c>
      <x:c r="H8" s="9"/>
    </x:row>
    <x:row r="9">
      <x:c r="B9" s="9" t="str">
        <x:v>C03</x:v>
      </x:c>
      <x:c r="C9" s="9" t="str">
        <x:v>Mission positions per sector</x:v>
      </x:c>
      <x:c r="D9" s="13" t="n">
        <x:v>10</x:v>
      </x:c>
      <x:c r="E9" s="9" t="str">
        <x:v>positions</x:v>
      </x:c>
      <x:c r="F9" s="9" t="str">
        <x:v>DESIGN</x:v>
      </x:c>
      <x:c r="G9" s="9" t="str">
        <x:v>Pass 177 constitution</x:v>
      </x:c>
      <x:c r="H9" s="9"/>
    </x:row>
    <x:row r="10">
      <x:c r="B10" s="9" t="str">
        <x:v>C04</x:v>
      </x:c>
      <x:c r="C10" s="9" t="str">
        <x:v>Valid events per root</x:v>
      </x:c>
      <x:c r="D10" s="13" t="n">
        <x:v>42</x:v>
      </x:c>
      <x:c r="E10" s="9" t="str">
        <x:v>events</x:v>
      </x:c>
      <x:c r="F10" s="9" t="str">
        <x:v>DESIGN</x:v>
      </x:c>
      <x:c r="G10" s="9" t="str">
        <x:v>Pass 177 constitution</x:v>
      </x:c>
      <x:c r="H10" s="9"/>
    </x:row>
    <x:row r="11">
      <x:c r="B11" s="9" t="str">
        <x:v>C05</x:v>
      </x:c>
      <x:c r="C11" s="9" t="str">
        <x:v>Reserve attempts per root</x:v>
      </x:c>
      <x:c r="D11" s="13" t="n">
        <x:v>9</x:v>
      </x:c>
      <x:c r="E11" s="9" t="str">
        <x:v>attempts</x:v>
      </x:c>
      <x:c r="F11" s="9" t="str">
        <x:v>DESIGN</x:v>
      </x:c>
      <x:c r="G11" s="9" t="str">
        <x:v>Pass 177 constitution</x:v>
      </x:c>
      <x:c r="H11" s="9"/>
    </x:row>
    <x:row r="12">
      <x:c r="B12" s="9" t="str">
        <x:v>C06</x:v>
      </x:c>
      <x:c r="C12" s="9" t="str">
        <x:v>Evidence packages per root</x:v>
      </x:c>
      <x:c r="D12" s="13" t="n">
        <x:v>159</x:v>
      </x:c>
      <x:c r="E12" s="9" t="str">
        <x:v>packages</x:v>
      </x:c>
      <x:c r="F12" s="9" t="str">
        <x:v>DESIGN</x:v>
      </x:c>
      <x:c r="G12" s="9" t="str">
        <x:v>Pass 177 constitution</x:v>
      </x:c>
      <x:c r="H12" s="9"/>
    </x:row>
    <x:row r="13">
      <x:c r="B13" s="9" t="str">
        <x:v>C07</x:v>
      </x:c>
      <x:c r="C13" s="9" t="str">
        <x:v>Range functions per root</x:v>
      </x:c>
      <x:c r="D13" s="13" t="n">
        <x:v>9</x:v>
      </x:c>
      <x:c r="E13" s="9" t="str">
        <x:v>functions</x:v>
      </x:c>
      <x:c r="F13" s="9" t="str">
        <x:v>DESIGN</x:v>
      </x:c>
      <x:c r="G13" s="9" t="str">
        <x:v>Pass 177 constitution</x:v>
      </x:c>
      <x:c r="H13" s="9"/>
    </x:row>
    <x:row r="14">
      <x:c r="B14" s="9" t="str">
        <x:v>C08</x:v>
      </x:c>
      <x:c r="C14" s="9" t="str">
        <x:v>Ancestry declarations per root</x:v>
      </x:c>
      <x:c r="D14" s="13" t="n">
        <x:v>12</x:v>
      </x:c>
      <x:c r="E14" s="9" t="str">
        <x:v>records</x:v>
      </x:c>
      <x:c r="F14" s="9" t="str">
        <x:v>FROZEN</x:v>
      </x:c>
      <x:c r="G14" s="9" t="str">
        <x:v>Pass 177 constitution</x:v>
      </x:c>
      <x:c r="H14" s="9"/>
    </x:row>
    <x:row r="15">
      <x:c r="B15" s="9" t="str">
        <x:v>C09</x:v>
      </x:c>
      <x:c r="C15" s="9" t="str">
        <x:v>G3 gates per root</x:v>
      </x:c>
      <x:c r="D15" s="13" t="n">
        <x:v>14</x:v>
      </x:c>
      <x:c r="E15" s="9" t="str">
        <x:v>gates</x:v>
      </x:c>
      <x:c r="F15" s="9" t="str">
        <x:v>FROZEN</x:v>
      </x:c>
      <x:c r="G15" s="9" t="str">
        <x:v>Pass 177 constitution</x:v>
      </x:c>
      <x:c r="H15" s="9"/>
    </x:row>
    <x:row r="16">
      <x:c r="B16" s="9" t="str">
        <x:v>C10</x:v>
      </x:c>
      <x:c r="C16" s="9" t="str">
        <x:v>Campaign duration</x:v>
      </x:c>
      <x:c r="D16" s="13" t="n">
        <x:v>84</x:v>
      </x:c>
      <x:c r="E16" s="9" t="str">
        <x:v>months</x:v>
      </x:c>
      <x:c r="F16" s="9" t="str">
        <x:v>DESIGN</x:v>
      </x:c>
      <x:c r="G16" s="9" t="str">
        <x:v>Pass 177 constitution</x:v>
      </x:c>
      <x:c r="H16" s="9"/>
    </x:row>
    <x:row r="17">
      <x:c r="B17" s="9" t="str">
        <x:v>C11</x:v>
      </x:c>
      <x:c r="C17" s="9" t="str">
        <x:v>Rotation multiplier</x:v>
      </x:c>
      <x:c r="D17" s="13" t="n">
        <x:v>3.2</x:v>
      </x:c>
      <x:c r="E17" s="9" t="str">
        <x:v>ratio</x:v>
      </x:c>
      <x:c r="F17" s="9" t="str">
        <x:v>FROZEN</x:v>
      </x:c>
      <x:c r="G17" s="9" t="str">
        <x:v>Pass 177 constitution</x:v>
      </x:c>
      <x:c r="H17" s="9"/>
    </x:row>
    <x:row r="18">
      <x:c r="B18" s="9" t="str">
        <x:v>C12</x:v>
      </x:c>
      <x:c r="C18" s="9" t="str">
        <x:v>MS-LF G0-G3 boundary</x:v>
      </x:c>
      <x:c r="D18" s="13" t="n">
        <x:v>35.976512772822545</x:v>
      </x:c>
      <x:c r="E18" s="9" t="str">
        <x:v>USD B</x:v>
      </x:c>
      <x:c r="F18" s="9" t="str">
        <x:v>FROZEN</x:v>
      </x:c>
      <x:c r="G18" s="9" t="str">
        <x:v>Pass 177 constitution</x:v>
      </x:c>
      <x:c r="H18" s="9"/>
    </x:row>
    <x:row r="19">
      <x:c r="B19" s="9" t="str">
        <x:v>C13</x:v>
      </x:c>
      <x:c r="C19" s="9" t="str">
        <x:v>Root reservation</x:v>
      </x:c>
      <x:c r="D19" s="13" t="n">
        <x:v>8.994128193205636</x:v>
      </x:c>
      <x:c r="E19" s="9" t="str">
        <x:v>USD B</x:v>
      </x:c>
      <x:c r="F19" s="9" t="str">
        <x:v>FROZEN</x:v>
      </x:c>
      <x:c r="G19" s="9" t="str">
        <x:v>Pass 177 constitution</x:v>
      </x:c>
      <x:c r="H19" s="9"/>
    </x:row>
    <x:row r="20">
      <x:c r="B20" s="9" t="str">
        <x:v>C14</x:v>
      </x:c>
      <x:c r="C20" s="9" t="str">
        <x:v>Required paired primary sectors</x:v>
      </x:c>
      <x:c r="D20" s="13" t="n">
        <x:v>2</x:v>
      </x:c>
      <x:c r="E20" s="9" t="str">
        <x:v>sectors</x:v>
      </x:c>
      <x:c r="F20" s="9" t="str">
        <x:v>DESIGN</x:v>
      </x:c>
      <x:c r="G20" s="9" t="str">
        <x:v>Pass 177 constitution</x:v>
      </x:c>
      <x:c r="H20" s="9"/>
    </x:row>
    <x:row r="21">
      <x:c r="B21" s="9" t="str">
        <x:v>C15</x:v>
      </x:c>
      <x:c r="C21" s="9" t="str">
        <x:v>Required separate reproduction sectors</x:v>
      </x:c>
      <x:c r="D21" s="13" t="n">
        <x:v>1</x:v>
      </x:c>
      <x:c r="E21" s="9" t="str">
        <x:v>sectors</x:v>
      </x:c>
      <x:c r="F21" s="9" t="str">
        <x:v>DESIGN</x:v>
      </x:c>
      <x:c r="G21" s="9" t="str">
        <x:v>Pass 177 constitution</x:v>
      </x:c>
      <x:c r="H21" s="9"/>
    </x:row>
    <x:row r="22">
      <x:c r="B22" s="9" t="str">
        <x:v>C16</x:v>
      </x:c>
      <x:c r="C22" s="9" t="str">
        <x:v>Full formation source blocks</x:v>
      </x:c>
      <x:c r="D22" s="13" t="n">
        <x:v>4</x:v>
      </x:c>
      <x:c r="E22" s="9" t="str">
        <x:v>blocks</x:v>
      </x:c>
      <x:c r="F22" s="9" t="str">
        <x:v>FROZEN</x:v>
      </x:c>
      <x:c r="G22" s="9" t="str">
        <x:v>Pass 177 constitution</x:v>
      </x:c>
      <x:c r="H22" s="9"/>
    </x:row>
    <x:row r="23">
      <x:c r="B23" s="9" t="str">
        <x:v>C17</x:v>
      </x:c>
      <x:c r="C23" s="9" t="str">
        <x:v>Accepted valid events</x:v>
      </x:c>
      <x:c r="D23" s="13" t="n">
        <x:v>0</x:v>
      </x:c>
      <x:c r="E23" s="9" t="str">
        <x:v>events</x:v>
      </x:c>
      <x:c r="F23" s="9" t="str">
        <x:v>OPEN</x:v>
      </x:c>
      <x:c r="G23" s="9" t="str">
        <x:v>source evidence</x:v>
      </x:c>
      <x:c r="H23" s="9"/>
    </x:row>
    <x:row r="24">
      <x:c r="B24" s="9" t="str">
        <x:v>C18</x:v>
      </x:c>
      <x:c r="C24" s="9" t="str">
        <x:v>Accepted evidence packages</x:v>
      </x:c>
      <x:c r="D24" s="13" t="n">
        <x:v>0</x:v>
      </x:c>
      <x:c r="E24" s="9" t="str">
        <x:v>packages</x:v>
      </x:c>
      <x:c r="F24" s="9" t="str">
        <x:v>OPEN</x:v>
      </x:c>
      <x:c r="G24" s="9" t="str">
        <x:v>source evidence</x:v>
      </x:c>
      <x:c r="H24" s="9"/>
    </x:row>
    <x:row r="25">
      <x:c r="B25" s="9" t="str">
        <x:v>C19</x:v>
      </x:c>
      <x:c r="C25" s="9" t="str">
        <x:v>Commissioned range functions</x:v>
      </x:c>
      <x:c r="D25" s="13" t="n">
        <x:v>0</x:v>
      </x:c>
      <x:c r="E25" s="9" t="str">
        <x:v>functions</x:v>
      </x:c>
      <x:c r="F25" s="9" t="str">
        <x:v>OPEN</x:v>
      </x:c>
      <x:c r="G25" s="9" t="str">
        <x:v>source evidence</x:v>
      </x:c>
      <x:c r="H25" s="9"/>
    </x:row>
    <x:row r="26">
      <x:c r="B26" s="9" t="str">
        <x:v>C20</x:v>
      </x:c>
      <x:c r="C26" s="9" t="str">
        <x:v>Accepted ancestry identities</x:v>
      </x:c>
      <x:c r="D26" s="13" t="n">
        <x:v>0</x:v>
      </x:c>
      <x:c r="E26" s="9" t="str">
        <x:v>records</x:v>
      </x:c>
      <x:c r="F26" s="9" t="str">
        <x:v>OPEN</x:v>
      </x:c>
      <x:c r="G26" s="9" t="str">
        <x:v>source evidence</x:v>
      </x:c>
      <x:c r="H26" s="9"/>
    </x:row>
    <x:row r="27">
      <x:c r="B27" s="9" t="str">
        <x:v>C21</x:v>
      </x:c>
      <x:c r="C27" s="9" t="str">
        <x:v>Passed G3 gates</x:v>
      </x:c>
      <x:c r="D27" s="13" t="n">
        <x:v>0</x:v>
      </x:c>
      <x:c r="E27" s="9" t="str">
        <x:v>gates</x:v>
      </x:c>
      <x:c r="F27" s="9" t="str">
        <x:v>OPEN</x:v>
      </x:c>
      <x:c r="G27" s="9" t="str">
        <x:v>source evidence</x:v>
      </x:c>
      <x:c r="H27" s="9"/>
    </x:row>
    <x:row r="28">
      <x:c r="B28" s="9" t="str">
        <x:v>C22</x:v>
      </x:c>
      <x:c r="C28" s="9" t="str">
        <x:v>Force credit</x:v>
      </x:c>
      <x:c r="D28" s="13" t="n">
        <x:v>0</x:v>
      </x:c>
      <x:c r="E28" s="9" t="str">
        <x:v>formation equivalents</x:v>
      </x:c>
      <x:c r="F28" s="9" t="str">
        <x:v>BLOCKED</x:v>
      </x:c>
      <x:c r="G28" s="9" t="str">
        <x:v>source evidence</x:v>
      </x:c>
      <x:c r="H28" s="9"/>
    </x:row>
    <x:row r="29">
      <x:c r="B29" s="10" t="str">
        <x:v>C23</x:v>
      </x:c>
      <x:c r="C29" s="10" t="str">
        <x:v>Rendering authority</x:v>
      </x:c>
      <x:c r="D29" s="14" t="n">
        <x:v>0</x:v>
      </x:c>
      <x:c r="E29" s="10" t="str">
        <x:v>binary</x:v>
      </x:c>
      <x:c r="F29" s="10" t="str">
        <x:v>BLOCKED</x:v>
      </x:c>
      <x:c r="G29" s="10" t="str">
        <x:v>source evidence</x:v>
      </x:c>
      <x:c r="H29" s="9"/>
    </x:row>
  </x:sheetData>
  <x:mergeCells>
    <x:mergeCell ref="B2:H2"/>
    <x:mergeCell ref="B3:H3"/>
  </x:mergeCells>
  <x:conditionalFormatting sqref="F7:F29">
    <x:cfRule type="containsText" dxfId="0" priority="1" operator="containsText" text="PASS"/>
    <x:cfRule type="containsText" dxfId="1" priority="2" operator="containsText" text="SELECTED"/>
    <x:cfRule type="containsText" dxfId="2" priority="3" operator="containsText" text="COMPLETE"/>
    <x:cfRule type="containsText" dxfId="3" priority="4" operator="containsText" text="ACCEPTED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UNTESTED"/>
    <x:cfRule type="containsText" dxfId="8" priority="9" operator="containsText" text="UNASSIGNED"/>
    <x:cfRule type="containsText" dxfId="9" priority="10" operator="containsText" text="FAIL"/>
    <x:cfRule type="containsText" dxfId="10" priority="11" operator="containsText" text="REJECT"/>
    <x:cfRule type="containsText" dxfId="11" priority="12" operator="containsText" text="INVALI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14" hidden="0" customWidth="1"/>
    <x:col min="4" max="4" width="16" hidden="0" customWidth="1"/>
    <x:col min="5" max="5" width="22" hidden="0" customWidth="1"/>
    <x:col min="6" max="6" width="19" hidden="0" customWidth="1"/>
    <x:col min="7" max="7" width="16" hidden="0" customWidth="1"/>
    <x:col min="8" max="8" width="20" hidden="0" customWidth="1"/>
    <x:col min="9" max="9" width="25" hidden="0" customWidth="1"/>
    <x:col min="10" max="10" width="16" hidden="0" customWidth="1"/>
    <x:col min="11" max="11" width="16" hidden="0" customWidth="1"/>
    <x:col min="12" max="12" width="17" hidden="0" customWidth="1"/>
    <x:col min="13" max="13" width="12" hidden="0" customWidth="1"/>
    <x:col min="14" max="14" width="18" hidden="0" customWidth="1"/>
  </x:cols>
  <x:sheetData>
    <x:row r="2">
      <x:c r="B2" s="35" t="str">
        <x:v>Minimum complete-system proof estate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6" t="str">
        <x:v>Only three sectors preserve paired causality and separate reproduction without preproduction duplication.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Alternative</x:v>
      </x:c>
      <x:c r="C6" s="7" t="str">
        <x:v>Sectors/root</x:v>
      </x:c>
      <x:c r="D6" s="7" t="str">
        <x:v>Complete sector</x:v>
      </x:c>
      <x:c r="E6" s="7" t="str">
        <x:v>Paired challenge/control</x:v>
      </x:c>
      <x:c r="F6" s="7" t="str">
        <x:v>Separate second team</x:v>
      </x:c>
      <x:c r="G6" s="7" t="str">
        <x:v>Outside replay</x:v>
      </x:c>
      <x:c r="H6" s="7" t="str">
        <x:v>Protected replacement</x:v>
      </x:c>
      <x:c r="I6" s="7" t="str">
        <x:v>No full-formation duplication</x:v>
      </x:c>
      <x:c r="J6" s="7" t="str">
        <x:v>Budget bounded</x:v>
      </x:c>
      <x:c r="K6" s="7" t="str">
        <x:v>Schedule bounded</x:v>
      </x:c>
      <x:c r="L6" s="7" t="str">
        <x:v>Hard gates passed</x:v>
      </x:c>
      <x:c r="M6" s="7" t="str">
        <x:v>Required</x:v>
      </x:c>
      <x:c r="N6" s="7" t="str">
        <x:v>Disposition</x:v>
      </x:c>
    </x:row>
    <x:row r="7">
      <x:c r="B7" s="9" t="str">
        <x:v>A1 single demonstrator</x:v>
      </x:c>
      <x:c r="C7" s="9" t="n">
        <x:v>1</x:v>
      </x:c>
      <x:c r="D7" s="9" t="n">
        <x:v>1</x:v>
      </x:c>
      <x:c r="E7" s="9" t="n">
        <x:v>0</x:v>
      </x:c>
      <x:c r="F7" s="9" t="n">
        <x:v>0</x:v>
      </x:c>
      <x:c r="G7" s="9" t="n">
        <x:v>1</x:v>
      </x:c>
      <x:c r="H7" s="9" t="n">
        <x:v>1</x:v>
      </x:c>
      <x:c r="I7" s="9" t="n">
        <x:v>1</x:v>
      </x:c>
      <x:c r="J7" s="9" t="n">
        <x:v>1</x:v>
      </x:c>
      <x:c r="K7" s="9" t="n">
        <x:v>1</x:v>
      </x:c>
      <x:c r="L7" s="9" t="n">
        <x:f>SUM(D7:K7)</x:f>
        <x:v>6</x:v>
      </x:c>
      <x:c r="M7" s="9" t="n">
        <x:v>8</x:v>
      </x:c>
      <x:c r="N7" s="9" t="str">
        <x:f>IF(AND(C7='Controls'!$D$7,L7=M7,F7='Controls'!$D$21),"SELECTED","REJECT")</x:f>
        <x:v>REJECT</x:v>
      </x:c>
    </x:row>
    <x:row r="8">
      <x:c r="B8" s="9" t="str">
        <x:v>A2 paired prototypes</x:v>
      </x:c>
      <x:c r="C8" s="9" t="n">
        <x:v>2</x:v>
      </x:c>
      <x:c r="D8" s="9" t="n">
        <x:v>1</x:v>
      </x:c>
      <x:c r="E8" s="9" t="n">
        <x:v>1</x:v>
      </x:c>
      <x:c r="F8" s="9" t="n">
        <x:v>0</x:v>
      </x:c>
      <x:c r="G8" s="9" t="n">
        <x:v>1</x:v>
      </x:c>
      <x:c r="H8" s="9" t="n">
        <x:v>1</x:v>
      </x:c>
      <x:c r="I8" s="9" t="n">
        <x:v>1</x:v>
      </x:c>
      <x:c r="J8" s="9" t="n">
        <x:v>1</x:v>
      </x:c>
      <x:c r="K8" s="9" t="n">
        <x:v>1</x:v>
      </x:c>
      <x:c r="L8" s="9" t="n">
        <x:f>SUM(D8:K8)</x:f>
        <x:v>7</x:v>
      </x:c>
      <x:c r="M8" s="9" t="n">
        <x:v>8</x:v>
      </x:c>
      <x:c r="N8" s="9" t="str">
        <x:f>IF(AND(C8='Controls'!$D$7,L8=M8,F8='Controls'!$D$21),"SELECTED","REJECT")</x:f>
        <x:v>REJECT</x:v>
      </x:c>
    </x:row>
    <x:row r="9">
      <x:c r="B9" s="9" t="str">
        <x:v>A3 paired plus cold reproduction</x:v>
      </x:c>
      <x:c r="C9" s="9" t="n">
        <x:v>3</x:v>
      </x:c>
      <x:c r="D9" s="9" t="n">
        <x:v>1</x:v>
      </x:c>
      <x:c r="E9" s="9" t="n">
        <x:v>1</x:v>
      </x:c>
      <x:c r="F9" s="9" t="n">
        <x:v>1</x:v>
      </x:c>
      <x:c r="G9" s="9" t="n">
        <x:v>1</x:v>
      </x:c>
      <x:c r="H9" s="9" t="n">
        <x:v>1</x:v>
      </x:c>
      <x:c r="I9" s="9" t="n">
        <x:v>1</x:v>
      </x:c>
      <x:c r="J9" s="9" t="n">
        <x:v>1</x:v>
      </x:c>
      <x:c r="K9" s="9" t="n">
        <x:v>1</x:v>
      </x:c>
      <x:c r="L9" s="9" t="n">
        <x:f>SUM(D9:K9)</x:f>
        <x:v>8</x:v>
      </x:c>
      <x:c r="M9" s="9" t="n">
        <x:v>8</x:v>
      </x:c>
      <x:c r="N9" s="9" t="str">
        <x:f>IF(AND(C9='Controls'!$D$7,L9=M9,F9='Controls'!$D$21),"SELECTED","REJECT")</x:f>
        <x:v>SELECTED</x:v>
      </x:c>
    </x:row>
    <x:row r="10">
      <x:c r="B10" s="10" t="str">
        <x:v>A4 full-formation preproduction</x:v>
      </x:c>
      <x:c r="C10" s="10" t="n">
        <x:v>4</x:v>
      </x:c>
      <x:c r="D10" s="10" t="n">
        <x:v>1</x:v>
      </x:c>
      <x:c r="E10" s="10" t="n">
        <x:v>1</x:v>
      </x:c>
      <x:c r="F10" s="10" t="n">
        <x:v>1</x:v>
      </x:c>
      <x:c r="G10" s="10" t="n">
        <x:v>1</x:v>
      </x:c>
      <x:c r="H10" s="10" t="n">
        <x:v>1</x:v>
      </x:c>
      <x:c r="I10" s="10" t="n">
        <x:v>0</x:v>
      </x:c>
      <x:c r="J10" s="10" t="n">
        <x:v>0</x:v>
      </x:c>
      <x:c r="K10" s="10" t="n">
        <x:v>0</x:v>
      </x:c>
      <x:c r="L10" s="10" t="n">
        <x:f>SUM(D10:K10)</x:f>
        <x:v>5</x:v>
      </x:c>
      <x:c r="M10" s="10" t="n">
        <x:v>8</x:v>
      </x:c>
      <x:c r="N10" s="10" t="str">
        <x:f>IF(AND(C10='Controls'!$D$7,L10=M10,F10='Controls'!$D$21),"SELECTED","REJECT")</x:f>
        <x:v>REJECT</x:v>
      </x:c>
    </x:row>
  </x:sheetData>
  <x:mergeCells>
    <x:mergeCell ref="B2:N2"/>
    <x:mergeCell ref="B3:N3"/>
  </x:mergeCells>
  <x:conditionalFormatting sqref="N7:N10">
    <x:cfRule type="containsText" dxfId="12" priority="1" operator="containsText" text="PASS"/>
    <x:cfRule type="containsText" dxfId="13" priority="2" operator="containsText" text="SELECTED"/>
    <x:cfRule type="containsText" dxfId="14" priority="3" operator="containsText" text="COMPLETE"/>
    <x:cfRule type="containsText" dxfId="15" priority="4" operator="containsText" text="ACCEPTED"/>
    <x:cfRule type="containsText" dxfId="16" priority="5" operator="containsText" text="HOLD"/>
    <x:cfRule type="containsText" dxfId="17" priority="6" operator="containsText" text="OPEN"/>
    <x:cfRule type="containsText" dxfId="18" priority="7" operator="containsText" text="BLOCKED"/>
    <x:cfRule type="containsText" dxfId="19" priority="8" operator="containsText" text="UNTESTED"/>
    <x:cfRule type="containsText" dxfId="20" priority="9" operator="containsText" text="UNASSIGNED"/>
    <x:cfRule type="containsText" dxfId="21" priority="10" operator="containsText" text="FAIL"/>
    <x:cfRule type="containsText" dxfId="22" priority="11" operator="containsText" text="REJECT"/>
    <x:cfRule type="containsText" dxfId="23" priority="12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39" hidden="0" customWidth="1"/>
    <x:col min="4" max="4" width="17" hidden="0" customWidth="1"/>
    <x:col min="5" max="5" width="16" hidden="0" customWidth="1"/>
    <x:col min="6" max="6" width="14" hidden="0" customWidth="1"/>
    <x:col min="7" max="7" width="14" hidden="0" customWidth="1"/>
    <x:col min="8" max="8" width="56" hidden="0" customWidth="1"/>
  </x:cols>
  <x:sheetData>
    <x:row r="2">
      <x:c r="B2" s="35" t="str">
        <x:v>Complete quarter-service sector</x:v>
      </x:c>
      <x:c r="C2" s="9"/>
      <x:c r="D2" s="9"/>
      <x:c r="E2" s="9"/>
      <x:c r="F2" s="9"/>
      <x:c r="G2" s="9"/>
      <x:c r="H2" s="9"/>
    </x:row>
    <x:row r="3">
      <x:c r="B3" s="36" t="str">
        <x:v>The sector closes all five routes at public interfaces; no source-only demonstration earns credit.</x:v>
      </x:c>
      <x:c r="C3" s="9"/>
      <x:c r="D3" s="9"/>
      <x:c r="E3" s="9"/>
      <x:c r="F3" s="9"/>
      <x:c r="G3" s="9"/>
      <x:c r="H3" s="9"/>
    </x:row>
    <x:row r="4">
      <x:c r="B4" s="37"/>
      <x:c r="C4" s="37"/>
      <x:c r="D4" s="37"/>
      <x:c r="E4" s="37"/>
      <x:c r="F4" s="37"/>
      <x:c r="G4" s="37"/>
      <x:c r="H4" s="37"/>
    </x:row>
    <x:row r="5">
      <x:c r="B5" s="9"/>
      <x:c r="C5" s="9"/>
      <x:c r="D5" s="9"/>
      <x:c r="E5" s="9"/>
      <x:c r="F5" s="9"/>
      <x:c r="G5" s="9"/>
      <x:c r="H5" s="9"/>
    </x:row>
    <x:row r="6">
      <x:c r="B6" s="7" t="str">
        <x:v>Requirement</x:v>
      </x:c>
      <x:c r="C6" s="7" t="str">
        <x:v>Obligation</x:v>
      </x:c>
      <x:c r="D6" s="7" t="str">
        <x:v>Threshold</x:v>
      </x:c>
      <x:c r="E6" s="7" t="str">
        <x:v>Unit</x:v>
      </x:c>
      <x:c r="F6" s="7" t="str">
        <x:v>Planning</x:v>
      </x:c>
      <x:c r="G6" s="7" t="str">
        <x:v>Evidence</x:v>
      </x:c>
      <x:c r="H6" s="7" t="str">
        <x:v>Interpretation</x:v>
      </x:c>
    </x:row>
    <x:row r="7">
      <x:c r="B7" s="9" t="str">
        <x:v>SC-P01</x:v>
      </x:c>
      <x:c r="C7" s="9" t="str">
        <x:v>Population represented</x:v>
      </x:c>
      <x:c r="D7" s="15" t="n">
        <x:v>500000</x:v>
      </x:c>
      <x:c r="E7" s="9" t="str">
        <x:v>people</x:v>
      </x:c>
      <x:c r="F7" s="9" t="str">
        <x:v>PASS</x:v>
      </x:c>
      <x:c r="G7" s="9" t="str">
        <x:v>OPEN</x:v>
      </x:c>
      <x:c r="H7" s="9" t="str">
        <x:v>Public-interface delivery; controlled hypothesis</x:v>
      </x:c>
    </x:row>
    <x:row r="8">
      <x:c r="B8" s="9" t="str">
        <x:v>SC-W01</x:v>
      </x:c>
      <x:c r="C8" s="9" t="str">
        <x:v>Quality-released water</x:v>
      </x:c>
      <x:c r="D8" s="15" t="n">
        <x:v>25000</x:v>
      </x:c>
      <x:c r="E8" s="9" t="str">
        <x:v>m3/day</x:v>
      </x:c>
      <x:c r="F8" s="9" t="str">
        <x:v>PASS</x:v>
      </x:c>
      <x:c r="G8" s="9" t="str">
        <x:v>OPEN</x:v>
      </x:c>
      <x:c r="H8" s="9" t="str">
        <x:v>Public-interface delivery; controlled hypothesis</x:v>
      </x:c>
    </x:row>
    <x:row r="9">
      <x:c r="B9" s="9" t="str">
        <x:v>SC-W02</x:v>
      </x:c>
      <x:c r="C9" s="9" t="str">
        <x:v>Wastewater or residual intake</x:v>
      </x:c>
      <x:c r="D9" s="15" t="n">
        <x:v>20000</x:v>
      </x:c>
      <x:c r="E9" s="9" t="str">
        <x:v>m3/day</x:v>
      </x:c>
      <x:c r="F9" s="9" t="str">
        <x:v>PASS</x:v>
      </x:c>
      <x:c r="G9" s="9" t="str">
        <x:v>OPEN</x:v>
      </x:c>
      <x:c r="H9" s="9" t="str">
        <x:v>Public-interface delivery; controlled hypothesis</x:v>
      </x:c>
    </x:row>
    <x:row r="10">
      <x:c r="B10" s="9" t="str">
        <x:v>SC-E01</x:v>
      </x:c>
      <x:c r="C10" s="9" t="str">
        <x:v>Firm electricity at public bridge</x:v>
      </x:c>
      <x:c r="D10" s="15" t="n">
        <x:v>25</x:v>
      </x:c>
      <x:c r="E10" s="9" t="str">
        <x:v>MW</x:v>
      </x:c>
      <x:c r="F10" s="9" t="str">
        <x:v>PASS</x:v>
      </x:c>
      <x:c r="G10" s="9" t="str">
        <x:v>OPEN</x:v>
      </x:c>
      <x:c r="H10" s="9" t="str">
        <x:v>Public-interface delivery; controlled hypothesis</x:v>
      </x:c>
    </x:row>
    <x:row r="11">
      <x:c r="B11" s="9" t="str">
        <x:v>SC-T01</x:v>
      </x:c>
      <x:c r="C11" s="9" t="str">
        <x:v>Occupied-space thermal service</x:v>
      </x:c>
      <x:c r="D11" s="15" t="n">
        <x:v>20</x:v>
      </x:c>
      <x:c r="E11" s="9" t="str">
        <x:v>MWth</x:v>
      </x:c>
      <x:c r="F11" s="9" t="str">
        <x:v>PASS</x:v>
      </x:c>
      <x:c r="G11" s="9" t="str">
        <x:v>OPEN</x:v>
      </x:c>
      <x:c r="H11" s="9" t="str">
        <x:v>Public-interface delivery; controlled hypothesis</x:v>
      </x:c>
    </x:row>
    <x:row r="12">
      <x:c r="B12" s="9" t="str">
        <x:v>SC-B01</x:v>
      </x:c>
      <x:c r="C12" s="9" t="str">
        <x:v>Distributed water buffer</x:v>
      </x:c>
      <x:c r="D12" s="15" t="n">
        <x:v>25000</x:v>
      </x:c>
      <x:c r="E12" s="9" t="str">
        <x:v>m3</x:v>
      </x:c>
      <x:c r="F12" s="9" t="str">
        <x:v>PASS</x:v>
      </x:c>
      <x:c r="G12" s="9" t="str">
        <x:v>OPEN</x:v>
      </x:c>
      <x:c r="H12" s="9" t="str">
        <x:v>Public-interface delivery; controlled hypothesis</x:v>
      </x:c>
    </x:row>
    <x:row r="13">
      <x:c r="B13" s="9" t="str">
        <x:v>SC-B02</x:v>
      </x:c>
      <x:c r="C13" s="9" t="str">
        <x:v>Disconnected black-start energy</x:v>
      </x:c>
      <x:c r="D13" s="15" t="n">
        <x:v>60</x:v>
      </x:c>
      <x:c r="E13" s="9" t="str">
        <x:v>MWh</x:v>
      </x:c>
      <x:c r="F13" s="9" t="str">
        <x:v>PASS</x:v>
      </x:c>
      <x:c r="G13" s="9" t="str">
        <x:v>OPEN</x:v>
      </x:c>
      <x:c r="H13" s="9" t="str">
        <x:v>Public-interface delivery; controlled hypothesis</x:v>
      </x:c>
    </x:row>
    <x:row r="14">
      <x:c r="B14" s="9" t="str">
        <x:v>SC-R01</x:v>
      </x:c>
      <x:c r="C14" s="9" t="str">
        <x:v>Source positions</x:v>
      </x:c>
      <x:c r="D14" s="15" t="n">
        <x:v>1</x:v>
      </x:c>
      <x:c r="E14" s="9" t="str">
        <x:v>positions</x:v>
      </x:c>
      <x:c r="F14" s="9" t="str">
        <x:v>PASS</x:v>
      </x:c>
      <x:c r="G14" s="9" t="str">
        <x:v>OPEN</x:v>
      </x:c>
      <x:c r="H14" s="9" t="str">
        <x:v>Public-interface delivery; controlled hypothesis</x:v>
      </x:c>
    </x:row>
    <x:row r="15">
      <x:c r="B15" s="9" t="str">
        <x:v>SC-R02</x:v>
      </x:c>
      <x:c r="C15" s="9" t="str">
        <x:v>Water/residual groups</x:v>
      </x:c>
      <x:c r="D15" s="15" t="n">
        <x:v>2</x:v>
      </x:c>
      <x:c r="E15" s="9" t="str">
        <x:v>positions</x:v>
      </x:c>
      <x:c r="F15" s="9" t="str">
        <x:v>PASS</x:v>
      </x:c>
      <x:c r="G15" s="9" t="str">
        <x:v>OPEN</x:v>
      </x:c>
      <x:c r="H15" s="9" t="str">
        <x:v>Public-interface delivery; controlled hypothesis</x:v>
      </x:c>
    </x:row>
    <x:row r="16">
      <x:c r="B16" s="9" t="str">
        <x:v>SC-R03</x:v>
      </x:c>
      <x:c r="C16" s="9" t="str">
        <x:v>Local-power cells</x:v>
      </x:c>
      <x:c r="D16" s="15" t="n">
        <x:v>3</x:v>
      </x:c>
      <x:c r="E16" s="9" t="str">
        <x:v>positions</x:v>
      </x:c>
      <x:c r="F16" s="9" t="str">
        <x:v>PASS</x:v>
      </x:c>
      <x:c r="G16" s="9" t="str">
        <x:v>OPEN</x:v>
      </x:c>
      <x:c r="H16" s="9" t="str">
        <x:v>Public-interface delivery; controlled hypothesis</x:v>
      </x:c>
    </x:row>
    <x:row r="17">
      <x:c r="B17" s="9" t="str">
        <x:v>SC-R04</x:v>
      </x:c>
      <x:c r="C17" s="9" t="str">
        <x:v>Grid bridges</x:v>
      </x:c>
      <x:c r="D17" s="15" t="n">
        <x:v>2</x:v>
      </x:c>
      <x:c r="E17" s="9" t="str">
        <x:v>positions</x:v>
      </x:c>
      <x:c r="F17" s="9" t="str">
        <x:v>PASS</x:v>
      </x:c>
      <x:c r="G17" s="9" t="str">
        <x:v>OPEN</x:v>
      </x:c>
      <x:c r="H17" s="9" t="str">
        <x:v>Public-interface delivery; controlled hypothesis</x:v>
      </x:c>
    </x:row>
    <x:row r="18">
      <x:c r="B18" s="10" t="str">
        <x:v>SC-R05</x:v>
      </x:c>
      <x:c r="C18" s="10" t="str">
        <x:v>Thermal cells</x:v>
      </x:c>
      <x:c r="D18" s="16" t="n">
        <x:v>2</x:v>
      </x:c>
      <x:c r="E18" s="10" t="str">
        <x:v>positions</x:v>
      </x:c>
      <x:c r="F18" s="10" t="str">
        <x:v>PASS</x:v>
      </x:c>
      <x:c r="G18" s="10" t="str">
        <x:v>OPEN</x:v>
      </x:c>
      <x:c r="H18" s="10" t="str">
        <x:v>Public-interface delivery; controlled hypothesis</x:v>
      </x:c>
    </x:row>
  </x:sheetData>
  <x:mergeCells>
    <x:mergeCell ref="B2:H2"/>
    <x:mergeCell ref="B3:H3"/>
  </x:mergeCells>
  <x:conditionalFormatting sqref="F7:G18">
    <x:cfRule type="containsText" dxfId="24" priority="1" operator="containsText" text="PASS"/>
    <x:cfRule type="containsText" dxfId="25" priority="2" operator="containsText" text="SELECTED"/>
    <x:cfRule type="containsText" dxfId="26" priority="3" operator="containsText" text="COMPLETE"/>
    <x:cfRule type="containsText" dxfId="27" priority="4" operator="containsText" text="ACCEPTED"/>
    <x:cfRule type="containsText" dxfId="28" priority="5" operator="containsText" text="HOLD"/>
    <x:cfRule type="containsText" dxfId="29" priority="6" operator="containsText" text="OPEN"/>
    <x:cfRule type="containsText" dxfId="30" priority="7" operator="containsText" text="BLOCKED"/>
    <x:cfRule type="containsText" dxfId="31" priority="8" operator="containsText" text="UNTESTED"/>
    <x:cfRule type="containsText" dxfId="32" priority="9" operator="containsText" text="UNASSIGNED"/>
    <x:cfRule type="containsText" dxfId="33" priority="10" operator="containsText" text="FAIL"/>
    <x:cfRule type="containsText" dxfId="34" priority="11" operator="containsText" text="REJECT"/>
    <x:cfRule type="containsText" dxfId="35" priority="12" operator="containsText" text="IN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9" hidden="0" customWidth="1"/>
    <x:col min="4" max="4" width="39" hidden="0" customWidth="1"/>
    <x:col min="5" max="5" width="8" hidden="0" customWidth="1"/>
    <x:col min="6" max="6" width="8" hidden="0" customWidth="1"/>
    <x:col min="7" max="7" width="8" hidden="0" customWidth="1"/>
    <x:col min="8" max="8" width="17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4" hidden="0" customWidth="1"/>
  </x:cols>
  <x:sheetData>
    <x:row r="2">
      <x:c r="B2" s="35" t="str">
        <x:v>Four root proof sets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B3" s="36" t="str">
        <x:v>Each root receives the same evidence grammar and budget option, not the same physical implementation.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>
      <x:c r="B6" s="7" t="str">
        <x:v>Configuration</x:v>
      </x:c>
      <x:c r="C6" s="7" t="str">
        <x:v>Root</x:v>
      </x:c>
      <x:c r="D6" s="7" t="str">
        <x:v>Architecture</x:v>
      </x:c>
      <x:c r="E6" s="7" t="str">
        <x:v>P1</x:v>
      </x:c>
      <x:c r="F6" s="7" t="str">
        <x:v>P2</x:v>
      </x:c>
      <x:c r="G6" s="7" t="str">
        <x:v>R1</x:v>
      </x:c>
      <x:c r="H6" s="7" t="str">
        <x:v>Complete sectors</x:v>
      </x:c>
      <x:c r="I6" s="7" t="str">
        <x:v>Article units</x:v>
      </x:c>
      <x:c r="J6" s="7" t="str">
        <x:v>Dry mass t</x:v>
      </x:c>
      <x:c r="K6" s="7" t="str">
        <x:v>Deployed crew</x:v>
      </x:c>
      <x:c r="L6" s="7" t="str">
        <x:v>Establishment</x:v>
      </x:c>
      <x:c r="M6" s="7" t="str">
        <x:v>Valid events</x:v>
      </x:c>
      <x:c r="N6" s="7" t="str">
        <x:v>Evidence packages</x:v>
      </x:c>
      <x:c r="O6" s="7" t="str">
        <x:v>Release</x:v>
      </x:c>
    </x:row>
    <x:row r="7">
      <x:c r="B7" s="9" t="str">
        <x:v>LF-A-CF1</x:v>
      </x:c>
      <x:c r="C7" s="9" t="str">
        <x:v>A</x:v>
      </x:c>
      <x:c r="D7" s="9" t="str">
        <x:v>Oceanic nuclear utility</x:v>
      </x:c>
      <x:c r="E7" s="9" t="n">
        <x:v>1</x:v>
      </x:c>
      <x:c r="F7" s="9" t="n">
        <x:v>1</x:v>
      </x:c>
      <x:c r="G7" s="9" t="n">
        <x:v>1</x:v>
      </x:c>
      <x:c r="H7" s="9" t="n">
        <x:f>SUM(E7:G7)</x:f>
        <x:v>3</x:v>
      </x:c>
      <x:c r="I7" s="15" t="n">
        <x:f>SUMIF('Article Bank'!$C$7:$C$46,C7,'Article Bank'!$E$7:$E$46)</x:f>
        <x:v>40</x:v>
      </x:c>
      <x:c r="J7" s="15" t="n">
        <x:f>SUMIF('Article Bank'!$C$7:$C$46,C7,'Article Bank'!$G$7:$G$46)</x:f>
        <x:v>129500</x:v>
      </x:c>
      <x:c r="K7" s="15" t="n">
        <x:f>SUMIF('Article Bank'!$C$7:$C$46,C7,'Article Bank'!$I$7:$I$46)</x:f>
        <x:v>3395</x:v>
      </x:c>
      <x:c r="L7" s="15" t="n">
        <x:f>K7*'Controls'!$D$17</x:f>
        <x:v>10864</x:v>
      </x:c>
      <x:c r="M7" s="15" t="n">
        <x:f>COUNTIF('Event Register'!$C$7:$C$174,C7)</x:f>
        <x:v>42</x:v>
      </x:c>
      <x:c r="N7" s="15" t="n">
        <x:f>SUMIF('Evidence Ledger'!$C$7:$C$46,C7,'Evidence Ledger'!$E$7:$E$46)</x:f>
        <x:v>159</x:v>
      </x:c>
      <x:c r="O7" s="9" t="str">
        <x:f>IF(AND(H7='Controls'!$D$7,M7='Controls'!$D$10,COUNTIFS('Gate Coverage'!$C$7:$C$62,C7,'Gate Coverage'!$I$7:$I$62,"PASS")='Controls'!$D$15),"PASS","HOLD")</x:f>
        <x:v>HOLD</x:v>
      </x:c>
    </x:row>
    <x:row r="8">
      <x:c r="B8" s="9" t="str">
        <x:v>LF-B-CF1</x:v>
      </x:c>
      <x:c r="C8" s="9" t="str">
        <x:v>B</x:v>
      </x:c>
      <x:c r="D8" s="9" t="str">
        <x:v>Inland geothermal train</x:v>
      </x:c>
      <x:c r="E8" s="9" t="n">
        <x:v>1</x:v>
      </x:c>
      <x:c r="F8" s="9" t="n">
        <x:v>1</x:v>
      </x:c>
      <x:c r="G8" s="9" t="n">
        <x:v>1</x:v>
      </x:c>
      <x:c r="H8" s="9" t="n">
        <x:f>SUM(E8:G8)</x:f>
        <x:v>3</x:v>
      </x:c>
      <x:c r="I8" s="15" t="n">
        <x:f>SUMIF('Article Bank'!$C$7:$C$46,C8,'Article Bank'!$E$7:$E$46)</x:f>
        <x:v>40</x:v>
      </x:c>
      <x:c r="J8" s="15" t="n">
        <x:f>SUMIF('Article Bank'!$C$7:$C$46,C8,'Article Bank'!$G$7:$G$46)</x:f>
        <x:v>94100</x:v>
      </x:c>
      <x:c r="K8" s="15" t="n">
        <x:f>SUMIF('Article Bank'!$C$7:$C$46,C8,'Article Bank'!$I$7:$I$46)</x:f>
        <x:v>3645</x:v>
      </x:c>
      <x:c r="L8" s="15" t="n">
        <x:f>K8*'Controls'!$D$17</x:f>
        <x:v>11664</x:v>
      </x:c>
      <x:c r="M8" s="15" t="n">
        <x:f>COUNTIF('Event Register'!$C$7:$C$174,C8)</x:f>
        <x:v>42</x:v>
      </x:c>
      <x:c r="N8" s="15" t="n">
        <x:f>SUMIF('Evidence Ledger'!$C$7:$C$46,C8,'Evidence Ledger'!$E$7:$E$46)</x:f>
        <x:v>159</x:v>
      </x:c>
      <x:c r="O8" s="9" t="str">
        <x:f>IF(AND(H8='Controls'!$D$7,M8='Controls'!$D$10,COUNTIFS('Gate Coverage'!$C$7:$C$62,C8,'Gate Coverage'!$I$7:$I$62,"PASS")='Controls'!$D$15),"PASS","HOLD")</x:f>
        <x:v>HOLD</x:v>
      </x:c>
    </x:row>
    <x:row r="9">
      <x:c r="B9" s="9" t="str">
        <x:v>LF-C-CF1</x:v>
      </x:c>
      <x:c r="C9" s="9" t="str">
        <x:v>C</x:v>
      </x:c>
      <x:c r="D9" s="9" t="str">
        <x:v>Renewable-electrochemical swarm</x:v>
      </x:c>
      <x:c r="E9" s="9" t="n">
        <x:v>1</x:v>
      </x:c>
      <x:c r="F9" s="9" t="n">
        <x:v>1</x:v>
      </x:c>
      <x:c r="G9" s="9" t="n">
        <x:v>1</x:v>
      </x:c>
      <x:c r="H9" s="9" t="n">
        <x:f>SUM(E9:G9)</x:f>
        <x:v>3</x:v>
      </x:c>
      <x:c r="I9" s="15" t="n">
        <x:f>SUMIF('Article Bank'!$C$7:$C$46,C9,'Article Bank'!$E$7:$E$46)</x:f>
        <x:v>40</x:v>
      </x:c>
      <x:c r="J9" s="15" t="n">
        <x:f>SUMIF('Article Bank'!$C$7:$C$46,C9,'Article Bank'!$G$7:$G$46)</x:f>
        <x:v>106050</x:v>
      </x:c>
      <x:c r="K9" s="15" t="n">
        <x:f>SUMIF('Article Bank'!$C$7:$C$46,C9,'Article Bank'!$I$7:$I$46)</x:f>
        <x:v>2700</x:v>
      </x:c>
      <x:c r="L9" s="15" t="n">
        <x:f>K9*'Controls'!$D$17</x:f>
        <x:v>8640</x:v>
      </x:c>
      <x:c r="M9" s="15" t="n">
        <x:f>COUNTIF('Event Register'!$C$7:$C$174,C9)</x:f>
        <x:v>42</x:v>
      </x:c>
      <x:c r="N9" s="15" t="n">
        <x:f>SUMIF('Evidence Ledger'!$C$7:$C$46,C9,'Evidence Ledger'!$E$7:$E$46)</x:f>
        <x:v>159</x:v>
      </x:c>
      <x:c r="O9" s="9" t="str">
        <x:f>IF(AND(H9='Controls'!$D$7,M9='Controls'!$D$10,COUNTIFS('Gate Coverage'!$C$7:$C$62,C9,'Gate Coverage'!$I$7:$I$62,"PASS")='Controls'!$D$15),"PASS","HOLD")</x:f>
        <x:v>HOLD</x:v>
      </x:c>
    </x:row>
    <x:row r="10">
      <x:c r="B10" s="10" t="str">
        <x:v>LF-D-CF1</x:v>
      </x:c>
      <x:c r="C10" s="10" t="str">
        <x:v>D</x:v>
      </x:c>
      <x:c r="D10" s="10" t="str">
        <x:v>Synthetic-fuel service fleet</x:v>
      </x:c>
      <x:c r="E10" s="10" t="n">
        <x:v>1</x:v>
      </x:c>
      <x:c r="F10" s="10" t="n">
        <x:v>1</x:v>
      </x:c>
      <x:c r="G10" s="10" t="n">
        <x:v>1</x:v>
      </x:c>
      <x:c r="H10" s="10" t="n">
        <x:f>SUM(E10:G10)</x:f>
        <x:v>3</x:v>
      </x:c>
      <x:c r="I10" s="16" t="n">
        <x:f>SUMIF('Article Bank'!$C$7:$C$46,C10,'Article Bank'!$E$7:$E$46)</x:f>
        <x:v>40</x:v>
      </x:c>
      <x:c r="J10" s="16" t="n">
        <x:f>SUMIF('Article Bank'!$C$7:$C$46,C10,'Article Bank'!$G$7:$G$46)</x:f>
        <x:v>55650</x:v>
      </x:c>
      <x:c r="K10" s="16" t="n">
        <x:f>SUMIF('Article Bank'!$C$7:$C$46,C10,'Article Bank'!$I$7:$I$46)</x:f>
        <x:v>2725</x:v>
      </x:c>
      <x:c r="L10" s="16" t="n">
        <x:f>K10*'Controls'!$D$17</x:f>
        <x:v>8720</x:v>
      </x:c>
      <x:c r="M10" s="16" t="n">
        <x:f>COUNTIF('Event Register'!$C$7:$C$174,C10)</x:f>
        <x:v>42</x:v>
      </x:c>
      <x:c r="N10" s="16" t="n">
        <x:f>SUMIF('Evidence Ledger'!$C$7:$C$46,C10,'Evidence Ledger'!$E$7:$E$46)</x:f>
        <x:v>159</x:v>
      </x:c>
      <x:c r="O10" s="10" t="str">
        <x:f>IF(AND(H10='Controls'!$D$7,M10='Controls'!$D$10,COUNTIFS('Gate Coverage'!$C$7:$C$62,C10,'Gate Coverage'!$I$7:$I$62,"PASS")='Controls'!$D$15),"PASS","HOLD")</x:f>
        <x:v>HOLD</x:v>
      </x:c>
    </x:row>
    <x:row r="11"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</x:row>
    <x:row r="12"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</x:row>
    <x:row r="13">
      <x:c r="B13" s="7" t="str">
        <x:v>Root</x:v>
      </x:c>
      <x:c r="C13" s="7" t="str">
        <x:v>Dry mass kt</x:v>
      </x:c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</x:row>
    <x:row r="14">
      <x:c r="B14" s="9" t="str">
        <x:v>A</x:v>
      </x:c>
      <x:c r="C14" s="9" t="n">
        <x:v>129.5</x:v>
      </x:c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</x:row>
    <x:row r="15">
      <x:c r="B15" s="9" t="str">
        <x:v>B</x:v>
      </x:c>
      <x:c r="C15" s="9" t="n">
        <x:v>94.1</x:v>
      </x:c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</x:row>
    <x:row r="16">
      <x:c r="B16" s="9" t="str">
        <x:v>C</x:v>
      </x:c>
      <x:c r="C16" s="9" t="n">
        <x:v>106.05</x:v>
      </x:c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</x:row>
    <x:row r="17">
      <x:c r="B17" s="9" t="str">
        <x:v>D</x:v>
      </x:c>
      <x:c r="C17" s="9" t="n">
        <x:v>55.65</x:v>
      </x:c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</x:row>
  </x:sheetData>
  <x:mergeCells>
    <x:mergeCell ref="B2:O2"/>
    <x:mergeCell ref="B3:O3"/>
  </x:mergeCells>
  <x:conditionalFormatting sqref="O7:O10">
    <x:cfRule type="containsText" dxfId="36" priority="1" operator="containsText" text="PASS"/>
    <x:cfRule type="containsText" dxfId="37" priority="2" operator="containsText" text="SELECTED"/>
    <x:cfRule type="containsText" dxfId="38" priority="3" operator="containsText" text="COMPLETE"/>
    <x:cfRule type="containsText" dxfId="39" priority="4" operator="containsText" text="ACCEPTED"/>
    <x:cfRule type="containsText" dxfId="40" priority="5" operator="containsText" text="HOLD"/>
    <x:cfRule type="containsText" dxfId="41" priority="6" operator="containsText" text="OPEN"/>
    <x:cfRule type="containsText" dxfId="42" priority="7" operator="containsText" text="BLOCKED"/>
    <x:cfRule type="containsText" dxfId="43" priority="8" operator="containsText" text="UNTESTED"/>
    <x:cfRule type="containsText" dxfId="44" priority="9" operator="containsText" text="UNASSIGNED"/>
    <x:cfRule type="containsText" dxfId="45" priority="10" operator="containsText" text="FAIL"/>
    <x:cfRule type="containsText" dxfId="46" priority="11" operator="containsText" text="REJECT"/>
    <x:cfRule type="containsText" dxfId="47" priority="12" operator="containsText" text="INVALID"/>
  </x:conditionalFormatting>
  <x:pageMargins left="0.7" right="0.7" top="0.75" bottom="0.75" header="0.3" footer="0.3"/>
  <x:drawing xmlns:r="http://schemas.openxmlformats.org/officeDocument/2006/relationships" r:id="R29e53b1b06fe49e7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9" hidden="0" customWidth="1"/>
    <x:col min="4" max="4" width="24" hidden="0" customWidth="1"/>
    <x:col min="5" max="5" width="11" hidden="0" customWidth="1"/>
    <x:col min="6" max="6" width="14" hidden="0" customWidth="1"/>
    <x:col min="7" max="7" width="17" hidden="0" customWidth="1"/>
    <x:col min="8" max="8" width="13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  <x:col min="13" max="13" width="16" hidden="0" customWidth="1"/>
    <x:col min="14" max="14" width="14" hidden="0" customWidth="1"/>
    <x:col min="15" max="15" width="13" hidden="0" customWidth="1"/>
  </x:cols>
  <x:sheetData>
    <x:row r="2">
      <x:c r="B2" s="35" t="str">
        <x:v>One hundred sixty top-level article units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B3" s="36" t="str">
        <x:v>Quantities instantiate three complete sectors plus root-level reset, authority, base and protected replacement functions.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>
      <x:c r="B6" s="7" t="str">
        <x:v>Record</x:v>
      </x:c>
      <x:c r="C6" s="7" t="str">
        <x:v>Root</x:v>
      </x:c>
      <x:c r="D6" s="7" t="str">
        <x:v>Element</x:v>
      </x:c>
      <x:c r="E6" s="7" t="str">
        <x:v>Qty</x:v>
      </x:c>
      <x:c r="F6" s="7" t="str">
        <x:v>Unit dry t</x:v>
      </x:c>
      <x:c r="G6" s="7" t="str">
        <x:v>Extended dry t</x:v>
      </x:c>
      <x:c r="H6" s="7" t="str">
        <x:v>Crew/unit</x:v>
      </x:c>
      <x:c r="I6" s="7" t="str">
        <x:v>Extended crew</x:v>
      </x:c>
      <x:c r="J6" s="7" t="str">
        <x:v>Source accepted</x:v>
      </x:c>
      <x:c r="K6" s="7" t="str">
        <x:v>Definition</x:v>
      </x:c>
      <x:c r="L6" s="7" t="str">
        <x:v>Sector coverage</x:v>
      </x:c>
      <x:c r="M6" s="7" t="str">
        <x:v>Coverage status</x:v>
      </x:c>
      <x:c r="N6" s="7" t="str">
        <x:v>Evidence</x:v>
      </x:c>
      <x:c r="O6" s="7" t="str">
        <x:v>Admission</x:v>
      </x:c>
    </x:row>
    <x:row r="7">
      <x:c r="B7" s="9" t="str">
        <x:v>AB-A-01</x:v>
      </x:c>
      <x:c r="C7" s="9" t="str">
        <x:v>A</x:v>
      </x:c>
      <x:c r="D7" s="9" t="str">
        <x:v>source</x:v>
      </x:c>
      <x:c r="E7" s="9" t="n">
        <x:v>3</x:v>
      </x:c>
      <x:c r="F7" s="15" t="n">
        <x:v>25000</x:v>
      </x:c>
      <x:c r="G7" s="15" t="n">
        <x:f>E7*F7</x:f>
        <x:v>75000</x:v>
      </x:c>
      <x:c r="H7" s="15" t="n">
        <x:v>320</x:v>
      </x:c>
      <x:c r="I7" s="15" t="n">
        <x:f>E7*H7</x:f>
        <x:v>960</x:v>
      </x:c>
      <x:c r="J7" s="11" t="n">
        <x:v>0</x:v>
      </x:c>
      <x:c r="K7" s="9" t="str">
        <x:v>CONTROLLED HYPOTHESIS</x:v>
      </x:c>
      <x:c r="L7" s="9" t="n">
        <x:f>E7/'Controls'!$D$7</x:f>
        <x:v>1</x:v>
      </x:c>
      <x:c r="M7" s="9" t="str">
        <x:f>IF(L7=1,"PASS","FAIL")</x:f>
        <x:v>PASS</x:v>
      </x:c>
      <x:c r="N7" s="9" t="str">
        <x:v>OPEN</x:v>
      </x:c>
      <x:c r="O7" s="9" t="n">
        <x:v>0</x:v>
      </x:c>
    </x:row>
    <x:row r="8">
      <x:c r="B8" s="9" t="str">
        <x:v>AB-A-02</x:v>
      </x:c>
      <x:c r="C8" s="9" t="str">
        <x:v>A</x:v>
      </x:c>
      <x:c r="D8" s="9" t="str">
        <x:v>water/residual</x:v>
      </x:c>
      <x:c r="E8" s="9" t="n">
        <x:v>6</x:v>
      </x:c>
      <x:c r="F8" s="15" t="n">
        <x:v>2700</x:v>
      </x:c>
      <x:c r="G8" s="15" t="n">
        <x:f>E8*F8</x:f>
        <x:v>16200</x:v>
      </x:c>
      <x:c r="H8" s="15" t="n">
        <x:v>110</x:v>
      </x:c>
      <x:c r="I8" s="15" t="n">
        <x:f>E8*H8</x:f>
        <x:v>660</x:v>
      </x:c>
      <x:c r="J8" s="11" t="n">
        <x:v>0</x:v>
      </x:c>
      <x:c r="K8" s="9" t="str">
        <x:v>CONTROLLED HYPOTHESIS</x:v>
      </x:c>
      <x:c r="L8" s="9" t="n">
        <x:f>E8/'Controls'!$D$7</x:f>
        <x:v>2</x:v>
      </x:c>
      <x:c r="M8" s="9" t="str">
        <x:f>IF(L8=2,"PASS","FAIL")</x:f>
        <x:v>PASS</x:v>
      </x:c>
      <x:c r="N8" s="9" t="str">
        <x:v>OPEN</x:v>
      </x:c>
      <x:c r="O8" s="9" t="n">
        <x:v>0</x:v>
      </x:c>
    </x:row>
    <x:row r="9">
      <x:c r="B9" s="9" t="str">
        <x:v>AB-A-03</x:v>
      </x:c>
      <x:c r="C9" s="9" t="str">
        <x:v>A</x:v>
      </x:c>
      <x:c r="D9" s="9" t="str">
        <x:v>local power</x:v>
      </x:c>
      <x:c r="E9" s="9" t="n">
        <x:v>9</x:v>
      </x:c>
      <x:c r="F9" s="15" t="n">
        <x:v>650</x:v>
      </x:c>
      <x:c r="G9" s="15" t="n">
        <x:f>E9*F9</x:f>
        <x:v>5850</x:v>
      </x:c>
      <x:c r="H9" s="15" t="n">
        <x:v>25</x:v>
      </x:c>
      <x:c r="I9" s="15" t="n">
        <x:f>E9*H9</x:f>
        <x:v>225</x:v>
      </x:c>
      <x:c r="J9" s="11" t="n">
        <x:v>0</x:v>
      </x:c>
      <x:c r="K9" s="9" t="str">
        <x:v>CONTROLLED HYPOTHESIS</x:v>
      </x:c>
      <x:c r="L9" s="9" t="n">
        <x:f>E9/'Controls'!$D$7</x:f>
        <x:v>3</x:v>
      </x:c>
      <x:c r="M9" s="9" t="str">
        <x:f>IF(L9=3,"PASS","FAIL")</x:f>
        <x:v>PASS</x:v>
      </x:c>
      <x:c r="N9" s="9" t="str">
        <x:v>OPEN</x:v>
      </x:c>
      <x:c r="O9" s="9" t="n">
        <x:v>0</x:v>
      </x:c>
    </x:row>
    <x:row r="10">
      <x:c r="B10" s="9" t="str">
        <x:v>AB-A-04</x:v>
      </x:c>
      <x:c r="C10" s="9" t="str">
        <x:v>A</x:v>
      </x:c>
      <x:c r="D10" s="9" t="str">
        <x:v>grid bridge</x:v>
      </x:c>
      <x:c r="E10" s="9" t="n">
        <x:v>6</x:v>
      </x:c>
      <x:c r="F10" s="15" t="n">
        <x:v>900</x:v>
      </x:c>
      <x:c r="G10" s="15" t="n">
        <x:f>E10*F10</x:f>
        <x:v>5400</x:v>
      </x:c>
      <x:c r="H10" s="15" t="n">
        <x:v>60</x:v>
      </x:c>
      <x:c r="I10" s="15" t="n">
        <x:f>E10*H10</x:f>
        <x:v>360</x:v>
      </x:c>
      <x:c r="J10" s="11" t="n">
        <x:v>0</x:v>
      </x:c>
      <x:c r="K10" s="9" t="str">
        <x:v>CONTROLLED HYPOTHESIS</x:v>
      </x:c>
      <x:c r="L10" s="9" t="n">
        <x:f>E10/'Controls'!$D$7</x:f>
        <x:v>2</x:v>
      </x:c>
      <x:c r="M10" s="9" t="str">
        <x:f>IF(L10=2,"PASS","FAIL")</x:f>
        <x:v>PASS</x:v>
      </x:c>
      <x:c r="N10" s="9" t="str">
        <x:v>OPEN</x:v>
      </x:c>
      <x:c r="O10" s="9" t="n">
        <x:v>0</x:v>
      </x:c>
    </x:row>
    <x:row r="11">
      <x:c r="B11" s="9" t="str">
        <x:v>AB-A-05</x:v>
      </x:c>
      <x:c r="C11" s="9" t="str">
        <x:v>A</x:v>
      </x:c>
      <x:c r="D11" s="9" t="str">
        <x:v>thermal</x:v>
      </x:c>
      <x:c r="E11" s="9" t="n">
        <x:v>6</x:v>
      </x:c>
      <x:c r="F11" s="15" t="n">
        <x:v>700</x:v>
      </x:c>
      <x:c r="G11" s="15" t="n">
        <x:f>E11*F11</x:f>
        <x:v>4200</x:v>
      </x:c>
      <x:c r="H11" s="15" t="n">
        <x:v>35</x:v>
      </x:c>
      <x:c r="I11" s="15" t="n">
        <x:f>E11*H11</x:f>
        <x:v>210</x:v>
      </x:c>
      <x:c r="J11" s="11" t="n">
        <x:v>0</x:v>
      </x:c>
      <x:c r="K11" s="9" t="str">
        <x:v>CONTROLLED HYPOTHESIS</x:v>
      </x:c>
      <x:c r="L11" s="9" t="n">
        <x:f>E11/'Controls'!$D$7</x:f>
        <x:v>2</x:v>
      </x:c>
      <x:c r="M11" s="9" t="str">
        <x:f>IF(L11=2,"PASS","FAIL")</x:f>
        <x:v>PASS</x:v>
      </x:c>
      <x:c r="N11" s="9" t="str">
        <x:v>OPEN</x:v>
      </x:c>
      <x:c r="O11" s="9" t="n">
        <x:v>0</x:v>
      </x:c>
    </x:row>
    <x:row r="12">
      <x:c r="B12" s="9" t="str">
        <x:v>AB-A-06</x:v>
      </x:c>
      <x:c r="C12" s="9" t="str">
        <x:v>A</x:v>
      </x:c>
      <x:c r="D12" s="9" t="str">
        <x:v>evidence cell</x:v>
      </x:c>
      <x:c r="E12" s="9" t="n">
        <x:v>3</x:v>
      </x:c>
      <x:c r="F12" s="15" t="n">
        <x:v>150</x:v>
      </x:c>
      <x:c r="G12" s="15" t="n">
        <x:f>E12*F12</x:f>
        <x:v>450</x:v>
      </x:c>
      <x:c r="H12" s="15" t="n">
        <x:v>20</x:v>
      </x:c>
      <x:c r="I12" s="15" t="n">
        <x:f>E12*H12</x:f>
        <x:v>60</x:v>
      </x:c>
      <x:c r="J12" s="11" t="n">
        <x:v>0</x:v>
      </x:c>
      <x:c r="K12" s="9" t="str">
        <x:v>CONTROLLED HYPOTHESIS</x:v>
      </x:c>
      <x:c r="L12" s="9" t="str">
        <x:v>ROOT</x:v>
      </x:c>
      <x:c r="M12" s="9" t="str">
        <x:v>PASS</x:v>
      </x:c>
      <x:c r="N12" s="9" t="str">
        <x:v>OPEN</x:v>
      </x:c>
      <x:c r="O12" s="9" t="n">
        <x:v>0</x:v>
      </x:c>
    </x:row>
    <x:row r="13">
      <x:c r="B13" s="9" t="str">
        <x:v>AB-A-07</x:v>
      </x:c>
      <x:c r="C13" s="9" t="str">
        <x:v>A</x:v>
      </x:c>
      <x:c r="D13" s="9" t="str">
        <x:v>repair/reset</x:v>
      </x:c>
      <x:c r="E13" s="9" t="n">
        <x:v>2</x:v>
      </x:c>
      <x:c r="F13" s="15" t="n">
        <x:v>1800</x:v>
      </x:c>
      <x:c r="G13" s="15" t="n">
        <x:f>E13*F13</x:f>
        <x:v>3600</x:v>
      </x:c>
      <x:c r="H13" s="15" t="n">
        <x:v>120</x:v>
      </x:c>
      <x:c r="I13" s="15" t="n">
        <x:f>E13*H13</x:f>
        <x:v>240</x:v>
      </x:c>
      <x:c r="J13" s="11" t="n">
        <x:v>0</x:v>
      </x:c>
      <x:c r="K13" s="9" t="str">
        <x:v>CONTROLLED HYPOTHESIS</x:v>
      </x:c>
      <x:c r="L13" s="9" t="str">
        <x:v>ROOT</x:v>
      </x:c>
      <x:c r="M13" s="9" t="str">
        <x:v>PASS</x:v>
      </x:c>
      <x:c r="N13" s="9" t="str">
        <x:v>OPEN</x:v>
      </x:c>
      <x:c r="O13" s="9" t="n">
        <x:v>0</x:v>
      </x:c>
    </x:row>
    <x:row r="14">
      <x:c r="B14" s="9" t="str">
        <x:v>AB-A-08</x:v>
      </x:c>
      <x:c r="C14" s="9" t="str">
        <x:v>A</x:v>
      </x:c>
      <x:c r="D14" s="9" t="str">
        <x:v>civil/config</x:v>
      </x:c>
      <x:c r="E14" s="9" t="n">
        <x:v>2</x:v>
      </x:c>
      <x:c r="F14" s="15" t="n">
        <x:v>100</x:v>
      </x:c>
      <x:c r="G14" s="15" t="n">
        <x:f>E14*F14</x:f>
        <x:v>200</x:v>
      </x:c>
      <x:c r="H14" s="15" t="n">
        <x:v>40</x:v>
      </x:c>
      <x:c r="I14" s="15" t="n">
        <x:f>E14*H14</x:f>
        <x:v>80</x:v>
      </x:c>
      <x:c r="J14" s="11" t="n">
        <x:v>0</x:v>
      </x:c>
      <x:c r="K14" s="9" t="str">
        <x:v>CONTROLLED HYPOTHESIS</x:v>
      </x:c>
      <x:c r="L14" s="9" t="str">
        <x:v>ROOT</x:v>
      </x:c>
      <x:c r="M14" s="9" t="str">
        <x:v>PASS</x:v>
      </x:c>
      <x:c r="N14" s="9" t="str">
        <x:v>OPEN</x:v>
      </x:c>
      <x:c r="O14" s="9" t="n">
        <x:v>0</x:v>
      </x:c>
    </x:row>
    <x:row r="15">
      <x:c r="B15" s="9" t="str">
        <x:v>AB-A-09</x:v>
      </x:c>
      <x:c r="C15" s="9" t="str">
        <x:v>A</x:v>
      </x:c>
      <x:c r="D15" s="9" t="str">
        <x:v>operating base</x:v>
      </x:c>
      <x:c r="E15" s="9" t="n">
        <x:v>2</x:v>
      </x:c>
      <x:c r="F15" s="15" t="n">
        <x:v>1800</x:v>
      </x:c>
      <x:c r="G15" s="15" t="n">
        <x:f>E15*F15</x:f>
        <x:v>3600</x:v>
      </x:c>
      <x:c r="H15" s="15" t="n">
        <x:v>300</x:v>
      </x:c>
      <x:c r="I15" s="15" t="n">
        <x:f>E15*H15</x:f>
        <x:v>600</x:v>
      </x:c>
      <x:c r="J15" s="11" t="n">
        <x:v>0</x:v>
      </x:c>
      <x:c r="K15" s="9" t="str">
        <x:v>CONTROLLED HYPOTHESIS</x:v>
      </x:c>
      <x:c r="L15" s="9" t="str">
        <x:v>ROOT</x:v>
      </x:c>
      <x:c r="M15" s="9" t="str">
        <x:v>PASS</x:v>
      </x:c>
      <x:c r="N15" s="9" t="str">
        <x:v>OPEN</x:v>
      </x:c>
      <x:c r="O15" s="9" t="n">
        <x:v>0</x:v>
      </x:c>
    </x:row>
    <x:row r="16">
      <x:c r="B16" s="9" t="str">
        <x:v>AB-A-10</x:v>
      </x:c>
      <x:c r="C16" s="9" t="str">
        <x:v>A</x:v>
      </x:c>
      <x:c r="D16" s="9" t="str">
        <x:v>replacement bank</x:v>
      </x:c>
      <x:c r="E16" s="9" t="n">
        <x:v>1</x:v>
      </x:c>
      <x:c r="F16" s="15" t="n">
        <x:v>15000</x:v>
      </x:c>
      <x:c r="G16" s="15" t="n">
        <x:f>E16*F16</x:f>
        <x:v>15000</x:v>
      </x:c>
      <x:c r="H16" s="15" t="n">
        <x:v>0</x:v>
      </x:c>
      <x:c r="I16" s="15" t="n">
        <x:f>E16*H16</x:f>
        <x:v>0</x:v>
      </x:c>
      <x:c r="J16" s="11" t="n">
        <x:v>0</x:v>
      </x:c>
      <x:c r="K16" s="9" t="str">
        <x:v>CONTROLLED HYPOTHESIS</x:v>
      </x:c>
      <x:c r="L16" s="9" t="str">
        <x:v>ROOT</x:v>
      </x:c>
      <x:c r="M16" s="9" t="str">
        <x:v>PASS</x:v>
      </x:c>
      <x:c r="N16" s="9" t="str">
        <x:v>OPEN</x:v>
      </x:c>
      <x:c r="O16" s="9" t="n">
        <x:v>0</x:v>
      </x:c>
    </x:row>
    <x:row r="17">
      <x:c r="B17" s="9" t="str">
        <x:v>AB-B-11</x:v>
      </x:c>
      <x:c r="C17" s="9" t="str">
        <x:v>B</x:v>
      </x:c>
      <x:c r="D17" s="9" t="str">
        <x:v>source</x:v>
      </x:c>
      <x:c r="E17" s="9" t="n">
        <x:v>3</x:v>
      </x:c>
      <x:c r="F17" s="15" t="n">
        <x:v>15000</x:v>
      </x:c>
      <x:c r="G17" s="15" t="n">
        <x:f>E17*F17</x:f>
        <x:v>45000</x:v>
      </x:c>
      <x:c r="H17" s="15" t="n">
        <x:v>400</x:v>
      </x:c>
      <x:c r="I17" s="15" t="n">
        <x:f>E17*H17</x:f>
        <x:v>1200</x:v>
      </x:c>
      <x:c r="J17" s="11" t="n">
        <x:v>0</x:v>
      </x:c>
      <x:c r="K17" s="9" t="str">
        <x:v>CONTROLLED HYPOTHESIS</x:v>
      </x:c>
      <x:c r="L17" s="9" t="n">
        <x:f>E17/'Controls'!$D$7</x:f>
        <x:v>1</x:v>
      </x:c>
      <x:c r="M17" s="9" t="str">
        <x:f>IF(L17=1,"PASS","FAIL")</x:f>
        <x:v>PASS</x:v>
      </x:c>
      <x:c r="N17" s="9" t="str">
        <x:v>OPEN</x:v>
      </x:c>
      <x:c r="O17" s="9" t="n">
        <x:v>0</x:v>
      </x:c>
    </x:row>
    <x:row r="18">
      <x:c r="B18" s="9" t="str">
        <x:v>AB-B-12</x:v>
      </x:c>
      <x:c r="C18" s="9" t="str">
        <x:v>B</x:v>
      </x:c>
      <x:c r="D18" s="9" t="str">
        <x:v>water/residual</x:v>
      </x:c>
      <x:c r="E18" s="9" t="n">
        <x:v>6</x:v>
      </x:c>
      <x:c r="F18" s="15" t="n">
        <x:v>2500</x:v>
      </x:c>
      <x:c r="G18" s="15" t="n">
        <x:f>E18*F18</x:f>
        <x:v>15000</x:v>
      </x:c>
      <x:c r="H18" s="15" t="n">
        <x:v>120</x:v>
      </x:c>
      <x:c r="I18" s="15" t="n">
        <x:f>E18*H18</x:f>
        <x:v>720</x:v>
      </x:c>
      <x:c r="J18" s="11" t="n">
        <x:v>0</x:v>
      </x:c>
      <x:c r="K18" s="9" t="str">
        <x:v>CONTROLLED HYPOTHESIS</x:v>
      </x:c>
      <x:c r="L18" s="9" t="n">
        <x:f>E18/'Controls'!$D$7</x:f>
        <x:v>2</x:v>
      </x:c>
      <x:c r="M18" s="9" t="str">
        <x:f>IF(L18=2,"PASS","FAIL")</x:f>
        <x:v>PASS</x:v>
      </x:c>
      <x:c r="N18" s="9" t="str">
        <x:v>OPEN</x:v>
      </x:c>
      <x:c r="O18" s="9" t="n">
        <x:v>0</x:v>
      </x:c>
    </x:row>
    <x:row r="19">
      <x:c r="B19" s="9" t="str">
        <x:v>AB-B-13</x:v>
      </x:c>
      <x:c r="C19" s="9" t="str">
        <x:v>B</x:v>
      </x:c>
      <x:c r="D19" s="9" t="str">
        <x:v>local power</x:v>
      </x:c>
      <x:c r="E19" s="9" t="n">
        <x:v>9</x:v>
      </x:c>
      <x:c r="F19" s="15" t="n">
        <x:v>650</x:v>
      </x:c>
      <x:c r="G19" s="15" t="n">
        <x:f>E19*F19</x:f>
        <x:v>5850</x:v>
      </x:c>
      <x:c r="H19" s="15" t="n">
        <x:v>25</x:v>
      </x:c>
      <x:c r="I19" s="15" t="n">
        <x:f>E19*H19</x:f>
        <x:v>225</x:v>
      </x:c>
      <x:c r="J19" s="11" t="n">
        <x:v>0</x:v>
      </x:c>
      <x:c r="K19" s="9" t="str">
        <x:v>CONTROLLED HYPOTHESIS</x:v>
      </x:c>
      <x:c r="L19" s="9" t="n">
        <x:f>E19/'Controls'!$D$7</x:f>
        <x:v>3</x:v>
      </x:c>
      <x:c r="M19" s="9" t="str">
        <x:f>IF(L19=3,"PASS","FAIL")</x:f>
        <x:v>PASS</x:v>
      </x:c>
      <x:c r="N19" s="9" t="str">
        <x:v>OPEN</x:v>
      </x:c>
      <x:c r="O19" s="9" t="n">
        <x:v>0</x:v>
      </x:c>
    </x:row>
    <x:row r="20">
      <x:c r="B20" s="9" t="str">
        <x:v>AB-B-14</x:v>
      </x:c>
      <x:c r="C20" s="9" t="str">
        <x:v>B</x:v>
      </x:c>
      <x:c r="D20" s="9" t="str">
        <x:v>grid bridge</x:v>
      </x:c>
      <x:c r="E20" s="9" t="n">
        <x:v>6</x:v>
      </x:c>
      <x:c r="F20" s="15" t="n">
        <x:v>1000</x:v>
      </x:c>
      <x:c r="G20" s="15" t="n">
        <x:f>E20*F20</x:f>
        <x:v>6000</x:v>
      </x:c>
      <x:c r="H20" s="15" t="n">
        <x:v>70</x:v>
      </x:c>
      <x:c r="I20" s="15" t="n">
        <x:f>E20*H20</x:f>
        <x:v>420</x:v>
      </x:c>
      <x:c r="J20" s="11" t="n">
        <x:v>0</x:v>
      </x:c>
      <x:c r="K20" s="9" t="str">
        <x:v>CONTROLLED HYPOTHESIS</x:v>
      </x:c>
      <x:c r="L20" s="9" t="n">
        <x:f>E20/'Controls'!$D$7</x:f>
        <x:v>2</x:v>
      </x:c>
      <x:c r="M20" s="9" t="str">
        <x:f>IF(L20=2,"PASS","FAIL")</x:f>
        <x:v>PASS</x:v>
      </x:c>
      <x:c r="N20" s="9" t="str">
        <x:v>OPEN</x:v>
      </x:c>
      <x:c r="O20" s="9" t="n">
        <x:v>0</x:v>
      </x:c>
    </x:row>
    <x:row r="21">
      <x:c r="B21" s="9" t="str">
        <x:v>AB-B-15</x:v>
      </x:c>
      <x:c r="C21" s="9" t="str">
        <x:v>B</x:v>
      </x:c>
      <x:c r="D21" s="9" t="str">
        <x:v>thermal</x:v>
      </x:c>
      <x:c r="E21" s="9" t="n">
        <x:v>6</x:v>
      </x:c>
      <x:c r="F21" s="15" t="n">
        <x:v>600</x:v>
      </x:c>
      <x:c r="G21" s="15" t="n">
        <x:f>E21*F21</x:f>
        <x:v>3600</x:v>
      </x:c>
      <x:c r="H21" s="15" t="n">
        <x:v>40</x:v>
      </x:c>
      <x:c r="I21" s="15" t="n">
        <x:f>E21*H21</x:f>
        <x:v>240</x:v>
      </x:c>
      <x:c r="J21" s="11" t="n">
        <x:v>0</x:v>
      </x:c>
      <x:c r="K21" s="9" t="str">
        <x:v>CONTROLLED HYPOTHESIS</x:v>
      </x:c>
      <x:c r="L21" s="9" t="n">
        <x:f>E21/'Controls'!$D$7</x:f>
        <x:v>2</x:v>
      </x:c>
      <x:c r="M21" s="9" t="str">
        <x:f>IF(L21=2,"PASS","FAIL")</x:f>
        <x:v>PASS</x:v>
      </x:c>
      <x:c r="N21" s="9" t="str">
        <x:v>OPEN</x:v>
      </x:c>
      <x:c r="O21" s="9" t="n">
        <x:v>0</x:v>
      </x:c>
    </x:row>
    <x:row r="22">
      <x:c r="B22" s="9" t="str">
        <x:v>AB-B-16</x:v>
      </x:c>
      <x:c r="C22" s="9" t="str">
        <x:v>B</x:v>
      </x:c>
      <x:c r="D22" s="9" t="str">
        <x:v>evidence cell</x:v>
      </x:c>
      <x:c r="E22" s="9" t="n">
        <x:v>3</x:v>
      </x:c>
      <x:c r="F22" s="15" t="n">
        <x:v>150</x:v>
      </x:c>
      <x:c r="G22" s="15" t="n">
        <x:f>E22*F22</x:f>
        <x:v>450</x:v>
      </x:c>
      <x:c r="H22" s="15" t="n">
        <x:v>20</x:v>
      </x:c>
      <x:c r="I22" s="15" t="n">
        <x:f>E22*H22</x:f>
        <x:v>60</x:v>
      </x:c>
      <x:c r="J22" s="11" t="n">
        <x:v>0</x:v>
      </x:c>
      <x:c r="K22" s="9" t="str">
        <x:v>CONTROLLED HYPOTHESIS</x:v>
      </x:c>
      <x:c r="L22" s="9" t="str">
        <x:v>ROOT</x:v>
      </x:c>
      <x:c r="M22" s="9" t="str">
        <x:v>PASS</x:v>
      </x:c>
      <x:c r="N22" s="9" t="str">
        <x:v>OPEN</x:v>
      </x:c>
      <x:c r="O22" s="9" t="n">
        <x:v>0</x:v>
      </x:c>
    </x:row>
    <x:row r="23">
      <x:c r="B23" s="9" t="str">
        <x:v>AB-B-17</x:v>
      </x:c>
      <x:c r="C23" s="9" t="str">
        <x:v>B</x:v>
      </x:c>
      <x:c r="D23" s="9" t="str">
        <x:v>repair/reset</x:v>
      </x:c>
      <x:c r="E23" s="9" t="n">
        <x:v>2</x:v>
      </x:c>
      <x:c r="F23" s="15" t="n">
        <x:v>1500</x:v>
      </x:c>
      <x:c r="G23" s="15" t="n">
        <x:f>E23*F23</x:f>
        <x:v>3000</x:v>
      </x:c>
      <x:c r="H23" s="15" t="n">
        <x:v>100</x:v>
      </x:c>
      <x:c r="I23" s="15" t="n">
        <x:f>E23*H23</x:f>
        <x:v>200</x:v>
      </x:c>
      <x:c r="J23" s="11" t="n">
        <x:v>0</x:v>
      </x:c>
      <x:c r="K23" s="9" t="str">
        <x:v>CONTROLLED HYPOTHESIS</x:v>
      </x:c>
      <x:c r="L23" s="9" t="str">
        <x:v>ROOT</x:v>
      </x:c>
      <x:c r="M23" s="9" t="str">
        <x:v>PASS</x:v>
      </x:c>
      <x:c r="N23" s="9" t="str">
        <x:v>OPEN</x:v>
      </x:c>
      <x:c r="O23" s="9" t="n">
        <x:v>0</x:v>
      </x:c>
    </x:row>
    <x:row r="24">
      <x:c r="B24" s="9" t="str">
        <x:v>AB-B-18</x:v>
      </x:c>
      <x:c r="C24" s="9" t="str">
        <x:v>B</x:v>
      </x:c>
      <x:c r="D24" s="9" t="str">
        <x:v>civil/config</x:v>
      </x:c>
      <x:c r="E24" s="9" t="n">
        <x:v>2</x:v>
      </x:c>
      <x:c r="F24" s="15" t="n">
        <x:v>100</x:v>
      </x:c>
      <x:c r="G24" s="15" t="n">
        <x:f>E24*F24</x:f>
        <x:v>200</x:v>
      </x:c>
      <x:c r="H24" s="15" t="n">
        <x:v>40</x:v>
      </x:c>
      <x:c r="I24" s="15" t="n">
        <x:f>E24*H24</x:f>
        <x:v>80</x:v>
      </x:c>
      <x:c r="J24" s="11" t="n">
        <x:v>0</x:v>
      </x:c>
      <x:c r="K24" s="9" t="str">
        <x:v>CONTROLLED HYPOTHESIS</x:v>
      </x:c>
      <x:c r="L24" s="9" t="str">
        <x:v>ROOT</x:v>
      </x:c>
      <x:c r="M24" s="9" t="str">
        <x:v>PASS</x:v>
      </x:c>
      <x:c r="N24" s="9" t="str">
        <x:v>OPEN</x:v>
      </x:c>
      <x:c r="O24" s="9" t="n">
        <x:v>0</x:v>
      </x:c>
    </x:row>
    <x:row r="25">
      <x:c r="B25" s="9" t="str">
        <x:v>AB-B-19</x:v>
      </x:c>
      <x:c r="C25" s="9" t="str">
        <x:v>B</x:v>
      </x:c>
      <x:c r="D25" s="9" t="str">
        <x:v>operating base</x:v>
      </x:c>
      <x:c r="E25" s="9" t="n">
        <x:v>2</x:v>
      </x:c>
      <x:c r="F25" s="15" t="n">
        <x:v>1500</x:v>
      </x:c>
      <x:c r="G25" s="15" t="n">
        <x:f>E25*F25</x:f>
        <x:v>3000</x:v>
      </x:c>
      <x:c r="H25" s="15" t="n">
        <x:v>250</x:v>
      </x:c>
      <x:c r="I25" s="15" t="n">
        <x:f>E25*H25</x:f>
        <x:v>500</x:v>
      </x:c>
      <x:c r="J25" s="11" t="n">
        <x:v>0</x:v>
      </x:c>
      <x:c r="K25" s="9" t="str">
        <x:v>CONTROLLED HYPOTHESIS</x:v>
      </x:c>
      <x:c r="L25" s="9" t="str">
        <x:v>ROOT</x:v>
      </x:c>
      <x:c r="M25" s="9" t="str">
        <x:v>PASS</x:v>
      </x:c>
      <x:c r="N25" s="9" t="str">
        <x:v>OPEN</x:v>
      </x:c>
      <x:c r="O25" s="9" t="n">
        <x:v>0</x:v>
      </x:c>
    </x:row>
    <x:row r="26">
      <x:c r="B26" s="9" t="str">
        <x:v>AB-B-20</x:v>
      </x:c>
      <x:c r="C26" s="9" t="str">
        <x:v>B</x:v>
      </x:c>
      <x:c r="D26" s="9" t="str">
        <x:v>replacement bank</x:v>
      </x:c>
      <x:c r="E26" s="9" t="n">
        <x:v>1</x:v>
      </x:c>
      <x:c r="F26" s="15" t="n">
        <x:v>12000</x:v>
      </x:c>
      <x:c r="G26" s="15" t="n">
        <x:f>E26*F26</x:f>
        <x:v>12000</x:v>
      </x:c>
      <x:c r="H26" s="15" t="n">
        <x:v>0</x:v>
      </x:c>
      <x:c r="I26" s="15" t="n">
        <x:f>E26*H26</x:f>
        <x:v>0</x:v>
      </x:c>
      <x:c r="J26" s="11" t="n">
        <x:v>0</x:v>
      </x:c>
      <x:c r="K26" s="9" t="str">
        <x:v>CONTROLLED HYPOTHESIS</x:v>
      </x:c>
      <x:c r="L26" s="9" t="str">
        <x:v>ROOT</x:v>
      </x:c>
      <x:c r="M26" s="9" t="str">
        <x:v>PASS</x:v>
      </x:c>
      <x:c r="N26" s="9" t="str">
        <x:v>OPEN</x:v>
      </x:c>
      <x:c r="O26" s="9" t="n">
        <x:v>0</x:v>
      </x:c>
    </x:row>
    <x:row r="27">
      <x:c r="B27" s="9" t="str">
        <x:v>AB-C-21</x:v>
      </x:c>
      <x:c r="C27" s="9" t="str">
        <x:v>C</x:v>
      </x:c>
      <x:c r="D27" s="9" t="str">
        <x:v>source</x:v>
      </x:c>
      <x:c r="E27" s="9" t="n">
        <x:v>3</x:v>
      </x:c>
      <x:c r="F27" s="15" t="n">
        <x:v>20000</x:v>
      </x:c>
      <x:c r="G27" s="15" t="n">
        <x:f>E27*F27</x:f>
        <x:v>60000</x:v>
      </x:c>
      <x:c r="H27" s="15" t="n">
        <x:v>250</x:v>
      </x:c>
      <x:c r="I27" s="15" t="n">
        <x:f>E27*H27</x:f>
        <x:v>750</x:v>
      </x:c>
      <x:c r="J27" s="11" t="n">
        <x:v>0</x:v>
      </x:c>
      <x:c r="K27" s="9" t="str">
        <x:v>CONTROLLED HYPOTHESIS</x:v>
      </x:c>
      <x:c r="L27" s="9" t="n">
        <x:f>E27/'Controls'!$D$7</x:f>
        <x:v>1</x:v>
      </x:c>
      <x:c r="M27" s="9" t="str">
        <x:f>IF(L27=1,"PASS","FAIL")</x:f>
        <x:v>PASS</x:v>
      </x:c>
      <x:c r="N27" s="9" t="str">
        <x:v>OPEN</x:v>
      </x:c>
      <x:c r="O27" s="9" t="n">
        <x:v>0</x:v>
      </x:c>
    </x:row>
    <x:row r="28">
      <x:c r="B28" s="9" t="str">
        <x:v>AB-C-22</x:v>
      </x:c>
      <x:c r="C28" s="9" t="str">
        <x:v>C</x:v>
      </x:c>
      <x:c r="D28" s="9" t="str">
        <x:v>water/residual</x:v>
      </x:c>
      <x:c r="E28" s="9" t="n">
        <x:v>6</x:v>
      </x:c>
      <x:c r="F28" s="15" t="n">
        <x:v>2300</x:v>
      </x:c>
      <x:c r="G28" s="15" t="n">
        <x:f>E28*F28</x:f>
        <x:v>13800</x:v>
      </x:c>
      <x:c r="H28" s="15" t="n">
        <x:v>90</x:v>
      </x:c>
      <x:c r="I28" s="15" t="n">
        <x:f>E28*H28</x:f>
        <x:v>540</x:v>
      </x:c>
      <x:c r="J28" s="11" t="n">
        <x:v>0</x:v>
      </x:c>
      <x:c r="K28" s="9" t="str">
        <x:v>CONTROLLED HYPOTHESIS</x:v>
      </x:c>
      <x:c r="L28" s="9" t="n">
        <x:f>E28/'Controls'!$D$7</x:f>
        <x:v>2</x:v>
      </x:c>
      <x:c r="M28" s="9" t="str">
        <x:f>IF(L28=2,"PASS","FAIL")</x:f>
        <x:v>PASS</x:v>
      </x:c>
      <x:c r="N28" s="9" t="str">
        <x:v>OPEN</x:v>
      </x:c>
      <x:c r="O28" s="9" t="n">
        <x:v>0</x:v>
      </x:c>
    </x:row>
    <x:row r="29">
      <x:c r="B29" s="9" t="str">
        <x:v>AB-C-23</x:v>
      </x:c>
      <x:c r="C29" s="9" t="str">
        <x:v>C</x:v>
      </x:c>
      <x:c r="D29" s="9" t="str">
        <x:v>local power</x:v>
      </x:c>
      <x:c r="E29" s="9" t="n">
        <x:v>9</x:v>
      </x:c>
      <x:c r="F29" s="15" t="n">
        <x:v>800</x:v>
      </x:c>
      <x:c r="G29" s="15" t="n">
        <x:f>E29*F29</x:f>
        <x:v>7200</x:v>
      </x:c>
      <x:c r="H29" s="15" t="n">
        <x:v>20</x:v>
      </x:c>
      <x:c r="I29" s="15" t="n">
        <x:f>E29*H29</x:f>
        <x:v>180</x:v>
      </x:c>
      <x:c r="J29" s="11" t="n">
        <x:v>0</x:v>
      </x:c>
      <x:c r="K29" s="9" t="str">
        <x:v>CONTROLLED HYPOTHESIS</x:v>
      </x:c>
      <x:c r="L29" s="9" t="n">
        <x:f>E29/'Controls'!$D$7</x:f>
        <x:v>3</x:v>
      </x:c>
      <x:c r="M29" s="9" t="str">
        <x:f>IF(L29=3,"PASS","FAIL")</x:f>
        <x:v>PASS</x:v>
      </x:c>
      <x:c r="N29" s="9" t="str">
        <x:v>OPEN</x:v>
      </x:c>
      <x:c r="O29" s="9" t="n">
        <x:v>0</x:v>
      </x:c>
    </x:row>
    <x:row r="30">
      <x:c r="B30" s="9" t="str">
        <x:v>AB-C-24</x:v>
      </x:c>
      <x:c r="C30" s="9" t="str">
        <x:v>C</x:v>
      </x:c>
      <x:c r="D30" s="9" t="str">
        <x:v>grid bridge</x:v>
      </x:c>
      <x:c r="E30" s="9" t="n">
        <x:v>6</x:v>
      </x:c>
      <x:c r="F30" s="15" t="n">
        <x:v>650</x:v>
      </x:c>
      <x:c r="G30" s="15" t="n">
        <x:f>E30*F30</x:f>
        <x:v>3900</x:v>
      </x:c>
      <x:c r="H30" s="15" t="n">
        <x:v>50</x:v>
      </x:c>
      <x:c r="I30" s="15" t="n">
        <x:f>E30*H30</x:f>
        <x:v>300</x:v>
      </x:c>
      <x:c r="J30" s="11" t="n">
        <x:v>0</x:v>
      </x:c>
      <x:c r="K30" s="9" t="str">
        <x:v>CONTROLLED HYPOTHESIS</x:v>
      </x:c>
      <x:c r="L30" s="9" t="n">
        <x:f>E30/'Controls'!$D$7</x:f>
        <x:v>2</x:v>
      </x:c>
      <x:c r="M30" s="9" t="str">
        <x:f>IF(L30=2,"PASS","FAIL")</x:f>
        <x:v>PASS</x:v>
      </x:c>
      <x:c r="N30" s="9" t="str">
        <x:v>OPEN</x:v>
      </x:c>
      <x:c r="O30" s="9" t="n">
        <x:v>0</x:v>
      </x:c>
    </x:row>
    <x:row r="31">
      <x:c r="B31" s="9" t="str">
        <x:v>AB-C-25</x:v>
      </x:c>
      <x:c r="C31" s="9" t="str">
        <x:v>C</x:v>
      </x:c>
      <x:c r="D31" s="9" t="str">
        <x:v>thermal</x:v>
      </x:c>
      <x:c r="E31" s="9" t="n">
        <x:v>6</x:v>
      </x:c>
      <x:c r="F31" s="15" t="n">
        <x:v>750</x:v>
      </x:c>
      <x:c r="G31" s="15" t="n">
        <x:f>E31*F31</x:f>
        <x:v>4500</x:v>
      </x:c>
      <x:c r="H31" s="15" t="n">
        <x:v>35</x:v>
      </x:c>
      <x:c r="I31" s="15" t="n">
        <x:f>E31*H31</x:f>
        <x:v>210</x:v>
      </x:c>
      <x:c r="J31" s="11" t="n">
        <x:v>0</x:v>
      </x:c>
      <x:c r="K31" s="9" t="str">
        <x:v>CONTROLLED HYPOTHESIS</x:v>
      </x:c>
      <x:c r="L31" s="9" t="n">
        <x:f>E31/'Controls'!$D$7</x:f>
        <x:v>2</x:v>
      </x:c>
      <x:c r="M31" s="9" t="str">
        <x:f>IF(L31=2,"PASS","FAIL")</x:f>
        <x:v>PASS</x:v>
      </x:c>
      <x:c r="N31" s="9" t="str">
        <x:v>OPEN</x:v>
      </x:c>
      <x:c r="O31" s="9" t="n">
        <x:v>0</x:v>
      </x:c>
    </x:row>
    <x:row r="32">
      <x:c r="B32" s="9" t="str">
        <x:v>AB-C-26</x:v>
      </x:c>
      <x:c r="C32" s="9" t="str">
        <x:v>C</x:v>
      </x:c>
      <x:c r="D32" s="9" t="str">
        <x:v>evidence cell</x:v>
      </x:c>
      <x:c r="E32" s="9" t="n">
        <x:v>3</x:v>
      </x:c>
      <x:c r="F32" s="15" t="n">
        <x:v>150</x:v>
      </x:c>
      <x:c r="G32" s="15" t="n">
        <x:f>E32*F32</x:f>
        <x:v>450</x:v>
      </x:c>
      <x:c r="H32" s="15" t="n">
        <x:v>20</x:v>
      </x:c>
      <x:c r="I32" s="15" t="n">
        <x:f>E32*H32</x:f>
        <x:v>60</x:v>
      </x:c>
      <x:c r="J32" s="11" t="n">
        <x:v>0</x:v>
      </x:c>
      <x:c r="K32" s="9" t="str">
        <x:v>CONTROLLED HYPOTHESIS</x:v>
      </x:c>
      <x:c r="L32" s="9" t="str">
        <x:v>ROOT</x:v>
      </x:c>
      <x:c r="M32" s="9" t="str">
        <x:v>PASS</x:v>
      </x:c>
      <x:c r="N32" s="9" t="str">
        <x:v>OPEN</x:v>
      </x:c>
      <x:c r="O32" s="9" t="n">
        <x:v>0</x:v>
      </x:c>
    </x:row>
    <x:row r="33">
      <x:c r="B33" s="9" t="str">
        <x:v>AB-C-27</x:v>
      </x:c>
      <x:c r="C33" s="9" t="str">
        <x:v>C</x:v>
      </x:c>
      <x:c r="D33" s="9" t="str">
        <x:v>repair/reset</x:v>
      </x:c>
      <x:c r="E33" s="9" t="n">
        <x:v>2</x:v>
      </x:c>
      <x:c r="F33" s="15" t="n">
        <x:v>800</x:v>
      </x:c>
      <x:c r="G33" s="15" t="n">
        <x:f>E33*F33</x:f>
        <x:v>1600</x:v>
      </x:c>
      <x:c r="H33" s="15" t="n">
        <x:v>70</x:v>
      </x:c>
      <x:c r="I33" s="15" t="n">
        <x:f>E33*H33</x:f>
        <x:v>140</x:v>
      </x:c>
      <x:c r="J33" s="11" t="n">
        <x:v>0</x:v>
      </x:c>
      <x:c r="K33" s="9" t="str">
        <x:v>CONTROLLED HYPOTHESIS</x:v>
      </x:c>
      <x:c r="L33" s="9" t="str">
        <x:v>ROOT</x:v>
      </x:c>
      <x:c r="M33" s="9" t="str">
        <x:v>PASS</x:v>
      </x:c>
      <x:c r="N33" s="9" t="str">
        <x:v>OPEN</x:v>
      </x:c>
      <x:c r="O33" s="9" t="n">
        <x:v>0</x:v>
      </x:c>
    </x:row>
    <x:row r="34">
      <x:c r="B34" s="9" t="str">
        <x:v>AB-C-28</x:v>
      </x:c>
      <x:c r="C34" s="9" t="str">
        <x:v>C</x:v>
      </x:c>
      <x:c r="D34" s="9" t="str">
        <x:v>civil/config</x:v>
      </x:c>
      <x:c r="E34" s="9" t="n">
        <x:v>2</x:v>
      </x:c>
      <x:c r="F34" s="15" t="n">
        <x:v>100</x:v>
      </x:c>
      <x:c r="G34" s="15" t="n">
        <x:f>E34*F34</x:f>
        <x:v>200</x:v>
      </x:c>
      <x:c r="H34" s="15" t="n">
        <x:v>40</x:v>
      </x:c>
      <x:c r="I34" s="15" t="n">
        <x:f>E34*H34</x:f>
        <x:v>80</x:v>
      </x:c>
      <x:c r="J34" s="11" t="n">
        <x:v>0</x:v>
      </x:c>
      <x:c r="K34" s="9" t="str">
        <x:v>CONTROLLED HYPOTHESIS</x:v>
      </x:c>
      <x:c r="L34" s="9" t="str">
        <x:v>ROOT</x:v>
      </x:c>
      <x:c r="M34" s="9" t="str">
        <x:v>PASS</x:v>
      </x:c>
      <x:c r="N34" s="9" t="str">
        <x:v>OPEN</x:v>
      </x:c>
      <x:c r="O34" s="9" t="n">
        <x:v>0</x:v>
      </x:c>
    </x:row>
    <x:row r="35">
      <x:c r="B35" s="9" t="str">
        <x:v>AB-C-29</x:v>
      </x:c>
      <x:c r="C35" s="9" t="str">
        <x:v>C</x:v>
      </x:c>
      <x:c r="D35" s="9" t="str">
        <x:v>operating base</x:v>
      </x:c>
      <x:c r="E35" s="9" t="n">
        <x:v>2</x:v>
      </x:c>
      <x:c r="F35" s="15" t="n">
        <x:v>1200</x:v>
      </x:c>
      <x:c r="G35" s="15" t="n">
        <x:f>E35*F35</x:f>
        <x:v>2400</x:v>
      </x:c>
      <x:c r="H35" s="15" t="n">
        <x:v>220</x:v>
      </x:c>
      <x:c r="I35" s="15" t="n">
        <x:f>E35*H35</x:f>
        <x:v>440</x:v>
      </x:c>
      <x:c r="J35" s="11" t="n">
        <x:v>0</x:v>
      </x:c>
      <x:c r="K35" s="9" t="str">
        <x:v>CONTROLLED HYPOTHESIS</x:v>
      </x:c>
      <x:c r="L35" s="9" t="str">
        <x:v>ROOT</x:v>
      </x:c>
      <x:c r="M35" s="9" t="str">
        <x:v>PASS</x:v>
      </x:c>
      <x:c r="N35" s="9" t="str">
        <x:v>OPEN</x:v>
      </x:c>
      <x:c r="O35" s="9" t="n">
        <x:v>0</x:v>
      </x:c>
    </x:row>
    <x:row r="36">
      <x:c r="B36" s="9" t="str">
        <x:v>AB-C-30</x:v>
      </x:c>
      <x:c r="C36" s="9" t="str">
        <x:v>C</x:v>
      </x:c>
      <x:c r="D36" s="9" t="str">
        <x:v>replacement bank</x:v>
      </x:c>
      <x:c r="E36" s="9" t="n">
        <x:v>1</x:v>
      </x:c>
      <x:c r="F36" s="15" t="n">
        <x:v>12000</x:v>
      </x:c>
      <x:c r="G36" s="15" t="n">
        <x:f>E36*F36</x:f>
        <x:v>12000</x:v>
      </x:c>
      <x:c r="H36" s="15" t="n">
        <x:v>0</x:v>
      </x:c>
      <x:c r="I36" s="15" t="n">
        <x:f>E36*H36</x:f>
        <x:v>0</x:v>
      </x:c>
      <x:c r="J36" s="11" t="n">
        <x:v>0</x:v>
      </x:c>
      <x:c r="K36" s="9" t="str">
        <x:v>CONTROLLED HYPOTHESIS</x:v>
      </x:c>
      <x:c r="L36" s="9" t="str">
        <x:v>ROOT</x:v>
      </x:c>
      <x:c r="M36" s="9" t="str">
        <x:v>PASS</x:v>
      </x:c>
      <x:c r="N36" s="9" t="str">
        <x:v>OPEN</x:v>
      </x:c>
      <x:c r="O36" s="9" t="n">
        <x:v>0</x:v>
      </x:c>
    </x:row>
    <x:row r="37">
      <x:c r="B37" s="9" t="str">
        <x:v>AB-D-31</x:v>
      </x:c>
      <x:c r="C37" s="9" t="str">
        <x:v>D</x:v>
      </x:c>
      <x:c r="D37" s="9" t="str">
        <x:v>source</x:v>
      </x:c>
      <x:c r="E37" s="9" t="n">
        <x:v>3</x:v>
      </x:c>
      <x:c r="F37" s="15" t="n">
        <x:v>5000</x:v>
      </x:c>
      <x:c r="G37" s="15" t="n">
        <x:f>E37*F37</x:f>
        <x:v>15000</x:v>
      </x:c>
      <x:c r="H37" s="15" t="n">
        <x:v>200</x:v>
      </x:c>
      <x:c r="I37" s="15" t="n">
        <x:f>E37*H37</x:f>
        <x:v>600</x:v>
      </x:c>
      <x:c r="J37" s="11" t="n">
        <x:v>0</x:v>
      </x:c>
      <x:c r="K37" s="9" t="str">
        <x:v>CONTROLLED HYPOTHESIS</x:v>
      </x:c>
      <x:c r="L37" s="9" t="n">
        <x:f>E37/'Controls'!$D$7</x:f>
        <x:v>1</x:v>
      </x:c>
      <x:c r="M37" s="9" t="str">
        <x:f>IF(L37=1,"PASS","FAIL")</x:f>
        <x:v>PASS</x:v>
      </x:c>
      <x:c r="N37" s="9" t="str">
        <x:v>OPEN</x:v>
      </x:c>
      <x:c r="O37" s="9" t="n">
        <x:v>0</x:v>
      </x:c>
    </x:row>
    <x:row r="38">
      <x:c r="B38" s="9" t="str">
        <x:v>AB-D-32</x:v>
      </x:c>
      <x:c r="C38" s="9" t="str">
        <x:v>D</x:v>
      </x:c>
      <x:c r="D38" s="9" t="str">
        <x:v>water/residual</x:v>
      </x:c>
      <x:c r="E38" s="9" t="n">
        <x:v>6</x:v>
      </x:c>
      <x:c r="F38" s="15" t="n">
        <x:v>2400</x:v>
      </x:c>
      <x:c r="G38" s="15" t="n">
        <x:f>E38*F38</x:f>
        <x:v>14400</x:v>
      </x:c>
      <x:c r="H38" s="15" t="n">
        <x:v>100</x:v>
      </x:c>
      <x:c r="I38" s="15" t="n">
        <x:f>E38*H38</x:f>
        <x:v>600</x:v>
      </x:c>
      <x:c r="J38" s="11" t="n">
        <x:v>0</x:v>
      </x:c>
      <x:c r="K38" s="9" t="str">
        <x:v>CONTROLLED HYPOTHESIS</x:v>
      </x:c>
      <x:c r="L38" s="9" t="n">
        <x:f>E38/'Controls'!$D$7</x:f>
        <x:v>2</x:v>
      </x:c>
      <x:c r="M38" s="9" t="str">
        <x:f>IF(L38=2,"PASS","FAIL")</x:f>
        <x:v>PASS</x:v>
      </x:c>
      <x:c r="N38" s="9" t="str">
        <x:v>OPEN</x:v>
      </x:c>
      <x:c r="O38" s="9" t="n">
        <x:v>0</x:v>
      </x:c>
    </x:row>
    <x:row r="39">
      <x:c r="B39" s="9" t="str">
        <x:v>AB-D-33</x:v>
      </x:c>
      <x:c r="C39" s="9" t="str">
        <x:v>D</x:v>
      </x:c>
      <x:c r="D39" s="9" t="str">
        <x:v>local power</x:v>
      </x:c>
      <x:c r="E39" s="9" t="n">
        <x:v>9</x:v>
      </x:c>
      <x:c r="F39" s="15" t="n">
        <x:v>600</x:v>
      </x:c>
      <x:c r="G39" s="15" t="n">
        <x:f>E39*F39</x:f>
        <x:v>5400</x:v>
      </x:c>
      <x:c r="H39" s="15" t="n">
        <x:v>25</x:v>
      </x:c>
      <x:c r="I39" s="15" t="n">
        <x:f>E39*H39</x:f>
        <x:v>225</x:v>
      </x:c>
      <x:c r="J39" s="11" t="n">
        <x:v>0</x:v>
      </x:c>
      <x:c r="K39" s="9" t="str">
        <x:v>CONTROLLED HYPOTHESIS</x:v>
      </x:c>
      <x:c r="L39" s="9" t="n">
        <x:f>E39/'Controls'!$D$7</x:f>
        <x:v>3</x:v>
      </x:c>
      <x:c r="M39" s="9" t="str">
        <x:f>IF(L39=3,"PASS","FAIL")</x:f>
        <x:v>PASS</x:v>
      </x:c>
      <x:c r="N39" s="9" t="str">
        <x:v>OPEN</x:v>
      </x:c>
      <x:c r="O39" s="9" t="n">
        <x:v>0</x:v>
      </x:c>
    </x:row>
    <x:row r="40">
      <x:c r="B40" s="9" t="str">
        <x:v>AB-D-34</x:v>
      </x:c>
      <x:c r="C40" s="9" t="str">
        <x:v>D</x:v>
      </x:c>
      <x:c r="D40" s="9" t="str">
        <x:v>grid bridge</x:v>
      </x:c>
      <x:c r="E40" s="9" t="n">
        <x:v>6</x:v>
      </x:c>
      <x:c r="F40" s="15" t="n">
        <x:v>750</x:v>
      </x:c>
      <x:c r="G40" s="15" t="n">
        <x:f>E40*F40</x:f>
        <x:v>4500</x:v>
      </x:c>
      <x:c r="H40" s="15" t="n">
        <x:v>55</x:v>
      </x:c>
      <x:c r="I40" s="15" t="n">
        <x:f>E40*H40</x:f>
        <x:v>330</x:v>
      </x:c>
      <x:c r="J40" s="11" t="n">
        <x:v>0</x:v>
      </x:c>
      <x:c r="K40" s="9" t="str">
        <x:v>CONTROLLED HYPOTHESIS</x:v>
      </x:c>
      <x:c r="L40" s="9" t="n">
        <x:f>E40/'Controls'!$D$7</x:f>
        <x:v>2</x:v>
      </x:c>
      <x:c r="M40" s="9" t="str">
        <x:f>IF(L40=2,"PASS","FAIL")</x:f>
        <x:v>PASS</x:v>
      </x:c>
      <x:c r="N40" s="9" t="str">
        <x:v>OPEN</x:v>
      </x:c>
      <x:c r="O40" s="9" t="n">
        <x:v>0</x:v>
      </x:c>
    </x:row>
    <x:row r="41">
      <x:c r="B41" s="9" t="str">
        <x:v>AB-D-35</x:v>
      </x:c>
      <x:c r="C41" s="9" t="str">
        <x:v>D</x:v>
      </x:c>
      <x:c r="D41" s="9" t="str">
        <x:v>thermal</x:v>
      </x:c>
      <x:c r="E41" s="9" t="n">
        <x:v>6</x:v>
      </x:c>
      <x:c r="F41" s="15" t="n">
        <x:v>550</x:v>
      </x:c>
      <x:c r="G41" s="15" t="n">
        <x:f>E41*F41</x:f>
        <x:v>3300</x:v>
      </x:c>
      <x:c r="H41" s="15" t="n">
        <x:v>35</x:v>
      </x:c>
      <x:c r="I41" s="15" t="n">
        <x:f>E41*H41</x:f>
        <x:v>210</x:v>
      </x:c>
      <x:c r="J41" s="11" t="n">
        <x:v>0</x:v>
      </x:c>
      <x:c r="K41" s="9" t="str">
        <x:v>CONTROLLED HYPOTHESIS</x:v>
      </x:c>
      <x:c r="L41" s="9" t="n">
        <x:f>E41/'Controls'!$D$7</x:f>
        <x:v>2</x:v>
      </x:c>
      <x:c r="M41" s="9" t="str">
        <x:f>IF(L41=2,"PASS","FAIL")</x:f>
        <x:v>PASS</x:v>
      </x:c>
      <x:c r="N41" s="9" t="str">
        <x:v>OPEN</x:v>
      </x:c>
      <x:c r="O41" s="9" t="n">
        <x:v>0</x:v>
      </x:c>
    </x:row>
    <x:row r="42">
      <x:c r="B42" s="9" t="str">
        <x:v>AB-D-36</x:v>
      </x:c>
      <x:c r="C42" s="9" t="str">
        <x:v>D</x:v>
      </x:c>
      <x:c r="D42" s="9" t="str">
        <x:v>evidence cell</x:v>
      </x:c>
      <x:c r="E42" s="9" t="n">
        <x:v>3</x:v>
      </x:c>
      <x:c r="F42" s="15" t="n">
        <x:v>150</x:v>
      </x:c>
      <x:c r="G42" s="15" t="n">
        <x:f>E42*F42</x:f>
        <x:v>450</x:v>
      </x:c>
      <x:c r="H42" s="15" t="n">
        <x:v>20</x:v>
      </x:c>
      <x:c r="I42" s="15" t="n">
        <x:f>E42*H42</x:f>
        <x:v>60</x:v>
      </x:c>
      <x:c r="J42" s="11" t="n">
        <x:v>0</x:v>
      </x:c>
      <x:c r="K42" s="9" t="str">
        <x:v>CONTROLLED HYPOTHESIS</x:v>
      </x:c>
      <x:c r="L42" s="9" t="str">
        <x:v>ROOT</x:v>
      </x:c>
      <x:c r="M42" s="9" t="str">
        <x:v>PASS</x:v>
      </x:c>
      <x:c r="N42" s="9" t="str">
        <x:v>OPEN</x:v>
      </x:c>
      <x:c r="O42" s="9" t="n">
        <x:v>0</x:v>
      </x:c>
    </x:row>
    <x:row r="43">
      <x:c r="B43" s="9" t="str">
        <x:v>AB-D-37</x:v>
      </x:c>
      <x:c r="C43" s="9" t="str">
        <x:v>D</x:v>
      </x:c>
      <x:c r="D43" s="9" t="str">
        <x:v>repair/reset</x:v>
      </x:c>
      <x:c r="E43" s="9" t="n">
        <x:v>2</x:v>
      </x:c>
      <x:c r="F43" s="15" t="n">
        <x:v>900</x:v>
      </x:c>
      <x:c r="G43" s="15" t="n">
        <x:f>E43*F43</x:f>
        <x:v>1800</x:v>
      </x:c>
      <x:c r="H43" s="15" t="n">
        <x:v>80</x:v>
      </x:c>
      <x:c r="I43" s="15" t="n">
        <x:f>E43*H43</x:f>
        <x:v>160</x:v>
      </x:c>
      <x:c r="J43" s="11" t="n">
        <x:v>0</x:v>
      </x:c>
      <x:c r="K43" s="9" t="str">
        <x:v>CONTROLLED HYPOTHESIS</x:v>
      </x:c>
      <x:c r="L43" s="9" t="str">
        <x:v>ROOT</x:v>
      </x:c>
      <x:c r="M43" s="9" t="str">
        <x:v>PASS</x:v>
      </x:c>
      <x:c r="N43" s="9" t="str">
        <x:v>OPEN</x:v>
      </x:c>
      <x:c r="O43" s="9" t="n">
        <x:v>0</x:v>
      </x:c>
    </x:row>
    <x:row r="44">
      <x:c r="B44" s="9" t="str">
        <x:v>AB-D-38</x:v>
      </x:c>
      <x:c r="C44" s="9" t="str">
        <x:v>D</x:v>
      </x:c>
      <x:c r="D44" s="9" t="str">
        <x:v>civil/config</x:v>
      </x:c>
      <x:c r="E44" s="9" t="n">
        <x:v>2</x:v>
      </x:c>
      <x:c r="F44" s="15" t="n">
        <x:v>100</x:v>
      </x:c>
      <x:c r="G44" s="15" t="n">
        <x:f>E44*F44</x:f>
        <x:v>200</x:v>
      </x:c>
      <x:c r="H44" s="15" t="n">
        <x:v>40</x:v>
      </x:c>
      <x:c r="I44" s="15" t="n">
        <x:f>E44*H44</x:f>
        <x:v>80</x:v>
      </x:c>
      <x:c r="J44" s="11" t="n">
        <x:v>0</x:v>
      </x:c>
      <x:c r="K44" s="9" t="str">
        <x:v>CONTROLLED HYPOTHESIS</x:v>
      </x:c>
      <x:c r="L44" s="9" t="str">
        <x:v>ROOT</x:v>
      </x:c>
      <x:c r="M44" s="9" t="str">
        <x:v>PASS</x:v>
      </x:c>
      <x:c r="N44" s="9" t="str">
        <x:v>OPEN</x:v>
      </x:c>
      <x:c r="O44" s="9" t="n">
        <x:v>0</x:v>
      </x:c>
    </x:row>
    <x:row r="45">
      <x:c r="B45" s="9" t="str">
        <x:v>AB-D-39</x:v>
      </x:c>
      <x:c r="C45" s="9" t="str">
        <x:v>D</x:v>
      </x:c>
      <x:c r="D45" s="9" t="str">
        <x:v>operating base</x:v>
      </x:c>
      <x:c r="E45" s="9" t="n">
        <x:v>2</x:v>
      </x:c>
      <x:c r="F45" s="15" t="n">
        <x:v>1300</x:v>
      </x:c>
      <x:c r="G45" s="15" t="n">
        <x:f>E45*F45</x:f>
        <x:v>2600</x:v>
      </x:c>
      <x:c r="H45" s="15" t="n">
        <x:v>230</x:v>
      </x:c>
      <x:c r="I45" s="15" t="n">
        <x:f>E45*H45</x:f>
        <x:v>460</x:v>
      </x:c>
      <x:c r="J45" s="11" t="n">
        <x:v>0</x:v>
      </x:c>
      <x:c r="K45" s="9" t="str">
        <x:v>CONTROLLED HYPOTHESIS</x:v>
      </x:c>
      <x:c r="L45" s="9" t="str">
        <x:v>ROOT</x:v>
      </x:c>
      <x:c r="M45" s="9" t="str">
        <x:v>PASS</x:v>
      </x:c>
      <x:c r="N45" s="9" t="str">
        <x:v>OPEN</x:v>
      </x:c>
      <x:c r="O45" s="9" t="n">
        <x:v>0</x:v>
      </x:c>
    </x:row>
    <x:row r="46">
      <x:c r="B46" s="10" t="str">
        <x:v>AB-D-40</x:v>
      </x:c>
      <x:c r="C46" s="10" t="str">
        <x:v>D</x:v>
      </x:c>
      <x:c r="D46" s="10" t="str">
        <x:v>replacement bank</x:v>
      </x:c>
      <x:c r="E46" s="10" t="n">
        <x:v>1</x:v>
      </x:c>
      <x:c r="F46" s="16" t="n">
        <x:v>8000</x:v>
      </x:c>
      <x:c r="G46" s="16" t="n">
        <x:f>E46*F46</x:f>
        <x:v>8000</x:v>
      </x:c>
      <x:c r="H46" s="16" t="n">
        <x:v>0</x:v>
      </x:c>
      <x:c r="I46" s="16" t="n">
        <x:f>E46*H46</x:f>
        <x:v>0</x:v>
      </x:c>
      <x:c r="J46" s="12" t="n">
        <x:v>0</x:v>
      </x:c>
      <x:c r="K46" s="10" t="str">
        <x:v>CONTROLLED HYPOTHESIS</x:v>
      </x:c>
      <x:c r="L46" s="10" t="str">
        <x:v>ROOT</x:v>
      </x:c>
      <x:c r="M46" s="10" t="str">
        <x:v>PASS</x:v>
      </x:c>
      <x:c r="N46" s="10" t="str">
        <x:v>OPEN</x:v>
      </x:c>
      <x:c r="O46" s="10" t="n">
        <x:v>0</x:v>
      </x:c>
    </x:row>
  </x:sheetData>
  <x:mergeCells>
    <x:mergeCell ref="B2:O2"/>
    <x:mergeCell ref="B3:O3"/>
  </x:mergeCells>
  <x:conditionalFormatting sqref="M7:N46">
    <x:cfRule type="containsText" dxfId="48" priority="1" operator="containsText" text="PASS"/>
    <x:cfRule type="containsText" dxfId="49" priority="2" operator="containsText" text="SELECTED"/>
    <x:cfRule type="containsText" dxfId="50" priority="3" operator="containsText" text="COMPLETE"/>
    <x:cfRule type="containsText" dxfId="51" priority="4" operator="containsText" text="ACCEPTED"/>
    <x:cfRule type="containsText" dxfId="52" priority="5" operator="containsText" text="HOLD"/>
    <x:cfRule type="containsText" dxfId="53" priority="6" operator="containsText" text="OPEN"/>
    <x:cfRule type="containsText" dxfId="54" priority="7" operator="containsText" text="BLOCKED"/>
    <x:cfRule type="containsText" dxfId="55" priority="8" operator="containsText" text="UNTESTED"/>
    <x:cfRule type="containsText" dxfId="56" priority="9" operator="containsText" text="UNASSIGNED"/>
    <x:cfRule type="containsText" dxfId="57" priority="10" operator="containsText" text="FAIL"/>
    <x:cfRule type="containsText" dxfId="58" priority="11" operator="containsText" text="REJECT"/>
    <x:cfRule type="containsText" dxfId="59" priority="12" operator="containsText" text="INVALI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7" hidden="0" customWidth="1"/>
    <x:col min="3" max="3" width="9" hidden="0" customWidth="1"/>
    <x:col min="4" max="4" width="10" hidden="0" customWidth="1"/>
    <x:col min="5" max="5" width="38" hidden="0" customWidth="1"/>
    <x:col min="6" max="6" width="12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</x:cols>
  <x:sheetData>
    <x:row r="2">
      <x:c r="B2" s="35" t="str">
        <x:v>One hundred sixty-eight required valid events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6" t="str">
        <x:v>A valid adverse result remains in the denominator. Reserve attempts replace only predeclared invalid events.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Event ID</x:v>
      </x:c>
      <x:c r="C6" s="7" t="str">
        <x:v>Root</x:v>
      </x:c>
      <x:c r="D6" s="7" t="str">
        <x:v>World</x:v>
      </x:c>
      <x:c r="E6" s="7" t="str">
        <x:v>Challenge</x:v>
      </x:c>
      <x:c r="F6" s="7" t="str">
        <x:v>Article</x:v>
      </x:c>
      <x:c r="G6" s="7" t="str">
        <x:v>Role</x:v>
      </x:c>
      <x:c r="H6" s="7" t="str">
        <x:v>Matched event</x:v>
      </x:c>
      <x:c r="I6" s="7" t="str">
        <x:v>Validity</x:v>
      </x:c>
      <x:c r="J6" s="7" t="str">
        <x:v>Outcome</x:v>
      </x:c>
      <x:c r="K6" s="7" t="str">
        <x:v>Packet</x:v>
      </x:c>
      <x:c r="L6" s="7" t="str">
        <x:v>Outside replay</x:v>
      </x:c>
      <x:c r="M6" s="7" t="str">
        <x:v>Admission</x:v>
      </x:c>
      <x:c r="N6" s="7" t="str">
        <x:v>Attempt class</x:v>
      </x:c>
    </x:row>
    <x:row r="7">
      <x:c r="B7" s="9" t="str">
        <x:v>EV-A-01-C</x:v>
      </x:c>
      <x:c r="C7" s="9" t="str">
        <x:v>A</x:v>
      </x:c>
      <x:c r="D7" s="9" t="str">
        <x:v>W01</x:v>
      </x:c>
      <x:c r="E7" s="9" t="str">
        <x:v>source position unavailable</x:v>
      </x:c>
      <x:c r="F7" s="9" t="str">
        <x:v>P1</x:v>
      </x:c>
      <x:c r="G7" s="9" t="str">
        <x:v>CHALLENGE</x:v>
      </x:c>
      <x:c r="H7" s="9" t="str">
        <x:v>PAIR-A-01</x:v>
      </x:c>
      <x:c r="I7" s="9" t="str">
        <x:v>UNTESTED</x:v>
      </x:c>
      <x:c r="J7" s="9" t="str">
        <x:v>UNTESTED</x:v>
      </x:c>
      <x:c r="K7" s="9" t="str">
        <x:v>OPEN</x:v>
      </x:c>
      <x:c r="L7" s="9" t="str">
        <x:v>OPEN</x:v>
      </x:c>
      <x:c r="M7" s="9" t="n">
        <x:v>0</x:v>
      </x:c>
      <x:c r="N7" s="9" t="str">
        <x:v>REQUIRED</x:v>
      </x:c>
    </x:row>
    <x:row r="8">
      <x:c r="B8" s="9" t="str">
        <x:v>EV-A-01-K</x:v>
      </x:c>
      <x:c r="C8" s="9" t="str">
        <x:v>A</x:v>
      </x:c>
      <x:c r="D8" s="9" t="str">
        <x:v>W01</x:v>
      </x:c>
      <x:c r="E8" s="9" t="str">
        <x:v>source position unavailable</x:v>
      </x:c>
      <x:c r="F8" s="9" t="str">
        <x:v>P2</x:v>
      </x:c>
      <x:c r="G8" s="9" t="str">
        <x:v>CLEAN CONTROL</x:v>
      </x:c>
      <x:c r="H8" s="9" t="str">
        <x:v>PAIR-A-01</x:v>
      </x:c>
      <x:c r="I8" s="9" t="str">
        <x:v>UNTESTED</x:v>
      </x:c>
      <x:c r="J8" s="9" t="str">
        <x:v>UNTESTED</x:v>
      </x:c>
      <x:c r="K8" s="9" t="str">
        <x:v>OPEN</x:v>
      </x:c>
      <x:c r="L8" s="9" t="str">
        <x:v>OPEN</x:v>
      </x:c>
      <x:c r="M8" s="9" t="n">
        <x:v>0</x:v>
      </x:c>
      <x:c r="N8" s="9" t="str">
        <x:v>REQUIRED</x:v>
      </x:c>
    </x:row>
    <x:row r="9">
      <x:c r="B9" s="9" t="str">
        <x:v>EV-A-01-R</x:v>
      </x:c>
      <x:c r="C9" s="9" t="str">
        <x:v>A</x:v>
      </x:c>
      <x:c r="D9" s="9" t="str">
        <x:v>W01</x:v>
      </x:c>
      <x:c r="E9" s="9" t="str">
        <x:v>source position unavailable</x:v>
      </x:c>
      <x:c r="F9" s="9" t="str">
        <x:v>R1</x:v>
      </x:c>
      <x:c r="G9" s="9" t="str">
        <x:v>SECOND TEAM</x:v>
      </x:c>
      <x:c r="H9" s="9" t="str">
        <x:v>PAIR-A-01</x:v>
      </x:c>
      <x:c r="I9" s="9" t="str">
        <x:v>UNTESTED</x:v>
      </x:c>
      <x:c r="J9" s="9" t="str">
        <x:v>UNTESTED</x:v>
      </x:c>
      <x:c r="K9" s="9" t="str">
        <x:v>OPEN</x:v>
      </x:c>
      <x:c r="L9" s="9" t="str">
        <x:v>OPEN</x:v>
      </x:c>
      <x:c r="M9" s="9" t="n">
        <x:v>0</x:v>
      </x:c>
      <x:c r="N9" s="9" t="str">
        <x:v>REQUIRED</x:v>
      </x:c>
    </x:row>
    <x:row r="10">
      <x:c r="B10" s="9" t="str">
        <x:v>EV-A-02-C</x:v>
      </x:c>
      <x:c r="C10" s="9" t="str">
        <x:v>A</x:v>
      </x:c>
      <x:c r="D10" s="9" t="str">
        <x:v>W02</x:v>
      </x:c>
      <x:c r="E10" s="9" t="str">
        <x:v>water corridor ruptured</x:v>
      </x:c>
      <x:c r="F10" s="9" t="str">
        <x:v>P1</x:v>
      </x:c>
      <x:c r="G10" s="9" t="str">
        <x:v>CHALLENGE</x:v>
      </x:c>
      <x:c r="H10" s="9" t="str">
        <x:v>PAIR-A-02</x:v>
      </x:c>
      <x:c r="I10" s="9" t="str">
        <x:v>UNTESTED</x:v>
      </x:c>
      <x:c r="J10" s="9" t="str">
        <x:v>UNTESTED</x:v>
      </x:c>
      <x:c r="K10" s="9" t="str">
        <x:v>OPEN</x:v>
      </x:c>
      <x:c r="L10" s="9" t="str">
        <x:v>OPEN</x:v>
      </x:c>
      <x:c r="M10" s="9" t="n">
        <x:v>0</x:v>
      </x:c>
      <x:c r="N10" s="9" t="str">
        <x:v>REQUIRED</x:v>
      </x:c>
    </x:row>
    <x:row r="11">
      <x:c r="B11" s="9" t="str">
        <x:v>EV-A-02-K</x:v>
      </x:c>
      <x:c r="C11" s="9" t="str">
        <x:v>A</x:v>
      </x:c>
      <x:c r="D11" s="9" t="str">
        <x:v>W02</x:v>
      </x:c>
      <x:c r="E11" s="9" t="str">
        <x:v>water corridor ruptured</x:v>
      </x:c>
      <x:c r="F11" s="9" t="str">
        <x:v>P2</x:v>
      </x:c>
      <x:c r="G11" s="9" t="str">
        <x:v>CLEAN CONTROL</x:v>
      </x:c>
      <x:c r="H11" s="9" t="str">
        <x:v>PAIR-A-02</x:v>
      </x:c>
      <x:c r="I11" s="9" t="str">
        <x:v>UNTESTED</x:v>
      </x:c>
      <x:c r="J11" s="9" t="str">
        <x:v>UNTESTED</x:v>
      </x:c>
      <x:c r="K11" s="9" t="str">
        <x:v>OPEN</x:v>
      </x:c>
      <x:c r="L11" s="9" t="str">
        <x:v>OPEN</x:v>
      </x:c>
      <x:c r="M11" s="9" t="n">
        <x:v>0</x:v>
      </x:c>
      <x:c r="N11" s="9" t="str">
        <x:v>REQUIRED</x:v>
      </x:c>
    </x:row>
    <x:row r="12">
      <x:c r="B12" s="9" t="str">
        <x:v>EV-A-03-C</x:v>
      </x:c>
      <x:c r="C12" s="9" t="str">
        <x:v>A</x:v>
      </x:c>
      <x:c r="D12" s="9" t="str">
        <x:v>W03</x:v>
      </x:c>
      <x:c r="E12" s="9" t="str">
        <x:v>feed contaminated</x:v>
      </x:c>
      <x:c r="F12" s="9" t="str">
        <x:v>P1</x:v>
      </x:c>
      <x:c r="G12" s="9" t="str">
        <x:v>CHALLENGE</x:v>
      </x:c>
      <x:c r="H12" s="9" t="str">
        <x:v>PAIR-A-03</x:v>
      </x:c>
      <x:c r="I12" s="9" t="str">
        <x:v>UNTESTED</x:v>
      </x:c>
      <x:c r="J12" s="9" t="str">
        <x:v>UNTESTED</x:v>
      </x:c>
      <x:c r="K12" s="9" t="str">
        <x:v>OPEN</x:v>
      </x:c>
      <x:c r="L12" s="9" t="str">
        <x:v>OPEN</x:v>
      </x:c>
      <x:c r="M12" s="9" t="n">
        <x:v>0</x:v>
      </x:c>
      <x:c r="N12" s="9" t="str">
        <x:v>REQUIRED</x:v>
      </x:c>
    </x:row>
    <x:row r="13">
      <x:c r="B13" s="9" t="str">
        <x:v>EV-A-03-K</x:v>
      </x:c>
      <x:c r="C13" s="9" t="str">
        <x:v>A</x:v>
      </x:c>
      <x:c r="D13" s="9" t="str">
        <x:v>W03</x:v>
      </x:c>
      <x:c r="E13" s="9" t="str">
        <x:v>feed contaminated</x:v>
      </x:c>
      <x:c r="F13" s="9" t="str">
        <x:v>P2</x:v>
      </x:c>
      <x:c r="G13" s="9" t="str">
        <x:v>CLEAN CONTROL</x:v>
      </x:c>
      <x:c r="H13" s="9" t="str">
        <x:v>PAIR-A-03</x:v>
      </x:c>
      <x:c r="I13" s="9" t="str">
        <x:v>UNTESTED</x:v>
      </x:c>
      <x:c r="J13" s="9" t="str">
        <x:v>UNTESTED</x:v>
      </x:c>
      <x:c r="K13" s="9" t="str">
        <x:v>OPEN</x:v>
      </x:c>
      <x:c r="L13" s="9" t="str">
        <x:v>OPEN</x:v>
      </x:c>
      <x:c r="M13" s="9" t="n">
        <x:v>0</x:v>
      </x:c>
      <x:c r="N13" s="9" t="str">
        <x:v>REQUIRED</x:v>
      </x:c>
    </x:row>
    <x:row r="14">
      <x:c r="B14" s="9" t="str">
        <x:v>EV-A-03-R</x:v>
      </x:c>
      <x:c r="C14" s="9" t="str">
        <x:v>A</x:v>
      </x:c>
      <x:c r="D14" s="9" t="str">
        <x:v>W03</x:v>
      </x:c>
      <x:c r="E14" s="9" t="str">
        <x:v>feed contaminated</x:v>
      </x:c>
      <x:c r="F14" s="9" t="str">
        <x:v>R1</x:v>
      </x:c>
      <x:c r="G14" s="9" t="str">
        <x:v>SECOND TEAM</x:v>
      </x:c>
      <x:c r="H14" s="9" t="str">
        <x:v>PAIR-A-03</x:v>
      </x:c>
      <x:c r="I14" s="9" t="str">
        <x:v>UNTESTED</x:v>
      </x:c>
      <x:c r="J14" s="9" t="str">
        <x:v>UNTESTED</x:v>
      </x:c>
      <x:c r="K14" s="9" t="str">
        <x:v>OPEN</x:v>
      </x:c>
      <x:c r="L14" s="9" t="str">
        <x:v>OPEN</x:v>
      </x:c>
      <x:c r="M14" s="9" t="n">
        <x:v>0</x:v>
      </x:c>
      <x:c r="N14" s="9" t="str">
        <x:v>REQUIRED</x:v>
      </x:c>
    </x:row>
    <x:row r="15">
      <x:c r="B15" s="9" t="str">
        <x:v>EV-A-04-C</x:v>
      </x:c>
      <x:c r="C15" s="9" t="str">
        <x:v>A</x:v>
      </x:c>
      <x:c r="D15" s="9" t="str">
        <x:v>W04</x:v>
      </x:c>
      <x:c r="E15" s="9" t="str">
        <x:v>thermal output derated</x:v>
      </x:c>
      <x:c r="F15" s="9" t="str">
        <x:v>P1</x:v>
      </x:c>
      <x:c r="G15" s="9" t="str">
        <x:v>CHALLENGE</x:v>
      </x:c>
      <x:c r="H15" s="9" t="str">
        <x:v>PAIR-A-04</x:v>
      </x:c>
      <x:c r="I15" s="9" t="str">
        <x:v>UNTESTED</x:v>
      </x:c>
      <x:c r="J15" s="9" t="str">
        <x:v>UNTESTED</x:v>
      </x:c>
      <x:c r="K15" s="9" t="str">
        <x:v>OPEN</x:v>
      </x:c>
      <x:c r="L15" s="9" t="str">
        <x:v>OPEN</x:v>
      </x:c>
      <x:c r="M15" s="9" t="n">
        <x:v>0</x:v>
      </x:c>
      <x:c r="N15" s="9" t="str">
        <x:v>REQUIRED</x:v>
      </x:c>
    </x:row>
    <x:row r="16">
      <x:c r="B16" s="9" t="str">
        <x:v>EV-A-04-K</x:v>
      </x:c>
      <x:c r="C16" s="9" t="str">
        <x:v>A</x:v>
      </x:c>
      <x:c r="D16" s="9" t="str">
        <x:v>W04</x:v>
      </x:c>
      <x:c r="E16" s="9" t="str">
        <x:v>thermal output derated</x:v>
      </x:c>
      <x:c r="F16" s="9" t="str">
        <x:v>P2</x:v>
      </x:c>
      <x:c r="G16" s="9" t="str">
        <x:v>CLEAN CONTROL</x:v>
      </x:c>
      <x:c r="H16" s="9" t="str">
        <x:v>PAIR-A-04</x:v>
      </x:c>
      <x:c r="I16" s="9" t="str">
        <x:v>UNTESTED</x:v>
      </x:c>
      <x:c r="J16" s="9" t="str">
        <x:v>UNTESTED</x:v>
      </x:c>
      <x:c r="K16" s="9" t="str">
        <x:v>OPEN</x:v>
      </x:c>
      <x:c r="L16" s="9" t="str">
        <x:v>OPEN</x:v>
      </x:c>
      <x:c r="M16" s="9" t="n">
        <x:v>0</x:v>
      </x:c>
      <x:c r="N16" s="9" t="str">
        <x:v>REQUIRED</x:v>
      </x:c>
    </x:row>
    <x:row r="17">
      <x:c r="B17" s="9" t="str">
        <x:v>EV-A-05-C</x:v>
      </x:c>
      <x:c r="C17" s="9" t="str">
        <x:v>A</x:v>
      </x:c>
      <x:c r="D17" s="9" t="str">
        <x:v>W05</x:v>
      </x:c>
      <x:c r="E17" s="9" t="str">
        <x:v>external grid absent</x:v>
      </x:c>
      <x:c r="F17" s="9" t="str">
        <x:v>P1</x:v>
      </x:c>
      <x:c r="G17" s="9" t="str">
        <x:v>CHALLENGE</x:v>
      </x:c>
      <x:c r="H17" s="9" t="str">
        <x:v>PAIR-A-05</x:v>
      </x:c>
      <x:c r="I17" s="9" t="str">
        <x:v>UNTESTED</x:v>
      </x:c>
      <x:c r="J17" s="9" t="str">
        <x:v>UNTESTED</x:v>
      </x:c>
      <x:c r="K17" s="9" t="str">
        <x:v>OPEN</x:v>
      </x:c>
      <x:c r="L17" s="9" t="str">
        <x:v>OPEN</x:v>
      </x:c>
      <x:c r="M17" s="9" t="n">
        <x:v>0</x:v>
      </x:c>
      <x:c r="N17" s="9" t="str">
        <x:v>REQUIRED</x:v>
      </x:c>
    </x:row>
    <x:row r="18">
      <x:c r="B18" s="9" t="str">
        <x:v>EV-A-05-K</x:v>
      </x:c>
      <x:c r="C18" s="9" t="str">
        <x:v>A</x:v>
      </x:c>
      <x:c r="D18" s="9" t="str">
        <x:v>W05</x:v>
      </x:c>
      <x:c r="E18" s="9" t="str">
        <x:v>external grid absent</x:v>
      </x:c>
      <x:c r="F18" s="9" t="str">
        <x:v>P2</x:v>
      </x:c>
      <x:c r="G18" s="9" t="str">
        <x:v>CLEAN CONTROL</x:v>
      </x:c>
      <x:c r="H18" s="9" t="str">
        <x:v>PAIR-A-05</x:v>
      </x:c>
      <x:c r="I18" s="9" t="str">
        <x:v>UNTESTED</x:v>
      </x:c>
      <x:c r="J18" s="9" t="str">
        <x:v>UNTESTED</x:v>
      </x:c>
      <x:c r="K18" s="9" t="str">
        <x:v>OPEN</x:v>
      </x:c>
      <x:c r="L18" s="9" t="str">
        <x:v>OPEN</x:v>
      </x:c>
      <x:c r="M18" s="9" t="n">
        <x:v>0</x:v>
      </x:c>
      <x:c r="N18" s="9" t="str">
        <x:v>REQUIRED</x:v>
      </x:c>
    </x:row>
    <x:row r="19">
      <x:c r="B19" s="9" t="str">
        <x:v>EV-A-05-R</x:v>
      </x:c>
      <x:c r="C19" s="9" t="str">
        <x:v>A</x:v>
      </x:c>
      <x:c r="D19" s="9" t="str">
        <x:v>W05</x:v>
      </x:c>
      <x:c r="E19" s="9" t="str">
        <x:v>external grid absent</x:v>
      </x:c>
      <x:c r="F19" s="9" t="str">
        <x:v>R1</x:v>
      </x:c>
      <x:c r="G19" s="9" t="str">
        <x:v>SECOND TEAM</x:v>
      </x:c>
      <x:c r="H19" s="9" t="str">
        <x:v>PAIR-A-05</x:v>
      </x:c>
      <x:c r="I19" s="9" t="str">
        <x:v>UNTESTED</x:v>
      </x:c>
      <x:c r="J19" s="9" t="str">
        <x:v>UNTESTED</x:v>
      </x:c>
      <x:c r="K19" s="9" t="str">
        <x:v>OPEN</x:v>
      </x:c>
      <x:c r="L19" s="9" t="str">
        <x:v>OPEN</x:v>
      </x:c>
      <x:c r="M19" s="9" t="n">
        <x:v>0</x:v>
      </x:c>
      <x:c r="N19" s="9" t="str">
        <x:v>REQUIRED</x:v>
      </x:c>
    </x:row>
    <x:row r="20">
      <x:c r="B20" s="9" t="str">
        <x:v>EV-A-06-C</x:v>
      </x:c>
      <x:c r="C20" s="9" t="str">
        <x:v>A</x:v>
      </x:c>
      <x:c r="D20" s="9" t="str">
        <x:v>W06</x:v>
      </x:c>
      <x:c r="E20" s="9" t="str">
        <x:v>energy route denied</x:v>
      </x:c>
      <x:c r="F20" s="9" t="str">
        <x:v>P1</x:v>
      </x:c>
      <x:c r="G20" s="9" t="str">
        <x:v>CHALLENGE</x:v>
      </x:c>
      <x:c r="H20" s="9" t="str">
        <x:v>PAIR-A-06</x:v>
      </x:c>
      <x:c r="I20" s="9" t="str">
        <x:v>UNTESTED</x:v>
      </x:c>
      <x:c r="J20" s="9" t="str">
        <x:v>UNTESTED</x:v>
      </x:c>
      <x:c r="K20" s="9" t="str">
        <x:v>OPEN</x:v>
      </x:c>
      <x:c r="L20" s="9" t="str">
        <x:v>OPEN</x:v>
      </x:c>
      <x:c r="M20" s="9" t="n">
        <x:v>0</x:v>
      </x:c>
      <x:c r="N20" s="9" t="str">
        <x:v>REQUIRED</x:v>
      </x:c>
    </x:row>
    <x:row r="21">
      <x:c r="B21" s="9" t="str">
        <x:v>EV-A-06-K</x:v>
      </x:c>
      <x:c r="C21" s="9" t="str">
        <x:v>A</x:v>
      </x:c>
      <x:c r="D21" s="9" t="str">
        <x:v>W06</x:v>
      </x:c>
      <x:c r="E21" s="9" t="str">
        <x:v>energy route denied</x:v>
      </x:c>
      <x:c r="F21" s="9" t="str">
        <x:v>P2</x:v>
      </x:c>
      <x:c r="G21" s="9" t="str">
        <x:v>CLEAN CONTROL</x:v>
      </x:c>
      <x:c r="H21" s="9" t="str">
        <x:v>PAIR-A-06</x:v>
      </x:c>
      <x:c r="I21" s="9" t="str">
        <x:v>UNTESTED</x:v>
      </x:c>
      <x:c r="J21" s="9" t="str">
        <x:v>UNTESTED</x:v>
      </x:c>
      <x:c r="K21" s="9" t="str">
        <x:v>OPEN</x:v>
      </x:c>
      <x:c r="L21" s="9" t="str">
        <x:v>OPEN</x:v>
      </x:c>
      <x:c r="M21" s="9" t="n">
        <x:v>0</x:v>
      </x:c>
      <x:c r="N21" s="9" t="str">
        <x:v>REQUIRED</x:v>
      </x:c>
    </x:row>
    <x:row r="22">
      <x:c r="B22" s="9" t="str">
        <x:v>EV-A-07-C</x:v>
      </x:c>
      <x:c r="C22" s="9" t="str">
        <x:v>A</x:v>
      </x:c>
      <x:c r="D22" s="9" t="str">
        <x:v>W07</x:v>
      </x:c>
      <x:c r="E22" s="9" t="str">
        <x:v>wide-area control/time denied</x:v>
      </x:c>
      <x:c r="F22" s="9" t="str">
        <x:v>P1</x:v>
      </x:c>
      <x:c r="G22" s="9" t="str">
        <x:v>CHALLENGE</x:v>
      </x:c>
      <x:c r="H22" s="9" t="str">
        <x:v>PAIR-A-07</x:v>
      </x:c>
      <x:c r="I22" s="9" t="str">
        <x:v>UNTESTED</x:v>
      </x:c>
      <x:c r="J22" s="9" t="str">
        <x:v>UNTESTED</x:v>
      </x:c>
      <x:c r="K22" s="9" t="str">
        <x:v>OPEN</x:v>
      </x:c>
      <x:c r="L22" s="9" t="str">
        <x:v>OPEN</x:v>
      </x:c>
      <x:c r="M22" s="9" t="n">
        <x:v>0</x:v>
      </x:c>
      <x:c r="N22" s="9" t="str">
        <x:v>REQUIRED</x:v>
      </x:c>
    </x:row>
    <x:row r="23">
      <x:c r="B23" s="9" t="str">
        <x:v>EV-A-07-K</x:v>
      </x:c>
      <x:c r="C23" s="9" t="str">
        <x:v>A</x:v>
      </x:c>
      <x:c r="D23" s="9" t="str">
        <x:v>W07</x:v>
      </x:c>
      <x:c r="E23" s="9" t="str">
        <x:v>wide-area control/time denied</x:v>
      </x:c>
      <x:c r="F23" s="9" t="str">
        <x:v>P2</x:v>
      </x:c>
      <x:c r="G23" s="9" t="str">
        <x:v>CLEAN CONTROL</x:v>
      </x:c>
      <x:c r="H23" s="9" t="str">
        <x:v>PAIR-A-07</x:v>
      </x:c>
      <x:c r="I23" s="9" t="str">
        <x:v>UNTESTED</x:v>
      </x:c>
      <x:c r="J23" s="9" t="str">
        <x:v>UNTESTED</x:v>
      </x:c>
      <x:c r="K23" s="9" t="str">
        <x:v>OPEN</x:v>
      </x:c>
      <x:c r="L23" s="9" t="str">
        <x:v>OPEN</x:v>
      </x:c>
      <x:c r="M23" s="9" t="n">
        <x:v>0</x:v>
      </x:c>
      <x:c r="N23" s="9" t="str">
        <x:v>REQUIRED</x:v>
      </x:c>
    </x:row>
    <x:row r="24">
      <x:c r="B24" s="9" t="str">
        <x:v>EV-A-07-R</x:v>
      </x:c>
      <x:c r="C24" s="9" t="str">
        <x:v>A</x:v>
      </x:c>
      <x:c r="D24" s="9" t="str">
        <x:v>W07</x:v>
      </x:c>
      <x:c r="E24" s="9" t="str">
        <x:v>wide-area control/time denied</x:v>
      </x:c>
      <x:c r="F24" s="9" t="str">
        <x:v>R1</x:v>
      </x:c>
      <x:c r="G24" s="9" t="str">
        <x:v>SECOND TEAM</x:v>
      </x:c>
      <x:c r="H24" s="9" t="str">
        <x:v>PAIR-A-07</x:v>
      </x:c>
      <x:c r="I24" s="9" t="str">
        <x:v>UNTESTED</x:v>
      </x:c>
      <x:c r="J24" s="9" t="str">
        <x:v>UNTESTED</x:v>
      </x:c>
      <x:c r="K24" s="9" t="str">
        <x:v>OPEN</x:v>
      </x:c>
      <x:c r="L24" s="9" t="str">
        <x:v>OPEN</x:v>
      </x:c>
      <x:c r="M24" s="9" t="n">
        <x:v>0</x:v>
      </x:c>
      <x:c r="N24" s="9" t="str">
        <x:v>REQUIRED</x:v>
      </x:c>
    </x:row>
    <x:row r="25">
      <x:c r="B25" s="9" t="str">
        <x:v>EV-A-08-C</x:v>
      </x:c>
      <x:c r="C25" s="9" t="str">
        <x:v>A</x:v>
      </x:c>
      <x:c r="D25" s="9" t="str">
        <x:v>W08</x:v>
      </x:c>
      <x:c r="E25" s="9" t="str">
        <x:v>vendor signing denied</x:v>
      </x:c>
      <x:c r="F25" s="9" t="str">
        <x:v>P1</x:v>
      </x:c>
      <x:c r="G25" s="9" t="str">
        <x:v>CHALLENGE</x:v>
      </x:c>
      <x:c r="H25" s="9" t="str">
        <x:v>PAIR-A-08</x:v>
      </x:c>
      <x:c r="I25" s="9" t="str">
        <x:v>UNTESTED</x:v>
      </x:c>
      <x:c r="J25" s="9" t="str">
        <x:v>UNTESTED</x:v>
      </x:c>
      <x:c r="K25" s="9" t="str">
        <x:v>OPEN</x:v>
      </x:c>
      <x:c r="L25" s="9" t="str">
        <x:v>OPEN</x:v>
      </x:c>
      <x:c r="M25" s="9" t="n">
        <x:v>0</x:v>
      </x:c>
      <x:c r="N25" s="9" t="str">
        <x:v>REQUIRED</x:v>
      </x:c>
    </x:row>
    <x:row r="26">
      <x:c r="B26" s="9" t="str">
        <x:v>EV-A-08-K</x:v>
      </x:c>
      <x:c r="C26" s="9" t="str">
        <x:v>A</x:v>
      </x:c>
      <x:c r="D26" s="9" t="str">
        <x:v>W08</x:v>
      </x:c>
      <x:c r="E26" s="9" t="str">
        <x:v>vendor signing denied</x:v>
      </x:c>
      <x:c r="F26" s="9" t="str">
        <x:v>P2</x:v>
      </x:c>
      <x:c r="G26" s="9" t="str">
        <x:v>CLEAN CONTROL</x:v>
      </x:c>
      <x:c r="H26" s="9" t="str">
        <x:v>PAIR-A-08</x:v>
      </x:c>
      <x:c r="I26" s="9" t="str">
        <x:v>UNTESTED</x:v>
      </x:c>
      <x:c r="J26" s="9" t="str">
        <x:v>UNTESTED</x:v>
      </x:c>
      <x:c r="K26" s="9" t="str">
        <x:v>OPEN</x:v>
      </x:c>
      <x:c r="L26" s="9" t="str">
        <x:v>OPEN</x:v>
      </x:c>
      <x:c r="M26" s="9" t="n">
        <x:v>0</x:v>
      </x:c>
      <x:c r="N26" s="9" t="str">
        <x:v>REQUIRED</x:v>
      </x:c>
    </x:row>
    <x:row r="27">
      <x:c r="B27" s="9" t="str">
        <x:v>EV-A-08-R</x:v>
      </x:c>
      <x:c r="C27" s="9" t="str">
        <x:v>A</x:v>
      </x:c>
      <x:c r="D27" s="9" t="str">
        <x:v>W08</x:v>
      </x:c>
      <x:c r="E27" s="9" t="str">
        <x:v>vendor signing denied</x:v>
      </x:c>
      <x:c r="F27" s="9" t="str">
        <x:v>R1</x:v>
      </x:c>
      <x:c r="G27" s="9" t="str">
        <x:v>SECOND TEAM</x:v>
      </x:c>
      <x:c r="H27" s="9" t="str">
        <x:v>PAIR-A-08</x:v>
      </x:c>
      <x:c r="I27" s="9" t="str">
        <x:v>UNTESTED</x:v>
      </x:c>
      <x:c r="J27" s="9" t="str">
        <x:v>UNTESTED</x:v>
      </x:c>
      <x:c r="K27" s="9" t="str">
        <x:v>OPEN</x:v>
      </x:c>
      <x:c r="L27" s="9" t="str">
        <x:v>OPEN</x:v>
      </x:c>
      <x:c r="M27" s="9" t="n">
        <x:v>0</x:v>
      </x:c>
      <x:c r="N27" s="9" t="str">
        <x:v>REQUIRED</x:v>
      </x:c>
    </x:row>
    <x:row r="28">
      <x:c r="B28" s="9" t="str">
        <x:v>EV-A-09-C</x:v>
      </x:c>
      <x:c r="C28" s="9" t="str">
        <x:v>A</x:v>
      </x:c>
      <x:c r="D28" s="9" t="str">
        <x:v>W09</x:v>
      </x:c>
      <x:c r="E28" s="9" t="str">
        <x:v>local-power cell unavailable</x:v>
      </x:c>
      <x:c r="F28" s="9" t="str">
        <x:v>P1</x:v>
      </x:c>
      <x:c r="G28" s="9" t="str">
        <x:v>CHALLENGE</x:v>
      </x:c>
      <x:c r="H28" s="9" t="str">
        <x:v>PAIR-A-09</x:v>
      </x:c>
      <x:c r="I28" s="9" t="str">
        <x:v>UNTESTED</x:v>
      </x:c>
      <x:c r="J28" s="9" t="str">
        <x:v>UNTESTED</x:v>
      </x:c>
      <x:c r="K28" s="9" t="str">
        <x:v>OPEN</x:v>
      </x:c>
      <x:c r="L28" s="9" t="str">
        <x:v>OPEN</x:v>
      </x:c>
      <x:c r="M28" s="9" t="n">
        <x:v>0</x:v>
      </x:c>
      <x:c r="N28" s="9" t="str">
        <x:v>REQUIRED</x:v>
      </x:c>
    </x:row>
    <x:row r="29">
      <x:c r="B29" s="9" t="str">
        <x:v>EV-A-09-K</x:v>
      </x:c>
      <x:c r="C29" s="9" t="str">
        <x:v>A</x:v>
      </x:c>
      <x:c r="D29" s="9" t="str">
        <x:v>W09</x:v>
      </x:c>
      <x:c r="E29" s="9" t="str">
        <x:v>local-power cell unavailable</x:v>
      </x:c>
      <x:c r="F29" s="9" t="str">
        <x:v>P2</x:v>
      </x:c>
      <x:c r="G29" s="9" t="str">
        <x:v>CLEAN CONTROL</x:v>
      </x:c>
      <x:c r="H29" s="9" t="str">
        <x:v>PAIR-A-09</x:v>
      </x:c>
      <x:c r="I29" s="9" t="str">
        <x:v>UNTESTED</x:v>
      </x:c>
      <x:c r="J29" s="9" t="str">
        <x:v>UNTESTED</x:v>
      </x:c>
      <x:c r="K29" s="9" t="str">
        <x:v>OPEN</x:v>
      </x:c>
      <x:c r="L29" s="9" t="str">
        <x:v>OPEN</x:v>
      </x:c>
      <x:c r="M29" s="9" t="n">
        <x:v>0</x:v>
      </x:c>
      <x:c r="N29" s="9" t="str">
        <x:v>REQUIRED</x:v>
      </x:c>
    </x:row>
    <x:row r="30">
      <x:c r="B30" s="9" t="str">
        <x:v>EV-A-10-C</x:v>
      </x:c>
      <x:c r="C30" s="9" t="str">
        <x:v>A</x:v>
      </x:c>
      <x:c r="D30" s="9" t="str">
        <x:v>W10</x:v>
      </x:c>
      <x:c r="E30" s="9" t="str">
        <x:v>grid bridge unavailable</x:v>
      </x:c>
      <x:c r="F30" s="9" t="str">
        <x:v>P1</x:v>
      </x:c>
      <x:c r="G30" s="9" t="str">
        <x:v>CHALLENGE</x:v>
      </x:c>
      <x:c r="H30" s="9" t="str">
        <x:v>PAIR-A-10</x:v>
      </x:c>
      <x:c r="I30" s="9" t="str">
        <x:v>UNTESTED</x:v>
      </x:c>
      <x:c r="J30" s="9" t="str">
        <x:v>UNTESTED</x:v>
      </x:c>
      <x:c r="K30" s="9" t="str">
        <x:v>OPEN</x:v>
      </x:c>
      <x:c r="L30" s="9" t="str">
        <x:v>OPEN</x:v>
      </x:c>
      <x:c r="M30" s="9" t="n">
        <x:v>0</x:v>
      </x:c>
      <x:c r="N30" s="9" t="str">
        <x:v>REQUIRED</x:v>
      </x:c>
    </x:row>
    <x:row r="31">
      <x:c r="B31" s="9" t="str">
        <x:v>EV-A-10-K</x:v>
      </x:c>
      <x:c r="C31" s="9" t="str">
        <x:v>A</x:v>
      </x:c>
      <x:c r="D31" s="9" t="str">
        <x:v>W10</x:v>
      </x:c>
      <x:c r="E31" s="9" t="str">
        <x:v>grid bridge unavailable</x:v>
      </x:c>
      <x:c r="F31" s="9" t="str">
        <x:v>P2</x:v>
      </x:c>
      <x:c r="G31" s="9" t="str">
        <x:v>CLEAN CONTROL</x:v>
      </x:c>
      <x:c r="H31" s="9" t="str">
        <x:v>PAIR-A-10</x:v>
      </x:c>
      <x:c r="I31" s="9" t="str">
        <x:v>UNTESTED</x:v>
      </x:c>
      <x:c r="J31" s="9" t="str">
        <x:v>UNTESTED</x:v>
      </x:c>
      <x:c r="K31" s="9" t="str">
        <x:v>OPEN</x:v>
      </x:c>
      <x:c r="L31" s="9" t="str">
        <x:v>OPEN</x:v>
      </x:c>
      <x:c r="M31" s="9" t="n">
        <x:v>0</x:v>
      </x:c>
      <x:c r="N31" s="9" t="str">
        <x:v>REQUIRED</x:v>
      </x:c>
    </x:row>
    <x:row r="32">
      <x:c r="B32" s="9" t="str">
        <x:v>EV-A-11-C</x:v>
      </x:c>
      <x:c r="C32" s="9" t="str">
        <x:v>A</x:v>
      </x:c>
      <x:c r="D32" s="9" t="str">
        <x:v>W11</x:v>
      </x:c>
      <x:c r="E32" s="9" t="str">
        <x:v>thermal cell unavailable</x:v>
      </x:c>
      <x:c r="F32" s="9" t="str">
        <x:v>P1</x:v>
      </x:c>
      <x:c r="G32" s="9" t="str">
        <x:v>CHALLENGE</x:v>
      </x:c>
      <x:c r="H32" s="9" t="str">
        <x:v>PAIR-A-11</x:v>
      </x:c>
      <x:c r="I32" s="9" t="str">
        <x:v>UNTESTED</x:v>
      </x:c>
      <x:c r="J32" s="9" t="str">
        <x:v>UNTESTED</x:v>
      </x:c>
      <x:c r="K32" s="9" t="str">
        <x:v>OPEN</x:v>
      </x:c>
      <x:c r="L32" s="9" t="str">
        <x:v>OPEN</x:v>
      </x:c>
      <x:c r="M32" s="9" t="n">
        <x:v>0</x:v>
      </x:c>
      <x:c r="N32" s="9" t="str">
        <x:v>REQUIRED</x:v>
      </x:c>
    </x:row>
    <x:row r="33">
      <x:c r="B33" s="9" t="str">
        <x:v>EV-A-11-K</x:v>
      </x:c>
      <x:c r="C33" s="9" t="str">
        <x:v>A</x:v>
      </x:c>
      <x:c r="D33" s="9" t="str">
        <x:v>W11</x:v>
      </x:c>
      <x:c r="E33" s="9" t="str">
        <x:v>thermal cell unavailable</x:v>
      </x:c>
      <x:c r="F33" s="9" t="str">
        <x:v>P2</x:v>
      </x:c>
      <x:c r="G33" s="9" t="str">
        <x:v>CLEAN CONTROL</x:v>
      </x:c>
      <x:c r="H33" s="9" t="str">
        <x:v>PAIR-A-11</x:v>
      </x:c>
      <x:c r="I33" s="9" t="str">
        <x:v>UNTESTED</x:v>
      </x:c>
      <x:c r="J33" s="9" t="str">
        <x:v>UNTESTED</x:v>
      </x:c>
      <x:c r="K33" s="9" t="str">
        <x:v>OPEN</x:v>
      </x:c>
      <x:c r="L33" s="9" t="str">
        <x:v>OPEN</x:v>
      </x:c>
      <x:c r="M33" s="9" t="n">
        <x:v>0</x:v>
      </x:c>
      <x:c r="N33" s="9" t="str">
        <x:v>REQUIRED</x:v>
      </x:c>
    </x:row>
    <x:row r="34">
      <x:c r="B34" s="9" t="str">
        <x:v>EV-A-12-C</x:v>
      </x:c>
      <x:c r="C34" s="9" t="str">
        <x:v>A</x:v>
      </x:c>
      <x:c r="D34" s="9" t="str">
        <x:v>W12</x:v>
      </x:c>
      <x:c r="E34" s="9" t="str">
        <x:v>residual receiver refuses</x:v>
      </x:c>
      <x:c r="F34" s="9" t="str">
        <x:v>P1</x:v>
      </x:c>
      <x:c r="G34" s="9" t="str">
        <x:v>CHALLENGE</x:v>
      </x:c>
      <x:c r="H34" s="9" t="str">
        <x:v>PAIR-A-12</x:v>
      </x:c>
      <x:c r="I34" s="9" t="str">
        <x:v>UNTESTED</x:v>
      </x:c>
      <x:c r="J34" s="9" t="str">
        <x:v>UNTESTED</x:v>
      </x:c>
      <x:c r="K34" s="9" t="str">
        <x:v>OPEN</x:v>
      </x:c>
      <x:c r="L34" s="9" t="str">
        <x:v>OPEN</x:v>
      </x:c>
      <x:c r="M34" s="9" t="n">
        <x:v>0</x:v>
      </x:c>
      <x:c r="N34" s="9" t="str">
        <x:v>REQUIRED</x:v>
      </x:c>
    </x:row>
    <x:row r="35">
      <x:c r="B35" s="9" t="str">
        <x:v>EV-A-12-K</x:v>
      </x:c>
      <x:c r="C35" s="9" t="str">
        <x:v>A</x:v>
      </x:c>
      <x:c r="D35" s="9" t="str">
        <x:v>W12</x:v>
      </x:c>
      <x:c r="E35" s="9" t="str">
        <x:v>residual receiver refuses</x:v>
      </x:c>
      <x:c r="F35" s="9" t="str">
        <x:v>P2</x:v>
      </x:c>
      <x:c r="G35" s="9" t="str">
        <x:v>CLEAN CONTROL</x:v>
      </x:c>
      <x:c r="H35" s="9" t="str">
        <x:v>PAIR-A-12</x:v>
      </x:c>
      <x:c r="I35" s="9" t="str">
        <x:v>UNTESTED</x:v>
      </x:c>
      <x:c r="J35" s="9" t="str">
        <x:v>UNTESTED</x:v>
      </x:c>
      <x:c r="K35" s="9" t="str">
        <x:v>OPEN</x:v>
      </x:c>
      <x:c r="L35" s="9" t="str">
        <x:v>OPEN</x:v>
      </x:c>
      <x:c r="M35" s="9" t="n">
        <x:v>0</x:v>
      </x:c>
      <x:c r="N35" s="9" t="str">
        <x:v>REQUIRED</x:v>
      </x:c>
    </x:row>
    <x:row r="36">
      <x:c r="B36" s="9" t="str">
        <x:v>EV-A-13-C</x:v>
      </x:c>
      <x:c r="C36" s="9" t="str">
        <x:v>A</x:v>
      </x:c>
      <x:c r="D36" s="9" t="str">
        <x:v>W13</x:v>
      </x:c>
      <x:c r="E36" s="9" t="str">
        <x:v>civil authority revoked</x:v>
      </x:c>
      <x:c r="F36" s="9" t="str">
        <x:v>P1</x:v>
      </x:c>
      <x:c r="G36" s="9" t="str">
        <x:v>CHALLENGE</x:v>
      </x:c>
      <x:c r="H36" s="9" t="str">
        <x:v>PAIR-A-13</x:v>
      </x:c>
      <x:c r="I36" s="9" t="str">
        <x:v>UNTESTED</x:v>
      </x:c>
      <x:c r="J36" s="9" t="str">
        <x:v>UNTESTED</x:v>
      </x:c>
      <x:c r="K36" s="9" t="str">
        <x:v>OPEN</x:v>
      </x:c>
      <x:c r="L36" s="9" t="str">
        <x:v>OPEN</x:v>
      </x:c>
      <x:c r="M36" s="9" t="n">
        <x:v>0</x:v>
      </x:c>
      <x:c r="N36" s="9" t="str">
        <x:v>REQUIRED</x:v>
      </x:c>
    </x:row>
    <x:row r="37">
      <x:c r="B37" s="9" t="str">
        <x:v>EV-A-13-K</x:v>
      </x:c>
      <x:c r="C37" s="9" t="str">
        <x:v>A</x:v>
      </x:c>
      <x:c r="D37" s="9" t="str">
        <x:v>W13</x:v>
      </x:c>
      <x:c r="E37" s="9" t="str">
        <x:v>civil authority revoked</x:v>
      </x:c>
      <x:c r="F37" s="9" t="str">
        <x:v>P2</x:v>
      </x:c>
      <x:c r="G37" s="9" t="str">
        <x:v>CLEAN CONTROL</x:v>
      </x:c>
      <x:c r="H37" s="9" t="str">
        <x:v>PAIR-A-13</x:v>
      </x:c>
      <x:c r="I37" s="9" t="str">
        <x:v>UNTESTED</x:v>
      </x:c>
      <x:c r="J37" s="9" t="str">
        <x:v>UNTESTED</x:v>
      </x:c>
      <x:c r="K37" s="9" t="str">
        <x:v>OPEN</x:v>
      </x:c>
      <x:c r="L37" s="9" t="str">
        <x:v>OPEN</x:v>
      </x:c>
      <x:c r="M37" s="9" t="n">
        <x:v>0</x:v>
      </x:c>
      <x:c r="N37" s="9" t="str">
        <x:v>REQUIRED</x:v>
      </x:c>
    </x:row>
    <x:row r="38">
      <x:c r="B38" s="9" t="str">
        <x:v>EV-A-14-C</x:v>
      </x:c>
      <x:c r="C38" s="9" t="str">
        <x:v>A</x:v>
      </x:c>
      <x:c r="D38" s="9" t="str">
        <x:v>W14</x:v>
      </x:c>
      <x:c r="E38" s="9" t="str">
        <x:v>protected-cohort load rises</x:v>
      </x:c>
      <x:c r="F38" s="9" t="str">
        <x:v>P1</x:v>
      </x:c>
      <x:c r="G38" s="9" t="str">
        <x:v>CHALLENGE</x:v>
      </x:c>
      <x:c r="H38" s="9" t="str">
        <x:v>PAIR-A-14</x:v>
      </x:c>
      <x:c r="I38" s="9" t="str">
        <x:v>UNTESTED</x:v>
      </x:c>
      <x:c r="J38" s="9" t="str">
        <x:v>UNTESTED</x:v>
      </x:c>
      <x:c r="K38" s="9" t="str">
        <x:v>OPEN</x:v>
      </x:c>
      <x:c r="L38" s="9" t="str">
        <x:v>OPEN</x:v>
      </x:c>
      <x:c r="M38" s="9" t="n">
        <x:v>0</x:v>
      </x:c>
      <x:c r="N38" s="9" t="str">
        <x:v>REQUIRED</x:v>
      </x:c>
    </x:row>
    <x:row r="39">
      <x:c r="B39" s="9" t="str">
        <x:v>EV-A-14-K</x:v>
      </x:c>
      <x:c r="C39" s="9" t="str">
        <x:v>A</x:v>
      </x:c>
      <x:c r="D39" s="9" t="str">
        <x:v>W14</x:v>
      </x:c>
      <x:c r="E39" s="9" t="str">
        <x:v>protected-cohort load rises</x:v>
      </x:c>
      <x:c r="F39" s="9" t="str">
        <x:v>P2</x:v>
      </x:c>
      <x:c r="G39" s="9" t="str">
        <x:v>CLEAN CONTROL</x:v>
      </x:c>
      <x:c r="H39" s="9" t="str">
        <x:v>PAIR-A-14</x:v>
      </x:c>
      <x:c r="I39" s="9" t="str">
        <x:v>UNTESTED</x:v>
      </x:c>
      <x:c r="J39" s="9" t="str">
        <x:v>UNTESTED</x:v>
      </x:c>
      <x:c r="K39" s="9" t="str">
        <x:v>OPEN</x:v>
      </x:c>
      <x:c r="L39" s="9" t="str">
        <x:v>OPEN</x:v>
      </x:c>
      <x:c r="M39" s="9" t="n">
        <x:v>0</x:v>
      </x:c>
      <x:c r="N39" s="9" t="str">
        <x:v>REQUIRED</x:v>
      </x:c>
    </x:row>
    <x:row r="40">
      <x:c r="B40" s="9" t="str">
        <x:v>EV-A-15-C</x:v>
      </x:c>
      <x:c r="C40" s="9" t="str">
        <x:v>A</x:v>
      </x:c>
      <x:c r="D40" s="9" t="str">
        <x:v>W15</x:v>
      </x:c>
      <x:c r="E40" s="9" t="str">
        <x:v>primary repair depot denied</x:v>
      </x:c>
      <x:c r="F40" s="9" t="str">
        <x:v>P1</x:v>
      </x:c>
      <x:c r="G40" s="9" t="str">
        <x:v>CHALLENGE</x:v>
      </x:c>
      <x:c r="H40" s="9" t="str">
        <x:v>PAIR-A-15</x:v>
      </x:c>
      <x:c r="I40" s="9" t="str">
        <x:v>UNTESTED</x:v>
      </x:c>
      <x:c r="J40" s="9" t="str">
        <x:v>UNTESTED</x:v>
      </x:c>
      <x:c r="K40" s="9" t="str">
        <x:v>OPEN</x:v>
      </x:c>
      <x:c r="L40" s="9" t="str">
        <x:v>OPEN</x:v>
      </x:c>
      <x:c r="M40" s="9" t="n">
        <x:v>0</x:v>
      </x:c>
      <x:c r="N40" s="9" t="str">
        <x:v>REQUIRED</x:v>
      </x:c>
    </x:row>
    <x:row r="41">
      <x:c r="B41" s="9" t="str">
        <x:v>EV-A-15-K</x:v>
      </x:c>
      <x:c r="C41" s="9" t="str">
        <x:v>A</x:v>
      </x:c>
      <x:c r="D41" s="9" t="str">
        <x:v>W15</x:v>
      </x:c>
      <x:c r="E41" s="9" t="str">
        <x:v>primary repair depot denied</x:v>
      </x:c>
      <x:c r="F41" s="9" t="str">
        <x:v>P2</x:v>
      </x:c>
      <x:c r="G41" s="9" t="str">
        <x:v>CLEAN CONTROL</x:v>
      </x:c>
      <x:c r="H41" s="9" t="str">
        <x:v>PAIR-A-15</x:v>
      </x:c>
      <x:c r="I41" s="9" t="str">
        <x:v>UNTESTED</x:v>
      </x:c>
      <x:c r="J41" s="9" t="str">
        <x:v>UNTESTED</x:v>
      </x:c>
      <x:c r="K41" s="9" t="str">
        <x:v>OPEN</x:v>
      </x:c>
      <x:c r="L41" s="9" t="str">
        <x:v>OPEN</x:v>
      </x:c>
      <x:c r="M41" s="9" t="n">
        <x:v>0</x:v>
      </x:c>
      <x:c r="N41" s="9" t="str">
        <x:v>REQUIRED</x:v>
      </x:c>
    </x:row>
    <x:row r="42">
      <x:c r="B42" s="9" t="str">
        <x:v>EV-A-15-R</x:v>
      </x:c>
      <x:c r="C42" s="9" t="str">
        <x:v>A</x:v>
      </x:c>
      <x:c r="D42" s="9" t="str">
        <x:v>W15</x:v>
      </x:c>
      <x:c r="E42" s="9" t="str">
        <x:v>primary repair depot denied</x:v>
      </x:c>
      <x:c r="F42" s="9" t="str">
        <x:v>R1</x:v>
      </x:c>
      <x:c r="G42" s="9" t="str">
        <x:v>SECOND TEAM</x:v>
      </x:c>
      <x:c r="H42" s="9" t="str">
        <x:v>PAIR-A-15</x:v>
      </x:c>
      <x:c r="I42" s="9" t="str">
        <x:v>UNTESTED</x:v>
      </x:c>
      <x:c r="J42" s="9" t="str">
        <x:v>UNTESTED</x:v>
      </x:c>
      <x:c r="K42" s="9" t="str">
        <x:v>OPEN</x:v>
      </x:c>
      <x:c r="L42" s="9" t="str">
        <x:v>OPEN</x:v>
      </x:c>
      <x:c r="M42" s="9" t="n">
        <x:v>0</x:v>
      </x:c>
      <x:c r="N42" s="9" t="str">
        <x:v>REQUIRED</x:v>
      </x:c>
    </x:row>
    <x:row r="43">
      <x:c r="B43" s="9" t="str">
        <x:v>EV-A-16-C</x:v>
      </x:c>
      <x:c r="C43" s="9" t="str">
        <x:v>A</x:v>
      </x:c>
      <x:c r="D43" s="9" t="str">
        <x:v>W16</x:v>
      </x:c>
      <x:c r="E43" s="9" t="str">
        <x:v>root-native decisive challenge</x:v>
      </x:c>
      <x:c r="F43" s="9" t="str">
        <x:v>P1</x:v>
      </x:c>
      <x:c r="G43" s="9" t="str">
        <x:v>CHALLENGE</x:v>
      </x:c>
      <x:c r="H43" s="9" t="str">
        <x:v>PAIR-A-16</x:v>
      </x:c>
      <x:c r="I43" s="9" t="str">
        <x:v>UNTESTED</x:v>
      </x:c>
      <x:c r="J43" s="9" t="str">
        <x:v>UNTESTED</x:v>
      </x:c>
      <x:c r="K43" s="9" t="str">
        <x:v>OPEN</x:v>
      </x:c>
      <x:c r="L43" s="9" t="str">
        <x:v>OPEN</x:v>
      </x:c>
      <x:c r="M43" s="9" t="n">
        <x:v>0</x:v>
      </x:c>
      <x:c r="N43" s="9" t="str">
        <x:v>REQUIRED</x:v>
      </x:c>
    </x:row>
    <x:row r="44">
      <x:c r="B44" s="9" t="str">
        <x:v>EV-A-16-K</x:v>
      </x:c>
      <x:c r="C44" s="9" t="str">
        <x:v>A</x:v>
      </x:c>
      <x:c r="D44" s="9" t="str">
        <x:v>W16</x:v>
      </x:c>
      <x:c r="E44" s="9" t="str">
        <x:v>root-native decisive challenge</x:v>
      </x:c>
      <x:c r="F44" s="9" t="str">
        <x:v>P2</x:v>
      </x:c>
      <x:c r="G44" s="9" t="str">
        <x:v>CLEAN CONTROL</x:v>
      </x:c>
      <x:c r="H44" s="9" t="str">
        <x:v>PAIR-A-16</x:v>
      </x:c>
      <x:c r="I44" s="9" t="str">
        <x:v>UNTESTED</x:v>
      </x:c>
      <x:c r="J44" s="9" t="str">
        <x:v>UNTESTED</x:v>
      </x:c>
      <x:c r="K44" s="9" t="str">
        <x:v>OPEN</x:v>
      </x:c>
      <x:c r="L44" s="9" t="str">
        <x:v>OPEN</x:v>
      </x:c>
      <x:c r="M44" s="9" t="n">
        <x:v>0</x:v>
      </x:c>
      <x:c r="N44" s="9" t="str">
        <x:v>REQUIRED</x:v>
      </x:c>
    </x:row>
    <x:row r="45">
      <x:c r="B45" s="9" t="str">
        <x:v>EV-A-17-C</x:v>
      </x:c>
      <x:c r="C45" s="9" t="str">
        <x:v>A</x:v>
      </x:c>
      <x:c r="D45" s="9" t="str">
        <x:v>W17</x:v>
      </x:c>
      <x:c r="E45" s="9" t="str">
        <x:v>second zone requests formation</x:v>
      </x:c>
      <x:c r="F45" s="9" t="str">
        <x:v>P1</x:v>
      </x:c>
      <x:c r="G45" s="9" t="str">
        <x:v>CHALLENGE</x:v>
      </x:c>
      <x:c r="H45" s="9" t="str">
        <x:v>PAIR-A-17</x:v>
      </x:c>
      <x:c r="I45" s="9" t="str">
        <x:v>UNTESTED</x:v>
      </x:c>
      <x:c r="J45" s="9" t="str">
        <x:v>UNTESTED</x:v>
      </x:c>
      <x:c r="K45" s="9" t="str">
        <x:v>OPEN</x:v>
      </x:c>
      <x:c r="L45" s="9" t="str">
        <x:v>OPEN</x:v>
      </x:c>
      <x:c r="M45" s="9" t="n">
        <x:v>0</x:v>
      </x:c>
      <x:c r="N45" s="9" t="str">
        <x:v>REQUIRED</x:v>
      </x:c>
    </x:row>
    <x:row r="46">
      <x:c r="B46" s="9" t="str">
        <x:v>EV-A-17-K</x:v>
      </x:c>
      <x:c r="C46" s="9" t="str">
        <x:v>A</x:v>
      </x:c>
      <x:c r="D46" s="9" t="str">
        <x:v>W17</x:v>
      </x:c>
      <x:c r="E46" s="9" t="str">
        <x:v>second zone requests formation</x:v>
      </x:c>
      <x:c r="F46" s="9" t="str">
        <x:v>P2</x:v>
      </x:c>
      <x:c r="G46" s="9" t="str">
        <x:v>CLEAN CONTROL</x:v>
      </x:c>
      <x:c r="H46" s="9" t="str">
        <x:v>PAIR-A-17</x:v>
      </x:c>
      <x:c r="I46" s="9" t="str">
        <x:v>UNTESTED</x:v>
      </x:c>
      <x:c r="J46" s="9" t="str">
        <x:v>UNTESTED</x:v>
      </x:c>
      <x:c r="K46" s="9" t="str">
        <x:v>OPEN</x:v>
      </x:c>
      <x:c r="L46" s="9" t="str">
        <x:v>OPEN</x:v>
      </x:c>
      <x:c r="M46" s="9" t="n">
        <x:v>0</x:v>
      </x:c>
      <x:c r="N46" s="9" t="str">
        <x:v>REQUIRED</x:v>
      </x:c>
    </x:row>
    <x:row r="47">
      <x:c r="B47" s="9" t="str">
        <x:v>EV-A-18-C</x:v>
      </x:c>
      <x:c r="C47" s="9" t="str">
        <x:v>A</x:v>
      </x:c>
      <x:c r="D47" s="9" t="str">
        <x:v>W18</x:v>
      </x:c>
      <x:c r="E47" s="9" t="str">
        <x:v>host accepts handback</x:v>
      </x:c>
      <x:c r="F47" s="9" t="str">
        <x:v>P1</x:v>
      </x:c>
      <x:c r="G47" s="9" t="str">
        <x:v>CHALLENGE</x:v>
      </x:c>
      <x:c r="H47" s="9" t="str">
        <x:v>PAIR-A-18</x:v>
      </x:c>
      <x:c r="I47" s="9" t="str">
        <x:v>UNTESTED</x:v>
      </x:c>
      <x:c r="J47" s="9" t="str">
        <x:v>UNTESTED</x:v>
      </x:c>
      <x:c r="K47" s="9" t="str">
        <x:v>OPEN</x:v>
      </x:c>
      <x:c r="L47" s="9" t="str">
        <x:v>OPEN</x:v>
      </x:c>
      <x:c r="M47" s="9" t="n">
        <x:v>0</x:v>
      </x:c>
      <x:c r="N47" s="9" t="str">
        <x:v>REQUIRED</x:v>
      </x:c>
    </x:row>
    <x:row r="48">
      <x:c r="B48" s="9" t="str">
        <x:v>EV-A-18-K</x:v>
      </x:c>
      <x:c r="C48" s="9" t="str">
        <x:v>A</x:v>
      </x:c>
      <x:c r="D48" s="9" t="str">
        <x:v>W18</x:v>
      </x:c>
      <x:c r="E48" s="9" t="str">
        <x:v>host accepts handback</x:v>
      </x:c>
      <x:c r="F48" s="9" t="str">
        <x:v>P2</x:v>
      </x:c>
      <x:c r="G48" s="9" t="str">
        <x:v>CLEAN CONTROL</x:v>
      </x:c>
      <x:c r="H48" s="9" t="str">
        <x:v>PAIR-A-18</x:v>
      </x:c>
      <x:c r="I48" s="9" t="str">
        <x:v>UNTESTED</x:v>
      </x:c>
      <x:c r="J48" s="9" t="str">
        <x:v>UNTESTED</x:v>
      </x:c>
      <x:c r="K48" s="9" t="str">
        <x:v>OPEN</x:v>
      </x:c>
      <x:c r="L48" s="9" t="str">
        <x:v>OPEN</x:v>
      </x:c>
      <x:c r="M48" s="9" t="n">
        <x:v>0</x:v>
      </x:c>
      <x:c r="N48" s="9" t="str">
        <x:v>REQUIRED</x:v>
      </x:c>
    </x:row>
    <x:row r="49">
      <x:c r="B49" s="9" t="str">
        <x:v>EV-B-01-C</x:v>
      </x:c>
      <x:c r="C49" s="9" t="str">
        <x:v>B</x:v>
      </x:c>
      <x:c r="D49" s="9" t="str">
        <x:v>W01</x:v>
      </x:c>
      <x:c r="E49" s="9" t="str">
        <x:v>source position unavailable</x:v>
      </x:c>
      <x:c r="F49" s="9" t="str">
        <x:v>P1</x:v>
      </x:c>
      <x:c r="G49" s="9" t="str">
        <x:v>CHALLENGE</x:v>
      </x:c>
      <x:c r="H49" s="9" t="str">
        <x:v>PAIR-B-01</x:v>
      </x:c>
      <x:c r="I49" s="9" t="str">
        <x:v>UNTESTED</x:v>
      </x:c>
      <x:c r="J49" s="9" t="str">
        <x:v>UNTESTED</x:v>
      </x:c>
      <x:c r="K49" s="9" t="str">
        <x:v>OPEN</x:v>
      </x:c>
      <x:c r="L49" s="9" t="str">
        <x:v>OPEN</x:v>
      </x:c>
      <x:c r="M49" s="9" t="n">
        <x:v>0</x:v>
      </x:c>
      <x:c r="N49" s="9" t="str">
        <x:v>REQUIRED</x:v>
      </x:c>
    </x:row>
    <x:row r="50">
      <x:c r="B50" s="9" t="str">
        <x:v>EV-B-01-K</x:v>
      </x:c>
      <x:c r="C50" s="9" t="str">
        <x:v>B</x:v>
      </x:c>
      <x:c r="D50" s="9" t="str">
        <x:v>W01</x:v>
      </x:c>
      <x:c r="E50" s="9" t="str">
        <x:v>source position unavailable</x:v>
      </x:c>
      <x:c r="F50" s="9" t="str">
        <x:v>P2</x:v>
      </x:c>
      <x:c r="G50" s="9" t="str">
        <x:v>CLEAN CONTROL</x:v>
      </x:c>
      <x:c r="H50" s="9" t="str">
        <x:v>PAIR-B-01</x:v>
      </x:c>
      <x:c r="I50" s="9" t="str">
        <x:v>UNTESTED</x:v>
      </x:c>
      <x:c r="J50" s="9" t="str">
        <x:v>UNTESTED</x:v>
      </x:c>
      <x:c r="K50" s="9" t="str">
        <x:v>OPEN</x:v>
      </x:c>
      <x:c r="L50" s="9" t="str">
        <x:v>OPEN</x:v>
      </x:c>
      <x:c r="M50" s="9" t="n">
        <x:v>0</x:v>
      </x:c>
      <x:c r="N50" s="9" t="str">
        <x:v>REQUIRED</x:v>
      </x:c>
    </x:row>
    <x:row r="51">
      <x:c r="B51" s="9" t="str">
        <x:v>EV-B-01-R</x:v>
      </x:c>
      <x:c r="C51" s="9" t="str">
        <x:v>B</x:v>
      </x:c>
      <x:c r="D51" s="9" t="str">
        <x:v>W01</x:v>
      </x:c>
      <x:c r="E51" s="9" t="str">
        <x:v>source position unavailable</x:v>
      </x:c>
      <x:c r="F51" s="9" t="str">
        <x:v>R1</x:v>
      </x:c>
      <x:c r="G51" s="9" t="str">
        <x:v>SECOND TEAM</x:v>
      </x:c>
      <x:c r="H51" s="9" t="str">
        <x:v>PAIR-B-01</x:v>
      </x:c>
      <x:c r="I51" s="9" t="str">
        <x:v>UNTESTED</x:v>
      </x:c>
      <x:c r="J51" s="9" t="str">
        <x:v>UNTESTED</x:v>
      </x:c>
      <x:c r="K51" s="9" t="str">
        <x:v>OPEN</x:v>
      </x:c>
      <x:c r="L51" s="9" t="str">
        <x:v>OPEN</x:v>
      </x:c>
      <x:c r="M51" s="9" t="n">
        <x:v>0</x:v>
      </x:c>
      <x:c r="N51" s="9" t="str">
        <x:v>REQUIRED</x:v>
      </x:c>
    </x:row>
    <x:row r="52">
      <x:c r="B52" s="9" t="str">
        <x:v>EV-B-02-C</x:v>
      </x:c>
      <x:c r="C52" s="9" t="str">
        <x:v>B</x:v>
      </x:c>
      <x:c r="D52" s="9" t="str">
        <x:v>W02</x:v>
      </x:c>
      <x:c r="E52" s="9" t="str">
        <x:v>water corridor ruptured</x:v>
      </x:c>
      <x:c r="F52" s="9" t="str">
        <x:v>P1</x:v>
      </x:c>
      <x:c r="G52" s="9" t="str">
        <x:v>CHALLENGE</x:v>
      </x:c>
      <x:c r="H52" s="9" t="str">
        <x:v>PAIR-B-02</x:v>
      </x:c>
      <x:c r="I52" s="9" t="str">
        <x:v>UNTESTED</x:v>
      </x:c>
      <x:c r="J52" s="9" t="str">
        <x:v>UNTESTED</x:v>
      </x:c>
      <x:c r="K52" s="9" t="str">
        <x:v>OPEN</x:v>
      </x:c>
      <x:c r="L52" s="9" t="str">
        <x:v>OPEN</x:v>
      </x:c>
      <x:c r="M52" s="9" t="n">
        <x:v>0</x:v>
      </x:c>
      <x:c r="N52" s="9" t="str">
        <x:v>REQUIRED</x:v>
      </x:c>
    </x:row>
    <x:row r="53">
      <x:c r="B53" s="9" t="str">
        <x:v>EV-B-02-K</x:v>
      </x:c>
      <x:c r="C53" s="9" t="str">
        <x:v>B</x:v>
      </x:c>
      <x:c r="D53" s="9" t="str">
        <x:v>W02</x:v>
      </x:c>
      <x:c r="E53" s="9" t="str">
        <x:v>water corridor ruptured</x:v>
      </x:c>
      <x:c r="F53" s="9" t="str">
        <x:v>P2</x:v>
      </x:c>
      <x:c r="G53" s="9" t="str">
        <x:v>CLEAN CONTROL</x:v>
      </x:c>
      <x:c r="H53" s="9" t="str">
        <x:v>PAIR-B-02</x:v>
      </x:c>
      <x:c r="I53" s="9" t="str">
        <x:v>UNTESTED</x:v>
      </x:c>
      <x:c r="J53" s="9" t="str">
        <x:v>UNTESTED</x:v>
      </x:c>
      <x:c r="K53" s="9" t="str">
        <x:v>OPEN</x:v>
      </x:c>
      <x:c r="L53" s="9" t="str">
        <x:v>OPEN</x:v>
      </x:c>
      <x:c r="M53" s="9" t="n">
        <x:v>0</x:v>
      </x:c>
      <x:c r="N53" s="9" t="str">
        <x:v>REQUIRED</x:v>
      </x:c>
    </x:row>
    <x:row r="54">
      <x:c r="B54" s="9" t="str">
        <x:v>EV-B-03-C</x:v>
      </x:c>
      <x:c r="C54" s="9" t="str">
        <x:v>B</x:v>
      </x:c>
      <x:c r="D54" s="9" t="str">
        <x:v>W03</x:v>
      </x:c>
      <x:c r="E54" s="9" t="str">
        <x:v>feed contaminated</x:v>
      </x:c>
      <x:c r="F54" s="9" t="str">
        <x:v>P1</x:v>
      </x:c>
      <x:c r="G54" s="9" t="str">
        <x:v>CHALLENGE</x:v>
      </x:c>
      <x:c r="H54" s="9" t="str">
        <x:v>PAIR-B-03</x:v>
      </x:c>
      <x:c r="I54" s="9" t="str">
        <x:v>UNTESTED</x:v>
      </x:c>
      <x:c r="J54" s="9" t="str">
        <x:v>UNTESTED</x:v>
      </x:c>
      <x:c r="K54" s="9" t="str">
        <x:v>OPEN</x:v>
      </x:c>
      <x:c r="L54" s="9" t="str">
        <x:v>OPEN</x:v>
      </x:c>
      <x:c r="M54" s="9" t="n">
        <x:v>0</x:v>
      </x:c>
      <x:c r="N54" s="9" t="str">
        <x:v>REQUIRED</x:v>
      </x:c>
    </x:row>
    <x:row r="55">
      <x:c r="B55" s="9" t="str">
        <x:v>EV-B-03-K</x:v>
      </x:c>
      <x:c r="C55" s="9" t="str">
        <x:v>B</x:v>
      </x:c>
      <x:c r="D55" s="9" t="str">
        <x:v>W03</x:v>
      </x:c>
      <x:c r="E55" s="9" t="str">
        <x:v>feed contaminated</x:v>
      </x:c>
      <x:c r="F55" s="9" t="str">
        <x:v>P2</x:v>
      </x:c>
      <x:c r="G55" s="9" t="str">
        <x:v>CLEAN CONTROL</x:v>
      </x:c>
      <x:c r="H55" s="9" t="str">
        <x:v>PAIR-B-03</x:v>
      </x:c>
      <x:c r="I55" s="9" t="str">
        <x:v>UNTESTED</x:v>
      </x:c>
      <x:c r="J55" s="9" t="str">
        <x:v>UNTESTED</x:v>
      </x:c>
      <x:c r="K55" s="9" t="str">
        <x:v>OPEN</x:v>
      </x:c>
      <x:c r="L55" s="9" t="str">
        <x:v>OPEN</x:v>
      </x:c>
      <x:c r="M55" s="9" t="n">
        <x:v>0</x:v>
      </x:c>
      <x:c r="N55" s="9" t="str">
        <x:v>REQUIRED</x:v>
      </x:c>
    </x:row>
    <x:row r="56">
      <x:c r="B56" s="9" t="str">
        <x:v>EV-B-03-R</x:v>
      </x:c>
      <x:c r="C56" s="9" t="str">
        <x:v>B</x:v>
      </x:c>
      <x:c r="D56" s="9" t="str">
        <x:v>W03</x:v>
      </x:c>
      <x:c r="E56" s="9" t="str">
        <x:v>feed contaminated</x:v>
      </x:c>
      <x:c r="F56" s="9" t="str">
        <x:v>R1</x:v>
      </x:c>
      <x:c r="G56" s="9" t="str">
        <x:v>SECOND TEAM</x:v>
      </x:c>
      <x:c r="H56" s="9" t="str">
        <x:v>PAIR-B-03</x:v>
      </x:c>
      <x:c r="I56" s="9" t="str">
        <x:v>UNTESTED</x:v>
      </x:c>
      <x:c r="J56" s="9" t="str">
        <x:v>UNTESTED</x:v>
      </x:c>
      <x:c r="K56" s="9" t="str">
        <x:v>OPEN</x:v>
      </x:c>
      <x:c r="L56" s="9" t="str">
        <x:v>OPEN</x:v>
      </x:c>
      <x:c r="M56" s="9" t="n">
        <x:v>0</x:v>
      </x:c>
      <x:c r="N56" s="9" t="str">
        <x:v>REQUIRED</x:v>
      </x:c>
    </x:row>
    <x:row r="57">
      <x:c r="B57" s="9" t="str">
        <x:v>EV-B-04-C</x:v>
      </x:c>
      <x:c r="C57" s="9" t="str">
        <x:v>B</x:v>
      </x:c>
      <x:c r="D57" s="9" t="str">
        <x:v>W04</x:v>
      </x:c>
      <x:c r="E57" s="9" t="str">
        <x:v>thermal output derated</x:v>
      </x:c>
      <x:c r="F57" s="9" t="str">
        <x:v>P1</x:v>
      </x:c>
      <x:c r="G57" s="9" t="str">
        <x:v>CHALLENGE</x:v>
      </x:c>
      <x:c r="H57" s="9" t="str">
        <x:v>PAIR-B-04</x:v>
      </x:c>
      <x:c r="I57" s="9" t="str">
        <x:v>UNTESTED</x:v>
      </x:c>
      <x:c r="J57" s="9" t="str">
        <x:v>UNTESTED</x:v>
      </x:c>
      <x:c r="K57" s="9" t="str">
        <x:v>OPEN</x:v>
      </x:c>
      <x:c r="L57" s="9" t="str">
        <x:v>OPEN</x:v>
      </x:c>
      <x:c r="M57" s="9" t="n">
        <x:v>0</x:v>
      </x:c>
      <x:c r="N57" s="9" t="str">
        <x:v>REQUIRED</x:v>
      </x:c>
    </x:row>
    <x:row r="58">
      <x:c r="B58" s="9" t="str">
        <x:v>EV-B-04-K</x:v>
      </x:c>
      <x:c r="C58" s="9" t="str">
        <x:v>B</x:v>
      </x:c>
      <x:c r="D58" s="9" t="str">
        <x:v>W04</x:v>
      </x:c>
      <x:c r="E58" s="9" t="str">
        <x:v>thermal output derated</x:v>
      </x:c>
      <x:c r="F58" s="9" t="str">
        <x:v>P2</x:v>
      </x:c>
      <x:c r="G58" s="9" t="str">
        <x:v>CLEAN CONTROL</x:v>
      </x:c>
      <x:c r="H58" s="9" t="str">
        <x:v>PAIR-B-04</x:v>
      </x:c>
      <x:c r="I58" s="9" t="str">
        <x:v>UNTESTED</x:v>
      </x:c>
      <x:c r="J58" s="9" t="str">
        <x:v>UNTESTED</x:v>
      </x:c>
      <x:c r="K58" s="9" t="str">
        <x:v>OPEN</x:v>
      </x:c>
      <x:c r="L58" s="9" t="str">
        <x:v>OPEN</x:v>
      </x:c>
      <x:c r="M58" s="9" t="n">
        <x:v>0</x:v>
      </x:c>
      <x:c r="N58" s="9" t="str">
        <x:v>REQUIRED</x:v>
      </x:c>
    </x:row>
    <x:row r="59">
      <x:c r="B59" s="9" t="str">
        <x:v>EV-B-05-C</x:v>
      </x:c>
      <x:c r="C59" s="9" t="str">
        <x:v>B</x:v>
      </x:c>
      <x:c r="D59" s="9" t="str">
        <x:v>W05</x:v>
      </x:c>
      <x:c r="E59" s="9" t="str">
        <x:v>external grid absent</x:v>
      </x:c>
      <x:c r="F59" s="9" t="str">
        <x:v>P1</x:v>
      </x:c>
      <x:c r="G59" s="9" t="str">
        <x:v>CHALLENGE</x:v>
      </x:c>
      <x:c r="H59" s="9" t="str">
        <x:v>PAIR-B-05</x:v>
      </x:c>
      <x:c r="I59" s="9" t="str">
        <x:v>UNTESTED</x:v>
      </x:c>
      <x:c r="J59" s="9" t="str">
        <x:v>UNTESTED</x:v>
      </x:c>
      <x:c r="K59" s="9" t="str">
        <x:v>OPEN</x:v>
      </x:c>
      <x:c r="L59" s="9" t="str">
        <x:v>OPEN</x:v>
      </x:c>
      <x:c r="M59" s="9" t="n">
        <x:v>0</x:v>
      </x:c>
      <x:c r="N59" s="9" t="str">
        <x:v>REQUIRED</x:v>
      </x:c>
    </x:row>
    <x:row r="60">
      <x:c r="B60" s="9" t="str">
        <x:v>EV-B-05-K</x:v>
      </x:c>
      <x:c r="C60" s="9" t="str">
        <x:v>B</x:v>
      </x:c>
      <x:c r="D60" s="9" t="str">
        <x:v>W05</x:v>
      </x:c>
      <x:c r="E60" s="9" t="str">
        <x:v>external grid absent</x:v>
      </x:c>
      <x:c r="F60" s="9" t="str">
        <x:v>P2</x:v>
      </x:c>
      <x:c r="G60" s="9" t="str">
        <x:v>CLEAN CONTROL</x:v>
      </x:c>
      <x:c r="H60" s="9" t="str">
        <x:v>PAIR-B-05</x:v>
      </x:c>
      <x:c r="I60" s="9" t="str">
        <x:v>UNTESTED</x:v>
      </x:c>
      <x:c r="J60" s="9" t="str">
        <x:v>UNTESTED</x:v>
      </x:c>
      <x:c r="K60" s="9" t="str">
        <x:v>OPEN</x:v>
      </x:c>
      <x:c r="L60" s="9" t="str">
        <x:v>OPEN</x:v>
      </x:c>
      <x:c r="M60" s="9" t="n">
        <x:v>0</x:v>
      </x:c>
      <x:c r="N60" s="9" t="str">
        <x:v>REQUIRED</x:v>
      </x:c>
    </x:row>
    <x:row r="61">
      <x:c r="B61" s="9" t="str">
        <x:v>EV-B-05-R</x:v>
      </x:c>
      <x:c r="C61" s="9" t="str">
        <x:v>B</x:v>
      </x:c>
      <x:c r="D61" s="9" t="str">
        <x:v>W05</x:v>
      </x:c>
      <x:c r="E61" s="9" t="str">
        <x:v>external grid absent</x:v>
      </x:c>
      <x:c r="F61" s="9" t="str">
        <x:v>R1</x:v>
      </x:c>
      <x:c r="G61" s="9" t="str">
        <x:v>SECOND TEAM</x:v>
      </x:c>
      <x:c r="H61" s="9" t="str">
        <x:v>PAIR-B-05</x:v>
      </x:c>
      <x:c r="I61" s="9" t="str">
        <x:v>UNTESTED</x:v>
      </x:c>
      <x:c r="J61" s="9" t="str">
        <x:v>UNTESTED</x:v>
      </x:c>
      <x:c r="K61" s="9" t="str">
        <x:v>OPEN</x:v>
      </x:c>
      <x:c r="L61" s="9" t="str">
        <x:v>OPEN</x:v>
      </x:c>
      <x:c r="M61" s="9" t="n">
        <x:v>0</x:v>
      </x:c>
      <x:c r="N61" s="9" t="str">
        <x:v>REQUIRED</x:v>
      </x:c>
    </x:row>
    <x:row r="62">
      <x:c r="B62" s="9" t="str">
        <x:v>EV-B-06-C</x:v>
      </x:c>
      <x:c r="C62" s="9" t="str">
        <x:v>B</x:v>
      </x:c>
      <x:c r="D62" s="9" t="str">
        <x:v>W06</x:v>
      </x:c>
      <x:c r="E62" s="9" t="str">
        <x:v>energy route denied</x:v>
      </x:c>
      <x:c r="F62" s="9" t="str">
        <x:v>P1</x:v>
      </x:c>
      <x:c r="G62" s="9" t="str">
        <x:v>CHALLENGE</x:v>
      </x:c>
      <x:c r="H62" s="9" t="str">
        <x:v>PAIR-B-06</x:v>
      </x:c>
      <x:c r="I62" s="9" t="str">
        <x:v>UNTESTED</x:v>
      </x:c>
      <x:c r="J62" s="9" t="str">
        <x:v>UNTESTED</x:v>
      </x:c>
      <x:c r="K62" s="9" t="str">
        <x:v>OPEN</x:v>
      </x:c>
      <x:c r="L62" s="9" t="str">
        <x:v>OPEN</x:v>
      </x:c>
      <x:c r="M62" s="9" t="n">
        <x:v>0</x:v>
      </x:c>
      <x:c r="N62" s="9" t="str">
        <x:v>REQUIRED</x:v>
      </x:c>
    </x:row>
    <x:row r="63">
      <x:c r="B63" s="9" t="str">
        <x:v>EV-B-06-K</x:v>
      </x:c>
      <x:c r="C63" s="9" t="str">
        <x:v>B</x:v>
      </x:c>
      <x:c r="D63" s="9" t="str">
        <x:v>W06</x:v>
      </x:c>
      <x:c r="E63" s="9" t="str">
        <x:v>energy route denied</x:v>
      </x:c>
      <x:c r="F63" s="9" t="str">
        <x:v>P2</x:v>
      </x:c>
      <x:c r="G63" s="9" t="str">
        <x:v>CLEAN CONTROL</x:v>
      </x:c>
      <x:c r="H63" s="9" t="str">
        <x:v>PAIR-B-06</x:v>
      </x:c>
      <x:c r="I63" s="9" t="str">
        <x:v>UNTESTED</x:v>
      </x:c>
      <x:c r="J63" s="9" t="str">
        <x:v>UNTESTED</x:v>
      </x:c>
      <x:c r="K63" s="9" t="str">
        <x:v>OPEN</x:v>
      </x:c>
      <x:c r="L63" s="9" t="str">
        <x:v>OPEN</x:v>
      </x:c>
      <x:c r="M63" s="9" t="n">
        <x:v>0</x:v>
      </x:c>
      <x:c r="N63" s="9" t="str">
        <x:v>REQUIRED</x:v>
      </x:c>
    </x:row>
    <x:row r="64">
      <x:c r="B64" s="9" t="str">
        <x:v>EV-B-07-C</x:v>
      </x:c>
      <x:c r="C64" s="9" t="str">
        <x:v>B</x:v>
      </x:c>
      <x:c r="D64" s="9" t="str">
        <x:v>W07</x:v>
      </x:c>
      <x:c r="E64" s="9" t="str">
        <x:v>wide-area control/time denied</x:v>
      </x:c>
      <x:c r="F64" s="9" t="str">
        <x:v>P1</x:v>
      </x:c>
      <x:c r="G64" s="9" t="str">
        <x:v>CHALLENGE</x:v>
      </x:c>
      <x:c r="H64" s="9" t="str">
        <x:v>PAIR-B-07</x:v>
      </x:c>
      <x:c r="I64" s="9" t="str">
        <x:v>UNTESTED</x:v>
      </x:c>
      <x:c r="J64" s="9" t="str">
        <x:v>UNTESTED</x:v>
      </x:c>
      <x:c r="K64" s="9" t="str">
        <x:v>OPEN</x:v>
      </x:c>
      <x:c r="L64" s="9" t="str">
        <x:v>OPEN</x:v>
      </x:c>
      <x:c r="M64" s="9" t="n">
        <x:v>0</x:v>
      </x:c>
      <x:c r="N64" s="9" t="str">
        <x:v>REQUIRED</x:v>
      </x:c>
    </x:row>
    <x:row r="65">
      <x:c r="B65" s="9" t="str">
        <x:v>EV-B-07-K</x:v>
      </x:c>
      <x:c r="C65" s="9" t="str">
        <x:v>B</x:v>
      </x:c>
      <x:c r="D65" s="9" t="str">
        <x:v>W07</x:v>
      </x:c>
      <x:c r="E65" s="9" t="str">
        <x:v>wide-area control/time denied</x:v>
      </x:c>
      <x:c r="F65" s="9" t="str">
        <x:v>P2</x:v>
      </x:c>
      <x:c r="G65" s="9" t="str">
        <x:v>CLEAN CONTROL</x:v>
      </x:c>
      <x:c r="H65" s="9" t="str">
        <x:v>PAIR-B-07</x:v>
      </x:c>
      <x:c r="I65" s="9" t="str">
        <x:v>UNTESTED</x:v>
      </x:c>
      <x:c r="J65" s="9" t="str">
        <x:v>UNTESTED</x:v>
      </x:c>
      <x:c r="K65" s="9" t="str">
        <x:v>OPEN</x:v>
      </x:c>
      <x:c r="L65" s="9" t="str">
        <x:v>OPEN</x:v>
      </x:c>
      <x:c r="M65" s="9" t="n">
        <x:v>0</x:v>
      </x:c>
      <x:c r="N65" s="9" t="str">
        <x:v>REQUIRED</x:v>
      </x:c>
    </x:row>
    <x:row r="66">
      <x:c r="B66" s="9" t="str">
        <x:v>EV-B-07-R</x:v>
      </x:c>
      <x:c r="C66" s="9" t="str">
        <x:v>B</x:v>
      </x:c>
      <x:c r="D66" s="9" t="str">
        <x:v>W07</x:v>
      </x:c>
      <x:c r="E66" s="9" t="str">
        <x:v>wide-area control/time denied</x:v>
      </x:c>
      <x:c r="F66" s="9" t="str">
        <x:v>R1</x:v>
      </x:c>
      <x:c r="G66" s="9" t="str">
        <x:v>SECOND TEAM</x:v>
      </x:c>
      <x:c r="H66" s="9" t="str">
        <x:v>PAIR-B-07</x:v>
      </x:c>
      <x:c r="I66" s="9" t="str">
        <x:v>UNTESTED</x:v>
      </x:c>
      <x:c r="J66" s="9" t="str">
        <x:v>UNTESTED</x:v>
      </x:c>
      <x:c r="K66" s="9" t="str">
        <x:v>OPEN</x:v>
      </x:c>
      <x:c r="L66" s="9" t="str">
        <x:v>OPEN</x:v>
      </x:c>
      <x:c r="M66" s="9" t="n">
        <x:v>0</x:v>
      </x:c>
      <x:c r="N66" s="9" t="str">
        <x:v>REQUIRED</x:v>
      </x:c>
    </x:row>
    <x:row r="67">
      <x:c r="B67" s="9" t="str">
        <x:v>EV-B-08-C</x:v>
      </x:c>
      <x:c r="C67" s="9" t="str">
        <x:v>B</x:v>
      </x:c>
      <x:c r="D67" s="9" t="str">
        <x:v>W08</x:v>
      </x:c>
      <x:c r="E67" s="9" t="str">
        <x:v>vendor signing denied</x:v>
      </x:c>
      <x:c r="F67" s="9" t="str">
        <x:v>P1</x:v>
      </x:c>
      <x:c r="G67" s="9" t="str">
        <x:v>CHALLENGE</x:v>
      </x:c>
      <x:c r="H67" s="9" t="str">
        <x:v>PAIR-B-08</x:v>
      </x:c>
      <x:c r="I67" s="9" t="str">
        <x:v>UNTESTED</x:v>
      </x:c>
      <x:c r="J67" s="9" t="str">
        <x:v>UNTESTED</x:v>
      </x:c>
      <x:c r="K67" s="9" t="str">
        <x:v>OPEN</x:v>
      </x:c>
      <x:c r="L67" s="9" t="str">
        <x:v>OPEN</x:v>
      </x:c>
      <x:c r="M67" s="9" t="n">
        <x:v>0</x:v>
      </x:c>
      <x:c r="N67" s="9" t="str">
        <x:v>REQUIRED</x:v>
      </x:c>
    </x:row>
    <x:row r="68">
      <x:c r="B68" s="9" t="str">
        <x:v>EV-B-08-K</x:v>
      </x:c>
      <x:c r="C68" s="9" t="str">
        <x:v>B</x:v>
      </x:c>
      <x:c r="D68" s="9" t="str">
        <x:v>W08</x:v>
      </x:c>
      <x:c r="E68" s="9" t="str">
        <x:v>vendor signing denied</x:v>
      </x:c>
      <x:c r="F68" s="9" t="str">
        <x:v>P2</x:v>
      </x:c>
      <x:c r="G68" s="9" t="str">
        <x:v>CLEAN CONTROL</x:v>
      </x:c>
      <x:c r="H68" s="9" t="str">
        <x:v>PAIR-B-08</x:v>
      </x:c>
      <x:c r="I68" s="9" t="str">
        <x:v>UNTESTED</x:v>
      </x:c>
      <x:c r="J68" s="9" t="str">
        <x:v>UNTESTED</x:v>
      </x:c>
      <x:c r="K68" s="9" t="str">
        <x:v>OPEN</x:v>
      </x:c>
      <x:c r="L68" s="9" t="str">
        <x:v>OPEN</x:v>
      </x:c>
      <x:c r="M68" s="9" t="n">
        <x:v>0</x:v>
      </x:c>
      <x:c r="N68" s="9" t="str">
        <x:v>REQUIRED</x:v>
      </x:c>
    </x:row>
    <x:row r="69">
      <x:c r="B69" s="9" t="str">
        <x:v>EV-B-08-R</x:v>
      </x:c>
      <x:c r="C69" s="9" t="str">
        <x:v>B</x:v>
      </x:c>
      <x:c r="D69" s="9" t="str">
        <x:v>W08</x:v>
      </x:c>
      <x:c r="E69" s="9" t="str">
        <x:v>vendor signing denied</x:v>
      </x:c>
      <x:c r="F69" s="9" t="str">
        <x:v>R1</x:v>
      </x:c>
      <x:c r="G69" s="9" t="str">
        <x:v>SECOND TEAM</x:v>
      </x:c>
      <x:c r="H69" s="9" t="str">
        <x:v>PAIR-B-08</x:v>
      </x:c>
      <x:c r="I69" s="9" t="str">
        <x:v>UNTESTED</x:v>
      </x:c>
      <x:c r="J69" s="9" t="str">
        <x:v>UNTESTED</x:v>
      </x:c>
      <x:c r="K69" s="9" t="str">
        <x:v>OPEN</x:v>
      </x:c>
      <x:c r="L69" s="9" t="str">
        <x:v>OPEN</x:v>
      </x:c>
      <x:c r="M69" s="9" t="n">
        <x:v>0</x:v>
      </x:c>
      <x:c r="N69" s="9" t="str">
        <x:v>REQUIRED</x:v>
      </x:c>
    </x:row>
    <x:row r="70">
      <x:c r="B70" s="9" t="str">
        <x:v>EV-B-09-C</x:v>
      </x:c>
      <x:c r="C70" s="9" t="str">
        <x:v>B</x:v>
      </x:c>
      <x:c r="D70" s="9" t="str">
        <x:v>W09</x:v>
      </x:c>
      <x:c r="E70" s="9" t="str">
        <x:v>local-power cell unavailable</x:v>
      </x:c>
      <x:c r="F70" s="9" t="str">
        <x:v>P1</x:v>
      </x:c>
      <x:c r="G70" s="9" t="str">
        <x:v>CHALLENGE</x:v>
      </x:c>
      <x:c r="H70" s="9" t="str">
        <x:v>PAIR-B-09</x:v>
      </x:c>
      <x:c r="I70" s="9" t="str">
        <x:v>UNTESTED</x:v>
      </x:c>
      <x:c r="J70" s="9" t="str">
        <x:v>UNTESTED</x:v>
      </x:c>
      <x:c r="K70" s="9" t="str">
        <x:v>OPEN</x:v>
      </x:c>
      <x:c r="L70" s="9" t="str">
        <x:v>OPEN</x:v>
      </x:c>
      <x:c r="M70" s="9" t="n">
        <x:v>0</x:v>
      </x:c>
      <x:c r="N70" s="9" t="str">
        <x:v>REQUIRED</x:v>
      </x:c>
    </x:row>
    <x:row r="71">
      <x:c r="B71" s="9" t="str">
        <x:v>EV-B-09-K</x:v>
      </x:c>
      <x:c r="C71" s="9" t="str">
        <x:v>B</x:v>
      </x:c>
      <x:c r="D71" s="9" t="str">
        <x:v>W09</x:v>
      </x:c>
      <x:c r="E71" s="9" t="str">
        <x:v>local-power cell unavailable</x:v>
      </x:c>
      <x:c r="F71" s="9" t="str">
        <x:v>P2</x:v>
      </x:c>
      <x:c r="G71" s="9" t="str">
        <x:v>CLEAN CONTROL</x:v>
      </x:c>
      <x:c r="H71" s="9" t="str">
        <x:v>PAIR-B-09</x:v>
      </x:c>
      <x:c r="I71" s="9" t="str">
        <x:v>UNTESTED</x:v>
      </x:c>
      <x:c r="J71" s="9" t="str">
        <x:v>UNTESTED</x:v>
      </x:c>
      <x:c r="K71" s="9" t="str">
        <x:v>OPEN</x:v>
      </x:c>
      <x:c r="L71" s="9" t="str">
        <x:v>OPEN</x:v>
      </x:c>
      <x:c r="M71" s="9" t="n">
        <x:v>0</x:v>
      </x:c>
      <x:c r="N71" s="9" t="str">
        <x:v>REQUIRED</x:v>
      </x:c>
    </x:row>
    <x:row r="72">
      <x:c r="B72" s="9" t="str">
        <x:v>EV-B-10-C</x:v>
      </x:c>
      <x:c r="C72" s="9" t="str">
        <x:v>B</x:v>
      </x:c>
      <x:c r="D72" s="9" t="str">
        <x:v>W10</x:v>
      </x:c>
      <x:c r="E72" s="9" t="str">
        <x:v>grid bridge unavailable</x:v>
      </x:c>
      <x:c r="F72" s="9" t="str">
        <x:v>P1</x:v>
      </x:c>
      <x:c r="G72" s="9" t="str">
        <x:v>CHALLENGE</x:v>
      </x:c>
      <x:c r="H72" s="9" t="str">
        <x:v>PAIR-B-10</x:v>
      </x:c>
      <x:c r="I72" s="9" t="str">
        <x:v>UNTESTED</x:v>
      </x:c>
      <x:c r="J72" s="9" t="str">
        <x:v>UNTESTED</x:v>
      </x:c>
      <x:c r="K72" s="9" t="str">
        <x:v>OPEN</x:v>
      </x:c>
      <x:c r="L72" s="9" t="str">
        <x:v>OPEN</x:v>
      </x:c>
      <x:c r="M72" s="9" t="n">
        <x:v>0</x:v>
      </x:c>
      <x:c r="N72" s="9" t="str">
        <x:v>REQUIRED</x:v>
      </x:c>
    </x:row>
    <x:row r="73">
      <x:c r="B73" s="9" t="str">
        <x:v>EV-B-10-K</x:v>
      </x:c>
      <x:c r="C73" s="9" t="str">
        <x:v>B</x:v>
      </x:c>
      <x:c r="D73" s="9" t="str">
        <x:v>W10</x:v>
      </x:c>
      <x:c r="E73" s="9" t="str">
        <x:v>grid bridge unavailable</x:v>
      </x:c>
      <x:c r="F73" s="9" t="str">
        <x:v>P2</x:v>
      </x:c>
      <x:c r="G73" s="9" t="str">
        <x:v>CLEAN CONTROL</x:v>
      </x:c>
      <x:c r="H73" s="9" t="str">
        <x:v>PAIR-B-10</x:v>
      </x:c>
      <x:c r="I73" s="9" t="str">
        <x:v>UNTESTED</x:v>
      </x:c>
      <x:c r="J73" s="9" t="str">
        <x:v>UNTESTED</x:v>
      </x:c>
      <x:c r="K73" s="9" t="str">
        <x:v>OPEN</x:v>
      </x:c>
      <x:c r="L73" s="9" t="str">
        <x:v>OPEN</x:v>
      </x:c>
      <x:c r="M73" s="9" t="n">
        <x:v>0</x:v>
      </x:c>
      <x:c r="N73" s="9" t="str">
        <x:v>REQUIRED</x:v>
      </x:c>
    </x:row>
    <x:row r="74">
      <x:c r="B74" s="9" t="str">
        <x:v>EV-B-11-C</x:v>
      </x:c>
      <x:c r="C74" s="9" t="str">
        <x:v>B</x:v>
      </x:c>
      <x:c r="D74" s="9" t="str">
        <x:v>W11</x:v>
      </x:c>
      <x:c r="E74" s="9" t="str">
        <x:v>thermal cell unavailable</x:v>
      </x:c>
      <x:c r="F74" s="9" t="str">
        <x:v>P1</x:v>
      </x:c>
      <x:c r="G74" s="9" t="str">
        <x:v>CHALLENGE</x:v>
      </x:c>
      <x:c r="H74" s="9" t="str">
        <x:v>PAIR-B-11</x:v>
      </x:c>
      <x:c r="I74" s="9" t="str">
        <x:v>UNTESTED</x:v>
      </x:c>
      <x:c r="J74" s="9" t="str">
        <x:v>UNTESTED</x:v>
      </x:c>
      <x:c r="K74" s="9" t="str">
        <x:v>OPEN</x:v>
      </x:c>
      <x:c r="L74" s="9" t="str">
        <x:v>OPEN</x:v>
      </x:c>
      <x:c r="M74" s="9" t="n">
        <x:v>0</x:v>
      </x:c>
      <x:c r="N74" s="9" t="str">
        <x:v>REQUIRED</x:v>
      </x:c>
    </x:row>
    <x:row r="75">
      <x:c r="B75" s="9" t="str">
        <x:v>EV-B-11-K</x:v>
      </x:c>
      <x:c r="C75" s="9" t="str">
        <x:v>B</x:v>
      </x:c>
      <x:c r="D75" s="9" t="str">
        <x:v>W11</x:v>
      </x:c>
      <x:c r="E75" s="9" t="str">
        <x:v>thermal cell unavailable</x:v>
      </x:c>
      <x:c r="F75" s="9" t="str">
        <x:v>P2</x:v>
      </x:c>
      <x:c r="G75" s="9" t="str">
        <x:v>CLEAN CONTROL</x:v>
      </x:c>
      <x:c r="H75" s="9" t="str">
        <x:v>PAIR-B-11</x:v>
      </x:c>
      <x:c r="I75" s="9" t="str">
        <x:v>UNTESTED</x:v>
      </x:c>
      <x:c r="J75" s="9" t="str">
        <x:v>UNTESTED</x:v>
      </x:c>
      <x:c r="K75" s="9" t="str">
        <x:v>OPEN</x:v>
      </x:c>
      <x:c r="L75" s="9" t="str">
        <x:v>OPEN</x:v>
      </x:c>
      <x:c r="M75" s="9" t="n">
        <x:v>0</x:v>
      </x:c>
      <x:c r="N75" s="9" t="str">
        <x:v>REQUIRED</x:v>
      </x:c>
    </x:row>
    <x:row r="76">
      <x:c r="B76" s="9" t="str">
        <x:v>EV-B-12-C</x:v>
      </x:c>
      <x:c r="C76" s="9" t="str">
        <x:v>B</x:v>
      </x:c>
      <x:c r="D76" s="9" t="str">
        <x:v>W12</x:v>
      </x:c>
      <x:c r="E76" s="9" t="str">
        <x:v>residual receiver refuses</x:v>
      </x:c>
      <x:c r="F76" s="9" t="str">
        <x:v>P1</x:v>
      </x:c>
      <x:c r="G76" s="9" t="str">
        <x:v>CHALLENGE</x:v>
      </x:c>
      <x:c r="H76" s="9" t="str">
        <x:v>PAIR-B-12</x:v>
      </x:c>
      <x:c r="I76" s="9" t="str">
        <x:v>UNTESTED</x:v>
      </x:c>
      <x:c r="J76" s="9" t="str">
        <x:v>UNTESTED</x:v>
      </x:c>
      <x:c r="K76" s="9" t="str">
        <x:v>OPEN</x:v>
      </x:c>
      <x:c r="L76" s="9" t="str">
        <x:v>OPEN</x:v>
      </x:c>
      <x:c r="M76" s="9" t="n">
        <x:v>0</x:v>
      </x:c>
      <x:c r="N76" s="9" t="str">
        <x:v>REQUIRED</x:v>
      </x:c>
    </x:row>
    <x:row r="77">
      <x:c r="B77" s="9" t="str">
        <x:v>EV-B-12-K</x:v>
      </x:c>
      <x:c r="C77" s="9" t="str">
        <x:v>B</x:v>
      </x:c>
      <x:c r="D77" s="9" t="str">
        <x:v>W12</x:v>
      </x:c>
      <x:c r="E77" s="9" t="str">
        <x:v>residual receiver refuses</x:v>
      </x:c>
      <x:c r="F77" s="9" t="str">
        <x:v>P2</x:v>
      </x:c>
      <x:c r="G77" s="9" t="str">
        <x:v>CLEAN CONTROL</x:v>
      </x:c>
      <x:c r="H77" s="9" t="str">
        <x:v>PAIR-B-12</x:v>
      </x:c>
      <x:c r="I77" s="9" t="str">
        <x:v>UNTESTED</x:v>
      </x:c>
      <x:c r="J77" s="9" t="str">
        <x:v>UNTESTED</x:v>
      </x:c>
      <x:c r="K77" s="9" t="str">
        <x:v>OPEN</x:v>
      </x:c>
      <x:c r="L77" s="9" t="str">
        <x:v>OPEN</x:v>
      </x:c>
      <x:c r="M77" s="9" t="n">
        <x:v>0</x:v>
      </x:c>
      <x:c r="N77" s="9" t="str">
        <x:v>REQUIRED</x:v>
      </x:c>
    </x:row>
    <x:row r="78">
      <x:c r="B78" s="9" t="str">
        <x:v>EV-B-13-C</x:v>
      </x:c>
      <x:c r="C78" s="9" t="str">
        <x:v>B</x:v>
      </x:c>
      <x:c r="D78" s="9" t="str">
        <x:v>W13</x:v>
      </x:c>
      <x:c r="E78" s="9" t="str">
        <x:v>civil authority revoked</x:v>
      </x:c>
      <x:c r="F78" s="9" t="str">
        <x:v>P1</x:v>
      </x:c>
      <x:c r="G78" s="9" t="str">
        <x:v>CHALLENGE</x:v>
      </x:c>
      <x:c r="H78" s="9" t="str">
        <x:v>PAIR-B-13</x:v>
      </x:c>
      <x:c r="I78" s="9" t="str">
        <x:v>UNTESTED</x:v>
      </x:c>
      <x:c r="J78" s="9" t="str">
        <x:v>UNTESTED</x:v>
      </x:c>
      <x:c r="K78" s="9" t="str">
        <x:v>OPEN</x:v>
      </x:c>
      <x:c r="L78" s="9" t="str">
        <x:v>OPEN</x:v>
      </x:c>
      <x:c r="M78" s="9" t="n">
        <x:v>0</x:v>
      </x:c>
      <x:c r="N78" s="9" t="str">
        <x:v>REQUIRED</x:v>
      </x:c>
    </x:row>
    <x:row r="79">
      <x:c r="B79" s="9" t="str">
        <x:v>EV-B-13-K</x:v>
      </x:c>
      <x:c r="C79" s="9" t="str">
        <x:v>B</x:v>
      </x:c>
      <x:c r="D79" s="9" t="str">
        <x:v>W13</x:v>
      </x:c>
      <x:c r="E79" s="9" t="str">
        <x:v>civil authority revoked</x:v>
      </x:c>
      <x:c r="F79" s="9" t="str">
        <x:v>P2</x:v>
      </x:c>
      <x:c r="G79" s="9" t="str">
        <x:v>CLEAN CONTROL</x:v>
      </x:c>
      <x:c r="H79" s="9" t="str">
        <x:v>PAIR-B-13</x:v>
      </x:c>
      <x:c r="I79" s="9" t="str">
        <x:v>UNTESTED</x:v>
      </x:c>
      <x:c r="J79" s="9" t="str">
        <x:v>UNTESTED</x:v>
      </x:c>
      <x:c r="K79" s="9" t="str">
        <x:v>OPEN</x:v>
      </x:c>
      <x:c r="L79" s="9" t="str">
        <x:v>OPEN</x:v>
      </x:c>
      <x:c r="M79" s="9" t="n">
        <x:v>0</x:v>
      </x:c>
      <x:c r="N79" s="9" t="str">
        <x:v>REQUIRED</x:v>
      </x:c>
    </x:row>
    <x:row r="80">
      <x:c r="B80" s="9" t="str">
        <x:v>EV-B-14-C</x:v>
      </x:c>
      <x:c r="C80" s="9" t="str">
        <x:v>B</x:v>
      </x:c>
      <x:c r="D80" s="9" t="str">
        <x:v>W14</x:v>
      </x:c>
      <x:c r="E80" s="9" t="str">
        <x:v>protected-cohort load rises</x:v>
      </x:c>
      <x:c r="F80" s="9" t="str">
        <x:v>P1</x:v>
      </x:c>
      <x:c r="G80" s="9" t="str">
        <x:v>CHALLENGE</x:v>
      </x:c>
      <x:c r="H80" s="9" t="str">
        <x:v>PAIR-B-14</x:v>
      </x:c>
      <x:c r="I80" s="9" t="str">
        <x:v>UNTESTED</x:v>
      </x:c>
      <x:c r="J80" s="9" t="str">
        <x:v>UNTESTED</x:v>
      </x:c>
      <x:c r="K80" s="9" t="str">
        <x:v>OPEN</x:v>
      </x:c>
      <x:c r="L80" s="9" t="str">
        <x:v>OPEN</x:v>
      </x:c>
      <x:c r="M80" s="9" t="n">
        <x:v>0</x:v>
      </x:c>
      <x:c r="N80" s="9" t="str">
        <x:v>REQUIRED</x:v>
      </x:c>
    </x:row>
    <x:row r="81">
      <x:c r="B81" s="9" t="str">
        <x:v>EV-B-14-K</x:v>
      </x:c>
      <x:c r="C81" s="9" t="str">
        <x:v>B</x:v>
      </x:c>
      <x:c r="D81" s="9" t="str">
        <x:v>W14</x:v>
      </x:c>
      <x:c r="E81" s="9" t="str">
        <x:v>protected-cohort load rises</x:v>
      </x:c>
      <x:c r="F81" s="9" t="str">
        <x:v>P2</x:v>
      </x:c>
      <x:c r="G81" s="9" t="str">
        <x:v>CLEAN CONTROL</x:v>
      </x:c>
      <x:c r="H81" s="9" t="str">
        <x:v>PAIR-B-14</x:v>
      </x:c>
      <x:c r="I81" s="9" t="str">
        <x:v>UNTESTED</x:v>
      </x:c>
      <x:c r="J81" s="9" t="str">
        <x:v>UNTESTED</x:v>
      </x:c>
      <x:c r="K81" s="9" t="str">
        <x:v>OPEN</x:v>
      </x:c>
      <x:c r="L81" s="9" t="str">
        <x:v>OPEN</x:v>
      </x:c>
      <x:c r="M81" s="9" t="n">
        <x:v>0</x:v>
      </x:c>
      <x:c r="N81" s="9" t="str">
        <x:v>REQUIRED</x:v>
      </x:c>
    </x:row>
    <x:row r="82">
      <x:c r="B82" s="9" t="str">
        <x:v>EV-B-15-C</x:v>
      </x:c>
      <x:c r="C82" s="9" t="str">
        <x:v>B</x:v>
      </x:c>
      <x:c r="D82" s="9" t="str">
        <x:v>W15</x:v>
      </x:c>
      <x:c r="E82" s="9" t="str">
        <x:v>primary repair depot denied</x:v>
      </x:c>
      <x:c r="F82" s="9" t="str">
        <x:v>P1</x:v>
      </x:c>
      <x:c r="G82" s="9" t="str">
        <x:v>CHALLENGE</x:v>
      </x:c>
      <x:c r="H82" s="9" t="str">
        <x:v>PAIR-B-15</x:v>
      </x:c>
      <x:c r="I82" s="9" t="str">
        <x:v>UNTESTED</x:v>
      </x:c>
      <x:c r="J82" s="9" t="str">
        <x:v>UNTESTED</x:v>
      </x:c>
      <x:c r="K82" s="9" t="str">
        <x:v>OPEN</x:v>
      </x:c>
      <x:c r="L82" s="9" t="str">
        <x:v>OPEN</x:v>
      </x:c>
      <x:c r="M82" s="9" t="n">
        <x:v>0</x:v>
      </x:c>
      <x:c r="N82" s="9" t="str">
        <x:v>REQUIRED</x:v>
      </x:c>
    </x:row>
    <x:row r="83">
      <x:c r="B83" s="9" t="str">
        <x:v>EV-B-15-K</x:v>
      </x:c>
      <x:c r="C83" s="9" t="str">
        <x:v>B</x:v>
      </x:c>
      <x:c r="D83" s="9" t="str">
        <x:v>W15</x:v>
      </x:c>
      <x:c r="E83" s="9" t="str">
        <x:v>primary repair depot denied</x:v>
      </x:c>
      <x:c r="F83" s="9" t="str">
        <x:v>P2</x:v>
      </x:c>
      <x:c r="G83" s="9" t="str">
        <x:v>CLEAN CONTROL</x:v>
      </x:c>
      <x:c r="H83" s="9" t="str">
        <x:v>PAIR-B-15</x:v>
      </x:c>
      <x:c r="I83" s="9" t="str">
        <x:v>UNTESTED</x:v>
      </x:c>
      <x:c r="J83" s="9" t="str">
        <x:v>UNTESTED</x:v>
      </x:c>
      <x:c r="K83" s="9" t="str">
        <x:v>OPEN</x:v>
      </x:c>
      <x:c r="L83" s="9" t="str">
        <x:v>OPEN</x:v>
      </x:c>
      <x:c r="M83" s="9" t="n">
        <x:v>0</x:v>
      </x:c>
      <x:c r="N83" s="9" t="str">
        <x:v>REQUIRED</x:v>
      </x:c>
    </x:row>
    <x:row r="84">
      <x:c r="B84" s="9" t="str">
        <x:v>EV-B-15-R</x:v>
      </x:c>
      <x:c r="C84" s="9" t="str">
        <x:v>B</x:v>
      </x:c>
      <x:c r="D84" s="9" t="str">
        <x:v>W15</x:v>
      </x:c>
      <x:c r="E84" s="9" t="str">
        <x:v>primary repair depot denied</x:v>
      </x:c>
      <x:c r="F84" s="9" t="str">
        <x:v>R1</x:v>
      </x:c>
      <x:c r="G84" s="9" t="str">
        <x:v>SECOND TEAM</x:v>
      </x:c>
      <x:c r="H84" s="9" t="str">
        <x:v>PAIR-B-15</x:v>
      </x:c>
      <x:c r="I84" s="9" t="str">
        <x:v>UNTESTED</x:v>
      </x:c>
      <x:c r="J84" s="9" t="str">
        <x:v>UNTESTED</x:v>
      </x:c>
      <x:c r="K84" s="9" t="str">
        <x:v>OPEN</x:v>
      </x:c>
      <x:c r="L84" s="9" t="str">
        <x:v>OPEN</x:v>
      </x:c>
      <x:c r="M84" s="9" t="n">
        <x:v>0</x:v>
      </x:c>
      <x:c r="N84" s="9" t="str">
        <x:v>REQUIRED</x:v>
      </x:c>
    </x:row>
    <x:row r="85">
      <x:c r="B85" s="9" t="str">
        <x:v>EV-B-16-C</x:v>
      </x:c>
      <x:c r="C85" s="9" t="str">
        <x:v>B</x:v>
      </x:c>
      <x:c r="D85" s="9" t="str">
        <x:v>W16</x:v>
      </x:c>
      <x:c r="E85" s="9" t="str">
        <x:v>root-native decisive challenge</x:v>
      </x:c>
      <x:c r="F85" s="9" t="str">
        <x:v>P1</x:v>
      </x:c>
      <x:c r="G85" s="9" t="str">
        <x:v>CHALLENGE</x:v>
      </x:c>
      <x:c r="H85" s="9" t="str">
        <x:v>PAIR-B-16</x:v>
      </x:c>
      <x:c r="I85" s="9" t="str">
        <x:v>UNTESTED</x:v>
      </x:c>
      <x:c r="J85" s="9" t="str">
        <x:v>UNTESTED</x:v>
      </x:c>
      <x:c r="K85" s="9" t="str">
        <x:v>OPEN</x:v>
      </x:c>
      <x:c r="L85" s="9" t="str">
        <x:v>OPEN</x:v>
      </x:c>
      <x:c r="M85" s="9" t="n">
        <x:v>0</x:v>
      </x:c>
      <x:c r="N85" s="9" t="str">
        <x:v>REQUIRED</x:v>
      </x:c>
    </x:row>
    <x:row r="86">
      <x:c r="B86" s="9" t="str">
        <x:v>EV-B-16-K</x:v>
      </x:c>
      <x:c r="C86" s="9" t="str">
        <x:v>B</x:v>
      </x:c>
      <x:c r="D86" s="9" t="str">
        <x:v>W16</x:v>
      </x:c>
      <x:c r="E86" s="9" t="str">
        <x:v>root-native decisive challenge</x:v>
      </x:c>
      <x:c r="F86" s="9" t="str">
        <x:v>P2</x:v>
      </x:c>
      <x:c r="G86" s="9" t="str">
        <x:v>CLEAN CONTROL</x:v>
      </x:c>
      <x:c r="H86" s="9" t="str">
        <x:v>PAIR-B-16</x:v>
      </x:c>
      <x:c r="I86" s="9" t="str">
        <x:v>UNTESTED</x:v>
      </x:c>
      <x:c r="J86" s="9" t="str">
        <x:v>UNTESTED</x:v>
      </x:c>
      <x:c r="K86" s="9" t="str">
        <x:v>OPEN</x:v>
      </x:c>
      <x:c r="L86" s="9" t="str">
        <x:v>OPEN</x:v>
      </x:c>
      <x:c r="M86" s="9" t="n">
        <x:v>0</x:v>
      </x:c>
      <x:c r="N86" s="9" t="str">
        <x:v>REQUIRED</x:v>
      </x:c>
    </x:row>
    <x:row r="87">
      <x:c r="B87" s="9" t="str">
        <x:v>EV-B-17-C</x:v>
      </x:c>
      <x:c r="C87" s="9" t="str">
        <x:v>B</x:v>
      </x:c>
      <x:c r="D87" s="9" t="str">
        <x:v>W17</x:v>
      </x:c>
      <x:c r="E87" s="9" t="str">
        <x:v>second zone requests formation</x:v>
      </x:c>
      <x:c r="F87" s="9" t="str">
        <x:v>P1</x:v>
      </x:c>
      <x:c r="G87" s="9" t="str">
        <x:v>CHALLENGE</x:v>
      </x:c>
      <x:c r="H87" s="9" t="str">
        <x:v>PAIR-B-17</x:v>
      </x:c>
      <x:c r="I87" s="9" t="str">
        <x:v>UNTESTED</x:v>
      </x:c>
      <x:c r="J87" s="9" t="str">
        <x:v>UNTESTED</x:v>
      </x:c>
      <x:c r="K87" s="9" t="str">
        <x:v>OPEN</x:v>
      </x:c>
      <x:c r="L87" s="9" t="str">
        <x:v>OPEN</x:v>
      </x:c>
      <x:c r="M87" s="9" t="n">
        <x:v>0</x:v>
      </x:c>
      <x:c r="N87" s="9" t="str">
        <x:v>REQUIRED</x:v>
      </x:c>
    </x:row>
    <x:row r="88">
      <x:c r="B88" s="9" t="str">
        <x:v>EV-B-17-K</x:v>
      </x:c>
      <x:c r="C88" s="9" t="str">
        <x:v>B</x:v>
      </x:c>
      <x:c r="D88" s="9" t="str">
        <x:v>W17</x:v>
      </x:c>
      <x:c r="E88" s="9" t="str">
        <x:v>second zone requests formation</x:v>
      </x:c>
      <x:c r="F88" s="9" t="str">
        <x:v>P2</x:v>
      </x:c>
      <x:c r="G88" s="9" t="str">
        <x:v>CLEAN CONTROL</x:v>
      </x:c>
      <x:c r="H88" s="9" t="str">
        <x:v>PAIR-B-17</x:v>
      </x:c>
      <x:c r="I88" s="9" t="str">
        <x:v>UNTESTED</x:v>
      </x:c>
      <x:c r="J88" s="9" t="str">
        <x:v>UNTESTED</x:v>
      </x:c>
      <x:c r="K88" s="9" t="str">
        <x:v>OPEN</x:v>
      </x:c>
      <x:c r="L88" s="9" t="str">
        <x:v>OPEN</x:v>
      </x:c>
      <x:c r="M88" s="9" t="n">
        <x:v>0</x:v>
      </x:c>
      <x:c r="N88" s="9" t="str">
        <x:v>REQUIRED</x:v>
      </x:c>
    </x:row>
    <x:row r="89">
      <x:c r="B89" s="9" t="str">
        <x:v>EV-B-18-C</x:v>
      </x:c>
      <x:c r="C89" s="9" t="str">
        <x:v>B</x:v>
      </x:c>
      <x:c r="D89" s="9" t="str">
        <x:v>W18</x:v>
      </x:c>
      <x:c r="E89" s="9" t="str">
        <x:v>host accepts handback</x:v>
      </x:c>
      <x:c r="F89" s="9" t="str">
        <x:v>P1</x:v>
      </x:c>
      <x:c r="G89" s="9" t="str">
        <x:v>CHALLENGE</x:v>
      </x:c>
      <x:c r="H89" s="9" t="str">
        <x:v>PAIR-B-18</x:v>
      </x:c>
      <x:c r="I89" s="9" t="str">
        <x:v>UNTESTED</x:v>
      </x:c>
      <x:c r="J89" s="9" t="str">
        <x:v>UNTESTED</x:v>
      </x:c>
      <x:c r="K89" s="9" t="str">
        <x:v>OPEN</x:v>
      </x:c>
      <x:c r="L89" s="9" t="str">
        <x:v>OPEN</x:v>
      </x:c>
      <x:c r="M89" s="9" t="n">
        <x:v>0</x:v>
      </x:c>
      <x:c r="N89" s="9" t="str">
        <x:v>REQUIRED</x:v>
      </x:c>
    </x:row>
    <x:row r="90">
      <x:c r="B90" s="9" t="str">
        <x:v>EV-B-18-K</x:v>
      </x:c>
      <x:c r="C90" s="9" t="str">
        <x:v>B</x:v>
      </x:c>
      <x:c r="D90" s="9" t="str">
        <x:v>W18</x:v>
      </x:c>
      <x:c r="E90" s="9" t="str">
        <x:v>host accepts handback</x:v>
      </x:c>
      <x:c r="F90" s="9" t="str">
        <x:v>P2</x:v>
      </x:c>
      <x:c r="G90" s="9" t="str">
        <x:v>CLEAN CONTROL</x:v>
      </x:c>
      <x:c r="H90" s="9" t="str">
        <x:v>PAIR-B-18</x:v>
      </x:c>
      <x:c r="I90" s="9" t="str">
        <x:v>UNTESTED</x:v>
      </x:c>
      <x:c r="J90" s="9" t="str">
        <x:v>UNTESTED</x:v>
      </x:c>
      <x:c r="K90" s="9" t="str">
        <x:v>OPEN</x:v>
      </x:c>
      <x:c r="L90" s="9" t="str">
        <x:v>OPEN</x:v>
      </x:c>
      <x:c r="M90" s="9" t="n">
        <x:v>0</x:v>
      </x:c>
      <x:c r="N90" s="9" t="str">
        <x:v>REQUIRED</x:v>
      </x:c>
    </x:row>
    <x:row r="91">
      <x:c r="B91" s="9" t="str">
        <x:v>EV-C-01-C</x:v>
      </x:c>
      <x:c r="C91" s="9" t="str">
        <x:v>C</x:v>
      </x:c>
      <x:c r="D91" s="9" t="str">
        <x:v>W01</x:v>
      </x:c>
      <x:c r="E91" s="9" t="str">
        <x:v>source position unavailable</x:v>
      </x:c>
      <x:c r="F91" s="9" t="str">
        <x:v>P1</x:v>
      </x:c>
      <x:c r="G91" s="9" t="str">
        <x:v>CHALLENGE</x:v>
      </x:c>
      <x:c r="H91" s="9" t="str">
        <x:v>PAIR-C-01</x:v>
      </x:c>
      <x:c r="I91" s="9" t="str">
        <x:v>UNTESTED</x:v>
      </x:c>
      <x:c r="J91" s="9" t="str">
        <x:v>UNTESTED</x:v>
      </x:c>
      <x:c r="K91" s="9" t="str">
        <x:v>OPEN</x:v>
      </x:c>
      <x:c r="L91" s="9" t="str">
        <x:v>OPEN</x:v>
      </x:c>
      <x:c r="M91" s="9" t="n">
        <x:v>0</x:v>
      </x:c>
      <x:c r="N91" s="9" t="str">
        <x:v>REQUIRED</x:v>
      </x:c>
    </x:row>
    <x:row r="92">
      <x:c r="B92" s="9" t="str">
        <x:v>EV-C-01-K</x:v>
      </x:c>
      <x:c r="C92" s="9" t="str">
        <x:v>C</x:v>
      </x:c>
      <x:c r="D92" s="9" t="str">
        <x:v>W01</x:v>
      </x:c>
      <x:c r="E92" s="9" t="str">
        <x:v>source position unavailable</x:v>
      </x:c>
      <x:c r="F92" s="9" t="str">
        <x:v>P2</x:v>
      </x:c>
      <x:c r="G92" s="9" t="str">
        <x:v>CLEAN CONTROL</x:v>
      </x:c>
      <x:c r="H92" s="9" t="str">
        <x:v>PAIR-C-01</x:v>
      </x:c>
      <x:c r="I92" s="9" t="str">
        <x:v>UNTESTED</x:v>
      </x:c>
      <x:c r="J92" s="9" t="str">
        <x:v>UNTESTED</x:v>
      </x:c>
      <x:c r="K92" s="9" t="str">
        <x:v>OPEN</x:v>
      </x:c>
      <x:c r="L92" s="9" t="str">
        <x:v>OPEN</x:v>
      </x:c>
      <x:c r="M92" s="9" t="n">
        <x:v>0</x:v>
      </x:c>
      <x:c r="N92" s="9" t="str">
        <x:v>REQUIRED</x:v>
      </x:c>
    </x:row>
    <x:row r="93">
      <x:c r="B93" s="9" t="str">
        <x:v>EV-C-01-R</x:v>
      </x:c>
      <x:c r="C93" s="9" t="str">
        <x:v>C</x:v>
      </x:c>
      <x:c r="D93" s="9" t="str">
        <x:v>W01</x:v>
      </x:c>
      <x:c r="E93" s="9" t="str">
        <x:v>source position unavailable</x:v>
      </x:c>
      <x:c r="F93" s="9" t="str">
        <x:v>R1</x:v>
      </x:c>
      <x:c r="G93" s="9" t="str">
        <x:v>SECOND TEAM</x:v>
      </x:c>
      <x:c r="H93" s="9" t="str">
        <x:v>PAIR-C-01</x:v>
      </x:c>
      <x:c r="I93" s="9" t="str">
        <x:v>UNTESTED</x:v>
      </x:c>
      <x:c r="J93" s="9" t="str">
        <x:v>UNTESTED</x:v>
      </x:c>
      <x:c r="K93" s="9" t="str">
        <x:v>OPEN</x:v>
      </x:c>
      <x:c r="L93" s="9" t="str">
        <x:v>OPEN</x:v>
      </x:c>
      <x:c r="M93" s="9" t="n">
        <x:v>0</x:v>
      </x:c>
      <x:c r="N93" s="9" t="str">
        <x:v>REQUIRED</x:v>
      </x:c>
    </x:row>
    <x:row r="94">
      <x:c r="B94" s="9" t="str">
        <x:v>EV-C-02-C</x:v>
      </x:c>
      <x:c r="C94" s="9" t="str">
        <x:v>C</x:v>
      </x:c>
      <x:c r="D94" s="9" t="str">
        <x:v>W02</x:v>
      </x:c>
      <x:c r="E94" s="9" t="str">
        <x:v>water corridor ruptured</x:v>
      </x:c>
      <x:c r="F94" s="9" t="str">
        <x:v>P1</x:v>
      </x:c>
      <x:c r="G94" s="9" t="str">
        <x:v>CHALLENGE</x:v>
      </x:c>
      <x:c r="H94" s="9" t="str">
        <x:v>PAIR-C-02</x:v>
      </x:c>
      <x:c r="I94" s="9" t="str">
        <x:v>UNTESTED</x:v>
      </x:c>
      <x:c r="J94" s="9" t="str">
        <x:v>UNTESTED</x:v>
      </x:c>
      <x:c r="K94" s="9" t="str">
        <x:v>OPEN</x:v>
      </x:c>
      <x:c r="L94" s="9" t="str">
        <x:v>OPEN</x:v>
      </x:c>
      <x:c r="M94" s="9" t="n">
        <x:v>0</x:v>
      </x:c>
      <x:c r="N94" s="9" t="str">
        <x:v>REQUIRED</x:v>
      </x:c>
    </x:row>
    <x:row r="95">
      <x:c r="B95" s="9" t="str">
        <x:v>EV-C-02-K</x:v>
      </x:c>
      <x:c r="C95" s="9" t="str">
        <x:v>C</x:v>
      </x:c>
      <x:c r="D95" s="9" t="str">
        <x:v>W02</x:v>
      </x:c>
      <x:c r="E95" s="9" t="str">
        <x:v>water corridor ruptured</x:v>
      </x:c>
      <x:c r="F95" s="9" t="str">
        <x:v>P2</x:v>
      </x:c>
      <x:c r="G95" s="9" t="str">
        <x:v>CLEAN CONTROL</x:v>
      </x:c>
      <x:c r="H95" s="9" t="str">
        <x:v>PAIR-C-02</x:v>
      </x:c>
      <x:c r="I95" s="9" t="str">
        <x:v>UNTESTED</x:v>
      </x:c>
      <x:c r="J95" s="9" t="str">
        <x:v>UNTESTED</x:v>
      </x:c>
      <x:c r="K95" s="9" t="str">
        <x:v>OPEN</x:v>
      </x:c>
      <x:c r="L95" s="9" t="str">
        <x:v>OPEN</x:v>
      </x:c>
      <x:c r="M95" s="9" t="n">
        <x:v>0</x:v>
      </x:c>
      <x:c r="N95" s="9" t="str">
        <x:v>REQUIRED</x:v>
      </x:c>
    </x:row>
    <x:row r="96">
      <x:c r="B96" s="9" t="str">
        <x:v>EV-C-03-C</x:v>
      </x:c>
      <x:c r="C96" s="9" t="str">
        <x:v>C</x:v>
      </x:c>
      <x:c r="D96" s="9" t="str">
        <x:v>W03</x:v>
      </x:c>
      <x:c r="E96" s="9" t="str">
        <x:v>feed contaminated</x:v>
      </x:c>
      <x:c r="F96" s="9" t="str">
        <x:v>P1</x:v>
      </x:c>
      <x:c r="G96" s="9" t="str">
        <x:v>CHALLENGE</x:v>
      </x:c>
      <x:c r="H96" s="9" t="str">
        <x:v>PAIR-C-03</x:v>
      </x:c>
      <x:c r="I96" s="9" t="str">
        <x:v>UNTESTED</x:v>
      </x:c>
      <x:c r="J96" s="9" t="str">
        <x:v>UNTESTED</x:v>
      </x:c>
      <x:c r="K96" s="9" t="str">
        <x:v>OPEN</x:v>
      </x:c>
      <x:c r="L96" s="9" t="str">
        <x:v>OPEN</x:v>
      </x:c>
      <x:c r="M96" s="9" t="n">
        <x:v>0</x:v>
      </x:c>
      <x:c r="N96" s="9" t="str">
        <x:v>REQUIRED</x:v>
      </x:c>
    </x:row>
    <x:row r="97">
      <x:c r="B97" s="9" t="str">
        <x:v>EV-C-03-K</x:v>
      </x:c>
      <x:c r="C97" s="9" t="str">
        <x:v>C</x:v>
      </x:c>
      <x:c r="D97" s="9" t="str">
        <x:v>W03</x:v>
      </x:c>
      <x:c r="E97" s="9" t="str">
        <x:v>feed contaminated</x:v>
      </x:c>
      <x:c r="F97" s="9" t="str">
        <x:v>P2</x:v>
      </x:c>
      <x:c r="G97" s="9" t="str">
        <x:v>CLEAN CONTROL</x:v>
      </x:c>
      <x:c r="H97" s="9" t="str">
        <x:v>PAIR-C-03</x:v>
      </x:c>
      <x:c r="I97" s="9" t="str">
        <x:v>UNTESTED</x:v>
      </x:c>
      <x:c r="J97" s="9" t="str">
        <x:v>UNTESTED</x:v>
      </x:c>
      <x:c r="K97" s="9" t="str">
        <x:v>OPEN</x:v>
      </x:c>
      <x:c r="L97" s="9" t="str">
        <x:v>OPEN</x:v>
      </x:c>
      <x:c r="M97" s="9" t="n">
        <x:v>0</x:v>
      </x:c>
      <x:c r="N97" s="9" t="str">
        <x:v>REQUIRED</x:v>
      </x:c>
    </x:row>
    <x:row r="98">
      <x:c r="B98" s="9" t="str">
        <x:v>EV-C-03-R</x:v>
      </x:c>
      <x:c r="C98" s="9" t="str">
        <x:v>C</x:v>
      </x:c>
      <x:c r="D98" s="9" t="str">
        <x:v>W03</x:v>
      </x:c>
      <x:c r="E98" s="9" t="str">
        <x:v>feed contaminated</x:v>
      </x:c>
      <x:c r="F98" s="9" t="str">
        <x:v>R1</x:v>
      </x:c>
      <x:c r="G98" s="9" t="str">
        <x:v>SECOND TEAM</x:v>
      </x:c>
      <x:c r="H98" s="9" t="str">
        <x:v>PAIR-C-03</x:v>
      </x:c>
      <x:c r="I98" s="9" t="str">
        <x:v>UNTESTED</x:v>
      </x:c>
      <x:c r="J98" s="9" t="str">
        <x:v>UNTESTED</x:v>
      </x:c>
      <x:c r="K98" s="9" t="str">
        <x:v>OPEN</x:v>
      </x:c>
      <x:c r="L98" s="9" t="str">
        <x:v>OPEN</x:v>
      </x:c>
      <x:c r="M98" s="9" t="n">
        <x:v>0</x:v>
      </x:c>
      <x:c r="N98" s="9" t="str">
        <x:v>REQUIRED</x:v>
      </x:c>
    </x:row>
    <x:row r="99">
      <x:c r="B99" s="9" t="str">
        <x:v>EV-C-04-C</x:v>
      </x:c>
      <x:c r="C99" s="9" t="str">
        <x:v>C</x:v>
      </x:c>
      <x:c r="D99" s="9" t="str">
        <x:v>W04</x:v>
      </x:c>
      <x:c r="E99" s="9" t="str">
        <x:v>thermal output derated</x:v>
      </x:c>
      <x:c r="F99" s="9" t="str">
        <x:v>P1</x:v>
      </x:c>
      <x:c r="G99" s="9" t="str">
        <x:v>CHALLENGE</x:v>
      </x:c>
      <x:c r="H99" s="9" t="str">
        <x:v>PAIR-C-04</x:v>
      </x:c>
      <x:c r="I99" s="9" t="str">
        <x:v>UNTESTED</x:v>
      </x:c>
      <x:c r="J99" s="9" t="str">
        <x:v>UNTESTED</x:v>
      </x:c>
      <x:c r="K99" s="9" t="str">
        <x:v>OPEN</x:v>
      </x:c>
      <x:c r="L99" s="9" t="str">
        <x:v>OPEN</x:v>
      </x:c>
      <x:c r="M99" s="9" t="n">
        <x:v>0</x:v>
      </x:c>
      <x:c r="N99" s="9" t="str">
        <x:v>REQUIRED</x:v>
      </x:c>
    </x:row>
    <x:row r="100">
      <x:c r="B100" s="9" t="str">
        <x:v>EV-C-04-K</x:v>
      </x:c>
      <x:c r="C100" s="9" t="str">
        <x:v>C</x:v>
      </x:c>
      <x:c r="D100" s="9" t="str">
        <x:v>W04</x:v>
      </x:c>
      <x:c r="E100" s="9" t="str">
        <x:v>thermal output derated</x:v>
      </x:c>
      <x:c r="F100" s="9" t="str">
        <x:v>P2</x:v>
      </x:c>
      <x:c r="G100" s="9" t="str">
        <x:v>CLEAN CONTROL</x:v>
      </x:c>
      <x:c r="H100" s="9" t="str">
        <x:v>PAIR-C-04</x:v>
      </x:c>
      <x:c r="I100" s="9" t="str">
        <x:v>UNTESTED</x:v>
      </x:c>
      <x:c r="J100" s="9" t="str">
        <x:v>UNTESTED</x:v>
      </x:c>
      <x:c r="K100" s="9" t="str">
        <x:v>OPEN</x:v>
      </x:c>
      <x:c r="L100" s="9" t="str">
        <x:v>OPEN</x:v>
      </x:c>
      <x:c r="M100" s="9" t="n">
        <x:v>0</x:v>
      </x:c>
      <x:c r="N100" s="9" t="str">
        <x:v>REQUIRED</x:v>
      </x:c>
    </x:row>
    <x:row r="101">
      <x:c r="B101" s="9" t="str">
        <x:v>EV-C-05-C</x:v>
      </x:c>
      <x:c r="C101" s="9" t="str">
        <x:v>C</x:v>
      </x:c>
      <x:c r="D101" s="9" t="str">
        <x:v>W05</x:v>
      </x:c>
      <x:c r="E101" s="9" t="str">
        <x:v>external grid absent</x:v>
      </x:c>
      <x:c r="F101" s="9" t="str">
        <x:v>P1</x:v>
      </x:c>
      <x:c r="G101" s="9" t="str">
        <x:v>CHALLENGE</x:v>
      </x:c>
      <x:c r="H101" s="9" t="str">
        <x:v>PAIR-C-05</x:v>
      </x:c>
      <x:c r="I101" s="9" t="str">
        <x:v>UNTESTED</x:v>
      </x:c>
      <x:c r="J101" s="9" t="str">
        <x:v>UNTESTED</x:v>
      </x:c>
      <x:c r="K101" s="9" t="str">
        <x:v>OPEN</x:v>
      </x:c>
      <x:c r="L101" s="9" t="str">
        <x:v>OPEN</x:v>
      </x:c>
      <x:c r="M101" s="9" t="n">
        <x:v>0</x:v>
      </x:c>
      <x:c r="N101" s="9" t="str">
        <x:v>REQUIRED</x:v>
      </x:c>
    </x:row>
    <x:row r="102">
      <x:c r="B102" s="9" t="str">
        <x:v>EV-C-05-K</x:v>
      </x:c>
      <x:c r="C102" s="9" t="str">
        <x:v>C</x:v>
      </x:c>
      <x:c r="D102" s="9" t="str">
        <x:v>W05</x:v>
      </x:c>
      <x:c r="E102" s="9" t="str">
        <x:v>external grid absent</x:v>
      </x:c>
      <x:c r="F102" s="9" t="str">
        <x:v>P2</x:v>
      </x:c>
      <x:c r="G102" s="9" t="str">
        <x:v>CLEAN CONTROL</x:v>
      </x:c>
      <x:c r="H102" s="9" t="str">
        <x:v>PAIR-C-05</x:v>
      </x:c>
      <x:c r="I102" s="9" t="str">
        <x:v>UNTESTED</x:v>
      </x:c>
      <x:c r="J102" s="9" t="str">
        <x:v>UNTESTED</x:v>
      </x:c>
      <x:c r="K102" s="9" t="str">
        <x:v>OPEN</x:v>
      </x:c>
      <x:c r="L102" s="9" t="str">
        <x:v>OPEN</x:v>
      </x:c>
      <x:c r="M102" s="9" t="n">
        <x:v>0</x:v>
      </x:c>
      <x:c r="N102" s="9" t="str">
        <x:v>REQUIRED</x:v>
      </x:c>
    </x:row>
    <x:row r="103">
      <x:c r="B103" s="9" t="str">
        <x:v>EV-C-05-R</x:v>
      </x:c>
      <x:c r="C103" s="9" t="str">
        <x:v>C</x:v>
      </x:c>
      <x:c r="D103" s="9" t="str">
        <x:v>W05</x:v>
      </x:c>
      <x:c r="E103" s="9" t="str">
        <x:v>external grid absent</x:v>
      </x:c>
      <x:c r="F103" s="9" t="str">
        <x:v>R1</x:v>
      </x:c>
      <x:c r="G103" s="9" t="str">
        <x:v>SECOND TEAM</x:v>
      </x:c>
      <x:c r="H103" s="9" t="str">
        <x:v>PAIR-C-05</x:v>
      </x:c>
      <x:c r="I103" s="9" t="str">
        <x:v>UNTESTED</x:v>
      </x:c>
      <x:c r="J103" s="9" t="str">
        <x:v>UNTESTED</x:v>
      </x:c>
      <x:c r="K103" s="9" t="str">
        <x:v>OPEN</x:v>
      </x:c>
      <x:c r="L103" s="9" t="str">
        <x:v>OPEN</x:v>
      </x:c>
      <x:c r="M103" s="9" t="n">
        <x:v>0</x:v>
      </x:c>
      <x:c r="N103" s="9" t="str">
        <x:v>REQUIRED</x:v>
      </x:c>
    </x:row>
    <x:row r="104">
      <x:c r="B104" s="9" t="str">
        <x:v>EV-C-06-C</x:v>
      </x:c>
      <x:c r="C104" s="9" t="str">
        <x:v>C</x:v>
      </x:c>
      <x:c r="D104" s="9" t="str">
        <x:v>W06</x:v>
      </x:c>
      <x:c r="E104" s="9" t="str">
        <x:v>energy route denied</x:v>
      </x:c>
      <x:c r="F104" s="9" t="str">
        <x:v>P1</x:v>
      </x:c>
      <x:c r="G104" s="9" t="str">
        <x:v>CHALLENGE</x:v>
      </x:c>
      <x:c r="H104" s="9" t="str">
        <x:v>PAIR-C-06</x:v>
      </x:c>
      <x:c r="I104" s="9" t="str">
        <x:v>UNTESTED</x:v>
      </x:c>
      <x:c r="J104" s="9" t="str">
        <x:v>UNTESTED</x:v>
      </x:c>
      <x:c r="K104" s="9" t="str">
        <x:v>OPEN</x:v>
      </x:c>
      <x:c r="L104" s="9" t="str">
        <x:v>OPEN</x:v>
      </x:c>
      <x:c r="M104" s="9" t="n">
        <x:v>0</x:v>
      </x:c>
      <x:c r="N104" s="9" t="str">
        <x:v>REQUIRED</x:v>
      </x:c>
    </x:row>
    <x:row r="105">
      <x:c r="B105" s="9" t="str">
        <x:v>EV-C-06-K</x:v>
      </x:c>
      <x:c r="C105" s="9" t="str">
        <x:v>C</x:v>
      </x:c>
      <x:c r="D105" s="9" t="str">
        <x:v>W06</x:v>
      </x:c>
      <x:c r="E105" s="9" t="str">
        <x:v>energy route denied</x:v>
      </x:c>
      <x:c r="F105" s="9" t="str">
        <x:v>P2</x:v>
      </x:c>
      <x:c r="G105" s="9" t="str">
        <x:v>CLEAN CONTROL</x:v>
      </x:c>
      <x:c r="H105" s="9" t="str">
        <x:v>PAIR-C-06</x:v>
      </x:c>
      <x:c r="I105" s="9" t="str">
        <x:v>UNTESTED</x:v>
      </x:c>
      <x:c r="J105" s="9" t="str">
        <x:v>UNTESTED</x:v>
      </x:c>
      <x:c r="K105" s="9" t="str">
        <x:v>OPEN</x:v>
      </x:c>
      <x:c r="L105" s="9" t="str">
        <x:v>OPEN</x:v>
      </x:c>
      <x:c r="M105" s="9" t="n">
        <x:v>0</x:v>
      </x:c>
      <x:c r="N105" s="9" t="str">
        <x:v>REQUIRED</x:v>
      </x:c>
    </x:row>
    <x:row r="106">
      <x:c r="B106" s="9" t="str">
        <x:v>EV-C-07-C</x:v>
      </x:c>
      <x:c r="C106" s="9" t="str">
        <x:v>C</x:v>
      </x:c>
      <x:c r="D106" s="9" t="str">
        <x:v>W07</x:v>
      </x:c>
      <x:c r="E106" s="9" t="str">
        <x:v>wide-area control/time denied</x:v>
      </x:c>
      <x:c r="F106" s="9" t="str">
        <x:v>P1</x:v>
      </x:c>
      <x:c r="G106" s="9" t="str">
        <x:v>CHALLENGE</x:v>
      </x:c>
      <x:c r="H106" s="9" t="str">
        <x:v>PAIR-C-07</x:v>
      </x:c>
      <x:c r="I106" s="9" t="str">
        <x:v>UNTESTED</x:v>
      </x:c>
      <x:c r="J106" s="9" t="str">
        <x:v>UNTESTED</x:v>
      </x:c>
      <x:c r="K106" s="9" t="str">
        <x:v>OPEN</x:v>
      </x:c>
      <x:c r="L106" s="9" t="str">
        <x:v>OPEN</x:v>
      </x:c>
      <x:c r="M106" s="9" t="n">
        <x:v>0</x:v>
      </x:c>
      <x:c r="N106" s="9" t="str">
        <x:v>REQUIRED</x:v>
      </x:c>
    </x:row>
    <x:row r="107">
      <x:c r="B107" s="9" t="str">
        <x:v>EV-C-07-K</x:v>
      </x:c>
      <x:c r="C107" s="9" t="str">
        <x:v>C</x:v>
      </x:c>
      <x:c r="D107" s="9" t="str">
        <x:v>W07</x:v>
      </x:c>
      <x:c r="E107" s="9" t="str">
        <x:v>wide-area control/time denied</x:v>
      </x:c>
      <x:c r="F107" s="9" t="str">
        <x:v>P2</x:v>
      </x:c>
      <x:c r="G107" s="9" t="str">
        <x:v>CLEAN CONTROL</x:v>
      </x:c>
      <x:c r="H107" s="9" t="str">
        <x:v>PAIR-C-07</x:v>
      </x:c>
      <x:c r="I107" s="9" t="str">
        <x:v>UNTESTED</x:v>
      </x:c>
      <x:c r="J107" s="9" t="str">
        <x:v>UNTESTED</x:v>
      </x:c>
      <x:c r="K107" s="9" t="str">
        <x:v>OPEN</x:v>
      </x:c>
      <x:c r="L107" s="9" t="str">
        <x:v>OPEN</x:v>
      </x:c>
      <x:c r="M107" s="9" t="n">
        <x:v>0</x:v>
      </x:c>
      <x:c r="N107" s="9" t="str">
        <x:v>REQUIRED</x:v>
      </x:c>
    </x:row>
    <x:row r="108">
      <x:c r="B108" s="9" t="str">
        <x:v>EV-C-07-R</x:v>
      </x:c>
      <x:c r="C108" s="9" t="str">
        <x:v>C</x:v>
      </x:c>
      <x:c r="D108" s="9" t="str">
        <x:v>W07</x:v>
      </x:c>
      <x:c r="E108" s="9" t="str">
        <x:v>wide-area control/time denied</x:v>
      </x:c>
      <x:c r="F108" s="9" t="str">
        <x:v>R1</x:v>
      </x:c>
      <x:c r="G108" s="9" t="str">
        <x:v>SECOND TEAM</x:v>
      </x:c>
      <x:c r="H108" s="9" t="str">
        <x:v>PAIR-C-07</x:v>
      </x:c>
      <x:c r="I108" s="9" t="str">
        <x:v>UNTESTED</x:v>
      </x:c>
      <x:c r="J108" s="9" t="str">
        <x:v>UNTESTED</x:v>
      </x:c>
      <x:c r="K108" s="9" t="str">
        <x:v>OPEN</x:v>
      </x:c>
      <x:c r="L108" s="9" t="str">
        <x:v>OPEN</x:v>
      </x:c>
      <x:c r="M108" s="9" t="n">
        <x:v>0</x:v>
      </x:c>
      <x:c r="N108" s="9" t="str">
        <x:v>REQUIRED</x:v>
      </x:c>
    </x:row>
    <x:row r="109">
      <x:c r="B109" s="9" t="str">
        <x:v>EV-C-08-C</x:v>
      </x:c>
      <x:c r="C109" s="9" t="str">
        <x:v>C</x:v>
      </x:c>
      <x:c r="D109" s="9" t="str">
        <x:v>W08</x:v>
      </x:c>
      <x:c r="E109" s="9" t="str">
        <x:v>vendor signing denied</x:v>
      </x:c>
      <x:c r="F109" s="9" t="str">
        <x:v>P1</x:v>
      </x:c>
      <x:c r="G109" s="9" t="str">
        <x:v>CHALLENGE</x:v>
      </x:c>
      <x:c r="H109" s="9" t="str">
        <x:v>PAIR-C-08</x:v>
      </x:c>
      <x:c r="I109" s="9" t="str">
        <x:v>UNTESTED</x:v>
      </x:c>
      <x:c r="J109" s="9" t="str">
        <x:v>UNTESTED</x:v>
      </x:c>
      <x:c r="K109" s="9" t="str">
        <x:v>OPEN</x:v>
      </x:c>
      <x:c r="L109" s="9" t="str">
        <x:v>OPEN</x:v>
      </x:c>
      <x:c r="M109" s="9" t="n">
        <x:v>0</x:v>
      </x:c>
      <x:c r="N109" s="9" t="str">
        <x:v>REQUIRED</x:v>
      </x:c>
    </x:row>
    <x:row r="110">
      <x:c r="B110" s="9" t="str">
        <x:v>EV-C-08-K</x:v>
      </x:c>
      <x:c r="C110" s="9" t="str">
        <x:v>C</x:v>
      </x:c>
      <x:c r="D110" s="9" t="str">
        <x:v>W08</x:v>
      </x:c>
      <x:c r="E110" s="9" t="str">
        <x:v>vendor signing denied</x:v>
      </x:c>
      <x:c r="F110" s="9" t="str">
        <x:v>P2</x:v>
      </x:c>
      <x:c r="G110" s="9" t="str">
        <x:v>CLEAN CONTROL</x:v>
      </x:c>
      <x:c r="H110" s="9" t="str">
        <x:v>PAIR-C-08</x:v>
      </x:c>
      <x:c r="I110" s="9" t="str">
        <x:v>UNTESTED</x:v>
      </x:c>
      <x:c r="J110" s="9" t="str">
        <x:v>UNTESTED</x:v>
      </x:c>
      <x:c r="K110" s="9" t="str">
        <x:v>OPEN</x:v>
      </x:c>
      <x:c r="L110" s="9" t="str">
        <x:v>OPEN</x:v>
      </x:c>
      <x:c r="M110" s="9" t="n">
        <x:v>0</x:v>
      </x:c>
      <x:c r="N110" s="9" t="str">
        <x:v>REQUIRED</x:v>
      </x:c>
    </x:row>
    <x:row r="111">
      <x:c r="B111" s="9" t="str">
        <x:v>EV-C-08-R</x:v>
      </x:c>
      <x:c r="C111" s="9" t="str">
        <x:v>C</x:v>
      </x:c>
      <x:c r="D111" s="9" t="str">
        <x:v>W08</x:v>
      </x:c>
      <x:c r="E111" s="9" t="str">
        <x:v>vendor signing denied</x:v>
      </x:c>
      <x:c r="F111" s="9" t="str">
        <x:v>R1</x:v>
      </x:c>
      <x:c r="G111" s="9" t="str">
        <x:v>SECOND TEAM</x:v>
      </x:c>
      <x:c r="H111" s="9" t="str">
        <x:v>PAIR-C-08</x:v>
      </x:c>
      <x:c r="I111" s="9" t="str">
        <x:v>UNTESTED</x:v>
      </x:c>
      <x:c r="J111" s="9" t="str">
        <x:v>UNTESTED</x:v>
      </x:c>
      <x:c r="K111" s="9" t="str">
        <x:v>OPEN</x:v>
      </x:c>
      <x:c r="L111" s="9" t="str">
        <x:v>OPEN</x:v>
      </x:c>
      <x:c r="M111" s="9" t="n">
        <x:v>0</x:v>
      </x:c>
      <x:c r="N111" s="9" t="str">
        <x:v>REQUIRED</x:v>
      </x:c>
    </x:row>
    <x:row r="112">
      <x:c r="B112" s="9" t="str">
        <x:v>EV-C-09-C</x:v>
      </x:c>
      <x:c r="C112" s="9" t="str">
        <x:v>C</x:v>
      </x:c>
      <x:c r="D112" s="9" t="str">
        <x:v>W09</x:v>
      </x:c>
      <x:c r="E112" s="9" t="str">
        <x:v>local-power cell unavailable</x:v>
      </x:c>
      <x:c r="F112" s="9" t="str">
        <x:v>P1</x:v>
      </x:c>
      <x:c r="G112" s="9" t="str">
        <x:v>CHALLENGE</x:v>
      </x:c>
      <x:c r="H112" s="9" t="str">
        <x:v>PAIR-C-09</x:v>
      </x:c>
      <x:c r="I112" s="9" t="str">
        <x:v>UNTESTED</x:v>
      </x:c>
      <x:c r="J112" s="9" t="str">
        <x:v>UNTESTED</x:v>
      </x:c>
      <x:c r="K112" s="9" t="str">
        <x:v>OPEN</x:v>
      </x:c>
      <x:c r="L112" s="9" t="str">
        <x:v>OPEN</x:v>
      </x:c>
      <x:c r="M112" s="9" t="n">
        <x:v>0</x:v>
      </x:c>
      <x:c r="N112" s="9" t="str">
        <x:v>REQUIRED</x:v>
      </x:c>
    </x:row>
    <x:row r="113">
      <x:c r="B113" s="9" t="str">
        <x:v>EV-C-09-K</x:v>
      </x:c>
      <x:c r="C113" s="9" t="str">
        <x:v>C</x:v>
      </x:c>
      <x:c r="D113" s="9" t="str">
        <x:v>W09</x:v>
      </x:c>
      <x:c r="E113" s="9" t="str">
        <x:v>local-power cell unavailable</x:v>
      </x:c>
      <x:c r="F113" s="9" t="str">
        <x:v>P2</x:v>
      </x:c>
      <x:c r="G113" s="9" t="str">
        <x:v>CLEAN CONTROL</x:v>
      </x:c>
      <x:c r="H113" s="9" t="str">
        <x:v>PAIR-C-09</x:v>
      </x:c>
      <x:c r="I113" s="9" t="str">
        <x:v>UNTESTED</x:v>
      </x:c>
      <x:c r="J113" s="9" t="str">
        <x:v>UNTESTED</x:v>
      </x:c>
      <x:c r="K113" s="9" t="str">
        <x:v>OPEN</x:v>
      </x:c>
      <x:c r="L113" s="9" t="str">
        <x:v>OPEN</x:v>
      </x:c>
      <x:c r="M113" s="9" t="n">
        <x:v>0</x:v>
      </x:c>
      <x:c r="N113" s="9" t="str">
        <x:v>REQUIRED</x:v>
      </x:c>
    </x:row>
    <x:row r="114">
      <x:c r="B114" s="9" t="str">
        <x:v>EV-C-10-C</x:v>
      </x:c>
      <x:c r="C114" s="9" t="str">
        <x:v>C</x:v>
      </x:c>
      <x:c r="D114" s="9" t="str">
        <x:v>W10</x:v>
      </x:c>
      <x:c r="E114" s="9" t="str">
        <x:v>grid bridge unavailable</x:v>
      </x:c>
      <x:c r="F114" s="9" t="str">
        <x:v>P1</x:v>
      </x:c>
      <x:c r="G114" s="9" t="str">
        <x:v>CHALLENGE</x:v>
      </x:c>
      <x:c r="H114" s="9" t="str">
        <x:v>PAIR-C-10</x:v>
      </x:c>
      <x:c r="I114" s="9" t="str">
        <x:v>UNTESTED</x:v>
      </x:c>
      <x:c r="J114" s="9" t="str">
        <x:v>UNTESTED</x:v>
      </x:c>
      <x:c r="K114" s="9" t="str">
        <x:v>OPEN</x:v>
      </x:c>
      <x:c r="L114" s="9" t="str">
        <x:v>OPEN</x:v>
      </x:c>
      <x:c r="M114" s="9" t="n">
        <x:v>0</x:v>
      </x:c>
      <x:c r="N114" s="9" t="str">
        <x:v>REQUIRED</x:v>
      </x:c>
    </x:row>
    <x:row r="115">
      <x:c r="B115" s="9" t="str">
        <x:v>EV-C-10-K</x:v>
      </x:c>
      <x:c r="C115" s="9" t="str">
        <x:v>C</x:v>
      </x:c>
      <x:c r="D115" s="9" t="str">
        <x:v>W10</x:v>
      </x:c>
      <x:c r="E115" s="9" t="str">
        <x:v>grid bridge unavailable</x:v>
      </x:c>
      <x:c r="F115" s="9" t="str">
        <x:v>P2</x:v>
      </x:c>
      <x:c r="G115" s="9" t="str">
        <x:v>CLEAN CONTROL</x:v>
      </x:c>
      <x:c r="H115" s="9" t="str">
        <x:v>PAIR-C-10</x:v>
      </x:c>
      <x:c r="I115" s="9" t="str">
        <x:v>UNTESTED</x:v>
      </x:c>
      <x:c r="J115" s="9" t="str">
        <x:v>UNTESTED</x:v>
      </x:c>
      <x:c r="K115" s="9" t="str">
        <x:v>OPEN</x:v>
      </x:c>
      <x:c r="L115" s="9" t="str">
        <x:v>OPEN</x:v>
      </x:c>
      <x:c r="M115" s="9" t="n">
        <x:v>0</x:v>
      </x:c>
      <x:c r="N115" s="9" t="str">
        <x:v>REQUIRED</x:v>
      </x:c>
    </x:row>
    <x:row r="116">
      <x:c r="B116" s="9" t="str">
        <x:v>EV-C-11-C</x:v>
      </x:c>
      <x:c r="C116" s="9" t="str">
        <x:v>C</x:v>
      </x:c>
      <x:c r="D116" s="9" t="str">
        <x:v>W11</x:v>
      </x:c>
      <x:c r="E116" s="9" t="str">
        <x:v>thermal cell unavailable</x:v>
      </x:c>
      <x:c r="F116" s="9" t="str">
        <x:v>P1</x:v>
      </x:c>
      <x:c r="G116" s="9" t="str">
        <x:v>CHALLENGE</x:v>
      </x:c>
      <x:c r="H116" s="9" t="str">
        <x:v>PAIR-C-11</x:v>
      </x:c>
      <x:c r="I116" s="9" t="str">
        <x:v>UNTESTED</x:v>
      </x:c>
      <x:c r="J116" s="9" t="str">
        <x:v>UNTESTED</x:v>
      </x:c>
      <x:c r="K116" s="9" t="str">
        <x:v>OPEN</x:v>
      </x:c>
      <x:c r="L116" s="9" t="str">
        <x:v>OPEN</x:v>
      </x:c>
      <x:c r="M116" s="9" t="n">
        <x:v>0</x:v>
      </x:c>
      <x:c r="N116" s="9" t="str">
        <x:v>REQUIRED</x:v>
      </x:c>
    </x:row>
    <x:row r="117">
      <x:c r="B117" s="9" t="str">
        <x:v>EV-C-11-K</x:v>
      </x:c>
      <x:c r="C117" s="9" t="str">
        <x:v>C</x:v>
      </x:c>
      <x:c r="D117" s="9" t="str">
        <x:v>W11</x:v>
      </x:c>
      <x:c r="E117" s="9" t="str">
        <x:v>thermal cell unavailable</x:v>
      </x:c>
      <x:c r="F117" s="9" t="str">
        <x:v>P2</x:v>
      </x:c>
      <x:c r="G117" s="9" t="str">
        <x:v>CLEAN CONTROL</x:v>
      </x:c>
      <x:c r="H117" s="9" t="str">
        <x:v>PAIR-C-11</x:v>
      </x:c>
      <x:c r="I117" s="9" t="str">
        <x:v>UNTESTED</x:v>
      </x:c>
      <x:c r="J117" s="9" t="str">
        <x:v>UNTESTED</x:v>
      </x:c>
      <x:c r="K117" s="9" t="str">
        <x:v>OPEN</x:v>
      </x:c>
      <x:c r="L117" s="9" t="str">
        <x:v>OPEN</x:v>
      </x:c>
      <x:c r="M117" s="9" t="n">
        <x:v>0</x:v>
      </x:c>
      <x:c r="N117" s="9" t="str">
        <x:v>REQUIRED</x:v>
      </x:c>
    </x:row>
    <x:row r="118">
      <x:c r="B118" s="9" t="str">
        <x:v>EV-C-12-C</x:v>
      </x:c>
      <x:c r="C118" s="9" t="str">
        <x:v>C</x:v>
      </x:c>
      <x:c r="D118" s="9" t="str">
        <x:v>W12</x:v>
      </x:c>
      <x:c r="E118" s="9" t="str">
        <x:v>residual receiver refuses</x:v>
      </x:c>
      <x:c r="F118" s="9" t="str">
        <x:v>P1</x:v>
      </x:c>
      <x:c r="G118" s="9" t="str">
        <x:v>CHALLENGE</x:v>
      </x:c>
      <x:c r="H118" s="9" t="str">
        <x:v>PAIR-C-12</x:v>
      </x:c>
      <x:c r="I118" s="9" t="str">
        <x:v>UNTESTED</x:v>
      </x:c>
      <x:c r="J118" s="9" t="str">
        <x:v>UNTESTED</x:v>
      </x:c>
      <x:c r="K118" s="9" t="str">
        <x:v>OPEN</x:v>
      </x:c>
      <x:c r="L118" s="9" t="str">
        <x:v>OPEN</x:v>
      </x:c>
      <x:c r="M118" s="9" t="n">
        <x:v>0</x:v>
      </x:c>
      <x:c r="N118" s="9" t="str">
        <x:v>REQUIRED</x:v>
      </x:c>
    </x:row>
    <x:row r="119">
      <x:c r="B119" s="9" t="str">
        <x:v>EV-C-12-K</x:v>
      </x:c>
      <x:c r="C119" s="9" t="str">
        <x:v>C</x:v>
      </x:c>
      <x:c r="D119" s="9" t="str">
        <x:v>W12</x:v>
      </x:c>
      <x:c r="E119" s="9" t="str">
        <x:v>residual receiver refuses</x:v>
      </x:c>
      <x:c r="F119" s="9" t="str">
        <x:v>P2</x:v>
      </x:c>
      <x:c r="G119" s="9" t="str">
        <x:v>CLEAN CONTROL</x:v>
      </x:c>
      <x:c r="H119" s="9" t="str">
        <x:v>PAIR-C-12</x:v>
      </x:c>
      <x:c r="I119" s="9" t="str">
        <x:v>UNTESTED</x:v>
      </x:c>
      <x:c r="J119" s="9" t="str">
        <x:v>UNTESTED</x:v>
      </x:c>
      <x:c r="K119" s="9" t="str">
        <x:v>OPEN</x:v>
      </x:c>
      <x:c r="L119" s="9" t="str">
        <x:v>OPEN</x:v>
      </x:c>
      <x:c r="M119" s="9" t="n">
        <x:v>0</x:v>
      </x:c>
      <x:c r="N119" s="9" t="str">
        <x:v>REQUIRED</x:v>
      </x:c>
    </x:row>
    <x:row r="120">
      <x:c r="B120" s="9" t="str">
        <x:v>EV-C-13-C</x:v>
      </x:c>
      <x:c r="C120" s="9" t="str">
        <x:v>C</x:v>
      </x:c>
      <x:c r="D120" s="9" t="str">
        <x:v>W13</x:v>
      </x:c>
      <x:c r="E120" s="9" t="str">
        <x:v>civil authority revoked</x:v>
      </x:c>
      <x:c r="F120" s="9" t="str">
        <x:v>P1</x:v>
      </x:c>
      <x:c r="G120" s="9" t="str">
        <x:v>CHALLENGE</x:v>
      </x:c>
      <x:c r="H120" s="9" t="str">
        <x:v>PAIR-C-13</x:v>
      </x:c>
      <x:c r="I120" s="9" t="str">
        <x:v>UNTESTED</x:v>
      </x:c>
      <x:c r="J120" s="9" t="str">
        <x:v>UNTESTED</x:v>
      </x:c>
      <x:c r="K120" s="9" t="str">
        <x:v>OPEN</x:v>
      </x:c>
      <x:c r="L120" s="9" t="str">
        <x:v>OPEN</x:v>
      </x:c>
      <x:c r="M120" s="9" t="n">
        <x:v>0</x:v>
      </x:c>
      <x:c r="N120" s="9" t="str">
        <x:v>REQUIRED</x:v>
      </x:c>
    </x:row>
    <x:row r="121">
      <x:c r="B121" s="9" t="str">
        <x:v>EV-C-13-K</x:v>
      </x:c>
      <x:c r="C121" s="9" t="str">
        <x:v>C</x:v>
      </x:c>
      <x:c r="D121" s="9" t="str">
        <x:v>W13</x:v>
      </x:c>
      <x:c r="E121" s="9" t="str">
        <x:v>civil authority revoked</x:v>
      </x:c>
      <x:c r="F121" s="9" t="str">
        <x:v>P2</x:v>
      </x:c>
      <x:c r="G121" s="9" t="str">
        <x:v>CLEAN CONTROL</x:v>
      </x:c>
      <x:c r="H121" s="9" t="str">
        <x:v>PAIR-C-13</x:v>
      </x:c>
      <x:c r="I121" s="9" t="str">
        <x:v>UNTESTED</x:v>
      </x:c>
      <x:c r="J121" s="9" t="str">
        <x:v>UNTESTED</x:v>
      </x:c>
      <x:c r="K121" s="9" t="str">
        <x:v>OPEN</x:v>
      </x:c>
      <x:c r="L121" s="9" t="str">
        <x:v>OPEN</x:v>
      </x:c>
      <x:c r="M121" s="9" t="n">
        <x:v>0</x:v>
      </x:c>
      <x:c r="N121" s="9" t="str">
        <x:v>REQUIRED</x:v>
      </x:c>
    </x:row>
    <x:row r="122">
      <x:c r="B122" s="9" t="str">
        <x:v>EV-C-14-C</x:v>
      </x:c>
      <x:c r="C122" s="9" t="str">
        <x:v>C</x:v>
      </x:c>
      <x:c r="D122" s="9" t="str">
        <x:v>W14</x:v>
      </x:c>
      <x:c r="E122" s="9" t="str">
        <x:v>protected-cohort load rises</x:v>
      </x:c>
      <x:c r="F122" s="9" t="str">
        <x:v>P1</x:v>
      </x:c>
      <x:c r="G122" s="9" t="str">
        <x:v>CHALLENGE</x:v>
      </x:c>
      <x:c r="H122" s="9" t="str">
        <x:v>PAIR-C-14</x:v>
      </x:c>
      <x:c r="I122" s="9" t="str">
        <x:v>UNTESTED</x:v>
      </x:c>
      <x:c r="J122" s="9" t="str">
        <x:v>UNTESTED</x:v>
      </x:c>
      <x:c r="K122" s="9" t="str">
        <x:v>OPEN</x:v>
      </x:c>
      <x:c r="L122" s="9" t="str">
        <x:v>OPEN</x:v>
      </x:c>
      <x:c r="M122" s="9" t="n">
        <x:v>0</x:v>
      </x:c>
      <x:c r="N122" s="9" t="str">
        <x:v>REQUIRED</x:v>
      </x:c>
    </x:row>
    <x:row r="123">
      <x:c r="B123" s="9" t="str">
        <x:v>EV-C-14-K</x:v>
      </x:c>
      <x:c r="C123" s="9" t="str">
        <x:v>C</x:v>
      </x:c>
      <x:c r="D123" s="9" t="str">
        <x:v>W14</x:v>
      </x:c>
      <x:c r="E123" s="9" t="str">
        <x:v>protected-cohort load rises</x:v>
      </x:c>
      <x:c r="F123" s="9" t="str">
        <x:v>P2</x:v>
      </x:c>
      <x:c r="G123" s="9" t="str">
        <x:v>CLEAN CONTROL</x:v>
      </x:c>
      <x:c r="H123" s="9" t="str">
        <x:v>PAIR-C-14</x:v>
      </x:c>
      <x:c r="I123" s="9" t="str">
        <x:v>UNTESTED</x:v>
      </x:c>
      <x:c r="J123" s="9" t="str">
        <x:v>UNTESTED</x:v>
      </x:c>
      <x:c r="K123" s="9" t="str">
        <x:v>OPEN</x:v>
      </x:c>
      <x:c r="L123" s="9" t="str">
        <x:v>OPEN</x:v>
      </x:c>
      <x:c r="M123" s="9" t="n">
        <x:v>0</x:v>
      </x:c>
      <x:c r="N123" s="9" t="str">
        <x:v>REQUIRED</x:v>
      </x:c>
    </x:row>
    <x:row r="124">
      <x:c r="B124" s="9" t="str">
        <x:v>EV-C-15-C</x:v>
      </x:c>
      <x:c r="C124" s="9" t="str">
        <x:v>C</x:v>
      </x:c>
      <x:c r="D124" s="9" t="str">
        <x:v>W15</x:v>
      </x:c>
      <x:c r="E124" s="9" t="str">
        <x:v>primary repair depot denied</x:v>
      </x:c>
      <x:c r="F124" s="9" t="str">
        <x:v>P1</x:v>
      </x:c>
      <x:c r="G124" s="9" t="str">
        <x:v>CHALLENGE</x:v>
      </x:c>
      <x:c r="H124" s="9" t="str">
        <x:v>PAIR-C-15</x:v>
      </x:c>
      <x:c r="I124" s="9" t="str">
        <x:v>UNTESTED</x:v>
      </x:c>
      <x:c r="J124" s="9" t="str">
        <x:v>UNTESTED</x:v>
      </x:c>
      <x:c r="K124" s="9" t="str">
        <x:v>OPEN</x:v>
      </x:c>
      <x:c r="L124" s="9" t="str">
        <x:v>OPEN</x:v>
      </x:c>
      <x:c r="M124" s="9" t="n">
        <x:v>0</x:v>
      </x:c>
      <x:c r="N124" s="9" t="str">
        <x:v>REQUIRED</x:v>
      </x:c>
    </x:row>
    <x:row r="125">
      <x:c r="B125" s="9" t="str">
        <x:v>EV-C-15-K</x:v>
      </x:c>
      <x:c r="C125" s="9" t="str">
        <x:v>C</x:v>
      </x:c>
      <x:c r="D125" s="9" t="str">
        <x:v>W15</x:v>
      </x:c>
      <x:c r="E125" s="9" t="str">
        <x:v>primary repair depot denied</x:v>
      </x:c>
      <x:c r="F125" s="9" t="str">
        <x:v>P2</x:v>
      </x:c>
      <x:c r="G125" s="9" t="str">
        <x:v>CLEAN CONTROL</x:v>
      </x:c>
      <x:c r="H125" s="9" t="str">
        <x:v>PAIR-C-15</x:v>
      </x:c>
      <x:c r="I125" s="9" t="str">
        <x:v>UNTESTED</x:v>
      </x:c>
      <x:c r="J125" s="9" t="str">
        <x:v>UNTESTED</x:v>
      </x:c>
      <x:c r="K125" s="9" t="str">
        <x:v>OPEN</x:v>
      </x:c>
      <x:c r="L125" s="9" t="str">
        <x:v>OPEN</x:v>
      </x:c>
      <x:c r="M125" s="9" t="n">
        <x:v>0</x:v>
      </x:c>
      <x:c r="N125" s="9" t="str">
        <x:v>REQUIRED</x:v>
      </x:c>
    </x:row>
    <x:row r="126">
      <x:c r="B126" s="9" t="str">
        <x:v>EV-C-15-R</x:v>
      </x:c>
      <x:c r="C126" s="9" t="str">
        <x:v>C</x:v>
      </x:c>
      <x:c r="D126" s="9" t="str">
        <x:v>W15</x:v>
      </x:c>
      <x:c r="E126" s="9" t="str">
        <x:v>primary repair depot denied</x:v>
      </x:c>
      <x:c r="F126" s="9" t="str">
        <x:v>R1</x:v>
      </x:c>
      <x:c r="G126" s="9" t="str">
        <x:v>SECOND TEAM</x:v>
      </x:c>
      <x:c r="H126" s="9" t="str">
        <x:v>PAIR-C-15</x:v>
      </x:c>
      <x:c r="I126" s="9" t="str">
        <x:v>UNTESTED</x:v>
      </x:c>
      <x:c r="J126" s="9" t="str">
        <x:v>UNTESTED</x:v>
      </x:c>
      <x:c r="K126" s="9" t="str">
        <x:v>OPEN</x:v>
      </x:c>
      <x:c r="L126" s="9" t="str">
        <x:v>OPEN</x:v>
      </x:c>
      <x:c r="M126" s="9" t="n">
        <x:v>0</x:v>
      </x:c>
      <x:c r="N126" s="9" t="str">
        <x:v>REQUIRED</x:v>
      </x:c>
    </x:row>
    <x:row r="127">
      <x:c r="B127" s="9" t="str">
        <x:v>EV-C-16-C</x:v>
      </x:c>
      <x:c r="C127" s="9" t="str">
        <x:v>C</x:v>
      </x:c>
      <x:c r="D127" s="9" t="str">
        <x:v>W16</x:v>
      </x:c>
      <x:c r="E127" s="9" t="str">
        <x:v>root-native decisive challenge</x:v>
      </x:c>
      <x:c r="F127" s="9" t="str">
        <x:v>P1</x:v>
      </x:c>
      <x:c r="G127" s="9" t="str">
        <x:v>CHALLENGE</x:v>
      </x:c>
      <x:c r="H127" s="9" t="str">
        <x:v>PAIR-C-16</x:v>
      </x:c>
      <x:c r="I127" s="9" t="str">
        <x:v>UNTESTED</x:v>
      </x:c>
      <x:c r="J127" s="9" t="str">
        <x:v>UNTESTED</x:v>
      </x:c>
      <x:c r="K127" s="9" t="str">
        <x:v>OPEN</x:v>
      </x:c>
      <x:c r="L127" s="9" t="str">
        <x:v>OPEN</x:v>
      </x:c>
      <x:c r="M127" s="9" t="n">
        <x:v>0</x:v>
      </x:c>
      <x:c r="N127" s="9" t="str">
        <x:v>REQUIRED</x:v>
      </x:c>
    </x:row>
    <x:row r="128">
      <x:c r="B128" s="9" t="str">
        <x:v>EV-C-16-K</x:v>
      </x:c>
      <x:c r="C128" s="9" t="str">
        <x:v>C</x:v>
      </x:c>
      <x:c r="D128" s="9" t="str">
        <x:v>W16</x:v>
      </x:c>
      <x:c r="E128" s="9" t="str">
        <x:v>root-native decisive challenge</x:v>
      </x:c>
      <x:c r="F128" s="9" t="str">
        <x:v>P2</x:v>
      </x:c>
      <x:c r="G128" s="9" t="str">
        <x:v>CLEAN CONTROL</x:v>
      </x:c>
      <x:c r="H128" s="9" t="str">
        <x:v>PAIR-C-16</x:v>
      </x:c>
      <x:c r="I128" s="9" t="str">
        <x:v>UNTESTED</x:v>
      </x:c>
      <x:c r="J128" s="9" t="str">
        <x:v>UNTESTED</x:v>
      </x:c>
      <x:c r="K128" s="9" t="str">
        <x:v>OPEN</x:v>
      </x:c>
      <x:c r="L128" s="9" t="str">
        <x:v>OPEN</x:v>
      </x:c>
      <x:c r="M128" s="9" t="n">
        <x:v>0</x:v>
      </x:c>
      <x:c r="N128" s="9" t="str">
        <x:v>REQUIRED</x:v>
      </x:c>
    </x:row>
    <x:row r="129">
      <x:c r="B129" s="9" t="str">
        <x:v>EV-C-17-C</x:v>
      </x:c>
      <x:c r="C129" s="9" t="str">
        <x:v>C</x:v>
      </x:c>
      <x:c r="D129" s="9" t="str">
        <x:v>W17</x:v>
      </x:c>
      <x:c r="E129" s="9" t="str">
        <x:v>second zone requests formation</x:v>
      </x:c>
      <x:c r="F129" s="9" t="str">
        <x:v>P1</x:v>
      </x:c>
      <x:c r="G129" s="9" t="str">
        <x:v>CHALLENGE</x:v>
      </x:c>
      <x:c r="H129" s="9" t="str">
        <x:v>PAIR-C-17</x:v>
      </x:c>
      <x:c r="I129" s="9" t="str">
        <x:v>UNTESTED</x:v>
      </x:c>
      <x:c r="J129" s="9" t="str">
        <x:v>UNTESTED</x:v>
      </x:c>
      <x:c r="K129" s="9" t="str">
        <x:v>OPEN</x:v>
      </x:c>
      <x:c r="L129" s="9" t="str">
        <x:v>OPEN</x:v>
      </x:c>
      <x:c r="M129" s="9" t="n">
        <x:v>0</x:v>
      </x:c>
      <x:c r="N129" s="9" t="str">
        <x:v>REQUIRED</x:v>
      </x:c>
    </x:row>
    <x:row r="130">
      <x:c r="B130" s="9" t="str">
        <x:v>EV-C-17-K</x:v>
      </x:c>
      <x:c r="C130" s="9" t="str">
        <x:v>C</x:v>
      </x:c>
      <x:c r="D130" s="9" t="str">
        <x:v>W17</x:v>
      </x:c>
      <x:c r="E130" s="9" t="str">
        <x:v>second zone requests formation</x:v>
      </x:c>
      <x:c r="F130" s="9" t="str">
        <x:v>P2</x:v>
      </x:c>
      <x:c r="G130" s="9" t="str">
        <x:v>CLEAN CONTROL</x:v>
      </x:c>
      <x:c r="H130" s="9" t="str">
        <x:v>PAIR-C-17</x:v>
      </x:c>
      <x:c r="I130" s="9" t="str">
        <x:v>UNTESTED</x:v>
      </x:c>
      <x:c r="J130" s="9" t="str">
        <x:v>UNTESTED</x:v>
      </x:c>
      <x:c r="K130" s="9" t="str">
        <x:v>OPEN</x:v>
      </x:c>
      <x:c r="L130" s="9" t="str">
        <x:v>OPEN</x:v>
      </x:c>
      <x:c r="M130" s="9" t="n">
        <x:v>0</x:v>
      </x:c>
      <x:c r="N130" s="9" t="str">
        <x:v>REQUIRED</x:v>
      </x:c>
    </x:row>
    <x:row r="131">
      <x:c r="B131" s="9" t="str">
        <x:v>EV-C-18-C</x:v>
      </x:c>
      <x:c r="C131" s="9" t="str">
        <x:v>C</x:v>
      </x:c>
      <x:c r="D131" s="9" t="str">
        <x:v>W18</x:v>
      </x:c>
      <x:c r="E131" s="9" t="str">
        <x:v>host accepts handback</x:v>
      </x:c>
      <x:c r="F131" s="9" t="str">
        <x:v>P1</x:v>
      </x:c>
      <x:c r="G131" s="9" t="str">
        <x:v>CHALLENGE</x:v>
      </x:c>
      <x:c r="H131" s="9" t="str">
        <x:v>PAIR-C-18</x:v>
      </x:c>
      <x:c r="I131" s="9" t="str">
        <x:v>UNTESTED</x:v>
      </x:c>
      <x:c r="J131" s="9" t="str">
        <x:v>UNTESTED</x:v>
      </x:c>
      <x:c r="K131" s="9" t="str">
        <x:v>OPEN</x:v>
      </x:c>
      <x:c r="L131" s="9" t="str">
        <x:v>OPEN</x:v>
      </x:c>
      <x:c r="M131" s="9" t="n">
        <x:v>0</x:v>
      </x:c>
      <x:c r="N131" s="9" t="str">
        <x:v>REQUIRED</x:v>
      </x:c>
    </x:row>
    <x:row r="132">
      <x:c r="B132" s="9" t="str">
        <x:v>EV-C-18-K</x:v>
      </x:c>
      <x:c r="C132" s="9" t="str">
        <x:v>C</x:v>
      </x:c>
      <x:c r="D132" s="9" t="str">
        <x:v>W18</x:v>
      </x:c>
      <x:c r="E132" s="9" t="str">
        <x:v>host accepts handback</x:v>
      </x:c>
      <x:c r="F132" s="9" t="str">
        <x:v>P2</x:v>
      </x:c>
      <x:c r="G132" s="9" t="str">
        <x:v>CLEAN CONTROL</x:v>
      </x:c>
      <x:c r="H132" s="9" t="str">
        <x:v>PAIR-C-18</x:v>
      </x:c>
      <x:c r="I132" s="9" t="str">
        <x:v>UNTESTED</x:v>
      </x:c>
      <x:c r="J132" s="9" t="str">
        <x:v>UNTESTED</x:v>
      </x:c>
      <x:c r="K132" s="9" t="str">
        <x:v>OPEN</x:v>
      </x:c>
      <x:c r="L132" s="9" t="str">
        <x:v>OPEN</x:v>
      </x:c>
      <x:c r="M132" s="9" t="n">
        <x:v>0</x:v>
      </x:c>
      <x:c r="N132" s="9" t="str">
        <x:v>REQUIRED</x:v>
      </x:c>
    </x:row>
    <x:row r="133">
      <x:c r="B133" s="9" t="str">
        <x:v>EV-D-01-C</x:v>
      </x:c>
      <x:c r="C133" s="9" t="str">
        <x:v>D</x:v>
      </x:c>
      <x:c r="D133" s="9" t="str">
        <x:v>W01</x:v>
      </x:c>
      <x:c r="E133" s="9" t="str">
        <x:v>source position unavailable</x:v>
      </x:c>
      <x:c r="F133" s="9" t="str">
        <x:v>P1</x:v>
      </x:c>
      <x:c r="G133" s="9" t="str">
        <x:v>CHALLENGE</x:v>
      </x:c>
      <x:c r="H133" s="9" t="str">
        <x:v>PAIR-D-01</x:v>
      </x:c>
      <x:c r="I133" s="9" t="str">
        <x:v>UNTESTED</x:v>
      </x:c>
      <x:c r="J133" s="9" t="str">
        <x:v>UNTESTED</x:v>
      </x:c>
      <x:c r="K133" s="9" t="str">
        <x:v>OPEN</x:v>
      </x:c>
      <x:c r="L133" s="9" t="str">
        <x:v>OPEN</x:v>
      </x:c>
      <x:c r="M133" s="9" t="n">
        <x:v>0</x:v>
      </x:c>
      <x:c r="N133" s="9" t="str">
        <x:v>REQUIRED</x:v>
      </x:c>
    </x:row>
    <x:row r="134">
      <x:c r="B134" s="9" t="str">
        <x:v>EV-D-01-K</x:v>
      </x:c>
      <x:c r="C134" s="9" t="str">
        <x:v>D</x:v>
      </x:c>
      <x:c r="D134" s="9" t="str">
        <x:v>W01</x:v>
      </x:c>
      <x:c r="E134" s="9" t="str">
        <x:v>source position unavailable</x:v>
      </x:c>
      <x:c r="F134" s="9" t="str">
        <x:v>P2</x:v>
      </x:c>
      <x:c r="G134" s="9" t="str">
        <x:v>CLEAN CONTROL</x:v>
      </x:c>
      <x:c r="H134" s="9" t="str">
        <x:v>PAIR-D-01</x:v>
      </x:c>
      <x:c r="I134" s="9" t="str">
        <x:v>UNTESTED</x:v>
      </x:c>
      <x:c r="J134" s="9" t="str">
        <x:v>UNTESTED</x:v>
      </x:c>
      <x:c r="K134" s="9" t="str">
        <x:v>OPEN</x:v>
      </x:c>
      <x:c r="L134" s="9" t="str">
        <x:v>OPEN</x:v>
      </x:c>
      <x:c r="M134" s="9" t="n">
        <x:v>0</x:v>
      </x:c>
      <x:c r="N134" s="9" t="str">
        <x:v>REQUIRED</x:v>
      </x:c>
    </x:row>
    <x:row r="135">
      <x:c r="B135" s="9" t="str">
        <x:v>EV-D-01-R</x:v>
      </x:c>
      <x:c r="C135" s="9" t="str">
        <x:v>D</x:v>
      </x:c>
      <x:c r="D135" s="9" t="str">
        <x:v>W01</x:v>
      </x:c>
      <x:c r="E135" s="9" t="str">
        <x:v>source position unavailable</x:v>
      </x:c>
      <x:c r="F135" s="9" t="str">
        <x:v>R1</x:v>
      </x:c>
      <x:c r="G135" s="9" t="str">
        <x:v>SECOND TEAM</x:v>
      </x:c>
      <x:c r="H135" s="9" t="str">
        <x:v>PAIR-D-01</x:v>
      </x:c>
      <x:c r="I135" s="9" t="str">
        <x:v>UNTESTED</x:v>
      </x:c>
      <x:c r="J135" s="9" t="str">
        <x:v>UNTESTED</x:v>
      </x:c>
      <x:c r="K135" s="9" t="str">
        <x:v>OPEN</x:v>
      </x:c>
      <x:c r="L135" s="9" t="str">
        <x:v>OPEN</x:v>
      </x:c>
      <x:c r="M135" s="9" t="n">
        <x:v>0</x:v>
      </x:c>
      <x:c r="N135" s="9" t="str">
        <x:v>REQUIRED</x:v>
      </x:c>
    </x:row>
    <x:row r="136">
      <x:c r="B136" s="9" t="str">
        <x:v>EV-D-02-C</x:v>
      </x:c>
      <x:c r="C136" s="9" t="str">
        <x:v>D</x:v>
      </x:c>
      <x:c r="D136" s="9" t="str">
        <x:v>W02</x:v>
      </x:c>
      <x:c r="E136" s="9" t="str">
        <x:v>water corridor ruptured</x:v>
      </x:c>
      <x:c r="F136" s="9" t="str">
        <x:v>P1</x:v>
      </x:c>
      <x:c r="G136" s="9" t="str">
        <x:v>CHALLENGE</x:v>
      </x:c>
      <x:c r="H136" s="9" t="str">
        <x:v>PAIR-D-02</x:v>
      </x:c>
      <x:c r="I136" s="9" t="str">
        <x:v>UNTESTED</x:v>
      </x:c>
      <x:c r="J136" s="9" t="str">
        <x:v>UNTESTED</x:v>
      </x:c>
      <x:c r="K136" s="9" t="str">
        <x:v>OPEN</x:v>
      </x:c>
      <x:c r="L136" s="9" t="str">
        <x:v>OPEN</x:v>
      </x:c>
      <x:c r="M136" s="9" t="n">
        <x:v>0</x:v>
      </x:c>
      <x:c r="N136" s="9" t="str">
        <x:v>REQUIRED</x:v>
      </x:c>
    </x:row>
    <x:row r="137">
      <x:c r="B137" s="9" t="str">
        <x:v>EV-D-02-K</x:v>
      </x:c>
      <x:c r="C137" s="9" t="str">
        <x:v>D</x:v>
      </x:c>
      <x:c r="D137" s="9" t="str">
        <x:v>W02</x:v>
      </x:c>
      <x:c r="E137" s="9" t="str">
        <x:v>water corridor ruptured</x:v>
      </x:c>
      <x:c r="F137" s="9" t="str">
        <x:v>P2</x:v>
      </x:c>
      <x:c r="G137" s="9" t="str">
        <x:v>CLEAN CONTROL</x:v>
      </x:c>
      <x:c r="H137" s="9" t="str">
        <x:v>PAIR-D-02</x:v>
      </x:c>
      <x:c r="I137" s="9" t="str">
        <x:v>UNTESTED</x:v>
      </x:c>
      <x:c r="J137" s="9" t="str">
        <x:v>UNTESTED</x:v>
      </x:c>
      <x:c r="K137" s="9" t="str">
        <x:v>OPEN</x:v>
      </x:c>
      <x:c r="L137" s="9" t="str">
        <x:v>OPEN</x:v>
      </x:c>
      <x:c r="M137" s="9" t="n">
        <x:v>0</x:v>
      </x:c>
      <x:c r="N137" s="9" t="str">
        <x:v>REQUIRED</x:v>
      </x:c>
    </x:row>
    <x:row r="138">
      <x:c r="B138" s="9" t="str">
        <x:v>EV-D-03-C</x:v>
      </x:c>
      <x:c r="C138" s="9" t="str">
        <x:v>D</x:v>
      </x:c>
      <x:c r="D138" s="9" t="str">
        <x:v>W03</x:v>
      </x:c>
      <x:c r="E138" s="9" t="str">
        <x:v>feed contaminated</x:v>
      </x:c>
      <x:c r="F138" s="9" t="str">
        <x:v>P1</x:v>
      </x:c>
      <x:c r="G138" s="9" t="str">
        <x:v>CHALLENGE</x:v>
      </x:c>
      <x:c r="H138" s="9" t="str">
        <x:v>PAIR-D-03</x:v>
      </x:c>
      <x:c r="I138" s="9" t="str">
        <x:v>UNTESTED</x:v>
      </x:c>
      <x:c r="J138" s="9" t="str">
        <x:v>UNTESTED</x:v>
      </x:c>
      <x:c r="K138" s="9" t="str">
        <x:v>OPEN</x:v>
      </x:c>
      <x:c r="L138" s="9" t="str">
        <x:v>OPEN</x:v>
      </x:c>
      <x:c r="M138" s="9" t="n">
        <x:v>0</x:v>
      </x:c>
      <x:c r="N138" s="9" t="str">
        <x:v>REQUIRED</x:v>
      </x:c>
    </x:row>
    <x:row r="139">
      <x:c r="B139" s="9" t="str">
        <x:v>EV-D-03-K</x:v>
      </x:c>
      <x:c r="C139" s="9" t="str">
        <x:v>D</x:v>
      </x:c>
      <x:c r="D139" s="9" t="str">
        <x:v>W03</x:v>
      </x:c>
      <x:c r="E139" s="9" t="str">
        <x:v>feed contaminated</x:v>
      </x:c>
      <x:c r="F139" s="9" t="str">
        <x:v>P2</x:v>
      </x:c>
      <x:c r="G139" s="9" t="str">
        <x:v>CLEAN CONTROL</x:v>
      </x:c>
      <x:c r="H139" s="9" t="str">
        <x:v>PAIR-D-03</x:v>
      </x:c>
      <x:c r="I139" s="9" t="str">
        <x:v>UNTESTED</x:v>
      </x:c>
      <x:c r="J139" s="9" t="str">
        <x:v>UNTESTED</x:v>
      </x:c>
      <x:c r="K139" s="9" t="str">
        <x:v>OPEN</x:v>
      </x:c>
      <x:c r="L139" s="9" t="str">
        <x:v>OPEN</x:v>
      </x:c>
      <x:c r="M139" s="9" t="n">
        <x:v>0</x:v>
      </x:c>
      <x:c r="N139" s="9" t="str">
        <x:v>REQUIRED</x:v>
      </x:c>
    </x:row>
    <x:row r="140">
      <x:c r="B140" s="9" t="str">
        <x:v>EV-D-03-R</x:v>
      </x:c>
      <x:c r="C140" s="9" t="str">
        <x:v>D</x:v>
      </x:c>
      <x:c r="D140" s="9" t="str">
        <x:v>W03</x:v>
      </x:c>
      <x:c r="E140" s="9" t="str">
        <x:v>feed contaminated</x:v>
      </x:c>
      <x:c r="F140" s="9" t="str">
        <x:v>R1</x:v>
      </x:c>
      <x:c r="G140" s="9" t="str">
        <x:v>SECOND TEAM</x:v>
      </x:c>
      <x:c r="H140" s="9" t="str">
        <x:v>PAIR-D-03</x:v>
      </x:c>
      <x:c r="I140" s="9" t="str">
        <x:v>UNTESTED</x:v>
      </x:c>
      <x:c r="J140" s="9" t="str">
        <x:v>UNTESTED</x:v>
      </x:c>
      <x:c r="K140" s="9" t="str">
        <x:v>OPEN</x:v>
      </x:c>
      <x:c r="L140" s="9" t="str">
        <x:v>OPEN</x:v>
      </x:c>
      <x:c r="M140" s="9" t="n">
        <x:v>0</x:v>
      </x:c>
      <x:c r="N140" s="9" t="str">
        <x:v>REQUIRED</x:v>
      </x:c>
    </x:row>
    <x:row r="141">
      <x:c r="B141" s="9" t="str">
        <x:v>EV-D-04-C</x:v>
      </x:c>
      <x:c r="C141" s="9" t="str">
        <x:v>D</x:v>
      </x:c>
      <x:c r="D141" s="9" t="str">
        <x:v>W04</x:v>
      </x:c>
      <x:c r="E141" s="9" t="str">
        <x:v>thermal output derated</x:v>
      </x:c>
      <x:c r="F141" s="9" t="str">
        <x:v>P1</x:v>
      </x:c>
      <x:c r="G141" s="9" t="str">
        <x:v>CHALLENGE</x:v>
      </x:c>
      <x:c r="H141" s="9" t="str">
        <x:v>PAIR-D-04</x:v>
      </x:c>
      <x:c r="I141" s="9" t="str">
        <x:v>UNTESTED</x:v>
      </x:c>
      <x:c r="J141" s="9" t="str">
        <x:v>UNTESTED</x:v>
      </x:c>
      <x:c r="K141" s="9" t="str">
        <x:v>OPEN</x:v>
      </x:c>
      <x:c r="L141" s="9" t="str">
        <x:v>OPEN</x:v>
      </x:c>
      <x:c r="M141" s="9" t="n">
        <x:v>0</x:v>
      </x:c>
      <x:c r="N141" s="9" t="str">
        <x:v>REQUIRED</x:v>
      </x:c>
    </x:row>
    <x:row r="142">
      <x:c r="B142" s="9" t="str">
        <x:v>EV-D-04-K</x:v>
      </x:c>
      <x:c r="C142" s="9" t="str">
        <x:v>D</x:v>
      </x:c>
      <x:c r="D142" s="9" t="str">
        <x:v>W04</x:v>
      </x:c>
      <x:c r="E142" s="9" t="str">
        <x:v>thermal output derated</x:v>
      </x:c>
      <x:c r="F142" s="9" t="str">
        <x:v>P2</x:v>
      </x:c>
      <x:c r="G142" s="9" t="str">
        <x:v>CLEAN CONTROL</x:v>
      </x:c>
      <x:c r="H142" s="9" t="str">
        <x:v>PAIR-D-04</x:v>
      </x:c>
      <x:c r="I142" s="9" t="str">
        <x:v>UNTESTED</x:v>
      </x:c>
      <x:c r="J142" s="9" t="str">
        <x:v>UNTESTED</x:v>
      </x:c>
      <x:c r="K142" s="9" t="str">
        <x:v>OPEN</x:v>
      </x:c>
      <x:c r="L142" s="9" t="str">
        <x:v>OPEN</x:v>
      </x:c>
      <x:c r="M142" s="9" t="n">
        <x:v>0</x:v>
      </x:c>
      <x:c r="N142" s="9" t="str">
        <x:v>REQUIRED</x:v>
      </x:c>
    </x:row>
    <x:row r="143">
      <x:c r="B143" s="9" t="str">
        <x:v>EV-D-05-C</x:v>
      </x:c>
      <x:c r="C143" s="9" t="str">
        <x:v>D</x:v>
      </x:c>
      <x:c r="D143" s="9" t="str">
        <x:v>W05</x:v>
      </x:c>
      <x:c r="E143" s="9" t="str">
        <x:v>external grid absent</x:v>
      </x:c>
      <x:c r="F143" s="9" t="str">
        <x:v>P1</x:v>
      </x:c>
      <x:c r="G143" s="9" t="str">
        <x:v>CHALLENGE</x:v>
      </x:c>
      <x:c r="H143" s="9" t="str">
        <x:v>PAIR-D-05</x:v>
      </x:c>
      <x:c r="I143" s="9" t="str">
        <x:v>UNTESTED</x:v>
      </x:c>
      <x:c r="J143" s="9" t="str">
        <x:v>UNTESTED</x:v>
      </x:c>
      <x:c r="K143" s="9" t="str">
        <x:v>OPEN</x:v>
      </x:c>
      <x:c r="L143" s="9" t="str">
        <x:v>OPEN</x:v>
      </x:c>
      <x:c r="M143" s="9" t="n">
        <x:v>0</x:v>
      </x:c>
      <x:c r="N143" s="9" t="str">
        <x:v>REQUIRED</x:v>
      </x:c>
    </x:row>
    <x:row r="144">
      <x:c r="B144" s="9" t="str">
        <x:v>EV-D-05-K</x:v>
      </x:c>
      <x:c r="C144" s="9" t="str">
        <x:v>D</x:v>
      </x:c>
      <x:c r="D144" s="9" t="str">
        <x:v>W05</x:v>
      </x:c>
      <x:c r="E144" s="9" t="str">
        <x:v>external grid absent</x:v>
      </x:c>
      <x:c r="F144" s="9" t="str">
        <x:v>P2</x:v>
      </x:c>
      <x:c r="G144" s="9" t="str">
        <x:v>CLEAN CONTROL</x:v>
      </x:c>
      <x:c r="H144" s="9" t="str">
        <x:v>PAIR-D-05</x:v>
      </x:c>
      <x:c r="I144" s="9" t="str">
        <x:v>UNTESTED</x:v>
      </x:c>
      <x:c r="J144" s="9" t="str">
        <x:v>UNTESTED</x:v>
      </x:c>
      <x:c r="K144" s="9" t="str">
        <x:v>OPEN</x:v>
      </x:c>
      <x:c r="L144" s="9" t="str">
        <x:v>OPEN</x:v>
      </x:c>
      <x:c r="M144" s="9" t="n">
        <x:v>0</x:v>
      </x:c>
      <x:c r="N144" s="9" t="str">
        <x:v>REQUIRED</x:v>
      </x:c>
    </x:row>
    <x:row r="145">
      <x:c r="B145" s="9" t="str">
        <x:v>EV-D-05-R</x:v>
      </x:c>
      <x:c r="C145" s="9" t="str">
        <x:v>D</x:v>
      </x:c>
      <x:c r="D145" s="9" t="str">
        <x:v>W05</x:v>
      </x:c>
      <x:c r="E145" s="9" t="str">
        <x:v>external grid absent</x:v>
      </x:c>
      <x:c r="F145" s="9" t="str">
        <x:v>R1</x:v>
      </x:c>
      <x:c r="G145" s="9" t="str">
        <x:v>SECOND TEAM</x:v>
      </x:c>
      <x:c r="H145" s="9" t="str">
        <x:v>PAIR-D-05</x:v>
      </x:c>
      <x:c r="I145" s="9" t="str">
        <x:v>UNTESTED</x:v>
      </x:c>
      <x:c r="J145" s="9" t="str">
        <x:v>UNTESTED</x:v>
      </x:c>
      <x:c r="K145" s="9" t="str">
        <x:v>OPEN</x:v>
      </x:c>
      <x:c r="L145" s="9" t="str">
        <x:v>OPEN</x:v>
      </x:c>
      <x:c r="M145" s="9" t="n">
        <x:v>0</x:v>
      </x:c>
      <x:c r="N145" s="9" t="str">
        <x:v>REQUIRED</x:v>
      </x:c>
    </x:row>
    <x:row r="146">
      <x:c r="B146" s="9" t="str">
        <x:v>EV-D-06-C</x:v>
      </x:c>
      <x:c r="C146" s="9" t="str">
        <x:v>D</x:v>
      </x:c>
      <x:c r="D146" s="9" t="str">
        <x:v>W06</x:v>
      </x:c>
      <x:c r="E146" s="9" t="str">
        <x:v>energy route denied</x:v>
      </x:c>
      <x:c r="F146" s="9" t="str">
        <x:v>P1</x:v>
      </x:c>
      <x:c r="G146" s="9" t="str">
        <x:v>CHALLENGE</x:v>
      </x:c>
      <x:c r="H146" s="9" t="str">
        <x:v>PAIR-D-06</x:v>
      </x:c>
      <x:c r="I146" s="9" t="str">
        <x:v>UNTESTED</x:v>
      </x:c>
      <x:c r="J146" s="9" t="str">
        <x:v>UNTESTED</x:v>
      </x:c>
      <x:c r="K146" s="9" t="str">
        <x:v>OPEN</x:v>
      </x:c>
      <x:c r="L146" s="9" t="str">
        <x:v>OPEN</x:v>
      </x:c>
      <x:c r="M146" s="9" t="n">
        <x:v>0</x:v>
      </x:c>
      <x:c r="N146" s="9" t="str">
        <x:v>REQUIRED</x:v>
      </x:c>
    </x:row>
    <x:row r="147">
      <x:c r="B147" s="9" t="str">
        <x:v>EV-D-06-K</x:v>
      </x:c>
      <x:c r="C147" s="9" t="str">
        <x:v>D</x:v>
      </x:c>
      <x:c r="D147" s="9" t="str">
        <x:v>W06</x:v>
      </x:c>
      <x:c r="E147" s="9" t="str">
        <x:v>energy route denied</x:v>
      </x:c>
      <x:c r="F147" s="9" t="str">
        <x:v>P2</x:v>
      </x:c>
      <x:c r="G147" s="9" t="str">
        <x:v>CLEAN CONTROL</x:v>
      </x:c>
      <x:c r="H147" s="9" t="str">
        <x:v>PAIR-D-06</x:v>
      </x:c>
      <x:c r="I147" s="9" t="str">
        <x:v>UNTESTED</x:v>
      </x:c>
      <x:c r="J147" s="9" t="str">
        <x:v>UNTESTED</x:v>
      </x:c>
      <x:c r="K147" s="9" t="str">
        <x:v>OPEN</x:v>
      </x:c>
      <x:c r="L147" s="9" t="str">
        <x:v>OPEN</x:v>
      </x:c>
      <x:c r="M147" s="9" t="n">
        <x:v>0</x:v>
      </x:c>
      <x:c r="N147" s="9" t="str">
        <x:v>REQUIRED</x:v>
      </x:c>
    </x:row>
    <x:row r="148">
      <x:c r="B148" s="9" t="str">
        <x:v>EV-D-07-C</x:v>
      </x:c>
      <x:c r="C148" s="9" t="str">
        <x:v>D</x:v>
      </x:c>
      <x:c r="D148" s="9" t="str">
        <x:v>W07</x:v>
      </x:c>
      <x:c r="E148" s="9" t="str">
        <x:v>wide-area control/time denied</x:v>
      </x:c>
      <x:c r="F148" s="9" t="str">
        <x:v>P1</x:v>
      </x:c>
      <x:c r="G148" s="9" t="str">
        <x:v>CHALLENGE</x:v>
      </x:c>
      <x:c r="H148" s="9" t="str">
        <x:v>PAIR-D-07</x:v>
      </x:c>
      <x:c r="I148" s="9" t="str">
        <x:v>UNTESTED</x:v>
      </x:c>
      <x:c r="J148" s="9" t="str">
        <x:v>UNTESTED</x:v>
      </x:c>
      <x:c r="K148" s="9" t="str">
        <x:v>OPEN</x:v>
      </x:c>
      <x:c r="L148" s="9" t="str">
        <x:v>OPEN</x:v>
      </x:c>
      <x:c r="M148" s="9" t="n">
        <x:v>0</x:v>
      </x:c>
      <x:c r="N148" s="9" t="str">
        <x:v>REQUIRED</x:v>
      </x:c>
    </x:row>
    <x:row r="149">
      <x:c r="B149" s="9" t="str">
        <x:v>EV-D-07-K</x:v>
      </x:c>
      <x:c r="C149" s="9" t="str">
        <x:v>D</x:v>
      </x:c>
      <x:c r="D149" s="9" t="str">
        <x:v>W07</x:v>
      </x:c>
      <x:c r="E149" s="9" t="str">
        <x:v>wide-area control/time denied</x:v>
      </x:c>
      <x:c r="F149" s="9" t="str">
        <x:v>P2</x:v>
      </x:c>
      <x:c r="G149" s="9" t="str">
        <x:v>CLEAN CONTROL</x:v>
      </x:c>
      <x:c r="H149" s="9" t="str">
        <x:v>PAIR-D-07</x:v>
      </x:c>
      <x:c r="I149" s="9" t="str">
        <x:v>UNTESTED</x:v>
      </x:c>
      <x:c r="J149" s="9" t="str">
        <x:v>UNTESTED</x:v>
      </x:c>
      <x:c r="K149" s="9" t="str">
        <x:v>OPEN</x:v>
      </x:c>
      <x:c r="L149" s="9" t="str">
        <x:v>OPEN</x:v>
      </x:c>
      <x:c r="M149" s="9" t="n">
        <x:v>0</x:v>
      </x:c>
      <x:c r="N149" s="9" t="str">
        <x:v>REQUIRED</x:v>
      </x:c>
    </x:row>
    <x:row r="150">
      <x:c r="B150" s="9" t="str">
        <x:v>EV-D-07-R</x:v>
      </x:c>
      <x:c r="C150" s="9" t="str">
        <x:v>D</x:v>
      </x:c>
      <x:c r="D150" s="9" t="str">
        <x:v>W07</x:v>
      </x:c>
      <x:c r="E150" s="9" t="str">
        <x:v>wide-area control/time denied</x:v>
      </x:c>
      <x:c r="F150" s="9" t="str">
        <x:v>R1</x:v>
      </x:c>
      <x:c r="G150" s="9" t="str">
        <x:v>SECOND TEAM</x:v>
      </x:c>
      <x:c r="H150" s="9" t="str">
        <x:v>PAIR-D-07</x:v>
      </x:c>
      <x:c r="I150" s="9" t="str">
        <x:v>UNTESTED</x:v>
      </x:c>
      <x:c r="J150" s="9" t="str">
        <x:v>UNTESTED</x:v>
      </x:c>
      <x:c r="K150" s="9" t="str">
        <x:v>OPEN</x:v>
      </x:c>
      <x:c r="L150" s="9" t="str">
        <x:v>OPEN</x:v>
      </x:c>
      <x:c r="M150" s="9" t="n">
        <x:v>0</x:v>
      </x:c>
      <x:c r="N150" s="9" t="str">
        <x:v>REQUIRED</x:v>
      </x:c>
    </x:row>
    <x:row r="151">
      <x:c r="B151" s="9" t="str">
        <x:v>EV-D-08-C</x:v>
      </x:c>
      <x:c r="C151" s="9" t="str">
        <x:v>D</x:v>
      </x:c>
      <x:c r="D151" s="9" t="str">
        <x:v>W08</x:v>
      </x:c>
      <x:c r="E151" s="9" t="str">
        <x:v>vendor signing denied</x:v>
      </x:c>
      <x:c r="F151" s="9" t="str">
        <x:v>P1</x:v>
      </x:c>
      <x:c r="G151" s="9" t="str">
        <x:v>CHALLENGE</x:v>
      </x:c>
      <x:c r="H151" s="9" t="str">
        <x:v>PAIR-D-08</x:v>
      </x:c>
      <x:c r="I151" s="9" t="str">
        <x:v>UNTESTED</x:v>
      </x:c>
      <x:c r="J151" s="9" t="str">
        <x:v>UNTESTED</x:v>
      </x:c>
      <x:c r="K151" s="9" t="str">
        <x:v>OPEN</x:v>
      </x:c>
      <x:c r="L151" s="9" t="str">
        <x:v>OPEN</x:v>
      </x:c>
      <x:c r="M151" s="9" t="n">
        <x:v>0</x:v>
      </x:c>
      <x:c r="N151" s="9" t="str">
        <x:v>REQUIRED</x:v>
      </x:c>
    </x:row>
    <x:row r="152">
      <x:c r="B152" s="9" t="str">
        <x:v>EV-D-08-K</x:v>
      </x:c>
      <x:c r="C152" s="9" t="str">
        <x:v>D</x:v>
      </x:c>
      <x:c r="D152" s="9" t="str">
        <x:v>W08</x:v>
      </x:c>
      <x:c r="E152" s="9" t="str">
        <x:v>vendor signing denied</x:v>
      </x:c>
      <x:c r="F152" s="9" t="str">
        <x:v>P2</x:v>
      </x:c>
      <x:c r="G152" s="9" t="str">
        <x:v>CLEAN CONTROL</x:v>
      </x:c>
      <x:c r="H152" s="9" t="str">
        <x:v>PAIR-D-08</x:v>
      </x:c>
      <x:c r="I152" s="9" t="str">
        <x:v>UNTESTED</x:v>
      </x:c>
      <x:c r="J152" s="9" t="str">
        <x:v>UNTESTED</x:v>
      </x:c>
      <x:c r="K152" s="9" t="str">
        <x:v>OPEN</x:v>
      </x:c>
      <x:c r="L152" s="9" t="str">
        <x:v>OPEN</x:v>
      </x:c>
      <x:c r="M152" s="9" t="n">
        <x:v>0</x:v>
      </x:c>
      <x:c r="N152" s="9" t="str">
        <x:v>REQUIRED</x:v>
      </x:c>
    </x:row>
    <x:row r="153">
      <x:c r="B153" s="9" t="str">
        <x:v>EV-D-08-R</x:v>
      </x:c>
      <x:c r="C153" s="9" t="str">
        <x:v>D</x:v>
      </x:c>
      <x:c r="D153" s="9" t="str">
        <x:v>W08</x:v>
      </x:c>
      <x:c r="E153" s="9" t="str">
        <x:v>vendor signing denied</x:v>
      </x:c>
      <x:c r="F153" s="9" t="str">
        <x:v>R1</x:v>
      </x:c>
      <x:c r="G153" s="9" t="str">
        <x:v>SECOND TEAM</x:v>
      </x:c>
      <x:c r="H153" s="9" t="str">
        <x:v>PAIR-D-08</x:v>
      </x:c>
      <x:c r="I153" s="9" t="str">
        <x:v>UNTESTED</x:v>
      </x:c>
      <x:c r="J153" s="9" t="str">
        <x:v>UNTESTED</x:v>
      </x:c>
      <x:c r="K153" s="9" t="str">
        <x:v>OPEN</x:v>
      </x:c>
      <x:c r="L153" s="9" t="str">
        <x:v>OPEN</x:v>
      </x:c>
      <x:c r="M153" s="9" t="n">
        <x:v>0</x:v>
      </x:c>
      <x:c r="N153" s="9" t="str">
        <x:v>REQUIRED</x:v>
      </x:c>
    </x:row>
    <x:row r="154">
      <x:c r="B154" s="9" t="str">
        <x:v>EV-D-09-C</x:v>
      </x:c>
      <x:c r="C154" s="9" t="str">
        <x:v>D</x:v>
      </x:c>
      <x:c r="D154" s="9" t="str">
        <x:v>W09</x:v>
      </x:c>
      <x:c r="E154" s="9" t="str">
        <x:v>local-power cell unavailable</x:v>
      </x:c>
      <x:c r="F154" s="9" t="str">
        <x:v>P1</x:v>
      </x:c>
      <x:c r="G154" s="9" t="str">
        <x:v>CHALLENGE</x:v>
      </x:c>
      <x:c r="H154" s="9" t="str">
        <x:v>PAIR-D-09</x:v>
      </x:c>
      <x:c r="I154" s="9" t="str">
        <x:v>UNTESTED</x:v>
      </x:c>
      <x:c r="J154" s="9" t="str">
        <x:v>UNTESTED</x:v>
      </x:c>
      <x:c r="K154" s="9" t="str">
        <x:v>OPEN</x:v>
      </x:c>
      <x:c r="L154" s="9" t="str">
        <x:v>OPEN</x:v>
      </x:c>
      <x:c r="M154" s="9" t="n">
        <x:v>0</x:v>
      </x:c>
      <x:c r="N154" s="9" t="str">
        <x:v>REQUIRED</x:v>
      </x:c>
    </x:row>
    <x:row r="155">
      <x:c r="B155" s="9" t="str">
        <x:v>EV-D-09-K</x:v>
      </x:c>
      <x:c r="C155" s="9" t="str">
        <x:v>D</x:v>
      </x:c>
      <x:c r="D155" s="9" t="str">
        <x:v>W09</x:v>
      </x:c>
      <x:c r="E155" s="9" t="str">
        <x:v>local-power cell unavailable</x:v>
      </x:c>
      <x:c r="F155" s="9" t="str">
        <x:v>P2</x:v>
      </x:c>
      <x:c r="G155" s="9" t="str">
        <x:v>CLEAN CONTROL</x:v>
      </x:c>
      <x:c r="H155" s="9" t="str">
        <x:v>PAIR-D-09</x:v>
      </x:c>
      <x:c r="I155" s="9" t="str">
        <x:v>UNTESTED</x:v>
      </x:c>
      <x:c r="J155" s="9" t="str">
        <x:v>UNTESTED</x:v>
      </x:c>
      <x:c r="K155" s="9" t="str">
        <x:v>OPEN</x:v>
      </x:c>
      <x:c r="L155" s="9" t="str">
        <x:v>OPEN</x:v>
      </x:c>
      <x:c r="M155" s="9" t="n">
        <x:v>0</x:v>
      </x:c>
      <x:c r="N155" s="9" t="str">
        <x:v>REQUIRED</x:v>
      </x:c>
    </x:row>
    <x:row r="156">
      <x:c r="B156" s="9" t="str">
        <x:v>EV-D-10-C</x:v>
      </x:c>
      <x:c r="C156" s="9" t="str">
        <x:v>D</x:v>
      </x:c>
      <x:c r="D156" s="9" t="str">
        <x:v>W10</x:v>
      </x:c>
      <x:c r="E156" s="9" t="str">
        <x:v>grid bridge unavailable</x:v>
      </x:c>
      <x:c r="F156" s="9" t="str">
        <x:v>P1</x:v>
      </x:c>
      <x:c r="G156" s="9" t="str">
        <x:v>CHALLENGE</x:v>
      </x:c>
      <x:c r="H156" s="9" t="str">
        <x:v>PAIR-D-10</x:v>
      </x:c>
      <x:c r="I156" s="9" t="str">
        <x:v>UNTESTED</x:v>
      </x:c>
      <x:c r="J156" s="9" t="str">
        <x:v>UNTESTED</x:v>
      </x:c>
      <x:c r="K156" s="9" t="str">
        <x:v>OPEN</x:v>
      </x:c>
      <x:c r="L156" s="9" t="str">
        <x:v>OPEN</x:v>
      </x:c>
      <x:c r="M156" s="9" t="n">
        <x:v>0</x:v>
      </x:c>
      <x:c r="N156" s="9" t="str">
        <x:v>REQUIRED</x:v>
      </x:c>
    </x:row>
    <x:row r="157">
      <x:c r="B157" s="9" t="str">
        <x:v>EV-D-10-K</x:v>
      </x:c>
      <x:c r="C157" s="9" t="str">
        <x:v>D</x:v>
      </x:c>
      <x:c r="D157" s="9" t="str">
        <x:v>W10</x:v>
      </x:c>
      <x:c r="E157" s="9" t="str">
        <x:v>grid bridge unavailable</x:v>
      </x:c>
      <x:c r="F157" s="9" t="str">
        <x:v>P2</x:v>
      </x:c>
      <x:c r="G157" s="9" t="str">
        <x:v>CLEAN CONTROL</x:v>
      </x:c>
      <x:c r="H157" s="9" t="str">
        <x:v>PAIR-D-10</x:v>
      </x:c>
      <x:c r="I157" s="9" t="str">
        <x:v>UNTESTED</x:v>
      </x:c>
      <x:c r="J157" s="9" t="str">
        <x:v>UNTESTED</x:v>
      </x:c>
      <x:c r="K157" s="9" t="str">
        <x:v>OPEN</x:v>
      </x:c>
      <x:c r="L157" s="9" t="str">
        <x:v>OPEN</x:v>
      </x:c>
      <x:c r="M157" s="9" t="n">
        <x:v>0</x:v>
      </x:c>
      <x:c r="N157" s="9" t="str">
        <x:v>REQUIRED</x:v>
      </x:c>
    </x:row>
    <x:row r="158">
      <x:c r="B158" s="9" t="str">
        <x:v>EV-D-11-C</x:v>
      </x:c>
      <x:c r="C158" s="9" t="str">
        <x:v>D</x:v>
      </x:c>
      <x:c r="D158" s="9" t="str">
        <x:v>W11</x:v>
      </x:c>
      <x:c r="E158" s="9" t="str">
        <x:v>thermal cell unavailable</x:v>
      </x:c>
      <x:c r="F158" s="9" t="str">
        <x:v>P1</x:v>
      </x:c>
      <x:c r="G158" s="9" t="str">
        <x:v>CHALLENGE</x:v>
      </x:c>
      <x:c r="H158" s="9" t="str">
        <x:v>PAIR-D-11</x:v>
      </x:c>
      <x:c r="I158" s="9" t="str">
        <x:v>UNTESTED</x:v>
      </x:c>
      <x:c r="J158" s="9" t="str">
        <x:v>UNTESTED</x:v>
      </x:c>
      <x:c r="K158" s="9" t="str">
        <x:v>OPEN</x:v>
      </x:c>
      <x:c r="L158" s="9" t="str">
        <x:v>OPEN</x:v>
      </x:c>
      <x:c r="M158" s="9" t="n">
        <x:v>0</x:v>
      </x:c>
      <x:c r="N158" s="9" t="str">
        <x:v>REQUIRED</x:v>
      </x:c>
    </x:row>
    <x:row r="159">
      <x:c r="B159" s="9" t="str">
        <x:v>EV-D-11-K</x:v>
      </x:c>
      <x:c r="C159" s="9" t="str">
        <x:v>D</x:v>
      </x:c>
      <x:c r="D159" s="9" t="str">
        <x:v>W11</x:v>
      </x:c>
      <x:c r="E159" s="9" t="str">
        <x:v>thermal cell unavailable</x:v>
      </x:c>
      <x:c r="F159" s="9" t="str">
        <x:v>P2</x:v>
      </x:c>
      <x:c r="G159" s="9" t="str">
        <x:v>CLEAN CONTROL</x:v>
      </x:c>
      <x:c r="H159" s="9" t="str">
        <x:v>PAIR-D-11</x:v>
      </x:c>
      <x:c r="I159" s="9" t="str">
        <x:v>UNTESTED</x:v>
      </x:c>
      <x:c r="J159" s="9" t="str">
        <x:v>UNTESTED</x:v>
      </x:c>
      <x:c r="K159" s="9" t="str">
        <x:v>OPEN</x:v>
      </x:c>
      <x:c r="L159" s="9" t="str">
        <x:v>OPEN</x:v>
      </x:c>
      <x:c r="M159" s="9" t="n">
        <x:v>0</x:v>
      </x:c>
      <x:c r="N159" s="9" t="str">
        <x:v>REQUIRED</x:v>
      </x:c>
    </x:row>
    <x:row r="160">
      <x:c r="B160" s="9" t="str">
        <x:v>EV-D-12-C</x:v>
      </x:c>
      <x:c r="C160" s="9" t="str">
        <x:v>D</x:v>
      </x:c>
      <x:c r="D160" s="9" t="str">
        <x:v>W12</x:v>
      </x:c>
      <x:c r="E160" s="9" t="str">
        <x:v>residual receiver refuses</x:v>
      </x:c>
      <x:c r="F160" s="9" t="str">
        <x:v>P1</x:v>
      </x:c>
      <x:c r="G160" s="9" t="str">
        <x:v>CHALLENGE</x:v>
      </x:c>
      <x:c r="H160" s="9" t="str">
        <x:v>PAIR-D-12</x:v>
      </x:c>
      <x:c r="I160" s="9" t="str">
        <x:v>UNTESTED</x:v>
      </x:c>
      <x:c r="J160" s="9" t="str">
        <x:v>UNTESTED</x:v>
      </x:c>
      <x:c r="K160" s="9" t="str">
        <x:v>OPEN</x:v>
      </x:c>
      <x:c r="L160" s="9" t="str">
        <x:v>OPEN</x:v>
      </x:c>
      <x:c r="M160" s="9" t="n">
        <x:v>0</x:v>
      </x:c>
      <x:c r="N160" s="9" t="str">
        <x:v>REQUIRED</x:v>
      </x:c>
    </x:row>
    <x:row r="161">
      <x:c r="B161" s="9" t="str">
        <x:v>EV-D-12-K</x:v>
      </x:c>
      <x:c r="C161" s="9" t="str">
        <x:v>D</x:v>
      </x:c>
      <x:c r="D161" s="9" t="str">
        <x:v>W12</x:v>
      </x:c>
      <x:c r="E161" s="9" t="str">
        <x:v>residual receiver refuses</x:v>
      </x:c>
      <x:c r="F161" s="9" t="str">
        <x:v>P2</x:v>
      </x:c>
      <x:c r="G161" s="9" t="str">
        <x:v>CLEAN CONTROL</x:v>
      </x:c>
      <x:c r="H161" s="9" t="str">
        <x:v>PAIR-D-12</x:v>
      </x:c>
      <x:c r="I161" s="9" t="str">
        <x:v>UNTESTED</x:v>
      </x:c>
      <x:c r="J161" s="9" t="str">
        <x:v>UNTESTED</x:v>
      </x:c>
      <x:c r="K161" s="9" t="str">
        <x:v>OPEN</x:v>
      </x:c>
      <x:c r="L161" s="9" t="str">
        <x:v>OPEN</x:v>
      </x:c>
      <x:c r="M161" s="9" t="n">
        <x:v>0</x:v>
      </x:c>
      <x:c r="N161" s="9" t="str">
        <x:v>REQUIRED</x:v>
      </x:c>
    </x:row>
    <x:row r="162">
      <x:c r="B162" s="9" t="str">
        <x:v>EV-D-13-C</x:v>
      </x:c>
      <x:c r="C162" s="9" t="str">
        <x:v>D</x:v>
      </x:c>
      <x:c r="D162" s="9" t="str">
        <x:v>W13</x:v>
      </x:c>
      <x:c r="E162" s="9" t="str">
        <x:v>civil authority revoked</x:v>
      </x:c>
      <x:c r="F162" s="9" t="str">
        <x:v>P1</x:v>
      </x:c>
      <x:c r="G162" s="9" t="str">
        <x:v>CHALLENGE</x:v>
      </x:c>
      <x:c r="H162" s="9" t="str">
        <x:v>PAIR-D-13</x:v>
      </x:c>
      <x:c r="I162" s="9" t="str">
        <x:v>UNTESTED</x:v>
      </x:c>
      <x:c r="J162" s="9" t="str">
        <x:v>UNTESTED</x:v>
      </x:c>
      <x:c r="K162" s="9" t="str">
        <x:v>OPEN</x:v>
      </x:c>
      <x:c r="L162" s="9" t="str">
        <x:v>OPEN</x:v>
      </x:c>
      <x:c r="M162" s="9" t="n">
        <x:v>0</x:v>
      </x:c>
      <x:c r="N162" s="9" t="str">
        <x:v>REQUIRED</x:v>
      </x:c>
    </x:row>
    <x:row r="163">
      <x:c r="B163" s="9" t="str">
        <x:v>EV-D-13-K</x:v>
      </x:c>
      <x:c r="C163" s="9" t="str">
        <x:v>D</x:v>
      </x:c>
      <x:c r="D163" s="9" t="str">
        <x:v>W13</x:v>
      </x:c>
      <x:c r="E163" s="9" t="str">
        <x:v>civil authority revoked</x:v>
      </x:c>
      <x:c r="F163" s="9" t="str">
        <x:v>P2</x:v>
      </x:c>
      <x:c r="G163" s="9" t="str">
        <x:v>CLEAN CONTROL</x:v>
      </x:c>
      <x:c r="H163" s="9" t="str">
        <x:v>PAIR-D-13</x:v>
      </x:c>
      <x:c r="I163" s="9" t="str">
        <x:v>UNTESTED</x:v>
      </x:c>
      <x:c r="J163" s="9" t="str">
        <x:v>UNTESTED</x:v>
      </x:c>
      <x:c r="K163" s="9" t="str">
        <x:v>OPEN</x:v>
      </x:c>
      <x:c r="L163" s="9" t="str">
        <x:v>OPEN</x:v>
      </x:c>
      <x:c r="M163" s="9" t="n">
        <x:v>0</x:v>
      </x:c>
      <x:c r="N163" s="9" t="str">
        <x:v>REQUIRED</x:v>
      </x:c>
    </x:row>
    <x:row r="164">
      <x:c r="B164" s="9" t="str">
        <x:v>EV-D-14-C</x:v>
      </x:c>
      <x:c r="C164" s="9" t="str">
        <x:v>D</x:v>
      </x:c>
      <x:c r="D164" s="9" t="str">
        <x:v>W14</x:v>
      </x:c>
      <x:c r="E164" s="9" t="str">
        <x:v>protected-cohort load rises</x:v>
      </x:c>
      <x:c r="F164" s="9" t="str">
        <x:v>P1</x:v>
      </x:c>
      <x:c r="G164" s="9" t="str">
        <x:v>CHALLENGE</x:v>
      </x:c>
      <x:c r="H164" s="9" t="str">
        <x:v>PAIR-D-14</x:v>
      </x:c>
      <x:c r="I164" s="9" t="str">
        <x:v>UNTESTED</x:v>
      </x:c>
      <x:c r="J164" s="9" t="str">
        <x:v>UNTESTED</x:v>
      </x:c>
      <x:c r="K164" s="9" t="str">
        <x:v>OPEN</x:v>
      </x:c>
      <x:c r="L164" s="9" t="str">
        <x:v>OPEN</x:v>
      </x:c>
      <x:c r="M164" s="9" t="n">
        <x:v>0</x:v>
      </x:c>
      <x:c r="N164" s="9" t="str">
        <x:v>REQUIRED</x:v>
      </x:c>
    </x:row>
    <x:row r="165">
      <x:c r="B165" s="9" t="str">
        <x:v>EV-D-14-K</x:v>
      </x:c>
      <x:c r="C165" s="9" t="str">
        <x:v>D</x:v>
      </x:c>
      <x:c r="D165" s="9" t="str">
        <x:v>W14</x:v>
      </x:c>
      <x:c r="E165" s="9" t="str">
        <x:v>protected-cohort load rises</x:v>
      </x:c>
      <x:c r="F165" s="9" t="str">
        <x:v>P2</x:v>
      </x:c>
      <x:c r="G165" s="9" t="str">
        <x:v>CLEAN CONTROL</x:v>
      </x:c>
      <x:c r="H165" s="9" t="str">
        <x:v>PAIR-D-14</x:v>
      </x:c>
      <x:c r="I165" s="9" t="str">
        <x:v>UNTESTED</x:v>
      </x:c>
      <x:c r="J165" s="9" t="str">
        <x:v>UNTESTED</x:v>
      </x:c>
      <x:c r="K165" s="9" t="str">
        <x:v>OPEN</x:v>
      </x:c>
      <x:c r="L165" s="9" t="str">
        <x:v>OPEN</x:v>
      </x:c>
      <x:c r="M165" s="9" t="n">
        <x:v>0</x:v>
      </x:c>
      <x:c r="N165" s="9" t="str">
        <x:v>REQUIRED</x:v>
      </x:c>
    </x:row>
    <x:row r="166">
      <x:c r="B166" s="9" t="str">
        <x:v>EV-D-15-C</x:v>
      </x:c>
      <x:c r="C166" s="9" t="str">
        <x:v>D</x:v>
      </x:c>
      <x:c r="D166" s="9" t="str">
        <x:v>W15</x:v>
      </x:c>
      <x:c r="E166" s="9" t="str">
        <x:v>primary repair depot denied</x:v>
      </x:c>
      <x:c r="F166" s="9" t="str">
        <x:v>P1</x:v>
      </x:c>
      <x:c r="G166" s="9" t="str">
        <x:v>CHALLENGE</x:v>
      </x:c>
      <x:c r="H166" s="9" t="str">
        <x:v>PAIR-D-15</x:v>
      </x:c>
      <x:c r="I166" s="9" t="str">
        <x:v>UNTESTED</x:v>
      </x:c>
      <x:c r="J166" s="9" t="str">
        <x:v>UNTESTED</x:v>
      </x:c>
      <x:c r="K166" s="9" t="str">
        <x:v>OPEN</x:v>
      </x:c>
      <x:c r="L166" s="9" t="str">
        <x:v>OPEN</x:v>
      </x:c>
      <x:c r="M166" s="9" t="n">
        <x:v>0</x:v>
      </x:c>
      <x:c r="N166" s="9" t="str">
        <x:v>REQUIRED</x:v>
      </x:c>
    </x:row>
    <x:row r="167">
      <x:c r="B167" s="9" t="str">
        <x:v>EV-D-15-K</x:v>
      </x:c>
      <x:c r="C167" s="9" t="str">
        <x:v>D</x:v>
      </x:c>
      <x:c r="D167" s="9" t="str">
        <x:v>W15</x:v>
      </x:c>
      <x:c r="E167" s="9" t="str">
        <x:v>primary repair depot denied</x:v>
      </x:c>
      <x:c r="F167" s="9" t="str">
        <x:v>P2</x:v>
      </x:c>
      <x:c r="G167" s="9" t="str">
        <x:v>CLEAN CONTROL</x:v>
      </x:c>
      <x:c r="H167" s="9" t="str">
        <x:v>PAIR-D-15</x:v>
      </x:c>
      <x:c r="I167" s="9" t="str">
        <x:v>UNTESTED</x:v>
      </x:c>
      <x:c r="J167" s="9" t="str">
        <x:v>UNTESTED</x:v>
      </x:c>
      <x:c r="K167" s="9" t="str">
        <x:v>OPEN</x:v>
      </x:c>
      <x:c r="L167" s="9" t="str">
        <x:v>OPEN</x:v>
      </x:c>
      <x:c r="M167" s="9" t="n">
        <x:v>0</x:v>
      </x:c>
      <x:c r="N167" s="9" t="str">
        <x:v>REQUIRED</x:v>
      </x:c>
    </x:row>
    <x:row r="168">
      <x:c r="B168" s="9" t="str">
        <x:v>EV-D-15-R</x:v>
      </x:c>
      <x:c r="C168" s="9" t="str">
        <x:v>D</x:v>
      </x:c>
      <x:c r="D168" s="9" t="str">
        <x:v>W15</x:v>
      </x:c>
      <x:c r="E168" s="9" t="str">
        <x:v>primary repair depot denied</x:v>
      </x:c>
      <x:c r="F168" s="9" t="str">
        <x:v>R1</x:v>
      </x:c>
      <x:c r="G168" s="9" t="str">
        <x:v>SECOND TEAM</x:v>
      </x:c>
      <x:c r="H168" s="9" t="str">
        <x:v>PAIR-D-15</x:v>
      </x:c>
      <x:c r="I168" s="9" t="str">
        <x:v>UNTESTED</x:v>
      </x:c>
      <x:c r="J168" s="9" t="str">
        <x:v>UNTESTED</x:v>
      </x:c>
      <x:c r="K168" s="9" t="str">
        <x:v>OPEN</x:v>
      </x:c>
      <x:c r="L168" s="9" t="str">
        <x:v>OPEN</x:v>
      </x:c>
      <x:c r="M168" s="9" t="n">
        <x:v>0</x:v>
      </x:c>
      <x:c r="N168" s="9" t="str">
        <x:v>REQUIRED</x:v>
      </x:c>
    </x:row>
    <x:row r="169">
      <x:c r="B169" s="9" t="str">
        <x:v>EV-D-16-C</x:v>
      </x:c>
      <x:c r="C169" s="9" t="str">
        <x:v>D</x:v>
      </x:c>
      <x:c r="D169" s="9" t="str">
        <x:v>W16</x:v>
      </x:c>
      <x:c r="E169" s="9" t="str">
        <x:v>root-native decisive challenge</x:v>
      </x:c>
      <x:c r="F169" s="9" t="str">
        <x:v>P1</x:v>
      </x:c>
      <x:c r="G169" s="9" t="str">
        <x:v>CHALLENGE</x:v>
      </x:c>
      <x:c r="H169" s="9" t="str">
        <x:v>PAIR-D-16</x:v>
      </x:c>
      <x:c r="I169" s="9" t="str">
        <x:v>UNTESTED</x:v>
      </x:c>
      <x:c r="J169" s="9" t="str">
        <x:v>UNTESTED</x:v>
      </x:c>
      <x:c r="K169" s="9" t="str">
        <x:v>OPEN</x:v>
      </x:c>
      <x:c r="L169" s="9" t="str">
        <x:v>OPEN</x:v>
      </x:c>
      <x:c r="M169" s="9" t="n">
        <x:v>0</x:v>
      </x:c>
      <x:c r="N169" s="9" t="str">
        <x:v>REQUIRED</x:v>
      </x:c>
    </x:row>
    <x:row r="170">
      <x:c r="B170" s="9" t="str">
        <x:v>EV-D-16-K</x:v>
      </x:c>
      <x:c r="C170" s="9" t="str">
        <x:v>D</x:v>
      </x:c>
      <x:c r="D170" s="9" t="str">
        <x:v>W16</x:v>
      </x:c>
      <x:c r="E170" s="9" t="str">
        <x:v>root-native decisive challenge</x:v>
      </x:c>
      <x:c r="F170" s="9" t="str">
        <x:v>P2</x:v>
      </x:c>
      <x:c r="G170" s="9" t="str">
        <x:v>CLEAN CONTROL</x:v>
      </x:c>
      <x:c r="H170" s="9" t="str">
        <x:v>PAIR-D-16</x:v>
      </x:c>
      <x:c r="I170" s="9" t="str">
        <x:v>UNTESTED</x:v>
      </x:c>
      <x:c r="J170" s="9" t="str">
        <x:v>UNTESTED</x:v>
      </x:c>
      <x:c r="K170" s="9" t="str">
        <x:v>OPEN</x:v>
      </x:c>
      <x:c r="L170" s="9" t="str">
        <x:v>OPEN</x:v>
      </x:c>
      <x:c r="M170" s="9" t="n">
        <x:v>0</x:v>
      </x:c>
      <x:c r="N170" s="9" t="str">
        <x:v>REQUIRED</x:v>
      </x:c>
    </x:row>
    <x:row r="171">
      <x:c r="B171" s="9" t="str">
        <x:v>EV-D-17-C</x:v>
      </x:c>
      <x:c r="C171" s="9" t="str">
        <x:v>D</x:v>
      </x:c>
      <x:c r="D171" s="9" t="str">
        <x:v>W17</x:v>
      </x:c>
      <x:c r="E171" s="9" t="str">
        <x:v>second zone requests formation</x:v>
      </x:c>
      <x:c r="F171" s="9" t="str">
        <x:v>P1</x:v>
      </x:c>
      <x:c r="G171" s="9" t="str">
        <x:v>CHALLENGE</x:v>
      </x:c>
      <x:c r="H171" s="9" t="str">
        <x:v>PAIR-D-17</x:v>
      </x:c>
      <x:c r="I171" s="9" t="str">
        <x:v>UNTESTED</x:v>
      </x:c>
      <x:c r="J171" s="9" t="str">
        <x:v>UNTESTED</x:v>
      </x:c>
      <x:c r="K171" s="9" t="str">
        <x:v>OPEN</x:v>
      </x:c>
      <x:c r="L171" s="9" t="str">
        <x:v>OPEN</x:v>
      </x:c>
      <x:c r="M171" s="9" t="n">
        <x:v>0</x:v>
      </x:c>
      <x:c r="N171" s="9" t="str">
        <x:v>REQUIRED</x:v>
      </x:c>
    </x:row>
    <x:row r="172">
      <x:c r="B172" s="9" t="str">
        <x:v>EV-D-17-K</x:v>
      </x:c>
      <x:c r="C172" s="9" t="str">
        <x:v>D</x:v>
      </x:c>
      <x:c r="D172" s="9" t="str">
        <x:v>W17</x:v>
      </x:c>
      <x:c r="E172" s="9" t="str">
        <x:v>second zone requests formation</x:v>
      </x:c>
      <x:c r="F172" s="9" t="str">
        <x:v>P2</x:v>
      </x:c>
      <x:c r="G172" s="9" t="str">
        <x:v>CLEAN CONTROL</x:v>
      </x:c>
      <x:c r="H172" s="9" t="str">
        <x:v>PAIR-D-17</x:v>
      </x:c>
      <x:c r="I172" s="9" t="str">
        <x:v>UNTESTED</x:v>
      </x:c>
      <x:c r="J172" s="9" t="str">
        <x:v>UNTESTED</x:v>
      </x:c>
      <x:c r="K172" s="9" t="str">
        <x:v>OPEN</x:v>
      </x:c>
      <x:c r="L172" s="9" t="str">
        <x:v>OPEN</x:v>
      </x:c>
      <x:c r="M172" s="9" t="n">
        <x:v>0</x:v>
      </x:c>
      <x:c r="N172" s="9" t="str">
        <x:v>REQUIRED</x:v>
      </x:c>
    </x:row>
    <x:row r="173">
      <x:c r="B173" s="9" t="str">
        <x:v>EV-D-18-C</x:v>
      </x:c>
      <x:c r="C173" s="9" t="str">
        <x:v>D</x:v>
      </x:c>
      <x:c r="D173" s="9" t="str">
        <x:v>W18</x:v>
      </x:c>
      <x:c r="E173" s="9" t="str">
        <x:v>host accepts handback</x:v>
      </x:c>
      <x:c r="F173" s="9" t="str">
        <x:v>P1</x:v>
      </x:c>
      <x:c r="G173" s="9" t="str">
        <x:v>CHALLENGE</x:v>
      </x:c>
      <x:c r="H173" s="9" t="str">
        <x:v>PAIR-D-18</x:v>
      </x:c>
      <x:c r="I173" s="9" t="str">
        <x:v>UNTESTED</x:v>
      </x:c>
      <x:c r="J173" s="9" t="str">
        <x:v>UNTESTED</x:v>
      </x:c>
      <x:c r="K173" s="9" t="str">
        <x:v>OPEN</x:v>
      </x:c>
      <x:c r="L173" s="9" t="str">
        <x:v>OPEN</x:v>
      </x:c>
      <x:c r="M173" s="9" t="n">
        <x:v>0</x:v>
      </x:c>
      <x:c r="N173" s="9" t="str">
        <x:v>REQUIRED</x:v>
      </x:c>
    </x:row>
    <x:row r="174">
      <x:c r="B174" s="10" t="str">
        <x:v>EV-D-18-K</x:v>
      </x:c>
      <x:c r="C174" s="10" t="str">
        <x:v>D</x:v>
      </x:c>
      <x:c r="D174" s="10" t="str">
        <x:v>W18</x:v>
      </x:c>
      <x:c r="E174" s="10" t="str">
        <x:v>host accepts handback</x:v>
      </x:c>
      <x:c r="F174" s="10" t="str">
        <x:v>P2</x:v>
      </x:c>
      <x:c r="G174" s="10" t="str">
        <x:v>CLEAN CONTROL</x:v>
      </x:c>
      <x:c r="H174" s="10" t="str">
        <x:v>PAIR-D-18</x:v>
      </x:c>
      <x:c r="I174" s="10" t="str">
        <x:v>UNTESTED</x:v>
      </x:c>
      <x:c r="J174" s="10" t="str">
        <x:v>UNTESTED</x:v>
      </x:c>
      <x:c r="K174" s="10" t="str">
        <x:v>OPEN</x:v>
      </x:c>
      <x:c r="L174" s="10" t="str">
        <x:v>OPEN</x:v>
      </x:c>
      <x:c r="M174" s="10" t="n">
        <x:v>0</x:v>
      </x:c>
      <x:c r="N174" s="10" t="str">
        <x:v>REQUIRED</x:v>
      </x:c>
    </x:row>
  </x:sheetData>
  <x:mergeCells>
    <x:mergeCell ref="B2:N2"/>
    <x:mergeCell ref="B3:N3"/>
  </x:mergeCells>
  <x:conditionalFormatting sqref="H7:L174">
    <x:cfRule type="containsText" dxfId="60" priority="1" operator="containsText" text="PASS"/>
    <x:cfRule type="containsText" dxfId="61" priority="2" operator="containsText" text="SELECTED"/>
    <x:cfRule type="containsText" dxfId="62" priority="3" operator="containsText" text="COMPLETE"/>
    <x:cfRule type="containsText" dxfId="63" priority="4" operator="containsText" text="ACCEPTED"/>
    <x:cfRule type="containsText" dxfId="64" priority="5" operator="containsText" text="HOLD"/>
    <x:cfRule type="containsText" dxfId="65" priority="6" operator="containsText" text="OPEN"/>
    <x:cfRule type="containsText" dxfId="66" priority="7" operator="containsText" text="BLOCKED"/>
    <x:cfRule type="containsText" dxfId="67" priority="8" operator="containsText" text="UNTESTED"/>
    <x:cfRule type="containsText" dxfId="68" priority="9" operator="containsText" text="UNASSIGNED"/>
    <x:cfRule type="containsText" dxfId="69" priority="10" operator="containsText" text="FAIL"/>
    <x:cfRule type="containsText" dxfId="70" priority="11" operator="containsText" text="REJECT"/>
    <x:cfRule type="containsText" dxfId="71" priority="12" operator="containsText" text="IN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9" hidden="0" customWidth="1"/>
    <x:col min="4" max="4" width="38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28" hidden="0" customWidth="1"/>
    <x:col min="10" max="10" width="40" hidden="0" customWidth="1"/>
  </x:cols>
  <x:sheetData>
    <x:row r="2">
      <x:c r="B2" s="35" t="str">
        <x:v>Six hundred thirty-six governed evidence packages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Counts define required packages. All identities and acceptances remain source-empty.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Record</x:v>
      </x:c>
      <x:c r="C6" s="7" t="str">
        <x:v>Root</x:v>
      </x:c>
      <x:c r="D6" s="7" t="str">
        <x:v>Package class</x:v>
      </x:c>
      <x:c r="E6" s="7" t="str">
        <x:v>Required</x:v>
      </x:c>
      <x:c r="F6" s="7" t="str">
        <x:v>Accepted</x:v>
      </x:c>
      <x:c r="G6" s="7" t="str">
        <x:v>Difference</x:v>
      </x:c>
      <x:c r="H6" s="7" t="str">
        <x:v>Status</x:v>
      </x:c>
      <x:c r="I6" s="7" t="str">
        <x:v>Owner</x:v>
      </x:c>
      <x:c r="J6" s="7" t="str">
        <x:v>Rule</x:v>
      </x:c>
    </x:row>
    <x:row r="7">
      <x:c r="B7" s="9" t="str">
        <x:v>EP-A-001</x:v>
      </x:c>
      <x:c r="C7" s="9" t="str">
        <x:v>A</x:v>
      </x:c>
      <x:c r="D7" s="9" t="str">
        <x:v>article build records</x:v>
      </x:c>
      <x:c r="E7" s="9" t="n">
        <x:v>40</x:v>
      </x:c>
      <x:c r="F7" s="11" t="n">
        <x:v>0</x:v>
      </x:c>
      <x:c r="G7" s="9" t="n">
        <x:f>E7-F7</x:f>
        <x:v>40</x:v>
      </x:c>
      <x:c r="H7" s="9" t="str">
        <x:f>IF(F7=E7,"PASS","OPEN")</x:f>
        <x:v>OPEN</x:v>
      </x:c>
      <x:c r="I7" s="9" t="str">
        <x:v>root evidence office</x:v>
      </x:c>
      <x:c r="J7" s="9" t="str">
        <x:v>Missing package is missing observation</x:v>
      </x:c>
    </x:row>
    <x:row r="8">
      <x:c r="B8" s="9" t="str">
        <x:v>EP-A-002</x:v>
      </x:c>
      <x:c r="C8" s="9" t="str">
        <x:v>A</x:v>
      </x:c>
      <x:c r="D8" s="9" t="str">
        <x:v>valid-event packets</x:v>
      </x:c>
      <x:c r="E8" s="9" t="n">
        <x:v>42</x:v>
      </x:c>
      <x:c r="F8" s="11" t="n">
        <x:v>0</x:v>
      </x:c>
      <x:c r="G8" s="9" t="n">
        <x:f>E8-F8</x:f>
        <x:v>42</x:v>
      </x:c>
      <x:c r="H8" s="9" t="str">
        <x:f>IF(F8=E8,"PASS","OPEN")</x:f>
        <x:v>OPEN</x:v>
      </x:c>
      <x:c r="I8" s="9" t="str">
        <x:v>root evidence office</x:v>
      </x:c>
      <x:c r="J8" s="9" t="str">
        <x:v>Missing package is missing observation</x:v>
      </x:c>
    </x:row>
    <x:row r="9">
      <x:c r="B9" s="9" t="str">
        <x:v>EP-A-003</x:v>
      </x:c>
      <x:c r="C9" s="9" t="str">
        <x:v>A</x:v>
      </x:c>
      <x:c r="D9" s="9" t="str">
        <x:v>outside replays</x:v>
      </x:c>
      <x:c r="E9" s="9" t="n">
        <x:v>42</x:v>
      </x:c>
      <x:c r="F9" s="11" t="n">
        <x:v>0</x:v>
      </x:c>
      <x:c r="G9" s="9" t="n">
        <x:f>E9-F9</x:f>
        <x:v>42</x:v>
      </x:c>
      <x:c r="H9" s="9" t="str">
        <x:f>IF(F9=E9,"PASS","OPEN")</x:f>
        <x:v>OPEN</x:v>
      </x:c>
      <x:c r="I9" s="9" t="str">
        <x:v>sovereign evidence authority</x:v>
      </x:c>
      <x:c r="J9" s="9" t="str">
        <x:v>Missing package is missing observation</x:v>
      </x:c>
    </x:row>
    <x:row r="10">
      <x:c r="B10" s="9" t="str">
        <x:v>EP-A-004</x:v>
      </x:c>
      <x:c r="C10" s="9" t="str">
        <x:v>A</x:v>
      </x:c>
      <x:c r="D10" s="9" t="str">
        <x:v>ancestry declarations</x:v>
      </x:c>
      <x:c r="E10" s="9" t="n">
        <x:v>12</x:v>
      </x:c>
      <x:c r="F10" s="11" t="n">
        <x:v>0</x:v>
      </x:c>
      <x:c r="G10" s="9" t="n">
        <x:f>E10-F10</x:f>
        <x:v>12</x:v>
      </x:c>
      <x:c r="H10" s="9" t="str">
        <x:f>IF(F10=E10,"PASS","OPEN")</x:f>
        <x:v>OPEN</x:v>
      </x:c>
      <x:c r="I10" s="9" t="str">
        <x:v>root evidence office</x:v>
      </x:c>
      <x:c r="J10" s="9" t="str">
        <x:v>Missing package is missing observation</x:v>
      </x:c>
    </x:row>
    <x:row r="11">
      <x:c r="B11" s="9" t="str">
        <x:v>EP-A-005</x:v>
      </x:c>
      <x:c r="C11" s="9" t="str">
        <x:v>A</x:v>
      </x:c>
      <x:c r="D11" s="9" t="str">
        <x:v>calibration chains</x:v>
      </x:c>
      <x:c r="E11" s="9" t="n">
        <x:v>12</x:v>
      </x:c>
      <x:c r="F11" s="11" t="n">
        <x:v>0</x:v>
      </x:c>
      <x:c r="G11" s="9" t="n">
        <x:f>E11-F11</x:f>
        <x:v>12</x:v>
      </x:c>
      <x:c r="H11" s="9" t="str">
        <x:f>IF(F11=E11,"PASS","OPEN")</x:f>
        <x:v>OPEN</x:v>
      </x:c>
      <x:c r="I11" s="9" t="str">
        <x:v>root evidence office</x:v>
      </x:c>
      <x:c r="J11" s="9" t="str">
        <x:v>Missing package is missing observation</x:v>
      </x:c>
    </x:row>
    <x:row r="12">
      <x:c r="B12" s="9" t="str">
        <x:v>EP-A-006</x:v>
      </x:c>
      <x:c r="C12" s="9" t="str">
        <x:v>A</x:v>
      </x:c>
      <x:c r="D12" s="9" t="str">
        <x:v>repair/reset dossiers</x:v>
      </x:c>
      <x:c r="E12" s="9" t="n">
        <x:v>3</x:v>
      </x:c>
      <x:c r="F12" s="11" t="n">
        <x:v>0</x:v>
      </x:c>
      <x:c r="G12" s="9" t="n">
        <x:f>E12-F12</x:f>
        <x:v>3</x:v>
      </x:c>
      <x:c r="H12" s="9" t="str">
        <x:f>IF(F12=E12,"PASS","OPEN")</x:f>
        <x:v>OPEN</x:v>
      </x:c>
      <x:c r="I12" s="9" t="str">
        <x:v>root evidence office</x:v>
      </x:c>
      <x:c r="J12" s="9" t="str">
        <x:v>Missing package is missing observation</x:v>
      </x:c>
    </x:row>
    <x:row r="13">
      <x:c r="B13" s="9" t="str">
        <x:v>EP-A-007</x:v>
      </x:c>
      <x:c r="C13" s="9" t="str">
        <x:v>A</x:v>
      </x:c>
      <x:c r="D13" s="9" t="str">
        <x:v>second-team reproduction dossier</x:v>
      </x:c>
      <x:c r="E13" s="9" t="n">
        <x:v>1</x:v>
      </x:c>
      <x:c r="F13" s="11" t="n">
        <x:v>0</x:v>
      </x:c>
      <x:c r="G13" s="9" t="n">
        <x:f>E13-F13</x:f>
        <x:v>1</x:v>
      </x:c>
      <x:c r="H13" s="9" t="str">
        <x:f>IF(F13=E13,"PASS","OPEN")</x:f>
        <x:v>OPEN</x:v>
      </x:c>
      <x:c r="I13" s="9" t="str">
        <x:v>root evidence office</x:v>
      </x:c>
      <x:c r="J13" s="9" t="str">
        <x:v>Missing package is missing observation</x:v>
      </x:c>
    </x:row>
    <x:row r="14">
      <x:c r="B14" s="9" t="str">
        <x:v>EP-A-008</x:v>
      </x:c>
      <x:c r="C14" s="9" t="str">
        <x:v>A</x:v>
      </x:c>
      <x:c r="D14" s="9" t="str">
        <x:v>safety and rights case</x:v>
      </x:c>
      <x:c r="E14" s="9" t="n">
        <x:v>1</x:v>
      </x:c>
      <x:c r="F14" s="11" t="n">
        <x:v>0</x:v>
      </x:c>
      <x:c r="G14" s="9" t="n">
        <x:f>E14-F14</x:f>
        <x:v>1</x:v>
      </x:c>
      <x:c r="H14" s="9" t="str">
        <x:f>IF(F14=E14,"PASS","OPEN")</x:f>
        <x:v>OPEN</x:v>
      </x:c>
      <x:c r="I14" s="9" t="str">
        <x:v>root evidence office</x:v>
      </x:c>
      <x:c r="J14" s="9" t="str">
        <x:v>Missing package is missing observation</x:v>
      </x:c>
    </x:row>
    <x:row r="15">
      <x:c r="B15" s="9" t="str">
        <x:v>EP-A-009</x:v>
      </x:c>
      <x:c r="C15" s="9" t="str">
        <x:v>A</x:v>
      </x:c>
      <x:c r="D15" s="9" t="str">
        <x:v>independent release record</x:v>
      </x:c>
      <x:c r="E15" s="9" t="n">
        <x:v>1</x:v>
      </x:c>
      <x:c r="F15" s="11" t="n">
        <x:v>0</x:v>
      </x:c>
      <x:c r="G15" s="9" t="n">
        <x:f>E15-F15</x:f>
        <x:v>1</x:v>
      </x:c>
      <x:c r="H15" s="9" t="str">
        <x:f>IF(F15=E15,"PASS","OPEN")</x:f>
        <x:v>OPEN</x:v>
      </x:c>
      <x:c r="I15" s="9" t="str">
        <x:v>sovereign evidence authority</x:v>
      </x:c>
      <x:c r="J15" s="9" t="str">
        <x:v>Missing package is missing observation</x:v>
      </x:c>
    </x:row>
    <x:row r="16">
      <x:c r="B16" s="9" t="str">
        <x:v>EP-A-010</x:v>
      </x:c>
      <x:c r="C16" s="9" t="str">
        <x:v>A</x:v>
      </x:c>
      <x:c r="D16" s="9" t="str">
        <x:v>route and threshold dossiers</x:v>
      </x:c>
      <x:c r="E16" s="9" t="n">
        <x:v>5</x:v>
      </x:c>
      <x:c r="F16" s="11" t="n">
        <x:v>0</x:v>
      </x:c>
      <x:c r="G16" s="9" t="n">
        <x:f>E16-F16</x:f>
        <x:v>5</x:v>
      </x:c>
      <x:c r="H16" s="9" t="str">
        <x:f>IF(F16=E16,"PASS","OPEN")</x:f>
        <x:v>OPEN</x:v>
      </x:c>
      <x:c r="I16" s="9" t="str">
        <x:v>root evidence office</x:v>
      </x:c>
      <x:c r="J16" s="9" t="str">
        <x:v>Missing package is missing observation</x:v>
      </x:c>
    </x:row>
    <x:row r="17">
      <x:c r="B17" s="9" t="str">
        <x:v>EP-B-011</x:v>
      </x:c>
      <x:c r="C17" s="9" t="str">
        <x:v>B</x:v>
      </x:c>
      <x:c r="D17" s="9" t="str">
        <x:v>article build records</x:v>
      </x:c>
      <x:c r="E17" s="9" t="n">
        <x:v>40</x:v>
      </x:c>
      <x:c r="F17" s="11" t="n">
        <x:v>0</x:v>
      </x:c>
      <x:c r="G17" s="9" t="n">
        <x:f>E17-F17</x:f>
        <x:v>40</x:v>
      </x:c>
      <x:c r="H17" s="9" t="str">
        <x:f>IF(F17=E17,"PASS","OPEN")</x:f>
        <x:v>OPEN</x:v>
      </x:c>
      <x:c r="I17" s="9" t="str">
        <x:v>root evidence office</x:v>
      </x:c>
      <x:c r="J17" s="9" t="str">
        <x:v>Missing package is missing observation</x:v>
      </x:c>
    </x:row>
    <x:row r="18">
      <x:c r="B18" s="9" t="str">
        <x:v>EP-B-012</x:v>
      </x:c>
      <x:c r="C18" s="9" t="str">
        <x:v>B</x:v>
      </x:c>
      <x:c r="D18" s="9" t="str">
        <x:v>valid-event packets</x:v>
      </x:c>
      <x:c r="E18" s="9" t="n">
        <x:v>42</x:v>
      </x:c>
      <x:c r="F18" s="11" t="n">
        <x:v>0</x:v>
      </x:c>
      <x:c r="G18" s="9" t="n">
        <x:f>E18-F18</x:f>
        <x:v>42</x:v>
      </x:c>
      <x:c r="H18" s="9" t="str">
        <x:f>IF(F18=E18,"PASS","OPEN")</x:f>
        <x:v>OPEN</x:v>
      </x:c>
      <x:c r="I18" s="9" t="str">
        <x:v>root evidence office</x:v>
      </x:c>
      <x:c r="J18" s="9" t="str">
        <x:v>Missing package is missing observation</x:v>
      </x:c>
    </x:row>
    <x:row r="19">
      <x:c r="B19" s="9" t="str">
        <x:v>EP-B-013</x:v>
      </x:c>
      <x:c r="C19" s="9" t="str">
        <x:v>B</x:v>
      </x:c>
      <x:c r="D19" s="9" t="str">
        <x:v>outside replays</x:v>
      </x:c>
      <x:c r="E19" s="9" t="n">
        <x:v>42</x:v>
      </x:c>
      <x:c r="F19" s="11" t="n">
        <x:v>0</x:v>
      </x:c>
      <x:c r="G19" s="9" t="n">
        <x:f>E19-F19</x:f>
        <x:v>42</x:v>
      </x:c>
      <x:c r="H19" s="9" t="str">
        <x:f>IF(F19=E19,"PASS","OPEN")</x:f>
        <x:v>OPEN</x:v>
      </x:c>
      <x:c r="I19" s="9" t="str">
        <x:v>sovereign evidence authority</x:v>
      </x:c>
      <x:c r="J19" s="9" t="str">
        <x:v>Missing package is missing observation</x:v>
      </x:c>
    </x:row>
    <x:row r="20">
      <x:c r="B20" s="9" t="str">
        <x:v>EP-B-014</x:v>
      </x:c>
      <x:c r="C20" s="9" t="str">
        <x:v>B</x:v>
      </x:c>
      <x:c r="D20" s="9" t="str">
        <x:v>ancestry declarations</x:v>
      </x:c>
      <x:c r="E20" s="9" t="n">
        <x:v>12</x:v>
      </x:c>
      <x:c r="F20" s="11" t="n">
        <x:v>0</x:v>
      </x:c>
      <x:c r="G20" s="9" t="n">
        <x:f>E20-F20</x:f>
        <x:v>12</x:v>
      </x:c>
      <x:c r="H20" s="9" t="str">
        <x:f>IF(F20=E20,"PASS","OPEN")</x:f>
        <x:v>OPEN</x:v>
      </x:c>
      <x:c r="I20" s="9" t="str">
        <x:v>root evidence office</x:v>
      </x:c>
      <x:c r="J20" s="9" t="str">
        <x:v>Missing package is missing observation</x:v>
      </x:c>
    </x:row>
    <x:row r="21">
      <x:c r="B21" s="9" t="str">
        <x:v>EP-B-015</x:v>
      </x:c>
      <x:c r="C21" s="9" t="str">
        <x:v>B</x:v>
      </x:c>
      <x:c r="D21" s="9" t="str">
        <x:v>calibration chains</x:v>
      </x:c>
      <x:c r="E21" s="9" t="n">
        <x:v>12</x:v>
      </x:c>
      <x:c r="F21" s="11" t="n">
        <x:v>0</x:v>
      </x:c>
      <x:c r="G21" s="9" t="n">
        <x:f>E21-F21</x:f>
        <x:v>12</x:v>
      </x:c>
      <x:c r="H21" s="9" t="str">
        <x:f>IF(F21=E21,"PASS","OPEN")</x:f>
        <x:v>OPEN</x:v>
      </x:c>
      <x:c r="I21" s="9" t="str">
        <x:v>root evidence office</x:v>
      </x:c>
      <x:c r="J21" s="9" t="str">
        <x:v>Missing package is missing observation</x:v>
      </x:c>
    </x:row>
    <x:row r="22">
      <x:c r="B22" s="9" t="str">
        <x:v>EP-B-016</x:v>
      </x:c>
      <x:c r="C22" s="9" t="str">
        <x:v>B</x:v>
      </x:c>
      <x:c r="D22" s="9" t="str">
        <x:v>repair/reset dossiers</x:v>
      </x:c>
      <x:c r="E22" s="9" t="n">
        <x:v>3</x:v>
      </x:c>
      <x:c r="F22" s="11" t="n">
        <x:v>0</x:v>
      </x:c>
      <x:c r="G22" s="9" t="n">
        <x:f>E22-F22</x:f>
        <x:v>3</x:v>
      </x:c>
      <x:c r="H22" s="9" t="str">
        <x:f>IF(F22=E22,"PASS","OPEN")</x:f>
        <x:v>OPEN</x:v>
      </x:c>
      <x:c r="I22" s="9" t="str">
        <x:v>root evidence office</x:v>
      </x:c>
      <x:c r="J22" s="9" t="str">
        <x:v>Missing package is missing observation</x:v>
      </x:c>
    </x:row>
    <x:row r="23">
      <x:c r="B23" s="9" t="str">
        <x:v>EP-B-017</x:v>
      </x:c>
      <x:c r="C23" s="9" t="str">
        <x:v>B</x:v>
      </x:c>
      <x:c r="D23" s="9" t="str">
        <x:v>second-team reproduction dossier</x:v>
      </x:c>
      <x:c r="E23" s="9" t="n">
        <x:v>1</x:v>
      </x:c>
      <x:c r="F23" s="11" t="n">
        <x:v>0</x:v>
      </x:c>
      <x:c r="G23" s="9" t="n">
        <x:f>E23-F23</x:f>
        <x:v>1</x:v>
      </x:c>
      <x:c r="H23" s="9" t="str">
        <x:f>IF(F23=E23,"PASS","OPEN")</x:f>
        <x:v>OPEN</x:v>
      </x:c>
      <x:c r="I23" s="9" t="str">
        <x:v>root evidence office</x:v>
      </x:c>
      <x:c r="J23" s="9" t="str">
        <x:v>Missing package is missing observation</x:v>
      </x:c>
    </x:row>
    <x:row r="24">
      <x:c r="B24" s="9" t="str">
        <x:v>EP-B-018</x:v>
      </x:c>
      <x:c r="C24" s="9" t="str">
        <x:v>B</x:v>
      </x:c>
      <x:c r="D24" s="9" t="str">
        <x:v>safety and rights case</x:v>
      </x:c>
      <x:c r="E24" s="9" t="n">
        <x:v>1</x:v>
      </x:c>
      <x:c r="F24" s="11" t="n">
        <x:v>0</x:v>
      </x:c>
      <x:c r="G24" s="9" t="n">
        <x:f>E24-F24</x:f>
        <x:v>1</x:v>
      </x:c>
      <x:c r="H24" s="9" t="str">
        <x:f>IF(F24=E24,"PASS","OPEN")</x:f>
        <x:v>OPEN</x:v>
      </x:c>
      <x:c r="I24" s="9" t="str">
        <x:v>root evidence office</x:v>
      </x:c>
      <x:c r="J24" s="9" t="str">
        <x:v>Missing package is missing observation</x:v>
      </x:c>
    </x:row>
    <x:row r="25">
      <x:c r="B25" s="9" t="str">
        <x:v>EP-B-019</x:v>
      </x:c>
      <x:c r="C25" s="9" t="str">
        <x:v>B</x:v>
      </x:c>
      <x:c r="D25" s="9" t="str">
        <x:v>independent release record</x:v>
      </x:c>
      <x:c r="E25" s="9" t="n">
        <x:v>1</x:v>
      </x:c>
      <x:c r="F25" s="11" t="n">
        <x:v>0</x:v>
      </x:c>
      <x:c r="G25" s="9" t="n">
        <x:f>E25-F25</x:f>
        <x:v>1</x:v>
      </x:c>
      <x:c r="H25" s="9" t="str">
        <x:f>IF(F25=E25,"PASS","OPEN")</x:f>
        <x:v>OPEN</x:v>
      </x:c>
      <x:c r="I25" s="9" t="str">
        <x:v>sovereign evidence authority</x:v>
      </x:c>
      <x:c r="J25" s="9" t="str">
        <x:v>Missing package is missing observation</x:v>
      </x:c>
    </x:row>
    <x:row r="26">
      <x:c r="B26" s="9" t="str">
        <x:v>EP-B-020</x:v>
      </x:c>
      <x:c r="C26" s="9" t="str">
        <x:v>B</x:v>
      </x:c>
      <x:c r="D26" s="9" t="str">
        <x:v>route and threshold dossiers</x:v>
      </x:c>
      <x:c r="E26" s="9" t="n">
        <x:v>5</x:v>
      </x:c>
      <x:c r="F26" s="11" t="n">
        <x:v>0</x:v>
      </x:c>
      <x:c r="G26" s="9" t="n">
        <x:f>E26-F26</x:f>
        <x:v>5</x:v>
      </x:c>
      <x:c r="H26" s="9" t="str">
        <x:f>IF(F26=E26,"PASS","OPEN")</x:f>
        <x:v>OPEN</x:v>
      </x:c>
      <x:c r="I26" s="9" t="str">
        <x:v>root evidence office</x:v>
      </x:c>
      <x:c r="J26" s="9" t="str">
        <x:v>Missing package is missing observation</x:v>
      </x:c>
    </x:row>
    <x:row r="27">
      <x:c r="B27" s="9" t="str">
        <x:v>EP-C-021</x:v>
      </x:c>
      <x:c r="C27" s="9" t="str">
        <x:v>C</x:v>
      </x:c>
      <x:c r="D27" s="9" t="str">
        <x:v>article build records</x:v>
      </x:c>
      <x:c r="E27" s="9" t="n">
        <x:v>40</x:v>
      </x:c>
      <x:c r="F27" s="11" t="n">
        <x:v>0</x:v>
      </x:c>
      <x:c r="G27" s="9" t="n">
        <x:f>E27-F27</x:f>
        <x:v>40</x:v>
      </x:c>
      <x:c r="H27" s="9" t="str">
        <x:f>IF(F27=E27,"PASS","OPEN")</x:f>
        <x:v>OPEN</x:v>
      </x:c>
      <x:c r="I27" s="9" t="str">
        <x:v>root evidence office</x:v>
      </x:c>
      <x:c r="J27" s="9" t="str">
        <x:v>Missing package is missing observation</x:v>
      </x:c>
    </x:row>
    <x:row r="28">
      <x:c r="B28" s="9" t="str">
        <x:v>EP-C-022</x:v>
      </x:c>
      <x:c r="C28" s="9" t="str">
        <x:v>C</x:v>
      </x:c>
      <x:c r="D28" s="9" t="str">
        <x:v>valid-event packets</x:v>
      </x:c>
      <x:c r="E28" s="9" t="n">
        <x:v>42</x:v>
      </x:c>
      <x:c r="F28" s="11" t="n">
        <x:v>0</x:v>
      </x:c>
      <x:c r="G28" s="9" t="n">
        <x:f>E28-F28</x:f>
        <x:v>42</x:v>
      </x:c>
      <x:c r="H28" s="9" t="str">
        <x:f>IF(F28=E28,"PASS","OPEN")</x:f>
        <x:v>OPEN</x:v>
      </x:c>
      <x:c r="I28" s="9" t="str">
        <x:v>root evidence office</x:v>
      </x:c>
      <x:c r="J28" s="9" t="str">
        <x:v>Missing package is missing observation</x:v>
      </x:c>
    </x:row>
    <x:row r="29">
      <x:c r="B29" s="9" t="str">
        <x:v>EP-C-023</x:v>
      </x:c>
      <x:c r="C29" s="9" t="str">
        <x:v>C</x:v>
      </x:c>
      <x:c r="D29" s="9" t="str">
        <x:v>outside replays</x:v>
      </x:c>
      <x:c r="E29" s="9" t="n">
        <x:v>42</x:v>
      </x:c>
      <x:c r="F29" s="11" t="n">
        <x:v>0</x:v>
      </x:c>
      <x:c r="G29" s="9" t="n">
        <x:f>E29-F29</x:f>
        <x:v>42</x:v>
      </x:c>
      <x:c r="H29" s="9" t="str">
        <x:f>IF(F29=E29,"PASS","OPEN")</x:f>
        <x:v>OPEN</x:v>
      </x:c>
      <x:c r="I29" s="9" t="str">
        <x:v>sovereign evidence authority</x:v>
      </x:c>
      <x:c r="J29" s="9" t="str">
        <x:v>Missing package is missing observation</x:v>
      </x:c>
    </x:row>
    <x:row r="30">
      <x:c r="B30" s="9" t="str">
        <x:v>EP-C-024</x:v>
      </x:c>
      <x:c r="C30" s="9" t="str">
        <x:v>C</x:v>
      </x:c>
      <x:c r="D30" s="9" t="str">
        <x:v>ancestry declarations</x:v>
      </x:c>
      <x:c r="E30" s="9" t="n">
        <x:v>12</x:v>
      </x:c>
      <x:c r="F30" s="11" t="n">
        <x:v>0</x:v>
      </x:c>
      <x:c r="G30" s="9" t="n">
        <x:f>E30-F30</x:f>
        <x:v>12</x:v>
      </x:c>
      <x:c r="H30" s="9" t="str">
        <x:f>IF(F30=E30,"PASS","OPEN")</x:f>
        <x:v>OPEN</x:v>
      </x:c>
      <x:c r="I30" s="9" t="str">
        <x:v>root evidence office</x:v>
      </x:c>
      <x:c r="J30" s="9" t="str">
        <x:v>Missing package is missing observation</x:v>
      </x:c>
    </x:row>
    <x:row r="31">
      <x:c r="B31" s="9" t="str">
        <x:v>EP-C-025</x:v>
      </x:c>
      <x:c r="C31" s="9" t="str">
        <x:v>C</x:v>
      </x:c>
      <x:c r="D31" s="9" t="str">
        <x:v>calibration chains</x:v>
      </x:c>
      <x:c r="E31" s="9" t="n">
        <x:v>12</x:v>
      </x:c>
      <x:c r="F31" s="11" t="n">
        <x:v>0</x:v>
      </x:c>
      <x:c r="G31" s="9" t="n">
        <x:f>E31-F31</x:f>
        <x:v>12</x:v>
      </x:c>
      <x:c r="H31" s="9" t="str">
        <x:f>IF(F31=E31,"PASS","OPEN")</x:f>
        <x:v>OPEN</x:v>
      </x:c>
      <x:c r="I31" s="9" t="str">
        <x:v>root evidence office</x:v>
      </x:c>
      <x:c r="J31" s="9" t="str">
        <x:v>Missing package is missing observation</x:v>
      </x:c>
    </x:row>
    <x:row r="32">
      <x:c r="B32" s="9" t="str">
        <x:v>EP-C-026</x:v>
      </x:c>
      <x:c r="C32" s="9" t="str">
        <x:v>C</x:v>
      </x:c>
      <x:c r="D32" s="9" t="str">
        <x:v>repair/reset dossiers</x:v>
      </x:c>
      <x:c r="E32" s="9" t="n">
        <x:v>3</x:v>
      </x:c>
      <x:c r="F32" s="11" t="n">
        <x:v>0</x:v>
      </x:c>
      <x:c r="G32" s="9" t="n">
        <x:f>E32-F32</x:f>
        <x:v>3</x:v>
      </x:c>
      <x:c r="H32" s="9" t="str">
        <x:f>IF(F32=E32,"PASS","OPEN")</x:f>
        <x:v>OPEN</x:v>
      </x:c>
      <x:c r="I32" s="9" t="str">
        <x:v>root evidence office</x:v>
      </x:c>
      <x:c r="J32" s="9" t="str">
        <x:v>Missing package is missing observation</x:v>
      </x:c>
    </x:row>
    <x:row r="33">
      <x:c r="B33" s="9" t="str">
        <x:v>EP-C-027</x:v>
      </x:c>
      <x:c r="C33" s="9" t="str">
        <x:v>C</x:v>
      </x:c>
      <x:c r="D33" s="9" t="str">
        <x:v>second-team reproduction dossier</x:v>
      </x:c>
      <x:c r="E33" s="9" t="n">
        <x:v>1</x:v>
      </x:c>
      <x:c r="F33" s="11" t="n">
        <x:v>0</x:v>
      </x:c>
      <x:c r="G33" s="9" t="n">
        <x:f>E33-F33</x:f>
        <x:v>1</x:v>
      </x:c>
      <x:c r="H33" s="9" t="str">
        <x:f>IF(F33=E33,"PASS","OPEN")</x:f>
        <x:v>OPEN</x:v>
      </x:c>
      <x:c r="I33" s="9" t="str">
        <x:v>root evidence office</x:v>
      </x:c>
      <x:c r="J33" s="9" t="str">
        <x:v>Missing package is missing observation</x:v>
      </x:c>
    </x:row>
    <x:row r="34">
      <x:c r="B34" s="9" t="str">
        <x:v>EP-C-028</x:v>
      </x:c>
      <x:c r="C34" s="9" t="str">
        <x:v>C</x:v>
      </x:c>
      <x:c r="D34" s="9" t="str">
        <x:v>safety and rights case</x:v>
      </x:c>
      <x:c r="E34" s="9" t="n">
        <x:v>1</x:v>
      </x:c>
      <x:c r="F34" s="11" t="n">
        <x:v>0</x:v>
      </x:c>
      <x:c r="G34" s="9" t="n">
        <x:f>E34-F34</x:f>
        <x:v>1</x:v>
      </x:c>
      <x:c r="H34" s="9" t="str">
        <x:f>IF(F34=E34,"PASS","OPEN")</x:f>
        <x:v>OPEN</x:v>
      </x:c>
      <x:c r="I34" s="9" t="str">
        <x:v>root evidence office</x:v>
      </x:c>
      <x:c r="J34" s="9" t="str">
        <x:v>Missing package is missing observation</x:v>
      </x:c>
    </x:row>
    <x:row r="35">
      <x:c r="B35" s="9" t="str">
        <x:v>EP-C-029</x:v>
      </x:c>
      <x:c r="C35" s="9" t="str">
        <x:v>C</x:v>
      </x:c>
      <x:c r="D35" s="9" t="str">
        <x:v>independent release record</x:v>
      </x:c>
      <x:c r="E35" s="9" t="n">
        <x:v>1</x:v>
      </x:c>
      <x:c r="F35" s="11" t="n">
        <x:v>0</x:v>
      </x:c>
      <x:c r="G35" s="9" t="n">
        <x:f>E35-F35</x:f>
        <x:v>1</x:v>
      </x:c>
      <x:c r="H35" s="9" t="str">
        <x:f>IF(F35=E35,"PASS","OPEN")</x:f>
        <x:v>OPEN</x:v>
      </x:c>
      <x:c r="I35" s="9" t="str">
        <x:v>sovereign evidence authority</x:v>
      </x:c>
      <x:c r="J35" s="9" t="str">
        <x:v>Missing package is missing observation</x:v>
      </x:c>
    </x:row>
    <x:row r="36">
      <x:c r="B36" s="9" t="str">
        <x:v>EP-C-030</x:v>
      </x:c>
      <x:c r="C36" s="9" t="str">
        <x:v>C</x:v>
      </x:c>
      <x:c r="D36" s="9" t="str">
        <x:v>route and threshold dossiers</x:v>
      </x:c>
      <x:c r="E36" s="9" t="n">
        <x:v>5</x:v>
      </x:c>
      <x:c r="F36" s="11" t="n">
        <x:v>0</x:v>
      </x:c>
      <x:c r="G36" s="9" t="n">
        <x:f>E36-F36</x:f>
        <x:v>5</x:v>
      </x:c>
      <x:c r="H36" s="9" t="str">
        <x:f>IF(F36=E36,"PASS","OPEN")</x:f>
        <x:v>OPEN</x:v>
      </x:c>
      <x:c r="I36" s="9" t="str">
        <x:v>root evidence office</x:v>
      </x:c>
      <x:c r="J36" s="9" t="str">
        <x:v>Missing package is missing observation</x:v>
      </x:c>
    </x:row>
    <x:row r="37">
      <x:c r="B37" s="9" t="str">
        <x:v>EP-D-031</x:v>
      </x:c>
      <x:c r="C37" s="9" t="str">
        <x:v>D</x:v>
      </x:c>
      <x:c r="D37" s="9" t="str">
        <x:v>article build records</x:v>
      </x:c>
      <x:c r="E37" s="9" t="n">
        <x:v>40</x:v>
      </x:c>
      <x:c r="F37" s="11" t="n">
        <x:v>0</x:v>
      </x:c>
      <x:c r="G37" s="9" t="n">
        <x:f>E37-F37</x:f>
        <x:v>40</x:v>
      </x:c>
      <x:c r="H37" s="9" t="str">
        <x:f>IF(F37=E37,"PASS","OPEN")</x:f>
        <x:v>OPEN</x:v>
      </x:c>
      <x:c r="I37" s="9" t="str">
        <x:v>root evidence office</x:v>
      </x:c>
      <x:c r="J37" s="9" t="str">
        <x:v>Missing package is missing observation</x:v>
      </x:c>
    </x:row>
    <x:row r="38">
      <x:c r="B38" s="9" t="str">
        <x:v>EP-D-032</x:v>
      </x:c>
      <x:c r="C38" s="9" t="str">
        <x:v>D</x:v>
      </x:c>
      <x:c r="D38" s="9" t="str">
        <x:v>valid-event packets</x:v>
      </x:c>
      <x:c r="E38" s="9" t="n">
        <x:v>42</x:v>
      </x:c>
      <x:c r="F38" s="11" t="n">
        <x:v>0</x:v>
      </x:c>
      <x:c r="G38" s="9" t="n">
        <x:f>E38-F38</x:f>
        <x:v>42</x:v>
      </x:c>
      <x:c r="H38" s="9" t="str">
        <x:f>IF(F38=E38,"PASS","OPEN")</x:f>
        <x:v>OPEN</x:v>
      </x:c>
      <x:c r="I38" s="9" t="str">
        <x:v>root evidence office</x:v>
      </x:c>
      <x:c r="J38" s="9" t="str">
        <x:v>Missing package is missing observation</x:v>
      </x:c>
    </x:row>
    <x:row r="39">
      <x:c r="B39" s="9" t="str">
        <x:v>EP-D-033</x:v>
      </x:c>
      <x:c r="C39" s="9" t="str">
        <x:v>D</x:v>
      </x:c>
      <x:c r="D39" s="9" t="str">
        <x:v>outside replays</x:v>
      </x:c>
      <x:c r="E39" s="9" t="n">
        <x:v>42</x:v>
      </x:c>
      <x:c r="F39" s="11" t="n">
        <x:v>0</x:v>
      </x:c>
      <x:c r="G39" s="9" t="n">
        <x:f>E39-F39</x:f>
        <x:v>42</x:v>
      </x:c>
      <x:c r="H39" s="9" t="str">
        <x:f>IF(F39=E39,"PASS","OPEN")</x:f>
        <x:v>OPEN</x:v>
      </x:c>
      <x:c r="I39" s="9" t="str">
        <x:v>sovereign evidence authority</x:v>
      </x:c>
      <x:c r="J39" s="9" t="str">
        <x:v>Missing package is missing observation</x:v>
      </x:c>
    </x:row>
    <x:row r="40">
      <x:c r="B40" s="9" t="str">
        <x:v>EP-D-034</x:v>
      </x:c>
      <x:c r="C40" s="9" t="str">
        <x:v>D</x:v>
      </x:c>
      <x:c r="D40" s="9" t="str">
        <x:v>ancestry declarations</x:v>
      </x:c>
      <x:c r="E40" s="9" t="n">
        <x:v>12</x:v>
      </x:c>
      <x:c r="F40" s="11" t="n">
        <x:v>0</x:v>
      </x:c>
      <x:c r="G40" s="9" t="n">
        <x:f>E40-F40</x:f>
        <x:v>12</x:v>
      </x:c>
      <x:c r="H40" s="9" t="str">
        <x:f>IF(F40=E40,"PASS","OPEN")</x:f>
        <x:v>OPEN</x:v>
      </x:c>
      <x:c r="I40" s="9" t="str">
        <x:v>root evidence office</x:v>
      </x:c>
      <x:c r="J40" s="9" t="str">
        <x:v>Missing package is missing observation</x:v>
      </x:c>
    </x:row>
    <x:row r="41">
      <x:c r="B41" s="9" t="str">
        <x:v>EP-D-035</x:v>
      </x:c>
      <x:c r="C41" s="9" t="str">
        <x:v>D</x:v>
      </x:c>
      <x:c r="D41" s="9" t="str">
        <x:v>calibration chains</x:v>
      </x:c>
      <x:c r="E41" s="9" t="n">
        <x:v>12</x:v>
      </x:c>
      <x:c r="F41" s="11" t="n">
        <x:v>0</x:v>
      </x:c>
      <x:c r="G41" s="9" t="n">
        <x:f>E41-F41</x:f>
        <x:v>12</x:v>
      </x:c>
      <x:c r="H41" s="9" t="str">
        <x:f>IF(F41=E41,"PASS","OPEN")</x:f>
        <x:v>OPEN</x:v>
      </x:c>
      <x:c r="I41" s="9" t="str">
        <x:v>root evidence office</x:v>
      </x:c>
      <x:c r="J41" s="9" t="str">
        <x:v>Missing package is missing observation</x:v>
      </x:c>
    </x:row>
    <x:row r="42">
      <x:c r="B42" s="9" t="str">
        <x:v>EP-D-036</x:v>
      </x:c>
      <x:c r="C42" s="9" t="str">
        <x:v>D</x:v>
      </x:c>
      <x:c r="D42" s="9" t="str">
        <x:v>repair/reset dossiers</x:v>
      </x:c>
      <x:c r="E42" s="9" t="n">
        <x:v>3</x:v>
      </x:c>
      <x:c r="F42" s="11" t="n">
        <x:v>0</x:v>
      </x:c>
      <x:c r="G42" s="9" t="n">
        <x:f>E42-F42</x:f>
        <x:v>3</x:v>
      </x:c>
      <x:c r="H42" s="9" t="str">
        <x:f>IF(F42=E42,"PASS","OPEN")</x:f>
        <x:v>OPEN</x:v>
      </x:c>
      <x:c r="I42" s="9" t="str">
        <x:v>root evidence office</x:v>
      </x:c>
      <x:c r="J42" s="9" t="str">
        <x:v>Missing package is missing observation</x:v>
      </x:c>
    </x:row>
    <x:row r="43">
      <x:c r="B43" s="9" t="str">
        <x:v>EP-D-037</x:v>
      </x:c>
      <x:c r="C43" s="9" t="str">
        <x:v>D</x:v>
      </x:c>
      <x:c r="D43" s="9" t="str">
        <x:v>second-team reproduction dossier</x:v>
      </x:c>
      <x:c r="E43" s="9" t="n">
        <x:v>1</x:v>
      </x:c>
      <x:c r="F43" s="11" t="n">
        <x:v>0</x:v>
      </x:c>
      <x:c r="G43" s="9" t="n">
        <x:f>E43-F43</x:f>
        <x:v>1</x:v>
      </x:c>
      <x:c r="H43" s="9" t="str">
        <x:f>IF(F43=E43,"PASS","OPEN")</x:f>
        <x:v>OPEN</x:v>
      </x:c>
      <x:c r="I43" s="9" t="str">
        <x:v>root evidence office</x:v>
      </x:c>
      <x:c r="J43" s="9" t="str">
        <x:v>Missing package is missing observation</x:v>
      </x:c>
    </x:row>
    <x:row r="44">
      <x:c r="B44" s="9" t="str">
        <x:v>EP-D-038</x:v>
      </x:c>
      <x:c r="C44" s="9" t="str">
        <x:v>D</x:v>
      </x:c>
      <x:c r="D44" s="9" t="str">
        <x:v>safety and rights case</x:v>
      </x:c>
      <x:c r="E44" s="9" t="n">
        <x:v>1</x:v>
      </x:c>
      <x:c r="F44" s="11" t="n">
        <x:v>0</x:v>
      </x:c>
      <x:c r="G44" s="9" t="n">
        <x:f>E44-F44</x:f>
        <x:v>1</x:v>
      </x:c>
      <x:c r="H44" s="9" t="str">
        <x:f>IF(F44=E44,"PASS","OPEN")</x:f>
        <x:v>OPEN</x:v>
      </x:c>
      <x:c r="I44" s="9" t="str">
        <x:v>root evidence office</x:v>
      </x:c>
      <x:c r="J44" s="9" t="str">
        <x:v>Missing package is missing observation</x:v>
      </x:c>
    </x:row>
    <x:row r="45">
      <x:c r="B45" s="9" t="str">
        <x:v>EP-D-039</x:v>
      </x:c>
      <x:c r="C45" s="9" t="str">
        <x:v>D</x:v>
      </x:c>
      <x:c r="D45" s="9" t="str">
        <x:v>independent release record</x:v>
      </x:c>
      <x:c r="E45" s="9" t="n">
        <x:v>1</x:v>
      </x:c>
      <x:c r="F45" s="11" t="n">
        <x:v>0</x:v>
      </x:c>
      <x:c r="G45" s="9" t="n">
        <x:f>E45-F45</x:f>
        <x:v>1</x:v>
      </x:c>
      <x:c r="H45" s="9" t="str">
        <x:f>IF(F45=E45,"PASS","OPEN")</x:f>
        <x:v>OPEN</x:v>
      </x:c>
      <x:c r="I45" s="9" t="str">
        <x:v>sovereign evidence authority</x:v>
      </x:c>
      <x:c r="J45" s="9" t="str">
        <x:v>Missing package is missing observation</x:v>
      </x:c>
    </x:row>
    <x:row r="46">
      <x:c r="B46" s="10" t="str">
        <x:v>EP-D-040</x:v>
      </x:c>
      <x:c r="C46" s="10" t="str">
        <x:v>D</x:v>
      </x:c>
      <x:c r="D46" s="10" t="str">
        <x:v>route and threshold dossiers</x:v>
      </x:c>
      <x:c r="E46" s="10" t="n">
        <x:v>5</x:v>
      </x:c>
      <x:c r="F46" s="12" t="n">
        <x:v>0</x:v>
      </x:c>
      <x:c r="G46" s="10" t="n">
        <x:f>E46-F46</x:f>
        <x:v>5</x:v>
      </x:c>
      <x:c r="H46" s="10" t="str">
        <x:f>IF(F46=E46,"PASS","OPEN")</x:f>
        <x:v>OPEN</x:v>
      </x:c>
      <x:c r="I46" s="10" t="str">
        <x:v>root evidence office</x:v>
      </x:c>
      <x:c r="J46" s="10" t="str">
        <x:v>Missing package is missing observation</x:v>
      </x:c>
    </x:row>
  </x:sheetData>
  <x:mergeCells>
    <x:mergeCell ref="B2:J2"/>
    <x:mergeCell ref="B3:J3"/>
  </x:mergeCells>
  <x:conditionalFormatting sqref="H7:H46">
    <x:cfRule type="containsText" dxfId="72" priority="1" operator="containsText" text="PASS"/>
    <x:cfRule type="containsText" dxfId="73" priority="2" operator="containsText" text="SELECTED"/>
    <x:cfRule type="containsText" dxfId="74" priority="3" operator="containsText" text="COMPLETE"/>
    <x:cfRule type="containsText" dxfId="75" priority="4" operator="containsText" text="ACCEPTED"/>
    <x:cfRule type="containsText" dxfId="76" priority="5" operator="containsText" text="HOLD"/>
    <x:cfRule type="containsText" dxfId="77" priority="6" operator="containsText" text="OPEN"/>
    <x:cfRule type="containsText" dxfId="78" priority="7" operator="containsText" text="BLOCKED"/>
    <x:cfRule type="containsText" dxfId="79" priority="8" operator="containsText" text="UNTESTED"/>
    <x:cfRule type="containsText" dxfId="80" priority="9" operator="containsText" text="UNASSIGNED"/>
    <x:cfRule type="containsText" dxfId="81" priority="10" operator="containsText" text="FAIL"/>
    <x:cfRule type="containsText" dxfId="82" priority="11" operator="containsText" text="REJECT"/>
    <x:cfRule type="containsText" dxfId="83" priority="12" operator="containsText" text="IN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9" hidden="0" customWidth="1"/>
    <x:col min="4" max="4" width="48" hidden="0" customWidth="1"/>
    <x:col min="5" max="5" width="12" hidden="0" customWidth="1"/>
    <x:col min="6" max="6" width="16" hidden="0" customWidth="1"/>
    <x:col min="7" max="7" width="22" hidden="0" customWidth="1"/>
    <x:col min="8" max="8" width="16" hidden="0" customWidth="1"/>
    <x:col min="9" max="9" width="25" hidden="0" customWidth="1"/>
    <x:col min="10" max="10" width="14" hidden="0" customWidth="1"/>
    <x:col min="11" max="11" width="16" hidden="0" customWidth="1"/>
    <x:col min="12" max="12" width="13" hidden="0" customWidth="1"/>
  </x:cols>
  <x:sheetData>
    <x:row r="2">
      <x:c r="B2" s="35" t="str">
        <x:v>Thirty-six governed proving functions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6" t="str">
        <x:v>Functions are assigned without choosing geography; separability is an acceptance condition.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Function ID</x:v>
      </x:c>
      <x:c r="C6" s="7" t="str">
        <x:v>Root</x:v>
      </x:c>
      <x:c r="D6" s="7" t="str">
        <x:v>Function</x:v>
      </x:c>
      <x:c r="E6" s="7" t="str">
        <x:v>Required</x:v>
      </x:c>
      <x:c r="F6" s="7" t="str">
        <x:v>Commissioned</x:v>
      </x:c>
      <x:c r="G6" s="7" t="str">
        <x:v>Operating-history separate</x:v>
      </x:c>
      <x:c r="H6" s="7" t="str">
        <x:v>Custody separate</x:v>
      </x:c>
      <x:c r="I6" s="7" t="str">
        <x:v>Stop authority</x:v>
      </x:c>
      <x:c r="J6" s="7" t="str">
        <x:v>Status</x:v>
      </x:c>
      <x:c r="K6" s="7" t="str">
        <x:v>Location</x:v>
      </x:c>
      <x:c r="L6" s="7" t="str">
        <x:v>Admission</x:v>
      </x:c>
    </x:row>
    <x:row r="7">
      <x:c r="B7" s="9" t="str">
        <x:v>RF-A-01</x:v>
      </x:c>
      <x:c r="C7" s="9" t="str">
        <x:v>A</x:v>
      </x:c>
      <x:c r="D7" s="9" t="str">
        <x:v>root-native primary physics range</x:v>
      </x:c>
      <x:c r="E7" s="9" t="n">
        <x:v>1</x:v>
      </x:c>
      <x:c r="F7" s="11" t="n">
        <x:v>0</x:v>
      </x:c>
      <x:c r="G7" s="9" t="n">
        <x:v>1</x:v>
      </x:c>
      <x:c r="H7" s="9" t="n">
        <x:v>1</x:v>
      </x:c>
      <x:c r="I7" s="9" t="str">
        <x:v>public safety authority</x:v>
      </x:c>
      <x:c r="J7" s="9" t="str">
        <x:f>IF(AND(F7=E7,G7=1,H7=1),"PASS","OPEN")</x:f>
        <x:v>OPEN</x:v>
      </x:c>
      <x:c r="K7" s="9" t="str">
        <x:v>UNASSIGNED</x:v>
      </x:c>
      <x:c r="L7" s="9" t="n">
        <x:v>0</x:v>
      </x:c>
    </x:row>
    <x:row r="8">
      <x:c r="B8" s="9" t="str">
        <x:v>RF-A-02</x:v>
      </x:c>
      <x:c r="C8" s="9" t="str">
        <x:v>A</x:v>
      </x:c>
      <x:c r="D8" s="9" t="str">
        <x:v>separate second-team reproduction arsenal</x:v>
      </x:c>
      <x:c r="E8" s="9" t="n">
        <x:v>1</x:v>
      </x:c>
      <x:c r="F8" s="11" t="n">
        <x:v>0</x:v>
      </x:c>
      <x:c r="G8" s="9" t="n">
        <x:v>1</x:v>
      </x:c>
      <x:c r="H8" s="9" t="n">
        <x:v>1</x:v>
      </x:c>
      <x:c r="I8" s="9" t="str">
        <x:v>public safety authority</x:v>
      </x:c>
      <x:c r="J8" s="9" t="str">
        <x:f>IF(AND(F8=E8,G8=1,H8=1),"PASS","OPEN")</x:f>
        <x:v>OPEN</x:v>
      </x:c>
      <x:c r="K8" s="9" t="str">
        <x:v>UNASSIGNED</x:v>
      </x:c>
      <x:c r="L8" s="9" t="n">
        <x:v>0</x:v>
      </x:c>
    </x:row>
    <x:row r="9">
      <x:c r="B9" s="9" t="str">
        <x:v>RF-A-03</x:v>
      </x:c>
      <x:c r="C9" s="9" t="str">
        <x:v>A</x:v>
      </x:c>
      <x:c r="D9" s="9" t="str">
        <x:v>common public receiver twin</x:v>
      </x:c>
      <x:c r="E9" s="9" t="n">
        <x:v>1</x:v>
      </x:c>
      <x:c r="F9" s="11" t="n">
        <x:v>0</x:v>
      </x:c>
      <x:c r="G9" s="9" t="n">
        <x:v>1</x:v>
      </x:c>
      <x:c r="H9" s="9" t="n">
        <x:v>1</x:v>
      </x:c>
      <x:c r="I9" s="9" t="str">
        <x:v>public safety authority</x:v>
      </x:c>
      <x:c r="J9" s="9" t="str">
        <x:f>IF(AND(F9=E9,G9=1,H9=1),"PASS","OPEN")</x:f>
        <x:v>OPEN</x:v>
      </x:c>
      <x:c r="K9" s="9" t="str">
        <x:v>UNASSIGNED</x:v>
      </x:c>
      <x:c r="L9" s="9" t="n">
        <x:v>0</x:v>
      </x:c>
    </x:row>
    <x:row r="10">
      <x:c r="B10" s="9" t="str">
        <x:v>RF-A-04</x:v>
      </x:c>
      <x:c r="C10" s="9" t="str">
        <x:v>A</x:v>
      </x:c>
      <x:c r="D10" s="9" t="str">
        <x:v>casualty and degraded-service cell</x:v>
      </x:c>
      <x:c r="E10" s="9" t="n">
        <x:v>1</x:v>
      </x:c>
      <x:c r="F10" s="11" t="n">
        <x:v>0</x:v>
      </x:c>
      <x:c r="G10" s="9" t="n">
        <x:v>1</x:v>
      </x:c>
      <x:c r="H10" s="9" t="n">
        <x:v>1</x:v>
      </x:c>
      <x:c r="I10" s="9" t="str">
        <x:v>public safety authority</x:v>
      </x:c>
      <x:c r="J10" s="9" t="str">
        <x:f>IF(AND(F10=E10,G10=1,H10=1),"PASS","OPEN")</x:f>
        <x:v>OPEN</x:v>
      </x:c>
      <x:c r="K10" s="9" t="str">
        <x:v>UNASSIGNED</x:v>
      </x:c>
      <x:c r="L10" s="9" t="n">
        <x:v>0</x:v>
      </x:c>
    </x:row>
    <x:row r="11">
      <x:c r="B11" s="9" t="str">
        <x:v>RF-A-05</x:v>
      </x:c>
      <x:c r="C11" s="9" t="str">
        <x:v>A</x:v>
      </x:c>
      <x:c r="D11" s="9" t="str">
        <x:v>residual and environment laboratory</x:v>
      </x:c>
      <x:c r="E11" s="9" t="n">
        <x:v>1</x:v>
      </x:c>
      <x:c r="F11" s="11" t="n">
        <x:v>0</x:v>
      </x:c>
      <x:c r="G11" s="9" t="n">
        <x:v>1</x:v>
      </x:c>
      <x:c r="H11" s="9" t="n">
        <x:v>1</x:v>
      </x:c>
      <x:c r="I11" s="9" t="str">
        <x:v>public safety authority</x:v>
      </x:c>
      <x:c r="J11" s="9" t="str">
        <x:f>IF(AND(F11=E11,G11=1,H11=1),"PASS","OPEN")</x:f>
        <x:v>OPEN</x:v>
      </x:c>
      <x:c r="K11" s="9" t="str">
        <x:v>UNASSIGNED</x:v>
      </x:c>
      <x:c r="L11" s="9" t="n">
        <x:v>0</x:v>
      </x:c>
    </x:row>
    <x:row r="12">
      <x:c r="B12" s="9" t="str">
        <x:v>RF-A-06</x:v>
      </x:c>
      <x:c r="C12" s="9" t="str">
        <x:v>A</x:v>
      </x:c>
      <x:c r="D12" s="9" t="str">
        <x:v>root-native measurement plus sovereign shadow</x:v>
      </x:c>
      <x:c r="E12" s="9" t="n">
        <x:v>1</x:v>
      </x:c>
      <x:c r="F12" s="11" t="n">
        <x:v>0</x:v>
      </x:c>
      <x:c r="G12" s="9" t="n">
        <x:v>1</x:v>
      </x:c>
      <x:c r="H12" s="9" t="n">
        <x:v>1</x:v>
      </x:c>
      <x:c r="I12" s="9" t="str">
        <x:v>public safety authority</x:v>
      </x:c>
      <x:c r="J12" s="9" t="str">
        <x:f>IF(AND(F12=E12,G12=1,H12=1),"PASS","OPEN")</x:f>
        <x:v>OPEN</x:v>
      </x:c>
      <x:c r="K12" s="9" t="str">
        <x:v>UNASSIGNED</x:v>
      </x:c>
      <x:c r="L12" s="9" t="n">
        <x:v>0</x:v>
      </x:c>
    </x:row>
    <x:row r="13">
      <x:c r="B13" s="9" t="str">
        <x:v>RF-A-07</x:v>
      </x:c>
      <x:c r="C13" s="9" t="str">
        <x:v>A</x:v>
      </x:c>
      <x:c r="D13" s="9" t="str">
        <x:v>disconnected control cell</x:v>
      </x:c>
      <x:c r="E13" s="9" t="n">
        <x:v>1</x:v>
      </x:c>
      <x:c r="F13" s="11" t="n">
        <x:v>0</x:v>
      </x:c>
      <x:c r="G13" s="9" t="n">
        <x:v>1</x:v>
      </x:c>
      <x:c r="H13" s="9" t="n">
        <x:v>1</x:v>
      </x:c>
      <x:c r="I13" s="9" t="str">
        <x:v>public safety authority</x:v>
      </x:c>
      <x:c r="J13" s="9" t="str">
        <x:f>IF(AND(F13=E13,G13=1,H13=1),"PASS","OPEN")</x:f>
        <x:v>OPEN</x:v>
      </x:c>
      <x:c r="K13" s="9" t="str">
        <x:v>UNASSIGNED</x:v>
      </x:c>
      <x:c r="L13" s="9" t="n">
        <x:v>0</x:v>
      </x:c>
    </x:row>
    <x:row r="14">
      <x:c r="B14" s="9" t="str">
        <x:v>RF-A-08</x:v>
      </x:c>
      <x:c r="C14" s="9" t="str">
        <x:v>A</x:v>
      </x:c>
      <x:c r="D14" s="9" t="str">
        <x:v>repair and cold-reset depot</x:v>
      </x:c>
      <x:c r="E14" s="9" t="n">
        <x:v>1</x:v>
      </x:c>
      <x:c r="F14" s="11" t="n">
        <x:v>0</x:v>
      </x:c>
      <x:c r="G14" s="9" t="n">
        <x:v>1</x:v>
      </x:c>
      <x:c r="H14" s="9" t="n">
        <x:v>1</x:v>
      </x:c>
      <x:c r="I14" s="9" t="str">
        <x:v>public safety authority</x:v>
      </x:c>
      <x:c r="J14" s="9" t="str">
        <x:f>IF(AND(F14=E14,G14=1,H14=1),"PASS","OPEN")</x:f>
        <x:v>OPEN</x:v>
      </x:c>
      <x:c r="K14" s="9" t="str">
        <x:v>UNASSIGNED</x:v>
      </x:c>
      <x:c r="L14" s="9" t="n">
        <x:v>0</x:v>
      </x:c>
    </x:row>
    <x:row r="15">
      <x:c r="B15" s="9" t="str">
        <x:v>RF-A-09</x:v>
      </x:c>
      <x:c r="C15" s="9" t="str">
        <x:v>A</x:v>
      </x:c>
      <x:c r="D15" s="9" t="str">
        <x:v>protected replacement bank</x:v>
      </x:c>
      <x:c r="E15" s="9" t="n">
        <x:v>1</x:v>
      </x:c>
      <x:c r="F15" s="11" t="n">
        <x:v>0</x:v>
      </x:c>
      <x:c r="G15" s="9" t="n">
        <x:v>1</x:v>
      </x:c>
      <x:c r="H15" s="9" t="n">
        <x:v>1</x:v>
      </x:c>
      <x:c r="I15" s="9" t="str">
        <x:v>public safety authority</x:v>
      </x:c>
      <x:c r="J15" s="9" t="str">
        <x:f>IF(AND(F15=E15,G15=1,H15=1),"PASS","OPEN")</x:f>
        <x:v>OPEN</x:v>
      </x:c>
      <x:c r="K15" s="9" t="str">
        <x:v>UNASSIGNED</x:v>
      </x:c>
      <x:c r="L15" s="9" t="n">
        <x:v>0</x:v>
      </x:c>
    </x:row>
    <x:row r="16">
      <x:c r="B16" s="9" t="str">
        <x:v>RF-B-01</x:v>
      </x:c>
      <x:c r="C16" s="9" t="str">
        <x:v>B</x:v>
      </x:c>
      <x:c r="D16" s="9" t="str">
        <x:v>root-native primary physics range</x:v>
      </x:c>
      <x:c r="E16" s="9" t="n">
        <x:v>1</x:v>
      </x:c>
      <x:c r="F16" s="11" t="n">
        <x:v>0</x:v>
      </x:c>
      <x:c r="G16" s="9" t="n">
        <x:v>1</x:v>
      </x:c>
      <x:c r="H16" s="9" t="n">
        <x:v>1</x:v>
      </x:c>
      <x:c r="I16" s="9" t="str">
        <x:v>public safety authority</x:v>
      </x:c>
      <x:c r="J16" s="9" t="str">
        <x:f>IF(AND(F16=E16,G16=1,H16=1),"PASS","OPEN")</x:f>
        <x:v>OPEN</x:v>
      </x:c>
      <x:c r="K16" s="9" t="str">
        <x:v>UNASSIGNED</x:v>
      </x:c>
      <x:c r="L16" s="9" t="n">
        <x:v>0</x:v>
      </x:c>
    </x:row>
    <x:row r="17">
      <x:c r="B17" s="9" t="str">
        <x:v>RF-B-02</x:v>
      </x:c>
      <x:c r="C17" s="9" t="str">
        <x:v>B</x:v>
      </x:c>
      <x:c r="D17" s="9" t="str">
        <x:v>separate second-team reproduction arsenal</x:v>
      </x:c>
      <x:c r="E17" s="9" t="n">
        <x:v>1</x:v>
      </x:c>
      <x:c r="F17" s="11" t="n">
        <x:v>0</x:v>
      </x:c>
      <x:c r="G17" s="9" t="n">
        <x:v>1</x:v>
      </x:c>
      <x:c r="H17" s="9" t="n">
        <x:v>1</x:v>
      </x:c>
      <x:c r="I17" s="9" t="str">
        <x:v>public safety authority</x:v>
      </x:c>
      <x:c r="J17" s="9" t="str">
        <x:f>IF(AND(F17=E17,G17=1,H17=1),"PASS","OPEN")</x:f>
        <x:v>OPEN</x:v>
      </x:c>
      <x:c r="K17" s="9" t="str">
        <x:v>UNASSIGNED</x:v>
      </x:c>
      <x:c r="L17" s="9" t="n">
        <x:v>0</x:v>
      </x:c>
    </x:row>
    <x:row r="18">
      <x:c r="B18" s="9" t="str">
        <x:v>RF-B-03</x:v>
      </x:c>
      <x:c r="C18" s="9" t="str">
        <x:v>B</x:v>
      </x:c>
      <x:c r="D18" s="9" t="str">
        <x:v>common public receiver twin</x:v>
      </x:c>
      <x:c r="E18" s="9" t="n">
        <x:v>1</x:v>
      </x:c>
      <x:c r="F18" s="11" t="n">
        <x:v>0</x:v>
      </x:c>
      <x:c r="G18" s="9" t="n">
        <x:v>1</x:v>
      </x:c>
      <x:c r="H18" s="9" t="n">
        <x:v>1</x:v>
      </x:c>
      <x:c r="I18" s="9" t="str">
        <x:v>public safety authority</x:v>
      </x:c>
      <x:c r="J18" s="9" t="str">
        <x:f>IF(AND(F18=E18,G18=1,H18=1),"PASS","OPEN")</x:f>
        <x:v>OPEN</x:v>
      </x:c>
      <x:c r="K18" s="9" t="str">
        <x:v>UNASSIGNED</x:v>
      </x:c>
      <x:c r="L18" s="9" t="n">
        <x:v>0</x:v>
      </x:c>
    </x:row>
    <x:row r="19">
      <x:c r="B19" s="9" t="str">
        <x:v>RF-B-04</x:v>
      </x:c>
      <x:c r="C19" s="9" t="str">
        <x:v>B</x:v>
      </x:c>
      <x:c r="D19" s="9" t="str">
        <x:v>casualty and degraded-service cell</x:v>
      </x:c>
      <x:c r="E19" s="9" t="n">
        <x:v>1</x:v>
      </x:c>
      <x:c r="F19" s="11" t="n">
        <x:v>0</x:v>
      </x:c>
      <x:c r="G19" s="9" t="n">
        <x:v>1</x:v>
      </x:c>
      <x:c r="H19" s="9" t="n">
        <x:v>1</x:v>
      </x:c>
      <x:c r="I19" s="9" t="str">
        <x:v>public safety authority</x:v>
      </x:c>
      <x:c r="J19" s="9" t="str">
        <x:f>IF(AND(F19=E19,G19=1,H19=1),"PASS","OPEN")</x:f>
        <x:v>OPEN</x:v>
      </x:c>
      <x:c r="K19" s="9" t="str">
        <x:v>UNASSIGNED</x:v>
      </x:c>
      <x:c r="L19" s="9" t="n">
        <x:v>0</x:v>
      </x:c>
    </x:row>
    <x:row r="20">
      <x:c r="B20" s="9" t="str">
        <x:v>RF-B-05</x:v>
      </x:c>
      <x:c r="C20" s="9" t="str">
        <x:v>B</x:v>
      </x:c>
      <x:c r="D20" s="9" t="str">
        <x:v>residual and environment laboratory</x:v>
      </x:c>
      <x:c r="E20" s="9" t="n">
        <x:v>1</x:v>
      </x:c>
      <x:c r="F20" s="11" t="n">
        <x:v>0</x:v>
      </x:c>
      <x:c r="G20" s="9" t="n">
        <x:v>1</x:v>
      </x:c>
      <x:c r="H20" s="9" t="n">
        <x:v>1</x:v>
      </x:c>
      <x:c r="I20" s="9" t="str">
        <x:v>public safety authority</x:v>
      </x:c>
      <x:c r="J20" s="9" t="str">
        <x:f>IF(AND(F20=E20,G20=1,H20=1),"PASS","OPEN")</x:f>
        <x:v>OPEN</x:v>
      </x:c>
      <x:c r="K20" s="9" t="str">
        <x:v>UNASSIGNED</x:v>
      </x:c>
      <x:c r="L20" s="9" t="n">
        <x:v>0</x:v>
      </x:c>
    </x:row>
    <x:row r="21">
      <x:c r="B21" s="9" t="str">
        <x:v>RF-B-06</x:v>
      </x:c>
      <x:c r="C21" s="9" t="str">
        <x:v>B</x:v>
      </x:c>
      <x:c r="D21" s="9" t="str">
        <x:v>root-native measurement plus sovereign shadow</x:v>
      </x:c>
      <x:c r="E21" s="9" t="n">
        <x:v>1</x:v>
      </x:c>
      <x:c r="F21" s="11" t="n">
        <x:v>0</x:v>
      </x:c>
      <x:c r="G21" s="9" t="n">
        <x:v>1</x:v>
      </x:c>
      <x:c r="H21" s="9" t="n">
        <x:v>1</x:v>
      </x:c>
      <x:c r="I21" s="9" t="str">
        <x:v>public safety authority</x:v>
      </x:c>
      <x:c r="J21" s="9" t="str">
        <x:f>IF(AND(F21=E21,G21=1,H21=1),"PASS","OPEN")</x:f>
        <x:v>OPEN</x:v>
      </x:c>
      <x:c r="K21" s="9" t="str">
        <x:v>UNASSIGNED</x:v>
      </x:c>
      <x:c r="L21" s="9" t="n">
        <x:v>0</x:v>
      </x:c>
    </x:row>
    <x:row r="22">
      <x:c r="B22" s="9" t="str">
        <x:v>RF-B-07</x:v>
      </x:c>
      <x:c r="C22" s="9" t="str">
        <x:v>B</x:v>
      </x:c>
      <x:c r="D22" s="9" t="str">
        <x:v>disconnected control cell</x:v>
      </x:c>
      <x:c r="E22" s="9" t="n">
        <x:v>1</x:v>
      </x:c>
      <x:c r="F22" s="11" t="n">
        <x:v>0</x:v>
      </x:c>
      <x:c r="G22" s="9" t="n">
        <x:v>1</x:v>
      </x:c>
      <x:c r="H22" s="9" t="n">
        <x:v>1</x:v>
      </x:c>
      <x:c r="I22" s="9" t="str">
        <x:v>public safety authority</x:v>
      </x:c>
      <x:c r="J22" s="9" t="str">
        <x:f>IF(AND(F22=E22,G22=1,H22=1),"PASS","OPEN")</x:f>
        <x:v>OPEN</x:v>
      </x:c>
      <x:c r="K22" s="9" t="str">
        <x:v>UNASSIGNED</x:v>
      </x:c>
      <x:c r="L22" s="9" t="n">
        <x:v>0</x:v>
      </x:c>
    </x:row>
    <x:row r="23">
      <x:c r="B23" s="9" t="str">
        <x:v>RF-B-08</x:v>
      </x:c>
      <x:c r="C23" s="9" t="str">
        <x:v>B</x:v>
      </x:c>
      <x:c r="D23" s="9" t="str">
        <x:v>repair and cold-reset depot</x:v>
      </x:c>
      <x:c r="E23" s="9" t="n">
        <x:v>1</x:v>
      </x:c>
      <x:c r="F23" s="11" t="n">
        <x:v>0</x:v>
      </x:c>
      <x:c r="G23" s="9" t="n">
        <x:v>1</x:v>
      </x:c>
      <x:c r="H23" s="9" t="n">
        <x:v>1</x:v>
      </x:c>
      <x:c r="I23" s="9" t="str">
        <x:v>public safety authority</x:v>
      </x:c>
      <x:c r="J23" s="9" t="str">
        <x:f>IF(AND(F23=E23,G23=1,H23=1),"PASS","OPEN")</x:f>
        <x:v>OPEN</x:v>
      </x:c>
      <x:c r="K23" s="9" t="str">
        <x:v>UNASSIGNED</x:v>
      </x:c>
      <x:c r="L23" s="9" t="n">
        <x:v>0</x:v>
      </x:c>
    </x:row>
    <x:row r="24">
      <x:c r="B24" s="9" t="str">
        <x:v>RF-B-09</x:v>
      </x:c>
      <x:c r="C24" s="9" t="str">
        <x:v>B</x:v>
      </x:c>
      <x:c r="D24" s="9" t="str">
        <x:v>protected replacement bank</x:v>
      </x:c>
      <x:c r="E24" s="9" t="n">
        <x:v>1</x:v>
      </x:c>
      <x:c r="F24" s="11" t="n">
        <x:v>0</x:v>
      </x:c>
      <x:c r="G24" s="9" t="n">
        <x:v>1</x:v>
      </x:c>
      <x:c r="H24" s="9" t="n">
        <x:v>1</x:v>
      </x:c>
      <x:c r="I24" s="9" t="str">
        <x:v>public safety authority</x:v>
      </x:c>
      <x:c r="J24" s="9" t="str">
        <x:f>IF(AND(F24=E24,G24=1,H24=1),"PASS","OPEN")</x:f>
        <x:v>OPEN</x:v>
      </x:c>
      <x:c r="K24" s="9" t="str">
        <x:v>UNASSIGNED</x:v>
      </x:c>
      <x:c r="L24" s="9" t="n">
        <x:v>0</x:v>
      </x:c>
    </x:row>
    <x:row r="25">
      <x:c r="B25" s="9" t="str">
        <x:v>RF-C-01</x:v>
      </x:c>
      <x:c r="C25" s="9" t="str">
        <x:v>C</x:v>
      </x:c>
      <x:c r="D25" s="9" t="str">
        <x:v>root-native primary physics range</x:v>
      </x:c>
      <x:c r="E25" s="9" t="n">
        <x:v>1</x:v>
      </x:c>
      <x:c r="F25" s="11" t="n">
        <x:v>0</x:v>
      </x:c>
      <x:c r="G25" s="9" t="n">
        <x:v>1</x:v>
      </x:c>
      <x:c r="H25" s="9" t="n">
        <x:v>1</x:v>
      </x:c>
      <x:c r="I25" s="9" t="str">
        <x:v>public safety authority</x:v>
      </x:c>
      <x:c r="J25" s="9" t="str">
        <x:f>IF(AND(F25=E25,G25=1,H25=1),"PASS","OPEN")</x:f>
        <x:v>OPEN</x:v>
      </x:c>
      <x:c r="K25" s="9" t="str">
        <x:v>UNASSIGNED</x:v>
      </x:c>
      <x:c r="L25" s="9" t="n">
        <x:v>0</x:v>
      </x:c>
    </x:row>
    <x:row r="26">
      <x:c r="B26" s="9" t="str">
        <x:v>RF-C-02</x:v>
      </x:c>
      <x:c r="C26" s="9" t="str">
        <x:v>C</x:v>
      </x:c>
      <x:c r="D26" s="9" t="str">
        <x:v>separate second-team reproduction arsenal</x:v>
      </x:c>
      <x:c r="E26" s="9" t="n">
        <x:v>1</x:v>
      </x:c>
      <x:c r="F26" s="11" t="n">
        <x:v>0</x:v>
      </x:c>
      <x:c r="G26" s="9" t="n">
        <x:v>1</x:v>
      </x:c>
      <x:c r="H26" s="9" t="n">
        <x:v>1</x:v>
      </x:c>
      <x:c r="I26" s="9" t="str">
        <x:v>public safety authority</x:v>
      </x:c>
      <x:c r="J26" s="9" t="str">
        <x:f>IF(AND(F26=E26,G26=1,H26=1),"PASS","OPEN")</x:f>
        <x:v>OPEN</x:v>
      </x:c>
      <x:c r="K26" s="9" t="str">
        <x:v>UNASSIGNED</x:v>
      </x:c>
      <x:c r="L26" s="9" t="n">
        <x:v>0</x:v>
      </x:c>
    </x:row>
    <x:row r="27">
      <x:c r="B27" s="9" t="str">
        <x:v>RF-C-03</x:v>
      </x:c>
      <x:c r="C27" s="9" t="str">
        <x:v>C</x:v>
      </x:c>
      <x:c r="D27" s="9" t="str">
        <x:v>common public receiver twin</x:v>
      </x:c>
      <x:c r="E27" s="9" t="n">
        <x:v>1</x:v>
      </x:c>
      <x:c r="F27" s="11" t="n">
        <x:v>0</x:v>
      </x:c>
      <x:c r="G27" s="9" t="n">
        <x:v>1</x:v>
      </x:c>
      <x:c r="H27" s="9" t="n">
        <x:v>1</x:v>
      </x:c>
      <x:c r="I27" s="9" t="str">
        <x:v>public safety authority</x:v>
      </x:c>
      <x:c r="J27" s="9" t="str">
        <x:f>IF(AND(F27=E27,G27=1,H27=1),"PASS","OPEN")</x:f>
        <x:v>OPEN</x:v>
      </x:c>
      <x:c r="K27" s="9" t="str">
        <x:v>UNASSIGNED</x:v>
      </x:c>
      <x:c r="L27" s="9" t="n">
        <x:v>0</x:v>
      </x:c>
    </x:row>
    <x:row r="28">
      <x:c r="B28" s="9" t="str">
        <x:v>RF-C-04</x:v>
      </x:c>
      <x:c r="C28" s="9" t="str">
        <x:v>C</x:v>
      </x:c>
      <x:c r="D28" s="9" t="str">
        <x:v>casualty and degraded-service cell</x:v>
      </x:c>
      <x:c r="E28" s="9" t="n">
        <x:v>1</x:v>
      </x:c>
      <x:c r="F28" s="11" t="n">
        <x:v>0</x:v>
      </x:c>
      <x:c r="G28" s="9" t="n">
        <x:v>1</x:v>
      </x:c>
      <x:c r="H28" s="9" t="n">
        <x:v>1</x:v>
      </x:c>
      <x:c r="I28" s="9" t="str">
        <x:v>public safety authority</x:v>
      </x:c>
      <x:c r="J28" s="9" t="str">
        <x:f>IF(AND(F28=E28,G28=1,H28=1),"PASS","OPEN")</x:f>
        <x:v>OPEN</x:v>
      </x:c>
      <x:c r="K28" s="9" t="str">
        <x:v>UNASSIGNED</x:v>
      </x:c>
      <x:c r="L28" s="9" t="n">
        <x:v>0</x:v>
      </x:c>
    </x:row>
    <x:row r="29">
      <x:c r="B29" s="9" t="str">
        <x:v>RF-C-05</x:v>
      </x:c>
      <x:c r="C29" s="9" t="str">
        <x:v>C</x:v>
      </x:c>
      <x:c r="D29" s="9" t="str">
        <x:v>residual and environment laboratory</x:v>
      </x:c>
      <x:c r="E29" s="9" t="n">
        <x:v>1</x:v>
      </x:c>
      <x:c r="F29" s="11" t="n">
        <x:v>0</x:v>
      </x:c>
      <x:c r="G29" s="9" t="n">
        <x:v>1</x:v>
      </x:c>
      <x:c r="H29" s="9" t="n">
        <x:v>1</x:v>
      </x:c>
      <x:c r="I29" s="9" t="str">
        <x:v>public safety authority</x:v>
      </x:c>
      <x:c r="J29" s="9" t="str">
        <x:f>IF(AND(F29=E29,G29=1,H29=1),"PASS","OPEN")</x:f>
        <x:v>OPEN</x:v>
      </x:c>
      <x:c r="K29" s="9" t="str">
        <x:v>UNASSIGNED</x:v>
      </x:c>
      <x:c r="L29" s="9" t="n">
        <x:v>0</x:v>
      </x:c>
    </x:row>
    <x:row r="30">
      <x:c r="B30" s="9" t="str">
        <x:v>RF-C-06</x:v>
      </x:c>
      <x:c r="C30" s="9" t="str">
        <x:v>C</x:v>
      </x:c>
      <x:c r="D30" s="9" t="str">
        <x:v>root-native measurement plus sovereign shadow</x:v>
      </x:c>
      <x:c r="E30" s="9" t="n">
        <x:v>1</x:v>
      </x:c>
      <x:c r="F30" s="11" t="n">
        <x:v>0</x:v>
      </x:c>
      <x:c r="G30" s="9" t="n">
        <x:v>1</x:v>
      </x:c>
      <x:c r="H30" s="9" t="n">
        <x:v>1</x:v>
      </x:c>
      <x:c r="I30" s="9" t="str">
        <x:v>public safety authority</x:v>
      </x:c>
      <x:c r="J30" s="9" t="str">
        <x:f>IF(AND(F30=E30,G30=1,H30=1),"PASS","OPEN")</x:f>
        <x:v>OPEN</x:v>
      </x:c>
      <x:c r="K30" s="9" t="str">
        <x:v>UNASSIGNED</x:v>
      </x:c>
      <x:c r="L30" s="9" t="n">
        <x:v>0</x:v>
      </x:c>
    </x:row>
    <x:row r="31">
      <x:c r="B31" s="9" t="str">
        <x:v>RF-C-07</x:v>
      </x:c>
      <x:c r="C31" s="9" t="str">
        <x:v>C</x:v>
      </x:c>
      <x:c r="D31" s="9" t="str">
        <x:v>disconnected control cell</x:v>
      </x:c>
      <x:c r="E31" s="9" t="n">
        <x:v>1</x:v>
      </x:c>
      <x:c r="F31" s="11" t="n">
        <x:v>0</x:v>
      </x:c>
      <x:c r="G31" s="9" t="n">
        <x:v>1</x:v>
      </x:c>
      <x:c r="H31" s="9" t="n">
        <x:v>1</x:v>
      </x:c>
      <x:c r="I31" s="9" t="str">
        <x:v>public safety authority</x:v>
      </x:c>
      <x:c r="J31" s="9" t="str">
        <x:f>IF(AND(F31=E31,G31=1,H31=1),"PASS","OPEN")</x:f>
        <x:v>OPEN</x:v>
      </x:c>
      <x:c r="K31" s="9" t="str">
        <x:v>UNASSIGNED</x:v>
      </x:c>
      <x:c r="L31" s="9" t="n">
        <x:v>0</x:v>
      </x:c>
    </x:row>
    <x:row r="32">
      <x:c r="B32" s="9" t="str">
        <x:v>RF-C-08</x:v>
      </x:c>
      <x:c r="C32" s="9" t="str">
        <x:v>C</x:v>
      </x:c>
      <x:c r="D32" s="9" t="str">
        <x:v>repair and cold-reset depot</x:v>
      </x:c>
      <x:c r="E32" s="9" t="n">
        <x:v>1</x:v>
      </x:c>
      <x:c r="F32" s="11" t="n">
        <x:v>0</x:v>
      </x:c>
      <x:c r="G32" s="9" t="n">
        <x:v>1</x:v>
      </x:c>
      <x:c r="H32" s="9" t="n">
        <x:v>1</x:v>
      </x:c>
      <x:c r="I32" s="9" t="str">
        <x:v>public safety authority</x:v>
      </x:c>
      <x:c r="J32" s="9" t="str">
        <x:f>IF(AND(F32=E32,G32=1,H32=1),"PASS","OPEN")</x:f>
        <x:v>OPEN</x:v>
      </x:c>
      <x:c r="K32" s="9" t="str">
        <x:v>UNASSIGNED</x:v>
      </x:c>
      <x:c r="L32" s="9" t="n">
        <x:v>0</x:v>
      </x:c>
    </x:row>
    <x:row r="33">
      <x:c r="B33" s="9" t="str">
        <x:v>RF-C-09</x:v>
      </x:c>
      <x:c r="C33" s="9" t="str">
        <x:v>C</x:v>
      </x:c>
      <x:c r="D33" s="9" t="str">
        <x:v>protected replacement bank</x:v>
      </x:c>
      <x:c r="E33" s="9" t="n">
        <x:v>1</x:v>
      </x:c>
      <x:c r="F33" s="11" t="n">
        <x:v>0</x:v>
      </x:c>
      <x:c r="G33" s="9" t="n">
        <x:v>1</x:v>
      </x:c>
      <x:c r="H33" s="9" t="n">
        <x:v>1</x:v>
      </x:c>
      <x:c r="I33" s="9" t="str">
        <x:v>public safety authority</x:v>
      </x:c>
      <x:c r="J33" s="9" t="str">
        <x:f>IF(AND(F33=E33,G33=1,H33=1),"PASS","OPEN")</x:f>
        <x:v>OPEN</x:v>
      </x:c>
      <x:c r="K33" s="9" t="str">
        <x:v>UNASSIGNED</x:v>
      </x:c>
      <x:c r="L33" s="9" t="n">
        <x:v>0</x:v>
      </x:c>
    </x:row>
    <x:row r="34">
      <x:c r="B34" s="9" t="str">
        <x:v>RF-D-01</x:v>
      </x:c>
      <x:c r="C34" s="9" t="str">
        <x:v>D</x:v>
      </x:c>
      <x:c r="D34" s="9" t="str">
        <x:v>root-native primary physics range</x:v>
      </x:c>
      <x:c r="E34" s="9" t="n">
        <x:v>1</x:v>
      </x:c>
      <x:c r="F34" s="11" t="n">
        <x:v>0</x:v>
      </x:c>
      <x:c r="G34" s="9" t="n">
        <x:v>1</x:v>
      </x:c>
      <x:c r="H34" s="9" t="n">
        <x:v>1</x:v>
      </x:c>
      <x:c r="I34" s="9" t="str">
        <x:v>public safety authority</x:v>
      </x:c>
      <x:c r="J34" s="9" t="str">
        <x:f>IF(AND(F34=E34,G34=1,H34=1),"PASS","OPEN")</x:f>
        <x:v>OPEN</x:v>
      </x:c>
      <x:c r="K34" s="9" t="str">
        <x:v>UNASSIGNED</x:v>
      </x:c>
      <x:c r="L34" s="9" t="n">
        <x:v>0</x:v>
      </x:c>
    </x:row>
    <x:row r="35">
      <x:c r="B35" s="9" t="str">
        <x:v>RF-D-02</x:v>
      </x:c>
      <x:c r="C35" s="9" t="str">
        <x:v>D</x:v>
      </x:c>
      <x:c r="D35" s="9" t="str">
        <x:v>separate second-team reproduction arsenal</x:v>
      </x:c>
      <x:c r="E35" s="9" t="n">
        <x:v>1</x:v>
      </x:c>
      <x:c r="F35" s="11" t="n">
        <x:v>0</x:v>
      </x:c>
      <x:c r="G35" s="9" t="n">
        <x:v>1</x:v>
      </x:c>
      <x:c r="H35" s="9" t="n">
        <x:v>1</x:v>
      </x:c>
      <x:c r="I35" s="9" t="str">
        <x:v>public safety authority</x:v>
      </x:c>
      <x:c r="J35" s="9" t="str">
        <x:f>IF(AND(F35=E35,G35=1,H35=1),"PASS","OPEN")</x:f>
        <x:v>OPEN</x:v>
      </x:c>
      <x:c r="K35" s="9" t="str">
        <x:v>UNASSIGNED</x:v>
      </x:c>
      <x:c r="L35" s="9" t="n">
        <x:v>0</x:v>
      </x:c>
    </x:row>
    <x:row r="36">
      <x:c r="B36" s="9" t="str">
        <x:v>RF-D-03</x:v>
      </x:c>
      <x:c r="C36" s="9" t="str">
        <x:v>D</x:v>
      </x:c>
      <x:c r="D36" s="9" t="str">
        <x:v>common public receiver twin</x:v>
      </x:c>
      <x:c r="E36" s="9" t="n">
        <x:v>1</x:v>
      </x:c>
      <x:c r="F36" s="11" t="n">
        <x:v>0</x:v>
      </x:c>
      <x:c r="G36" s="9" t="n">
        <x:v>1</x:v>
      </x:c>
      <x:c r="H36" s="9" t="n">
        <x:v>1</x:v>
      </x:c>
      <x:c r="I36" s="9" t="str">
        <x:v>public safety authority</x:v>
      </x:c>
      <x:c r="J36" s="9" t="str">
        <x:f>IF(AND(F36=E36,G36=1,H36=1),"PASS","OPEN")</x:f>
        <x:v>OPEN</x:v>
      </x:c>
      <x:c r="K36" s="9" t="str">
        <x:v>UNASSIGNED</x:v>
      </x:c>
      <x:c r="L36" s="9" t="n">
        <x:v>0</x:v>
      </x:c>
    </x:row>
    <x:row r="37">
      <x:c r="B37" s="9" t="str">
        <x:v>RF-D-04</x:v>
      </x:c>
      <x:c r="C37" s="9" t="str">
        <x:v>D</x:v>
      </x:c>
      <x:c r="D37" s="9" t="str">
        <x:v>casualty and degraded-service cell</x:v>
      </x:c>
      <x:c r="E37" s="9" t="n">
        <x:v>1</x:v>
      </x:c>
      <x:c r="F37" s="11" t="n">
        <x:v>0</x:v>
      </x:c>
      <x:c r="G37" s="9" t="n">
        <x:v>1</x:v>
      </x:c>
      <x:c r="H37" s="9" t="n">
        <x:v>1</x:v>
      </x:c>
      <x:c r="I37" s="9" t="str">
        <x:v>public safety authority</x:v>
      </x:c>
      <x:c r="J37" s="9" t="str">
        <x:f>IF(AND(F37=E37,G37=1,H37=1),"PASS","OPEN")</x:f>
        <x:v>OPEN</x:v>
      </x:c>
      <x:c r="K37" s="9" t="str">
        <x:v>UNASSIGNED</x:v>
      </x:c>
      <x:c r="L37" s="9" t="n">
        <x:v>0</x:v>
      </x:c>
    </x:row>
    <x:row r="38">
      <x:c r="B38" s="9" t="str">
        <x:v>RF-D-05</x:v>
      </x:c>
      <x:c r="C38" s="9" t="str">
        <x:v>D</x:v>
      </x:c>
      <x:c r="D38" s="9" t="str">
        <x:v>residual and environment laboratory</x:v>
      </x:c>
      <x:c r="E38" s="9" t="n">
        <x:v>1</x:v>
      </x:c>
      <x:c r="F38" s="11" t="n">
        <x:v>0</x:v>
      </x:c>
      <x:c r="G38" s="9" t="n">
        <x:v>1</x:v>
      </x:c>
      <x:c r="H38" s="9" t="n">
        <x:v>1</x:v>
      </x:c>
      <x:c r="I38" s="9" t="str">
        <x:v>public safety authority</x:v>
      </x:c>
      <x:c r="J38" s="9" t="str">
        <x:f>IF(AND(F38=E38,G38=1,H38=1),"PASS","OPEN")</x:f>
        <x:v>OPEN</x:v>
      </x:c>
      <x:c r="K38" s="9" t="str">
        <x:v>UNASSIGNED</x:v>
      </x:c>
      <x:c r="L38" s="9" t="n">
        <x:v>0</x:v>
      </x:c>
    </x:row>
    <x:row r="39">
      <x:c r="B39" s="9" t="str">
        <x:v>RF-D-06</x:v>
      </x:c>
      <x:c r="C39" s="9" t="str">
        <x:v>D</x:v>
      </x:c>
      <x:c r="D39" s="9" t="str">
        <x:v>root-native measurement plus sovereign shadow</x:v>
      </x:c>
      <x:c r="E39" s="9" t="n">
        <x:v>1</x:v>
      </x:c>
      <x:c r="F39" s="11" t="n">
        <x:v>0</x:v>
      </x:c>
      <x:c r="G39" s="9" t="n">
        <x:v>1</x:v>
      </x:c>
      <x:c r="H39" s="9" t="n">
        <x:v>1</x:v>
      </x:c>
      <x:c r="I39" s="9" t="str">
        <x:v>public safety authority</x:v>
      </x:c>
      <x:c r="J39" s="9" t="str">
        <x:f>IF(AND(F39=E39,G39=1,H39=1),"PASS","OPEN")</x:f>
        <x:v>OPEN</x:v>
      </x:c>
      <x:c r="K39" s="9" t="str">
        <x:v>UNASSIGNED</x:v>
      </x:c>
      <x:c r="L39" s="9" t="n">
        <x:v>0</x:v>
      </x:c>
    </x:row>
    <x:row r="40">
      <x:c r="B40" s="9" t="str">
        <x:v>RF-D-07</x:v>
      </x:c>
      <x:c r="C40" s="9" t="str">
        <x:v>D</x:v>
      </x:c>
      <x:c r="D40" s="9" t="str">
        <x:v>disconnected control cell</x:v>
      </x:c>
      <x:c r="E40" s="9" t="n">
        <x:v>1</x:v>
      </x:c>
      <x:c r="F40" s="11" t="n">
        <x:v>0</x:v>
      </x:c>
      <x:c r="G40" s="9" t="n">
        <x:v>1</x:v>
      </x:c>
      <x:c r="H40" s="9" t="n">
        <x:v>1</x:v>
      </x:c>
      <x:c r="I40" s="9" t="str">
        <x:v>public safety authority</x:v>
      </x:c>
      <x:c r="J40" s="9" t="str">
        <x:f>IF(AND(F40=E40,G40=1,H40=1),"PASS","OPEN")</x:f>
        <x:v>OPEN</x:v>
      </x:c>
      <x:c r="K40" s="9" t="str">
        <x:v>UNASSIGNED</x:v>
      </x:c>
      <x:c r="L40" s="9" t="n">
        <x:v>0</x:v>
      </x:c>
    </x:row>
    <x:row r="41">
      <x:c r="B41" s="9" t="str">
        <x:v>RF-D-08</x:v>
      </x:c>
      <x:c r="C41" s="9" t="str">
        <x:v>D</x:v>
      </x:c>
      <x:c r="D41" s="9" t="str">
        <x:v>repair and cold-reset depot</x:v>
      </x:c>
      <x:c r="E41" s="9" t="n">
        <x:v>1</x:v>
      </x:c>
      <x:c r="F41" s="11" t="n">
        <x:v>0</x:v>
      </x:c>
      <x:c r="G41" s="9" t="n">
        <x:v>1</x:v>
      </x:c>
      <x:c r="H41" s="9" t="n">
        <x:v>1</x:v>
      </x:c>
      <x:c r="I41" s="9" t="str">
        <x:v>public safety authority</x:v>
      </x:c>
      <x:c r="J41" s="9" t="str">
        <x:f>IF(AND(F41=E41,G41=1,H41=1),"PASS","OPEN")</x:f>
        <x:v>OPEN</x:v>
      </x:c>
      <x:c r="K41" s="9" t="str">
        <x:v>UNASSIGNED</x:v>
      </x:c>
      <x:c r="L41" s="9" t="n">
        <x:v>0</x:v>
      </x:c>
    </x:row>
    <x:row r="42">
      <x:c r="B42" s="10" t="str">
        <x:v>RF-D-09</x:v>
      </x:c>
      <x:c r="C42" s="10" t="str">
        <x:v>D</x:v>
      </x:c>
      <x:c r="D42" s="10" t="str">
        <x:v>protected replacement bank</x:v>
      </x:c>
      <x:c r="E42" s="10" t="n">
        <x:v>1</x:v>
      </x:c>
      <x:c r="F42" s="12" t="n">
        <x:v>0</x:v>
      </x:c>
      <x:c r="G42" s="10" t="n">
        <x:v>1</x:v>
      </x:c>
      <x:c r="H42" s="10" t="n">
        <x:v>1</x:v>
      </x:c>
      <x:c r="I42" s="10" t="str">
        <x:v>public safety authority</x:v>
      </x:c>
      <x:c r="J42" s="10" t="str">
        <x:f>IF(AND(F42=E42,G42=1,H42=1),"PASS","OPEN")</x:f>
        <x:v>OPEN</x:v>
      </x:c>
      <x:c r="K42" s="10" t="str">
        <x:v>UNASSIGNED</x:v>
      </x:c>
      <x:c r="L42" s="10" t="n">
        <x:v>0</x:v>
      </x:c>
    </x:row>
  </x:sheetData>
  <x:mergeCells>
    <x:mergeCell ref="B2:L2"/>
    <x:mergeCell ref="B3:L3"/>
  </x:mergeCells>
  <x:conditionalFormatting sqref="J7:J42">
    <x:cfRule type="containsText" dxfId="84" priority="1" operator="containsText" text="PASS"/>
    <x:cfRule type="containsText" dxfId="85" priority="2" operator="containsText" text="SELECTED"/>
    <x:cfRule type="containsText" dxfId="86" priority="3" operator="containsText" text="COMPLETE"/>
    <x:cfRule type="containsText" dxfId="87" priority="4" operator="containsText" text="ACCEPTED"/>
    <x:cfRule type="containsText" dxfId="88" priority="5" operator="containsText" text="HOLD"/>
    <x:cfRule type="containsText" dxfId="89" priority="6" operator="containsText" text="OPEN"/>
    <x:cfRule type="containsText" dxfId="90" priority="7" operator="containsText" text="BLOCKED"/>
    <x:cfRule type="containsText" dxfId="91" priority="8" operator="containsText" text="UNTESTED"/>
    <x:cfRule type="containsText" dxfId="92" priority="9" operator="containsText" text="UNASSIGNED"/>
    <x:cfRule type="containsText" dxfId="93" priority="10" operator="containsText" text="FAIL"/>
    <x:cfRule type="containsText" dxfId="94" priority="11" operator="containsText" text="REJECT"/>
    <x:cfRule type="containsText" dxfId="95" priority="12" operator="containsText" text="IN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9" hidden="0" customWidth="1"/>
    <x:col min="4" max="4" width="17" hidden="0" customWidth="1"/>
    <x:col min="5" max="5" width="21" hidden="0" customWidth="1"/>
    <x:col min="6" max="6" width="15" hidden="0" customWidth="1"/>
    <x:col min="7" max="7" width="18" hidden="0" customWidth="1"/>
    <x:col min="8" max="8" width="19" hidden="0" customWidth="1"/>
    <x:col min="9" max="9" width="17" hidden="0" customWidth="1"/>
    <x:col min="10" max="10" width="14" hidden="0" customWidth="1"/>
  </x:cols>
  <x:sheetData>
    <x:row r="2">
      <x:c r="B2" s="35" t="str">
        <x:v>Campaign load by root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The load counts required valid events and invalidity-only reserve; it is not a reliability sample.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Root</x:v>
      </x:c>
      <x:c r="C6" s="7" t="str">
        <x:v>Primary challenge</x:v>
      </x:c>
      <x:c r="D6" s="7" t="str">
        <x:v>Clean control</x:v>
      </x:c>
      <x:c r="E6" s="7" t="str">
        <x:v>Second-team repeats</x:v>
      </x:c>
      <x:c r="F6" s="7" t="str">
        <x:v>Valid total</x:v>
      </x:c>
      <x:c r="G6" s="7" t="str">
        <x:v>Reserve attempts</x:v>
      </x:c>
      <x:c r="H6" s="7" t="str">
        <x:v>Maximum attempts</x:v>
      </x:c>
      <x:c r="I6" s="7" t="str">
        <x:v>Outside replays</x:v>
      </x:c>
      <x:c r="J6" s="7" t="str">
        <x:v>Status</x:v>
      </x:c>
    </x:row>
    <x:row r="7">
      <x:c r="B7" s="9" t="str">
        <x:v>A</x:v>
      </x:c>
      <x:c r="C7" s="9" t="n">
        <x:v>18</x:v>
      </x:c>
      <x:c r="D7" s="9" t="n">
        <x:v>18</x:v>
      </x:c>
      <x:c r="E7" s="9" t="n">
        <x:v>6</x:v>
      </x:c>
      <x:c r="F7" s="9" t="n">
        <x:f>SUM(C7:E7)</x:f>
        <x:v>42</x:v>
      </x:c>
      <x:c r="G7" s="9" t="n">
        <x:f>'Controls'!$D$11</x:f>
        <x:v>9</x:v>
      </x:c>
      <x:c r="H7" s="9" t="n">
        <x:f>F7+G7</x:f>
        <x:v>51</x:v>
      </x:c>
      <x:c r="I7" s="9" t="n">
        <x:f>F7</x:f>
        <x:v>42</x:v>
      </x:c>
      <x:c r="J7" s="9" t="str">
        <x:f>IF(F7='Controls'!$D$10,"PASS","FAIL")</x:f>
        <x:v>PASS</x:v>
      </x:c>
    </x:row>
    <x:row r="8">
      <x:c r="B8" s="9" t="str">
        <x:v>B</x:v>
      </x:c>
      <x:c r="C8" s="9" t="n">
        <x:v>18</x:v>
      </x:c>
      <x:c r="D8" s="9" t="n">
        <x:v>18</x:v>
      </x:c>
      <x:c r="E8" s="9" t="n">
        <x:v>6</x:v>
      </x:c>
      <x:c r="F8" s="9" t="n">
        <x:f>SUM(C8:E8)</x:f>
        <x:v>42</x:v>
      </x:c>
      <x:c r="G8" s="9" t="n">
        <x:f>'Controls'!$D$11</x:f>
        <x:v>9</x:v>
      </x:c>
      <x:c r="H8" s="9" t="n">
        <x:f>F8+G8</x:f>
        <x:v>51</x:v>
      </x:c>
      <x:c r="I8" s="9" t="n">
        <x:f>F8</x:f>
        <x:v>42</x:v>
      </x:c>
      <x:c r="J8" s="9" t="str">
        <x:f>IF(F8='Controls'!$D$10,"PASS","FAIL")</x:f>
        <x:v>PASS</x:v>
      </x:c>
    </x:row>
    <x:row r="9">
      <x:c r="B9" s="9" t="str">
        <x:v>C</x:v>
      </x:c>
      <x:c r="C9" s="9" t="n">
        <x:v>18</x:v>
      </x:c>
      <x:c r="D9" s="9" t="n">
        <x:v>18</x:v>
      </x:c>
      <x:c r="E9" s="9" t="n">
        <x:v>6</x:v>
      </x:c>
      <x:c r="F9" s="9" t="n">
        <x:f>SUM(C9:E9)</x:f>
        <x:v>42</x:v>
      </x:c>
      <x:c r="G9" s="9" t="n">
        <x:f>'Controls'!$D$11</x:f>
        <x:v>9</x:v>
      </x:c>
      <x:c r="H9" s="9" t="n">
        <x:f>F9+G9</x:f>
        <x:v>51</x:v>
      </x:c>
      <x:c r="I9" s="9" t="n">
        <x:f>F9</x:f>
        <x:v>42</x:v>
      </x:c>
      <x:c r="J9" s="9" t="str">
        <x:f>IF(F9='Controls'!$D$10,"PASS","FAIL")</x:f>
        <x:v>PASS</x:v>
      </x:c>
    </x:row>
    <x:row r="10">
      <x:c r="B10" s="10" t="str">
        <x:v>D</x:v>
      </x:c>
      <x:c r="C10" s="10" t="n">
        <x:v>18</x:v>
      </x:c>
      <x:c r="D10" s="10" t="n">
        <x:v>18</x:v>
      </x:c>
      <x:c r="E10" s="10" t="n">
        <x:v>6</x:v>
      </x:c>
      <x:c r="F10" s="10" t="n">
        <x:f>SUM(C10:E10)</x:f>
        <x:v>42</x:v>
      </x:c>
      <x:c r="G10" s="10" t="n">
        <x:f>'Controls'!$D$11</x:f>
        <x:v>9</x:v>
      </x:c>
      <x:c r="H10" s="10" t="n">
        <x:f>F10+G10</x:f>
        <x:v>51</x:v>
      </x:c>
      <x:c r="I10" s="10" t="n">
        <x:f>F10</x:f>
        <x:v>42</x:v>
      </x:c>
      <x:c r="J10" s="10" t="str">
        <x:f>IF(F10='Controls'!$D$10,"PASS","FAIL")</x:f>
        <x:v>PASS</x:v>
      </x:c>
    </x:row>
  </x:sheetData>
  <x:mergeCells>
    <x:mergeCell ref="B2:J2"/>
    <x:mergeCell ref="B3:J3"/>
  </x:mergeCells>
  <x:conditionalFormatting sqref="J7:J10">
    <x:cfRule type="containsText" dxfId="96" priority="1" operator="containsText" text="PASS"/>
    <x:cfRule type="containsText" dxfId="97" priority="2" operator="containsText" text="SELECTED"/>
    <x:cfRule type="containsText" dxfId="98" priority="3" operator="containsText" text="COMPLETE"/>
    <x:cfRule type="containsText" dxfId="99" priority="4" operator="containsText" text="ACCEPTED"/>
    <x:cfRule type="containsText" dxfId="100" priority="5" operator="containsText" text="HOLD"/>
    <x:cfRule type="containsText" dxfId="101" priority="6" operator="containsText" text="OPEN"/>
    <x:cfRule type="containsText" dxfId="102" priority="7" operator="containsText" text="BLOCKED"/>
    <x:cfRule type="containsText" dxfId="103" priority="8" operator="containsText" text="UNTESTED"/>
    <x:cfRule type="containsText" dxfId="104" priority="9" operator="containsText" text="UNASSIGNED"/>
    <x:cfRule type="containsText" dxfId="105" priority="10" operator="containsText" text="FAIL"/>
    <x:cfRule type="containsText" dxfId="106" priority="11" operator="containsText" text="REJECT"/>
    <x:cfRule type="containsText" dxfId="107" priority="12" operator="containsText" text="INVALI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5" hidden="0" customWidth="1"/>
    <x:col min="4" max="4" width="14" hidden="0" customWidth="1"/>
    <x:col min="5" max="5" width="14" hidden="0" customWidth="1"/>
    <x:col min="6" max="6" width="34" hidden="0" customWidth="1"/>
    <x:col min="7" max="7" width="23" hidden="0" customWidth="1"/>
    <x:col min="8" max="8" width="14" hidden="0" customWidth="1"/>
    <x:col min="9" max="9" width="28" hidden="0" customWidth="1"/>
  </x:cols>
  <x:sheetData>
    <x:row r="2">
      <x:c r="B2" s="35" t="str">
        <x:v>Eighty-four-month critical path</x:v>
      </x:c>
      <x:c r="C2" s="9"/>
      <x:c r="D2" s="9"/>
      <x:c r="E2" s="9"/>
      <x:c r="F2" s="9"/>
      <x:c r="G2" s="9"/>
      <x:c r="H2" s="9"/>
      <x:c r="I2" s="9"/>
    </x:row>
    <x:row r="3">
      <x:c r="B3" s="36" t="str">
        <x:v>Overlaps are permitted; mandatory evidence boundaries are not compressible.</x:v>
      </x:c>
      <x:c r="C3" s="9"/>
      <x:c r="D3" s="9"/>
      <x:c r="E3" s="9"/>
      <x:c r="F3" s="9"/>
      <x:c r="G3" s="9"/>
      <x:c r="H3" s="9"/>
      <x:c r="I3" s="9"/>
    </x:row>
    <x:row r="4">
      <x:c r="B4" s="37"/>
      <x:c r="C4" s="37"/>
      <x:c r="D4" s="37"/>
      <x:c r="E4" s="37"/>
      <x:c r="F4" s="37"/>
      <x:c r="G4" s="37"/>
      <x:c r="H4" s="37"/>
      <x:c r="I4" s="37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Phase</x:v>
      </x:c>
      <x:c r="C6" s="7" t="str">
        <x:v>Start month</x:v>
      </x:c>
      <x:c r="D6" s="7" t="str">
        <x:v>End month</x:v>
      </x:c>
      <x:c r="E6" s="7" t="str">
        <x:v>Duration</x:v>
      </x:c>
      <x:c r="F6" s="7" t="str">
        <x:v>Dependency</x:v>
      </x:c>
      <x:c r="G6" s="7" t="str">
        <x:v>Authority</x:v>
      </x:c>
      <x:c r="H6" s="7" t="str">
        <x:v>Status</x:v>
      </x:c>
      <x:c r="I6" s="7" t="str">
        <x:v>Compression rule</x:v>
      </x:c>
    </x:row>
    <x:row r="7">
      <x:c r="B7" s="9" t="str">
        <x:v>requirements and ancestry</x:v>
      </x:c>
      <x:c r="C7" s="9" t="n">
        <x:v>0</x:v>
      </x:c>
      <x:c r="D7" s="9" t="n">
        <x:v>12</x:v>
      </x:c>
      <x:c r="E7" s="9" t="n">
        <x:f>D7-C7</x:f>
        <x:v>12</x:v>
      </x:c>
      <x:c r="F7" s="9" t="str">
        <x:v>frozen configurations</x:v>
      </x:c>
      <x:c r="G7" s="9" t="str">
        <x:v>program executive</x:v>
      </x:c>
      <x:c r="H7" s="9" t="str">
        <x:v>OPEN</x:v>
      </x:c>
      <x:c r="I7" s="9" t="str">
        <x:v>No gate waiver</x:v>
      </x:c>
    </x:row>
    <x:row r="8">
      <x:c r="B8" s="9" t="str">
        <x:v>range and tooling commission</x:v>
      </x:c>
      <x:c r="C8" s="9" t="n">
        <x:v>6</x:v>
      </x:c>
      <x:c r="D8" s="9" t="n">
        <x:v>30</x:v>
      </x:c>
      <x:c r="E8" s="9" t="n">
        <x:f>D8-C8</x:f>
        <x:v>24</x:v>
      </x:c>
      <x:c r="F8" s="9" t="str">
        <x:v>requirements and ancestry</x:v>
      </x:c>
      <x:c r="G8" s="9" t="str">
        <x:v>program executive</x:v>
      </x:c>
      <x:c r="H8" s="9" t="str">
        <x:v>OPEN</x:v>
      </x:c>
      <x:c r="I8" s="9" t="str">
        <x:v>No gate waiver</x:v>
      </x:c>
    </x:row>
    <x:row r="9">
      <x:c r="B9" s="9" t="str">
        <x:v>P1/P2 construction</x:v>
      </x:c>
      <x:c r="C9" s="9" t="n">
        <x:v>18</x:v>
      </x:c>
      <x:c r="D9" s="9" t="n">
        <x:v>48</x:v>
      </x:c>
      <x:c r="E9" s="9" t="n">
        <x:f>D9-C9</x:f>
        <x:v>30</x:v>
      </x:c>
      <x:c r="F9" s="9" t="str">
        <x:v>range and tooling commission</x:v>
      </x:c>
      <x:c r="G9" s="9" t="str">
        <x:v>program executive</x:v>
      </x:c>
      <x:c r="H9" s="9" t="str">
        <x:v>OPEN</x:v>
      </x:c>
      <x:c r="I9" s="9" t="str">
        <x:v>No gate waiver</x:v>
      </x:c>
    </x:row>
    <x:row r="10">
      <x:c r="B10" s="9" t="str">
        <x:v>second-team R1 construction</x:v>
      </x:c>
      <x:c r="C10" s="9" t="n">
        <x:v>30</x:v>
      </x:c>
      <x:c r="D10" s="9" t="n">
        <x:v>60</x:v>
      </x:c>
      <x:c r="E10" s="9" t="n">
        <x:f>D10-C10</x:f>
        <x:v>30</x:v>
      </x:c>
      <x:c r="F10" s="9" t="str">
        <x:v>P1/P2 construction</x:v>
      </x:c>
      <x:c r="G10" s="9" t="str">
        <x:v>program executive</x:v>
      </x:c>
      <x:c r="H10" s="9" t="str">
        <x:v>OPEN</x:v>
      </x:c>
      <x:c r="I10" s="9" t="str">
        <x:v>No gate waiver</x:v>
      </x:c>
    </x:row>
    <x:row r="11">
      <x:c r="B11" s="9" t="str">
        <x:v>controlled trials</x:v>
      </x:c>
      <x:c r="C11" s="9" t="n">
        <x:v>48</x:v>
      </x:c>
      <x:c r="D11" s="9" t="n">
        <x:v>72</x:v>
      </x:c>
      <x:c r="E11" s="9" t="n">
        <x:f>D11-C11</x:f>
        <x:v>24</x:v>
      </x:c>
      <x:c r="F11" s="9" t="str">
        <x:v>second-team R1 construction</x:v>
      </x:c>
      <x:c r="G11" s="9" t="str">
        <x:v>program executive</x:v>
      </x:c>
      <x:c r="H11" s="9" t="str">
        <x:v>OPEN</x:v>
      </x:c>
      <x:c r="I11" s="9" t="str">
        <x:v>No gate waiver</x:v>
      </x:c>
    </x:row>
    <x:row r="12">
      <x:c r="B12" s="10" t="str">
        <x:v>repair, replay and release</x:v>
      </x:c>
      <x:c r="C12" s="10" t="n">
        <x:v>66</x:v>
      </x:c>
      <x:c r="D12" s="10" t="n">
        <x:v>84</x:v>
      </x:c>
      <x:c r="E12" s="10" t="n">
        <x:f>D12-C12</x:f>
        <x:v>18</x:v>
      </x:c>
      <x:c r="F12" s="10" t="str">
        <x:v>controlled trials</x:v>
      </x:c>
      <x:c r="G12" s="10" t="str">
        <x:v>program executive</x:v>
      </x:c>
      <x:c r="H12" s="10" t="str">
        <x:v>OPEN</x:v>
      </x:c>
      <x:c r="I12" s="10" t="str">
        <x:v>No gate waiver</x:v>
      </x:c>
    </x:row>
  </x:sheetData>
  <x:mergeCells>
    <x:mergeCell ref="B2:I2"/>
    <x:mergeCell ref="B3:I3"/>
  </x:mergeCells>
  <x:conditionalFormatting sqref="H7:H12">
    <x:cfRule type="containsText" dxfId="108" priority="1" operator="containsText" text="PASS"/>
    <x:cfRule type="containsText" dxfId="109" priority="2" operator="containsText" text="SELECTED"/>
    <x:cfRule type="containsText" dxfId="110" priority="3" operator="containsText" text="COMPLETE"/>
    <x:cfRule type="containsText" dxfId="111" priority="4" operator="containsText" text="ACCEPTED"/>
    <x:cfRule type="containsText" dxfId="112" priority="5" operator="containsText" text="HOLD"/>
    <x:cfRule type="containsText" dxfId="113" priority="6" operator="containsText" text="OPEN"/>
    <x:cfRule type="containsText" dxfId="114" priority="7" operator="containsText" text="BLOCKED"/>
    <x:cfRule type="containsText" dxfId="115" priority="8" operator="containsText" text="UNTESTED"/>
    <x:cfRule type="containsText" dxfId="116" priority="9" operator="containsText" text="UNASSIGNED"/>
    <x:cfRule type="containsText" dxfId="117" priority="10" operator="containsText" text="FAIL"/>
    <x:cfRule type="containsText" dxfId="118" priority="11" operator="containsText" text="REJECT"/>
    <x:cfRule type="containsText" dxfId="119" priority="12" operator="containsText" text="IN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9" hidden="0" customWidth="1"/>
    <x:col min="4" max="4" width="16" hidden="0" customWidth="1"/>
    <x:col min="5" max="5" width="13" hidden="0" customWidth="1"/>
    <x:col min="6" max="6" width="17" hidden="0" customWidth="1"/>
    <x:col min="7" max="7" width="12" hidden="0" customWidth="1"/>
    <x:col min="8" max="8" width="34" hidden="0" customWidth="1"/>
    <x:col min="9" max="9" width="14" hidden="0" customWidth="1"/>
    <x:col min="10" max="10" width="15" hidden="0" customWidth="1"/>
  </x:cols>
  <x:sheetData>
    <x:row r="2">
      <x:c r="B2" s="35" t="str">
        <x:v>Proof-campaign workforce screen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Inherited unit crews are applied to the three-sector article bank; force generation remains a planning ratio.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Root</x:v>
      </x:c>
      <x:c r="C6" s="7" t="str">
        <x:v>Architecture</x:v>
      </x:c>
      <x:c r="D6" s="7" t="str">
        <x:v>Deployed crew</x:v>
      </x:c>
      <x:c r="E6" s="7" t="str">
        <x:v>Rotation</x:v>
      </x:c>
      <x:c r="F6" s="7" t="str">
        <x:v>Establishment</x:v>
      </x:c>
      <x:c r="G6" s="7" t="str">
        <x:v>Share</x:v>
      </x:c>
      <x:c r="H6" s="7" t="str">
        <x:v>Qualification bottleneck</x:v>
      </x:c>
      <x:c r="I6" s="7" t="str">
        <x:v>Evidence</x:v>
      </x:c>
      <x:c r="J6" s="7" t="str">
        <x:v>Force credit</x:v>
      </x:c>
    </x:row>
    <x:row r="7">
      <x:c r="B7" s="9" t="str">
        <x:v>A</x:v>
      </x:c>
      <x:c r="C7" s="9" t="str">
        <x:v>Oceanic nuclear utility</x:v>
      </x:c>
      <x:c r="D7" s="15" t="n">
        <x:v>3395</x:v>
      </x:c>
      <x:c r="E7" s="17" t="n">
        <x:f>'Controls'!$D$17</x:f>
        <x:v>3.2</x:v>
      </x:c>
      <x:c r="F7" s="15" t="n">
        <x:f>D7*E7</x:f>
        <x:v>10864</x:v>
      </x:c>
      <x:c r="G7" s="18" t="n">
        <x:f>D7/SUM($D$7:$D$10)</x:f>
        <x:v>0.2723626153229041</x:v>
      </x:c>
      <x:c r="H7" s="9" t="str">
        <x:v>licensed nuclear and marine</x:v>
      </x:c>
      <x:c r="I7" s="9" t="str">
        <x:v>OPEN</x:v>
      </x:c>
      <x:c r="J7" s="9" t="n">
        <x:v>0</x:v>
      </x:c>
    </x:row>
    <x:row r="8">
      <x:c r="B8" s="9" t="str">
        <x:v>B</x:v>
      </x:c>
      <x:c r="C8" s="9" t="str">
        <x:v>Inland geothermal train</x:v>
      </x:c>
      <x:c r="D8" s="15" t="n">
        <x:v>3645</x:v>
      </x:c>
      <x:c r="E8" s="17" t="n">
        <x:f>'Controls'!$D$17</x:f>
        <x:v>3.2</x:v>
      </x:c>
      <x:c r="F8" s="15" t="n">
        <x:f>D8*E8</x:f>
        <x:v>11664</x:v>
      </x:c>
      <x:c r="G8" s="18" t="n">
        <x:f>D8/SUM($D$7:$D$10)</x:f>
        <x:v>0.2924187725631769</x:v>
      </x:c>
      <x:c r="H8" s="9" t="str">
        <x:v>root-native craft and operations</x:v>
      </x:c>
      <x:c r="I8" s="9" t="str">
        <x:v>OPEN</x:v>
      </x:c>
      <x:c r="J8" s="9" t="n">
        <x:v>0</x:v>
      </x:c>
    </x:row>
    <x:row r="9">
      <x:c r="B9" s="9" t="str">
        <x:v>C</x:v>
      </x:c>
      <x:c r="C9" s="9" t="str">
        <x:v>Renewable-electrochemical swarm</x:v>
      </x:c>
      <x:c r="D9" s="15" t="n">
        <x:v>2700</x:v>
      </x:c>
      <x:c r="E9" s="17" t="n">
        <x:f>'Controls'!$D$17</x:f>
        <x:v>3.2</x:v>
      </x:c>
      <x:c r="F9" s="15" t="n">
        <x:f>D9*E9</x:f>
        <x:v>8640</x:v>
      </x:c>
      <x:c r="G9" s="18" t="n">
        <x:f>D9/SUM($D$7:$D$10)</x:f>
        <x:v>0.21660649819494585</x:v>
      </x:c>
      <x:c r="H9" s="9" t="str">
        <x:v>root-native craft and operations</x:v>
      </x:c>
      <x:c r="I9" s="9" t="str">
        <x:v>OPEN</x:v>
      </x:c>
      <x:c r="J9" s="9" t="n">
        <x:v>0</x:v>
      </x:c>
    </x:row>
    <x:row r="10">
      <x:c r="B10" s="9" t="str">
        <x:v>D</x:v>
      </x:c>
      <x:c r="C10" s="9" t="str">
        <x:v>Synthetic-fuel service fleet</x:v>
      </x:c>
      <x:c r="D10" s="15" t="n">
        <x:v>2725</x:v>
      </x:c>
      <x:c r="E10" s="17" t="n">
        <x:f>'Controls'!$D$17</x:f>
        <x:v>3.2</x:v>
      </x:c>
      <x:c r="F10" s="15" t="n">
        <x:f>D10*E10</x:f>
        <x:v>8720</x:v>
      </x:c>
      <x:c r="G10" s="18" t="n">
        <x:f>D10/SUM($D$7:$D$10)</x:f>
        <x:v>0.21861211391897312</x:v>
      </x:c>
      <x:c r="H10" s="9" t="str">
        <x:v>root-native craft and operations</x:v>
      </x:c>
      <x:c r="I10" s="9" t="str">
        <x:v>OPEN</x:v>
      </x:c>
      <x:c r="J10" s="9" t="n">
        <x:v>0</x:v>
      </x:c>
    </x:row>
    <x:row r="11">
      <x:c r="B11" s="9"/>
      <x:c r="C11" s="9"/>
      <x:c r="D11" s="15"/>
      <x:c r="E11" s="9"/>
      <x:c r="F11" s="15"/>
      <x:c r="G11" s="9"/>
      <x:c r="H11" s="9"/>
      <x:c r="I11" s="9"/>
      <x:c r="J11" s="9"/>
    </x:row>
    <x:row r="12">
      <x:c r="B12" s="10" t="str">
        <x:v>TOTAL</x:v>
      </x:c>
      <x:c r="C12" s="10" t="str">
        <x:v>four-root campaign</x:v>
      </x:c>
      <x:c r="D12" s="16" t="n">
        <x:f>SUM(D7:D10)</x:f>
        <x:v>12465</x:v>
      </x:c>
      <x:c r="E12" s="10"/>
      <x:c r="F12" s="16" t="n">
        <x:f>SUM(F7:F10)</x:f>
        <x:v>39888</x:v>
      </x:c>
      <x:c r="G12" s="10"/>
      <x:c r="H12" s="10"/>
      <x:c r="I12" s="10"/>
      <x:c r="J12" s="10"/>
    </x:row>
  </x:sheetData>
  <x:mergeCells>
    <x:mergeCell ref="B2:J2"/>
    <x:mergeCell ref="B3:J3"/>
  </x:mergeCells>
  <x:conditionalFormatting sqref="I7:I10">
    <x:cfRule type="containsText" dxfId="120" priority="1" operator="containsText" text="PASS"/>
    <x:cfRule type="containsText" dxfId="121" priority="2" operator="containsText" text="SELECTED"/>
    <x:cfRule type="containsText" dxfId="122" priority="3" operator="containsText" text="COMPLETE"/>
    <x:cfRule type="containsText" dxfId="123" priority="4" operator="containsText" text="ACCEPTED"/>
    <x:cfRule type="containsText" dxfId="124" priority="5" operator="containsText" text="HOLD"/>
    <x:cfRule type="containsText" dxfId="125" priority="6" operator="containsText" text="OPEN"/>
    <x:cfRule type="containsText" dxfId="126" priority="7" operator="containsText" text="BLOCKED"/>
    <x:cfRule type="containsText" dxfId="127" priority="8" operator="containsText" text="UNTESTED"/>
    <x:cfRule type="containsText" dxfId="128" priority="9" operator="containsText" text="UNASSIGNED"/>
    <x:cfRule type="containsText" dxfId="129" priority="10" operator="containsText" text="FAIL"/>
    <x:cfRule type="containsText" dxfId="130" priority="11" operator="containsText" text="REJECT"/>
    <x:cfRule type="containsText" dxfId="131" priority="12" operator="containsText" text="IN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9" hidden="0" customWidth="1"/>
    <x:col min="4" max="4" width="34" hidden="0" customWidth="1"/>
    <x:col min="5" max="5" width="27" hidden="0" customWidth="1"/>
    <x:col min="6" max="6" width="13" hidden="0" customWidth="1"/>
    <x:col min="7" max="7" width="18" hidden="0" customWidth="1"/>
    <x:col min="8" max="8" width="14" hidden="0" customWidth="1"/>
    <x:col min="9" max="9" width="14" hidden="0" customWidth="1"/>
    <x:col min="10" max="10" width="13" hidden="0" customWidth="1"/>
    <x:col min="11" max="11" width="42" hidden="0" customWidth="1"/>
  </x:cols>
  <x:sheetData>
    <x:row r="2">
      <x:c r="B2" s="35" t="str">
        <x:v>Forty-eight decisive ancestry declarations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6" t="str">
        <x:v>A declared identity must be unique across the four roots in its domain before acceptance.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Record</x:v>
      </x:c>
      <x:c r="C6" s="7" t="str">
        <x:v>Root</x:v>
      </x:c>
      <x:c r="D6" s="7" t="str">
        <x:v>Domain</x:v>
      </x:c>
      <x:c r="E6" s="7" t="str">
        <x:v>Identity</x:v>
      </x:c>
      <x:c r="F6" s="7" t="str">
        <x:v>Declared</x:v>
      </x:c>
      <x:c r="G6" s="7" t="str">
        <x:v>Domain uniqueness</x:v>
      </x:c>
      <x:c r="H6" s="7" t="str">
        <x:v>Status</x:v>
      </x:c>
      <x:c r="I6" s="7" t="str">
        <x:v>Evidence</x:v>
      </x:c>
      <x:c r="J6" s="7" t="str">
        <x:v>Acceptance</x:v>
      </x:c>
      <x:c r="K6" s="7" t="str">
        <x:v>Rule</x:v>
      </x:c>
    </x:row>
    <x:row r="7">
      <x:c r="B7" s="9" t="str">
        <x:v>AN-A-01</x:v>
      </x:c>
      <x:c r="C7" s="9" t="str">
        <x:v>A</x:v>
      </x:c>
      <x:c r="D7" s="9" t="str">
        <x:v>source physics owner</x:v>
      </x:c>
      <x:c r="E7" s="11" t="str">
        <x:v>UNDECLARED-A-01</x:v>
      </x:c>
      <x:c r="F7" s="11" t="n">
        <x:v>0</x:v>
      </x:c>
      <x:c r="G7" s="9" t="n">
        <x:f>COUNTIFS($D$7:$D$54,D7,$E$7:$E$54,E7)</x:f>
        <x:v>1</x:v>
      </x:c>
      <x:c r="H7" s="9" t="str">
        <x:f>IF(AND(F7=1,G7=1),"PASS","OPEN")</x:f>
        <x:v>OPEN</x:v>
      </x:c>
      <x:c r="I7" s="9" t="str">
        <x:v>OPEN</x:v>
      </x:c>
      <x:c r="J7" s="9" t="n">
        <x:v>0</x:v>
      </x:c>
      <x:c r="K7" s="9" t="str">
        <x:v>No common identity in same decisive domain</x:v>
      </x:c>
    </x:row>
    <x:row r="8">
      <x:c r="B8" s="9" t="str">
        <x:v>AN-A-02</x:v>
      </x:c>
      <x:c r="C8" s="9" t="str">
        <x:v>A</x:v>
      </x:c>
      <x:c r="D8" s="9" t="str">
        <x:v>source tooling line</x:v>
      </x:c>
      <x:c r="E8" s="11" t="str">
        <x:v>UNDECLARED-A-02</x:v>
      </x:c>
      <x:c r="F8" s="11" t="n">
        <x:v>0</x:v>
      </x:c>
      <x:c r="G8" s="9" t="n">
        <x:f>COUNTIFS($D$7:$D$54,D8,$E$7:$E$54,E8)</x:f>
        <x:v>1</x:v>
      </x:c>
      <x:c r="H8" s="9" t="str">
        <x:f>IF(AND(F8=1,G8=1),"PASS","OPEN")</x:f>
        <x:v>OPEN</x:v>
      </x:c>
      <x:c r="I8" s="9" t="str">
        <x:v>OPEN</x:v>
      </x:c>
      <x:c r="J8" s="9" t="n">
        <x:v>0</x:v>
      </x:c>
      <x:c r="K8" s="9" t="str">
        <x:v>No common identity in same decisive domain</x:v>
      </x:c>
    </x:row>
    <x:row r="9">
      <x:c r="B9" s="9" t="str">
        <x:v>AN-A-03</x:v>
      </x:c>
      <x:c r="C9" s="9" t="str">
        <x:v>A</x:v>
      </x:c>
      <x:c r="D9" s="9" t="str">
        <x:v>water-process design</x:v>
      </x:c>
      <x:c r="E9" s="11" t="str">
        <x:v>UNDECLARED-A-03</x:v>
      </x:c>
      <x:c r="F9" s="11" t="n">
        <x:v>0</x:v>
      </x:c>
      <x:c r="G9" s="9" t="n">
        <x:f>COUNTIFS($D$7:$D$54,D9,$E$7:$E$54,E9)</x:f>
        <x:v>1</x:v>
      </x:c>
      <x:c r="H9" s="9" t="str">
        <x:f>IF(AND(F9=1,G9=1),"PASS","OPEN")</x:f>
        <x:v>OPEN</x:v>
      </x:c>
      <x:c r="I9" s="9" t="str">
        <x:v>OPEN</x:v>
      </x:c>
      <x:c r="J9" s="9" t="n">
        <x:v>0</x:v>
      </x:c>
      <x:c r="K9" s="9" t="str">
        <x:v>No common identity in same decisive domain</x:v>
      </x:c>
    </x:row>
    <x:row r="10">
      <x:c r="B10" s="9" t="str">
        <x:v>AN-A-04</x:v>
      </x:c>
      <x:c r="C10" s="9" t="str">
        <x:v>A</x:v>
      </x:c>
      <x:c r="D10" s="9" t="str">
        <x:v>corridor materials lot</x:v>
      </x:c>
      <x:c r="E10" s="11" t="str">
        <x:v>UNDECLARED-A-04</x:v>
      </x:c>
      <x:c r="F10" s="11" t="n">
        <x:v>0</x:v>
      </x:c>
      <x:c r="G10" s="9" t="n">
        <x:f>COUNTIFS($D$7:$D$54,D10,$E$7:$E$54,E10)</x:f>
        <x:v>1</x:v>
      </x:c>
      <x:c r="H10" s="9" t="str">
        <x:f>IF(AND(F10=1,G10=1),"PASS","OPEN")</x:f>
        <x:v>OPEN</x:v>
      </x:c>
      <x:c r="I10" s="9" t="str">
        <x:v>OPEN</x:v>
      </x:c>
      <x:c r="J10" s="9" t="n">
        <x:v>0</x:v>
      </x:c>
      <x:c r="K10" s="9" t="str">
        <x:v>No common identity in same decisive domain</x:v>
      </x:c>
    </x:row>
    <x:row r="11">
      <x:c r="B11" s="9" t="str">
        <x:v>AN-A-05</x:v>
      </x:c>
      <x:c r="C11" s="9" t="str">
        <x:v>A</x:v>
      </x:c>
      <x:c r="D11" s="9" t="str">
        <x:v>local-power controls</x:v>
      </x:c>
      <x:c r="E11" s="11" t="str">
        <x:v>UNDECLARED-A-05</x:v>
      </x:c>
      <x:c r="F11" s="11" t="n">
        <x:v>0</x:v>
      </x:c>
      <x:c r="G11" s="9" t="n">
        <x:f>COUNTIFS($D$7:$D$54,D11,$E$7:$E$54,E11)</x:f>
        <x:v>1</x:v>
      </x:c>
      <x:c r="H11" s="9" t="str">
        <x:f>IF(AND(F11=1,G11=1),"PASS","OPEN")</x:f>
        <x:v>OPEN</x:v>
      </x:c>
      <x:c r="I11" s="9" t="str">
        <x:v>OPEN</x:v>
      </x:c>
      <x:c r="J11" s="9" t="n">
        <x:v>0</x:v>
      </x:c>
      <x:c r="K11" s="9" t="str">
        <x:v>No common identity in same decisive domain</x:v>
      </x:c>
    </x:row>
    <x:row r="12">
      <x:c r="B12" s="9" t="str">
        <x:v>AN-A-06</x:v>
      </x:c>
      <x:c r="C12" s="9" t="str">
        <x:v>A</x:v>
      </x:c>
      <x:c r="D12" s="9" t="str">
        <x:v>grid protection stack</x:v>
      </x:c>
      <x:c r="E12" s="11" t="str">
        <x:v>UNDECLARED-A-06</x:v>
      </x:c>
      <x:c r="F12" s="11" t="n">
        <x:v>0</x:v>
      </x:c>
      <x:c r="G12" s="9" t="n">
        <x:f>COUNTIFS($D$7:$D$54,D12,$E$7:$E$54,E12)</x:f>
        <x:v>1</x:v>
      </x:c>
      <x:c r="H12" s="9" t="str">
        <x:f>IF(AND(F12=1,G12=1),"PASS","OPEN")</x:f>
        <x:v>OPEN</x:v>
      </x:c>
      <x:c r="I12" s="9" t="str">
        <x:v>OPEN</x:v>
      </x:c>
      <x:c r="J12" s="9" t="n">
        <x:v>0</x:v>
      </x:c>
      <x:c r="K12" s="9" t="str">
        <x:v>No common identity in same decisive domain</x:v>
      </x:c>
    </x:row>
    <x:row r="13">
      <x:c r="B13" s="9" t="str">
        <x:v>AN-A-07</x:v>
      </x:c>
      <x:c r="C13" s="9" t="str">
        <x:v>A</x:v>
      </x:c>
      <x:c r="D13" s="9" t="str">
        <x:v>thermal controls</x:v>
      </x:c>
      <x:c r="E13" s="11" t="str">
        <x:v>UNDECLARED-A-07</x:v>
      </x:c>
      <x:c r="F13" s="11" t="n">
        <x:v>0</x:v>
      </x:c>
      <x:c r="G13" s="9" t="n">
        <x:f>COUNTIFS($D$7:$D$54,D13,$E$7:$E$54,E13)</x:f>
        <x:v>1</x:v>
      </x:c>
      <x:c r="H13" s="9" t="str">
        <x:f>IF(AND(F13=1,G13=1),"PASS","OPEN")</x:f>
        <x:v>OPEN</x:v>
      </x:c>
      <x:c r="I13" s="9" t="str">
        <x:v>OPEN</x:v>
      </x:c>
      <x:c r="J13" s="9" t="n">
        <x:v>0</x:v>
      </x:c>
      <x:c r="K13" s="9" t="str">
        <x:v>No common identity in same decisive domain</x:v>
      </x:c>
    </x:row>
    <x:row r="14">
      <x:c r="B14" s="9" t="str">
        <x:v>AN-A-08</x:v>
      </x:c>
      <x:c r="C14" s="9" t="str">
        <x:v>A</x:v>
      </x:c>
      <x:c r="D14" s="9" t="str">
        <x:v>root measurement chain</x:v>
      </x:c>
      <x:c r="E14" s="11" t="str">
        <x:v>UNDECLARED-A-08</x:v>
      </x:c>
      <x:c r="F14" s="11" t="n">
        <x:v>0</x:v>
      </x:c>
      <x:c r="G14" s="9" t="n">
        <x:f>COUNTIFS($D$7:$D$54,D14,$E$7:$E$54,E14)</x:f>
        <x:v>1</x:v>
      </x:c>
      <x:c r="H14" s="9" t="str">
        <x:f>IF(AND(F14=1,G14=1),"PASS","OPEN")</x:f>
        <x:v>OPEN</x:v>
      </x:c>
      <x:c r="I14" s="9" t="str">
        <x:v>OPEN</x:v>
      </x:c>
      <x:c r="J14" s="9" t="n">
        <x:v>0</x:v>
      </x:c>
      <x:c r="K14" s="9" t="str">
        <x:v>No common identity in same decisive domain</x:v>
      </x:c>
    </x:row>
    <x:row r="15">
      <x:c r="B15" s="9" t="str">
        <x:v>AN-A-09</x:v>
      </x:c>
      <x:c r="C15" s="9" t="str">
        <x:v>A</x:v>
      </x:c>
      <x:c r="D15" s="9" t="str">
        <x:v>software signing authority</x:v>
      </x:c>
      <x:c r="E15" s="11" t="str">
        <x:v>UNDECLARED-A-09</x:v>
      </x:c>
      <x:c r="F15" s="11" t="n">
        <x:v>0</x:v>
      </x:c>
      <x:c r="G15" s="9" t="n">
        <x:f>COUNTIFS($D$7:$D$54,D15,$E$7:$E$54,E15)</x:f>
        <x:v>1</x:v>
      </x:c>
      <x:c r="H15" s="9" t="str">
        <x:f>IF(AND(F15=1,G15=1),"PASS","OPEN")</x:f>
        <x:v>OPEN</x:v>
      </x:c>
      <x:c r="I15" s="9" t="str">
        <x:v>OPEN</x:v>
      </x:c>
      <x:c r="J15" s="9" t="n">
        <x:v>0</x:v>
      </x:c>
      <x:c r="K15" s="9" t="str">
        <x:v>No common identity in same decisive domain</x:v>
      </x:c>
    </x:row>
    <x:row r="16">
      <x:c r="B16" s="9" t="str">
        <x:v>AN-A-10</x:v>
      </x:c>
      <x:c r="C16" s="9" t="str">
        <x:v>A</x:v>
      </x:c>
      <x:c r="D16" s="9" t="str">
        <x:v>repair tooling</x:v>
      </x:c>
      <x:c r="E16" s="11" t="str">
        <x:v>UNDECLARED-A-10</x:v>
      </x:c>
      <x:c r="F16" s="11" t="n">
        <x:v>0</x:v>
      </x:c>
      <x:c r="G16" s="9" t="n">
        <x:f>COUNTIFS($D$7:$D$54,D16,$E$7:$E$54,E16)</x:f>
        <x:v>1</x:v>
      </x:c>
      <x:c r="H16" s="9" t="str">
        <x:f>IF(AND(F16=1,G16=1),"PASS","OPEN")</x:f>
        <x:v>OPEN</x:v>
      </x:c>
      <x:c r="I16" s="9" t="str">
        <x:v>OPEN</x:v>
      </x:c>
      <x:c r="J16" s="9" t="n">
        <x:v>0</x:v>
      </x:c>
      <x:c r="K16" s="9" t="str">
        <x:v>No common identity in same decisive domain</x:v>
      </x:c>
    </x:row>
    <x:row r="17">
      <x:c r="B17" s="9" t="str">
        <x:v>AN-A-11</x:v>
      </x:c>
      <x:c r="C17" s="9" t="str">
        <x:v>A</x:v>
      </x:c>
      <x:c r="D17" s="9" t="str">
        <x:v>operating cadre</x:v>
      </x:c>
      <x:c r="E17" s="11" t="str">
        <x:v>UNDECLARED-A-11</x:v>
      </x:c>
      <x:c r="F17" s="11" t="n">
        <x:v>0</x:v>
      </x:c>
      <x:c r="G17" s="9" t="n">
        <x:f>COUNTIFS($D$7:$D$54,D17,$E$7:$E$54,E17)</x:f>
        <x:v>1</x:v>
      </x:c>
      <x:c r="H17" s="9" t="str">
        <x:f>IF(AND(F17=1,G17=1),"PASS","OPEN")</x:f>
        <x:v>OPEN</x:v>
      </x:c>
      <x:c r="I17" s="9" t="str">
        <x:v>OPEN</x:v>
      </x:c>
      <x:c r="J17" s="9" t="n">
        <x:v>0</x:v>
      </x:c>
      <x:c r="K17" s="9" t="str">
        <x:v>No common identity in same decisive domain</x:v>
      </x:c>
    </x:row>
    <x:row r="18">
      <x:c r="B18" s="9" t="str">
        <x:v>AN-A-12</x:v>
      </x:c>
      <x:c r="C18" s="9" t="str">
        <x:v>A</x:v>
      </x:c>
      <x:c r="D18" s="9" t="str">
        <x:v>configuration authority</x:v>
      </x:c>
      <x:c r="E18" s="11" t="str">
        <x:v>UNDECLARED-A-12</x:v>
      </x:c>
      <x:c r="F18" s="11" t="n">
        <x:v>0</x:v>
      </x:c>
      <x:c r="G18" s="9" t="n">
        <x:f>COUNTIFS($D$7:$D$54,D18,$E$7:$E$54,E18)</x:f>
        <x:v>1</x:v>
      </x:c>
      <x:c r="H18" s="9" t="str">
        <x:f>IF(AND(F18=1,G18=1),"PASS","OPEN")</x:f>
        <x:v>OPEN</x:v>
      </x:c>
      <x:c r="I18" s="9" t="str">
        <x:v>OPEN</x:v>
      </x:c>
      <x:c r="J18" s="9" t="n">
        <x:v>0</x:v>
      </x:c>
      <x:c r="K18" s="9" t="str">
        <x:v>No common identity in same decisive domain</x:v>
      </x:c>
    </x:row>
    <x:row r="19">
      <x:c r="B19" s="9" t="str">
        <x:v>AN-B-01</x:v>
      </x:c>
      <x:c r="C19" s="9" t="str">
        <x:v>B</x:v>
      </x:c>
      <x:c r="D19" s="9" t="str">
        <x:v>source physics owner</x:v>
      </x:c>
      <x:c r="E19" s="11" t="str">
        <x:v>UNDECLARED-B-01</x:v>
      </x:c>
      <x:c r="F19" s="11" t="n">
        <x:v>0</x:v>
      </x:c>
      <x:c r="G19" s="9" t="n">
        <x:f>COUNTIFS($D$7:$D$54,D19,$E$7:$E$54,E19)</x:f>
        <x:v>1</x:v>
      </x:c>
      <x:c r="H19" s="9" t="str">
        <x:f>IF(AND(F19=1,G19=1),"PASS","OPEN")</x:f>
        <x:v>OPEN</x:v>
      </x:c>
      <x:c r="I19" s="9" t="str">
        <x:v>OPEN</x:v>
      </x:c>
      <x:c r="J19" s="9" t="n">
        <x:v>0</x:v>
      </x:c>
      <x:c r="K19" s="9" t="str">
        <x:v>No common identity in same decisive domain</x:v>
      </x:c>
    </x:row>
    <x:row r="20">
      <x:c r="B20" s="9" t="str">
        <x:v>AN-B-02</x:v>
      </x:c>
      <x:c r="C20" s="9" t="str">
        <x:v>B</x:v>
      </x:c>
      <x:c r="D20" s="9" t="str">
        <x:v>source tooling line</x:v>
      </x:c>
      <x:c r="E20" s="11" t="str">
        <x:v>UNDECLARED-B-02</x:v>
      </x:c>
      <x:c r="F20" s="11" t="n">
        <x:v>0</x:v>
      </x:c>
      <x:c r="G20" s="9" t="n">
        <x:f>COUNTIFS($D$7:$D$54,D20,$E$7:$E$54,E20)</x:f>
        <x:v>1</x:v>
      </x:c>
      <x:c r="H20" s="9" t="str">
        <x:f>IF(AND(F20=1,G20=1),"PASS","OPEN")</x:f>
        <x:v>OPEN</x:v>
      </x:c>
      <x:c r="I20" s="9" t="str">
        <x:v>OPEN</x:v>
      </x:c>
      <x:c r="J20" s="9" t="n">
        <x:v>0</x:v>
      </x:c>
      <x:c r="K20" s="9" t="str">
        <x:v>No common identity in same decisive domain</x:v>
      </x:c>
    </x:row>
    <x:row r="21">
      <x:c r="B21" s="9" t="str">
        <x:v>AN-B-03</x:v>
      </x:c>
      <x:c r="C21" s="9" t="str">
        <x:v>B</x:v>
      </x:c>
      <x:c r="D21" s="9" t="str">
        <x:v>water-process design</x:v>
      </x:c>
      <x:c r="E21" s="11" t="str">
        <x:v>UNDECLARED-B-03</x:v>
      </x:c>
      <x:c r="F21" s="11" t="n">
        <x:v>0</x:v>
      </x:c>
      <x:c r="G21" s="9" t="n">
        <x:f>COUNTIFS($D$7:$D$54,D21,$E$7:$E$54,E21)</x:f>
        <x:v>1</x:v>
      </x:c>
      <x:c r="H21" s="9" t="str">
        <x:f>IF(AND(F21=1,G21=1),"PASS","OPEN")</x:f>
        <x:v>OPEN</x:v>
      </x:c>
      <x:c r="I21" s="9" t="str">
        <x:v>OPEN</x:v>
      </x:c>
      <x:c r="J21" s="9" t="n">
        <x:v>0</x:v>
      </x:c>
      <x:c r="K21" s="9" t="str">
        <x:v>No common identity in same decisive domain</x:v>
      </x:c>
    </x:row>
    <x:row r="22">
      <x:c r="B22" s="9" t="str">
        <x:v>AN-B-04</x:v>
      </x:c>
      <x:c r="C22" s="9" t="str">
        <x:v>B</x:v>
      </x:c>
      <x:c r="D22" s="9" t="str">
        <x:v>corridor materials lot</x:v>
      </x:c>
      <x:c r="E22" s="11" t="str">
        <x:v>UNDECLARED-B-04</x:v>
      </x:c>
      <x:c r="F22" s="11" t="n">
        <x:v>0</x:v>
      </x:c>
      <x:c r="G22" s="9" t="n">
        <x:f>COUNTIFS($D$7:$D$54,D22,$E$7:$E$54,E22)</x:f>
        <x:v>1</x:v>
      </x:c>
      <x:c r="H22" s="9" t="str">
        <x:f>IF(AND(F22=1,G22=1),"PASS","OPEN")</x:f>
        <x:v>OPEN</x:v>
      </x:c>
      <x:c r="I22" s="9" t="str">
        <x:v>OPEN</x:v>
      </x:c>
      <x:c r="J22" s="9" t="n">
        <x:v>0</x:v>
      </x:c>
      <x:c r="K22" s="9" t="str">
        <x:v>No common identity in same decisive domain</x:v>
      </x:c>
    </x:row>
    <x:row r="23">
      <x:c r="B23" s="9" t="str">
        <x:v>AN-B-05</x:v>
      </x:c>
      <x:c r="C23" s="9" t="str">
        <x:v>B</x:v>
      </x:c>
      <x:c r="D23" s="9" t="str">
        <x:v>local-power controls</x:v>
      </x:c>
      <x:c r="E23" s="11" t="str">
        <x:v>UNDECLARED-B-05</x:v>
      </x:c>
      <x:c r="F23" s="11" t="n">
        <x:v>0</x:v>
      </x:c>
      <x:c r="G23" s="9" t="n">
        <x:f>COUNTIFS($D$7:$D$54,D23,$E$7:$E$54,E23)</x:f>
        <x:v>1</x:v>
      </x:c>
      <x:c r="H23" s="9" t="str">
        <x:f>IF(AND(F23=1,G23=1),"PASS","OPEN")</x:f>
        <x:v>OPEN</x:v>
      </x:c>
      <x:c r="I23" s="9" t="str">
        <x:v>OPEN</x:v>
      </x:c>
      <x:c r="J23" s="9" t="n">
        <x:v>0</x:v>
      </x:c>
      <x:c r="K23" s="9" t="str">
        <x:v>No common identity in same decisive domain</x:v>
      </x:c>
    </x:row>
    <x:row r="24">
      <x:c r="B24" s="9" t="str">
        <x:v>AN-B-06</x:v>
      </x:c>
      <x:c r="C24" s="9" t="str">
        <x:v>B</x:v>
      </x:c>
      <x:c r="D24" s="9" t="str">
        <x:v>grid protection stack</x:v>
      </x:c>
      <x:c r="E24" s="11" t="str">
        <x:v>UNDECLARED-B-06</x:v>
      </x:c>
      <x:c r="F24" s="11" t="n">
        <x:v>0</x:v>
      </x:c>
      <x:c r="G24" s="9" t="n">
        <x:f>COUNTIFS($D$7:$D$54,D24,$E$7:$E$54,E24)</x:f>
        <x:v>1</x:v>
      </x:c>
      <x:c r="H24" s="9" t="str">
        <x:f>IF(AND(F24=1,G24=1),"PASS","OPEN")</x:f>
        <x:v>OPEN</x:v>
      </x:c>
      <x:c r="I24" s="9" t="str">
        <x:v>OPEN</x:v>
      </x:c>
      <x:c r="J24" s="9" t="n">
        <x:v>0</x:v>
      </x:c>
      <x:c r="K24" s="9" t="str">
        <x:v>No common identity in same decisive domain</x:v>
      </x:c>
    </x:row>
    <x:row r="25">
      <x:c r="B25" s="9" t="str">
        <x:v>AN-B-07</x:v>
      </x:c>
      <x:c r="C25" s="9" t="str">
        <x:v>B</x:v>
      </x:c>
      <x:c r="D25" s="9" t="str">
        <x:v>thermal controls</x:v>
      </x:c>
      <x:c r="E25" s="11" t="str">
        <x:v>UNDECLARED-B-07</x:v>
      </x:c>
      <x:c r="F25" s="11" t="n">
        <x:v>0</x:v>
      </x:c>
      <x:c r="G25" s="9" t="n">
        <x:f>COUNTIFS($D$7:$D$54,D25,$E$7:$E$54,E25)</x:f>
        <x:v>1</x:v>
      </x:c>
      <x:c r="H25" s="9" t="str">
        <x:f>IF(AND(F25=1,G25=1),"PASS","OPEN")</x:f>
        <x:v>OPEN</x:v>
      </x:c>
      <x:c r="I25" s="9" t="str">
        <x:v>OPEN</x:v>
      </x:c>
      <x:c r="J25" s="9" t="n">
        <x:v>0</x:v>
      </x:c>
      <x:c r="K25" s="9" t="str">
        <x:v>No common identity in same decisive domain</x:v>
      </x:c>
    </x:row>
    <x:row r="26">
      <x:c r="B26" s="9" t="str">
        <x:v>AN-B-08</x:v>
      </x:c>
      <x:c r="C26" s="9" t="str">
        <x:v>B</x:v>
      </x:c>
      <x:c r="D26" s="9" t="str">
        <x:v>root measurement chain</x:v>
      </x:c>
      <x:c r="E26" s="11" t="str">
        <x:v>UNDECLARED-B-08</x:v>
      </x:c>
      <x:c r="F26" s="11" t="n">
        <x:v>0</x:v>
      </x:c>
      <x:c r="G26" s="9" t="n">
        <x:f>COUNTIFS($D$7:$D$54,D26,$E$7:$E$54,E26)</x:f>
        <x:v>1</x:v>
      </x:c>
      <x:c r="H26" s="9" t="str">
        <x:f>IF(AND(F26=1,G26=1),"PASS","OPEN")</x:f>
        <x:v>OPEN</x:v>
      </x:c>
      <x:c r="I26" s="9" t="str">
        <x:v>OPEN</x:v>
      </x:c>
      <x:c r="J26" s="9" t="n">
        <x:v>0</x:v>
      </x:c>
      <x:c r="K26" s="9" t="str">
        <x:v>No common identity in same decisive domain</x:v>
      </x:c>
    </x:row>
    <x:row r="27">
      <x:c r="B27" s="9" t="str">
        <x:v>AN-B-09</x:v>
      </x:c>
      <x:c r="C27" s="9" t="str">
        <x:v>B</x:v>
      </x:c>
      <x:c r="D27" s="9" t="str">
        <x:v>software signing authority</x:v>
      </x:c>
      <x:c r="E27" s="11" t="str">
        <x:v>UNDECLARED-B-09</x:v>
      </x:c>
      <x:c r="F27" s="11" t="n">
        <x:v>0</x:v>
      </x:c>
      <x:c r="G27" s="9" t="n">
        <x:f>COUNTIFS($D$7:$D$54,D27,$E$7:$E$54,E27)</x:f>
        <x:v>1</x:v>
      </x:c>
      <x:c r="H27" s="9" t="str">
        <x:f>IF(AND(F27=1,G27=1),"PASS","OPEN")</x:f>
        <x:v>OPEN</x:v>
      </x:c>
      <x:c r="I27" s="9" t="str">
        <x:v>OPEN</x:v>
      </x:c>
      <x:c r="J27" s="9" t="n">
        <x:v>0</x:v>
      </x:c>
      <x:c r="K27" s="9" t="str">
        <x:v>No common identity in same decisive domain</x:v>
      </x:c>
    </x:row>
    <x:row r="28">
      <x:c r="B28" s="9" t="str">
        <x:v>AN-B-10</x:v>
      </x:c>
      <x:c r="C28" s="9" t="str">
        <x:v>B</x:v>
      </x:c>
      <x:c r="D28" s="9" t="str">
        <x:v>repair tooling</x:v>
      </x:c>
      <x:c r="E28" s="11" t="str">
        <x:v>UNDECLARED-B-10</x:v>
      </x:c>
      <x:c r="F28" s="11" t="n">
        <x:v>0</x:v>
      </x:c>
      <x:c r="G28" s="9" t="n">
        <x:f>COUNTIFS($D$7:$D$54,D28,$E$7:$E$54,E28)</x:f>
        <x:v>1</x:v>
      </x:c>
      <x:c r="H28" s="9" t="str">
        <x:f>IF(AND(F28=1,G28=1),"PASS","OPEN")</x:f>
        <x:v>OPEN</x:v>
      </x:c>
      <x:c r="I28" s="9" t="str">
        <x:v>OPEN</x:v>
      </x:c>
      <x:c r="J28" s="9" t="n">
        <x:v>0</x:v>
      </x:c>
      <x:c r="K28" s="9" t="str">
        <x:v>No common identity in same decisive domain</x:v>
      </x:c>
    </x:row>
    <x:row r="29">
      <x:c r="B29" s="9" t="str">
        <x:v>AN-B-11</x:v>
      </x:c>
      <x:c r="C29" s="9" t="str">
        <x:v>B</x:v>
      </x:c>
      <x:c r="D29" s="9" t="str">
        <x:v>operating cadre</x:v>
      </x:c>
      <x:c r="E29" s="11" t="str">
        <x:v>UNDECLARED-B-11</x:v>
      </x:c>
      <x:c r="F29" s="11" t="n">
        <x:v>0</x:v>
      </x:c>
      <x:c r="G29" s="9" t="n">
        <x:f>COUNTIFS($D$7:$D$54,D29,$E$7:$E$54,E29)</x:f>
        <x:v>1</x:v>
      </x:c>
      <x:c r="H29" s="9" t="str">
        <x:f>IF(AND(F29=1,G29=1),"PASS","OPEN")</x:f>
        <x:v>OPEN</x:v>
      </x:c>
      <x:c r="I29" s="9" t="str">
        <x:v>OPEN</x:v>
      </x:c>
      <x:c r="J29" s="9" t="n">
        <x:v>0</x:v>
      </x:c>
      <x:c r="K29" s="9" t="str">
        <x:v>No common identity in same decisive domain</x:v>
      </x:c>
    </x:row>
    <x:row r="30">
      <x:c r="B30" s="9" t="str">
        <x:v>AN-B-12</x:v>
      </x:c>
      <x:c r="C30" s="9" t="str">
        <x:v>B</x:v>
      </x:c>
      <x:c r="D30" s="9" t="str">
        <x:v>configuration authority</x:v>
      </x:c>
      <x:c r="E30" s="11" t="str">
        <x:v>UNDECLARED-B-12</x:v>
      </x:c>
      <x:c r="F30" s="11" t="n">
        <x:v>0</x:v>
      </x:c>
      <x:c r="G30" s="9" t="n">
        <x:f>COUNTIFS($D$7:$D$54,D30,$E$7:$E$54,E30)</x:f>
        <x:v>1</x:v>
      </x:c>
      <x:c r="H30" s="9" t="str">
        <x:f>IF(AND(F30=1,G30=1),"PASS","OPEN")</x:f>
        <x:v>OPEN</x:v>
      </x:c>
      <x:c r="I30" s="9" t="str">
        <x:v>OPEN</x:v>
      </x:c>
      <x:c r="J30" s="9" t="n">
        <x:v>0</x:v>
      </x:c>
      <x:c r="K30" s="9" t="str">
        <x:v>No common identity in same decisive domain</x:v>
      </x:c>
    </x:row>
    <x:row r="31">
      <x:c r="B31" s="9" t="str">
        <x:v>AN-C-01</x:v>
      </x:c>
      <x:c r="C31" s="9" t="str">
        <x:v>C</x:v>
      </x:c>
      <x:c r="D31" s="9" t="str">
        <x:v>source physics owner</x:v>
      </x:c>
      <x:c r="E31" s="11" t="str">
        <x:v>UNDECLARED-C-01</x:v>
      </x:c>
      <x:c r="F31" s="11" t="n">
        <x:v>0</x:v>
      </x:c>
      <x:c r="G31" s="9" t="n">
        <x:f>COUNTIFS($D$7:$D$54,D31,$E$7:$E$54,E31)</x:f>
        <x:v>1</x:v>
      </x:c>
      <x:c r="H31" s="9" t="str">
        <x:f>IF(AND(F31=1,G31=1),"PASS","OPEN")</x:f>
        <x:v>OPEN</x:v>
      </x:c>
      <x:c r="I31" s="9" t="str">
        <x:v>OPEN</x:v>
      </x:c>
      <x:c r="J31" s="9" t="n">
        <x:v>0</x:v>
      </x:c>
      <x:c r="K31" s="9" t="str">
        <x:v>No common identity in same decisive domain</x:v>
      </x:c>
    </x:row>
    <x:row r="32">
      <x:c r="B32" s="9" t="str">
        <x:v>AN-C-02</x:v>
      </x:c>
      <x:c r="C32" s="9" t="str">
        <x:v>C</x:v>
      </x:c>
      <x:c r="D32" s="9" t="str">
        <x:v>source tooling line</x:v>
      </x:c>
      <x:c r="E32" s="11" t="str">
        <x:v>UNDECLARED-C-02</x:v>
      </x:c>
      <x:c r="F32" s="11" t="n">
        <x:v>0</x:v>
      </x:c>
      <x:c r="G32" s="9" t="n">
        <x:f>COUNTIFS($D$7:$D$54,D32,$E$7:$E$54,E32)</x:f>
        <x:v>1</x:v>
      </x:c>
      <x:c r="H32" s="9" t="str">
        <x:f>IF(AND(F32=1,G32=1),"PASS","OPEN")</x:f>
        <x:v>OPEN</x:v>
      </x:c>
      <x:c r="I32" s="9" t="str">
        <x:v>OPEN</x:v>
      </x:c>
      <x:c r="J32" s="9" t="n">
        <x:v>0</x:v>
      </x:c>
      <x:c r="K32" s="9" t="str">
        <x:v>No common identity in same decisive domain</x:v>
      </x:c>
    </x:row>
    <x:row r="33">
      <x:c r="B33" s="9" t="str">
        <x:v>AN-C-03</x:v>
      </x:c>
      <x:c r="C33" s="9" t="str">
        <x:v>C</x:v>
      </x:c>
      <x:c r="D33" s="9" t="str">
        <x:v>water-process design</x:v>
      </x:c>
      <x:c r="E33" s="11" t="str">
        <x:v>UNDECLARED-C-03</x:v>
      </x:c>
      <x:c r="F33" s="11" t="n">
        <x:v>0</x:v>
      </x:c>
      <x:c r="G33" s="9" t="n">
        <x:f>COUNTIFS($D$7:$D$54,D33,$E$7:$E$54,E33)</x:f>
        <x:v>1</x:v>
      </x:c>
      <x:c r="H33" s="9" t="str">
        <x:f>IF(AND(F33=1,G33=1),"PASS","OPEN")</x:f>
        <x:v>OPEN</x:v>
      </x:c>
      <x:c r="I33" s="9" t="str">
        <x:v>OPEN</x:v>
      </x:c>
      <x:c r="J33" s="9" t="n">
        <x:v>0</x:v>
      </x:c>
      <x:c r="K33" s="9" t="str">
        <x:v>No common identity in same decisive domain</x:v>
      </x:c>
    </x:row>
    <x:row r="34">
      <x:c r="B34" s="9" t="str">
        <x:v>AN-C-04</x:v>
      </x:c>
      <x:c r="C34" s="9" t="str">
        <x:v>C</x:v>
      </x:c>
      <x:c r="D34" s="9" t="str">
        <x:v>corridor materials lot</x:v>
      </x:c>
      <x:c r="E34" s="11" t="str">
        <x:v>UNDECLARED-C-04</x:v>
      </x:c>
      <x:c r="F34" s="11" t="n">
        <x:v>0</x:v>
      </x:c>
      <x:c r="G34" s="9" t="n">
        <x:f>COUNTIFS($D$7:$D$54,D34,$E$7:$E$54,E34)</x:f>
        <x:v>1</x:v>
      </x:c>
      <x:c r="H34" s="9" t="str">
        <x:f>IF(AND(F34=1,G34=1),"PASS","OPEN")</x:f>
        <x:v>OPEN</x:v>
      </x:c>
      <x:c r="I34" s="9" t="str">
        <x:v>OPEN</x:v>
      </x:c>
      <x:c r="J34" s="9" t="n">
        <x:v>0</x:v>
      </x:c>
      <x:c r="K34" s="9" t="str">
        <x:v>No common identity in same decisive domain</x:v>
      </x:c>
    </x:row>
    <x:row r="35">
      <x:c r="B35" s="9" t="str">
        <x:v>AN-C-05</x:v>
      </x:c>
      <x:c r="C35" s="9" t="str">
        <x:v>C</x:v>
      </x:c>
      <x:c r="D35" s="9" t="str">
        <x:v>local-power controls</x:v>
      </x:c>
      <x:c r="E35" s="11" t="str">
        <x:v>UNDECLARED-C-05</x:v>
      </x:c>
      <x:c r="F35" s="11" t="n">
        <x:v>0</x:v>
      </x:c>
      <x:c r="G35" s="9" t="n">
        <x:f>COUNTIFS($D$7:$D$54,D35,$E$7:$E$54,E35)</x:f>
        <x:v>1</x:v>
      </x:c>
      <x:c r="H35" s="9" t="str">
        <x:f>IF(AND(F35=1,G35=1),"PASS","OPEN")</x:f>
        <x:v>OPEN</x:v>
      </x:c>
      <x:c r="I35" s="9" t="str">
        <x:v>OPEN</x:v>
      </x:c>
      <x:c r="J35" s="9" t="n">
        <x:v>0</x:v>
      </x:c>
      <x:c r="K35" s="9" t="str">
        <x:v>No common identity in same decisive domain</x:v>
      </x:c>
    </x:row>
    <x:row r="36">
      <x:c r="B36" s="9" t="str">
        <x:v>AN-C-06</x:v>
      </x:c>
      <x:c r="C36" s="9" t="str">
        <x:v>C</x:v>
      </x:c>
      <x:c r="D36" s="9" t="str">
        <x:v>grid protection stack</x:v>
      </x:c>
      <x:c r="E36" s="11" t="str">
        <x:v>UNDECLARED-C-06</x:v>
      </x:c>
      <x:c r="F36" s="11" t="n">
        <x:v>0</x:v>
      </x:c>
      <x:c r="G36" s="9" t="n">
        <x:f>COUNTIFS($D$7:$D$54,D36,$E$7:$E$54,E36)</x:f>
        <x:v>1</x:v>
      </x:c>
      <x:c r="H36" s="9" t="str">
        <x:f>IF(AND(F36=1,G36=1),"PASS","OPEN")</x:f>
        <x:v>OPEN</x:v>
      </x:c>
      <x:c r="I36" s="9" t="str">
        <x:v>OPEN</x:v>
      </x:c>
      <x:c r="J36" s="9" t="n">
        <x:v>0</x:v>
      </x:c>
      <x:c r="K36" s="9" t="str">
        <x:v>No common identity in same decisive domain</x:v>
      </x:c>
    </x:row>
    <x:row r="37">
      <x:c r="B37" s="9" t="str">
        <x:v>AN-C-07</x:v>
      </x:c>
      <x:c r="C37" s="9" t="str">
        <x:v>C</x:v>
      </x:c>
      <x:c r="D37" s="9" t="str">
        <x:v>thermal controls</x:v>
      </x:c>
      <x:c r="E37" s="11" t="str">
        <x:v>UNDECLARED-C-07</x:v>
      </x:c>
      <x:c r="F37" s="11" t="n">
        <x:v>0</x:v>
      </x:c>
      <x:c r="G37" s="9" t="n">
        <x:f>COUNTIFS($D$7:$D$54,D37,$E$7:$E$54,E37)</x:f>
        <x:v>1</x:v>
      </x:c>
      <x:c r="H37" s="9" t="str">
        <x:f>IF(AND(F37=1,G37=1),"PASS","OPEN")</x:f>
        <x:v>OPEN</x:v>
      </x:c>
      <x:c r="I37" s="9" t="str">
        <x:v>OPEN</x:v>
      </x:c>
      <x:c r="J37" s="9" t="n">
        <x:v>0</x:v>
      </x:c>
      <x:c r="K37" s="9" t="str">
        <x:v>No common identity in same decisive domain</x:v>
      </x:c>
    </x:row>
    <x:row r="38">
      <x:c r="B38" s="9" t="str">
        <x:v>AN-C-08</x:v>
      </x:c>
      <x:c r="C38" s="9" t="str">
        <x:v>C</x:v>
      </x:c>
      <x:c r="D38" s="9" t="str">
        <x:v>root measurement chain</x:v>
      </x:c>
      <x:c r="E38" s="11" t="str">
        <x:v>UNDECLARED-C-08</x:v>
      </x:c>
      <x:c r="F38" s="11" t="n">
        <x:v>0</x:v>
      </x:c>
      <x:c r="G38" s="9" t="n">
        <x:f>COUNTIFS($D$7:$D$54,D38,$E$7:$E$54,E38)</x:f>
        <x:v>1</x:v>
      </x:c>
      <x:c r="H38" s="9" t="str">
        <x:f>IF(AND(F38=1,G38=1),"PASS","OPEN")</x:f>
        <x:v>OPEN</x:v>
      </x:c>
      <x:c r="I38" s="9" t="str">
        <x:v>OPEN</x:v>
      </x:c>
      <x:c r="J38" s="9" t="n">
        <x:v>0</x:v>
      </x:c>
      <x:c r="K38" s="9" t="str">
        <x:v>No common identity in same decisive domain</x:v>
      </x:c>
    </x:row>
    <x:row r="39">
      <x:c r="B39" s="9" t="str">
        <x:v>AN-C-09</x:v>
      </x:c>
      <x:c r="C39" s="9" t="str">
        <x:v>C</x:v>
      </x:c>
      <x:c r="D39" s="9" t="str">
        <x:v>software signing authority</x:v>
      </x:c>
      <x:c r="E39" s="11" t="str">
        <x:v>UNDECLARED-C-09</x:v>
      </x:c>
      <x:c r="F39" s="11" t="n">
        <x:v>0</x:v>
      </x:c>
      <x:c r="G39" s="9" t="n">
        <x:f>COUNTIFS($D$7:$D$54,D39,$E$7:$E$54,E39)</x:f>
        <x:v>1</x:v>
      </x:c>
      <x:c r="H39" s="9" t="str">
        <x:f>IF(AND(F39=1,G39=1),"PASS","OPEN")</x:f>
        <x:v>OPEN</x:v>
      </x:c>
      <x:c r="I39" s="9" t="str">
        <x:v>OPEN</x:v>
      </x:c>
      <x:c r="J39" s="9" t="n">
        <x:v>0</x:v>
      </x:c>
      <x:c r="K39" s="9" t="str">
        <x:v>No common identity in same decisive domain</x:v>
      </x:c>
    </x:row>
    <x:row r="40">
      <x:c r="B40" s="9" t="str">
        <x:v>AN-C-10</x:v>
      </x:c>
      <x:c r="C40" s="9" t="str">
        <x:v>C</x:v>
      </x:c>
      <x:c r="D40" s="9" t="str">
        <x:v>repair tooling</x:v>
      </x:c>
      <x:c r="E40" s="11" t="str">
        <x:v>UNDECLARED-C-10</x:v>
      </x:c>
      <x:c r="F40" s="11" t="n">
        <x:v>0</x:v>
      </x:c>
      <x:c r="G40" s="9" t="n">
        <x:f>COUNTIFS($D$7:$D$54,D40,$E$7:$E$54,E40)</x:f>
        <x:v>1</x:v>
      </x:c>
      <x:c r="H40" s="9" t="str">
        <x:f>IF(AND(F40=1,G40=1),"PASS","OPEN")</x:f>
        <x:v>OPEN</x:v>
      </x:c>
      <x:c r="I40" s="9" t="str">
        <x:v>OPEN</x:v>
      </x:c>
      <x:c r="J40" s="9" t="n">
        <x:v>0</x:v>
      </x:c>
      <x:c r="K40" s="9" t="str">
        <x:v>No common identity in same decisive domain</x:v>
      </x:c>
    </x:row>
    <x:row r="41">
      <x:c r="B41" s="9" t="str">
        <x:v>AN-C-11</x:v>
      </x:c>
      <x:c r="C41" s="9" t="str">
        <x:v>C</x:v>
      </x:c>
      <x:c r="D41" s="9" t="str">
        <x:v>operating cadre</x:v>
      </x:c>
      <x:c r="E41" s="11" t="str">
        <x:v>UNDECLARED-C-11</x:v>
      </x:c>
      <x:c r="F41" s="11" t="n">
        <x:v>0</x:v>
      </x:c>
      <x:c r="G41" s="9" t="n">
        <x:f>COUNTIFS($D$7:$D$54,D41,$E$7:$E$54,E41)</x:f>
        <x:v>1</x:v>
      </x:c>
      <x:c r="H41" s="9" t="str">
        <x:f>IF(AND(F41=1,G41=1),"PASS","OPEN")</x:f>
        <x:v>OPEN</x:v>
      </x:c>
      <x:c r="I41" s="9" t="str">
        <x:v>OPEN</x:v>
      </x:c>
      <x:c r="J41" s="9" t="n">
        <x:v>0</x:v>
      </x:c>
      <x:c r="K41" s="9" t="str">
        <x:v>No common identity in same decisive domain</x:v>
      </x:c>
    </x:row>
    <x:row r="42">
      <x:c r="B42" s="9" t="str">
        <x:v>AN-C-12</x:v>
      </x:c>
      <x:c r="C42" s="9" t="str">
        <x:v>C</x:v>
      </x:c>
      <x:c r="D42" s="9" t="str">
        <x:v>configuration authority</x:v>
      </x:c>
      <x:c r="E42" s="11" t="str">
        <x:v>UNDECLARED-C-12</x:v>
      </x:c>
      <x:c r="F42" s="11" t="n">
        <x:v>0</x:v>
      </x:c>
      <x:c r="G42" s="9" t="n">
        <x:f>COUNTIFS($D$7:$D$54,D42,$E$7:$E$54,E42)</x:f>
        <x:v>1</x:v>
      </x:c>
      <x:c r="H42" s="9" t="str">
        <x:f>IF(AND(F42=1,G42=1),"PASS","OPEN")</x:f>
        <x:v>OPEN</x:v>
      </x:c>
      <x:c r="I42" s="9" t="str">
        <x:v>OPEN</x:v>
      </x:c>
      <x:c r="J42" s="9" t="n">
        <x:v>0</x:v>
      </x:c>
      <x:c r="K42" s="9" t="str">
        <x:v>No common identity in same decisive domain</x:v>
      </x:c>
    </x:row>
    <x:row r="43">
      <x:c r="B43" s="9" t="str">
        <x:v>AN-D-01</x:v>
      </x:c>
      <x:c r="C43" s="9" t="str">
        <x:v>D</x:v>
      </x:c>
      <x:c r="D43" s="9" t="str">
        <x:v>source physics owner</x:v>
      </x:c>
      <x:c r="E43" s="11" t="str">
        <x:v>UNDECLARED-D-01</x:v>
      </x:c>
      <x:c r="F43" s="11" t="n">
        <x:v>0</x:v>
      </x:c>
      <x:c r="G43" s="9" t="n">
        <x:f>COUNTIFS($D$7:$D$54,D43,$E$7:$E$54,E43)</x:f>
        <x:v>1</x:v>
      </x:c>
      <x:c r="H43" s="9" t="str">
        <x:f>IF(AND(F43=1,G43=1),"PASS","OPEN")</x:f>
        <x:v>OPEN</x:v>
      </x:c>
      <x:c r="I43" s="9" t="str">
        <x:v>OPEN</x:v>
      </x:c>
      <x:c r="J43" s="9" t="n">
        <x:v>0</x:v>
      </x:c>
      <x:c r="K43" s="9" t="str">
        <x:v>No common identity in same decisive domain</x:v>
      </x:c>
    </x:row>
    <x:row r="44">
      <x:c r="B44" s="9" t="str">
        <x:v>AN-D-02</x:v>
      </x:c>
      <x:c r="C44" s="9" t="str">
        <x:v>D</x:v>
      </x:c>
      <x:c r="D44" s="9" t="str">
        <x:v>source tooling line</x:v>
      </x:c>
      <x:c r="E44" s="11" t="str">
        <x:v>UNDECLARED-D-02</x:v>
      </x:c>
      <x:c r="F44" s="11" t="n">
        <x:v>0</x:v>
      </x:c>
      <x:c r="G44" s="9" t="n">
        <x:f>COUNTIFS($D$7:$D$54,D44,$E$7:$E$54,E44)</x:f>
        <x:v>1</x:v>
      </x:c>
      <x:c r="H44" s="9" t="str">
        <x:f>IF(AND(F44=1,G44=1),"PASS","OPEN")</x:f>
        <x:v>OPEN</x:v>
      </x:c>
      <x:c r="I44" s="9" t="str">
        <x:v>OPEN</x:v>
      </x:c>
      <x:c r="J44" s="9" t="n">
        <x:v>0</x:v>
      </x:c>
      <x:c r="K44" s="9" t="str">
        <x:v>No common identity in same decisive domain</x:v>
      </x:c>
    </x:row>
    <x:row r="45">
      <x:c r="B45" s="9" t="str">
        <x:v>AN-D-03</x:v>
      </x:c>
      <x:c r="C45" s="9" t="str">
        <x:v>D</x:v>
      </x:c>
      <x:c r="D45" s="9" t="str">
        <x:v>water-process design</x:v>
      </x:c>
      <x:c r="E45" s="11" t="str">
        <x:v>UNDECLARED-D-03</x:v>
      </x:c>
      <x:c r="F45" s="11" t="n">
        <x:v>0</x:v>
      </x:c>
      <x:c r="G45" s="9" t="n">
        <x:f>COUNTIFS($D$7:$D$54,D45,$E$7:$E$54,E45)</x:f>
        <x:v>1</x:v>
      </x:c>
      <x:c r="H45" s="9" t="str">
        <x:f>IF(AND(F45=1,G45=1),"PASS","OPEN")</x:f>
        <x:v>OPEN</x:v>
      </x:c>
      <x:c r="I45" s="9" t="str">
        <x:v>OPEN</x:v>
      </x:c>
      <x:c r="J45" s="9" t="n">
        <x:v>0</x:v>
      </x:c>
      <x:c r="K45" s="9" t="str">
        <x:v>No common identity in same decisive domain</x:v>
      </x:c>
    </x:row>
    <x:row r="46">
      <x:c r="B46" s="9" t="str">
        <x:v>AN-D-04</x:v>
      </x:c>
      <x:c r="C46" s="9" t="str">
        <x:v>D</x:v>
      </x:c>
      <x:c r="D46" s="9" t="str">
        <x:v>corridor materials lot</x:v>
      </x:c>
      <x:c r="E46" s="11" t="str">
        <x:v>UNDECLARED-D-04</x:v>
      </x:c>
      <x:c r="F46" s="11" t="n">
        <x:v>0</x:v>
      </x:c>
      <x:c r="G46" s="9" t="n">
        <x:f>COUNTIFS($D$7:$D$54,D46,$E$7:$E$54,E46)</x:f>
        <x:v>1</x:v>
      </x:c>
      <x:c r="H46" s="9" t="str">
        <x:f>IF(AND(F46=1,G46=1),"PASS","OPEN")</x:f>
        <x:v>OPEN</x:v>
      </x:c>
      <x:c r="I46" s="9" t="str">
        <x:v>OPEN</x:v>
      </x:c>
      <x:c r="J46" s="9" t="n">
        <x:v>0</x:v>
      </x:c>
      <x:c r="K46" s="9" t="str">
        <x:v>No common identity in same decisive domain</x:v>
      </x:c>
    </x:row>
    <x:row r="47">
      <x:c r="B47" s="9" t="str">
        <x:v>AN-D-05</x:v>
      </x:c>
      <x:c r="C47" s="9" t="str">
        <x:v>D</x:v>
      </x:c>
      <x:c r="D47" s="9" t="str">
        <x:v>local-power controls</x:v>
      </x:c>
      <x:c r="E47" s="11" t="str">
        <x:v>UNDECLARED-D-05</x:v>
      </x:c>
      <x:c r="F47" s="11" t="n">
        <x:v>0</x:v>
      </x:c>
      <x:c r="G47" s="9" t="n">
        <x:f>COUNTIFS($D$7:$D$54,D47,$E$7:$E$54,E47)</x:f>
        <x:v>1</x:v>
      </x:c>
      <x:c r="H47" s="9" t="str">
        <x:f>IF(AND(F47=1,G47=1),"PASS","OPEN")</x:f>
        <x:v>OPEN</x:v>
      </x:c>
      <x:c r="I47" s="9" t="str">
        <x:v>OPEN</x:v>
      </x:c>
      <x:c r="J47" s="9" t="n">
        <x:v>0</x:v>
      </x:c>
      <x:c r="K47" s="9" t="str">
        <x:v>No common identity in same decisive domain</x:v>
      </x:c>
    </x:row>
    <x:row r="48">
      <x:c r="B48" s="9" t="str">
        <x:v>AN-D-06</x:v>
      </x:c>
      <x:c r="C48" s="9" t="str">
        <x:v>D</x:v>
      </x:c>
      <x:c r="D48" s="9" t="str">
        <x:v>grid protection stack</x:v>
      </x:c>
      <x:c r="E48" s="11" t="str">
        <x:v>UNDECLARED-D-06</x:v>
      </x:c>
      <x:c r="F48" s="11" t="n">
        <x:v>0</x:v>
      </x:c>
      <x:c r="G48" s="9" t="n">
        <x:f>COUNTIFS($D$7:$D$54,D48,$E$7:$E$54,E48)</x:f>
        <x:v>1</x:v>
      </x:c>
      <x:c r="H48" s="9" t="str">
        <x:f>IF(AND(F48=1,G48=1),"PASS","OPEN")</x:f>
        <x:v>OPEN</x:v>
      </x:c>
      <x:c r="I48" s="9" t="str">
        <x:v>OPEN</x:v>
      </x:c>
      <x:c r="J48" s="9" t="n">
        <x:v>0</x:v>
      </x:c>
      <x:c r="K48" s="9" t="str">
        <x:v>No common identity in same decisive domain</x:v>
      </x:c>
    </x:row>
    <x:row r="49">
      <x:c r="B49" s="9" t="str">
        <x:v>AN-D-07</x:v>
      </x:c>
      <x:c r="C49" s="9" t="str">
        <x:v>D</x:v>
      </x:c>
      <x:c r="D49" s="9" t="str">
        <x:v>thermal controls</x:v>
      </x:c>
      <x:c r="E49" s="11" t="str">
        <x:v>UNDECLARED-D-07</x:v>
      </x:c>
      <x:c r="F49" s="11" t="n">
        <x:v>0</x:v>
      </x:c>
      <x:c r="G49" s="9" t="n">
        <x:f>COUNTIFS($D$7:$D$54,D49,$E$7:$E$54,E49)</x:f>
        <x:v>1</x:v>
      </x:c>
      <x:c r="H49" s="9" t="str">
        <x:f>IF(AND(F49=1,G49=1),"PASS","OPEN")</x:f>
        <x:v>OPEN</x:v>
      </x:c>
      <x:c r="I49" s="9" t="str">
        <x:v>OPEN</x:v>
      </x:c>
      <x:c r="J49" s="9" t="n">
        <x:v>0</x:v>
      </x:c>
      <x:c r="K49" s="9" t="str">
        <x:v>No common identity in same decisive domain</x:v>
      </x:c>
    </x:row>
    <x:row r="50">
      <x:c r="B50" s="9" t="str">
        <x:v>AN-D-08</x:v>
      </x:c>
      <x:c r="C50" s="9" t="str">
        <x:v>D</x:v>
      </x:c>
      <x:c r="D50" s="9" t="str">
        <x:v>root measurement chain</x:v>
      </x:c>
      <x:c r="E50" s="11" t="str">
        <x:v>UNDECLARED-D-08</x:v>
      </x:c>
      <x:c r="F50" s="11" t="n">
        <x:v>0</x:v>
      </x:c>
      <x:c r="G50" s="9" t="n">
        <x:f>COUNTIFS($D$7:$D$54,D50,$E$7:$E$54,E50)</x:f>
        <x:v>1</x:v>
      </x:c>
      <x:c r="H50" s="9" t="str">
        <x:f>IF(AND(F50=1,G50=1),"PASS","OPEN")</x:f>
        <x:v>OPEN</x:v>
      </x:c>
      <x:c r="I50" s="9" t="str">
        <x:v>OPEN</x:v>
      </x:c>
      <x:c r="J50" s="9" t="n">
        <x:v>0</x:v>
      </x:c>
      <x:c r="K50" s="9" t="str">
        <x:v>No common identity in same decisive domain</x:v>
      </x:c>
    </x:row>
    <x:row r="51">
      <x:c r="B51" s="9" t="str">
        <x:v>AN-D-09</x:v>
      </x:c>
      <x:c r="C51" s="9" t="str">
        <x:v>D</x:v>
      </x:c>
      <x:c r="D51" s="9" t="str">
        <x:v>software signing authority</x:v>
      </x:c>
      <x:c r="E51" s="11" t="str">
        <x:v>UNDECLARED-D-09</x:v>
      </x:c>
      <x:c r="F51" s="11" t="n">
        <x:v>0</x:v>
      </x:c>
      <x:c r="G51" s="9" t="n">
        <x:f>COUNTIFS($D$7:$D$54,D51,$E$7:$E$54,E51)</x:f>
        <x:v>1</x:v>
      </x:c>
      <x:c r="H51" s="9" t="str">
        <x:f>IF(AND(F51=1,G51=1),"PASS","OPEN")</x:f>
        <x:v>OPEN</x:v>
      </x:c>
      <x:c r="I51" s="9" t="str">
        <x:v>OPEN</x:v>
      </x:c>
      <x:c r="J51" s="9" t="n">
        <x:v>0</x:v>
      </x:c>
      <x:c r="K51" s="9" t="str">
        <x:v>No common identity in same decisive domain</x:v>
      </x:c>
    </x:row>
    <x:row r="52">
      <x:c r="B52" s="9" t="str">
        <x:v>AN-D-10</x:v>
      </x:c>
      <x:c r="C52" s="9" t="str">
        <x:v>D</x:v>
      </x:c>
      <x:c r="D52" s="9" t="str">
        <x:v>repair tooling</x:v>
      </x:c>
      <x:c r="E52" s="11" t="str">
        <x:v>UNDECLARED-D-10</x:v>
      </x:c>
      <x:c r="F52" s="11" t="n">
        <x:v>0</x:v>
      </x:c>
      <x:c r="G52" s="9" t="n">
        <x:f>COUNTIFS($D$7:$D$54,D52,$E$7:$E$54,E52)</x:f>
        <x:v>1</x:v>
      </x:c>
      <x:c r="H52" s="9" t="str">
        <x:f>IF(AND(F52=1,G52=1),"PASS","OPEN")</x:f>
        <x:v>OPEN</x:v>
      </x:c>
      <x:c r="I52" s="9" t="str">
        <x:v>OPEN</x:v>
      </x:c>
      <x:c r="J52" s="9" t="n">
        <x:v>0</x:v>
      </x:c>
      <x:c r="K52" s="9" t="str">
        <x:v>No common identity in same decisive domain</x:v>
      </x:c>
    </x:row>
    <x:row r="53">
      <x:c r="B53" s="9" t="str">
        <x:v>AN-D-11</x:v>
      </x:c>
      <x:c r="C53" s="9" t="str">
        <x:v>D</x:v>
      </x:c>
      <x:c r="D53" s="9" t="str">
        <x:v>operating cadre</x:v>
      </x:c>
      <x:c r="E53" s="11" t="str">
        <x:v>UNDECLARED-D-11</x:v>
      </x:c>
      <x:c r="F53" s="11" t="n">
        <x:v>0</x:v>
      </x:c>
      <x:c r="G53" s="9" t="n">
        <x:f>COUNTIFS($D$7:$D$54,D53,$E$7:$E$54,E53)</x:f>
        <x:v>1</x:v>
      </x:c>
      <x:c r="H53" s="9" t="str">
        <x:f>IF(AND(F53=1,G53=1),"PASS","OPEN")</x:f>
        <x:v>OPEN</x:v>
      </x:c>
      <x:c r="I53" s="9" t="str">
        <x:v>OPEN</x:v>
      </x:c>
      <x:c r="J53" s="9" t="n">
        <x:v>0</x:v>
      </x:c>
      <x:c r="K53" s="9" t="str">
        <x:v>No common identity in same decisive domain</x:v>
      </x:c>
    </x:row>
    <x:row r="54">
      <x:c r="B54" s="10" t="str">
        <x:v>AN-D-12</x:v>
      </x:c>
      <x:c r="C54" s="10" t="str">
        <x:v>D</x:v>
      </x:c>
      <x:c r="D54" s="10" t="str">
        <x:v>configuration authority</x:v>
      </x:c>
      <x:c r="E54" s="12" t="str">
        <x:v>UNDECLARED-D-12</x:v>
      </x:c>
      <x:c r="F54" s="12" t="n">
        <x:v>0</x:v>
      </x:c>
      <x:c r="G54" s="10" t="n">
        <x:f>COUNTIFS($D$7:$D$54,D54,$E$7:$E$54,E54)</x:f>
        <x:v>1</x:v>
      </x:c>
      <x:c r="H54" s="10" t="str">
        <x:f>IF(AND(F54=1,G54=1),"PASS","OPEN")</x:f>
        <x:v>OPEN</x:v>
      </x:c>
      <x:c r="I54" s="10" t="str">
        <x:v>OPEN</x:v>
      </x:c>
      <x:c r="J54" s="10" t="n">
        <x:v>0</x:v>
      </x:c>
      <x:c r="K54" s="10" t="str">
        <x:v>No common identity in same decisive domain</x:v>
      </x:c>
    </x:row>
  </x:sheetData>
  <x:mergeCells>
    <x:mergeCell ref="B2:K2"/>
    <x:mergeCell ref="B3:K3"/>
  </x:mergeCells>
  <x:conditionalFormatting sqref="H7:I54">
    <x:cfRule type="containsText" dxfId="132" priority="1" operator="containsText" text="PASS"/>
    <x:cfRule type="containsText" dxfId="133" priority="2" operator="containsText" text="SELECTED"/>
    <x:cfRule type="containsText" dxfId="134" priority="3" operator="containsText" text="COMPLETE"/>
    <x:cfRule type="containsText" dxfId="135" priority="4" operator="containsText" text="ACCEPTED"/>
    <x:cfRule type="containsText" dxfId="136" priority="5" operator="containsText" text="HOLD"/>
    <x:cfRule type="containsText" dxfId="137" priority="6" operator="containsText" text="OPEN"/>
    <x:cfRule type="containsText" dxfId="138" priority="7" operator="containsText" text="BLOCKED"/>
    <x:cfRule type="containsText" dxfId="139" priority="8" operator="containsText" text="UNTESTED"/>
    <x:cfRule type="containsText" dxfId="140" priority="9" operator="containsText" text="UNASSIGNED"/>
    <x:cfRule type="containsText" dxfId="141" priority="10" operator="containsText" text="FAIL"/>
    <x:cfRule type="containsText" dxfId="142" priority="11" operator="containsText" text="REJECT"/>
    <x:cfRule type="containsText" dxfId="143" priority="12" operator="containsText" text="INVALI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9" hidden="0" customWidth="1"/>
    <x:col min="4" max="4" width="10" hidden="0" customWidth="1"/>
    <x:col min="5" max="5" width="48" hidden="0" customWidth="1"/>
    <x:col min="6" max="6" width="13" hidden="0" customWidth="1"/>
    <x:col min="7" max="7" width="18" hidden="0" customWidth="1"/>
    <x:col min="8" max="8" width="31" hidden="0" customWidth="1"/>
    <x:col min="9" max="9" width="14" hidden="0" customWidth="1"/>
    <x:col min="10" max="10" width="13" hidden="0" customWidth="1"/>
  </x:cols>
  <x:sheetData>
    <x:row r="2">
      <x:c r="B2" s="35" t="str">
        <x:v>Fifty-six conjunctive G3 gates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No average score exists. Every gate for a root must pass before independent release.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Gate record</x:v>
      </x:c>
      <x:c r="C6" s="7" t="str">
        <x:v>Root</x:v>
      </x:c>
      <x:c r="D6" s="7" t="str">
        <x:v>Gate</x:v>
      </x:c>
      <x:c r="E6" s="7" t="str">
        <x:v>Requirement</x:v>
      </x:c>
      <x:c r="F6" s="7" t="str">
        <x:v>Observed</x:v>
      </x:c>
      <x:c r="G6" s="7" t="str">
        <x:v>Evidence ID</x:v>
      </x:c>
      <x:c r="H6" s="7" t="str">
        <x:v>Authority</x:v>
      </x:c>
      <x:c r="I6" s="7" t="str">
        <x:v>Status</x:v>
      </x:c>
      <x:c r="J6" s="7" t="str">
        <x:v>Admission</x:v>
      </x:c>
    </x:row>
    <x:row r="7">
      <x:c r="B7" s="9" t="str">
        <x:v>G3-A-01</x:v>
      </x:c>
      <x:c r="C7" s="9" t="str">
        <x:v>A</x:v>
      </x:c>
      <x:c r="D7" s="9" t="str">
        <x:v>G01</x:v>
      </x:c>
      <x:c r="E7" s="9" t="str">
        <x:v>complete five-route service bill</x:v>
      </x:c>
      <x:c r="F7" s="11" t="n">
        <x:v>0</x:v>
      </x:c>
      <x:c r="G7" s="9" t="str">
        <x:v>UNASSIGNED</x:v>
      </x:c>
      <x:c r="H7" s="9" t="str">
        <x:v>independent technical authority</x:v>
      </x:c>
      <x:c r="I7" s="9" t="str">
        <x:f>IF(F7=1,"PASS","OPEN")</x:f>
        <x:v>OPEN</x:v>
      </x:c>
      <x:c r="J7" s="9" t="n">
        <x:v>0</x:v>
      </x:c>
    </x:row>
    <x:row r="8">
      <x:c r="B8" s="9" t="str">
        <x:v>G3-A-02</x:v>
      </x:c>
      <x:c r="C8" s="9" t="str">
        <x:v>A</x:v>
      </x:c>
      <x:c r="D8" s="9" t="str">
        <x:v>G02</x:v>
      </x:c>
      <x:c r="E8" s="9" t="str">
        <x:v>seven-stage service state machine</x:v>
      </x:c>
      <x:c r="F8" s="11" t="n">
        <x:v>0</x:v>
      </x:c>
      <x:c r="G8" s="9" t="str">
        <x:v>UNASSIGNED</x:v>
      </x:c>
      <x:c r="H8" s="9" t="str">
        <x:v>independent technical authority</x:v>
      </x:c>
      <x:c r="I8" s="9" t="str">
        <x:f>IF(F8=1,"PASS","OPEN")</x:f>
        <x:v>OPEN</x:v>
      </x:c>
      <x:c r="J8" s="9" t="n">
        <x:v>0</x:v>
      </x:c>
    </x:row>
    <x:row r="9">
      <x:c r="B9" s="9" t="str">
        <x:v>G3-A-03</x:v>
      </x:c>
      <x:c r="C9" s="9" t="str">
        <x:v>A</x:v>
      </x:c>
      <x:c r="D9" s="9" t="str">
        <x:v>G03</x:v>
      </x:c>
      <x:c r="E9" s="9" t="str">
        <x:v>four-field root architecture</x:v>
      </x:c>
      <x:c r="F9" s="11" t="n">
        <x:v>0</x:v>
      </x:c>
      <x:c r="G9" s="9" t="str">
        <x:v>UNASSIGNED</x:v>
      </x:c>
      <x:c r="H9" s="9" t="str">
        <x:v>independent technical authority</x:v>
      </x:c>
      <x:c r="I9" s="9" t="str">
        <x:f>IF(F9=1,"PASS","OPEN")</x:f>
        <x:v>OPEN</x:v>
      </x:c>
      <x:c r="J9" s="9" t="n">
        <x:v>0</x:v>
      </x:c>
    </x:row>
    <x:row r="10">
      <x:c r="B10" s="9" t="str">
        <x:v>G3-A-04</x:v>
      </x:c>
      <x:c r="C10" s="9" t="str">
        <x:v>A</x:v>
      </x:c>
      <x:c r="D10" s="9" t="str">
        <x:v>G04</x:v>
      </x:c>
      <x:c r="E10" s="9" t="str">
        <x:v>numeric service thresholds</x:v>
      </x:c>
      <x:c r="F10" s="11" t="n">
        <x:v>0</x:v>
      </x:c>
      <x:c r="G10" s="9" t="str">
        <x:v>UNASSIGNED</x:v>
      </x:c>
      <x:c r="H10" s="9" t="str">
        <x:v>independent technical authority</x:v>
      </x:c>
      <x:c r="I10" s="9" t="str">
        <x:f>IF(F10=1,"PASS","OPEN")</x:f>
        <x:v>OPEN</x:v>
      </x:c>
      <x:c r="J10" s="9" t="n">
        <x:v>0</x:v>
      </x:c>
    </x:row>
    <x:row r="11">
      <x:c r="B11" s="9" t="str">
        <x:v>G3-A-05</x:v>
      </x:c>
      <x:c r="C11" s="9" t="str">
        <x:v>A</x:v>
      </x:c>
      <x:c r="D11" s="9" t="str">
        <x:v>G05</x:v>
      </x:c>
      <x:c r="E11" s="9" t="str">
        <x:v>mass, energy, flow and residual closure</x:v>
      </x:c>
      <x:c r="F11" s="11" t="n">
        <x:v>0</x:v>
      </x:c>
      <x:c r="G11" s="9" t="str">
        <x:v>UNASSIGNED</x:v>
      </x:c>
      <x:c r="H11" s="9" t="str">
        <x:v>independent technical authority</x:v>
      </x:c>
      <x:c r="I11" s="9" t="str">
        <x:f>IF(F11=1,"PASS","OPEN")</x:f>
        <x:v>OPEN</x:v>
      </x:c>
      <x:c r="J11" s="9" t="n">
        <x:v>0</x:v>
      </x:c>
    </x:row>
    <x:row r="12">
      <x:c r="B12" s="9" t="str">
        <x:v>G3-A-06</x:v>
      </x:c>
      <x:c r="C12" s="9" t="str">
        <x:v>A</x:v>
      </x:c>
      <x:c r="D12" s="9" t="str">
        <x:v>G06</x:v>
      </x:c>
      <x:c r="E12" s="9" t="str">
        <x:v>safety, accessibility and rights case</x:v>
      </x:c>
      <x:c r="F12" s="11" t="n">
        <x:v>0</x:v>
      </x:c>
      <x:c r="G12" s="9" t="str">
        <x:v>UNASSIGNED</x:v>
      </x:c>
      <x:c r="H12" s="9" t="str">
        <x:v>independent technical authority</x:v>
      </x:c>
      <x:c r="I12" s="9" t="str">
        <x:f>IF(F12=1,"PASS","OPEN")</x:f>
        <x:v>OPEN</x:v>
      </x:c>
      <x:c r="J12" s="9" t="n">
        <x:v>0</x:v>
      </x:c>
    </x:row>
    <x:row r="13">
      <x:c r="B13" s="9" t="str">
        <x:v>G3-A-07</x:v>
      </x:c>
      <x:c r="C13" s="9" t="str">
        <x:v>A</x:v>
      </x:c>
      <x:c r="D13" s="9" t="str">
        <x:v>G07</x:v>
      </x:c>
      <x:c r="E13" s="9" t="str">
        <x:v>public physical and record interfaces</x:v>
      </x:c>
      <x:c r="F13" s="11" t="n">
        <x:v>0</x:v>
      </x:c>
      <x:c r="G13" s="9" t="str">
        <x:v>UNASSIGNED</x:v>
      </x:c>
      <x:c r="H13" s="9" t="str">
        <x:v>independent technical authority</x:v>
      </x:c>
      <x:c r="I13" s="9" t="str">
        <x:f>IF(F13=1,"PASS","OPEN")</x:f>
        <x:v>OPEN</x:v>
      </x:c>
      <x:c r="J13" s="9" t="n">
        <x:v>0</x:v>
      </x:c>
    </x:row>
    <x:row r="14">
      <x:c r="B14" s="9" t="str">
        <x:v>G3-A-08</x:v>
      </x:c>
      <x:c r="C14" s="9" t="str">
        <x:v>A</x:v>
      </x:c>
      <x:c r="D14" s="9" t="str">
        <x:v>G08</x:v>
      </x:c>
      <x:c r="E14" s="9" t="str">
        <x:v>twelve decisive ancestry declarations</x:v>
      </x:c>
      <x:c r="F14" s="11" t="n">
        <x:v>0</x:v>
      </x:c>
      <x:c r="G14" s="9" t="str">
        <x:v>UNASSIGNED</x:v>
      </x:c>
      <x:c r="H14" s="9" t="str">
        <x:v>independent technical authority</x:v>
      </x:c>
      <x:c r="I14" s="9" t="str">
        <x:f>IF(F14=1,"PASS","OPEN")</x:f>
        <x:v>OPEN</x:v>
      </x:c>
      <x:c r="J14" s="9" t="n">
        <x:v>0</x:v>
      </x:c>
    </x:row>
    <x:row r="15">
      <x:c r="B15" s="9" t="str">
        <x:v>G3-A-09</x:v>
      </x:c>
      <x:c r="C15" s="9" t="str">
        <x:v>A</x:v>
      </x:c>
      <x:c r="D15" s="9" t="str">
        <x:v>G09</x:v>
      </x:c>
      <x:c r="E15" s="9" t="str">
        <x:v>executable build records and travelers</x:v>
      </x:c>
      <x:c r="F15" s="11" t="n">
        <x:v>0</x:v>
      </x:c>
      <x:c r="G15" s="9" t="str">
        <x:v>UNASSIGNED</x:v>
      </x:c>
      <x:c r="H15" s="9" t="str">
        <x:v>independent technical authority</x:v>
      </x:c>
      <x:c r="I15" s="9" t="str">
        <x:f>IF(F15=1,"PASS","OPEN")</x:f>
        <x:v>OPEN</x:v>
      </x:c>
      <x:c r="J15" s="9" t="n">
        <x:v>0</x:v>
      </x:c>
    </x:row>
    <x:row r="16">
      <x:c r="B16" s="9" t="str">
        <x:v>G3-A-10</x:v>
      </x:c>
      <x:c r="C16" s="9" t="str">
        <x:v>A</x:v>
      </x:c>
      <x:c r="D16" s="9" t="str">
        <x:v>G10</x:v>
      </x:c>
      <x:c r="E16" s="9" t="str">
        <x:v>representative subsystem evidence</x:v>
      </x:c>
      <x:c r="F16" s="11" t="n">
        <x:v>0</x:v>
      </x:c>
      <x:c r="G16" s="9" t="str">
        <x:v>UNASSIGNED</x:v>
      </x:c>
      <x:c r="H16" s="9" t="str">
        <x:v>independent technical authority</x:v>
      </x:c>
      <x:c r="I16" s="9" t="str">
        <x:f>IF(F16=1,"PASS","OPEN")</x:f>
        <x:v>OPEN</x:v>
      </x:c>
      <x:c r="J16" s="9" t="n">
        <x:v>0</x:v>
      </x:c>
    </x:row>
    <x:row r="17">
      <x:c r="B17" s="9" t="str">
        <x:v>G3-A-11</x:v>
      </x:c>
      <x:c r="C17" s="9" t="str">
        <x:v>A</x:v>
      </x:c>
      <x:c r="D17" s="9" t="str">
        <x:v>G11</x:v>
      </x:c>
      <x:c r="E17" s="9" t="str">
        <x:v>disconnected and manual operation</x:v>
      </x:c>
      <x:c r="F17" s="11" t="n">
        <x:v>0</x:v>
      </x:c>
      <x:c r="G17" s="9" t="str">
        <x:v>UNASSIGNED</x:v>
      </x:c>
      <x:c r="H17" s="9" t="str">
        <x:v>independent technical authority</x:v>
      </x:c>
      <x:c r="I17" s="9" t="str">
        <x:f>IF(F17=1,"PASS","OPEN")</x:f>
        <x:v>OPEN</x:v>
      </x:c>
      <x:c r="J17" s="9" t="n">
        <x:v>0</x:v>
      </x:c>
    </x:row>
    <x:row r="18">
      <x:c r="B18" s="9" t="str">
        <x:v>G3-A-12</x:v>
      </x:c>
      <x:c r="C18" s="9" t="str">
        <x:v>A</x:v>
      </x:c>
      <x:c r="D18" s="9" t="str">
        <x:v>G12</x:v>
      </x:c>
      <x:c r="E18" s="9" t="str">
        <x:v>root-native evidence and outside replay</x:v>
      </x:c>
      <x:c r="F18" s="11" t="n">
        <x:v>0</x:v>
      </x:c>
      <x:c r="G18" s="9" t="str">
        <x:v>UNASSIGNED</x:v>
      </x:c>
      <x:c r="H18" s="9" t="str">
        <x:v>independent technical authority</x:v>
      </x:c>
      <x:c r="I18" s="9" t="str">
        <x:f>IF(F18=1,"PASS","OPEN")</x:f>
        <x:v>OPEN</x:v>
      </x:c>
      <x:c r="J18" s="9" t="n">
        <x:v>0</x:v>
      </x:c>
    </x:row>
    <x:row r="19">
      <x:c r="B19" s="9" t="str">
        <x:v>G3-A-13</x:v>
      </x:c>
      <x:c r="C19" s="9" t="str">
        <x:v>A</x:v>
      </x:c>
      <x:c r="D19" s="9" t="str">
        <x:v>G13</x:v>
      </x:c>
      <x:c r="E19" s="9" t="str">
        <x:v>repair, reset and second-team reproduction</x:v>
      </x:c>
      <x:c r="F19" s="11" t="n">
        <x:v>0</x:v>
      </x:c>
      <x:c r="G19" s="9" t="str">
        <x:v>UNASSIGNED</x:v>
      </x:c>
      <x:c r="H19" s="9" t="str">
        <x:v>independent technical authority</x:v>
      </x:c>
      <x:c r="I19" s="9" t="str">
        <x:f>IF(F19=1,"PASS","OPEN")</x:f>
        <x:v>OPEN</x:v>
      </x:c>
      <x:c r="J19" s="9" t="n">
        <x:v>0</x:v>
      </x:c>
    </x:row>
    <x:row r="20">
      <x:c r="B20" s="9" t="str">
        <x:v>G3-A-14</x:v>
      </x:c>
      <x:c r="C20" s="9" t="str">
        <x:v>A</x:v>
      </x:c>
      <x:c r="D20" s="9" t="str">
        <x:v>G14</x:v>
      </x:c>
      <x:c r="E20" s="9" t="str">
        <x:v>independent root release</x:v>
      </x:c>
      <x:c r="F20" s="11" t="n">
        <x:v>0</x:v>
      </x:c>
      <x:c r="G20" s="9" t="str">
        <x:v>UNASSIGNED</x:v>
      </x:c>
      <x:c r="H20" s="9" t="str">
        <x:v>Department release board</x:v>
      </x:c>
      <x:c r="I20" s="9" t="str">
        <x:f>IF(F20=1,"PASS","OPEN")</x:f>
        <x:v>OPEN</x:v>
      </x:c>
      <x:c r="J20" s="9" t="n">
        <x:v>0</x:v>
      </x:c>
    </x:row>
    <x:row r="21">
      <x:c r="B21" s="9" t="str">
        <x:v>G3-B-01</x:v>
      </x:c>
      <x:c r="C21" s="9" t="str">
        <x:v>B</x:v>
      </x:c>
      <x:c r="D21" s="9" t="str">
        <x:v>G01</x:v>
      </x:c>
      <x:c r="E21" s="9" t="str">
        <x:v>complete five-route service bill</x:v>
      </x:c>
      <x:c r="F21" s="11" t="n">
        <x:v>0</x:v>
      </x:c>
      <x:c r="G21" s="9" t="str">
        <x:v>UNASSIGNED</x:v>
      </x:c>
      <x:c r="H21" s="9" t="str">
        <x:v>independent technical authority</x:v>
      </x:c>
      <x:c r="I21" s="9" t="str">
        <x:f>IF(F21=1,"PASS","OPEN")</x:f>
        <x:v>OPEN</x:v>
      </x:c>
      <x:c r="J21" s="9" t="n">
        <x:v>0</x:v>
      </x:c>
    </x:row>
    <x:row r="22">
      <x:c r="B22" s="9" t="str">
        <x:v>G3-B-02</x:v>
      </x:c>
      <x:c r="C22" s="9" t="str">
        <x:v>B</x:v>
      </x:c>
      <x:c r="D22" s="9" t="str">
        <x:v>G02</x:v>
      </x:c>
      <x:c r="E22" s="9" t="str">
        <x:v>seven-stage service state machine</x:v>
      </x:c>
      <x:c r="F22" s="11" t="n">
        <x:v>0</x:v>
      </x:c>
      <x:c r="G22" s="9" t="str">
        <x:v>UNASSIGNED</x:v>
      </x:c>
      <x:c r="H22" s="9" t="str">
        <x:v>independent technical authority</x:v>
      </x:c>
      <x:c r="I22" s="9" t="str">
        <x:f>IF(F22=1,"PASS","OPEN")</x:f>
        <x:v>OPEN</x:v>
      </x:c>
      <x:c r="J22" s="9" t="n">
        <x:v>0</x:v>
      </x:c>
    </x:row>
    <x:row r="23">
      <x:c r="B23" s="9" t="str">
        <x:v>G3-B-03</x:v>
      </x:c>
      <x:c r="C23" s="9" t="str">
        <x:v>B</x:v>
      </x:c>
      <x:c r="D23" s="9" t="str">
        <x:v>G03</x:v>
      </x:c>
      <x:c r="E23" s="9" t="str">
        <x:v>four-field root architecture</x:v>
      </x:c>
      <x:c r="F23" s="11" t="n">
        <x:v>0</x:v>
      </x:c>
      <x:c r="G23" s="9" t="str">
        <x:v>UNASSIGNED</x:v>
      </x:c>
      <x:c r="H23" s="9" t="str">
        <x:v>independent technical authority</x:v>
      </x:c>
      <x:c r="I23" s="9" t="str">
        <x:f>IF(F23=1,"PASS","OPEN")</x:f>
        <x:v>OPEN</x:v>
      </x:c>
      <x:c r="J23" s="9" t="n">
        <x:v>0</x:v>
      </x:c>
    </x:row>
    <x:row r="24">
      <x:c r="B24" s="9" t="str">
        <x:v>G3-B-04</x:v>
      </x:c>
      <x:c r="C24" s="9" t="str">
        <x:v>B</x:v>
      </x:c>
      <x:c r="D24" s="9" t="str">
        <x:v>G04</x:v>
      </x:c>
      <x:c r="E24" s="9" t="str">
        <x:v>numeric service thresholds</x:v>
      </x:c>
      <x:c r="F24" s="11" t="n">
        <x:v>0</x:v>
      </x:c>
      <x:c r="G24" s="9" t="str">
        <x:v>UNASSIGNED</x:v>
      </x:c>
      <x:c r="H24" s="9" t="str">
        <x:v>independent technical authority</x:v>
      </x:c>
      <x:c r="I24" s="9" t="str">
        <x:f>IF(F24=1,"PASS","OPEN")</x:f>
        <x:v>OPEN</x:v>
      </x:c>
      <x:c r="J24" s="9" t="n">
        <x:v>0</x:v>
      </x:c>
    </x:row>
    <x:row r="25">
      <x:c r="B25" s="9" t="str">
        <x:v>G3-B-05</x:v>
      </x:c>
      <x:c r="C25" s="9" t="str">
        <x:v>B</x:v>
      </x:c>
      <x:c r="D25" s="9" t="str">
        <x:v>G05</x:v>
      </x:c>
      <x:c r="E25" s="9" t="str">
        <x:v>mass, energy, flow and residual closure</x:v>
      </x:c>
      <x:c r="F25" s="11" t="n">
        <x:v>0</x:v>
      </x:c>
      <x:c r="G25" s="9" t="str">
        <x:v>UNASSIGNED</x:v>
      </x:c>
      <x:c r="H25" s="9" t="str">
        <x:v>independent technical authority</x:v>
      </x:c>
      <x:c r="I25" s="9" t="str">
        <x:f>IF(F25=1,"PASS","OPEN")</x:f>
        <x:v>OPEN</x:v>
      </x:c>
      <x:c r="J25" s="9" t="n">
        <x:v>0</x:v>
      </x:c>
    </x:row>
    <x:row r="26">
      <x:c r="B26" s="9" t="str">
        <x:v>G3-B-06</x:v>
      </x:c>
      <x:c r="C26" s="9" t="str">
        <x:v>B</x:v>
      </x:c>
      <x:c r="D26" s="9" t="str">
        <x:v>G06</x:v>
      </x:c>
      <x:c r="E26" s="9" t="str">
        <x:v>safety, accessibility and rights case</x:v>
      </x:c>
      <x:c r="F26" s="11" t="n">
        <x:v>0</x:v>
      </x:c>
      <x:c r="G26" s="9" t="str">
        <x:v>UNASSIGNED</x:v>
      </x:c>
      <x:c r="H26" s="9" t="str">
        <x:v>independent technical authority</x:v>
      </x:c>
      <x:c r="I26" s="9" t="str">
        <x:f>IF(F26=1,"PASS","OPEN")</x:f>
        <x:v>OPEN</x:v>
      </x:c>
      <x:c r="J26" s="9" t="n">
        <x:v>0</x:v>
      </x:c>
    </x:row>
    <x:row r="27">
      <x:c r="B27" s="9" t="str">
        <x:v>G3-B-07</x:v>
      </x:c>
      <x:c r="C27" s="9" t="str">
        <x:v>B</x:v>
      </x:c>
      <x:c r="D27" s="9" t="str">
        <x:v>G07</x:v>
      </x:c>
      <x:c r="E27" s="9" t="str">
        <x:v>public physical and record interfaces</x:v>
      </x:c>
      <x:c r="F27" s="11" t="n">
        <x:v>0</x:v>
      </x:c>
      <x:c r="G27" s="9" t="str">
        <x:v>UNASSIGNED</x:v>
      </x:c>
      <x:c r="H27" s="9" t="str">
        <x:v>independent technical authority</x:v>
      </x:c>
      <x:c r="I27" s="9" t="str">
        <x:f>IF(F27=1,"PASS","OPEN")</x:f>
        <x:v>OPEN</x:v>
      </x:c>
      <x:c r="J27" s="9" t="n">
        <x:v>0</x:v>
      </x:c>
    </x:row>
    <x:row r="28">
      <x:c r="B28" s="9" t="str">
        <x:v>G3-B-08</x:v>
      </x:c>
      <x:c r="C28" s="9" t="str">
        <x:v>B</x:v>
      </x:c>
      <x:c r="D28" s="9" t="str">
        <x:v>G08</x:v>
      </x:c>
      <x:c r="E28" s="9" t="str">
        <x:v>twelve decisive ancestry declarations</x:v>
      </x:c>
      <x:c r="F28" s="11" t="n">
        <x:v>0</x:v>
      </x:c>
      <x:c r="G28" s="9" t="str">
        <x:v>UNASSIGNED</x:v>
      </x:c>
      <x:c r="H28" s="9" t="str">
        <x:v>independent technical authority</x:v>
      </x:c>
      <x:c r="I28" s="9" t="str">
        <x:f>IF(F28=1,"PASS","OPEN")</x:f>
        <x:v>OPEN</x:v>
      </x:c>
      <x:c r="J28" s="9" t="n">
        <x:v>0</x:v>
      </x:c>
    </x:row>
    <x:row r="29">
      <x:c r="B29" s="9" t="str">
        <x:v>G3-B-09</x:v>
      </x:c>
      <x:c r="C29" s="9" t="str">
        <x:v>B</x:v>
      </x:c>
      <x:c r="D29" s="9" t="str">
        <x:v>G09</x:v>
      </x:c>
      <x:c r="E29" s="9" t="str">
        <x:v>executable build records and travelers</x:v>
      </x:c>
      <x:c r="F29" s="11" t="n">
        <x:v>0</x:v>
      </x:c>
      <x:c r="G29" s="9" t="str">
        <x:v>UNASSIGNED</x:v>
      </x:c>
      <x:c r="H29" s="9" t="str">
        <x:v>independent technical authority</x:v>
      </x:c>
      <x:c r="I29" s="9" t="str">
        <x:f>IF(F29=1,"PASS","OPEN")</x:f>
        <x:v>OPEN</x:v>
      </x:c>
      <x:c r="J29" s="9" t="n">
        <x:v>0</x:v>
      </x:c>
    </x:row>
    <x:row r="30">
      <x:c r="B30" s="9" t="str">
        <x:v>G3-B-10</x:v>
      </x:c>
      <x:c r="C30" s="9" t="str">
        <x:v>B</x:v>
      </x:c>
      <x:c r="D30" s="9" t="str">
        <x:v>G10</x:v>
      </x:c>
      <x:c r="E30" s="9" t="str">
        <x:v>representative subsystem evidence</x:v>
      </x:c>
      <x:c r="F30" s="11" t="n">
        <x:v>0</x:v>
      </x:c>
      <x:c r="G30" s="9" t="str">
        <x:v>UNASSIGNED</x:v>
      </x:c>
      <x:c r="H30" s="9" t="str">
        <x:v>independent technical authority</x:v>
      </x:c>
      <x:c r="I30" s="9" t="str">
        <x:f>IF(F30=1,"PASS","OPEN")</x:f>
        <x:v>OPEN</x:v>
      </x:c>
      <x:c r="J30" s="9" t="n">
        <x:v>0</x:v>
      </x:c>
    </x:row>
    <x:row r="31">
      <x:c r="B31" s="9" t="str">
        <x:v>G3-B-11</x:v>
      </x:c>
      <x:c r="C31" s="9" t="str">
        <x:v>B</x:v>
      </x:c>
      <x:c r="D31" s="9" t="str">
        <x:v>G11</x:v>
      </x:c>
      <x:c r="E31" s="9" t="str">
        <x:v>disconnected and manual operation</x:v>
      </x:c>
      <x:c r="F31" s="11" t="n">
        <x:v>0</x:v>
      </x:c>
      <x:c r="G31" s="9" t="str">
        <x:v>UNASSIGNED</x:v>
      </x:c>
      <x:c r="H31" s="9" t="str">
        <x:v>independent technical authority</x:v>
      </x:c>
      <x:c r="I31" s="9" t="str">
        <x:f>IF(F31=1,"PASS","OPEN")</x:f>
        <x:v>OPEN</x:v>
      </x:c>
      <x:c r="J31" s="9" t="n">
        <x:v>0</x:v>
      </x:c>
    </x:row>
    <x:row r="32">
      <x:c r="B32" s="9" t="str">
        <x:v>G3-B-12</x:v>
      </x:c>
      <x:c r="C32" s="9" t="str">
        <x:v>B</x:v>
      </x:c>
      <x:c r="D32" s="9" t="str">
        <x:v>G12</x:v>
      </x:c>
      <x:c r="E32" s="9" t="str">
        <x:v>root-native evidence and outside replay</x:v>
      </x:c>
      <x:c r="F32" s="11" t="n">
        <x:v>0</x:v>
      </x:c>
      <x:c r="G32" s="9" t="str">
        <x:v>UNASSIGNED</x:v>
      </x:c>
      <x:c r="H32" s="9" t="str">
        <x:v>independent technical authority</x:v>
      </x:c>
      <x:c r="I32" s="9" t="str">
        <x:f>IF(F32=1,"PASS","OPEN")</x:f>
        <x:v>OPEN</x:v>
      </x:c>
      <x:c r="J32" s="9" t="n">
        <x:v>0</x:v>
      </x:c>
    </x:row>
    <x:row r="33">
      <x:c r="B33" s="9" t="str">
        <x:v>G3-B-13</x:v>
      </x:c>
      <x:c r="C33" s="9" t="str">
        <x:v>B</x:v>
      </x:c>
      <x:c r="D33" s="9" t="str">
        <x:v>G13</x:v>
      </x:c>
      <x:c r="E33" s="9" t="str">
        <x:v>repair, reset and second-team reproduction</x:v>
      </x:c>
      <x:c r="F33" s="11" t="n">
        <x:v>0</x:v>
      </x:c>
      <x:c r="G33" s="9" t="str">
        <x:v>UNASSIGNED</x:v>
      </x:c>
      <x:c r="H33" s="9" t="str">
        <x:v>independent technical authority</x:v>
      </x:c>
      <x:c r="I33" s="9" t="str">
        <x:f>IF(F33=1,"PASS","OPEN")</x:f>
        <x:v>OPEN</x:v>
      </x:c>
      <x:c r="J33" s="9" t="n">
        <x:v>0</x:v>
      </x:c>
    </x:row>
    <x:row r="34">
      <x:c r="B34" s="9" t="str">
        <x:v>G3-B-14</x:v>
      </x:c>
      <x:c r="C34" s="9" t="str">
        <x:v>B</x:v>
      </x:c>
      <x:c r="D34" s="9" t="str">
        <x:v>G14</x:v>
      </x:c>
      <x:c r="E34" s="9" t="str">
        <x:v>independent root release</x:v>
      </x:c>
      <x:c r="F34" s="11" t="n">
        <x:v>0</x:v>
      </x:c>
      <x:c r="G34" s="9" t="str">
        <x:v>UNASSIGNED</x:v>
      </x:c>
      <x:c r="H34" s="9" t="str">
        <x:v>Department release board</x:v>
      </x:c>
      <x:c r="I34" s="9" t="str">
        <x:f>IF(F34=1,"PASS","OPEN")</x:f>
        <x:v>OPEN</x:v>
      </x:c>
      <x:c r="J34" s="9" t="n">
        <x:v>0</x:v>
      </x:c>
    </x:row>
    <x:row r="35">
      <x:c r="B35" s="9" t="str">
        <x:v>G3-C-01</x:v>
      </x:c>
      <x:c r="C35" s="9" t="str">
        <x:v>C</x:v>
      </x:c>
      <x:c r="D35" s="9" t="str">
        <x:v>G01</x:v>
      </x:c>
      <x:c r="E35" s="9" t="str">
        <x:v>complete five-route service bill</x:v>
      </x:c>
      <x:c r="F35" s="11" t="n">
        <x:v>0</x:v>
      </x:c>
      <x:c r="G35" s="9" t="str">
        <x:v>UNASSIGNED</x:v>
      </x:c>
      <x:c r="H35" s="9" t="str">
        <x:v>independent technical authority</x:v>
      </x:c>
      <x:c r="I35" s="9" t="str">
        <x:f>IF(F35=1,"PASS","OPEN")</x:f>
        <x:v>OPEN</x:v>
      </x:c>
      <x:c r="J35" s="9" t="n">
        <x:v>0</x:v>
      </x:c>
    </x:row>
    <x:row r="36">
      <x:c r="B36" s="9" t="str">
        <x:v>G3-C-02</x:v>
      </x:c>
      <x:c r="C36" s="9" t="str">
        <x:v>C</x:v>
      </x:c>
      <x:c r="D36" s="9" t="str">
        <x:v>G02</x:v>
      </x:c>
      <x:c r="E36" s="9" t="str">
        <x:v>seven-stage service state machine</x:v>
      </x:c>
      <x:c r="F36" s="11" t="n">
        <x:v>0</x:v>
      </x:c>
      <x:c r="G36" s="9" t="str">
        <x:v>UNASSIGNED</x:v>
      </x:c>
      <x:c r="H36" s="9" t="str">
        <x:v>independent technical authority</x:v>
      </x:c>
      <x:c r="I36" s="9" t="str">
        <x:f>IF(F36=1,"PASS","OPEN")</x:f>
        <x:v>OPEN</x:v>
      </x:c>
      <x:c r="J36" s="9" t="n">
        <x:v>0</x:v>
      </x:c>
    </x:row>
    <x:row r="37">
      <x:c r="B37" s="9" t="str">
        <x:v>G3-C-03</x:v>
      </x:c>
      <x:c r="C37" s="9" t="str">
        <x:v>C</x:v>
      </x:c>
      <x:c r="D37" s="9" t="str">
        <x:v>G03</x:v>
      </x:c>
      <x:c r="E37" s="9" t="str">
        <x:v>four-field root architecture</x:v>
      </x:c>
      <x:c r="F37" s="11" t="n">
        <x:v>0</x:v>
      </x:c>
      <x:c r="G37" s="9" t="str">
        <x:v>UNASSIGNED</x:v>
      </x:c>
      <x:c r="H37" s="9" t="str">
        <x:v>independent technical authority</x:v>
      </x:c>
      <x:c r="I37" s="9" t="str">
        <x:f>IF(F37=1,"PASS","OPEN")</x:f>
        <x:v>OPEN</x:v>
      </x:c>
      <x:c r="J37" s="9" t="n">
        <x:v>0</x:v>
      </x:c>
    </x:row>
    <x:row r="38">
      <x:c r="B38" s="9" t="str">
        <x:v>G3-C-04</x:v>
      </x:c>
      <x:c r="C38" s="9" t="str">
        <x:v>C</x:v>
      </x:c>
      <x:c r="D38" s="9" t="str">
        <x:v>G04</x:v>
      </x:c>
      <x:c r="E38" s="9" t="str">
        <x:v>numeric service thresholds</x:v>
      </x:c>
      <x:c r="F38" s="11" t="n">
        <x:v>0</x:v>
      </x:c>
      <x:c r="G38" s="9" t="str">
        <x:v>UNASSIGNED</x:v>
      </x:c>
      <x:c r="H38" s="9" t="str">
        <x:v>independent technical authority</x:v>
      </x:c>
      <x:c r="I38" s="9" t="str">
        <x:f>IF(F38=1,"PASS","OPEN")</x:f>
        <x:v>OPEN</x:v>
      </x:c>
      <x:c r="J38" s="9" t="n">
        <x:v>0</x:v>
      </x:c>
    </x:row>
    <x:row r="39">
      <x:c r="B39" s="9" t="str">
        <x:v>G3-C-05</x:v>
      </x:c>
      <x:c r="C39" s="9" t="str">
        <x:v>C</x:v>
      </x:c>
      <x:c r="D39" s="9" t="str">
        <x:v>G05</x:v>
      </x:c>
      <x:c r="E39" s="9" t="str">
        <x:v>mass, energy, flow and residual closure</x:v>
      </x:c>
      <x:c r="F39" s="11" t="n">
        <x:v>0</x:v>
      </x:c>
      <x:c r="G39" s="9" t="str">
        <x:v>UNASSIGNED</x:v>
      </x:c>
      <x:c r="H39" s="9" t="str">
        <x:v>independent technical authority</x:v>
      </x:c>
      <x:c r="I39" s="9" t="str">
        <x:f>IF(F39=1,"PASS","OPEN")</x:f>
        <x:v>OPEN</x:v>
      </x:c>
      <x:c r="J39" s="9" t="n">
        <x:v>0</x:v>
      </x:c>
    </x:row>
    <x:row r="40">
      <x:c r="B40" s="9" t="str">
        <x:v>G3-C-06</x:v>
      </x:c>
      <x:c r="C40" s="9" t="str">
        <x:v>C</x:v>
      </x:c>
      <x:c r="D40" s="9" t="str">
        <x:v>G06</x:v>
      </x:c>
      <x:c r="E40" s="9" t="str">
        <x:v>safety, accessibility and rights case</x:v>
      </x:c>
      <x:c r="F40" s="11" t="n">
        <x:v>0</x:v>
      </x:c>
      <x:c r="G40" s="9" t="str">
        <x:v>UNASSIGNED</x:v>
      </x:c>
      <x:c r="H40" s="9" t="str">
        <x:v>independent technical authority</x:v>
      </x:c>
      <x:c r="I40" s="9" t="str">
        <x:f>IF(F40=1,"PASS","OPEN")</x:f>
        <x:v>OPEN</x:v>
      </x:c>
      <x:c r="J40" s="9" t="n">
        <x:v>0</x:v>
      </x:c>
    </x:row>
    <x:row r="41">
      <x:c r="B41" s="9" t="str">
        <x:v>G3-C-07</x:v>
      </x:c>
      <x:c r="C41" s="9" t="str">
        <x:v>C</x:v>
      </x:c>
      <x:c r="D41" s="9" t="str">
        <x:v>G07</x:v>
      </x:c>
      <x:c r="E41" s="9" t="str">
        <x:v>public physical and record interfaces</x:v>
      </x:c>
      <x:c r="F41" s="11" t="n">
        <x:v>0</x:v>
      </x:c>
      <x:c r="G41" s="9" t="str">
        <x:v>UNASSIGNED</x:v>
      </x:c>
      <x:c r="H41" s="9" t="str">
        <x:v>independent technical authority</x:v>
      </x:c>
      <x:c r="I41" s="9" t="str">
        <x:f>IF(F41=1,"PASS","OPEN")</x:f>
        <x:v>OPEN</x:v>
      </x:c>
      <x:c r="J41" s="9" t="n">
        <x:v>0</x:v>
      </x:c>
    </x:row>
    <x:row r="42">
      <x:c r="B42" s="9" t="str">
        <x:v>G3-C-08</x:v>
      </x:c>
      <x:c r="C42" s="9" t="str">
        <x:v>C</x:v>
      </x:c>
      <x:c r="D42" s="9" t="str">
        <x:v>G08</x:v>
      </x:c>
      <x:c r="E42" s="9" t="str">
        <x:v>twelve decisive ancestry declarations</x:v>
      </x:c>
      <x:c r="F42" s="11" t="n">
        <x:v>0</x:v>
      </x:c>
      <x:c r="G42" s="9" t="str">
        <x:v>UNASSIGNED</x:v>
      </x:c>
      <x:c r="H42" s="9" t="str">
        <x:v>independent technical authority</x:v>
      </x:c>
      <x:c r="I42" s="9" t="str">
        <x:f>IF(F42=1,"PASS","OPEN")</x:f>
        <x:v>OPEN</x:v>
      </x:c>
      <x:c r="J42" s="9" t="n">
        <x:v>0</x:v>
      </x:c>
    </x:row>
    <x:row r="43">
      <x:c r="B43" s="9" t="str">
        <x:v>G3-C-09</x:v>
      </x:c>
      <x:c r="C43" s="9" t="str">
        <x:v>C</x:v>
      </x:c>
      <x:c r="D43" s="9" t="str">
        <x:v>G09</x:v>
      </x:c>
      <x:c r="E43" s="9" t="str">
        <x:v>executable build records and travelers</x:v>
      </x:c>
      <x:c r="F43" s="11" t="n">
        <x:v>0</x:v>
      </x:c>
      <x:c r="G43" s="9" t="str">
        <x:v>UNASSIGNED</x:v>
      </x:c>
      <x:c r="H43" s="9" t="str">
        <x:v>independent technical authority</x:v>
      </x:c>
      <x:c r="I43" s="9" t="str">
        <x:f>IF(F43=1,"PASS","OPEN")</x:f>
        <x:v>OPEN</x:v>
      </x:c>
      <x:c r="J43" s="9" t="n">
        <x:v>0</x:v>
      </x:c>
    </x:row>
    <x:row r="44">
      <x:c r="B44" s="9" t="str">
        <x:v>G3-C-10</x:v>
      </x:c>
      <x:c r="C44" s="9" t="str">
        <x:v>C</x:v>
      </x:c>
      <x:c r="D44" s="9" t="str">
        <x:v>G10</x:v>
      </x:c>
      <x:c r="E44" s="9" t="str">
        <x:v>representative subsystem evidence</x:v>
      </x:c>
      <x:c r="F44" s="11" t="n">
        <x:v>0</x:v>
      </x:c>
      <x:c r="G44" s="9" t="str">
        <x:v>UNASSIGNED</x:v>
      </x:c>
      <x:c r="H44" s="9" t="str">
        <x:v>independent technical authority</x:v>
      </x:c>
      <x:c r="I44" s="9" t="str">
        <x:f>IF(F44=1,"PASS","OPEN")</x:f>
        <x:v>OPEN</x:v>
      </x:c>
      <x:c r="J44" s="9" t="n">
        <x:v>0</x:v>
      </x:c>
    </x:row>
    <x:row r="45">
      <x:c r="B45" s="9" t="str">
        <x:v>G3-C-11</x:v>
      </x:c>
      <x:c r="C45" s="9" t="str">
        <x:v>C</x:v>
      </x:c>
      <x:c r="D45" s="9" t="str">
        <x:v>G11</x:v>
      </x:c>
      <x:c r="E45" s="9" t="str">
        <x:v>disconnected and manual operation</x:v>
      </x:c>
      <x:c r="F45" s="11" t="n">
        <x:v>0</x:v>
      </x:c>
      <x:c r="G45" s="9" t="str">
        <x:v>UNASSIGNED</x:v>
      </x:c>
      <x:c r="H45" s="9" t="str">
        <x:v>independent technical authority</x:v>
      </x:c>
      <x:c r="I45" s="9" t="str">
        <x:f>IF(F45=1,"PASS","OPEN")</x:f>
        <x:v>OPEN</x:v>
      </x:c>
      <x:c r="J45" s="9" t="n">
        <x:v>0</x:v>
      </x:c>
    </x:row>
    <x:row r="46">
      <x:c r="B46" s="9" t="str">
        <x:v>G3-C-12</x:v>
      </x:c>
      <x:c r="C46" s="9" t="str">
        <x:v>C</x:v>
      </x:c>
      <x:c r="D46" s="9" t="str">
        <x:v>G12</x:v>
      </x:c>
      <x:c r="E46" s="9" t="str">
        <x:v>root-native evidence and outside replay</x:v>
      </x:c>
      <x:c r="F46" s="11" t="n">
        <x:v>0</x:v>
      </x:c>
      <x:c r="G46" s="9" t="str">
        <x:v>UNASSIGNED</x:v>
      </x:c>
      <x:c r="H46" s="9" t="str">
        <x:v>independent technical authority</x:v>
      </x:c>
      <x:c r="I46" s="9" t="str">
        <x:f>IF(F46=1,"PASS","OPEN")</x:f>
        <x:v>OPEN</x:v>
      </x:c>
      <x:c r="J46" s="9" t="n">
        <x:v>0</x:v>
      </x:c>
    </x:row>
    <x:row r="47">
      <x:c r="B47" s="9" t="str">
        <x:v>G3-C-13</x:v>
      </x:c>
      <x:c r="C47" s="9" t="str">
        <x:v>C</x:v>
      </x:c>
      <x:c r="D47" s="9" t="str">
        <x:v>G13</x:v>
      </x:c>
      <x:c r="E47" s="9" t="str">
        <x:v>repair, reset and second-team reproduction</x:v>
      </x:c>
      <x:c r="F47" s="11" t="n">
        <x:v>0</x:v>
      </x:c>
      <x:c r="G47" s="9" t="str">
        <x:v>UNASSIGNED</x:v>
      </x:c>
      <x:c r="H47" s="9" t="str">
        <x:v>independent technical authority</x:v>
      </x:c>
      <x:c r="I47" s="9" t="str">
        <x:f>IF(F47=1,"PASS","OPEN")</x:f>
        <x:v>OPEN</x:v>
      </x:c>
      <x:c r="J47" s="9" t="n">
        <x:v>0</x:v>
      </x:c>
    </x:row>
    <x:row r="48">
      <x:c r="B48" s="9" t="str">
        <x:v>G3-C-14</x:v>
      </x:c>
      <x:c r="C48" s="9" t="str">
        <x:v>C</x:v>
      </x:c>
      <x:c r="D48" s="9" t="str">
        <x:v>G14</x:v>
      </x:c>
      <x:c r="E48" s="9" t="str">
        <x:v>independent root release</x:v>
      </x:c>
      <x:c r="F48" s="11" t="n">
        <x:v>0</x:v>
      </x:c>
      <x:c r="G48" s="9" t="str">
        <x:v>UNASSIGNED</x:v>
      </x:c>
      <x:c r="H48" s="9" t="str">
        <x:v>Department release board</x:v>
      </x:c>
      <x:c r="I48" s="9" t="str">
        <x:f>IF(F48=1,"PASS","OPEN")</x:f>
        <x:v>OPEN</x:v>
      </x:c>
      <x:c r="J48" s="9" t="n">
        <x:v>0</x:v>
      </x:c>
    </x:row>
    <x:row r="49">
      <x:c r="B49" s="9" t="str">
        <x:v>G3-D-01</x:v>
      </x:c>
      <x:c r="C49" s="9" t="str">
        <x:v>D</x:v>
      </x:c>
      <x:c r="D49" s="9" t="str">
        <x:v>G01</x:v>
      </x:c>
      <x:c r="E49" s="9" t="str">
        <x:v>complete five-route service bill</x:v>
      </x:c>
      <x:c r="F49" s="11" t="n">
        <x:v>0</x:v>
      </x:c>
      <x:c r="G49" s="9" t="str">
        <x:v>UNASSIGNED</x:v>
      </x:c>
      <x:c r="H49" s="9" t="str">
        <x:v>independent technical authority</x:v>
      </x:c>
      <x:c r="I49" s="9" t="str">
        <x:f>IF(F49=1,"PASS","OPEN")</x:f>
        <x:v>OPEN</x:v>
      </x:c>
      <x:c r="J49" s="9" t="n">
        <x:v>0</x:v>
      </x:c>
    </x:row>
    <x:row r="50">
      <x:c r="B50" s="9" t="str">
        <x:v>G3-D-02</x:v>
      </x:c>
      <x:c r="C50" s="9" t="str">
        <x:v>D</x:v>
      </x:c>
      <x:c r="D50" s="9" t="str">
        <x:v>G02</x:v>
      </x:c>
      <x:c r="E50" s="9" t="str">
        <x:v>seven-stage service state machine</x:v>
      </x:c>
      <x:c r="F50" s="11" t="n">
        <x:v>0</x:v>
      </x:c>
      <x:c r="G50" s="9" t="str">
        <x:v>UNASSIGNED</x:v>
      </x:c>
      <x:c r="H50" s="9" t="str">
        <x:v>independent technical authority</x:v>
      </x:c>
      <x:c r="I50" s="9" t="str">
        <x:f>IF(F50=1,"PASS","OPEN")</x:f>
        <x:v>OPEN</x:v>
      </x:c>
      <x:c r="J50" s="9" t="n">
        <x:v>0</x:v>
      </x:c>
    </x:row>
    <x:row r="51">
      <x:c r="B51" s="9" t="str">
        <x:v>G3-D-03</x:v>
      </x:c>
      <x:c r="C51" s="9" t="str">
        <x:v>D</x:v>
      </x:c>
      <x:c r="D51" s="9" t="str">
        <x:v>G03</x:v>
      </x:c>
      <x:c r="E51" s="9" t="str">
        <x:v>four-field root architecture</x:v>
      </x:c>
      <x:c r="F51" s="11" t="n">
        <x:v>0</x:v>
      </x:c>
      <x:c r="G51" s="9" t="str">
        <x:v>UNASSIGNED</x:v>
      </x:c>
      <x:c r="H51" s="9" t="str">
        <x:v>independent technical authority</x:v>
      </x:c>
      <x:c r="I51" s="9" t="str">
        <x:f>IF(F51=1,"PASS","OPEN")</x:f>
        <x:v>OPEN</x:v>
      </x:c>
      <x:c r="J51" s="9" t="n">
        <x:v>0</x:v>
      </x:c>
    </x:row>
    <x:row r="52">
      <x:c r="B52" s="9" t="str">
        <x:v>G3-D-04</x:v>
      </x:c>
      <x:c r="C52" s="9" t="str">
        <x:v>D</x:v>
      </x:c>
      <x:c r="D52" s="9" t="str">
        <x:v>G04</x:v>
      </x:c>
      <x:c r="E52" s="9" t="str">
        <x:v>numeric service thresholds</x:v>
      </x:c>
      <x:c r="F52" s="11" t="n">
        <x:v>0</x:v>
      </x:c>
      <x:c r="G52" s="9" t="str">
        <x:v>UNASSIGNED</x:v>
      </x:c>
      <x:c r="H52" s="9" t="str">
        <x:v>independent technical authority</x:v>
      </x:c>
      <x:c r="I52" s="9" t="str">
        <x:f>IF(F52=1,"PASS","OPEN")</x:f>
        <x:v>OPEN</x:v>
      </x:c>
      <x:c r="J52" s="9" t="n">
        <x:v>0</x:v>
      </x:c>
    </x:row>
    <x:row r="53">
      <x:c r="B53" s="9" t="str">
        <x:v>G3-D-05</x:v>
      </x:c>
      <x:c r="C53" s="9" t="str">
        <x:v>D</x:v>
      </x:c>
      <x:c r="D53" s="9" t="str">
        <x:v>G05</x:v>
      </x:c>
      <x:c r="E53" s="9" t="str">
        <x:v>mass, energy, flow and residual closure</x:v>
      </x:c>
      <x:c r="F53" s="11" t="n">
        <x:v>0</x:v>
      </x:c>
      <x:c r="G53" s="9" t="str">
        <x:v>UNASSIGNED</x:v>
      </x:c>
      <x:c r="H53" s="9" t="str">
        <x:v>independent technical authority</x:v>
      </x:c>
      <x:c r="I53" s="9" t="str">
        <x:f>IF(F53=1,"PASS","OPEN")</x:f>
        <x:v>OPEN</x:v>
      </x:c>
      <x:c r="J53" s="9" t="n">
        <x:v>0</x:v>
      </x:c>
    </x:row>
    <x:row r="54">
      <x:c r="B54" s="9" t="str">
        <x:v>G3-D-06</x:v>
      </x:c>
      <x:c r="C54" s="9" t="str">
        <x:v>D</x:v>
      </x:c>
      <x:c r="D54" s="9" t="str">
        <x:v>G06</x:v>
      </x:c>
      <x:c r="E54" s="9" t="str">
        <x:v>safety, accessibility and rights case</x:v>
      </x:c>
      <x:c r="F54" s="11" t="n">
        <x:v>0</x:v>
      </x:c>
      <x:c r="G54" s="9" t="str">
        <x:v>UNASSIGNED</x:v>
      </x:c>
      <x:c r="H54" s="9" t="str">
        <x:v>independent technical authority</x:v>
      </x:c>
      <x:c r="I54" s="9" t="str">
        <x:f>IF(F54=1,"PASS","OPEN")</x:f>
        <x:v>OPEN</x:v>
      </x:c>
      <x:c r="J54" s="9" t="n">
        <x:v>0</x:v>
      </x:c>
    </x:row>
    <x:row r="55">
      <x:c r="B55" s="9" t="str">
        <x:v>G3-D-07</x:v>
      </x:c>
      <x:c r="C55" s="9" t="str">
        <x:v>D</x:v>
      </x:c>
      <x:c r="D55" s="9" t="str">
        <x:v>G07</x:v>
      </x:c>
      <x:c r="E55" s="9" t="str">
        <x:v>public physical and record interfaces</x:v>
      </x:c>
      <x:c r="F55" s="11" t="n">
        <x:v>0</x:v>
      </x:c>
      <x:c r="G55" s="9" t="str">
        <x:v>UNASSIGNED</x:v>
      </x:c>
      <x:c r="H55" s="9" t="str">
        <x:v>independent technical authority</x:v>
      </x:c>
      <x:c r="I55" s="9" t="str">
        <x:f>IF(F55=1,"PASS","OPEN")</x:f>
        <x:v>OPEN</x:v>
      </x:c>
      <x:c r="J55" s="9" t="n">
        <x:v>0</x:v>
      </x:c>
    </x:row>
    <x:row r="56">
      <x:c r="B56" s="9" t="str">
        <x:v>G3-D-08</x:v>
      </x:c>
      <x:c r="C56" s="9" t="str">
        <x:v>D</x:v>
      </x:c>
      <x:c r="D56" s="9" t="str">
        <x:v>G08</x:v>
      </x:c>
      <x:c r="E56" s="9" t="str">
        <x:v>twelve decisive ancestry declarations</x:v>
      </x:c>
      <x:c r="F56" s="11" t="n">
        <x:v>0</x:v>
      </x:c>
      <x:c r="G56" s="9" t="str">
        <x:v>UNASSIGNED</x:v>
      </x:c>
      <x:c r="H56" s="9" t="str">
        <x:v>independent technical authority</x:v>
      </x:c>
      <x:c r="I56" s="9" t="str">
        <x:f>IF(F56=1,"PASS","OPEN")</x:f>
        <x:v>OPEN</x:v>
      </x:c>
      <x:c r="J56" s="9" t="n">
        <x:v>0</x:v>
      </x:c>
    </x:row>
    <x:row r="57">
      <x:c r="B57" s="9" t="str">
        <x:v>G3-D-09</x:v>
      </x:c>
      <x:c r="C57" s="9" t="str">
        <x:v>D</x:v>
      </x:c>
      <x:c r="D57" s="9" t="str">
        <x:v>G09</x:v>
      </x:c>
      <x:c r="E57" s="9" t="str">
        <x:v>executable build records and travelers</x:v>
      </x:c>
      <x:c r="F57" s="11" t="n">
        <x:v>0</x:v>
      </x:c>
      <x:c r="G57" s="9" t="str">
        <x:v>UNASSIGNED</x:v>
      </x:c>
      <x:c r="H57" s="9" t="str">
        <x:v>independent technical authority</x:v>
      </x:c>
      <x:c r="I57" s="9" t="str">
        <x:f>IF(F57=1,"PASS","OPEN")</x:f>
        <x:v>OPEN</x:v>
      </x:c>
      <x:c r="J57" s="9" t="n">
        <x:v>0</x:v>
      </x:c>
    </x:row>
    <x:row r="58">
      <x:c r="B58" s="9" t="str">
        <x:v>G3-D-10</x:v>
      </x:c>
      <x:c r="C58" s="9" t="str">
        <x:v>D</x:v>
      </x:c>
      <x:c r="D58" s="9" t="str">
        <x:v>G10</x:v>
      </x:c>
      <x:c r="E58" s="9" t="str">
        <x:v>representative subsystem evidence</x:v>
      </x:c>
      <x:c r="F58" s="11" t="n">
        <x:v>0</x:v>
      </x:c>
      <x:c r="G58" s="9" t="str">
        <x:v>UNASSIGNED</x:v>
      </x:c>
      <x:c r="H58" s="9" t="str">
        <x:v>independent technical authority</x:v>
      </x:c>
      <x:c r="I58" s="9" t="str">
        <x:f>IF(F58=1,"PASS","OPEN")</x:f>
        <x:v>OPEN</x:v>
      </x:c>
      <x:c r="J58" s="9" t="n">
        <x:v>0</x:v>
      </x:c>
    </x:row>
    <x:row r="59">
      <x:c r="B59" s="9" t="str">
        <x:v>G3-D-11</x:v>
      </x:c>
      <x:c r="C59" s="9" t="str">
        <x:v>D</x:v>
      </x:c>
      <x:c r="D59" s="9" t="str">
        <x:v>G11</x:v>
      </x:c>
      <x:c r="E59" s="9" t="str">
        <x:v>disconnected and manual operation</x:v>
      </x:c>
      <x:c r="F59" s="11" t="n">
        <x:v>0</x:v>
      </x:c>
      <x:c r="G59" s="9" t="str">
        <x:v>UNASSIGNED</x:v>
      </x:c>
      <x:c r="H59" s="9" t="str">
        <x:v>independent technical authority</x:v>
      </x:c>
      <x:c r="I59" s="9" t="str">
        <x:f>IF(F59=1,"PASS","OPEN")</x:f>
        <x:v>OPEN</x:v>
      </x:c>
      <x:c r="J59" s="9" t="n">
        <x:v>0</x:v>
      </x:c>
    </x:row>
    <x:row r="60">
      <x:c r="B60" s="9" t="str">
        <x:v>G3-D-12</x:v>
      </x:c>
      <x:c r="C60" s="9" t="str">
        <x:v>D</x:v>
      </x:c>
      <x:c r="D60" s="9" t="str">
        <x:v>G12</x:v>
      </x:c>
      <x:c r="E60" s="9" t="str">
        <x:v>root-native evidence and outside replay</x:v>
      </x:c>
      <x:c r="F60" s="11" t="n">
        <x:v>0</x:v>
      </x:c>
      <x:c r="G60" s="9" t="str">
        <x:v>UNASSIGNED</x:v>
      </x:c>
      <x:c r="H60" s="9" t="str">
        <x:v>independent technical authority</x:v>
      </x:c>
      <x:c r="I60" s="9" t="str">
        <x:f>IF(F60=1,"PASS","OPEN")</x:f>
        <x:v>OPEN</x:v>
      </x:c>
      <x:c r="J60" s="9" t="n">
        <x:v>0</x:v>
      </x:c>
    </x:row>
    <x:row r="61">
      <x:c r="B61" s="9" t="str">
        <x:v>G3-D-13</x:v>
      </x:c>
      <x:c r="C61" s="9" t="str">
        <x:v>D</x:v>
      </x:c>
      <x:c r="D61" s="9" t="str">
        <x:v>G13</x:v>
      </x:c>
      <x:c r="E61" s="9" t="str">
        <x:v>repair, reset and second-team reproduction</x:v>
      </x:c>
      <x:c r="F61" s="11" t="n">
        <x:v>0</x:v>
      </x:c>
      <x:c r="G61" s="9" t="str">
        <x:v>UNASSIGNED</x:v>
      </x:c>
      <x:c r="H61" s="9" t="str">
        <x:v>independent technical authority</x:v>
      </x:c>
      <x:c r="I61" s="9" t="str">
        <x:f>IF(F61=1,"PASS","OPEN")</x:f>
        <x:v>OPEN</x:v>
      </x:c>
      <x:c r="J61" s="9" t="n">
        <x:v>0</x:v>
      </x:c>
    </x:row>
    <x:row r="62">
      <x:c r="B62" s="10" t="str">
        <x:v>G3-D-14</x:v>
      </x:c>
      <x:c r="C62" s="10" t="str">
        <x:v>D</x:v>
      </x:c>
      <x:c r="D62" s="10" t="str">
        <x:v>G14</x:v>
      </x:c>
      <x:c r="E62" s="10" t="str">
        <x:v>independent root release</x:v>
      </x:c>
      <x:c r="F62" s="12" t="n">
        <x:v>0</x:v>
      </x:c>
      <x:c r="G62" s="10" t="str">
        <x:v>UNASSIGNED</x:v>
      </x:c>
      <x:c r="H62" s="10" t="str">
        <x:v>Department release board</x:v>
      </x:c>
      <x:c r="I62" s="10" t="str">
        <x:f>IF(F62=1,"PASS","OPEN")</x:f>
        <x:v>OPEN</x:v>
      </x:c>
      <x:c r="J62" s="10" t="n">
        <x:v>0</x:v>
      </x:c>
    </x:row>
  </x:sheetData>
  <x:mergeCells>
    <x:mergeCell ref="B2:J2"/>
    <x:mergeCell ref="B3:J3"/>
  </x:mergeCells>
  <x:conditionalFormatting sqref="G7:I62">
    <x:cfRule type="containsText" dxfId="144" priority="1" operator="containsText" text="PASS"/>
    <x:cfRule type="containsText" dxfId="145" priority="2" operator="containsText" text="SELECTED"/>
    <x:cfRule type="containsText" dxfId="146" priority="3" operator="containsText" text="COMPLETE"/>
    <x:cfRule type="containsText" dxfId="147" priority="4" operator="containsText" text="ACCEPTED"/>
    <x:cfRule type="containsText" dxfId="148" priority="5" operator="containsText" text="HOLD"/>
    <x:cfRule type="containsText" dxfId="149" priority="6" operator="containsText" text="OPEN"/>
    <x:cfRule type="containsText" dxfId="150" priority="7" operator="containsText" text="BLOCKED"/>
    <x:cfRule type="containsText" dxfId="151" priority="8" operator="containsText" text="UNTESTED"/>
    <x:cfRule type="containsText" dxfId="152" priority="9" operator="containsText" text="UNASSIGNED"/>
    <x:cfRule type="containsText" dxfId="153" priority="10" operator="containsText" text="FAIL"/>
    <x:cfRule type="containsText" dxfId="154" priority="11" operator="containsText" text="REJECT"/>
    <x:cfRule type="containsText" dxfId="155" priority="12" operator="containsText" text="INVALI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2" hidden="0" customWidth="1"/>
    <x:col min="4" max="4" width="19" hidden="0" customWidth="1"/>
    <x:col min="5" max="5" width="19" hidden="0" customWidth="1"/>
    <x:col min="6" max="6" width="25" hidden="0" customWidth="1"/>
    <x:col min="7" max="7" width="13" hidden="0" customWidth="1"/>
    <x:col min="8" max="8" width="14" hidden="0" customWidth="1"/>
    <x:col min="9" max="9" width="14" hidden="0" customWidth="1"/>
    <x:col min="10" max="10" width="22" hidden="0" customWidth="1"/>
    <x:col min="11" max="11" width="35" hidden="0" customWidth="1"/>
  </x:cols>
  <x:sheetData>
    <x:row r="2">
      <x:c r="B2" s="35" t="str">
        <x:v>Conserved G0-G3 lifeline reservation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6" t="str">
        <x:v>Equal root options protect learning diversity. Allocations are maxima, not prices or earned payments.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Class</x:v>
      </x:c>
      <x:c r="C6" s="7" t="str">
        <x:v>Share</x:v>
      </x:c>
      <x:c r="D6" s="7" t="str">
        <x:v>Program USD B</x:v>
      </x:c>
      <x:c r="E6" s="7" t="str">
        <x:v>Per root USD B</x:v>
      </x:c>
      <x:c r="F6" s="7" t="str">
        <x:v>Boundary</x:v>
      </x:c>
      <x:c r="G6" s="7" t="str">
        <x:v>Earned</x:v>
      </x:c>
      <x:c r="H6" s="7" t="str">
        <x:v>Unspent</x:v>
      </x:c>
      <x:c r="I6" s="7" t="str">
        <x:v>State</x:v>
      </x:c>
      <x:c r="J6" s="7" t="str">
        <x:v>Cost basis</x:v>
      </x:c>
      <x:c r="K6" s="7" t="str">
        <x:v>Treatment</x:v>
      </x:c>
    </x:row>
    <x:row r="7">
      <x:c r="B7" s="9" t="str">
        <x:v>root mechanisms and prototypes</x:v>
      </x:c>
      <x:c r="C7" s="19" t="n">
        <x:v>0.4</x:v>
      </x:c>
      <x:c r="D7" s="19" t="n">
        <x:f>C7*'Controls'!$D$18</x:f>
        <x:v>14.39060510912902</x:v>
      </x:c>
      <x:c r="E7" s="19" t="n">
        <x:f>D7/'Controls'!$D$8</x:f>
        <x:v>3.597651277282255</x:v>
      </x:c>
      <x:c r="F7" s="9" t="str">
        <x:v>MAXIMUM RESERVATION</x:v>
      </x:c>
      <x:c r="G7" s="19" t="n">
        <x:v>0</x:v>
      </x:c>
      <x:c r="H7" s="19" t="n">
        <x:f>D7-G7</x:f>
        <x:v>14.39060510912902</x:v>
      </x:c>
      <x:c r="I7" s="9" t="str">
        <x:v>OPEN</x:v>
      </x:c>
      <x:c r="J7" s="9" t="str">
        <x:v>research allocation</x:v>
      </x:c>
      <x:c r="K7" s="9" t="str">
        <x:v>Returns to MS-LF mission account</x:v>
      </x:c>
    </x:row>
    <x:row r="8">
      <x:c r="B8" s="9" t="str">
        <x:v>public ranges and receivers</x:v>
      </x:c>
      <x:c r="C8" s="19" t="n">
        <x:v>0.2</x:v>
      </x:c>
      <x:c r="D8" s="19" t="n">
        <x:f>C8*'Controls'!$D$18</x:f>
        <x:v>7.19530255456451</x:v>
      </x:c>
      <x:c r="E8" s="19" t="n">
        <x:f>D8/'Controls'!$D$8</x:f>
        <x:v>1.7988256386411274</x:v>
      </x:c>
      <x:c r="F8" s="9" t="str">
        <x:v>MAXIMUM RESERVATION</x:v>
      </x:c>
      <x:c r="G8" s="19" t="n">
        <x:v>0</x:v>
      </x:c>
      <x:c r="H8" s="19" t="n">
        <x:f>D8-G8</x:f>
        <x:v>7.19530255456451</x:v>
      </x:c>
      <x:c r="I8" s="9" t="str">
        <x:v>OPEN</x:v>
      </x:c>
      <x:c r="J8" s="9" t="str">
        <x:v>research allocation</x:v>
      </x:c>
      <x:c r="K8" s="9" t="str">
        <x:v>Returns to MS-LF mission account</x:v>
      </x:c>
    </x:row>
    <x:row r="9">
      <x:c r="B9" s="9" t="str">
        <x:v>root-native tooling and pilot lines</x:v>
      </x:c>
      <x:c r="C9" s="19" t="n">
        <x:v>0.2</x:v>
      </x:c>
      <x:c r="D9" s="19" t="n">
        <x:f>C9*'Controls'!$D$18</x:f>
        <x:v>7.19530255456451</x:v>
      </x:c>
      <x:c r="E9" s="19" t="n">
        <x:f>D9/'Controls'!$D$8</x:f>
        <x:v>1.7988256386411274</x:v>
      </x:c>
      <x:c r="F9" s="9" t="str">
        <x:v>MAXIMUM RESERVATION</x:v>
      </x:c>
      <x:c r="G9" s="19" t="n">
        <x:v>0</x:v>
      </x:c>
      <x:c r="H9" s="19" t="n">
        <x:f>D9-G9</x:f>
        <x:v>7.19530255456451</x:v>
      </x:c>
      <x:c r="I9" s="9" t="str">
        <x:v>OPEN</x:v>
      </x:c>
      <x:c r="J9" s="9" t="str">
        <x:v>research allocation</x:v>
      </x:c>
      <x:c r="K9" s="9" t="str">
        <x:v>Returns to MS-LF mission account</x:v>
      </x:c>
    </x:row>
    <x:row r="10">
      <x:c r="B10" s="9" t="str">
        <x:v>independent evidence</x:v>
      </x:c>
      <x:c r="C10" s="19" t="n">
        <x:v>0.15</x:v>
      </x:c>
      <x:c r="D10" s="19" t="n">
        <x:f>C10*'Controls'!$D$18</x:f>
        <x:v>5.396476915923381</x:v>
      </x:c>
      <x:c r="E10" s="19" t="n">
        <x:f>D10/'Controls'!$D$8</x:f>
        <x:v>1.3491192289808454</x:v>
      </x:c>
      <x:c r="F10" s="9" t="str">
        <x:v>MAXIMUM RESERVATION</x:v>
      </x:c>
      <x:c r="G10" s="19" t="n">
        <x:v>0</x:v>
      </x:c>
      <x:c r="H10" s="19" t="n">
        <x:f>D10-G10</x:f>
        <x:v>5.396476915923381</x:v>
      </x:c>
      <x:c r="I10" s="9" t="str">
        <x:v>OPEN</x:v>
      </x:c>
      <x:c r="J10" s="9" t="str">
        <x:v>research allocation</x:v>
      </x:c>
      <x:c r="K10" s="9" t="str">
        <x:v>Returns to MS-LF mission account</x:v>
      </x:c>
    </x:row>
    <x:row r="11">
      <x:c r="B11" s="9" t="str">
        <x:v>protected failure reserve</x:v>
      </x:c>
      <x:c r="C11" s="19" t="n">
        <x:v>0.05</x:v>
      </x:c>
      <x:c r="D11" s="19" t="n">
        <x:f>C11*'Controls'!$D$18</x:f>
        <x:v>1.7988256386411274</x:v>
      </x:c>
      <x:c r="E11" s="19" t="n">
        <x:f>D11/'Controls'!$D$8</x:f>
        <x:v>0.44970640966028186</x:v>
      </x:c>
      <x:c r="F11" s="9" t="str">
        <x:v>MAXIMUM RESERVATION</x:v>
      </x:c>
      <x:c r="G11" s="19" t="n">
        <x:v>0</x:v>
      </x:c>
      <x:c r="H11" s="19" t="n">
        <x:f>D11-G11</x:f>
        <x:v>1.7988256386411274</x:v>
      </x:c>
      <x:c r="I11" s="9" t="str">
        <x:v>OPEN</x:v>
      </x:c>
      <x:c r="J11" s="9" t="str">
        <x:v>research allocation</x:v>
      </x:c>
      <x:c r="K11" s="9" t="str">
        <x:v>Returns to MS-LF mission account</x:v>
      </x:c>
    </x:row>
    <x:row r="12">
      <x:c r="B12" s="9"/>
      <x:c r="C12" s="19"/>
      <x:c r="D12" s="19"/>
      <x:c r="E12" s="19"/>
      <x:c r="F12" s="9"/>
      <x:c r="G12" s="9"/>
      <x:c r="H12" s="9"/>
      <x:c r="I12" s="9"/>
      <x:c r="J12" s="9"/>
      <x:c r="K12" s="9"/>
    </x:row>
    <x:row r="13">
      <x:c r="B13" s="9"/>
      <x:c r="C13" s="19"/>
      <x:c r="D13" s="19"/>
      <x:c r="E13" s="19"/>
      <x:c r="F13" s="9"/>
      <x:c r="G13" s="9"/>
      <x:c r="H13" s="9"/>
      <x:c r="I13" s="9"/>
      <x:c r="J13" s="9"/>
      <x:c r="K13" s="9"/>
    </x:row>
    <x:row r="14">
      <x:c r="B14" s="10" t="str">
        <x:v>TOTAL</x:v>
      </x:c>
      <x:c r="C14" s="20" t="n">
        <x:v>1</x:v>
      </x:c>
      <x:c r="D14" s="20" t="n">
        <x:f>SUM(D7:D11)</x:f>
        <x:v>35.976512772822545</x:v>
      </x:c>
      <x:c r="E14" s="20" t="n">
        <x:f>SUM(E7:E11)</x:f>
        <x:v>8.994128193205636</x:v>
      </x:c>
      <x:c r="F14" s="10"/>
      <x:c r="G14" s="10"/>
      <x:c r="H14" s="10"/>
      <x:c r="I14" s="10"/>
      <x:c r="J14" s="10"/>
      <x:c r="K14" s="10"/>
    </x:row>
  </x:sheetData>
  <x:mergeCells>
    <x:mergeCell ref="B2:K2"/>
    <x:mergeCell ref="B3:K3"/>
  </x:mergeCells>
  <x:conditionalFormatting sqref="I7:I11">
    <x:cfRule type="containsText" dxfId="156" priority="1" operator="containsText" text="PASS"/>
    <x:cfRule type="containsText" dxfId="157" priority="2" operator="containsText" text="SELECTED"/>
    <x:cfRule type="containsText" dxfId="158" priority="3" operator="containsText" text="COMPLETE"/>
    <x:cfRule type="containsText" dxfId="159" priority="4" operator="containsText" text="ACCEPTED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BLOCKED"/>
    <x:cfRule type="containsText" dxfId="163" priority="8" operator="containsText" text="UNTESTED"/>
    <x:cfRule type="containsText" dxfId="164" priority="9" operator="containsText" text="UNASSIGNED"/>
    <x:cfRule type="containsText" dxfId="165" priority="10" operator="containsText" text="FAIL"/>
    <x:cfRule type="containsText" dxfId="166" priority="11" operator="containsText" text="REJECT"/>
    <x:cfRule type="containsText" dxfId="167" priority="12" operator="containsText" text="IN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13" hidden="0" customWidth="1"/>
    <x:col min="4" max="4" width="18" hidden="0" customWidth="1"/>
    <x:col min="5" max="5" width="20" hidden="0" customWidth="1"/>
    <x:col min="6" max="6" width="18" hidden="0" customWidth="1"/>
    <x:col min="7" max="7" width="15" hidden="0" customWidth="1"/>
    <x:col min="8" max="8" width="42" hidden="0" customWidth="1"/>
  </x:cols>
  <x:sheetData>
    <x:row r="2">
      <x:c r="B2" s="35" t="str">
        <x:v>Seven-year planning cash profile</x:v>
      </x:c>
      <x:c r="C2" s="9"/>
      <x:c r="D2" s="9"/>
      <x:c r="E2" s="9"/>
      <x:c r="F2" s="9"/>
      <x:c r="G2" s="9"/>
      <x:c r="H2" s="9"/>
    </x:row>
    <x:row r="3">
      <x:c r="B3" s="36" t="str">
        <x:v>The profile schedules the conserved boundary; it is not an appropriation request or estimate.</x:v>
      </x:c>
      <x:c r="C3" s="9"/>
      <x:c r="D3" s="9"/>
      <x:c r="E3" s="9"/>
      <x:c r="F3" s="9"/>
      <x:c r="G3" s="9"/>
      <x:c r="H3" s="9"/>
    </x:row>
    <x:row r="4">
      <x:c r="B4" s="37"/>
      <x:c r="C4" s="37"/>
      <x:c r="D4" s="37"/>
      <x:c r="E4" s="37"/>
      <x:c r="F4" s="37"/>
      <x:c r="G4" s="37"/>
      <x:c r="H4" s="37"/>
    </x:row>
    <x:row r="5">
      <x:c r="B5" s="9"/>
      <x:c r="C5" s="9"/>
      <x:c r="D5" s="9"/>
      <x:c r="E5" s="9"/>
      <x:c r="F5" s="9"/>
      <x:c r="G5" s="9"/>
      <x:c r="H5" s="9"/>
    </x:row>
    <x:row r="6">
      <x:c r="B6" s="7" t="str">
        <x:v>Year</x:v>
      </x:c>
      <x:c r="C6" s="7" t="str">
        <x:v>Share</x:v>
      </x:c>
      <x:c r="D6" s="7" t="str">
        <x:v>Annual USD B</x:v>
      </x:c>
      <x:c r="E6" s="7" t="str">
        <x:v>Cumulative USD B</x:v>
      </x:c>
      <x:c r="F6" s="7" t="str">
        <x:v>Cumulative share</x:v>
      </x:c>
      <x:c r="G6" s="7" t="str">
        <x:v>State</x:v>
      </x:c>
      <x:c r="H6" s="7" t="str">
        <x:v>Interpretation</x:v>
      </x:c>
    </x:row>
    <x:row r="7">
      <x:c r="B7" s="9" t="n">
        <x:v>1</x:v>
      </x:c>
      <x:c r="C7" s="21" t="n">
        <x:v>0.08</x:v>
      </x:c>
      <x:c r="D7" s="23" t="n">
        <x:f>C7*'Controls'!$D$18</x:f>
        <x:v>2.8781210218258035</x:v>
      </x:c>
      <x:c r="E7" s="23" t="n">
        <x:f>SUM($D$7:D7)</x:f>
        <x:v>2.8781210218258035</x:v>
      </x:c>
      <x:c r="F7" s="21" t="n">
        <x:f>SUM($C$7:C7)</x:f>
        <x:v>0.08</x:v>
      </x:c>
      <x:c r="G7" s="9" t="str">
        <x:v>PLANNING</x:v>
      </x:c>
      <x:c r="H7" s="9" t="str">
        <x:v>authority profile; no payment earned</x:v>
      </x:c>
    </x:row>
    <x:row r="8">
      <x:c r="B8" s="9" t="n">
        <x:v>2</x:v>
      </x:c>
      <x:c r="C8" s="21" t="n">
        <x:v>0.14</x:v>
      </x:c>
      <x:c r="D8" s="23" t="n">
        <x:f>C8*'Controls'!$D$18</x:f>
        <x:v>5.036711788195157</x:v>
      </x:c>
      <x:c r="E8" s="23" t="n">
        <x:f>SUM($D$7:D8)</x:f>
        <x:v>7.91483281002096</x:v>
      </x:c>
      <x:c r="F8" s="21" t="n">
        <x:f>SUM($C$7:C8)</x:f>
        <x:v>0.22000000000000003</x:v>
      </x:c>
      <x:c r="G8" s="9" t="str">
        <x:v>PLANNING</x:v>
      </x:c>
      <x:c r="H8" s="9" t="str">
        <x:v>authority profile; no payment earned</x:v>
      </x:c>
    </x:row>
    <x:row r="9">
      <x:c r="B9" s="9" t="n">
        <x:v>3</x:v>
      </x:c>
      <x:c r="C9" s="21" t="n">
        <x:v>0.18</x:v>
      </x:c>
      <x:c r="D9" s="23" t="n">
        <x:f>C9*'Controls'!$D$18</x:f>
        <x:v>6.4757722991080575</x:v>
      </x:c>
      <x:c r="E9" s="23" t="n">
        <x:f>SUM($D$7:D9)</x:f>
        <x:v>14.390605109129018</x:v>
      </x:c>
      <x:c r="F9" s="21" t="n">
        <x:f>SUM($C$7:C9)</x:f>
        <x:v>0.4</x:v>
      </x:c>
      <x:c r="G9" s="9" t="str">
        <x:v>PLANNING</x:v>
      </x:c>
      <x:c r="H9" s="9" t="str">
        <x:v>authority profile; no payment earned</x:v>
      </x:c>
    </x:row>
    <x:row r="10">
      <x:c r="B10" s="9" t="n">
        <x:v>4</x:v>
      </x:c>
      <x:c r="C10" s="21" t="n">
        <x:v>0.2</x:v>
      </x:c>
      <x:c r="D10" s="23" t="n">
        <x:f>C10*'Controls'!$D$18</x:f>
        <x:v>7.19530255456451</x:v>
      </x:c>
      <x:c r="E10" s="23" t="n">
        <x:f>SUM($D$7:D10)</x:f>
        <x:v>21.585907663693526</x:v>
      </x:c>
      <x:c r="F10" s="21" t="n">
        <x:f>SUM($C$7:C10)</x:f>
        <x:v>0.6000000000000001</x:v>
      </x:c>
      <x:c r="G10" s="9" t="str">
        <x:v>PLANNING</x:v>
      </x:c>
      <x:c r="H10" s="9" t="str">
        <x:v>authority profile; no payment earned</x:v>
      </x:c>
    </x:row>
    <x:row r="11">
      <x:c r="B11" s="9" t="n">
        <x:v>5</x:v>
      </x:c>
      <x:c r="C11" s="21" t="n">
        <x:v>0.18</x:v>
      </x:c>
      <x:c r="D11" s="23" t="n">
        <x:f>C11*'Controls'!$D$18</x:f>
        <x:v>6.4757722991080575</x:v>
      </x:c>
      <x:c r="E11" s="23" t="n">
        <x:f>SUM($D$7:D11)</x:f>
        <x:v>28.061679962801584</x:v>
      </x:c>
      <x:c r="F11" s="21" t="n">
        <x:f>SUM($C$7:C11)</x:f>
        <x:v>0.78</x:v>
      </x:c>
      <x:c r="G11" s="9" t="str">
        <x:v>PLANNING</x:v>
      </x:c>
      <x:c r="H11" s="9" t="str">
        <x:v>authority profile; no payment earned</x:v>
      </x:c>
    </x:row>
    <x:row r="12">
      <x:c r="B12" s="9" t="n">
        <x:v>6</x:v>
      </x:c>
      <x:c r="C12" s="21" t="n">
        <x:v>0.14</x:v>
      </x:c>
      <x:c r="D12" s="23" t="n">
        <x:f>C12*'Controls'!$D$18</x:f>
        <x:v>5.036711788195157</x:v>
      </x:c>
      <x:c r="E12" s="23" t="n">
        <x:f>SUM($D$7:D12)</x:f>
        <x:v>33.09839175099674</x:v>
      </x:c>
      <x:c r="F12" s="21" t="n">
        <x:f>SUM($C$7:C12)</x:f>
        <x:v>0.92</x:v>
      </x:c>
      <x:c r="G12" s="9" t="str">
        <x:v>PLANNING</x:v>
      </x:c>
      <x:c r="H12" s="9" t="str">
        <x:v>authority profile; no payment earned</x:v>
      </x:c>
    </x:row>
    <x:row r="13">
      <x:c r="B13" s="9" t="n">
        <x:v>7</x:v>
      </x:c>
      <x:c r="C13" s="21" t="n">
        <x:v>0.08</x:v>
      </x:c>
      <x:c r="D13" s="23" t="n">
        <x:f>C13*'Controls'!$D$18</x:f>
        <x:v>2.8781210218258035</x:v>
      </x:c>
      <x:c r="E13" s="23" t="n">
        <x:f>SUM($D$7:D13)</x:f>
        <x:v>35.976512772822545</x:v>
      </x:c>
      <x:c r="F13" s="21" t="n">
        <x:f>SUM($C$7:C13)</x:f>
        <x:v>1</x:v>
      </x:c>
      <x:c r="G13" s="9" t="str">
        <x:v>PLANNING</x:v>
      </x:c>
      <x:c r="H13" s="9" t="str">
        <x:v>authority profile; no payment earned</x:v>
      </x:c>
    </x:row>
    <x:row r="14">
      <x:c r="B14" s="9"/>
      <x:c r="C14" s="21"/>
      <x:c r="D14" s="23"/>
      <x:c r="E14" s="23"/>
      <x:c r="F14" s="21"/>
      <x:c r="G14" s="9"/>
      <x:c r="H14" s="9"/>
    </x:row>
    <x:row r="15">
      <x:c r="B15" s="9"/>
      <x:c r="C15" s="21"/>
      <x:c r="D15" s="23"/>
      <x:c r="E15" s="23"/>
      <x:c r="F15" s="21"/>
      <x:c r="G15" s="9"/>
      <x:c r="H15" s="9"/>
    </x:row>
    <x:row r="16">
      <x:c r="B16" s="10" t="str">
        <x:v>TOTAL</x:v>
      </x:c>
      <x:c r="C16" s="22" t="n">
        <x:f>SUM(C7:C13)</x:f>
        <x:v>1</x:v>
      </x:c>
      <x:c r="D16" s="24" t="n">
        <x:f>SUM(D7:D13)</x:f>
        <x:v>35.976512772822545</x:v>
      </x:c>
      <x:c r="E16" s="24" t="n">
        <x:f>MAX(E7:E13)</x:f>
        <x:v>35.976512772822545</x:v>
      </x:c>
      <x:c r="F16" s="22" t="n">
        <x:f>MAX(F7:F13)</x:f>
        <x:v>1</x:v>
      </x:c>
      <x:c r="G16" s="10"/>
      <x:c r="H16" s="10"/>
    </x:row>
  </x:sheetData>
  <x:mergeCells>
    <x:mergeCell ref="B2:H2"/>
    <x:mergeCell ref="B3:H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7" hidden="0" customWidth="1"/>
    <x:col min="4" max="4" width="39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25" hidden="0" customWidth="1"/>
  </x:cols>
  <x:sheetData>
    <x:row r="2">
      <x:c r="B2" s="35" t="str">
        <x:v>Terminal audits</x:v>
      </x:c>
      <x:c r="C2" s="9"/>
      <x:c r="D2" s="9"/>
      <x:c r="E2" s="9"/>
      <x:c r="F2" s="9"/>
      <x:c r="G2" s="9"/>
      <x:c r="H2" s="9"/>
      <x:c r="I2" s="9"/>
    </x:row>
    <x:row r="3">
      <x:c r="B3" s="36" t="str">
        <x:v>Audits observe the workbook. No decision, release or business formula depends on this sheet.</x:v>
      </x:c>
      <x:c r="C3" s="9"/>
      <x:c r="D3" s="9"/>
      <x:c r="E3" s="9"/>
      <x:c r="F3" s="9"/>
      <x:c r="G3" s="9"/>
      <x:c r="H3" s="9"/>
      <x:c r="I3" s="9"/>
    </x:row>
    <x:row r="4">
      <x:c r="B4" s="37"/>
      <x:c r="C4" s="37"/>
      <x:c r="D4" s="37"/>
      <x:c r="E4" s="37"/>
      <x:c r="F4" s="37"/>
      <x:c r="G4" s="37"/>
      <x:c r="H4" s="37"/>
      <x:c r="I4" s="37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Audit</x:v>
      </x:c>
      <x:c r="C6" s="7" t="str">
        <x:v>Domain</x:v>
      </x:c>
      <x:c r="D6" s="7" t="str">
        <x:v>Question</x:v>
      </x:c>
      <x:c r="E6" s="7" t="str">
        <x:v>Observed</x:v>
      </x:c>
      <x:c r="F6" s="7" t="str">
        <x:v>Required</x:v>
      </x:c>
      <x:c r="G6" s="7" t="str">
        <x:v>Difference</x:v>
      </x:c>
      <x:c r="H6" s="7" t="str">
        <x:v>Status</x:v>
      </x:c>
      <x:c r="I6" s="7" t="str">
        <x:v>Trace</x:v>
      </x:c>
    </x:row>
    <x:row r="7">
      <x:c r="B7" s="9" t="str">
        <x:v>AU-001</x:v>
      </x:c>
      <x:c r="C7" s="9" t="str">
        <x:v>selection</x:v>
      </x:c>
      <x:c r="D7" s="9" t="str">
        <x:v>selected alternative</x:v>
      </x:c>
      <x:c r="E7" s="29" t="n">
        <x:f>COUNTIF('Proof Screen'!N7:N10,"SELECTED")</x:f>
        <x:v>1</x:v>
      </x:c>
      <x:c r="F7" s="29" t="n">
        <x:v>1</x:v>
      </x:c>
      <x:c r="G7" s="29" t="n">
        <x:f>E7-F7</x:f>
        <x:v>0</x:v>
      </x:c>
      <x:c r="H7" s="9" t="str">
        <x:f>IF(ABS(G7)&lt;0.000001,"PASS","FAIL")</x:f>
        <x:v>PASS</x:v>
      </x:c>
      <x:c r="I7" s="9" t="str">
        <x:v>Proof Screen</x:v>
      </x:c>
    </x:row>
    <x:row r="8">
      <x:c r="B8" s="9" t="str">
        <x:v>AU-002</x:v>
      </x:c>
      <x:c r="C8" s="9" t="str">
        <x:v>scope</x:v>
      </x:c>
      <x:c r="D8" s="9" t="str">
        <x:v>root count</x:v>
      </x:c>
      <x:c r="E8" s="29" t="n">
        <x:f>COUNTA('Root Proof Set'!B7:B10)</x:f>
        <x:v>4</x:v>
      </x:c>
      <x:c r="F8" s="29" t="n">
        <x:f>'Controls'!$D$8</x:f>
        <x:v>4</x:v>
      </x:c>
      <x:c r="G8" s="29" t="n">
        <x:f>E8-F8</x:f>
        <x:v>0</x:v>
      </x:c>
      <x:c r="H8" s="9" t="str">
        <x:f>IF(ABS(G8)&lt;0.000001,"PASS","FAIL")</x:f>
        <x:v>PASS</x:v>
      </x:c>
      <x:c r="I8" s="9" t="str">
        <x:v>Root Proof Set</x:v>
      </x:c>
    </x:row>
    <x:row r="9">
      <x:c r="B9" s="9" t="str">
        <x:v>AU-003</x:v>
      </x:c>
      <x:c r="C9" s="9" t="str">
        <x:v>scope</x:v>
      </x:c>
      <x:c r="D9" s="9" t="str">
        <x:v>sector count</x:v>
      </x:c>
      <x:c r="E9" s="29" t="n">
        <x:f>SUM('Root Proof Set'!H7:H10)</x:f>
        <x:v>12</x:v>
      </x:c>
      <x:c r="F9" s="29" t="n">
        <x:v>12</x:v>
      </x:c>
      <x:c r="G9" s="29" t="n">
        <x:f>E9-F9</x:f>
        <x:v>0</x:v>
      </x:c>
      <x:c r="H9" s="9" t="str">
        <x:f>IF(ABS(G9)&lt;0.000001,"PASS","FAIL")</x:f>
        <x:v>PASS</x:v>
      </x:c>
      <x:c r="I9" s="9" t="str">
        <x:v>Root Proof Set</x:v>
      </x:c>
    </x:row>
    <x:row r="10">
      <x:c r="B10" s="9" t="str">
        <x:v>AU-004</x:v>
      </x:c>
      <x:c r="C10" s="9" t="str">
        <x:v>scope</x:v>
      </x:c>
      <x:c r="D10" s="9" t="str">
        <x:v>article units</x:v>
      </x:c>
      <x:c r="E10" s="29" t="n">
        <x:f>SUM('Article Bank'!E7:E46)</x:f>
        <x:v>160</x:v>
      </x:c>
      <x:c r="F10" s="29" t="n">
        <x:v>160</x:v>
      </x:c>
      <x:c r="G10" s="29" t="n">
        <x:f>E10-F10</x:f>
        <x:v>0</x:v>
      </x:c>
      <x:c r="H10" s="9" t="str">
        <x:f>IF(ABS(G10)&lt;0.000001,"PASS","FAIL")</x:f>
        <x:v>PASS</x:v>
      </x:c>
      <x:c r="I10" s="9" t="str">
        <x:v>Article Bank</x:v>
      </x:c>
    </x:row>
    <x:row r="11">
      <x:c r="B11" s="9" t="str">
        <x:v>AU-005</x:v>
      </x:c>
      <x:c r="C11" s="9" t="str">
        <x:v>scope</x:v>
      </x:c>
      <x:c r="D11" s="9" t="str">
        <x:v>event count</x:v>
      </x:c>
      <x:c r="E11" s="29" t="n">
        <x:f>COUNTA('Event Register'!B7:B174)</x:f>
        <x:v>168</x:v>
      </x:c>
      <x:c r="F11" s="29" t="n">
        <x:v>168</x:v>
      </x:c>
      <x:c r="G11" s="29" t="n">
        <x:f>E11-F11</x:f>
        <x:v>0</x:v>
      </x:c>
      <x:c r="H11" s="9" t="str">
        <x:f>IF(ABS(G11)&lt;0.000001,"PASS","FAIL")</x:f>
        <x:v>PASS</x:v>
      </x:c>
      <x:c r="I11" s="9" t="str">
        <x:v>Event Register</x:v>
      </x:c>
    </x:row>
    <x:row r="12">
      <x:c r="B12" s="9" t="str">
        <x:v>AU-006</x:v>
      </x:c>
      <x:c r="C12" s="9" t="str">
        <x:v>scope</x:v>
      </x:c>
      <x:c r="D12" s="9" t="str">
        <x:v>evidence count</x:v>
      </x:c>
      <x:c r="E12" s="29" t="n">
        <x:f>SUM('Evidence Ledger'!E7:E46)</x:f>
        <x:v>636</x:v>
      </x:c>
      <x:c r="F12" s="29" t="n">
        <x:v>636</x:v>
      </x:c>
      <x:c r="G12" s="29" t="n">
        <x:f>E12-F12</x:f>
        <x:v>0</x:v>
      </x:c>
      <x:c r="H12" s="9" t="str">
        <x:f>IF(ABS(G12)&lt;0.000001,"PASS","FAIL")</x:f>
        <x:v>PASS</x:v>
      </x:c>
      <x:c r="I12" s="9" t="str">
        <x:v>Evidence Ledger</x:v>
      </x:c>
    </x:row>
    <x:row r="13">
      <x:c r="B13" s="9" t="str">
        <x:v>AU-007</x:v>
      </x:c>
      <x:c r="C13" s="9" t="str">
        <x:v>scope</x:v>
      </x:c>
      <x:c r="D13" s="9" t="str">
        <x:v>range functions</x:v>
      </x:c>
      <x:c r="E13" s="29" t="n">
        <x:f>COUNTA('Range Functions'!B7:B42)</x:f>
        <x:v>36</x:v>
      </x:c>
      <x:c r="F13" s="29" t="n">
        <x:v>36</x:v>
      </x:c>
      <x:c r="G13" s="29" t="n">
        <x:f>E13-F13</x:f>
        <x:v>0</x:v>
      </x:c>
      <x:c r="H13" s="9" t="str">
        <x:f>IF(ABS(G13)&lt;0.000001,"PASS","FAIL")</x:f>
        <x:v>PASS</x:v>
      </x:c>
      <x:c r="I13" s="9" t="str">
        <x:v>Range Functions</x:v>
      </x:c>
    </x:row>
    <x:row r="14">
      <x:c r="B14" s="9" t="str">
        <x:v>AU-008</x:v>
      </x:c>
      <x:c r="C14" s="9" t="str">
        <x:v>scope</x:v>
      </x:c>
      <x:c r="D14" s="9" t="str">
        <x:v>ancestry records</x:v>
      </x:c>
      <x:c r="E14" s="29" t="n">
        <x:f>COUNTA('Ancestry Ledger'!B7:B54)</x:f>
        <x:v>48</x:v>
      </x:c>
      <x:c r="F14" s="29" t="n">
        <x:v>48</x:v>
      </x:c>
      <x:c r="G14" s="29" t="n">
        <x:f>E14-F14</x:f>
        <x:v>0</x:v>
      </x:c>
      <x:c r="H14" s="9" t="str">
        <x:f>IF(ABS(G14)&lt;0.000001,"PASS","FAIL")</x:f>
        <x:v>PASS</x:v>
      </x:c>
      <x:c r="I14" s="9" t="str">
        <x:v>Ancestry Ledger</x:v>
      </x:c>
    </x:row>
    <x:row r="15">
      <x:c r="B15" s="9" t="str">
        <x:v>AU-009</x:v>
      </x:c>
      <x:c r="C15" s="9" t="str">
        <x:v>scope</x:v>
      </x:c>
      <x:c r="D15" s="9" t="str">
        <x:v>gate records</x:v>
      </x:c>
      <x:c r="E15" s="29" t="n">
        <x:f>COUNTA('Gate Coverage'!B7:B62)</x:f>
        <x:v>56</x:v>
      </x:c>
      <x:c r="F15" s="29" t="n">
        <x:v>56</x:v>
      </x:c>
      <x:c r="G15" s="29" t="n">
        <x:f>E15-F15</x:f>
        <x:v>0</x:v>
      </x:c>
      <x:c r="H15" s="9" t="str">
        <x:f>IF(ABS(G15)&lt;0.000001,"PASS","FAIL")</x:f>
        <x:v>PASS</x:v>
      </x:c>
      <x:c r="I15" s="9" t="str">
        <x:v>Gate Coverage</x:v>
      </x:c>
    </x:row>
    <x:row r="16">
      <x:c r="B16" s="9" t="str">
        <x:v>AU-010</x:v>
      </x:c>
      <x:c r="C16" s="9" t="str">
        <x:v>schedule</x:v>
      </x:c>
      <x:c r="D16" s="9" t="str">
        <x:v>campaign duration</x:v>
      </x:c>
      <x:c r="E16" s="29" t="n">
        <x:f>MAX(Schedule!D7:D12)</x:f>
        <x:v>84</x:v>
      </x:c>
      <x:c r="F16" s="29" t="n">
        <x:v>84</x:v>
      </x:c>
      <x:c r="G16" s="29" t="n">
        <x:f>E16-F16</x:f>
        <x:v>0</x:v>
      </x:c>
      <x:c r="H16" s="9" t="str">
        <x:f>IF(ABS(G16)&lt;0.000001,"PASS","FAIL")</x:f>
        <x:v>PASS</x:v>
      </x:c>
      <x:c r="I16" s="9" t="str">
        <x:v>Schedule</x:v>
      </x:c>
    </x:row>
    <x:row r="17">
      <x:c r="B17" s="9" t="str">
        <x:v>AU-011</x:v>
      </x:c>
      <x:c r="C17" s="9" t="str">
        <x:v>finance</x:v>
      </x:c>
      <x:c r="D17" s="9" t="str">
        <x:v>budget share</x:v>
      </x:c>
      <x:c r="E17" s="29" t="n">
        <x:f>SUM(Budget!C7:C11)</x:f>
        <x:v>1</x:v>
      </x:c>
      <x:c r="F17" s="29" t="n">
        <x:v>1</x:v>
      </x:c>
      <x:c r="G17" s="29" t="n">
        <x:f>E17-F17</x:f>
        <x:v>0</x:v>
      </x:c>
      <x:c r="H17" s="9" t="str">
        <x:f>IF(ABS(G17)&lt;0.000001,"PASS","FAIL")</x:f>
        <x:v>PASS</x:v>
      </x:c>
      <x:c r="I17" s="9" t="str">
        <x:v>Budget</x:v>
      </x:c>
    </x:row>
    <x:row r="18">
      <x:c r="B18" s="9" t="str">
        <x:v>AU-012</x:v>
      </x:c>
      <x:c r="C18" s="9" t="str">
        <x:v>finance</x:v>
      </x:c>
      <x:c r="D18" s="9" t="str">
        <x:v>budget total</x:v>
      </x:c>
      <x:c r="E18" s="29" t="n">
        <x:f>Budget!D14</x:f>
        <x:v>35.976512772822545</x:v>
      </x:c>
      <x:c r="F18" s="29" t="n">
        <x:f>'Controls'!$D$18</x:f>
        <x:v>35.976512772822545</x:v>
      </x:c>
      <x:c r="G18" s="29" t="n">
        <x:f>E18-F18</x:f>
        <x:v>0</x:v>
      </x:c>
      <x:c r="H18" s="9" t="str">
        <x:f>IF(ABS(G18)&lt;0.000001,"PASS","FAIL")</x:f>
        <x:v>PASS</x:v>
      </x:c>
      <x:c r="I18" s="9" t="str">
        <x:v>Budget</x:v>
      </x:c>
    </x:row>
    <x:row r="19">
      <x:c r="B19" s="9" t="str">
        <x:v>AU-013</x:v>
      </x:c>
      <x:c r="C19" s="9" t="str">
        <x:v>finance</x:v>
      </x:c>
      <x:c r="D19" s="9" t="str">
        <x:v>cash share</x:v>
      </x:c>
      <x:c r="E19" s="29" t="n">
        <x:f>SUM('Cash Profile'!C7:C13)</x:f>
        <x:v>1</x:v>
      </x:c>
      <x:c r="F19" s="29" t="n">
        <x:v>1</x:v>
      </x:c>
      <x:c r="G19" s="29" t="n">
        <x:f>E19-F19</x:f>
        <x:v>0</x:v>
      </x:c>
      <x:c r="H19" s="9" t="str">
        <x:f>IF(ABS(G19)&lt;0.000001,"PASS","FAIL")</x:f>
        <x:v>PASS</x:v>
      </x:c>
      <x:c r="I19" s="9" t="str">
        <x:v>Cash Profile</x:v>
      </x:c>
    </x:row>
    <x:row r="20">
      <x:c r="B20" s="9" t="str">
        <x:v>AU-014</x:v>
      </x:c>
      <x:c r="C20" s="9" t="str">
        <x:v>finance</x:v>
      </x:c>
      <x:c r="D20" s="9" t="str">
        <x:v>cash total</x:v>
      </x:c>
      <x:c r="E20" s="29" t="n">
        <x:f>SUM('Cash Profile'!D7:D13)</x:f>
        <x:v>35.976512772822545</x:v>
      </x:c>
      <x:c r="F20" s="29" t="n">
        <x:f>'Controls'!$D$18</x:f>
        <x:v>35.976512772822545</x:v>
      </x:c>
      <x:c r="G20" s="29" t="n">
        <x:f>E20-F20</x:f>
        <x:v>0</x:v>
      </x:c>
      <x:c r="H20" s="9" t="str">
        <x:f>IF(ABS(G20)&lt;0.000001,"PASS","FAIL")</x:f>
        <x:v>PASS</x:v>
      </x:c>
      <x:c r="I20" s="9" t="str">
        <x:v>Cash Profile</x:v>
      </x:c>
    </x:row>
    <x:row r="21">
      <x:c r="B21" s="9" t="str">
        <x:v>AU-015</x:v>
      </x:c>
      <x:c r="C21" s="9" t="str">
        <x:v>article</x:v>
      </x:c>
      <x:c r="D21" s="9" t="str">
        <x:v>article line 1</x:v>
      </x:c>
      <x:c r="E21" s="29" t="n">
        <x:f>IF('Article Bank'!M7="PASS",1,0)</x:f>
        <x:v>1</x:v>
      </x:c>
      <x:c r="F21" s="29" t="n">
        <x:v>1</x:v>
      </x:c>
      <x:c r="G21" s="29" t="n">
        <x:f>E21-F21</x:f>
        <x:v>0</x:v>
      </x:c>
      <x:c r="H21" s="9" t="str">
        <x:f>IF(ABS(G21)&lt;0.000001,"PASS","FAIL")</x:f>
        <x:v>PASS</x:v>
      </x:c>
      <x:c r="I21" s="9" t="str">
        <x:v>Article Bank!7</x:v>
      </x:c>
    </x:row>
    <x:row r="22">
      <x:c r="B22" s="9" t="str">
        <x:v>AU-016</x:v>
      </x:c>
      <x:c r="C22" s="9" t="str">
        <x:v>article</x:v>
      </x:c>
      <x:c r="D22" s="9" t="str">
        <x:v>article line 2</x:v>
      </x:c>
      <x:c r="E22" s="29" t="n">
        <x:f>IF('Article Bank'!M8="PASS",1,0)</x:f>
        <x:v>1</x:v>
      </x:c>
      <x:c r="F22" s="29" t="n">
        <x:v>1</x:v>
      </x:c>
      <x:c r="G22" s="29" t="n">
        <x:f>E22-F22</x:f>
        <x:v>0</x:v>
      </x:c>
      <x:c r="H22" s="9" t="str">
        <x:f>IF(ABS(G22)&lt;0.000001,"PASS","FAIL")</x:f>
        <x:v>PASS</x:v>
      </x:c>
      <x:c r="I22" s="9" t="str">
        <x:v>Article Bank!8</x:v>
      </x:c>
    </x:row>
    <x:row r="23">
      <x:c r="B23" s="9" t="str">
        <x:v>AU-017</x:v>
      </x:c>
      <x:c r="C23" s="9" t="str">
        <x:v>article</x:v>
      </x:c>
      <x:c r="D23" s="9" t="str">
        <x:v>article line 3</x:v>
      </x:c>
      <x:c r="E23" s="29" t="n">
        <x:f>IF('Article Bank'!M9="PASS",1,0)</x:f>
        <x:v>1</x:v>
      </x:c>
      <x:c r="F23" s="29" t="n">
        <x:v>1</x:v>
      </x:c>
      <x:c r="G23" s="29" t="n">
        <x:f>E23-F23</x:f>
        <x:v>0</x:v>
      </x:c>
      <x:c r="H23" s="9" t="str">
        <x:f>IF(ABS(G23)&lt;0.000001,"PASS","FAIL")</x:f>
        <x:v>PASS</x:v>
      </x:c>
      <x:c r="I23" s="9" t="str">
        <x:v>Article Bank!9</x:v>
      </x:c>
    </x:row>
    <x:row r="24">
      <x:c r="B24" s="9" t="str">
        <x:v>AU-018</x:v>
      </x:c>
      <x:c r="C24" s="9" t="str">
        <x:v>article</x:v>
      </x:c>
      <x:c r="D24" s="9" t="str">
        <x:v>article line 4</x:v>
      </x:c>
      <x:c r="E24" s="29" t="n">
        <x:f>IF('Article Bank'!M10="PASS",1,0)</x:f>
        <x:v>1</x:v>
      </x:c>
      <x:c r="F24" s="29" t="n">
        <x:v>1</x:v>
      </x:c>
      <x:c r="G24" s="29" t="n">
        <x:f>E24-F24</x:f>
        <x:v>0</x:v>
      </x:c>
      <x:c r="H24" s="9" t="str">
        <x:f>IF(ABS(G24)&lt;0.000001,"PASS","FAIL")</x:f>
        <x:v>PASS</x:v>
      </x:c>
      <x:c r="I24" s="9" t="str">
        <x:v>Article Bank!10</x:v>
      </x:c>
    </x:row>
    <x:row r="25">
      <x:c r="B25" s="9" t="str">
        <x:v>AU-019</x:v>
      </x:c>
      <x:c r="C25" s="9" t="str">
        <x:v>article</x:v>
      </x:c>
      <x:c r="D25" s="9" t="str">
        <x:v>article line 5</x:v>
      </x:c>
      <x:c r="E25" s="29" t="n">
        <x:f>IF('Article Bank'!M11="PASS",1,0)</x:f>
        <x:v>1</x:v>
      </x:c>
      <x:c r="F25" s="29" t="n">
        <x:v>1</x:v>
      </x:c>
      <x:c r="G25" s="29" t="n">
        <x:f>E25-F25</x:f>
        <x:v>0</x:v>
      </x:c>
      <x:c r="H25" s="9" t="str">
        <x:f>IF(ABS(G25)&lt;0.000001,"PASS","FAIL")</x:f>
        <x:v>PASS</x:v>
      </x:c>
      <x:c r="I25" s="9" t="str">
        <x:v>Article Bank!11</x:v>
      </x:c>
    </x:row>
    <x:row r="26">
      <x:c r="B26" s="9" t="str">
        <x:v>AU-020</x:v>
      </x:c>
      <x:c r="C26" s="9" t="str">
        <x:v>article</x:v>
      </x:c>
      <x:c r="D26" s="9" t="str">
        <x:v>article line 6</x:v>
      </x:c>
      <x:c r="E26" s="29" t="n">
        <x:f>IF('Article Bank'!M12="PASS",1,0)</x:f>
        <x:v>1</x:v>
      </x:c>
      <x:c r="F26" s="29" t="n">
        <x:v>1</x:v>
      </x:c>
      <x:c r="G26" s="29" t="n">
        <x:f>E26-F26</x:f>
        <x:v>0</x:v>
      </x:c>
      <x:c r="H26" s="9" t="str">
        <x:f>IF(ABS(G26)&lt;0.000001,"PASS","FAIL")</x:f>
        <x:v>PASS</x:v>
      </x:c>
      <x:c r="I26" s="9" t="str">
        <x:v>Article Bank!12</x:v>
      </x:c>
    </x:row>
    <x:row r="27">
      <x:c r="B27" s="9" t="str">
        <x:v>AU-021</x:v>
      </x:c>
      <x:c r="C27" s="9" t="str">
        <x:v>article</x:v>
      </x:c>
      <x:c r="D27" s="9" t="str">
        <x:v>article line 7</x:v>
      </x:c>
      <x:c r="E27" s="29" t="n">
        <x:f>IF('Article Bank'!M13="PASS",1,0)</x:f>
        <x:v>1</x:v>
      </x:c>
      <x:c r="F27" s="29" t="n">
        <x:v>1</x:v>
      </x:c>
      <x:c r="G27" s="29" t="n">
        <x:f>E27-F27</x:f>
        <x:v>0</x:v>
      </x:c>
      <x:c r="H27" s="9" t="str">
        <x:f>IF(ABS(G27)&lt;0.000001,"PASS","FAIL")</x:f>
        <x:v>PASS</x:v>
      </x:c>
      <x:c r="I27" s="9" t="str">
        <x:v>Article Bank!13</x:v>
      </x:c>
    </x:row>
    <x:row r="28">
      <x:c r="B28" s="9" t="str">
        <x:v>AU-022</x:v>
      </x:c>
      <x:c r="C28" s="9" t="str">
        <x:v>article</x:v>
      </x:c>
      <x:c r="D28" s="9" t="str">
        <x:v>article line 8</x:v>
      </x:c>
      <x:c r="E28" s="29" t="n">
        <x:f>IF('Article Bank'!M14="PASS",1,0)</x:f>
        <x:v>1</x:v>
      </x:c>
      <x:c r="F28" s="29" t="n">
        <x:v>1</x:v>
      </x:c>
      <x:c r="G28" s="29" t="n">
        <x:f>E28-F28</x:f>
        <x:v>0</x:v>
      </x:c>
      <x:c r="H28" s="9" t="str">
        <x:f>IF(ABS(G28)&lt;0.000001,"PASS","FAIL")</x:f>
        <x:v>PASS</x:v>
      </x:c>
      <x:c r="I28" s="9" t="str">
        <x:v>Article Bank!14</x:v>
      </x:c>
    </x:row>
    <x:row r="29">
      <x:c r="B29" s="9" t="str">
        <x:v>AU-023</x:v>
      </x:c>
      <x:c r="C29" s="9" t="str">
        <x:v>article</x:v>
      </x:c>
      <x:c r="D29" s="9" t="str">
        <x:v>article line 9</x:v>
      </x:c>
      <x:c r="E29" s="29" t="n">
        <x:f>IF('Article Bank'!M15="PASS",1,0)</x:f>
        <x:v>1</x:v>
      </x:c>
      <x:c r="F29" s="29" t="n">
        <x:v>1</x:v>
      </x:c>
      <x:c r="G29" s="29" t="n">
        <x:f>E29-F29</x:f>
        <x:v>0</x:v>
      </x:c>
      <x:c r="H29" s="9" t="str">
        <x:f>IF(ABS(G29)&lt;0.000001,"PASS","FAIL")</x:f>
        <x:v>PASS</x:v>
      </x:c>
      <x:c r="I29" s="9" t="str">
        <x:v>Article Bank!15</x:v>
      </x:c>
    </x:row>
    <x:row r="30">
      <x:c r="B30" s="9" t="str">
        <x:v>AU-024</x:v>
      </x:c>
      <x:c r="C30" s="9" t="str">
        <x:v>article</x:v>
      </x:c>
      <x:c r="D30" s="9" t="str">
        <x:v>article line 10</x:v>
      </x:c>
      <x:c r="E30" s="29" t="n">
        <x:f>IF('Article Bank'!M16="PASS",1,0)</x:f>
        <x:v>1</x:v>
      </x:c>
      <x:c r="F30" s="29" t="n">
        <x:v>1</x:v>
      </x:c>
      <x:c r="G30" s="29" t="n">
        <x:f>E30-F30</x:f>
        <x:v>0</x:v>
      </x:c>
      <x:c r="H30" s="9" t="str">
        <x:f>IF(ABS(G30)&lt;0.000001,"PASS","FAIL")</x:f>
        <x:v>PASS</x:v>
      </x:c>
      <x:c r="I30" s="9" t="str">
        <x:v>Article Bank!16</x:v>
      </x:c>
    </x:row>
    <x:row r="31">
      <x:c r="B31" s="9" t="str">
        <x:v>AU-025</x:v>
      </x:c>
      <x:c r="C31" s="9" t="str">
        <x:v>article</x:v>
      </x:c>
      <x:c r="D31" s="9" t="str">
        <x:v>article line 11</x:v>
      </x:c>
      <x:c r="E31" s="29" t="n">
        <x:f>IF('Article Bank'!M17="PASS",1,0)</x:f>
        <x:v>1</x:v>
      </x:c>
      <x:c r="F31" s="29" t="n">
        <x:v>1</x:v>
      </x:c>
      <x:c r="G31" s="29" t="n">
        <x:f>E31-F31</x:f>
        <x:v>0</x:v>
      </x:c>
      <x:c r="H31" s="9" t="str">
        <x:f>IF(ABS(G31)&lt;0.000001,"PASS","FAIL")</x:f>
        <x:v>PASS</x:v>
      </x:c>
      <x:c r="I31" s="9" t="str">
        <x:v>Article Bank!17</x:v>
      </x:c>
    </x:row>
    <x:row r="32">
      <x:c r="B32" s="9" t="str">
        <x:v>AU-026</x:v>
      </x:c>
      <x:c r="C32" s="9" t="str">
        <x:v>article</x:v>
      </x:c>
      <x:c r="D32" s="9" t="str">
        <x:v>article line 12</x:v>
      </x:c>
      <x:c r="E32" s="29" t="n">
        <x:f>IF('Article Bank'!M18="PASS",1,0)</x:f>
        <x:v>1</x:v>
      </x:c>
      <x:c r="F32" s="29" t="n">
        <x:v>1</x:v>
      </x:c>
      <x:c r="G32" s="29" t="n">
        <x:f>E32-F32</x:f>
        <x:v>0</x:v>
      </x:c>
      <x:c r="H32" s="9" t="str">
        <x:f>IF(ABS(G32)&lt;0.000001,"PASS","FAIL")</x:f>
        <x:v>PASS</x:v>
      </x:c>
      <x:c r="I32" s="9" t="str">
        <x:v>Article Bank!18</x:v>
      </x:c>
    </x:row>
    <x:row r="33">
      <x:c r="B33" s="9" t="str">
        <x:v>AU-027</x:v>
      </x:c>
      <x:c r="C33" s="9" t="str">
        <x:v>article</x:v>
      </x:c>
      <x:c r="D33" s="9" t="str">
        <x:v>article line 13</x:v>
      </x:c>
      <x:c r="E33" s="29" t="n">
        <x:f>IF('Article Bank'!M19="PASS",1,0)</x:f>
        <x:v>1</x:v>
      </x:c>
      <x:c r="F33" s="29" t="n">
        <x:v>1</x:v>
      </x:c>
      <x:c r="G33" s="29" t="n">
        <x:f>E33-F33</x:f>
        <x:v>0</x:v>
      </x:c>
      <x:c r="H33" s="9" t="str">
        <x:f>IF(ABS(G33)&lt;0.000001,"PASS","FAIL")</x:f>
        <x:v>PASS</x:v>
      </x:c>
      <x:c r="I33" s="9" t="str">
        <x:v>Article Bank!19</x:v>
      </x:c>
    </x:row>
    <x:row r="34">
      <x:c r="B34" s="9" t="str">
        <x:v>AU-028</x:v>
      </x:c>
      <x:c r="C34" s="9" t="str">
        <x:v>article</x:v>
      </x:c>
      <x:c r="D34" s="9" t="str">
        <x:v>article line 14</x:v>
      </x:c>
      <x:c r="E34" s="29" t="n">
        <x:f>IF('Article Bank'!M20="PASS",1,0)</x:f>
        <x:v>1</x:v>
      </x:c>
      <x:c r="F34" s="29" t="n">
        <x:v>1</x:v>
      </x:c>
      <x:c r="G34" s="29" t="n">
        <x:f>E34-F34</x:f>
        <x:v>0</x:v>
      </x:c>
      <x:c r="H34" s="9" t="str">
        <x:f>IF(ABS(G34)&lt;0.000001,"PASS","FAIL")</x:f>
        <x:v>PASS</x:v>
      </x:c>
      <x:c r="I34" s="9" t="str">
        <x:v>Article Bank!20</x:v>
      </x:c>
    </x:row>
    <x:row r="35">
      <x:c r="B35" s="9" t="str">
        <x:v>AU-029</x:v>
      </x:c>
      <x:c r="C35" s="9" t="str">
        <x:v>article</x:v>
      </x:c>
      <x:c r="D35" s="9" t="str">
        <x:v>article line 15</x:v>
      </x:c>
      <x:c r="E35" s="29" t="n">
        <x:f>IF('Article Bank'!M21="PASS",1,0)</x:f>
        <x:v>1</x:v>
      </x:c>
      <x:c r="F35" s="29" t="n">
        <x:v>1</x:v>
      </x:c>
      <x:c r="G35" s="29" t="n">
        <x:f>E35-F35</x:f>
        <x:v>0</x:v>
      </x:c>
      <x:c r="H35" s="9" t="str">
        <x:f>IF(ABS(G35)&lt;0.000001,"PASS","FAIL")</x:f>
        <x:v>PASS</x:v>
      </x:c>
      <x:c r="I35" s="9" t="str">
        <x:v>Article Bank!21</x:v>
      </x:c>
    </x:row>
    <x:row r="36">
      <x:c r="B36" s="9" t="str">
        <x:v>AU-030</x:v>
      </x:c>
      <x:c r="C36" s="9" t="str">
        <x:v>article</x:v>
      </x:c>
      <x:c r="D36" s="9" t="str">
        <x:v>article line 16</x:v>
      </x:c>
      <x:c r="E36" s="29" t="n">
        <x:f>IF('Article Bank'!M22="PASS",1,0)</x:f>
        <x:v>1</x:v>
      </x:c>
      <x:c r="F36" s="29" t="n">
        <x:v>1</x:v>
      </x:c>
      <x:c r="G36" s="29" t="n">
        <x:f>E36-F36</x:f>
        <x:v>0</x:v>
      </x:c>
      <x:c r="H36" s="9" t="str">
        <x:f>IF(ABS(G36)&lt;0.000001,"PASS","FAIL")</x:f>
        <x:v>PASS</x:v>
      </x:c>
      <x:c r="I36" s="9" t="str">
        <x:v>Article Bank!22</x:v>
      </x:c>
    </x:row>
    <x:row r="37">
      <x:c r="B37" s="9" t="str">
        <x:v>AU-031</x:v>
      </x:c>
      <x:c r="C37" s="9" t="str">
        <x:v>article</x:v>
      </x:c>
      <x:c r="D37" s="9" t="str">
        <x:v>article line 17</x:v>
      </x:c>
      <x:c r="E37" s="29" t="n">
        <x:f>IF('Article Bank'!M23="PASS",1,0)</x:f>
        <x:v>1</x:v>
      </x:c>
      <x:c r="F37" s="29" t="n">
        <x:v>1</x:v>
      </x:c>
      <x:c r="G37" s="29" t="n">
        <x:f>E37-F37</x:f>
        <x:v>0</x:v>
      </x:c>
      <x:c r="H37" s="9" t="str">
        <x:f>IF(ABS(G37)&lt;0.000001,"PASS","FAIL")</x:f>
        <x:v>PASS</x:v>
      </x:c>
      <x:c r="I37" s="9" t="str">
        <x:v>Article Bank!23</x:v>
      </x:c>
    </x:row>
    <x:row r="38">
      <x:c r="B38" s="9" t="str">
        <x:v>AU-032</x:v>
      </x:c>
      <x:c r="C38" s="9" t="str">
        <x:v>article</x:v>
      </x:c>
      <x:c r="D38" s="9" t="str">
        <x:v>article line 18</x:v>
      </x:c>
      <x:c r="E38" s="29" t="n">
        <x:f>IF('Article Bank'!M24="PASS",1,0)</x:f>
        <x:v>1</x:v>
      </x:c>
      <x:c r="F38" s="29" t="n">
        <x:v>1</x:v>
      </x:c>
      <x:c r="G38" s="29" t="n">
        <x:f>E38-F38</x:f>
        <x:v>0</x:v>
      </x:c>
      <x:c r="H38" s="9" t="str">
        <x:f>IF(ABS(G38)&lt;0.000001,"PASS","FAIL")</x:f>
        <x:v>PASS</x:v>
      </x:c>
      <x:c r="I38" s="9" t="str">
        <x:v>Article Bank!24</x:v>
      </x:c>
    </x:row>
    <x:row r="39">
      <x:c r="B39" s="9" t="str">
        <x:v>AU-033</x:v>
      </x:c>
      <x:c r="C39" s="9" t="str">
        <x:v>article</x:v>
      </x:c>
      <x:c r="D39" s="9" t="str">
        <x:v>article line 19</x:v>
      </x:c>
      <x:c r="E39" s="29" t="n">
        <x:f>IF('Article Bank'!M25="PASS",1,0)</x:f>
        <x:v>1</x:v>
      </x:c>
      <x:c r="F39" s="29" t="n">
        <x:v>1</x:v>
      </x:c>
      <x:c r="G39" s="29" t="n">
        <x:f>E39-F39</x:f>
        <x:v>0</x:v>
      </x:c>
      <x:c r="H39" s="9" t="str">
        <x:f>IF(ABS(G39)&lt;0.000001,"PASS","FAIL")</x:f>
        <x:v>PASS</x:v>
      </x:c>
      <x:c r="I39" s="9" t="str">
        <x:v>Article Bank!25</x:v>
      </x:c>
    </x:row>
    <x:row r="40">
      <x:c r="B40" s="9" t="str">
        <x:v>AU-034</x:v>
      </x:c>
      <x:c r="C40" s="9" t="str">
        <x:v>article</x:v>
      </x:c>
      <x:c r="D40" s="9" t="str">
        <x:v>article line 20</x:v>
      </x:c>
      <x:c r="E40" s="29" t="n">
        <x:f>IF('Article Bank'!M26="PASS",1,0)</x:f>
        <x:v>1</x:v>
      </x:c>
      <x:c r="F40" s="29" t="n">
        <x:v>1</x:v>
      </x:c>
      <x:c r="G40" s="29" t="n">
        <x:f>E40-F40</x:f>
        <x:v>0</x:v>
      </x:c>
      <x:c r="H40" s="9" t="str">
        <x:f>IF(ABS(G40)&lt;0.000001,"PASS","FAIL")</x:f>
        <x:v>PASS</x:v>
      </x:c>
      <x:c r="I40" s="9" t="str">
        <x:v>Article Bank!26</x:v>
      </x:c>
    </x:row>
    <x:row r="41">
      <x:c r="B41" s="9" t="str">
        <x:v>AU-035</x:v>
      </x:c>
      <x:c r="C41" s="9" t="str">
        <x:v>article</x:v>
      </x:c>
      <x:c r="D41" s="9" t="str">
        <x:v>article line 21</x:v>
      </x:c>
      <x:c r="E41" s="29" t="n">
        <x:f>IF('Article Bank'!M27="PASS",1,0)</x:f>
        <x:v>1</x:v>
      </x:c>
      <x:c r="F41" s="29" t="n">
        <x:v>1</x:v>
      </x:c>
      <x:c r="G41" s="29" t="n">
        <x:f>E41-F41</x:f>
        <x:v>0</x:v>
      </x:c>
      <x:c r="H41" s="9" t="str">
        <x:f>IF(ABS(G41)&lt;0.000001,"PASS","FAIL")</x:f>
        <x:v>PASS</x:v>
      </x:c>
      <x:c r="I41" s="9" t="str">
        <x:v>Article Bank!27</x:v>
      </x:c>
    </x:row>
    <x:row r="42">
      <x:c r="B42" s="9" t="str">
        <x:v>AU-036</x:v>
      </x:c>
      <x:c r="C42" s="9" t="str">
        <x:v>article</x:v>
      </x:c>
      <x:c r="D42" s="9" t="str">
        <x:v>article line 22</x:v>
      </x:c>
      <x:c r="E42" s="29" t="n">
        <x:f>IF('Article Bank'!M28="PASS",1,0)</x:f>
        <x:v>1</x:v>
      </x:c>
      <x:c r="F42" s="29" t="n">
        <x:v>1</x:v>
      </x:c>
      <x:c r="G42" s="29" t="n">
        <x:f>E42-F42</x:f>
        <x:v>0</x:v>
      </x:c>
      <x:c r="H42" s="9" t="str">
        <x:f>IF(ABS(G42)&lt;0.000001,"PASS","FAIL")</x:f>
        <x:v>PASS</x:v>
      </x:c>
      <x:c r="I42" s="9" t="str">
        <x:v>Article Bank!28</x:v>
      </x:c>
    </x:row>
    <x:row r="43">
      <x:c r="B43" s="9" t="str">
        <x:v>AU-037</x:v>
      </x:c>
      <x:c r="C43" s="9" t="str">
        <x:v>article</x:v>
      </x:c>
      <x:c r="D43" s="9" t="str">
        <x:v>article line 23</x:v>
      </x:c>
      <x:c r="E43" s="29" t="n">
        <x:f>IF('Article Bank'!M29="PASS",1,0)</x:f>
        <x:v>1</x:v>
      </x:c>
      <x:c r="F43" s="29" t="n">
        <x:v>1</x:v>
      </x:c>
      <x:c r="G43" s="29" t="n">
        <x:f>E43-F43</x:f>
        <x:v>0</x:v>
      </x:c>
      <x:c r="H43" s="9" t="str">
        <x:f>IF(ABS(G43)&lt;0.000001,"PASS","FAIL")</x:f>
        <x:v>PASS</x:v>
      </x:c>
      <x:c r="I43" s="9" t="str">
        <x:v>Article Bank!29</x:v>
      </x:c>
    </x:row>
    <x:row r="44">
      <x:c r="B44" s="9" t="str">
        <x:v>AU-038</x:v>
      </x:c>
      <x:c r="C44" s="9" t="str">
        <x:v>article</x:v>
      </x:c>
      <x:c r="D44" s="9" t="str">
        <x:v>article line 24</x:v>
      </x:c>
      <x:c r="E44" s="29" t="n">
        <x:f>IF('Article Bank'!M30="PASS",1,0)</x:f>
        <x:v>1</x:v>
      </x:c>
      <x:c r="F44" s="29" t="n">
        <x:v>1</x:v>
      </x:c>
      <x:c r="G44" s="29" t="n">
        <x:f>E44-F44</x:f>
        <x:v>0</x:v>
      </x:c>
      <x:c r="H44" s="9" t="str">
        <x:f>IF(ABS(G44)&lt;0.000001,"PASS","FAIL")</x:f>
        <x:v>PASS</x:v>
      </x:c>
      <x:c r="I44" s="9" t="str">
        <x:v>Article Bank!30</x:v>
      </x:c>
    </x:row>
    <x:row r="45">
      <x:c r="B45" s="9" t="str">
        <x:v>AU-039</x:v>
      </x:c>
      <x:c r="C45" s="9" t="str">
        <x:v>article</x:v>
      </x:c>
      <x:c r="D45" s="9" t="str">
        <x:v>article line 25</x:v>
      </x:c>
      <x:c r="E45" s="29" t="n">
        <x:f>IF('Article Bank'!M31="PASS",1,0)</x:f>
        <x:v>1</x:v>
      </x:c>
      <x:c r="F45" s="29" t="n">
        <x:v>1</x:v>
      </x:c>
      <x:c r="G45" s="29" t="n">
        <x:f>E45-F45</x:f>
        <x:v>0</x:v>
      </x:c>
      <x:c r="H45" s="9" t="str">
        <x:f>IF(ABS(G45)&lt;0.000001,"PASS","FAIL")</x:f>
        <x:v>PASS</x:v>
      </x:c>
      <x:c r="I45" s="9" t="str">
        <x:v>Article Bank!31</x:v>
      </x:c>
    </x:row>
    <x:row r="46">
      <x:c r="B46" s="9" t="str">
        <x:v>AU-040</x:v>
      </x:c>
      <x:c r="C46" s="9" t="str">
        <x:v>article</x:v>
      </x:c>
      <x:c r="D46" s="9" t="str">
        <x:v>article line 26</x:v>
      </x:c>
      <x:c r="E46" s="29" t="n">
        <x:f>IF('Article Bank'!M32="PASS",1,0)</x:f>
        <x:v>1</x:v>
      </x:c>
      <x:c r="F46" s="29" t="n">
        <x:v>1</x:v>
      </x:c>
      <x:c r="G46" s="29" t="n">
        <x:f>E46-F46</x:f>
        <x:v>0</x:v>
      </x:c>
      <x:c r="H46" s="9" t="str">
        <x:f>IF(ABS(G46)&lt;0.000001,"PASS","FAIL")</x:f>
        <x:v>PASS</x:v>
      </x:c>
      <x:c r="I46" s="9" t="str">
        <x:v>Article Bank!32</x:v>
      </x:c>
    </x:row>
    <x:row r="47">
      <x:c r="B47" s="9" t="str">
        <x:v>AU-041</x:v>
      </x:c>
      <x:c r="C47" s="9" t="str">
        <x:v>article</x:v>
      </x:c>
      <x:c r="D47" s="9" t="str">
        <x:v>article line 27</x:v>
      </x:c>
      <x:c r="E47" s="29" t="n">
        <x:f>IF('Article Bank'!M33="PASS",1,0)</x:f>
        <x:v>1</x:v>
      </x:c>
      <x:c r="F47" s="29" t="n">
        <x:v>1</x:v>
      </x:c>
      <x:c r="G47" s="29" t="n">
        <x:f>E47-F47</x:f>
        <x:v>0</x:v>
      </x:c>
      <x:c r="H47" s="9" t="str">
        <x:f>IF(ABS(G47)&lt;0.000001,"PASS","FAIL")</x:f>
        <x:v>PASS</x:v>
      </x:c>
      <x:c r="I47" s="9" t="str">
        <x:v>Article Bank!33</x:v>
      </x:c>
    </x:row>
    <x:row r="48">
      <x:c r="B48" s="9" t="str">
        <x:v>AU-042</x:v>
      </x:c>
      <x:c r="C48" s="9" t="str">
        <x:v>article</x:v>
      </x:c>
      <x:c r="D48" s="9" t="str">
        <x:v>article line 28</x:v>
      </x:c>
      <x:c r="E48" s="29" t="n">
        <x:f>IF('Article Bank'!M34="PASS",1,0)</x:f>
        <x:v>1</x:v>
      </x:c>
      <x:c r="F48" s="29" t="n">
        <x:v>1</x:v>
      </x:c>
      <x:c r="G48" s="29" t="n">
        <x:f>E48-F48</x:f>
        <x:v>0</x:v>
      </x:c>
      <x:c r="H48" s="9" t="str">
        <x:f>IF(ABS(G48)&lt;0.000001,"PASS","FAIL")</x:f>
        <x:v>PASS</x:v>
      </x:c>
      <x:c r="I48" s="9" t="str">
        <x:v>Article Bank!34</x:v>
      </x:c>
    </x:row>
    <x:row r="49">
      <x:c r="B49" s="9" t="str">
        <x:v>AU-043</x:v>
      </x:c>
      <x:c r="C49" s="9" t="str">
        <x:v>article</x:v>
      </x:c>
      <x:c r="D49" s="9" t="str">
        <x:v>article line 29</x:v>
      </x:c>
      <x:c r="E49" s="29" t="n">
        <x:f>IF('Article Bank'!M35="PASS",1,0)</x:f>
        <x:v>1</x:v>
      </x:c>
      <x:c r="F49" s="29" t="n">
        <x:v>1</x:v>
      </x:c>
      <x:c r="G49" s="29" t="n">
        <x:f>E49-F49</x:f>
        <x:v>0</x:v>
      </x:c>
      <x:c r="H49" s="9" t="str">
        <x:f>IF(ABS(G49)&lt;0.000001,"PASS","FAIL")</x:f>
        <x:v>PASS</x:v>
      </x:c>
      <x:c r="I49" s="9" t="str">
        <x:v>Article Bank!35</x:v>
      </x:c>
    </x:row>
    <x:row r="50">
      <x:c r="B50" s="9" t="str">
        <x:v>AU-044</x:v>
      </x:c>
      <x:c r="C50" s="9" t="str">
        <x:v>article</x:v>
      </x:c>
      <x:c r="D50" s="9" t="str">
        <x:v>article line 30</x:v>
      </x:c>
      <x:c r="E50" s="29" t="n">
        <x:f>IF('Article Bank'!M36="PASS",1,0)</x:f>
        <x:v>1</x:v>
      </x:c>
      <x:c r="F50" s="29" t="n">
        <x:v>1</x:v>
      </x:c>
      <x:c r="G50" s="29" t="n">
        <x:f>E50-F50</x:f>
        <x:v>0</x:v>
      </x:c>
      <x:c r="H50" s="9" t="str">
        <x:f>IF(ABS(G50)&lt;0.000001,"PASS","FAIL")</x:f>
        <x:v>PASS</x:v>
      </x:c>
      <x:c r="I50" s="9" t="str">
        <x:v>Article Bank!36</x:v>
      </x:c>
    </x:row>
    <x:row r="51">
      <x:c r="B51" s="9" t="str">
        <x:v>AU-045</x:v>
      </x:c>
      <x:c r="C51" s="9" t="str">
        <x:v>article</x:v>
      </x:c>
      <x:c r="D51" s="9" t="str">
        <x:v>article line 31</x:v>
      </x:c>
      <x:c r="E51" s="29" t="n">
        <x:f>IF('Article Bank'!M37="PASS",1,0)</x:f>
        <x:v>1</x:v>
      </x:c>
      <x:c r="F51" s="29" t="n">
        <x:v>1</x:v>
      </x:c>
      <x:c r="G51" s="29" t="n">
        <x:f>E51-F51</x:f>
        <x:v>0</x:v>
      </x:c>
      <x:c r="H51" s="9" t="str">
        <x:f>IF(ABS(G51)&lt;0.000001,"PASS","FAIL")</x:f>
        <x:v>PASS</x:v>
      </x:c>
      <x:c r="I51" s="9" t="str">
        <x:v>Article Bank!37</x:v>
      </x:c>
    </x:row>
    <x:row r="52">
      <x:c r="B52" s="9" t="str">
        <x:v>AU-046</x:v>
      </x:c>
      <x:c r="C52" s="9" t="str">
        <x:v>article</x:v>
      </x:c>
      <x:c r="D52" s="9" t="str">
        <x:v>article line 32</x:v>
      </x:c>
      <x:c r="E52" s="29" t="n">
        <x:f>IF('Article Bank'!M38="PASS",1,0)</x:f>
        <x:v>1</x:v>
      </x:c>
      <x:c r="F52" s="29" t="n">
        <x:v>1</x:v>
      </x:c>
      <x:c r="G52" s="29" t="n">
        <x:f>E52-F52</x:f>
        <x:v>0</x:v>
      </x:c>
      <x:c r="H52" s="9" t="str">
        <x:f>IF(ABS(G52)&lt;0.000001,"PASS","FAIL")</x:f>
        <x:v>PASS</x:v>
      </x:c>
      <x:c r="I52" s="9" t="str">
        <x:v>Article Bank!38</x:v>
      </x:c>
    </x:row>
    <x:row r="53">
      <x:c r="B53" s="9" t="str">
        <x:v>AU-047</x:v>
      </x:c>
      <x:c r="C53" s="9" t="str">
        <x:v>article</x:v>
      </x:c>
      <x:c r="D53" s="9" t="str">
        <x:v>article line 33</x:v>
      </x:c>
      <x:c r="E53" s="29" t="n">
        <x:f>IF('Article Bank'!M39="PASS",1,0)</x:f>
        <x:v>1</x:v>
      </x:c>
      <x:c r="F53" s="29" t="n">
        <x:v>1</x:v>
      </x:c>
      <x:c r="G53" s="29" t="n">
        <x:f>E53-F53</x:f>
        <x:v>0</x:v>
      </x:c>
      <x:c r="H53" s="9" t="str">
        <x:f>IF(ABS(G53)&lt;0.000001,"PASS","FAIL")</x:f>
        <x:v>PASS</x:v>
      </x:c>
      <x:c r="I53" s="9" t="str">
        <x:v>Article Bank!39</x:v>
      </x:c>
    </x:row>
    <x:row r="54">
      <x:c r="B54" s="9" t="str">
        <x:v>AU-048</x:v>
      </x:c>
      <x:c r="C54" s="9" t="str">
        <x:v>article</x:v>
      </x:c>
      <x:c r="D54" s="9" t="str">
        <x:v>article line 34</x:v>
      </x:c>
      <x:c r="E54" s="29" t="n">
        <x:f>IF('Article Bank'!M40="PASS",1,0)</x:f>
        <x:v>1</x:v>
      </x:c>
      <x:c r="F54" s="29" t="n">
        <x:v>1</x:v>
      </x:c>
      <x:c r="G54" s="29" t="n">
        <x:f>E54-F54</x:f>
        <x:v>0</x:v>
      </x:c>
      <x:c r="H54" s="9" t="str">
        <x:f>IF(ABS(G54)&lt;0.000001,"PASS","FAIL")</x:f>
        <x:v>PASS</x:v>
      </x:c>
      <x:c r="I54" s="9" t="str">
        <x:v>Article Bank!40</x:v>
      </x:c>
    </x:row>
    <x:row r="55">
      <x:c r="B55" s="9" t="str">
        <x:v>AU-049</x:v>
      </x:c>
      <x:c r="C55" s="9" t="str">
        <x:v>article</x:v>
      </x:c>
      <x:c r="D55" s="9" t="str">
        <x:v>article line 35</x:v>
      </x:c>
      <x:c r="E55" s="29" t="n">
        <x:f>IF('Article Bank'!M41="PASS",1,0)</x:f>
        <x:v>1</x:v>
      </x:c>
      <x:c r="F55" s="29" t="n">
        <x:v>1</x:v>
      </x:c>
      <x:c r="G55" s="29" t="n">
        <x:f>E55-F55</x:f>
        <x:v>0</x:v>
      </x:c>
      <x:c r="H55" s="9" t="str">
        <x:f>IF(ABS(G55)&lt;0.000001,"PASS","FAIL")</x:f>
        <x:v>PASS</x:v>
      </x:c>
      <x:c r="I55" s="9" t="str">
        <x:v>Article Bank!41</x:v>
      </x:c>
    </x:row>
    <x:row r="56">
      <x:c r="B56" s="9" t="str">
        <x:v>AU-050</x:v>
      </x:c>
      <x:c r="C56" s="9" t="str">
        <x:v>article</x:v>
      </x:c>
      <x:c r="D56" s="9" t="str">
        <x:v>article line 36</x:v>
      </x:c>
      <x:c r="E56" s="29" t="n">
        <x:f>IF('Article Bank'!M42="PASS",1,0)</x:f>
        <x:v>1</x:v>
      </x:c>
      <x:c r="F56" s="29" t="n">
        <x:v>1</x:v>
      </x:c>
      <x:c r="G56" s="29" t="n">
        <x:f>E56-F56</x:f>
        <x:v>0</x:v>
      </x:c>
      <x:c r="H56" s="9" t="str">
        <x:f>IF(ABS(G56)&lt;0.000001,"PASS","FAIL")</x:f>
        <x:v>PASS</x:v>
      </x:c>
      <x:c r="I56" s="9" t="str">
        <x:v>Article Bank!42</x:v>
      </x:c>
    </x:row>
    <x:row r="57">
      <x:c r="B57" s="9" t="str">
        <x:v>AU-051</x:v>
      </x:c>
      <x:c r="C57" s="9" t="str">
        <x:v>article</x:v>
      </x:c>
      <x:c r="D57" s="9" t="str">
        <x:v>article line 37</x:v>
      </x:c>
      <x:c r="E57" s="29" t="n">
        <x:f>IF('Article Bank'!M43="PASS",1,0)</x:f>
        <x:v>1</x:v>
      </x:c>
      <x:c r="F57" s="29" t="n">
        <x:v>1</x:v>
      </x:c>
      <x:c r="G57" s="29" t="n">
        <x:f>E57-F57</x:f>
        <x:v>0</x:v>
      </x:c>
      <x:c r="H57" s="9" t="str">
        <x:f>IF(ABS(G57)&lt;0.000001,"PASS","FAIL")</x:f>
        <x:v>PASS</x:v>
      </x:c>
      <x:c r="I57" s="9" t="str">
        <x:v>Article Bank!43</x:v>
      </x:c>
    </x:row>
    <x:row r="58">
      <x:c r="B58" s="9" t="str">
        <x:v>AU-052</x:v>
      </x:c>
      <x:c r="C58" s="9" t="str">
        <x:v>article</x:v>
      </x:c>
      <x:c r="D58" s="9" t="str">
        <x:v>article line 38</x:v>
      </x:c>
      <x:c r="E58" s="29" t="n">
        <x:f>IF('Article Bank'!M44="PASS",1,0)</x:f>
        <x:v>1</x:v>
      </x:c>
      <x:c r="F58" s="29" t="n">
        <x:v>1</x:v>
      </x:c>
      <x:c r="G58" s="29" t="n">
        <x:f>E58-F58</x:f>
        <x:v>0</x:v>
      </x:c>
      <x:c r="H58" s="9" t="str">
        <x:f>IF(ABS(G58)&lt;0.000001,"PASS","FAIL")</x:f>
        <x:v>PASS</x:v>
      </x:c>
      <x:c r="I58" s="9" t="str">
        <x:v>Article Bank!44</x:v>
      </x:c>
    </x:row>
    <x:row r="59">
      <x:c r="B59" s="9" t="str">
        <x:v>AU-053</x:v>
      </x:c>
      <x:c r="C59" s="9" t="str">
        <x:v>article</x:v>
      </x:c>
      <x:c r="D59" s="9" t="str">
        <x:v>article line 39</x:v>
      </x:c>
      <x:c r="E59" s="29" t="n">
        <x:f>IF('Article Bank'!M45="PASS",1,0)</x:f>
        <x:v>1</x:v>
      </x:c>
      <x:c r="F59" s="29" t="n">
        <x:v>1</x:v>
      </x:c>
      <x:c r="G59" s="29" t="n">
        <x:f>E59-F59</x:f>
        <x:v>0</x:v>
      </x:c>
      <x:c r="H59" s="9" t="str">
        <x:f>IF(ABS(G59)&lt;0.000001,"PASS","FAIL")</x:f>
        <x:v>PASS</x:v>
      </x:c>
      <x:c r="I59" s="9" t="str">
        <x:v>Article Bank!45</x:v>
      </x:c>
    </x:row>
    <x:row r="60">
      <x:c r="B60" s="9" t="str">
        <x:v>AU-054</x:v>
      </x:c>
      <x:c r="C60" s="9" t="str">
        <x:v>article</x:v>
      </x:c>
      <x:c r="D60" s="9" t="str">
        <x:v>article line 40</x:v>
      </x:c>
      <x:c r="E60" s="29" t="n">
        <x:f>IF('Article Bank'!M46="PASS",1,0)</x:f>
        <x:v>1</x:v>
      </x:c>
      <x:c r="F60" s="29" t="n">
        <x:v>1</x:v>
      </x:c>
      <x:c r="G60" s="29" t="n">
        <x:f>E60-F60</x:f>
        <x:v>0</x:v>
      </x:c>
      <x:c r="H60" s="9" t="str">
        <x:f>IF(ABS(G60)&lt;0.000001,"PASS","FAIL")</x:f>
        <x:v>PASS</x:v>
      </x:c>
      <x:c r="I60" s="9" t="str">
        <x:v>Article Bank!46</x:v>
      </x:c>
    </x:row>
    <x:row r="61">
      <x:c r="B61" s="9" t="str">
        <x:v>AU-055</x:v>
      </x:c>
      <x:c r="C61" s="9" t="str">
        <x:v>event</x:v>
      </x:c>
      <x:c r="D61" s="9" t="str">
        <x:v>A events</x:v>
      </x:c>
      <x:c r="E61" s="29" t="n">
        <x:f>COUNTIF('Event Register'!$C$7:$C$174,"A")</x:f>
        <x:v>42</x:v>
      </x:c>
      <x:c r="F61" s="29" t="n">
        <x:v>42</x:v>
      </x:c>
      <x:c r="G61" s="29" t="n">
        <x:f>E61-F61</x:f>
        <x:v>0</x:v>
      </x:c>
      <x:c r="H61" s="9" t="str">
        <x:f>IF(ABS(G61)&lt;0.000001,"PASS","FAIL")</x:f>
        <x:v>PASS</x:v>
      </x:c>
      <x:c r="I61" s="9" t="str">
        <x:v>Event Register</x:v>
      </x:c>
    </x:row>
    <x:row r="62">
      <x:c r="B62" s="9" t="str">
        <x:v>AU-056</x:v>
      </x:c>
      <x:c r="C62" s="9" t="str">
        <x:v>evidence</x:v>
      </x:c>
      <x:c r="D62" s="9" t="str">
        <x:v>A packages</x:v>
      </x:c>
      <x:c r="E62" s="29" t="n">
        <x:f>SUMIF('Evidence Ledger'!$C$7:$C$46,"A",'Evidence Ledger'!$E$7:$E$46)</x:f>
        <x:v>159</x:v>
      </x:c>
      <x:c r="F62" s="29" t="n">
        <x:v>159</x:v>
      </x:c>
      <x:c r="G62" s="29" t="n">
        <x:f>E62-F62</x:f>
        <x:v>0</x:v>
      </x:c>
      <x:c r="H62" s="9" t="str">
        <x:f>IF(ABS(G62)&lt;0.000001,"PASS","FAIL")</x:f>
        <x:v>PASS</x:v>
      </x:c>
      <x:c r="I62" s="9" t="str">
        <x:v>Evidence Ledger</x:v>
      </x:c>
    </x:row>
    <x:row r="63">
      <x:c r="B63" s="9" t="str">
        <x:v>AU-057</x:v>
      </x:c>
      <x:c r="C63" s="9" t="str">
        <x:v>range</x:v>
      </x:c>
      <x:c r="D63" s="9" t="str">
        <x:v>A functions</x:v>
      </x:c>
      <x:c r="E63" s="29" t="n">
        <x:f>COUNTIF('Range Functions'!$C$7:$C$42,"A")</x:f>
        <x:v>9</x:v>
      </x:c>
      <x:c r="F63" s="29" t="n">
        <x:v>9</x:v>
      </x:c>
      <x:c r="G63" s="29" t="n">
        <x:f>E63-F63</x:f>
        <x:v>0</x:v>
      </x:c>
      <x:c r="H63" s="9" t="str">
        <x:f>IF(ABS(G63)&lt;0.000001,"PASS","FAIL")</x:f>
        <x:v>PASS</x:v>
      </x:c>
      <x:c r="I63" s="9" t="str">
        <x:v>Range Functions</x:v>
      </x:c>
    </x:row>
    <x:row r="64">
      <x:c r="B64" s="9" t="str">
        <x:v>AU-058</x:v>
      </x:c>
      <x:c r="C64" s="9" t="str">
        <x:v>ancestry</x:v>
      </x:c>
      <x:c r="D64" s="9" t="str">
        <x:v>A declarations</x:v>
      </x:c>
      <x:c r="E64" s="29" t="n">
        <x:f>COUNTIF('Ancestry Ledger'!$C$7:$C$54,"A")</x:f>
        <x:v>12</x:v>
      </x:c>
      <x:c r="F64" s="29" t="n">
        <x:v>12</x:v>
      </x:c>
      <x:c r="G64" s="29" t="n">
        <x:f>E64-F64</x:f>
        <x:v>0</x:v>
      </x:c>
      <x:c r="H64" s="9" t="str">
        <x:f>IF(ABS(G64)&lt;0.000001,"PASS","FAIL")</x:f>
        <x:v>PASS</x:v>
      </x:c>
      <x:c r="I64" s="9" t="str">
        <x:v>Ancestry Ledger</x:v>
      </x:c>
    </x:row>
    <x:row r="65">
      <x:c r="B65" s="9" t="str">
        <x:v>AU-059</x:v>
      </x:c>
      <x:c r="C65" s="9" t="str">
        <x:v>gates</x:v>
      </x:c>
      <x:c r="D65" s="9" t="str">
        <x:v>A gate records</x:v>
      </x:c>
      <x:c r="E65" s="29" t="n">
        <x:f>COUNTIF('Gate Coverage'!$C$7:$C$62,"A")</x:f>
        <x:v>14</x:v>
      </x:c>
      <x:c r="F65" s="29" t="n">
        <x:v>14</x:v>
      </x:c>
      <x:c r="G65" s="29" t="n">
        <x:f>E65-F65</x:f>
        <x:v>0</x:v>
      </x:c>
      <x:c r="H65" s="9" t="str">
        <x:f>IF(ABS(G65)&lt;0.000001,"PASS","FAIL")</x:f>
        <x:v>PASS</x:v>
      </x:c>
      <x:c r="I65" s="9" t="str">
        <x:v>Gate Coverage</x:v>
      </x:c>
    </x:row>
    <x:row r="66">
      <x:c r="B66" s="9" t="str">
        <x:v>AU-060</x:v>
      </x:c>
      <x:c r="C66" s="9" t="str">
        <x:v>event</x:v>
      </x:c>
      <x:c r="D66" s="9" t="str">
        <x:v>B events</x:v>
      </x:c>
      <x:c r="E66" s="29" t="n">
        <x:f>COUNTIF('Event Register'!$C$7:$C$174,"B")</x:f>
        <x:v>42</x:v>
      </x:c>
      <x:c r="F66" s="29" t="n">
        <x:v>42</x:v>
      </x:c>
      <x:c r="G66" s="29" t="n">
        <x:f>E66-F66</x:f>
        <x:v>0</x:v>
      </x:c>
      <x:c r="H66" s="9" t="str">
        <x:f>IF(ABS(G66)&lt;0.000001,"PASS","FAIL")</x:f>
        <x:v>PASS</x:v>
      </x:c>
      <x:c r="I66" s="9" t="str">
        <x:v>Event Register</x:v>
      </x:c>
    </x:row>
    <x:row r="67">
      <x:c r="B67" s="9" t="str">
        <x:v>AU-061</x:v>
      </x:c>
      <x:c r="C67" s="9" t="str">
        <x:v>evidence</x:v>
      </x:c>
      <x:c r="D67" s="9" t="str">
        <x:v>B packages</x:v>
      </x:c>
      <x:c r="E67" s="29" t="n">
        <x:f>SUMIF('Evidence Ledger'!$C$7:$C$46,"B",'Evidence Ledger'!$E$7:$E$46)</x:f>
        <x:v>159</x:v>
      </x:c>
      <x:c r="F67" s="29" t="n">
        <x:v>159</x:v>
      </x:c>
      <x:c r="G67" s="29" t="n">
        <x:f>E67-F67</x:f>
        <x:v>0</x:v>
      </x:c>
      <x:c r="H67" s="9" t="str">
        <x:f>IF(ABS(G67)&lt;0.000001,"PASS","FAIL")</x:f>
        <x:v>PASS</x:v>
      </x:c>
      <x:c r="I67" s="9" t="str">
        <x:v>Evidence Ledger</x:v>
      </x:c>
    </x:row>
    <x:row r="68">
      <x:c r="B68" s="9" t="str">
        <x:v>AU-062</x:v>
      </x:c>
      <x:c r="C68" s="9" t="str">
        <x:v>range</x:v>
      </x:c>
      <x:c r="D68" s="9" t="str">
        <x:v>B functions</x:v>
      </x:c>
      <x:c r="E68" s="29" t="n">
        <x:f>COUNTIF('Range Functions'!$C$7:$C$42,"B")</x:f>
        <x:v>9</x:v>
      </x:c>
      <x:c r="F68" s="29" t="n">
        <x:v>9</x:v>
      </x:c>
      <x:c r="G68" s="29" t="n">
        <x:f>E68-F68</x:f>
        <x:v>0</x:v>
      </x:c>
      <x:c r="H68" s="9" t="str">
        <x:f>IF(ABS(G68)&lt;0.000001,"PASS","FAIL")</x:f>
        <x:v>PASS</x:v>
      </x:c>
      <x:c r="I68" s="9" t="str">
        <x:v>Range Functions</x:v>
      </x:c>
    </x:row>
    <x:row r="69">
      <x:c r="B69" s="9" t="str">
        <x:v>AU-063</x:v>
      </x:c>
      <x:c r="C69" s="9" t="str">
        <x:v>ancestry</x:v>
      </x:c>
      <x:c r="D69" s="9" t="str">
        <x:v>B declarations</x:v>
      </x:c>
      <x:c r="E69" s="29" t="n">
        <x:f>COUNTIF('Ancestry Ledger'!$C$7:$C$54,"B")</x:f>
        <x:v>12</x:v>
      </x:c>
      <x:c r="F69" s="29" t="n">
        <x:v>12</x:v>
      </x:c>
      <x:c r="G69" s="29" t="n">
        <x:f>E69-F69</x:f>
        <x:v>0</x:v>
      </x:c>
      <x:c r="H69" s="9" t="str">
        <x:f>IF(ABS(G69)&lt;0.000001,"PASS","FAIL")</x:f>
        <x:v>PASS</x:v>
      </x:c>
      <x:c r="I69" s="9" t="str">
        <x:v>Ancestry Ledger</x:v>
      </x:c>
    </x:row>
    <x:row r="70">
      <x:c r="B70" s="9" t="str">
        <x:v>AU-064</x:v>
      </x:c>
      <x:c r="C70" s="9" t="str">
        <x:v>gates</x:v>
      </x:c>
      <x:c r="D70" s="9" t="str">
        <x:v>B gate records</x:v>
      </x:c>
      <x:c r="E70" s="29" t="n">
        <x:f>COUNTIF('Gate Coverage'!$C$7:$C$62,"B")</x:f>
        <x:v>14</x:v>
      </x:c>
      <x:c r="F70" s="29" t="n">
        <x:v>14</x:v>
      </x:c>
      <x:c r="G70" s="29" t="n">
        <x:f>E70-F70</x:f>
        <x:v>0</x:v>
      </x:c>
      <x:c r="H70" s="9" t="str">
        <x:f>IF(ABS(G70)&lt;0.000001,"PASS","FAIL")</x:f>
        <x:v>PASS</x:v>
      </x:c>
      <x:c r="I70" s="9" t="str">
        <x:v>Gate Coverage</x:v>
      </x:c>
    </x:row>
    <x:row r="71">
      <x:c r="B71" s="9" t="str">
        <x:v>AU-065</x:v>
      </x:c>
      <x:c r="C71" s="9" t="str">
        <x:v>event</x:v>
      </x:c>
      <x:c r="D71" s="9" t="str">
        <x:v>C events</x:v>
      </x:c>
      <x:c r="E71" s="29" t="n">
        <x:f>COUNTIF('Event Register'!$C$7:$C$174,"C")</x:f>
        <x:v>42</x:v>
      </x:c>
      <x:c r="F71" s="29" t="n">
        <x:v>42</x:v>
      </x:c>
      <x:c r="G71" s="29" t="n">
        <x:f>E71-F71</x:f>
        <x:v>0</x:v>
      </x:c>
      <x:c r="H71" s="9" t="str">
        <x:f>IF(ABS(G71)&lt;0.000001,"PASS","FAIL")</x:f>
        <x:v>PASS</x:v>
      </x:c>
      <x:c r="I71" s="9" t="str">
        <x:v>Event Register</x:v>
      </x:c>
    </x:row>
    <x:row r="72">
      <x:c r="B72" s="9" t="str">
        <x:v>AU-066</x:v>
      </x:c>
      <x:c r="C72" s="9" t="str">
        <x:v>evidence</x:v>
      </x:c>
      <x:c r="D72" s="9" t="str">
        <x:v>C packages</x:v>
      </x:c>
      <x:c r="E72" s="29" t="n">
        <x:f>SUMIF('Evidence Ledger'!$C$7:$C$46,"C",'Evidence Ledger'!$E$7:$E$46)</x:f>
        <x:v>159</x:v>
      </x:c>
      <x:c r="F72" s="29" t="n">
        <x:v>159</x:v>
      </x:c>
      <x:c r="G72" s="29" t="n">
        <x:f>E72-F72</x:f>
        <x:v>0</x:v>
      </x:c>
      <x:c r="H72" s="9" t="str">
        <x:f>IF(ABS(G72)&lt;0.000001,"PASS","FAIL")</x:f>
        <x:v>PASS</x:v>
      </x:c>
      <x:c r="I72" s="9" t="str">
        <x:v>Evidence Ledger</x:v>
      </x:c>
    </x:row>
    <x:row r="73">
      <x:c r="B73" s="9" t="str">
        <x:v>AU-067</x:v>
      </x:c>
      <x:c r="C73" s="9" t="str">
        <x:v>range</x:v>
      </x:c>
      <x:c r="D73" s="9" t="str">
        <x:v>C functions</x:v>
      </x:c>
      <x:c r="E73" s="29" t="n">
        <x:f>COUNTIF('Range Functions'!$C$7:$C$42,"C")</x:f>
        <x:v>9</x:v>
      </x:c>
      <x:c r="F73" s="29" t="n">
        <x:v>9</x:v>
      </x:c>
      <x:c r="G73" s="29" t="n">
        <x:f>E73-F73</x:f>
        <x:v>0</x:v>
      </x:c>
      <x:c r="H73" s="9" t="str">
        <x:f>IF(ABS(G73)&lt;0.000001,"PASS","FAIL")</x:f>
        <x:v>PASS</x:v>
      </x:c>
      <x:c r="I73" s="9" t="str">
        <x:v>Range Functions</x:v>
      </x:c>
    </x:row>
    <x:row r="74">
      <x:c r="B74" s="9" t="str">
        <x:v>AU-068</x:v>
      </x:c>
      <x:c r="C74" s="9" t="str">
        <x:v>ancestry</x:v>
      </x:c>
      <x:c r="D74" s="9" t="str">
        <x:v>C declarations</x:v>
      </x:c>
      <x:c r="E74" s="29" t="n">
        <x:f>COUNTIF('Ancestry Ledger'!$C$7:$C$54,"C")</x:f>
        <x:v>12</x:v>
      </x:c>
      <x:c r="F74" s="29" t="n">
        <x:v>12</x:v>
      </x:c>
      <x:c r="G74" s="29" t="n">
        <x:f>E74-F74</x:f>
        <x:v>0</x:v>
      </x:c>
      <x:c r="H74" s="9" t="str">
        <x:f>IF(ABS(G74)&lt;0.000001,"PASS","FAIL")</x:f>
        <x:v>PASS</x:v>
      </x:c>
      <x:c r="I74" s="9" t="str">
        <x:v>Ancestry Ledger</x:v>
      </x:c>
    </x:row>
    <x:row r="75">
      <x:c r="B75" s="9" t="str">
        <x:v>AU-069</x:v>
      </x:c>
      <x:c r="C75" s="9" t="str">
        <x:v>gates</x:v>
      </x:c>
      <x:c r="D75" s="9" t="str">
        <x:v>C gate records</x:v>
      </x:c>
      <x:c r="E75" s="29" t="n">
        <x:f>COUNTIF('Gate Coverage'!$C$7:$C$62,"C")</x:f>
        <x:v>14</x:v>
      </x:c>
      <x:c r="F75" s="29" t="n">
        <x:v>14</x:v>
      </x:c>
      <x:c r="G75" s="29" t="n">
        <x:f>E75-F75</x:f>
        <x:v>0</x:v>
      </x:c>
      <x:c r="H75" s="9" t="str">
        <x:f>IF(ABS(G75)&lt;0.000001,"PASS","FAIL")</x:f>
        <x:v>PASS</x:v>
      </x:c>
      <x:c r="I75" s="9" t="str">
        <x:v>Gate Coverage</x:v>
      </x:c>
    </x:row>
    <x:row r="76">
      <x:c r="B76" s="9" t="str">
        <x:v>AU-070</x:v>
      </x:c>
      <x:c r="C76" s="9" t="str">
        <x:v>event</x:v>
      </x:c>
      <x:c r="D76" s="9" t="str">
        <x:v>D events</x:v>
      </x:c>
      <x:c r="E76" s="29" t="n">
        <x:f>COUNTIF('Event Register'!$C$7:$C$174,"D")</x:f>
        <x:v>42</x:v>
      </x:c>
      <x:c r="F76" s="29" t="n">
        <x:v>42</x:v>
      </x:c>
      <x:c r="G76" s="29" t="n">
        <x:f>E76-F76</x:f>
        <x:v>0</x:v>
      </x:c>
      <x:c r="H76" s="9" t="str">
        <x:f>IF(ABS(G76)&lt;0.000001,"PASS","FAIL")</x:f>
        <x:v>PASS</x:v>
      </x:c>
      <x:c r="I76" s="9" t="str">
        <x:v>Event Register</x:v>
      </x:c>
    </x:row>
    <x:row r="77">
      <x:c r="B77" s="9" t="str">
        <x:v>AU-071</x:v>
      </x:c>
      <x:c r="C77" s="9" t="str">
        <x:v>evidence</x:v>
      </x:c>
      <x:c r="D77" s="9" t="str">
        <x:v>D packages</x:v>
      </x:c>
      <x:c r="E77" s="29" t="n">
        <x:f>SUMIF('Evidence Ledger'!$C$7:$C$46,"D",'Evidence Ledger'!$E$7:$E$46)</x:f>
        <x:v>159</x:v>
      </x:c>
      <x:c r="F77" s="29" t="n">
        <x:v>159</x:v>
      </x:c>
      <x:c r="G77" s="29" t="n">
        <x:f>E77-F77</x:f>
        <x:v>0</x:v>
      </x:c>
      <x:c r="H77" s="9" t="str">
        <x:f>IF(ABS(G77)&lt;0.000001,"PASS","FAIL")</x:f>
        <x:v>PASS</x:v>
      </x:c>
      <x:c r="I77" s="9" t="str">
        <x:v>Evidence Ledger</x:v>
      </x:c>
    </x:row>
    <x:row r="78">
      <x:c r="B78" s="9" t="str">
        <x:v>AU-072</x:v>
      </x:c>
      <x:c r="C78" s="9" t="str">
        <x:v>range</x:v>
      </x:c>
      <x:c r="D78" s="9" t="str">
        <x:v>D functions</x:v>
      </x:c>
      <x:c r="E78" s="29" t="n">
        <x:f>COUNTIF('Range Functions'!$C$7:$C$42,"D")</x:f>
        <x:v>9</x:v>
      </x:c>
      <x:c r="F78" s="29" t="n">
        <x:v>9</x:v>
      </x:c>
      <x:c r="G78" s="29" t="n">
        <x:f>E78-F78</x:f>
        <x:v>0</x:v>
      </x:c>
      <x:c r="H78" s="9" t="str">
        <x:f>IF(ABS(G78)&lt;0.000001,"PASS","FAIL")</x:f>
        <x:v>PASS</x:v>
      </x:c>
      <x:c r="I78" s="9" t="str">
        <x:v>Range Functions</x:v>
      </x:c>
    </x:row>
    <x:row r="79">
      <x:c r="B79" s="9" t="str">
        <x:v>AU-073</x:v>
      </x:c>
      <x:c r="C79" s="9" t="str">
        <x:v>ancestry</x:v>
      </x:c>
      <x:c r="D79" s="9" t="str">
        <x:v>D declarations</x:v>
      </x:c>
      <x:c r="E79" s="29" t="n">
        <x:f>COUNTIF('Ancestry Ledger'!$C$7:$C$54,"D")</x:f>
        <x:v>12</x:v>
      </x:c>
      <x:c r="F79" s="29" t="n">
        <x:v>12</x:v>
      </x:c>
      <x:c r="G79" s="29" t="n">
        <x:f>E79-F79</x:f>
        <x:v>0</x:v>
      </x:c>
      <x:c r="H79" s="9" t="str">
        <x:f>IF(ABS(G79)&lt;0.000001,"PASS","FAIL")</x:f>
        <x:v>PASS</x:v>
      </x:c>
      <x:c r="I79" s="9" t="str">
        <x:v>Ancestry Ledger</x:v>
      </x:c>
    </x:row>
    <x:row r="80">
      <x:c r="B80" s="10" t="str">
        <x:v>AU-074</x:v>
      </x:c>
      <x:c r="C80" s="10" t="str">
        <x:v>gates</x:v>
      </x:c>
      <x:c r="D80" s="10" t="str">
        <x:v>D gate records</x:v>
      </x:c>
      <x:c r="E80" s="30" t="n">
        <x:f>COUNTIF('Gate Coverage'!$C$7:$C$62,"D")</x:f>
        <x:v>14</x:v>
      </x:c>
      <x:c r="F80" s="30" t="n">
        <x:v>14</x:v>
      </x:c>
      <x:c r="G80" s="30" t="n">
        <x:f>E80-F80</x:f>
        <x:v>0</x:v>
      </x:c>
      <x:c r="H80" s="10" t="str">
        <x:f>IF(ABS(G80)&lt;0.000001,"PASS","FAIL")</x:f>
        <x:v>PASS</x:v>
      </x:c>
      <x:c r="I80" s="10" t="str">
        <x:v>Gate Coverage</x:v>
      </x:c>
    </x:row>
  </x:sheetData>
  <x:mergeCells>
    <x:mergeCell ref="B2:I2"/>
    <x:mergeCell ref="B3:I3"/>
  </x:mergeCells>
  <x:conditionalFormatting sqref="H7:H80">
    <x:cfRule type="containsText" dxfId="204" priority="1" operator="containsText" text="PASS"/>
    <x:cfRule type="containsText" dxfId="205" priority="2" operator="containsText" text="SELECTED"/>
    <x:cfRule type="containsText" dxfId="206" priority="3" operator="containsText" text="COMPLETE"/>
    <x:cfRule type="containsText" dxfId="207" priority="4" operator="containsText" text="ACCEPTED"/>
    <x:cfRule type="containsText" dxfId="208" priority="5" operator="containsText" text="HOLD"/>
    <x:cfRule type="containsText" dxfId="209" priority="6" operator="containsText" text="OPEN"/>
    <x:cfRule type="containsText" dxfId="210" priority="7" operator="containsText" text="BLOCKED"/>
    <x:cfRule type="containsText" dxfId="211" priority="8" operator="containsText" text="UNTESTED"/>
    <x:cfRule type="containsText" dxfId="212" priority="9" operator="containsText" text="UNASSIGNED"/>
    <x:cfRule type="containsText" dxfId="213" priority="10" operator="containsText" text="FAIL"/>
    <x:cfRule type="containsText" dxfId="214" priority="11" operator="containsText" text="REJECT"/>
    <x:cfRule type="containsText" dxfId="215" priority="12" operator="containsText" text="INVALI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55" hidden="0" customWidth="1"/>
    <x:col min="4" max="4" width="46" hidden="0" customWidth="1"/>
    <x:col min="5" max="5" width="22" hidden="0" customWidth="1"/>
    <x:col min="6" max="6" width="38" hidden="0" customWidth="1"/>
    <x:col min="7" max="7" width="22" hidden="0" customWidth="1"/>
    <x:col min="8" max="8" width="10" hidden="0" customWidth="1"/>
    <x:col min="9" max="9" width="16" hidden="0" customWidth="1"/>
    <x:col min="10" max="10" width="34" hidden="0" customWidth="1"/>
  </x:cols>
  <x:sheetData>
    <x:row r="2">
      <x:c r="B2" s="35" t="str">
        <x:v>Internal evidence and derivation register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No external browsing was used. Values remain controlled hypotheses unless explicitly inherited.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Source ID</x:v>
      </x:c>
      <x:c r="C6" s="7" t="str">
        <x:v>Repository source</x:v>
      </x:c>
      <x:c r="D6" s="7" t="str">
        <x:v>Use</x:v>
      </x:c>
      <x:c r="E6" s="7" t="str">
        <x:v>Class</x:v>
      </x:c>
      <x:c r="F6" s="7" t="str">
        <x:v>Value inherited</x:v>
      </x:c>
      <x:c r="G6" s="7" t="str">
        <x:v>Evidence state</x:v>
      </x:c>
      <x:c r="H6" s="7" t="str">
        <x:v>Pass</x:v>
      </x:c>
      <x:c r="I6" s="7" t="str">
        <x:v>Date</x:v>
      </x:c>
      <x:c r="J6" s="7" t="str">
        <x:v>Limit</x:v>
      </x:c>
    </x:row>
    <x:row r="7">
      <x:c r="B7" s="9" t="str">
        <x:v>S01</x:v>
      </x:c>
      <x:c r="C7" s="9" t="str">
        <x:v>Pass 176 lifeline four-root physical configuration report</x:v>
      </x:c>
      <x:c r="D7" s="9" t="str">
        <x:v>four configurations, service vector, gates and technology programs</x:v>
      </x:c>
      <x:c r="E7" s="9" t="str">
        <x:v>internal predecessor</x:v>
      </x:c>
      <x:c r="F7" s="9" t="str">
        <x:v>configurations and denominators</x:v>
      </x:c>
      <x:c r="G7" s="9" t="str">
        <x:v>FROZEN</x:v>
      </x:c>
      <x:c r="H7" s="9" t="str">
        <x:v>176</x:v>
      </x:c>
      <x:c r="I7" s="9" t="str">
        <x:v>2026-09-11</x:v>
      </x:c>
      <x:c r="J7" s="9" t="str">
        <x:v>planning constitution</x:v>
      </x:c>
    </x:row>
    <x:row r="8">
      <x:c r="B8" s="9" t="str">
        <x:v>S02</x:v>
      </x:c>
      <x:c r="C8" s="9" t="str">
        <x:v>Pass 176 companion workbook</x:v>
      </x:c>
      <x:c r="D8" s="9" t="str">
        <x:v>unit mass, crew and budget coefficients</x:v>
      </x:c>
      <x:c r="E8" s="9" t="str">
        <x:v>internal model</x:v>
      </x:c>
      <x:c r="F8" s="9" t="str">
        <x:v>article bill and USD 36.0B boundary</x:v>
      </x:c>
      <x:c r="G8" s="9" t="str">
        <x:v>CONTROLLED HYPOTHESIS</x:v>
      </x:c>
      <x:c r="H8" s="9" t="str">
        <x:v>176</x:v>
      </x:c>
      <x:c r="I8" s="9" t="str">
        <x:v>2026-09-11</x:v>
      </x:c>
      <x:c r="J8" s="9" t="str">
        <x:v>not physical evidence</x:v>
      </x:c>
    </x:row>
    <x:row r="9">
      <x:c r="B9" s="9" t="str">
        <x:v>S03</x:v>
      </x:c>
      <x:c r="C9" s="9" t="str">
        <x:v>National Resilience Proving Network report/workbook</x:v>
      </x:c>
      <x:c r="D9" s="9" t="str">
        <x:v>public ranges, evidence ladder, independent replay</x:v>
      </x:c>
      <x:c r="E9" s="9" t="str">
        <x:v>internal predecessor</x:v>
      </x:c>
      <x:c r="F9" s="9" t="str">
        <x:v>range principles</x:v>
      </x:c>
      <x:c r="G9" s="9" t="str">
        <x:v>PLANNING</x:v>
      </x:c>
      <x:c r="H9" s="9" t="str">
        <x:v>33</x:v>
      </x:c>
      <x:c r="I9" s="9" t="str">
        <x:v>2026-09-06</x:v>
      </x:c>
      <x:c r="J9" s="9" t="str">
        <x:v>functions, not sites</x:v>
      </x:c>
    </x:row>
    <x:row r="10">
      <x:c r="B10" s="9" t="str">
        <x:v>S04</x:v>
      </x:c>
      <x:c r="C10" s="9" t="str">
        <x:v>Nuclear Water-Energy System report/workbook</x:v>
      </x:c>
      <x:c r="D10" s="9" t="str">
        <x:v>licensed test boundary and surrogate rule</x:v>
      </x:c>
      <x:c r="E10" s="9" t="str">
        <x:v>internal predecessor</x:v>
      </x:c>
      <x:c r="F10" s="9" t="str">
        <x:v>nuclear range treatment</x:v>
      </x:c>
      <x:c r="G10" s="9" t="str">
        <x:v>PLANNING</x:v>
      </x:c>
      <x:c r="H10" s="9" t="str">
        <x:v>23</x:v>
      </x:c>
      <x:c r="I10" s="9" t="str">
        <x:v>2026-09-05</x:v>
      </x:c>
      <x:c r="J10" s="9" t="str">
        <x:v>no reactor release</x:v>
      </x:c>
    </x:row>
    <x:row r="11">
      <x:c r="B11" s="9" t="str">
        <x:v>S05</x:v>
      </x:c>
      <x:c r="C11" s="9" t="str">
        <x:v>Pass 175 root-diversity constitution</x:v>
      </x:c>
      <x:c r="D11" s="9" t="str">
        <x:v>twelve decisive ancestry domains and four-root firewall</x:v>
      </x:c>
      <x:c r="E11" s="9" t="str">
        <x:v>internal predecessor</x:v>
      </x:c>
      <x:c r="F11" s="9" t="str">
        <x:v>ancestry denominator</x:v>
      </x:c>
      <x:c r="G11" s="9" t="str">
        <x:v>FROZEN</x:v>
      </x:c>
      <x:c r="H11" s="9" t="str">
        <x:v>175</x:v>
      </x:c>
      <x:c r="I11" s="9" t="str">
        <x:v>2026-09-11</x:v>
      </x:c>
      <x:c r="J11" s="9" t="str">
        <x:v>identities unassigned</x:v>
      </x:c>
    </x:row>
    <x:row r="12">
      <x:c r="B12" s="10" t="str">
        <x:v>S06</x:v>
      </x:c>
      <x:c r="C12" s="10" t="str">
        <x:v>Pass 174 root-serial protocol</x:v>
      </x:c>
      <x:c r="D12" s="10" t="str">
        <x:v>validity, claim, reliance and no retry-away rule</x:v>
      </x:c>
      <x:c r="E12" s="10" t="str">
        <x:v>internal predecessor</x:v>
      </x:c>
      <x:c r="F12" s="10" t="str">
        <x:v>event governance</x:v>
      </x:c>
      <x:c r="G12" s="10" t="str">
        <x:v>FROZEN</x:v>
      </x:c>
      <x:c r="H12" s="10" t="str">
        <x:v>174</x:v>
      </x:c>
      <x:c r="I12" s="10" t="str">
        <x:v>2026-09-11</x:v>
      </x:c>
      <x:c r="J12" s="10" t="str">
        <x:v>campaign observations open</x:v>
      </x:c>
    </x:row>
  </x:sheetData>
  <x:mergeCells>
    <x:mergeCell ref="B2:J2"/>
    <x:mergeCell ref="B3:J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24" hidden="0" customWidth="1"/>
    <x:col min="3" max="3" width="105" hidden="0" customWidth="1"/>
  </x:cols>
  <x:sheetData>
    <x:row r="2">
      <x:c r="B2" s="35" t="str">
        <x:v>How to use the Pass 177 model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6" t="str">
        <x:v>This is a physical proof-campaign constitution and sensitivity surface, not a procurement plan or evidence claim.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Topic</x:v>
      </x:c>
      <x:c r="C6" s="7" t="str">
        <x:v>Guidance</x:v>
      </x:c>
      <x:c r="D6" s="9"/>
      <x:c r="E6" s="9"/>
      <x:c r="F6" s="9"/>
      <x:c r="G6" s="9"/>
      <x:c r="H6" s="9"/>
      <x:c r="I6" s="9"/>
      <x:c r="J6" s="9"/>
    </x:row>
    <x:row r="7">
      <x:c r="B7" s="9" t="str">
        <x:v>Decision</x:v>
      </x:c>
      <x:c r="C7" s="31" t="str">
        <x:v>Three complete quarter-service sectors per root: paired P1/P2 plus cold-built R1.</x:v>
      </x:c>
      <x:c r="D7" s="9"/>
      <x:c r="E7" s="9"/>
      <x:c r="F7" s="9"/>
      <x:c r="G7" s="9"/>
      <x:c r="H7" s="9"/>
      <x:c r="I7" s="9"/>
      <x:c r="J7" s="9"/>
    </x:row>
    <x:row r="8">
      <x:c r="B8" s="9" t="str">
        <x:v>Audience</x:v>
      </x:c>
      <x:c r="C8" s="31" t="str">
        <x:v>Department mission-system, public test, safety, manufacturing, workforce, finance and evidence authorities.</x:v>
      </x:c>
      <x:c r="D8" s="9"/>
      <x:c r="E8" s="9"/>
      <x:c r="F8" s="9"/>
      <x:c r="G8" s="9"/>
      <x:c r="H8" s="9"/>
      <x:c r="I8" s="9"/>
      <x:c r="J8" s="9"/>
    </x:row>
    <x:row r="9">
      <x:c r="B9" s="9" t="str">
        <x:v>Inputs</x:v>
      </x:c>
      <x:c r="C9" s="31" t="str">
        <x:v>Blue numeric cells are frozen predecessors or controlled hypotheses. Source controls remain zero.</x:v>
      </x:c>
      <x:c r="D9" s="9"/>
      <x:c r="E9" s="9"/>
      <x:c r="F9" s="9"/>
      <x:c r="G9" s="9"/>
      <x:c r="H9" s="9"/>
      <x:c r="I9" s="9"/>
      <x:c r="J9" s="9"/>
    </x:row>
    <x:row r="10">
      <x:c r="B10" s="9" t="str">
        <x:v>Calculation flow</x:v>
      </x:c>
      <x:c r="C10" s="31" t="str">
        <x:v>Controls and registers feed Decision; Audits is terminal and never feeds release.</x:v>
      </x:c>
      <x:c r="D10" s="9"/>
      <x:c r="E10" s="9"/>
      <x:c r="F10" s="9"/>
      <x:c r="G10" s="9"/>
      <x:c r="H10" s="9"/>
      <x:c r="I10" s="9"/>
      <x:c r="J10" s="9"/>
    </x:row>
    <x:row r="11">
      <x:c r="B11" s="9" t="str">
        <x:v>Events</x:v>
      </x:c>
      <x:c r="C11" s="31" t="str">
        <x:v>Forty-two valid events per root: eighteen challenge, eighteen matched control and six second-team repeats.</x:v>
      </x:c>
      <x:c r="D11" s="9"/>
      <x:c r="E11" s="9"/>
      <x:c r="F11" s="9"/>
      <x:c r="G11" s="9"/>
      <x:c r="H11" s="9"/>
      <x:c r="I11" s="9"/>
      <x:c r="J11" s="9"/>
    </x:row>
    <x:row r="12">
      <x:c r="B12" s="9" t="str">
        <x:v>Invalidity reserve</x:v>
      </x:c>
      <x:c r="C12" s="31" t="str">
        <x:v>Nine attempts per root replace only predeclared invalid events; they cannot erase adverse valid results.</x:v>
      </x:c>
      <x:c r="D12" s="9"/>
      <x:c r="E12" s="9"/>
      <x:c r="F12" s="9"/>
      <x:c r="G12" s="9"/>
      <x:c r="H12" s="9"/>
      <x:c r="I12" s="9"/>
      <x:c r="J12" s="9"/>
    </x:row>
    <x:row r="13">
      <x:c r="B13" s="9" t="str">
        <x:v>Evidence</x:v>
      </x:c>
      <x:c r="C13" s="31" t="str">
        <x:v>159 packages per root; a missing package is missing observation.</x:v>
      </x:c>
      <x:c r="D13" s="9"/>
      <x:c r="E13" s="9"/>
      <x:c r="F13" s="9"/>
      <x:c r="G13" s="9"/>
      <x:c r="H13" s="9"/>
      <x:c r="I13" s="9"/>
      <x:c r="J13" s="9"/>
    </x:row>
    <x:row r="14">
      <x:c r="B14" s="9" t="str">
        <x:v>Finance</x:v>
      </x:c>
      <x:c r="C14" s="31" t="str">
        <x:v>Real 2026 USD billions. Allocations are maximum reservations, not quotes, appropriations or earned payments.</x:v>
      </x:c>
      <x:c r="D14" s="9"/>
      <x:c r="E14" s="9"/>
      <x:c r="F14" s="9"/>
      <x:c r="G14" s="9"/>
      <x:c r="H14" s="9"/>
      <x:c r="I14" s="9"/>
      <x:c r="J14" s="9"/>
    </x:row>
    <x:row r="15">
      <x:c r="B15" s="9" t="str">
        <x:v>Physical status</x:v>
      </x:c>
      <x:c r="C15" s="31" t="str">
        <x:v>All outcomes, identities, calibrations, costs and gates remain open.</x:v>
      </x:c>
      <x:c r="D15" s="9"/>
      <x:c r="E15" s="9"/>
      <x:c r="F15" s="9"/>
      <x:c r="G15" s="9"/>
      <x:c r="H15" s="9"/>
      <x:c r="I15" s="9"/>
      <x:c r="J15" s="9"/>
    </x:row>
    <x:row r="16">
      <x:c r="B16" s="9" t="str">
        <x:v>Rendering</x:v>
      </x:c>
      <x:c r="C16" s="31" t="str">
        <x:v>Exterior rendering authority remains zero.</x:v>
      </x:c>
      <x:c r="D16" s="9"/>
      <x:c r="E16" s="9"/>
      <x:c r="F16" s="9"/>
      <x:c r="G16" s="9"/>
      <x:c r="H16" s="9"/>
      <x:c r="I16" s="9"/>
      <x:c r="J16" s="9"/>
    </x:row>
    <x:row r="17">
      <x:c r="B17" s="9" t="str">
        <x:v>Sensitivity</x:v>
      </x:c>
      <x:c r="C17" s="31" t="str">
        <x:v>Change a governing input, recalculate, observe dependent decision and audit cells, then restore.</x:v>
      </x:c>
      <x:c r="D17" s="9"/>
      <x:c r="E17" s="9"/>
      <x:c r="F17" s="9"/>
      <x:c r="G17" s="9"/>
      <x:c r="H17" s="9"/>
      <x:c r="I17" s="9"/>
      <x:c r="J17" s="9"/>
    </x:row>
    <x:row r="18">
      <x:c r="B18" s="10" t="str">
        <x:v>Version</x:v>
      </x:c>
      <x:c r="C18" s="32" t="str">
        <x:v>Pass 177 / C3-LFG3-2 / 2026-09-11</x:v>
      </x:c>
      <x:c r="D18" s="9"/>
      <x:c r="E18" s="9"/>
      <x:c r="F18" s="9"/>
      <x:c r="G18" s="9"/>
      <x:c r="H18" s="9"/>
      <x:c r="I18" s="9"/>
      <x:c r="J18" s="9"/>
    </x:row>
  </x:sheetData>
  <x:mergeCells>
    <x:mergeCell ref="B2:J2"/>
    <x:mergeCell ref="B3:J3"/>
  </x:mergeCells>
  <x:pageMargins left="0.7" right="0.7" top="0.75" bottom="0.75" header="0.3" footer="0.3"/>
</x:worksheet>
</file>