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56877754d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392421c12531470d"/>
    <x:sheet xmlns:r="http://schemas.openxmlformats.org/officeDocument/2006/relationships" name="01 Controls" sheetId="2" r:id="R96308a439e0f4fd1"/>
    <x:sheet xmlns:r="http://schemas.openxmlformats.org/officeDocument/2006/relationships" name="02 Service" sheetId="3" r:id="Redff15ef741b4397"/>
    <x:sheet xmlns:r="http://schemas.openxmlformats.org/officeDocument/2006/relationships" name="03 Root A bill" sheetId="4" r:id="Rf1d63aba35e14573"/>
    <x:sheet xmlns:r="http://schemas.openxmlformats.org/officeDocument/2006/relationships" name="04 Root B bill" sheetId="5" r:id="R33952a23cf1b4a28"/>
    <x:sheet xmlns:r="http://schemas.openxmlformats.org/officeDocument/2006/relationships" name="05 Air closure" sheetId="6" r:id="R375be66e61a643d0"/>
    <x:sheet xmlns:r="http://schemas.openxmlformats.org/officeDocument/2006/relationships" name="06 Power" sheetId="7" r:id="Rac39578d3b7c4d51"/>
    <x:sheet xmlns:r="http://schemas.openxmlformats.org/officeDocument/2006/relationships" name="07 Interfaces" sheetId="8" r:id="Rd27a665bc0634eb5"/>
    <x:sheet xmlns:r="http://schemas.openxmlformats.org/officeDocument/2006/relationships" name="08 Sections" sheetId="9" r:id="R8ad9c7624ea140bd"/>
    <x:sheet xmlns:r="http://schemas.openxmlformats.org/officeDocument/2006/relationships" name="09 Safe states" sheetId="10" r:id="Rc8ea11c2b1584b4b"/>
    <x:sheet xmlns:r="http://schemas.openxmlformats.org/officeDocument/2006/relationships" name="10 Assembly" sheetId="11" r:id="Re3f8fac9c914487b"/>
    <x:sheet xmlns:r="http://schemas.openxmlformats.org/officeDocument/2006/relationships" name="11 Deployment" sheetId="12" r:id="Rc5da761333644c3b"/>
    <x:sheet xmlns:r="http://schemas.openxmlformats.org/officeDocument/2006/relationships" name="12 Failure worlds" sheetId="13" r:id="Rada1e3cf2ecc4ce3"/>
    <x:sheet xmlns:r="http://schemas.openxmlformats.org/officeDocument/2006/relationships" name="13 Campaign" sheetId="14" r:id="R8870d134ccf74b10"/>
    <x:sheet xmlns:r="http://schemas.openxmlformats.org/officeDocument/2006/relationships" name="14 Finance" sheetId="15" r:id="Raa20a46f1d13403d"/>
    <x:sheet xmlns:r="http://schemas.openxmlformats.org/officeDocument/2006/relationships" name="15 Sensitivity" sheetId="16" r:id="R11599f236ecf4418"/>
    <x:sheet xmlns:r="http://schemas.openxmlformats.org/officeDocument/2006/relationships" name="16 Admissions" sheetId="17" r:id="R8fdc4e529f854cf9"/>
    <x:sheet xmlns:r="http://schemas.openxmlformats.org/officeDocument/2006/relationships" name="17 Audits" sheetId="18" r:id="Rf82ab2e1357e462b"/>
    <x:sheet xmlns:r="http://schemas.openxmlformats.org/officeDocument/2006/relationships" name="18 Sources" sheetId="19" r:id="Rc0800b9c721a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00.0"/>
    <x:numFmt numFmtId="202" formatCode="#,##0.00"/>
    <x:numFmt numFmtId="203" formatCode="#,##0.000000"/>
    <x:numFmt numFmtId="204" formatCode="#,#00.00"/>
    <x:numFmt numFmtId="205" formatCode="0.000"/>
    <x:numFmt numFmtId="206" formatCode="0.000000"/>
  </x:numFmts>
  <x:fonts count="11">
    <x:font>
      <x:sz val="11"/>
      <x:name val="Carlito"/>
    </x:font>
    <x:font>
      <x:b/>
      <x:sz val="15"/>
      <x:color rgb="FF17365D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i/>
      <x:sz val="10"/>
      <x:color rgb="FF595959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>
      <x:top style="thin">
        <x:color rgb="FF17365D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1" fontId="0" fillId="0" borderId="0" xfId="0" applyNumberFormat="1" applyFont="1" applyFill="1" applyBorder="1"/>
    <x:xf numFmtId="201" fontId="5" fillId="4" borderId="1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6" fillId="4" borderId="0" xfId="0" applyNumberFormat="1" applyFont="1" applyFill="1" applyBorder="1"/>
    <x:xf numFmtId="203" fontId="3" fillId="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5" fontId="5" fillId="4" borderId="1" xfId="0" applyNumberFormat="1" applyFont="1" applyFill="1" applyBorder="1"/>
    <x:xf numFmtId="205" fontId="6" fillId="4" borderId="0" xfId="0" applyNumberFormat="1" applyFont="1" applyFill="1" applyBorder="1"/>
    <x:xf numFmtId="205" fontId="7" fillId="0" borderId="0" xfId="0" applyNumberFormat="1" applyFont="1" applyFill="1" applyBorder="1"/>
    <x:xf numFmtId="205" fontId="8" fillId="4" borderId="1" xfId="0" applyNumberFormat="1" applyFont="1" applyFill="1" applyBorder="1"/>
    <x:xf numFmtId="205" fontId="8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5" fillId="4" borderId="1" xfId="0" applyNumberFormat="1" applyFont="1" applyFill="1" applyBorder="1"/>
    <x:xf numFmtId="0" fontId="5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201" fontId="10" fillId="0" borderId="0" xfId="0" applyNumberFormat="1" applyFont="1" applyFill="1" applyBorder="1"/>
    <x:xf numFmtId="201" fontId="10" fillId="0" borderId="0" xfId="0" applyNumberFormat="1" applyFont="1" applyFill="1" applyBorder="1" applyAlignment="1">
      <x:alignment vertical="top"/>
    </x:xf>
    <x:xf numFmtId="201" fontId="5" fillId="4" borderId="1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vertical="top"/>
    </x:xf>
    <x:xf numFmtId="202" fontId="10" fillId="0" borderId="0" xfId="0" applyNumberFormat="1" applyFont="1" applyFill="1" applyBorder="1" applyAlignment="1">
      <x:alignment vertical="top"/>
    </x:xf>
    <x:xf numFmtId="203" fontId="10" fillId="0" borderId="0" xfId="0" applyNumberFormat="1" applyFont="1" applyFill="1" applyBorder="1"/>
    <x:xf numFmtId="203" fontId="5" fillId="4" borderId="0" xfId="0" applyNumberFormat="1" applyFont="1" applyFill="1" applyBorder="1"/>
    <x:xf numFmtId="203" fontId="10" fillId="0" borderId="0" xfId="0" applyNumberFormat="1" applyFont="1" applyFill="1" applyBorder="1" applyAlignment="1">
      <x:alignment vertical="top"/>
    </x:xf>
    <x:xf numFmtId="203" fontId="5" fillId="4" borderId="0" xfId="0" applyNumberFormat="1" applyFont="1" applyFill="1" applyBorder="1" applyAlignment="1">
      <x:alignment vertical="top"/>
    </x:xf>
    <x:xf numFmtId="203" fontId="3" fillId="2" borderId="0" xfId="0" applyNumberFormat="1" applyFont="1" applyFill="1" applyBorder="1" applyAlignment="1">
      <x:alignment horizontal="center" vertical="top" wrapText="1"/>
    </x:xf>
    <x:xf numFmtId="204" fontId="10" fillId="0" borderId="0" xfId="0" applyNumberFormat="1" applyFont="1" applyFill="1" applyBorder="1"/>
    <x:xf numFmtId="204" fontId="10" fillId="0" borderId="0" xfId="0" applyNumberFormat="1" applyFont="1" applyFill="1" applyBorder="1" applyAlignment="1">
      <x:alignment vertical="top"/>
    </x:xf>
    <x:xf numFmtId="205" fontId="7" fillId="0" borderId="0" xfId="0" applyNumberFormat="1" applyFont="1" applyFill="1" applyBorder="1" applyAlignment="1">
      <x:alignment vertical="top"/>
    </x:xf>
    <x:xf numFmtId="205" fontId="8" fillId="4" borderId="1" xfId="0" applyNumberFormat="1" applyFont="1" applyFill="1" applyBorder="1" applyAlignment="1">
      <x:alignment vertical="top"/>
    </x:xf>
    <x:xf numFmtId="205" fontId="8" fillId="4" borderId="0" xfId="0" applyNumberFormat="1" applyFont="1" applyFill="1" applyBorder="1" applyAlignment="1">
      <x:alignment vertical="top"/>
    </x:xf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206" fontId="10" fillId="0" borderId="0" xfId="0" applyNumberFormat="1" applyFont="1" applyFill="1" applyBorder="1"/>
    <x:xf numFmtId="206" fontId="10" fillId="0" borderId="0" xfId="0" applyNumberFormat="1" applyFont="1" applyFill="1" applyBorder="1" applyAlignment="1">
      <x:alignment vertical="top"/>
    </x:xf>
    <x:xf numFmtId="206" fontId="5" fillId="4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203" fontId="6" fillId="4" borderId="0" xfId="0" applyNumberFormat="1" applyFont="1" applyFill="1" applyBorder="1" applyAlignment="1">
      <x:alignment vertical="top"/>
    </x:xf>
    <x:xf numFmtId="205" fontId="6" fillId="4" borderId="0" xfId="0" applyNumberFormat="1" applyFont="1" applyFill="1" applyBorder="1" applyAlignment="1">
      <x:alignment vertical="top"/>
    </x:xf>
    <x:xf numFmtId="205" fontId="5" fillId="4" borderId="1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56c8f2c16479f" /><Relationship Type="http://schemas.openxmlformats.org/officeDocument/2006/relationships/theme" Target="/xl/theme/theme1.xml" Id="R0b98ca9ea596433a" /><Relationship Type="http://schemas.openxmlformats.org/officeDocument/2006/relationships/sharedStrings" Target="/xl/sharedStrings.xml" Id="R6367222195f94af7" /><Relationship Type="http://schemas.openxmlformats.org/officeDocument/2006/relationships/worksheet" Target="/xl/worksheets/sheet1.xml" Id="R392421c12531470d" /><Relationship Type="http://schemas.openxmlformats.org/officeDocument/2006/relationships/worksheet" Target="/xl/worksheets/sheet2.xml" Id="R96308a439e0f4fd1" /><Relationship Type="http://schemas.openxmlformats.org/officeDocument/2006/relationships/worksheet" Target="/xl/worksheets/sheet3.xml" Id="Redff15ef741b4397" /><Relationship Type="http://schemas.openxmlformats.org/officeDocument/2006/relationships/worksheet" Target="/xl/worksheets/sheet4.xml" Id="Rf1d63aba35e14573" /><Relationship Type="http://schemas.openxmlformats.org/officeDocument/2006/relationships/worksheet" Target="/xl/worksheets/sheet5.xml" Id="R33952a23cf1b4a28" /><Relationship Type="http://schemas.openxmlformats.org/officeDocument/2006/relationships/worksheet" Target="/xl/worksheets/sheet6.xml" Id="R375be66e61a643d0" /><Relationship Type="http://schemas.openxmlformats.org/officeDocument/2006/relationships/worksheet" Target="/xl/worksheets/sheet7.xml" Id="Rac39578d3b7c4d51" /><Relationship Type="http://schemas.openxmlformats.org/officeDocument/2006/relationships/worksheet" Target="/xl/worksheets/sheet8.xml" Id="Rd27a665bc0634eb5" /><Relationship Type="http://schemas.openxmlformats.org/officeDocument/2006/relationships/worksheet" Target="/xl/worksheets/sheet9.xml" Id="R8ad9c7624ea140bd" /><Relationship Type="http://schemas.openxmlformats.org/officeDocument/2006/relationships/worksheet" Target="/xl/worksheets/sheet10.xml" Id="Rc8ea11c2b1584b4b" /><Relationship Type="http://schemas.openxmlformats.org/officeDocument/2006/relationships/worksheet" Target="/xl/worksheets/sheet11.xml" Id="Re3f8fac9c914487b" /><Relationship Type="http://schemas.openxmlformats.org/officeDocument/2006/relationships/worksheet" Target="/xl/worksheets/sheet12.xml" Id="Rc5da761333644c3b" /><Relationship Type="http://schemas.openxmlformats.org/officeDocument/2006/relationships/worksheet" Target="/xl/worksheets/sheet13.xml" Id="Rada1e3cf2ecc4ce3" /><Relationship Type="http://schemas.openxmlformats.org/officeDocument/2006/relationships/worksheet" Target="/xl/worksheets/sheet14.xml" Id="R8870d134ccf74b10" /><Relationship Type="http://schemas.openxmlformats.org/officeDocument/2006/relationships/worksheet" Target="/xl/worksheets/sheet15.xml" Id="Raa20a46f1d13403d" /><Relationship Type="http://schemas.openxmlformats.org/officeDocument/2006/relationships/worksheet" Target="/xl/worksheets/sheet16.xml" Id="R11599f236ecf4418" /><Relationship Type="http://schemas.openxmlformats.org/officeDocument/2006/relationships/worksheet" Target="/xl/worksheets/sheet17.xml" Id="R8fdc4e529f854cf9" /><Relationship Type="http://schemas.openxmlformats.org/officeDocument/2006/relationships/worksheet" Target="/xl/worksheets/sheet18.xml" Id="Rf82ab2e1357e462b" /><Relationship Type="http://schemas.openxmlformats.org/officeDocument/2006/relationships/worksheet" Target="/xl/worksheets/sheet19.xml" Id="Rc0800b9c721a45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5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" max="1" width="3" hidden="0" customWidth="1"/>
  </x:cols>
  <x:sheetData>
    <x:row r="2" ht="24" hidden="0" customHeight="1">
      <x:c r="B2" s="70" t="str">
        <x:v>RCB-1 rival clinical-island build-release decision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Build both roots. Select neither until representative assembly, service, contamination, repair, teardown and relocation evidence exists.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22" hidden="0" customHeight="1">
      <x:c r="B6" s="72" t="str">
        <x:v>Decision summary</x:v>
      </x:c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</x:row>
    <x:row r="7" ht="32" hidden="0" customHeight="1">
      <x:c r="B7" s="8" t="str">
        <x:v>Measure</x:v>
      </x:c>
      <x:c r="C7" s="8" t="str">
        <x:v>Root A SGC-A</x:v>
      </x:c>
      <x:c r="D7" s="8" t="str">
        <x:v>Root B FCM-B</x:v>
      </x:c>
      <x:c r="E7" s="8" t="str">
        <x:v>Unit</x:v>
      </x:c>
      <x:c r="F7" s="8" t="str">
        <x:v>Difference B - A</x:v>
      </x:c>
      <x:c r="G7" s="8" t="str">
        <x:v>Decision meaning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Nested serial articles</x:v>
      </x:c>
      <x:c r="C8" s="41" t="n">
        <x:f>'03 Root A bill'!E41</x:f>
        <x:v>121</x:v>
      </x:c>
      <x:c r="D8" s="41" t="n">
        <x:f>'04 Root B bill'!E42</x:f>
        <x:v>218</x:v>
      </x:c>
      <x:c r="E8" s="41" t="str">
        <x:v>articles</x:v>
      </x:c>
      <x:c r="F8" s="41" t="n">
        <x:f>D8-C8</x:f>
        <x:v>97</x:v>
      </x:c>
      <x:c r="G8" s="41" t="str">
        <x:v>more Root B interfaces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Care plus process positions</x:v>
      </x:c>
      <x:c r="C9" s="41" t="n">
        <x:f>'03 Root A bill'!G41</x:f>
        <x:v>304</x:v>
      </x:c>
      <x:c r="D9" s="41" t="n">
        <x:f>'04 Root B bill'!G42</x:f>
        <x:v>304</x:v>
      </x:c>
      <x:c r="E9" s="41" t="str">
        <x:v>positions</x:v>
      </x:c>
      <x:c r="F9" s="41" t="n">
        <x:f>D9-C9</x:f>
        <x:v>0</x:v>
      </x:c>
      <x:c r="G9" s="41" t="str">
        <x:v>same service denominator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Enclosed / covered area</x:v>
      </x:c>
      <x:c r="C10" s="41" t="n">
        <x:f>'03 Root A bill'!I41</x:f>
        <x:v>21175</x:v>
      </x:c>
      <x:c r="D10" s="41" t="n">
        <x:f>'04 Root B bill'!I42</x:f>
        <x:v>21464</x:v>
      </x:c>
      <x:c r="E10" s="41" t="str">
        <x:v>m2</x:v>
      </x:c>
      <x:c r="F10" s="41" t="n">
        <x:f>D10-C10</x:f>
        <x:v>289</x:v>
      </x:c>
      <x:c r="G10" s="41" t="str">
        <x:v>both require campus-scale sites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Dry mass</x:v>
      </x:c>
      <x:c r="C11" s="41" t="n">
        <x:f>'03 Root A bill'!K41</x:f>
        <x:v>3204</x:v>
      </x:c>
      <x:c r="D11" s="41" t="n">
        <x:f>'04 Root B bill'!K42</x:f>
        <x:v>3179</x:v>
      </x:c>
      <x:c r="E11" s="41" t="str">
        <x:v>t</x:v>
      </x:c>
      <x:c r="F11" s="41" t="n">
        <x:f>D11-C11</x:f>
        <x:v>-25</x:v>
      </x:c>
      <x:c r="G11" s="41" t="str">
        <x:v>Root B is marginally lighter</x:v>
      </x:c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First-unit capital</x:v>
      </x:c>
      <x:c r="C12" s="41" t="n">
        <x:f>'03 Root A bill'!M41</x:f>
        <x:v>3653</x:v>
      </x:c>
      <x:c r="D12" s="41" t="n">
        <x:f>'04 Root B bill'!M42</x:f>
        <x:v>3995</x:v>
      </x:c>
      <x:c r="E12" s="41" t="str">
        <x:v>USD m</x:v>
      </x:c>
      <x:c r="F12" s="41" t="n">
        <x:f>D12-C12</x:f>
        <x:v>342</x:v>
      </x:c>
      <x:c r="G12" s="41" t="str">
        <x:v>Root B buys more local isolation</x:v>
      </x:c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Registered interfaces</x:v>
      </x:c>
      <x:c r="C13" s="41" t="n">
        <x:f>'07 Interfaces'!C20</x:f>
        <x:v>713</x:v>
      </x:c>
      <x:c r="D13" s="41" t="n">
        <x:f>'07 Interfaces'!D20</x:f>
        <x:v>1640</x:v>
      </x:c>
      <x:c r="E13" s="41" t="str">
        <x:v>records</x:v>
      </x:c>
      <x:c r="F13" s="41" t="n">
        <x:f>D13-C13</x:f>
        <x:v>927</x:v>
      </x:c>
      <x:c r="G13" s="41" t="str">
        <x:v>fault reach versus interface burden</x:v>
      </x:c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Prepared-site full release</x:v>
      </x:c>
      <x:c r="C14" s="41" t="n">
        <x:f>'10 Assembly'!C33</x:f>
        <x:v>72</x:v>
      </x:c>
      <x:c r="D14" s="41" t="n">
        <x:f>'10 Assembly'!C34</x:f>
        <x:v>60</x:v>
      </x:c>
      <x:c r="E14" s="41" t="str">
        <x:v>hours</x:v>
      </x:c>
      <x:c r="F14" s="41" t="n">
        <x:f>D14-C14</x:f>
        <x:v>-12</x:v>
      </x:c>
      <x:c r="G14" s="41" t="str">
        <x:v>Root B claims more parallel work</x:v>
      </x:c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Largest local common-cause exposure</x:v>
      </x:c>
      <x:c r="C15" s="41" t="n">
        <x:v>56</x:v>
      </x:c>
      <x:c r="D15" s="41" t="n">
        <x:v>27</x:v>
      </x:c>
      <x:c r="E15" s="41" t="str">
        <x:v>care positions</x:v>
      </x:c>
      <x:c r="F15" s="41" t="n">
        <x:f>D15-C15</x:f>
        <x:v>-29</x:v>
      </x:c>
      <x:c r="G15" s="41" t="str">
        <x:v>unproven rejection boundaries</x:v>
      </x:c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HCSG formation mass</x:v>
      </x:c>
      <x:c r="C16" s="41" t="n">
        <x:f>'06 Power'!D14</x:f>
        <x:v>35382</x:v>
      </x:c>
      <x:c r="D16" s="41" t="n">
        <x:f>'06 Power'!D15</x:f>
        <x:v>35257</x:v>
      </x:c>
      <x:c r="E16" s="41" t="str">
        <x:v>t</x:v>
      </x:c>
      <x:c r="F16" s="41" t="n">
        <x:f>D16-C16</x:f>
        <x:v>-125</x:v>
      </x:c>
      <x:c r="G16" s="41" t="str">
        <x:v>root-dependent range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 t="str">
        <x:v>HCSG formation capital</x:v>
      </x:c>
      <x:c r="C17" s="41" t="n">
        <x:f>'06 Power'!E14</x:f>
        <x:v>32542</x:v>
      </x:c>
      <x:c r="D17" s="41" t="n">
        <x:f>'06 Power'!E15</x:f>
        <x:v>34252</x:v>
      </x:c>
      <x:c r="E17" s="41" t="str">
        <x:v>USD m</x:v>
      </x:c>
      <x:c r="F17" s="41" t="n">
        <x:f>D17-C17</x:f>
        <x:v>1710</x:v>
      </x:c>
      <x:c r="G17" s="41" t="str">
        <x:v>root-dependent range</x:v>
      </x:c>
      <x:c r="H17" s="41"/>
      <x:c r="I17" s="41"/>
      <x:c r="J17" s="41"/>
      <x:c r="K17" s="41"/>
      <x:c r="L17" s="41"/>
      <x:c r="M17" s="41"/>
    </x:row>
    <x:row r="18" ht="15" hidden="0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15" hidden="0" customHeight="1"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</x:row>
    <x:row r="20" ht="15" hidden="0" customHeight="1"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</x:row>
    <x:row r="21" ht="22" hidden="0" customHeight="1">
      <x:c r="B21" s="72" t="str">
        <x:v>Decision</x:v>
      </x:c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</x:row>
    <x:row r="22" ht="15" hidden="0" customHeight="1">
      <x:c r="B22" s="44" t="str">
        <x:v>Advance</x:v>
      </x:c>
      <x:c r="C22" s="44" t="str">
        <x:v>Two complete development-build roots under one common service, rights, failure and evidence law.</x:v>
      </x:c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</x:row>
    <x:row r="23" ht="15" hidden="0" customHeight="1">
      <x:c r="B23" s="44" t="str">
        <x:v>Root A wager</x:v>
      </x:c>
      <x:c r="C23" s="44" t="str">
        <x:v>Fewer surveyed galleries and centralized plants reduce joins but extend local utility common cause.</x:v>
      </x:c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</x:row>
    <x:row r="24" ht="15" hidden="0" customHeight="1">
      <x:c r="B24" s="44" t="str">
        <x:v>Root B wager</x:v>
      </x:c>
      <x:c r="C24" s="44" t="str">
        <x:v>Cell-local cassettes and manifolds confine faults but add articles, records, cleaning edges and control states.</x:v>
      </x:c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</x:row>
    <x:row r="25" ht="15" hidden="0" customHeight="1">
      <x:c r="B25" s="44" t="str">
        <x:v>Correct</x:v>
      </x:c>
      <x:c r="C25" s="44" t="str">
        <x:v>Add a sixth public portal, close high-infection air, and treat HCSG mass and capital as a root-dependent range.</x:v>
      </x:c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</x:row>
    <x:row r="26" ht="15" hidden="0" customHeight="1">
      <x:c r="B26" s="44" t="str">
        <x:v>Do not authorize</x:v>
      </x:c>
      <x:c r="C26" s="44" t="str">
        <x:v>Clinical use, fielding, procurement, national quantity, preferred root, mixed-root island, carrier or exterior rendering.</x:v>
      </x:c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</x:row>
    <x:row r="27" ht="15" hidden="0" customHeight="1">
      <x:c r="B27" s="44" t="str">
        <x:v>Next object</x:v>
      </x:c>
      <x:c r="C27" s="44" t="str">
        <x:v>RCC-1 serial interface-control drawings, tranche manifest and first development-build dossier.</x:v>
      </x:c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</x:row>
    <x:row r="28" ht="15" hidden="0" customHeight="1"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</x:row>
    <x:row r="29" ht="15" hidden="0" customHeight="1"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</x:row>
    <x:row r="30" ht="22" hidden="0" customHeight="1">
      <x:c r="B30" s="72" t="str">
        <x:v>Key correction</x:v>
      </x:c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</x:row>
    <x:row r="31" ht="15" hidden="0" customHeight="1">
      <x:c r="B31" s="44" t="str">
        <x:v>Public arrival</x:v>
      </x:c>
      <x:c r="C31" s="44" t="str">
        <x:v>Six seven-position modules leave 35 positions after one loss against a 31-position reference requirement.</x:v>
      </x:c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</x:row>
    <x:row r="32" ht="15" hidden="0" customHeight="1">
      <x:c r="B32" s="44" t="str">
        <x:v>Air</x:v>
      </x:c>
      <x:c r="C32" s="44" t="str">
        <x:v>Root A and Root B both retain clean, controlled and high-infection contaminated airflow after one same-domain article loss.</x:v>
      </x:c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</x:row>
    <x:row r="33" ht="15" hidden="0" customHeight="1">
      <x:c r="B33" s="44" t="str">
        <x:v>Program</x:v>
      </x:c>
      <x:c r="C33" s="44" t="str">
        <x:v>The comparative campaign contains 1,356 serials, 320 controlled defects, 96 service runs, 64 cycles and 16 relocations.</x:v>
      </x:c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</x:row>
    <x:row r="34" ht="15" hidden="0" customHeight="1">
      <x:c r="B34" s="44" t="str">
        <x:v>Finance</x:v>
      </x:c>
      <x:c r="C34" s="44" t="str">
        <x:v>USD 45B inside TCP-06 replaces the underbounded USD 32B island allocation; the parent USD 75B line does not change.</x:v>
      </x:c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</x:row>
  </x:sheetData>
  <x:mergeCells>
    <x:mergeCell ref="B2:M2"/>
    <x:mergeCell ref="B3:M3"/>
    <x:mergeCell ref="B6:M6"/>
    <x:mergeCell ref="B21:M21"/>
    <x:mergeCell ref="C22:M22"/>
    <x:mergeCell ref="C23:M23"/>
    <x:mergeCell ref="C24:M24"/>
    <x:mergeCell ref="C25:M25"/>
    <x:mergeCell ref="C26:M26"/>
    <x:mergeCell ref="C27:M27"/>
    <x:mergeCell ref="B30:M30"/>
    <x:mergeCell ref="C31:M31"/>
    <x:mergeCell ref="C32:M32"/>
    <x:mergeCell ref="C33:M33"/>
    <x:mergeCell ref="C34:M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39" hidden="0" customWidth="1"/>
    <x:col min="4" max="4" width="17" hidden="0" customWidth="1"/>
    <x:col min="5" max="5" width="18" hidden="0" customWidth="1"/>
    <x:col min="6" max="6" width="22" hidden="0" customWidth="1"/>
    <x:col min="1" max="1" width="3" hidden="0" customWidth="1"/>
  </x:cols>
  <x:sheetData>
    <x:row r="2" ht="24" hidden="0" customHeight="1">
      <x:c r="B2" s="70" t="str">
        <x:v>RCB-1 control surface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Yellow values are inherited screens, design hypotheses or disclosed allocations. None is clinical guidance or procurement authority.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Domain</x:v>
      </x:c>
      <x:c r="C6" s="8" t="str">
        <x:v>Control</x:v>
      </x:c>
      <x:c r="D6" s="8" t="str">
        <x:v>Value</x:v>
      </x:c>
      <x:c r="E6" s="8" t="str">
        <x:v>Unit</x:v>
      </x:c>
      <x:c r="F6" s="8" t="str">
        <x:v>Status</x:v>
      </x:c>
      <x:c r="G6" s="41"/>
      <x:c r="H6" s="41"/>
      <x:c r="I6" s="41"/>
      <x:c r="J6" s="41"/>
      <x:c r="K6" s="41"/>
      <x:c r="L6" s="41"/>
      <x:c r="M6" s="41"/>
    </x:row>
    <x:row r="7" ht="15" hidden="0" customHeight="1">
      <x:c r="B7" s="41" t="str">
        <x:v>Mission</x:v>
      </x:c>
      <x:c r="C7" s="41" t="str">
        <x:v>Operating islands</x:v>
      </x:c>
      <x:c r="D7" s="45" t="n">
        <x:v>4</x:v>
      </x:c>
      <x:c r="E7" s="41" t="str">
        <x:v>islands</x:v>
      </x:c>
      <x:c r="F7" s="41" t="str">
        <x:v>INHERITED</x:v>
      </x:c>
      <x:c r="G7" s="41"/>
      <x:c r="H7" s="41"/>
      <x:c r="I7" s="41"/>
      <x:c r="J7" s="41"/>
      <x:c r="K7" s="41"/>
      <x:c r="L7" s="41"/>
      <x:c r="M7" s="41"/>
    </x:row>
    <x:row r="8" ht="15" hidden="0" customHeight="1">
      <x:c r="B8" s="41" t="str">
        <x:v>Mission</x:v>
      </x:c>
      <x:c r="C8" s="41" t="str">
        <x:v>Ready islands</x:v>
      </x:c>
      <x:c r="D8" s="45" t="n">
        <x:v>1</x:v>
      </x:c>
      <x:c r="E8" s="41" t="str">
        <x:v>island</x:v>
      </x:c>
      <x:c r="F8" s="41" t="str">
        <x:v>INHERITED</x:v>
      </x:c>
      <x:c r="G8" s="41"/>
      <x:c r="H8" s="41"/>
      <x:c r="I8" s="41"/>
      <x:c r="J8" s="41"/>
      <x:c r="K8" s="41"/>
      <x:c r="L8" s="41"/>
      <x:c r="M8" s="41"/>
    </x:row>
    <x:row r="9" ht="15" hidden="0" customHeight="1">
      <x:c r="B9" s="41" t="str">
        <x:v>Mission</x:v>
      </x:c>
      <x:c r="C9" s="41" t="str">
        <x:v>Care positions / island</x:v>
      </x:c>
      <x:c r="D9" s="45" t="n">
        <x:v>240</x:v>
      </x:c>
      <x:c r="E9" s="41" t="str">
        <x:v>positions</x:v>
      </x:c>
      <x:c r="F9" s="41" t="str">
        <x:v>INHERITED</x:v>
      </x:c>
      <x:c r="G9" s="41"/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Flow</x:v>
      </x:c>
      <x:c r="C10" s="41" t="str">
        <x:v>Public presentations / island/day</x:v>
      </x:c>
      <x:c r="D10" s="45" t="n">
        <x:v>998.875</x:v>
      </x:c>
      <x:c r="E10" s="41" t="str">
        <x:v>presentations/day</x:v>
      </x:c>
      <x:c r="F10" s="41" t="str">
        <x:v>DERIVED</x:v>
      </x:c>
      <x:c r="G10" s="41"/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Flow</x:v>
      </x:c>
      <x:c r="C11" s="41" t="str">
        <x:v>Public peak factor</x:v>
      </x:c>
      <x:c r="D11" s="45" t="n">
        <x:v>2.5</x:v>
      </x:c>
      <x:c r="E11" s="41" t="str">
        <x:v>multiple</x:v>
      </x:c>
      <x:c r="F11" s="41" t="str">
        <x:v>RCB REFERENCE</x:v>
      </x:c>
      <x:c r="G11" s="41"/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Flow</x:v>
      </x:c>
      <x:c r="C12" s="41" t="str">
        <x:v>Public operating window</x:v>
      </x:c>
      <x:c r="D12" s="45" t="n">
        <x:v>18</x:v>
      </x:c>
      <x:c r="E12" s="41" t="str">
        <x:v>hours/day</x:v>
      </x:c>
      <x:c r="F12" s="41" t="str">
        <x:v>ASSUMPTION</x:v>
      </x:c>
      <x:c r="G12" s="41"/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Flow</x:v>
      </x:c>
      <x:c r="C13" s="41" t="str">
        <x:v>Public transaction time</x:v>
      </x:c>
      <x:c r="D13" s="45" t="n">
        <x:v>0.175</x:v>
      </x:c>
      <x:c r="E13" s="41" t="str">
        <x:v>hours</x:v>
      </x:c>
      <x:c r="F13" s="41" t="str">
        <x:v>ASSUMPTION</x:v>
      </x:c>
      <x:c r="G13" s="41"/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Flow</x:v>
      </x:c>
      <x:c r="C14" s="41" t="str">
        <x:v>Public target utilization</x:v>
      </x:c>
      <x:c r="D14" s="46" t="n">
        <x:v>0.8</x:v>
      </x:c>
      <x:c r="E14" s="41" t="str">
        <x:v>fraction</x:v>
      </x:c>
      <x:c r="F14" s="41" t="str">
        <x:v>ASSUMPTION</x:v>
      </x:c>
      <x:c r="G14" s="41"/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Flow</x:v>
      </x:c>
      <x:c r="C15" s="41" t="str">
        <x:v>Public positions / module</x:v>
      </x:c>
      <x:c r="D15" s="45" t="n">
        <x:v>7</x:v>
      </x:c>
      <x:c r="E15" s="41" t="str">
        <x:v>positions</x:v>
      </x:c>
      <x:c r="F15" s="41" t="str">
        <x:v>ASSUMPTION</x:v>
      </x:c>
      <x:c r="G15" s="41"/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Flow</x:v>
      </x:c>
      <x:c r="C16" s="41" t="str">
        <x:v>Public installed modules</x:v>
      </x:c>
      <x:c r="D16" s="45" t="n">
        <x:v>6</x:v>
      </x:c>
      <x:c r="E16" s="41" t="str">
        <x:v>modules</x:v>
      </x:c>
      <x:c r="F16" s="41" t="str">
        <x:v>RCB CORRECTION</x:v>
      </x:c>
      <x:c r="G16" s="41"/>
      <x:c r="H16" s="41"/>
      <x:c r="I16" s="41"/>
      <x:c r="J16" s="41"/>
      <x:c r="K16" s="41"/>
      <x:c r="L16" s="41"/>
      <x:c r="M16" s="41"/>
    </x:row>
    <x:row r="17" ht="15" hidden="0" customHeight="1">
      <x:c r="B17" s="41" t="str">
        <x:v>Space</x:v>
      </x:c>
      <x:c r="C17" s="41" t="str">
        <x:v>Mean clear height</x:v>
      </x:c>
      <x:c r="D17" s="45" t="n">
        <x:v>4</x:v>
      </x:c>
      <x:c r="E17" s="41" t="str">
        <x:v>m</x:v>
      </x:c>
      <x:c r="F17" s="41" t="str">
        <x:v>ASSUMPTION</x:v>
      </x:c>
      <x:c r="G17" s="41"/>
      <x:c r="H17" s="41"/>
      <x:c r="I17" s="41"/>
      <x:c r="J17" s="41"/>
      <x:c r="K17" s="41"/>
      <x:c r="L17" s="41"/>
      <x:c r="M17" s="41"/>
    </x:row>
    <x:row r="18" ht="15" hidden="0" customHeight="1">
      <x:c r="B18" s="41" t="str">
        <x:v>Space</x:v>
      </x:c>
      <x:c r="C18" s="41" t="str">
        <x:v>Coverage ratio</x:v>
      </x:c>
      <x:c r="D18" s="46" t="n">
        <x:v>0.38</x:v>
      </x:c>
      <x:c r="E18" s="41" t="str">
        <x:v>fraction</x:v>
      </x:c>
      <x:c r="F18" s="41" t="str">
        <x:v>ASSUMPTION</x:v>
      </x:c>
      <x:c r="G18" s="41"/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Space</x:v>
      </x:c>
      <x:c r="C19" s="41" t="str">
        <x:v>Boundary allowance</x:v>
      </x:c>
      <x:c r="D19" s="45" t="n">
        <x:v>20</x:v>
      </x:c>
      <x:c r="E19" s="41" t="str">
        <x:v>m each side</x:v>
      </x:c>
      <x:c r="F19" s="41" t="str">
        <x:v>ASSUMPTION</x:v>
      </x:c>
      <x:c r="G19" s="41"/>
      <x:c r="H19" s="41"/>
      <x:c r="I19" s="41"/>
      <x:c r="J19" s="41"/>
      <x:c r="K19" s="41"/>
      <x:c r="L19" s="41"/>
      <x:c r="M19" s="41"/>
    </x:row>
    <x:row r="20" ht="15" hidden="0" customHeight="1">
      <x:c r="B20" s="41" t="str">
        <x:v>Air</x:v>
      </x:c>
      <x:c r="C20" s="41" t="str">
        <x:v>Clean share</x:v>
      </x:c>
      <x:c r="D20" s="46" t="n">
        <x:v>0.24</x:v>
      </x:c>
      <x:c r="E20" s="41" t="str">
        <x:v>fraction</x:v>
      </x:c>
      <x:c r="F20" s="41" t="str">
        <x:v>ASSUMPTION</x:v>
      </x:c>
      <x:c r="G20" s="41"/>
      <x:c r="H20" s="41"/>
      <x:c r="I20" s="41"/>
      <x:c r="J20" s="41"/>
      <x:c r="K20" s="41"/>
      <x:c r="L20" s="41"/>
      <x:c r="M20" s="41"/>
    </x:row>
    <x:row r="21" ht="15" hidden="0" customHeight="1">
      <x:c r="B21" s="41" t="str">
        <x:v>Air</x:v>
      </x:c>
      <x:c r="C21" s="41" t="str">
        <x:v>Controlled share</x:v>
      </x:c>
      <x:c r="D21" s="46" t="n">
        <x:v>0.56</x:v>
      </x:c>
      <x:c r="E21" s="41" t="str">
        <x:v>fraction</x:v>
      </x:c>
      <x:c r="F21" s="41" t="str">
        <x:v>ASSUMPTION</x:v>
      </x:c>
      <x:c r="G21" s="41"/>
      <x:c r="H21" s="41"/>
      <x:c r="I21" s="41"/>
      <x:c r="J21" s="41"/>
      <x:c r="K21" s="41"/>
      <x:c r="L21" s="41"/>
      <x:c r="M21" s="41"/>
    </x:row>
    <x:row r="22" ht="15" hidden="0" customHeight="1">
      <x:c r="B22" s="41" t="str">
        <x:v>Air</x:v>
      </x:c>
      <x:c r="C22" s="41" t="str">
        <x:v>High-infection contaminated share</x:v>
      </x:c>
      <x:c r="D22" s="46" t="n">
        <x:v>0.3</x:v>
      </x:c>
      <x:c r="E22" s="41" t="str">
        <x:v>fraction</x:v>
      </x:c>
      <x:c r="F22" s="41" t="str">
        <x:v>ASSUMPTION</x:v>
      </x:c>
      <x:c r="G22" s="41"/>
      <x:c r="H22" s="41"/>
      <x:c r="I22" s="41"/>
      <x:c r="J22" s="41"/>
      <x:c r="K22" s="41"/>
      <x:c r="L22" s="41"/>
      <x:c r="M22" s="41"/>
    </x:row>
    <x:row r="23" ht="15" hidden="0" customHeight="1">
      <x:c r="B23" s="41" t="str">
        <x:v>Air</x:v>
      </x:c>
      <x:c r="C23" s="41" t="str">
        <x:v>Clean ACH</x:v>
      </x:c>
      <x:c r="D23" s="45" t="n">
        <x:v>6</x:v>
      </x:c>
      <x:c r="E23" s="41" t="str">
        <x:v>ACH</x:v>
      </x:c>
      <x:c r="F23" s="41" t="str">
        <x:v>ASSUMPTION</x:v>
      </x:c>
      <x:c r="G23" s="41"/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Air</x:v>
      </x:c>
      <x:c r="C24" s="41" t="str">
        <x:v>Controlled ACH</x:v>
      </x:c>
      <x:c r="D24" s="45" t="n">
        <x:v>8</x:v>
      </x:c>
      <x:c r="E24" s="41" t="str">
        <x:v>ACH</x:v>
      </x:c>
      <x:c r="F24" s="41" t="str">
        <x:v>ASSUMPTION</x:v>
      </x:c>
      <x:c r="G24" s="41"/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Air</x:v>
      </x:c>
      <x:c r="C25" s="41" t="str">
        <x:v>High-infection ACH</x:v>
      </x:c>
      <x:c r="D25" s="45" t="n">
        <x:v>15</x:v>
      </x:c>
      <x:c r="E25" s="41" t="str">
        <x:v>ACH</x:v>
      </x:c>
      <x:c r="F25" s="41" t="str">
        <x:v>ASSUMPTION</x:v>
      </x:c>
      <x:c r="G25" s="41"/>
      <x:c r="H25" s="41"/>
      <x:c r="I25" s="41"/>
      <x:c r="J25" s="41"/>
      <x:c r="K25" s="41"/>
      <x:c r="L25" s="41"/>
      <x:c r="M25" s="41"/>
    </x:row>
    <x:row r="26" ht="15" hidden="0" customHeight="1">
      <x:c r="B26" s="41" t="str">
        <x:v>Root A air</x:v>
      </x:c>
      <x:c r="C26" s="41" t="str">
        <x:v>Clean train count</x:v>
      </x:c>
      <x:c r="D26" s="45" t="n">
        <x:v>2</x:v>
      </x:c>
      <x:c r="E26" s="41" t="str">
        <x:v>trains</x:v>
      </x:c>
      <x:c r="F26" s="41" t="str">
        <x:v>DESIGN</x:v>
      </x:c>
      <x:c r="G26" s="41"/>
      <x:c r="H26" s="41"/>
      <x:c r="I26" s="41"/>
      <x:c r="J26" s="41"/>
      <x:c r="K26" s="41"/>
      <x:c r="L26" s="41"/>
      <x:c r="M26" s="41"/>
    </x:row>
    <x:row r="27" ht="15" hidden="0" customHeight="1">
      <x:c r="B27" s="41" t="str">
        <x:v>Root A air</x:v>
      </x:c>
      <x:c r="C27" s="41" t="str">
        <x:v>Clean train capacity</x:v>
      </x:c>
      <x:c r="D27" s="45" t="n">
        <x:v>130000</x:v>
      </x:c>
      <x:c r="E27" s="41" t="str">
        <x:v>m3/h</x:v>
      </x:c>
      <x:c r="F27" s="41" t="str">
        <x:v>DESIGN</x:v>
      </x:c>
      <x:c r="G27" s="41"/>
      <x:c r="H27" s="41"/>
      <x:c r="I27" s="41"/>
      <x:c r="J27" s="41"/>
      <x:c r="K27" s="41"/>
      <x:c r="L27" s="41"/>
      <x:c r="M27" s="41"/>
    </x:row>
    <x:row r="28" ht="15" hidden="0" customHeight="1">
      <x:c r="B28" s="41" t="str">
        <x:v>Root A air</x:v>
      </x:c>
      <x:c r="C28" s="41" t="str">
        <x:v>Controlled train count</x:v>
      </x:c>
      <x:c r="D28" s="45" t="n">
        <x:v>4</x:v>
      </x:c>
      <x:c r="E28" s="41" t="str">
        <x:v>trains</x:v>
      </x:c>
      <x:c r="F28" s="41" t="str">
        <x:v>DESIGN</x:v>
      </x:c>
      <x:c r="G28" s="41"/>
      <x:c r="H28" s="41"/>
      <x:c r="I28" s="41"/>
      <x:c r="J28" s="41"/>
      <x:c r="K28" s="41"/>
      <x:c r="L28" s="41"/>
      <x:c r="M28" s="41"/>
    </x:row>
    <x:row r="29" ht="15" hidden="0" customHeight="1">
      <x:c r="B29" s="41" t="str">
        <x:v>Root A air</x:v>
      </x:c>
      <x:c r="C29" s="41" t="str">
        <x:v>Controlled train capacity</x:v>
      </x:c>
      <x:c r="D29" s="45" t="n">
        <x:v>130000</x:v>
      </x:c>
      <x:c r="E29" s="41" t="str">
        <x:v>m3/h</x:v>
      </x:c>
      <x:c r="F29" s="41" t="str">
        <x:v>DESIGN</x:v>
      </x:c>
      <x:c r="G29" s="41"/>
      <x:c r="H29" s="41"/>
      <x:c r="I29" s="41"/>
      <x:c r="J29" s="41"/>
      <x:c r="K29" s="41"/>
      <x:c r="L29" s="41"/>
      <x:c r="M29" s="41"/>
    </x:row>
    <x:row r="30" ht="15" hidden="0" customHeight="1">
      <x:c r="B30" s="41" t="str">
        <x:v>Root A air</x:v>
      </x:c>
      <x:c r="C30" s="41" t="str">
        <x:v>Contaminated train count</x:v>
      </x:c>
      <x:c r="D30" s="45" t="n">
        <x:v>4</x:v>
      </x:c>
      <x:c r="E30" s="41" t="str">
        <x:v>trains</x:v>
      </x:c>
      <x:c r="F30" s="41" t="str">
        <x:v>DESIGN</x:v>
      </x:c>
      <x:c r="G30" s="41"/>
      <x:c r="H30" s="41"/>
      <x:c r="I30" s="41"/>
      <x:c r="J30" s="41"/>
      <x:c r="K30" s="41"/>
      <x:c r="L30" s="41"/>
      <x:c r="M30" s="41"/>
    </x:row>
    <x:row r="31" ht="15" hidden="0" customHeight="1">
      <x:c r="B31" s="41" t="str">
        <x:v>Root A air</x:v>
      </x:c>
      <x:c r="C31" s="41" t="str">
        <x:v>Contaminated train capacity</x:v>
      </x:c>
      <x:c r="D31" s="45" t="n">
        <x:v>130000</x:v>
      </x:c>
      <x:c r="E31" s="41" t="str">
        <x:v>m3/h</x:v>
      </x:c>
      <x:c r="F31" s="41" t="str">
        <x:v>DESIGN</x:v>
      </x:c>
      <x:c r="G31" s="41"/>
      <x:c r="H31" s="41"/>
      <x:c r="I31" s="41"/>
      <x:c r="J31" s="41"/>
      <x:c r="K31" s="41"/>
      <x:c r="L31" s="41"/>
      <x:c r="M31" s="41"/>
    </x:row>
    <x:row r="32" ht="15" hidden="0" customHeight="1">
      <x:c r="B32" s="41" t="str">
        <x:v>Root B air</x:v>
      </x:c>
      <x:c r="C32" s="41" t="str">
        <x:v>Clean cassette count</x:v>
      </x:c>
      <x:c r="D32" s="45" t="n">
        <x:v>4</x:v>
      </x:c>
      <x:c r="E32" s="41" t="str">
        <x:v>cassettes</x:v>
      </x:c>
      <x:c r="F32" s="41" t="str">
        <x:v>DESIGN</x:v>
      </x:c>
      <x:c r="G32" s="41"/>
      <x:c r="H32" s="41"/>
      <x:c r="I32" s="41"/>
      <x:c r="J32" s="41"/>
      <x:c r="K32" s="41"/>
      <x:c r="L32" s="41"/>
      <x:c r="M32" s="41"/>
    </x:row>
    <x:row r="33" ht="15" hidden="0" customHeight="1">
      <x:c r="B33" s="41" t="str">
        <x:v>Root B air</x:v>
      </x:c>
      <x:c r="C33" s="41" t="str">
        <x:v>Clean cassette capacity</x:v>
      </x:c>
      <x:c r="D33" s="45" t="n">
        <x:v>60000</x:v>
      </x:c>
      <x:c r="E33" s="41" t="str">
        <x:v>m3/h</x:v>
      </x:c>
      <x:c r="F33" s="41" t="str">
        <x:v>DESIGN</x:v>
      </x:c>
      <x:c r="G33" s="41"/>
      <x:c r="H33" s="41"/>
      <x:c r="I33" s="41"/>
      <x:c r="J33" s="41"/>
      <x:c r="K33" s="41"/>
      <x:c r="L33" s="41"/>
      <x:c r="M33" s="41"/>
    </x:row>
    <x:row r="34" ht="15" hidden="0" customHeight="1">
      <x:c r="B34" s="41" t="str">
        <x:v>Root B air</x:v>
      </x:c>
      <x:c r="C34" s="41" t="str">
        <x:v>Controlled cassette count</x:v>
      </x:c>
      <x:c r="D34" s="45" t="n">
        <x:v>8</x:v>
      </x:c>
      <x:c r="E34" s="41" t="str">
        <x:v>cassettes</x:v>
      </x:c>
      <x:c r="F34" s="41" t="str">
        <x:v>DESIGN</x:v>
      </x:c>
      <x:c r="G34" s="41"/>
      <x:c r="H34" s="41"/>
      <x:c r="I34" s="41"/>
      <x:c r="J34" s="41"/>
      <x:c r="K34" s="41"/>
      <x:c r="L34" s="41"/>
      <x:c r="M34" s="41"/>
    </x:row>
    <x:row r="35" ht="15" hidden="0" customHeight="1">
      <x:c r="B35" s="41" t="str">
        <x:v>Root B air</x:v>
      </x:c>
      <x:c r="C35" s="41" t="str">
        <x:v>Controlled cassette capacity</x:v>
      </x:c>
      <x:c r="D35" s="45" t="n">
        <x:v>60000</x:v>
      </x:c>
      <x:c r="E35" s="41" t="str">
        <x:v>m3/h</x:v>
      </x:c>
      <x:c r="F35" s="41" t="str">
        <x:v>DESIGN</x:v>
      </x:c>
      <x:c r="G35" s="41"/>
      <x:c r="H35" s="41"/>
      <x:c r="I35" s="41"/>
      <x:c r="J35" s="41"/>
      <x:c r="K35" s="41"/>
      <x:c r="L35" s="41"/>
      <x:c r="M35" s="41"/>
    </x:row>
    <x:row r="36" ht="15" hidden="0" customHeight="1">
      <x:c r="B36" s="41" t="str">
        <x:v>Root B air</x:v>
      </x:c>
      <x:c r="C36" s="41" t="str">
        <x:v>Contaminated cassette count</x:v>
      </x:c>
      <x:c r="D36" s="45" t="n">
        <x:v>6</x:v>
      </x:c>
      <x:c r="E36" s="41" t="str">
        <x:v>cassettes</x:v>
      </x:c>
      <x:c r="F36" s="41" t="str">
        <x:v>DESIGN</x:v>
      </x:c>
      <x:c r="G36" s="41"/>
      <x:c r="H36" s="41"/>
      <x:c r="I36" s="41"/>
      <x:c r="J36" s="41"/>
      <x:c r="K36" s="41"/>
      <x:c r="L36" s="41"/>
      <x:c r="M36" s="41"/>
    </x:row>
    <x:row r="37" ht="15" hidden="0" customHeight="1">
      <x:c r="B37" s="41" t="str">
        <x:v>Root B air</x:v>
      </x:c>
      <x:c r="C37" s="41" t="str">
        <x:v>Contaminated cassette capacity</x:v>
      </x:c>
      <x:c r="D37" s="45" t="n">
        <x:v>80000</x:v>
      </x:c>
      <x:c r="E37" s="41" t="str">
        <x:v>m3/h</x:v>
      </x:c>
      <x:c r="F37" s="41" t="str">
        <x:v>DESIGN</x:v>
      </x:c>
      <x:c r="G37" s="41"/>
      <x:c r="H37" s="41"/>
      <x:c r="I37" s="41"/>
      <x:c r="J37" s="41"/>
      <x:c r="K37" s="41"/>
      <x:c r="L37" s="41"/>
      <x:c r="M37" s="41"/>
    </x:row>
    <x:row r="38" ht="15" hidden="0" customHeight="1">
      <x:c r="B38" s="41" t="str">
        <x:v>Power</x:v>
      </x:c>
      <x:c r="C38" s="41" t="str">
        <x:v>Care direct MW / island</x:v>
      </x:c>
      <x:c r="D38" s="45" t="n">
        <x:v>1.6702</x:v>
      </x:c>
      <x:c r="E38" s="41" t="str">
        <x:v>MW</x:v>
      </x:c>
      <x:c r="F38" s="41" t="str">
        <x:v>DERIVED</x:v>
      </x:c>
      <x:c r="G38" s="41"/>
      <x:c r="H38" s="41"/>
      <x:c r="I38" s="41"/>
      <x:c r="J38" s="41"/>
      <x:c r="K38" s="41"/>
      <x:c r="L38" s="41"/>
      <x:c r="M38" s="41"/>
    </x:row>
    <x:row r="39" ht="15" hidden="0" customHeight="1">
      <x:c r="B39" s="41" t="str">
        <x:v>Power</x:v>
      </x:c>
      <x:c r="C39" s="41" t="str">
        <x:v>Root A local support</x:v>
      </x:c>
      <x:c r="D39" s="45" t="n">
        <x:v>2.55</x:v>
      </x:c>
      <x:c r="E39" s="41" t="str">
        <x:v>MW</x:v>
      </x:c>
      <x:c r="F39" s="41" t="str">
        <x:v>DESIGN</x:v>
      </x:c>
      <x:c r="G39" s="41"/>
      <x:c r="H39" s="41"/>
      <x:c r="I39" s="41"/>
      <x:c r="J39" s="41"/>
      <x:c r="K39" s="41"/>
      <x:c r="L39" s="41"/>
      <x:c r="M39" s="41"/>
    </x:row>
    <x:row r="40" ht="15" hidden="0" customHeight="1">
      <x:c r="B40" s="41" t="str">
        <x:v>Power</x:v>
      </x:c>
      <x:c r="C40" s="41" t="str">
        <x:v>Root B local support</x:v>
      </x:c>
      <x:c r="D40" s="45" t="n">
        <x:v>2.75</x:v>
      </x:c>
      <x:c r="E40" s="41" t="str">
        <x:v>MW</x:v>
      </x:c>
      <x:c r="F40" s="41" t="str">
        <x:v>DESIGN</x:v>
      </x:c>
      <x:c r="G40" s="41"/>
      <x:c r="H40" s="41"/>
      <x:c r="I40" s="41"/>
      <x:c r="J40" s="41"/>
      <x:c r="K40" s="41"/>
      <x:c r="L40" s="41"/>
      <x:c r="M40" s="41"/>
    </x:row>
    <x:row r="41" ht="15" hidden="0" customHeight="1">
      <x:c r="B41" s="41" t="str">
        <x:v>Power</x:v>
      </x:c>
      <x:c r="C41" s="41" t="str">
        <x:v>Common support</x:v>
      </x:c>
      <x:c r="D41" s="45" t="n">
        <x:v>1.75</x:v>
      </x:c>
      <x:c r="E41" s="41" t="str">
        <x:v>MW</x:v>
      </x:c>
      <x:c r="F41" s="41" t="str">
        <x:v>INHERITED</x:v>
      </x:c>
      <x:c r="G41" s="41"/>
      <x:c r="H41" s="41"/>
      <x:c r="I41" s="41"/>
      <x:c r="J41" s="41"/>
      <x:c r="K41" s="41"/>
      <x:c r="L41" s="41"/>
      <x:c r="M41" s="41"/>
    </x:row>
    <x:row r="42" ht="15" hidden="0" customHeight="1">
      <x:c r="B42" s="41" t="str">
        <x:v>Power</x:v>
      </x:c>
      <x:c r="C42" s="41" t="str">
        <x:v>Root A ready standby</x:v>
      </x:c>
      <x:c r="D42" s="45" t="n">
        <x:v>0.8</x:v>
      </x:c>
      <x:c r="E42" s="41" t="str">
        <x:v>MW</x:v>
      </x:c>
      <x:c r="F42" s="41" t="str">
        <x:v>DESIGN</x:v>
      </x:c>
      <x:c r="G42" s="41"/>
      <x:c r="H42" s="41"/>
      <x:c r="I42" s="41"/>
      <x:c r="J42" s="41"/>
      <x:c r="K42" s="41"/>
      <x:c r="L42" s="41"/>
      <x:c r="M42" s="41"/>
    </x:row>
    <x:row r="43" ht="15" hidden="0" customHeight="1">
      <x:c r="B43" s="41" t="str">
        <x:v>Power</x:v>
      </x:c>
      <x:c r="C43" s="41" t="str">
        <x:v>Root B ready standby</x:v>
      </x:c>
      <x:c r="D43" s="45" t="n">
        <x:v>0.9</x:v>
      </x:c>
      <x:c r="E43" s="41" t="str">
        <x:v>MW</x:v>
      </x:c>
      <x:c r="F43" s="41" t="str">
        <x:v>DESIGN</x:v>
      </x:c>
      <x:c r="G43" s="41"/>
      <x:c r="H43" s="41"/>
      <x:c r="I43" s="41"/>
      <x:c r="J43" s="41"/>
      <x:c r="K43" s="41"/>
      <x:c r="L43" s="41"/>
      <x:c r="M43" s="41"/>
    </x:row>
    <x:row r="44" ht="15" hidden="0" customHeight="1">
      <x:c r="B44" s="41" t="str">
        <x:v>Power</x:v>
      </x:c>
      <x:c r="C44" s="41" t="str">
        <x:v>Peak factor</x:v>
      </x:c>
      <x:c r="D44" s="45" t="n">
        <x:v>1.15</x:v>
      </x:c>
      <x:c r="E44" s="41" t="str">
        <x:v>multiple</x:v>
      </x:c>
      <x:c r="F44" s="41" t="str">
        <x:v>INHERITED</x:v>
      </x:c>
      <x:c r="G44" s="41"/>
      <x:c r="H44" s="41"/>
      <x:c r="I44" s="41"/>
      <x:c r="J44" s="41"/>
      <x:c r="K44" s="41"/>
      <x:c r="L44" s="41"/>
      <x:c r="M44" s="41"/>
    </x:row>
    <x:row r="45" ht="15" hidden="0" customHeight="1">
      <x:c r="B45" s="41" t="str">
        <x:v>Power</x:v>
      </x:c>
      <x:c r="C45" s="41" t="str">
        <x:v>SPC continuous rating</x:v>
      </x:c>
      <x:c r="D45" s="45" t="n">
        <x:v>5</x:v>
      </x:c>
      <x:c r="E45" s="41" t="str">
        <x:v>MW</x:v>
      </x:c>
      <x:c r="F45" s="41" t="str">
        <x:v>INHERITED</x:v>
      </x:c>
      <x:c r="G45" s="41"/>
      <x:c r="H45" s="41"/>
      <x:c r="I45" s="41"/>
      <x:c r="J45" s="41"/>
      <x:c r="K45" s="41"/>
      <x:c r="L45" s="41"/>
      <x:c r="M45" s="41"/>
    </x:row>
    <x:row r="46" ht="15" hidden="0" customHeight="1">
      <x:c r="B46" s="41" t="str">
        <x:v>Power</x:v>
      </x:c>
      <x:c r="C46" s="41" t="str">
        <x:v>SPC peak rating</x:v>
      </x:c>
      <x:c r="D46" s="45" t="n">
        <x:v>7</x:v>
      </x:c>
      <x:c r="E46" s="41" t="str">
        <x:v>MW</x:v>
      </x:c>
      <x:c r="F46" s="41" t="str">
        <x:v>INHERITED</x:v>
      </x:c>
      <x:c r="G46" s="41"/>
      <x:c r="H46" s="41"/>
      <x:c r="I46" s="41"/>
      <x:c r="J46" s="41"/>
      <x:c r="K46" s="41"/>
      <x:c r="L46" s="41"/>
      <x:c r="M46" s="41"/>
    </x:row>
    <x:row r="47" ht="15" hidden="0" customHeight="1">
      <x:c r="B47" s="41" t="str">
        <x:v>Power</x:v>
      </x:c>
      <x:c r="C47" s="41" t="str">
        <x:v>SPC availability</x:v>
      </x:c>
      <x:c r="D47" s="46" t="n">
        <x:v>0.9</x:v>
      </x:c>
      <x:c r="E47" s="41" t="str">
        <x:v>fraction</x:v>
      </x:c>
      <x:c r="F47" s="41" t="str">
        <x:v>INHERITED</x:v>
      </x:c>
      <x:c r="G47" s="41"/>
      <x:c r="H47" s="41"/>
      <x:c r="I47" s="41"/>
      <x:c r="J47" s="41"/>
      <x:c r="K47" s="41"/>
      <x:c r="L47" s="41"/>
      <x:c r="M47" s="41"/>
    </x:row>
    <x:row r="48" ht="15" hidden="0" customHeight="1">
      <x:c r="B48" s="41" t="str">
        <x:v>Power</x:v>
      </x:c>
      <x:c r="C48" s="41" t="str">
        <x:v>Capacity reserve</x:v>
      </x:c>
      <x:c r="D48" s="46" t="n">
        <x:v>0.2</x:v>
      </x:c>
      <x:c r="E48" s="41" t="str">
        <x:v>fraction</x:v>
      </x:c>
      <x:c r="F48" s="41" t="str">
        <x:v>INHERITED</x:v>
      </x:c>
      <x:c r="G48" s="41"/>
      <x:c r="H48" s="41"/>
      <x:c r="I48" s="41"/>
      <x:c r="J48" s="41"/>
      <x:c r="K48" s="41"/>
      <x:c r="L48" s="41"/>
      <x:c r="M48" s="41"/>
    </x:row>
    <x:row r="49" ht="15" hidden="0" customHeight="1">
      <x:c r="B49" s="41" t="str">
        <x:v>Power</x:v>
      </x:c>
      <x:c r="C49" s="41" t="str">
        <x:v>Root A feeder count</x:v>
      </x:c>
      <x:c r="D49" s="45" t="n">
        <x:v>3</x:v>
      </x:c>
      <x:c r="E49" s="41" t="str">
        <x:v>trains</x:v>
      </x:c>
      <x:c r="F49" s="41" t="str">
        <x:v>DESIGN</x:v>
      </x:c>
      <x:c r="G49" s="41"/>
      <x:c r="H49" s="41"/>
      <x:c r="I49" s="41"/>
      <x:c r="J49" s="41"/>
      <x:c r="K49" s="41"/>
      <x:c r="L49" s="41"/>
      <x:c r="M49" s="41"/>
    </x:row>
    <x:row r="50" ht="15" hidden="0" customHeight="1">
      <x:c r="B50" s="41" t="str">
        <x:v>Power</x:v>
      </x:c>
      <x:c r="C50" s="41" t="str">
        <x:v>Root A feeder rating</x:v>
      </x:c>
      <x:c r="D50" s="45" t="n">
        <x:v>3</x:v>
      </x:c>
      <x:c r="E50" s="41" t="str">
        <x:v>MW</x:v>
      </x:c>
      <x:c r="F50" s="41" t="str">
        <x:v>DESIGN</x:v>
      </x:c>
      <x:c r="G50" s="41"/>
      <x:c r="H50" s="41"/>
      <x:c r="I50" s="41"/>
      <x:c r="J50" s="41"/>
      <x:c r="K50" s="41"/>
      <x:c r="L50" s="41"/>
      <x:c r="M50" s="41"/>
    </x:row>
    <x:row r="51" ht="15" hidden="0" customHeight="1">
      <x:c r="B51" s="41" t="str">
        <x:v>Power</x:v>
      </x:c>
      <x:c r="C51" s="41" t="str">
        <x:v>Root B feeder count</x:v>
      </x:c>
      <x:c r="D51" s="45" t="n">
        <x:v>4</x:v>
      </x:c>
      <x:c r="E51" s="41" t="str">
        <x:v>trains</x:v>
      </x:c>
      <x:c r="F51" s="41" t="str">
        <x:v>DESIGN</x:v>
      </x:c>
      <x:c r="G51" s="41"/>
      <x:c r="H51" s="41"/>
      <x:c r="I51" s="41"/>
      <x:c r="J51" s="41"/>
      <x:c r="K51" s="41"/>
      <x:c r="L51" s="41"/>
      <x:c r="M51" s="41"/>
    </x:row>
    <x:row r="52" ht="15" hidden="0" customHeight="1">
      <x:c r="B52" s="41" t="str">
        <x:v>Power</x:v>
      </x:c>
      <x:c r="C52" s="41" t="str">
        <x:v>Root B feeder rating</x:v>
      </x:c>
      <x:c r="D52" s="45" t="n">
        <x:v>2</x:v>
      </x:c>
      <x:c r="E52" s="41" t="str">
        <x:v>MW</x:v>
      </x:c>
      <x:c r="F52" s="41" t="str">
        <x:v>DESIGN</x:v>
      </x:c>
      <x:c r="G52" s="41"/>
      <x:c r="H52" s="41"/>
      <x:c r="I52" s="41"/>
      <x:c r="J52" s="41"/>
      <x:c r="K52" s="41"/>
      <x:c r="L52" s="41"/>
      <x:c r="M52" s="41"/>
    </x:row>
    <x:row r="53" ht="15" hidden="0" customHeight="1">
      <x:c r="B53" s="41" t="str">
        <x:v>No-break</x:v>
      </x:c>
      <x:c r="C53" s="41" t="str">
        <x:v>Care no-break / island</x:v>
      </x:c>
      <x:c r="D53" s="45" t="n">
        <x:v>1.2735</x:v>
      </x:c>
      <x:c r="E53" s="41" t="str">
        <x:v>MW</x:v>
      </x:c>
      <x:c r="F53" s="41" t="str">
        <x:v>DERIVED</x:v>
      </x:c>
      <x:c r="G53" s="41"/>
      <x:c r="H53" s="41"/>
      <x:c r="I53" s="41"/>
      <x:c r="J53" s="41"/>
      <x:c r="K53" s="41"/>
      <x:c r="L53" s="41"/>
      <x:c r="M53" s="41"/>
    </x:row>
    <x:row r="54" ht="15" hidden="0" customHeight="1">
      <x:c r="B54" s="41" t="str">
        <x:v>No-break</x:v>
      </x:c>
      <x:c r="C54" s="41" t="str">
        <x:v>Root A local no-break support</x:v>
      </x:c>
      <x:c r="D54" s="45" t="n">
        <x:v>1.15</x:v>
      </x:c>
      <x:c r="E54" s="41" t="str">
        <x:v>MW</x:v>
      </x:c>
      <x:c r="F54" s="41" t="str">
        <x:v>DESIGN</x:v>
      </x:c>
      <x:c r="G54" s="41"/>
      <x:c r="H54" s="41"/>
      <x:c r="I54" s="41"/>
      <x:c r="J54" s="41"/>
      <x:c r="K54" s="41"/>
      <x:c r="L54" s="41"/>
      <x:c r="M54" s="41"/>
    </x:row>
    <x:row r="55" ht="15" hidden="0" customHeight="1">
      <x:c r="B55" s="41" t="str">
        <x:v>No-break</x:v>
      </x:c>
      <x:c r="C55" s="41" t="str">
        <x:v>Root B local no-break support</x:v>
      </x:c>
      <x:c r="D55" s="45" t="n">
        <x:v>1.3</x:v>
      </x:c>
      <x:c r="E55" s="41" t="str">
        <x:v>MW</x:v>
      </x:c>
      <x:c r="F55" s="41" t="str">
        <x:v>DESIGN</x:v>
      </x:c>
      <x:c r="G55" s="41"/>
      <x:c r="H55" s="41"/>
      <x:c r="I55" s="41"/>
      <x:c r="J55" s="41"/>
      <x:c r="K55" s="41"/>
      <x:c r="L55" s="41"/>
      <x:c r="M55" s="41"/>
    </x:row>
    <x:row r="56" ht="15" hidden="0" customHeight="1">
      <x:c r="B56" s="41" t="str">
        <x:v>No-break</x:v>
      </x:c>
      <x:c r="C56" s="41" t="str">
        <x:v>Common no-break</x:v>
      </x:c>
      <x:c r="D56" s="45" t="n">
        <x:v>0.9</x:v>
      </x:c>
      <x:c r="E56" s="41" t="str">
        <x:v>MW</x:v>
      </x:c>
      <x:c r="F56" s="41" t="str">
        <x:v>INHERITED</x:v>
      </x:c>
      <x:c r="G56" s="41"/>
      <x:c r="H56" s="41"/>
      <x:c r="I56" s="41"/>
      <x:c r="J56" s="41"/>
      <x:c r="K56" s="41"/>
      <x:c r="L56" s="41"/>
      <x:c r="M56" s="41"/>
    </x:row>
    <x:row r="57" ht="15" hidden="0" customHeight="1">
      <x:c r="B57" s="41" t="str">
        <x:v>No-break</x:v>
      </x:c>
      <x:c r="C57" s="41" t="str">
        <x:v>Root A ready no-break</x:v>
      </x:c>
      <x:c r="D57" s="45" t="n">
        <x:v>0.3</x:v>
      </x:c>
      <x:c r="E57" s="41" t="str">
        <x:v>MW</x:v>
      </x:c>
      <x:c r="F57" s="41" t="str">
        <x:v>DESIGN</x:v>
      </x:c>
      <x:c r="G57" s="41"/>
      <x:c r="H57" s="41"/>
      <x:c r="I57" s="41"/>
      <x:c r="J57" s="41"/>
      <x:c r="K57" s="41"/>
      <x:c r="L57" s="41"/>
      <x:c r="M57" s="41"/>
    </x:row>
    <x:row r="58" ht="15" hidden="0" customHeight="1">
      <x:c r="B58" s="41" t="str">
        <x:v>No-break</x:v>
      </x:c>
      <x:c r="C58" s="41" t="str">
        <x:v>Root B ready no-break</x:v>
      </x:c>
      <x:c r="D58" s="45" t="n">
        <x:v>0.35</x:v>
      </x:c>
      <x:c r="E58" s="41" t="str">
        <x:v>MW</x:v>
      </x:c>
      <x:c r="F58" s="41" t="str">
        <x:v>DESIGN</x:v>
      </x:c>
      <x:c r="G58" s="41"/>
      <x:c r="H58" s="41"/>
      <x:c r="I58" s="41"/>
      <x:c r="J58" s="41"/>
      <x:c r="K58" s="41"/>
      <x:c r="L58" s="41"/>
      <x:c r="M58" s="41"/>
    </x:row>
    <x:row r="59" ht="15" hidden="0" customHeight="1">
      <x:c r="B59" s="41" t="str">
        <x:v>No-break</x:v>
      </x:c>
      <x:c r="C59" s="41" t="str">
        <x:v>Formation duration</x:v>
      </x:c>
      <x:c r="D59" s="45" t="n">
        <x:v>0.5</x:v>
      </x:c>
      <x:c r="E59" s="41" t="str">
        <x:v>hours</x:v>
      </x:c>
      <x:c r="F59" s="41" t="str">
        <x:v>INHERITED</x:v>
      </x:c>
      <x:c r="G59" s="41"/>
      <x:c r="H59" s="41"/>
      <x:c r="I59" s="41"/>
      <x:c r="J59" s="41"/>
      <x:c r="K59" s="41"/>
      <x:c r="L59" s="41"/>
      <x:c r="M59" s="41"/>
    </x:row>
    <x:row r="60" ht="15" hidden="0" customHeight="1">
      <x:c r="B60" s="41" t="str">
        <x:v>No-break</x:v>
      </x:c>
      <x:c r="C60" s="41" t="str">
        <x:v>Local transfer duration</x:v>
      </x:c>
      <x:c r="D60" s="45" t="n">
        <x:v>0.0833333333333333</x:v>
      </x:c>
      <x:c r="E60" s="41" t="str">
        <x:v>hours</x:v>
      </x:c>
      <x:c r="F60" s="41" t="str">
        <x:v>ASSUMPTION</x:v>
      </x:c>
      <x:c r="G60" s="41"/>
      <x:c r="H60" s="41"/>
      <x:c r="I60" s="41"/>
      <x:c r="J60" s="41"/>
      <x:c r="K60" s="41"/>
      <x:c r="L60" s="41"/>
      <x:c r="M60" s="41"/>
    </x:row>
    <x:row r="61" ht="15" hidden="0" customHeight="1">
      <x:c r="B61" s="41" t="str">
        <x:v>No-break</x:v>
      </x:c>
      <x:c r="C61" s="41" t="str">
        <x:v>Energy reserve</x:v>
      </x:c>
      <x:c r="D61" s="46" t="n">
        <x:v>0.2</x:v>
      </x:c>
      <x:c r="E61" s="41" t="str">
        <x:v>fraction</x:v>
      </x:c>
      <x:c r="F61" s="41" t="str">
        <x:v>INHERITED</x:v>
      </x:c>
      <x:c r="G61" s="41"/>
      <x:c r="H61" s="41"/>
      <x:c r="I61" s="41"/>
      <x:c r="J61" s="41"/>
      <x:c r="K61" s="41"/>
      <x:c r="L61" s="41"/>
      <x:c r="M61" s="41"/>
    </x:row>
    <x:row r="62" ht="15" hidden="0" customHeight="1">
      <x:c r="B62" s="41" t="str">
        <x:v>No-break</x:v>
      </x:c>
      <x:c r="C62" s="41" t="str">
        <x:v>Usable fraction</x:v>
      </x:c>
      <x:c r="D62" s="46" t="n">
        <x:v>0.8</x:v>
      </x:c>
      <x:c r="E62" s="41" t="str">
        <x:v>fraction</x:v>
      </x:c>
      <x:c r="F62" s="41" t="str">
        <x:v>INHERITED</x:v>
      </x:c>
      <x:c r="G62" s="41"/>
      <x:c r="H62" s="41"/>
      <x:c r="I62" s="41"/>
      <x:c r="J62" s="41"/>
      <x:c r="K62" s="41"/>
      <x:c r="L62" s="41"/>
      <x:c r="M62" s="41"/>
    </x:row>
    <x:row r="63" ht="15" hidden="0" customHeight="1">
      <x:c r="B63" s="41" t="str">
        <x:v>No-break</x:v>
      </x:c>
      <x:c r="C63" s="41" t="str">
        <x:v>Delivery efficiency</x:v>
      </x:c>
      <x:c r="D63" s="46" t="n">
        <x:v>0.92</x:v>
      </x:c>
      <x:c r="E63" s="41" t="str">
        <x:v>fraction</x:v>
      </x:c>
      <x:c r="F63" s="41" t="str">
        <x:v>INHERITED</x:v>
      </x:c>
      <x:c r="G63" s="41"/>
      <x:c r="H63" s="41"/>
      <x:c r="I63" s="41"/>
      <x:c r="J63" s="41"/>
      <x:c r="K63" s="41"/>
      <x:c r="L63" s="41"/>
      <x:c r="M63" s="41"/>
    </x:row>
    <x:row r="64" ht="15" hidden="0" customHeight="1">
      <x:c r="B64" s="41" t="str">
        <x:v>No-break</x:v>
      </x:c>
      <x:c r="C64" s="41" t="str">
        <x:v>BSS power rating</x:v>
      </x:c>
      <x:c r="D64" s="45" t="n">
        <x:v>10</x:v>
      </x:c>
      <x:c r="E64" s="41" t="str">
        <x:v>MW</x:v>
      </x:c>
      <x:c r="F64" s="41" t="str">
        <x:v>INHERITED</x:v>
      </x:c>
      <x:c r="G64" s="41"/>
      <x:c r="H64" s="41"/>
      <x:c r="I64" s="41"/>
      <x:c r="J64" s="41"/>
      <x:c r="K64" s="41"/>
      <x:c r="L64" s="41"/>
      <x:c r="M64" s="41"/>
    </x:row>
    <x:row r="65" ht="15" hidden="0" customHeight="1">
      <x:c r="B65" s="41" t="str">
        <x:v>No-break</x:v>
      </x:c>
      <x:c r="C65" s="41" t="str">
        <x:v>BSS energy rating</x:v>
      </x:c>
      <x:c r="D65" s="45" t="n">
        <x:v>5</x:v>
      </x:c>
      <x:c r="E65" s="41" t="str">
        <x:v>MWh</x:v>
      </x:c>
      <x:c r="F65" s="41" t="str">
        <x:v>INHERITED</x:v>
      </x:c>
      <x:c r="G65" s="41"/>
      <x:c r="H65" s="41"/>
      <x:c r="I65" s="41"/>
      <x:c r="J65" s="41"/>
      <x:c r="K65" s="41"/>
      <x:c r="L65" s="41"/>
      <x:c r="M65" s="41"/>
    </x:row>
    <x:row r="66" ht="15" hidden="0" customHeight="1">
      <x:c r="B66" s="41" t="str">
        <x:v>No-break</x:v>
      </x:c>
      <x:c r="C66" s="41" t="str">
        <x:v>Root A pod count</x:v>
      </x:c>
      <x:c r="D66" s="45" t="n">
        <x:v>3</x:v>
      </x:c>
      <x:c r="E66" s="41" t="str">
        <x:v>pods</x:v>
      </x:c>
      <x:c r="F66" s="41" t="str">
        <x:v>DESIGN</x:v>
      </x:c>
      <x:c r="G66" s="41"/>
      <x:c r="H66" s="41"/>
      <x:c r="I66" s="41"/>
      <x:c r="J66" s="41"/>
      <x:c r="K66" s="41"/>
      <x:c r="L66" s="41"/>
      <x:c r="M66" s="41"/>
    </x:row>
    <x:row r="67" ht="15" hidden="0" customHeight="1">
      <x:c r="B67" s="41" t="str">
        <x:v>No-break</x:v>
      </x:c>
      <x:c r="C67" s="41" t="str">
        <x:v>Root A pod energy</x:v>
      </x:c>
      <x:c r="D67" s="45" t="n">
        <x:v>0.25</x:v>
      </x:c>
      <x:c r="E67" s="41" t="str">
        <x:v>MWh</x:v>
      </x:c>
      <x:c r="F67" s="41" t="str">
        <x:v>DESIGN</x:v>
      </x:c>
      <x:c r="G67" s="41"/>
      <x:c r="H67" s="41"/>
      <x:c r="I67" s="41"/>
      <x:c r="J67" s="41"/>
      <x:c r="K67" s="41"/>
      <x:c r="L67" s="41"/>
      <x:c r="M67" s="41"/>
    </x:row>
    <x:row r="68" ht="15" hidden="0" customHeight="1">
      <x:c r="B68" s="41" t="str">
        <x:v>No-break</x:v>
      </x:c>
      <x:c r="C68" s="41" t="str">
        <x:v>Root B pod count</x:v>
      </x:c>
      <x:c r="D68" s="45" t="n">
        <x:v>5</x:v>
      </x:c>
      <x:c r="E68" s="41" t="str">
        <x:v>pods</x:v>
      </x:c>
      <x:c r="F68" s="41" t="str">
        <x:v>DESIGN</x:v>
      </x:c>
      <x:c r="G68" s="41"/>
      <x:c r="H68" s="41"/>
      <x:c r="I68" s="41"/>
      <x:c r="J68" s="41"/>
      <x:c r="K68" s="41"/>
      <x:c r="L68" s="41"/>
      <x:c r="M68" s="41"/>
    </x:row>
    <x:row r="69" ht="15" hidden="0" customHeight="1">
      <x:c r="B69" s="41" t="str">
        <x:v>No-break</x:v>
      </x:c>
      <x:c r="C69" s="41" t="str">
        <x:v>Root B pod energy</x:v>
      </x:c>
      <x:c r="D69" s="45" t="n">
        <x:v>0.1</x:v>
      </x:c>
      <x:c r="E69" s="41" t="str">
        <x:v>MWh</x:v>
      </x:c>
      <x:c r="F69" s="41" t="str">
        <x:v>DESIGN</x:v>
      </x:c>
      <x:c r="G69" s="41"/>
      <x:c r="H69" s="41"/>
      <x:c r="I69" s="41"/>
      <x:c r="J69" s="41"/>
      <x:c r="K69" s="41"/>
      <x:c r="L69" s="41"/>
      <x:c r="M69" s="41"/>
    </x:row>
    <x:row r="70" ht="15" hidden="0" customHeight="1">
      <x:c r="B70" s="41" t="str">
        <x:v>Formation</x:v>
      </x:c>
      <x:c r="C70" s="41" t="str">
        <x:v>Prior HCSG articles</x:v>
      </x:c>
      <x:c r="D70" s="45" t="n">
        <x:v>146</x:v>
      </x:c>
      <x:c r="E70" s="41" t="str">
        <x:v>top-level articles</x:v>
      </x:c>
      <x:c r="F70" s="41" t="str">
        <x:v>RCA-1</x:v>
      </x:c>
      <x:c r="G70" s="41"/>
      <x:c r="H70" s="41"/>
      <x:c r="I70" s="41"/>
      <x:c r="J70" s="41"/>
      <x:c r="K70" s="41"/>
      <x:c r="L70" s="41"/>
      <x:c r="M70" s="41"/>
    </x:row>
    <x:row r="71" ht="15" hidden="0" customHeight="1">
      <x:c r="B71" s="41" t="str">
        <x:v>Formation</x:v>
      </x:c>
      <x:c r="C71" s="41" t="str">
        <x:v>Prior HCSG mass</x:v>
      </x:c>
      <x:c r="D71" s="45" t="n">
        <x:v>33377</x:v>
      </x:c>
      <x:c r="E71" s="41" t="str">
        <x:v>t</x:v>
      </x:c>
      <x:c r="F71" s="41" t="str">
        <x:v>RCA-1</x:v>
      </x:c>
      <x:c r="G71" s="41"/>
      <x:c r="H71" s="41"/>
      <x:c r="I71" s="41"/>
      <x:c r="J71" s="41"/>
      <x:c r="K71" s="41"/>
      <x:c r="L71" s="41"/>
      <x:c r="M71" s="41"/>
    </x:row>
    <x:row r="72" ht="15" hidden="0" customHeight="1">
      <x:c r="B72" s="41" t="str">
        <x:v>Formation</x:v>
      </x:c>
      <x:c r="C72" s="41" t="str">
        <x:v>Prior HCSG capital</x:v>
      </x:c>
      <x:c r="D72" s="45" t="n">
        <x:v>30697</x:v>
      </x:c>
      <x:c r="E72" s="41" t="str">
        <x:v>USD m</x:v>
      </x:c>
      <x:c r="F72" s="41" t="str">
        <x:v>RCA-1</x:v>
      </x:c>
      <x:c r="G72" s="41"/>
      <x:c r="H72" s="41"/>
      <x:c r="I72" s="41"/>
      <x:c r="J72" s="41"/>
      <x:c r="K72" s="41"/>
      <x:c r="L72" s="41"/>
      <x:c r="M72" s="41"/>
    </x:row>
    <x:row r="73" ht="15" hidden="0" customHeight="1">
      <x:c r="B73" s="41" t="str">
        <x:v>Formation</x:v>
      </x:c>
      <x:c r="C73" s="41" t="str">
        <x:v>Prior CSI mass</x:v>
      </x:c>
      <x:c r="D73" s="45" t="n">
        <x:v>2803</x:v>
      </x:c>
      <x:c r="E73" s="41" t="str">
        <x:v>t</x:v>
      </x:c>
      <x:c r="F73" s="41" t="str">
        <x:v>RCA-1</x:v>
      </x:c>
      <x:c r="G73" s="41"/>
      <x:c r="H73" s="41"/>
      <x:c r="I73" s="41"/>
      <x:c r="J73" s="41"/>
      <x:c r="K73" s="41"/>
      <x:c r="L73" s="41"/>
      <x:c r="M73" s="41"/>
    </x:row>
    <x:row r="74" ht="15" hidden="0" customHeight="1">
      <x:c r="B74" s="41" t="str">
        <x:v>Formation</x:v>
      </x:c>
      <x:c r="C74" s="41" t="str">
        <x:v>Prior CSI capital</x:v>
      </x:c>
      <x:c r="D74" s="45" t="n">
        <x:v>3284</x:v>
      </x:c>
      <x:c r="E74" s="41" t="str">
        <x:v>USD m</x:v>
      </x:c>
      <x:c r="F74" s="41" t="str">
        <x:v>RCA-1</x:v>
      </x:c>
      <x:c r="G74" s="41"/>
      <x:c r="H74" s="41"/>
      <x:c r="I74" s="41"/>
      <x:c r="J74" s="41"/>
      <x:c r="K74" s="41"/>
      <x:c r="L74" s="41"/>
      <x:c r="M74" s="41"/>
    </x:row>
    <x:row r="75" ht="15" hidden="0" customHeight="1">
      <x:c r="B75" s="41" t="str">
        <x:v>Transport</x:v>
      </x:c>
      <x:c r="C75" s="41" t="str">
        <x:v>Packaging factor</x:v>
      </x:c>
      <x:c r="D75" s="45" t="n">
        <x:v>1.12</x:v>
      </x:c>
      <x:c r="E75" s="41" t="str">
        <x:v>multiple</x:v>
      </x:c>
      <x:c r="F75" s="41" t="str">
        <x:v>ASSUMPTION</x:v>
      </x:c>
      <x:c r="G75" s="41"/>
      <x:c r="H75" s="41"/>
      <x:c r="I75" s="41"/>
      <x:c r="J75" s="41"/>
      <x:c r="K75" s="41"/>
      <x:c r="L75" s="41"/>
      <x:c r="M75" s="41"/>
    </x:row>
    <x:row r="76" ht="15" hidden="0" customHeight="1">
      <x:c r="B76" s="41" t="str">
        <x:v>Transport</x:v>
      </x:c>
      <x:c r="C76" s="41" t="str">
        <x:v>Mass-position payload</x:v>
      </x:c>
      <x:c r="D76" s="45" t="n">
        <x:v>18</x:v>
      </x:c>
      <x:c r="E76" s="41" t="str">
        <x:v>t</x:v>
      </x:c>
      <x:c r="F76" s="41" t="str">
        <x:v>ASSUMPTION</x:v>
      </x:c>
      <x:c r="G76" s="41"/>
      <x:c r="H76" s="41"/>
      <x:c r="I76" s="41"/>
      <x:c r="J76" s="41"/>
      <x:c r="K76" s="41"/>
      <x:c r="L76" s="41"/>
      <x:c r="M76" s="41"/>
    </x:row>
    <x:row r="77" ht="15" hidden="0" customHeight="1">
      <x:c r="B77" s="41" t="str">
        <x:v>Campaign</x:v>
      </x:c>
      <x:c r="C77" s="41" t="str">
        <x:v>Root A islands</x:v>
      </x:c>
      <x:c r="D77" s="45" t="n">
        <x:v>4</x:v>
      </x:c>
      <x:c r="E77" s="41" t="str">
        <x:v>islands</x:v>
      </x:c>
      <x:c r="F77" s="41" t="str">
        <x:v>DESIGN</x:v>
      </x:c>
      <x:c r="G77" s="41"/>
      <x:c r="H77" s="41"/>
      <x:c r="I77" s="41"/>
      <x:c r="J77" s="41"/>
      <x:c r="K77" s="41"/>
      <x:c r="L77" s="41"/>
      <x:c r="M77" s="41"/>
    </x:row>
    <x:row r="78" ht="15" hidden="0" customHeight="1">
      <x:c r="B78" s="41" t="str">
        <x:v>Campaign</x:v>
      </x:c>
      <x:c r="C78" s="41" t="str">
        <x:v>Root B islands</x:v>
      </x:c>
      <x:c r="D78" s="45" t="n">
        <x:v>4</x:v>
      </x:c>
      <x:c r="E78" s="41" t="str">
        <x:v>islands</x:v>
      </x:c>
      <x:c r="F78" s="41" t="str">
        <x:v>DESIGN</x:v>
      </x:c>
      <x:c r="G78" s="41"/>
      <x:c r="H78" s="41"/>
      <x:c r="I78" s="41"/>
      <x:c r="J78" s="41"/>
      <x:c r="K78" s="41"/>
      <x:c r="L78" s="41"/>
      <x:c r="M78" s="41"/>
    </x:row>
    <x:row r="79" ht="15" hidden="0" customHeight="1">
      <x:c r="B79" s="41" t="str">
        <x:v>Campaign</x:v>
      </x:c>
      <x:c r="C79" s="41" t="str">
        <x:v>Controlled defects</x:v>
      </x:c>
      <x:c r="D79" s="45" t="n">
        <x:v>320</x:v>
      </x:c>
      <x:c r="E79" s="41" t="str">
        <x:v>insertions</x:v>
      </x:c>
      <x:c r="F79" s="41" t="str">
        <x:v>DESIGN</x:v>
      </x:c>
      <x:c r="G79" s="41"/>
      <x:c r="H79" s="41"/>
      <x:c r="I79" s="41"/>
      <x:c r="J79" s="41"/>
      <x:c r="K79" s="41"/>
      <x:c r="L79" s="41"/>
      <x:c r="M79" s="41"/>
    </x:row>
    <x:row r="80" ht="15" hidden="0" customHeight="1">
      <x:c r="B80" s="41" t="str">
        <x:v>Campaign</x:v>
      </x:c>
      <x:c r="C80" s="41" t="str">
        <x:v>Service runs</x:v>
      </x:c>
      <x:c r="D80" s="45" t="n">
        <x:v>96</x:v>
      </x:c>
      <x:c r="E80" s="41" t="str">
        <x:v>runs</x:v>
      </x:c>
      <x:c r="F80" s="41" t="str">
        <x:v>DESIGN</x:v>
      </x:c>
      <x:c r="G80" s="41"/>
      <x:c r="H80" s="41"/>
      <x:c r="I80" s="41"/>
      <x:c r="J80" s="41"/>
      <x:c r="K80" s="41"/>
      <x:c r="L80" s="41"/>
      <x:c r="M80" s="41"/>
    </x:row>
    <x:row r="81" ht="15" hidden="0" customHeight="1">
      <x:c r="B81" s="41" t="str">
        <x:v>Campaign</x:v>
      </x:c>
      <x:c r="C81" s="41" t="str">
        <x:v>Complete cycles</x:v>
      </x:c>
      <x:c r="D81" s="45" t="n">
        <x:v>64</x:v>
      </x:c>
      <x:c r="E81" s="41" t="str">
        <x:v>cycles</x:v>
      </x:c>
      <x:c r="F81" s="41" t="str">
        <x:v>DESIGN</x:v>
      </x:c>
      <x:c r="G81" s="41"/>
      <x:c r="H81" s="41"/>
      <x:c r="I81" s="41"/>
      <x:c r="J81" s="41"/>
      <x:c r="K81" s="41"/>
      <x:c r="L81" s="41"/>
      <x:c r="M81" s="41"/>
    </x:row>
    <x:row r="82" ht="15" hidden="0" customHeight="1">
      <x:c r="B82" s="41" t="str">
        <x:v>Campaign</x:v>
      </x:c>
      <x:c r="C82" s="41" t="str">
        <x:v>Relocations</x:v>
      </x:c>
      <x:c r="D82" s="45" t="n">
        <x:v>16</x:v>
      </x:c>
      <x:c r="E82" s="41" t="str">
        <x:v>relocations</x:v>
      </x:c>
      <x:c r="F82" s="41" t="str">
        <x:v>DESIGN</x:v>
      </x:c>
      <x:c r="G82" s="41"/>
      <x:c r="H82" s="41"/>
      <x:c r="I82" s="41"/>
      <x:c r="J82" s="41"/>
      <x:c r="K82" s="41"/>
      <x:c r="L82" s="41"/>
      <x:c r="M82" s="41"/>
    </x:row>
    <x:row r="83" ht="15" hidden="0" customHeight="1">
      <x:c r="B83" s="41" t="str">
        <x:v>Campaign</x:v>
      </x:c>
      <x:c r="C83" s="41" t="str">
        <x:v>Campaign months</x:v>
      </x:c>
      <x:c r="D83" s="45" t="n">
        <x:v>84</x:v>
      </x:c>
      <x:c r="E83" s="41" t="str">
        <x:v>months</x:v>
      </x:c>
      <x:c r="F83" s="41" t="str">
        <x:v>DESIGN</x:v>
      </x:c>
      <x:c r="G83" s="41"/>
      <x:c r="H83" s="41"/>
      <x:c r="I83" s="41"/>
      <x:c r="J83" s="41"/>
      <x:c r="K83" s="41"/>
      <x:c r="L83" s="41"/>
      <x:c r="M83" s="41"/>
    </x:row>
    <x:row r="84" ht="15" hidden="0" customHeight="1">
      <x:c r="B84" s="41" t="str">
        <x:v>Campaign</x:v>
      </x:c>
      <x:c r="C84" s="41" t="str">
        <x:v>Peak workforce</x:v>
      </x:c>
      <x:c r="D84" s="45" t="n">
        <x:v>10800</x:v>
      </x:c>
      <x:c r="E84" s="41" t="str">
        <x:v>positions</x:v>
      </x:c>
      <x:c r="F84" s="41" t="str">
        <x:v>DESIGN</x:v>
      </x:c>
      <x:c r="G84" s="41"/>
      <x:c r="H84" s="41"/>
      <x:c r="I84" s="41"/>
      <x:c r="J84" s="41"/>
      <x:c r="K84" s="41"/>
      <x:c r="L84" s="41"/>
      <x:c r="M84" s="41"/>
    </x:row>
    <x:row r="85" ht="15" hidden="0" customHeight="1">
      <x:c r="B85" s="41" t="str">
        <x:v>Finance</x:v>
      </x:c>
      <x:c r="C85" s="41" t="str">
        <x:v>RCB allocation</x:v>
      </x:c>
      <x:c r="D85" s="45" t="n">
        <x:v>45</x:v>
      </x:c>
      <x:c r="E85" s="41" t="str">
        <x:v>USD b</x:v>
      </x:c>
      <x:c r="F85" s="41" t="str">
        <x:v>WITHIN TCP-06</x:v>
      </x:c>
      <x:c r="G85" s="41"/>
      <x:c r="H85" s="41"/>
      <x:c r="I85" s="41"/>
      <x:c r="J85" s="41"/>
      <x:c r="K85" s="41"/>
      <x:c r="L85" s="41"/>
      <x:c r="M85" s="41"/>
    </x:row>
    <x:row r="86" ht="15" hidden="0" customHeight="1">
      <x:c r="B86" s="41" t="str">
        <x:v>Finance</x:v>
      </x:c>
      <x:c r="C86" s="41" t="str">
        <x:v>Parent TCP-06</x:v>
      </x:c>
      <x:c r="D86" s="45" t="n">
        <x:v>75</x:v>
      </x:c>
      <x:c r="E86" s="41" t="str">
        <x:v>USD b</x:v>
      </x:c>
      <x:c r="F86" s="41" t="str">
        <x:v>INHERITED</x:v>
      </x:c>
      <x:c r="G86" s="41"/>
      <x:c r="H86" s="41"/>
      <x:c r="I86" s="41"/>
      <x:c r="J86" s="41"/>
      <x:c r="K86" s="41"/>
      <x:c r="L86" s="41"/>
      <x:c r="M86" s="41"/>
    </x:row>
    <x:row r="87" ht="15" hidden="0" customHeight="1">
      <x:c r="B87" s="41" t="str">
        <x:v>Finance</x:v>
      </x:c>
      <x:c r="C87" s="41" t="str">
        <x:v>Fault article bank</x:v>
      </x:c>
      <x:c r="D87" s="45" t="n">
        <x:v>3.2</x:v>
      </x:c>
      <x:c r="E87" s="41" t="str">
        <x:v>USD b</x:v>
      </x:c>
      <x:c r="F87" s="41" t="str">
        <x:v>ALLOCATION</x:v>
      </x:c>
      <x:c r="G87" s="41"/>
      <x:c r="H87" s="41"/>
      <x:c r="I87" s="41"/>
      <x:c r="J87" s="41"/>
      <x:c r="K87" s="41"/>
      <x:c r="L87" s="41"/>
      <x:c r="M87" s="41"/>
    </x:row>
    <x:row r="88" ht="15" hidden="0" customHeight="1">
      <x:c r="B88" s="41" t="str">
        <x:v>Finance</x:v>
      </x:c>
      <x:c r="C88" s="41" t="str">
        <x:v>Instrumentation and range</x:v>
      </x:c>
      <x:c r="D88" s="45" t="n">
        <x:v>3.5</x:v>
      </x:c>
      <x:c r="E88" s="41" t="str">
        <x:v>USD b</x:v>
      </x:c>
      <x:c r="F88" s="41" t="str">
        <x:v>ALLOCATION</x:v>
      </x:c>
      <x:c r="G88" s="41"/>
      <x:c r="H88" s="41"/>
      <x:c r="I88" s="41"/>
      <x:c r="J88" s="41"/>
      <x:c r="K88" s="41"/>
      <x:c r="L88" s="41"/>
      <x:c r="M88" s="41"/>
    </x:row>
    <x:row r="89" ht="15" hidden="0" customHeight="1">
      <x:c r="B89" s="41" t="str">
        <x:v>Finance</x:v>
      </x:c>
      <x:c r="C89" s="41" t="str">
        <x:v>Tooling and configuration</x:v>
      </x:c>
      <x:c r="D89" s="45" t="n">
        <x:v>2.2</x:v>
      </x:c>
      <x:c r="E89" s="41" t="str">
        <x:v>USD b</x:v>
      </x:c>
      <x:c r="F89" s="41" t="str">
        <x:v>ALLOCATION</x:v>
      </x:c>
      <x:c r="G89" s="41"/>
      <x:c r="H89" s="41"/>
      <x:c r="I89" s="41"/>
      <x:c r="J89" s="41"/>
      <x:c r="K89" s="41"/>
      <x:c r="L89" s="41"/>
      <x:c r="M89" s="41"/>
    </x:row>
    <x:row r="90" ht="15" hidden="0" customHeight="1">
      <x:c r="B90" s="41" t="str">
        <x:v>Finance</x:v>
      </x:c>
      <x:c r="C90" s="41" t="str">
        <x:v>Clinical simulation</x:v>
      </x:c>
      <x:c r="D90" s="45" t="n">
        <x:v>2</x:v>
      </x:c>
      <x:c r="E90" s="41" t="str">
        <x:v>USD b</x:v>
      </x:c>
      <x:c r="F90" s="41" t="str">
        <x:v>ALLOCATION</x:v>
      </x:c>
      <x:c r="G90" s="41"/>
      <x:c r="H90" s="41"/>
      <x:c r="I90" s="41"/>
      <x:c r="J90" s="41"/>
      <x:c r="K90" s="41"/>
      <x:c r="L90" s="41"/>
      <x:c r="M90" s="41"/>
    </x:row>
    <x:row r="91" ht="15" hidden="0" customHeight="1">
      <x:c r="B91" s="41" t="str">
        <x:v>Finance</x:v>
      </x:c>
      <x:c r="C91" s="41" t="str">
        <x:v>Data and reconstruction</x:v>
      </x:c>
      <x:c r="D91" s="45" t="n">
        <x:v>1.5</x:v>
      </x:c>
      <x:c r="E91" s="41" t="str">
        <x:v>USD b</x:v>
      </x:c>
      <x:c r="F91" s="41" t="str">
        <x:v>ALLOCATION</x:v>
      </x:c>
      <x:c r="G91" s="41"/>
      <x:c r="H91" s="41"/>
      <x:c r="I91" s="41"/>
      <x:c r="J91" s="41"/>
      <x:c r="K91" s="41"/>
      <x:c r="L91" s="41"/>
      <x:c r="M91" s="41"/>
    </x:row>
    <x:row r="92" ht="15" hidden="0" customHeight="1">
      <x:c r="B92" s="41" t="str">
        <x:v>Admissions</x:v>
      </x:c>
      <x:c r="C92" s="41" t="str">
        <x:v>Admitted credit</x:v>
      </x:c>
      <x:c r="D92" s="45" t="n">
        <x:v>0</x:v>
      </x:c>
      <x:c r="E92" s="41" t="str">
        <x:v>all units</x:v>
      </x:c>
      <x:c r="F92" s="41" t="str">
        <x:v>BOUNDARY</x:v>
      </x:c>
      <x:c r="G92" s="41"/>
      <x:c r="H92" s="41"/>
      <x:c r="I92" s="41"/>
      <x:c r="J92" s="41"/>
      <x:c r="K92" s="41"/>
      <x:c r="L92" s="41"/>
      <x:c r="M92" s="41"/>
    </x:row>
  </x:sheetData>
  <x:mergeCells>
    <x:mergeCell ref="B2:M2"/>
    <x:mergeCell ref="B3:M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" max="1" width="3" hidden="0" customWidth="1"/>
  </x:cols>
  <x:sheetData>
    <x:row r="2" ht="24" hidden="0" customHeight="1">
      <x:c r="B2" s="70" t="str">
        <x:v>Common clinical service and portal closure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Both roots carry the same 240 care positions, ten custody streams and 64 transient process positions.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Flow</x:v>
      </x:c>
      <x:c r="C6" s="8" t="str">
        <x:v>Demand / day</x:v>
      </x:c>
      <x:c r="D6" s="8" t="str">
        <x:v>Peak factor</x:v>
      </x:c>
      <x:c r="E6" s="8" t="str">
        <x:v>Window h</x:v>
      </x:c>
      <x:c r="F6" s="8" t="str">
        <x:v>Transaction h</x:v>
      </x:c>
      <x:c r="G6" s="8" t="str">
        <x:v>Utilization</x:v>
      </x:c>
      <x:c r="H6" s="8" t="str">
        <x:v>Required positions</x:v>
      </x:c>
      <x:c r="I6" s="8" t="str">
        <x:v>Positions / module</x:v>
      </x:c>
      <x:c r="J6" s="8" t="str">
        <x:v>Required modules with reserve</x:v>
      </x:c>
      <x:c r="K6" s="8" t="str">
        <x:v>Installed modules</x:v>
      </x:c>
      <x:c r="L6" s="8" t="str">
        <x:v>Installed positions</x:v>
      </x:c>
      <x:c r="M6" s="8" t="str">
        <x:v>After one module loss</x:v>
      </x:c>
    </x:row>
    <x:row r="7" ht="15" hidden="0" customHeight="1">
      <x:c r="B7" s="41" t="str">
        <x:v>Public continuity portal</x:v>
      </x:c>
      <x:c r="C7" s="41" t="n">
        <x:f>'01 Controls'!$D$10</x:f>
        <x:v>998.875</x:v>
      </x:c>
      <x:c r="D7" s="41" t="n">
        <x:f>'01 Controls'!$D$11</x:f>
        <x:v>2.5</x:v>
      </x:c>
      <x:c r="E7" s="41" t="n">
        <x:f>'01 Controls'!$D$12</x:f>
        <x:v>18</x:v>
      </x:c>
      <x:c r="F7" s="41" t="n">
        <x:f>'01 Controls'!$D$13</x:f>
        <x:v>0.175</x:v>
      </x:c>
      <x:c r="G7" s="41" t="n">
        <x:f>'01 Controls'!$D$14</x:f>
        <x:v>0.8</x:v>
      </x:c>
      <x:c r="H7" s="41" t="n">
        <x:f>ROUNDUP(C7*D7*F7/(E7*G7),0)</x:f>
        <x:v>31</x:v>
      </x:c>
      <x:c r="I7" s="41" t="n">
        <x:f>'01 Controls'!$D$15</x:f>
        <x:v>7</x:v>
      </x:c>
      <x:c r="J7" s="41" t="n">
        <x:f>ROUNDUP(H7/I7,0)+1</x:f>
        <x:v>6</x:v>
      </x:c>
      <x:c r="K7" s="41" t="n">
        <x:f>'01 Controls'!$D$16</x:f>
        <x:v>6</x:v>
      </x:c>
      <x:c r="L7" s="41" t="n">
        <x:f>I7*K7</x:f>
        <x:v>42</x:v>
      </x:c>
      <x:c r="M7" s="41" t="n">
        <x:f>(K7-1)*I7</x:f>
        <x:v>35</x:v>
      </x:c>
    </x:row>
    <x:row r="8" ht="15" hidden="0" customHeight="1">
      <x:c r="B8" s="41" t="str">
        <x:v>Acute portal</x:v>
      </x:c>
      <x:c r="C8" s="41" t="n">
        <x:v>111.875</x:v>
      </x:c>
      <x:c r="D8" s="41" t="n">
        <x:v>2</x:v>
      </x:c>
      <x:c r="E8" s="41" t="n">
        <x:v>24</x:v>
      </x:c>
      <x:c r="F8" s="41" t="n">
        <x:v>0.25</x:v>
      </x:c>
      <x:c r="G8" s="41" t="n">
        <x:v>0.75</x:v>
      </x:c>
      <x:c r="H8" s="41" t="n">
        <x:f>ROUNDUP(C8*D8*F8/(E8*G8),0)</x:f>
        <x:v>4</x:v>
      </x:c>
      <x:c r="I8" s="41" t="n">
        <x:v>4</x:v>
      </x:c>
      <x:c r="J8" s="41" t="n">
        <x:f>ROUNDUP(H8/I8,0)+1</x:f>
        <x:v>2</x:v>
      </x:c>
      <x:c r="K8" s="41" t="n">
        <x:v>2</x:v>
      </x:c>
      <x:c r="L8" s="41" t="n">
        <x:f>I8*K8</x:f>
        <x:v>8</x:v>
      </x:c>
      <x:c r="M8" s="41" t="n">
        <x:f>(K8-1)*I8</x:f>
        <x:v>4</x:v>
      </x:c>
    </x:row>
    <x:row r="9" ht="15" hidden="0" customHeight="1">
      <x:c r="B9" s="41" t="str">
        <x:v>Accepted transfer stage</x:v>
      </x:c>
      <x:c r="C9" s="41" t="n">
        <x:v>12.981875</x:v>
      </x:c>
      <x:c r="D9" s="41" t="n">
        <x:v>1</x:v>
      </x:c>
      <x:c r="E9" s="41" t="n">
        <x:v>24</x:v>
      </x:c>
      <x:c r="F9" s="41" t="n">
        <x:v>1</x:v>
      </x:c>
      <x:c r="G9" s="41" t="n">
        <x:v>0.75</x:v>
      </x:c>
      <x:c r="H9" s="41" t="n">
        <x:f>ROUNDUP(C9*F9/(E9*G9),0)</x:f>
        <x:v>1</x:v>
      </x:c>
      <x:c r="I9" s="41" t="n">
        <x:v>1</x:v>
      </x:c>
      <x:c r="J9" s="41" t="n">
        <x:f>ROUNDUP(H9/I9,0)+1</x:f>
        <x:v>2</x:v>
      </x:c>
      <x:c r="K9" s="41" t="n">
        <x:v>2</x:v>
      </x:c>
      <x:c r="L9" s="41" t="n">
        <x:f>I9*K9</x:f>
        <x:v>2</x:v>
      </x:c>
      <x:c r="M9" s="41" t="n">
        <x:f>(K9-1)*I9</x:f>
        <x:v>1</x:v>
      </x:c>
    </x:row>
    <x:row r="10" ht="15" hidden="0" customHeight="1">
      <x:c r="B10" s="41" t="str">
        <x:v>Supported release stage</x:v>
      </x:c>
      <x:c r="C10" s="41" t="n">
        <x:v>132.2925</x:v>
      </x:c>
      <x:c r="D10" s="41" t="n">
        <x:v>1</x:v>
      </x:c>
      <x:c r="E10" s="41" t="n">
        <x:v>16</x:v>
      </x:c>
      <x:c r="F10" s="41" t="n">
        <x:v>0.5</x:v>
      </x:c>
      <x:c r="G10" s="41" t="n">
        <x:v>0.8</x:v>
      </x:c>
      <x:c r="H10" s="41" t="n">
        <x:f>ROUNDUP(C10*F10/(E10*G10),0)</x:f>
        <x:v>6</x:v>
      </x:c>
      <x:c r="I10" s="41" t="n">
        <x:v>6</x:v>
      </x:c>
      <x:c r="J10" s="41" t="n">
        <x:f>ROUNDUP(H10/I10,0)+1</x:f>
        <x:v>2</x:v>
      </x:c>
      <x:c r="K10" s="41" t="n">
        <x:v>2</x:v>
      </x:c>
      <x:c r="L10" s="41" t="n">
        <x:f>I10*K10</x:f>
        <x:v>12</x:v>
      </x:c>
      <x:c r="M10" s="41" t="n">
        <x:f>(K10-1)*I10</x:f>
        <x:v>6</x:v>
      </x:c>
    </x:row>
    <x:row r="11" ht="15" hidden="0" customHeight="1">
      <x:c r="B11" s="47" t="str">
        <x:v>TOTAL</x:v>
      </x:c>
      <x:c r="C11" s="47" t="str"/>
      <x:c r="D11" s="47" t="str"/>
      <x:c r="E11" s="47" t="str"/>
      <x:c r="F11" s="47" t="str"/>
      <x:c r="G11" s="47" t="str"/>
      <x:c r="H11" s="47" t="n">
        <x:f>SUM(H7:H10)</x:f>
        <x:v>42</x:v>
      </x:c>
      <x:c r="I11" s="47"/>
      <x:c r="J11" s="47"/>
      <x:c r="K11" s="47" t="n">
        <x:f>SUM(K7:K10)</x:f>
        <x:v>12</x:v>
      </x:c>
      <x:c r="L11" s="47" t="n">
        <x:f>SUM(L7:L10)</x:f>
        <x:v>64</x:v>
      </x:c>
      <x:c r="M11" s="47" t="n">
        <x:f>SUM(M7:M10)</x:f>
        <x:v>46</x:v>
      </x:c>
    </x:row>
    <x:row r="12" ht="15" hidden="0" customHeight="1"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</x:row>
    <x:row r="13" ht="15" hidden="0" customHeight="1"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4" ht="22" hidden="0" customHeight="1">
      <x:c r="B14" s="72" t="str">
        <x:v>Invariant service denominator</x:v>
      </x:c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</x:row>
    <x:row r="15" ht="15" hidden="0" customHeight="1">
      <x:c r="B15" s="44" t="str">
        <x:v>Care</x:v>
      </x:c>
      <x:c r="C15" s="44" t="str">
        <x:v>Twenty-eight cells install 240 unlike care positions. Neither root may change their service meaning.</x:v>
      </x:c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</x:row>
    <x:row r="16" ht="15" hidden="0" customHeight="1">
      <x:c r="B16" s="44" t="str">
        <x:v>Arrival</x:v>
      </x:c>
      <x:c r="C16" s="44" t="str">
        <x:v>Public and acute arrival retain identity, consent, infection and acuity state before care-cell entry.</x:v>
      </x:c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</x:row>
    <x:row r="17" ht="15" hidden="0" customHeight="1">
      <x:c r="B17" s="44" t="str">
        <x:v>Transfer</x:v>
      </x:c>
      <x:c r="C17" s="44" t="str">
        <x:v>Accepted transfer preserves person, record, medication, device, caregiver and destination state.</x:v>
      </x:c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</x:row>
    <x:row r="18" ht="15" hidden="0" customHeight="1">
      <x:c r="B18" s="44" t="str">
        <x:v>Release</x:v>
      </x:c>
      <x:c r="C18" s="44" t="str">
        <x:v>Release requires an accepted receiver or a supported destination with medicines, water, power and follow-up.</x:v>
      </x:c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</x:row>
    <x:row r="19" ht="15" hidden="0" customHeight="1">
      <x:c r="B19" s="44" t="str">
        <x:v>Domains</x:v>
      </x:c>
      <x:c r="C19" s="44" t="str">
        <x:v>Clean supply, controlled care and contaminated return remain separate physical and custody domains.</x:v>
      </x:c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</x:row>
    <x:row r="20" ht="15" hidden="0" customHeight="1">
      <x:c r="B20" s="44" t="str">
        <x:v>Admission</x:v>
      </x:c>
      <x:c r="C20" s="44" t="str">
        <x:v>A lower price, mass or setup time cannot compensate for a failed service, safety or rights gate.</x:v>
      </x:c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</x:row>
  </x:sheetData>
  <x:mergeCells>
    <x:mergeCell ref="B2:M2"/>
    <x:mergeCell ref="B3:M3"/>
    <x:mergeCell ref="B14:M14"/>
    <x:mergeCell ref="C15:M15"/>
    <x:mergeCell ref="C16:M16"/>
    <x:mergeCell ref="C17:M17"/>
    <x:mergeCell ref="C18:M18"/>
    <x:mergeCell ref="C19:M19"/>
    <x:mergeCell ref="C20:M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4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" max="1" width="3" hidden="0" customWidth="1"/>
  </x:cols>
  <x:sheetData>
    <x:row r="2" ht="24" hidden="0" customHeight="1">
      <x:c r="B2" s="70" t="str">
        <x:v>Root A SGC-A nested article bill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Centralized service galleries, larger assembly blocks and ten domain-specific air trains.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Family</x:v>
      </x:c>
      <x:c r="C6" s="8" t="str">
        <x:v>Description</x:v>
      </x:c>
      <x:c r="D6" s="8" t="str">
        <x:v>Domain</x:v>
      </x:c>
      <x:c r="E6" s="8" t="str">
        <x:v>Quantity</x:v>
      </x:c>
      <x:c r="F6" s="8" t="str">
        <x:v>Positions / article</x:v>
      </x:c>
      <x:c r="G6" s="8" t="str">
        <x:v>Total positions</x:v>
      </x:c>
      <x:c r="H6" s="8" t="str">
        <x:v>Area / article m2</x:v>
      </x:c>
      <x:c r="I6" s="8" t="str">
        <x:v>Total area m2</x:v>
      </x:c>
      <x:c r="J6" s="8" t="str">
        <x:v>Mass / article t</x:v>
      </x:c>
      <x:c r="K6" s="8" t="str">
        <x:v>Total mass t</x:v>
      </x:c>
      <x:c r="L6" s="8" t="str">
        <x:v>Capital / article USD m</x:v>
      </x:c>
      <x:c r="M6" s="8" t="str">
        <x:v>Total capital USD m</x:v>
      </x:c>
    </x:row>
    <x:row r="7" ht="15" hidden="0" customHeight="1">
      <x:c r="B7" s="41" t="str">
        <x:v>PCC-19</x:v>
      </x:c>
      <x:c r="C7" s="41" t="str">
        <x:v>Community continuity</x:v>
      </x:c>
      <x:c r="D7" s="41" t="str">
        <x:v>Controlled</x:v>
      </x:c>
      <x:c r="E7" s="41" t="n">
        <x:v>1</x:v>
      </x:c>
      <x:c r="F7" s="41" t="n">
        <x:v>19</x:v>
      </x:c>
      <x:c r="G7" s="41" t="n">
        <x:f>E7*F7</x:f>
        <x:v>19</x:v>
      </x:c>
      <x:c r="H7" s="49" t="n">
        <x:v>700</x:v>
      </x:c>
      <x:c r="I7" s="49" t="n">
        <x:f>E7*H7</x:f>
        <x:v>700</x:v>
      </x:c>
      <x:c r="J7" s="49" t="n">
        <x:v>50</x:v>
      </x:c>
      <x:c r="K7" s="49" t="n">
        <x:f>E7*J7</x:f>
        <x:v>50</x:v>
      </x:c>
      <x:c r="L7" s="49" t="n">
        <x:v>45</x:v>
      </x:c>
      <x:c r="M7" s="49" t="n">
        <x:f>E7*L7</x:f>
        <x:v>45</x:v>
      </x:c>
    </x:row>
    <x:row r="8" ht="15" hidden="0" customHeight="1">
      <x:c r="B8" s="41" t="str">
        <x:v>ERC-6</x:v>
      </x:c>
      <x:c r="C8" s="41" t="str">
        <x:v>Emergency / resuscitation</x:v>
      </x:c>
      <x:c r="D8" s="41" t="str">
        <x:v>Controlled</x:v>
      </x:c>
      <x:c r="E8" s="41" t="n">
        <x:v>2</x:v>
      </x:c>
      <x:c r="F8" s="41" t="n">
        <x:v>6</x:v>
      </x:c>
      <x:c r="G8" s="41" t="n">
        <x:f>E8*F8</x:f>
        <x:v>12</x:v>
      </x:c>
      <x:c r="H8" s="49" t="n">
        <x:v>420</x:v>
      </x:c>
      <x:c r="I8" s="49" t="n">
        <x:f>E8*H8</x:f>
        <x:v>840</x:v>
      </x:c>
      <x:c r="J8" s="49" t="n">
        <x:v>60</x:v>
      </x:c>
      <x:c r="K8" s="49" t="n">
        <x:f>E8*J8</x:f>
        <x:v>120</x:v>
      </x:c>
      <x:c r="L8" s="49" t="n">
        <x:v>90</x:v>
      </x:c>
      <x:c r="M8" s="49" t="n">
        <x:f>E8*L8</x:f>
        <x:v>180</x:v>
      </x:c>
    </x:row>
    <x:row r="9" ht="15" hidden="0" customHeight="1">
      <x:c r="B9" s="41" t="str">
        <x:v>OBC-7</x:v>
      </x:c>
      <x:c r="C9" s="41" t="str">
        <x:v>Observation</x:v>
      </x:c>
      <x:c r="D9" s="41" t="str">
        <x:v>Controlled</x:v>
      </x:c>
      <x:c r="E9" s="41" t="n">
        <x:v>3</x:v>
      </x:c>
      <x:c r="F9" s="41" t="n">
        <x:v>7</x:v>
      </x:c>
      <x:c r="G9" s="41" t="n">
        <x:f>E9*F9</x:f>
        <x:v>21</x:v>
      </x:c>
      <x:c r="H9" s="49" t="n">
        <x:v>320</x:v>
      </x:c>
      <x:c r="I9" s="49" t="n">
        <x:f>E9*H9</x:f>
        <x:v>960</x:v>
      </x:c>
      <x:c r="J9" s="49" t="n">
        <x:v>38</x:v>
      </x:c>
      <x:c r="K9" s="49" t="n">
        <x:f>E9*J9</x:f>
        <x:v>114</x:v>
      </x:c>
      <x:c r="L9" s="49" t="n">
        <x:v>30</x:v>
      </x:c>
      <x:c r="M9" s="49" t="n">
        <x:f>E9*L9</x:f>
        <x:v>90</x:v>
      </x:c>
    </x:row>
    <x:row r="10" ht="15" hidden="0" customHeight="1">
      <x:c r="B10" s="41" t="str">
        <x:v>WDC-27</x:v>
      </x:c>
      <x:c r="C10" s="41" t="str">
        <x:v>Ward</x:v>
      </x:c>
      <x:c r="D10" s="41" t="str">
        <x:v>Controlled</x:v>
      </x:c>
      <x:c r="E10" s="41" t="n">
        <x:v>2</x:v>
      </x:c>
      <x:c r="F10" s="41" t="n">
        <x:v>27</x:v>
      </x:c>
      <x:c r="G10" s="41" t="n">
        <x:f>E10*F10</x:f>
        <x:v>54</x:v>
      </x:c>
      <x:c r="H10" s="49" t="n">
        <x:v>1100</x:v>
      </x:c>
      <x:c r="I10" s="49" t="n">
        <x:f>E10*H10</x:f>
        <x:v>2200</x:v>
      </x:c>
      <x:c r="J10" s="49" t="n">
        <x:v>86</x:v>
      </x:c>
      <x:c r="K10" s="49" t="n">
        <x:f>E10*J10</x:f>
        <x:v>172</x:v>
      </x:c>
      <x:c r="L10" s="49" t="n">
        <x:v>72</x:v>
      </x:c>
      <x:c r="M10" s="49" t="n">
        <x:f>E10*L10</x:f>
        <x:v>144</x:v>
      </x:c>
    </x:row>
    <x:row r="11" ht="15" hidden="0" customHeight="1">
      <x:c r="B11" s="41" t="str">
        <x:v>WDC-26</x:v>
      </x:c>
      <x:c r="C11" s="41" t="str">
        <x:v>Ward</x:v>
      </x:c>
      <x:c r="D11" s="41" t="str">
        <x:v>Controlled</x:v>
      </x:c>
      <x:c r="E11" s="41" t="n">
        <x:v>2</x:v>
      </x:c>
      <x:c r="F11" s="41" t="n">
        <x:v>26</x:v>
      </x:c>
      <x:c r="G11" s="41" t="n">
        <x:f>E11*F11</x:f>
        <x:v>52</x:v>
      </x:c>
      <x:c r="H11" s="49" t="n">
        <x:v>1040</x:v>
      </x:c>
      <x:c r="I11" s="49" t="n">
        <x:f>E11*H11</x:f>
        <x:v>2080</x:v>
      </x:c>
      <x:c r="J11" s="49" t="n">
        <x:v>83</x:v>
      </x:c>
      <x:c r="K11" s="49" t="n">
        <x:f>E11*J11</x:f>
        <x:v>166</x:v>
      </x:c>
      <x:c r="L11" s="49" t="n">
        <x:v>70</x:v>
      </x:c>
      <x:c r="M11" s="49" t="n">
        <x:f>E11*L11</x:f>
        <x:v>140</x:v>
      </x:c>
    </x:row>
    <x:row r="12" ht="15" hidden="0" customHeight="1">
      <x:c r="B12" s="41" t="str">
        <x:v>ICC-7</x:v>
      </x:c>
      <x:c r="C12" s="41" t="str">
        <x:v>Critical care</x:v>
      </x:c>
      <x:c r="D12" s="41" t="str">
        <x:v>Controlled</x:v>
      </x:c>
      <x:c r="E12" s="41" t="n">
        <x:v>5</x:v>
      </x:c>
      <x:c r="F12" s="41" t="n">
        <x:v>7</x:v>
      </x:c>
      <x:c r="G12" s="41" t="n">
        <x:f>E12*F12</x:f>
        <x:v>35</x:v>
      </x:c>
      <x:c r="H12" s="49" t="n">
        <x:v>400</x:v>
      </x:c>
      <x:c r="I12" s="49" t="n">
        <x:f>E12*H12</x:f>
        <x:v>2000</x:v>
      </x:c>
      <x:c r="J12" s="49" t="n">
        <x:v>65</x:v>
      </x:c>
      <x:c r="K12" s="49" t="n">
        <x:f>E12*J12</x:f>
        <x:v>325</x:v>
      </x:c>
      <x:c r="L12" s="49" t="n">
        <x:v>110</x:v>
      </x:c>
      <x:c r="M12" s="49" t="n">
        <x:f>E12*L12</x:f>
        <x:v>550</x:v>
      </x:c>
    </x:row>
    <x:row r="13" ht="15" hidden="0" customHeight="1">
      <x:c r="B13" s="41" t="str">
        <x:v>PSC-1</x:v>
      </x:c>
      <x:c r="C13" s="41" t="str">
        <x:v>Procedural suite</x:v>
      </x:c>
      <x:c r="D13" s="41" t="str">
        <x:v>Controlled</x:v>
      </x:c>
      <x:c r="E13" s="41" t="n">
        <x:v>3</x:v>
      </x:c>
      <x:c r="F13" s="41" t="n">
        <x:v>1</x:v>
      </x:c>
      <x:c r="G13" s="41" t="n">
        <x:f>E13*F13</x:f>
        <x:v>3</x:v>
      </x:c>
      <x:c r="H13" s="49" t="n">
        <x:v>300</x:v>
      </x:c>
      <x:c r="I13" s="49" t="n">
        <x:f>E13*H13</x:f>
        <x:v>900</x:v>
      </x:c>
      <x:c r="J13" s="49" t="n">
        <x:v>55</x:v>
      </x:c>
      <x:c r="K13" s="49" t="n">
        <x:f>E13*J13</x:f>
        <x:v>165</x:v>
      </x:c>
      <x:c r="L13" s="49" t="n">
        <x:v>100</x:v>
      </x:c>
      <x:c r="M13" s="49" t="n">
        <x:f>E13*L13</x:f>
        <x:v>300</x:v>
      </x:c>
    </x:row>
    <x:row r="14" ht="15" hidden="0" customHeight="1">
      <x:c r="B14" s="41" t="str">
        <x:v>MNC-1</x:v>
      </x:c>
      <x:c r="C14" s="41" t="str">
        <x:v>Maternal / neonatal</x:v>
      </x:c>
      <x:c r="D14" s="41" t="str">
        <x:v>Controlled</x:v>
      </x:c>
      <x:c r="E14" s="41" t="n">
        <x:v>1</x:v>
      </x:c>
      <x:c r="F14" s="41" t="n">
        <x:v>1</x:v>
      </x:c>
      <x:c r="G14" s="41" t="n">
        <x:f>E14*F14</x:f>
        <x:v>1</x:v>
      </x:c>
      <x:c r="H14" s="49" t="n">
        <x:v>350</x:v>
      </x:c>
      <x:c r="I14" s="49" t="n">
        <x:f>E14*H14</x:f>
        <x:v>350</x:v>
      </x:c>
      <x:c r="J14" s="49" t="n">
        <x:v>55</x:v>
      </x:c>
      <x:c r="K14" s="49" t="n">
        <x:f>E14*J14</x:f>
        <x:v>55</x:v>
      </x:c>
      <x:c r="L14" s="49" t="n">
        <x:v>85</x:v>
      </x:c>
      <x:c r="M14" s="49" t="n">
        <x:f>E14*L14</x:f>
        <x:v>85</x:v>
      </x:c>
    </x:row>
    <x:row r="15" ht="15" hidden="0" customHeight="1">
      <x:c r="B15" s="41" t="str">
        <x:v>DXC-1</x:v>
      </x:c>
      <x:c r="C15" s="41" t="str">
        <x:v>Dialysis</x:v>
      </x:c>
      <x:c r="D15" s="41" t="str">
        <x:v>Controlled</x:v>
      </x:c>
      <x:c r="E15" s="41" t="n">
        <x:v>3</x:v>
      </x:c>
      <x:c r="F15" s="41" t="n">
        <x:v>1</x:v>
      </x:c>
      <x:c r="G15" s="41" t="n">
        <x:f>E15*F15</x:f>
        <x:v>3</x:v>
      </x:c>
      <x:c r="H15" s="49" t="n">
        <x:v>130</x:v>
      </x:c>
      <x:c r="I15" s="49" t="n">
        <x:f>E15*H15</x:f>
        <x:v>390</x:v>
      </x:c>
      <x:c r="J15" s="49" t="n">
        <x:v>30</x:v>
      </x:c>
      <x:c r="K15" s="49" t="n">
        <x:f>E15*J15</x:f>
        <x:v>90</x:v>
      </x:c>
      <x:c r="L15" s="49" t="n">
        <x:v>25</x:v>
      </x:c>
      <x:c r="M15" s="49" t="n">
        <x:f>E15*L15</x:f>
        <x:v>75</x:v>
      </x:c>
    </x:row>
    <x:row r="16" ht="15" hidden="0" customHeight="1">
      <x:c r="B16" s="41" t="str">
        <x:v>ISC-9</x:v>
      </x:c>
      <x:c r="C16" s="41" t="str">
        <x:v>Isolation</x:v>
      </x:c>
      <x:c r="D16" s="41" t="str">
        <x:v>Contaminated</x:v>
      </x:c>
      <x:c r="E16" s="41" t="n">
        <x:v>4</x:v>
      </x:c>
      <x:c r="F16" s="41" t="n">
        <x:v>9</x:v>
      </x:c>
      <x:c r="G16" s="41" t="n">
        <x:f>E16*F16</x:f>
        <x:v>36</x:v>
      </x:c>
      <x:c r="H16" s="49" t="n">
        <x:v>520</x:v>
      </x:c>
      <x:c r="I16" s="49" t="n">
        <x:f>E16*H16</x:f>
        <x:v>2080</x:v>
      </x:c>
      <x:c r="J16" s="49" t="n">
        <x:v>60</x:v>
      </x:c>
      <x:c r="K16" s="49" t="n">
        <x:f>E16*J16</x:f>
        <x:v>240</x:v>
      </x:c>
      <x:c r="L16" s="49" t="n">
        <x:v>70</x:v>
      </x:c>
      <x:c r="M16" s="49" t="n">
        <x:f>E16*L16</x:f>
        <x:v>280</x:v>
      </x:c>
    </x:row>
    <x:row r="17" ht="15" hidden="0" customHeight="1">
      <x:c r="B17" s="41" t="str">
        <x:v>BHC-2</x:v>
      </x:c>
      <x:c r="C17" s="41" t="str">
        <x:v>Behavioral health</x:v>
      </x:c>
      <x:c r="D17" s="41" t="str">
        <x:v>Controlled</x:v>
      </x:c>
      <x:c r="E17" s="41" t="n">
        <x:v>2</x:v>
      </x:c>
      <x:c r="F17" s="41" t="n">
        <x:v>2</x:v>
      </x:c>
      <x:c r="G17" s="41" t="n">
        <x:f>E17*F17</x:f>
        <x:v>4</x:v>
      </x:c>
      <x:c r="H17" s="49" t="n">
        <x:v>160</x:v>
      </x:c>
      <x:c r="I17" s="49" t="n">
        <x:f>E17*H17</x:f>
        <x:v>320</x:v>
      </x:c>
      <x:c r="J17" s="49" t="n">
        <x:v>25</x:v>
      </x:c>
      <x:c r="K17" s="49" t="n">
        <x:f>E17*J17</x:f>
        <x:v>50</x:v>
      </x:c>
      <x:c r="L17" s="49" t="n">
        <x:v>15</x:v>
      </x:c>
      <x:c r="M17" s="49" t="n">
        <x:f>E17*L17</x:f>
        <x:v>30</x:v>
      </x:c>
    </x:row>
    <x:row r="18" ht="15" hidden="0" customHeight="1">
      <x:c r="B18" s="41" t="str">
        <x:v>PPP-7</x:v>
      </x:c>
      <x:c r="C18" s="41" t="str">
        <x:v>Public portal</x:v>
      </x:c>
      <x:c r="D18" s="41" t="str">
        <x:v>Controlled</x:v>
      </x:c>
      <x:c r="E18" s="41" t="n">
        <x:v>6</x:v>
      </x:c>
      <x:c r="F18" s="41" t="n">
        <x:v>7</x:v>
      </x:c>
      <x:c r="G18" s="41" t="n">
        <x:f>E18*F18</x:f>
        <x:v>42</x:v>
      </x:c>
      <x:c r="H18" s="49" t="n">
        <x:v>110</x:v>
      </x:c>
      <x:c r="I18" s="49" t="n">
        <x:f>E18*H18</x:f>
        <x:v>660</x:v>
      </x:c>
      <x:c r="J18" s="49" t="n">
        <x:v>20</x:v>
      </x:c>
      <x:c r="K18" s="49" t="n">
        <x:f>E18*J18</x:f>
        <x:v>120</x:v>
      </x:c>
      <x:c r="L18" s="49" t="n">
        <x:v>12</x:v>
      </x:c>
      <x:c r="M18" s="49" t="n">
        <x:f>E18*L18</x:f>
        <x:v>72</x:v>
      </x:c>
    </x:row>
    <x:row r="19" ht="15" hidden="0" customHeight="1">
      <x:c r="B19" s="41" t="str">
        <x:v>APP-4</x:v>
      </x:c>
      <x:c r="C19" s="41" t="str">
        <x:v>Acute portal</x:v>
      </x:c>
      <x:c r="D19" s="41" t="str">
        <x:v>Controlled</x:v>
      </x:c>
      <x:c r="E19" s="41" t="n">
        <x:v>2</x:v>
      </x:c>
      <x:c r="F19" s="41" t="n">
        <x:v>4</x:v>
      </x:c>
      <x:c r="G19" s="41" t="n">
        <x:f>E19*F19</x:f>
        <x:v>8</x:v>
      </x:c>
      <x:c r="H19" s="49" t="n">
        <x:v>130</x:v>
      </x:c>
      <x:c r="I19" s="49" t="n">
        <x:f>E19*H19</x:f>
        <x:v>260</x:v>
      </x:c>
      <x:c r="J19" s="49" t="n">
        <x:v>25</x:v>
      </x:c>
      <x:c r="K19" s="49" t="n">
        <x:f>E19*J19</x:f>
        <x:v>50</x:v>
      </x:c>
      <x:c r="L19" s="49" t="n">
        <x:v>20</x:v>
      </x:c>
      <x:c r="M19" s="49" t="n">
        <x:f>E19*L19</x:f>
        <x:v>40</x:v>
      </x:c>
    </x:row>
    <x:row r="20" ht="15" hidden="0" customHeight="1">
      <x:c r="B20" s="41" t="str">
        <x:v>ATS-1</x:v>
      </x:c>
      <x:c r="C20" s="41" t="str">
        <x:v>Accepted transfer stage</x:v>
      </x:c>
      <x:c r="D20" s="41" t="str">
        <x:v>Controlled</x:v>
      </x:c>
      <x:c r="E20" s="41" t="n">
        <x:v>2</x:v>
      </x:c>
      <x:c r="F20" s="41" t="n">
        <x:v>1</x:v>
      </x:c>
      <x:c r="G20" s="41" t="n">
        <x:f>E20*F20</x:f>
        <x:v>2</x:v>
      </x:c>
      <x:c r="H20" s="49" t="n">
        <x:v>70</x:v>
      </x:c>
      <x:c r="I20" s="49" t="n">
        <x:f>E20*H20</x:f>
        <x:v>140</x:v>
      </x:c>
      <x:c r="J20" s="49" t="n">
        <x:v>15</x:v>
      </x:c>
      <x:c r="K20" s="49" t="n">
        <x:f>E20*J20</x:f>
        <x:v>30</x:v>
      </x:c>
      <x:c r="L20" s="49" t="n">
        <x:v>10</x:v>
      </x:c>
      <x:c r="M20" s="49" t="n">
        <x:f>E20*L20</x:f>
        <x:v>20</x:v>
      </x:c>
    </x:row>
    <x:row r="21" ht="15" hidden="0" customHeight="1">
      <x:c r="B21" s="41" t="str">
        <x:v>SRS-6</x:v>
      </x:c>
      <x:c r="C21" s="41" t="str">
        <x:v>Supported release stage</x:v>
      </x:c>
      <x:c r="D21" s="41" t="str">
        <x:v>Controlled</x:v>
      </x:c>
      <x:c r="E21" s="41" t="n">
        <x:v>2</x:v>
      </x:c>
      <x:c r="F21" s="41" t="n">
        <x:v>6</x:v>
      </x:c>
      <x:c r="G21" s="41" t="n">
        <x:f>E21*F21</x:f>
        <x:v>12</x:v>
      </x:c>
      <x:c r="H21" s="49" t="n">
        <x:v>140</x:v>
      </x:c>
      <x:c r="I21" s="49" t="n">
        <x:f>E21*H21</x:f>
        <x:v>280</x:v>
      </x:c>
      <x:c r="J21" s="49" t="n">
        <x:v>25</x:v>
      </x:c>
      <x:c r="K21" s="49" t="n">
        <x:f>E21*J21</x:f>
        <x:v>50</x:v>
      </x:c>
      <x:c r="L21" s="49" t="n">
        <x:v>12</x:v>
      </x:c>
      <x:c r="M21" s="49" t="n">
        <x:f>E21*L21</x:f>
        <x:v>24</x:v>
      </x:c>
    </x:row>
    <x:row r="22" ht="15" hidden="0" customHeight="1">
      <x:c r="B22" s="41" t="str">
        <x:v>A-AHZ-C</x:v>
      </x:c>
      <x:c r="C22" s="41" t="str">
        <x:v>Clean air train</x:v>
      </x:c>
      <x:c r="D22" s="41" t="str">
        <x:v>Clean</x:v>
      </x:c>
      <x:c r="E22" s="41" t="n">
        <x:v>2</x:v>
      </x:c>
      <x:c r="F22" s="41" t="n">
        <x:v>0</x:v>
      </x:c>
      <x:c r="G22" s="41" t="n">
        <x:f>E22*F22</x:f>
        <x:v>0</x:v>
      </x:c>
      <x:c r="H22" s="49" t="n">
        <x:v>120</x:v>
      </x:c>
      <x:c r="I22" s="49" t="n">
        <x:f>E22*H22</x:f>
        <x:v>240</x:v>
      </x:c>
      <x:c r="J22" s="49" t="n">
        <x:v>30</x:v>
      </x:c>
      <x:c r="K22" s="49" t="n">
        <x:f>E22*J22</x:f>
        <x:v>60</x:v>
      </x:c>
      <x:c r="L22" s="49" t="n">
        <x:v>30</x:v>
      </x:c>
      <x:c r="M22" s="49" t="n">
        <x:f>E22*L22</x:f>
        <x:v>60</x:v>
      </x:c>
    </x:row>
    <x:row r="23" ht="15" hidden="0" customHeight="1">
      <x:c r="B23" s="41" t="str">
        <x:v>A-AHZ-R</x:v>
      </x:c>
      <x:c r="C23" s="41" t="str">
        <x:v>Controlled air train</x:v>
      </x:c>
      <x:c r="D23" s="41" t="str">
        <x:v>Controlled</x:v>
      </x:c>
      <x:c r="E23" s="41" t="n">
        <x:v>4</x:v>
      </x:c>
      <x:c r="F23" s="41" t="n">
        <x:v>0</x:v>
      </x:c>
      <x:c r="G23" s="41" t="n">
        <x:f>E23*F23</x:f>
        <x:v>0</x:v>
      </x:c>
      <x:c r="H23" s="49" t="n">
        <x:v>120</x:v>
      </x:c>
      <x:c r="I23" s="49" t="n">
        <x:f>E23*H23</x:f>
        <x:v>480</x:v>
      </x:c>
      <x:c r="J23" s="49" t="n">
        <x:v>30</x:v>
      </x:c>
      <x:c r="K23" s="49" t="n">
        <x:f>E23*J23</x:f>
        <x:v>120</x:v>
      </x:c>
      <x:c r="L23" s="49" t="n">
        <x:v>30</x:v>
      </x:c>
      <x:c r="M23" s="49" t="n">
        <x:f>E23*L23</x:f>
        <x:v>120</x:v>
      </x:c>
    </x:row>
    <x:row r="24" ht="15" hidden="0" customHeight="1">
      <x:c r="B24" s="41" t="str">
        <x:v>A-AHZ-X</x:v>
      </x:c>
      <x:c r="C24" s="41" t="str">
        <x:v>Contaminated air train</x:v>
      </x:c>
      <x:c r="D24" s="41" t="str">
        <x:v>Contaminated</x:v>
      </x:c>
      <x:c r="E24" s="41" t="n">
        <x:v>4</x:v>
      </x:c>
      <x:c r="F24" s="41" t="n">
        <x:v>0</x:v>
      </x:c>
      <x:c r="G24" s="41" t="n">
        <x:f>E24*F24</x:f>
        <x:v>0</x:v>
      </x:c>
      <x:c r="H24" s="49" t="n">
        <x:v>125</x:v>
      </x:c>
      <x:c r="I24" s="49" t="n">
        <x:f>E24*H24</x:f>
        <x:v>500</x:v>
      </x:c>
      <x:c r="J24" s="49" t="n">
        <x:v>32</x:v>
      </x:c>
      <x:c r="K24" s="49" t="n">
        <x:f>E24*J24</x:f>
        <x:v>128</x:v>
      </x:c>
      <x:c r="L24" s="49" t="n">
        <x:v>32</x:v>
      </x:c>
      <x:c r="M24" s="49" t="n">
        <x:f>E24*L24</x:f>
        <x:v>128</x:v>
      </x:c>
    </x:row>
    <x:row r="25" ht="15" hidden="0" customHeight="1">
      <x:c r="B25" s="41" t="str">
        <x:v>A-LFD-3</x:v>
      </x:c>
      <x:c r="C25" s="41" t="str">
        <x:v>Local feeder train</x:v>
      </x:c>
      <x:c r="D25" s="41" t="str">
        <x:v>Clean</x:v>
      </x:c>
      <x:c r="E25" s="41" t="n">
        <x:v>3</x:v>
      </x:c>
      <x:c r="F25" s="41" t="n">
        <x:v>0</x:v>
      </x:c>
      <x:c r="G25" s="41" t="n">
        <x:f>E25*F25</x:f>
        <x:v>0</x:v>
      </x:c>
      <x:c r="H25" s="49" t="n">
        <x:v>70</x:v>
      </x:c>
      <x:c r="I25" s="49" t="n">
        <x:f>E25*H25</x:f>
        <x:v>210</x:v>
      </x:c>
      <x:c r="J25" s="49" t="n">
        <x:v>24</x:v>
      </x:c>
      <x:c r="K25" s="49" t="n">
        <x:f>E25*J25</x:f>
        <x:v>72</x:v>
      </x:c>
      <x:c r="L25" s="49" t="n">
        <x:v>30</x:v>
      </x:c>
      <x:c r="M25" s="49" t="n">
        <x:f>E25*L25</x:f>
        <x:v>90</x:v>
      </x:c>
    </x:row>
    <x:row r="26" ht="15" hidden="0" customHeight="1">
      <x:c r="B26" s="41" t="str">
        <x:v>A-SBR</x:v>
      </x:c>
      <x:c r="C26" s="41" t="str">
        <x:v>Sector branch panel</x:v>
      </x:c>
      <x:c r="D26" s="41" t="str">
        <x:v>Clean</x:v>
      </x:c>
      <x:c r="E26" s="41" t="n">
        <x:v>8</x:v>
      </x:c>
      <x:c r="F26" s="41" t="n">
        <x:v>0</x:v>
      </x:c>
      <x:c r="G26" s="41" t="n">
        <x:f>E26*F26</x:f>
        <x:v>0</x:v>
      </x:c>
      <x:c r="H26" s="49" t="n">
        <x:v>25</x:v>
      </x:c>
      <x:c r="I26" s="49" t="n">
        <x:f>E26*H26</x:f>
        <x:v>200</x:v>
      </x:c>
      <x:c r="J26" s="49" t="n">
        <x:v>6</x:v>
      </x:c>
      <x:c r="K26" s="49" t="n">
        <x:f>E26*J26</x:f>
        <x:v>48</x:v>
      </x:c>
      <x:c r="L26" s="49" t="n">
        <x:v>8</x:v>
      </x:c>
      <x:c r="M26" s="49" t="n">
        <x:f>E26*L26</x:f>
        <x:v>64</x:v>
      </x:c>
    </x:row>
    <x:row r="27" ht="15" hidden="0" customHeight="1">
      <x:c r="B27" s="41" t="str">
        <x:v>A-LUP-.25</x:v>
      </x:c>
      <x:c r="C27" s="41" t="str">
        <x:v>Local no-break pod</x:v>
      </x:c>
      <x:c r="D27" s="41" t="str">
        <x:v>Clean</x:v>
      </x:c>
      <x:c r="E27" s="41" t="n">
        <x:v>3</x:v>
      </x:c>
      <x:c r="F27" s="41" t="n">
        <x:v>0</x:v>
      </x:c>
      <x:c r="G27" s="41" t="n">
        <x:f>E27*F27</x:f>
        <x:v>0</x:v>
      </x:c>
      <x:c r="H27" s="49" t="n">
        <x:v>35</x:v>
      </x:c>
      <x:c r="I27" s="49" t="n">
        <x:f>E27*H27</x:f>
        <x:v>105</x:v>
      </x:c>
      <x:c r="J27" s="49" t="n">
        <x:v>10</x:v>
      </x:c>
      <x:c r="K27" s="49" t="n">
        <x:f>E27*J27</x:f>
        <x:v>30</x:v>
      </x:c>
      <x:c r="L27" s="49" t="n">
        <x:v>15</x:v>
      </x:c>
      <x:c r="M27" s="49" t="n">
        <x:f>E27*L27</x:f>
        <x:v>45</x:v>
      </x:c>
    </x:row>
    <x:row r="28" ht="15" hidden="0" customHeight="1">
      <x:c r="B28" s="41" t="str">
        <x:v>A-MGR</x:v>
      </x:c>
      <x:c r="C28" s="41" t="str">
        <x:v>Medical-gas header</x:v>
      </x:c>
      <x:c r="D28" s="41" t="str">
        <x:v>Clean</x:v>
      </x:c>
      <x:c r="E28" s="41" t="n">
        <x:v>5</x:v>
      </x:c>
      <x:c r="F28" s="41" t="n">
        <x:v>0</x:v>
      </x:c>
      <x:c r="G28" s="41" t="n">
        <x:f>E28*F28</x:f>
        <x:v>0</x:v>
      </x:c>
      <x:c r="H28" s="49" t="n">
        <x:v>40</x:v>
      </x:c>
      <x:c r="I28" s="49" t="n">
        <x:f>E28*H28</x:f>
        <x:v>200</x:v>
      </x:c>
      <x:c r="J28" s="49" t="n">
        <x:v>8</x:v>
      </x:c>
      <x:c r="K28" s="49" t="n">
        <x:f>E28*J28</x:f>
        <x:v>40</x:v>
      </x:c>
      <x:c r="L28" s="49" t="n">
        <x:v>12</x:v>
      </x:c>
      <x:c r="M28" s="49" t="n">
        <x:f>E28*L28</x:f>
        <x:v>60</x:v>
      </x:c>
    </x:row>
    <x:row r="29" ht="15" hidden="0" customHeight="1">
      <x:c r="B29" s="41" t="str">
        <x:v>A-WGR</x:v>
      </x:c>
      <x:c r="C29" s="41" t="str">
        <x:v>Clinical-water node</x:v>
      </x:c>
      <x:c r="D29" s="41" t="str">
        <x:v>Clean</x:v>
      </x:c>
      <x:c r="E29" s="41" t="n">
        <x:v>5</x:v>
      </x:c>
      <x:c r="F29" s="41" t="n">
        <x:v>0</x:v>
      </x:c>
      <x:c r="G29" s="41" t="n">
        <x:f>E29*F29</x:f>
        <x:v>0</x:v>
      </x:c>
      <x:c r="H29" s="49" t="n">
        <x:v>60</x:v>
      </x:c>
      <x:c r="I29" s="49" t="n">
        <x:f>E29*H29</x:f>
        <x:v>300</x:v>
      </x:c>
      <x:c r="J29" s="49" t="n">
        <x:v>10</x:v>
      </x:c>
      <x:c r="K29" s="49" t="n">
        <x:f>E29*J29</x:f>
        <x:v>50</x:v>
      </x:c>
      <x:c r="L29" s="49" t="n">
        <x:v>15</x:v>
      </x:c>
      <x:c r="M29" s="49" t="n">
        <x:f>E29*L29</x:f>
        <x:v>75</x:v>
      </x:c>
    </x:row>
    <x:row r="30" ht="15" hidden="0" customHeight="1">
      <x:c r="B30" s="41" t="str">
        <x:v>A-WMI</x:v>
      </x:c>
      <x:c r="C30" s="41" t="str">
        <x:v>Wastewater / waste interface</x:v>
      </x:c>
      <x:c r="D30" s="41" t="str">
        <x:v>Contaminated</x:v>
      </x:c>
      <x:c r="E30" s="41" t="n">
        <x:v>4</x:v>
      </x:c>
      <x:c r="F30" s="41" t="n">
        <x:v>0</x:v>
      </x:c>
      <x:c r="G30" s="41" t="n">
        <x:f>E30*F30</x:f>
        <x:v>0</x:v>
      </x:c>
      <x:c r="H30" s="49" t="n">
        <x:v>80</x:v>
      </x:c>
      <x:c r="I30" s="49" t="n">
        <x:f>E30*H30</x:f>
        <x:v>320</x:v>
      </x:c>
      <x:c r="J30" s="49" t="n">
        <x:v>12</x:v>
      </x:c>
      <x:c r="K30" s="49" t="n">
        <x:f>E30*J30</x:f>
        <x:v>48</x:v>
      </x:c>
      <x:c r="L30" s="49" t="n">
        <x:v>18</x:v>
      </x:c>
      <x:c r="M30" s="49" t="n">
        <x:f>E30*L30</x:f>
        <x:v>72</x:v>
      </x:c>
    </x:row>
    <x:row r="31" ht="15" hidden="0" customHeight="1">
      <x:c r="B31" s="41" t="str">
        <x:v>A-SIT</x:v>
      </x:c>
      <x:c r="C31" s="41" t="str">
        <x:v>Sterile transition</x:v>
      </x:c>
      <x:c r="D31" s="41" t="str">
        <x:v>Clean-Controlled</x:v>
      </x:c>
      <x:c r="E31" s="41" t="n">
        <x:v>4</x:v>
      </x:c>
      <x:c r="F31" s="41" t="n">
        <x:v>0</x:v>
      </x:c>
      <x:c r="G31" s="41" t="n">
        <x:f>E31*F31</x:f>
        <x:v>0</x:v>
      </x:c>
      <x:c r="H31" s="49" t="n">
        <x:v>100</x:v>
      </x:c>
      <x:c r="I31" s="49" t="n">
        <x:f>E31*H31</x:f>
        <x:v>400</x:v>
      </x:c>
      <x:c r="J31" s="49" t="n">
        <x:v>8</x:v>
      </x:c>
      <x:c r="K31" s="49" t="n">
        <x:f>E31*J31</x:f>
        <x:v>32</x:v>
      </x:c>
      <x:c r="L31" s="49" t="n">
        <x:v>14</x:v>
      </x:c>
      <x:c r="M31" s="49" t="n">
        <x:f>E31*L31</x:f>
        <x:v>56</x:v>
      </x:c>
    </x:row>
    <x:row r="32" ht="15" hidden="0" customHeight="1">
      <x:c r="B32" s="41" t="str">
        <x:v>A-CLD</x:v>
      </x:c>
      <x:c r="C32" s="41" t="str">
        <x:v>Clean logistics dock</x:v>
      </x:c>
      <x:c r="D32" s="41" t="str">
        <x:v>Clean</x:v>
      </x:c>
      <x:c r="E32" s="41" t="n">
        <x:v>4</x:v>
      </x:c>
      <x:c r="F32" s="41" t="n">
        <x:v>0</x:v>
      </x:c>
      <x:c r="G32" s="41" t="n">
        <x:f>E32*F32</x:f>
        <x:v>0</x:v>
      </x:c>
      <x:c r="H32" s="49" t="n">
        <x:v>120</x:v>
      </x:c>
      <x:c r="I32" s="49" t="n">
        <x:f>E32*H32</x:f>
        <x:v>480</x:v>
      </x:c>
      <x:c r="J32" s="49" t="n">
        <x:v>10</x:v>
      </x:c>
      <x:c r="K32" s="49" t="n">
        <x:f>E32*J32</x:f>
        <x:v>40</x:v>
      </x:c>
      <x:c r="L32" s="49" t="n">
        <x:v>10</x:v>
      </x:c>
      <x:c r="M32" s="49" t="n">
        <x:f>E32*L32</x:f>
        <x:v>40</x:v>
      </x:c>
    </x:row>
    <x:row r="33" ht="15" hidden="0" customHeight="1">
      <x:c r="B33" s="41" t="str">
        <x:v>A-DRD</x:v>
      </x:c>
      <x:c r="C33" s="41" t="str">
        <x:v>Dirty return / decontamination</x:v>
      </x:c>
      <x:c r="D33" s="41" t="str">
        <x:v>Contaminated</x:v>
      </x:c>
      <x:c r="E33" s="41" t="n">
        <x:v>4</x:v>
      </x:c>
      <x:c r="F33" s="41" t="n">
        <x:v>0</x:v>
      </x:c>
      <x:c r="G33" s="41" t="n">
        <x:f>E33*F33</x:f>
        <x:v>0</x:v>
      </x:c>
      <x:c r="H33" s="49" t="n">
        <x:v>120</x:v>
      </x:c>
      <x:c r="I33" s="49" t="n">
        <x:f>E33*H33</x:f>
        <x:v>480</x:v>
      </x:c>
      <x:c r="J33" s="49" t="n">
        <x:v>12</x:v>
      </x:c>
      <x:c r="K33" s="49" t="n">
        <x:f>E33*J33</x:f>
        <x:v>48</x:v>
      </x:c>
      <x:c r="L33" s="49" t="n">
        <x:v>15</x:v>
      </x:c>
      <x:c r="M33" s="49" t="n">
        <x:f>E33*L33</x:f>
        <x:v>60</x:v>
      </x:c>
    </x:row>
    <x:row r="34" ht="15" hidden="0" customHeight="1">
      <x:c r="B34" s="41" t="str">
        <x:v>A-CDR</x:v>
      </x:c>
      <x:c r="C34" s="41" t="str">
        <x:v>Command, data and identity root</x:v>
      </x:c>
      <x:c r="D34" s="41" t="str">
        <x:v>Clean</x:v>
      </x:c>
      <x:c r="E34" s="41" t="n">
        <x:v>2</x:v>
      </x:c>
      <x:c r="F34" s="41" t="n">
        <x:v>0</x:v>
      </x:c>
      <x:c r="G34" s="41" t="n">
        <x:f>E34*F34</x:f>
        <x:v>0</x:v>
      </x:c>
      <x:c r="H34" s="49" t="n">
        <x:v>120</x:v>
      </x:c>
      <x:c r="I34" s="49" t="n">
        <x:f>E34*H34</x:f>
        <x:v>240</x:v>
      </x:c>
      <x:c r="J34" s="49" t="n">
        <x:v>10</x:v>
      </x:c>
      <x:c r="K34" s="49" t="n">
        <x:f>E34*J34</x:f>
        <x:v>20</x:v>
      </x:c>
      <x:c r="L34" s="49" t="n">
        <x:v>20</x:v>
      </x:c>
      <x:c r="M34" s="49" t="n">
        <x:f>E34*L34</x:f>
        <x:v>40</x:v>
      </x:c>
    </x:row>
    <x:row r="35" ht="15" hidden="0" customHeight="1">
      <x:c r="B35" s="41" t="str">
        <x:v>A-STH</x:v>
      </x:c>
      <x:c r="C35" s="41" t="str">
        <x:v>Staff transition</x:v>
      </x:c>
      <x:c r="D35" s="41" t="str">
        <x:v>Clean-Controlled</x:v>
      </x:c>
      <x:c r="E35" s="41" t="n">
        <x:v>4</x:v>
      </x:c>
      <x:c r="F35" s="41" t="n">
        <x:v>0</x:v>
      </x:c>
      <x:c r="G35" s="41" t="n">
        <x:f>E35*F35</x:f>
        <x:v>0</x:v>
      </x:c>
      <x:c r="H35" s="49" t="n">
        <x:v>250</x:v>
      </x:c>
      <x:c r="I35" s="49" t="n">
        <x:f>E35*H35</x:f>
        <x:v>1000</x:v>
      </x:c>
      <x:c r="J35" s="49" t="n">
        <x:v>12</x:v>
      </x:c>
      <x:c r="K35" s="49" t="n">
        <x:f>E35*J35</x:f>
        <x:v>48</x:v>
      </x:c>
      <x:c r="L35" s="49" t="n">
        <x:v>10</x:v>
      </x:c>
      <x:c r="M35" s="49" t="n">
        <x:f>E35*L35</x:f>
        <x:v>40</x:v>
      </x:c>
    </x:row>
    <x:row r="36" ht="15" hidden="0" customHeight="1">
      <x:c r="B36" s="41" t="str">
        <x:v>A-BMR</x:v>
      </x:c>
      <x:c r="C36" s="41" t="str">
        <x:v>Biomedical repair root</x:v>
      </x:c>
      <x:c r="D36" s="41" t="str">
        <x:v>Clean</x:v>
      </x:c>
      <x:c r="E36" s="41" t="n">
        <x:v>2</x:v>
      </x:c>
      <x:c r="F36" s="41" t="n">
        <x:v>0</x:v>
      </x:c>
      <x:c r="G36" s="41" t="n">
        <x:f>E36*F36</x:f>
        <x:v>0</x:v>
      </x:c>
      <x:c r="H36" s="49" t="n">
        <x:v>150</x:v>
      </x:c>
      <x:c r="I36" s="49" t="n">
        <x:f>E36*H36</x:f>
        <x:v>300</x:v>
      </x:c>
      <x:c r="J36" s="49" t="n">
        <x:v>10</x:v>
      </x:c>
      <x:c r="K36" s="49" t="n">
        <x:f>E36*J36</x:f>
        <x:v>20</x:v>
      </x:c>
      <x:c r="L36" s="49" t="n">
        <x:v>20</x:v>
      </x:c>
      <x:c r="M36" s="49" t="n">
        <x:f>E36*L36</x:f>
        <x:v>40</x:v>
      </x:c>
    </x:row>
    <x:row r="37" ht="15" hidden="0" customHeight="1">
      <x:c r="B37" s="41" t="str">
        <x:v>A-SGL</x:v>
      </x:c>
      <x:c r="C37" s="41" t="str">
        <x:v>Clean service-gallery section</x:v>
      </x:c>
      <x:c r="D37" s="41" t="str">
        <x:v>Clean</x:v>
      </x:c>
      <x:c r="E37" s="41" t="n">
        <x:v>8</x:v>
      </x:c>
      <x:c r="F37" s="41" t="n">
        <x:v>0</x:v>
      </x:c>
      <x:c r="G37" s="41" t="n">
        <x:f>E37*F37</x:f>
        <x:v>0</x:v>
      </x:c>
      <x:c r="H37" s="49" t="n">
        <x:v>120</x:v>
      </x:c>
      <x:c r="I37" s="49" t="n">
        <x:f>E37*H37</x:f>
        <x:v>960</x:v>
      </x:c>
      <x:c r="J37" s="49" t="n">
        <x:v>18</x:v>
      </x:c>
      <x:c r="K37" s="49" t="n">
        <x:f>E37*J37</x:f>
        <x:v>144</x:v>
      </x:c>
      <x:c r="L37" s="49" t="n">
        <x:v>18</x:v>
      </x:c>
      <x:c r="M37" s="49" t="n">
        <x:f>E37*L37</x:f>
        <x:v>144</x:v>
      </x:c>
    </x:row>
    <x:row r="38" ht="15" hidden="0" customHeight="1">
      <x:c r="B38" s="41" t="str">
        <x:v>A-DGL</x:v>
      </x:c>
      <x:c r="C38" s="41" t="str">
        <x:v>Dirty service-gallery section</x:v>
      </x:c>
      <x:c r="D38" s="41" t="str">
        <x:v>Contaminated</x:v>
      </x:c>
      <x:c r="E38" s="41" t="n">
        <x:v>4</x:v>
      </x:c>
      <x:c r="F38" s="41" t="n">
        <x:v>0</x:v>
      </x:c>
      <x:c r="G38" s="41" t="n">
        <x:f>E38*F38</x:f>
        <x:v>0</x:v>
      </x:c>
      <x:c r="H38" s="49" t="n">
        <x:v>100</x:v>
      </x:c>
      <x:c r="I38" s="49" t="n">
        <x:f>E38*H38</x:f>
        <x:v>400</x:v>
      </x:c>
      <x:c r="J38" s="49" t="n">
        <x:v>16</x:v>
      </x:c>
      <x:c r="K38" s="49" t="n">
        <x:f>E38*J38</x:f>
        <x:v>64</x:v>
      </x:c>
      <x:c r="L38" s="49" t="n">
        <x:v>16</x:v>
      </x:c>
      <x:c r="M38" s="49" t="n">
        <x:f>E38*L38</x:f>
        <x:v>64</x:v>
      </x:c>
    </x:row>
    <x:row r="39" ht="15" hidden="0" customHeight="1">
      <x:c r="B39" s="41" t="str">
        <x:v>A-FAH</x:v>
      </x:c>
      <x:c r="C39" s="41" t="str">
        <x:v>Foundation and handling set</x:v>
      </x:c>
      <x:c r="D39" s="41" t="str">
        <x:v>External</x:v>
      </x:c>
      <x:c r="E39" s="41" t="n">
        <x:v>1</x:v>
      </x:c>
      <x:c r="F39" s="41" t="n">
        <x:v>0</x:v>
      </x:c>
      <x:c r="G39" s="41" t="n">
        <x:f>E39*F39</x:f>
        <x:v>0</x:v>
      </x:c>
      <x:c r="H39" s="49" t="n">
        <x:v>0</x:v>
      </x:c>
      <x:c r="I39" s="49" t="n">
        <x:f>E39*H39</x:f>
        <x:v>0</x:v>
      </x:c>
      <x:c r="J39" s="49" t="n">
        <x:v>320</x:v>
      </x:c>
      <x:c r="K39" s="49" t="n">
        <x:f>E39*J39</x:f>
        <x:v>320</x:v>
      </x:c>
      <x:c r="L39" s="49" t="n">
        <x:v>290</x:v>
      </x:c>
      <x:c r="M39" s="49" t="n">
        <x:f>E39*L39</x:f>
        <x:v>290</x:v>
      </x:c>
    </x:row>
    <x:row r="40" ht="15" hidden="0" customHeight="1">
      <x:c r="B40" s="41" t="str">
        <x:v>A-RTS</x:v>
      </x:c>
      <x:c r="C40" s="41" t="str">
        <x:v>Reserve tools and spares</x:v>
      </x:c>
      <x:c r="D40" s="41" t="str">
        <x:v>Clean</x:v>
      </x:c>
      <x:c r="E40" s="41" t="n">
        <x:v>10</x:v>
      </x:c>
      <x:c r="F40" s="41" t="n">
        <x:v>0</x:v>
      </x:c>
      <x:c r="G40" s="41" t="n">
        <x:f>E40*F40</x:f>
        <x:v>0</x:v>
      </x:c>
      <x:c r="H40" s="49" t="n">
        <x:v>20</x:v>
      </x:c>
      <x:c r="I40" s="49" t="n">
        <x:f>E40*H40</x:f>
        <x:v>200</x:v>
      </x:c>
      <x:c r="J40" s="49" t="n">
        <x:v>7.5</x:v>
      </x:c>
      <x:c r="K40" s="49" t="n">
        <x:f>E40*J40</x:f>
        <x:v>75</x:v>
      </x:c>
      <x:c r="L40" s="49" t="n">
        <x:v>9</x:v>
      </x:c>
      <x:c r="M40" s="49" t="n">
        <x:f>E40*L40</x:f>
        <x:v>90</x:v>
      </x:c>
    </x:row>
    <x:row r="41" ht="15" hidden="0" customHeight="1">
      <x:c r="B41" s="47" t="str">
        <x:v>TOTAL</x:v>
      </x:c>
      <x:c r="C41" s="47" t="str">
        <x:v>Root A SGC-A</x:v>
      </x:c>
      <x:c r="D41" s="47" t="str">
        <x:v>complete root</x:v>
      </x:c>
      <x:c r="E41" s="47" t="n">
        <x:f>SUM(E7:E40)</x:f>
        <x:v>121</x:v>
      </x:c>
      <x:c r="F41" s="47"/>
      <x:c r="G41" s="47" t="n">
        <x:f>SUM(G7:G40)</x:f>
        <x:v>304</x:v>
      </x:c>
      <x:c r="H41" s="50"/>
      <x:c r="I41" s="50" t="n">
        <x:f>SUM(I7:I40)</x:f>
        <x:v>21175</x:v>
      </x:c>
      <x:c r="J41" s="50"/>
      <x:c r="K41" s="50" t="n">
        <x:f>SUM(K7:K40)</x:f>
        <x:v>3204</x:v>
      </x:c>
      <x:c r="L41" s="50"/>
      <x:c r="M41" s="50" t="n">
        <x:f>SUM(M7:M40)</x:f>
        <x:v>3653</x:v>
      </x:c>
    </x:row>
    <x:row r="42" ht="15" hidden="0" customHeight="1"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</x:row>
    <x:row r="43" ht="15" hidden="0" customHeight="1"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</x:row>
    <x:row r="44" ht="22" hidden="0" customHeight="1">
      <x:c r="B44" s="72" t="str">
        <x:v>Root design law</x:v>
      </x:c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</x:row>
    <x:row r="45" ht="15" hidden="0" customHeight="1">
      <x:c r="B45" s="44" t="str">
        <x:v>Common cause</x:v>
      </x:c>
      <x:c r="C45" s="44" t="str">
        <x:v>Utility complexity concentrates in surveyed clean and dirty gallery sections.</x:v>
      </x:c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</x:row>
    <x:row r="46" ht="15" hidden="0" customHeight="1">
      <x:c r="B46" s="44" t="str">
        <x:v>Build claim</x:v>
      </x:c>
      <x:c r="C46" s="44" t="str">
        <x:v>Fewer, larger articles reduce configuration joins but require heavier lifts and precise gallery alignment.</x:v>
      </x:c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</x:row>
    <x:row r="47" ht="15" hidden="0" customHeight="1">
      <x:c r="B47" s="44" t="str">
        <x:v>Rejection boundary</x:v>
      </x:c>
      <x:c r="C47" s="44" t="str">
        <x:v>A gallery segment may not expose more than 56 care positions without demonstrated local isolation and transfer closure.</x:v>
      </x:c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</x:row>
  </x:sheetData>
  <x:mergeCells>
    <x:mergeCell ref="B2:M2"/>
    <x:mergeCell ref="B3:M3"/>
    <x:mergeCell ref="B44:M44"/>
    <x:mergeCell ref="C45:M45"/>
    <x:mergeCell ref="C46:M46"/>
    <x:mergeCell ref="C47:M4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4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" max="1" width="3" hidden="0" customWidth="1"/>
  </x:cols>
  <x:sheetData>
    <x:row r="2" ht="24" hidden="0" customHeight="1">
      <x:c r="B2" s="70" t="str">
        <x:v>Root B FCM-B nested article bill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Federated cells, local isolation manifolds and eighteen distributed air cassettes.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Family</x:v>
      </x:c>
      <x:c r="C6" s="8" t="str">
        <x:v>Description</x:v>
      </x:c>
      <x:c r="D6" s="8" t="str">
        <x:v>Domain</x:v>
      </x:c>
      <x:c r="E6" s="8" t="str">
        <x:v>Quantity</x:v>
      </x:c>
      <x:c r="F6" s="8" t="str">
        <x:v>Positions / article</x:v>
      </x:c>
      <x:c r="G6" s="8" t="str">
        <x:v>Total positions</x:v>
      </x:c>
      <x:c r="H6" s="8" t="str">
        <x:v>Area / article m2</x:v>
      </x:c>
      <x:c r="I6" s="8" t="str">
        <x:v>Total area m2</x:v>
      </x:c>
      <x:c r="J6" s="8" t="str">
        <x:v>Mass / article t</x:v>
      </x:c>
      <x:c r="K6" s="8" t="str">
        <x:v>Total mass t</x:v>
      </x:c>
      <x:c r="L6" s="8" t="str">
        <x:v>Capital / article USD m</x:v>
      </x:c>
      <x:c r="M6" s="8" t="str">
        <x:v>Total capital USD m</x:v>
      </x:c>
    </x:row>
    <x:row r="7" ht="15" hidden="0" customHeight="1">
      <x:c r="B7" s="41" t="str">
        <x:v>PCC-19</x:v>
      </x:c>
      <x:c r="C7" s="41" t="str">
        <x:v>Community continuity</x:v>
      </x:c>
      <x:c r="D7" s="41" t="str">
        <x:v>Controlled</x:v>
      </x:c>
      <x:c r="E7" s="41" t="n">
        <x:v>1</x:v>
      </x:c>
      <x:c r="F7" s="41" t="n">
        <x:v>19</x:v>
      </x:c>
      <x:c r="G7" s="41" t="n">
        <x:f>E7*F7</x:f>
        <x:v>19</x:v>
      </x:c>
      <x:c r="H7" s="49" t="n">
        <x:v>700</x:v>
      </x:c>
      <x:c r="I7" s="49" t="n">
        <x:f>E7*H7</x:f>
        <x:v>700</x:v>
      </x:c>
      <x:c r="J7" s="49" t="n">
        <x:v>50</x:v>
      </x:c>
      <x:c r="K7" s="49" t="n">
        <x:f>E7*J7</x:f>
        <x:v>50</x:v>
      </x:c>
      <x:c r="L7" s="49" t="n">
        <x:v>45</x:v>
      </x:c>
      <x:c r="M7" s="49" t="n">
        <x:f>E7*L7</x:f>
        <x:v>45</x:v>
      </x:c>
    </x:row>
    <x:row r="8" ht="15" hidden="0" customHeight="1">
      <x:c r="B8" s="41" t="str">
        <x:v>ERC-6</x:v>
      </x:c>
      <x:c r="C8" s="41" t="str">
        <x:v>Emergency / resuscitation</x:v>
      </x:c>
      <x:c r="D8" s="41" t="str">
        <x:v>Controlled</x:v>
      </x:c>
      <x:c r="E8" s="41" t="n">
        <x:v>2</x:v>
      </x:c>
      <x:c r="F8" s="41" t="n">
        <x:v>6</x:v>
      </x:c>
      <x:c r="G8" s="41" t="n">
        <x:f>E8*F8</x:f>
        <x:v>12</x:v>
      </x:c>
      <x:c r="H8" s="49" t="n">
        <x:v>420</x:v>
      </x:c>
      <x:c r="I8" s="49" t="n">
        <x:f>E8*H8</x:f>
        <x:v>840</x:v>
      </x:c>
      <x:c r="J8" s="49" t="n">
        <x:v>60</x:v>
      </x:c>
      <x:c r="K8" s="49" t="n">
        <x:f>E8*J8</x:f>
        <x:v>120</x:v>
      </x:c>
      <x:c r="L8" s="49" t="n">
        <x:v>90</x:v>
      </x:c>
      <x:c r="M8" s="49" t="n">
        <x:f>E8*L8</x:f>
        <x:v>180</x:v>
      </x:c>
    </x:row>
    <x:row r="9" ht="15" hidden="0" customHeight="1">
      <x:c r="B9" s="41" t="str">
        <x:v>OBC-7</x:v>
      </x:c>
      <x:c r="C9" s="41" t="str">
        <x:v>Observation</x:v>
      </x:c>
      <x:c r="D9" s="41" t="str">
        <x:v>Controlled</x:v>
      </x:c>
      <x:c r="E9" s="41" t="n">
        <x:v>3</x:v>
      </x:c>
      <x:c r="F9" s="41" t="n">
        <x:v>7</x:v>
      </x:c>
      <x:c r="G9" s="41" t="n">
        <x:f>E9*F9</x:f>
        <x:v>21</x:v>
      </x:c>
      <x:c r="H9" s="49" t="n">
        <x:v>320</x:v>
      </x:c>
      <x:c r="I9" s="49" t="n">
        <x:f>E9*H9</x:f>
        <x:v>960</x:v>
      </x:c>
      <x:c r="J9" s="49" t="n">
        <x:v>38</x:v>
      </x:c>
      <x:c r="K9" s="49" t="n">
        <x:f>E9*J9</x:f>
        <x:v>114</x:v>
      </x:c>
      <x:c r="L9" s="49" t="n">
        <x:v>30</x:v>
      </x:c>
      <x:c r="M9" s="49" t="n">
        <x:f>E9*L9</x:f>
        <x:v>90</x:v>
      </x:c>
    </x:row>
    <x:row r="10" ht="15" hidden="0" customHeight="1">
      <x:c r="B10" s="41" t="str">
        <x:v>WDC-27</x:v>
      </x:c>
      <x:c r="C10" s="41" t="str">
        <x:v>Ward</x:v>
      </x:c>
      <x:c r="D10" s="41" t="str">
        <x:v>Controlled</x:v>
      </x:c>
      <x:c r="E10" s="41" t="n">
        <x:v>2</x:v>
      </x:c>
      <x:c r="F10" s="41" t="n">
        <x:v>27</x:v>
      </x:c>
      <x:c r="G10" s="41" t="n">
        <x:f>E10*F10</x:f>
        <x:v>54</x:v>
      </x:c>
      <x:c r="H10" s="49" t="n">
        <x:v>1100</x:v>
      </x:c>
      <x:c r="I10" s="49" t="n">
        <x:f>E10*H10</x:f>
        <x:v>2200</x:v>
      </x:c>
      <x:c r="J10" s="49" t="n">
        <x:v>86</x:v>
      </x:c>
      <x:c r="K10" s="49" t="n">
        <x:f>E10*J10</x:f>
        <x:v>172</x:v>
      </x:c>
      <x:c r="L10" s="49" t="n">
        <x:v>72</x:v>
      </x:c>
      <x:c r="M10" s="49" t="n">
        <x:f>E10*L10</x:f>
        <x:v>144</x:v>
      </x:c>
    </x:row>
    <x:row r="11" ht="15" hidden="0" customHeight="1">
      <x:c r="B11" s="41" t="str">
        <x:v>WDC-26</x:v>
      </x:c>
      <x:c r="C11" s="41" t="str">
        <x:v>Ward</x:v>
      </x:c>
      <x:c r="D11" s="41" t="str">
        <x:v>Controlled</x:v>
      </x:c>
      <x:c r="E11" s="41" t="n">
        <x:v>2</x:v>
      </x:c>
      <x:c r="F11" s="41" t="n">
        <x:v>26</x:v>
      </x:c>
      <x:c r="G11" s="41" t="n">
        <x:f>E11*F11</x:f>
        <x:v>52</x:v>
      </x:c>
      <x:c r="H11" s="49" t="n">
        <x:v>1040</x:v>
      </x:c>
      <x:c r="I11" s="49" t="n">
        <x:f>E11*H11</x:f>
        <x:v>2080</x:v>
      </x:c>
      <x:c r="J11" s="49" t="n">
        <x:v>83</x:v>
      </x:c>
      <x:c r="K11" s="49" t="n">
        <x:f>E11*J11</x:f>
        <x:v>166</x:v>
      </x:c>
      <x:c r="L11" s="49" t="n">
        <x:v>70</x:v>
      </x:c>
      <x:c r="M11" s="49" t="n">
        <x:f>E11*L11</x:f>
        <x:v>140</x:v>
      </x:c>
    </x:row>
    <x:row r="12" ht="15" hidden="0" customHeight="1">
      <x:c r="B12" s="41" t="str">
        <x:v>ICC-7</x:v>
      </x:c>
      <x:c r="C12" s="41" t="str">
        <x:v>Critical care</x:v>
      </x:c>
      <x:c r="D12" s="41" t="str">
        <x:v>Controlled</x:v>
      </x:c>
      <x:c r="E12" s="41" t="n">
        <x:v>5</x:v>
      </x:c>
      <x:c r="F12" s="41" t="n">
        <x:v>7</x:v>
      </x:c>
      <x:c r="G12" s="41" t="n">
        <x:f>E12*F12</x:f>
        <x:v>35</x:v>
      </x:c>
      <x:c r="H12" s="49" t="n">
        <x:v>400</x:v>
      </x:c>
      <x:c r="I12" s="49" t="n">
        <x:f>E12*H12</x:f>
        <x:v>2000</x:v>
      </x:c>
      <x:c r="J12" s="49" t="n">
        <x:v>65</x:v>
      </x:c>
      <x:c r="K12" s="49" t="n">
        <x:f>E12*J12</x:f>
        <x:v>325</x:v>
      </x:c>
      <x:c r="L12" s="49" t="n">
        <x:v>110</x:v>
      </x:c>
      <x:c r="M12" s="49" t="n">
        <x:f>E12*L12</x:f>
        <x:v>550</x:v>
      </x:c>
    </x:row>
    <x:row r="13" ht="15" hidden="0" customHeight="1">
      <x:c r="B13" s="41" t="str">
        <x:v>PSC-1</x:v>
      </x:c>
      <x:c r="C13" s="41" t="str">
        <x:v>Procedural suite</x:v>
      </x:c>
      <x:c r="D13" s="41" t="str">
        <x:v>Controlled</x:v>
      </x:c>
      <x:c r="E13" s="41" t="n">
        <x:v>3</x:v>
      </x:c>
      <x:c r="F13" s="41" t="n">
        <x:v>1</x:v>
      </x:c>
      <x:c r="G13" s="41" t="n">
        <x:f>E13*F13</x:f>
        <x:v>3</x:v>
      </x:c>
      <x:c r="H13" s="49" t="n">
        <x:v>300</x:v>
      </x:c>
      <x:c r="I13" s="49" t="n">
        <x:f>E13*H13</x:f>
        <x:v>900</x:v>
      </x:c>
      <x:c r="J13" s="49" t="n">
        <x:v>55</x:v>
      </x:c>
      <x:c r="K13" s="49" t="n">
        <x:f>E13*J13</x:f>
        <x:v>165</x:v>
      </x:c>
      <x:c r="L13" s="49" t="n">
        <x:v>100</x:v>
      </x:c>
      <x:c r="M13" s="49" t="n">
        <x:f>E13*L13</x:f>
        <x:v>300</x:v>
      </x:c>
    </x:row>
    <x:row r="14" ht="15" hidden="0" customHeight="1">
      <x:c r="B14" s="41" t="str">
        <x:v>MNC-1</x:v>
      </x:c>
      <x:c r="C14" s="41" t="str">
        <x:v>Maternal / neonatal</x:v>
      </x:c>
      <x:c r="D14" s="41" t="str">
        <x:v>Controlled</x:v>
      </x:c>
      <x:c r="E14" s="41" t="n">
        <x:v>1</x:v>
      </x:c>
      <x:c r="F14" s="41" t="n">
        <x:v>1</x:v>
      </x:c>
      <x:c r="G14" s="41" t="n">
        <x:f>E14*F14</x:f>
        <x:v>1</x:v>
      </x:c>
      <x:c r="H14" s="49" t="n">
        <x:v>350</x:v>
      </x:c>
      <x:c r="I14" s="49" t="n">
        <x:f>E14*H14</x:f>
        <x:v>350</x:v>
      </x:c>
      <x:c r="J14" s="49" t="n">
        <x:v>55</x:v>
      </x:c>
      <x:c r="K14" s="49" t="n">
        <x:f>E14*J14</x:f>
        <x:v>55</x:v>
      </x:c>
      <x:c r="L14" s="49" t="n">
        <x:v>85</x:v>
      </x:c>
      <x:c r="M14" s="49" t="n">
        <x:f>E14*L14</x:f>
        <x:v>85</x:v>
      </x:c>
    </x:row>
    <x:row r="15" ht="15" hidden="0" customHeight="1">
      <x:c r="B15" s="41" t="str">
        <x:v>DXC-1</x:v>
      </x:c>
      <x:c r="C15" s="41" t="str">
        <x:v>Dialysis</x:v>
      </x:c>
      <x:c r="D15" s="41" t="str">
        <x:v>Controlled</x:v>
      </x:c>
      <x:c r="E15" s="41" t="n">
        <x:v>3</x:v>
      </x:c>
      <x:c r="F15" s="41" t="n">
        <x:v>1</x:v>
      </x:c>
      <x:c r="G15" s="41" t="n">
        <x:f>E15*F15</x:f>
        <x:v>3</x:v>
      </x:c>
      <x:c r="H15" s="49" t="n">
        <x:v>130</x:v>
      </x:c>
      <x:c r="I15" s="49" t="n">
        <x:f>E15*H15</x:f>
        <x:v>390</x:v>
      </x:c>
      <x:c r="J15" s="49" t="n">
        <x:v>30</x:v>
      </x:c>
      <x:c r="K15" s="49" t="n">
        <x:f>E15*J15</x:f>
        <x:v>90</x:v>
      </x:c>
      <x:c r="L15" s="49" t="n">
        <x:v>25</x:v>
      </x:c>
      <x:c r="M15" s="49" t="n">
        <x:f>E15*L15</x:f>
        <x:v>75</x:v>
      </x:c>
    </x:row>
    <x:row r="16" ht="15" hidden="0" customHeight="1">
      <x:c r="B16" s="41" t="str">
        <x:v>ISC-9</x:v>
      </x:c>
      <x:c r="C16" s="41" t="str">
        <x:v>Isolation</x:v>
      </x:c>
      <x:c r="D16" s="41" t="str">
        <x:v>Contaminated</x:v>
      </x:c>
      <x:c r="E16" s="41" t="n">
        <x:v>4</x:v>
      </x:c>
      <x:c r="F16" s="41" t="n">
        <x:v>9</x:v>
      </x:c>
      <x:c r="G16" s="41" t="n">
        <x:f>E16*F16</x:f>
        <x:v>36</x:v>
      </x:c>
      <x:c r="H16" s="49" t="n">
        <x:v>520</x:v>
      </x:c>
      <x:c r="I16" s="49" t="n">
        <x:f>E16*H16</x:f>
        <x:v>2080</x:v>
      </x:c>
      <x:c r="J16" s="49" t="n">
        <x:v>60</x:v>
      </x:c>
      <x:c r="K16" s="49" t="n">
        <x:f>E16*J16</x:f>
        <x:v>240</x:v>
      </x:c>
      <x:c r="L16" s="49" t="n">
        <x:v>70</x:v>
      </x:c>
      <x:c r="M16" s="49" t="n">
        <x:f>E16*L16</x:f>
        <x:v>280</x:v>
      </x:c>
    </x:row>
    <x:row r="17" ht="15" hidden="0" customHeight="1">
      <x:c r="B17" s="41" t="str">
        <x:v>BHC-2</x:v>
      </x:c>
      <x:c r="C17" s="41" t="str">
        <x:v>Behavioral health</x:v>
      </x:c>
      <x:c r="D17" s="41" t="str">
        <x:v>Controlled</x:v>
      </x:c>
      <x:c r="E17" s="41" t="n">
        <x:v>2</x:v>
      </x:c>
      <x:c r="F17" s="41" t="n">
        <x:v>2</x:v>
      </x:c>
      <x:c r="G17" s="41" t="n">
        <x:f>E17*F17</x:f>
        <x:v>4</x:v>
      </x:c>
      <x:c r="H17" s="49" t="n">
        <x:v>160</x:v>
      </x:c>
      <x:c r="I17" s="49" t="n">
        <x:f>E17*H17</x:f>
        <x:v>320</x:v>
      </x:c>
      <x:c r="J17" s="49" t="n">
        <x:v>25</x:v>
      </x:c>
      <x:c r="K17" s="49" t="n">
        <x:f>E17*J17</x:f>
        <x:v>50</x:v>
      </x:c>
      <x:c r="L17" s="49" t="n">
        <x:v>15</x:v>
      </x:c>
      <x:c r="M17" s="49" t="n">
        <x:f>E17*L17</x:f>
        <x:v>30</x:v>
      </x:c>
    </x:row>
    <x:row r="18" ht="15" hidden="0" customHeight="1">
      <x:c r="B18" s="41" t="str">
        <x:v>PPP-7</x:v>
      </x:c>
      <x:c r="C18" s="41" t="str">
        <x:v>Public portal</x:v>
      </x:c>
      <x:c r="D18" s="41" t="str">
        <x:v>Controlled</x:v>
      </x:c>
      <x:c r="E18" s="41" t="n">
        <x:v>6</x:v>
      </x:c>
      <x:c r="F18" s="41" t="n">
        <x:v>7</x:v>
      </x:c>
      <x:c r="G18" s="41" t="n">
        <x:f>E18*F18</x:f>
        <x:v>42</x:v>
      </x:c>
      <x:c r="H18" s="49" t="n">
        <x:v>110</x:v>
      </x:c>
      <x:c r="I18" s="49" t="n">
        <x:f>E18*H18</x:f>
        <x:v>660</x:v>
      </x:c>
      <x:c r="J18" s="49" t="n">
        <x:v>20</x:v>
      </x:c>
      <x:c r="K18" s="49" t="n">
        <x:f>E18*J18</x:f>
        <x:v>120</x:v>
      </x:c>
      <x:c r="L18" s="49" t="n">
        <x:v>12</x:v>
      </x:c>
      <x:c r="M18" s="49" t="n">
        <x:f>E18*L18</x:f>
        <x:v>72</x:v>
      </x:c>
    </x:row>
    <x:row r="19" ht="15" hidden="0" customHeight="1">
      <x:c r="B19" s="41" t="str">
        <x:v>APP-4</x:v>
      </x:c>
      <x:c r="C19" s="41" t="str">
        <x:v>Acute portal</x:v>
      </x:c>
      <x:c r="D19" s="41" t="str">
        <x:v>Controlled</x:v>
      </x:c>
      <x:c r="E19" s="41" t="n">
        <x:v>2</x:v>
      </x:c>
      <x:c r="F19" s="41" t="n">
        <x:v>4</x:v>
      </x:c>
      <x:c r="G19" s="41" t="n">
        <x:f>E19*F19</x:f>
        <x:v>8</x:v>
      </x:c>
      <x:c r="H19" s="49" t="n">
        <x:v>130</x:v>
      </x:c>
      <x:c r="I19" s="49" t="n">
        <x:f>E19*H19</x:f>
        <x:v>260</x:v>
      </x:c>
      <x:c r="J19" s="49" t="n">
        <x:v>25</x:v>
      </x:c>
      <x:c r="K19" s="49" t="n">
        <x:f>E19*J19</x:f>
        <x:v>50</x:v>
      </x:c>
      <x:c r="L19" s="49" t="n">
        <x:v>20</x:v>
      </x:c>
      <x:c r="M19" s="49" t="n">
        <x:f>E19*L19</x:f>
        <x:v>40</x:v>
      </x:c>
    </x:row>
    <x:row r="20" ht="15" hidden="0" customHeight="1">
      <x:c r="B20" s="41" t="str">
        <x:v>ATS-1</x:v>
      </x:c>
      <x:c r="C20" s="41" t="str">
        <x:v>Accepted transfer stage</x:v>
      </x:c>
      <x:c r="D20" s="41" t="str">
        <x:v>Controlled</x:v>
      </x:c>
      <x:c r="E20" s="41" t="n">
        <x:v>2</x:v>
      </x:c>
      <x:c r="F20" s="41" t="n">
        <x:v>1</x:v>
      </x:c>
      <x:c r="G20" s="41" t="n">
        <x:f>E20*F20</x:f>
        <x:v>2</x:v>
      </x:c>
      <x:c r="H20" s="49" t="n">
        <x:v>70</x:v>
      </x:c>
      <x:c r="I20" s="49" t="n">
        <x:f>E20*H20</x:f>
        <x:v>140</x:v>
      </x:c>
      <x:c r="J20" s="49" t="n">
        <x:v>15</x:v>
      </x:c>
      <x:c r="K20" s="49" t="n">
        <x:f>E20*J20</x:f>
        <x:v>30</x:v>
      </x:c>
      <x:c r="L20" s="49" t="n">
        <x:v>10</x:v>
      </x:c>
      <x:c r="M20" s="49" t="n">
        <x:f>E20*L20</x:f>
        <x:v>20</x:v>
      </x:c>
    </x:row>
    <x:row r="21" ht="15" hidden="0" customHeight="1">
      <x:c r="B21" s="41" t="str">
        <x:v>SRS-6</x:v>
      </x:c>
      <x:c r="C21" s="41" t="str">
        <x:v>Supported release stage</x:v>
      </x:c>
      <x:c r="D21" s="41" t="str">
        <x:v>Controlled</x:v>
      </x:c>
      <x:c r="E21" s="41" t="n">
        <x:v>2</x:v>
      </x:c>
      <x:c r="F21" s="41" t="n">
        <x:v>6</x:v>
      </x:c>
      <x:c r="G21" s="41" t="n">
        <x:f>E21*F21</x:f>
        <x:v>12</x:v>
      </x:c>
      <x:c r="H21" s="49" t="n">
        <x:v>140</x:v>
      </x:c>
      <x:c r="I21" s="49" t="n">
        <x:f>E21*H21</x:f>
        <x:v>280</x:v>
      </x:c>
      <x:c r="J21" s="49" t="n">
        <x:v>25</x:v>
      </x:c>
      <x:c r="K21" s="49" t="n">
        <x:f>E21*J21</x:f>
        <x:v>50</x:v>
      </x:c>
      <x:c r="L21" s="49" t="n">
        <x:v>12</x:v>
      </x:c>
      <x:c r="M21" s="49" t="n">
        <x:f>E21*L21</x:f>
        <x:v>24</x:v>
      </x:c>
    </x:row>
    <x:row r="22" ht="15" hidden="0" customHeight="1">
      <x:c r="B22" s="41" t="str">
        <x:v>B-AHZ-C</x:v>
      </x:c>
      <x:c r="C22" s="41" t="str">
        <x:v>Clean air cassette</x:v>
      </x:c>
      <x:c r="D22" s="41" t="str">
        <x:v>Clean</x:v>
      </x:c>
      <x:c r="E22" s="41" t="n">
        <x:v>4</x:v>
      </x:c>
      <x:c r="F22" s="41" t="n">
        <x:v>0</x:v>
      </x:c>
      <x:c r="G22" s="41" t="n">
        <x:f>E22*F22</x:f>
        <x:v>0</x:v>
      </x:c>
      <x:c r="H22" s="49" t="n">
        <x:v>55</x:v>
      </x:c>
      <x:c r="I22" s="49" t="n">
        <x:f>E22*H22</x:f>
        <x:v>220</x:v>
      </x:c>
      <x:c r="J22" s="49" t="n">
        <x:v>12</x:v>
      </x:c>
      <x:c r="K22" s="49" t="n">
        <x:f>E22*J22</x:f>
        <x:v>48</x:v>
      </x:c>
      <x:c r="L22" s="49" t="n">
        <x:v>18</x:v>
      </x:c>
      <x:c r="M22" s="49" t="n">
        <x:f>E22*L22</x:f>
        <x:v>72</x:v>
      </x:c>
    </x:row>
    <x:row r="23" ht="15" hidden="0" customHeight="1">
      <x:c r="B23" s="41" t="str">
        <x:v>B-AHZ-R</x:v>
      </x:c>
      <x:c r="C23" s="41" t="str">
        <x:v>Controlled air cassette</x:v>
      </x:c>
      <x:c r="D23" s="41" t="str">
        <x:v>Controlled</x:v>
      </x:c>
      <x:c r="E23" s="41" t="n">
        <x:v>8</x:v>
      </x:c>
      <x:c r="F23" s="41" t="n">
        <x:v>0</x:v>
      </x:c>
      <x:c r="G23" s="41" t="n">
        <x:f>E23*F23</x:f>
        <x:v>0</x:v>
      </x:c>
      <x:c r="H23" s="49" t="n">
        <x:v>55</x:v>
      </x:c>
      <x:c r="I23" s="49" t="n">
        <x:f>E23*H23</x:f>
        <x:v>440</x:v>
      </x:c>
      <x:c r="J23" s="49" t="n">
        <x:v>12</x:v>
      </x:c>
      <x:c r="K23" s="49" t="n">
        <x:f>E23*J23</x:f>
        <x:v>96</x:v>
      </x:c>
      <x:c r="L23" s="49" t="n">
        <x:v>18</x:v>
      </x:c>
      <x:c r="M23" s="49" t="n">
        <x:f>E23*L23</x:f>
        <x:v>144</x:v>
      </x:c>
    </x:row>
    <x:row r="24" ht="15" hidden="0" customHeight="1">
      <x:c r="B24" s="41" t="str">
        <x:v>B-AHZ-X</x:v>
      </x:c>
      <x:c r="C24" s="41" t="str">
        <x:v>Contaminated air cassette</x:v>
      </x:c>
      <x:c r="D24" s="41" t="str">
        <x:v>Contaminated</x:v>
      </x:c>
      <x:c r="E24" s="41" t="n">
        <x:v>6</x:v>
      </x:c>
      <x:c r="F24" s="41" t="n">
        <x:v>0</x:v>
      </x:c>
      <x:c r="G24" s="41" t="n">
        <x:f>E24*F24</x:f>
        <x:v>0</x:v>
      </x:c>
      <x:c r="H24" s="49" t="n">
        <x:v>65</x:v>
      </x:c>
      <x:c r="I24" s="49" t="n">
        <x:f>E24*H24</x:f>
        <x:v>390</x:v>
      </x:c>
      <x:c r="J24" s="49" t="n">
        <x:v>14</x:v>
      </x:c>
      <x:c r="K24" s="49" t="n">
        <x:f>E24*J24</x:f>
        <x:v>84</x:v>
      </x:c>
      <x:c r="L24" s="49" t="n">
        <x:v>22</x:v>
      </x:c>
      <x:c r="M24" s="49" t="n">
        <x:f>E24*L24</x:f>
        <x:v>132</x:v>
      </x:c>
    </x:row>
    <x:row r="25" ht="15" hidden="0" customHeight="1">
      <x:c r="B25" s="41" t="str">
        <x:v>B-LFD-2</x:v>
      </x:c>
      <x:c r="C25" s="41" t="str">
        <x:v>Local feeder train</x:v>
      </x:c>
      <x:c r="D25" s="41" t="str">
        <x:v>Clean</x:v>
      </x:c>
      <x:c r="E25" s="41" t="n">
        <x:v>4</x:v>
      </x:c>
      <x:c r="F25" s="41" t="n">
        <x:v>0</x:v>
      </x:c>
      <x:c r="G25" s="41" t="n">
        <x:f>E25*F25</x:f>
        <x:v>0</x:v>
      </x:c>
      <x:c r="H25" s="49" t="n">
        <x:v>45</x:v>
      </x:c>
      <x:c r="I25" s="49" t="n">
        <x:f>E25*H25</x:f>
        <x:v>180</x:v>
      </x:c>
      <x:c r="J25" s="49" t="n">
        <x:v>15</x:v>
      </x:c>
      <x:c r="K25" s="49" t="n">
        <x:f>E25*J25</x:f>
        <x:v>60</x:v>
      </x:c>
      <x:c r="L25" s="49" t="n">
        <x:v>20</x:v>
      </x:c>
      <x:c r="M25" s="49" t="n">
        <x:f>E25*L25</x:f>
        <x:v>80</x:v>
      </x:c>
    </x:row>
    <x:row r="26" ht="15" hidden="0" customHeight="1">
      <x:c r="B26" s="41" t="str">
        <x:v>B-SBR</x:v>
      </x:c>
      <x:c r="C26" s="41" t="str">
        <x:v>Sector branch panel</x:v>
      </x:c>
      <x:c r="D26" s="41" t="str">
        <x:v>Clean</x:v>
      </x:c>
      <x:c r="E26" s="41" t="n">
        <x:v>12</x:v>
      </x:c>
      <x:c r="F26" s="41" t="n">
        <x:v>0</x:v>
      </x:c>
      <x:c r="G26" s="41" t="n">
        <x:f>E26*F26</x:f>
        <x:v>0</x:v>
      </x:c>
      <x:c r="H26" s="49" t="n">
        <x:v>20</x:v>
      </x:c>
      <x:c r="I26" s="49" t="n">
        <x:f>E26*H26</x:f>
        <x:v>240</x:v>
      </x:c>
      <x:c r="J26" s="49" t="n">
        <x:v>5</x:v>
      </x:c>
      <x:c r="K26" s="49" t="n">
        <x:f>E26*J26</x:f>
        <x:v>60</x:v>
      </x:c>
      <x:c r="L26" s="49" t="n">
        <x:v>7</x:v>
      </x:c>
      <x:c r="M26" s="49" t="n">
        <x:f>E26*L26</x:f>
        <x:v>84</x:v>
      </x:c>
    </x:row>
    <x:row r="27" ht="15" hidden="0" customHeight="1">
      <x:c r="B27" s="41" t="str">
        <x:v>B-LUP-.10</x:v>
      </x:c>
      <x:c r="C27" s="41" t="str">
        <x:v>Local no-break pod</x:v>
      </x:c>
      <x:c r="D27" s="41" t="str">
        <x:v>Clean</x:v>
      </x:c>
      <x:c r="E27" s="41" t="n">
        <x:v>5</x:v>
      </x:c>
      <x:c r="F27" s="41" t="n">
        <x:v>0</x:v>
      </x:c>
      <x:c r="G27" s="41" t="n">
        <x:f>E27*F27</x:f>
        <x:v>0</x:v>
      </x:c>
      <x:c r="H27" s="49" t="n">
        <x:v>18</x:v>
      </x:c>
      <x:c r="I27" s="49" t="n">
        <x:f>E27*H27</x:f>
        <x:v>90</x:v>
      </x:c>
      <x:c r="J27" s="49" t="n">
        <x:v>4</x:v>
      </x:c>
      <x:c r="K27" s="49" t="n">
        <x:f>E27*J27</x:f>
        <x:v>20</x:v>
      </x:c>
      <x:c r="L27" s="49" t="n">
        <x:v>8</x:v>
      </x:c>
      <x:c r="M27" s="49" t="n">
        <x:f>E27*L27</x:f>
        <x:v>40</x:v>
      </x:c>
    </x:row>
    <x:row r="28" ht="15" hidden="0" customHeight="1">
      <x:c r="B28" s="41" t="str">
        <x:v>B-MGR</x:v>
      </x:c>
      <x:c r="C28" s="41" t="str">
        <x:v>Medical-gas node</x:v>
      </x:c>
      <x:c r="D28" s="41" t="str">
        <x:v>Clean</x:v>
      </x:c>
      <x:c r="E28" s="41" t="n">
        <x:v>8</x:v>
      </x:c>
      <x:c r="F28" s="41" t="n">
        <x:v>0</x:v>
      </x:c>
      <x:c r="G28" s="41" t="n">
        <x:f>E28*F28</x:f>
        <x:v>0</x:v>
      </x:c>
      <x:c r="H28" s="49" t="n">
        <x:v>30</x:v>
      </x:c>
      <x:c r="I28" s="49" t="n">
        <x:f>E28*H28</x:f>
        <x:v>240</x:v>
      </x:c>
      <x:c r="J28" s="49" t="n">
        <x:v>6</x:v>
      </x:c>
      <x:c r="K28" s="49" t="n">
        <x:f>E28*J28</x:f>
        <x:v>48</x:v>
      </x:c>
      <x:c r="L28" s="49" t="n">
        <x:v>10</x:v>
      </x:c>
      <x:c r="M28" s="49" t="n">
        <x:f>E28*L28</x:f>
        <x:v>80</x:v>
      </x:c>
    </x:row>
    <x:row r="29" ht="15" hidden="0" customHeight="1">
      <x:c r="B29" s="41" t="str">
        <x:v>B-WGR</x:v>
      </x:c>
      <x:c r="C29" s="41" t="str">
        <x:v>Clinical-water node</x:v>
      </x:c>
      <x:c r="D29" s="41" t="str">
        <x:v>Clean</x:v>
      </x:c>
      <x:c r="E29" s="41" t="n">
        <x:v>8</x:v>
      </x:c>
      <x:c r="F29" s="41" t="n">
        <x:v>0</x:v>
      </x:c>
      <x:c r="G29" s="41" t="n">
        <x:f>E29*F29</x:f>
        <x:v>0</x:v>
      </x:c>
      <x:c r="H29" s="49" t="n">
        <x:v>45</x:v>
      </x:c>
      <x:c r="I29" s="49" t="n">
        <x:f>E29*H29</x:f>
        <x:v>360</x:v>
      </x:c>
      <x:c r="J29" s="49" t="n">
        <x:v>8</x:v>
      </x:c>
      <x:c r="K29" s="49" t="n">
        <x:f>E29*J29</x:f>
        <x:v>64</x:v>
      </x:c>
      <x:c r="L29" s="49" t="n">
        <x:v>12</x:v>
      </x:c>
      <x:c r="M29" s="49" t="n">
        <x:f>E29*L29</x:f>
        <x:v>96</x:v>
      </x:c>
    </x:row>
    <x:row r="30" ht="15" hidden="0" customHeight="1">
      <x:c r="B30" s="41" t="str">
        <x:v>B-WMI</x:v>
      </x:c>
      <x:c r="C30" s="41" t="str">
        <x:v>Wastewater / waste interface</x:v>
      </x:c>
      <x:c r="D30" s="41" t="str">
        <x:v>Contaminated</x:v>
      </x:c>
      <x:c r="E30" s="41" t="n">
        <x:v>8</x:v>
      </x:c>
      <x:c r="F30" s="41" t="n">
        <x:v>0</x:v>
      </x:c>
      <x:c r="G30" s="41" t="n">
        <x:f>E30*F30</x:f>
        <x:v>0</x:v>
      </x:c>
      <x:c r="H30" s="49" t="n">
        <x:v>45</x:v>
      </x:c>
      <x:c r="I30" s="49" t="n">
        <x:f>E30*H30</x:f>
        <x:v>360</x:v>
      </x:c>
      <x:c r="J30" s="49" t="n">
        <x:v>8</x:v>
      </x:c>
      <x:c r="K30" s="49" t="n">
        <x:f>E30*J30</x:f>
        <x:v>64</x:v>
      </x:c>
      <x:c r="L30" s="49" t="n">
        <x:v>14</x:v>
      </x:c>
      <x:c r="M30" s="49" t="n">
        <x:f>E30*L30</x:f>
        <x:v>112</x:v>
      </x:c>
    </x:row>
    <x:row r="31" ht="15" hidden="0" customHeight="1">
      <x:c r="B31" s="41" t="str">
        <x:v>B-SIT</x:v>
      </x:c>
      <x:c r="C31" s="41" t="str">
        <x:v>Sterile transition</x:v>
      </x:c>
      <x:c r="D31" s="41" t="str">
        <x:v>Clean-Controlled</x:v>
      </x:c>
      <x:c r="E31" s="41" t="n">
        <x:v>8</x:v>
      </x:c>
      <x:c r="F31" s="41" t="n">
        <x:v>0</x:v>
      </x:c>
      <x:c r="G31" s="41" t="n">
        <x:f>E31*F31</x:f>
        <x:v>0</x:v>
      </x:c>
      <x:c r="H31" s="49" t="n">
        <x:v>60</x:v>
      </x:c>
      <x:c r="I31" s="49" t="n">
        <x:f>E31*H31</x:f>
        <x:v>480</x:v>
      </x:c>
      <x:c r="J31" s="49" t="n">
        <x:v>6</x:v>
      </x:c>
      <x:c r="K31" s="49" t="n">
        <x:f>E31*J31</x:f>
        <x:v>48</x:v>
      </x:c>
      <x:c r="L31" s="49" t="n">
        <x:v>12</x:v>
      </x:c>
      <x:c r="M31" s="49" t="n">
        <x:f>E31*L31</x:f>
        <x:v>96</x:v>
      </x:c>
    </x:row>
    <x:row r="32" ht="15" hidden="0" customHeight="1">
      <x:c r="B32" s="41" t="str">
        <x:v>B-CLD</x:v>
      </x:c>
      <x:c r="C32" s="41" t="str">
        <x:v>Clean logistics dock</x:v>
      </x:c>
      <x:c r="D32" s="41" t="str">
        <x:v>Clean</x:v>
      </x:c>
      <x:c r="E32" s="41" t="n">
        <x:v>6</x:v>
      </x:c>
      <x:c r="F32" s="41" t="n">
        <x:v>0</x:v>
      </x:c>
      <x:c r="G32" s="41" t="n">
        <x:f>E32*F32</x:f>
        <x:v>0</x:v>
      </x:c>
      <x:c r="H32" s="49" t="n">
        <x:v>80</x:v>
      </x:c>
      <x:c r="I32" s="49" t="n">
        <x:f>E32*H32</x:f>
        <x:v>480</x:v>
      </x:c>
      <x:c r="J32" s="49" t="n">
        <x:v>8</x:v>
      </x:c>
      <x:c r="K32" s="49" t="n">
        <x:f>E32*J32</x:f>
        <x:v>48</x:v>
      </x:c>
      <x:c r="L32" s="49" t="n">
        <x:v>9</x:v>
      </x:c>
      <x:c r="M32" s="49" t="n">
        <x:f>E32*L32</x:f>
        <x:v>54</x:v>
      </x:c>
    </x:row>
    <x:row r="33" ht="15" hidden="0" customHeight="1">
      <x:c r="B33" s="41" t="str">
        <x:v>B-DRD</x:v>
      </x:c>
      <x:c r="C33" s="41" t="str">
        <x:v>Dirty return / decontamination</x:v>
      </x:c>
      <x:c r="D33" s="41" t="str">
        <x:v>Contaminated</x:v>
      </x:c>
      <x:c r="E33" s="41" t="n">
        <x:v>6</x:v>
      </x:c>
      <x:c r="F33" s="41" t="n">
        <x:v>0</x:v>
      </x:c>
      <x:c r="G33" s="41" t="n">
        <x:f>E33*F33</x:f>
        <x:v>0</x:v>
      </x:c>
      <x:c r="H33" s="49" t="n">
        <x:v>80</x:v>
      </x:c>
      <x:c r="I33" s="49" t="n">
        <x:f>E33*H33</x:f>
        <x:v>480</x:v>
      </x:c>
      <x:c r="J33" s="49" t="n">
        <x:v>9</x:v>
      </x:c>
      <x:c r="K33" s="49" t="n">
        <x:f>E33*J33</x:f>
        <x:v>54</x:v>
      </x:c>
      <x:c r="L33" s="49" t="n">
        <x:v>12</x:v>
      </x:c>
      <x:c r="M33" s="49" t="n">
        <x:f>E33*L33</x:f>
        <x:v>72</x:v>
      </x:c>
    </x:row>
    <x:row r="34" ht="15" hidden="0" customHeight="1">
      <x:c r="B34" s="41" t="str">
        <x:v>B-CDR</x:v>
      </x:c>
      <x:c r="C34" s="41" t="str">
        <x:v>Cell data and identity controller</x:v>
      </x:c>
      <x:c r="D34" s="41" t="str">
        <x:v>Clean</x:v>
      </x:c>
      <x:c r="E34" s="41" t="n">
        <x:v>10</x:v>
      </x:c>
      <x:c r="F34" s="41" t="n">
        <x:v>0</x:v>
      </x:c>
      <x:c r="G34" s="41" t="n">
        <x:f>E34*F34</x:f>
        <x:v>0</x:v>
      </x:c>
      <x:c r="H34" s="49" t="n">
        <x:v>20</x:v>
      </x:c>
      <x:c r="I34" s="49" t="n">
        <x:f>E34*H34</x:f>
        <x:v>200</x:v>
      </x:c>
      <x:c r="J34" s="49" t="n">
        <x:v>3</x:v>
      </x:c>
      <x:c r="K34" s="49" t="n">
        <x:f>E34*J34</x:f>
        <x:v>30</x:v>
      </x:c>
      <x:c r="L34" s="49" t="n">
        <x:v>8</x:v>
      </x:c>
      <x:c r="M34" s="49" t="n">
        <x:f>E34*L34</x:f>
        <x:v>80</x:v>
      </x:c>
    </x:row>
    <x:row r="35" ht="15" hidden="0" customHeight="1">
      <x:c r="B35" s="41" t="str">
        <x:v>B-STH</x:v>
      </x:c>
      <x:c r="C35" s="41" t="str">
        <x:v>Staff transition</x:v>
      </x:c>
      <x:c r="D35" s="41" t="str">
        <x:v>Clean-Controlled</x:v>
      </x:c>
      <x:c r="E35" s="41" t="n">
        <x:v>6</x:v>
      </x:c>
      <x:c r="F35" s="41" t="n">
        <x:v>0</x:v>
      </x:c>
      <x:c r="G35" s="41" t="n">
        <x:f>E35*F35</x:f>
        <x:v>0</x:v>
      </x:c>
      <x:c r="H35" s="49" t="n">
        <x:v>180</x:v>
      </x:c>
      <x:c r="I35" s="49" t="n">
        <x:f>E35*H35</x:f>
        <x:v>1080</x:v>
      </x:c>
      <x:c r="J35" s="49" t="n">
        <x:v>9</x:v>
      </x:c>
      <x:c r="K35" s="49" t="n">
        <x:f>E35*J35</x:f>
        <x:v>54</x:v>
      </x:c>
      <x:c r="L35" s="49" t="n">
        <x:v>9</x:v>
      </x:c>
      <x:c r="M35" s="49" t="n">
        <x:f>E35*L35</x:f>
        <x:v>54</x:v>
      </x:c>
    </x:row>
    <x:row r="36" ht="15" hidden="0" customHeight="1">
      <x:c r="B36" s="41" t="str">
        <x:v>B-BMR</x:v>
      </x:c>
      <x:c r="C36" s="41" t="str">
        <x:v>Biomedical repair root</x:v>
      </x:c>
      <x:c r="D36" s="41" t="str">
        <x:v>Clean</x:v>
      </x:c>
      <x:c r="E36" s="41" t="n">
        <x:v>4</x:v>
      </x:c>
      <x:c r="F36" s="41" t="n">
        <x:v>0</x:v>
      </x:c>
      <x:c r="G36" s="41" t="n">
        <x:f>E36*F36</x:f>
        <x:v>0</x:v>
      </x:c>
      <x:c r="H36" s="49" t="n">
        <x:v>90</x:v>
      </x:c>
      <x:c r="I36" s="49" t="n">
        <x:f>E36*H36</x:f>
        <x:v>360</x:v>
      </x:c>
      <x:c r="J36" s="49" t="n">
        <x:v>8</x:v>
      </x:c>
      <x:c r="K36" s="49" t="n">
        <x:f>E36*J36</x:f>
        <x:v>32</x:v>
      </x:c>
      <x:c r="L36" s="49" t="n">
        <x:v>16</x:v>
      </x:c>
      <x:c r="M36" s="49" t="n">
        <x:f>E36*L36</x:f>
        <x:v>64</x:v>
      </x:c>
    </x:row>
    <x:row r="37" ht="15" hidden="0" customHeight="1">
      <x:c r="B37" s="41" t="str">
        <x:v>B-BCC</x:v>
      </x:c>
      <x:c r="C37" s="41" t="str">
        <x:v>Accessible cell connector</x:v>
      </x:c>
      <x:c r="D37" s="41" t="str">
        <x:v>Controlled</x:v>
      </x:c>
      <x:c r="E37" s="41" t="n">
        <x:v>24</x:v>
      </x:c>
      <x:c r="F37" s="41" t="n">
        <x:v>0</x:v>
      </x:c>
      <x:c r="G37" s="41" t="n">
        <x:f>E37*F37</x:f>
        <x:v>0</x:v>
      </x:c>
      <x:c r="H37" s="49" t="n">
        <x:v>35</x:v>
      </x:c>
      <x:c r="I37" s="49" t="n">
        <x:f>E37*H37</x:f>
        <x:v>840</x:v>
      </x:c>
      <x:c r="J37" s="49" t="n">
        <x:v>2.5</x:v>
      </x:c>
      <x:c r="K37" s="49" t="n">
        <x:f>E37*J37</x:f>
        <x:v>60</x:v>
      </x:c>
      <x:c r="L37" s="49" t="n">
        <x:v>3.5</x:v>
      </x:c>
      <x:c r="M37" s="49" t="n">
        <x:f>E37*L37</x:f>
        <x:v>84</x:v>
      </x:c>
    </x:row>
    <x:row r="38" ht="15" hidden="0" customHeight="1">
      <x:c r="B38" s="41" t="str">
        <x:v>B-CIM</x:v>
      </x:c>
      <x:c r="C38" s="41" t="str">
        <x:v>Connection and isolation manifold</x:v>
      </x:c>
      <x:c r="D38" s="41" t="str">
        <x:v>Mixed</x:v>
      </x:c>
      <x:c r="E38" s="41" t="n">
        <x:v>24</x:v>
      </x:c>
      <x:c r="F38" s="41" t="n">
        <x:v>0</x:v>
      </x:c>
      <x:c r="G38" s="41" t="n">
        <x:f>E38*F38</x:f>
        <x:v>0</x:v>
      </x:c>
      <x:c r="H38" s="49" t="n">
        <x:v>8</x:v>
      </x:c>
      <x:c r="I38" s="49" t="n">
        <x:f>E38*H38</x:f>
        <x:v>192</x:v>
      </x:c>
      <x:c r="J38" s="49" t="n">
        <x:v>2</x:v>
      </x:c>
      <x:c r="K38" s="49" t="n">
        <x:f>E38*J38</x:f>
        <x:v>48</x:v>
      </x:c>
      <x:c r="L38" s="49" t="n">
        <x:v>3</x:v>
      </x:c>
      <x:c r="M38" s="49" t="n">
        <x:f>E38*L38</x:f>
        <x:v>72</x:v>
      </x:c>
    </x:row>
    <x:row r="39" ht="15" hidden="0" customHeight="1">
      <x:c r="B39" s="41" t="str">
        <x:v>B-FAH</x:v>
      </x:c>
      <x:c r="C39" s="41" t="str">
        <x:v>Distributed foundation and handling set</x:v>
      </x:c>
      <x:c r="D39" s="41" t="str">
        <x:v>External</x:v>
      </x:c>
      <x:c r="E39" s="41" t="n">
        <x:v>1</x:v>
      </x:c>
      <x:c r="F39" s="41" t="n">
        <x:v>0</x:v>
      </x:c>
      <x:c r="G39" s="41" t="n">
        <x:f>E39*F39</x:f>
        <x:v>0</x:v>
      </x:c>
      <x:c r="H39" s="49" t="n">
        <x:v>0</x:v>
      </x:c>
      <x:c r="I39" s="49" t="n">
        <x:f>E39*H39</x:f>
        <x:v>0</x:v>
      </x:c>
      <x:c r="J39" s="49" t="n">
        <x:v>320</x:v>
      </x:c>
      <x:c r="K39" s="49" t="n">
        <x:f>E39*J39</x:f>
        <x:v>320</x:v>
      </x:c>
      <x:c r="L39" s="49" t="n">
        <x:v>320</x:v>
      </x:c>
      <x:c r="M39" s="49" t="n">
        <x:f>E39*L39</x:f>
        <x:v>320</x:v>
      </x:c>
    </x:row>
    <x:row r="40" ht="15" hidden="0" customHeight="1">
      <x:c r="B40" s="41" t="str">
        <x:v>B-RTS</x:v>
      </x:c>
      <x:c r="C40" s="41" t="str">
        <x:v>Reserve tools and spares</x:v>
      </x:c>
      <x:c r="D40" s="41" t="str">
        <x:v>Clean</x:v>
      </x:c>
      <x:c r="E40" s="41" t="n">
        <x:v>14</x:v>
      </x:c>
      <x:c r="F40" s="41" t="n">
        <x:v>0</x:v>
      </x:c>
      <x:c r="G40" s="41" t="n">
        <x:f>E40*F40</x:f>
        <x:v>0</x:v>
      </x:c>
      <x:c r="H40" s="49" t="n">
        <x:v>18</x:v>
      </x:c>
      <x:c r="I40" s="49" t="n">
        <x:f>E40*H40</x:f>
        <x:v>252</x:v>
      </x:c>
      <x:c r="J40" s="49" t="n">
        <x:v>6</x:v>
      </x:c>
      <x:c r="K40" s="49" t="n">
        <x:f>E40*J40</x:f>
        <x:v>84</x:v>
      </x:c>
      <x:c r="L40" s="49" t="n">
        <x:v>8</x:v>
      </x:c>
      <x:c r="M40" s="49" t="n">
        <x:f>E40*L40</x:f>
        <x:v>112</x:v>
      </x:c>
    </x:row>
    <x:row r="41" ht="15" hidden="0" customHeight="1">
      <x:c r="B41" s="41" t="str">
        <x:v>B-CTP</x:v>
      </x:c>
      <x:c r="C41" s="41" t="str">
        <x:v>Contamination partition</x:v>
      </x:c>
      <x:c r="D41" s="41" t="str">
        <x:v>Boundary</x:v>
      </x:c>
      <x:c r="E41" s="41" t="n">
        <x:v>12</x:v>
      </x:c>
      <x:c r="F41" s="41" t="n">
        <x:v>0</x:v>
      </x:c>
      <x:c r="G41" s="41" t="n">
        <x:f>E41*F41</x:f>
        <x:v>0</x:v>
      </x:c>
      <x:c r="H41" s="49" t="n">
        <x:v>35</x:v>
      </x:c>
      <x:c r="I41" s="49" t="n">
        <x:f>E41*H41</x:f>
        <x:v>420</x:v>
      </x:c>
      <x:c r="J41" s="49" t="n">
        <x:v>5</x:v>
      </x:c>
      <x:c r="K41" s="49" t="n">
        <x:f>E41*J41</x:f>
        <x:v>60</x:v>
      </x:c>
      <x:c r="L41" s="49" t="n">
        <x:v>6</x:v>
      </x:c>
      <x:c r="M41" s="49" t="n">
        <x:f>E41*L41</x:f>
        <x:v>72</x:v>
      </x:c>
    </x:row>
    <x:row r="42" ht="15" hidden="0" customHeight="1">
      <x:c r="B42" s="47" t="str">
        <x:v>TOTAL</x:v>
      </x:c>
      <x:c r="C42" s="47" t="str">
        <x:v>Root B FCM-B</x:v>
      </x:c>
      <x:c r="D42" s="47" t="str">
        <x:v>complete root</x:v>
      </x:c>
      <x:c r="E42" s="47" t="n">
        <x:f>SUM(E7:E41)</x:f>
        <x:v>218</x:v>
      </x:c>
      <x:c r="F42" s="47"/>
      <x:c r="G42" s="47" t="n">
        <x:f>SUM(G7:G41)</x:f>
        <x:v>304</x:v>
      </x:c>
      <x:c r="H42" s="50"/>
      <x:c r="I42" s="50" t="n">
        <x:f>SUM(I7:I41)</x:f>
        <x:v>21464</x:v>
      </x:c>
      <x:c r="J42" s="50"/>
      <x:c r="K42" s="50" t="n">
        <x:f>SUM(K7:K41)</x:f>
        <x:v>3179</x:v>
      </x:c>
      <x:c r="L42" s="50"/>
      <x:c r="M42" s="50" t="n">
        <x:f>SUM(M7:M41)</x:f>
        <x:v>3995</x:v>
      </x:c>
    </x:row>
    <x:row r="43" ht="15" hidden="0" customHeight="1"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</x:row>
    <x:row r="44" ht="15" hidden="0" customHeight="1"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</x:row>
    <x:row r="45" ht="22" hidden="0" customHeight="1">
      <x:c r="B45" s="72" t="str">
        <x:v>Root design law</x:v>
      </x:c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</x:row>
    <x:row r="46" ht="15" hidden="0" customHeight="1">
      <x:c r="B46" s="44" t="str">
        <x:v>Common cause</x:v>
      </x:c>
      <x:c r="C46" s="44" t="str">
        <x:v>Utility complexity terminates in cell-local cassettes and isolation manifolds.</x:v>
      </x:c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</x:row>
    <x:row r="47" ht="15" hidden="0" customHeight="1">
      <x:c r="B47" s="44" t="str">
        <x:v>Build claim</x:v>
      </x:c>
      <x:c r="C47" s="44" t="str">
        <x:v>More, smaller articles permit more parallel work but increase interface, cleaning and configuration burden.</x:v>
      </x:c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</x:row>
    <x:row r="48" ht="15" hidden="0" customHeight="1">
      <x:c r="B48" s="44" t="str">
        <x:v>Rejection boundary</x:v>
      </x:c>
      <x:c r="C48" s="44" t="str">
        <x:v>A cell-local failure may not propagate beyond the largest 27-position care cell.</x:v>
      </x:c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</x:row>
  </x:sheetData>
  <x:mergeCells>
    <x:mergeCell ref="B2:M2"/>
    <x:mergeCell ref="B3:M3"/>
    <x:mergeCell ref="B45:M45"/>
    <x:mergeCell ref="C46:M46"/>
    <x:mergeCell ref="C47:M47"/>
    <x:mergeCell ref="C48:M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2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" max="1" width="3" hidden="0" customWidth="1"/>
  </x:cols>
  <x:sheetData>
    <x:row r="2" ht="24" hidden="0" customHeight="1">
      <x:c r="B2" s="70" t="str">
        <x:v>Domain-specific air closure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Every domain retains capacity after one same-domain article loss. The contaminated calculation uses the declared high-infection case.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Root</x:v>
      </x:c>
      <x:c r="C6" s="8" t="str">
        <x:v>Domain</x:v>
      </x:c>
      <x:c r="D6" s="8" t="str">
        <x:v>Area share</x:v>
      </x:c>
      <x:c r="E6" s="8" t="str">
        <x:v>Area m2</x:v>
      </x:c>
      <x:c r="F6" s="8" t="str">
        <x:v>Height m</x:v>
      </x:c>
      <x:c r="G6" s="8" t="str">
        <x:v>ACH</x:v>
      </x:c>
      <x:c r="H6" s="8" t="str">
        <x:v>Required m3/h</x:v>
      </x:c>
      <x:c r="I6" s="8" t="str">
        <x:v>Articles</x:v>
      </x:c>
      <x:c r="J6" s="8" t="str">
        <x:v>Capacity / article</x:v>
      </x:c>
      <x:c r="K6" s="8" t="str">
        <x:v>After one loss</x:v>
      </x:c>
      <x:c r="L6" s="8" t="str">
        <x:v>Margin</x:v>
      </x:c>
      <x:c r="M6" s="41"/>
    </x:row>
    <x:row r="7" ht="15" hidden="0" customHeight="1">
      <x:c r="B7" s="41" t="str">
        <x:v>Root A</x:v>
      </x:c>
      <x:c r="C7" s="41" t="str">
        <x:v>Clean</x:v>
      </x:c>
      <x:c r="D7" s="53" t="n">
        <x:f>'01 Controls'!$D$20</x:f>
        <x:v>0.24</x:v>
      </x:c>
      <x:c r="E7" s="54" t="n">
        <x:f>'03 Root A bill'!$I$41</x:f>
        <x:v>21175</x:v>
      </x:c>
      <x:c r="F7" s="54" t="n">
        <x:f>'01 Controls'!$D$17</x:f>
        <x:v>4</x:v>
      </x:c>
      <x:c r="G7" s="54" t="n">
        <x:f>'01 Controls'!$D$23</x:f>
        <x:v>6</x:v>
      </x:c>
      <x:c r="H7" s="54" t="n">
        <x:f>D7*E7*F7*G7</x:f>
        <x:v>121968</x:v>
      </x:c>
      <x:c r="I7" s="54" t="n">
        <x:f>'01 Controls'!$D$26</x:f>
        <x:v>2</x:v>
      </x:c>
      <x:c r="J7" s="54" t="n">
        <x:f>'01 Controls'!$D$27</x:f>
        <x:v>130000</x:v>
      </x:c>
      <x:c r="K7" s="54" t="n">
        <x:f>(I7-1)*J7</x:f>
        <x:v>130000</x:v>
      </x:c>
      <x:c r="L7" s="54" t="n">
        <x:f>K7-H7</x:f>
        <x:v>8032</x:v>
      </x:c>
      <x:c r="M7" s="41"/>
    </x:row>
    <x:row r="8" ht="15" hidden="0" customHeight="1">
      <x:c r="B8" s="41" t="str">
        <x:v>Root A</x:v>
      </x:c>
      <x:c r="C8" s="41" t="str">
        <x:v>Controlled</x:v>
      </x:c>
      <x:c r="D8" s="53" t="n">
        <x:f>'01 Controls'!$D$21</x:f>
        <x:v>0.56</x:v>
      </x:c>
      <x:c r="E8" s="54" t="n">
        <x:f>'03 Root A bill'!$I$41</x:f>
        <x:v>21175</x:v>
      </x:c>
      <x:c r="F8" s="54" t="n">
        <x:f>'01 Controls'!$D$17</x:f>
        <x:v>4</x:v>
      </x:c>
      <x:c r="G8" s="54" t="n">
        <x:f>'01 Controls'!$D$24</x:f>
        <x:v>8</x:v>
      </x:c>
      <x:c r="H8" s="54" t="n">
        <x:f>D8*E8*F8*G8</x:f>
        <x:v>379456.00000000006</x:v>
      </x:c>
      <x:c r="I8" s="54" t="n">
        <x:f>'01 Controls'!$D$28</x:f>
        <x:v>4</x:v>
      </x:c>
      <x:c r="J8" s="54" t="n">
        <x:f>'01 Controls'!$D$29</x:f>
        <x:v>130000</x:v>
      </x:c>
      <x:c r="K8" s="54" t="n">
        <x:f>(I8-1)*J8</x:f>
        <x:v>390000</x:v>
      </x:c>
      <x:c r="L8" s="54" t="n">
        <x:f>K8-H8</x:f>
        <x:v>10543.999999999942</x:v>
      </x:c>
      <x:c r="M8" s="41"/>
    </x:row>
    <x:row r="9" ht="15" hidden="0" customHeight="1">
      <x:c r="B9" s="41" t="str">
        <x:v>Root A</x:v>
      </x:c>
      <x:c r="C9" s="41" t="str">
        <x:v>Contaminated high-infection</x:v>
      </x:c>
      <x:c r="D9" s="53" t="n">
        <x:f>'01 Controls'!$D$22</x:f>
        <x:v>0.3</x:v>
      </x:c>
      <x:c r="E9" s="54" t="n">
        <x:f>'03 Root A bill'!$I$41</x:f>
        <x:v>21175</x:v>
      </x:c>
      <x:c r="F9" s="54" t="n">
        <x:f>'01 Controls'!$D$17</x:f>
        <x:v>4</x:v>
      </x:c>
      <x:c r="G9" s="54" t="n">
        <x:f>'01 Controls'!$D$25</x:f>
        <x:v>15</x:v>
      </x:c>
      <x:c r="H9" s="54" t="n">
        <x:f>D9*E9*F9*G9</x:f>
        <x:v>381150</x:v>
      </x:c>
      <x:c r="I9" s="54" t="n">
        <x:f>'01 Controls'!$D$30</x:f>
        <x:v>4</x:v>
      </x:c>
      <x:c r="J9" s="54" t="n">
        <x:f>'01 Controls'!$D$31</x:f>
        <x:v>130000</x:v>
      </x:c>
      <x:c r="K9" s="54" t="n">
        <x:f>(I9-1)*J9</x:f>
        <x:v>390000</x:v>
      </x:c>
      <x:c r="L9" s="54" t="n">
        <x:f>K9-H9</x:f>
        <x:v>8850</x:v>
      </x:c>
      <x:c r="M9" s="41"/>
    </x:row>
    <x:row r="10" ht="15" hidden="0" customHeight="1">
      <x:c r="B10" s="41" t="str">
        <x:v>Root B</x:v>
      </x:c>
      <x:c r="C10" s="41" t="str">
        <x:v>Clean</x:v>
      </x:c>
      <x:c r="D10" s="53" t="n">
        <x:f>'01 Controls'!$D$20</x:f>
        <x:v>0.24</x:v>
      </x:c>
      <x:c r="E10" s="54" t="n">
        <x:f>'04 Root B bill'!$I$42</x:f>
        <x:v>21464</x:v>
      </x:c>
      <x:c r="F10" s="54" t="n">
        <x:f>'01 Controls'!$D$17</x:f>
        <x:v>4</x:v>
      </x:c>
      <x:c r="G10" s="54" t="n">
        <x:f>'01 Controls'!$D$23</x:f>
        <x:v>6</x:v>
      </x:c>
      <x:c r="H10" s="54" t="n">
        <x:f>D10*E10*F10*G10</x:f>
        <x:v>123632.63999999998</x:v>
      </x:c>
      <x:c r="I10" s="54" t="n">
        <x:f>'01 Controls'!$D$32</x:f>
        <x:v>4</x:v>
      </x:c>
      <x:c r="J10" s="54" t="n">
        <x:f>'01 Controls'!$D$33</x:f>
        <x:v>60000</x:v>
      </x:c>
      <x:c r="K10" s="54" t="n">
        <x:f>(I10-1)*J10</x:f>
        <x:v>180000</x:v>
      </x:c>
      <x:c r="L10" s="54" t="n">
        <x:f>K10-H10</x:f>
        <x:v>56367.360000000015</x:v>
      </x:c>
      <x:c r="M10" s="41"/>
    </x:row>
    <x:row r="11" ht="15" hidden="0" customHeight="1">
      <x:c r="B11" s="41" t="str">
        <x:v>Root B</x:v>
      </x:c>
      <x:c r="C11" s="41" t="str">
        <x:v>Controlled</x:v>
      </x:c>
      <x:c r="D11" s="53" t="n">
        <x:f>'01 Controls'!$D$21</x:f>
        <x:v>0.56</x:v>
      </x:c>
      <x:c r="E11" s="54" t="n">
        <x:f>'04 Root B bill'!$I$42</x:f>
        <x:v>21464</x:v>
      </x:c>
      <x:c r="F11" s="54" t="n">
        <x:f>'01 Controls'!$D$17</x:f>
        <x:v>4</x:v>
      </x:c>
      <x:c r="G11" s="54" t="n">
        <x:f>'01 Controls'!$D$24</x:f>
        <x:v>8</x:v>
      </x:c>
      <x:c r="H11" s="54" t="n">
        <x:f>D11*E11*F11*G11</x:f>
        <x:v>384634.88000000006</x:v>
      </x:c>
      <x:c r="I11" s="54" t="n">
        <x:f>'01 Controls'!$D$34</x:f>
        <x:v>8</x:v>
      </x:c>
      <x:c r="J11" s="54" t="n">
        <x:f>'01 Controls'!$D$35</x:f>
        <x:v>60000</x:v>
      </x:c>
      <x:c r="K11" s="54" t="n">
        <x:f>(I11-1)*J11</x:f>
        <x:v>420000</x:v>
      </x:c>
      <x:c r="L11" s="54" t="n">
        <x:f>K11-H11</x:f>
        <x:v>35365.11999999994</x:v>
      </x:c>
      <x:c r="M11" s="41"/>
    </x:row>
    <x:row r="12" ht="15" hidden="0" customHeight="1">
      <x:c r="B12" s="41" t="str">
        <x:v>Root B</x:v>
      </x:c>
      <x:c r="C12" s="41" t="str">
        <x:v>Contaminated high-infection</x:v>
      </x:c>
      <x:c r="D12" s="53" t="n">
        <x:f>'01 Controls'!$D$22</x:f>
        <x:v>0.3</x:v>
      </x:c>
      <x:c r="E12" s="54" t="n">
        <x:f>'04 Root B bill'!$I$42</x:f>
        <x:v>21464</x:v>
      </x:c>
      <x:c r="F12" s="54" t="n">
        <x:f>'01 Controls'!$D$17</x:f>
        <x:v>4</x:v>
      </x:c>
      <x:c r="G12" s="54" t="n">
        <x:f>'01 Controls'!$D$25</x:f>
        <x:v>15</x:v>
      </x:c>
      <x:c r="H12" s="54" t="n">
        <x:f>D12*E12*F12*G12</x:f>
        <x:v>386352</x:v>
      </x:c>
      <x:c r="I12" s="54" t="n">
        <x:f>'01 Controls'!$D$36</x:f>
        <x:v>6</x:v>
      </x:c>
      <x:c r="J12" s="54" t="n">
        <x:f>'01 Controls'!$D$37</x:f>
        <x:v>80000</x:v>
      </x:c>
      <x:c r="K12" s="54" t="n">
        <x:f>(I12-1)*J12</x:f>
        <x:v>400000</x:v>
      </x:c>
      <x:c r="L12" s="54" t="n">
        <x:f>K12-H12</x:f>
        <x:v>13648</x:v>
      </x:c>
      <x:c r="M12" s="41"/>
    </x:row>
    <x:row r="13" ht="15" hidden="0" customHeight="1"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4" ht="15" hidden="0" customHeight="1"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</x:row>
    <x:row r="15" ht="22" hidden="0" customHeight="1">
      <x:c r="B15" s="72" t="str">
        <x:v>Interpretation</x:v>
      </x:c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41"/>
    </x:row>
    <x:row r="16" ht="15" hidden="0" customHeight="1">
      <x:c r="B16" s="44" t="str">
        <x:v>Pass 163 correction</x:v>
      </x:c>
      <x:c r="C16" s="44" t="str">
        <x:v>Both roots replace the 524.8 m3/h controlled-air margin and close the former high-infection failure.</x:v>
      </x:c>
      <x:c r="D16" s="44"/>
      <x:c r="E16" s="44"/>
      <x:c r="F16" s="44"/>
      <x:c r="G16" s="44"/>
      <x:c r="H16" s="44"/>
      <x:c r="I16" s="44"/>
      <x:c r="J16" s="44"/>
      <x:c r="K16" s="44"/>
      <x:c r="L16" s="44"/>
      <x:c r="M16" s="41"/>
    </x:row>
    <x:row r="17" ht="15" hidden="0" customHeight="1">
      <x:c r="B17" s="44" t="str">
        <x:v>Root A</x:v>
      </x:c>
      <x:c r="C17" s="44" t="str">
        <x:v>The smallest retained margin is 8,032 m3/h. Fouling, leakage, heat and measurement uncertainty must fit inside it or capacity rises.</x:v>
      </x:c>
      <x:c r="D17" s="44"/>
      <x:c r="E17" s="44"/>
      <x:c r="F17" s="44"/>
      <x:c r="G17" s="44"/>
      <x:c r="H17" s="44"/>
      <x:c r="I17" s="44"/>
      <x:c r="J17" s="44"/>
      <x:c r="K17" s="44"/>
      <x:c r="L17" s="44"/>
      <x:c r="M17" s="41"/>
    </x:row>
    <x:row r="18" ht="15" hidden="0" customHeight="1">
      <x:c r="B18" s="44" t="str">
        <x:v>Root B</x:v>
      </x:c>
      <x:c r="C18" s="44" t="str">
        <x:v>The larger margins do not prove independence. Distributed controls, credentials and settings remain latent common-mode candidates.</x:v>
      </x:c>
      <x:c r="D18" s="44"/>
      <x:c r="E18" s="44"/>
      <x:c r="F18" s="44"/>
      <x:c r="G18" s="44"/>
      <x:c r="H18" s="44"/>
      <x:c r="I18" s="44"/>
      <x:c r="J18" s="44"/>
      <x:c r="K18" s="44"/>
      <x:c r="L18" s="44"/>
      <x:c r="M18" s="41"/>
    </x:row>
    <x:row r="19" ht="15" hidden="0" customHeight="1">
      <x:c r="B19" s="44" t="str">
        <x:v>Boundary</x:v>
      </x:c>
      <x:c r="C19" s="44" t="str">
        <x:v>Rates and area shares are research hypotheses. They are not clinical setpoints or code acceptance.</x:v>
      </x:c>
      <x:c r="D19" s="44"/>
      <x:c r="E19" s="44"/>
      <x:c r="F19" s="44"/>
      <x:c r="G19" s="44"/>
      <x:c r="H19" s="44"/>
      <x:c r="I19" s="44"/>
      <x:c r="J19" s="44"/>
      <x:c r="K19" s="44"/>
      <x:c r="L19" s="44"/>
      <x:c r="M19" s="41"/>
    </x:row>
  </x:sheetData>
  <x:mergeCells>
    <x:mergeCell ref="B2:M2"/>
    <x:mergeCell ref="B3:M3"/>
    <x:mergeCell ref="B15:L15"/>
    <x:mergeCell ref="C16:L16"/>
    <x:mergeCell ref="C17:L17"/>
    <x:mergeCell ref="C18:L18"/>
    <x:mergeCell ref="C19:L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" max="1" width="3" hidden="0" customWidth="1"/>
  </x:cols>
  <x:sheetData>
    <x:row r="2" ht="24" hidden="0" customHeight="1">
      <x:c r="B2" s="70" t="str">
        <x:v>Island and HCSG power constitution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The local systems differ while the HCSG source requirement remains six clusters under both planning roots.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Root</x:v>
      </x:c>
      <x:c r="C6" s="8" t="str">
        <x:v>Care MW</x:v>
      </x:c>
      <x:c r="D6" s="8" t="str">
        <x:v>Local support MW</x:v>
      </x:c>
      <x:c r="E6" s="8" t="str">
        <x:v>Island continuous MW</x:v>
      </x:c>
      <x:c r="F6" s="8" t="str">
        <x:v>Island peak MW</x:v>
      </x:c>
      <x:c r="G6" s="8" t="str">
        <x:v>Feeder count</x:v>
      </x:c>
      <x:c r="H6" s="8" t="str">
        <x:v>Feeder rating MW</x:v>
      </x:c>
      <x:c r="I6" s="8" t="str">
        <x:v>After one feeder loss MW</x:v>
      </x:c>
      <x:c r="J6" s="8" t="str">
        <x:v>Local margin MW</x:v>
      </x:c>
      <x:c r="K6" s="8" t="str">
        <x:v>Formation continuous MW</x:v>
      </x:c>
      <x:c r="L6" s="8" t="str">
        <x:v>Formation peak MW</x:v>
      </x:c>
      <x:c r="M6" s="8" t="str">
        <x:v>SPC count</x:v>
      </x:c>
    </x:row>
    <x:row r="7" ht="15" hidden="0" customHeight="1">
      <x:c r="B7" s="41" t="str">
        <x:v>Root A</x:v>
      </x:c>
      <x:c r="C7" s="57" t="n">
        <x:f>'01 Controls'!$D$38</x:f>
        <x:v>1.6702</x:v>
      </x:c>
      <x:c r="D7" s="57" t="n">
        <x:f>'01 Controls'!$D$39</x:f>
        <x:v>2.55</x:v>
      </x:c>
      <x:c r="E7" s="57" t="n">
        <x:f>C7+D7</x:f>
        <x:v>4.2202</x:v>
      </x:c>
      <x:c r="F7" s="57" t="n">
        <x:f>E7*'01 Controls'!$D$44</x:f>
        <x:v>4.85323</x:v>
      </x:c>
      <x:c r="G7" s="57" t="n">
        <x:f>'01 Controls'!$D$49</x:f>
        <x:v>3</x:v>
      </x:c>
      <x:c r="H7" s="57" t="n">
        <x:f>'01 Controls'!$D$50</x:f>
        <x:v>3</x:v>
      </x:c>
      <x:c r="I7" s="57" t="n">
        <x:f>(G7-1)*H7</x:f>
        <x:v>6</x:v>
      </x:c>
      <x:c r="J7" s="57" t="n">
        <x:f>I7-F7</x:f>
        <x:v>1.14677</x:v>
      </x:c>
      <x:c r="K7" s="57" t="n">
        <x:f>'01 Controls'!$D$7*'01 Controls'!$D$38+'01 Controls'!$D$7*D7+'01 Controls'!$D$41+'01 Controls'!$D$42</x:f>
        <x:v>19.4308</x:v>
      </x:c>
      <x:c r="L7" s="57" t="n">
        <x:f>K7*'01 Controls'!$D$44</x:f>
        <x:v>22.34542</x:v>
      </x:c>
      <x:c r="M7" s="57" t="n">
        <x:f>MAX(ROUNDUP(K7*(1+'01 Controls'!$D$48)/('01 Controls'!$D$45*'01 Controls'!$D$47),0),ROUNDUP(K7/('01 Controls'!$D$45*'01 Controls'!$D$47),0)+1,ROUNDUP(L7/'01 Controls'!$D$46,0)+1)</x:f>
        <x:v>6</x:v>
      </x:c>
    </x:row>
    <x:row r="8" ht="15" hidden="0" customHeight="1">
      <x:c r="B8" s="41" t="str">
        <x:v>Root B</x:v>
      </x:c>
      <x:c r="C8" s="57" t="n">
        <x:f>'01 Controls'!$D$38</x:f>
        <x:v>1.6702</x:v>
      </x:c>
      <x:c r="D8" s="57" t="n">
        <x:f>'01 Controls'!$D$40</x:f>
        <x:v>2.75</x:v>
      </x:c>
      <x:c r="E8" s="57" t="n">
        <x:f>C8+D8</x:f>
        <x:v>4.4201999999999995</x:v>
      </x:c>
      <x:c r="F8" s="57" t="n">
        <x:f>E8*'01 Controls'!$D$44</x:f>
        <x:v>5.083229999999999</x:v>
      </x:c>
      <x:c r="G8" s="57" t="n">
        <x:f>'01 Controls'!$D$51</x:f>
        <x:v>4</x:v>
      </x:c>
      <x:c r="H8" s="57" t="n">
        <x:f>'01 Controls'!$D$52</x:f>
        <x:v>2</x:v>
      </x:c>
      <x:c r="I8" s="57" t="n">
        <x:f>(G8-1)*H8</x:f>
        <x:v>6</x:v>
      </x:c>
      <x:c r="J8" s="57" t="n">
        <x:f>I8-F8</x:f>
        <x:v>0.9167700000000014</x:v>
      </x:c>
      <x:c r="K8" s="57" t="n">
        <x:f>'01 Controls'!$D$7*'01 Controls'!$D$38+'01 Controls'!$D$7*D8+'01 Controls'!$D$41+'01 Controls'!$D$43</x:f>
        <x:v>20.330799999999996</x:v>
      </x:c>
      <x:c r="L8" s="57" t="n">
        <x:f>K8*'01 Controls'!$D$44</x:f>
        <x:v>23.380419999999994</x:v>
      </x:c>
      <x:c r="M8" s="57" t="n">
        <x:f>MAX(ROUNDUP(K8*(1+'01 Controls'!$D$48)/('01 Controls'!$D$45*'01 Controls'!$D$47),0),ROUNDUP(K8/('01 Controls'!$D$45*'01 Controls'!$D$47),0)+1,ROUNDUP(L8/'01 Controls'!$D$46,0)+1)</x:f>
        <x:v>6</x:v>
      </x:c>
    </x:row>
    <x:row r="9" ht="15" hidden="0" customHeight="1">
      <x:c r="B9" s="41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</x:row>
    <x:row r="10" ht="15" hidden="0" customHeight="1">
      <x:c r="B10" s="41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</x:row>
    <x:row r="11" ht="15" hidden="0" customHeight="1">
      <x:c r="B11" s="41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</x:row>
    <x:row r="12" ht="22" hidden="0" customHeight="1">
      <x:c r="B12" s="72" t="str">
        <x:v>Formation mass and capital feedback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</x:row>
    <x:row r="13" ht="32" hidden="0" customHeight="1">
      <x:c r="B13" s="8" t="str">
        <x:v>Root</x:v>
      </x:c>
      <x:c r="C13" s="23" t="str">
        <x:v>HCSG articles</x:v>
      </x:c>
      <x:c r="D13" s="23" t="str">
        <x:v>HCSG mass t</x:v>
      </x:c>
      <x:c r="E13" s="23" t="str">
        <x:v>HCSG capital USD m</x:v>
      </x:c>
      <x:c r="F13" s="23" t="str">
        <x:v>Planning state</x:v>
      </x:c>
      <x:c r="G13" s="57"/>
      <x:c r="H13" s="57"/>
      <x:c r="I13" s="57"/>
      <x:c r="J13" s="57"/>
      <x:c r="K13" s="57"/>
      <x:c r="L13" s="57"/>
      <x:c r="M13" s="57"/>
    </x:row>
    <x:row r="14" ht="15" hidden="0" customHeight="1">
      <x:c r="B14" s="41" t="str">
        <x:v>Root A</x:v>
      </x:c>
      <x:c r="C14" s="57" t="n">
        <x:f>'01 Controls'!$D$70</x:f>
        <x:v>146</x:v>
      </x:c>
      <x:c r="D14" s="57" t="n">
        <x:f>'01 Controls'!$D$71+5*('03 Root A bill'!$K$41-'01 Controls'!$D$73)</x:f>
        <x:v>35382</x:v>
      </x:c>
      <x:c r="E14" s="57" t="n">
        <x:f>'01 Controls'!$D$72+5*('03 Root A bill'!$M$41-'01 Controls'!$D$74)</x:f>
        <x:v>32542</x:v>
      </x:c>
      <x:c r="F14" s="57" t="str">
        <x:v>root-dependent range; no selection</x:v>
      </x:c>
      <x:c r="G14" s="57"/>
      <x:c r="H14" s="57"/>
      <x:c r="I14" s="57"/>
      <x:c r="J14" s="57"/>
      <x:c r="K14" s="57"/>
      <x:c r="L14" s="57"/>
      <x:c r="M14" s="57"/>
    </x:row>
    <x:row r="15" ht="15" hidden="0" customHeight="1">
      <x:c r="B15" s="41" t="str">
        <x:v>Root B</x:v>
      </x:c>
      <x:c r="C15" s="57" t="n">
        <x:f>'01 Controls'!$D$70</x:f>
        <x:v>146</x:v>
      </x:c>
      <x:c r="D15" s="57" t="n">
        <x:f>'01 Controls'!$D$71+5*('04 Root B bill'!$K$42-'01 Controls'!$D$73)</x:f>
        <x:v>35257</x:v>
      </x:c>
      <x:c r="E15" s="57" t="n">
        <x:f>'01 Controls'!$D$72+5*('04 Root B bill'!$M$42-'01 Controls'!$D$74)</x:f>
        <x:v>34252</x:v>
      </x:c>
      <x:c r="F15" s="57" t="str">
        <x:v>root-dependent range; no selection</x:v>
      </x:c>
      <x:c r="G15" s="57"/>
      <x:c r="H15" s="57"/>
      <x:c r="I15" s="57"/>
      <x:c r="J15" s="57"/>
      <x:c r="K15" s="57"/>
      <x:c r="L15" s="57"/>
      <x:c r="M15" s="57"/>
    </x:row>
    <x:row r="16" ht="15" hidden="0" customHeight="1">
      <x:c r="B16" s="41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</x:row>
    <x:row r="17" ht="15" hidden="0" customHeight="1">
      <x:c r="B17" s="41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 ht="22" hidden="0" customHeight="1">
      <x:c r="B18" s="72" t="str">
        <x:v>No-break service</x:v>
      </x:c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</x:row>
    <x:row r="19" ht="32" hidden="0" customHeight="1">
      <x:c r="B19" s="8" t="str">
        <x:v>Root</x:v>
      </x:c>
      <x:c r="C19" s="23" t="str">
        <x:v>Island no-break MW</x:v>
      </x:c>
      <x:c r="D19" s="23" t="str">
        <x:v>Local required MWh</x:v>
      </x:c>
      <x:c r="E19" s="23" t="str">
        <x:v>Installed MWh</x:v>
      </x:c>
      <x:c r="F19" s="23" t="str">
        <x:v>After one pod loss MWh</x:v>
      </x:c>
      <x:c r="G19" s="23" t="str">
        <x:v>Local margin MWh</x:v>
      </x:c>
      <x:c r="H19" s="23" t="str">
        <x:v>Formation no-break MW</x:v>
      </x:c>
      <x:c r="I19" s="23" t="str">
        <x:v>Formation required MWh</x:v>
      </x:c>
      <x:c r="J19" s="23" t="str">
        <x:v>BSS count</x:v>
      </x:c>
      <x:c r="K19" s="23" t="str">
        <x:v>Status</x:v>
      </x:c>
      <x:c r="L19" s="57"/>
      <x:c r="M19" s="57"/>
    </x:row>
    <x:row r="20" ht="15" hidden="0" customHeight="1">
      <x:c r="B20" s="41" t="str">
        <x:v>Root A</x:v>
      </x:c>
      <x:c r="C20" s="57" t="n">
        <x:f>'01 Controls'!$D$53+'01 Controls'!$D$54</x:f>
        <x:v>2.4234999999999998</x:v>
      </x:c>
      <x:c r="D20" s="57" t="n">
        <x:f>C20*'01 Controls'!$D$60*(1+'01 Controls'!$D$61)/('01 Controls'!$D$62*'01 Controls'!$D$63)</x:f>
        <x:v>0.3292798913043476</x:v>
      </x:c>
      <x:c r="E20" s="57" t="n">
        <x:f>'01 Controls'!$D$66*'01 Controls'!$D$67</x:f>
        <x:v>0.75</x:v>
      </x:c>
      <x:c r="F20" s="57" t="n">
        <x:f>('01 Controls'!$D$66-1)*'01 Controls'!$D$67</x:f>
        <x:v>0.5</x:v>
      </x:c>
      <x:c r="G20" s="57" t="n">
        <x:f>F20-D20</x:f>
        <x:v>0.1707201086956524</x:v>
      </x:c>
      <x:c r="H20" s="57" t="n">
        <x:f>'01 Controls'!$D$7*'01 Controls'!$D$53+'01 Controls'!$D$7*'01 Controls'!$D$54+'01 Controls'!$D$56+'01 Controls'!$D$57</x:f>
        <x:v>10.894</x:v>
      </x:c>
      <x:c r="I20" s="57" t="n">
        <x:f>H20*'01 Controls'!$D$59*(1+'01 Controls'!$D$61)/('01 Controls'!$D$62*'01 Controls'!$D$63)</x:f>
        <x:v>8.880978260869563</x:v>
      </x:c>
      <x:c r="J20" s="57" t="n">
        <x:f>MAX(ROUNDUP(H20/'01 Controls'!$D$64,0)+1,ROUNDUP(I20/'01 Controls'!$D$65,0)+1)</x:f>
        <x:v>3</x:v>
      </x:c>
      <x:c r="K20" s="57" t="str">
        <x:f>IF(G20&gt;=0,"CLOSES","FAILS")</x:f>
        <x:v>CLOSES</x:v>
      </x:c>
      <x:c r="L20" s="57"/>
      <x:c r="M20" s="57"/>
    </x:row>
    <x:row r="21" ht="15" hidden="0" customHeight="1">
      <x:c r="B21" s="41" t="str">
        <x:v>Root B</x:v>
      </x:c>
      <x:c r="C21" s="57" t="n">
        <x:f>'01 Controls'!$D$53+'01 Controls'!$D$55</x:f>
        <x:v>2.5735</x:v>
      </x:c>
      <x:c r="D21" s="57" t="n">
        <x:f>C21*'01 Controls'!$D$60*(1+'01 Controls'!$D$61)/('01 Controls'!$D$62*'01 Controls'!$D$63)</x:f>
        <x:v>0.34966032608695635</x:v>
      </x:c>
      <x:c r="E21" s="57" t="n">
        <x:f>'01 Controls'!$D$68*'01 Controls'!$D$69</x:f>
        <x:v>0.5</x:v>
      </x:c>
      <x:c r="F21" s="57" t="n">
        <x:f>('01 Controls'!$D$68-1)*'01 Controls'!$D$69</x:f>
        <x:v>0.4</x:v>
      </x:c>
      <x:c r="G21" s="57" t="n">
        <x:f>F21-D21</x:f>
        <x:v>0.05033967391304367</x:v>
      </x:c>
      <x:c r="H21" s="57" t="n">
        <x:f>'01 Controls'!$D$7*'01 Controls'!$D$53+'01 Controls'!$D$7*'01 Controls'!$D$55+'01 Controls'!$D$56+'01 Controls'!$D$58</x:f>
        <x:v>11.544</x:v>
      </x:c>
      <x:c r="I21" s="57" t="n">
        <x:f>H21*'01 Controls'!$D$59*(1+'01 Controls'!$D$61)/('01 Controls'!$D$62*'01 Controls'!$D$63)</x:f>
        <x:v>9.410869565217391</x:v>
      </x:c>
      <x:c r="J21" s="57" t="n">
        <x:f>MAX(ROUNDUP(H21/'01 Controls'!$D$64,0)+1,ROUNDUP(I21/'01 Controls'!$D$65,0)+1)</x:f>
        <x:v>3</x:v>
      </x:c>
      <x:c r="K21" s="57" t="str">
        <x:f>IF(G21&gt;=0,"CLOSES","FAILS")</x:f>
        <x:v>CLOSES</x:v>
      </x:c>
      <x:c r="L21" s="57"/>
      <x:c r="M21" s="57"/>
    </x:row>
  </x:sheetData>
  <x:mergeCells>
    <x:mergeCell ref="B2:M2"/>
    <x:mergeCell ref="B3:M3"/>
    <x:mergeCell ref="B12:M12"/>
    <x:mergeCell ref="B18:M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54" hidden="0" customWidth="1"/>
    <x:col min="1" max="1" width="3" hidden="0" customWidth="1"/>
  </x:cols>
  <x:sheetData>
    <x:row r="2" ht="24" hidden="0" customHeight="1">
      <x:c r="B2" s="70" t="str">
        <x:v>Public interface-control register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Root B reduces fault reach by accepting more independently identified physical interfaces.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Interface family</x:v>
      </x:c>
      <x:c r="C6" s="8" t="str">
        <x:v>Root A records</x:v>
      </x:c>
      <x:c r="D6" s="8" t="str">
        <x:v>Root B records</x:v>
      </x:c>
      <x:c r="E6" s="8" t="str">
        <x:v>Difference</x:v>
      </x:c>
      <x:c r="F6" s="8" t="str">
        <x:v>Fields / record</x:v>
      </x:c>
      <x:c r="G6" s="8" t="str">
        <x:v>Required state</x:v>
      </x:c>
      <x:c r="H6" s="41"/>
      <x:c r="I6" s="41"/>
      <x:c r="J6" s="41"/>
      <x:c r="K6" s="41"/>
      <x:c r="L6" s="41"/>
      <x:c r="M6" s="41"/>
    </x:row>
    <x:row r="7" ht="15" hidden="0" customHeight="1">
      <x:c r="B7" s="41" t="str">
        <x:v>Structural and pose</x:v>
      </x:c>
      <x:c r="C7" s="41" t="n">
        <x:v>120</x:v>
      </x:c>
      <x:c r="D7" s="41" t="n">
        <x:v>240</x:v>
      </x:c>
      <x:c r="E7" s="41" t="n">
        <x:f>D7-C7</x:f>
        <x:v>120</x:v>
      </x:c>
      <x:c r="F7" s="41" t="n">
        <x:v>18</x:v>
      </x:c>
      <x:c r="G7" s="41" t="str">
        <x:v>load path, datum, restraint and egress geometry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Electrical source and branch</x:v>
      </x:c>
      <x:c r="C8" s="41" t="n">
        <x:v>84</x:v>
      </x:c>
      <x:c r="D8" s="41" t="n">
        <x:v>180</x:v>
      </x:c>
      <x:c r="E8" s="41" t="n">
        <x:f>D8-C8</x:f>
        <x:v>96</x:v>
      </x:c>
      <x:c r="F8" s="41" t="n">
        <x:v>18</x:v>
      </x:c>
      <x:c r="G8" s="41" t="str">
        <x:v>source identity, polarity, protection and isolation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Air supply and exhaust</x:v>
      </x:c>
      <x:c r="C9" s="41" t="n">
        <x:v>60</x:v>
      </x:c>
      <x:c r="D9" s="41" t="n">
        <x:v>144</x:v>
      </x:c>
      <x:c r="E9" s="41" t="n">
        <x:f>D9-C9</x:f>
        <x:v>84</x:v>
      </x:c>
      <x:c r="F9" s="41" t="n">
        <x:v>18</x:v>
      </x:c>
      <x:c r="G9" s="41" t="str">
        <x:v>domain, direction, leakage and filter state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Medical gas</x:v>
      </x:c>
      <x:c r="C10" s="41" t="n">
        <x:v>45</x:v>
      </x:c>
      <x:c r="D10" s="41" t="n">
        <x:v>96</x:v>
      </x:c>
      <x:c r="E10" s="41" t="n">
        <x:f>D10-C10</x:f>
        <x:v>51</x:v>
      </x:c>
      <x:c r="F10" s="41" t="n">
        <x:v>18</x:v>
      </x:c>
      <x:c r="G10" s="41" t="str">
        <x:v>product, pressure, quality and no cross-connection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Water</x:v>
      </x:c>
      <x:c r="C11" s="41" t="n">
        <x:v>40</x:v>
      </x:c>
      <x:c r="D11" s="41" t="n">
        <x:v>88</x:v>
      </x:c>
      <x:c r="E11" s="41" t="n">
        <x:f>D11-C11</x:f>
        <x:v>48</x:v>
      </x:c>
      <x:c r="F11" s="41" t="n">
        <x:v>18</x:v>
      </x:c>
      <x:c r="G11" s="41" t="str">
        <x:v>grade, pressure, flush, sample and isolation</x:v>
      </x:c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Wastewater</x:v>
      </x:c>
      <x:c r="C12" s="41" t="n">
        <x:v>40</x:v>
      </x:c>
      <x:c r="D12" s="41" t="n">
        <x:v>88</x:v>
      </x:c>
      <x:c r="E12" s="41" t="n">
        <x:f>D12-C12</x:f>
        <x:v>48</x:v>
      </x:c>
      <x:c r="F12" s="41" t="n">
        <x:v>18</x:v>
      </x:c>
      <x:c r="G12" s="41" t="str">
        <x:v>direction, containment, capacity and recovery</x:v>
      </x:c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Data, time and identity</x:v>
      </x:c>
      <x:c r="C13" s="41" t="n">
        <x:v>80</x:v>
      </x:c>
      <x:c r="D13" s="41" t="n">
        <x:v>216</x:v>
      </x:c>
      <x:c r="E13" s="41" t="n">
        <x:f>D13-C13</x:f>
        <x:v>136</x:v>
      </x:c>
      <x:c r="F13" s="41" t="n">
        <x:v>18</x:v>
      </x:c>
      <x:c r="G13" s="41" t="str">
        <x:v>signed state, offline authority and reconciliation</x:v>
      </x:c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Patient route</x:v>
      </x:c>
      <x:c r="C14" s="41" t="n">
        <x:v>52</x:v>
      </x:c>
      <x:c r="D14" s="41" t="n">
        <x:v>120</x:v>
      </x:c>
      <x:c r="E14" s="41" t="n">
        <x:f>D14-C14</x:f>
        <x:v>68</x:v>
      </x:c>
      <x:c r="F14" s="41" t="n">
        <x:v>18</x:v>
      </x:c>
      <x:c r="G14" s="41" t="str">
        <x:v>width, grade, load, custody and accepted destination</x:v>
      </x:c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Clean supply</x:v>
      </x:c>
      <x:c r="C15" s="41" t="n">
        <x:v>36</x:v>
      </x:c>
      <x:c r="D15" s="41" t="n">
        <x:v>96</x:v>
      </x:c>
      <x:c r="E15" s="41" t="n">
        <x:f>D15-C15</x:f>
        <x:v>60</x:v>
      </x:c>
      <x:c r="F15" s="41" t="n">
        <x:v>18</x:v>
      </x:c>
      <x:c r="G15" s="41" t="str">
        <x:v>one-way custody and seal state</x:v>
      </x:c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Dirty return</x:v>
      </x:c>
      <x:c r="C16" s="41" t="n">
        <x:v>36</x:v>
      </x:c>
      <x:c r="D16" s="41" t="n">
        <x:v>96</x:v>
      </x:c>
      <x:c r="E16" s="41" t="n">
        <x:f>D16-C16</x:f>
        <x:v>60</x:v>
      </x:c>
      <x:c r="F16" s="41" t="n">
        <x:v>18</x:v>
      </x:c>
      <x:c r="G16" s="41" t="str">
        <x:v>closed container, route and receiving capacity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 t="str">
        <x:v>Staff transition</x:v>
      </x:c>
      <x:c r="C17" s="41" t="n">
        <x:v>24</x:v>
      </x:c>
      <x:c r="D17" s="41" t="n">
        <x:v>60</x:v>
      </x:c>
      <x:c r="E17" s="41" t="n">
        <x:f>D17-C17</x:f>
        <x:v>36</x:v>
      </x:c>
      <x:c r="F17" s="41" t="n">
        <x:v>18</x:v>
      </x:c>
      <x:c r="G17" s="41" t="str">
        <x:v>credential, hygiene, PPE and egress</x:v>
      </x:c>
      <x:c r="H17" s="41"/>
      <x:c r="I17" s="41"/>
      <x:c r="J17" s="41"/>
      <x:c r="K17" s="41"/>
      <x:c r="L17" s="41"/>
      <x:c r="M17" s="41"/>
    </x:row>
    <x:row r="18" ht="15" hidden="0" customHeight="1">
      <x:c r="B18" s="41" t="str">
        <x:v>Fire and life safety</x:v>
      </x:c>
      <x:c r="C18" s="41" t="n">
        <x:v>48</x:v>
      </x:c>
      <x:c r="D18" s="41" t="n">
        <x:v>120</x:v>
      </x:c>
      <x:c r="E18" s="41" t="n">
        <x:f>D18-C18</x:f>
        <x:v>72</x:v>
      </x:c>
      <x:c r="F18" s="41" t="n">
        <x:v>18</x:v>
      </x:c>
      <x:c r="G18" s="41" t="str">
        <x:v>detection, alarm, compartment and rescue access</x:v>
      </x:c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Foundation and ground</x:v>
      </x:c>
      <x:c r="C19" s="41" t="n">
        <x:v>48</x:v>
      </x:c>
      <x:c r="D19" s="41" t="n">
        <x:v>96</x:v>
      </x:c>
      <x:c r="E19" s="41" t="n">
        <x:f>D19-C19</x:f>
        <x:v>48</x:v>
      </x:c>
      <x:c r="F19" s="41" t="n">
        <x:v>18</x:v>
      </x:c>
      <x:c r="G19" s="41" t="str">
        <x:v>bearing, settlement, drainage and equipotential state</x:v>
      </x:c>
      <x:c r="H19" s="41"/>
      <x:c r="I19" s="41"/>
      <x:c r="J19" s="41"/>
      <x:c r="K19" s="41"/>
      <x:c r="L19" s="41"/>
      <x:c r="M19" s="41"/>
    </x:row>
    <x:row r="20" ht="15" hidden="0" customHeight="1">
      <x:c r="B20" s="47" t="str">
        <x:v>TOTAL</x:v>
      </x:c>
      <x:c r="C20" s="47" t="n">
        <x:f>SUM(C7:C19)</x:f>
        <x:v>713</x:v>
      </x:c>
      <x:c r="D20" s="47" t="n">
        <x:f>SUM(D7:D19)</x:f>
        <x:v>1640</x:v>
      </x:c>
      <x:c r="E20" s="47" t="n">
        <x:f>D20-C20</x:f>
        <x:v>927</x:v>
      </x:c>
      <x:c r="F20" s="47" t="n">
        <x:v>18</x:v>
      </x:c>
      <x:c r="G20" s="47"/>
      <x:c r="H20" s="41"/>
      <x:c r="I20" s="41"/>
      <x:c r="J20" s="41"/>
      <x:c r="K20" s="41"/>
      <x:c r="L20" s="41"/>
      <x:c r="M20" s="41"/>
    </x:row>
    <x:row r="21" ht="15" hidden="0" customHeight="1"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</x:row>
    <x:row r="22" ht="15" hidden="0" customHeight="1"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</x:row>
    <x:row r="23" ht="22" hidden="0" customHeight="1">
      <x:c r="B23" s="72" t="str">
        <x:v>Minimum interface fields</x:v>
      </x:c>
      <x:c r="C23" s="72"/>
      <x:c r="D23" s="72"/>
      <x:c r="E23" s="72"/>
      <x:c r="F23" s="72"/>
      <x:c r="G23" s="72"/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Root A field records</x:v>
      </x:c>
      <x:c r="C24" s="41" t="n">
        <x:f>C20*F20</x:f>
        <x:v>12834</x:v>
      </x:c>
      <x:c r="D24" s="41" t="str">
        <x:v>fields</x:v>
      </x:c>
      <x:c r="E24" s="41" t="str">
        <x:v>A record binds identity, configuration, geometry, direction, state, isolation, test, cleaning, repair and evidence.</x:v>
      </x:c>
      <x:c r="F24" s="41"/>
      <x:c r="G24" s="41"/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Root B field records</x:v>
      </x:c>
      <x:c r="C25" s="41" t="n">
        <x:f>D20*F20</x:f>
        <x:v>29520</x:v>
      </x:c>
      <x:c r="D25" s="41" t="str">
        <x:v>fields</x:v>
      </x:c>
      <x:c r="E25" s="41" t="str">
        <x:v>Data quantity does not prove causal independence. Root, team, tool, sensor, process and witness remain attributable.</x:v>
      </x:c>
      <x:c r="F25" s="41"/>
      <x:c r="G25" s="41"/>
      <x:c r="H25" s="41"/>
      <x:c r="I25" s="41"/>
      <x:c r="J25" s="41"/>
      <x:c r="K25" s="41"/>
      <x:c r="L25" s="41"/>
      <x:c r="M25" s="41"/>
    </x:row>
  </x:sheetData>
  <x:mergeCells>
    <x:mergeCell ref="B2:M2"/>
    <x:mergeCell ref="B3:M3"/>
    <x:mergeCell ref="B23:G23"/>
    <x:mergeCell ref="E24:G24"/>
    <x:mergeCell ref="E25:G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  <x:col min="7" max="7" width="40" hidden="0" customWidth="1"/>
    <x:col min="8" max="8" width="18" hidden="0" customWidth="1"/>
    <x:col min="1" max="1" width="3" hidden="0" customWidth="1"/>
  </x:cols>
  <x:sheetData>
    <x:row r="2" ht="24" hidden="0" customHeight="1">
      <x:c r="B2" s="70" t="str">
        <x:v>Exact planning sections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These dimensions constrain interfaces and service paths. They do not establish architecture, façade, roof form or carrier.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22" hidden="0" customHeight="1">
      <x:c r="B6" s="72" t="str">
        <x:v>Root A SGC-A transverse section</x:v>
      </x:c>
      <x:c r="C6" s="72"/>
      <x:c r="D6" s="72"/>
      <x:c r="E6" s="72"/>
      <x:c r="F6" s="72"/>
      <x:c r="G6" s="72"/>
      <x:c r="H6" s="72"/>
      <x:c r="I6" s="41"/>
      <x:c r="J6" s="41"/>
      <x:c r="K6" s="41"/>
      <x:c r="L6" s="41"/>
      <x:c r="M6" s="41"/>
    </x:row>
    <x:row r="7" ht="32" hidden="0" customHeight="1">
      <x:c r="B7" s="8" t="str">
        <x:v>Order</x:v>
      </x:c>
      <x:c r="C7" s="8" t="str">
        <x:v>Zone</x:v>
      </x:c>
      <x:c r="D7" s="8" t="str">
        <x:v>Width m</x:v>
      </x:c>
      <x:c r="E7" s="8" t="str">
        <x:v>Start m</x:v>
      </x:c>
      <x:c r="F7" s="8" t="str">
        <x:v>End m</x:v>
      </x:c>
      <x:c r="G7" s="8" t="str">
        <x:v>Permitted service</x:v>
      </x:c>
      <x:c r="H7" s="8" t="str">
        <x:v>Prohibited crossing</x:v>
      </x:c>
      <x:c r="I7" s="41"/>
      <x:c r="J7" s="41"/>
      <x:c r="K7" s="41"/>
      <x:c r="L7" s="41"/>
      <x:c r="M7" s="41"/>
    </x:row>
    <x:row r="8" ht="15" hidden="0" customHeight="1">
      <x:c r="B8" s="41" t="n">
        <x:v>1</x:v>
      </x:c>
      <x:c r="C8" s="41" t="str">
        <x:v>Clean service gallery</x:v>
      </x:c>
      <x:c r="D8" s="41" t="n">
        <x:v>6</x:v>
      </x:c>
      <x:c r="E8" s="41" t="n">
        <x:v>0</x:v>
      </x:c>
      <x:c r="F8" s="41" t="n">
        <x:v>6</x:v>
      </x:c>
      <x:c r="G8" s="41" t="str">
        <x:v>power, no-break, water, gas, data, sterile supply</x:v>
      </x:c>
      <x:c r="H8" s="41" t="str">
        <x:v>patients and dirty return</x:v>
      </x:c>
      <x:c r="I8" s="41"/>
      <x:c r="J8" s="41"/>
      <x:c r="K8" s="41"/>
      <x:c r="L8" s="41"/>
      <x:c r="M8" s="41"/>
    </x:row>
    <x:row r="9" ht="15" hidden="0" customHeight="1">
      <x:c r="B9" s="41" t="n">
        <x:v>2</x:v>
      </x:c>
      <x:c r="C9" s="41" t="str">
        <x:v>Transition</x:v>
      </x:c>
      <x:c r="D9" s="41" t="n">
        <x:v>1.5</x:v>
      </x:c>
      <x:c r="E9" s="41" t="n">
        <x:v>6</x:v>
      </x:c>
      <x:c r="F9" s="41" t="n">
        <x:v>7.5</x:v>
      </x:c>
      <x:c r="G9" s="41" t="str">
        <x:v>locks and pass-throughs</x:v>
      </x:c>
      <x:c r="H9" s="41" t="str">
        <x:v>uncontrolled two-way flow</x:v>
      </x:c>
      <x:c r="I9" s="41"/>
      <x:c r="J9" s="41"/>
      <x:c r="K9" s="41"/>
      <x:c r="L9" s="41"/>
      <x:c r="M9" s="41"/>
    </x:row>
    <x:row r="10" ht="15" hidden="0" customHeight="1">
      <x:c r="B10" s="41" t="n">
        <x:v>3</x:v>
      </x:c>
      <x:c r="C10" s="41" t="str">
        <x:v>Care-cell band</x:v>
      </x:c>
      <x:c r="D10" s="41" t="n">
        <x:v>18</x:v>
      </x:c>
      <x:c r="E10" s="41" t="n">
        <x:v>7.5</x:v>
      </x:c>
      <x:c r="F10" s="41" t="n">
        <x:v>25.5</x:v>
      </x:c>
      <x:c r="G10" s="41" t="str">
        <x:v>care and cell-local terminals</x:v>
      </x:c>
      <x:c r="H10" s="41" t="str">
        <x:v>clean freight route</x:v>
      </x:c>
      <x:c r="I10" s="41"/>
      <x:c r="J10" s="41"/>
      <x:c r="K10" s="41"/>
      <x:c r="L10" s="41"/>
      <x:c r="M10" s="41"/>
    </x:row>
    <x:row r="11" ht="15" hidden="0" customHeight="1">
      <x:c r="B11" s="41" t="n">
        <x:v>4</x:v>
      </x:c>
      <x:c r="C11" s="41" t="str">
        <x:v>Patient route</x:v>
      </x:c>
      <x:c r="D11" s="41" t="n">
        <x:v>4</x:v>
      </x:c>
      <x:c r="E11" s="41" t="n">
        <x:v>25.5</x:v>
      </x:c>
      <x:c r="F11" s="41" t="n">
        <x:v>29.5</x:v>
      </x:c>
      <x:c r="G11" s="41" t="str">
        <x:v>controlled patient transfer</x:v>
      </x:c>
      <x:c r="H11" s="41" t="str">
        <x:v>clean logistics</x:v>
      </x:c>
      <x:c r="I11" s="41"/>
      <x:c r="J11" s="41"/>
      <x:c r="K11" s="41"/>
      <x:c r="L11" s="41"/>
      <x:c r="M11" s="41"/>
    </x:row>
    <x:row r="12" ht="15" hidden="0" customHeight="1">
      <x:c r="B12" s="41" t="n">
        <x:v>5</x:v>
      </x:c>
      <x:c r="C12" s="41" t="str">
        <x:v>Dirty service gallery</x:v>
      </x:c>
      <x:c r="D12" s="41" t="n">
        <x:v>5</x:v>
      </x:c>
      <x:c r="E12" s="41" t="n">
        <x:v>29.5</x:v>
      </x:c>
      <x:c r="F12" s="41" t="n">
        <x:v>34.5</x:v>
      </x:c>
      <x:c r="G12" s="41" t="str">
        <x:v>waste, effluent, exhaust service</x:v>
      </x:c>
      <x:c r="H12" s="41" t="str">
        <x:v>clean supply</x:v>
      </x:c>
      <x:c r="I12" s="41"/>
      <x:c r="J12" s="41"/>
      <x:c r="K12" s="41"/>
      <x:c r="L12" s="41"/>
      <x:c r="M12" s="41"/>
    </x:row>
    <x:row r="13" ht="15" hidden="0" customHeight="1">
      <x:c r="B13" s="41" t="n">
        <x:v>6</x:v>
      </x:c>
      <x:c r="C13" s="41" t="str">
        <x:v>Separation apron</x:v>
      </x:c>
      <x:c r="D13" s="41" t="n">
        <x:v>10</x:v>
      </x:c>
      <x:c r="E13" s="41" t="n">
        <x:v>34.5</x:v>
      </x:c>
      <x:c r="F13" s="41" t="n">
        <x:v>44.5</x:v>
      </x:c>
      <x:c r="G13" s="41" t="str">
        <x:v>contaminated egress and rescue</x:v>
      </x:c>
      <x:c r="H13" s="41" t="str">
        <x:v>routine clinical occupancy</x:v>
      </x:c>
      <x:c r="I13" s="41"/>
      <x:c r="J13" s="41"/>
      <x:c r="K13" s="41"/>
      <x:c r="L13" s="41"/>
      <x:c r="M13" s="41"/>
    </x:row>
    <x:row r="14" ht="15" hidden="0" customHeight="1"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</x:row>
    <x:row r="15" ht="15" hidden="0" customHeight="1"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</x:row>
    <x:row r="16" ht="15" hidden="0" customHeight="1"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</x:row>
    <x:row r="17" ht="22" hidden="0" customHeight="1">
      <x:c r="B17" s="72" t="str">
        <x:v>Root B FCM-B cell-cluster section</x:v>
      </x:c>
      <x:c r="C17" s="72"/>
      <x:c r="D17" s="72"/>
      <x:c r="E17" s="72"/>
      <x:c r="F17" s="72"/>
      <x:c r="G17" s="72"/>
      <x:c r="H17" s="72"/>
      <x:c r="I17" s="41"/>
      <x:c r="J17" s="41"/>
      <x:c r="K17" s="41"/>
      <x:c r="L17" s="41"/>
      <x:c r="M17" s="41"/>
    </x:row>
    <x:row r="18" ht="32" hidden="0" customHeight="1">
      <x:c r="B18" s="8" t="str">
        <x:v>Order</x:v>
      </x:c>
      <x:c r="C18" s="8" t="str">
        <x:v>Zone</x:v>
      </x:c>
      <x:c r="D18" s="8" t="str">
        <x:v>Width m</x:v>
      </x:c>
      <x:c r="E18" s="8" t="str">
        <x:v>Start m</x:v>
      </x:c>
      <x:c r="F18" s="8" t="str">
        <x:v>End m</x:v>
      </x:c>
      <x:c r="G18" s="8" t="str">
        <x:v>Permitted service</x:v>
      </x:c>
      <x:c r="H18" s="8" t="str">
        <x:v>Prohibited crossing</x:v>
      </x:c>
      <x:c r="I18" s="41"/>
      <x:c r="J18" s="41"/>
      <x:c r="K18" s="41"/>
      <x:c r="L18" s="41"/>
      <x:c r="M18" s="41"/>
    </x:row>
    <x:row r="19" ht="15" hidden="0" customHeight="1">
      <x:c r="B19" s="41" t="n">
        <x:v>1</x:v>
      </x:c>
      <x:c r="C19" s="41" t="str">
        <x:v>Clean service face</x:v>
      </x:c>
      <x:c r="D19" s="41" t="n">
        <x:v>3</x:v>
      </x:c>
      <x:c r="E19" s="41" t="n">
        <x:v>0</x:v>
      </x:c>
      <x:c r="F19" s="41" t="n">
        <x:v>3</x:v>
      </x:c>
      <x:c r="G19" s="41" t="str">
        <x:v>local manifold, data and clean supply</x:v>
      </x:c>
      <x:c r="H19" s="41" t="str">
        <x:v>patients and dirty return</x:v>
      </x:c>
      <x:c r="I19" s="41"/>
      <x:c r="J19" s="41"/>
      <x:c r="K19" s="41"/>
      <x:c r="L19" s="41"/>
      <x:c r="M19" s="41"/>
    </x:row>
    <x:row r="20" ht="15" hidden="0" customHeight="1">
      <x:c r="B20" s="41" t="n">
        <x:v>2</x:v>
      </x:c>
      <x:c r="C20" s="41" t="str">
        <x:v>Self-registering cell</x:v>
      </x:c>
      <x:c r="D20" s="41" t="n">
        <x:v>12</x:v>
      </x:c>
      <x:c r="E20" s="41" t="n">
        <x:v>3</x:v>
      </x:c>
      <x:c r="F20" s="41" t="n">
        <x:v>15</x:v>
      </x:c>
      <x:c r="G20" s="41" t="str">
        <x:v>care, local air cassette and cell control</x:v>
      </x:c>
      <x:c r="H20" s="41" t="str">
        <x:v>unregistered cross-cell utility</x:v>
      </x:c>
      <x:c r="I20" s="41"/>
      <x:c r="J20" s="41"/>
      <x:c r="K20" s="41"/>
      <x:c r="L20" s="41"/>
      <x:c r="M20" s="41"/>
    </x:row>
    <x:row r="21" ht="15" hidden="0" customHeight="1">
      <x:c r="B21" s="41" t="n">
        <x:v>3</x:v>
      </x:c>
      <x:c r="C21" s="41" t="str">
        <x:v>Patient aisle</x:v>
      </x:c>
      <x:c r="D21" s="41" t="n">
        <x:v>4</x:v>
      </x:c>
      <x:c r="E21" s="41" t="n">
        <x:v>15</x:v>
      </x:c>
      <x:c r="F21" s="41" t="n">
        <x:v>19</x:v>
      </x:c>
      <x:c r="G21" s="41" t="str">
        <x:v>controlled patient transfer</x:v>
      </x:c>
      <x:c r="H21" s="41" t="str">
        <x:v>clean freight</x:v>
      </x:c>
      <x:c r="I21" s="41"/>
      <x:c r="J21" s="41"/>
      <x:c r="K21" s="41"/>
      <x:c r="L21" s="41"/>
      <x:c r="M21" s="41"/>
    </x:row>
    <x:row r="22" ht="15" hidden="0" customHeight="1">
      <x:c r="B22" s="41" t="n">
        <x:v>4</x:v>
      </x:c>
      <x:c r="C22" s="41" t="str">
        <x:v>Dirty service face</x:v>
      </x:c>
      <x:c r="D22" s="41" t="n">
        <x:v>3</x:v>
      </x:c>
      <x:c r="E22" s="41" t="n">
        <x:v>19</x:v>
      </x:c>
      <x:c r="F22" s="41" t="n">
        <x:v>22</x:v>
      </x:c>
      <x:c r="G22" s="41" t="str">
        <x:v>waste, effluent and exhaust interface</x:v>
      </x:c>
      <x:c r="H22" s="41" t="str">
        <x:v>clean supply</x:v>
      </x:c>
      <x:c r="I22" s="41"/>
      <x:c r="J22" s="41"/>
      <x:c r="K22" s="41"/>
      <x:c r="L22" s="41"/>
      <x:c r="M22" s="41"/>
    </x:row>
    <x:row r="23" ht="15" hidden="0" customHeight="1">
      <x:c r="B23" s="41" t="n">
        <x:v>5</x:v>
      </x:c>
      <x:c r="C23" s="41" t="str">
        <x:v>Fire and air break</x:v>
      </x:c>
      <x:c r="D23" s="41" t="n">
        <x:v>2</x:v>
      </x:c>
      <x:c r="E23" s="41" t="n">
        <x:v>22</x:v>
      </x:c>
      <x:c r="F23" s="41" t="n">
        <x:v>24</x:v>
      </x:c>
      <x:c r="G23" s="41" t="str">
        <x:v>exterior access or next-cell separation</x:v>
      </x:c>
      <x:c r="H23" s="41" t="str">
        <x:v>occupied clinical function</x:v>
      </x:c>
      <x:c r="I23" s="41"/>
      <x:c r="J23" s="41"/>
      <x:c r="K23" s="41"/>
      <x:c r="L23" s="41"/>
      <x:c r="M23" s="41"/>
    </x:row>
    <x:row r="24" ht="15" hidden="0" customHeight="1"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</x:row>
    <x:row r="25" ht="15" hidden="0" customHeight="1"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</x:row>
    <x:row r="26" ht="15" hidden="0" customHeight="1"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</x:row>
    <x:row r="27" ht="22" hidden="0" customHeight="1">
      <x:c r="B27" s="72" t="str">
        <x:v>Site-envelope calculation</x:v>
      </x:c>
      <x:c r="C27" s="72"/>
      <x:c r="D27" s="72"/>
      <x:c r="E27" s="72"/>
      <x:c r="F27" s="72"/>
      <x:c r="G27" s="72"/>
      <x:c r="H27" s="72"/>
      <x:c r="I27" s="41"/>
      <x:c r="J27" s="41"/>
      <x:c r="K27" s="41"/>
      <x:c r="L27" s="41"/>
      <x:c r="M27" s="41"/>
    </x:row>
    <x:row r="28" ht="32" hidden="0" customHeight="1">
      <x:c r="B28" s="8" t="str">
        <x:v>Root</x:v>
      </x:c>
      <x:c r="C28" s="8" t="str">
        <x:v>Enclosed / covered m2</x:v>
      </x:c>
      <x:c r="D28" s="8" t="str">
        <x:v>Gross working m2</x:v>
      </x:c>
      <x:c r="E28" s="8" t="str">
        <x:v>Equivalent side m</x:v>
      </x:c>
      <x:c r="F28" s="8" t="str">
        <x:v>Boundary side m</x:v>
      </x:c>
      <x:c r="G28" s="8" t="str">
        <x:v>Controlled envelope m2</x:v>
      </x:c>
      <x:c r="H28" s="8" t="str">
        <x:v>Approx acres</x:v>
      </x:c>
      <x:c r="I28" s="41"/>
      <x:c r="J28" s="41"/>
      <x:c r="K28" s="41"/>
      <x:c r="L28" s="41"/>
      <x:c r="M28" s="41"/>
    </x:row>
    <x:row r="29" ht="15" hidden="0" customHeight="1">
      <x:c r="B29" s="41" t="str">
        <x:v>Root A</x:v>
      </x:c>
      <x:c r="C29" s="61" t="n">
        <x:f>'03 Root A bill'!I41</x:f>
        <x:v>21175</x:v>
      </x:c>
      <x:c r="D29" s="61" t="n">
        <x:f>C29/'01 Controls'!$D$18</x:f>
        <x:v>55723.68421052631</x:v>
      </x:c>
      <x:c r="E29" s="61" t="n">
        <x:f>SQRT(D29)</x:f>
        <x:v>236.05864570171184</x:v>
      </x:c>
      <x:c r="F29" s="61" t="n">
        <x:f>E29+2*'01 Controls'!$D$19</x:f>
        <x:v>276.05864570171184</x:v>
      </x:c>
      <x:c r="G29" s="61" t="n">
        <x:f>F29^2</x:f>
        <x:v>76208.37586666326</x:v>
      </x:c>
      <x:c r="H29" s="61" t="n">
        <x:f>G29/4046.8564224</x:f>
        <x:v>18.83149978952494</x:v>
      </x:c>
      <x:c r="I29" s="41"/>
      <x:c r="J29" s="41"/>
      <x:c r="K29" s="41"/>
      <x:c r="L29" s="41"/>
      <x:c r="M29" s="41"/>
    </x:row>
    <x:row r="30" ht="15" hidden="0" customHeight="1">
      <x:c r="B30" s="41" t="str">
        <x:v>Root B</x:v>
      </x:c>
      <x:c r="C30" s="61" t="n">
        <x:f>'04 Root B bill'!I42</x:f>
        <x:v>21464</x:v>
      </x:c>
      <x:c r="D30" s="61" t="n">
        <x:f>C30/'01 Controls'!$D$18</x:f>
        <x:v>56484.21052631579</x:v>
      </x:c>
      <x:c r="E30" s="61" t="n">
        <x:f>SQRT(D30)</x:f>
        <x:v>237.6640707517983</x:v>
      </x:c>
      <x:c r="F30" s="61" t="n">
        <x:f>E30+2*'01 Controls'!$D$19</x:f>
        <x:v>277.6640707517983</x:v>
      </x:c>
      <x:c r="G30" s="61" t="n">
        <x:f>F30^2</x:f>
        <x:v>77097.33618645965</x:v>
      </x:c>
      <x:c r="H30" s="61" t="n">
        <x:f>G30/4046.8564224</x:f>
        <x:v>19.0511666684574</x:v>
      </x:c>
      <x:c r="I30" s="41"/>
      <x:c r="J30" s="41"/>
      <x:c r="K30" s="41"/>
      <x:c r="L30" s="41"/>
      <x:c r="M30" s="41"/>
    </x:row>
  </x:sheetData>
  <x:mergeCells>
    <x:mergeCell ref="B2:M2"/>
    <x:mergeCell ref="B3:M3"/>
    <x:mergeCell ref="B6:H6"/>
    <x:mergeCell ref="B17:H17"/>
    <x:mergeCell ref="B27:H2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55" hidden="0" customWidth="1"/>
    <x:col min="4" max="4" width="43" hidden="0" customWidth="1"/>
    <x:col min="5" max="5" width="18" hidden="0" customWidth="1"/>
    <x:col min="6" max="6" width="26" hidden="0" customWidth="1"/>
    <x:col min="7" max="7" width="26" hidden="0" customWidth="1"/>
    <x:col min="1" max="1" width="3" hidden="0" customWidth="1"/>
  </x:cols>
  <x:sheetData>
    <x:row r="2" ht="24" hidden="0" customHeight="1">
      <x:c r="B2" s="70" t="str">
        <x:v>Care-line local safe states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Design hypotheses only. Qualified clinical authority must replace these states and clocks before human use.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Care line</x:v>
      </x:c>
      <x:c r="C6" s="8" t="str">
        <x:v>Retained local service</x:v>
      </x:c>
      <x:c r="D6" s="8" t="str">
        <x:v>Admission action</x:v>
      </x:c>
      <x:c r="E6" s="8" t="str">
        <x:v>Transfer / resolution h</x:v>
      </x:c>
      <x:c r="F6" s="8" t="str">
        <x:v>Root A isolation object</x:v>
      </x:c>
      <x:c r="G6" s="8" t="str">
        <x:v>Root B isolation object</x:v>
      </x:c>
      <x:c r="H6" s="41"/>
      <x:c r="I6" s="41"/>
      <x:c r="J6" s="41"/>
      <x:c r="K6" s="41"/>
      <x:c r="L6" s="41"/>
      <x:c r="M6" s="41"/>
    </x:row>
    <x:row r="7" ht="15" hidden="0" customHeight="1">
      <x:c r="B7" s="44" t="str">
        <x:v>Community continuity</x:v>
      </x:c>
      <x:c r="C7" s="44" t="str">
        <x:v>light, records, essential refrigeration, accessible egress</x:v>
      </x:c>
      <x:c r="D7" s="44" t="str">
        <x:v>stop arrivals; complete current transaction</x:v>
      </x:c>
      <x:c r="E7" s="44" t="n">
        <x:v>0.5</x:v>
      </x:c>
      <x:c r="F7" s="44" t="str">
        <x:v>portal / branch segment</x:v>
      </x:c>
      <x:c r="G7" s="44" t="str">
        <x:v>portal cell and manifold</x:v>
      </x:c>
      <x:c r="H7" s="41"/>
      <x:c r="I7" s="41"/>
      <x:c r="J7" s="41"/>
      <x:c r="K7" s="41"/>
      <x:c r="L7" s="41"/>
      <x:c r="M7" s="41"/>
    </x:row>
    <x:row r="8" ht="15" hidden="0" customHeight="1">
      <x:c r="B8" s="44" t="str">
        <x:v>Emergency / resuscitation</x:v>
      </x:c>
      <x:c r="C8" s="44" t="str">
        <x:v>resuscitation power, oxygen, suction, light, local record</x:v>
      </x:c>
      <x:c r="D8" s="44" t="str">
        <x:v>stop intake except immediate life safety</x:v>
      </x:c>
      <x:c r="E8" s="44" t="n">
        <x:v>2</x:v>
      </x:c>
      <x:c r="F8" s="44" t="str">
        <x:v>acute gallery segment</x:v>
      </x:c>
      <x:c r="G8" s="44" t="str">
        <x:v>acute cells and cassettes</x:v>
      </x:c>
      <x:c r="H8" s="41"/>
      <x:c r="I8" s="41"/>
      <x:c r="J8" s="41"/>
      <x:c r="K8" s="41"/>
      <x:c r="L8" s="41"/>
      <x:c r="M8" s="41"/>
    </x:row>
    <x:row r="9" ht="15" hidden="0" customHeight="1">
      <x:c r="B9" s="44" t="str">
        <x:v>Observation</x:v>
      </x:c>
      <x:c r="C9" s="44" t="str">
        <x:v>monitoring, essential devices, medication custody, egress</x:v>
      </x:c>
      <x:c r="D9" s="44" t="str">
        <x:v>stop admission; classify each occupant</x:v>
      </x:c>
      <x:c r="E9" s="44" t="n">
        <x:v>4</x:v>
      </x:c>
      <x:c r="F9" s="44" t="str">
        <x:v>controlled gallery segment</x:v>
      </x:c>
      <x:c r="G9" s="44" t="str">
        <x:v>observation cells</x:v>
      </x:c>
      <x:c r="H9" s="41"/>
      <x:c r="I9" s="41"/>
      <x:c r="J9" s="41"/>
      <x:c r="K9" s="41"/>
      <x:c r="L9" s="41"/>
      <x:c r="M9" s="41"/>
    </x:row>
    <x:row r="10" ht="15" hidden="0" customHeight="1">
      <x:c r="B10" s="44" t="str">
        <x:v>Ward</x:v>
      </x:c>
      <x:c r="C10" s="44" t="str">
        <x:v>essential devices, oxygen where ordered, light, records, call</x:v>
      </x:c>
      <x:c r="D10" s="44" t="str">
        <x:v>stop admission; transfer by care need</x:v>
      </x:c>
      <x:c r="E10" s="44" t="n">
        <x:v>8</x:v>
      </x:c>
      <x:c r="F10" s="44" t="str">
        <x:v>ward gallery segment</x:v>
      </x:c>
      <x:c r="G10" s="44" t="str">
        <x:v>ward cell</x:v>
      </x:c>
      <x:c r="H10" s="41"/>
      <x:c r="I10" s="41"/>
      <x:c r="J10" s="41"/>
      <x:c r="K10" s="41"/>
      <x:c r="L10" s="41"/>
      <x:c r="M10" s="41"/>
    </x:row>
    <x:row r="11" ht="15" hidden="0" customHeight="1">
      <x:c r="B11" s="44" t="str">
        <x:v>Critical care</x:v>
      </x:c>
      <x:c r="C11" s="44" t="str">
        <x:v>uninterrupted life support, oxygen, suction, monitoring, records</x:v>
      </x:c>
      <x:c r="D11" s="44" t="str">
        <x:v>stop admission; protected transfer</x:v>
      </x:c>
      <x:c r="E11" s="44" t="n">
        <x:v>1</x:v>
      </x:c>
      <x:c r="F11" s="44" t="str">
        <x:v>critical gallery segment</x:v>
      </x:c>
      <x:c r="G11" s="44" t="str">
        <x:v>critical cell</x:v>
      </x:c>
      <x:c r="H11" s="41"/>
      <x:c r="I11" s="41"/>
      <x:c r="J11" s="41"/>
      <x:c r="K11" s="41"/>
      <x:c r="L11" s="41"/>
      <x:c r="M11" s="41"/>
    </x:row>
    <x:row r="12" ht="15" hidden="0" customHeight="1">
      <x:c r="B12" s="44" t="str">
        <x:v>Procedural suite</x:v>
      </x:c>
      <x:c r="C12" s="44" t="str">
        <x:v>finish or safely terminate procedure; retain recovery</x:v>
      </x:c>
      <x:c r="D12" s="44" t="str">
        <x:v>no new procedure</x:v>
      </x:c>
      <x:c r="E12" s="44" t="n">
        <x:v>2</x:v>
      </x:c>
      <x:c r="F12" s="44" t="str">
        <x:v>procedure gallery segment</x:v>
      </x:c>
      <x:c r="G12" s="44" t="str">
        <x:v>procedure cell</x:v>
      </x:c>
      <x:c r="H12" s="41"/>
      <x:c r="I12" s="41"/>
      <x:c r="J12" s="41"/>
      <x:c r="K12" s="41"/>
      <x:c r="L12" s="41"/>
      <x:c r="M12" s="41"/>
    </x:row>
    <x:row r="13" ht="15" hidden="0" customHeight="1">
      <x:c r="B13" s="44" t="str">
        <x:v>Maternal / neonatal</x:v>
      </x:c>
      <x:c r="C13" s="44" t="str">
        <x:v>current delivery, neonatal warming, oxygen, suction, monitoring</x:v>
      </x:c>
      <x:c r="D13" s="44" t="str">
        <x:v>no new admission; protect delivery</x:v>
      </x:c>
      <x:c r="E13" s="44" t="n">
        <x:v>1</x:v>
      </x:c>
      <x:c r="F13" s="44" t="str">
        <x:v>maternal gallery branch</x:v>
      </x:c>
      <x:c r="G13" s="44" t="str">
        <x:v>maternal cell</x:v>
      </x:c>
      <x:c r="H13" s="41"/>
      <x:c r="I13" s="41"/>
      <x:c r="J13" s="41"/>
      <x:c r="K13" s="41"/>
      <x:c r="L13" s="41"/>
      <x:c r="M13" s="41"/>
    </x:row>
    <x:row r="14" ht="15" hidden="0" customHeight="1">
      <x:c r="B14" s="44" t="str">
        <x:v>Dialysis</x:v>
      </x:c>
      <x:c r="C14" s="44" t="str">
        <x:v>controlled termination, monitoring and records</x:v>
      </x:c>
      <x:c r="D14" s="44" t="str">
        <x:v>no new treatment</x:v>
      </x:c>
      <x:c r="E14" s="44" t="n">
        <x:v>6</x:v>
      </x:c>
      <x:c r="F14" s="44" t="str">
        <x:v>renal gallery branch</x:v>
      </x:c>
      <x:c r="G14" s="44" t="str">
        <x:v>dialysis cell</x:v>
      </x:c>
      <x:c r="H14" s="41"/>
      <x:c r="I14" s="41"/>
      <x:c r="J14" s="41"/>
      <x:c r="K14" s="41"/>
      <x:c r="L14" s="41"/>
      <x:c r="M14" s="41"/>
    </x:row>
    <x:row r="15" ht="15" hidden="0" customHeight="1">
      <x:c r="B15" s="44" t="str">
        <x:v>Isolation</x:v>
      </x:c>
      <x:c r="C15" s="44" t="str">
        <x:v>containment air, essential care, records, segregated egress</x:v>
      </x:c>
      <x:c r="D15" s="44" t="str">
        <x:v>no new admission; retain containment</x:v>
      </x:c>
      <x:c r="E15" s="44" t="n">
        <x:v>4</x:v>
      </x:c>
      <x:c r="F15" s="44" t="str">
        <x:v>dirty gallery segment</x:v>
      </x:c>
      <x:c r="G15" s="44" t="str">
        <x:v>isolation cell and cassette</x:v>
      </x:c>
      <x:c r="H15" s="41"/>
      <x:c r="I15" s="41"/>
      <x:c r="J15" s="41"/>
      <x:c r="K15" s="41"/>
      <x:c r="L15" s="41"/>
      <x:c r="M15" s="41"/>
    </x:row>
    <x:row r="16" ht="15" hidden="0" customHeight="1">
      <x:c r="B16" s="44" t="str">
        <x:v>Behavioral health</x:v>
      </x:c>
      <x:c r="C16" s="44" t="str">
        <x:v>observation, communication, controlled egress and record</x:v>
      </x:c>
      <x:c r="D16" s="44" t="str">
        <x:v>no new admission; retain supervision</x:v>
      </x:c>
      <x:c r="E16" s="44" t="n">
        <x:v>8</x:v>
      </x:c>
      <x:c r="F16" s="44" t="str">
        <x:v>behavioral branch</x:v>
      </x:c>
      <x:c r="G16" s="44" t="str">
        <x:v>behavioral cell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</x:row>
    <x:row r="18" ht="15" hidden="0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22" hidden="0" customHeight="1">
      <x:c r="B19" s="72" t="str">
        <x:v>Failure accounting</x:v>
      </x:c>
      <x:c r="C19" s="72"/>
      <x:c r="D19" s="72"/>
      <x:c r="E19" s="72"/>
      <x:c r="F19" s="72"/>
      <x:c r="G19" s="72"/>
      <x:c r="H19" s="41"/>
      <x:c r="I19" s="41"/>
      <x:c r="J19" s="41"/>
      <x:c r="K19" s="41"/>
      <x:c r="L19" s="41"/>
      <x:c r="M19" s="41"/>
    </x:row>
    <x:row r="20" ht="15" hidden="0" customHeight="1">
      <x:c r="B20" s="44" t="str">
        <x:v>Transfer clocks</x:v>
      </x:c>
      <x:c r="C20" s="44" t="str">
        <x:v>A timer never authorizes an unsafe transfer. A missing accepted destination creates a declared service failure.</x:v>
      </x:c>
      <x:c r="D20" s="44"/>
      <x:c r="E20" s="44"/>
      <x:c r="F20" s="44"/>
      <x:c r="G20" s="44"/>
      <x:c r="H20" s="41"/>
      <x:c r="I20" s="41"/>
      <x:c r="J20" s="41"/>
      <x:c r="K20" s="41"/>
      <x:c r="L20" s="41"/>
      <x:c r="M20" s="41"/>
    </x:row>
    <x:row r="21" ht="15" hidden="0" customHeight="1">
      <x:c r="B21" s="44" t="str">
        <x:v>Fifth island</x:v>
      </x:c>
      <x:c r="C21" s="44" t="str">
        <x:v>Loss does not erase demand. The ready island accepts the care line or the formation declares the unresolved obligation.</x:v>
      </x:c>
      <x:c r="D21" s="44"/>
      <x:c r="E21" s="44"/>
      <x:c r="F21" s="44"/>
      <x:c r="G21" s="44"/>
      <x:c r="H21" s="41"/>
      <x:c r="I21" s="41"/>
      <x:c r="J21" s="41"/>
      <x:c r="K21" s="41"/>
      <x:c r="L21" s="41"/>
      <x:c r="M21" s="41"/>
    </x:row>
    <x:row r="22" ht="15" hidden="0" customHeight="1">
      <x:c r="B22" s="44" t="str">
        <x:v>Common cause</x:v>
      </x:c>
      <x:c r="C22" s="44" t="str">
        <x:v>Root A must reduce or prove its 56-position gallery exposure. Root B must prove its 27-position cell-local boundary.</x:v>
      </x:c>
      <x:c r="D22" s="44"/>
      <x:c r="E22" s="44"/>
      <x:c r="F22" s="44"/>
      <x:c r="G22" s="44"/>
      <x:c r="H22" s="41"/>
      <x:c r="I22" s="41"/>
      <x:c r="J22" s="41"/>
      <x:c r="K22" s="41"/>
      <x:c r="L22" s="41"/>
      <x:c r="M22" s="41"/>
    </x:row>
  </x:sheetData>
  <x:mergeCells>
    <x:mergeCell ref="B2:M2"/>
    <x:mergeCell ref="B3:M3"/>
    <x:mergeCell ref="B19:G19"/>
    <x:mergeCell ref="C20:G20"/>
    <x:mergeCell ref="C21:G21"/>
    <x:mergeCell ref="C22:G2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  <x:col min="7" max="7" width="16" hidden="0" customWidth="1"/>
    <x:col min="1" max="1" width="3" hidden="0" customWidth="1"/>
  </x:cols>
  <x:sheetData>
    <x:row r="2" ht="24" hidden="0" customHeight="1">
      <x:c r="B2" s="70" t="str">
        <x:v>Prepared-site assembly and commissioning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Root B buys parallelism with more workfronts and interface records. These are development targets, not demonstrated times.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22" hidden="0" customHeight="1">
      <x:c r="B6" s="72" t="str">
        <x:v>Root A SGC-A</x:v>
      </x:c>
      <x:c r="C6" s="72"/>
      <x:c r="D6" s="72"/>
      <x:c r="E6" s="72"/>
      <x:c r="F6" s="72"/>
      <x:c r="G6" s="72"/>
      <x:c r="H6" s="41"/>
      <x:c r="I6" s="41"/>
      <x:c r="J6" s="41"/>
      <x:c r="K6" s="41"/>
      <x:c r="L6" s="41"/>
      <x:c r="M6" s="41"/>
    </x:row>
    <x:row r="7" ht="32" hidden="0" customHeight="1">
      <x:c r="B7" s="8" t="str">
        <x:v>Activity</x:v>
      </x:c>
      <x:c r="C7" s="8" t="str">
        <x:v>Start h</x:v>
      </x:c>
      <x:c r="D7" s="8" t="str">
        <x:v>Finish h</x:v>
      </x:c>
      <x:c r="E7" s="8" t="str">
        <x:v>Duration h</x:v>
      </x:c>
      <x:c r="F7" s="8" t="str">
        <x:v>Release object</x:v>
      </x:c>
      <x:c r="G7" s="8" t="str">
        <x:v>Status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Site survey and acceptance</x:v>
      </x:c>
      <x:c r="C8" s="41" t="n">
        <x:v>0</x:v>
      </x:c>
      <x:c r="D8" s="41" t="n">
        <x:v>4</x:v>
      </x:c>
      <x:c r="E8" s="41" t="n">
        <x:f>D8-C8</x:f>
        <x:v>4</x:v>
      </x:c>
      <x:c r="F8" s="41" t="str">
        <x:v>site datum and exclusion zones</x:v>
      </x:c>
      <x:c r="G8" s="41" t="str">
        <x:v>PLANNING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Foundation and handling set</x:v>
      </x:c>
      <x:c r="C9" s="41" t="n">
        <x:v>4</x:v>
      </x:c>
      <x:c r="D9" s="41" t="n">
        <x:v>16</x:v>
      </x:c>
      <x:c r="E9" s="41" t="n">
        <x:f>D9-C9</x:f>
        <x:v>12</x:v>
      </x:c>
      <x:c r="F9" s="41" t="str">
        <x:v>reaction and drainage field</x:v>
      </x:c>
      <x:c r="G9" s="41" t="str">
        <x:v>PLANNING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Gallery frames</x:v>
      </x:c>
      <x:c r="C10" s="41" t="n">
        <x:v>8</x:v>
      </x:c>
      <x:c r="D10" s="41" t="n">
        <x:v>28</x:v>
      </x:c>
      <x:c r="E10" s="41" t="n">
        <x:f>D10-C10</x:f>
        <x:v>20</x:v>
      </x:c>
      <x:c r="F10" s="41" t="str">
        <x:v>clean and dirty structural paths</x:v>
      </x:c>
      <x:c r="G10" s="41" t="str">
        <x:v>PLANNING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Utility trunks</x:v>
      </x:c>
      <x:c r="C11" s="41" t="n">
        <x:v>12</x:v>
      </x:c>
      <x:c r="D11" s="41" t="n">
        <x:v>36</x:v>
      </x:c>
      <x:c r="E11" s="41" t="n">
        <x:f>D11-C11</x:f>
        <x:v>24</x:v>
      </x:c>
      <x:c r="F11" s="41" t="str">
        <x:v>isolated electrical and fluid segments</x:v>
      </x:c>
      <x:c r="G11" s="41" t="str">
        <x:v>PLANNING</x:v>
      </x:c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Care and process blocks</x:v>
      </x:c>
      <x:c r="C12" s="41" t="n">
        <x:v>16</x:v>
      </x:c>
      <x:c r="D12" s="41" t="n">
        <x:v>46</x:v>
      </x:c>
      <x:c r="E12" s="41" t="n">
        <x:f>D12-C12</x:f>
        <x:v>30</x:v>
      </x:c>
      <x:c r="F12" s="41" t="str">
        <x:v>registered cell field</x:v>
      </x:c>
      <x:c r="G12" s="41" t="str">
        <x:v>PLANNING</x:v>
      </x:c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Air and environmental plant</x:v>
      </x:c>
      <x:c r="C13" s="41" t="n">
        <x:v>24</x:v>
      </x:c>
      <x:c r="D13" s="41" t="n">
        <x:v>52</x:v>
      </x:c>
      <x:c r="E13" s="41" t="n">
        <x:f>D13-C13</x:f>
        <x:v>28</x:v>
      </x:c>
      <x:c r="F13" s="41" t="str">
        <x:v>domain plants ready for challenge</x:v>
      </x:c>
      <x:c r="G13" s="41" t="str">
        <x:v>PLANNING</x:v>
      </x:c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Zone and route closure</x:v>
      </x:c>
      <x:c r="C14" s="41" t="n">
        <x:v>36</x:v>
      </x:c>
      <x:c r="D14" s="41" t="n">
        <x:v>58</x:v>
      </x:c>
      <x:c r="E14" s="41" t="n">
        <x:f>D14-C14</x:f>
        <x:v>22</x:v>
      </x:c>
      <x:c r="F14" s="41" t="str">
        <x:v>custody and egress state</x:v>
      </x:c>
      <x:c r="G14" s="41" t="str">
        <x:v>PLANNING</x:v>
      </x:c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System commissioning</x:v>
      </x:c>
      <x:c r="C15" s="41" t="n">
        <x:v>42</x:v>
      </x:c>
      <x:c r="D15" s="41" t="n">
        <x:v>66</x:v>
      </x:c>
      <x:c r="E15" s="41" t="n">
        <x:f>D15-C15</x:f>
        <x:v>24</x:v>
      </x:c>
      <x:c r="F15" s="41" t="str">
        <x:v>no-load and fault records</x:v>
      </x:c>
      <x:c r="G15" s="41" t="str">
        <x:v>PLANNING</x:v>
      </x:c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Clinical dry run</x:v>
      </x:c>
      <x:c r="C16" s="41" t="n">
        <x:v>60</x:v>
      </x:c>
      <x:c r="D16" s="41" t="n">
        <x:v>72</x:v>
      </x:c>
      <x:c r="E16" s="41" t="n">
        <x:f>D16-C16</x:f>
        <x:v>12</x:v>
      </x:c>
      <x:c r="F16" s="41" t="str">
        <x:v>full planning release</x:v>
      </x:c>
      <x:c r="G16" s="41" t="str">
        <x:v>PLANNING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</x:row>
    <x:row r="18" ht="15" hidden="0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22" hidden="0" customHeight="1">
      <x:c r="B19" s="72" t="str">
        <x:v>Root B FCM-B</x:v>
      </x:c>
      <x:c r="C19" s="72"/>
      <x:c r="D19" s="72"/>
      <x:c r="E19" s="72"/>
      <x:c r="F19" s="72"/>
      <x:c r="G19" s="72"/>
      <x:c r="H19" s="41"/>
      <x:c r="I19" s="41"/>
      <x:c r="J19" s="41"/>
      <x:c r="K19" s="41"/>
      <x:c r="L19" s="41"/>
      <x:c r="M19" s="41"/>
    </x:row>
    <x:row r="20" ht="32" hidden="0" customHeight="1">
      <x:c r="B20" s="8" t="str">
        <x:v>Activity</x:v>
      </x:c>
      <x:c r="C20" s="8" t="str">
        <x:v>Start h</x:v>
      </x:c>
      <x:c r="D20" s="8" t="str">
        <x:v>Finish h</x:v>
      </x:c>
      <x:c r="E20" s="8" t="str">
        <x:v>Duration h</x:v>
      </x:c>
      <x:c r="F20" s="8" t="str">
        <x:v>Release object</x:v>
      </x:c>
      <x:c r="G20" s="8" t="str">
        <x:v>Status</x:v>
      </x:c>
      <x:c r="H20" s="41"/>
      <x:c r="I20" s="41"/>
      <x:c r="J20" s="41"/>
      <x:c r="K20" s="41"/>
      <x:c r="L20" s="41"/>
      <x:c r="M20" s="41"/>
    </x:row>
    <x:row r="21" ht="15" hidden="0" customHeight="1">
      <x:c r="B21" s="41" t="str">
        <x:v>Site survey and matrix acceptance</x:v>
      </x:c>
      <x:c r="C21" s="41" t="n">
        <x:v>0</x:v>
      </x:c>
      <x:c r="D21" s="41" t="n">
        <x:v>6</x:v>
      </x:c>
      <x:c r="E21" s="41" t="n">
        <x:f>D21-C21</x:f>
        <x:v>6</x:v>
      </x:c>
      <x:c r="F21" s="41" t="str">
        <x:v>registered site grid</x:v>
      </x:c>
      <x:c r="G21" s="41" t="str">
        <x:v>PLANNING</x:v>
      </x:c>
      <x:c r="H21" s="41"/>
      <x:c r="I21" s="41"/>
      <x:c r="J21" s="41"/>
      <x:c r="K21" s="41"/>
      <x:c r="L21" s="41"/>
      <x:c r="M21" s="41"/>
    </x:row>
    <x:row r="22" ht="15" hidden="0" customHeight="1">
      <x:c r="B22" s="41" t="str">
        <x:v>Distributed foundations</x:v>
      </x:c>
      <x:c r="C22" s="41" t="n">
        <x:v>4</x:v>
      </x:c>
      <x:c r="D22" s="41" t="n">
        <x:v>18</x:v>
      </x:c>
      <x:c r="E22" s="41" t="n">
        <x:f>D22-C22</x:f>
        <x:v>14</x:v>
      </x:c>
      <x:c r="F22" s="41" t="str">
        <x:v>cell-local reaction fields</x:v>
      </x:c>
      <x:c r="G22" s="41" t="str">
        <x:v>PLANNING</x:v>
      </x:c>
      <x:c r="H22" s="41"/>
      <x:c r="I22" s="41"/>
      <x:c r="J22" s="41"/>
      <x:c r="K22" s="41"/>
      <x:c r="L22" s="41"/>
      <x:c r="M22" s="41"/>
    </x:row>
    <x:row r="23" ht="15" hidden="0" customHeight="1">
      <x:c r="B23" s="41" t="str">
        <x:v>Utility and data mesh</x:v>
      </x:c>
      <x:c r="C23" s="41" t="n">
        <x:v>8</x:v>
      </x:c>
      <x:c r="D23" s="41" t="n">
        <x:v>26</x:v>
      </x:c>
      <x:c r="E23" s="41" t="n">
        <x:f>D23-C23</x:f>
        <x:v>18</x:v>
      </x:c>
      <x:c r="F23" s="41" t="str">
        <x:v>isolated branch field</x:v>
      </x:c>
      <x:c r="G23" s="41" t="str">
        <x:v>PLANNING</x:v>
      </x:c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Cell clusters</x:v>
      </x:c>
      <x:c r="C24" s="41" t="n">
        <x:v>10</x:v>
      </x:c>
      <x:c r="D24" s="41" t="n">
        <x:v>42</x:v>
      </x:c>
      <x:c r="E24" s="41" t="n">
        <x:f>D24-C24</x:f>
        <x:v>32</x:v>
      </x:c>
      <x:c r="F24" s="41" t="str">
        <x:v>registered care and process cells</x:v>
      </x:c>
      <x:c r="G24" s="41" t="str">
        <x:v>PLANNING</x:v>
      </x:c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Air cassettes</x:v>
      </x:c>
      <x:c r="C25" s="41" t="n">
        <x:v>16</x:v>
      </x:c>
      <x:c r="D25" s="41" t="n">
        <x:v>44</x:v>
      </x:c>
      <x:c r="E25" s="41" t="n">
        <x:f>D25-C25</x:f>
        <x:v>28</x:v>
      </x:c>
      <x:c r="F25" s="41" t="str">
        <x:v>cell-bound domain service</x:v>
      </x:c>
      <x:c r="G25" s="41" t="str">
        <x:v>PLANNING</x:v>
      </x:c>
      <x:c r="H25" s="41"/>
      <x:c r="I25" s="41"/>
      <x:c r="J25" s="41"/>
      <x:c r="K25" s="41"/>
      <x:c r="L25" s="41"/>
      <x:c r="M25" s="41"/>
    </x:row>
    <x:row r="26" ht="15" hidden="0" customHeight="1">
      <x:c r="B26" s="41" t="str">
        <x:v>Partitions and route closure</x:v>
      </x:c>
      <x:c r="C26" s="41" t="n">
        <x:v>20</x:v>
      </x:c>
      <x:c r="D26" s="41" t="n">
        <x:v>48</x:v>
      </x:c>
      <x:c r="E26" s="41" t="n">
        <x:f>D26-C26</x:f>
        <x:v>28</x:v>
      </x:c>
      <x:c r="F26" s="41" t="str">
        <x:v>domain and egress state</x:v>
      </x:c>
      <x:c r="G26" s="41" t="str">
        <x:v>PLANNING</x:v>
      </x:c>
      <x:c r="H26" s="41"/>
      <x:c r="I26" s="41"/>
      <x:c r="J26" s="41"/>
      <x:c r="K26" s="41"/>
      <x:c r="L26" s="41"/>
      <x:c r="M26" s="41"/>
    </x:row>
    <x:row r="27" ht="15" hidden="0" customHeight="1">
      <x:c r="B27" s="41" t="str">
        <x:v>Rolling cluster commissioning</x:v>
      </x:c>
      <x:c r="C27" s="41" t="n">
        <x:v>24</x:v>
      </x:c>
      <x:c r="D27" s="41" t="n">
        <x:v>54</x:v>
      </x:c>
      <x:c r="E27" s="41" t="n">
        <x:f>D27-C27</x:f>
        <x:v>30</x:v>
      </x:c>
      <x:c r="F27" s="41" t="str">
        <x:v>accepted service clusters</x:v>
      </x:c>
      <x:c r="G27" s="41" t="str">
        <x:v>PLANNING</x:v>
      </x:c>
      <x:c r="H27" s="41"/>
      <x:c r="I27" s="41"/>
      <x:c r="J27" s="41"/>
      <x:c r="K27" s="41"/>
      <x:c r="L27" s="41"/>
      <x:c r="M27" s="41"/>
    </x:row>
    <x:row r="28" ht="15" hidden="0" customHeight="1">
      <x:c r="B28" s="41" t="str">
        <x:v>Full clinical dry run</x:v>
      </x:c>
      <x:c r="C28" s="41" t="n">
        <x:v>48</x:v>
      </x:c>
      <x:c r="D28" s="41" t="n">
        <x:v>60</x:v>
      </x:c>
      <x:c r="E28" s="41" t="n">
        <x:f>D28-C28</x:f>
        <x:v>12</x:v>
      </x:c>
      <x:c r="F28" s="41" t="str">
        <x:v>full planning release</x:v>
      </x:c>
      <x:c r="G28" s="41" t="str">
        <x:v>PLANNING</x:v>
      </x:c>
      <x:c r="H28" s="41"/>
      <x:c r="I28" s="41"/>
      <x:c r="J28" s="41"/>
      <x:c r="K28" s="41"/>
      <x:c r="L28" s="41"/>
      <x:c r="M28" s="41"/>
    </x:row>
    <x:row r="29" ht="15" hidden="0" customHeight="1"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</x:row>
    <x:row r="30" ht="15" hidden="0" customHeight="1"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</x:row>
    <x:row r="31" ht="15" hidden="0" customHeight="1"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</x:row>
    <x:row r="32" ht="22" hidden="0" customHeight="1">
      <x:c r="B32" s="72" t="str">
        <x:v>Release summary</x:v>
      </x:c>
      <x:c r="C32" s="72"/>
      <x:c r="D32" s="72"/>
      <x:c r="E32" s="72"/>
      <x:c r="F32" s="72"/>
      <x:c r="G32" s="72"/>
      <x:c r="H32" s="41"/>
      <x:c r="I32" s="41"/>
      <x:c r="J32" s="41"/>
      <x:c r="K32" s="41"/>
      <x:c r="L32" s="41"/>
      <x:c r="M32" s="41"/>
    </x:row>
    <x:row r="33" ht="15" hidden="0" customHeight="1">
      <x:c r="B33" s="41" t="str">
        <x:v>Root A full release</x:v>
      </x:c>
      <x:c r="C33" s="41" t="n">
        <x:f>MAX(D8:D16)</x:f>
        <x:v>72</x:v>
      </x:c>
      <x:c r="D33" s="41" t="str">
        <x:v>hours</x:v>
      </x:c>
      <x:c r="E33" s="41" t="str">
        <x:v>14 workfronts; 640 peak assembly and commissioning people</x:v>
      </x:c>
      <x:c r="F33" s="41"/>
      <x:c r="G33" s="41"/>
      <x:c r="H33" s="41"/>
      <x:c r="I33" s="41"/>
      <x:c r="J33" s="41"/>
      <x:c r="K33" s="41"/>
      <x:c r="L33" s="41"/>
      <x:c r="M33" s="41"/>
    </x:row>
    <x:row r="34" ht="15" hidden="0" customHeight="1">
      <x:c r="B34" s="41" t="str">
        <x:v>Root B full release</x:v>
      </x:c>
      <x:c r="C34" s="41" t="n">
        <x:f>MAX(D21:D28)</x:f>
        <x:v>60</x:v>
      </x:c>
      <x:c r="D34" s="41" t="str">
        <x:v>hours</x:v>
      </x:c>
      <x:c r="E34" s="41" t="str">
        <x:v>24 workfronts; 820 peak assembly and commissioning people</x:v>
      </x:c>
      <x:c r="F34" s="41"/>
      <x:c r="G34" s="41"/>
      <x:c r="H34" s="41"/>
      <x:c r="I34" s="41"/>
      <x:c r="J34" s="41"/>
      <x:c r="K34" s="41"/>
      <x:c r="L34" s="41"/>
      <x:c r="M34" s="41"/>
    </x:row>
  </x:sheetData>
  <x:mergeCells>
    <x:mergeCell ref="B2:M2"/>
    <x:mergeCell ref="B3:M3"/>
    <x:mergeCell ref="B6:G6"/>
    <x:mergeCell ref="B19:G19"/>
    <x:mergeCell ref="B32:G32"/>
    <x:mergeCell ref="E33:G33"/>
    <x:mergeCell ref="E34:G3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8" hidden="0" customWidth="1"/>
    <x:col min="1" max="1" width="3" hidden="0" customWidth="1"/>
  </x:cols>
  <x:sheetData>
    <x:row r="2" ht="24" hidden="0" customHeight="1">
      <x:c r="B2" s="70" t="str">
        <x:v>Serial deployment tranches and mass-position screen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Tranches bind serial counts and service results. Mass positions do not select a mode, route or carrier.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Root / tranche</x:v>
      </x:c>
      <x:c r="C6" s="8" t="str">
        <x:v>Serial articles</x:v>
      </x:c>
      <x:c r="D6" s="8" t="str">
        <x:v>Dry mass t</x:v>
      </x:c>
      <x:c r="E6" s="8" t="str">
        <x:v>Cumulative articles</x:v>
      </x:c>
      <x:c r="F6" s="8" t="str">
        <x:v>Cumulative mass t</x:v>
      </x:c>
      <x:c r="G6" s="8" t="str">
        <x:v>Service result</x:v>
      </x:c>
      <x:c r="H6" s="41"/>
      <x:c r="I6" s="41"/>
      <x:c r="J6" s="41"/>
      <x:c r="K6" s="41"/>
      <x:c r="L6" s="41"/>
      <x:c r="M6" s="41"/>
    </x:row>
    <x:row r="7" ht="15" hidden="0" customHeight="1">
      <x:c r="B7" s="41" t="str">
        <x:v>A0 authority and portal</x:v>
      </x:c>
      <x:c r="C7" s="41" t="n">
        <x:v>25</x:v>
      </x:c>
      <x:c r="D7" s="41" t="n">
        <x:v>360</x:v>
      </x:c>
      <x:c r="E7" s="41" t="n">
        <x:f>C7</x:f>
        <x:v>25</x:v>
      </x:c>
      <x:c r="F7" s="41" t="n">
        <x:f>D7</x:f>
        <x:v>360</x:v>
      </x:c>
      <x:c r="G7" s="41" t="str">
        <x:v>site authority, identity, public and acute portal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A1 gallery and acute utility kernel</x:v>
      </x:c>
      <x:c r="C8" s="41" t="n">
        <x:v>33</x:v>
      </x:c>
      <x:c r="D8" s="41" t="n">
        <x:v>850</x:v>
      </x:c>
      <x:c r="E8" s="41" t="n">
        <x:f>E7+C8</x:f>
        <x:v>58</x:v>
      </x:c>
      <x:c r="F8" s="41" t="n">
        <x:f>F7+D8</x:f>
        <x:v>1210</x:v>
      </x:c>
      <x:c r="G8" s="41" t="str">
        <x:v>power, air, oxygen, emergency and critical path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A2 high-acuity and isolation</x:v>
      </x:c>
      <x:c r="C9" s="41" t="n">
        <x:v>28</x:v>
      </x:c>
      <x:c r="D9" s="41" t="n">
        <x:v>900</x:v>
      </x:c>
      <x:c r="E9" s="41" t="n">
        <x:f>E8+C9</x:f>
        <x:v>86</x:v>
      </x:c>
      <x:c r="F9" s="41" t="n">
        <x:f>F8+D9</x:f>
        <x:v>2110</x:v>
      </x:c>
      <x:c r="G9" s="41" t="str">
        <x:v>critical, procedure, maternal, isolation and transfer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A3 full care lattice</x:v>
      </x:c>
      <x:c r="C10" s="41" t="n">
        <x:v>24</x:v>
      </x:c>
      <x:c r="D10" s="41" t="n">
        <x:v>850</x:v>
      </x:c>
      <x:c r="E10" s="41" t="n">
        <x:f>E9+C10</x:f>
        <x:v>110</x:v>
      </x:c>
      <x:c r="F10" s="41" t="n">
        <x:f>F9+D10</x:f>
        <x:v>2960</x:v>
      </x:c>
      <x:c r="G10" s="41" t="str">
        <x:v>ward, observation, dialysis, behavioral and release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A4 repair and relocation reserve</x:v>
      </x:c>
      <x:c r="C11" s="41" t="n">
        <x:v>11</x:v>
      </x:c>
      <x:c r="D11" s="41" t="n">
        <x:v>244</x:v>
      </x:c>
      <x:c r="E11" s="41" t="n">
        <x:f>E10+C11</x:f>
        <x:v>121</x:v>
      </x:c>
      <x:c r="F11" s="41" t="n">
        <x:f>F10+D11</x:f>
        <x:v>3204</x:v>
      </x:c>
      <x:c r="G11" s="41" t="str">
        <x:v>spares, handling and whole-island reset</x:v>
      </x:c>
      <x:c r="H11" s="41"/>
      <x:c r="I11" s="41"/>
      <x:c r="J11" s="41"/>
      <x:c r="K11" s="41"/>
      <x:c r="L11" s="41"/>
      <x:c r="M11" s="41"/>
    </x:row>
    <x:row r="12" ht="15" hidden="0" customHeight="1">
      <x:c r="B12" s="47" t="str">
        <x:v>ROOT A TOTAL</x:v>
      </x:c>
      <x:c r="C12" s="47" t="n">
        <x:f>SUM(C7:C11)</x:f>
        <x:v>121</x:v>
      </x:c>
      <x:c r="D12" s="47" t="n">
        <x:f>SUM(D7:D11)</x:f>
        <x:v>3204</x:v>
      </x:c>
      <x:c r="E12" s="47" t="n">
        <x:f>E11</x:f>
        <x:v>121</x:v>
      </x:c>
      <x:c r="F12" s="47" t="n">
        <x:f>F11</x:f>
        <x:v>3204</x:v>
      </x:c>
      <x:c r="G12" s="47"/>
      <x:c r="H12" s="41"/>
      <x:c r="I12" s="41"/>
      <x:c r="J12" s="41"/>
      <x:c r="K12" s="41"/>
      <x:c r="L12" s="41"/>
      <x:c r="M12" s="41"/>
    </x:row>
    <x:row r="13" ht="15" hidden="0" customHeight="1"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</x:row>
    <x:row r="14" ht="15" hidden="0" customHeight="1"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B0 authority, mesh seed and portal</x:v>
      </x:c>
      <x:c r="C15" s="41" t="n">
        <x:v>40</x:v>
      </x:c>
      <x:c r="D15" s="41" t="n">
        <x:v>330</x:v>
      </x:c>
      <x:c r="E15" s="41" t="n">
        <x:f>C15</x:f>
        <x:v>40</x:v>
      </x:c>
      <x:c r="F15" s="41" t="n">
        <x:f>D15</x:f>
        <x:v>330</x:v>
      </x:c>
      <x:c r="G15" s="41" t="str">
        <x:v>site grid, identity, public and acute portal</x:v>
      </x:c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B1 acute cells and utility cassettes</x:v>
      </x:c>
      <x:c r="C16" s="41" t="n">
        <x:v>58</x:v>
      </x:c>
      <x:c r="D16" s="41" t="n">
        <x:v>760</x:v>
      </x:c>
      <x:c r="E16" s="41" t="n">
        <x:f>E15+C16</x:f>
        <x:v>98</x:v>
      </x:c>
      <x:c r="F16" s="41" t="n">
        <x:f>F15+D16</x:f>
        <x:v>1090</x:v>
      </x:c>
      <x:c r="G16" s="41" t="str">
        <x:v>emergency, critical, power, air, oxygen and data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 t="str">
        <x:v>B2 high-acuity and isolation clusters</x:v>
      </x:c>
      <x:c r="C17" s="41" t="n">
        <x:v>48</x:v>
      </x:c>
      <x:c r="D17" s="41" t="n">
        <x:v>810</x:v>
      </x:c>
      <x:c r="E17" s="41" t="n">
        <x:f>E16+C17</x:f>
        <x:v>146</x:v>
      </x:c>
      <x:c r="F17" s="41" t="n">
        <x:f>F16+D17</x:f>
        <x:v>1900</x:v>
      </x:c>
      <x:c r="G17" s="41" t="str">
        <x:v>procedure, maternal, isolation and transfer</x:v>
      </x:c>
      <x:c r="H17" s="41"/>
      <x:c r="I17" s="41"/>
      <x:c r="J17" s="41"/>
      <x:c r="K17" s="41"/>
      <x:c r="L17" s="41"/>
      <x:c r="M17" s="41"/>
    </x:row>
    <x:row r="18" ht="15" hidden="0" customHeight="1">
      <x:c r="B18" s="41" t="str">
        <x:v>B3 full care matrix</x:v>
      </x:c>
      <x:c r="C18" s="41" t="n">
        <x:v>46</x:v>
      </x:c>
      <x:c r="D18" s="41" t="n">
        <x:v>830</x:v>
      </x:c>
      <x:c r="E18" s="41" t="n">
        <x:f>E17+C18</x:f>
        <x:v>192</x:v>
      </x:c>
      <x:c r="F18" s="41" t="n">
        <x:f>F17+D18</x:f>
        <x:v>2730</x:v>
      </x:c>
      <x:c r="G18" s="41" t="str">
        <x:v>remaining care, release and environmental service</x:v>
      </x:c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B4 repair and relocation reserve</x:v>
      </x:c>
      <x:c r="C19" s="41" t="n">
        <x:v>26</x:v>
      </x:c>
      <x:c r="D19" s="41" t="n">
        <x:v>449</x:v>
      </x:c>
      <x:c r="E19" s="41" t="n">
        <x:f>E18+C19</x:f>
        <x:v>218</x:v>
      </x:c>
      <x:c r="F19" s="41" t="n">
        <x:f>F18+D19</x:f>
        <x:v>3179</x:v>
      </x:c>
      <x:c r="G19" s="41" t="str">
        <x:v>spare cells, interfaces, tools and reset</x:v>
      </x:c>
      <x:c r="H19" s="41"/>
      <x:c r="I19" s="41"/>
      <x:c r="J19" s="41"/>
      <x:c r="K19" s="41"/>
      <x:c r="L19" s="41"/>
      <x:c r="M19" s="41"/>
    </x:row>
    <x:row r="20" ht="15" hidden="0" customHeight="1">
      <x:c r="B20" s="47" t="str">
        <x:v>ROOT B TOTAL</x:v>
      </x:c>
      <x:c r="C20" s="47" t="n">
        <x:f>SUM(C15:C19)</x:f>
        <x:v>218</x:v>
      </x:c>
      <x:c r="D20" s="47" t="n">
        <x:f>SUM(D15:D19)</x:f>
        <x:v>3179</x:v>
      </x:c>
      <x:c r="E20" s="47" t="n">
        <x:f>E19</x:f>
        <x:v>218</x:v>
      </x:c>
      <x:c r="F20" s="47" t="n">
        <x:f>F19</x:f>
        <x:v>3179</x:v>
      </x:c>
      <x:c r="G20" s="47"/>
      <x:c r="H20" s="41"/>
      <x:c r="I20" s="41"/>
      <x:c r="J20" s="41"/>
      <x:c r="K20" s="41"/>
      <x:c r="L20" s="41"/>
      <x:c r="M20" s="41"/>
    </x:row>
    <x:row r="21" ht="15" hidden="0" customHeight="1"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</x:row>
    <x:row r="22" ht="15" hidden="0" customHeight="1"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</x:row>
    <x:row r="23" ht="22" hidden="0" customHeight="1">
      <x:c r="B23" s="72" t="str">
        <x:v>Cargo-position screen</x:v>
      </x:c>
      <x:c r="C23" s="72"/>
      <x:c r="D23" s="72"/>
      <x:c r="E23" s="72"/>
      <x:c r="F23" s="72"/>
      <x:c r="G23" s="72"/>
      <x:c r="H23" s="41"/>
      <x:c r="I23" s="41"/>
      <x:c r="J23" s="41"/>
      <x:c r="K23" s="41"/>
      <x:c r="L23" s="41"/>
      <x:c r="M23" s="41"/>
    </x:row>
    <x:row r="24" ht="32" hidden="0" customHeight="1">
      <x:c r="B24" s="8" t="str">
        <x:v>Root</x:v>
      </x:c>
      <x:c r="C24" s="8" t="str">
        <x:v>Dry mass t</x:v>
      </x:c>
      <x:c r="D24" s="8" t="str">
        <x:v>Packaged mass t</x:v>
      </x:c>
      <x:c r="E24" s="8" t="str">
        <x:v>Payload t / position</x:v>
      </x:c>
      <x:c r="F24" s="8" t="str">
        <x:v>Mass positions</x:v>
      </x:c>
      <x:c r="G24" s="8" t="str">
        <x:v>Unresolved manifest fields</x:v>
      </x:c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Root A</x:v>
      </x:c>
      <x:c r="C25" s="41" t="n">
        <x:f>D12</x:f>
        <x:v>3204</x:v>
      </x:c>
      <x:c r="D25" s="41" t="n">
        <x:f>C25*'01 Controls'!$D$75</x:f>
        <x:v>3588.4800000000005</x:v>
      </x:c>
      <x:c r="E25" s="41" t="n">
        <x:f>'01 Controls'!$D$76</x:f>
        <x:v>18</x:v>
      </x:c>
      <x:c r="F25" s="41" t="n">
        <x:f>ROUNDUP(D25/E25,0)</x:f>
        <x:v>200</x:v>
      </x:c>
      <x:c r="G25" s="41" t="str">
        <x:v>dimensions, outsize, hazardous material, cold chain, lift, route, deadline</x:v>
      </x:c>
      <x:c r="H25" s="41"/>
      <x:c r="I25" s="41"/>
      <x:c r="J25" s="41"/>
      <x:c r="K25" s="41"/>
      <x:c r="L25" s="41"/>
      <x:c r="M25" s="41"/>
    </x:row>
    <x:row r="26" ht="15" hidden="0" customHeight="1">
      <x:c r="B26" s="41" t="str">
        <x:v>Root B</x:v>
      </x:c>
      <x:c r="C26" s="41" t="n">
        <x:f>D20</x:f>
        <x:v>3179</x:v>
      </x:c>
      <x:c r="D26" s="41" t="n">
        <x:f>C26*'01 Controls'!$D$75</x:f>
        <x:v>3560.4800000000005</x:v>
      </x:c>
      <x:c r="E26" s="41" t="n">
        <x:f>'01 Controls'!$D$76</x:f>
        <x:v>18</x:v>
      </x:c>
      <x:c r="F26" s="41" t="n">
        <x:f>ROUNDUP(D26/E26,0)</x:f>
        <x:v>198</x:v>
      </x:c>
      <x:c r="G26" s="41" t="str">
        <x:v>dimensions, outsize, hazardous material, cold chain, lift, route, deadline</x:v>
      </x:c>
      <x:c r="H26" s="41"/>
      <x:c r="I26" s="41"/>
      <x:c r="J26" s="41"/>
      <x:c r="K26" s="41"/>
      <x:c r="L26" s="41"/>
      <x:c r="M26" s="41"/>
    </x:row>
  </x:sheetData>
  <x:mergeCells>
    <x:mergeCell ref="B2:M2"/>
    <x:mergeCell ref="B3:M3"/>
    <x:mergeCell ref="B23:G2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2" hidden="0" customWidth="1"/>
    <x:col min="8" max="8" width="12" hidden="0" customWidth="1"/>
    <x:col min="1" max="1" width="3" hidden="0" customWidth="1"/>
  </x:cols>
  <x:sheetData>
    <x:row r="2" ht="24" hidden="0" customHeight="1">
      <x:c r="B2" s="70" t="str">
        <x:v>Comparative failure-world register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The campaign challenges Root A's longer utility reach and Root B's distributed latent common modes under the same service law.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ID</x:v>
      </x:c>
      <x:c r="C6" s="8" t="str">
        <x:v>Failure world</x:v>
      </x:c>
      <x:c r="D6" s="8" t="str">
        <x:v>Root A challenged object</x:v>
      </x:c>
      <x:c r="E6" s="8" t="str">
        <x:v>Root B challenged object</x:v>
      </x:c>
      <x:c r="F6" s="8" t="str">
        <x:v>Required response</x:v>
      </x:c>
      <x:c r="G6" s="8" t="str">
        <x:v>Evidence</x:v>
      </x:c>
      <x:c r="H6" s="8" t="str">
        <x:v>Credit</x:v>
      </x:c>
      <x:c r="I6" s="41"/>
      <x:c r="J6" s="41"/>
      <x:c r="K6" s="41"/>
      <x:c r="L6" s="41"/>
      <x:c r="M6" s="41"/>
    </x:row>
    <x:row r="7" ht="15" hidden="0" customHeight="1">
      <x:c r="B7" s="44" t="str">
        <x:v>W01</x:v>
      </x:c>
      <x:c r="C7" s="44" t="str">
        <x:v>one public portal unavailable at 2.5 arrival</x:v>
      </x:c>
      <x:c r="D7" s="44" t="str">
        <x:v>portal / gallery branch</x:v>
      </x:c>
      <x:c r="E7" s="44" t="str">
        <x:v>portal cell / manifold</x:v>
      </x:c>
      <x:c r="F7" s="44" t="str">
        <x:v>retain 31 positions</x:v>
      </x:c>
      <x:c r="G7" s="44" t="str">
        <x:v>queue, identity, time</x:v>
      </x:c>
      <x:c r="H7" s="44" t="str">
        <x:v>OPEN</x:v>
      </x:c>
      <x:c r="I7" s="41"/>
      <x:c r="J7" s="41"/>
      <x:c r="K7" s="41"/>
      <x:c r="L7" s="41"/>
      <x:c r="M7" s="41"/>
    </x:row>
    <x:row r="8" ht="15" hidden="0" customHeight="1">
      <x:c r="B8" s="44" t="str">
        <x:v>W02</x:v>
      </x:c>
      <x:c r="C8" s="44" t="str">
        <x:v>one acute portal unavailable</x:v>
      </x:c>
      <x:c r="D8" s="44" t="str">
        <x:v>acute branch</x:v>
      </x:c>
      <x:c r="E8" s="44" t="str">
        <x:v>acute cell</x:v>
      </x:c>
      <x:c r="F8" s="44" t="str">
        <x:v>retain resuscitation arrival</x:v>
      </x:c>
      <x:c r="G8" s="44" t="str">
        <x:v>care-path record</x:v>
      </x:c>
      <x:c r="H8" s="44" t="str">
        <x:v>OPEN</x:v>
      </x:c>
      <x:c r="I8" s="41"/>
      <x:c r="J8" s="41"/>
      <x:c r="K8" s="41"/>
      <x:c r="L8" s="41"/>
      <x:c r="M8" s="41"/>
    </x:row>
    <x:row r="9" ht="15" hidden="0" customHeight="1">
      <x:c r="B9" s="44" t="str">
        <x:v>W03</x:v>
      </x:c>
      <x:c r="C9" s="44" t="str">
        <x:v>one same-domain air article unavailable</x:v>
      </x:c>
      <x:c r="D9" s="44" t="str">
        <x:v>central train</x:v>
      </x:c>
      <x:c r="E9" s="44" t="str">
        <x:v>local cassette</x:v>
      </x:c>
      <x:c r="F9" s="44" t="str">
        <x:v>retain domain flow</x:v>
      </x:c>
      <x:c r="G9" s="44" t="str">
        <x:v>tracer and local state</x:v>
      </x:c>
      <x:c r="H9" s="44" t="str">
        <x:v>OPEN</x:v>
      </x:c>
      <x:c r="I9" s="41"/>
      <x:c r="J9" s="41"/>
      <x:c r="K9" s="41"/>
      <x:c r="L9" s="41"/>
      <x:c r="M9" s="41"/>
    </x:row>
    <x:row r="10" ht="15" hidden="0" customHeight="1">
      <x:c r="B10" s="44" t="str">
        <x:v>W04</x:v>
      </x:c>
      <x:c r="C10" s="44" t="str">
        <x:v>30% contaminated area at 15 ACH</x:v>
      </x:c>
      <x:c r="D10" s="44" t="str">
        <x:v>contaminated plant</x:v>
      </x:c>
      <x:c r="E10" s="44" t="str">
        <x:v>contaminated cassette field</x:v>
      </x:c>
      <x:c r="F10" s="44" t="str">
        <x:v>retain containment</x:v>
      </x:c>
      <x:c r="G10" s="44" t="str">
        <x:v>flow and tracer</x:v>
      </x:c>
      <x:c r="H10" s="44" t="str">
        <x:v>OPEN</x:v>
      </x:c>
      <x:c r="I10" s="41"/>
      <x:c r="J10" s="41"/>
      <x:c r="K10" s="41"/>
      <x:c r="L10" s="41"/>
      <x:c r="M10" s="41"/>
    </x:row>
    <x:row r="11" ht="15" hidden="0" customHeight="1">
      <x:c r="B11" s="44" t="str">
        <x:v>W05</x:v>
      </x:c>
      <x:c r="C11" s="44" t="str">
        <x:v>air reversal or door disagreement</x:v>
      </x:c>
      <x:c r="D11" s="44" t="str">
        <x:v>gallery transition</x:v>
      </x:c>
      <x:c r="E11" s="44" t="str">
        <x:v>cell interface</x:v>
      </x:c>
      <x:c r="F11" s="44" t="str">
        <x:v>stop affected admission</x:v>
      </x:c>
      <x:c r="G11" s="44" t="str">
        <x:v>known-truth replay</x:v>
      </x:c>
      <x:c r="H11" s="44" t="str">
        <x:v>OPEN</x:v>
      </x:c>
      <x:c r="I11" s="41"/>
      <x:c r="J11" s="41"/>
      <x:c r="K11" s="41"/>
      <x:c r="L11" s="41"/>
      <x:c r="M11" s="41"/>
    </x:row>
    <x:row r="12" ht="15" hidden="0" customHeight="1">
      <x:c r="B12" s="44" t="str">
        <x:v>W06</x:v>
      </x:c>
      <x:c r="C12" s="44" t="str">
        <x:v>one feeder unavailable at peak</x:v>
      </x:c>
      <x:c r="D12" s="44" t="str">
        <x:v>3 MW feeder</x:v>
      </x:c>
      <x:c r="E12" s="44" t="str">
        <x:v>2 MW feeder</x:v>
      </x:c>
      <x:c r="F12" s="44" t="str">
        <x:v>selective isolation</x:v>
      </x:c>
      <x:c r="G12" s="44" t="str">
        <x:v>fault record</x:v>
      </x:c>
      <x:c r="H12" s="44" t="str">
        <x:v>OPEN</x:v>
      </x:c>
      <x:c r="I12" s="41"/>
      <x:c r="J12" s="41"/>
      <x:c r="K12" s="41"/>
      <x:c r="L12" s="41"/>
      <x:c r="M12" s="41"/>
    </x:row>
    <x:row r="13" ht="15" hidden="0" customHeight="1">
      <x:c r="B13" s="44" t="str">
        <x:v>W07</x:v>
      </x:c>
      <x:c r="C13" s="44" t="str">
        <x:v>no-break pod unavailable</x:v>
      </x:c>
      <x:c r="D13" s="44" t="str">
        <x:v>0.25 MWh pod</x:v>
      </x:c>
      <x:c r="E13" s="44" t="str">
        <x:v>0.10 MWh pod</x:v>
      </x:c>
      <x:c r="F13" s="44" t="str">
        <x:v>retain five-minute transfer</x:v>
      </x:c>
      <x:c r="G13" s="44" t="str">
        <x:v>power-quality record</x:v>
      </x:c>
      <x:c r="H13" s="44" t="str">
        <x:v>OPEN</x:v>
      </x:c>
      <x:c r="I13" s="41"/>
      <x:c r="J13" s="41"/>
      <x:c r="K13" s="41"/>
      <x:c r="L13" s="41"/>
      <x:c r="M13" s="41"/>
    </x:row>
    <x:row r="14" ht="15" hidden="0" customHeight="1">
      <x:c r="B14" s="44" t="str">
        <x:v>W08</x:v>
      </x:c>
      <x:c r="C14" s="44" t="str">
        <x:v>medical-gas identity disagreement</x:v>
      </x:c>
      <x:c r="D14" s="44" t="str">
        <x:v>header branch</x:v>
      </x:c>
      <x:c r="E14" s="44" t="str">
        <x:v>cell manifold</x:v>
      </x:c>
      <x:c r="F14" s="44" t="str">
        <x:v>prevent wrong product</x:v>
      </x:c>
      <x:c r="G14" s="44" t="str">
        <x:v>sample and identity</x:v>
      </x:c>
      <x:c r="H14" s="44" t="str">
        <x:v>OPEN</x:v>
      </x:c>
      <x:c r="I14" s="41"/>
      <x:c r="J14" s="41"/>
      <x:c r="K14" s="41"/>
      <x:c r="L14" s="41"/>
      <x:c r="M14" s="41"/>
    </x:row>
    <x:row r="15" ht="15" hidden="0" customHeight="1">
      <x:c r="B15" s="44" t="str">
        <x:v>W09</x:v>
      </x:c>
      <x:c r="C15" s="44" t="str">
        <x:v>water-quality failure</x:v>
      </x:c>
      <x:c r="D15" s="44" t="str">
        <x:v>gallery water node</x:v>
      </x:c>
      <x:c r="E15" s="44" t="str">
        <x:v>cell water node</x:v>
      </x:c>
      <x:c r="F15" s="44" t="str">
        <x:v>stop affected service</x:v>
      </x:c>
      <x:c r="G15" s="44" t="str">
        <x:v>sample custody</x:v>
      </x:c>
      <x:c r="H15" s="44" t="str">
        <x:v>OPEN</x:v>
      </x:c>
      <x:c r="I15" s="41"/>
      <x:c r="J15" s="41"/>
      <x:c r="K15" s="41"/>
      <x:c r="L15" s="41"/>
      <x:c r="M15" s="41"/>
    </x:row>
    <x:row r="16" ht="15" hidden="0" customHeight="1">
      <x:c r="B16" s="44" t="str">
        <x:v>W10</x:v>
      </x:c>
      <x:c r="C16" s="44" t="str">
        <x:v>wastewater receiver unavailable</x:v>
      </x:c>
      <x:c r="D16" s="44" t="str">
        <x:v>dirty gallery</x:v>
      </x:c>
      <x:c r="E16" s="44" t="str">
        <x:v>cell return manifold</x:v>
      </x:c>
      <x:c r="F16" s="44" t="str">
        <x:v>stop before overflow</x:v>
      </x:c>
      <x:c r="G16" s="44" t="str">
        <x:v>volume custody</x:v>
      </x:c>
      <x:c r="H16" s="44" t="str">
        <x:v>OPEN</x:v>
      </x:c>
      <x:c r="I16" s="41"/>
      <x:c r="J16" s="41"/>
      <x:c r="K16" s="41"/>
      <x:c r="L16" s="41"/>
      <x:c r="M16" s="41"/>
    </x:row>
    <x:row r="17" ht="15" hidden="0" customHeight="1">
      <x:c r="B17" s="44" t="str">
        <x:v>W11</x:v>
      </x:c>
      <x:c r="C17" s="44" t="str">
        <x:v>external network loss</x:v>
      </x:c>
      <x:c r="D17" s="44" t="str">
        <x:v>data root</x:v>
      </x:c>
      <x:c r="E17" s="44" t="str">
        <x:v>cell controller mesh</x:v>
      </x:c>
      <x:c r="F17" s="44" t="str">
        <x:v>continue locally</x:v>
      </x:c>
      <x:c r="G17" s="44" t="str">
        <x:v>signed reconciliation</x:v>
      </x:c>
      <x:c r="H17" s="44" t="str">
        <x:v>OPEN</x:v>
      </x:c>
      <x:c r="I17" s="41"/>
      <x:c r="J17" s="41"/>
      <x:c r="K17" s="41"/>
      <x:c r="L17" s="41"/>
      <x:c r="M17" s="41"/>
    </x:row>
    <x:row r="18" ht="15" hidden="0" customHeight="1">
      <x:c r="B18" s="44" t="str">
        <x:v>W12</x:v>
      </x:c>
      <x:c r="C18" s="44" t="str">
        <x:v>split patient identity</x:v>
      </x:c>
      <x:c r="D18" s="44" t="str">
        <x:v>identity root</x:v>
      </x:c>
      <x:c r="E18" s="44" t="str">
        <x:v>distributed identity</x:v>
      </x:c>
      <x:c r="F18" s="44" t="str">
        <x:v>preserve original records</x:v>
      </x:c>
      <x:c r="G18" s="44" t="str">
        <x:v>causal reconstruction</x:v>
      </x:c>
      <x:c r="H18" s="44" t="str">
        <x:v>OPEN</x:v>
      </x:c>
      <x:c r="I18" s="41"/>
      <x:c r="J18" s="41"/>
      <x:c r="K18" s="41"/>
      <x:c r="L18" s="41"/>
      <x:c r="M18" s="41"/>
    </x:row>
    <x:row r="19" ht="15" hidden="0" customHeight="1">
      <x:c r="B19" s="44" t="str">
        <x:v>W13</x:v>
      </x:c>
      <x:c r="C19" s="44" t="str">
        <x:v>inaccessible route after settlement</x:v>
      </x:c>
      <x:c r="D19" s="44" t="str">
        <x:v>gallery bridge</x:v>
      </x:c>
      <x:c r="E19" s="44" t="str">
        <x:v>cell connector</x:v>
      </x:c>
      <x:c r="F19" s="44" t="str">
        <x:v>provide accepted route</x:v>
      </x:c>
      <x:c r="G19" s="44" t="str">
        <x:v>survey and human factors</x:v>
      </x:c>
      <x:c r="H19" s="44" t="str">
        <x:v>OPEN</x:v>
      </x:c>
      <x:c r="I19" s="41"/>
      <x:c r="J19" s="41"/>
      <x:c r="K19" s="41"/>
      <x:c r="L19" s="41"/>
      <x:c r="M19" s="41"/>
    </x:row>
    <x:row r="20" ht="15" hidden="0" customHeight="1">
      <x:c r="B20" s="44" t="str">
        <x:v>W14</x:v>
      </x:c>
      <x:c r="C20" s="44" t="str">
        <x:v>dirty-return breach</x:v>
      </x:c>
      <x:c r="D20" s="44" t="str">
        <x:v>dirty gallery</x:v>
      </x:c>
      <x:c r="E20" s="44" t="str">
        <x:v>dirty service face</x:v>
      </x:c>
      <x:c r="F20" s="44" t="str">
        <x:v>contain and recover</x:v>
      </x:c>
      <x:c r="G20" s="44" t="str">
        <x:v>tracer and custody</x:v>
      </x:c>
      <x:c r="H20" s="44" t="str">
        <x:v>OPEN</x:v>
      </x:c>
      <x:c r="I20" s="41"/>
      <x:c r="J20" s="41"/>
      <x:c r="K20" s="41"/>
      <x:c r="L20" s="41"/>
      <x:c r="M20" s="41"/>
    </x:row>
    <x:row r="21" ht="15" hidden="0" customHeight="1">
      <x:c r="B21" s="44" t="str">
        <x:v>W15</x:v>
      </x:c>
      <x:c r="C21" s="44" t="str">
        <x:v>staff-transition loss</x:v>
      </x:c>
      <x:c r="D21" s="44" t="str">
        <x:v>staff transition bank</x:v>
      </x:c>
      <x:c r="E21" s="44" t="str">
        <x:v>distributed transitions</x:v>
      </x:c>
      <x:c r="F21" s="44" t="str">
        <x:v>retain safe staffing route</x:v>
      </x:c>
      <x:c r="G21" s="44" t="str">
        <x:v>throughput record</x:v>
      </x:c>
      <x:c r="H21" s="44" t="str">
        <x:v>OPEN</x:v>
      </x:c>
      <x:c r="I21" s="41"/>
      <x:c r="J21" s="41"/>
      <x:c r="K21" s="41"/>
      <x:c r="L21" s="41"/>
      <x:c r="M21" s="41"/>
    </x:row>
    <x:row r="22" ht="15" hidden="0" customHeight="1">
      <x:c r="B22" s="44" t="str">
        <x:v>W16</x:v>
      </x:c>
      <x:c r="C22" s="44" t="str">
        <x:v>gallery-segment isolation</x:v>
      </x:c>
      <x:c r="D22" s="44" t="str">
        <x:v>56-position reach</x:v>
      </x:c>
      <x:c r="E22" s="44" t="str">
        <x:v>not applicable</x:v>
      </x:c>
      <x:c r="F22" s="44" t="str">
        <x:v>limit and transfer</x:v>
      </x:c>
      <x:c r="G22" s="44" t="str">
        <x:v>service trace</x:v>
      </x:c>
      <x:c r="H22" s="44" t="str">
        <x:v>OPEN</x:v>
      </x:c>
      <x:c r="I22" s="41"/>
      <x:c r="J22" s="41"/>
      <x:c r="K22" s="41"/>
      <x:c r="L22" s="41"/>
      <x:c r="M22" s="41"/>
    </x:row>
    <x:row r="23" ht="15" hidden="0" customHeight="1">
      <x:c r="B23" s="44" t="str">
        <x:v>W17</x:v>
      </x:c>
      <x:c r="C23" s="44" t="str">
        <x:v>local-manifold latent common mode</x:v>
      </x:c>
      <x:c r="D23" s="44" t="str">
        <x:v>not applicable</x:v>
      </x:c>
      <x:c r="E23" s="44" t="str">
        <x:v>27-position cell boundary</x:v>
      </x:c>
      <x:c r="F23" s="44" t="str">
        <x:v>contain to one cell</x:v>
      </x:c>
      <x:c r="G23" s="44" t="str">
        <x:v>fault-tree evidence</x:v>
      </x:c>
      <x:c r="H23" s="44" t="str">
        <x:v>OPEN</x:v>
      </x:c>
      <x:c r="I23" s="41"/>
      <x:c r="J23" s="41"/>
      <x:c r="K23" s="41"/>
      <x:c r="L23" s="41"/>
      <x:c r="M23" s="41"/>
    </x:row>
    <x:row r="24" ht="15" hidden="0" customHeight="1">
      <x:c r="B24" s="44" t="str">
        <x:v>W18</x:v>
      </x:c>
      <x:c r="C24" s="44" t="str">
        <x:v>configuration service denial</x:v>
      </x:c>
      <x:c r="D24" s="44" t="str">
        <x:v>local baseline</x:v>
      </x:c>
      <x:c r="E24" s="44" t="str">
        <x:v>distributed registration</x:v>
      </x:c>
      <x:c r="F24" s="44" t="str">
        <x:v>continue verified work</x:v>
      </x:c>
      <x:c r="G24" s="44" t="str">
        <x:v>offline package</x:v>
      </x:c>
      <x:c r="H24" s="44" t="str">
        <x:v>OPEN</x:v>
      </x:c>
      <x:c r="I24" s="41"/>
      <x:c r="J24" s="41"/>
      <x:c r="K24" s="41"/>
      <x:c r="L24" s="41"/>
      <x:c r="M24" s="41"/>
    </x:row>
    <x:row r="25" ht="15" hidden="0" customHeight="1">
      <x:c r="B25" s="44" t="str">
        <x:v>W19</x:v>
      </x:c>
      <x:c r="C25" s="44" t="str">
        <x:v>retained tracer after teardown</x:v>
      </x:c>
      <x:c r="D25" s="44" t="str">
        <x:v>gallery surfaces</x:v>
      </x:c>
      <x:c r="E25" s="44" t="str">
        <x:v>cell and connector surfaces</x:v>
      </x:c>
      <x:c r="F25" s="44" t="str">
        <x:v>withhold reuse</x:v>
      </x:c>
      <x:c r="G25" s="44" t="str">
        <x:v>samples and maps</x:v>
      </x:c>
      <x:c r="H25" s="44" t="str">
        <x:v>OPEN</x:v>
      </x:c>
      <x:c r="I25" s="41"/>
      <x:c r="J25" s="41"/>
      <x:c r="K25" s="41"/>
      <x:c r="L25" s="41"/>
      <x:c r="M25" s="41"/>
    </x:row>
    <x:row r="26" ht="15" hidden="0" customHeight="1">
      <x:c r="B26" s="44" t="str">
        <x:v>W20</x:v>
      </x:c>
      <x:c r="C26" s="44" t="str">
        <x:v>wrong compatible repair part</x:v>
      </x:c>
      <x:c r="D26" s="44" t="str">
        <x:v>gallery repair</x:v>
      </x:c>
      <x:c r="E26" s="44" t="str">
        <x:v>cell / manifold repair</x:v>
      </x:c>
      <x:c r="F26" s="44" t="str">
        <x:v>reject before service</x:v>
      </x:c>
      <x:c r="G26" s="44" t="str">
        <x:v>part and tool identity</x:v>
      </x:c>
      <x:c r="H26" s="44" t="str">
        <x:v>OPEN</x:v>
      </x:c>
      <x:c r="I26" s="41"/>
      <x:c r="J26" s="41"/>
      <x:c r="K26" s="41"/>
      <x:c r="L26" s="41"/>
      <x:c r="M26" s="41"/>
    </x:row>
    <x:row r="27" ht="15" hidden="0" customHeight="1">
      <x:c r="B27" s="44" t="str">
        <x:v>W21</x:v>
      </x:c>
      <x:c r="C27" s="44" t="str">
        <x:v>whole-island exchange</x:v>
      </x:c>
      <x:c r="D27" s="44" t="str">
        <x:v>gallery campus</x:v>
      </x:c>
      <x:c r="E27" s="44" t="str">
        <x:v>cell matrix</x:v>
      </x:c>
      <x:c r="F27" s="44" t="str">
        <x:v>four islands remain active</x:v>
      </x:c>
      <x:c r="G27" s="44" t="str">
        <x:v>formation service record</x:v>
      </x:c>
      <x:c r="H27" s="44" t="str">
        <x:v>OPEN</x:v>
      </x:c>
      <x:c r="I27" s="41"/>
      <x:c r="J27" s="41"/>
      <x:c r="K27" s="41"/>
      <x:c r="L27" s="41"/>
      <x:c r="M27" s="41"/>
    </x:row>
    <x:row r="28" ht="15" hidden="0" customHeight="1">
      <x:c r="B28" s="44" t="str">
        <x:v>W22</x:v>
      </x:c>
      <x:c r="C28" s="44" t="str">
        <x:v>high heat plus filter loading</x:v>
      </x:c>
      <x:c r="D28" s="44" t="str">
        <x:v>central air plant</x:v>
      </x:c>
      <x:c r="E28" s="44" t="str">
        <x:v>distributed cassettes</x:v>
      </x:c>
      <x:c r="F28" s="44" t="str">
        <x:v>retain domain state</x:v>
      </x:c>
      <x:c r="G28" s="44" t="str">
        <x:v>thermal and flow record</x:v>
      </x:c>
      <x:c r="H28" s="44" t="str">
        <x:v>OPEN</x:v>
      </x:c>
      <x:c r="I28" s="41"/>
      <x:c r="J28" s="41"/>
      <x:c r="K28" s="41"/>
      <x:c r="L28" s="41"/>
      <x:c r="M28" s="41"/>
    </x:row>
    <x:row r="29" ht="15" hidden="0" customHeight="1">
      <x:c r="B29" s="44" t="str">
        <x:v>W23</x:v>
      </x:c>
      <x:c r="C29" s="44" t="str">
        <x:v>destination lost after preparation</x:v>
      </x:c>
      <x:c r="D29" s="44" t="str">
        <x:v>transfer stage</x:v>
      </x:c>
      <x:c r="E29" s="44" t="str">
        <x:v>transfer cell</x:v>
      </x:c>
      <x:c r="F29" s="44" t="str">
        <x:v>retain patient custody</x:v>
      </x:c>
      <x:c r="G29" s="44" t="str">
        <x:v>receiver compact</x:v>
      </x:c>
      <x:c r="H29" s="44" t="str">
        <x:v>OPEN</x:v>
      </x:c>
      <x:c r="I29" s="41"/>
      <x:c r="J29" s="41"/>
      <x:c r="K29" s="41"/>
      <x:c r="L29" s="41"/>
      <x:c r="M29" s="41"/>
    </x:row>
    <x:row r="30" ht="15" hidden="0" customHeight="1">
      <x:c r="B30" s="44" t="str">
        <x:v>W24</x:v>
      </x:c>
      <x:c r="C30" s="44" t="str">
        <x:v>operator-controlled evidence</x:v>
      </x:c>
      <x:c r="D30" s="44" t="str">
        <x:v>central recorder</x:v>
      </x:c>
      <x:c r="E30" s="44" t="str">
        <x:v>distributed recorders</x:v>
      </x:c>
      <x:c r="F30" s="44" t="str">
        <x:v>preserve independent adverse record</x:v>
      </x:c>
      <x:c r="G30" s="44" t="str">
        <x:v>outside reconstruction</x:v>
      </x:c>
      <x:c r="H30" s="44" t="str">
        <x:v>OPEN</x:v>
      </x:c>
      <x:c r="I30" s="41"/>
      <x:c r="J30" s="41"/>
      <x:c r="K30" s="41"/>
      <x:c r="L30" s="41"/>
      <x:c r="M30" s="41"/>
    </x:row>
  </x:sheetData>
  <x:mergeCells>
    <x:mergeCell ref="B2:M2"/>
    <x:mergeCell ref="B3:M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1" max="1" width="3" hidden="0" customWidth="1"/>
  </x:cols>
  <x:sheetData>
    <x:row r="2" ht="24" hidden="0" customHeight="1">
      <x:c r="B2" s="70" t="str">
        <x:v>Eight-island comparative development campaign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Both roots receive complete articles, unlike builders and sites, root-specific faults, repeated service, teardown and relocation.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Population</x:v>
      </x:c>
      <x:c r="C6" s="8" t="str">
        <x:v>Root A</x:v>
      </x:c>
      <x:c r="D6" s="8" t="str">
        <x:v>Root B</x:v>
      </x:c>
      <x:c r="E6" s="8" t="str">
        <x:v>Total</x:v>
      </x:c>
      <x:c r="F6" s="8" t="str">
        <x:v>Unit</x:v>
      </x:c>
      <x:c r="G6" s="8" t="str">
        <x:v>Calculation</x:v>
      </x:c>
      <x:c r="H6" s="41"/>
      <x:c r="I6" s="41"/>
      <x:c r="J6" s="41"/>
      <x:c r="K6" s="41"/>
      <x:c r="L6" s="41"/>
      <x:c r="M6" s="41"/>
    </x:row>
    <x:row r="7" ht="15" hidden="0" customHeight="1">
      <x:c r="B7" s="41" t="str">
        <x:v>Complete islands</x:v>
      </x:c>
      <x:c r="C7" s="41" t="n">
        <x:f>'01 Controls'!$D$77</x:f>
        <x:v>4</x:v>
      </x:c>
      <x:c r="D7" s="41" t="n">
        <x:f>'01 Controls'!$D$78</x:f>
        <x:v>4</x:v>
      </x:c>
      <x:c r="E7" s="41" t="n">
        <x:f>C7+D7</x:f>
        <x:v>8</x:v>
      </x:c>
      <x:c r="F7" s="41" t="str">
        <x:v>islands</x:v>
      </x:c>
      <x:c r="G7" s="41" t="str">
        <x:v>root article count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Nested serial articles</x:v>
      </x:c>
      <x:c r="C8" s="41" t="n">
        <x:f>C7*'03 Root A bill'!E41</x:f>
        <x:v>484</x:v>
      </x:c>
      <x:c r="D8" s="41" t="n">
        <x:f>D7*'04 Root B bill'!E42</x:f>
        <x:v>872</x:v>
      </x:c>
      <x:c r="E8" s="41" t="n">
        <x:f>C8+D8</x:f>
        <x:v>1356</x:v>
      </x:c>
      <x:c r="F8" s="41" t="str">
        <x:v>serials</x:v>
      </x:c>
      <x:c r="G8" s="41" t="str">
        <x:v>islands times bill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Complete cycles</x:v>
      </x:c>
      <x:c r="C9" s="41" t="n">
        <x:v>32</x:v>
      </x:c>
      <x:c r="D9" s="41" t="n">
        <x:v>32</x:v>
      </x:c>
      <x:c r="E9" s="41" t="n">
        <x:f>C9+D9</x:f>
        <x:v>64</x:v>
      </x:c>
      <x:c r="F9" s="41" t="str">
        <x:v>cycles</x:v>
      </x:c>
      <x:c r="G9" s="41" t="str">
        <x:v>eight per island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Relocations</x:v>
      </x:c>
      <x:c r="C10" s="41" t="n">
        <x:v>8</x:v>
      </x:c>
      <x:c r="D10" s="41" t="n">
        <x:v>8</x:v>
      </x:c>
      <x:c r="E10" s="41" t="n">
        <x:f>C10+D10</x:f>
        <x:v>16</x:v>
      </x:c>
      <x:c r="F10" s="41" t="str">
        <x:v>relocations</x:v>
      </x:c>
      <x:c r="G10" s="41" t="str">
        <x:v>two per island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Service runs</x:v>
      </x:c>
      <x:c r="C11" s="41" t="n">
        <x:v>48</x:v>
      </x:c>
      <x:c r="D11" s="41" t="n">
        <x:v>48</x:v>
      </x:c>
      <x:c r="E11" s="41" t="n">
        <x:f>C11+D11</x:f>
        <x:v>96</x:v>
      </x:c>
      <x:c r="F11" s="41" t="str">
        <x:v>runs</x:v>
      </x:c>
      <x:c r="G11" s="41" t="str">
        <x:v>twelve per island</x:v>
      </x:c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Controlled defects</x:v>
      </x:c>
      <x:c r="C12" s="41" t="n">
        <x:v>128</x:v>
      </x:c>
      <x:c r="D12" s="41" t="n">
        <x:v>192</x:v>
      </x:c>
      <x:c r="E12" s="41" t="n">
        <x:f>C12+D12</x:f>
        <x:v>320</x:v>
      </x:c>
      <x:c r="F12" s="41" t="str">
        <x:v>insertions</x:v>
      </x:c>
      <x:c r="G12" s="41" t="str">
        <x:v>root-specific causal burden</x:v>
      </x:c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Peak program positions</x:v>
      </x:c>
      <x:c r="C13" s="41" t="n">
        <x:v>5400</x:v>
      </x:c>
      <x:c r="D13" s="41" t="n">
        <x:v>5400</x:v>
      </x:c>
      <x:c r="E13" s="41" t="n">
        <x:f>C13+D13</x:f>
        <x:v>10800</x:v>
      </x:c>
      <x:c r="F13" s="41" t="str">
        <x:v>positions</x:v>
      </x:c>
      <x:c r="G13" s="41" t="str">
        <x:v>shared ceiling; not additive timing</x:v>
      </x:c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Sequential campaign months</x:v>
      </x:c>
      <x:c r="C14" s="41" t="n">
        <x:v>84</x:v>
      </x:c>
      <x:c r="D14" s="41" t="n">
        <x:v>84</x:v>
      </x:c>
      <x:c r="E14" s="41" t="n">
        <x:v>84</x:v>
      </x:c>
      <x:c r="F14" s="41" t="str">
        <x:v>months</x:v>
      </x:c>
      <x:c r="G14" s="41" t="str">
        <x:v>governed horizon</x:v>
      </x:c>
      <x:c r="H14" s="41"/>
      <x:c r="I14" s="41"/>
      <x:c r="J14" s="41"/>
      <x:c r="K14" s="41"/>
      <x:c r="L14" s="41"/>
      <x:c r="M14" s="41"/>
    </x:row>
    <x:row r="15" ht="15" hidden="0" customHeight="1"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</x:row>
    <x:row r="16" ht="15" hidden="0" customHeight="1"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</x:row>
    <x:row r="17" ht="22" hidden="0" customHeight="1">
      <x:c r="B17" s="72" t="str">
        <x:v>Campaign phases</x:v>
      </x:c>
      <x:c r="C17" s="72"/>
      <x:c r="D17" s="72"/>
      <x:c r="E17" s="72"/>
      <x:c r="F17" s="72"/>
      <x:c r="G17" s="72"/>
      <x:c r="H17" s="41"/>
      <x:c r="I17" s="41"/>
      <x:c r="J17" s="41"/>
      <x:c r="K17" s="41"/>
      <x:c r="L17" s="41"/>
      <x:c r="M17" s="41"/>
    </x:row>
    <x:row r="18" ht="32" hidden="0" customHeight="1">
      <x:c r="B18" s="8" t="str">
        <x:v>Phase</x:v>
      </x:c>
      <x:c r="C18" s="8" t="str">
        <x:v>Months</x:v>
      </x:c>
      <x:c r="D18" s="8" t="str">
        <x:v>Primary object</x:v>
      </x:c>
      <x:c r="E18" s="8" t="str">
        <x:v>Root separation</x:v>
      </x:c>
      <x:c r="F18" s="8" t="str">
        <x:v>Failure focus</x:v>
      </x:c>
      <x:c r="G18" s="8" t="str">
        <x:v>Exit</x:v>
      </x:c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Interface and method qualification</x:v>
      </x:c>
      <x:c r="C19" s="41" t="n">
        <x:v>12</x:v>
      </x:c>
      <x:c r="D19" s="41" t="str">
        <x:v>datums, measurement, tracers, utility simulators</x:v>
      </x:c>
      <x:c r="E19" s="41" t="str">
        <x:v>unlike test ancestry</x:v>
      </x:c>
      <x:c r="F19" s="41" t="str">
        <x:v>false common method</x:v>
      </x:c>
      <x:c r="G19" s="41" t="str">
        <x:v>methods accepted</x:v>
      </x:c>
      <x:c r="H19" s="41"/>
      <x:c r="I19" s="41"/>
      <x:c r="J19" s="41"/>
      <x:c r="K19" s="41"/>
      <x:c r="L19" s="41"/>
      <x:c r="M19" s="41"/>
    </x:row>
    <x:row r="20" ht="15" hidden="0" customHeight="1">
      <x:c r="B20" s="41" t="str">
        <x:v>Root-native subarticles</x:v>
      </x:c>
      <x:c r="C20" s="41" t="n">
        <x:v>12</x:v>
      </x:c>
      <x:c r="D20" s="41" t="str">
        <x:v>galleries, cells, cassettes, connectors and repair</x:v>
      </x:c>
      <x:c r="E20" s="41" t="str">
        <x:v>root-native builders</x:v>
      </x:c>
      <x:c r="F20" s="41" t="str">
        <x:v>manufacturing defect</x:v>
      </x:c>
      <x:c r="G20" s="41" t="str">
        <x:v>subarticles accepted</x:v>
      </x:c>
      <x:c r="H20" s="41"/>
      <x:c r="I20" s="41"/>
      <x:c r="J20" s="41"/>
      <x:c r="K20" s="41"/>
      <x:c r="L20" s="41"/>
      <x:c r="M20" s="41"/>
    </x:row>
    <x:row r="21" ht="15" hidden="0" customHeight="1">
      <x:c r="B21" s="41" t="str">
        <x:v>First complete islands</x:v>
      </x:c>
      <x:c r="C21" s="41" t="n">
        <x:v>14</x:v>
      </x:c>
      <x:c r="D21" s="41" t="str">
        <x:v>one island per root</x:v>
      </x:c>
      <x:c r="E21" s="41" t="str">
        <x:v>separate crews and recorders</x:v>
      </x:c>
      <x:c r="F21" s="41" t="str">
        <x:v>assembly and commissioning</x:v>
      </x:c>
      <x:c r="G21" s="41" t="str">
        <x:v>complete teardown</x:v>
      </x:c>
      <x:c r="H21" s="41"/>
      <x:c r="I21" s="41"/>
      <x:c r="J21" s="41"/>
      <x:c r="K21" s="41"/>
      <x:c r="L21" s="41"/>
      <x:c r="M21" s="41"/>
    </x:row>
    <x:row r="22" ht="15" hidden="0" customHeight="1">
      <x:c r="B22" s="41" t="str">
        <x:v>Repeated builds and faults</x:v>
      </x:c>
      <x:c r="C22" s="41" t="n">
        <x:v>16</x:v>
      </x:c>
      <x:c r="D22" s="41" t="str">
        <x:v>all eight islands</x:v>
      </x:c>
      <x:c r="E22" s="41" t="str">
        <x:v>root-specific defect banks</x:v>
      </x:c>
      <x:c r="F22" s="41" t="str">
        <x:v>utility, contamination and repair</x:v>
      </x:c>
      <x:c r="G22" s="41" t="str">
        <x:v>repeatable service</x:v>
      </x:c>
      <x:c r="H22" s="41"/>
      <x:c r="I22" s="41"/>
      <x:c r="J22" s="41"/>
      <x:c r="K22" s="41"/>
      <x:c r="L22" s="41"/>
      <x:c r="M22" s="41"/>
    </x:row>
    <x:row r="23" ht="15" hidden="0" customHeight="1">
      <x:c r="B23" s="41" t="str">
        <x:v>Relocation and island exchange</x:v>
      </x:c>
      <x:c r="C23" s="41" t="n">
        <x:v>16</x:v>
      </x:c>
      <x:c r="D23" s="41" t="str">
        <x:v>unlike sites and fifth-island role</x:v>
      </x:c>
      <x:c r="E23" s="41" t="str">
        <x:v>separate receiver systems</x:v>
      </x:c>
      <x:c r="F23" s="41" t="str">
        <x:v>site and transfer dependence</x:v>
      </x:c>
      <x:c r="G23" s="41" t="str">
        <x:v>relocation evidence</x:v>
      </x:c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Independent reproduction</x:v>
      </x:c>
      <x:c r="C24" s="41" t="n">
        <x:v>14</x:v>
      </x:c>
      <x:c r="D24" s="41" t="str">
        <x:v>public packages and selection dossier</x:v>
      </x:c>
      <x:c r="E24" s="41" t="str">
        <x:v>outside teams</x:v>
      </x:c>
      <x:c r="F24" s="41" t="str">
        <x:v>unreproducible package</x:v>
      </x:c>
      <x:c r="G24" s="41" t="str">
        <x:v>select, retain or reject</x:v>
      </x:c>
      <x:c r="H24" s="41"/>
      <x:c r="I24" s="41"/>
      <x:c r="J24" s="41"/>
      <x:c r="K24" s="41"/>
      <x:c r="L24" s="41"/>
      <x:c r="M24" s="41"/>
    </x:row>
  </x:sheetData>
  <x:mergeCells>
    <x:mergeCell ref="B2:M2"/>
    <x:mergeCell ref="B3:M3"/>
    <x:mergeCell ref="B17:G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8" hidden="0" customWidth="1"/>
    <x:col min="3" max="3" width="18" hidden="0" customWidth="1"/>
    <x:col min="4" max="4" width="39" hidden="0" customWidth="1"/>
    <x:col min="5" max="5" width="18" hidden="0" customWidth="1"/>
    <x:col min="6" max="6" width="18" hidden="0" customWidth="1"/>
    <x:col min="1" max="1" width="3" hidden="0" customWidth="1"/>
  </x:cols>
  <x:sheetData>
    <x:row r="2" ht="24" hidden="0" customHeight="1">
      <x:c r="B2" s="70" t="str">
        <x:v>RCB-1 comparative development allocation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USD billions. The USD 45B program remains cross-classified inside the inherited USD 75B TCP-06 line.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Program element</x:v>
      </x:c>
      <x:c r="C6" s="8" t="str">
        <x:v>Amount USD b</x:v>
      </x:c>
      <x:c r="D6" s="8" t="str">
        <x:v>Basis</x:v>
      </x:c>
      <x:c r="E6" s="8" t="str">
        <x:v>Parent boundary</x:v>
      </x:c>
      <x:c r="F6" s="8" t="str">
        <x:v>Status</x:v>
      </x:c>
      <x:c r="G6" s="41"/>
      <x:c r="H6" s="41"/>
      <x:c r="I6" s="41"/>
      <x:c r="J6" s="41"/>
      <x:c r="K6" s="41"/>
      <x:c r="L6" s="41"/>
      <x:c r="M6" s="41"/>
    </x:row>
    <x:row r="7" ht="15" hidden="0" customHeight="1">
      <x:c r="B7" s="41" t="str">
        <x:v>Four Root A development islands</x:v>
      </x:c>
      <x:c r="C7" s="62" t="n">
        <x:f>'01 Controls'!$D$77*'03 Root A bill'!$M$41/1000</x:f>
        <x:v>14.612</x:v>
      </x:c>
      <x:c r="D7" s="41" t="str">
        <x:v>root quantity times first-unit screen</x:v>
      </x:c>
      <x:c r="E7" s="41" t="str">
        <x:v>TCP-06</x:v>
      </x:c>
      <x:c r="F7" s="41" t="str">
        <x:v>PLANNING</x:v>
      </x:c>
      <x:c r="G7" s="41"/>
      <x:c r="H7" s="41"/>
      <x:c r="I7" s="41"/>
      <x:c r="J7" s="41"/>
      <x:c r="K7" s="41"/>
      <x:c r="L7" s="41"/>
      <x:c r="M7" s="41"/>
    </x:row>
    <x:row r="8" ht="15" hidden="0" customHeight="1">
      <x:c r="B8" s="41" t="str">
        <x:v>Four Root B development islands</x:v>
      </x:c>
      <x:c r="C8" s="62" t="n">
        <x:f>'01 Controls'!$D$78*'04 Root B bill'!$M$42/1000</x:f>
        <x:v>15.98</x:v>
      </x:c>
      <x:c r="D8" s="41" t="str">
        <x:v>root quantity times first-unit screen</x:v>
      </x:c>
      <x:c r="E8" s="41" t="str">
        <x:v>TCP-06</x:v>
      </x:c>
      <x:c r="F8" s="41" t="str">
        <x:v>PLANNING</x:v>
      </x:c>
      <x:c r="G8" s="41"/>
      <x:c r="H8" s="41"/>
      <x:c r="I8" s="41"/>
      <x:c r="J8" s="41"/>
      <x:c r="K8" s="41"/>
      <x:c r="L8" s="41"/>
      <x:c r="M8" s="41"/>
    </x:row>
    <x:row r="9" ht="15" hidden="0" customHeight="1">
      <x:c r="B9" s="41" t="str">
        <x:v>Controlled-fault and sacrificial article bank</x:v>
      </x:c>
      <x:c r="C9" s="62" t="n">
        <x:f>'01 Controls'!$D$87</x:f>
        <x:v>3.2</x:v>
      </x:c>
      <x:c r="D9" s="41" t="str">
        <x:v>disclosed allocation</x:v>
      </x:c>
      <x:c r="E9" s="41" t="str">
        <x:v>TCP-06</x:v>
      </x:c>
      <x:c r="F9" s="41" t="str">
        <x:v>PLANNING</x:v>
      </x:c>
      <x:c r="G9" s="41"/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Independent instrumentation and range</x:v>
      </x:c>
      <x:c r="C10" s="62" t="n">
        <x:f>'01 Controls'!$D$88</x:f>
        <x:v>3.5</x:v>
      </x:c>
      <x:c r="D10" s="41" t="str">
        <x:v>disclosed allocation</x:v>
      </x:c>
      <x:c r="E10" s="41" t="str">
        <x:v>TCP-06</x:v>
      </x:c>
      <x:c r="F10" s="41" t="str">
        <x:v>PLANNING</x:v>
      </x:c>
      <x:c r="G10" s="41"/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Build-release tooling and configuration</x:v>
      </x:c>
      <x:c r="C11" s="62" t="n">
        <x:f>'01 Controls'!$D$89</x:f>
        <x:v>2.2</x:v>
      </x:c>
      <x:c r="D11" s="41" t="str">
        <x:v>disclosed allocation</x:v>
      </x:c>
      <x:c r="E11" s="41" t="str">
        <x:v>TCP-06</x:v>
      </x:c>
      <x:c r="F11" s="41" t="str">
        <x:v>PLANNING</x:v>
      </x:c>
      <x:c r="G11" s="41"/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Clinical and human-system simulation</x:v>
      </x:c>
      <x:c r="C12" s="62" t="n">
        <x:f>'01 Controls'!$D$90</x:f>
        <x:v>2</x:v>
      </x:c>
      <x:c r="D12" s="41" t="str">
        <x:v>disclosed allocation</x:v>
      </x:c>
      <x:c r="E12" s="41" t="str">
        <x:v>TCP-06</x:v>
      </x:c>
      <x:c r="F12" s="41" t="str">
        <x:v>PLANNING</x:v>
      </x:c>
      <x:c r="G12" s="41"/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Independent data, teardown and reconstruction</x:v>
      </x:c>
      <x:c r="C13" s="62" t="n">
        <x:f>'01 Controls'!$D$91</x:f>
        <x:v>1.5</x:v>
      </x:c>
      <x:c r="D13" s="41" t="str">
        <x:v>disclosed allocation</x:v>
      </x:c>
      <x:c r="E13" s="41" t="str">
        <x:v>TCP-06</x:v>
      </x:c>
      <x:c r="F13" s="41" t="str">
        <x:v>PLANNING</x:v>
      </x:c>
      <x:c r="G13" s="41"/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Reserve for disclosed uncertainty</x:v>
      </x:c>
      <x:c r="C14" s="62" t="n">
        <x:f>'01 Controls'!$D$85-SUM(C7:C13)</x:f>
        <x:v>2.0079999999999956</x:v>
      </x:c>
      <x:c r="D14" s="41" t="str">
        <x:v>allocation less named uses</x:v>
      </x:c>
      <x:c r="E14" s="41" t="str">
        <x:v>TCP-06</x:v>
      </x:c>
      <x:c r="F14" s="41" t="str">
        <x:v>PLANNING</x:v>
      </x:c>
      <x:c r="G14" s="41"/>
      <x:c r="H14" s="41"/>
      <x:c r="I14" s="41"/>
      <x:c r="J14" s="41"/>
      <x:c r="K14" s="41"/>
      <x:c r="L14" s="41"/>
      <x:c r="M14" s="41"/>
    </x:row>
    <x:row r="15" ht="15" hidden="0" customHeight="1">
      <x:c r="B15" s="47" t="str">
        <x:v>TOTAL RCB-1</x:v>
      </x:c>
      <x:c r="C15" s="63" t="n">
        <x:f>SUM(C7:C14)</x:f>
        <x:v>45</x:v>
      </x:c>
      <x:c r="D15" s="47"/>
      <x:c r="E15" s="47"/>
      <x:c r="F15" s="47"/>
      <x:c r="G15" s="41"/>
      <x:c r="H15" s="41"/>
      <x:c r="I15" s="41"/>
      <x:c r="J15" s="41"/>
      <x:c r="K15" s="41"/>
      <x:c r="L15" s="41"/>
      <x:c r="M15" s="41"/>
    </x:row>
    <x:row r="16" ht="15" hidden="0" customHeight="1">
      <x:c r="B16" s="41"/>
      <x:c r="C16" s="62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</x:row>
    <x:row r="17" ht="15" hidden="0" customHeight="1">
      <x:c r="B17" s="41"/>
      <x:c r="C17" s="62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</x:row>
    <x:row r="18" ht="22" hidden="0" customHeight="1">
      <x:c r="B18" s="72" t="str">
        <x:v>Parent-line reconciliation</x:v>
      </x:c>
      <x:c r="C18" s="64"/>
      <x:c r="D18" s="72"/>
      <x:c r="E18" s="72"/>
      <x:c r="F18" s="72"/>
      <x:c r="G18" s="41"/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Parent TCP-06</x:v>
      </x:c>
      <x:c r="C19" s="62" t="n">
        <x:f>'01 Controls'!$D$86</x:f>
        <x:v>75</x:v>
      </x:c>
      <x:c r="D19" s="41" t="str">
        <x:v>USD b</x:v>
      </x:c>
      <x:c r="E19" s="41"/>
      <x:c r="F19" s="41"/>
      <x:c r="G19" s="41"/>
      <x:c r="H19" s="41"/>
      <x:c r="I19" s="41"/>
      <x:c r="J19" s="41"/>
      <x:c r="K19" s="41"/>
      <x:c r="L19" s="41"/>
      <x:c r="M19" s="41"/>
    </x:row>
    <x:row r="20" ht="15" hidden="0" customHeight="1">
      <x:c r="B20" s="41" t="str">
        <x:v>RCB-1 allocation</x:v>
      </x:c>
      <x:c r="C20" s="62" t="n">
        <x:f>'01 Controls'!$D$85</x:f>
        <x:v>45</x:v>
      </x:c>
      <x:c r="D20" s="41" t="str">
        <x:v>USD b</x:v>
      </x:c>
      <x:c r="E20" s="41"/>
      <x:c r="F20" s="41"/>
      <x:c r="G20" s="41"/>
      <x:c r="H20" s="41"/>
      <x:c r="I20" s="41"/>
      <x:c r="J20" s="41"/>
      <x:c r="K20" s="41"/>
      <x:c r="L20" s="41"/>
      <x:c r="M20" s="41"/>
    </x:row>
    <x:row r="21" ht="15" hidden="0" customHeight="1">
      <x:c r="B21" s="41" t="str">
        <x:v>Remaining parent line</x:v>
      </x:c>
      <x:c r="C21" s="62" t="n">
        <x:f>C19-C20</x:f>
        <x:v>30</x:v>
      </x:c>
      <x:c r="D21" s="41" t="str">
        <x:v>USD b</x:v>
      </x:c>
      <x:c r="E21" s="41"/>
      <x:c r="F21" s="41"/>
      <x:c r="G21" s="41"/>
      <x:c r="H21" s="41"/>
      <x:c r="I21" s="41"/>
      <x:c r="J21" s="41"/>
      <x:c r="K21" s="41"/>
      <x:c r="L21" s="41"/>
      <x:c r="M21" s="41"/>
    </x:row>
  </x:sheetData>
  <x:mergeCells>
    <x:mergeCell ref="B2:M2"/>
    <x:mergeCell ref="B3:M3"/>
    <x:mergeCell ref="B18:F1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" max="1" width="3" hidden="0" customWidth="1"/>
  </x:cols>
  <x:sheetData>
    <x:row r="2" ht="24" hidden="0" customHeight="1">
      <x:c r="B2" s="70" t="str">
        <x:v>Deterministic requirement probes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These cases test the architecture. They are not probabilities, clinical forecasts or expected outcomes.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22" hidden="0" customHeight="1">
      <x:c r="B6" s="72" t="str">
        <x:v>Public-arrival factor</x:v>
      </x:c>
      <x:c r="C6" s="72"/>
      <x:c r="D6" s="72"/>
      <x:c r="E6" s="72"/>
      <x:c r="F6" s="72"/>
      <x:c r="G6" s="72"/>
      <x:c r="H6" s="72"/>
      <x:c r="I6" s="41"/>
      <x:c r="J6" s="41"/>
      <x:c r="K6" s="41"/>
      <x:c r="L6" s="41"/>
      <x:c r="M6" s="41"/>
    </x:row>
    <x:row r="7" ht="32" hidden="0" customHeight="1">
      <x:c r="B7" s="8" t="str">
        <x:v>Case</x:v>
      </x:c>
      <x:c r="C7" s="8" t="str">
        <x:v>Peak factor</x:v>
      </x:c>
      <x:c r="D7" s="8" t="str">
        <x:v>Required positions</x:v>
      </x:c>
      <x:c r="E7" s="8" t="str">
        <x:v>Required modules with reserve</x:v>
      </x:c>
      <x:c r="F7" s="8" t="str">
        <x:v>Installed modules</x:v>
      </x:c>
      <x:c r="G7" s="8" t="str">
        <x:v>After one loss</x:v>
      </x:c>
      <x:c r="H7" s="8" t="str">
        <x:v>Margin</x:v>
      </x:c>
      <x:c r="I7" s="41"/>
      <x:c r="J7" s="41"/>
      <x:c r="K7" s="41"/>
      <x:c r="L7" s="41"/>
      <x:c r="M7" s="41"/>
    </x:row>
    <x:row r="8" ht="15" hidden="0" customHeight="1">
      <x:c r="B8" s="41" t="str">
        <x:v>Lower</x:v>
      </x:c>
      <x:c r="C8" s="41" t="n">
        <x:v>2</x:v>
      </x:c>
      <x:c r="D8" s="41" t="n">
        <x:f>ROUNDUP('01 Controls'!$D$10*C8*'01 Controls'!$D$13/('01 Controls'!$D$12*'01 Controls'!$D$14),0)</x:f>
        <x:v>25</x:v>
      </x:c>
      <x:c r="E8" s="41" t="n">
        <x:f>ROUNDUP(D8/'01 Controls'!$D$15,0)+1</x:f>
        <x:v>5</x:v>
      </x:c>
      <x:c r="F8" s="41" t="n">
        <x:f>'01 Controls'!$D$16</x:f>
        <x:v>6</x:v>
      </x:c>
      <x:c r="G8" s="41" t="n">
        <x:f>(F8-1)*'01 Controls'!$D$15</x:f>
        <x:v>35</x:v>
      </x:c>
      <x:c r="H8" s="41" t="n">
        <x:f>G8-D8</x:f>
        <x:v>10</x:v>
      </x:c>
      <x:c r="I8" s="41"/>
      <x:c r="J8" s="41"/>
      <x:c r="K8" s="41"/>
      <x:c r="L8" s="41"/>
      <x:c r="M8" s="41"/>
    </x:row>
    <x:row r="9" ht="15" hidden="0" customHeight="1">
      <x:c r="B9" s="41" t="str">
        <x:v>Reference</x:v>
      </x:c>
      <x:c r="C9" s="41" t="n">
        <x:v>2.5</x:v>
      </x:c>
      <x:c r="D9" s="41" t="n">
        <x:f>ROUNDUP('01 Controls'!$D$10*C9*'01 Controls'!$D$13/('01 Controls'!$D$12*'01 Controls'!$D$14),0)</x:f>
        <x:v>31</x:v>
      </x:c>
      <x:c r="E9" s="41" t="n">
        <x:f>ROUNDUP(D9/'01 Controls'!$D$15,0)+1</x:f>
        <x:v>6</x:v>
      </x:c>
      <x:c r="F9" s="41" t="n">
        <x:f>'01 Controls'!$D$16</x:f>
        <x:v>6</x:v>
      </x:c>
      <x:c r="G9" s="41" t="n">
        <x:f>(F9-1)*'01 Controls'!$D$15</x:f>
        <x:v>35</x:v>
      </x:c>
      <x:c r="H9" s="41" t="n">
        <x:f>G9-D9</x:f>
        <x:v>4</x:v>
      </x:c>
      <x:c r="I9" s="41"/>
      <x:c r="J9" s="41"/>
      <x:c r="K9" s="41"/>
      <x:c r="L9" s="41"/>
      <x:c r="M9" s="41"/>
    </x:row>
    <x:row r="10" ht="15" hidden="0" customHeight="1">
      <x:c r="B10" s="41" t="str">
        <x:v>Higher</x:v>
      </x:c>
      <x:c r="C10" s="41" t="n">
        <x:v>3</x:v>
      </x:c>
      <x:c r="D10" s="41" t="n">
        <x:f>ROUNDUP('01 Controls'!$D$10*C10*'01 Controls'!$D$13/('01 Controls'!$D$12*'01 Controls'!$D$14),0)</x:f>
        <x:v>37</x:v>
      </x:c>
      <x:c r="E10" s="41" t="n">
        <x:f>ROUNDUP(D10/'01 Controls'!$D$15,0)+1</x:f>
        <x:v>7</x:v>
      </x:c>
      <x:c r="F10" s="41" t="n">
        <x:f>'01 Controls'!$D$16</x:f>
        <x:v>6</x:v>
      </x:c>
      <x:c r="G10" s="41" t="n">
        <x:f>(F10-1)*'01 Controls'!$D$15</x:f>
        <x:v>35</x:v>
      </x:c>
      <x:c r="H10" s="41" t="n">
        <x:f>G10-D10</x:f>
        <x:v>-2</x:v>
      </x:c>
      <x:c r="I10" s="41"/>
      <x:c r="J10" s="41"/>
      <x:c r="K10" s="41"/>
      <x:c r="L10" s="41"/>
      <x:c r="M10" s="41"/>
    </x:row>
    <x:row r="11" ht="15" hidden="0" customHeight="1"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</x:row>
    <x:row r="12" ht="15" hidden="0" customHeight="1"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</x:row>
    <x:row r="13" ht="22" hidden="0" customHeight="1">
      <x:c r="B13" s="72" t="str">
        <x:v>Contaminated-air severity</x:v>
      </x:c>
      <x:c r="C13" s="72"/>
      <x:c r="D13" s="72"/>
      <x:c r="E13" s="72"/>
      <x:c r="F13" s="72"/>
      <x:c r="G13" s="72"/>
      <x:c r="H13" s="72"/>
      <x:c r="I13" s="72"/>
      <x:c r="J13" s="72"/>
      <x:c r="K13" s="41"/>
      <x:c r="L13" s="41"/>
      <x:c r="M13" s="41"/>
    </x:row>
    <x:row r="14" ht="32" hidden="0" customHeight="1">
      <x:c r="B14" s="8" t="str">
        <x:v>Case</x:v>
      </x:c>
      <x:c r="C14" s="8" t="str">
        <x:v>Contaminated share</x:v>
      </x:c>
      <x:c r="D14" s="8" t="str">
        <x:v>ACH</x:v>
      </x:c>
      <x:c r="E14" s="8" t="str">
        <x:v>Root A required</x:v>
      </x:c>
      <x:c r="F14" s="8" t="str">
        <x:v>Root A after loss</x:v>
      </x:c>
      <x:c r="G14" s="8" t="str">
        <x:v>Root A margin</x:v>
      </x:c>
      <x:c r="H14" s="8" t="str">
        <x:v>Root B required</x:v>
      </x:c>
      <x:c r="I14" s="8" t="str">
        <x:v>Root B after loss</x:v>
      </x:c>
      <x:c r="J14" s="8" t="str">
        <x:v>Root B margin</x:v>
      </x:c>
      <x:c r="K14" s="41"/>
      <x:c r="L14" s="41"/>
      <x:c r="M14" s="41"/>
    </x:row>
    <x:row r="15" ht="15" hidden="0" customHeight="1">
      <x:c r="B15" s="41" t="str">
        <x:v>Reference high infection</x:v>
      </x:c>
      <x:c r="C15" s="53" t="n">
        <x:v>0.3</x:v>
      </x:c>
      <x:c r="D15" s="41" t="n">
        <x:v>15</x:v>
      </x:c>
      <x:c r="E15" s="49" t="n">
        <x:f>'03 Root A bill'!$I$41*'01 Controls'!$D$17*C15*D15</x:f>
        <x:v>381150</x:v>
      </x:c>
      <x:c r="F15" s="49" t="n">
        <x:f>('01 Controls'!$D$30-1)*'01 Controls'!$D$31</x:f>
        <x:v>390000</x:v>
      </x:c>
      <x:c r="G15" s="49" t="n">
        <x:f>F15-E15</x:f>
        <x:v>8850</x:v>
      </x:c>
      <x:c r="H15" s="49" t="n">
        <x:f>'04 Root B bill'!$I$42*'01 Controls'!$D$17*C15*D15</x:f>
        <x:v>386352</x:v>
      </x:c>
      <x:c r="I15" s="49" t="n">
        <x:f>('01 Controls'!$D$36-1)*'01 Controls'!$D$37</x:f>
        <x:v>400000</x:v>
      </x:c>
      <x:c r="J15" s="49" t="n">
        <x:f>I15-H15</x:f>
        <x:v>13648</x:v>
      </x:c>
      <x:c r="K15" s="41"/>
      <x:c r="L15" s="41"/>
      <x:c r="M15" s="41"/>
    </x:row>
    <x:row r="16" ht="15" hidden="0" customHeight="1">
      <x:c r="B16" s="41" t="str">
        <x:v>Severe compound</x:v>
      </x:c>
      <x:c r="C16" s="53" t="n">
        <x:v>0.35</x:v>
      </x:c>
      <x:c r="D16" s="41" t="n">
        <x:v>18</x:v>
      </x:c>
      <x:c r="E16" s="49" t="n">
        <x:f>'03 Root A bill'!$I$41*'01 Controls'!$D$17*C16*D16</x:f>
        <x:v>533609.9999999999</x:v>
      </x:c>
      <x:c r="F16" s="49" t="n">
        <x:f>('01 Controls'!$D$30-1)*'01 Controls'!$D$31</x:f>
        <x:v>390000</x:v>
      </x:c>
      <x:c r="G16" s="49" t="n">
        <x:f>F16-E16</x:f>
        <x:v>-143609.99999999988</x:v>
      </x:c>
      <x:c r="H16" s="49" t="n">
        <x:f>'04 Root B bill'!$I$42*'01 Controls'!$D$17*C16*D16</x:f>
        <x:v>540892.7999999999</x:v>
      </x:c>
      <x:c r="I16" s="49" t="n">
        <x:f>('01 Controls'!$D$36-1)*'01 Controls'!$D$37</x:f>
        <x:v>400000</x:v>
      </x:c>
      <x:c r="J16" s="49" t="n">
        <x:f>I16-H16</x:f>
        <x:v>-140892.79999999993</x:v>
      </x:c>
      <x:c r="K16" s="41"/>
      <x:c r="L16" s="41"/>
      <x:c r="M16" s="41"/>
    </x:row>
    <x:row r="17" ht="15" hidden="0" customHeight="1"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</x:row>
    <x:row r="18" ht="15" hidden="0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22" hidden="0" customHeight="1">
      <x:c r="B19" s="72" t="str">
        <x:v>Interpretation</x:v>
      </x:c>
      <x:c r="C19" s="72"/>
      <x:c r="D19" s="72"/>
      <x:c r="E19" s="72"/>
      <x:c r="F19" s="72"/>
      <x:c r="G19" s="72"/>
      <x:c r="H19" s="72"/>
      <x:c r="I19" s="72"/>
      <x:c r="J19" s="72"/>
      <x:c r="K19" s="41"/>
      <x:c r="L19" s="41"/>
      <x:c r="M19" s="41"/>
    </x:row>
    <x:row r="20" ht="15" hidden="0" customHeight="1">
      <x:c r="B20" s="44" t="str">
        <x:v>Public arrival</x:v>
      </x:c>
      <x:c r="C20" s="44" t="str">
        <x:v>Six modules close the 2.5 reference after one loss. A 3.0 factor requires a seventh module.</x:v>
      </x:c>
      <x:c r="D20" s="44"/>
      <x:c r="E20" s="44"/>
      <x:c r="F20" s="44"/>
      <x:c r="G20" s="44"/>
      <x:c r="H20" s="44"/>
      <x:c r="I20" s="44"/>
      <x:c r="J20" s="44"/>
      <x:c r="K20" s="41"/>
      <x:c r="L20" s="41"/>
      <x:c r="M20" s="41"/>
    </x:row>
    <x:row r="21" ht="15" hidden="0" customHeight="1">
      <x:c r="B21" s="44" t="str">
        <x:v>High infection</x:v>
      </x:c>
      <x:c r="C21" s="44" t="str">
        <x:v>Both roots close the declared 30% / 15 ACH case after one loss.</x:v>
      </x:c>
      <x:c r="D21" s="44"/>
      <x:c r="E21" s="44"/>
      <x:c r="F21" s="44"/>
      <x:c r="G21" s="44"/>
      <x:c r="H21" s="44"/>
      <x:c r="I21" s="44"/>
      <x:c r="J21" s="44"/>
      <x:c r="K21" s="41"/>
      <x:c r="L21" s="41"/>
      <x:c r="M21" s="41"/>
    </x:row>
    <x:row r="22" ht="15" hidden="0" customHeight="1">
      <x:c r="B22" s="44" t="str">
        <x:v>Severe compound</x:v>
      </x:c>
      <x:c r="C22" s="44" t="str">
        <x:v>Neither root closes 35% / 18 ACH. The service must downscope or air capacity must rise before release.</x:v>
      </x:c>
      <x:c r="D22" s="44"/>
      <x:c r="E22" s="44"/>
      <x:c r="F22" s="44"/>
      <x:c r="G22" s="44"/>
      <x:c r="H22" s="44"/>
      <x:c r="I22" s="44"/>
      <x:c r="J22" s="44"/>
      <x:c r="K22" s="41"/>
      <x:c r="L22" s="41"/>
      <x:c r="M22" s="41"/>
    </x:row>
  </x:sheetData>
  <x:mergeCells>
    <x:mergeCell ref="B2:M2"/>
    <x:mergeCell ref="B3:M3"/>
    <x:mergeCell ref="B6:H6"/>
    <x:mergeCell ref="B13:J13"/>
    <x:mergeCell ref="B19:J19"/>
    <x:mergeCell ref="C20:J20"/>
    <x:mergeCell ref="C21:J21"/>
    <x:mergeCell ref="C22:J2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49" hidden="0" customWidth="1"/>
    <x:col min="7" max="7" width="18" hidden="0" customWidth="1"/>
    <x:col min="1" max="1" width="3" hidden="0" customWidth="1"/>
  </x:cols>
  <x:sheetData>
    <x:row r="2" ht="24" hidden="0" customHeight="1">
      <x:c r="B2" s="70" t="str">
        <x:v>No-release admissions ledger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Planning values may change while clinical, force, procurement, substitution and exterior-form credit remain zero.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Candidate claim</x:v>
      </x:c>
      <x:c r="C6" s="8" t="str">
        <x:v>Planning value</x:v>
      </x:c>
      <x:c r="D6" s="8" t="str">
        <x:v>Unit</x:v>
      </x:c>
      <x:c r="E6" s="8" t="str">
        <x:v>Admitted value</x:v>
      </x:c>
      <x:c r="F6" s="8" t="str">
        <x:v>Admission condition</x:v>
      </x:c>
      <x:c r="G6" s="8" t="str">
        <x:v>Status</x:v>
      </x:c>
      <x:c r="H6" s="41"/>
      <x:c r="I6" s="41"/>
      <x:c r="J6" s="41"/>
      <x:c r="K6" s="41"/>
      <x:c r="L6" s="41"/>
      <x:c r="M6" s="41"/>
    </x:row>
    <x:row r="7" ht="15" hidden="0" customHeight="1">
      <x:c r="B7" s="44" t="str">
        <x:v>Root A configuration</x:v>
      </x:c>
      <x:c r="C7" s="44" t="n">
        <x:v>1</x:v>
      </x:c>
      <x:c r="D7" s="44" t="str">
        <x:v>root</x:v>
      </x:c>
      <x:c r="E7" s="66" t="n">
        <x:v>0</x:v>
      </x:c>
      <x:c r="F7" s="44" t="str">
        <x:v>representative build, service and teardown evidence</x:v>
      </x:c>
      <x:c r="G7" s="44" t="str">
        <x:v>NOT ADMITTED</x:v>
      </x:c>
      <x:c r="H7" s="41"/>
      <x:c r="I7" s="41"/>
      <x:c r="J7" s="41"/>
      <x:c r="K7" s="41"/>
      <x:c r="L7" s="41"/>
      <x:c r="M7" s="41"/>
    </x:row>
    <x:row r="8" ht="15" hidden="0" customHeight="1">
      <x:c r="B8" s="44" t="str">
        <x:v>Root B configuration</x:v>
      </x:c>
      <x:c r="C8" s="44" t="n">
        <x:v>1</x:v>
      </x:c>
      <x:c r="D8" s="44" t="str">
        <x:v>root</x:v>
      </x:c>
      <x:c r="E8" s="66" t="n">
        <x:v>0</x:v>
      </x:c>
      <x:c r="F8" s="44" t="str">
        <x:v>representative build, service and teardown evidence</x:v>
      </x:c>
      <x:c r="G8" s="44" t="str">
        <x:v>NOT ADMITTED</x:v>
      </x:c>
      <x:c r="H8" s="41"/>
      <x:c r="I8" s="41"/>
      <x:c r="J8" s="41"/>
      <x:c r="K8" s="41"/>
      <x:c r="L8" s="41"/>
      <x:c r="M8" s="41"/>
    </x:row>
    <x:row r="9" ht="15" hidden="0" customHeight="1">
      <x:c r="B9" s="44" t="str">
        <x:v>Root A mass</x:v>
      </x:c>
      <x:c r="C9" s="44" t="n">
        <x:v>3204</x:v>
      </x:c>
      <x:c r="D9" s="44" t="str">
        <x:v>t</x:v>
      </x:c>
      <x:c r="E9" s="66" t="n">
        <x:v>0</x:v>
      </x:c>
      <x:c r="F9" s="44" t="str">
        <x:v>weighed production-equivalent articles</x:v>
      </x:c>
      <x:c r="G9" s="44" t="str">
        <x:v>NOT ADMITTED</x:v>
      </x:c>
      <x:c r="H9" s="41"/>
      <x:c r="I9" s="41"/>
      <x:c r="J9" s="41"/>
      <x:c r="K9" s="41"/>
      <x:c r="L9" s="41"/>
      <x:c r="M9" s="41"/>
    </x:row>
    <x:row r="10" ht="15" hidden="0" customHeight="1">
      <x:c r="B10" s="44" t="str">
        <x:v>Root B mass</x:v>
      </x:c>
      <x:c r="C10" s="44" t="n">
        <x:v>3179</x:v>
      </x:c>
      <x:c r="D10" s="44" t="str">
        <x:v>t</x:v>
      </x:c>
      <x:c r="E10" s="66" t="n">
        <x:v>0</x:v>
      </x:c>
      <x:c r="F10" s="44" t="str">
        <x:v>weighed production-equivalent articles</x:v>
      </x:c>
      <x:c r="G10" s="44" t="str">
        <x:v>NOT ADMITTED</x:v>
      </x:c>
      <x:c r="H10" s="41"/>
      <x:c r="I10" s="41"/>
      <x:c r="J10" s="41"/>
      <x:c r="K10" s="41"/>
      <x:c r="L10" s="41"/>
      <x:c r="M10" s="41"/>
    </x:row>
    <x:row r="11" ht="15" hidden="0" customHeight="1">
      <x:c r="B11" s="44" t="str">
        <x:v>Root A capital</x:v>
      </x:c>
      <x:c r="C11" s="44" t="n">
        <x:v>3653</x:v>
      </x:c>
      <x:c r="D11" s="44" t="str">
        <x:v>USD m</x:v>
      </x:c>
      <x:c r="E11" s="66" t="n">
        <x:v>0</x:v>
      </x:c>
      <x:c r="F11" s="44" t="str">
        <x:v>independent cost basis</x:v>
      </x:c>
      <x:c r="G11" s="44" t="str">
        <x:v>NOT ADMITTED</x:v>
      </x:c>
      <x:c r="H11" s="41"/>
      <x:c r="I11" s="41"/>
      <x:c r="J11" s="41"/>
      <x:c r="K11" s="41"/>
      <x:c r="L11" s="41"/>
      <x:c r="M11" s="41"/>
    </x:row>
    <x:row r="12" ht="15" hidden="0" customHeight="1">
      <x:c r="B12" s="44" t="str">
        <x:v>Root B capital</x:v>
      </x:c>
      <x:c r="C12" s="44" t="n">
        <x:v>3995</x:v>
      </x:c>
      <x:c r="D12" s="44" t="str">
        <x:v>USD m</x:v>
      </x:c>
      <x:c r="E12" s="66" t="n">
        <x:v>0</x:v>
      </x:c>
      <x:c r="F12" s="44" t="str">
        <x:v>independent cost basis</x:v>
      </x:c>
      <x:c r="G12" s="44" t="str">
        <x:v>NOT ADMITTED</x:v>
      </x:c>
      <x:c r="H12" s="41"/>
      <x:c r="I12" s="41"/>
      <x:c r="J12" s="41"/>
      <x:c r="K12" s="41"/>
      <x:c r="L12" s="41"/>
      <x:c r="M12" s="41"/>
    </x:row>
    <x:row r="13" ht="15" hidden="0" customHeight="1">
      <x:c r="B13" s="44" t="str">
        <x:v>HCSG source count</x:v>
      </x:c>
      <x:c r="C13" s="44" t="n">
        <x:v>6</x:v>
      </x:c>
      <x:c r="D13" s="44" t="str">
        <x:v>articles</x:v>
      </x:c>
      <x:c r="E13" s="66" t="n">
        <x:v>0</x:v>
      </x:c>
      <x:c r="F13" s="44" t="str">
        <x:v>power and protection trial</x:v>
      </x:c>
      <x:c r="G13" s="44" t="str">
        <x:v>NOT ADMITTED</x:v>
      </x:c>
      <x:c r="H13" s="41"/>
      <x:c r="I13" s="41"/>
      <x:c r="J13" s="41"/>
      <x:c r="K13" s="41"/>
      <x:c r="L13" s="41"/>
      <x:c r="M13" s="41"/>
    </x:row>
    <x:row r="14" ht="15" hidden="0" customHeight="1">
      <x:c r="B14" s="44" t="str">
        <x:v>Campaign</x:v>
      </x:c>
      <x:c r="C14" s="44" t="n">
        <x:v>8</x:v>
      </x:c>
      <x:c r="D14" s="44" t="str">
        <x:v>islands</x:v>
      </x:c>
      <x:c r="E14" s="66" t="n">
        <x:v>0</x:v>
      </x:c>
      <x:c r="F14" s="44" t="str">
        <x:v>approved experiment plan</x:v>
      </x:c>
      <x:c r="G14" s="44" t="str">
        <x:v>NOT ADMITTED</x:v>
      </x:c>
      <x:c r="H14" s="41"/>
      <x:c r="I14" s="41"/>
      <x:c r="J14" s="41"/>
      <x:c r="K14" s="41"/>
      <x:c r="L14" s="41"/>
      <x:c r="M14" s="41"/>
    </x:row>
    <x:row r="15" ht="15" hidden="0" customHeight="1">
      <x:c r="B15" s="44" t="str">
        <x:v>Preferred root</x:v>
      </x:c>
      <x:c r="C15" s="44" t="n">
        <x:v>0</x:v>
      </x:c>
      <x:c r="D15" s="44" t="str">
        <x:v>roots</x:v>
      </x:c>
      <x:c r="E15" s="66" t="n">
        <x:v>0</x:v>
      </x:c>
      <x:c r="F15" s="44" t="str">
        <x:v>comparative evidence and selection board</x:v>
      </x:c>
      <x:c r="G15" s="44" t="str">
        <x:v>BLOCKED</x:v>
      </x:c>
      <x:c r="H15" s="41"/>
      <x:c r="I15" s="41"/>
      <x:c r="J15" s="41"/>
      <x:c r="K15" s="41"/>
      <x:c r="L15" s="41"/>
      <x:c r="M15" s="41"/>
    </x:row>
    <x:row r="16" ht="15" hidden="0" customHeight="1">
      <x:c r="B16" s="44" t="str">
        <x:v>Exterior form</x:v>
      </x:c>
      <x:c r="C16" s="44" t="n">
        <x:v>0</x:v>
      </x:c>
      <x:c r="D16" s="44" t="str">
        <x:v>designs</x:v>
      </x:c>
      <x:c r="E16" s="66" t="n">
        <x:v>0</x:v>
      </x:c>
      <x:c r="F16" s="44" t="str">
        <x:v>serial interface and manifest closure</x:v>
      </x:c>
      <x:c r="G16" s="44" t="str">
        <x:v>BLOCKED</x:v>
      </x:c>
      <x:c r="H16" s="41"/>
      <x:c r="I16" s="41"/>
      <x:c r="J16" s="41"/>
      <x:c r="K16" s="41"/>
      <x:c r="L16" s="41"/>
      <x:c r="M16" s="41"/>
    </x:row>
  </x:sheetData>
  <x:mergeCells>
    <x:mergeCell ref="B2:M2"/>
    <x:mergeCell ref="B3:M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1" max="1" width="3" hidden="0" customWidth="1"/>
  </x:cols>
  <x:sheetData>
    <x:row r="2" ht="24" hidden="0" customHeight="1">
      <x:c r="B2" s="70" t="str">
        <x:v>Independent model audits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Checks compare calculations with independently stated expected values. Audit outputs do not feed decisions or builds.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Domain</x:v>
      </x:c>
      <x:c r="C6" s="8" t="str">
        <x:v>Check</x:v>
      </x:c>
      <x:c r="D6" s="8" t="str">
        <x:v>Actual</x:v>
      </x:c>
      <x:c r="E6" s="8" t="str">
        <x:v>Expected</x:v>
      </x:c>
      <x:c r="F6" s="8" t="str">
        <x:v>Tolerance</x:v>
      </x:c>
      <x:c r="G6" s="8" t="str">
        <x:v>Result</x:v>
      </x:c>
      <x:c r="H6" s="41"/>
      <x:c r="I6" s="41"/>
      <x:c r="J6" s="41"/>
      <x:c r="K6" s="41"/>
      <x:c r="L6" s="41"/>
      <x:c r="M6" s="41"/>
    </x:row>
    <x:row r="7" ht="15" hidden="0" customHeight="1">
      <x:c r="B7" s="41" t="str">
        <x:v>Service</x:v>
      </x:c>
      <x:c r="C7" s="41" t="str">
        <x:v>Public required positions</x:v>
      </x:c>
      <x:c r="D7" s="68" t="n">
        <x:f>'02 Service'!H7</x:f>
        <x:v>31</x:v>
      </x:c>
      <x:c r="E7" s="68" t="n">
        <x:v>31</x:v>
      </x:c>
      <x:c r="F7" s="68" t="n">
        <x:v>0.0001</x:v>
      </x:c>
      <x:c r="G7" s="41" t="str">
        <x:f>IF(ABS(D7-E7)&lt;=F7,"PASS","FAIL")</x:f>
        <x:v>PASS</x:v>
      </x:c>
      <x:c r="H7" s="41"/>
      <x:c r="I7" s="41"/>
      <x:c r="J7" s="41"/>
      <x:c r="K7" s="41"/>
      <x:c r="L7" s="41"/>
      <x:c r="M7" s="41"/>
    </x:row>
    <x:row r="8" ht="15" hidden="0" customHeight="1">
      <x:c r="B8" s="41" t="str">
        <x:v>Service</x:v>
      </x:c>
      <x:c r="C8" s="41" t="str">
        <x:v>Public required modules</x:v>
      </x:c>
      <x:c r="D8" s="68" t="n">
        <x:f>'02 Service'!J7</x:f>
        <x:v>6</x:v>
      </x:c>
      <x:c r="E8" s="68" t="n">
        <x:v>6</x:v>
      </x:c>
      <x:c r="F8" s="68" t="n">
        <x:v>0.0001</x:v>
      </x:c>
      <x:c r="G8" s="41" t="str">
        <x:f>IF(ABS(D8-E8)&lt;=F8,"PASS","FAIL")</x:f>
        <x:v>PASS</x:v>
      </x:c>
      <x:c r="H8" s="41"/>
      <x:c r="I8" s="41"/>
      <x:c r="J8" s="41"/>
      <x:c r="K8" s="41"/>
      <x:c r="L8" s="41"/>
      <x:c r="M8" s="41"/>
    </x:row>
    <x:row r="9" ht="15" hidden="0" customHeight="1">
      <x:c r="B9" s="41" t="str">
        <x:v>Service</x:v>
      </x:c>
      <x:c r="C9" s="41" t="str">
        <x:v>Public installed positions</x:v>
      </x:c>
      <x:c r="D9" s="68" t="n">
        <x:f>'02 Service'!L7</x:f>
        <x:v>42</x:v>
      </x:c>
      <x:c r="E9" s="68" t="n">
        <x:v>42</x:v>
      </x:c>
      <x:c r="F9" s="68" t="n">
        <x:v>0.0001</x:v>
      </x:c>
      <x:c r="G9" s="41" t="str">
        <x:f>IF(ABS(D9-E9)&lt;=F9,"PASS","FAIL")</x:f>
        <x:v>PASS</x:v>
      </x:c>
      <x:c r="H9" s="41"/>
      <x:c r="I9" s="41"/>
      <x:c r="J9" s="41"/>
      <x:c r="K9" s="41"/>
      <x:c r="L9" s="41"/>
      <x:c r="M9" s="41"/>
    </x:row>
    <x:row r="10" ht="15" hidden="0" customHeight="1">
      <x:c r="B10" s="41" t="str">
        <x:v>Service</x:v>
      </x:c>
      <x:c r="C10" s="41" t="str">
        <x:v>Public after loss</x:v>
      </x:c>
      <x:c r="D10" s="68" t="n">
        <x:f>'02 Service'!M7</x:f>
        <x:v>35</x:v>
      </x:c>
      <x:c r="E10" s="68" t="n">
        <x:v>35</x:v>
      </x:c>
      <x:c r="F10" s="68" t="n">
        <x:v>0.0001</x:v>
      </x:c>
      <x:c r="G10" s="41" t="str">
        <x:f>IF(ABS(D10-E10)&lt;=F10,"PASS","FAIL")</x:f>
        <x:v>PASS</x:v>
      </x:c>
      <x:c r="H10" s="41"/>
      <x:c r="I10" s="41"/>
      <x:c r="J10" s="41"/>
      <x:c r="K10" s="41"/>
      <x:c r="L10" s="41"/>
      <x:c r="M10" s="41"/>
    </x:row>
    <x:row r="11" ht="15" hidden="0" customHeight="1">
      <x:c r="B11" s="41" t="str">
        <x:v>Service</x:v>
      </x:c>
      <x:c r="C11" s="41" t="str">
        <x:v>Process positions</x:v>
      </x:c>
      <x:c r="D11" s="68" t="n">
        <x:f>'02 Service'!L11</x:f>
        <x:v>64</x:v>
      </x:c>
      <x:c r="E11" s="68" t="n">
        <x:v>64</x:v>
      </x:c>
      <x:c r="F11" s="68" t="n">
        <x:v>0.0001</x:v>
      </x:c>
      <x:c r="G11" s="41" t="str">
        <x:f>IF(ABS(D11-E11)&lt;=F11,"PASS","FAIL")</x:f>
        <x:v>PASS</x:v>
      </x:c>
      <x:c r="H11" s="41"/>
      <x:c r="I11" s="41"/>
      <x:c r="J11" s="41"/>
      <x:c r="K11" s="41"/>
      <x:c r="L11" s="41"/>
      <x:c r="M11" s="41"/>
    </x:row>
    <x:row r="12" ht="15" hidden="0" customHeight="1">
      <x:c r="B12" s="41" t="str">
        <x:v>Root A</x:v>
      </x:c>
      <x:c r="C12" s="41" t="str">
        <x:v>Serial articles</x:v>
      </x:c>
      <x:c r="D12" s="68" t="n">
        <x:f>'03 Root A bill'!E41</x:f>
        <x:v>121</x:v>
      </x:c>
      <x:c r="E12" s="68" t="n">
        <x:v>121</x:v>
      </x:c>
      <x:c r="F12" s="68" t="n">
        <x:v>0.0001</x:v>
      </x:c>
      <x:c r="G12" s="41" t="str">
        <x:f>IF(ABS(D12-E12)&lt;=F12,"PASS","FAIL")</x:f>
        <x:v>PASS</x:v>
      </x:c>
      <x:c r="H12" s="41"/>
      <x:c r="I12" s="41"/>
      <x:c r="J12" s="41"/>
      <x:c r="K12" s="41"/>
      <x:c r="L12" s="41"/>
      <x:c r="M12" s="41"/>
    </x:row>
    <x:row r="13" ht="15" hidden="0" customHeight="1">
      <x:c r="B13" s="41" t="str">
        <x:v>Root A</x:v>
      </x:c>
      <x:c r="C13" s="41" t="str">
        <x:v>Service positions</x:v>
      </x:c>
      <x:c r="D13" s="68" t="n">
        <x:f>'03 Root A bill'!G41</x:f>
        <x:v>304</x:v>
      </x:c>
      <x:c r="E13" s="68" t="n">
        <x:v>304</x:v>
      </x:c>
      <x:c r="F13" s="68" t="n">
        <x:v>0.0001</x:v>
      </x:c>
      <x:c r="G13" s="41" t="str">
        <x:f>IF(ABS(D13-E13)&lt;=F13,"PASS","FAIL")</x:f>
        <x:v>PASS</x:v>
      </x:c>
      <x:c r="H13" s="41"/>
      <x:c r="I13" s="41"/>
      <x:c r="J13" s="41"/>
      <x:c r="K13" s="41"/>
      <x:c r="L13" s="41"/>
      <x:c r="M13" s="41"/>
    </x:row>
    <x:row r="14" ht="15" hidden="0" customHeight="1">
      <x:c r="B14" s="41" t="str">
        <x:v>Root A</x:v>
      </x:c>
      <x:c r="C14" s="41" t="str">
        <x:v>Area</x:v>
      </x:c>
      <x:c r="D14" s="68" t="n">
        <x:f>'03 Root A bill'!I41</x:f>
        <x:v>21175</x:v>
      </x:c>
      <x:c r="E14" s="68" t="n">
        <x:v>21175</x:v>
      </x:c>
      <x:c r="F14" s="68" t="n">
        <x:v>0.0001</x:v>
      </x:c>
      <x:c r="G14" s="41" t="str">
        <x:f>IF(ABS(D14-E14)&lt;=F14,"PASS","FAIL")</x:f>
        <x:v>PASS</x:v>
      </x:c>
      <x:c r="H14" s="41"/>
      <x:c r="I14" s="41"/>
      <x:c r="J14" s="41"/>
      <x:c r="K14" s="41"/>
      <x:c r="L14" s="41"/>
      <x:c r="M14" s="41"/>
    </x:row>
    <x:row r="15" ht="15" hidden="0" customHeight="1">
      <x:c r="B15" s="41" t="str">
        <x:v>Root A</x:v>
      </x:c>
      <x:c r="C15" s="41" t="str">
        <x:v>Dry mass</x:v>
      </x:c>
      <x:c r="D15" s="68" t="n">
        <x:f>'03 Root A bill'!K41</x:f>
        <x:v>3204</x:v>
      </x:c>
      <x:c r="E15" s="68" t="n">
        <x:v>3204</x:v>
      </x:c>
      <x:c r="F15" s="68" t="n">
        <x:v>0.0001</x:v>
      </x:c>
      <x:c r="G15" s="41" t="str">
        <x:f>IF(ABS(D15-E15)&lt;=F15,"PASS","FAIL")</x:f>
        <x:v>PASS</x:v>
      </x:c>
      <x:c r="H15" s="41"/>
      <x:c r="I15" s="41"/>
      <x:c r="J15" s="41"/>
      <x:c r="K15" s="41"/>
      <x:c r="L15" s="41"/>
      <x:c r="M15" s="41"/>
    </x:row>
    <x:row r="16" ht="15" hidden="0" customHeight="1">
      <x:c r="B16" s="41" t="str">
        <x:v>Root A</x:v>
      </x:c>
      <x:c r="C16" s="41" t="str">
        <x:v>Capital</x:v>
      </x:c>
      <x:c r="D16" s="68" t="n">
        <x:f>'03 Root A bill'!M41</x:f>
        <x:v>3653</x:v>
      </x:c>
      <x:c r="E16" s="68" t="n">
        <x:v>3653</x:v>
      </x:c>
      <x:c r="F16" s="68" t="n">
        <x:v>0.0001</x:v>
      </x:c>
      <x:c r="G16" s="41" t="str">
        <x:f>IF(ABS(D16-E16)&lt;=F16,"PASS","FAIL")</x:f>
        <x:v>PASS</x:v>
      </x:c>
      <x:c r="H16" s="41"/>
      <x:c r="I16" s="41"/>
      <x:c r="J16" s="41"/>
      <x:c r="K16" s="41"/>
      <x:c r="L16" s="41"/>
      <x:c r="M16" s="41"/>
    </x:row>
    <x:row r="17" ht="15" hidden="0" customHeight="1">
      <x:c r="B17" s="41" t="str">
        <x:v>Root B</x:v>
      </x:c>
      <x:c r="C17" s="41" t="str">
        <x:v>Serial articles</x:v>
      </x:c>
      <x:c r="D17" s="68" t="n">
        <x:f>'04 Root B bill'!E42</x:f>
        <x:v>218</x:v>
      </x:c>
      <x:c r="E17" s="68" t="n">
        <x:v>218</x:v>
      </x:c>
      <x:c r="F17" s="68" t="n">
        <x:v>0.0001</x:v>
      </x:c>
      <x:c r="G17" s="41" t="str">
        <x:f>IF(ABS(D17-E17)&lt;=F17,"PASS","FAIL")</x:f>
        <x:v>PASS</x:v>
      </x:c>
      <x:c r="H17" s="41"/>
      <x:c r="I17" s="41"/>
      <x:c r="J17" s="41"/>
      <x:c r="K17" s="41"/>
      <x:c r="L17" s="41"/>
      <x:c r="M17" s="41"/>
    </x:row>
    <x:row r="18" ht="15" hidden="0" customHeight="1">
      <x:c r="B18" s="41" t="str">
        <x:v>Root B</x:v>
      </x:c>
      <x:c r="C18" s="41" t="str">
        <x:v>Service positions</x:v>
      </x:c>
      <x:c r="D18" s="68" t="n">
        <x:f>'04 Root B bill'!G42</x:f>
        <x:v>304</x:v>
      </x:c>
      <x:c r="E18" s="68" t="n">
        <x:v>304</x:v>
      </x:c>
      <x:c r="F18" s="68" t="n">
        <x:v>0.0001</x:v>
      </x:c>
      <x:c r="G18" s="41" t="str">
        <x:f>IF(ABS(D18-E18)&lt;=F18,"PASS","FAIL")</x:f>
        <x:v>PASS</x:v>
      </x:c>
      <x:c r="H18" s="41"/>
      <x:c r="I18" s="41"/>
      <x:c r="J18" s="41"/>
      <x:c r="K18" s="41"/>
      <x:c r="L18" s="41"/>
      <x:c r="M18" s="41"/>
    </x:row>
    <x:row r="19" ht="15" hidden="0" customHeight="1">
      <x:c r="B19" s="41" t="str">
        <x:v>Root B</x:v>
      </x:c>
      <x:c r="C19" s="41" t="str">
        <x:v>Area</x:v>
      </x:c>
      <x:c r="D19" s="68" t="n">
        <x:f>'04 Root B bill'!I42</x:f>
        <x:v>21464</x:v>
      </x:c>
      <x:c r="E19" s="68" t="n">
        <x:v>21464</x:v>
      </x:c>
      <x:c r="F19" s="68" t="n">
        <x:v>0.0001</x:v>
      </x:c>
      <x:c r="G19" s="41" t="str">
        <x:f>IF(ABS(D19-E19)&lt;=F19,"PASS","FAIL")</x:f>
        <x:v>PASS</x:v>
      </x:c>
      <x:c r="H19" s="41"/>
      <x:c r="I19" s="41"/>
      <x:c r="J19" s="41"/>
      <x:c r="K19" s="41"/>
      <x:c r="L19" s="41"/>
      <x:c r="M19" s="41"/>
    </x:row>
    <x:row r="20" ht="15" hidden="0" customHeight="1">
      <x:c r="B20" s="41" t="str">
        <x:v>Root B</x:v>
      </x:c>
      <x:c r="C20" s="41" t="str">
        <x:v>Dry mass</x:v>
      </x:c>
      <x:c r="D20" s="68" t="n">
        <x:f>'04 Root B bill'!K42</x:f>
        <x:v>3179</x:v>
      </x:c>
      <x:c r="E20" s="68" t="n">
        <x:v>3179</x:v>
      </x:c>
      <x:c r="F20" s="68" t="n">
        <x:v>0.0001</x:v>
      </x:c>
      <x:c r="G20" s="41" t="str">
        <x:f>IF(ABS(D20-E20)&lt;=F20,"PASS","FAIL")</x:f>
        <x:v>PASS</x:v>
      </x:c>
      <x:c r="H20" s="41"/>
      <x:c r="I20" s="41"/>
      <x:c r="J20" s="41"/>
      <x:c r="K20" s="41"/>
      <x:c r="L20" s="41"/>
      <x:c r="M20" s="41"/>
    </x:row>
    <x:row r="21" ht="15" hidden="0" customHeight="1">
      <x:c r="B21" s="41" t="str">
        <x:v>Root B</x:v>
      </x:c>
      <x:c r="C21" s="41" t="str">
        <x:v>Capital</x:v>
      </x:c>
      <x:c r="D21" s="68" t="n">
        <x:f>'04 Root B bill'!M42</x:f>
        <x:v>3995</x:v>
      </x:c>
      <x:c r="E21" s="68" t="n">
        <x:v>3995</x:v>
      </x:c>
      <x:c r="F21" s="68" t="n">
        <x:v>0.0001</x:v>
      </x:c>
      <x:c r="G21" s="41" t="str">
        <x:f>IF(ABS(D21-E21)&lt;=F21,"PASS","FAIL")</x:f>
        <x:v>PASS</x:v>
      </x:c>
      <x:c r="H21" s="41"/>
      <x:c r="I21" s="41"/>
      <x:c r="J21" s="41"/>
      <x:c r="K21" s="41"/>
      <x:c r="L21" s="41"/>
      <x:c r="M21" s="41"/>
    </x:row>
    <x:row r="22" ht="15" hidden="0" customHeight="1">
      <x:c r="B22" s="41" t="str">
        <x:v>Air</x:v>
      </x:c>
      <x:c r="C22" s="41" t="str">
        <x:v>Root A clean required</x:v>
      </x:c>
      <x:c r="D22" s="68" t="n">
        <x:f>'05 Air closure'!H7</x:f>
        <x:v>121968</x:v>
      </x:c>
      <x:c r="E22" s="68" t="n">
        <x:v>121968</x:v>
      </x:c>
      <x:c r="F22" s="68" t="n">
        <x:v>0.01</x:v>
      </x:c>
      <x:c r="G22" s="41" t="str">
        <x:f>IF(ABS(D22-E22)&lt;=F22,"PASS","FAIL")</x:f>
        <x:v>PASS</x:v>
      </x:c>
      <x:c r="H22" s="41"/>
      <x:c r="I22" s="41"/>
      <x:c r="J22" s="41"/>
      <x:c r="K22" s="41"/>
      <x:c r="L22" s="41"/>
      <x:c r="M22" s="41"/>
    </x:row>
    <x:row r="23" ht="15" hidden="0" customHeight="1">
      <x:c r="B23" s="41" t="str">
        <x:v>Air</x:v>
      </x:c>
      <x:c r="C23" s="41" t="str">
        <x:v>Root A clean margin</x:v>
      </x:c>
      <x:c r="D23" s="68" t="n">
        <x:f>'05 Air closure'!L7</x:f>
        <x:v>8032</x:v>
      </x:c>
      <x:c r="E23" s="68" t="n">
        <x:v>8032</x:v>
      </x:c>
      <x:c r="F23" s="68" t="n">
        <x:v>0.01</x:v>
      </x:c>
      <x:c r="G23" s="41" t="str">
        <x:f>IF(ABS(D23-E23)&lt;=F23,"PASS","FAIL")</x:f>
        <x:v>PASS</x:v>
      </x:c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Air</x:v>
      </x:c>
      <x:c r="C24" s="41" t="str">
        <x:v>Root A controlled required</x:v>
      </x:c>
      <x:c r="D24" s="68" t="n">
        <x:f>'05 Air closure'!H8</x:f>
        <x:v>379456.00000000006</x:v>
      </x:c>
      <x:c r="E24" s="68" t="n">
        <x:v>379456</x:v>
      </x:c>
      <x:c r="F24" s="68" t="n">
        <x:v>0.01</x:v>
      </x:c>
      <x:c r="G24" s="41" t="str">
        <x:f>IF(ABS(D24-E24)&lt;=F24,"PASS","FAIL")</x:f>
        <x:v>PASS</x:v>
      </x:c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Air</x:v>
      </x:c>
      <x:c r="C25" s="41" t="str">
        <x:v>Root A controlled margin</x:v>
      </x:c>
      <x:c r="D25" s="68" t="n">
        <x:f>'05 Air closure'!L8</x:f>
        <x:v>10543.999999999942</x:v>
      </x:c>
      <x:c r="E25" s="68" t="n">
        <x:v>10544</x:v>
      </x:c>
      <x:c r="F25" s="68" t="n">
        <x:v>0.01</x:v>
      </x:c>
      <x:c r="G25" s="41" t="str">
        <x:f>IF(ABS(D25-E25)&lt;=F25,"PASS","FAIL")</x:f>
        <x:v>PASS</x:v>
      </x:c>
      <x:c r="H25" s="41"/>
      <x:c r="I25" s="41"/>
      <x:c r="J25" s="41"/>
      <x:c r="K25" s="41"/>
      <x:c r="L25" s="41"/>
      <x:c r="M25" s="41"/>
    </x:row>
    <x:row r="26" ht="15" hidden="0" customHeight="1">
      <x:c r="B26" s="41" t="str">
        <x:v>Air</x:v>
      </x:c>
      <x:c r="C26" s="41" t="str">
        <x:v>Root A contaminated required</x:v>
      </x:c>
      <x:c r="D26" s="68" t="n">
        <x:f>'05 Air closure'!H9</x:f>
        <x:v>381150</x:v>
      </x:c>
      <x:c r="E26" s="68" t="n">
        <x:v>381150</x:v>
      </x:c>
      <x:c r="F26" s="68" t="n">
        <x:v>0.01</x:v>
      </x:c>
      <x:c r="G26" s="41" t="str">
        <x:f>IF(ABS(D26-E26)&lt;=F26,"PASS","FAIL")</x:f>
        <x:v>PASS</x:v>
      </x:c>
      <x:c r="H26" s="41"/>
      <x:c r="I26" s="41"/>
      <x:c r="J26" s="41"/>
      <x:c r="K26" s="41"/>
      <x:c r="L26" s="41"/>
      <x:c r="M26" s="41"/>
    </x:row>
    <x:row r="27" ht="15" hidden="0" customHeight="1">
      <x:c r="B27" s="41" t="str">
        <x:v>Air</x:v>
      </x:c>
      <x:c r="C27" s="41" t="str">
        <x:v>Root A contaminated margin</x:v>
      </x:c>
      <x:c r="D27" s="68" t="n">
        <x:f>'05 Air closure'!L9</x:f>
        <x:v>8850</x:v>
      </x:c>
      <x:c r="E27" s="68" t="n">
        <x:v>8850</x:v>
      </x:c>
      <x:c r="F27" s="68" t="n">
        <x:v>0.01</x:v>
      </x:c>
      <x:c r="G27" s="41" t="str">
        <x:f>IF(ABS(D27-E27)&lt;=F27,"PASS","FAIL")</x:f>
        <x:v>PASS</x:v>
      </x:c>
      <x:c r="H27" s="41"/>
      <x:c r="I27" s="41"/>
      <x:c r="J27" s="41"/>
      <x:c r="K27" s="41"/>
      <x:c r="L27" s="41"/>
      <x:c r="M27" s="41"/>
    </x:row>
    <x:row r="28" ht="15" hidden="0" customHeight="1">
      <x:c r="B28" s="41" t="str">
        <x:v>Air</x:v>
      </x:c>
      <x:c r="C28" s="41" t="str">
        <x:v>Root B clean required</x:v>
      </x:c>
      <x:c r="D28" s="68" t="n">
        <x:f>'05 Air closure'!H10</x:f>
        <x:v>123632.63999999998</x:v>
      </x:c>
      <x:c r="E28" s="68" t="n">
        <x:v>123632.64</x:v>
      </x:c>
      <x:c r="F28" s="68" t="n">
        <x:v>0.01</x:v>
      </x:c>
      <x:c r="G28" s="41" t="str">
        <x:f>IF(ABS(D28-E28)&lt;=F28,"PASS","FAIL")</x:f>
        <x:v>PASS</x:v>
      </x:c>
      <x:c r="H28" s="41"/>
      <x:c r="I28" s="41"/>
      <x:c r="J28" s="41"/>
      <x:c r="K28" s="41"/>
      <x:c r="L28" s="41"/>
      <x:c r="M28" s="41"/>
    </x:row>
    <x:row r="29" ht="15" hidden="0" customHeight="1">
      <x:c r="B29" s="41" t="str">
        <x:v>Air</x:v>
      </x:c>
      <x:c r="C29" s="41" t="str">
        <x:v>Root B clean margin</x:v>
      </x:c>
      <x:c r="D29" s="68" t="n">
        <x:f>'05 Air closure'!L10</x:f>
        <x:v>56367.360000000015</x:v>
      </x:c>
      <x:c r="E29" s="68" t="n">
        <x:v>56367.36</x:v>
      </x:c>
      <x:c r="F29" s="68" t="n">
        <x:v>0.01</x:v>
      </x:c>
      <x:c r="G29" s="41" t="str">
        <x:f>IF(ABS(D29-E29)&lt;=F29,"PASS","FAIL")</x:f>
        <x:v>PASS</x:v>
      </x:c>
      <x:c r="H29" s="41"/>
      <x:c r="I29" s="41"/>
      <x:c r="J29" s="41"/>
      <x:c r="K29" s="41"/>
      <x:c r="L29" s="41"/>
      <x:c r="M29" s="41"/>
    </x:row>
    <x:row r="30" ht="15" hidden="0" customHeight="1">
      <x:c r="B30" s="41" t="str">
        <x:v>Air</x:v>
      </x:c>
      <x:c r="C30" s="41" t="str">
        <x:v>Root B controlled required</x:v>
      </x:c>
      <x:c r="D30" s="68" t="n">
        <x:f>'05 Air closure'!H11</x:f>
        <x:v>384634.88000000006</x:v>
      </x:c>
      <x:c r="E30" s="68" t="n">
        <x:v>384634.88</x:v>
      </x:c>
      <x:c r="F30" s="68" t="n">
        <x:v>0.01</x:v>
      </x:c>
      <x:c r="G30" s="41" t="str">
        <x:f>IF(ABS(D30-E30)&lt;=F30,"PASS","FAIL")</x:f>
        <x:v>PASS</x:v>
      </x:c>
      <x:c r="H30" s="41"/>
      <x:c r="I30" s="41"/>
      <x:c r="J30" s="41"/>
      <x:c r="K30" s="41"/>
      <x:c r="L30" s="41"/>
      <x:c r="M30" s="41"/>
    </x:row>
    <x:row r="31" ht="15" hidden="0" customHeight="1">
      <x:c r="B31" s="41" t="str">
        <x:v>Air</x:v>
      </x:c>
      <x:c r="C31" s="41" t="str">
        <x:v>Root B controlled margin</x:v>
      </x:c>
      <x:c r="D31" s="68" t="n">
        <x:f>'05 Air closure'!L11</x:f>
        <x:v>35365.11999999994</x:v>
      </x:c>
      <x:c r="E31" s="68" t="n">
        <x:v>35365.12</x:v>
      </x:c>
      <x:c r="F31" s="68" t="n">
        <x:v>0.01</x:v>
      </x:c>
      <x:c r="G31" s="41" t="str">
        <x:f>IF(ABS(D31-E31)&lt;=F31,"PASS","FAIL")</x:f>
        <x:v>PASS</x:v>
      </x:c>
      <x:c r="H31" s="41"/>
      <x:c r="I31" s="41"/>
      <x:c r="J31" s="41"/>
      <x:c r="K31" s="41"/>
      <x:c r="L31" s="41"/>
      <x:c r="M31" s="41"/>
    </x:row>
    <x:row r="32" ht="15" hidden="0" customHeight="1">
      <x:c r="B32" s="41" t="str">
        <x:v>Air</x:v>
      </x:c>
      <x:c r="C32" s="41" t="str">
        <x:v>Root B contaminated required</x:v>
      </x:c>
      <x:c r="D32" s="68" t="n">
        <x:f>'05 Air closure'!H12</x:f>
        <x:v>386352</x:v>
      </x:c>
      <x:c r="E32" s="68" t="n">
        <x:v>386352</x:v>
      </x:c>
      <x:c r="F32" s="68" t="n">
        <x:v>0.01</x:v>
      </x:c>
      <x:c r="G32" s="41" t="str">
        <x:f>IF(ABS(D32-E32)&lt;=F32,"PASS","FAIL")</x:f>
        <x:v>PASS</x:v>
      </x:c>
      <x:c r="H32" s="41"/>
      <x:c r="I32" s="41"/>
      <x:c r="J32" s="41"/>
      <x:c r="K32" s="41"/>
      <x:c r="L32" s="41"/>
      <x:c r="M32" s="41"/>
    </x:row>
    <x:row r="33" ht="15" hidden="0" customHeight="1">
      <x:c r="B33" s="41" t="str">
        <x:v>Air</x:v>
      </x:c>
      <x:c r="C33" s="41" t="str">
        <x:v>Root B contaminated margin</x:v>
      </x:c>
      <x:c r="D33" s="68" t="n">
        <x:f>'05 Air closure'!L12</x:f>
        <x:v>13648</x:v>
      </x:c>
      <x:c r="E33" s="68" t="n">
        <x:v>13648</x:v>
      </x:c>
      <x:c r="F33" s="68" t="n">
        <x:v>0.01</x:v>
      </x:c>
      <x:c r="G33" s="41" t="str">
        <x:f>IF(ABS(D33-E33)&lt;=F33,"PASS","FAIL")</x:f>
        <x:v>PASS</x:v>
      </x:c>
      <x:c r="H33" s="41"/>
      <x:c r="I33" s="41"/>
      <x:c r="J33" s="41"/>
      <x:c r="K33" s="41"/>
      <x:c r="L33" s="41"/>
      <x:c r="M33" s="41"/>
    </x:row>
    <x:row r="34" ht="15" hidden="0" customHeight="1">
      <x:c r="B34" s="41" t="str">
        <x:v>Power</x:v>
      </x:c>
      <x:c r="C34" s="41" t="str">
        <x:v>Root A island continuous</x:v>
      </x:c>
      <x:c r="D34" s="68" t="n">
        <x:f>'06 Power'!E7</x:f>
        <x:v>4.2202</x:v>
      </x:c>
      <x:c r="E34" s="68" t="n">
        <x:v>4.2202</x:v>
      </x:c>
      <x:c r="F34" s="68" t="n">
        <x:v>0.000001</x:v>
      </x:c>
      <x:c r="G34" s="41" t="str">
        <x:f>IF(ABS(D34-E34)&lt;=F34,"PASS","FAIL")</x:f>
        <x:v>PASS</x:v>
      </x:c>
      <x:c r="H34" s="41"/>
      <x:c r="I34" s="41"/>
      <x:c r="J34" s="41"/>
      <x:c r="K34" s="41"/>
      <x:c r="L34" s="41"/>
      <x:c r="M34" s="41"/>
    </x:row>
    <x:row r="35" ht="15" hidden="0" customHeight="1">
      <x:c r="B35" s="41" t="str">
        <x:v>Power</x:v>
      </x:c>
      <x:c r="C35" s="41" t="str">
        <x:v>Root B island continuous</x:v>
      </x:c>
      <x:c r="D35" s="68" t="n">
        <x:f>'06 Power'!E8</x:f>
        <x:v>4.4201999999999995</x:v>
      </x:c>
      <x:c r="E35" s="68" t="n">
        <x:v>4.4202</x:v>
      </x:c>
      <x:c r="F35" s="68" t="n">
        <x:v>0.000001</x:v>
      </x:c>
      <x:c r="G35" s="41" t="str">
        <x:f>IF(ABS(D35-E35)&lt;=F35,"PASS","FAIL")</x:f>
        <x:v>PASS</x:v>
      </x:c>
      <x:c r="H35" s="41"/>
      <x:c r="I35" s="41"/>
      <x:c r="J35" s="41"/>
      <x:c r="K35" s="41"/>
      <x:c r="L35" s="41"/>
      <x:c r="M35" s="41"/>
    </x:row>
    <x:row r="36" ht="15" hidden="0" customHeight="1">
      <x:c r="B36" s="41" t="str">
        <x:v>Power</x:v>
      </x:c>
      <x:c r="C36" s="41" t="str">
        <x:v>Root A feeder margin</x:v>
      </x:c>
      <x:c r="D36" s="68" t="n">
        <x:f>'06 Power'!J7</x:f>
        <x:v>1.14677</x:v>
      </x:c>
      <x:c r="E36" s="68" t="n">
        <x:v>1.14677</x:v>
      </x:c>
      <x:c r="F36" s="68" t="n">
        <x:v>0.000001</x:v>
      </x:c>
      <x:c r="G36" s="41" t="str">
        <x:f>IF(ABS(D36-E36)&lt;=F36,"PASS","FAIL")</x:f>
        <x:v>PASS</x:v>
      </x:c>
      <x:c r="H36" s="41"/>
      <x:c r="I36" s="41"/>
      <x:c r="J36" s="41"/>
      <x:c r="K36" s="41"/>
      <x:c r="L36" s="41"/>
      <x:c r="M36" s="41"/>
    </x:row>
    <x:row r="37" ht="15" hidden="0" customHeight="1">
      <x:c r="B37" s="41" t="str">
        <x:v>Power</x:v>
      </x:c>
      <x:c r="C37" s="41" t="str">
        <x:v>Root B feeder margin</x:v>
      </x:c>
      <x:c r="D37" s="68" t="n">
        <x:f>'06 Power'!J8</x:f>
        <x:v>0.9167700000000014</x:v>
      </x:c>
      <x:c r="E37" s="68" t="n">
        <x:v>0.91677</x:v>
      </x:c>
      <x:c r="F37" s="68" t="n">
        <x:v>0.000001</x:v>
      </x:c>
      <x:c r="G37" s="41" t="str">
        <x:f>IF(ABS(D37-E37)&lt;=F37,"PASS","FAIL")</x:f>
        <x:v>PASS</x:v>
      </x:c>
      <x:c r="H37" s="41"/>
      <x:c r="I37" s="41"/>
      <x:c r="J37" s="41"/>
      <x:c r="K37" s="41"/>
      <x:c r="L37" s="41"/>
      <x:c r="M37" s="41"/>
    </x:row>
    <x:row r="38" ht="15" hidden="0" customHeight="1">
      <x:c r="B38" s="41" t="str">
        <x:v>Power</x:v>
      </x:c>
      <x:c r="C38" s="41" t="str">
        <x:v>Root A formation continuous</x:v>
      </x:c>
      <x:c r="D38" s="68" t="n">
        <x:f>'06 Power'!K7</x:f>
        <x:v>19.4308</x:v>
      </x:c>
      <x:c r="E38" s="68" t="n">
        <x:v>19.4308</x:v>
      </x:c>
      <x:c r="F38" s="68" t="n">
        <x:v>0.000001</x:v>
      </x:c>
      <x:c r="G38" s="41" t="str">
        <x:f>IF(ABS(D38-E38)&lt;=F38,"PASS","FAIL")</x:f>
        <x:v>PASS</x:v>
      </x:c>
      <x:c r="H38" s="41"/>
      <x:c r="I38" s="41"/>
      <x:c r="J38" s="41"/>
      <x:c r="K38" s="41"/>
      <x:c r="L38" s="41"/>
      <x:c r="M38" s="41"/>
    </x:row>
    <x:row r="39" ht="15" hidden="0" customHeight="1">
      <x:c r="B39" s="41" t="str">
        <x:v>Power</x:v>
      </x:c>
      <x:c r="C39" s="41" t="str">
        <x:v>Root B formation continuous</x:v>
      </x:c>
      <x:c r="D39" s="68" t="n">
        <x:f>'06 Power'!K8</x:f>
        <x:v>20.330799999999996</x:v>
      </x:c>
      <x:c r="E39" s="68" t="n">
        <x:v>20.3308</x:v>
      </x:c>
      <x:c r="F39" s="68" t="n">
        <x:v>0.000001</x:v>
      </x:c>
      <x:c r="G39" s="41" t="str">
        <x:f>IF(ABS(D39-E39)&lt;=F39,"PASS","FAIL")</x:f>
        <x:v>PASS</x:v>
      </x:c>
      <x:c r="H39" s="41"/>
      <x:c r="I39" s="41"/>
      <x:c r="J39" s="41"/>
      <x:c r="K39" s="41"/>
      <x:c r="L39" s="41"/>
      <x:c r="M39" s="41"/>
    </x:row>
    <x:row r="40" ht="15" hidden="0" customHeight="1">
      <x:c r="B40" s="41" t="str">
        <x:v>Power</x:v>
      </x:c>
      <x:c r="C40" s="41" t="str">
        <x:v>Root A sources</x:v>
      </x:c>
      <x:c r="D40" s="68" t="n">
        <x:f>'06 Power'!M7</x:f>
        <x:v>6</x:v>
      </x:c>
      <x:c r="E40" s="68" t="n">
        <x:v>6</x:v>
      </x:c>
      <x:c r="F40" s="68" t="n">
        <x:v>0.0001</x:v>
      </x:c>
      <x:c r="G40" s="41" t="str">
        <x:f>IF(ABS(D40-E40)&lt;=F40,"PASS","FAIL")</x:f>
        <x:v>PASS</x:v>
      </x:c>
      <x:c r="H40" s="41"/>
      <x:c r="I40" s="41"/>
      <x:c r="J40" s="41"/>
      <x:c r="K40" s="41"/>
      <x:c r="L40" s="41"/>
      <x:c r="M40" s="41"/>
    </x:row>
    <x:row r="41" ht="15" hidden="0" customHeight="1">
      <x:c r="B41" s="41" t="str">
        <x:v>Power</x:v>
      </x:c>
      <x:c r="C41" s="41" t="str">
        <x:v>Root B sources</x:v>
      </x:c>
      <x:c r="D41" s="68" t="n">
        <x:f>'06 Power'!M8</x:f>
        <x:v>6</x:v>
      </x:c>
      <x:c r="E41" s="68" t="n">
        <x:v>6</x:v>
      </x:c>
      <x:c r="F41" s="68" t="n">
        <x:v>0.0001</x:v>
      </x:c>
      <x:c r="G41" s="41" t="str">
        <x:f>IF(ABS(D41-E41)&lt;=F41,"PASS","FAIL")</x:f>
        <x:v>PASS</x:v>
      </x:c>
      <x:c r="H41" s="41"/>
      <x:c r="I41" s="41"/>
      <x:c r="J41" s="41"/>
      <x:c r="K41" s="41"/>
      <x:c r="L41" s="41"/>
      <x:c r="M41" s="41"/>
    </x:row>
    <x:row r="42" ht="15" hidden="0" customHeight="1">
      <x:c r="B42" s="41" t="str">
        <x:v>Power</x:v>
      </x:c>
      <x:c r="C42" s="41" t="str">
        <x:v>Root A HCSG mass</x:v>
      </x:c>
      <x:c r="D42" s="68" t="n">
        <x:f>'06 Power'!D14</x:f>
        <x:v>35382</x:v>
      </x:c>
      <x:c r="E42" s="68" t="n">
        <x:v>35382</x:v>
      </x:c>
      <x:c r="F42" s="68" t="n">
        <x:v>0.0001</x:v>
      </x:c>
      <x:c r="G42" s="41" t="str">
        <x:f>IF(ABS(D42-E42)&lt;=F42,"PASS","FAIL")</x:f>
        <x:v>PASS</x:v>
      </x:c>
      <x:c r="H42" s="41"/>
      <x:c r="I42" s="41"/>
      <x:c r="J42" s="41"/>
      <x:c r="K42" s="41"/>
      <x:c r="L42" s="41"/>
      <x:c r="M42" s="41"/>
    </x:row>
    <x:row r="43" ht="15" hidden="0" customHeight="1">
      <x:c r="B43" s="41" t="str">
        <x:v>Power</x:v>
      </x:c>
      <x:c r="C43" s="41" t="str">
        <x:v>Root B HCSG capital</x:v>
      </x:c>
      <x:c r="D43" s="68" t="n">
        <x:f>'06 Power'!E15</x:f>
        <x:v>34252</x:v>
      </x:c>
      <x:c r="E43" s="68" t="n">
        <x:v>34252</x:v>
      </x:c>
      <x:c r="F43" s="68" t="n">
        <x:v>0.0001</x:v>
      </x:c>
      <x:c r="G43" s="41" t="str">
        <x:f>IF(ABS(D43-E43)&lt;=F43,"PASS","FAIL")</x:f>
        <x:v>PASS</x:v>
      </x:c>
      <x:c r="H43" s="41"/>
      <x:c r="I43" s="41"/>
      <x:c r="J43" s="41"/>
      <x:c r="K43" s="41"/>
      <x:c r="L43" s="41"/>
      <x:c r="M43" s="41"/>
    </x:row>
    <x:row r="44" ht="15" hidden="0" customHeight="1">
      <x:c r="B44" s="41" t="str">
        <x:v>No-break</x:v>
      </x:c>
      <x:c r="C44" s="41" t="str">
        <x:v>Root A local energy</x:v>
      </x:c>
      <x:c r="D44" s="68" t="n">
        <x:f>'06 Power'!D20</x:f>
        <x:v>0.3292798913043476</x:v>
      </x:c>
      <x:c r="E44" s="68" t="n">
        <x:v>0.3292798913043478</x:v>
      </x:c>
      <x:c r="F44" s="68" t="n">
        <x:v>0.000001</x:v>
      </x:c>
      <x:c r="G44" s="41" t="str">
        <x:f>IF(ABS(D44-E44)&lt;=F44,"PASS","FAIL")</x:f>
        <x:v>PASS</x:v>
      </x:c>
      <x:c r="H44" s="41"/>
      <x:c r="I44" s="41"/>
      <x:c r="J44" s="41"/>
      <x:c r="K44" s="41"/>
      <x:c r="L44" s="41"/>
      <x:c r="M44" s="41"/>
    </x:row>
    <x:row r="45" ht="15" hidden="0" customHeight="1">
      <x:c r="B45" s="41" t="str">
        <x:v>No-break</x:v>
      </x:c>
      <x:c r="C45" s="41" t="str">
        <x:v>Root B local energy</x:v>
      </x:c>
      <x:c r="D45" s="68" t="n">
        <x:f>'06 Power'!D21</x:f>
        <x:v>0.34966032608695635</x:v>
      </x:c>
      <x:c r="E45" s="68" t="n">
        <x:v>0.3496603260869565</x:v>
      </x:c>
      <x:c r="F45" s="68" t="n">
        <x:v>0.000001</x:v>
      </x:c>
      <x:c r="G45" s="41" t="str">
        <x:f>IF(ABS(D45-E45)&lt;=F45,"PASS","FAIL")</x:f>
        <x:v>PASS</x:v>
      </x:c>
      <x:c r="H45" s="41"/>
      <x:c r="I45" s="41"/>
      <x:c r="J45" s="41"/>
      <x:c r="K45" s="41"/>
      <x:c r="L45" s="41"/>
      <x:c r="M45" s="41"/>
    </x:row>
    <x:row r="46" ht="15" hidden="0" customHeight="1">
      <x:c r="B46" s="41" t="str">
        <x:v>No-break</x:v>
      </x:c>
      <x:c r="C46" s="41" t="str">
        <x:v>Root A formation energy</x:v>
      </x:c>
      <x:c r="D46" s="68" t="n">
        <x:f>'06 Power'!I20</x:f>
        <x:v>8.880978260869563</x:v>
      </x:c>
      <x:c r="E46" s="68" t="n">
        <x:v>8.880978260869565</x:v>
      </x:c>
      <x:c r="F46" s="68" t="n">
        <x:v>0.000001</x:v>
      </x:c>
      <x:c r="G46" s="41" t="str">
        <x:f>IF(ABS(D46-E46)&lt;=F46,"PASS","FAIL")</x:f>
        <x:v>PASS</x:v>
      </x:c>
      <x:c r="H46" s="41"/>
      <x:c r="I46" s="41"/>
      <x:c r="J46" s="41"/>
      <x:c r="K46" s="41"/>
      <x:c r="L46" s="41"/>
      <x:c r="M46" s="41"/>
    </x:row>
    <x:row r="47" ht="15" hidden="0" customHeight="1">
      <x:c r="B47" s="41" t="str">
        <x:v>Interfaces</x:v>
      </x:c>
      <x:c r="C47" s="41" t="str">
        <x:v>Root A records</x:v>
      </x:c>
      <x:c r="D47" s="68" t="n">
        <x:f>'07 Interfaces'!C20</x:f>
        <x:v>713</x:v>
      </x:c>
      <x:c r="E47" s="68" t="n">
        <x:v>713</x:v>
      </x:c>
      <x:c r="F47" s="68" t="n">
        <x:v>0.0001</x:v>
      </x:c>
      <x:c r="G47" s="41" t="str">
        <x:f>IF(ABS(D47-E47)&lt;=F47,"PASS","FAIL")</x:f>
        <x:v>PASS</x:v>
      </x:c>
      <x:c r="H47" s="41"/>
      <x:c r="I47" s="41"/>
      <x:c r="J47" s="41"/>
      <x:c r="K47" s="41"/>
      <x:c r="L47" s="41"/>
      <x:c r="M47" s="41"/>
    </x:row>
    <x:row r="48" ht="15" hidden="0" customHeight="1">
      <x:c r="B48" s="41" t="str">
        <x:v>Interfaces</x:v>
      </x:c>
      <x:c r="C48" s="41" t="str">
        <x:v>Root B records</x:v>
      </x:c>
      <x:c r="D48" s="68" t="n">
        <x:f>'07 Interfaces'!D20</x:f>
        <x:v>1640</x:v>
      </x:c>
      <x:c r="E48" s="68" t="n">
        <x:v>1640</x:v>
      </x:c>
      <x:c r="F48" s="68" t="n">
        <x:v>0.0001</x:v>
      </x:c>
      <x:c r="G48" s="41" t="str">
        <x:f>IF(ABS(D48-E48)&lt;=F48,"PASS","FAIL")</x:f>
        <x:v>PASS</x:v>
      </x:c>
      <x:c r="H48" s="41"/>
      <x:c r="I48" s="41"/>
      <x:c r="J48" s="41"/>
      <x:c r="K48" s="41"/>
      <x:c r="L48" s="41"/>
      <x:c r="M48" s="41"/>
    </x:row>
    <x:row r="49" ht="15" hidden="0" customHeight="1">
      <x:c r="B49" s="41" t="str">
        <x:v>Interfaces</x:v>
      </x:c>
      <x:c r="C49" s="41" t="str">
        <x:v>Root A fields</x:v>
      </x:c>
      <x:c r="D49" s="68" t="n">
        <x:f>'07 Interfaces'!C24</x:f>
        <x:v>12834</x:v>
      </x:c>
      <x:c r="E49" s="68" t="n">
        <x:v>12834</x:v>
      </x:c>
      <x:c r="F49" s="68" t="n">
        <x:v>0.0001</x:v>
      </x:c>
      <x:c r="G49" s="41" t="str">
        <x:f>IF(ABS(D49-E49)&lt;=F49,"PASS","FAIL")</x:f>
        <x:v>PASS</x:v>
      </x:c>
      <x:c r="H49" s="41"/>
      <x:c r="I49" s="41"/>
      <x:c r="J49" s="41"/>
      <x:c r="K49" s="41"/>
      <x:c r="L49" s="41"/>
      <x:c r="M49" s="41"/>
    </x:row>
    <x:row r="50" ht="15" hidden="0" customHeight="1">
      <x:c r="B50" s="41" t="str">
        <x:v>Interfaces</x:v>
      </x:c>
      <x:c r="C50" s="41" t="str">
        <x:v>Root B fields</x:v>
      </x:c>
      <x:c r="D50" s="68" t="n">
        <x:f>'07 Interfaces'!C25</x:f>
        <x:v>29520</x:v>
      </x:c>
      <x:c r="E50" s="68" t="n">
        <x:v>29520</x:v>
      </x:c>
      <x:c r="F50" s="68" t="n">
        <x:v>0.0001</x:v>
      </x:c>
      <x:c r="G50" s="41" t="str">
        <x:f>IF(ABS(D50-E50)&lt;=F50,"PASS","FAIL")</x:f>
        <x:v>PASS</x:v>
      </x:c>
      <x:c r="H50" s="41"/>
      <x:c r="I50" s="41"/>
      <x:c r="J50" s="41"/>
      <x:c r="K50" s="41"/>
      <x:c r="L50" s="41"/>
      <x:c r="M50" s="41"/>
    </x:row>
    <x:row r="51" ht="15" hidden="0" customHeight="1">
      <x:c r="B51" s="41" t="str">
        <x:v>Site</x:v>
      </x:c>
      <x:c r="C51" s="41" t="str">
        <x:v>Root A envelope</x:v>
      </x:c>
      <x:c r="D51" s="68" t="n">
        <x:f>'08 Sections'!G29</x:f>
        <x:v>76208.37586666326</x:v>
      </x:c>
      <x:c r="E51" s="68" t="n">
        <x:v>76208.37586666326</x:v>
      </x:c>
      <x:c r="F51" s="68" t="n">
        <x:v>0.1</x:v>
      </x:c>
      <x:c r="G51" s="41" t="str">
        <x:f>IF(ABS(D51-E51)&lt;=F51,"PASS","FAIL")</x:f>
        <x:v>PASS</x:v>
      </x:c>
      <x:c r="H51" s="41"/>
      <x:c r="I51" s="41"/>
      <x:c r="J51" s="41"/>
      <x:c r="K51" s="41"/>
      <x:c r="L51" s="41"/>
      <x:c r="M51" s="41"/>
    </x:row>
    <x:row r="52" ht="15" hidden="0" customHeight="1">
      <x:c r="B52" s="41" t="str">
        <x:v>Site</x:v>
      </x:c>
      <x:c r="C52" s="41" t="str">
        <x:v>Root B envelope</x:v>
      </x:c>
      <x:c r="D52" s="68" t="n">
        <x:f>'08 Sections'!G30</x:f>
        <x:v>77097.33618645965</x:v>
      </x:c>
      <x:c r="E52" s="68" t="n">
        <x:v>77097.33618645965</x:v>
      </x:c>
      <x:c r="F52" s="68" t="n">
        <x:v>0.1</x:v>
      </x:c>
      <x:c r="G52" s="41" t="str">
        <x:f>IF(ABS(D52-E52)&lt;=F52,"PASS","FAIL")</x:f>
        <x:v>PASS</x:v>
      </x:c>
      <x:c r="H52" s="41"/>
      <x:c r="I52" s="41"/>
      <x:c r="J52" s="41"/>
      <x:c r="K52" s="41"/>
      <x:c r="L52" s="41"/>
      <x:c r="M52" s="41"/>
    </x:row>
    <x:row r="53" ht="15" hidden="0" customHeight="1">
      <x:c r="B53" s="41" t="str">
        <x:v>Assembly</x:v>
      </x:c>
      <x:c r="C53" s="41" t="str">
        <x:v>Root A release</x:v>
      </x:c>
      <x:c r="D53" s="68" t="n">
        <x:f>'10 Assembly'!C33</x:f>
        <x:v>72</x:v>
      </x:c>
      <x:c r="E53" s="68" t="n">
        <x:v>72</x:v>
      </x:c>
      <x:c r="F53" s="68" t="n">
        <x:v>0.0001</x:v>
      </x:c>
      <x:c r="G53" s="41" t="str">
        <x:f>IF(ABS(D53-E53)&lt;=F53,"PASS","FAIL")</x:f>
        <x:v>PASS</x:v>
      </x:c>
      <x:c r="H53" s="41"/>
      <x:c r="I53" s="41"/>
      <x:c r="J53" s="41"/>
      <x:c r="K53" s="41"/>
      <x:c r="L53" s="41"/>
      <x:c r="M53" s="41"/>
    </x:row>
    <x:row r="54" ht="15" hidden="0" customHeight="1">
      <x:c r="B54" s="41" t="str">
        <x:v>Assembly</x:v>
      </x:c>
      <x:c r="C54" s="41" t="str">
        <x:v>Root B release</x:v>
      </x:c>
      <x:c r="D54" s="68" t="n">
        <x:f>'10 Assembly'!C34</x:f>
        <x:v>60</x:v>
      </x:c>
      <x:c r="E54" s="68" t="n">
        <x:v>60</x:v>
      </x:c>
      <x:c r="F54" s="68" t="n">
        <x:v>0.0001</x:v>
      </x:c>
      <x:c r="G54" s="41" t="str">
        <x:f>IF(ABS(D54-E54)&lt;=F54,"PASS","FAIL")</x:f>
        <x:v>PASS</x:v>
      </x:c>
      <x:c r="H54" s="41"/>
      <x:c r="I54" s="41"/>
      <x:c r="J54" s="41"/>
      <x:c r="K54" s="41"/>
      <x:c r="L54" s="41"/>
      <x:c r="M54" s="41"/>
    </x:row>
    <x:row r="55" ht="15" hidden="0" customHeight="1">
      <x:c r="B55" s="41" t="str">
        <x:v>Deployment</x:v>
      </x:c>
      <x:c r="C55" s="41" t="str">
        <x:v>Root A tranche articles</x:v>
      </x:c>
      <x:c r="D55" s="68" t="n">
        <x:f>'11 Deployment'!C12</x:f>
        <x:v>121</x:v>
      </x:c>
      <x:c r="E55" s="68" t="n">
        <x:v>121</x:v>
      </x:c>
      <x:c r="F55" s="68" t="n">
        <x:v>0.0001</x:v>
      </x:c>
      <x:c r="G55" s="41" t="str">
        <x:f>IF(ABS(D55-E55)&lt;=F55,"PASS","FAIL")</x:f>
        <x:v>PASS</x:v>
      </x:c>
      <x:c r="H55" s="41"/>
      <x:c r="I55" s="41"/>
      <x:c r="J55" s="41"/>
      <x:c r="K55" s="41"/>
      <x:c r="L55" s="41"/>
      <x:c r="M55" s="41"/>
    </x:row>
    <x:row r="56" ht="15" hidden="0" customHeight="1">
      <x:c r="B56" s="41" t="str">
        <x:v>Deployment</x:v>
      </x:c>
      <x:c r="C56" s="41" t="str">
        <x:v>Root A tranche mass</x:v>
      </x:c>
      <x:c r="D56" s="68" t="n">
        <x:f>'11 Deployment'!D12</x:f>
        <x:v>3204</x:v>
      </x:c>
      <x:c r="E56" s="68" t="n">
        <x:v>3204</x:v>
      </x:c>
      <x:c r="F56" s="68" t="n">
        <x:v>0.0001</x:v>
      </x:c>
      <x:c r="G56" s="41" t="str">
        <x:f>IF(ABS(D56-E56)&lt;=F56,"PASS","FAIL")</x:f>
        <x:v>PASS</x:v>
      </x:c>
      <x:c r="H56" s="41"/>
      <x:c r="I56" s="41"/>
      <x:c r="J56" s="41"/>
      <x:c r="K56" s="41"/>
      <x:c r="L56" s="41"/>
      <x:c r="M56" s="41"/>
    </x:row>
    <x:row r="57" ht="15" hidden="0" customHeight="1">
      <x:c r="B57" s="41" t="str">
        <x:v>Deployment</x:v>
      </x:c>
      <x:c r="C57" s="41" t="str">
        <x:v>Root B tranche articles</x:v>
      </x:c>
      <x:c r="D57" s="68" t="n">
        <x:f>'11 Deployment'!C20</x:f>
        <x:v>218</x:v>
      </x:c>
      <x:c r="E57" s="68" t="n">
        <x:v>218</x:v>
      </x:c>
      <x:c r="F57" s="68" t="n">
        <x:v>0.0001</x:v>
      </x:c>
      <x:c r="G57" s="41" t="str">
        <x:f>IF(ABS(D57-E57)&lt;=F57,"PASS","FAIL")</x:f>
        <x:v>PASS</x:v>
      </x:c>
      <x:c r="H57" s="41"/>
      <x:c r="I57" s="41"/>
      <x:c r="J57" s="41"/>
      <x:c r="K57" s="41"/>
      <x:c r="L57" s="41"/>
      <x:c r="M57" s="41"/>
    </x:row>
    <x:row r="58" ht="15" hidden="0" customHeight="1">
      <x:c r="B58" s="41" t="str">
        <x:v>Deployment</x:v>
      </x:c>
      <x:c r="C58" s="41" t="str">
        <x:v>Root B tranche mass</x:v>
      </x:c>
      <x:c r="D58" s="68" t="n">
        <x:f>'11 Deployment'!D20</x:f>
        <x:v>3179</x:v>
      </x:c>
      <x:c r="E58" s="68" t="n">
        <x:v>3179</x:v>
      </x:c>
      <x:c r="F58" s="68" t="n">
        <x:v>0.0001</x:v>
      </x:c>
      <x:c r="G58" s="41" t="str">
        <x:f>IF(ABS(D58-E58)&lt;=F58,"PASS","FAIL")</x:f>
        <x:v>PASS</x:v>
      </x:c>
      <x:c r="H58" s="41"/>
      <x:c r="I58" s="41"/>
      <x:c r="J58" s="41"/>
      <x:c r="K58" s="41"/>
      <x:c r="L58" s="41"/>
      <x:c r="M58" s="41"/>
    </x:row>
    <x:row r="59" ht="15" hidden="0" customHeight="1">
      <x:c r="B59" s="41" t="str">
        <x:v>Deployment</x:v>
      </x:c>
      <x:c r="C59" s="41" t="str">
        <x:v>Root A cargo positions</x:v>
      </x:c>
      <x:c r="D59" s="68" t="n">
        <x:f>'11 Deployment'!F25</x:f>
        <x:v>200</x:v>
      </x:c>
      <x:c r="E59" s="68" t="n">
        <x:v>200</x:v>
      </x:c>
      <x:c r="F59" s="68" t="n">
        <x:v>0.0001</x:v>
      </x:c>
      <x:c r="G59" s="41" t="str">
        <x:f>IF(ABS(D59-E59)&lt;=F59,"PASS","FAIL")</x:f>
        <x:v>PASS</x:v>
      </x:c>
      <x:c r="H59" s="41"/>
      <x:c r="I59" s="41"/>
      <x:c r="J59" s="41"/>
      <x:c r="K59" s="41"/>
      <x:c r="L59" s="41"/>
      <x:c r="M59" s="41"/>
    </x:row>
    <x:row r="60" ht="15" hidden="0" customHeight="1">
      <x:c r="B60" s="41" t="str">
        <x:v>Deployment</x:v>
      </x:c>
      <x:c r="C60" s="41" t="str">
        <x:v>Root B cargo positions</x:v>
      </x:c>
      <x:c r="D60" s="68" t="n">
        <x:f>'11 Deployment'!F26</x:f>
        <x:v>198</x:v>
      </x:c>
      <x:c r="E60" s="68" t="n">
        <x:v>198</x:v>
      </x:c>
      <x:c r="F60" s="68" t="n">
        <x:v>0.0001</x:v>
      </x:c>
      <x:c r="G60" s="41" t="str">
        <x:f>IF(ABS(D60-E60)&lt;=F60,"PASS","FAIL")</x:f>
        <x:v>PASS</x:v>
      </x:c>
      <x:c r="H60" s="41"/>
      <x:c r="I60" s="41"/>
      <x:c r="J60" s="41"/>
      <x:c r="K60" s="41"/>
      <x:c r="L60" s="41"/>
      <x:c r="M60" s="41"/>
    </x:row>
    <x:row r="61" ht="15" hidden="0" customHeight="1">
      <x:c r="B61" s="41" t="str">
        <x:v>Campaign</x:v>
      </x:c>
      <x:c r="C61" s="41" t="str">
        <x:v>Nested serials</x:v>
      </x:c>
      <x:c r="D61" s="68" t="n">
        <x:f>'13 Campaign'!E8</x:f>
        <x:v>1356</x:v>
      </x:c>
      <x:c r="E61" s="68" t="n">
        <x:v>1356</x:v>
      </x:c>
      <x:c r="F61" s="68" t="n">
        <x:v>0.0001</x:v>
      </x:c>
      <x:c r="G61" s="41" t="str">
        <x:f>IF(ABS(D61-E61)&lt;=F61,"PASS","FAIL")</x:f>
        <x:v>PASS</x:v>
      </x:c>
      <x:c r="H61" s="41"/>
      <x:c r="I61" s="41"/>
      <x:c r="J61" s="41"/>
      <x:c r="K61" s="41"/>
      <x:c r="L61" s="41"/>
      <x:c r="M61" s="41"/>
    </x:row>
    <x:row r="62" ht="15" hidden="0" customHeight="1">
      <x:c r="B62" s="41" t="str">
        <x:v>Campaign</x:v>
      </x:c>
      <x:c r="C62" s="41" t="str">
        <x:v>Controlled defects</x:v>
      </x:c>
      <x:c r="D62" s="68" t="n">
        <x:f>'13 Campaign'!E12</x:f>
        <x:v>320</x:v>
      </x:c>
      <x:c r="E62" s="68" t="n">
        <x:v>320</x:v>
      </x:c>
      <x:c r="F62" s="68" t="n">
        <x:v>0.0001</x:v>
      </x:c>
      <x:c r="G62" s="41" t="str">
        <x:f>IF(ABS(D62-E62)&lt;=F62,"PASS","FAIL")</x:f>
        <x:v>PASS</x:v>
      </x:c>
      <x:c r="H62" s="41"/>
      <x:c r="I62" s="41"/>
      <x:c r="J62" s="41"/>
      <x:c r="K62" s="41"/>
      <x:c r="L62" s="41"/>
      <x:c r="M62" s="41"/>
    </x:row>
    <x:row r="63" ht="15" hidden="0" customHeight="1">
      <x:c r="B63" s="41" t="str">
        <x:v>Campaign</x:v>
      </x:c>
      <x:c r="C63" s="41" t="str">
        <x:v>Service runs</x:v>
      </x:c>
      <x:c r="D63" s="68" t="n">
        <x:f>'13 Campaign'!E11</x:f>
        <x:v>96</x:v>
      </x:c>
      <x:c r="E63" s="68" t="n">
        <x:v>96</x:v>
      </x:c>
      <x:c r="F63" s="68" t="n">
        <x:v>0.0001</x:v>
      </x:c>
      <x:c r="G63" s="41" t="str">
        <x:f>IF(ABS(D63-E63)&lt;=F63,"PASS","FAIL")</x:f>
        <x:v>PASS</x:v>
      </x:c>
      <x:c r="H63" s="41"/>
      <x:c r="I63" s="41"/>
      <x:c r="J63" s="41"/>
      <x:c r="K63" s="41"/>
      <x:c r="L63" s="41"/>
      <x:c r="M63" s="41"/>
    </x:row>
    <x:row r="64" ht="15" hidden="0" customHeight="1">
      <x:c r="B64" s="41" t="str">
        <x:v>Campaign</x:v>
      </x:c>
      <x:c r="C64" s="41" t="str">
        <x:v>Months</x:v>
      </x:c>
      <x:c r="D64" s="68" t="n">
        <x:f>'13 Campaign'!E14</x:f>
        <x:v>84</x:v>
      </x:c>
      <x:c r="E64" s="68" t="n">
        <x:v>84</x:v>
      </x:c>
      <x:c r="F64" s="68" t="n">
        <x:v>0.0001</x:v>
      </x:c>
      <x:c r="G64" s="41" t="str">
        <x:f>IF(ABS(D64-E64)&lt;=F64,"PASS","FAIL")</x:f>
        <x:v>PASS</x:v>
      </x:c>
      <x:c r="H64" s="41"/>
      <x:c r="I64" s="41"/>
      <x:c r="J64" s="41"/>
      <x:c r="K64" s="41"/>
      <x:c r="L64" s="41"/>
      <x:c r="M64" s="41"/>
    </x:row>
    <x:row r="65" ht="15" hidden="0" customHeight="1">
      <x:c r="B65" s="41" t="str">
        <x:v>Finance</x:v>
      </x:c>
      <x:c r="C65" s="41" t="str">
        <x:v>Development island capital</x:v>
      </x:c>
      <x:c r="D65" s="68" t="n">
        <x:f>'14 Finance'!C7+'14 Finance'!C8</x:f>
        <x:v>30.592</x:v>
      </x:c>
      <x:c r="E65" s="68" t="n">
        <x:v>30.592</x:v>
      </x:c>
      <x:c r="F65" s="68" t="n">
        <x:v>0.000001</x:v>
      </x:c>
      <x:c r="G65" s="41" t="str">
        <x:f>IF(ABS(D65-E65)&lt;=F65,"PASS","FAIL")</x:f>
        <x:v>PASS</x:v>
      </x:c>
      <x:c r="H65" s="41"/>
      <x:c r="I65" s="41"/>
      <x:c r="J65" s="41"/>
      <x:c r="K65" s="41"/>
      <x:c r="L65" s="41"/>
      <x:c r="M65" s="41"/>
    </x:row>
    <x:row r="66" ht="15" hidden="0" customHeight="1">
      <x:c r="B66" s="41" t="str">
        <x:v>Finance</x:v>
      </x:c>
      <x:c r="C66" s="41" t="str">
        <x:v>Reserve</x:v>
      </x:c>
      <x:c r="D66" s="68" t="n">
        <x:f>'14 Finance'!C14</x:f>
        <x:v>2.0079999999999956</x:v>
      </x:c>
      <x:c r="E66" s="68" t="n">
        <x:v>2.008</x:v>
      </x:c>
      <x:c r="F66" s="68" t="n">
        <x:v>0.000001</x:v>
      </x:c>
      <x:c r="G66" s="41" t="str">
        <x:f>IF(ABS(D66-E66)&lt;=F66,"PASS","FAIL")</x:f>
        <x:v>PASS</x:v>
      </x:c>
      <x:c r="H66" s="41"/>
      <x:c r="I66" s="41"/>
      <x:c r="J66" s="41"/>
      <x:c r="K66" s="41"/>
      <x:c r="L66" s="41"/>
      <x:c r="M66" s="41"/>
    </x:row>
    <x:row r="67" ht="15" hidden="0" customHeight="1">
      <x:c r="B67" s="41" t="str">
        <x:v>Finance</x:v>
      </x:c>
      <x:c r="C67" s="41" t="str">
        <x:v>RCB total</x:v>
      </x:c>
      <x:c r="D67" s="68" t="n">
        <x:f>'14 Finance'!C15</x:f>
        <x:v>45</x:v>
      </x:c>
      <x:c r="E67" s="68" t="n">
        <x:v>45</x:v>
      </x:c>
      <x:c r="F67" s="68" t="n">
        <x:v>0.000001</x:v>
      </x:c>
      <x:c r="G67" s="41" t="str">
        <x:f>IF(ABS(D67-E67)&lt;=F67,"PASS","FAIL")</x:f>
        <x:v>PASS</x:v>
      </x:c>
      <x:c r="H67" s="41"/>
      <x:c r="I67" s="41"/>
      <x:c r="J67" s="41"/>
      <x:c r="K67" s="41"/>
      <x:c r="L67" s="41"/>
      <x:c r="M67" s="41"/>
    </x:row>
    <x:row r="68" ht="15" hidden="0" customHeight="1">
      <x:c r="B68" s="41" t="str">
        <x:v>Finance</x:v>
      </x:c>
      <x:c r="C68" s="41" t="str">
        <x:v>Parent remaining</x:v>
      </x:c>
      <x:c r="D68" s="68" t="n">
        <x:f>'14 Finance'!C21</x:f>
        <x:v>30</x:v>
      </x:c>
      <x:c r="E68" s="68" t="n">
        <x:v>30</x:v>
      </x:c>
      <x:c r="F68" s="68" t="n">
        <x:v>0.000001</x:v>
      </x:c>
      <x:c r="G68" s="41" t="str">
        <x:f>IF(ABS(D68-E68)&lt;=F68,"PASS","FAIL")</x:f>
        <x:v>PASS</x:v>
      </x:c>
      <x:c r="H68" s="41"/>
      <x:c r="I68" s="41"/>
      <x:c r="J68" s="41"/>
      <x:c r="K68" s="41"/>
      <x:c r="L68" s="41"/>
      <x:c r="M68" s="41"/>
    </x:row>
    <x:row r="69" ht="15" hidden="0" customHeight="1">
      <x:c r="B69" s="41" t="str">
        <x:v>Sensitivity</x:v>
      </x:c>
      <x:c r="C69" s="41" t="str">
        <x:v>3.0 public positions</x:v>
      </x:c>
      <x:c r="D69" s="68" t="n">
        <x:f>'15 Sensitivity'!D10</x:f>
        <x:v>37</x:v>
      </x:c>
      <x:c r="E69" s="68" t="n">
        <x:v>37</x:v>
      </x:c>
      <x:c r="F69" s="68" t="n">
        <x:v>0.0001</x:v>
      </x:c>
      <x:c r="G69" s="41" t="str">
        <x:f>IF(ABS(D69-E69)&lt;=F69,"PASS","FAIL")</x:f>
        <x:v>PASS</x:v>
      </x:c>
      <x:c r="H69" s="41"/>
      <x:c r="I69" s="41"/>
      <x:c r="J69" s="41"/>
      <x:c r="K69" s="41"/>
      <x:c r="L69" s="41"/>
      <x:c r="M69" s="41"/>
    </x:row>
    <x:row r="70" ht="15" hidden="0" customHeight="1">
      <x:c r="B70" s="41" t="str">
        <x:v>Sensitivity</x:v>
      </x:c>
      <x:c r="C70" s="41" t="str">
        <x:v>3.0 public modules</x:v>
      </x:c>
      <x:c r="D70" s="68" t="n">
        <x:f>'15 Sensitivity'!E10</x:f>
        <x:v>7</x:v>
      </x:c>
      <x:c r="E70" s="68" t="n">
        <x:v>7</x:v>
      </x:c>
      <x:c r="F70" s="68" t="n">
        <x:v>0.0001</x:v>
      </x:c>
      <x:c r="G70" s="41" t="str">
        <x:f>IF(ABS(D70-E70)&lt;=F70,"PASS","FAIL")</x:f>
        <x:v>PASS</x:v>
      </x:c>
      <x:c r="H70" s="41"/>
      <x:c r="I70" s="41"/>
      <x:c r="J70" s="41"/>
      <x:c r="K70" s="41"/>
      <x:c r="L70" s="41"/>
      <x:c r="M70" s="41"/>
    </x:row>
    <x:row r="71" ht="15" hidden="0" customHeight="1">
      <x:c r="B71" s="41" t="str">
        <x:v>Sensitivity</x:v>
      </x:c>
      <x:c r="C71" s="41" t="str">
        <x:v>Severe Root A margin</x:v>
      </x:c>
      <x:c r="D71" s="68" t="n">
        <x:f>'15 Sensitivity'!G16</x:f>
        <x:v>-143609.99999999988</x:v>
      </x:c>
      <x:c r="E71" s="68" t="n">
        <x:v>-143610</x:v>
      </x:c>
      <x:c r="F71" s="68" t="n">
        <x:v>0.1</x:v>
      </x:c>
      <x:c r="G71" s="41" t="str">
        <x:f>IF(ABS(D71-E71)&lt;=F71,"PASS","FAIL")</x:f>
        <x:v>PASS</x:v>
      </x:c>
      <x:c r="H71" s="41"/>
      <x:c r="I71" s="41"/>
      <x:c r="J71" s="41"/>
      <x:c r="K71" s="41"/>
      <x:c r="L71" s="41"/>
      <x:c r="M71" s="41"/>
    </x:row>
    <x:row r="72" ht="15" hidden="0" customHeight="1">
      <x:c r="B72" s="41" t="str">
        <x:v>Sensitivity</x:v>
      </x:c>
      <x:c r="C72" s="41" t="str">
        <x:v>Severe Root B margin</x:v>
      </x:c>
      <x:c r="D72" s="68" t="n">
        <x:f>'15 Sensitivity'!J16</x:f>
        <x:v>-140892.79999999993</x:v>
      </x:c>
      <x:c r="E72" s="68" t="n">
        <x:v>-140892.8</x:v>
      </x:c>
      <x:c r="F72" s="68" t="n">
        <x:v>0.1</x:v>
      </x:c>
      <x:c r="G72" s="41" t="str">
        <x:f>IF(ABS(D72-E72)&lt;=F72,"PASS","FAIL")</x:f>
        <x:v>PASS</x:v>
      </x:c>
      <x:c r="H72" s="41"/>
      <x:c r="I72" s="41"/>
      <x:c r="J72" s="41"/>
      <x:c r="K72" s="41"/>
      <x:c r="L72" s="41"/>
      <x:c r="M72" s="41"/>
    </x:row>
    <x:row r="73" ht="15" hidden="0" customHeight="1">
      <x:c r="B73" s="41" t="str">
        <x:v>Admissions</x:v>
      </x:c>
      <x:c r="C73" s="41" t="str">
        <x:v>Admitted sum</x:v>
      </x:c>
      <x:c r="D73" s="68" t="n">
        <x:f>SUM('16 Admissions'!E7:E16)</x:f>
        <x:v>0</x:v>
      </x:c>
      <x:c r="E73" s="68" t="n">
        <x:v>0</x:v>
      </x:c>
      <x:c r="F73" s="68" t="n">
        <x:v>0.0001</x:v>
      </x:c>
      <x:c r="G73" s="41" t="str">
        <x:f>IF(ABS(D73-E73)&lt;=F73,"PASS","FAIL")</x:f>
        <x:v>PASS</x:v>
      </x:c>
      <x:c r="H73" s="41"/>
      <x:c r="I73" s="41"/>
      <x:c r="J73" s="41"/>
      <x:c r="K73" s="41"/>
      <x:c r="L73" s="41"/>
      <x:c r="M73" s="41"/>
    </x:row>
    <x:row r="74" ht="15" hidden="0" customHeight="1">
      <x:c r="B74" s="47" t="str">
        <x:v>PASS COUNT</x:v>
      </x:c>
      <x:c r="C74" s="47"/>
      <x:c r="D74" s="69" t="n">
        <x:f>COUNTIF(G7:G73,"PASS")</x:f>
        <x:v>67</x:v>
      </x:c>
      <x:c r="E74" s="69" t="n">
        <x:v>67</x:v>
      </x:c>
      <x:c r="F74" s="69"/>
      <x:c r="G74" s="47" t="str">
        <x:f>IF(D74=E74,"PASS","FAIL")</x:f>
        <x:v>PASS</x:v>
      </x:c>
      <x:c r="H74" s="41"/>
      <x:c r="I74" s="41"/>
      <x:c r="J74" s="41"/>
      <x:c r="K74" s="41"/>
      <x:c r="L74" s="41"/>
      <x:c r="M74" s="41"/>
    </x:row>
  </x:sheetData>
  <x:mergeCells>
    <x:mergeCell ref="B2:M2"/>
    <x:mergeCell ref="B3:M3"/>
  </x:mergeCells>
  <x:conditionalFormatting sqref="G7:G74">
    <x:cfRule type="expression" dxfId="0" priority="1">
      <x:formula>G7="FAIL"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6" hidden="0" customWidth="1"/>
    <x:col min="3" max="3" width="78" hidden="0" customWidth="1"/>
    <x:col min="4" max="4" width="52" hidden="0" customWidth="1"/>
    <x:col min="5" max="5" width="22" hidden="0" customWidth="1"/>
    <x:col min="1" max="1" width="3" hidden="0" customWidth="1"/>
  </x:cols>
  <x:sheetData>
    <x:row r="2" ht="24" hidden="0" customHeight="1">
      <x:c r="B2" s="70" t="str">
        <x:v>Internal source lineage and evidence boundary</x:v>
      </x:c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30" hidden="0" customHeight="1">
      <x:c r="B3" s="71" t="str">
        <x:v>This pass uses repository research only. No external source, clinical observation or product specification is introduced.</x:v>
      </x:c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15" hidden="0" customHeight="1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</x:row>
    <x:row r="5" ht="15" hidden="0" customHeight="1"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</x:row>
    <x:row r="6" ht="32" hidden="0" customHeight="1">
      <x:c r="B6" s="8" t="str">
        <x:v>Source</x:v>
      </x:c>
      <x:c r="C6" s="8" t="str">
        <x:v>Repository path</x:v>
      </x:c>
      <x:c r="D6" s="8" t="str">
        <x:v>Contribution</x:v>
      </x:c>
      <x:c r="E6" s="8" t="str">
        <x:v>Boundary</x:v>
      </x:c>
      <x:c r="F6" s="41"/>
      <x:c r="G6" s="41"/>
      <x:c r="H6" s="41"/>
      <x:c r="I6" s="41"/>
      <x:c r="J6" s="41"/>
      <x:c r="K6" s="41"/>
      <x:c r="L6" s="41"/>
      <x:c r="M6" s="41"/>
    </x:row>
    <x:row r="7" ht="15" hidden="0" customHeight="1">
      <x:c r="B7" s="44" t="str">
        <x:v>RCA-1 / CSI-25</x:v>
      </x:c>
      <x:c r="C7" s="44" t="str">
        <x:v>research/force/generation/f36-cisa40-sa6-root-a-clinical-service-island-internal-configuration-and-zone-constitution.md</x:v>
      </x:c>
      <x:c r="D7" s="44" t="str">
        <x:v>care cells, flow, zoning, utilities, workforce, article bill and unresolved failures</x:v>
      </x:c>
      <x:c r="E7" s="44" t="str">
        <x:v>internal research</x:v>
      </x:c>
      <x:c r="F7" s="41"/>
      <x:c r="G7" s="41"/>
      <x:c r="H7" s="41"/>
      <x:c r="I7" s="41"/>
      <x:c r="J7" s="41"/>
      <x:c r="K7" s="41"/>
      <x:c r="L7" s="41"/>
      <x:c r="M7" s="41"/>
    </x:row>
    <x:row r="8" ht="15" hidden="0" customHeight="1">
      <x:c r="B8" s="44" t="str">
        <x:v>RBZ-1 / HCSG-100</x:v>
      </x:c>
      <x:c r="C8" s="44" t="str">
        <x:v>research/force/generation/f36-cisa40-sa6-root-a-clinical-utility-acuity-and-medical-continuity-service-contract.md</x:v>
      </x:c>
      <x:c r="D8" s="44" t="str">
        <x:v>service contract, formation, care obligations and workforce ceiling</x:v>
      </x:c>
      <x:c r="E8" s="44" t="str">
        <x:v>internal research</x:v>
      </x:c>
      <x:c r="F8" s="41"/>
      <x:c r="G8" s="41"/>
      <x:c r="H8" s="41"/>
      <x:c r="I8" s="41"/>
      <x:c r="J8" s="41"/>
      <x:c r="K8" s="41"/>
      <x:c r="L8" s="41"/>
      <x:c r="M8" s="41"/>
    </x:row>
    <x:row r="9" ht="15" hidden="0" customHeight="1">
      <x:c r="B9" s="44" t="str">
        <x:v>Physical module qualification</x:v>
      </x:c>
      <x:c r="C9" s="44" t="str">
        <x:v>research/force/generation/f36-physical-module-and-interface-qualification-constitution.md</x:v>
      </x:c>
      <x:c r="D9" s="44" t="str">
        <x:v>root separation, interface and qualification principles</x:v>
      </x:c>
      <x:c r="E9" s="44" t="str">
        <x:v>internal research</x:v>
      </x:c>
      <x:c r="F9" s="41"/>
      <x:c r="G9" s="41"/>
      <x:c r="H9" s="41"/>
      <x:c r="I9" s="41"/>
      <x:c r="J9" s="41"/>
      <x:c r="K9" s="41"/>
      <x:c r="L9" s="41"/>
      <x:c r="M9" s="41"/>
    </x:row>
    <x:row r="10" ht="15" hidden="0" customHeight="1">
      <x:c r="B10" s="44" t="str">
        <x:v>Coupled utility and receiver spine</x:v>
      </x:c>
      <x:c r="C10" s="44" t="str">
        <x:v>research/force/generation/f36-coupled-utility-module-and-receiver-spine-physical-specification.md</x:v>
      </x:c>
      <x:c r="D10" s="44" t="str">
        <x:v>receiver and utility-boundary discipline</x:v>
      </x:c>
      <x:c r="E10" s="44" t="str">
        <x:v>internal research</x:v>
      </x:c>
      <x:c r="F10" s="41"/>
      <x:c r="G10" s="41"/>
      <x:c r="H10" s="41"/>
      <x:c r="I10" s="41"/>
      <x:c r="J10" s="41"/>
      <x:c r="K10" s="41"/>
      <x:c r="L10" s="41"/>
      <x:c r="M10" s="41"/>
    </x:row>
    <x:row r="11" ht="15" hidden="0" customHeight="1">
      <x:c r="B11" s="44" t="str">
        <x:v>Root A construction and build release</x:v>
      </x:c>
      <x:c r="C11" s="44" t="str">
        <x:v>research/force/generation/f36-cisa40-sa6-root-a-reference-article-construction-and-build-release-constitution.md</x:v>
      </x:c>
      <x:c r="D11" s="44" t="str">
        <x:v>travelers, hold points, unlike lineages and build release</x:v>
      </x:c>
      <x:c r="E11" s="44" t="str">
        <x:v>internal research</x:v>
      </x:c>
      <x:c r="F11" s="41"/>
      <x:c r="G11" s="41"/>
      <x:c r="H11" s="41"/>
      <x:c r="I11" s="41"/>
      <x:c r="J11" s="41"/>
      <x:c r="K11" s="41"/>
      <x:c r="L11" s="41"/>
      <x:c r="M11" s="41"/>
    </x:row>
    <x:row r="12" ht="15" hidden="0" customHeight="1">
      <x:c r="B12" s="44" t="str">
        <x:v>Common technical architecture</x:v>
      </x:c>
      <x:c r="C12" s="44" t="str">
        <x:v>research/systems/common-technical-architecture.md</x:v>
      </x:c>
      <x:c r="D12" s="44" t="str">
        <x:v>fault isolation, degraded states, interfaces and local control</x:v>
      </x:c>
      <x:c r="E12" s="44" t="str">
        <x:v>internal concept</x:v>
      </x:c>
      <x:c r="F12" s="41"/>
      <x:c r="G12" s="41"/>
      <x:c r="H12" s="41"/>
      <x:c r="I12" s="41"/>
      <x:c r="J12" s="41"/>
      <x:c r="K12" s="41"/>
      <x:c r="L12" s="41"/>
      <x:c r="M12" s="41"/>
    </x:row>
    <x:row r="13" ht="15" hidden="0" customHeight="1">
      <x:c r="B13" s="44" t="str">
        <x:v>Maritime, air-mobility and medical</x:v>
      </x:c>
      <x:c r="C13" s="44" t="str">
        <x:v>research/systems/maritime-air-mobility-and-medical.md</x:v>
      </x:c>
      <x:c r="D13" s="44" t="str">
        <x:v>independent clinical blocks and complete patient pathways</x:v>
      </x:c>
      <x:c r="E13" s="44" t="str">
        <x:v>internal concept</x:v>
      </x:c>
      <x:c r="F13" s="41"/>
      <x:c r="G13" s="41"/>
      <x:c r="H13" s="41"/>
      <x:c r="I13" s="41"/>
      <x:c r="J13" s="41"/>
      <x:c r="K13" s="41"/>
      <x:c r="L13" s="41"/>
      <x:c r="M13" s="41"/>
    </x:row>
    <x:row r="14" ht="15" hidden="0" customHeight="1">
      <x:c r="B14" s="44" t="str">
        <x:v>Service-entry pod configuration</x:v>
      </x:c>
      <x:c r="C14" s="44" t="str">
        <x:v>research/force/projection/service-entry-pod-configuration.md</x:v>
      </x:c>
      <x:c r="D14" s="44" t="str">
        <x:v>complete-service identity and receiver compact</x:v>
      </x:c>
      <x:c r="E14" s="44" t="str">
        <x:v>internal research</x:v>
      </x:c>
      <x:c r="F14" s="41"/>
      <x:c r="G14" s="41"/>
      <x:c r="H14" s="41"/>
      <x:c r="I14" s="41"/>
      <x:c r="J14" s="41"/>
      <x:c r="K14" s="41"/>
      <x:c r="L14" s="41"/>
      <x:c r="M14" s="41"/>
    </x:row>
    <x:row r="15" ht="15" hidden="0" customHeight="1">
      <x:c r="B15" s="44" t="str">
        <x:v>National receiving geography</x:v>
      </x:c>
      <x:c r="C15" s="44" t="str">
        <x:v>research/force/reception/national-receiving-geography.md</x:v>
      </x:c>
      <x:c r="D15" s="44" t="str">
        <x:v>accepted destinations, accessibility and continuity</x:v>
      </x:c>
      <x:c r="E15" s="44" t="str">
        <x:v>internal research</x:v>
      </x:c>
      <x:c r="F15" s="41"/>
      <x:c r="G15" s="41"/>
      <x:c r="H15" s="41"/>
      <x:c r="I15" s="41"/>
      <x:c r="J15" s="41"/>
      <x:c r="K15" s="41"/>
      <x:c r="L15" s="41"/>
      <x:c r="M15" s="41"/>
    </x:row>
    <x:row r="16" ht="15" hidden="0" customHeight="1">
      <x:c r="B16" s="44" t="str">
        <x:v>Platform requirement register</x:v>
      </x:c>
      <x:c r="C16" s="44" t="str">
        <x:v>research/systems/platform-requirement-register.md</x:v>
      </x:c>
      <x:c r="D16" s="44" t="str">
        <x:v>medical, utility and assurance maturity</x:v>
      </x:c>
      <x:c r="E16" s="44" t="str">
        <x:v>internal register</x:v>
      </x:c>
      <x:c r="F16" s="41"/>
      <x:c r="G16" s="41"/>
      <x:c r="H16" s="41"/>
      <x:c r="I16" s="41"/>
      <x:c r="J16" s="41"/>
      <x:c r="K16" s="41"/>
      <x:c r="L16" s="41"/>
      <x:c r="M16" s="41"/>
    </x:row>
    <x:row r="17" ht="15" hidden="0" customHeight="1">
      <x:c r="B17" s="44" t="str">
        <x:v>Evidence ledger</x:v>
      </x:c>
      <x:c r="C17" s="44" t="str">
        <x:v>research/proving/assurance/evidence-ledger.md</x:v>
      </x:c>
      <x:c r="D17" s="44" t="str">
        <x:v>open clinical, utility, receiver and discharge evidence</x:v>
      </x:c>
      <x:c r="E17" s="44" t="str">
        <x:v>internal register</x:v>
      </x:c>
      <x:c r="F17" s="41"/>
      <x:c r="G17" s="41"/>
      <x:c r="H17" s="41"/>
      <x:c r="I17" s="41"/>
      <x:c r="J17" s="41"/>
      <x:c r="K17" s="41"/>
      <x:c r="L17" s="41"/>
      <x:c r="M17" s="41"/>
    </x:row>
    <x:row r="18" ht="15" hidden="0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</x:row>
    <x:row r="19" ht="15" hidden="0" customHeight="1"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</x:row>
    <x:row r="20" ht="22" hidden="0" customHeight="1">
      <x:c r="B20" s="72" t="str">
        <x:v>Definitions</x:v>
      </x:c>
      <x:c r="C20" s="72"/>
      <x:c r="D20" s="72"/>
      <x:c r="E20" s="72"/>
      <x:c r="F20" s="41"/>
      <x:c r="G20" s="41"/>
      <x:c r="H20" s="41"/>
      <x:c r="I20" s="41"/>
      <x:c r="J20" s="41"/>
      <x:c r="K20" s="41"/>
      <x:c r="L20" s="41"/>
      <x:c r="M20" s="41"/>
    </x:row>
    <x:row r="21" ht="32" hidden="0" customHeight="1">
      <x:c r="B21" s="8" t="str">
        <x:v>Term</x:v>
      </x:c>
      <x:c r="C21" s="8" t="str">
        <x:v>Meaning</x:v>
      </x:c>
      <x:c r="D21" s="8" t="str">
        <x:v>Non-substitute</x:v>
      </x:c>
      <x:c r="E21" s="41"/>
      <x:c r="F21" s="41"/>
      <x:c r="G21" s="41"/>
      <x:c r="H21" s="41"/>
      <x:c r="I21" s="41"/>
      <x:c r="J21" s="41"/>
      <x:c r="K21" s="41"/>
      <x:c r="L21" s="41"/>
      <x:c r="M21" s="41"/>
    </x:row>
    <x:row r="22" ht="15" hidden="0" customHeight="1">
      <x:c r="B22" s="41" t="str">
        <x:v>Root</x:v>
      </x:c>
      <x:c r="C22" s="41" t="str">
        <x:v>technically coherent implementation with distinct decisive ancestry</x:v>
      </x:c>
      <x:c r="D22" s="41" t="str">
        <x:v>styling variant</x:v>
      </x:c>
      <x:c r="E22" s="41"/>
      <x:c r="F22" s="41"/>
      <x:c r="G22" s="41"/>
      <x:c r="H22" s="41"/>
      <x:c r="I22" s="41"/>
      <x:c r="J22" s="41"/>
      <x:c r="K22" s="41"/>
      <x:c r="L22" s="41"/>
      <x:c r="M22" s="41"/>
    </x:row>
    <x:row r="23" ht="15" hidden="0" customHeight="1">
      <x:c r="B23" s="41" t="str">
        <x:v>Interface record</x:v>
      </x:c>
      <x:c r="C23" s="41" t="str">
        <x:v>signed physical and service crossing state</x:v>
      </x:c>
      <x:c r="D23" s="41" t="str">
        <x:v>connection indicator</x:v>
      </x:c>
      <x:c r="E23" s="41"/>
      <x:c r="F23" s="41"/>
      <x:c r="G23" s="41"/>
      <x:c r="H23" s="41"/>
      <x:c r="I23" s="41"/>
      <x:c r="J23" s="41"/>
      <x:c r="K23" s="41"/>
      <x:c r="L23" s="41"/>
      <x:c r="M23" s="41"/>
    </x:row>
    <x:row r="24" ht="15" hidden="0" customHeight="1">
      <x:c r="B24" s="41" t="str">
        <x:v>Safe state</x:v>
      </x:c>
      <x:c r="C24" s="41" t="str">
        <x:v>declared local retained service and admission action</x:v>
      </x:c>
      <x:c r="D24" s="41" t="str">
        <x:v>equipment shutdown</x:v>
      </x:c>
      <x:c r="E24" s="41"/>
      <x:c r="F24" s="41"/>
      <x:c r="G24" s="41"/>
      <x:c r="H24" s="41"/>
      <x:c r="I24" s="41"/>
      <x:c r="J24" s="41"/>
      <x:c r="K24" s="41"/>
      <x:c r="L24" s="41"/>
      <x:c r="M24" s="41"/>
    </x:row>
    <x:row r="25" ht="15" hidden="0" customHeight="1">
      <x:c r="B25" s="41" t="str">
        <x:v>Planning closure</x:v>
      </x:c>
      <x:c r="C25" s="41" t="str">
        <x:v>formula closes under disclosed assumptions</x:v>
      </x:c>
      <x:c r="D25" s="41" t="str">
        <x:v>representative evidence</x:v>
      </x:c>
      <x:c r="E25" s="41"/>
      <x:c r="F25" s="41"/>
      <x:c r="G25" s="41"/>
      <x:c r="H25" s="41"/>
      <x:c r="I25" s="41"/>
      <x:c r="J25" s="41"/>
      <x:c r="K25" s="41"/>
      <x:c r="L25" s="41"/>
      <x:c r="M25" s="41"/>
    </x:row>
    <x:row r="26" ht="15" hidden="0" customHeight="1">
      <x:c r="B26" s="41" t="str">
        <x:v>Admission</x:v>
      </x:c>
      <x:c r="C26" s="41" t="str">
        <x:v>independent authority accepts evidence into the force ledger</x:v>
      </x:c>
      <x:c r="D26" s="41" t="str">
        <x:v>audit pass</x:v>
      </x:c>
      <x:c r="E26" s="41"/>
      <x:c r="F26" s="41"/>
      <x:c r="G26" s="41"/>
      <x:c r="H26" s="41"/>
      <x:c r="I26" s="41"/>
      <x:c r="J26" s="41"/>
      <x:c r="K26" s="41"/>
      <x:c r="L26" s="41"/>
      <x:c r="M26" s="41"/>
    </x:row>
    <x:row r="27" ht="15" hidden="0" customHeight="1"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</x:row>
    <x:row r="28" ht="15" hidden="0" customHeight="1"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</x:row>
    <x:row r="29" ht="22" hidden="0" customHeight="1">
      <x:c r="B29" s="72" t="str">
        <x:v>Next object</x:v>
      </x:c>
      <x:c r="C29" s="72"/>
      <x:c r="D29" s="72"/>
      <x:c r="E29" s="72"/>
      <x:c r="F29" s="41"/>
      <x:c r="G29" s="41"/>
      <x:c r="H29" s="41"/>
      <x:c r="I29" s="41"/>
      <x:c r="J29" s="41"/>
      <x:c r="K29" s="41"/>
      <x:c r="L29" s="41"/>
      <x:c r="M29" s="41"/>
    </x:row>
    <x:row r="30" ht="15" hidden="0" customHeight="1">
      <x:c r="B30" s="41" t="str">
        <x:v>RCC-1 — CSI-25 Root A/Root B Serial Interface-Control Drawing, Tranche Manifest and First Development-Build Dossier Constitution.</x:v>
      </x:c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</x:row>
    <x:row r="31" ht="15" hidden="0" customHeight="1">
      <x:c r="B31" s="41" t="str">
        <x:v>Exterior rendering remains blocked. The next useful geometry is serial interface and packaged-state drawing work.</x:v>
      </x:c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</x:row>
    <x:row r="32" ht="15" hidden="0" customHeight="1">
      <x:c r="B32" s="41" t="str">
        <x:v>No national quantity, carrier, hospital or procurement action is authorized.</x:v>
      </x:c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</x:row>
  </x:sheetData>
  <x:mergeCells>
    <x:mergeCell ref="B2:M2"/>
    <x:mergeCell ref="B3:M3"/>
    <x:mergeCell ref="B20:E20"/>
    <x:mergeCell ref="B29:E29"/>
    <x:mergeCell ref="B30:E30"/>
    <x:mergeCell ref="B31:E31"/>
    <x:mergeCell ref="B32:E32"/>
  </x:mergeCells>
  <x:pageMargins left="0.7" right="0.7" top="0.75" bottom="0.75" header="0.3" footer="0.3"/>
</x:worksheet>
</file>