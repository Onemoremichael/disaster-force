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0f35f0411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6e141baf0b406f"/>
    <x:sheet xmlns:r="http://schemas.openxmlformats.org/officeDocument/2006/relationships" name="Controls" sheetId="2" r:id="R92e223b3b65148da"/>
    <x:sheet xmlns:r="http://schemas.openxmlformats.org/officeDocument/2006/relationships" name="Stage Matrix" sheetId="3" r:id="Ref69a7c527954df9"/>
    <x:sheet xmlns:r="http://schemas.openxmlformats.org/officeDocument/2006/relationships" name="Event Archetypes" sheetId="4" r:id="R0ce8a0bac1f846ff"/>
    <x:sheet xmlns:r="http://schemas.openxmlformats.org/officeDocument/2006/relationships" name="Event Register" sheetId="5" r:id="R25e4ef076660480e"/>
    <x:sheet xmlns:r="http://schemas.openxmlformats.org/officeDocument/2006/relationships" name="Pairing Ledger" sheetId="6" r:id="R75c4d288e7bc40ee"/>
    <x:sheet xmlns:r="http://schemas.openxmlformats.org/officeDocument/2006/relationships" name="Reserve Ledger" sheetId="7" r:id="R7d2c4bc00f394fd6"/>
    <x:sheet xmlns:r="http://schemas.openxmlformats.org/officeDocument/2006/relationships" name="Initial Conditions" sheetId="8" r:id="R19507458acd14a84"/>
    <x:sheet xmlns:r="http://schemas.openxmlformats.org/officeDocument/2006/relationships" name="Timeline" sheetId="9" r:id="Rfc775755f6bd48d6"/>
    <x:sheet xmlns:r="http://schemas.openxmlformats.org/officeDocument/2006/relationships" name="Readiness Holds" sheetId="10" r:id="R37a80e3604484904"/>
    <x:sheet xmlns:r="http://schemas.openxmlformats.org/officeDocument/2006/relationships" name="Command Script" sheetId="11" r:id="Rbc902f79db8f42ed"/>
    <x:sheet xmlns:r="http://schemas.openxmlformats.org/officeDocument/2006/relationships" name="Abort Logic" sheetId="12" r:id="R56efb634bdb94cd4"/>
    <x:sheet xmlns:r="http://schemas.openxmlformats.org/officeDocument/2006/relationships" name="Public Interventions" sheetId="13" r:id="R9322beb05e8e44ef"/>
    <x:sheet xmlns:r="http://schemas.openxmlformats.org/officeDocument/2006/relationships" name="Safety Actions" sheetId="14" r:id="R533e1675887043cd"/>
    <x:sheet xmlns:r="http://schemas.openxmlformats.org/officeDocument/2006/relationships" name="Measurement Criteria" sheetId="15" r:id="R8cad1c281c70427c"/>
    <x:sheet xmlns:r="http://schemas.openxmlformats.org/officeDocument/2006/relationships" name="Validity Taxonomy" sheetId="16" r:id="R18729edc0b1447a9"/>
    <x:sheet xmlns:r="http://schemas.openxmlformats.org/officeDocument/2006/relationships" name="Outcome Rules" sheetId="17" r:id="Rb459f187f4b840a9"/>
    <x:sheet xmlns:r="http://schemas.openxmlformats.org/officeDocument/2006/relationships" name="Pair Disposition" sheetId="18" r:id="R85b1f137ee894ab9"/>
    <x:sheet xmlns:r="http://schemas.openxmlformats.org/officeDocument/2006/relationships" name="Recovery States" sheetId="19" r:id="R75a0777247d84625"/>
    <x:sheet xmlns:r="http://schemas.openxmlformats.org/officeDocument/2006/relationships" name="Reset Clocks" sheetId="20" r:id="Rbd5b65e5a0ab47bf"/>
    <x:sheet xmlns:r="http://schemas.openxmlformats.org/officeDocument/2006/relationships" name="Cross Site Replay" sheetId="21" r:id="R2cc36f3cec7e49e5"/>
    <x:sheet xmlns:r="http://schemas.openxmlformats.org/officeDocument/2006/relationships" name="Source Ledger" sheetId="22" r:id="Ra400257c92af4628"/>
    <x:sheet xmlns:r="http://schemas.openxmlformats.org/officeDocument/2006/relationships" name="Water Ledger" sheetId="23" r:id="Re13ba2268995423b"/>
    <x:sheet xmlns:r="http://schemas.openxmlformats.org/officeDocument/2006/relationships" name="Mass Closure" sheetId="24" r:id="R671983db57cd414d"/>
    <x:sheet xmlns:r="http://schemas.openxmlformats.org/officeDocument/2006/relationships" name="Uncertainty" sheetId="25" r:id="R4f1a722f459b4538"/>
    <x:sheet xmlns:r="http://schemas.openxmlformats.org/officeDocument/2006/relationships" name="Data Volume" sheetId="26" r:id="R512a56d5ed104e9c"/>
    <x:sheet xmlns:r="http://schemas.openxmlformats.org/officeDocument/2006/relationships" name="Rig Capacity" sheetId="27" r:id="R53ef8eefe9f94ae4"/>
    <x:sheet xmlns:r="http://schemas.openxmlformats.org/officeDocument/2006/relationships" name="Schedule" sheetId="28" r:id="Rede2e4d3b3da4869"/>
    <x:sheet xmlns:r="http://schemas.openxmlformats.org/officeDocument/2006/relationships" name="Workforce" sheetId="29" r:id="R8319318e168749eb"/>
    <x:sheet xmlns:r="http://schemas.openxmlformats.org/officeDocument/2006/relationships" name="Capital" sheetId="30" r:id="Rd1d41ccff0aa43b1"/>
    <x:sheet xmlns:r="http://schemas.openxmlformats.org/officeDocument/2006/relationships" name="Annual Support" sheetId="31" r:id="R68f208d3e7174012"/>
    <x:sheet xmlns:r="http://schemas.openxmlformats.org/officeDocument/2006/relationships" name="Portfolio Boundary" sheetId="32" r:id="Rd78905e1cd194f20"/>
    <x:sheet xmlns:r="http://schemas.openxmlformats.org/officeDocument/2006/relationships" name="Release Gates" sheetId="33" r:id="R3f4dd9292b914ffd"/>
    <x:sheet xmlns:r="http://schemas.openxmlformats.org/officeDocument/2006/relationships" name="Audit" sheetId="34" r:id="Reccdab87c2ec45b0"/>
    <x:sheet xmlns:r="http://schemas.openxmlformats.org/officeDocument/2006/relationships" name="Authority" sheetId="35" r:id="R8769a258f5e34daf"/>
    <x:sheet xmlns:r="http://schemas.openxmlformats.org/officeDocument/2006/relationships" name="ReadMe" sheetId="36" r:id="R741f980fd4b2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"/>
  </x:numFmts>
  <x:fonts count="6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17365D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4" fillId="3" borderId="0" xfId="0" applyNumberFormat="1" applyFont="1" applyFill="1" applyBorder="1"/>
    <x:xf numFmtId="200" fontId="0" fillId="0" borderId="0" xfId="0" applyNumberFormat="1" applyFont="1" applyFill="1" applyBorder="1"/>
    <x:xf numFmtId="200" fontId="5" fillId="4" borderId="0" xfId="0" applyNumberFormat="1" applyFont="1" applyFill="1" applyBorder="1"/>
  </x:cellXfs>
  <x:cellStyles count="1">
    <x:cellStyle name="Normal" xfId="0"/>
  </x:cellStyles>
  <x:dxfs count="105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420dedb6448b3" /><Relationship Type="http://schemas.openxmlformats.org/officeDocument/2006/relationships/theme" Target="/xl/theme/theme1.xml" Id="Rf0a9d315a6224173" /><Relationship Type="http://schemas.openxmlformats.org/officeDocument/2006/relationships/sharedStrings" Target="/xl/sharedStrings.xml" Id="Ree330f2f1c304940" /><Relationship Type="http://schemas.openxmlformats.org/officeDocument/2006/relationships/worksheet" Target="/xl/worksheets/sheet1.xml" Id="R876e141baf0b406f" /><Relationship Type="http://schemas.openxmlformats.org/officeDocument/2006/relationships/worksheet" Target="/xl/worksheets/sheet2.xml" Id="R92e223b3b65148da" /><Relationship Type="http://schemas.openxmlformats.org/officeDocument/2006/relationships/worksheet" Target="/xl/worksheets/sheet3.xml" Id="Ref69a7c527954df9" /><Relationship Type="http://schemas.openxmlformats.org/officeDocument/2006/relationships/worksheet" Target="/xl/worksheets/sheet4.xml" Id="R0ce8a0bac1f846ff" /><Relationship Type="http://schemas.openxmlformats.org/officeDocument/2006/relationships/worksheet" Target="/xl/worksheets/sheet5.xml" Id="R25e4ef076660480e" /><Relationship Type="http://schemas.openxmlformats.org/officeDocument/2006/relationships/worksheet" Target="/xl/worksheets/sheet6.xml" Id="R75c4d288e7bc40ee" /><Relationship Type="http://schemas.openxmlformats.org/officeDocument/2006/relationships/worksheet" Target="/xl/worksheets/sheet7.xml" Id="R7d2c4bc00f394fd6" /><Relationship Type="http://schemas.openxmlformats.org/officeDocument/2006/relationships/worksheet" Target="/xl/worksheets/sheet8.xml" Id="R19507458acd14a84" /><Relationship Type="http://schemas.openxmlformats.org/officeDocument/2006/relationships/worksheet" Target="/xl/worksheets/sheet9.xml" Id="Rfc775755f6bd48d6" /><Relationship Type="http://schemas.openxmlformats.org/officeDocument/2006/relationships/worksheet" Target="/xl/worksheets/sheet10.xml" Id="R37a80e3604484904" /><Relationship Type="http://schemas.openxmlformats.org/officeDocument/2006/relationships/worksheet" Target="/xl/worksheets/sheet11.xml" Id="Rbc902f79db8f42ed" /><Relationship Type="http://schemas.openxmlformats.org/officeDocument/2006/relationships/worksheet" Target="/xl/worksheets/sheet12.xml" Id="R56efb634bdb94cd4" /><Relationship Type="http://schemas.openxmlformats.org/officeDocument/2006/relationships/worksheet" Target="/xl/worksheets/sheet13.xml" Id="R9322beb05e8e44ef" /><Relationship Type="http://schemas.openxmlformats.org/officeDocument/2006/relationships/worksheet" Target="/xl/worksheets/sheet14.xml" Id="R533e1675887043cd" /><Relationship Type="http://schemas.openxmlformats.org/officeDocument/2006/relationships/worksheet" Target="/xl/worksheets/sheet15.xml" Id="R8cad1c281c70427c" /><Relationship Type="http://schemas.openxmlformats.org/officeDocument/2006/relationships/worksheet" Target="/xl/worksheets/sheet16.xml" Id="R18729edc0b1447a9" /><Relationship Type="http://schemas.openxmlformats.org/officeDocument/2006/relationships/worksheet" Target="/xl/worksheets/sheet17.xml" Id="Rb459f187f4b840a9" /><Relationship Type="http://schemas.openxmlformats.org/officeDocument/2006/relationships/worksheet" Target="/xl/worksheets/sheet18.xml" Id="R85b1f137ee894ab9" /><Relationship Type="http://schemas.openxmlformats.org/officeDocument/2006/relationships/worksheet" Target="/xl/worksheets/sheet19.xml" Id="R75a0777247d84625" /><Relationship Type="http://schemas.openxmlformats.org/officeDocument/2006/relationships/worksheet" Target="/xl/worksheets/sheet20.xml" Id="Rbd5b65e5a0ab47bf" /><Relationship Type="http://schemas.openxmlformats.org/officeDocument/2006/relationships/worksheet" Target="/xl/worksheets/sheet21.xml" Id="R2cc36f3cec7e49e5" /><Relationship Type="http://schemas.openxmlformats.org/officeDocument/2006/relationships/worksheet" Target="/xl/worksheets/sheet22.xml" Id="Ra400257c92af4628" /><Relationship Type="http://schemas.openxmlformats.org/officeDocument/2006/relationships/worksheet" Target="/xl/worksheets/sheet23.xml" Id="Re13ba2268995423b" /><Relationship Type="http://schemas.openxmlformats.org/officeDocument/2006/relationships/worksheet" Target="/xl/worksheets/sheet24.xml" Id="R671983db57cd414d" /><Relationship Type="http://schemas.openxmlformats.org/officeDocument/2006/relationships/worksheet" Target="/xl/worksheets/sheet25.xml" Id="R4f1a722f459b4538" /><Relationship Type="http://schemas.openxmlformats.org/officeDocument/2006/relationships/worksheet" Target="/xl/worksheets/sheet26.xml" Id="R512a56d5ed104e9c" /><Relationship Type="http://schemas.openxmlformats.org/officeDocument/2006/relationships/worksheet" Target="/xl/worksheets/sheet27.xml" Id="R53ef8eefe9f94ae4" /><Relationship Type="http://schemas.openxmlformats.org/officeDocument/2006/relationships/worksheet" Target="/xl/worksheets/sheet28.xml" Id="Rede2e4d3b3da4869" /><Relationship Type="http://schemas.openxmlformats.org/officeDocument/2006/relationships/worksheet" Target="/xl/worksheets/sheet29.xml" Id="R8319318e168749eb" /><Relationship Type="http://schemas.openxmlformats.org/officeDocument/2006/relationships/worksheet" Target="/xl/worksheets/sheet30.xml" Id="Rd1d41ccff0aa43b1" /><Relationship Type="http://schemas.openxmlformats.org/officeDocument/2006/relationships/worksheet" Target="/xl/worksheets/sheet31.xml" Id="R68f208d3e7174012" /><Relationship Type="http://schemas.openxmlformats.org/officeDocument/2006/relationships/worksheet" Target="/xl/worksheets/sheet32.xml" Id="Rd78905e1cd194f20" /><Relationship Type="http://schemas.openxmlformats.org/officeDocument/2006/relationships/worksheet" Target="/xl/worksheets/sheet33.xml" Id="R3f4dd9292b914ffd" /><Relationship Type="http://schemas.openxmlformats.org/officeDocument/2006/relationships/worksheet" Target="/xl/worksheets/sheet34.xml" Id="Reccdab87c2ec45b0" /><Relationship Type="http://schemas.openxmlformats.org/officeDocument/2006/relationships/worksheet" Target="/xl/worksheets/sheet35.xml" Id="R8769a258f5e34daf" /><Relationship Type="http://schemas.openxmlformats.org/officeDocument/2006/relationships/worksheet" Target="/xl/worksheets/sheet36.xml" Id="R741f980fd4b24a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42" hidden="0" customWidth="1"/>
    <x:col min="3" max="3" width="18" hidden="0" customWidth="1"/>
    <x:col min="4" max="4" width="18" hidden="0" customWidth="1"/>
    <x:col min="5" max="5" width="4" hidden="0" customWidth="1"/>
    <x:col min="6" max="6" width="40" hidden="0" customWidth="1"/>
    <x:col min="7" max="7" width="22" hidden="0" customWidth="1"/>
    <x:col min="8" max="8" width="18" hidden="0" customWidth="1"/>
  </x:cols>
  <x:sheetData>
    <x:row r="2">
      <x:c r="B2" s="1" t="str">
        <x:v>RFE-1 Root A fire/hydraulic execution and source escalation</x:v>
      </x:c>
    </x:row>
    <x:row r="3">
      <x:c r="B3" s="2" t="str">
        <x:v>An immutable 306-event public campaign separates candidate performance, public protection, validity and recovery.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Execution architecture</x:v>
      </x:c>
      <x:c r="C6" s="7" t="str">
        <x:v>Value</x:v>
      </x:c>
      <x:c r="D6" s="7" t="str">
        <x:v>Unit</x:v>
      </x:c>
      <x:c r="F6" s="7" t="str">
        <x:v>Institution and release state</x:v>
      </x:c>
      <x:c r="G6" s="7" t="str">
        <x:v>Value</x:v>
      </x:c>
      <x:c r="H6" s="7" t="str">
        <x:v>Unit</x:v>
      </x:c>
    </x:row>
    <x:row r="7">
      <x:c r="B7" t="str">
        <x:v>base events</x:v>
      </x:c>
      <x:c r="C7" t="n">
        <x:v>306</x:v>
      </x:c>
      <x:c r="D7" t="str">
        <x:v>events</x:v>
      </x:c>
      <x:c r="F7" t="str">
        <x:v>workforce</x:v>
      </x:c>
      <x:c r="G7" t="n">
        <x:f>Workforce!C18</x:f>
        <x:v>584</x:v>
      </x:c>
      <x:c r="H7" t="str">
        <x:v>positions</x:v>
      </x:c>
    </x:row>
    <x:row r="8">
      <x:c r="B8" t="str">
        <x:v>matched pairs</x:v>
      </x:c>
      <x:c r="C8" t="n">
        <x:v>96</x:v>
      </x:c>
      <x:c r="D8" t="str">
        <x:v>pairs</x:v>
      </x:c>
      <x:c r="F8" t="str">
        <x:v>capital</x:v>
      </x:c>
      <x:c r="G8" t="n">
        <x:f>Capital!C20</x:f>
        <x:v>420</x:v>
      </x:c>
      <x:c r="H8" t="str">
        <x:v>USD M</x:v>
      </x:c>
    </x:row>
    <x:row r="9">
      <x:c r="B9" t="str">
        <x:v>invalid-attempt reserve</x:v>
      </x:c>
      <x:c r="C9" t="n">
        <x:v>66</x:v>
      </x:c>
      <x:c r="D9" t="str">
        <x:v>tokens</x:v>
      </x:c>
      <x:c r="F9" t="str">
        <x:v>annual support</x:v>
      </x:c>
      <x:c r="G9" t="n">
        <x:f>'Annual Support'!C18</x:f>
        <x:v>228</x:v>
      </x:c>
      <x:c r="H9" t="str">
        <x:v>USD M/year</x:v>
      </x:c>
    </x:row>
    <x:row r="10">
      <x:c r="B10" t="str">
        <x:v>base source</x:v>
      </x:c>
      <x:c r="C10" t="n">
        <x:v>294</x:v>
      </x:c>
      <x:c r="D10" t="str">
        <x:v>tonnes</x:v>
      </x:c>
      <x:c r="F10" t="str">
        <x:v>program exposure</x:v>
      </x:c>
      <x:c r="G10" t="n">
        <x:f>'Portfolio Boundary'!C22</x:f>
        <x:v>1332</x:v>
      </x:c>
      <x:c r="H10" t="str">
        <x:v>USD M</x:v>
      </x:c>
    </x:row>
    <x:row r="11">
      <x:c r="B11" t="str">
        <x:v>reserve source</x:v>
      </x:c>
      <x:c r="C11" t="n">
        <x:v>74</x:v>
      </x:c>
      <x:c r="D11" t="str">
        <x:v>tonnes</x:v>
      </x:c>
      <x:c r="F11" t="str">
        <x:v>net-new capital</x:v>
      </x:c>
      <x:c r="G11" t="n">
        <x:f>'Portfolio Boundary'!C9</x:f>
        <x:v>50</x:v>
      </x:c>
      <x:c r="H11" t="str">
        <x:v>USD M</x:v>
      </x:c>
    </x:row>
    <x:row r="12">
      <x:c r="B12" t="str">
        <x:v>base rig-days</x:v>
      </x:c>
      <x:c r="C12" t="n">
        <x:v>2064</x:v>
      </x:c>
      <x:c r="D12" t="str">
        <x:v>days</x:v>
      </x:c>
      <x:c r="F12" t="str">
        <x:v>net-new annual</x:v>
      </x:c>
      <x:c r="G12" t="n">
        <x:f>'Portfolio Boundary'!D9</x:f>
        <x:v>44</x:v>
      </x:c>
      <x:c r="H12" t="str">
        <x:v>USD M/year</x:v>
      </x:c>
    </x:row>
    <x:row r="13">
      <x:c r="B13" t="str">
        <x:v>reserve rig-days</x:v>
      </x:c>
      <x:c r="C13" t="n">
        <x:v>495</x:v>
      </x:c>
      <x:c r="D13" t="str">
        <x:v>days</x:v>
      </x:c>
      <x:c r="F13" t="str">
        <x:v>BRD-11R capital</x:v>
      </x:c>
      <x:c r="G13" t="n">
        <x:f>'Portfolio Boundary'!C17</x:f>
        <x:v>2325</x:v>
      </x:c>
      <x:c r="H13" t="str">
        <x:v>USD M</x:v>
      </x:c>
    </x:row>
    <x:row r="14">
      <x:c r="B14" t="str">
        <x:v>public measurement channels</x:v>
      </x:c>
      <x:c r="C14" t="n">
        <x:v>576</x:v>
      </x:c>
      <x:c r="D14" t="str">
        <x:v>per rig</x:v>
      </x:c>
      <x:c r="F14" t="str">
        <x:v>BRD-11R annual</x:v>
      </x:c>
      <x:c r="G14" t="n">
        <x:f>'Portfolio Boundary'!D17</x:f>
        <x:v>414</x:v>
      </x:c>
      <x:c r="H14" t="str">
        <x:v>USD M/year</x:v>
      </x:c>
    </x:row>
    <x:row r="15">
      <x:c r="B15" t="str">
        <x:v>program duration</x:v>
      </x:c>
      <x:c r="C15" t="n">
        <x:v>48</x:v>
      </x:c>
      <x:c r="D15" t="str">
        <x:v>months</x:v>
      </x:c>
      <x:c r="F15" t="str">
        <x:v>planning gates</x:v>
      </x:c>
      <x:c r="G15" t="n">
        <x:f>'Release Gates'!K2</x:f>
        <x:v>775</x:v>
      </x:c>
      <x:c r="H15" t="str">
        <x:v>PASS</x:v>
      </x:c>
    </x:row>
    <x:row r="16">
      <x:c r="F16" t="str">
        <x:v>physical gates</x:v>
      </x:c>
      <x:c r="G16" t="n">
        <x:f>'Release Gates'!K3</x:f>
        <x:v>1411</x:v>
      </x:c>
      <x:c r="H16" t="str">
        <x:v>OPEN</x:v>
      </x:c>
    </x:row>
    <x:row r="17">
      <x:c r="F17" t="str">
        <x:v>downstream gates</x:v>
      </x:c>
      <x:c r="G17" t="n">
        <x:f>'Release Gates'!K4</x:f>
        <x:v>9</x:v>
      </x:c>
      <x:c r="H17" t="str">
        <x:v>BLOCKED</x:v>
      </x:c>
    </x:row>
    <x:row r="18">
      <x:c r="F18" t="str">
        <x:v>audit observers</x:v>
      </x:c>
      <x:c r="G18" t="n">
        <x:f>COUNTA(Audit!B7:B3000)</x:f>
        <x:v>2221</x:v>
      </x:c>
      <x:c r="H18" t="str">
        <x:v>PASS</x:v>
      </x:c>
    </x:row>
    <x:row r="21">
      <x:c r="B21" s="11" t="str">
        <x:v>Governing interpretation</x:v>
      </x:c>
      <x:c r="C21" s="11"/>
      <x:c r="D21" s="11"/>
      <x:c r="E21" s="11"/>
      <x:c r="F21" s="11"/>
      <x:c r="G21" s="11"/>
      <x:c r="H21" s="11"/>
    </x:row>
    <x:row r="22" ht="37" customHeight="1">
      <x:c r="B22" s="12" t="str">
        <x:v>The 306-event denominator is immutable: sixty safe development, twelve quarter-source development, ninety-six quarter paired, ninety-six full paired, twenty-four destructive, twelve reset and six cross-site events.</x:v>
      </x:c>
      <x:c r="C22"/>
      <x:c r="D22"/>
      <x:c r="E22"/>
      <x:c r="F22"/>
      <x:c r="G22"/>
      <x:c r="H22"/>
    </x:row>
    <x:row r="23" ht="37" customHeight="1">
      <x:c r="B23" s="12" t="str">
        <x:v>Pass 125 corrects the source budget by assigning one unignited and one ignited quarter-source development anchor to every root. Base source becomes 294 tonnes rather than the earlier 288-tonne event-only view.</x:v>
      </x:c>
      <x:c r="C23"/>
      <x:c r="D23"/>
      <x:c r="E23"/>
      <x:c r="F23"/>
      <x:c r="G23"/>
      <x:c r="H23"/>
    </x:row>
    <x:row r="24" ht="37" customHeight="1">
      <x:c r="B24" s="12" t="str">
        <x:v>Sixty-six dormant reserve tokens replace invalid attempts only. A valid adverse event and every public intervention remain in the record.</x:v>
      </x:c>
      <x:c r="C24"/>
      <x:c r="D24"/>
      <x:c r="E24"/>
      <x:c r="F24"/>
      <x:c r="G24"/>
      <x:c r="H24"/>
    </x:row>
    <x:row r="25" ht="37" customHeight="1">
      <x:c r="B25" s="12" t="str">
        <x:v>A common twenty-four-phase clock separates source release, ignition opportunity, candidate water, public safeing, casualty action, evidence freeze and recovery.</x:v>
      </x:c>
      <x:c r="C25"/>
      <x:c r="D25"/>
      <x:c r="E25"/>
      <x:c r="F25"/>
      <x:c r="G25"/>
      <x:c r="H25"/>
    </x:row>
    <x:row r="26" ht="37" customHeight="1">
      <x:c r="B26" s="12" t="str">
        <x:v>Exact site roles create unequal rig loads: PTC-A concentrates destructive work while PTC-B/C carry paired replication. The earlier 51-event-per-rig value was a storage average.</x:v>
      </x:c>
      <x:c r="C26"/>
      <x:c r="D26"/>
      <x:c r="E26"/>
      <x:c r="F26"/>
      <x:c r="G26"/>
      <x:c r="H26"/>
    </x:row>
    <x:row r="27" ht="37" customHeight="1">
      <x:c r="B27" s="12" t="str">
        <x:v>RFE-1 requires 584 positions, USD 420 million capital and USD 228 million per year. Net-new gross requirement is USD 50 million and USD 44 million per year.</x:v>
      </x:c>
      <x:c r="C27"/>
      <x:c r="D27"/>
      <x:c r="E27"/>
      <x:c r="F27"/>
      <x:c r="G27"/>
      <x:c r="H27"/>
    </x:row>
    <x:row r="28" ht="37" customHeight="1">
      <x:c r="B28" s="12" t="str">
        <x:v>All 1,411 physical gates remain open and nine downstream authorities remain blocked. Exterior rendering remains excluded.</x:v>
      </x:c>
      <x:c r="C28"/>
      <x:c r="D28"/>
      <x:c r="E28"/>
      <x:c r="F28"/>
      <x:c r="G28"/>
      <x:c r="H28"/>
    </x:row>
  </x:sheetData>
  <x:mergeCells>
    <x:mergeCell ref="B22:H22"/>
    <x:mergeCell ref="B23:H23"/>
    <x:mergeCell ref="B24:H24"/>
    <x:mergeCell ref="B25:H25"/>
    <x:mergeCell ref="B26:H26"/>
    <x:mergeCell ref="B27:H27"/>
    <x:mergeCell ref="B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8A9D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44" hidden="0" customWidth="1"/>
    <x:col min="4" max="4" width="18" hidden="0" customWidth="1"/>
    <x:col min="5" max="5" width="22" hidden="0" customWidth="1"/>
    <x:col min="6" max="6" width="16" hidden="0" customWidth="1"/>
    <x:col min="7" max="7" width="20" hidden="0" customWidth="1"/>
  </x:cols>
  <x:sheetData>
    <x:row r="2">
      <x:c r="B2" s="1" t="str">
        <x:v>RFE-1 controls</x:v>
      </x:c>
    </x:row>
    <x:row r="3">
      <x:c r="B3" s="2" t="str">
        <x:v>Blue values are editable planning hypotheses. Physical observations and downstream authorities begin at zero.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Class</x:v>
      </x:c>
      <x:c r="G6" s="7" t="str">
        <x:v>Internal authority</x:v>
      </x:c>
    </x:row>
    <x:row r="7">
      <x:c r="B7" t="str">
        <x:v>C01</x:v>
      </x:c>
      <x:c r="C7" t="str">
        <x:v>candidate architectures</x:v>
      </x:c>
      <x:c r="D7" s="13" t="n">
        <x:v>3</x:v>
      </x:c>
      <x:c r="E7" t="str">
        <x:v>count</x:v>
      </x:c>
      <x:c r="F7" t="str">
        <x:v>inherited</x:v>
      </x:c>
      <x:c r="G7" t="str">
        <x:v>RFA-1</x:v>
      </x:c>
    </x:row>
    <x:row r="8">
      <x:c r="B8" t="str">
        <x:v>C02</x:v>
      </x:c>
      <x:c r="C8" t="str">
        <x:v>builder roots</x:v>
      </x:c>
      <x:c r="D8" s="13" t="n">
        <x:v>6</x:v>
      </x:c>
      <x:c r="E8" t="str">
        <x:v>count</x:v>
      </x:c>
      <x:c r="F8" t="str">
        <x:v>inherited</x:v>
      </x:c>
      <x:c r="G8" t="str">
        <x:v>RFA-1</x:v>
      </x:c>
    </x:row>
    <x:row r="9">
      <x:c r="B9" t="str">
        <x:v>C03</x:v>
      </x:c>
      <x:c r="C9" t="str">
        <x:v>public rigs</x:v>
      </x:c>
      <x:c r="D9" s="13" t="n">
        <x:v>6</x:v>
      </x:c>
      <x:c r="E9" t="str">
        <x:v>count</x:v>
      </x:c>
      <x:c r="F9" t="str">
        <x:v>inherited</x:v>
      </x:c>
      <x:c r="G9" t="str">
        <x:v>RFP-1</x:v>
      </x:c>
    </x:row>
    <x:row r="10">
      <x:c r="B10" t="str">
        <x:v>C04</x:v>
      </x:c>
      <x:c r="C10" t="str">
        <x:v>base events</x:v>
      </x:c>
      <x:c r="D10" s="13" t="n">
        <x:v>306</x:v>
      </x:c>
      <x:c r="E10" t="str">
        <x:v>events</x:v>
      </x:c>
      <x:c r="F10" t="str">
        <x:v>inherited</x:v>
      </x:c>
      <x:c r="G10" t="str">
        <x:v>RFA-1</x:v>
      </x:c>
    </x:row>
    <x:row r="11">
      <x:c r="B11" t="str">
        <x:v>C05</x:v>
      </x:c>
      <x:c r="C11" t="str">
        <x:v>matched pairs</x:v>
      </x:c>
      <x:c r="D11" s="13" t="n">
        <x:v>96</x:v>
      </x:c>
      <x:c r="E11" t="str">
        <x:v>pairs</x:v>
      </x:c>
      <x:c r="F11" t="str">
        <x:v>inherited</x:v>
      </x:c>
      <x:c r="G11" t="str">
        <x:v>RFA-1</x:v>
      </x:c>
    </x:row>
    <x:row r="12">
      <x:c r="B12" t="str">
        <x:v>C06</x:v>
      </x:c>
      <x:c r="C12" t="str">
        <x:v>safe development events</x:v>
      </x:c>
      <x:c r="D12" s="13" t="n">
        <x:v>60</x:v>
      </x:c>
      <x:c r="E12" t="str">
        <x:v>events</x:v>
      </x:c>
      <x:c r="F12" t="str">
        <x:v>design</x:v>
      </x:c>
      <x:c r="G12" t="str">
        <x:v>RFE-1</x:v>
      </x:c>
    </x:row>
    <x:row r="13">
      <x:c r="B13" t="str">
        <x:v>C07</x:v>
      </x:c>
      <x:c r="C13" t="str">
        <x:v>quarter-source development events</x:v>
      </x:c>
      <x:c r="D13" s="13" t="n">
        <x:v>12</x:v>
      </x:c>
      <x:c r="E13" t="str">
        <x:v>events</x:v>
      </x:c>
      <x:c r="F13" t="str">
        <x:v>design</x:v>
      </x:c>
      <x:c r="G13" t="str">
        <x:v>RFE-1</x:v>
      </x:c>
    </x:row>
    <x:row r="14">
      <x:c r="B14" t="str">
        <x:v>C08</x:v>
      </x:c>
      <x:c r="C14" t="str">
        <x:v>quarter paired events</x:v>
      </x:c>
      <x:c r="D14" s="13" t="n">
        <x:v>96</x:v>
      </x:c>
      <x:c r="E14" t="str">
        <x:v>events</x:v>
      </x:c>
      <x:c r="F14" t="str">
        <x:v>inherited</x:v>
      </x:c>
      <x:c r="G14" t="str">
        <x:v>RFA-1</x:v>
      </x:c>
    </x:row>
    <x:row r="15">
      <x:c r="B15" t="str">
        <x:v>C09</x:v>
      </x:c>
      <x:c r="C15" t="str">
        <x:v>full paired events</x:v>
      </x:c>
      <x:c r="D15" s="13" t="n">
        <x:v>96</x:v>
      </x:c>
      <x:c r="E15" t="str">
        <x:v>events</x:v>
      </x:c>
      <x:c r="F15" t="str">
        <x:v>inherited</x:v>
      </x:c>
      <x:c r="G15" t="str">
        <x:v>RFA-1</x:v>
      </x:c>
    </x:row>
    <x:row r="16">
      <x:c r="B16" t="str">
        <x:v>C10</x:v>
      </x:c>
      <x:c r="C16" t="str">
        <x:v>destructive events</x:v>
      </x:c>
      <x:c r="D16" s="13" t="n">
        <x:v>24</x:v>
      </x:c>
      <x:c r="E16" t="str">
        <x:v>events</x:v>
      </x:c>
      <x:c r="F16" t="str">
        <x:v>inherited</x:v>
      </x:c>
      <x:c r="G16" t="str">
        <x:v>RFA-1</x:v>
      </x:c>
    </x:row>
    <x:row r="17">
      <x:c r="B17" t="str">
        <x:v>C11</x:v>
      </x:c>
      <x:c r="C17" t="str">
        <x:v>reset events</x:v>
      </x:c>
      <x:c r="D17" s="13" t="n">
        <x:v>12</x:v>
      </x:c>
      <x:c r="E17" t="str">
        <x:v>events</x:v>
      </x:c>
      <x:c r="F17" t="str">
        <x:v>inherited</x:v>
      </x:c>
      <x:c r="G17" t="str">
        <x:v>RFA-1</x:v>
      </x:c>
    </x:row>
    <x:row r="18">
      <x:c r="B18" t="str">
        <x:v>C12</x:v>
      </x:c>
      <x:c r="C18" t="str">
        <x:v>cross-site replays</x:v>
      </x:c>
      <x:c r="D18" s="13" t="n">
        <x:v>6</x:v>
      </x:c>
      <x:c r="E18" t="str">
        <x:v>events</x:v>
      </x:c>
      <x:c r="F18" t="str">
        <x:v>inherited</x:v>
      </x:c>
      <x:c r="G18" t="str">
        <x:v>RFA-1</x:v>
      </x:c>
    </x:row>
    <x:row r="19">
      <x:c r="B19" t="str">
        <x:v>C13</x:v>
      </x:c>
      <x:c r="C19" t="str">
        <x:v>quarter-source mass</x:v>
      </x:c>
      <x:c r="D19" s="13" t="n">
        <x:v>500</x:v>
      </x:c>
      <x:c r="E19" t="str">
        <x:v>kg</x:v>
      </x:c>
      <x:c r="F19" t="str">
        <x:v>inherited</x:v>
      </x:c>
      <x:c r="G19" t="str">
        <x:v>RFA-1</x:v>
      </x:c>
    </x:row>
    <x:row r="20">
      <x:c r="B20" t="str">
        <x:v>C14</x:v>
      </x:c>
      <x:c r="C20" t="str">
        <x:v>full-source mass</x:v>
      </x:c>
      <x:c r="D20" s="13" t="n">
        <x:v>2000</x:v>
      </x:c>
      <x:c r="E20" t="str">
        <x:v>kg</x:v>
      </x:c>
      <x:c r="F20" t="str">
        <x:v>inherited</x:v>
      </x:c>
      <x:c r="G20" t="str">
        <x:v>RFA-1</x:v>
      </x:c>
    </x:row>
    <x:row r="21">
      <x:c r="B21" t="str">
        <x:v>C15</x:v>
      </x:c>
      <x:c r="C21" t="str">
        <x:v>base source provision</x:v>
      </x:c>
      <x:c r="D21" s="13" t="n">
        <x:v>294</x:v>
      </x:c>
      <x:c r="E21" t="str">
        <x:v>tonnes</x:v>
      </x:c>
      <x:c r="F21" t="str">
        <x:v>derived</x:v>
      </x:c>
      <x:c r="G21" t="str">
        <x:v>RFE-1</x:v>
      </x:c>
    </x:row>
    <x:row r="22">
      <x:c r="B22" t="str">
        <x:v>C16</x:v>
      </x:c>
      <x:c r="C22" t="str">
        <x:v>terminal uncontrolled-source target</x:v>
      </x:c>
      <x:c r="D22" s="13" t="n">
        <x:v>30</x:v>
      </x:c>
      <x:c r="E22" t="str">
        <x:v>s</x:v>
      </x:c>
      <x:c r="F22" t="str">
        <x:v>inherited</x:v>
      </x:c>
      <x:c r="G22" t="str">
        <x:v>SBD-1</x:v>
      </x:c>
    </x:row>
    <x:row r="23">
      <x:c r="B23" t="str">
        <x:v>C17</x:v>
      </x:c>
      <x:c r="C23" t="str">
        <x:v>scheduled dispenser interval</x:v>
      </x:c>
      <x:c r="D23" s="13" t="n">
        <x:v>120</x:v>
      </x:c>
      <x:c r="E23" t="str">
        <x:v>s</x:v>
      </x:c>
      <x:c r="F23" t="str">
        <x:v>inherited</x:v>
      </x:c>
      <x:c r="G23" t="str">
        <x:v>RFA-1</x:v>
      </x:c>
    </x:row>
    <x:row r="24">
      <x:c r="B24" t="str">
        <x:v>C18</x:v>
      </x:c>
      <x:c r="C24" t="str">
        <x:v>candidate vault</x:v>
      </x:c>
      <x:c r="D24" s="13" t="n">
        <x:v>40</x:v>
      </x:c>
      <x:c r="E24" t="str">
        <x:v>m3</x:v>
      </x:c>
      <x:c r="F24" t="str">
        <x:v>inherited</x:v>
      </x:c>
      <x:c r="G24" t="str">
        <x:v>SBD-1</x:v>
      </x:c>
    </x:row>
    <x:row r="25">
      <x:c r="B25" t="str">
        <x:v>C19</x:v>
      </x:c>
      <x:c r="C25" t="str">
        <x:v>public casualty-water vault</x:v>
      </x:c>
      <x:c r="D25" s="13" t="n">
        <x:v>120</x:v>
      </x:c>
      <x:c r="E25" t="str">
        <x:v>m3</x:v>
      </x:c>
      <x:c r="F25" t="str">
        <x:v>inherited</x:v>
      </x:c>
      <x:c r="G25" t="str">
        <x:v>RFP-1</x:v>
      </x:c>
    </x:row>
    <x:row r="26">
      <x:c r="B26" t="str">
        <x:v>C20</x:v>
      </x:c>
      <x:c r="C26" t="str">
        <x:v>public casualty-source tank</x:v>
      </x:c>
      <x:c r="D26" s="13" t="n">
        <x:v>50</x:v>
      </x:c>
      <x:c r="E26" t="str">
        <x:v>m3</x:v>
      </x:c>
      <x:c r="F26" t="str">
        <x:v>inherited</x:v>
      </x:c>
      <x:c r="G26" t="str">
        <x:v>RFP-1</x:v>
      </x:c>
    </x:row>
    <x:row r="27">
      <x:c r="B27" t="str">
        <x:v>C21</x:v>
      </x:c>
      <x:c r="C27" t="str">
        <x:v>candidate water service</x:v>
      </x:c>
      <x:c r="D27" s="13" t="n">
        <x:v>3</x:v>
      </x:c>
      <x:c r="E27" t="str">
        <x:v>m3/min</x:v>
      </x:c>
      <x:c r="F27" t="str">
        <x:v>inherited</x:v>
      </x:c>
      <x:c r="G27" t="str">
        <x:v>RFP-1</x:v>
      </x:c>
    </x:row>
    <x:row r="28">
      <x:c r="B28" t="str">
        <x:v>C22</x:v>
      </x:c>
      <x:c r="C28" t="str">
        <x:v>public casualty-water inlet</x:v>
      </x:c>
      <x:c r="D28" s="13" t="n">
        <x:v>4</x:v>
      </x:c>
      <x:c r="E28" t="str">
        <x:v>m3/min</x:v>
      </x:c>
      <x:c r="F28" t="str">
        <x:v>inherited</x:v>
      </x:c>
      <x:c r="G28" t="str">
        <x:v>RFP-1</x:v>
      </x:c>
    </x:row>
    <x:row r="29">
      <x:c r="B29" t="str">
        <x:v>C23</x:v>
      </x:c>
      <x:c r="C29" t="str">
        <x:v>thermal boundary</x:v>
      </x:c>
      <x:c r="D29" s="13" t="n">
        <x:v>72</x:v>
      </x:c>
      <x:c r="E29" t="str">
        <x:v>MW</x:v>
      </x:c>
      <x:c r="F29" t="str">
        <x:v>inherited</x:v>
      </x:c>
      <x:c r="G29" t="str">
        <x:v>RFP-1</x:v>
      </x:c>
    </x:row>
    <x:row r="30">
      <x:c r="B30" t="str">
        <x:v>C24</x:v>
      </x:c>
      <x:c r="C30" t="str">
        <x:v>heat-rejection envelope</x:v>
      </x:c>
      <x:c r="D30" s="13" t="n">
        <x:v>20</x:v>
      </x:c>
      <x:c r="E30" t="str">
        <x:v>MW</x:v>
      </x:c>
      <x:c r="F30" t="str">
        <x:v>inherited</x:v>
      </x:c>
      <x:c r="G30" t="str">
        <x:v>RFP-1</x:v>
      </x:c>
    </x:row>
    <x:row r="31">
      <x:c r="B31" t="str">
        <x:v>C25</x:v>
      </x:c>
      <x:c r="C31" t="str">
        <x:v>minimum usable channels</x:v>
      </x:c>
      <x:c r="D31" s="13" t="n">
        <x:v>0.9</x:v>
      </x:c>
      <x:c r="E31" t="str">
        <x:v>ratio</x:v>
      </x:c>
      <x:c r="F31" t="str">
        <x:v>inherited</x:v>
      </x:c>
      <x:c r="G31" t="str">
        <x:v>RHM-1</x:v>
      </x:c>
    </x:row>
    <x:row r="32">
      <x:c r="B32" t="str">
        <x:v>C26</x:v>
      </x:c>
      <x:c r="C32" t="str">
        <x:v>time-skew ceiling</x:v>
      </x:c>
      <x:c r="D32" s="13" t="n">
        <x:v>5</x:v>
      </x:c>
      <x:c r="E32" t="str">
        <x:v>microseconds</x:v>
      </x:c>
      <x:c r="F32" t="str">
        <x:v>inherited</x:v>
      </x:c>
      <x:c r="G32" t="str">
        <x:v>RHM-1</x:v>
      </x:c>
    </x:row>
    <x:row r="33">
      <x:c r="B33" t="str">
        <x:v>C27</x:v>
      </x:c>
      <x:c r="C33" t="str">
        <x:v>mass discrepancy ceiling</x:v>
      </x:c>
      <x:c r="D33" s="13" t="n">
        <x:v>5</x:v>
      </x:c>
      <x:c r="E33" t="str">
        <x:v>kg</x:v>
      </x:c>
      <x:c r="F33" t="str">
        <x:v>inherited</x:v>
      </x:c>
      <x:c r="G33" t="str">
        <x:v>SBD-1</x:v>
      </x:c>
    </x:row>
    <x:row r="34">
      <x:c r="B34" t="str">
        <x:v>C28</x:v>
      </x:c>
      <x:c r="C34" t="str">
        <x:v>native data rate</x:v>
      </x:c>
      <x:c r="D34" s="13" t="n">
        <x:v>53.40384</x:v>
      </x:c>
      <x:c r="E34" t="str">
        <x:v>MB/s</x:v>
      </x:c>
      <x:c r="F34" t="str">
        <x:v>inherited</x:v>
      </x:c>
      <x:c r="G34" t="str">
        <x:v>RFP-1</x:v>
      </x:c>
    </x:row>
    <x:row r="35">
      <x:c r="B35" t="str">
        <x:v>C29</x:v>
      </x:c>
      <x:c r="C35" t="str">
        <x:v>full-rate interval</x:v>
      </x:c>
      <x:c r="D35" s="13" t="n">
        <x:v>600</x:v>
      </x:c>
      <x:c r="E35" t="str">
        <x:v>s</x:v>
      </x:c>
      <x:c r="F35" t="str">
        <x:v>inherited</x:v>
      </x:c>
      <x:c r="G35" t="str">
        <x:v>RFP-1</x:v>
      </x:c>
    </x:row>
    <x:row r="36">
      <x:c r="B36" t="str">
        <x:v>C30</x:v>
      </x:c>
      <x:c r="C36" t="str">
        <x:v>tail interval</x:v>
      </x:c>
      <x:c r="D36" s="13" t="n">
        <x:v>21600</x:v>
      </x:c>
      <x:c r="E36" t="str">
        <x:v>s</x:v>
      </x:c>
      <x:c r="F36" t="str">
        <x:v>inherited</x:v>
      </x:c>
      <x:c r="G36" t="str">
        <x:v>RFP-1</x:v>
      </x:c>
    </x:row>
    <x:row r="37">
      <x:c r="B37" t="str">
        <x:v>C31</x:v>
      </x:c>
      <x:c r="C37" t="str">
        <x:v>tail fraction</x:v>
      </x:c>
      <x:c r="D37" s="13" t="n">
        <x:v>0.01</x:v>
      </x:c>
      <x:c r="E37" t="str">
        <x:v>ratio</x:v>
      </x:c>
      <x:c r="F37" t="str">
        <x:v>inherited</x:v>
      </x:c>
      <x:c r="G37" t="str">
        <x:v>RFP-1</x:v>
      </x:c>
    </x:row>
    <x:row r="38">
      <x:c r="B38" t="str">
        <x:v>C32</x:v>
      </x:c>
      <x:c r="C38" t="str">
        <x:v>native originals</x:v>
      </x:c>
      <x:c r="D38" s="13" t="n">
        <x:v>2</x:v>
      </x:c>
      <x:c r="E38" t="str">
        <x:v>count</x:v>
      </x:c>
      <x:c r="F38" t="str">
        <x:v>inherited</x:v>
      </x:c>
      <x:c r="G38" t="str">
        <x:v>RFP-1</x:v>
      </x:c>
    </x:row>
    <x:row r="39">
      <x:c r="B39" t="str">
        <x:v>C33</x:v>
      </x:c>
      <x:c r="C39" t="str">
        <x:v>custody factor</x:v>
      </x:c>
      <x:c r="D39" s="13" t="n">
        <x:v>1.35</x:v>
      </x:c>
      <x:c r="E39" t="str">
        <x:v>ratio</x:v>
      </x:c>
      <x:c r="F39" t="str">
        <x:v>inherited</x:v>
      </x:c>
      <x:c r="G39" t="str">
        <x:v>RFP-1</x:v>
      </x:c>
    </x:row>
    <x:row r="40">
      <x:c r="B40" t="str">
        <x:v>C34</x:v>
      </x:c>
      <x:c r="C40" t="str">
        <x:v>forensic overhead</x:v>
      </x:c>
      <x:c r="D40" s="13" t="n">
        <x:v>0.2</x:v>
      </x:c>
      <x:c r="E40" t="str">
        <x:v>ratio</x:v>
      </x:c>
      <x:c r="F40" t="str">
        <x:v>design</x:v>
      </x:c>
      <x:c r="G40" t="str">
        <x:v>RFE-1</x:v>
      </x:c>
    </x:row>
    <x:row r="41">
      <x:c r="B41" t="str">
        <x:v>C35</x:v>
      </x:c>
      <x:c r="C41" t="str">
        <x:v>ready-rig fraction</x:v>
      </x:c>
      <x:c r="D41" s="13" t="n">
        <x:v>0.58</x:v>
      </x:c>
      <x:c r="E41" t="str">
        <x:v>ratio</x:v>
      </x:c>
      <x:c r="F41" t="str">
        <x:v>design</x:v>
      </x:c>
      <x:c r="G41" t="str">
        <x:v>RFE-1</x:v>
      </x:c>
    </x:row>
    <x:row r="42">
      <x:c r="B42" t="str">
        <x:v>C36</x:v>
      </x:c>
      <x:c r="C42" t="str">
        <x:v>execution duration</x:v>
      </x:c>
      <x:c r="D42" s="13" t="n">
        <x:v>48</x:v>
      </x:c>
      <x:c r="E42" t="str">
        <x:v>months</x:v>
      </x:c>
      <x:c r="F42" t="str">
        <x:v>design</x:v>
      </x:c>
      <x:c r="G42" t="str">
        <x:v>RFE-1</x:v>
      </x:c>
    </x:row>
    <x:row r="43">
      <x:c r="B43" t="str">
        <x:v>C37</x:v>
      </x:c>
      <x:c r="C43" t="str">
        <x:v>mission workforce</x:v>
      </x:c>
      <x:c r="D43" s="13" t="n">
        <x:v>584</x:v>
      </x:c>
      <x:c r="E43" t="str">
        <x:v>positions</x:v>
      </x:c>
      <x:c r="F43" t="str">
        <x:v>design</x:v>
      </x:c>
      <x:c r="G43" t="str">
        <x:v>RFE-1</x:v>
      </x:c>
    </x:row>
    <x:row r="44">
      <x:c r="B44" t="str">
        <x:v>C38</x:v>
      </x:c>
      <x:c r="C44" t="str">
        <x:v>capital</x:v>
      </x:c>
      <x:c r="D44" s="13" t="n">
        <x:v>420</x:v>
      </x:c>
      <x:c r="E44" t="str">
        <x:v>USD M</x:v>
      </x:c>
      <x:c r="F44" t="str">
        <x:v>design</x:v>
      </x:c>
      <x:c r="G44" t="str">
        <x:v>RFE-1</x:v>
      </x:c>
    </x:row>
    <x:row r="45">
      <x:c r="B45" t="str">
        <x:v>C39</x:v>
      </x:c>
      <x:c r="C45" t="str">
        <x:v>annual support</x:v>
      </x:c>
      <x:c r="D45" s="13" t="n">
        <x:v>228</x:v>
      </x:c>
      <x:c r="E45" t="str">
        <x:v>USD M/year</x:v>
      </x:c>
      <x:c r="F45" t="str">
        <x:v>design</x:v>
      </x:c>
      <x:c r="G45" t="str">
        <x:v>RFE-1</x:v>
      </x:c>
    </x:row>
    <x:row r="46">
      <x:c r="B46" t="str">
        <x:v>C40</x:v>
      </x:c>
      <x:c r="C46" t="str">
        <x:v>CISA capital share</x:v>
      </x:c>
      <x:c r="D46" s="13" t="n">
        <x:v>260</x:v>
      </x:c>
      <x:c r="E46" t="str">
        <x:v>USD M</x:v>
      </x:c>
      <x:c r="F46" t="str">
        <x:v>design</x:v>
      </x:c>
      <x:c r="G46" t="str">
        <x:v>RFE-1</x:v>
      </x:c>
    </x:row>
    <x:row r="47">
      <x:c r="B47" t="str">
        <x:v>C41</x:v>
      </x:c>
      <x:c r="C47" t="str">
        <x:v>shared capital share</x:v>
      </x:c>
      <x:c r="D47" s="13" t="n">
        <x:v>160</x:v>
      </x:c>
      <x:c r="E47" t="str">
        <x:v>USD M</x:v>
      </x:c>
      <x:c r="F47" t="str">
        <x:v>design</x:v>
      </x:c>
      <x:c r="G47" t="str">
        <x:v>RFE-1</x:v>
      </x:c>
    </x:row>
    <x:row r="48">
      <x:c r="B48" t="str">
        <x:v>C42</x:v>
      </x:c>
      <x:c r="C48" t="str">
        <x:v>CISA annual share</x:v>
      </x:c>
      <x:c r="D48" s="13" t="n">
        <x:v>140</x:v>
      </x:c>
      <x:c r="E48" t="str">
        <x:v>USD M/year</x:v>
      </x:c>
      <x:c r="F48" t="str">
        <x:v>design</x:v>
      </x:c>
      <x:c r="G48" t="str">
        <x:v>RFE-1</x:v>
      </x:c>
    </x:row>
    <x:row r="49">
      <x:c r="B49" t="str">
        <x:v>C43</x:v>
      </x:c>
      <x:c r="C49" t="str">
        <x:v>shared annual share</x:v>
      </x:c>
      <x:c r="D49" s="13" t="n">
        <x:v>88</x:v>
      </x:c>
      <x:c r="E49" t="str">
        <x:v>USD M/year</x:v>
      </x:c>
      <x:c r="F49" t="str">
        <x:v>design</x:v>
      </x:c>
      <x:c r="G49" t="str">
        <x:v>RFE-1</x:v>
      </x:c>
    </x:row>
    <x:row r="50">
      <x:c r="B50" t="str">
        <x:v>C44</x:v>
      </x:c>
      <x:c r="C50" t="str">
        <x:v>registered overlap capital</x:v>
      </x:c>
      <x:c r="D50" s="13" t="n">
        <x:v>370</x:v>
      </x:c>
      <x:c r="E50" t="str">
        <x:v>USD M</x:v>
      </x:c>
      <x:c r="F50" t="str">
        <x:v>design</x:v>
      </x:c>
      <x:c r="G50" t="str">
        <x:v>RFE-1</x:v>
      </x:c>
    </x:row>
    <x:row r="51">
      <x:c r="B51" t="str">
        <x:v>C45</x:v>
      </x:c>
      <x:c r="C51" t="str">
        <x:v>registered overlap annual</x:v>
      </x:c>
      <x:c r="D51" s="13" t="n">
        <x:v>184</x:v>
      </x:c>
      <x:c r="E51" t="str">
        <x:v>USD M/year</x:v>
      </x:c>
      <x:c r="F51" t="str">
        <x:v>design</x:v>
      </x:c>
      <x:c r="G51" t="str">
        <x:v>RFE-1</x:v>
      </x:c>
    </x:row>
    <x:row r="52">
      <x:c r="B52" t="str">
        <x:v>C46</x:v>
      </x:c>
      <x:c r="C52" t="str">
        <x:v>CISA overlap capital</x:v>
      </x:c>
      <x:c r="D52" s="13" t="n">
        <x:v>230</x:v>
      </x:c>
      <x:c r="E52" t="str">
        <x:v>USD M</x:v>
      </x:c>
      <x:c r="F52" t="str">
        <x:v>design</x:v>
      </x:c>
      <x:c r="G52" t="str">
        <x:v>RFE-1</x:v>
      </x:c>
    </x:row>
    <x:row r="53">
      <x:c r="B53" t="str">
        <x:v>C47</x:v>
      </x:c>
      <x:c r="C53" t="str">
        <x:v>CISA overlap annual</x:v>
      </x:c>
      <x:c r="D53" s="13" t="n">
        <x:v>112</x:v>
      </x:c>
      <x:c r="E53" t="str">
        <x:v>USD M/year</x:v>
      </x:c>
      <x:c r="F53" t="str">
        <x:v>design</x:v>
      </x:c>
      <x:c r="G53" t="str">
        <x:v>RFE-1</x:v>
      </x:c>
    </x:row>
    <x:row r="54">
      <x:c r="B54" t="str">
        <x:v>C48</x:v>
      </x:c>
      <x:c r="C54" t="str">
        <x:v>shared overlap capital</x:v>
      </x:c>
      <x:c r="D54" s="13" t="n">
        <x:v>140</x:v>
      </x:c>
      <x:c r="E54" t="str">
        <x:v>USD M</x:v>
      </x:c>
      <x:c r="F54" t="str">
        <x:v>design</x:v>
      </x:c>
      <x:c r="G54" t="str">
        <x:v>RFE-1</x:v>
      </x:c>
    </x:row>
    <x:row r="55">
      <x:c r="B55" t="str">
        <x:v>C49</x:v>
      </x:c>
      <x:c r="C55" t="str">
        <x:v>shared overlap annual</x:v>
      </x:c>
      <x:c r="D55" s="13" t="n">
        <x:v>72</x:v>
      </x:c>
      <x:c r="E55" t="str">
        <x:v>USD M/year</x:v>
      </x:c>
      <x:c r="F55" t="str">
        <x:v>design</x:v>
      </x:c>
      <x:c r="G55" t="str">
        <x:v>RFE-1</x:v>
      </x:c>
    </x:row>
    <x:row r="56">
      <x:c r="B56" t="str">
        <x:v>C50</x:v>
      </x:c>
      <x:c r="C56" t="str">
        <x:v>BRD-10R capital</x:v>
      </x:c>
      <x:c r="D56" s="13" t="n">
        <x:v>2295</x:v>
      </x:c>
      <x:c r="E56" t="str">
        <x:v>USD M</x:v>
      </x:c>
      <x:c r="F56" t="str">
        <x:v>inherited</x:v>
      </x:c>
      <x:c r="G56" t="str">
        <x:v>RFP-1</x:v>
      </x:c>
    </x:row>
    <x:row r="57">
      <x:c r="B57" t="str">
        <x:v>C51</x:v>
      </x:c>
      <x:c r="C57" t="str">
        <x:v>BRD-10R annual</x:v>
      </x:c>
      <x:c r="D57" s="13" t="n">
        <x:v>386</x:v>
      </x:c>
      <x:c r="E57" t="str">
        <x:v>USD M/year</x:v>
      </x:c>
      <x:c r="F57" t="str">
        <x:v>inherited</x:v>
      </x:c>
      <x:c r="G57" t="str">
        <x:v>RFP-1</x:v>
      </x:c>
    </x:row>
    <x:row r="58">
      <x:c r="B58" t="str">
        <x:v>C52</x:v>
      </x:c>
      <x:c r="C58" t="str">
        <x:v>BRD-10U capital</x:v>
      </x:c>
      <x:c r="D58" s="13" t="n">
        <x:v>2873</x:v>
      </x:c>
      <x:c r="E58" t="str">
        <x:v>USD M</x:v>
      </x:c>
      <x:c r="F58" t="str">
        <x:v>inherited</x:v>
      </x:c>
      <x:c r="G58" t="str">
        <x:v>RFP-1</x:v>
      </x:c>
    </x:row>
    <x:row r="59">
      <x:c r="B59" t="str">
        <x:v>C53</x:v>
      </x:c>
      <x:c r="C59" t="str">
        <x:v>BRD-10U annual</x:v>
      </x:c>
      <x:c r="D59" s="13" t="n">
        <x:v>515</x:v>
      </x:c>
      <x:c r="E59" t="str">
        <x:v>USD M/year</x:v>
      </x:c>
      <x:c r="F59" t="str">
        <x:v>inherited</x:v>
      </x:c>
      <x:c r="G59" t="str">
        <x:v>RFP-1</x:v>
      </x:c>
    </x:row>
    <x:row r="60">
      <x:c r="B60" t="str">
        <x:v>C54</x:v>
      </x:c>
      <x:c r="C60" t="str">
        <x:v>CISA parent capital</x:v>
      </x:c>
      <x:c r="D60" s="13" t="n">
        <x:v>960</x:v>
      </x:c>
      <x:c r="E60" t="str">
        <x:v>USD M</x:v>
      </x:c>
      <x:c r="F60" t="str">
        <x:v>inherited</x:v>
      </x:c>
      <x:c r="G60" t="str">
        <x:v>CISA-1</x:v>
      </x:c>
    </x:row>
    <x:row r="61">
      <x:c r="B61" t="str">
        <x:v>C55</x:v>
      </x:c>
      <x:c r="C61" t="str">
        <x:v>CISA parent annual</x:v>
      </x:c>
      <x:c r="D61" s="13" t="n">
        <x:v>260</x:v>
      </x:c>
      <x:c r="E61" t="str">
        <x:v>USD M/year</x:v>
      </x:c>
      <x:c r="F61" t="str">
        <x:v>inherited</x:v>
      </x:c>
      <x:c r="G61" t="str">
        <x:v>CISA-1</x:v>
      </x:c>
    </x:row>
    <x:row r="62">
      <x:c r="B62" t="str">
        <x:v>C56</x:v>
      </x:c>
      <x:c r="C62" t="str">
        <x:v>planning completion</x:v>
      </x:c>
      <x:c r="D62" s="13" t="n">
        <x:v>1</x:v>
      </x:c>
      <x:c r="E62" t="str">
        <x:v>binary</x:v>
      </x:c>
      <x:c r="F62" t="str">
        <x:v>design</x:v>
      </x:c>
      <x:c r="G62" t="str">
        <x:v>RFE-1</x:v>
      </x:c>
    </x:row>
    <x:row r="63">
      <x:c r="B63" t="str">
        <x:v>C57</x:v>
      </x:c>
      <x:c r="C63" t="str">
        <x:v>rig physical acceptance</x:v>
      </x:c>
      <x:c r="D63" s="13" t="n">
        <x:v>0</x:v>
      </x:c>
      <x:c r="E63" t="str">
        <x:v>binary</x:v>
      </x:c>
      <x:c r="F63" t="str">
        <x:v>physical</x:v>
      </x:c>
      <x:c r="G63" t="str">
        <x:v>authority</x:v>
      </x:c>
    </x:row>
    <x:row r="64">
      <x:c r="B64" t="str">
        <x:v>C58</x:v>
      </x:c>
      <x:c r="C64" t="str">
        <x:v>water/tracer authority</x:v>
      </x:c>
      <x:c r="D64" s="13" t="n">
        <x:v>0</x:v>
      </x:c>
      <x:c r="E64" t="str">
        <x:v>binary</x:v>
      </x:c>
      <x:c r="F64" t="str">
        <x:v>authority</x:v>
      </x:c>
      <x:c r="G64" t="str">
        <x:v>downstream</x:v>
      </x:c>
    </x:row>
    <x:row r="65">
      <x:c r="B65" t="str">
        <x:v>C59</x:v>
      </x:c>
      <x:c r="C65" t="str">
        <x:v>surrogate authority</x:v>
      </x:c>
      <x:c r="D65" s="13" t="n">
        <x:v>0</x:v>
      </x:c>
      <x:c r="E65" t="str">
        <x:v>binary</x:v>
      </x:c>
      <x:c r="F65" t="str">
        <x:v>authority</x:v>
      </x:c>
      <x:c r="G65" t="str">
        <x:v>downstream</x:v>
      </x:c>
    </x:row>
    <x:row r="66">
      <x:c r="B66" t="str">
        <x:v>C60</x:v>
      </x:c>
      <x:c r="C66" t="str">
        <x:v>quarter-source authority</x:v>
      </x:c>
      <x:c r="D66" s="13" t="n">
        <x:v>0</x:v>
      </x:c>
      <x:c r="E66" t="str">
        <x:v>binary</x:v>
      </x:c>
      <x:c r="F66" t="str">
        <x:v>authority</x:v>
      </x:c>
      <x:c r="G66" t="str">
        <x:v>downstream</x:v>
      </x:c>
    </x:row>
    <x:row r="67">
      <x:c r="B67" t="str">
        <x:v>C61</x:v>
      </x:c>
      <x:c r="C67" t="str">
        <x:v>full-source fire authority</x:v>
      </x:c>
      <x:c r="D67" s="13" t="n">
        <x:v>0</x:v>
      </x:c>
      <x:c r="E67" t="str">
        <x:v>binary</x:v>
      </x:c>
      <x:c r="F67" t="str">
        <x:v>authority</x:v>
      </x:c>
      <x:c r="G67" t="str">
        <x:v>downstream</x:v>
      </x:c>
    </x:row>
    <x:row r="68">
      <x:c r="B68" t="str">
        <x:v>C62</x:v>
      </x:c>
      <x:c r="C68" t="str">
        <x:v>destructive authority</x:v>
      </x:c>
      <x:c r="D68" s="13" t="n">
        <x:v>0</x:v>
      </x:c>
      <x:c r="E68" t="str">
        <x:v>binary</x:v>
      </x:c>
      <x:c r="F68" t="str">
        <x:v>authority</x:v>
      </x:c>
      <x:c r="G68" t="str">
        <x:v>downstream</x:v>
      </x:c>
    </x:row>
    <x:row r="69">
      <x:c r="B69" t="str">
        <x:v>C63</x:v>
      </x:c>
      <x:c r="C69" t="str">
        <x:v>candidate selection</x:v>
      </x:c>
      <x:c r="D69" s="13" t="n">
        <x:v>0</x:v>
      </x:c>
      <x:c r="E69" t="str">
        <x:v>binary</x:v>
      </x:c>
      <x:c r="F69" t="str">
        <x:v>authority</x:v>
      </x:c>
      <x:c r="G69" t="str">
        <x:v>downstream</x:v>
      </x:c>
    </x:row>
    <x:row r="70">
      <x:c r="B70" t="str">
        <x:v>C64</x:v>
      </x:c>
      <x:c r="C70" t="str">
        <x:v>Root A freeze</x:v>
      </x:c>
      <x:c r="D70" s="13" t="n">
        <x:v>0</x:v>
      </x:c>
      <x:c r="E70" t="str">
        <x:v>binary</x:v>
      </x:c>
      <x:c r="F70" t="str">
        <x:v>authority</x:v>
      </x:c>
      <x:c r="G70" t="str">
        <x:v>downstream</x:v>
      </x:c>
    </x:row>
    <x:row r="71">
      <x:c r="B71" t="str">
        <x:v>C65</x:v>
      </x:c>
      <x:c r="C71" t="str">
        <x:v>production authority</x:v>
      </x:c>
      <x:c r="D71" s="13" t="n">
        <x:v>0</x:v>
      </x:c>
      <x:c r="E71" t="str">
        <x:v>binary</x:v>
      </x:c>
      <x:c r="F71" t="str">
        <x:v>authority</x:v>
      </x:c>
      <x:c r="G71" t="str">
        <x:v>downstream</x:v>
      </x:c>
    </x:row>
    <x:row r="72">
      <x:c r="B72" t="str">
        <x:v>C66</x:v>
      </x:c>
      <x:c r="C72" t="str">
        <x:v>exterior-rendering authority</x:v>
      </x:c>
      <x:c r="D72" s="13" t="n">
        <x:v>0</x:v>
      </x:c>
      <x:c r="E72" t="str">
        <x:v>binary</x:v>
      </x:c>
      <x:c r="F72" t="str">
        <x:v>authority</x:v>
      </x:c>
      <x:c r="G72" t="str">
        <x:v>downstream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2" hidden="0" customWidth="1"/>
    <x:col min="4" max="4" width="16" hidden="0" customWidth="1"/>
    <x:col min="5" max="5" width="23" hidden="0" customWidth="1"/>
    <x:col min="6" max="6" width="19" hidden="0" customWidth="1"/>
    <x:col min="7" max="7" width="17" hidden="0" customWidth="1"/>
    <x:col min="8" max="8" width="18" hidden="0" customWidth="1"/>
    <x:col min="9" max="9" width="20" hidden="0" customWidth="1"/>
    <x:col min="10" max="10" width="18" hidden="0" customWidth="1"/>
    <x:col min="11" max="11" width="18" hidden="0" customWidth="1"/>
    <x:col min="12" max="12" width="20" hidden="0" customWidth="1"/>
    <x:col min="13" max="13" width="20" hidden="0" customWidth="1"/>
    <x:col min="14" max="14" width="14" hidden="0" customWidth="1"/>
  </x:cols>
  <x:sheetData>
    <x:row r="2">
      <x:c r="B2" s="1" t="str">
        <x:v>Seven execution classes and invalid-attempt reserve</x:v>
      </x:c>
    </x:row>
    <x:row r="3">
      <x:c r="B3" s="2" t="str">
        <x:v>The 306-event denominator is conserved. Reserve tokens replace invalid attempts only.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Class</x:v>
      </x:c>
      <x:c r="C6" s="7" t="str">
        <x:v>Name</x:v>
      </x:c>
      <x:c r="D6" s="7" t="str">
        <x:v>Base events</x:v>
      </x:c>
      <x:c r="E6" s="7" t="str">
        <x:v>Invalid-rate hypothesis</x:v>
      </x:c>
      <x:c r="F6" s="7" t="str">
        <x:v>Reserve attempts</x:v>
      </x:c>
      <x:c r="G6" s="7" t="str">
        <x:v>Rig-days/event</x:v>
      </x:c>
      <x:c r="H6" s="7" t="str">
        <x:v>Base rig-days</x:v>
      </x:c>
      <x:c r="I6" s="7" t="str">
        <x:v>Reserve rig-days</x:v>
      </x:c>
      <x:c r="J6" s="7" t="str">
        <x:v>Source kg/event</x:v>
      </x:c>
      <x:c r="K6" s="7" t="str">
        <x:v>Base source t</x:v>
      </x:c>
      <x:c r="L6" s="7" t="str">
        <x:v>Reserve source t</x:v>
      </x:c>
      <x:c r="M6" s="7" t="str">
        <x:v>Stage accepted</x:v>
      </x:c>
      <x:c r="N6" s="7" t="str">
        <x:v>State</x:v>
      </x:c>
    </x:row>
    <x:row r="7">
      <x:c r="B7" t="str">
        <x:v>EC-01</x:v>
      </x:c>
      <x:c r="C7" t="str">
        <x:v>safe development</x:v>
      </x:c>
      <x:c r="D7" s="14" t="n">
        <x:v>60</x:v>
      </x:c>
      <x:c r="E7" s="14" t="n">
        <x:v>0.12</x:v>
      </x:c>
      <x:c r="F7" s="14" t="n">
        <x:f>ROUNDUP(D7/(1-E7),0)-D7</x:f>
        <x:v>9</x:v>
      </x:c>
      <x:c r="G7" s="14" t="n">
        <x:v>3</x:v>
      </x:c>
      <x:c r="H7" s="14" t="n">
        <x:f>D7*G7</x:f>
        <x:v>180</x:v>
      </x:c>
      <x:c r="I7" s="14" t="n">
        <x:f>F7*G7</x:f>
        <x:v>27</x:v>
      </x:c>
      <x:c r="J7" s="14" t="n">
        <x:v>0</x:v>
      </x:c>
      <x:c r="K7" s="14" t="n">
        <x:f>D7*J7/1000</x:f>
        <x:v>0</x:v>
      </x:c>
      <x:c r="L7" s="14" t="n">
        <x:f>F7*J7/1000</x:f>
        <x:v>0</x:v>
      </x:c>
      <x:c r="M7" t="str"/>
      <x:c r="N7" t="str">
        <x:f>IF(M7&lt;&gt;"","PASS","OPEN")</x:f>
        <x:v>OPEN</x:v>
      </x:c>
    </x:row>
    <x:row r="8">
      <x:c r="B8" t="str">
        <x:v>EC-02</x:v>
      </x:c>
      <x:c r="C8" t="str">
        <x:v>quarter-source development</x:v>
      </x:c>
      <x:c r="D8" s="14" t="n">
        <x:v>12</x:v>
      </x:c>
      <x:c r="E8" s="14" t="n">
        <x:v>0.2</x:v>
      </x:c>
      <x:c r="F8" s="14" t="n">
        <x:f>ROUNDUP(D8/(1-E8),0)-D8</x:f>
        <x:v>3</x:v>
      </x:c>
      <x:c r="G8" s="14" t="n">
        <x:v>6</x:v>
      </x:c>
      <x:c r="H8" s="14" t="n">
        <x:f>D8*G8</x:f>
        <x:v>72</x:v>
      </x:c>
      <x:c r="I8" s="14" t="n">
        <x:f>F8*G8</x:f>
        <x:v>18</x:v>
      </x:c>
      <x:c r="J8" s="14" t="n">
        <x:v>500</x:v>
      </x:c>
      <x:c r="K8" s="14" t="n">
        <x:f>D8*J8/1000</x:f>
        <x:v>6</x:v>
      </x:c>
      <x:c r="L8" s="14" t="n">
        <x:f>F8*J8/1000</x:f>
        <x:v>1.5</x:v>
      </x:c>
      <x:c r="M8" t="str"/>
      <x:c r="N8" t="str">
        <x:f>IF(M8&lt;&gt;"","PASS","OPEN")</x:f>
        <x:v>OPEN</x:v>
      </x:c>
    </x:row>
    <x:row r="9">
      <x:c r="B9" t="str">
        <x:v>EC-03</x:v>
      </x:c>
      <x:c r="C9" t="str">
        <x:v>quarter-source paired</x:v>
      </x:c>
      <x:c r="D9" s="14" t="n">
        <x:v>96</x:v>
      </x:c>
      <x:c r="E9" s="14" t="n">
        <x:v>0.15</x:v>
      </x:c>
      <x:c r="F9" s="14" t="n">
        <x:f>ROUNDUP(D9/(1-E9),0)-D9</x:f>
        <x:v>17</x:v>
      </x:c>
      <x:c r="G9" s="14" t="n">
        <x:v>5</x:v>
      </x:c>
      <x:c r="H9" s="14" t="n">
        <x:f>D9*G9</x:f>
        <x:v>480</x:v>
      </x:c>
      <x:c r="I9" s="14" t="n">
        <x:f>F9*G9</x:f>
        <x:v>85</x:v>
      </x:c>
      <x:c r="J9" s="14" t="n">
        <x:v>500</x:v>
      </x:c>
      <x:c r="K9" s="14" t="n">
        <x:f>D9*J9/1000</x:f>
        <x:v>48</x:v>
      </x:c>
      <x:c r="L9" s="14" t="n">
        <x:f>F9*J9/1000</x:f>
        <x:v>8.5</x:v>
      </x:c>
      <x:c r="M9" t="str"/>
      <x:c r="N9" t="str">
        <x:f>IF(M9&lt;&gt;"","PASS","OPEN")</x:f>
        <x:v>OPEN</x:v>
      </x:c>
    </x:row>
    <x:row r="10">
      <x:c r="B10" t="str">
        <x:v>EC-04</x:v>
      </x:c>
      <x:c r="C10" t="str">
        <x:v>full-source paired</x:v>
      </x:c>
      <x:c r="D10" s="14" t="n">
        <x:v>96</x:v>
      </x:c>
      <x:c r="E10" s="14" t="n">
        <x:v>0.2</x:v>
      </x:c>
      <x:c r="F10" s="14" t="n">
        <x:f>ROUNDUP(D10/(1-E10),0)-D10</x:f>
        <x:v>24</x:v>
      </x:c>
      <x:c r="G10" s="14" t="n">
        <x:v>9</x:v>
      </x:c>
      <x:c r="H10" s="14" t="n">
        <x:f>D10*G10</x:f>
        <x:v>864</x:v>
      </x:c>
      <x:c r="I10" s="14" t="n">
        <x:f>F10*G10</x:f>
        <x:v>216</x:v>
      </x:c>
      <x:c r="J10" s="14" t="n">
        <x:v>2000</x:v>
      </x:c>
      <x:c r="K10" s="14" t="n">
        <x:f>D10*J10/1000</x:f>
        <x:v>192</x:v>
      </x:c>
      <x:c r="L10" s="14" t="n">
        <x:f>F10*J10/1000</x:f>
        <x:v>48</x:v>
      </x:c>
      <x:c r="M10" t="str"/>
      <x:c r="N10" t="str">
        <x:f>IF(M10&lt;&gt;"","PASS","OPEN")</x:f>
        <x:v>OPEN</x:v>
      </x:c>
    </x:row>
    <x:row r="11">
      <x:c r="B11" t="str">
        <x:v>EC-05</x:v>
      </x:c>
      <x:c r="C11" t="str">
        <x:v>destructive</x:v>
      </x:c>
      <x:c r="D11" s="14" t="n">
        <x:v>24</x:v>
      </x:c>
      <x:c r="E11" s="14" t="n">
        <x:v>0.25</x:v>
      </x:c>
      <x:c r="F11" s="14" t="n">
        <x:f>ROUNDUP(D11/(1-E11),0)-D11</x:f>
        <x:v>8</x:v>
      </x:c>
      <x:c r="G11" s="14" t="n">
        <x:v>14</x:v>
      </x:c>
      <x:c r="H11" s="14" t="n">
        <x:f>D11*G11</x:f>
        <x:v>336</x:v>
      </x:c>
      <x:c r="I11" s="14" t="n">
        <x:f>F11*G11</x:f>
        <x:v>112</x:v>
      </x:c>
      <x:c r="J11" s="14" t="n">
        <x:v>2000</x:v>
      </x:c>
      <x:c r="K11" s="14" t="n">
        <x:f>D11*J11/1000</x:f>
        <x:v>48</x:v>
      </x:c>
      <x:c r="L11" s="14" t="n">
        <x:f>F11*J11/1000</x:f>
        <x:v>16</x:v>
      </x:c>
      <x:c r="M11" t="str"/>
      <x:c r="N11" t="str">
        <x:f>IF(M11&lt;&gt;"","PASS","OPEN")</x:f>
        <x:v>OPEN</x:v>
      </x:c>
    </x:row>
    <x:row r="12">
      <x:c r="B12" t="str">
        <x:v>EC-06</x:v>
      </x:c>
      <x:c r="C12" t="str">
        <x:v>recovery/reset</x:v>
      </x:c>
      <x:c r="D12" s="14" t="n">
        <x:v>12</x:v>
      </x:c>
      <x:c r="E12" s="14" t="n">
        <x:v>0.15</x:v>
      </x:c>
      <x:c r="F12" s="14" t="n">
        <x:f>ROUNDUP(D12/(1-E12),0)-D12</x:f>
        <x:v>3</x:v>
      </x:c>
      <x:c r="G12" s="14" t="n">
        <x:v>7</x:v>
      </x:c>
      <x:c r="H12" s="14" t="n">
        <x:f>D12*G12</x:f>
        <x:v>84</x:v>
      </x:c>
      <x:c r="I12" s="14" t="n">
        <x:f>F12*G12</x:f>
        <x:v>21</x:v>
      </x:c>
      <x:c r="J12" s="14" t="n">
        <x:v>0</x:v>
      </x:c>
      <x:c r="K12" s="14" t="n">
        <x:f>D12*J12/1000</x:f>
        <x:v>0</x:v>
      </x:c>
      <x:c r="L12" s="14" t="n">
        <x:f>F12*J12/1000</x:f>
        <x:v>0</x:v>
      </x:c>
      <x:c r="M12" t="str"/>
      <x:c r="N12" t="str">
        <x:f>IF(M12&lt;&gt;"","PASS","OPEN")</x:f>
        <x:v>OPEN</x:v>
      </x:c>
    </x:row>
    <x:row r="13">
      <x:c r="B13" t="str">
        <x:v>EC-07</x:v>
      </x:c>
      <x:c r="C13" t="str">
        <x:v>cross-site replay</x:v>
      </x:c>
      <x:c r="D13" s="14" t="n">
        <x:v>6</x:v>
      </x:c>
      <x:c r="E13" s="14" t="n">
        <x:v>0.15</x:v>
      </x:c>
      <x:c r="F13" s="14" t="n">
        <x:f>ROUNDUP(D13/(1-E13),0)-D13</x:f>
        <x:v>2</x:v>
      </x:c>
      <x:c r="G13" s="14" t="n">
        <x:v>8</x:v>
      </x:c>
      <x:c r="H13" s="14" t="n">
        <x:f>D13*G13</x:f>
        <x:v>48</x:v>
      </x:c>
      <x:c r="I13" s="14" t="n">
        <x:f>F13*G13</x:f>
        <x:v>16</x:v>
      </x:c>
      <x:c r="J13" s="14" t="n">
        <x:v>0</x:v>
      </x:c>
      <x:c r="K13" s="14" t="n">
        <x:f>D13*J13/1000</x:f>
        <x:v>0</x:v>
      </x:c>
      <x:c r="L13" s="14" t="n">
        <x:f>F13*J13/1000</x:f>
        <x:v>0</x:v>
      </x:c>
      <x:c r="M13" t="str"/>
      <x:c r="N13" t="str">
        <x:f>IF(M13&lt;&gt;"","PASS","OPEN")</x:f>
        <x:v>OPEN</x:v>
      </x:c>
    </x:row>
    <x:row r="14">
      <x:c r="D14" s="14"/>
      <x:c r="E14" s="14"/>
      <x:c r="F14" s="14"/>
      <x:c r="G14" s="14"/>
      <x:c r="H14" s="14"/>
      <x:c r="I14" s="14"/>
      <x:c r="J14" s="14"/>
      <x:c r="K14" s="14"/>
      <x:c r="L14" s="14"/>
    </x:row>
    <x:row r="15">
      <x:c r="B15" s="11" t="str">
        <x:v>TOTAL</x:v>
      </x:c>
      <x:c r="C15" s="11" t="str"/>
      <x:c r="D15" s="15" t="n">
        <x:f>SUM(D7:D13)</x:f>
        <x:v>306</x:v>
      </x:c>
      <x:c r="E15" s="15" t="str"/>
      <x:c r="F15" s="15" t="n">
        <x:f>SUM(F7:F13)</x:f>
        <x:v>66</x:v>
      </x:c>
      <x:c r="G15" s="15" t="str"/>
      <x:c r="H15" s="15" t="n">
        <x:f>SUM(H7:H13)</x:f>
        <x:v>2064</x:v>
      </x:c>
      <x:c r="I15" s="15" t="n">
        <x:f>SUM(I7:I13)</x:f>
        <x:v>495</x:v>
      </x:c>
      <x:c r="J15" s="15" t="str"/>
      <x:c r="K15" s="15" t="n">
        <x:f>SUM(K7:K13)</x:f>
        <x:v>294</x:v>
      </x:c>
      <x:c r="L15" s="15" t="n">
        <x:f>SUM(L7:L13)</x:f>
        <x:v>74</x:v>
      </x:c>
      <x:c r="M15" s="11" t="str"/>
      <x:c r="N15" s="11" t="str"/>
    </x:row>
  </x:sheetData>
  <x:conditionalFormatting sqref="N7:N13">
    <x:cfRule type="containsText" dxfId="0" priority="1" operator="containsText" text="FAIL"/>
    <x:cfRule type="containsText" dxfId="1" priority="2" operator="containsText" text="INVALID"/>
    <x:cfRule type="containsText" dxfId="2" priority="3" operator="containsText" text="BLOCKED"/>
    <x:cfRule type="containsText" dxfId="3" priority="4" operator="containsText" text="OPEN"/>
    <x:cfRule type="containsText" dxfId="4" priority="5" operator="containsText" text="GAP"/>
    <x:cfRule type="containsText" dxfId="5" priority="6" operator="containsText" text="PASS"/>
    <x:cfRule type="containsText" dxfId="6" priority="7" operator="containsText" text="VALI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3" hidden="0" customWidth="1"/>
    <x:col min="4" max="4" width="31" hidden="0" customWidth="1"/>
    <x:col min="5" max="5" width="18" hidden="0" customWidth="1"/>
    <x:col min="6" max="6" width="65" hidden="0" customWidth="1"/>
    <x:col min="7" max="7" width="15" hidden="0" customWidth="1"/>
    <x:col min="8" max="8" width="12" hidden="0" customWidth="1"/>
  </x:cols>
  <x:sheetData>
    <x:row r="2">
      <x:c r="B2" s="1" t="str">
        <x:v>Twenty-three controlled event archetypes</x:v>
      </x:c>
    </x:row>
    <x:row r="3">
      <x:c r="B3" s="2" t="str">
        <x:v>Event rows instantiate these cards without changing source tier, challenge or outcome law.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Archetype</x:v>
      </x:c>
      <x:c r="C6" s="7" t="str">
        <x:v>Class</x:v>
      </x:c>
      <x:c r="D6" s="7" t="str">
        <x:v>Family</x:v>
      </x:c>
      <x:c r="E6" s="7" t="str">
        <x:v>Condition</x:v>
      </x:c>
      <x:c r="F6" s="7" t="str">
        <x:v>Controlled state</x:v>
      </x:c>
      <x:c r="G6" s="7" t="str">
        <x:v>Method</x:v>
      </x:c>
      <x:c r="H6" s="7" t="str">
        <x:v>Version</x:v>
      </x:c>
    </x:row>
    <x:row r="7" ht="38" customHeight="1">
      <x:c r="B7" t="str">
        <x:v>AT-EC-01</x:v>
      </x:c>
      <x:c r="C7" t="str">
        <x:v>EC-01</x:v>
      </x:c>
      <x:c r="D7" t="str">
        <x:v>safe development</x:v>
      </x:c>
      <x:c r="E7" t="str">
        <x:v>class</x:v>
      </x:c>
      <x:c r="F7" s="12" t="n">
        <x:v>0</x:v>
      </x:c>
      <x:c r="G7" t="n">
        <x:v>3</x:v>
      </x:c>
      <x:c r="H7" t="n">
        <x:v>1</x:v>
      </x:c>
    </x:row>
    <x:row r="8" ht="38" customHeight="1">
      <x:c r="B8" t="str">
        <x:v>AT-EC-02</x:v>
      </x:c>
      <x:c r="C8" t="str">
        <x:v>EC-02</x:v>
      </x:c>
      <x:c r="D8" t="str">
        <x:v>quarter-source development</x:v>
      </x:c>
      <x:c r="E8" t="str">
        <x:v>class</x:v>
      </x:c>
      <x:c r="F8" s="12" t="n">
        <x:v>500</x:v>
      </x:c>
      <x:c r="G8" t="n">
        <x:v>6</x:v>
      </x:c>
      <x:c r="H8" t="n">
        <x:v>1</x:v>
      </x:c>
    </x:row>
    <x:row r="9" ht="38" customHeight="1">
      <x:c r="B9" t="str">
        <x:v>AT-EC-03</x:v>
      </x:c>
      <x:c r="C9" t="str">
        <x:v>EC-03</x:v>
      </x:c>
      <x:c r="D9" t="str">
        <x:v>quarter-source paired</x:v>
      </x:c>
      <x:c r="E9" t="str">
        <x:v>class</x:v>
      </x:c>
      <x:c r="F9" s="12" t="n">
        <x:v>500</x:v>
      </x:c>
      <x:c r="G9" t="n">
        <x:v>5</x:v>
      </x:c>
      <x:c r="H9" t="n">
        <x:v>1</x:v>
      </x:c>
    </x:row>
    <x:row r="10" ht="38" customHeight="1">
      <x:c r="B10" t="str">
        <x:v>AT-EC-04</x:v>
      </x:c>
      <x:c r="C10" t="str">
        <x:v>EC-04</x:v>
      </x:c>
      <x:c r="D10" t="str">
        <x:v>full-source paired</x:v>
      </x:c>
      <x:c r="E10" t="str">
        <x:v>class</x:v>
      </x:c>
      <x:c r="F10" s="12" t="n">
        <x:v>2000</x:v>
      </x:c>
      <x:c r="G10" t="n">
        <x:v>9</x:v>
      </x:c>
      <x:c r="H10" t="n">
        <x:v>1</x:v>
      </x:c>
    </x:row>
    <x:row r="11" ht="38" customHeight="1">
      <x:c r="B11" t="str">
        <x:v>AT-EC-05</x:v>
      </x:c>
      <x:c r="C11" t="str">
        <x:v>EC-05</x:v>
      </x:c>
      <x:c r="D11" t="str">
        <x:v>destructive</x:v>
      </x:c>
      <x:c r="E11" t="str">
        <x:v>class</x:v>
      </x:c>
      <x:c r="F11" s="12" t="n">
        <x:v>2000</x:v>
      </x:c>
      <x:c r="G11" t="n">
        <x:v>14</x:v>
      </x:c>
      <x:c r="H11" t="n">
        <x:v>1</x:v>
      </x:c>
    </x:row>
    <x:row r="12" ht="38" customHeight="1">
      <x:c r="B12" t="str">
        <x:v>AT-EC-06</x:v>
      </x:c>
      <x:c r="C12" t="str">
        <x:v>EC-06</x:v>
      </x:c>
      <x:c r="D12" t="str">
        <x:v>recovery/reset</x:v>
      </x:c>
      <x:c r="E12" t="str">
        <x:v>class</x:v>
      </x:c>
      <x:c r="F12" s="12" t="n">
        <x:v>0</x:v>
      </x:c>
      <x:c r="G12" t="n">
        <x:v>7</x:v>
      </x:c>
      <x:c r="H12" t="n">
        <x:v>1</x:v>
      </x:c>
    </x:row>
    <x:row r="13" ht="38" customHeight="1">
      <x:c r="B13" t="str">
        <x:v>AT-EC-07</x:v>
      </x:c>
      <x:c r="C13" t="str">
        <x:v>EC-07</x:v>
      </x:c>
      <x:c r="D13" t="str">
        <x:v>cross-site replay</x:v>
      </x:c>
      <x:c r="E13" t="str">
        <x:v>class</x:v>
      </x:c>
      <x:c r="F13" s="12" t="n">
        <x:v>0</x:v>
      </x:c>
      <x:c r="G13" t="n">
        <x:v>8</x:v>
      </x:c>
      <x:c r="H13" t="n">
        <x:v>1</x:v>
      </x:c>
    </x:row>
    <x:row r="14" ht="38" customHeight="1">
      <x:c r="B14" t="str">
        <x:v>AT-A01-C</x:v>
      </x:c>
      <x:c r="C14" t="str">
        <x:v>EC-03</x:v>
      </x:c>
      <x:c r="D14" t="str">
        <x:v>adverse grade</x:v>
      </x:c>
      <x:c r="E14" t="str">
        <x:v>control</x:v>
      </x:c>
      <x:c r="F14" s="12" t="str">
        <x:v>matched clean state</x:v>
      </x:c>
      <x:c r="G14" t="str">
        <x:v>AM-05</x:v>
      </x:c>
      <x:c r="H14" t="n">
        <x:v>1</x:v>
      </x:c>
    </x:row>
    <x:row r="15" ht="38" customHeight="1">
      <x:c r="B15" t="str">
        <x:v>AT-A01-X</x:v>
      </x:c>
      <x:c r="C15" t="str">
        <x:v>EC-03</x:v>
      </x:c>
      <x:c r="D15" t="str">
        <x:v>adverse grade</x:v>
      </x:c>
      <x:c r="E15" t="str">
        <x:v>challenge</x:v>
      </x:c>
      <x:c r="F15" s="12" t="str">
        <x:v>1.0% reverse local grade plus ±25 mm datum error</x:v>
      </x:c>
      <x:c r="G15" t="str">
        <x:v>AM-05</x:v>
      </x:c>
      <x:c r="H15" t="n">
        <x:v>1</x:v>
      </x:c>
    </x:row>
    <x:row r="16" ht="38" customHeight="1">
      <x:c r="B16" t="str">
        <x:v>AT-A02-C</x:v>
      </x:c>
      <x:c r="C16" t="str">
        <x:v>EC-03</x:v>
      </x:c>
      <x:c r="D16" t="str">
        <x:v>half drain area</x:v>
      </x:c>
      <x:c r="E16" t="str">
        <x:v>control</x:v>
      </x:c>
      <x:c r="F16" s="12" t="str">
        <x:v>matched clean state</x:v>
      </x:c>
      <x:c r="G16" t="str">
        <x:v>AM-05</x:v>
      </x:c>
      <x:c r="H16" t="n">
        <x:v>1</x:v>
      </x:c>
    </x:row>
    <x:row r="17" ht="38" customHeight="1">
      <x:c r="B17" t="str">
        <x:v>AT-A02-X</x:v>
      </x:c>
      <x:c r="C17" t="str">
        <x:v>EC-03</x:v>
      </x:c>
      <x:c r="D17" t="str">
        <x:v>half drain area</x:v>
      </x:c>
      <x:c r="E17" t="str">
        <x:v>challenge</x:v>
      </x:c>
      <x:c r="F17" s="12" t="str">
        <x:v>50% effective source-drain area</x:v>
      </x:c>
      <x:c r="G17" t="str">
        <x:v>AM-05</x:v>
      </x:c>
      <x:c r="H17" t="n">
        <x:v>1</x:v>
      </x:c>
    </x:row>
    <x:row r="18" ht="38" customHeight="1">
      <x:c r="B18" t="str">
        <x:v>AT-A03-C</x:v>
      </x:c>
      <x:c r="C18" t="str">
        <x:v>EC-03</x:v>
      </x:c>
      <x:c r="D18" t="str">
        <x:v>sump half full</x:v>
      </x:c>
      <x:c r="E18" t="str">
        <x:v>control</x:v>
      </x:c>
      <x:c r="F18" s="12" t="str">
        <x:v>matched clean state</x:v>
      </x:c>
      <x:c r="G18" t="str">
        <x:v>AM-05</x:v>
      </x:c>
      <x:c r="H18" t="n">
        <x:v>1</x:v>
      </x:c>
    </x:row>
    <x:row r="19" ht="38" customHeight="1">
      <x:c r="B19" t="str">
        <x:v>AT-A03-X</x:v>
      </x:c>
      <x:c r="C19" t="str">
        <x:v>EC-03</x:v>
      </x:c>
      <x:c r="D19" t="str">
        <x:v>sump half full</x:v>
      </x:c>
      <x:c r="E19" t="str">
        <x:v>challenge</x:v>
      </x:c>
      <x:c r="F19" s="12" t="str">
        <x:v>candidate sump at 50% liquid-equivalent fill</x:v>
      </x:c>
      <x:c r="G19" t="str">
        <x:v>AM-05</x:v>
      </x:c>
      <x:c r="H19" t="n">
        <x:v>1</x:v>
      </x:c>
    </x:row>
    <x:row r="20" ht="38" customHeight="1">
      <x:c r="B20" t="str">
        <x:v>AT-A04-C</x:v>
      </x:c>
      <x:c r="C20" t="str">
        <x:v>EC-03</x:v>
      </x:c>
      <x:c r="D20" t="str">
        <x:v>debris field</x:v>
      </x:c>
      <x:c r="E20" t="str">
        <x:v>control</x:v>
      </x:c>
      <x:c r="F20" s="12" t="str">
        <x:v>matched clean state</x:v>
      </x:c>
      <x:c r="G20" t="str">
        <x:v>AM-05</x:v>
      </x:c>
      <x:c r="H20" t="n">
        <x:v>1</x:v>
      </x:c>
    </x:row>
    <x:row r="21" ht="38" customHeight="1">
      <x:c r="B21" t="str">
        <x:v>AT-A04-X</x:v>
      </x:c>
      <x:c r="C21" t="str">
        <x:v>EC-03</x:v>
      </x:c>
      <x:c r="D21" t="str">
        <x:v>debris field</x:v>
      </x:c>
      <x:c r="E21" t="str">
        <x:v>challenge</x:v>
      </x:c>
      <x:c r="F21" s="12" t="str">
        <x:v>25% grate coverage plus ten mapped fragments</x:v>
      </x:c>
      <x:c r="G21" t="str">
        <x:v>AM-05</x:v>
      </x:c>
      <x:c r="H21" t="n">
        <x:v>1</x:v>
      </x:c>
    </x:row>
    <x:row r="22" ht="38" customHeight="1">
      <x:c r="B22" t="str">
        <x:v>AT-A05-C</x:v>
      </x:c>
      <x:c r="C22" t="str">
        <x:v>EC-04</x:v>
      </x:c>
      <x:c r="D22" t="str">
        <x:v>bounded pool fire</x:v>
      </x:c>
      <x:c r="E22" t="str">
        <x:v>control</x:v>
      </x:c>
      <x:c r="F22" s="12" t="str">
        <x:v>matched clean state</x:v>
      </x:c>
      <x:c r="G22" t="str">
        <x:v>AM-07</x:v>
      </x:c>
      <x:c r="H22" t="n">
        <x:v>1</x:v>
      </x:c>
    </x:row>
    <x:row r="23" ht="38" customHeight="1">
      <x:c r="B23" t="str">
        <x:v>AT-A05-X</x:v>
      </x:c>
      <x:c r="C23" t="str">
        <x:v>EC-04</x:v>
      </x:c>
      <x:c r="D23" t="str">
        <x:v>bounded pool fire</x:v>
      </x:c>
      <x:c r="E23" t="str">
        <x:v>challenge</x:v>
      </x:c>
      <x:c r="F23" s="12" t="str">
        <x:v>25 m2 pool; igniter command at T+15 s</x:v>
      </x:c>
      <x:c r="G23" t="str">
        <x:v>AM-07</x:v>
      </x:c>
      <x:c r="H23" t="n">
        <x:v>1</x:v>
      </x:c>
    </x:row>
    <x:row r="24" ht="38" customHeight="1">
      <x:c r="B24" t="str">
        <x:v>AT-A06-C</x:v>
      </x:c>
      <x:c r="C24" t="str">
        <x:v>EC-04</x:v>
      </x:c>
      <x:c r="D24" t="str">
        <x:v>water capacity shock</x:v>
      </x:c>
      <x:c r="E24" t="str">
        <x:v>control</x:v>
      </x:c>
      <x:c r="F24" s="12" t="str">
        <x:v>matched clean state</x:v>
      </x:c>
      <x:c r="G24" t="str">
        <x:v>AM-07</x:v>
      </x:c>
      <x:c r="H24" t="n">
        <x:v>1</x:v>
      </x:c>
    </x:row>
    <x:row r="25" ht="38" customHeight="1">
      <x:c r="B25" t="str">
        <x:v>AT-A06-X</x:v>
      </x:c>
      <x:c r="C25" t="str">
        <x:v>EC-04</x:v>
      </x:c>
      <x:c r="D25" t="str">
        <x:v>water capacity shock</x:v>
      </x:c>
      <x:c r="E25" t="str">
        <x:v>challenge</x:v>
      </x:c>
      <x:c r="F25" s="12" t="str">
        <x:v>20 min candidate water window; vault begins 50% full</x:v>
      </x:c>
      <x:c r="G25" t="str">
        <x:v>AM-07</x:v>
      </x:c>
      <x:c r="H25" t="n">
        <x:v>1</x:v>
      </x:c>
    </x:row>
    <x:row r="26" ht="38" customHeight="1">
      <x:c r="B26" t="str">
        <x:v>AT-A07-C</x:v>
      </x:c>
      <x:c r="C26" t="str">
        <x:v>EC-04</x:v>
      </x:c>
      <x:c r="D26" t="str">
        <x:v>partial barrier plus wind</x:v>
      </x:c>
      <x:c r="E26" t="str">
        <x:v>control</x:v>
      </x:c>
      <x:c r="F26" s="12" t="str">
        <x:v>matched clean state</x:v>
      </x:c>
      <x:c r="G26" t="str">
        <x:v>AM-07</x:v>
      </x:c>
      <x:c r="H26" t="n">
        <x:v>1</x:v>
      </x:c>
    </x:row>
    <x:row r="27" ht="38" customHeight="1">
      <x:c r="B27" t="str">
        <x:v>AT-A07-X</x:v>
      </x:c>
      <x:c r="C27" t="str">
        <x:v>EC-04</x:v>
      </x:c>
      <x:c r="D27" t="str">
        <x:v>partial barrier plus wind</x:v>
      </x:c>
      <x:c r="E27" t="str">
        <x:v>challenge</x:v>
      </x:c>
      <x:c r="F27" s="12" t="str">
        <x:v>50% barrier plus 1.5 kPa wind</x:v>
      </x:c>
      <x:c r="G27" t="str">
        <x:v>AM-07</x:v>
      </x:c>
      <x:c r="H27" t="n">
        <x:v>1</x:v>
      </x:c>
    </x:row>
    <x:row r="28" ht="38" customHeight="1">
      <x:c r="B28" t="str">
        <x:v>AT-A08-C</x:v>
      </x:c>
      <x:c r="C28" t="str">
        <x:v>EC-04</x:v>
      </x:c>
      <x:c r="D28" t="str">
        <x:v>compound service denial</x:v>
      </x:c>
      <x:c r="E28" t="str">
        <x:v>control</x:v>
      </x:c>
      <x:c r="F28" s="12" t="str">
        <x:v>matched clean state</x:v>
      </x:c>
      <x:c r="G28" t="str">
        <x:v>AM-07</x:v>
      </x:c>
      <x:c r="H28" t="n">
        <x:v>1</x:v>
      </x:c>
    </x:row>
    <x:row r="29" ht="38" customHeight="1">
      <x:c r="B29" t="str">
        <x:v>AT-A08-X</x:v>
      </x:c>
      <x:c r="C29" t="str">
        <x:v>EC-04</x:v>
      </x:c>
      <x:c r="D29" t="str">
        <x:v>compound service denial</x:v>
      </x:c>
      <x:c r="E29" t="str">
        <x:v>challenge</x:v>
      </x:c>
      <x:c r="F29" s="12" t="str">
        <x:v>30 min candidate window; normal energy, network and primary time denied</x:v>
      </x:c>
      <x:c r="G29" t="str">
        <x:v>AM-07</x:v>
      </x:c>
      <x:c r="H29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5" hidden="0" customWidth="1"/>
    <x:col min="3" max="3" width="13" hidden="0" customWidth="1"/>
    <x:col min="4" max="4" width="13" hidden="0" customWidth="1"/>
    <x:col min="5" max="5" width="13" hidden="0" customWidth="1"/>
    <x:col min="6" max="6" width="11" hidden="0" customWidth="1"/>
    <x:col min="7" max="7" width="12" hidden="0" customWidth="1"/>
    <x:col min="8" max="8" width="13" hidden="0" customWidth="1"/>
    <x:col min="9" max="9" width="25" hidden="0" customWidth="1"/>
    <x:col min="10" max="10" width="14" hidden="0" customWidth="1"/>
    <x:col min="11" max="11" width="18" hidden="0" customWidth="1"/>
    <x:col min="12" max="12" width="59" hidden="0" customWidth="1"/>
    <x:col min="13" max="13" width="15" hidden="0" customWidth="1"/>
    <x:col min="14" max="14" width="16" hidden="0" customWidth="1"/>
    <x:col min="15" max="15" width="14" hidden="0" customWidth="1"/>
    <x:col min="16" max="16" width="11" hidden="0" customWidth="1"/>
    <x:col min="17" max="17" width="18" hidden="0" customWidth="1"/>
    <x:col min="18" max="18" width="21" hidden="0" customWidth="1"/>
    <x:col min="19" max="19" width="21" hidden="0" customWidth="1"/>
    <x:col min="20" max="20" width="16" hidden="0" customWidth="1"/>
    <x:col min="21" max="21" width="17" hidden="0" customWidth="1"/>
  </x:cols>
  <x:sheetData>
    <x:row r="2">
      <x:c r="B2" s="1" t="str">
        <x:v>Exact 306-event Root A execution population</x:v>
      </x:c>
    </x:row>
    <x:row r="3">
      <x:c r="B3" s="2" t="str">
        <x:v>Source, site, rig, method, pair and order are immutable after freeze. Physical fields begin blank.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Event</x:v>
      </x:c>
      <x:c r="C6" s="7" t="str">
        <x:v>Class</x:v>
      </x:c>
      <x:c r="D6" s="7" t="str">
        <x:v>Method</x:v>
      </x:c>
      <x:c r="E6" s="7" t="str">
        <x:v>Candidate</x:v>
      </x:c>
      <x:c r="F6" s="7" t="str">
        <x:v>Builder</x:v>
      </x:c>
      <x:c r="G6" s="7" t="str">
        <x:v>Site</x:v>
      </x:c>
      <x:c r="H6" s="7" t="str">
        <x:v>Rig</x:v>
      </x:c>
      <x:c r="I6" s="7" t="str">
        <x:v>Protocol</x:v>
      </x:c>
      <x:c r="J6" s="7" t="str">
        <x:v>Pair</x:v>
      </x:c>
      <x:c r="K6" s="7" t="str">
        <x:v>Condition</x:v>
      </x:c>
      <x:c r="L6" s="7" t="str">
        <x:v>Challenge/state</x:v>
      </x:c>
      <x:c r="M6" s="7" t="str">
        <x:v>Source kg</x:v>
      </x:c>
      <x:c r="N6" s="7" t="str">
        <x:v>Water min</x:v>
      </x:c>
      <x:c r="O6" s="7" t="str">
        <x:v>Rig-days</x:v>
      </x:c>
      <x:c r="P6" s="7" t="str">
        <x:v>Order</x:v>
      </x:c>
      <x:c r="Q6" s="7" t="str">
        <x:v>Assigned date</x:v>
      </x:c>
      <x:c r="R6" s="7" t="str">
        <x:v>Executed UTC</x:v>
      </x:c>
      <x:c r="S6" s="7" t="str">
        <x:v>Evidence UTC</x:v>
      </x:c>
      <x:c r="T6" s="7" t="str">
        <x:v>Validity</x:v>
      </x:c>
      <x:c r="U6" s="7" t="str">
        <x:v>Outcome</x:v>
      </x:c>
    </x:row>
    <x:row r="7" ht="36" customHeight="1">
      <x:c r="B7" t="str">
        <x:v>RFE-E001</x:v>
      </x:c>
      <x:c r="C7" t="str">
        <x:v>EC-01</x:v>
      </x:c>
      <x:c r="D7" t="str">
        <x:v>AM-00</x:v>
      </x:c>
      <x:c r="E7" t="str">
        <x:v>AF-1</x:v>
      </x:c>
      <x:c r="F7" t="str">
        <x:v>BA</x:v>
      </x:c>
      <x:c r="G7" t="str">
        <x:v>PTC-A</x:v>
      </x:c>
      <x:c r="H7" t="str">
        <x:v>RFP-A1</x:v>
      </x:c>
      <x:c r="I7" s="12" t="str">
        <x:v>AF-1-BA-DEV-01</x:v>
      </x:c>
      <x:c r="J7" t="str">
        <x:v>—</x:v>
      </x:c>
      <x:c r="K7" t="str">
        <x:v>development</x:v>
      </x:c>
      <x:c r="L7" s="12" t="str">
        <x:v>geometry A</x:v>
      </x:c>
      <x:c r="M7" s="14" t="n">
        <x:v>0</x:v>
      </x:c>
      <x:c r="N7" s="14" t="n">
        <x:v>0</x:v>
      </x:c>
      <x:c r="O7" s="14" t="n">
        <x:v>3</x:v>
      </x:c>
      <x:c r="P7" s="14" t="n">
        <x:v>1</x:v>
      </x:c>
      <x:c r="Q7" t="str"/>
      <x:c r="R7" t="str"/>
      <x:c r="S7" t="str"/>
      <x:c r="T7" t="str"/>
      <x:c r="U7" t="str"/>
    </x:row>
    <x:row r="8" ht="36" customHeight="1">
      <x:c r="B8" t="str">
        <x:v>RFE-E002</x:v>
      </x:c>
      <x:c r="C8" t="str">
        <x:v>EC-01</x:v>
      </x:c>
      <x:c r="D8" t="str">
        <x:v>AM-00</x:v>
      </x:c>
      <x:c r="E8" t="str">
        <x:v>AF-1</x:v>
      </x:c>
      <x:c r="F8" t="str">
        <x:v>BA</x:v>
      </x:c>
      <x:c r="G8" t="str">
        <x:v>PTC-B</x:v>
      </x:c>
      <x:c r="H8" t="str">
        <x:v>RFP-B1</x:v>
      </x:c>
      <x:c r="I8" s="12" t="str">
        <x:v>AF-1-BA-DEV-02</x:v>
      </x:c>
      <x:c r="J8" t="str">
        <x:v>—</x:v>
      </x:c>
      <x:c r="K8" t="str">
        <x:v>development</x:v>
      </x:c>
      <x:c r="L8" s="12" t="str">
        <x:v>geometry B</x:v>
      </x:c>
      <x:c r="M8" s="14" t="n">
        <x:v>0</x:v>
      </x:c>
      <x:c r="N8" s="14" t="n">
        <x:v>0</x:v>
      </x:c>
      <x:c r="O8" s="14" t="n">
        <x:v>3</x:v>
      </x:c>
      <x:c r="P8" s="14" t="n">
        <x:v>2</x:v>
      </x:c>
      <x:c r="Q8" t="str"/>
      <x:c r="R8" t="str"/>
      <x:c r="S8" t="str"/>
      <x:c r="T8" t="str"/>
      <x:c r="U8" t="str"/>
    </x:row>
    <x:row r="9" ht="36" customHeight="1">
      <x:c r="B9" t="str">
        <x:v>RFE-E003</x:v>
      </x:c>
      <x:c r="C9" t="str">
        <x:v>EC-01</x:v>
      </x:c>
      <x:c r="D9" t="str">
        <x:v>AM-01</x:v>
      </x:c>
      <x:c r="E9" t="str">
        <x:v>AF-1</x:v>
      </x:c>
      <x:c r="F9" t="str">
        <x:v>BA</x:v>
      </x:c>
      <x:c r="G9" t="str">
        <x:v>PTC-A</x:v>
      </x:c>
      <x:c r="H9" t="str">
        <x:v>RFP-A1</x:v>
      </x:c>
      <x:c r="I9" s="12" t="str">
        <x:v>AF-1-BA-DEV-03</x:v>
      </x:c>
      <x:c r="J9" t="str">
        <x:v>—</x:v>
      </x:c>
      <x:c r="K9" t="str">
        <x:v>development</x:v>
      </x:c>
      <x:c r="L9" s="12" t="str">
        <x:v>water-only A</x:v>
      </x:c>
      <x:c r="M9" s="14" t="n">
        <x:v>0</x:v>
      </x:c>
      <x:c r="N9" s="14" t="n">
        <x:v>0</x:v>
      </x:c>
      <x:c r="O9" s="14" t="n">
        <x:v>3</x:v>
      </x:c>
      <x:c r="P9" s="14" t="n">
        <x:v>3</x:v>
      </x:c>
      <x:c r="Q9" t="str"/>
      <x:c r="R9" t="str"/>
      <x:c r="S9" t="str"/>
      <x:c r="T9" t="str"/>
      <x:c r="U9" t="str"/>
    </x:row>
    <x:row r="10" ht="36" customHeight="1">
      <x:c r="B10" t="str">
        <x:v>RFE-E004</x:v>
      </x:c>
      <x:c r="C10" t="str">
        <x:v>EC-01</x:v>
      </x:c>
      <x:c r="D10" t="str">
        <x:v>AM-01</x:v>
      </x:c>
      <x:c r="E10" t="str">
        <x:v>AF-1</x:v>
      </x:c>
      <x:c r="F10" t="str">
        <x:v>BA</x:v>
      </x:c>
      <x:c r="G10" t="str">
        <x:v>PTC-C</x:v>
      </x:c>
      <x:c r="H10" t="str">
        <x:v>RFP-C1</x:v>
      </x:c>
      <x:c r="I10" s="12" t="str">
        <x:v>AF-1-BA-DEV-04</x:v>
      </x:c>
      <x:c r="J10" t="str">
        <x:v>—</x:v>
      </x:c>
      <x:c r="K10" t="str">
        <x:v>development</x:v>
      </x:c>
      <x:c r="L10" s="12" t="str">
        <x:v>water-only C</x:v>
      </x:c>
      <x:c r="M10" s="14" t="n">
        <x:v>0</x:v>
      </x:c>
      <x:c r="N10" s="14" t="n">
        <x:v>0</x:v>
      </x:c>
      <x:c r="O10" s="14" t="n">
        <x:v>3</x:v>
      </x:c>
      <x:c r="P10" s="14" t="n">
        <x:v>4</x:v>
      </x:c>
      <x:c r="Q10" t="str"/>
      <x:c r="R10" t="str"/>
      <x:c r="S10" t="str"/>
      <x:c r="T10" t="str"/>
      <x:c r="U10" t="str"/>
    </x:row>
    <x:row r="11" ht="36" customHeight="1">
      <x:c r="B11" t="str">
        <x:v>RFE-E005</x:v>
      </x:c>
      <x:c r="C11" t="str">
        <x:v>EC-01</x:v>
      </x:c>
      <x:c r="D11" t="str">
        <x:v>AM-02</x:v>
      </x:c>
      <x:c r="E11" t="str">
        <x:v>AF-1</x:v>
      </x:c>
      <x:c r="F11" t="str">
        <x:v>BA</x:v>
      </x:c>
      <x:c r="G11" t="str">
        <x:v>PTC-B</x:v>
      </x:c>
      <x:c r="H11" t="str">
        <x:v>RFP-B1</x:v>
      </x:c>
      <x:c r="I11" s="12" t="str">
        <x:v>AF-1-BA-DEV-05</x:v>
      </x:c>
      <x:c r="J11" t="str">
        <x:v>—</x:v>
      </x:c>
      <x:c r="K11" t="str">
        <x:v>development</x:v>
      </x:c>
      <x:c r="L11" s="12" t="str">
        <x:v>safe surrogate B</x:v>
      </x:c>
      <x:c r="M11" s="14" t="n">
        <x:v>0</x:v>
      </x:c>
      <x:c r="N11" s="14" t="n">
        <x:v>0</x:v>
      </x:c>
      <x:c r="O11" s="14" t="n">
        <x:v>3</x:v>
      </x:c>
      <x:c r="P11" s="14" t="n">
        <x:v>5</x:v>
      </x:c>
      <x:c r="Q11" t="str"/>
      <x:c r="R11" t="str"/>
      <x:c r="S11" t="str"/>
      <x:c r="T11" t="str"/>
      <x:c r="U11" t="str"/>
    </x:row>
    <x:row r="12" ht="36" customHeight="1">
      <x:c r="B12" t="str">
        <x:v>RFE-E006</x:v>
      </x:c>
      <x:c r="C12" t="str">
        <x:v>EC-01</x:v>
      </x:c>
      <x:c r="D12" t="str">
        <x:v>AM-02</x:v>
      </x:c>
      <x:c r="E12" t="str">
        <x:v>AF-1</x:v>
      </x:c>
      <x:c r="F12" t="str">
        <x:v>BA</x:v>
      </x:c>
      <x:c r="G12" t="str">
        <x:v>PTC-C</x:v>
      </x:c>
      <x:c r="H12" t="str">
        <x:v>RFP-C1</x:v>
      </x:c>
      <x:c r="I12" s="12" t="str">
        <x:v>AF-1-BA-DEV-06</x:v>
      </x:c>
      <x:c r="J12" t="str">
        <x:v>—</x:v>
      </x:c>
      <x:c r="K12" t="str">
        <x:v>development</x:v>
      </x:c>
      <x:c r="L12" s="12" t="str">
        <x:v>safe surrogate C</x:v>
      </x:c>
      <x:c r="M12" s="14" t="n">
        <x:v>0</x:v>
      </x:c>
      <x:c r="N12" s="14" t="n">
        <x:v>0</x:v>
      </x:c>
      <x:c r="O12" s="14" t="n">
        <x:v>3</x:v>
      </x:c>
      <x:c r="P12" s="14" t="n">
        <x:v>6</x:v>
      </x:c>
      <x:c r="Q12" t="str"/>
      <x:c r="R12" t="str"/>
      <x:c r="S12" t="str"/>
      <x:c r="T12" t="str"/>
      <x:c r="U12" t="str"/>
    </x:row>
    <x:row r="13" ht="36" customHeight="1">
      <x:c r="B13" t="str">
        <x:v>RFE-E007</x:v>
      </x:c>
      <x:c r="C13" t="str">
        <x:v>EC-01</x:v>
      </x:c>
      <x:c r="D13" t="str">
        <x:v>AM-03</x:v>
      </x:c>
      <x:c r="E13" t="str">
        <x:v>AF-1</x:v>
      </x:c>
      <x:c r="F13" t="str">
        <x:v>BA</x:v>
      </x:c>
      <x:c r="G13" t="str">
        <x:v>PTC-A</x:v>
      </x:c>
      <x:c r="H13" t="str">
        <x:v>RFP-A1</x:v>
      </x:c>
      <x:c r="I13" s="12" t="str">
        <x:v>AF-1-BA-DEV-07</x:v>
      </x:c>
      <x:c r="J13" t="str">
        <x:v>—</x:v>
      </x:c>
      <x:c r="K13" t="str">
        <x:v>development</x:v>
      </x:c>
      <x:c r="L13" s="12" t="str">
        <x:v>debris A</x:v>
      </x:c>
      <x:c r="M13" s="14" t="n">
        <x:v>0</x:v>
      </x:c>
      <x:c r="N13" s="14" t="n">
        <x:v>0</x:v>
      </x:c>
      <x:c r="O13" s="14" t="n">
        <x:v>3</x:v>
      </x:c>
      <x:c r="P13" s="14" t="n">
        <x:v>7</x:v>
      </x:c>
      <x:c r="Q13" t="str"/>
      <x:c r="R13" t="str"/>
      <x:c r="S13" t="str"/>
      <x:c r="T13" t="str"/>
      <x:c r="U13" t="str"/>
    </x:row>
    <x:row r="14" ht="36" customHeight="1">
      <x:c r="B14" t="str">
        <x:v>RFE-E008</x:v>
      </x:c>
      <x:c r="C14" t="str">
        <x:v>EC-01</x:v>
      </x:c>
      <x:c r="D14" t="str">
        <x:v>AM-03</x:v>
      </x:c>
      <x:c r="E14" t="str">
        <x:v>AF-1</x:v>
      </x:c>
      <x:c r="F14" t="str">
        <x:v>BA</x:v>
      </x:c>
      <x:c r="G14" t="str">
        <x:v>PTC-B</x:v>
      </x:c>
      <x:c r="H14" t="str">
        <x:v>RFP-B1</x:v>
      </x:c>
      <x:c r="I14" s="12" t="str">
        <x:v>AF-1-BA-DEV-08</x:v>
      </x:c>
      <x:c r="J14" t="str">
        <x:v>—</x:v>
      </x:c>
      <x:c r="K14" t="str">
        <x:v>development</x:v>
      </x:c>
      <x:c r="L14" s="12" t="str">
        <x:v>debris B</x:v>
      </x:c>
      <x:c r="M14" s="14" t="n">
        <x:v>0</x:v>
      </x:c>
      <x:c r="N14" s="14" t="n">
        <x:v>0</x:v>
      </x:c>
      <x:c r="O14" s="14" t="n">
        <x:v>3</x:v>
      </x:c>
      <x:c r="P14" s="14" t="n">
        <x:v>8</x:v>
      </x:c>
      <x:c r="Q14" t="str"/>
      <x:c r="R14" t="str"/>
      <x:c r="S14" t="str"/>
      <x:c r="T14" t="str"/>
      <x:c r="U14" t="str"/>
    </x:row>
    <x:row r="15" ht="36" customHeight="1">
      <x:c r="B15" t="str">
        <x:v>RFE-E009</x:v>
      </x:c>
      <x:c r="C15" t="str">
        <x:v>EC-01</x:v>
      </x:c>
      <x:c r="D15" t="str">
        <x:v>AM-04</x:v>
      </x:c>
      <x:c r="E15" t="str">
        <x:v>AF-1</x:v>
      </x:c>
      <x:c r="F15" t="str">
        <x:v>BA</x:v>
      </x:c>
      <x:c r="G15" t="str">
        <x:v>PTC-B</x:v>
      </x:c>
      <x:c r="H15" t="str">
        <x:v>RFP-B1</x:v>
      </x:c>
      <x:c r="I15" s="12" t="str">
        <x:v>AF-1-BA-DEV-09</x:v>
      </x:c>
      <x:c r="J15" t="str">
        <x:v>—</x:v>
      </x:c>
      <x:c r="K15" t="str">
        <x:v>development</x:v>
      </x:c>
      <x:c r="L15" s="12" t="str">
        <x:v>tracer B</x:v>
      </x:c>
      <x:c r="M15" s="14" t="n">
        <x:v>0</x:v>
      </x:c>
      <x:c r="N15" s="14" t="n">
        <x:v>0</x:v>
      </x:c>
      <x:c r="O15" s="14" t="n">
        <x:v>3</x:v>
      </x:c>
      <x:c r="P15" s="14" t="n">
        <x:v>9</x:v>
      </x:c>
      <x:c r="Q15" t="str"/>
      <x:c r="R15" t="str"/>
      <x:c r="S15" t="str"/>
      <x:c r="T15" t="str"/>
      <x:c r="U15" t="str"/>
    </x:row>
    <x:row r="16" ht="36" customHeight="1">
      <x:c r="B16" t="str">
        <x:v>RFE-E010</x:v>
      </x:c>
      <x:c r="C16" t="str">
        <x:v>EC-01</x:v>
      </x:c>
      <x:c r="D16" t="str">
        <x:v>AM-04</x:v>
      </x:c>
      <x:c r="E16" t="str">
        <x:v>AF-1</x:v>
      </x:c>
      <x:c r="F16" t="str">
        <x:v>BA</x:v>
      </x:c>
      <x:c r="G16" t="str">
        <x:v>PTC-C</x:v>
      </x:c>
      <x:c r="H16" t="str">
        <x:v>RFP-C1</x:v>
      </x:c>
      <x:c r="I16" s="12" t="str">
        <x:v>AF-1-BA-DEV-10</x:v>
      </x:c>
      <x:c r="J16" t="str">
        <x:v>—</x:v>
      </x:c>
      <x:c r="K16" t="str">
        <x:v>development</x:v>
      </x:c>
      <x:c r="L16" s="12" t="str">
        <x:v>tracer C</x:v>
      </x:c>
      <x:c r="M16" s="14" t="n">
        <x:v>0</x:v>
      </x:c>
      <x:c r="N16" s="14" t="n">
        <x:v>0</x:v>
      </x:c>
      <x:c r="O16" s="14" t="n">
        <x:v>3</x:v>
      </x:c>
      <x:c r="P16" s="14" t="n">
        <x:v>10</x:v>
      </x:c>
      <x:c r="Q16" t="str"/>
      <x:c r="R16" t="str"/>
      <x:c r="S16" t="str"/>
      <x:c r="T16" t="str"/>
      <x:c r="U16" t="str"/>
    </x:row>
    <x:row r="17" ht="36" customHeight="1">
      <x:c r="B17" t="str">
        <x:v>RFE-E011</x:v>
      </x:c>
      <x:c r="C17" t="str">
        <x:v>EC-02</x:v>
      </x:c>
      <x:c r="D17" t="str">
        <x:v>AM-05</x:v>
      </x:c>
      <x:c r="E17" t="str">
        <x:v>AF-1</x:v>
      </x:c>
      <x:c r="F17" t="str">
        <x:v>BA</x:v>
      </x:c>
      <x:c r="G17" t="str">
        <x:v>PTC-B</x:v>
      </x:c>
      <x:c r="H17" t="str">
        <x:v>RFP-B1</x:v>
      </x:c>
      <x:c r="I17" s="12" t="str">
        <x:v>AF-1-BA-DEV-11</x:v>
      </x:c>
      <x:c r="J17" t="str">
        <x:v>—</x:v>
      </x:c>
      <x:c r="K17" t="str">
        <x:v>development</x:v>
      </x:c>
      <x:c r="L17" s="12" t="str">
        <x:v>quarter unignited anchor</x:v>
      </x:c>
      <x:c r="M17" s="14" t="n">
        <x:v>500</x:v>
      </x:c>
      <x:c r="N17" s="14" t="n">
        <x:v>0</x:v>
      </x:c>
      <x:c r="O17" s="14" t="n">
        <x:v>6</x:v>
      </x:c>
      <x:c r="P17" s="14" t="n">
        <x:v>11</x:v>
      </x:c>
      <x:c r="Q17" t="str"/>
      <x:c r="R17" t="str"/>
      <x:c r="S17" t="str"/>
      <x:c r="T17" t="str"/>
      <x:c r="U17" t="str"/>
    </x:row>
    <x:row r="18" ht="36" customHeight="1">
      <x:c r="B18" t="str">
        <x:v>RFE-E012</x:v>
      </x:c>
      <x:c r="C18" t="str">
        <x:v>EC-02</x:v>
      </x:c>
      <x:c r="D18" t="str">
        <x:v>AM-06</x:v>
      </x:c>
      <x:c r="E18" t="str">
        <x:v>AF-1</x:v>
      </x:c>
      <x:c r="F18" t="str">
        <x:v>BA</x:v>
      </x:c>
      <x:c r="G18" t="str">
        <x:v>PTC-C</x:v>
      </x:c>
      <x:c r="H18" t="str">
        <x:v>RFP-C1</x:v>
      </x:c>
      <x:c r="I18" s="12" t="str">
        <x:v>AF-1-BA-DEV-12</x:v>
      </x:c>
      <x:c r="J18" t="str">
        <x:v>—</x:v>
      </x:c>
      <x:c r="K18" t="str">
        <x:v>development</x:v>
      </x:c>
      <x:c r="L18" s="12" t="str">
        <x:v>quarter fire anchor</x:v>
      </x:c>
      <x:c r="M18" s="14" t="n">
        <x:v>500</x:v>
      </x:c>
      <x:c r="N18" s="14" t="n">
        <x:v>10</x:v>
      </x:c>
      <x:c r="O18" s="14" t="n">
        <x:v>6</x:v>
      </x:c>
      <x:c r="P18" s="14" t="n">
        <x:v>12</x:v>
      </x:c>
      <x:c r="Q18" t="str"/>
      <x:c r="R18" t="str"/>
      <x:c r="S18" t="str"/>
      <x:c r="T18" t="str"/>
      <x:c r="U18" t="str"/>
    </x:row>
    <x:row r="19" ht="36" customHeight="1">
      <x:c r="B19" t="str">
        <x:v>RFE-E013</x:v>
      </x:c>
      <x:c r="C19" t="str">
        <x:v>EC-01</x:v>
      </x:c>
      <x:c r="D19" t="str">
        <x:v>AM-00</x:v>
      </x:c>
      <x:c r="E19" t="str">
        <x:v>AF-1</x:v>
      </x:c>
      <x:c r="F19" t="str">
        <x:v>BB</x:v>
      </x:c>
      <x:c r="G19" t="str">
        <x:v>PTC-A</x:v>
      </x:c>
      <x:c r="H19" t="str">
        <x:v>RFP-A2</x:v>
      </x:c>
      <x:c r="I19" s="12" t="str">
        <x:v>AF-1-BB-DEV-01</x:v>
      </x:c>
      <x:c r="J19" t="str">
        <x:v>—</x:v>
      </x:c>
      <x:c r="K19" t="str">
        <x:v>development</x:v>
      </x:c>
      <x:c r="L19" s="12" t="str">
        <x:v>geometry A</x:v>
      </x:c>
      <x:c r="M19" s="14" t="n">
        <x:v>0</x:v>
      </x:c>
      <x:c r="N19" s="14" t="n">
        <x:v>0</x:v>
      </x:c>
      <x:c r="O19" s="14" t="n">
        <x:v>3</x:v>
      </x:c>
      <x:c r="P19" s="14" t="n">
        <x:v>1</x:v>
      </x:c>
      <x:c r="Q19" t="str"/>
      <x:c r="R19" t="str"/>
      <x:c r="S19" t="str"/>
      <x:c r="T19" t="str"/>
      <x:c r="U19" t="str"/>
    </x:row>
    <x:row r="20" ht="36" customHeight="1">
      <x:c r="B20" t="str">
        <x:v>RFE-E014</x:v>
      </x:c>
      <x:c r="C20" t="str">
        <x:v>EC-01</x:v>
      </x:c>
      <x:c r="D20" t="str">
        <x:v>AM-00</x:v>
      </x:c>
      <x:c r="E20" t="str">
        <x:v>AF-1</x:v>
      </x:c>
      <x:c r="F20" t="str">
        <x:v>BB</x:v>
      </x:c>
      <x:c r="G20" t="str">
        <x:v>PTC-B</x:v>
      </x:c>
      <x:c r="H20" t="str">
        <x:v>RFP-B2</x:v>
      </x:c>
      <x:c r="I20" s="12" t="str">
        <x:v>AF-1-BB-DEV-02</x:v>
      </x:c>
      <x:c r="J20" t="str">
        <x:v>—</x:v>
      </x:c>
      <x:c r="K20" t="str">
        <x:v>development</x:v>
      </x:c>
      <x:c r="L20" s="12" t="str">
        <x:v>geometry B</x:v>
      </x:c>
      <x:c r="M20" s="14" t="n">
        <x:v>0</x:v>
      </x:c>
      <x:c r="N20" s="14" t="n">
        <x:v>0</x:v>
      </x:c>
      <x:c r="O20" s="14" t="n">
        <x:v>3</x:v>
      </x:c>
      <x:c r="P20" s="14" t="n">
        <x:v>2</x:v>
      </x:c>
      <x:c r="Q20" t="str"/>
      <x:c r="R20" t="str"/>
      <x:c r="S20" t="str"/>
      <x:c r="T20" t="str"/>
      <x:c r="U20" t="str"/>
    </x:row>
    <x:row r="21" ht="36" customHeight="1">
      <x:c r="B21" t="str">
        <x:v>RFE-E015</x:v>
      </x:c>
      <x:c r="C21" t="str">
        <x:v>EC-01</x:v>
      </x:c>
      <x:c r="D21" t="str">
        <x:v>AM-01</x:v>
      </x:c>
      <x:c r="E21" t="str">
        <x:v>AF-1</x:v>
      </x:c>
      <x:c r="F21" t="str">
        <x:v>BB</x:v>
      </x:c>
      <x:c r="G21" t="str">
        <x:v>PTC-A</x:v>
      </x:c>
      <x:c r="H21" t="str">
        <x:v>RFP-A2</x:v>
      </x:c>
      <x:c r="I21" s="12" t="str">
        <x:v>AF-1-BB-DEV-03</x:v>
      </x:c>
      <x:c r="J21" t="str">
        <x:v>—</x:v>
      </x:c>
      <x:c r="K21" t="str">
        <x:v>development</x:v>
      </x:c>
      <x:c r="L21" s="12" t="str">
        <x:v>water-only A</x:v>
      </x:c>
      <x:c r="M21" s="14" t="n">
        <x:v>0</x:v>
      </x:c>
      <x:c r="N21" s="14" t="n">
        <x:v>0</x:v>
      </x:c>
      <x:c r="O21" s="14" t="n">
        <x:v>3</x:v>
      </x:c>
      <x:c r="P21" s="14" t="n">
        <x:v>3</x:v>
      </x:c>
      <x:c r="Q21" t="str"/>
      <x:c r="R21" t="str"/>
      <x:c r="S21" t="str"/>
      <x:c r="T21" t="str"/>
      <x:c r="U21" t="str"/>
    </x:row>
    <x:row r="22" ht="36" customHeight="1">
      <x:c r="B22" t="str">
        <x:v>RFE-E016</x:v>
      </x:c>
      <x:c r="C22" t="str">
        <x:v>EC-01</x:v>
      </x:c>
      <x:c r="D22" t="str">
        <x:v>AM-01</x:v>
      </x:c>
      <x:c r="E22" t="str">
        <x:v>AF-1</x:v>
      </x:c>
      <x:c r="F22" t="str">
        <x:v>BB</x:v>
      </x:c>
      <x:c r="G22" t="str">
        <x:v>PTC-C</x:v>
      </x:c>
      <x:c r="H22" t="str">
        <x:v>RFP-C2</x:v>
      </x:c>
      <x:c r="I22" s="12" t="str">
        <x:v>AF-1-BB-DEV-04</x:v>
      </x:c>
      <x:c r="J22" t="str">
        <x:v>—</x:v>
      </x:c>
      <x:c r="K22" t="str">
        <x:v>development</x:v>
      </x:c>
      <x:c r="L22" s="12" t="str">
        <x:v>water-only C</x:v>
      </x:c>
      <x:c r="M22" s="14" t="n">
        <x:v>0</x:v>
      </x:c>
      <x:c r="N22" s="14" t="n">
        <x:v>0</x:v>
      </x:c>
      <x:c r="O22" s="14" t="n">
        <x:v>3</x:v>
      </x:c>
      <x:c r="P22" s="14" t="n">
        <x:v>4</x:v>
      </x:c>
      <x:c r="Q22" t="str"/>
      <x:c r="R22" t="str"/>
      <x:c r="S22" t="str"/>
      <x:c r="T22" t="str"/>
      <x:c r="U22" t="str"/>
    </x:row>
    <x:row r="23" ht="36" customHeight="1">
      <x:c r="B23" t="str">
        <x:v>RFE-E017</x:v>
      </x:c>
      <x:c r="C23" t="str">
        <x:v>EC-01</x:v>
      </x:c>
      <x:c r="D23" t="str">
        <x:v>AM-02</x:v>
      </x:c>
      <x:c r="E23" t="str">
        <x:v>AF-1</x:v>
      </x:c>
      <x:c r="F23" t="str">
        <x:v>BB</x:v>
      </x:c>
      <x:c r="G23" t="str">
        <x:v>PTC-B</x:v>
      </x:c>
      <x:c r="H23" t="str">
        <x:v>RFP-B2</x:v>
      </x:c>
      <x:c r="I23" s="12" t="str">
        <x:v>AF-1-BB-DEV-05</x:v>
      </x:c>
      <x:c r="J23" t="str">
        <x:v>—</x:v>
      </x:c>
      <x:c r="K23" t="str">
        <x:v>development</x:v>
      </x:c>
      <x:c r="L23" s="12" t="str">
        <x:v>safe surrogate B</x:v>
      </x:c>
      <x:c r="M23" s="14" t="n">
        <x:v>0</x:v>
      </x:c>
      <x:c r="N23" s="14" t="n">
        <x:v>0</x:v>
      </x:c>
      <x:c r="O23" s="14" t="n">
        <x:v>3</x:v>
      </x:c>
      <x:c r="P23" s="14" t="n">
        <x:v>5</x:v>
      </x:c>
      <x:c r="Q23" t="str"/>
      <x:c r="R23" t="str"/>
      <x:c r="S23" t="str"/>
      <x:c r="T23" t="str"/>
      <x:c r="U23" t="str"/>
    </x:row>
    <x:row r="24" ht="36" customHeight="1">
      <x:c r="B24" t="str">
        <x:v>RFE-E018</x:v>
      </x:c>
      <x:c r="C24" t="str">
        <x:v>EC-01</x:v>
      </x:c>
      <x:c r="D24" t="str">
        <x:v>AM-02</x:v>
      </x:c>
      <x:c r="E24" t="str">
        <x:v>AF-1</x:v>
      </x:c>
      <x:c r="F24" t="str">
        <x:v>BB</x:v>
      </x:c>
      <x:c r="G24" t="str">
        <x:v>PTC-C</x:v>
      </x:c>
      <x:c r="H24" t="str">
        <x:v>RFP-C2</x:v>
      </x:c>
      <x:c r="I24" s="12" t="str">
        <x:v>AF-1-BB-DEV-06</x:v>
      </x:c>
      <x:c r="J24" t="str">
        <x:v>—</x:v>
      </x:c>
      <x:c r="K24" t="str">
        <x:v>development</x:v>
      </x:c>
      <x:c r="L24" s="12" t="str">
        <x:v>safe surrogate C</x:v>
      </x:c>
      <x:c r="M24" s="14" t="n">
        <x:v>0</x:v>
      </x:c>
      <x:c r="N24" s="14" t="n">
        <x:v>0</x:v>
      </x:c>
      <x:c r="O24" s="14" t="n">
        <x:v>3</x:v>
      </x:c>
      <x:c r="P24" s="14" t="n">
        <x:v>6</x:v>
      </x:c>
      <x:c r="Q24" t="str"/>
      <x:c r="R24" t="str"/>
      <x:c r="S24" t="str"/>
      <x:c r="T24" t="str"/>
      <x:c r="U24" t="str"/>
    </x:row>
    <x:row r="25" ht="36" customHeight="1">
      <x:c r="B25" t="str">
        <x:v>RFE-E019</x:v>
      </x:c>
      <x:c r="C25" t="str">
        <x:v>EC-01</x:v>
      </x:c>
      <x:c r="D25" t="str">
        <x:v>AM-03</x:v>
      </x:c>
      <x:c r="E25" t="str">
        <x:v>AF-1</x:v>
      </x:c>
      <x:c r="F25" t="str">
        <x:v>BB</x:v>
      </x:c>
      <x:c r="G25" t="str">
        <x:v>PTC-A</x:v>
      </x:c>
      <x:c r="H25" t="str">
        <x:v>RFP-A2</x:v>
      </x:c>
      <x:c r="I25" s="12" t="str">
        <x:v>AF-1-BB-DEV-07</x:v>
      </x:c>
      <x:c r="J25" t="str">
        <x:v>—</x:v>
      </x:c>
      <x:c r="K25" t="str">
        <x:v>development</x:v>
      </x:c>
      <x:c r="L25" s="12" t="str">
        <x:v>debris A</x:v>
      </x:c>
      <x:c r="M25" s="14" t="n">
        <x:v>0</x:v>
      </x:c>
      <x:c r="N25" s="14" t="n">
        <x:v>0</x:v>
      </x:c>
      <x:c r="O25" s="14" t="n">
        <x:v>3</x:v>
      </x:c>
      <x:c r="P25" s="14" t="n">
        <x:v>7</x:v>
      </x:c>
      <x:c r="Q25" t="str"/>
      <x:c r="R25" t="str"/>
      <x:c r="S25" t="str"/>
      <x:c r="T25" t="str"/>
      <x:c r="U25" t="str"/>
    </x:row>
    <x:row r="26" ht="36" customHeight="1">
      <x:c r="B26" t="str">
        <x:v>RFE-E020</x:v>
      </x:c>
      <x:c r="C26" t="str">
        <x:v>EC-01</x:v>
      </x:c>
      <x:c r="D26" t="str">
        <x:v>AM-03</x:v>
      </x:c>
      <x:c r="E26" t="str">
        <x:v>AF-1</x:v>
      </x:c>
      <x:c r="F26" t="str">
        <x:v>BB</x:v>
      </x:c>
      <x:c r="G26" t="str">
        <x:v>PTC-B</x:v>
      </x:c>
      <x:c r="H26" t="str">
        <x:v>RFP-B2</x:v>
      </x:c>
      <x:c r="I26" s="12" t="str">
        <x:v>AF-1-BB-DEV-08</x:v>
      </x:c>
      <x:c r="J26" t="str">
        <x:v>—</x:v>
      </x:c>
      <x:c r="K26" t="str">
        <x:v>development</x:v>
      </x:c>
      <x:c r="L26" s="12" t="str">
        <x:v>debris B</x:v>
      </x:c>
      <x:c r="M26" s="14" t="n">
        <x:v>0</x:v>
      </x:c>
      <x:c r="N26" s="14" t="n">
        <x:v>0</x:v>
      </x:c>
      <x:c r="O26" s="14" t="n">
        <x:v>3</x:v>
      </x:c>
      <x:c r="P26" s="14" t="n">
        <x:v>8</x:v>
      </x:c>
      <x:c r="Q26" t="str"/>
      <x:c r="R26" t="str"/>
      <x:c r="S26" t="str"/>
      <x:c r="T26" t="str"/>
      <x:c r="U26" t="str"/>
    </x:row>
    <x:row r="27" ht="36" customHeight="1">
      <x:c r="B27" t="str">
        <x:v>RFE-E021</x:v>
      </x:c>
      <x:c r="C27" t="str">
        <x:v>EC-01</x:v>
      </x:c>
      <x:c r="D27" t="str">
        <x:v>AM-04</x:v>
      </x:c>
      <x:c r="E27" t="str">
        <x:v>AF-1</x:v>
      </x:c>
      <x:c r="F27" t="str">
        <x:v>BB</x:v>
      </x:c>
      <x:c r="G27" t="str">
        <x:v>PTC-B</x:v>
      </x:c>
      <x:c r="H27" t="str">
        <x:v>RFP-B2</x:v>
      </x:c>
      <x:c r="I27" s="12" t="str">
        <x:v>AF-1-BB-DEV-09</x:v>
      </x:c>
      <x:c r="J27" t="str">
        <x:v>—</x:v>
      </x:c>
      <x:c r="K27" t="str">
        <x:v>development</x:v>
      </x:c>
      <x:c r="L27" s="12" t="str">
        <x:v>tracer B</x:v>
      </x:c>
      <x:c r="M27" s="14" t="n">
        <x:v>0</x:v>
      </x:c>
      <x:c r="N27" s="14" t="n">
        <x:v>0</x:v>
      </x:c>
      <x:c r="O27" s="14" t="n">
        <x:v>3</x:v>
      </x:c>
      <x:c r="P27" s="14" t="n">
        <x:v>9</x:v>
      </x:c>
      <x:c r="Q27" t="str"/>
      <x:c r="R27" t="str"/>
      <x:c r="S27" t="str"/>
      <x:c r="T27" t="str"/>
      <x:c r="U27" t="str"/>
    </x:row>
    <x:row r="28" ht="36" customHeight="1">
      <x:c r="B28" t="str">
        <x:v>RFE-E022</x:v>
      </x:c>
      <x:c r="C28" t="str">
        <x:v>EC-01</x:v>
      </x:c>
      <x:c r="D28" t="str">
        <x:v>AM-04</x:v>
      </x:c>
      <x:c r="E28" t="str">
        <x:v>AF-1</x:v>
      </x:c>
      <x:c r="F28" t="str">
        <x:v>BB</x:v>
      </x:c>
      <x:c r="G28" t="str">
        <x:v>PTC-C</x:v>
      </x:c>
      <x:c r="H28" t="str">
        <x:v>RFP-C2</x:v>
      </x:c>
      <x:c r="I28" s="12" t="str">
        <x:v>AF-1-BB-DEV-10</x:v>
      </x:c>
      <x:c r="J28" t="str">
        <x:v>—</x:v>
      </x:c>
      <x:c r="K28" t="str">
        <x:v>development</x:v>
      </x:c>
      <x:c r="L28" s="12" t="str">
        <x:v>tracer C</x:v>
      </x:c>
      <x:c r="M28" s="14" t="n">
        <x:v>0</x:v>
      </x:c>
      <x:c r="N28" s="14" t="n">
        <x:v>0</x:v>
      </x:c>
      <x:c r="O28" s="14" t="n">
        <x:v>3</x:v>
      </x:c>
      <x:c r="P28" s="14" t="n">
        <x:v>10</x:v>
      </x:c>
      <x:c r="Q28" t="str"/>
      <x:c r="R28" t="str"/>
      <x:c r="S28" t="str"/>
      <x:c r="T28" t="str"/>
      <x:c r="U28" t="str"/>
    </x:row>
    <x:row r="29" ht="36" customHeight="1">
      <x:c r="B29" t="str">
        <x:v>RFE-E023</x:v>
      </x:c>
      <x:c r="C29" t="str">
        <x:v>EC-02</x:v>
      </x:c>
      <x:c r="D29" t="str">
        <x:v>AM-05</x:v>
      </x:c>
      <x:c r="E29" t="str">
        <x:v>AF-1</x:v>
      </x:c>
      <x:c r="F29" t="str">
        <x:v>BB</x:v>
      </x:c>
      <x:c r="G29" t="str">
        <x:v>PTC-B</x:v>
      </x:c>
      <x:c r="H29" t="str">
        <x:v>RFP-B2</x:v>
      </x:c>
      <x:c r="I29" s="12" t="str">
        <x:v>AF-1-BB-DEV-11</x:v>
      </x:c>
      <x:c r="J29" t="str">
        <x:v>—</x:v>
      </x:c>
      <x:c r="K29" t="str">
        <x:v>development</x:v>
      </x:c>
      <x:c r="L29" s="12" t="str">
        <x:v>quarter unignited anchor</x:v>
      </x:c>
      <x:c r="M29" s="14" t="n">
        <x:v>500</x:v>
      </x:c>
      <x:c r="N29" s="14" t="n">
        <x:v>0</x:v>
      </x:c>
      <x:c r="O29" s="14" t="n">
        <x:v>6</x:v>
      </x:c>
      <x:c r="P29" s="14" t="n">
        <x:v>11</x:v>
      </x:c>
      <x:c r="Q29" t="str"/>
      <x:c r="R29" t="str"/>
      <x:c r="S29" t="str"/>
      <x:c r="T29" t="str"/>
      <x:c r="U29" t="str"/>
    </x:row>
    <x:row r="30" ht="36" customHeight="1">
      <x:c r="B30" t="str">
        <x:v>RFE-E024</x:v>
      </x:c>
      <x:c r="C30" t="str">
        <x:v>EC-02</x:v>
      </x:c>
      <x:c r="D30" t="str">
        <x:v>AM-06</x:v>
      </x:c>
      <x:c r="E30" t="str">
        <x:v>AF-1</x:v>
      </x:c>
      <x:c r="F30" t="str">
        <x:v>BB</x:v>
      </x:c>
      <x:c r="G30" t="str">
        <x:v>PTC-C</x:v>
      </x:c>
      <x:c r="H30" t="str">
        <x:v>RFP-C2</x:v>
      </x:c>
      <x:c r="I30" s="12" t="str">
        <x:v>AF-1-BB-DEV-12</x:v>
      </x:c>
      <x:c r="J30" t="str">
        <x:v>—</x:v>
      </x:c>
      <x:c r="K30" t="str">
        <x:v>development</x:v>
      </x:c>
      <x:c r="L30" s="12" t="str">
        <x:v>quarter fire anchor</x:v>
      </x:c>
      <x:c r="M30" s="14" t="n">
        <x:v>500</x:v>
      </x:c>
      <x:c r="N30" s="14" t="n">
        <x:v>10</x:v>
      </x:c>
      <x:c r="O30" s="14" t="n">
        <x:v>6</x:v>
      </x:c>
      <x:c r="P30" s="14" t="n">
        <x:v>12</x:v>
      </x:c>
      <x:c r="Q30" t="str"/>
      <x:c r="R30" t="str"/>
      <x:c r="S30" t="str"/>
      <x:c r="T30" t="str"/>
      <x:c r="U30" t="str"/>
    </x:row>
    <x:row r="31" ht="36" customHeight="1">
      <x:c r="B31" t="str">
        <x:v>RFE-E025</x:v>
      </x:c>
      <x:c r="C31" t="str">
        <x:v>EC-01</x:v>
      </x:c>
      <x:c r="D31" t="str">
        <x:v>AM-00</x:v>
      </x:c>
      <x:c r="E31" t="str">
        <x:v>AF-2</x:v>
      </x:c>
      <x:c r="F31" t="str">
        <x:v>BA</x:v>
      </x:c>
      <x:c r="G31" t="str">
        <x:v>PTC-A</x:v>
      </x:c>
      <x:c r="H31" t="str">
        <x:v>RFP-A1</x:v>
      </x:c>
      <x:c r="I31" s="12" t="str">
        <x:v>AF-2-BA-DEV-01</x:v>
      </x:c>
      <x:c r="J31" t="str">
        <x:v>—</x:v>
      </x:c>
      <x:c r="K31" t="str">
        <x:v>development</x:v>
      </x:c>
      <x:c r="L31" s="12" t="str">
        <x:v>geometry A</x:v>
      </x:c>
      <x:c r="M31" s="14" t="n">
        <x:v>0</x:v>
      </x:c>
      <x:c r="N31" s="14" t="n">
        <x:v>0</x:v>
      </x:c>
      <x:c r="O31" s="14" t="n">
        <x:v>3</x:v>
      </x:c>
      <x:c r="P31" s="14" t="n">
        <x:v>1</x:v>
      </x:c>
      <x:c r="Q31" t="str"/>
      <x:c r="R31" t="str"/>
      <x:c r="S31" t="str"/>
      <x:c r="T31" t="str"/>
      <x:c r="U31" t="str"/>
    </x:row>
    <x:row r="32" ht="36" customHeight="1">
      <x:c r="B32" t="str">
        <x:v>RFE-E026</x:v>
      </x:c>
      <x:c r="C32" t="str">
        <x:v>EC-01</x:v>
      </x:c>
      <x:c r="D32" t="str">
        <x:v>AM-00</x:v>
      </x:c>
      <x:c r="E32" t="str">
        <x:v>AF-2</x:v>
      </x:c>
      <x:c r="F32" t="str">
        <x:v>BA</x:v>
      </x:c>
      <x:c r="G32" t="str">
        <x:v>PTC-B</x:v>
      </x:c>
      <x:c r="H32" t="str">
        <x:v>RFP-B1</x:v>
      </x:c>
      <x:c r="I32" s="12" t="str">
        <x:v>AF-2-BA-DEV-02</x:v>
      </x:c>
      <x:c r="J32" t="str">
        <x:v>—</x:v>
      </x:c>
      <x:c r="K32" t="str">
        <x:v>development</x:v>
      </x:c>
      <x:c r="L32" s="12" t="str">
        <x:v>geometry B</x:v>
      </x:c>
      <x:c r="M32" s="14" t="n">
        <x:v>0</x:v>
      </x:c>
      <x:c r="N32" s="14" t="n">
        <x:v>0</x:v>
      </x:c>
      <x:c r="O32" s="14" t="n">
        <x:v>3</x:v>
      </x:c>
      <x:c r="P32" s="14" t="n">
        <x:v>2</x:v>
      </x:c>
      <x:c r="Q32" t="str"/>
      <x:c r="R32" t="str"/>
      <x:c r="S32" t="str"/>
      <x:c r="T32" t="str"/>
      <x:c r="U32" t="str"/>
    </x:row>
    <x:row r="33" ht="36" customHeight="1">
      <x:c r="B33" t="str">
        <x:v>RFE-E027</x:v>
      </x:c>
      <x:c r="C33" t="str">
        <x:v>EC-01</x:v>
      </x:c>
      <x:c r="D33" t="str">
        <x:v>AM-01</x:v>
      </x:c>
      <x:c r="E33" t="str">
        <x:v>AF-2</x:v>
      </x:c>
      <x:c r="F33" t="str">
        <x:v>BA</x:v>
      </x:c>
      <x:c r="G33" t="str">
        <x:v>PTC-A</x:v>
      </x:c>
      <x:c r="H33" t="str">
        <x:v>RFP-A1</x:v>
      </x:c>
      <x:c r="I33" s="12" t="str">
        <x:v>AF-2-BA-DEV-03</x:v>
      </x:c>
      <x:c r="J33" t="str">
        <x:v>—</x:v>
      </x:c>
      <x:c r="K33" t="str">
        <x:v>development</x:v>
      </x:c>
      <x:c r="L33" s="12" t="str">
        <x:v>water-only A</x:v>
      </x:c>
      <x:c r="M33" s="14" t="n">
        <x:v>0</x:v>
      </x:c>
      <x:c r="N33" s="14" t="n">
        <x:v>0</x:v>
      </x:c>
      <x:c r="O33" s="14" t="n">
        <x:v>3</x:v>
      </x:c>
      <x:c r="P33" s="14" t="n">
        <x:v>3</x:v>
      </x:c>
      <x:c r="Q33" t="str"/>
      <x:c r="R33" t="str"/>
      <x:c r="S33" t="str"/>
      <x:c r="T33" t="str"/>
      <x:c r="U33" t="str"/>
    </x:row>
    <x:row r="34" ht="36" customHeight="1">
      <x:c r="B34" t="str">
        <x:v>RFE-E028</x:v>
      </x:c>
      <x:c r="C34" t="str">
        <x:v>EC-01</x:v>
      </x:c>
      <x:c r="D34" t="str">
        <x:v>AM-01</x:v>
      </x:c>
      <x:c r="E34" t="str">
        <x:v>AF-2</x:v>
      </x:c>
      <x:c r="F34" t="str">
        <x:v>BA</x:v>
      </x:c>
      <x:c r="G34" t="str">
        <x:v>PTC-C</x:v>
      </x:c>
      <x:c r="H34" t="str">
        <x:v>RFP-C1</x:v>
      </x:c>
      <x:c r="I34" s="12" t="str">
        <x:v>AF-2-BA-DEV-04</x:v>
      </x:c>
      <x:c r="J34" t="str">
        <x:v>—</x:v>
      </x:c>
      <x:c r="K34" t="str">
        <x:v>development</x:v>
      </x:c>
      <x:c r="L34" s="12" t="str">
        <x:v>water-only C</x:v>
      </x:c>
      <x:c r="M34" s="14" t="n">
        <x:v>0</x:v>
      </x:c>
      <x:c r="N34" s="14" t="n">
        <x:v>0</x:v>
      </x:c>
      <x:c r="O34" s="14" t="n">
        <x:v>3</x:v>
      </x:c>
      <x:c r="P34" s="14" t="n">
        <x:v>4</x:v>
      </x:c>
      <x:c r="Q34" t="str"/>
      <x:c r="R34" t="str"/>
      <x:c r="S34" t="str"/>
      <x:c r="T34" t="str"/>
      <x:c r="U34" t="str"/>
    </x:row>
    <x:row r="35" ht="36" customHeight="1">
      <x:c r="B35" t="str">
        <x:v>RFE-E029</x:v>
      </x:c>
      <x:c r="C35" t="str">
        <x:v>EC-01</x:v>
      </x:c>
      <x:c r="D35" t="str">
        <x:v>AM-02</x:v>
      </x:c>
      <x:c r="E35" t="str">
        <x:v>AF-2</x:v>
      </x:c>
      <x:c r="F35" t="str">
        <x:v>BA</x:v>
      </x:c>
      <x:c r="G35" t="str">
        <x:v>PTC-B</x:v>
      </x:c>
      <x:c r="H35" t="str">
        <x:v>RFP-B1</x:v>
      </x:c>
      <x:c r="I35" s="12" t="str">
        <x:v>AF-2-BA-DEV-05</x:v>
      </x:c>
      <x:c r="J35" t="str">
        <x:v>—</x:v>
      </x:c>
      <x:c r="K35" t="str">
        <x:v>development</x:v>
      </x:c>
      <x:c r="L35" s="12" t="str">
        <x:v>safe surrogate B</x:v>
      </x:c>
      <x:c r="M35" s="14" t="n">
        <x:v>0</x:v>
      </x:c>
      <x:c r="N35" s="14" t="n">
        <x:v>0</x:v>
      </x:c>
      <x:c r="O35" s="14" t="n">
        <x:v>3</x:v>
      </x:c>
      <x:c r="P35" s="14" t="n">
        <x:v>5</x:v>
      </x:c>
      <x:c r="Q35" t="str"/>
      <x:c r="R35" t="str"/>
      <x:c r="S35" t="str"/>
      <x:c r="T35" t="str"/>
      <x:c r="U35" t="str"/>
    </x:row>
    <x:row r="36" ht="36" customHeight="1">
      <x:c r="B36" t="str">
        <x:v>RFE-E030</x:v>
      </x:c>
      <x:c r="C36" t="str">
        <x:v>EC-01</x:v>
      </x:c>
      <x:c r="D36" t="str">
        <x:v>AM-02</x:v>
      </x:c>
      <x:c r="E36" t="str">
        <x:v>AF-2</x:v>
      </x:c>
      <x:c r="F36" t="str">
        <x:v>BA</x:v>
      </x:c>
      <x:c r="G36" t="str">
        <x:v>PTC-C</x:v>
      </x:c>
      <x:c r="H36" t="str">
        <x:v>RFP-C1</x:v>
      </x:c>
      <x:c r="I36" s="12" t="str">
        <x:v>AF-2-BA-DEV-06</x:v>
      </x:c>
      <x:c r="J36" t="str">
        <x:v>—</x:v>
      </x:c>
      <x:c r="K36" t="str">
        <x:v>development</x:v>
      </x:c>
      <x:c r="L36" s="12" t="str">
        <x:v>safe surrogate C</x:v>
      </x:c>
      <x:c r="M36" s="14" t="n">
        <x:v>0</x:v>
      </x:c>
      <x:c r="N36" s="14" t="n">
        <x:v>0</x:v>
      </x:c>
      <x:c r="O36" s="14" t="n">
        <x:v>3</x:v>
      </x:c>
      <x:c r="P36" s="14" t="n">
        <x:v>6</x:v>
      </x:c>
      <x:c r="Q36" t="str"/>
      <x:c r="R36" t="str"/>
      <x:c r="S36" t="str"/>
      <x:c r="T36" t="str"/>
      <x:c r="U36" t="str"/>
    </x:row>
    <x:row r="37" ht="36" customHeight="1">
      <x:c r="B37" t="str">
        <x:v>RFE-E031</x:v>
      </x:c>
      <x:c r="C37" t="str">
        <x:v>EC-01</x:v>
      </x:c>
      <x:c r="D37" t="str">
        <x:v>AM-03</x:v>
      </x:c>
      <x:c r="E37" t="str">
        <x:v>AF-2</x:v>
      </x:c>
      <x:c r="F37" t="str">
        <x:v>BA</x:v>
      </x:c>
      <x:c r="G37" t="str">
        <x:v>PTC-A</x:v>
      </x:c>
      <x:c r="H37" t="str">
        <x:v>RFP-A1</x:v>
      </x:c>
      <x:c r="I37" s="12" t="str">
        <x:v>AF-2-BA-DEV-07</x:v>
      </x:c>
      <x:c r="J37" t="str">
        <x:v>—</x:v>
      </x:c>
      <x:c r="K37" t="str">
        <x:v>development</x:v>
      </x:c>
      <x:c r="L37" s="12" t="str">
        <x:v>debris A</x:v>
      </x:c>
      <x:c r="M37" s="14" t="n">
        <x:v>0</x:v>
      </x:c>
      <x:c r="N37" s="14" t="n">
        <x:v>0</x:v>
      </x:c>
      <x:c r="O37" s="14" t="n">
        <x:v>3</x:v>
      </x:c>
      <x:c r="P37" s="14" t="n">
        <x:v>7</x:v>
      </x:c>
      <x:c r="Q37" t="str"/>
      <x:c r="R37" t="str"/>
      <x:c r="S37" t="str"/>
      <x:c r="T37" t="str"/>
      <x:c r="U37" t="str"/>
    </x:row>
    <x:row r="38" ht="36" customHeight="1">
      <x:c r="B38" t="str">
        <x:v>RFE-E032</x:v>
      </x:c>
      <x:c r="C38" t="str">
        <x:v>EC-01</x:v>
      </x:c>
      <x:c r="D38" t="str">
        <x:v>AM-03</x:v>
      </x:c>
      <x:c r="E38" t="str">
        <x:v>AF-2</x:v>
      </x:c>
      <x:c r="F38" t="str">
        <x:v>BA</x:v>
      </x:c>
      <x:c r="G38" t="str">
        <x:v>PTC-B</x:v>
      </x:c>
      <x:c r="H38" t="str">
        <x:v>RFP-B1</x:v>
      </x:c>
      <x:c r="I38" s="12" t="str">
        <x:v>AF-2-BA-DEV-08</x:v>
      </x:c>
      <x:c r="J38" t="str">
        <x:v>—</x:v>
      </x:c>
      <x:c r="K38" t="str">
        <x:v>development</x:v>
      </x:c>
      <x:c r="L38" s="12" t="str">
        <x:v>debris B</x:v>
      </x:c>
      <x:c r="M38" s="14" t="n">
        <x:v>0</x:v>
      </x:c>
      <x:c r="N38" s="14" t="n">
        <x:v>0</x:v>
      </x:c>
      <x:c r="O38" s="14" t="n">
        <x:v>3</x:v>
      </x:c>
      <x:c r="P38" s="14" t="n">
        <x:v>8</x:v>
      </x:c>
      <x:c r="Q38" t="str"/>
      <x:c r="R38" t="str"/>
      <x:c r="S38" t="str"/>
      <x:c r="T38" t="str"/>
      <x:c r="U38" t="str"/>
    </x:row>
    <x:row r="39" ht="36" customHeight="1">
      <x:c r="B39" t="str">
        <x:v>RFE-E033</x:v>
      </x:c>
      <x:c r="C39" t="str">
        <x:v>EC-01</x:v>
      </x:c>
      <x:c r="D39" t="str">
        <x:v>AM-04</x:v>
      </x:c>
      <x:c r="E39" t="str">
        <x:v>AF-2</x:v>
      </x:c>
      <x:c r="F39" t="str">
        <x:v>BA</x:v>
      </x:c>
      <x:c r="G39" t="str">
        <x:v>PTC-B</x:v>
      </x:c>
      <x:c r="H39" t="str">
        <x:v>RFP-B1</x:v>
      </x:c>
      <x:c r="I39" s="12" t="str">
        <x:v>AF-2-BA-DEV-09</x:v>
      </x:c>
      <x:c r="J39" t="str">
        <x:v>—</x:v>
      </x:c>
      <x:c r="K39" t="str">
        <x:v>development</x:v>
      </x:c>
      <x:c r="L39" s="12" t="str">
        <x:v>tracer B</x:v>
      </x:c>
      <x:c r="M39" s="14" t="n">
        <x:v>0</x:v>
      </x:c>
      <x:c r="N39" s="14" t="n">
        <x:v>0</x:v>
      </x:c>
      <x:c r="O39" s="14" t="n">
        <x:v>3</x:v>
      </x:c>
      <x:c r="P39" s="14" t="n">
        <x:v>9</x:v>
      </x:c>
      <x:c r="Q39" t="str"/>
      <x:c r="R39" t="str"/>
      <x:c r="S39" t="str"/>
      <x:c r="T39" t="str"/>
      <x:c r="U39" t="str"/>
    </x:row>
    <x:row r="40" ht="36" customHeight="1">
      <x:c r="B40" t="str">
        <x:v>RFE-E034</x:v>
      </x:c>
      <x:c r="C40" t="str">
        <x:v>EC-01</x:v>
      </x:c>
      <x:c r="D40" t="str">
        <x:v>AM-04</x:v>
      </x:c>
      <x:c r="E40" t="str">
        <x:v>AF-2</x:v>
      </x:c>
      <x:c r="F40" t="str">
        <x:v>BA</x:v>
      </x:c>
      <x:c r="G40" t="str">
        <x:v>PTC-C</x:v>
      </x:c>
      <x:c r="H40" t="str">
        <x:v>RFP-C1</x:v>
      </x:c>
      <x:c r="I40" s="12" t="str">
        <x:v>AF-2-BA-DEV-10</x:v>
      </x:c>
      <x:c r="J40" t="str">
        <x:v>—</x:v>
      </x:c>
      <x:c r="K40" t="str">
        <x:v>development</x:v>
      </x:c>
      <x:c r="L40" s="12" t="str">
        <x:v>tracer C</x:v>
      </x:c>
      <x:c r="M40" s="14" t="n">
        <x:v>0</x:v>
      </x:c>
      <x:c r="N40" s="14" t="n">
        <x:v>0</x:v>
      </x:c>
      <x:c r="O40" s="14" t="n">
        <x:v>3</x:v>
      </x:c>
      <x:c r="P40" s="14" t="n">
        <x:v>10</x:v>
      </x:c>
      <x:c r="Q40" t="str"/>
      <x:c r="R40" t="str"/>
      <x:c r="S40" t="str"/>
      <x:c r="T40" t="str"/>
      <x:c r="U40" t="str"/>
    </x:row>
    <x:row r="41" ht="36" customHeight="1">
      <x:c r="B41" t="str">
        <x:v>RFE-E035</x:v>
      </x:c>
      <x:c r="C41" t="str">
        <x:v>EC-02</x:v>
      </x:c>
      <x:c r="D41" t="str">
        <x:v>AM-05</x:v>
      </x:c>
      <x:c r="E41" t="str">
        <x:v>AF-2</x:v>
      </x:c>
      <x:c r="F41" t="str">
        <x:v>BA</x:v>
      </x:c>
      <x:c r="G41" t="str">
        <x:v>PTC-B</x:v>
      </x:c>
      <x:c r="H41" t="str">
        <x:v>RFP-B1</x:v>
      </x:c>
      <x:c r="I41" s="12" t="str">
        <x:v>AF-2-BA-DEV-11</x:v>
      </x:c>
      <x:c r="J41" t="str">
        <x:v>—</x:v>
      </x:c>
      <x:c r="K41" t="str">
        <x:v>development</x:v>
      </x:c>
      <x:c r="L41" s="12" t="str">
        <x:v>quarter unignited anchor</x:v>
      </x:c>
      <x:c r="M41" s="14" t="n">
        <x:v>500</x:v>
      </x:c>
      <x:c r="N41" s="14" t="n">
        <x:v>0</x:v>
      </x:c>
      <x:c r="O41" s="14" t="n">
        <x:v>6</x:v>
      </x:c>
      <x:c r="P41" s="14" t="n">
        <x:v>11</x:v>
      </x:c>
      <x:c r="Q41" t="str"/>
      <x:c r="R41" t="str"/>
      <x:c r="S41" t="str"/>
      <x:c r="T41" t="str"/>
      <x:c r="U41" t="str"/>
    </x:row>
    <x:row r="42" ht="36" customHeight="1">
      <x:c r="B42" t="str">
        <x:v>RFE-E036</x:v>
      </x:c>
      <x:c r="C42" t="str">
        <x:v>EC-02</x:v>
      </x:c>
      <x:c r="D42" t="str">
        <x:v>AM-06</x:v>
      </x:c>
      <x:c r="E42" t="str">
        <x:v>AF-2</x:v>
      </x:c>
      <x:c r="F42" t="str">
        <x:v>BA</x:v>
      </x:c>
      <x:c r="G42" t="str">
        <x:v>PTC-C</x:v>
      </x:c>
      <x:c r="H42" t="str">
        <x:v>RFP-C1</x:v>
      </x:c>
      <x:c r="I42" s="12" t="str">
        <x:v>AF-2-BA-DEV-12</x:v>
      </x:c>
      <x:c r="J42" t="str">
        <x:v>—</x:v>
      </x:c>
      <x:c r="K42" t="str">
        <x:v>development</x:v>
      </x:c>
      <x:c r="L42" s="12" t="str">
        <x:v>quarter fire anchor</x:v>
      </x:c>
      <x:c r="M42" s="14" t="n">
        <x:v>500</x:v>
      </x:c>
      <x:c r="N42" s="14" t="n">
        <x:v>10</x:v>
      </x:c>
      <x:c r="O42" s="14" t="n">
        <x:v>6</x:v>
      </x:c>
      <x:c r="P42" s="14" t="n">
        <x:v>12</x:v>
      </x:c>
      <x:c r="Q42" t="str"/>
      <x:c r="R42" t="str"/>
      <x:c r="S42" t="str"/>
      <x:c r="T42" t="str"/>
      <x:c r="U42" t="str"/>
    </x:row>
    <x:row r="43" ht="36" customHeight="1">
      <x:c r="B43" t="str">
        <x:v>RFE-E037</x:v>
      </x:c>
      <x:c r="C43" t="str">
        <x:v>EC-01</x:v>
      </x:c>
      <x:c r="D43" t="str">
        <x:v>AM-00</x:v>
      </x:c>
      <x:c r="E43" t="str">
        <x:v>AF-2</x:v>
      </x:c>
      <x:c r="F43" t="str">
        <x:v>BB</x:v>
      </x:c>
      <x:c r="G43" t="str">
        <x:v>PTC-A</x:v>
      </x:c>
      <x:c r="H43" t="str">
        <x:v>RFP-A2</x:v>
      </x:c>
      <x:c r="I43" s="12" t="str">
        <x:v>AF-2-BB-DEV-01</x:v>
      </x:c>
      <x:c r="J43" t="str">
        <x:v>—</x:v>
      </x:c>
      <x:c r="K43" t="str">
        <x:v>development</x:v>
      </x:c>
      <x:c r="L43" s="12" t="str">
        <x:v>geometry A</x:v>
      </x:c>
      <x:c r="M43" s="14" t="n">
        <x:v>0</x:v>
      </x:c>
      <x:c r="N43" s="14" t="n">
        <x:v>0</x:v>
      </x:c>
      <x:c r="O43" s="14" t="n">
        <x:v>3</x:v>
      </x:c>
      <x:c r="P43" s="14" t="n">
        <x:v>1</x:v>
      </x:c>
      <x:c r="Q43" t="str"/>
      <x:c r="R43" t="str"/>
      <x:c r="S43" t="str"/>
      <x:c r="T43" t="str"/>
      <x:c r="U43" t="str"/>
    </x:row>
    <x:row r="44" ht="36" customHeight="1">
      <x:c r="B44" t="str">
        <x:v>RFE-E038</x:v>
      </x:c>
      <x:c r="C44" t="str">
        <x:v>EC-01</x:v>
      </x:c>
      <x:c r="D44" t="str">
        <x:v>AM-00</x:v>
      </x:c>
      <x:c r="E44" t="str">
        <x:v>AF-2</x:v>
      </x:c>
      <x:c r="F44" t="str">
        <x:v>BB</x:v>
      </x:c>
      <x:c r="G44" t="str">
        <x:v>PTC-B</x:v>
      </x:c>
      <x:c r="H44" t="str">
        <x:v>RFP-B2</x:v>
      </x:c>
      <x:c r="I44" s="12" t="str">
        <x:v>AF-2-BB-DEV-02</x:v>
      </x:c>
      <x:c r="J44" t="str">
        <x:v>—</x:v>
      </x:c>
      <x:c r="K44" t="str">
        <x:v>development</x:v>
      </x:c>
      <x:c r="L44" s="12" t="str">
        <x:v>geometry B</x:v>
      </x:c>
      <x:c r="M44" s="14" t="n">
        <x:v>0</x:v>
      </x:c>
      <x:c r="N44" s="14" t="n">
        <x:v>0</x:v>
      </x:c>
      <x:c r="O44" s="14" t="n">
        <x:v>3</x:v>
      </x:c>
      <x:c r="P44" s="14" t="n">
        <x:v>2</x:v>
      </x:c>
      <x:c r="Q44" t="str"/>
      <x:c r="R44" t="str"/>
      <x:c r="S44" t="str"/>
      <x:c r="T44" t="str"/>
      <x:c r="U44" t="str"/>
    </x:row>
    <x:row r="45" ht="36" customHeight="1">
      <x:c r="B45" t="str">
        <x:v>RFE-E039</x:v>
      </x:c>
      <x:c r="C45" t="str">
        <x:v>EC-01</x:v>
      </x:c>
      <x:c r="D45" t="str">
        <x:v>AM-01</x:v>
      </x:c>
      <x:c r="E45" t="str">
        <x:v>AF-2</x:v>
      </x:c>
      <x:c r="F45" t="str">
        <x:v>BB</x:v>
      </x:c>
      <x:c r="G45" t="str">
        <x:v>PTC-A</x:v>
      </x:c>
      <x:c r="H45" t="str">
        <x:v>RFP-A2</x:v>
      </x:c>
      <x:c r="I45" s="12" t="str">
        <x:v>AF-2-BB-DEV-03</x:v>
      </x:c>
      <x:c r="J45" t="str">
        <x:v>—</x:v>
      </x:c>
      <x:c r="K45" t="str">
        <x:v>development</x:v>
      </x:c>
      <x:c r="L45" s="12" t="str">
        <x:v>water-only A</x:v>
      </x:c>
      <x:c r="M45" s="14" t="n">
        <x:v>0</x:v>
      </x:c>
      <x:c r="N45" s="14" t="n">
        <x:v>0</x:v>
      </x:c>
      <x:c r="O45" s="14" t="n">
        <x:v>3</x:v>
      </x:c>
      <x:c r="P45" s="14" t="n">
        <x:v>3</x:v>
      </x:c>
      <x:c r="Q45" t="str"/>
      <x:c r="R45" t="str"/>
      <x:c r="S45" t="str"/>
      <x:c r="T45" t="str"/>
      <x:c r="U45" t="str"/>
    </x:row>
    <x:row r="46" ht="36" customHeight="1">
      <x:c r="B46" t="str">
        <x:v>RFE-E040</x:v>
      </x:c>
      <x:c r="C46" t="str">
        <x:v>EC-01</x:v>
      </x:c>
      <x:c r="D46" t="str">
        <x:v>AM-01</x:v>
      </x:c>
      <x:c r="E46" t="str">
        <x:v>AF-2</x:v>
      </x:c>
      <x:c r="F46" t="str">
        <x:v>BB</x:v>
      </x:c>
      <x:c r="G46" t="str">
        <x:v>PTC-C</x:v>
      </x:c>
      <x:c r="H46" t="str">
        <x:v>RFP-C2</x:v>
      </x:c>
      <x:c r="I46" s="12" t="str">
        <x:v>AF-2-BB-DEV-04</x:v>
      </x:c>
      <x:c r="J46" t="str">
        <x:v>—</x:v>
      </x:c>
      <x:c r="K46" t="str">
        <x:v>development</x:v>
      </x:c>
      <x:c r="L46" s="12" t="str">
        <x:v>water-only C</x:v>
      </x:c>
      <x:c r="M46" s="14" t="n">
        <x:v>0</x:v>
      </x:c>
      <x:c r="N46" s="14" t="n">
        <x:v>0</x:v>
      </x:c>
      <x:c r="O46" s="14" t="n">
        <x:v>3</x:v>
      </x:c>
      <x:c r="P46" s="14" t="n">
        <x:v>4</x:v>
      </x:c>
      <x:c r="Q46" t="str"/>
      <x:c r="R46" t="str"/>
      <x:c r="S46" t="str"/>
      <x:c r="T46" t="str"/>
      <x:c r="U46" t="str"/>
    </x:row>
    <x:row r="47" ht="36" customHeight="1">
      <x:c r="B47" t="str">
        <x:v>RFE-E041</x:v>
      </x:c>
      <x:c r="C47" t="str">
        <x:v>EC-01</x:v>
      </x:c>
      <x:c r="D47" t="str">
        <x:v>AM-02</x:v>
      </x:c>
      <x:c r="E47" t="str">
        <x:v>AF-2</x:v>
      </x:c>
      <x:c r="F47" t="str">
        <x:v>BB</x:v>
      </x:c>
      <x:c r="G47" t="str">
        <x:v>PTC-B</x:v>
      </x:c>
      <x:c r="H47" t="str">
        <x:v>RFP-B2</x:v>
      </x:c>
      <x:c r="I47" s="12" t="str">
        <x:v>AF-2-BB-DEV-05</x:v>
      </x:c>
      <x:c r="J47" t="str">
        <x:v>—</x:v>
      </x:c>
      <x:c r="K47" t="str">
        <x:v>development</x:v>
      </x:c>
      <x:c r="L47" s="12" t="str">
        <x:v>safe surrogate B</x:v>
      </x:c>
      <x:c r="M47" s="14" t="n">
        <x:v>0</x:v>
      </x:c>
      <x:c r="N47" s="14" t="n">
        <x:v>0</x:v>
      </x:c>
      <x:c r="O47" s="14" t="n">
        <x:v>3</x:v>
      </x:c>
      <x:c r="P47" s="14" t="n">
        <x:v>5</x:v>
      </x:c>
      <x:c r="Q47" t="str"/>
      <x:c r="R47" t="str"/>
      <x:c r="S47" t="str"/>
      <x:c r="T47" t="str"/>
      <x:c r="U47" t="str"/>
    </x:row>
    <x:row r="48" ht="36" customHeight="1">
      <x:c r="B48" t="str">
        <x:v>RFE-E042</x:v>
      </x:c>
      <x:c r="C48" t="str">
        <x:v>EC-01</x:v>
      </x:c>
      <x:c r="D48" t="str">
        <x:v>AM-02</x:v>
      </x:c>
      <x:c r="E48" t="str">
        <x:v>AF-2</x:v>
      </x:c>
      <x:c r="F48" t="str">
        <x:v>BB</x:v>
      </x:c>
      <x:c r="G48" t="str">
        <x:v>PTC-C</x:v>
      </x:c>
      <x:c r="H48" t="str">
        <x:v>RFP-C2</x:v>
      </x:c>
      <x:c r="I48" s="12" t="str">
        <x:v>AF-2-BB-DEV-06</x:v>
      </x:c>
      <x:c r="J48" t="str">
        <x:v>—</x:v>
      </x:c>
      <x:c r="K48" t="str">
        <x:v>development</x:v>
      </x:c>
      <x:c r="L48" s="12" t="str">
        <x:v>safe surrogate C</x:v>
      </x:c>
      <x:c r="M48" s="14" t="n">
        <x:v>0</x:v>
      </x:c>
      <x:c r="N48" s="14" t="n">
        <x:v>0</x:v>
      </x:c>
      <x:c r="O48" s="14" t="n">
        <x:v>3</x:v>
      </x:c>
      <x:c r="P48" s="14" t="n">
        <x:v>6</x:v>
      </x:c>
      <x:c r="Q48" t="str"/>
      <x:c r="R48" t="str"/>
      <x:c r="S48" t="str"/>
      <x:c r="T48" t="str"/>
      <x:c r="U48" t="str"/>
    </x:row>
    <x:row r="49" ht="36" customHeight="1">
      <x:c r="B49" t="str">
        <x:v>RFE-E043</x:v>
      </x:c>
      <x:c r="C49" t="str">
        <x:v>EC-01</x:v>
      </x:c>
      <x:c r="D49" t="str">
        <x:v>AM-03</x:v>
      </x:c>
      <x:c r="E49" t="str">
        <x:v>AF-2</x:v>
      </x:c>
      <x:c r="F49" t="str">
        <x:v>BB</x:v>
      </x:c>
      <x:c r="G49" t="str">
        <x:v>PTC-A</x:v>
      </x:c>
      <x:c r="H49" t="str">
        <x:v>RFP-A2</x:v>
      </x:c>
      <x:c r="I49" s="12" t="str">
        <x:v>AF-2-BB-DEV-07</x:v>
      </x:c>
      <x:c r="J49" t="str">
        <x:v>—</x:v>
      </x:c>
      <x:c r="K49" t="str">
        <x:v>development</x:v>
      </x:c>
      <x:c r="L49" s="12" t="str">
        <x:v>debris A</x:v>
      </x:c>
      <x:c r="M49" s="14" t="n">
        <x:v>0</x:v>
      </x:c>
      <x:c r="N49" s="14" t="n">
        <x:v>0</x:v>
      </x:c>
      <x:c r="O49" s="14" t="n">
        <x:v>3</x:v>
      </x:c>
      <x:c r="P49" s="14" t="n">
        <x:v>7</x:v>
      </x:c>
      <x:c r="Q49" t="str"/>
      <x:c r="R49" t="str"/>
      <x:c r="S49" t="str"/>
      <x:c r="T49" t="str"/>
      <x:c r="U49" t="str"/>
    </x:row>
    <x:row r="50" ht="36" customHeight="1">
      <x:c r="B50" t="str">
        <x:v>RFE-E044</x:v>
      </x:c>
      <x:c r="C50" t="str">
        <x:v>EC-01</x:v>
      </x:c>
      <x:c r="D50" t="str">
        <x:v>AM-03</x:v>
      </x:c>
      <x:c r="E50" t="str">
        <x:v>AF-2</x:v>
      </x:c>
      <x:c r="F50" t="str">
        <x:v>BB</x:v>
      </x:c>
      <x:c r="G50" t="str">
        <x:v>PTC-B</x:v>
      </x:c>
      <x:c r="H50" t="str">
        <x:v>RFP-B2</x:v>
      </x:c>
      <x:c r="I50" s="12" t="str">
        <x:v>AF-2-BB-DEV-08</x:v>
      </x:c>
      <x:c r="J50" t="str">
        <x:v>—</x:v>
      </x:c>
      <x:c r="K50" t="str">
        <x:v>development</x:v>
      </x:c>
      <x:c r="L50" s="12" t="str">
        <x:v>debris B</x:v>
      </x:c>
      <x:c r="M50" s="14" t="n">
        <x:v>0</x:v>
      </x:c>
      <x:c r="N50" s="14" t="n">
        <x:v>0</x:v>
      </x:c>
      <x:c r="O50" s="14" t="n">
        <x:v>3</x:v>
      </x:c>
      <x:c r="P50" s="14" t="n">
        <x:v>8</x:v>
      </x:c>
      <x:c r="Q50" t="str"/>
      <x:c r="R50" t="str"/>
      <x:c r="S50" t="str"/>
      <x:c r="T50" t="str"/>
      <x:c r="U50" t="str"/>
    </x:row>
    <x:row r="51" ht="36" customHeight="1">
      <x:c r="B51" t="str">
        <x:v>RFE-E045</x:v>
      </x:c>
      <x:c r="C51" t="str">
        <x:v>EC-01</x:v>
      </x:c>
      <x:c r="D51" t="str">
        <x:v>AM-04</x:v>
      </x:c>
      <x:c r="E51" t="str">
        <x:v>AF-2</x:v>
      </x:c>
      <x:c r="F51" t="str">
        <x:v>BB</x:v>
      </x:c>
      <x:c r="G51" t="str">
        <x:v>PTC-B</x:v>
      </x:c>
      <x:c r="H51" t="str">
        <x:v>RFP-B2</x:v>
      </x:c>
      <x:c r="I51" s="12" t="str">
        <x:v>AF-2-BB-DEV-09</x:v>
      </x:c>
      <x:c r="J51" t="str">
        <x:v>—</x:v>
      </x:c>
      <x:c r="K51" t="str">
        <x:v>development</x:v>
      </x:c>
      <x:c r="L51" s="12" t="str">
        <x:v>tracer B</x:v>
      </x:c>
      <x:c r="M51" s="14" t="n">
        <x:v>0</x:v>
      </x:c>
      <x:c r="N51" s="14" t="n">
        <x:v>0</x:v>
      </x:c>
      <x:c r="O51" s="14" t="n">
        <x:v>3</x:v>
      </x:c>
      <x:c r="P51" s="14" t="n">
        <x:v>9</x:v>
      </x:c>
      <x:c r="Q51" t="str"/>
      <x:c r="R51" t="str"/>
      <x:c r="S51" t="str"/>
      <x:c r="T51" t="str"/>
      <x:c r="U51" t="str"/>
    </x:row>
    <x:row r="52" ht="36" customHeight="1">
      <x:c r="B52" t="str">
        <x:v>RFE-E046</x:v>
      </x:c>
      <x:c r="C52" t="str">
        <x:v>EC-01</x:v>
      </x:c>
      <x:c r="D52" t="str">
        <x:v>AM-04</x:v>
      </x:c>
      <x:c r="E52" t="str">
        <x:v>AF-2</x:v>
      </x:c>
      <x:c r="F52" t="str">
        <x:v>BB</x:v>
      </x:c>
      <x:c r="G52" t="str">
        <x:v>PTC-C</x:v>
      </x:c>
      <x:c r="H52" t="str">
        <x:v>RFP-C2</x:v>
      </x:c>
      <x:c r="I52" s="12" t="str">
        <x:v>AF-2-BB-DEV-10</x:v>
      </x:c>
      <x:c r="J52" t="str">
        <x:v>—</x:v>
      </x:c>
      <x:c r="K52" t="str">
        <x:v>development</x:v>
      </x:c>
      <x:c r="L52" s="12" t="str">
        <x:v>tracer C</x:v>
      </x:c>
      <x:c r="M52" s="14" t="n">
        <x:v>0</x:v>
      </x:c>
      <x:c r="N52" s="14" t="n">
        <x:v>0</x:v>
      </x:c>
      <x:c r="O52" s="14" t="n">
        <x:v>3</x:v>
      </x:c>
      <x:c r="P52" s="14" t="n">
        <x:v>10</x:v>
      </x:c>
      <x:c r="Q52" t="str"/>
      <x:c r="R52" t="str"/>
      <x:c r="S52" t="str"/>
      <x:c r="T52" t="str"/>
      <x:c r="U52" t="str"/>
    </x:row>
    <x:row r="53" ht="36" customHeight="1">
      <x:c r="B53" t="str">
        <x:v>RFE-E047</x:v>
      </x:c>
      <x:c r="C53" t="str">
        <x:v>EC-02</x:v>
      </x:c>
      <x:c r="D53" t="str">
        <x:v>AM-05</x:v>
      </x:c>
      <x:c r="E53" t="str">
        <x:v>AF-2</x:v>
      </x:c>
      <x:c r="F53" t="str">
        <x:v>BB</x:v>
      </x:c>
      <x:c r="G53" t="str">
        <x:v>PTC-B</x:v>
      </x:c>
      <x:c r="H53" t="str">
        <x:v>RFP-B2</x:v>
      </x:c>
      <x:c r="I53" s="12" t="str">
        <x:v>AF-2-BB-DEV-11</x:v>
      </x:c>
      <x:c r="J53" t="str">
        <x:v>—</x:v>
      </x:c>
      <x:c r="K53" t="str">
        <x:v>development</x:v>
      </x:c>
      <x:c r="L53" s="12" t="str">
        <x:v>quarter unignited anchor</x:v>
      </x:c>
      <x:c r="M53" s="14" t="n">
        <x:v>500</x:v>
      </x:c>
      <x:c r="N53" s="14" t="n">
        <x:v>0</x:v>
      </x:c>
      <x:c r="O53" s="14" t="n">
        <x:v>6</x:v>
      </x:c>
      <x:c r="P53" s="14" t="n">
        <x:v>11</x:v>
      </x:c>
      <x:c r="Q53" t="str"/>
      <x:c r="R53" t="str"/>
      <x:c r="S53" t="str"/>
      <x:c r="T53" t="str"/>
      <x:c r="U53" t="str"/>
    </x:row>
    <x:row r="54" ht="36" customHeight="1">
      <x:c r="B54" t="str">
        <x:v>RFE-E048</x:v>
      </x:c>
      <x:c r="C54" t="str">
        <x:v>EC-02</x:v>
      </x:c>
      <x:c r="D54" t="str">
        <x:v>AM-06</x:v>
      </x:c>
      <x:c r="E54" t="str">
        <x:v>AF-2</x:v>
      </x:c>
      <x:c r="F54" t="str">
        <x:v>BB</x:v>
      </x:c>
      <x:c r="G54" t="str">
        <x:v>PTC-C</x:v>
      </x:c>
      <x:c r="H54" t="str">
        <x:v>RFP-C2</x:v>
      </x:c>
      <x:c r="I54" s="12" t="str">
        <x:v>AF-2-BB-DEV-12</x:v>
      </x:c>
      <x:c r="J54" t="str">
        <x:v>—</x:v>
      </x:c>
      <x:c r="K54" t="str">
        <x:v>development</x:v>
      </x:c>
      <x:c r="L54" s="12" t="str">
        <x:v>quarter fire anchor</x:v>
      </x:c>
      <x:c r="M54" s="14" t="n">
        <x:v>500</x:v>
      </x:c>
      <x:c r="N54" s="14" t="n">
        <x:v>10</x:v>
      </x:c>
      <x:c r="O54" s="14" t="n">
        <x:v>6</x:v>
      </x:c>
      <x:c r="P54" s="14" t="n">
        <x:v>12</x:v>
      </x:c>
      <x:c r="Q54" t="str"/>
      <x:c r="R54" t="str"/>
      <x:c r="S54" t="str"/>
      <x:c r="T54" t="str"/>
      <x:c r="U54" t="str"/>
    </x:row>
    <x:row r="55" ht="36" customHeight="1">
      <x:c r="B55" t="str">
        <x:v>RFE-E049</x:v>
      </x:c>
      <x:c r="C55" t="str">
        <x:v>EC-01</x:v>
      </x:c>
      <x:c r="D55" t="str">
        <x:v>AM-00</x:v>
      </x:c>
      <x:c r="E55" t="str">
        <x:v>AF-3</x:v>
      </x:c>
      <x:c r="F55" t="str">
        <x:v>BA</x:v>
      </x:c>
      <x:c r="G55" t="str">
        <x:v>PTC-A</x:v>
      </x:c>
      <x:c r="H55" t="str">
        <x:v>RFP-A1</x:v>
      </x:c>
      <x:c r="I55" s="12" t="str">
        <x:v>AF-3-BA-DEV-01</x:v>
      </x:c>
      <x:c r="J55" t="str">
        <x:v>—</x:v>
      </x:c>
      <x:c r="K55" t="str">
        <x:v>development</x:v>
      </x:c>
      <x:c r="L55" s="12" t="str">
        <x:v>geometry A</x:v>
      </x:c>
      <x:c r="M55" s="14" t="n">
        <x:v>0</x:v>
      </x:c>
      <x:c r="N55" s="14" t="n">
        <x:v>0</x:v>
      </x:c>
      <x:c r="O55" s="14" t="n">
        <x:v>3</x:v>
      </x:c>
      <x:c r="P55" s="14" t="n">
        <x:v>1</x:v>
      </x:c>
      <x:c r="Q55" t="str"/>
      <x:c r="R55" t="str"/>
      <x:c r="S55" t="str"/>
      <x:c r="T55" t="str"/>
      <x:c r="U55" t="str"/>
    </x:row>
    <x:row r="56" ht="36" customHeight="1">
      <x:c r="B56" t="str">
        <x:v>RFE-E050</x:v>
      </x:c>
      <x:c r="C56" t="str">
        <x:v>EC-01</x:v>
      </x:c>
      <x:c r="D56" t="str">
        <x:v>AM-00</x:v>
      </x:c>
      <x:c r="E56" t="str">
        <x:v>AF-3</x:v>
      </x:c>
      <x:c r="F56" t="str">
        <x:v>BA</x:v>
      </x:c>
      <x:c r="G56" t="str">
        <x:v>PTC-B</x:v>
      </x:c>
      <x:c r="H56" t="str">
        <x:v>RFP-B1</x:v>
      </x:c>
      <x:c r="I56" s="12" t="str">
        <x:v>AF-3-BA-DEV-02</x:v>
      </x:c>
      <x:c r="J56" t="str">
        <x:v>—</x:v>
      </x:c>
      <x:c r="K56" t="str">
        <x:v>development</x:v>
      </x:c>
      <x:c r="L56" s="12" t="str">
        <x:v>geometry B</x:v>
      </x:c>
      <x:c r="M56" s="14" t="n">
        <x:v>0</x:v>
      </x:c>
      <x:c r="N56" s="14" t="n">
        <x:v>0</x:v>
      </x:c>
      <x:c r="O56" s="14" t="n">
        <x:v>3</x:v>
      </x:c>
      <x:c r="P56" s="14" t="n">
        <x:v>2</x:v>
      </x:c>
      <x:c r="Q56" t="str"/>
      <x:c r="R56" t="str"/>
      <x:c r="S56" t="str"/>
      <x:c r="T56" t="str"/>
      <x:c r="U56" t="str"/>
    </x:row>
    <x:row r="57" ht="36" customHeight="1">
      <x:c r="B57" t="str">
        <x:v>RFE-E051</x:v>
      </x:c>
      <x:c r="C57" t="str">
        <x:v>EC-01</x:v>
      </x:c>
      <x:c r="D57" t="str">
        <x:v>AM-01</x:v>
      </x:c>
      <x:c r="E57" t="str">
        <x:v>AF-3</x:v>
      </x:c>
      <x:c r="F57" t="str">
        <x:v>BA</x:v>
      </x:c>
      <x:c r="G57" t="str">
        <x:v>PTC-A</x:v>
      </x:c>
      <x:c r="H57" t="str">
        <x:v>RFP-A1</x:v>
      </x:c>
      <x:c r="I57" s="12" t="str">
        <x:v>AF-3-BA-DEV-03</x:v>
      </x:c>
      <x:c r="J57" t="str">
        <x:v>—</x:v>
      </x:c>
      <x:c r="K57" t="str">
        <x:v>development</x:v>
      </x:c>
      <x:c r="L57" s="12" t="str">
        <x:v>water-only A</x:v>
      </x:c>
      <x:c r="M57" s="14" t="n">
        <x:v>0</x:v>
      </x:c>
      <x:c r="N57" s="14" t="n">
        <x:v>0</x:v>
      </x:c>
      <x:c r="O57" s="14" t="n">
        <x:v>3</x:v>
      </x:c>
      <x:c r="P57" s="14" t="n">
        <x:v>3</x:v>
      </x:c>
      <x:c r="Q57" t="str"/>
      <x:c r="R57" t="str"/>
      <x:c r="S57" t="str"/>
      <x:c r="T57" t="str"/>
      <x:c r="U57" t="str"/>
    </x:row>
    <x:row r="58" ht="36" customHeight="1">
      <x:c r="B58" t="str">
        <x:v>RFE-E052</x:v>
      </x:c>
      <x:c r="C58" t="str">
        <x:v>EC-01</x:v>
      </x:c>
      <x:c r="D58" t="str">
        <x:v>AM-01</x:v>
      </x:c>
      <x:c r="E58" t="str">
        <x:v>AF-3</x:v>
      </x:c>
      <x:c r="F58" t="str">
        <x:v>BA</x:v>
      </x:c>
      <x:c r="G58" t="str">
        <x:v>PTC-C</x:v>
      </x:c>
      <x:c r="H58" t="str">
        <x:v>RFP-C1</x:v>
      </x:c>
      <x:c r="I58" s="12" t="str">
        <x:v>AF-3-BA-DEV-04</x:v>
      </x:c>
      <x:c r="J58" t="str">
        <x:v>—</x:v>
      </x:c>
      <x:c r="K58" t="str">
        <x:v>development</x:v>
      </x:c>
      <x:c r="L58" s="12" t="str">
        <x:v>water-only C</x:v>
      </x:c>
      <x:c r="M58" s="14" t="n">
        <x:v>0</x:v>
      </x:c>
      <x:c r="N58" s="14" t="n">
        <x:v>0</x:v>
      </x:c>
      <x:c r="O58" s="14" t="n">
        <x:v>3</x:v>
      </x:c>
      <x:c r="P58" s="14" t="n">
        <x:v>4</x:v>
      </x:c>
      <x:c r="Q58" t="str"/>
      <x:c r="R58" t="str"/>
      <x:c r="S58" t="str"/>
      <x:c r="T58" t="str"/>
      <x:c r="U58" t="str"/>
    </x:row>
    <x:row r="59" ht="36" customHeight="1">
      <x:c r="B59" t="str">
        <x:v>RFE-E053</x:v>
      </x:c>
      <x:c r="C59" t="str">
        <x:v>EC-01</x:v>
      </x:c>
      <x:c r="D59" t="str">
        <x:v>AM-02</x:v>
      </x:c>
      <x:c r="E59" t="str">
        <x:v>AF-3</x:v>
      </x:c>
      <x:c r="F59" t="str">
        <x:v>BA</x:v>
      </x:c>
      <x:c r="G59" t="str">
        <x:v>PTC-B</x:v>
      </x:c>
      <x:c r="H59" t="str">
        <x:v>RFP-B1</x:v>
      </x:c>
      <x:c r="I59" s="12" t="str">
        <x:v>AF-3-BA-DEV-05</x:v>
      </x:c>
      <x:c r="J59" t="str">
        <x:v>—</x:v>
      </x:c>
      <x:c r="K59" t="str">
        <x:v>development</x:v>
      </x:c>
      <x:c r="L59" s="12" t="str">
        <x:v>safe surrogate B</x:v>
      </x:c>
      <x:c r="M59" s="14" t="n">
        <x:v>0</x:v>
      </x:c>
      <x:c r="N59" s="14" t="n">
        <x:v>0</x:v>
      </x:c>
      <x:c r="O59" s="14" t="n">
        <x:v>3</x:v>
      </x:c>
      <x:c r="P59" s="14" t="n">
        <x:v>5</x:v>
      </x:c>
      <x:c r="Q59" t="str"/>
      <x:c r="R59" t="str"/>
      <x:c r="S59" t="str"/>
      <x:c r="T59" t="str"/>
      <x:c r="U59" t="str"/>
    </x:row>
    <x:row r="60" ht="36" customHeight="1">
      <x:c r="B60" t="str">
        <x:v>RFE-E054</x:v>
      </x:c>
      <x:c r="C60" t="str">
        <x:v>EC-01</x:v>
      </x:c>
      <x:c r="D60" t="str">
        <x:v>AM-02</x:v>
      </x:c>
      <x:c r="E60" t="str">
        <x:v>AF-3</x:v>
      </x:c>
      <x:c r="F60" t="str">
        <x:v>BA</x:v>
      </x:c>
      <x:c r="G60" t="str">
        <x:v>PTC-C</x:v>
      </x:c>
      <x:c r="H60" t="str">
        <x:v>RFP-C1</x:v>
      </x:c>
      <x:c r="I60" s="12" t="str">
        <x:v>AF-3-BA-DEV-06</x:v>
      </x:c>
      <x:c r="J60" t="str">
        <x:v>—</x:v>
      </x:c>
      <x:c r="K60" t="str">
        <x:v>development</x:v>
      </x:c>
      <x:c r="L60" s="12" t="str">
        <x:v>safe surrogate C</x:v>
      </x:c>
      <x:c r="M60" s="14" t="n">
        <x:v>0</x:v>
      </x:c>
      <x:c r="N60" s="14" t="n">
        <x:v>0</x:v>
      </x:c>
      <x:c r="O60" s="14" t="n">
        <x:v>3</x:v>
      </x:c>
      <x:c r="P60" s="14" t="n">
        <x:v>6</x:v>
      </x:c>
      <x:c r="Q60" t="str"/>
      <x:c r="R60" t="str"/>
      <x:c r="S60" t="str"/>
      <x:c r="T60" t="str"/>
      <x:c r="U60" t="str"/>
    </x:row>
    <x:row r="61" ht="36" customHeight="1">
      <x:c r="B61" t="str">
        <x:v>RFE-E055</x:v>
      </x:c>
      <x:c r="C61" t="str">
        <x:v>EC-01</x:v>
      </x:c>
      <x:c r="D61" t="str">
        <x:v>AM-03</x:v>
      </x:c>
      <x:c r="E61" t="str">
        <x:v>AF-3</x:v>
      </x:c>
      <x:c r="F61" t="str">
        <x:v>BA</x:v>
      </x:c>
      <x:c r="G61" t="str">
        <x:v>PTC-A</x:v>
      </x:c>
      <x:c r="H61" t="str">
        <x:v>RFP-A1</x:v>
      </x:c>
      <x:c r="I61" s="12" t="str">
        <x:v>AF-3-BA-DEV-07</x:v>
      </x:c>
      <x:c r="J61" t="str">
        <x:v>—</x:v>
      </x:c>
      <x:c r="K61" t="str">
        <x:v>development</x:v>
      </x:c>
      <x:c r="L61" s="12" t="str">
        <x:v>debris A</x:v>
      </x:c>
      <x:c r="M61" s="14" t="n">
        <x:v>0</x:v>
      </x:c>
      <x:c r="N61" s="14" t="n">
        <x:v>0</x:v>
      </x:c>
      <x:c r="O61" s="14" t="n">
        <x:v>3</x:v>
      </x:c>
      <x:c r="P61" s="14" t="n">
        <x:v>7</x:v>
      </x:c>
      <x:c r="Q61" t="str"/>
      <x:c r="R61" t="str"/>
      <x:c r="S61" t="str"/>
      <x:c r="T61" t="str"/>
      <x:c r="U61" t="str"/>
    </x:row>
    <x:row r="62" ht="36" customHeight="1">
      <x:c r="B62" t="str">
        <x:v>RFE-E056</x:v>
      </x:c>
      <x:c r="C62" t="str">
        <x:v>EC-01</x:v>
      </x:c>
      <x:c r="D62" t="str">
        <x:v>AM-03</x:v>
      </x:c>
      <x:c r="E62" t="str">
        <x:v>AF-3</x:v>
      </x:c>
      <x:c r="F62" t="str">
        <x:v>BA</x:v>
      </x:c>
      <x:c r="G62" t="str">
        <x:v>PTC-B</x:v>
      </x:c>
      <x:c r="H62" t="str">
        <x:v>RFP-B1</x:v>
      </x:c>
      <x:c r="I62" s="12" t="str">
        <x:v>AF-3-BA-DEV-08</x:v>
      </x:c>
      <x:c r="J62" t="str">
        <x:v>—</x:v>
      </x:c>
      <x:c r="K62" t="str">
        <x:v>development</x:v>
      </x:c>
      <x:c r="L62" s="12" t="str">
        <x:v>debris B</x:v>
      </x:c>
      <x:c r="M62" s="14" t="n">
        <x:v>0</x:v>
      </x:c>
      <x:c r="N62" s="14" t="n">
        <x:v>0</x:v>
      </x:c>
      <x:c r="O62" s="14" t="n">
        <x:v>3</x:v>
      </x:c>
      <x:c r="P62" s="14" t="n">
        <x:v>8</x:v>
      </x:c>
      <x:c r="Q62" t="str"/>
      <x:c r="R62" t="str"/>
      <x:c r="S62" t="str"/>
      <x:c r="T62" t="str"/>
      <x:c r="U62" t="str"/>
    </x:row>
    <x:row r="63" ht="36" customHeight="1">
      <x:c r="B63" t="str">
        <x:v>RFE-E057</x:v>
      </x:c>
      <x:c r="C63" t="str">
        <x:v>EC-01</x:v>
      </x:c>
      <x:c r="D63" t="str">
        <x:v>AM-04</x:v>
      </x:c>
      <x:c r="E63" t="str">
        <x:v>AF-3</x:v>
      </x:c>
      <x:c r="F63" t="str">
        <x:v>BA</x:v>
      </x:c>
      <x:c r="G63" t="str">
        <x:v>PTC-B</x:v>
      </x:c>
      <x:c r="H63" t="str">
        <x:v>RFP-B1</x:v>
      </x:c>
      <x:c r="I63" s="12" t="str">
        <x:v>AF-3-BA-DEV-09</x:v>
      </x:c>
      <x:c r="J63" t="str">
        <x:v>—</x:v>
      </x:c>
      <x:c r="K63" t="str">
        <x:v>development</x:v>
      </x:c>
      <x:c r="L63" s="12" t="str">
        <x:v>tracer B</x:v>
      </x:c>
      <x:c r="M63" s="14" t="n">
        <x:v>0</x:v>
      </x:c>
      <x:c r="N63" s="14" t="n">
        <x:v>0</x:v>
      </x:c>
      <x:c r="O63" s="14" t="n">
        <x:v>3</x:v>
      </x:c>
      <x:c r="P63" s="14" t="n">
        <x:v>9</x:v>
      </x:c>
      <x:c r="Q63" t="str"/>
      <x:c r="R63" t="str"/>
      <x:c r="S63" t="str"/>
      <x:c r="T63" t="str"/>
      <x:c r="U63" t="str"/>
    </x:row>
    <x:row r="64" ht="36" customHeight="1">
      <x:c r="B64" t="str">
        <x:v>RFE-E058</x:v>
      </x:c>
      <x:c r="C64" t="str">
        <x:v>EC-01</x:v>
      </x:c>
      <x:c r="D64" t="str">
        <x:v>AM-04</x:v>
      </x:c>
      <x:c r="E64" t="str">
        <x:v>AF-3</x:v>
      </x:c>
      <x:c r="F64" t="str">
        <x:v>BA</x:v>
      </x:c>
      <x:c r="G64" t="str">
        <x:v>PTC-C</x:v>
      </x:c>
      <x:c r="H64" t="str">
        <x:v>RFP-C1</x:v>
      </x:c>
      <x:c r="I64" s="12" t="str">
        <x:v>AF-3-BA-DEV-10</x:v>
      </x:c>
      <x:c r="J64" t="str">
        <x:v>—</x:v>
      </x:c>
      <x:c r="K64" t="str">
        <x:v>development</x:v>
      </x:c>
      <x:c r="L64" s="12" t="str">
        <x:v>tracer C</x:v>
      </x:c>
      <x:c r="M64" s="14" t="n">
        <x:v>0</x:v>
      </x:c>
      <x:c r="N64" s="14" t="n">
        <x:v>0</x:v>
      </x:c>
      <x:c r="O64" s="14" t="n">
        <x:v>3</x:v>
      </x:c>
      <x:c r="P64" s="14" t="n">
        <x:v>10</x:v>
      </x:c>
      <x:c r="Q64" t="str"/>
      <x:c r="R64" t="str"/>
      <x:c r="S64" t="str"/>
      <x:c r="T64" t="str"/>
      <x:c r="U64" t="str"/>
    </x:row>
    <x:row r="65" ht="36" customHeight="1">
      <x:c r="B65" t="str">
        <x:v>RFE-E059</x:v>
      </x:c>
      <x:c r="C65" t="str">
        <x:v>EC-02</x:v>
      </x:c>
      <x:c r="D65" t="str">
        <x:v>AM-05</x:v>
      </x:c>
      <x:c r="E65" t="str">
        <x:v>AF-3</x:v>
      </x:c>
      <x:c r="F65" t="str">
        <x:v>BA</x:v>
      </x:c>
      <x:c r="G65" t="str">
        <x:v>PTC-B</x:v>
      </x:c>
      <x:c r="H65" t="str">
        <x:v>RFP-B1</x:v>
      </x:c>
      <x:c r="I65" s="12" t="str">
        <x:v>AF-3-BA-DEV-11</x:v>
      </x:c>
      <x:c r="J65" t="str">
        <x:v>—</x:v>
      </x:c>
      <x:c r="K65" t="str">
        <x:v>development</x:v>
      </x:c>
      <x:c r="L65" s="12" t="str">
        <x:v>quarter unignited anchor</x:v>
      </x:c>
      <x:c r="M65" s="14" t="n">
        <x:v>500</x:v>
      </x:c>
      <x:c r="N65" s="14" t="n">
        <x:v>0</x:v>
      </x:c>
      <x:c r="O65" s="14" t="n">
        <x:v>6</x:v>
      </x:c>
      <x:c r="P65" s="14" t="n">
        <x:v>11</x:v>
      </x:c>
      <x:c r="Q65" t="str"/>
      <x:c r="R65" t="str"/>
      <x:c r="S65" t="str"/>
      <x:c r="T65" t="str"/>
      <x:c r="U65" t="str"/>
    </x:row>
    <x:row r="66" ht="36" customHeight="1">
      <x:c r="B66" t="str">
        <x:v>RFE-E060</x:v>
      </x:c>
      <x:c r="C66" t="str">
        <x:v>EC-02</x:v>
      </x:c>
      <x:c r="D66" t="str">
        <x:v>AM-06</x:v>
      </x:c>
      <x:c r="E66" t="str">
        <x:v>AF-3</x:v>
      </x:c>
      <x:c r="F66" t="str">
        <x:v>BA</x:v>
      </x:c>
      <x:c r="G66" t="str">
        <x:v>PTC-C</x:v>
      </x:c>
      <x:c r="H66" t="str">
        <x:v>RFP-C1</x:v>
      </x:c>
      <x:c r="I66" s="12" t="str">
        <x:v>AF-3-BA-DEV-12</x:v>
      </x:c>
      <x:c r="J66" t="str">
        <x:v>—</x:v>
      </x:c>
      <x:c r="K66" t="str">
        <x:v>development</x:v>
      </x:c>
      <x:c r="L66" s="12" t="str">
        <x:v>quarter fire anchor</x:v>
      </x:c>
      <x:c r="M66" s="14" t="n">
        <x:v>500</x:v>
      </x:c>
      <x:c r="N66" s="14" t="n">
        <x:v>10</x:v>
      </x:c>
      <x:c r="O66" s="14" t="n">
        <x:v>6</x:v>
      </x:c>
      <x:c r="P66" s="14" t="n">
        <x:v>12</x:v>
      </x:c>
      <x:c r="Q66" t="str"/>
      <x:c r="R66" t="str"/>
      <x:c r="S66" t="str"/>
      <x:c r="T66" t="str"/>
      <x:c r="U66" t="str"/>
    </x:row>
    <x:row r="67" ht="36" customHeight="1">
      <x:c r="B67" t="str">
        <x:v>RFE-E061</x:v>
      </x:c>
      <x:c r="C67" t="str">
        <x:v>EC-01</x:v>
      </x:c>
      <x:c r="D67" t="str">
        <x:v>AM-00</x:v>
      </x:c>
      <x:c r="E67" t="str">
        <x:v>AF-3</x:v>
      </x:c>
      <x:c r="F67" t="str">
        <x:v>BB</x:v>
      </x:c>
      <x:c r="G67" t="str">
        <x:v>PTC-A</x:v>
      </x:c>
      <x:c r="H67" t="str">
        <x:v>RFP-A2</x:v>
      </x:c>
      <x:c r="I67" s="12" t="str">
        <x:v>AF-3-BB-DEV-01</x:v>
      </x:c>
      <x:c r="J67" t="str">
        <x:v>—</x:v>
      </x:c>
      <x:c r="K67" t="str">
        <x:v>development</x:v>
      </x:c>
      <x:c r="L67" s="12" t="str">
        <x:v>geometry A</x:v>
      </x:c>
      <x:c r="M67" s="14" t="n">
        <x:v>0</x:v>
      </x:c>
      <x:c r="N67" s="14" t="n">
        <x:v>0</x:v>
      </x:c>
      <x:c r="O67" s="14" t="n">
        <x:v>3</x:v>
      </x:c>
      <x:c r="P67" s="14" t="n">
        <x:v>1</x:v>
      </x:c>
      <x:c r="Q67" t="str"/>
      <x:c r="R67" t="str"/>
      <x:c r="S67" t="str"/>
      <x:c r="T67" t="str"/>
      <x:c r="U67" t="str"/>
    </x:row>
    <x:row r="68" ht="36" customHeight="1">
      <x:c r="B68" t="str">
        <x:v>RFE-E062</x:v>
      </x:c>
      <x:c r="C68" t="str">
        <x:v>EC-01</x:v>
      </x:c>
      <x:c r="D68" t="str">
        <x:v>AM-00</x:v>
      </x:c>
      <x:c r="E68" t="str">
        <x:v>AF-3</x:v>
      </x:c>
      <x:c r="F68" t="str">
        <x:v>BB</x:v>
      </x:c>
      <x:c r="G68" t="str">
        <x:v>PTC-B</x:v>
      </x:c>
      <x:c r="H68" t="str">
        <x:v>RFP-B2</x:v>
      </x:c>
      <x:c r="I68" s="12" t="str">
        <x:v>AF-3-BB-DEV-02</x:v>
      </x:c>
      <x:c r="J68" t="str">
        <x:v>—</x:v>
      </x:c>
      <x:c r="K68" t="str">
        <x:v>development</x:v>
      </x:c>
      <x:c r="L68" s="12" t="str">
        <x:v>geometry B</x:v>
      </x:c>
      <x:c r="M68" s="14" t="n">
        <x:v>0</x:v>
      </x:c>
      <x:c r="N68" s="14" t="n">
        <x:v>0</x:v>
      </x:c>
      <x:c r="O68" s="14" t="n">
        <x:v>3</x:v>
      </x:c>
      <x:c r="P68" s="14" t="n">
        <x:v>2</x:v>
      </x:c>
      <x:c r="Q68" t="str"/>
      <x:c r="R68" t="str"/>
      <x:c r="S68" t="str"/>
      <x:c r="T68" t="str"/>
      <x:c r="U68" t="str"/>
    </x:row>
    <x:row r="69" ht="36" customHeight="1">
      <x:c r="B69" t="str">
        <x:v>RFE-E063</x:v>
      </x:c>
      <x:c r="C69" t="str">
        <x:v>EC-01</x:v>
      </x:c>
      <x:c r="D69" t="str">
        <x:v>AM-01</x:v>
      </x:c>
      <x:c r="E69" t="str">
        <x:v>AF-3</x:v>
      </x:c>
      <x:c r="F69" t="str">
        <x:v>BB</x:v>
      </x:c>
      <x:c r="G69" t="str">
        <x:v>PTC-A</x:v>
      </x:c>
      <x:c r="H69" t="str">
        <x:v>RFP-A2</x:v>
      </x:c>
      <x:c r="I69" s="12" t="str">
        <x:v>AF-3-BB-DEV-03</x:v>
      </x:c>
      <x:c r="J69" t="str">
        <x:v>—</x:v>
      </x:c>
      <x:c r="K69" t="str">
        <x:v>development</x:v>
      </x:c>
      <x:c r="L69" s="12" t="str">
        <x:v>water-only A</x:v>
      </x:c>
      <x:c r="M69" s="14" t="n">
        <x:v>0</x:v>
      </x:c>
      <x:c r="N69" s="14" t="n">
        <x:v>0</x:v>
      </x:c>
      <x:c r="O69" s="14" t="n">
        <x:v>3</x:v>
      </x:c>
      <x:c r="P69" s="14" t="n">
        <x:v>3</x:v>
      </x:c>
      <x:c r="Q69" t="str"/>
      <x:c r="R69" t="str"/>
      <x:c r="S69" t="str"/>
      <x:c r="T69" t="str"/>
      <x:c r="U69" t="str"/>
    </x:row>
    <x:row r="70" ht="36" customHeight="1">
      <x:c r="B70" t="str">
        <x:v>RFE-E064</x:v>
      </x:c>
      <x:c r="C70" t="str">
        <x:v>EC-01</x:v>
      </x:c>
      <x:c r="D70" t="str">
        <x:v>AM-01</x:v>
      </x:c>
      <x:c r="E70" t="str">
        <x:v>AF-3</x:v>
      </x:c>
      <x:c r="F70" t="str">
        <x:v>BB</x:v>
      </x:c>
      <x:c r="G70" t="str">
        <x:v>PTC-C</x:v>
      </x:c>
      <x:c r="H70" t="str">
        <x:v>RFP-C2</x:v>
      </x:c>
      <x:c r="I70" s="12" t="str">
        <x:v>AF-3-BB-DEV-04</x:v>
      </x:c>
      <x:c r="J70" t="str">
        <x:v>—</x:v>
      </x:c>
      <x:c r="K70" t="str">
        <x:v>development</x:v>
      </x:c>
      <x:c r="L70" s="12" t="str">
        <x:v>water-only C</x:v>
      </x:c>
      <x:c r="M70" s="14" t="n">
        <x:v>0</x:v>
      </x:c>
      <x:c r="N70" s="14" t="n">
        <x:v>0</x:v>
      </x:c>
      <x:c r="O70" s="14" t="n">
        <x:v>3</x:v>
      </x:c>
      <x:c r="P70" s="14" t="n">
        <x:v>4</x:v>
      </x:c>
      <x:c r="Q70" t="str"/>
      <x:c r="R70" t="str"/>
      <x:c r="S70" t="str"/>
      <x:c r="T70" t="str"/>
      <x:c r="U70" t="str"/>
    </x:row>
    <x:row r="71" ht="36" customHeight="1">
      <x:c r="B71" t="str">
        <x:v>RFE-E065</x:v>
      </x:c>
      <x:c r="C71" t="str">
        <x:v>EC-01</x:v>
      </x:c>
      <x:c r="D71" t="str">
        <x:v>AM-02</x:v>
      </x:c>
      <x:c r="E71" t="str">
        <x:v>AF-3</x:v>
      </x:c>
      <x:c r="F71" t="str">
        <x:v>BB</x:v>
      </x:c>
      <x:c r="G71" t="str">
        <x:v>PTC-B</x:v>
      </x:c>
      <x:c r="H71" t="str">
        <x:v>RFP-B2</x:v>
      </x:c>
      <x:c r="I71" s="12" t="str">
        <x:v>AF-3-BB-DEV-05</x:v>
      </x:c>
      <x:c r="J71" t="str">
        <x:v>—</x:v>
      </x:c>
      <x:c r="K71" t="str">
        <x:v>development</x:v>
      </x:c>
      <x:c r="L71" s="12" t="str">
        <x:v>safe surrogate B</x:v>
      </x:c>
      <x:c r="M71" s="14" t="n">
        <x:v>0</x:v>
      </x:c>
      <x:c r="N71" s="14" t="n">
        <x:v>0</x:v>
      </x:c>
      <x:c r="O71" s="14" t="n">
        <x:v>3</x:v>
      </x:c>
      <x:c r="P71" s="14" t="n">
        <x:v>5</x:v>
      </x:c>
      <x:c r="Q71" t="str"/>
      <x:c r="R71" t="str"/>
      <x:c r="S71" t="str"/>
      <x:c r="T71" t="str"/>
      <x:c r="U71" t="str"/>
    </x:row>
    <x:row r="72" ht="36" customHeight="1">
      <x:c r="B72" t="str">
        <x:v>RFE-E066</x:v>
      </x:c>
      <x:c r="C72" t="str">
        <x:v>EC-01</x:v>
      </x:c>
      <x:c r="D72" t="str">
        <x:v>AM-02</x:v>
      </x:c>
      <x:c r="E72" t="str">
        <x:v>AF-3</x:v>
      </x:c>
      <x:c r="F72" t="str">
        <x:v>BB</x:v>
      </x:c>
      <x:c r="G72" t="str">
        <x:v>PTC-C</x:v>
      </x:c>
      <x:c r="H72" t="str">
        <x:v>RFP-C2</x:v>
      </x:c>
      <x:c r="I72" s="12" t="str">
        <x:v>AF-3-BB-DEV-06</x:v>
      </x:c>
      <x:c r="J72" t="str">
        <x:v>—</x:v>
      </x:c>
      <x:c r="K72" t="str">
        <x:v>development</x:v>
      </x:c>
      <x:c r="L72" s="12" t="str">
        <x:v>safe surrogate C</x:v>
      </x:c>
      <x:c r="M72" s="14" t="n">
        <x:v>0</x:v>
      </x:c>
      <x:c r="N72" s="14" t="n">
        <x:v>0</x:v>
      </x:c>
      <x:c r="O72" s="14" t="n">
        <x:v>3</x:v>
      </x:c>
      <x:c r="P72" s="14" t="n">
        <x:v>6</x:v>
      </x:c>
      <x:c r="Q72" t="str"/>
      <x:c r="R72" t="str"/>
      <x:c r="S72" t="str"/>
      <x:c r="T72" t="str"/>
      <x:c r="U72" t="str"/>
    </x:row>
    <x:row r="73" ht="36" customHeight="1">
      <x:c r="B73" t="str">
        <x:v>RFE-E067</x:v>
      </x:c>
      <x:c r="C73" t="str">
        <x:v>EC-01</x:v>
      </x:c>
      <x:c r="D73" t="str">
        <x:v>AM-03</x:v>
      </x:c>
      <x:c r="E73" t="str">
        <x:v>AF-3</x:v>
      </x:c>
      <x:c r="F73" t="str">
        <x:v>BB</x:v>
      </x:c>
      <x:c r="G73" t="str">
        <x:v>PTC-A</x:v>
      </x:c>
      <x:c r="H73" t="str">
        <x:v>RFP-A2</x:v>
      </x:c>
      <x:c r="I73" s="12" t="str">
        <x:v>AF-3-BB-DEV-07</x:v>
      </x:c>
      <x:c r="J73" t="str">
        <x:v>—</x:v>
      </x:c>
      <x:c r="K73" t="str">
        <x:v>development</x:v>
      </x:c>
      <x:c r="L73" s="12" t="str">
        <x:v>debris A</x:v>
      </x:c>
      <x:c r="M73" s="14" t="n">
        <x:v>0</x:v>
      </x:c>
      <x:c r="N73" s="14" t="n">
        <x:v>0</x:v>
      </x:c>
      <x:c r="O73" s="14" t="n">
        <x:v>3</x:v>
      </x:c>
      <x:c r="P73" s="14" t="n">
        <x:v>7</x:v>
      </x:c>
      <x:c r="Q73" t="str"/>
      <x:c r="R73" t="str"/>
      <x:c r="S73" t="str"/>
      <x:c r="T73" t="str"/>
      <x:c r="U73" t="str"/>
    </x:row>
    <x:row r="74" ht="36" customHeight="1">
      <x:c r="B74" t="str">
        <x:v>RFE-E068</x:v>
      </x:c>
      <x:c r="C74" t="str">
        <x:v>EC-01</x:v>
      </x:c>
      <x:c r="D74" t="str">
        <x:v>AM-03</x:v>
      </x:c>
      <x:c r="E74" t="str">
        <x:v>AF-3</x:v>
      </x:c>
      <x:c r="F74" t="str">
        <x:v>BB</x:v>
      </x:c>
      <x:c r="G74" t="str">
        <x:v>PTC-B</x:v>
      </x:c>
      <x:c r="H74" t="str">
        <x:v>RFP-B2</x:v>
      </x:c>
      <x:c r="I74" s="12" t="str">
        <x:v>AF-3-BB-DEV-08</x:v>
      </x:c>
      <x:c r="J74" t="str">
        <x:v>—</x:v>
      </x:c>
      <x:c r="K74" t="str">
        <x:v>development</x:v>
      </x:c>
      <x:c r="L74" s="12" t="str">
        <x:v>debris B</x:v>
      </x:c>
      <x:c r="M74" s="14" t="n">
        <x:v>0</x:v>
      </x:c>
      <x:c r="N74" s="14" t="n">
        <x:v>0</x:v>
      </x:c>
      <x:c r="O74" s="14" t="n">
        <x:v>3</x:v>
      </x:c>
      <x:c r="P74" s="14" t="n">
        <x:v>8</x:v>
      </x:c>
      <x:c r="Q74" t="str"/>
      <x:c r="R74" t="str"/>
      <x:c r="S74" t="str"/>
      <x:c r="T74" t="str"/>
      <x:c r="U74" t="str"/>
    </x:row>
    <x:row r="75" ht="36" customHeight="1">
      <x:c r="B75" t="str">
        <x:v>RFE-E069</x:v>
      </x:c>
      <x:c r="C75" t="str">
        <x:v>EC-01</x:v>
      </x:c>
      <x:c r="D75" t="str">
        <x:v>AM-04</x:v>
      </x:c>
      <x:c r="E75" t="str">
        <x:v>AF-3</x:v>
      </x:c>
      <x:c r="F75" t="str">
        <x:v>BB</x:v>
      </x:c>
      <x:c r="G75" t="str">
        <x:v>PTC-B</x:v>
      </x:c>
      <x:c r="H75" t="str">
        <x:v>RFP-B2</x:v>
      </x:c>
      <x:c r="I75" s="12" t="str">
        <x:v>AF-3-BB-DEV-09</x:v>
      </x:c>
      <x:c r="J75" t="str">
        <x:v>—</x:v>
      </x:c>
      <x:c r="K75" t="str">
        <x:v>development</x:v>
      </x:c>
      <x:c r="L75" s="12" t="str">
        <x:v>tracer B</x:v>
      </x:c>
      <x:c r="M75" s="14" t="n">
        <x:v>0</x:v>
      </x:c>
      <x:c r="N75" s="14" t="n">
        <x:v>0</x:v>
      </x:c>
      <x:c r="O75" s="14" t="n">
        <x:v>3</x:v>
      </x:c>
      <x:c r="P75" s="14" t="n">
        <x:v>9</x:v>
      </x:c>
      <x:c r="Q75" t="str"/>
      <x:c r="R75" t="str"/>
      <x:c r="S75" t="str"/>
      <x:c r="T75" t="str"/>
      <x:c r="U75" t="str"/>
    </x:row>
    <x:row r="76" ht="36" customHeight="1">
      <x:c r="B76" t="str">
        <x:v>RFE-E070</x:v>
      </x:c>
      <x:c r="C76" t="str">
        <x:v>EC-01</x:v>
      </x:c>
      <x:c r="D76" t="str">
        <x:v>AM-04</x:v>
      </x:c>
      <x:c r="E76" t="str">
        <x:v>AF-3</x:v>
      </x:c>
      <x:c r="F76" t="str">
        <x:v>BB</x:v>
      </x:c>
      <x:c r="G76" t="str">
        <x:v>PTC-C</x:v>
      </x:c>
      <x:c r="H76" t="str">
        <x:v>RFP-C2</x:v>
      </x:c>
      <x:c r="I76" s="12" t="str">
        <x:v>AF-3-BB-DEV-10</x:v>
      </x:c>
      <x:c r="J76" t="str">
        <x:v>—</x:v>
      </x:c>
      <x:c r="K76" t="str">
        <x:v>development</x:v>
      </x:c>
      <x:c r="L76" s="12" t="str">
        <x:v>tracer C</x:v>
      </x:c>
      <x:c r="M76" s="14" t="n">
        <x:v>0</x:v>
      </x:c>
      <x:c r="N76" s="14" t="n">
        <x:v>0</x:v>
      </x:c>
      <x:c r="O76" s="14" t="n">
        <x:v>3</x:v>
      </x:c>
      <x:c r="P76" s="14" t="n">
        <x:v>10</x:v>
      </x:c>
      <x:c r="Q76" t="str"/>
      <x:c r="R76" t="str"/>
      <x:c r="S76" t="str"/>
      <x:c r="T76" t="str"/>
      <x:c r="U76" t="str"/>
    </x:row>
    <x:row r="77" ht="36" customHeight="1">
      <x:c r="B77" t="str">
        <x:v>RFE-E071</x:v>
      </x:c>
      <x:c r="C77" t="str">
        <x:v>EC-02</x:v>
      </x:c>
      <x:c r="D77" t="str">
        <x:v>AM-05</x:v>
      </x:c>
      <x:c r="E77" t="str">
        <x:v>AF-3</x:v>
      </x:c>
      <x:c r="F77" t="str">
        <x:v>BB</x:v>
      </x:c>
      <x:c r="G77" t="str">
        <x:v>PTC-B</x:v>
      </x:c>
      <x:c r="H77" t="str">
        <x:v>RFP-B2</x:v>
      </x:c>
      <x:c r="I77" s="12" t="str">
        <x:v>AF-3-BB-DEV-11</x:v>
      </x:c>
      <x:c r="J77" t="str">
        <x:v>—</x:v>
      </x:c>
      <x:c r="K77" t="str">
        <x:v>development</x:v>
      </x:c>
      <x:c r="L77" s="12" t="str">
        <x:v>quarter unignited anchor</x:v>
      </x:c>
      <x:c r="M77" s="14" t="n">
        <x:v>500</x:v>
      </x:c>
      <x:c r="N77" s="14" t="n">
        <x:v>0</x:v>
      </x:c>
      <x:c r="O77" s="14" t="n">
        <x:v>6</x:v>
      </x:c>
      <x:c r="P77" s="14" t="n">
        <x:v>11</x:v>
      </x:c>
      <x:c r="Q77" t="str"/>
      <x:c r="R77" t="str"/>
      <x:c r="S77" t="str"/>
      <x:c r="T77" t="str"/>
      <x:c r="U77" t="str"/>
    </x:row>
    <x:row r="78" ht="36" customHeight="1">
      <x:c r="B78" t="str">
        <x:v>RFE-E072</x:v>
      </x:c>
      <x:c r="C78" t="str">
        <x:v>EC-02</x:v>
      </x:c>
      <x:c r="D78" t="str">
        <x:v>AM-06</x:v>
      </x:c>
      <x:c r="E78" t="str">
        <x:v>AF-3</x:v>
      </x:c>
      <x:c r="F78" t="str">
        <x:v>BB</x:v>
      </x:c>
      <x:c r="G78" t="str">
        <x:v>PTC-C</x:v>
      </x:c>
      <x:c r="H78" t="str">
        <x:v>RFP-C2</x:v>
      </x:c>
      <x:c r="I78" s="12" t="str">
        <x:v>AF-3-BB-DEV-12</x:v>
      </x:c>
      <x:c r="J78" t="str">
        <x:v>—</x:v>
      </x:c>
      <x:c r="K78" t="str">
        <x:v>development</x:v>
      </x:c>
      <x:c r="L78" s="12" t="str">
        <x:v>quarter fire anchor</x:v>
      </x:c>
      <x:c r="M78" s="14" t="n">
        <x:v>500</x:v>
      </x:c>
      <x:c r="N78" s="14" t="n">
        <x:v>10</x:v>
      </x:c>
      <x:c r="O78" s="14" t="n">
        <x:v>6</x:v>
      </x:c>
      <x:c r="P78" s="14" t="n">
        <x:v>12</x:v>
      </x:c>
      <x:c r="Q78" t="str"/>
      <x:c r="R78" t="str"/>
      <x:c r="S78" t="str"/>
      <x:c r="T78" t="str"/>
      <x:c r="U78" t="str"/>
    </x:row>
    <x:row r="79" ht="36" customHeight="1">
      <x:c r="B79" t="str">
        <x:v>RFE-E073</x:v>
      </x:c>
      <x:c r="C79" t="str">
        <x:v>EC-03</x:v>
      </x:c>
      <x:c r="D79" t="str">
        <x:v>AM-05</x:v>
      </x:c>
      <x:c r="E79" t="str">
        <x:v>AF-1</x:v>
      </x:c>
      <x:c r="F79" t="str">
        <x:v>BA</x:v>
      </x:c>
      <x:c r="G79" t="str">
        <x:v>PTC-B</x:v>
      </x:c>
      <x:c r="H79" t="str">
        <x:v>RFP-B1</x:v>
      </x:c>
      <x:c r="I79" s="12" t="str">
        <x:v>AF-1-BA-A01</x:v>
      </x:c>
      <x:c r="J79" t="str">
        <x:v>RFE-P001</x:v>
      </x:c>
      <x:c r="K79" t="str">
        <x:v>control</x:v>
      </x:c>
      <x:c r="L79" s="12" t="str">
        <x:v>matched clean state</x:v>
      </x:c>
      <x:c r="M79" s="14" t="n">
        <x:v>500</x:v>
      </x:c>
      <x:c r="N79" s="14" t="n">
        <x:v>0</x:v>
      </x:c>
      <x:c r="O79" s="14" t="n">
        <x:v>5</x:v>
      </x:c>
      <x:c r="P79" s="14" t="n">
        <x:v>1</x:v>
      </x:c>
      <x:c r="Q79" t="str"/>
      <x:c r="R79" t="str"/>
      <x:c r="S79" t="str"/>
      <x:c r="T79" t="str"/>
      <x:c r="U79" t="str"/>
    </x:row>
    <x:row r="80" ht="36" customHeight="1">
      <x:c r="B80" t="str">
        <x:v>RFE-E074</x:v>
      </x:c>
      <x:c r="C80" t="str">
        <x:v>EC-03</x:v>
      </x:c>
      <x:c r="D80" t="str">
        <x:v>AM-05</x:v>
      </x:c>
      <x:c r="E80" t="str">
        <x:v>AF-1</x:v>
      </x:c>
      <x:c r="F80" t="str">
        <x:v>BA</x:v>
      </x:c>
      <x:c r="G80" t="str">
        <x:v>PTC-B</x:v>
      </x:c>
      <x:c r="H80" t="str">
        <x:v>RFP-B1</x:v>
      </x:c>
      <x:c r="I80" s="12" t="str">
        <x:v>AF-1-BA-A01</x:v>
      </x:c>
      <x:c r="J80" t="str">
        <x:v>RFE-P001</x:v>
      </x:c>
      <x:c r="K80" t="str">
        <x:v>challenge</x:v>
      </x:c>
      <x:c r="L80" s="12" t="str">
        <x:v>1.0% reverse local grade plus ±25 mm datum error</x:v>
      </x:c>
      <x:c r="M80" s="14" t="n">
        <x:v>500</x:v>
      </x:c>
      <x:c r="N80" s="14" t="n">
        <x:v>0</x:v>
      </x:c>
      <x:c r="O80" s="14" t="n">
        <x:v>5</x:v>
      </x:c>
      <x:c r="P80" s="14" t="n">
        <x:v>2</x:v>
      </x:c>
      <x:c r="Q80" t="str"/>
      <x:c r="R80" t="str"/>
      <x:c r="S80" t="str"/>
      <x:c r="T80" t="str"/>
      <x:c r="U80" t="str"/>
    </x:row>
    <x:row r="81" ht="36" customHeight="1">
      <x:c r="B81" t="str">
        <x:v>RFE-E075</x:v>
      </x:c>
      <x:c r="C81" t="str">
        <x:v>EC-03</x:v>
      </x:c>
      <x:c r="D81" t="str">
        <x:v>AM-05</x:v>
      </x:c>
      <x:c r="E81" t="str">
        <x:v>AF-1</x:v>
      </x:c>
      <x:c r="F81" t="str">
        <x:v>BA</x:v>
      </x:c>
      <x:c r="G81" t="str">
        <x:v>PTC-B</x:v>
      </x:c>
      <x:c r="H81" t="str">
        <x:v>RFP-B1</x:v>
      </x:c>
      <x:c r="I81" s="12" t="str">
        <x:v>AF-1-BA-A02</x:v>
      </x:c>
      <x:c r="J81" t="str">
        <x:v>RFE-P002</x:v>
      </x:c>
      <x:c r="K81" t="str">
        <x:v>challenge</x:v>
      </x:c>
      <x:c r="L81" s="12" t="str">
        <x:v>50% effective source-drain area</x:v>
      </x:c>
      <x:c r="M81" s="14" t="n">
        <x:v>500</x:v>
      </x:c>
      <x:c r="N81" s="14" t="n">
        <x:v>0</x:v>
      </x:c>
      <x:c r="O81" s="14" t="n">
        <x:v>5</x:v>
      </x:c>
      <x:c r="P81" s="14" t="n">
        <x:v>1</x:v>
      </x:c>
      <x:c r="Q81" t="str"/>
      <x:c r="R81" t="str"/>
      <x:c r="S81" t="str"/>
      <x:c r="T81" t="str"/>
      <x:c r="U81" t="str"/>
    </x:row>
    <x:row r="82" ht="36" customHeight="1">
      <x:c r="B82" t="str">
        <x:v>RFE-E076</x:v>
      </x:c>
      <x:c r="C82" t="str">
        <x:v>EC-03</x:v>
      </x:c>
      <x:c r="D82" t="str">
        <x:v>AM-05</x:v>
      </x:c>
      <x:c r="E82" t="str">
        <x:v>AF-1</x:v>
      </x:c>
      <x:c r="F82" t="str">
        <x:v>BA</x:v>
      </x:c>
      <x:c r="G82" t="str">
        <x:v>PTC-B</x:v>
      </x:c>
      <x:c r="H82" t="str">
        <x:v>RFP-B1</x:v>
      </x:c>
      <x:c r="I82" s="12" t="str">
        <x:v>AF-1-BA-A02</x:v>
      </x:c>
      <x:c r="J82" t="str">
        <x:v>RFE-P002</x:v>
      </x:c>
      <x:c r="K82" t="str">
        <x:v>control</x:v>
      </x:c>
      <x:c r="L82" s="12" t="str">
        <x:v>matched clean state</x:v>
      </x:c>
      <x:c r="M82" s="14" t="n">
        <x:v>500</x:v>
      </x:c>
      <x:c r="N82" s="14" t="n">
        <x:v>0</x:v>
      </x:c>
      <x:c r="O82" s="14" t="n">
        <x:v>5</x:v>
      </x:c>
      <x:c r="P82" s="14" t="n">
        <x:v>2</x:v>
      </x:c>
      <x:c r="Q82" t="str"/>
      <x:c r="R82" t="str"/>
      <x:c r="S82" t="str"/>
      <x:c r="T82" t="str"/>
      <x:c r="U82" t="str"/>
    </x:row>
    <x:row r="83" ht="36" customHeight="1">
      <x:c r="B83" t="str">
        <x:v>RFE-E077</x:v>
      </x:c>
      <x:c r="C83" t="str">
        <x:v>EC-03</x:v>
      </x:c>
      <x:c r="D83" t="str">
        <x:v>AM-05</x:v>
      </x:c>
      <x:c r="E83" t="str">
        <x:v>AF-1</x:v>
      </x:c>
      <x:c r="F83" t="str">
        <x:v>BA</x:v>
      </x:c>
      <x:c r="G83" t="str">
        <x:v>PTC-B</x:v>
      </x:c>
      <x:c r="H83" t="str">
        <x:v>RFP-B1</x:v>
      </x:c>
      <x:c r="I83" s="12" t="str">
        <x:v>AF-1-BA-A03</x:v>
      </x:c>
      <x:c r="J83" t="str">
        <x:v>RFE-P003</x:v>
      </x:c>
      <x:c r="K83" t="str">
        <x:v>control</x:v>
      </x:c>
      <x:c r="L83" s="12" t="str">
        <x:v>matched clean state</x:v>
      </x:c>
      <x:c r="M83" s="14" t="n">
        <x:v>500</x:v>
      </x:c>
      <x:c r="N83" s="14" t="n">
        <x:v>0</x:v>
      </x:c>
      <x:c r="O83" s="14" t="n">
        <x:v>5</x:v>
      </x:c>
      <x:c r="P83" s="14" t="n">
        <x:v>1</x:v>
      </x:c>
      <x:c r="Q83" t="str"/>
      <x:c r="R83" t="str"/>
      <x:c r="S83" t="str"/>
      <x:c r="T83" t="str"/>
      <x:c r="U83" t="str"/>
    </x:row>
    <x:row r="84" ht="36" customHeight="1">
      <x:c r="B84" t="str">
        <x:v>RFE-E078</x:v>
      </x:c>
      <x:c r="C84" t="str">
        <x:v>EC-03</x:v>
      </x:c>
      <x:c r="D84" t="str">
        <x:v>AM-05</x:v>
      </x:c>
      <x:c r="E84" t="str">
        <x:v>AF-1</x:v>
      </x:c>
      <x:c r="F84" t="str">
        <x:v>BA</x:v>
      </x:c>
      <x:c r="G84" t="str">
        <x:v>PTC-B</x:v>
      </x:c>
      <x:c r="H84" t="str">
        <x:v>RFP-B1</x:v>
      </x:c>
      <x:c r="I84" s="12" t="str">
        <x:v>AF-1-BA-A03</x:v>
      </x:c>
      <x:c r="J84" t="str">
        <x:v>RFE-P003</x:v>
      </x:c>
      <x:c r="K84" t="str">
        <x:v>challenge</x:v>
      </x:c>
      <x:c r="L84" s="12" t="str">
        <x:v>candidate sump at 50% liquid-equivalent fill</x:v>
      </x:c>
      <x:c r="M84" s="14" t="n">
        <x:v>500</x:v>
      </x:c>
      <x:c r="N84" s="14" t="n">
        <x:v>0</x:v>
      </x:c>
      <x:c r="O84" s="14" t="n">
        <x:v>5</x:v>
      </x:c>
      <x:c r="P84" s="14" t="n">
        <x:v>2</x:v>
      </x:c>
      <x:c r="Q84" t="str"/>
      <x:c r="R84" t="str"/>
      <x:c r="S84" t="str"/>
      <x:c r="T84" t="str"/>
      <x:c r="U84" t="str"/>
    </x:row>
    <x:row r="85" ht="36" customHeight="1">
      <x:c r="B85" t="str">
        <x:v>RFE-E079</x:v>
      </x:c>
      <x:c r="C85" t="str">
        <x:v>EC-03</x:v>
      </x:c>
      <x:c r="D85" t="str">
        <x:v>AM-05</x:v>
      </x:c>
      <x:c r="E85" t="str">
        <x:v>AF-1</x:v>
      </x:c>
      <x:c r="F85" t="str">
        <x:v>BA</x:v>
      </x:c>
      <x:c r="G85" t="str">
        <x:v>PTC-B</x:v>
      </x:c>
      <x:c r="H85" t="str">
        <x:v>RFP-B1</x:v>
      </x:c>
      <x:c r="I85" s="12" t="str">
        <x:v>AF-1-BA-A04</x:v>
      </x:c>
      <x:c r="J85" t="str">
        <x:v>RFE-P004</x:v>
      </x:c>
      <x:c r="K85" t="str">
        <x:v>challenge</x:v>
      </x:c>
      <x:c r="L85" s="12" t="str">
        <x:v>25% grate coverage plus ten mapped fragments</x:v>
      </x:c>
      <x:c r="M85" s="14" t="n">
        <x:v>500</x:v>
      </x:c>
      <x:c r="N85" s="14" t="n">
        <x:v>0</x:v>
      </x:c>
      <x:c r="O85" s="14" t="n">
        <x:v>5</x:v>
      </x:c>
      <x:c r="P85" s="14" t="n">
        <x:v>1</x:v>
      </x:c>
      <x:c r="Q85" t="str"/>
      <x:c r="R85" t="str"/>
      <x:c r="S85" t="str"/>
      <x:c r="T85" t="str"/>
      <x:c r="U85" t="str"/>
    </x:row>
    <x:row r="86" ht="36" customHeight="1">
      <x:c r="B86" t="str">
        <x:v>RFE-E080</x:v>
      </x:c>
      <x:c r="C86" t="str">
        <x:v>EC-03</x:v>
      </x:c>
      <x:c r="D86" t="str">
        <x:v>AM-05</x:v>
      </x:c>
      <x:c r="E86" t="str">
        <x:v>AF-1</x:v>
      </x:c>
      <x:c r="F86" t="str">
        <x:v>BA</x:v>
      </x:c>
      <x:c r="G86" t="str">
        <x:v>PTC-B</x:v>
      </x:c>
      <x:c r="H86" t="str">
        <x:v>RFP-B1</x:v>
      </x:c>
      <x:c r="I86" s="12" t="str">
        <x:v>AF-1-BA-A04</x:v>
      </x:c>
      <x:c r="J86" t="str">
        <x:v>RFE-P004</x:v>
      </x:c>
      <x:c r="K86" t="str">
        <x:v>control</x:v>
      </x:c>
      <x:c r="L86" s="12" t="str">
        <x:v>matched clean state</x:v>
      </x:c>
      <x:c r="M86" s="14" t="n">
        <x:v>500</x:v>
      </x:c>
      <x:c r="N86" s="14" t="n">
        <x:v>0</x:v>
      </x:c>
      <x:c r="O86" s="14" t="n">
        <x:v>5</x:v>
      </x:c>
      <x:c r="P86" s="14" t="n">
        <x:v>2</x:v>
      </x:c>
      <x:c r="Q86" t="str"/>
      <x:c r="R86" t="str"/>
      <x:c r="S86" t="str"/>
      <x:c r="T86" t="str"/>
      <x:c r="U86" t="str"/>
    </x:row>
    <x:row r="87" ht="36" customHeight="1">
      <x:c r="B87" t="str">
        <x:v>RFE-E081</x:v>
      </x:c>
      <x:c r="C87" t="str">
        <x:v>EC-04</x:v>
      </x:c>
      <x:c r="D87" t="str">
        <x:v>AM-07</x:v>
      </x:c>
      <x:c r="E87" t="str">
        <x:v>AF-1</x:v>
      </x:c>
      <x:c r="F87" t="str">
        <x:v>BA</x:v>
      </x:c>
      <x:c r="G87" t="str">
        <x:v>PTC-B</x:v>
      </x:c>
      <x:c r="H87" t="str">
        <x:v>RFP-B1</x:v>
      </x:c>
      <x:c r="I87" s="12" t="str">
        <x:v>AF-1-BA-A05</x:v>
      </x:c>
      <x:c r="J87" t="str">
        <x:v>RFE-P005</x:v>
      </x:c>
      <x:c r="K87" t="str">
        <x:v>control</x:v>
      </x:c>
      <x:c r="L87" s="12" t="str">
        <x:v>matched clean state</x:v>
      </x:c>
      <x:c r="M87" s="14" t="n">
        <x:v>2000</x:v>
      </x:c>
      <x:c r="N87" s="14" t="n">
        <x:v>15</x:v>
      </x:c>
      <x:c r="O87" s="14" t="n">
        <x:v>9</x:v>
      </x:c>
      <x:c r="P87" s="14" t="n">
        <x:v>1</x:v>
      </x:c>
      <x:c r="Q87" t="str"/>
      <x:c r="R87" t="str"/>
      <x:c r="S87" t="str"/>
      <x:c r="T87" t="str"/>
      <x:c r="U87" t="str"/>
    </x:row>
    <x:row r="88" ht="36" customHeight="1">
      <x:c r="B88" t="str">
        <x:v>RFE-E082</x:v>
      </x:c>
      <x:c r="C88" t="str">
        <x:v>EC-04</x:v>
      </x:c>
      <x:c r="D88" t="str">
        <x:v>AM-07</x:v>
      </x:c>
      <x:c r="E88" t="str">
        <x:v>AF-1</x:v>
      </x:c>
      <x:c r="F88" t="str">
        <x:v>BA</x:v>
      </x:c>
      <x:c r="G88" t="str">
        <x:v>PTC-B</x:v>
      </x:c>
      <x:c r="H88" t="str">
        <x:v>RFP-B1</x:v>
      </x:c>
      <x:c r="I88" s="12" t="str">
        <x:v>AF-1-BA-A05</x:v>
      </x:c>
      <x:c r="J88" t="str">
        <x:v>RFE-P005</x:v>
      </x:c>
      <x:c r="K88" t="str">
        <x:v>challenge</x:v>
      </x:c>
      <x:c r="L88" s="12" t="str">
        <x:v>25 m2 pool; igniter command at T+15 s</x:v>
      </x:c>
      <x:c r="M88" s="14" t="n">
        <x:v>2000</x:v>
      </x:c>
      <x:c r="N88" s="14" t="n">
        <x:v>15</x:v>
      </x:c>
      <x:c r="O88" s="14" t="n">
        <x:v>9</x:v>
      </x:c>
      <x:c r="P88" s="14" t="n">
        <x:v>2</x:v>
      </x:c>
      <x:c r="Q88" t="str"/>
      <x:c r="R88" t="str"/>
      <x:c r="S88" t="str"/>
      <x:c r="T88" t="str"/>
      <x:c r="U88" t="str"/>
    </x:row>
    <x:row r="89" ht="36" customHeight="1">
      <x:c r="B89" t="str">
        <x:v>RFE-E083</x:v>
      </x:c>
      <x:c r="C89" t="str">
        <x:v>EC-04</x:v>
      </x:c>
      <x:c r="D89" t="str">
        <x:v>AM-07</x:v>
      </x:c>
      <x:c r="E89" t="str">
        <x:v>AF-1</x:v>
      </x:c>
      <x:c r="F89" t="str">
        <x:v>BA</x:v>
      </x:c>
      <x:c r="G89" t="str">
        <x:v>PTC-B</x:v>
      </x:c>
      <x:c r="H89" t="str">
        <x:v>RFP-B1</x:v>
      </x:c>
      <x:c r="I89" s="12" t="str">
        <x:v>AF-1-BA-A06</x:v>
      </x:c>
      <x:c r="J89" t="str">
        <x:v>RFE-P006</x:v>
      </x:c>
      <x:c r="K89" t="str">
        <x:v>challenge</x:v>
      </x:c>
      <x:c r="L89" s="12" t="str">
        <x:v>20 min candidate water window; vault begins 50% full</x:v>
      </x:c>
      <x:c r="M89" s="14" t="n">
        <x:v>2000</x:v>
      </x:c>
      <x:c r="N89" s="14" t="n">
        <x:v>20</x:v>
      </x:c>
      <x:c r="O89" s="14" t="n">
        <x:v>9</x:v>
      </x:c>
      <x:c r="P89" s="14" t="n">
        <x:v>1</x:v>
      </x:c>
      <x:c r="Q89" t="str"/>
      <x:c r="R89" t="str"/>
      <x:c r="S89" t="str"/>
      <x:c r="T89" t="str"/>
      <x:c r="U89" t="str"/>
    </x:row>
    <x:row r="90" ht="36" customHeight="1">
      <x:c r="B90" t="str">
        <x:v>RFE-E084</x:v>
      </x:c>
      <x:c r="C90" t="str">
        <x:v>EC-04</x:v>
      </x:c>
      <x:c r="D90" t="str">
        <x:v>AM-07</x:v>
      </x:c>
      <x:c r="E90" t="str">
        <x:v>AF-1</x:v>
      </x:c>
      <x:c r="F90" t="str">
        <x:v>BA</x:v>
      </x:c>
      <x:c r="G90" t="str">
        <x:v>PTC-B</x:v>
      </x:c>
      <x:c r="H90" t="str">
        <x:v>RFP-B1</x:v>
      </x:c>
      <x:c r="I90" s="12" t="str">
        <x:v>AF-1-BA-A06</x:v>
      </x:c>
      <x:c r="J90" t="str">
        <x:v>RFE-P006</x:v>
      </x:c>
      <x:c r="K90" t="str">
        <x:v>control</x:v>
      </x:c>
      <x:c r="L90" s="12" t="str">
        <x:v>matched clean state</x:v>
      </x:c>
      <x:c r="M90" s="14" t="n">
        <x:v>2000</x:v>
      </x:c>
      <x:c r="N90" s="14" t="n">
        <x:v>20</x:v>
      </x:c>
      <x:c r="O90" s="14" t="n">
        <x:v>9</x:v>
      </x:c>
      <x:c r="P90" s="14" t="n">
        <x:v>2</x:v>
      </x:c>
      <x:c r="Q90" t="str"/>
      <x:c r="R90" t="str"/>
      <x:c r="S90" t="str"/>
      <x:c r="T90" t="str"/>
      <x:c r="U90" t="str"/>
    </x:row>
    <x:row r="91" ht="36" customHeight="1">
      <x:c r="B91" t="str">
        <x:v>RFE-E085</x:v>
      </x:c>
      <x:c r="C91" t="str">
        <x:v>EC-04</x:v>
      </x:c>
      <x:c r="D91" t="str">
        <x:v>AM-07</x:v>
      </x:c>
      <x:c r="E91" t="str">
        <x:v>AF-1</x:v>
      </x:c>
      <x:c r="F91" t="str">
        <x:v>BA</x:v>
      </x:c>
      <x:c r="G91" t="str">
        <x:v>PTC-B</x:v>
      </x:c>
      <x:c r="H91" t="str">
        <x:v>RFP-B1</x:v>
      </x:c>
      <x:c r="I91" s="12" t="str">
        <x:v>AF-1-BA-A07</x:v>
      </x:c>
      <x:c r="J91" t="str">
        <x:v>RFE-P007</x:v>
      </x:c>
      <x:c r="K91" t="str">
        <x:v>control</x:v>
      </x:c>
      <x:c r="L91" s="12" t="str">
        <x:v>matched clean state</x:v>
      </x:c>
      <x:c r="M91" s="14" t="n">
        <x:v>2000</x:v>
      </x:c>
      <x:c r="N91" s="14" t="n">
        <x:v>20</x:v>
      </x:c>
      <x:c r="O91" s="14" t="n">
        <x:v>9</x:v>
      </x:c>
      <x:c r="P91" s="14" t="n">
        <x:v>1</x:v>
      </x:c>
      <x:c r="Q91" t="str"/>
      <x:c r="R91" t="str"/>
      <x:c r="S91" t="str"/>
      <x:c r="T91" t="str"/>
      <x:c r="U91" t="str"/>
    </x:row>
    <x:row r="92" ht="36" customHeight="1">
      <x:c r="B92" t="str">
        <x:v>RFE-E086</x:v>
      </x:c>
      <x:c r="C92" t="str">
        <x:v>EC-04</x:v>
      </x:c>
      <x:c r="D92" t="str">
        <x:v>AM-07</x:v>
      </x:c>
      <x:c r="E92" t="str">
        <x:v>AF-1</x:v>
      </x:c>
      <x:c r="F92" t="str">
        <x:v>BA</x:v>
      </x:c>
      <x:c r="G92" t="str">
        <x:v>PTC-B</x:v>
      </x:c>
      <x:c r="H92" t="str">
        <x:v>RFP-B1</x:v>
      </x:c>
      <x:c r="I92" s="12" t="str">
        <x:v>AF-1-BA-A07</x:v>
      </x:c>
      <x:c r="J92" t="str">
        <x:v>RFE-P007</x:v>
      </x:c>
      <x:c r="K92" t="str">
        <x:v>challenge</x:v>
      </x:c>
      <x:c r="L92" s="12" t="str">
        <x:v>50% barrier plus 1.5 kPa wind</x:v>
      </x:c>
      <x:c r="M92" s="14" t="n">
        <x:v>2000</x:v>
      </x:c>
      <x:c r="N92" s="14" t="n">
        <x:v>20</x:v>
      </x:c>
      <x:c r="O92" s="14" t="n">
        <x:v>9</x:v>
      </x:c>
      <x:c r="P92" s="14" t="n">
        <x:v>2</x:v>
      </x:c>
      <x:c r="Q92" t="str"/>
      <x:c r="R92" t="str"/>
      <x:c r="S92" t="str"/>
      <x:c r="T92" t="str"/>
      <x:c r="U92" t="str"/>
    </x:row>
    <x:row r="93" ht="36" customHeight="1">
      <x:c r="B93" t="str">
        <x:v>RFE-E087</x:v>
      </x:c>
      <x:c r="C93" t="str">
        <x:v>EC-04</x:v>
      </x:c>
      <x:c r="D93" t="str">
        <x:v>AM-07</x:v>
      </x:c>
      <x:c r="E93" t="str">
        <x:v>AF-1</x:v>
      </x:c>
      <x:c r="F93" t="str">
        <x:v>BA</x:v>
      </x:c>
      <x:c r="G93" t="str">
        <x:v>PTC-B</x:v>
      </x:c>
      <x:c r="H93" t="str">
        <x:v>RFP-B1</x:v>
      </x:c>
      <x:c r="I93" s="12" t="str">
        <x:v>AF-1-BA-A08</x:v>
      </x:c>
      <x:c r="J93" t="str">
        <x:v>RFE-P008</x:v>
      </x:c>
      <x:c r="K93" t="str">
        <x:v>challenge</x:v>
      </x:c>
      <x:c r="L93" s="12" t="str">
        <x:v>30 min candidate window; normal energy, network and primary time denied</x:v>
      </x:c>
      <x:c r="M93" s="14" t="n">
        <x:v>2000</x:v>
      </x:c>
      <x:c r="N93" s="14" t="n">
        <x:v>30</x:v>
      </x:c>
      <x:c r="O93" s="14" t="n">
        <x:v>9</x:v>
      </x:c>
      <x:c r="P93" s="14" t="n">
        <x:v>1</x:v>
      </x:c>
      <x:c r="Q93" t="str"/>
      <x:c r="R93" t="str"/>
      <x:c r="S93" t="str"/>
      <x:c r="T93" t="str"/>
      <x:c r="U93" t="str"/>
    </x:row>
    <x:row r="94" ht="36" customHeight="1">
      <x:c r="B94" t="str">
        <x:v>RFE-E088</x:v>
      </x:c>
      <x:c r="C94" t="str">
        <x:v>EC-04</x:v>
      </x:c>
      <x:c r="D94" t="str">
        <x:v>AM-07</x:v>
      </x:c>
      <x:c r="E94" t="str">
        <x:v>AF-1</x:v>
      </x:c>
      <x:c r="F94" t="str">
        <x:v>BA</x:v>
      </x:c>
      <x:c r="G94" t="str">
        <x:v>PTC-B</x:v>
      </x:c>
      <x:c r="H94" t="str">
        <x:v>RFP-B1</x:v>
      </x:c>
      <x:c r="I94" s="12" t="str">
        <x:v>AF-1-BA-A08</x:v>
      </x:c>
      <x:c r="J94" t="str">
        <x:v>RFE-P008</x:v>
      </x:c>
      <x:c r="K94" t="str">
        <x:v>control</x:v>
      </x:c>
      <x:c r="L94" s="12" t="str">
        <x:v>matched clean state</x:v>
      </x:c>
      <x:c r="M94" s="14" t="n">
        <x:v>2000</x:v>
      </x:c>
      <x:c r="N94" s="14" t="n">
        <x:v>30</x:v>
      </x:c>
      <x:c r="O94" s="14" t="n">
        <x:v>9</x:v>
      </x:c>
      <x:c r="P94" s="14" t="n">
        <x:v>2</x:v>
      </x:c>
      <x:c r="Q94" t="str"/>
      <x:c r="R94" t="str"/>
      <x:c r="S94" t="str"/>
      <x:c r="T94" t="str"/>
      <x:c r="U94" t="str"/>
    </x:row>
    <x:row r="95" ht="36" customHeight="1">
      <x:c r="B95" t="str">
        <x:v>RFE-E089</x:v>
      </x:c>
      <x:c r="C95" t="str">
        <x:v>EC-03</x:v>
      </x:c>
      <x:c r="D95" t="str">
        <x:v>AM-05</x:v>
      </x:c>
      <x:c r="E95" t="str">
        <x:v>AF-1</x:v>
      </x:c>
      <x:c r="F95" t="str">
        <x:v>BA</x:v>
      </x:c>
      <x:c r="G95" t="str">
        <x:v>PTC-C</x:v>
      </x:c>
      <x:c r="H95" t="str">
        <x:v>RFP-C1</x:v>
      </x:c>
      <x:c r="I95" s="12" t="str">
        <x:v>AF-1-BA-A01</x:v>
      </x:c>
      <x:c r="J95" t="str">
        <x:v>RFE-P009</x:v>
      </x:c>
      <x:c r="K95" t="str">
        <x:v>challenge</x:v>
      </x:c>
      <x:c r="L95" s="12" t="str">
        <x:v>1.0% reverse local grade plus ±25 mm datum error</x:v>
      </x:c>
      <x:c r="M95" s="14" t="n">
        <x:v>500</x:v>
      </x:c>
      <x:c r="N95" s="14" t="n">
        <x:v>0</x:v>
      </x:c>
      <x:c r="O95" s="14" t="n">
        <x:v>5</x:v>
      </x:c>
      <x:c r="P95" s="14" t="n">
        <x:v>1</x:v>
      </x:c>
      <x:c r="Q95" t="str"/>
      <x:c r="R95" t="str"/>
      <x:c r="S95" t="str"/>
      <x:c r="T95" t="str"/>
      <x:c r="U95" t="str"/>
    </x:row>
    <x:row r="96" ht="36" customHeight="1">
      <x:c r="B96" t="str">
        <x:v>RFE-E090</x:v>
      </x:c>
      <x:c r="C96" t="str">
        <x:v>EC-03</x:v>
      </x:c>
      <x:c r="D96" t="str">
        <x:v>AM-05</x:v>
      </x:c>
      <x:c r="E96" t="str">
        <x:v>AF-1</x:v>
      </x:c>
      <x:c r="F96" t="str">
        <x:v>BA</x:v>
      </x:c>
      <x:c r="G96" t="str">
        <x:v>PTC-C</x:v>
      </x:c>
      <x:c r="H96" t="str">
        <x:v>RFP-C1</x:v>
      </x:c>
      <x:c r="I96" s="12" t="str">
        <x:v>AF-1-BA-A01</x:v>
      </x:c>
      <x:c r="J96" t="str">
        <x:v>RFE-P009</x:v>
      </x:c>
      <x:c r="K96" t="str">
        <x:v>control</x:v>
      </x:c>
      <x:c r="L96" s="12" t="str">
        <x:v>matched clean state</x:v>
      </x:c>
      <x:c r="M96" s="14" t="n">
        <x:v>500</x:v>
      </x:c>
      <x:c r="N96" s="14" t="n">
        <x:v>0</x:v>
      </x:c>
      <x:c r="O96" s="14" t="n">
        <x:v>5</x:v>
      </x:c>
      <x:c r="P96" s="14" t="n">
        <x:v>2</x:v>
      </x:c>
      <x:c r="Q96" t="str"/>
      <x:c r="R96" t="str"/>
      <x:c r="S96" t="str"/>
      <x:c r="T96" t="str"/>
      <x:c r="U96" t="str"/>
    </x:row>
    <x:row r="97" ht="36" customHeight="1">
      <x:c r="B97" t="str">
        <x:v>RFE-E091</x:v>
      </x:c>
      <x:c r="C97" t="str">
        <x:v>EC-03</x:v>
      </x:c>
      <x:c r="D97" t="str">
        <x:v>AM-05</x:v>
      </x:c>
      <x:c r="E97" t="str">
        <x:v>AF-1</x:v>
      </x:c>
      <x:c r="F97" t="str">
        <x:v>BA</x:v>
      </x:c>
      <x:c r="G97" t="str">
        <x:v>PTC-C</x:v>
      </x:c>
      <x:c r="H97" t="str">
        <x:v>RFP-C1</x:v>
      </x:c>
      <x:c r="I97" s="12" t="str">
        <x:v>AF-1-BA-A02</x:v>
      </x:c>
      <x:c r="J97" t="str">
        <x:v>RFE-P010</x:v>
      </x:c>
      <x:c r="K97" t="str">
        <x:v>control</x:v>
      </x:c>
      <x:c r="L97" s="12" t="str">
        <x:v>matched clean state</x:v>
      </x:c>
      <x:c r="M97" s="14" t="n">
        <x:v>500</x:v>
      </x:c>
      <x:c r="N97" s="14" t="n">
        <x:v>0</x:v>
      </x:c>
      <x:c r="O97" s="14" t="n">
        <x:v>5</x:v>
      </x:c>
      <x:c r="P97" s="14" t="n">
        <x:v>1</x:v>
      </x:c>
      <x:c r="Q97" t="str"/>
      <x:c r="R97" t="str"/>
      <x:c r="S97" t="str"/>
      <x:c r="T97" t="str"/>
      <x:c r="U97" t="str"/>
    </x:row>
    <x:row r="98" ht="36" customHeight="1">
      <x:c r="B98" t="str">
        <x:v>RFE-E092</x:v>
      </x:c>
      <x:c r="C98" t="str">
        <x:v>EC-03</x:v>
      </x:c>
      <x:c r="D98" t="str">
        <x:v>AM-05</x:v>
      </x:c>
      <x:c r="E98" t="str">
        <x:v>AF-1</x:v>
      </x:c>
      <x:c r="F98" t="str">
        <x:v>BA</x:v>
      </x:c>
      <x:c r="G98" t="str">
        <x:v>PTC-C</x:v>
      </x:c>
      <x:c r="H98" t="str">
        <x:v>RFP-C1</x:v>
      </x:c>
      <x:c r="I98" s="12" t="str">
        <x:v>AF-1-BA-A02</x:v>
      </x:c>
      <x:c r="J98" t="str">
        <x:v>RFE-P010</x:v>
      </x:c>
      <x:c r="K98" t="str">
        <x:v>challenge</x:v>
      </x:c>
      <x:c r="L98" s="12" t="str">
        <x:v>50% effective source-drain area</x:v>
      </x:c>
      <x:c r="M98" s="14" t="n">
        <x:v>500</x:v>
      </x:c>
      <x:c r="N98" s="14" t="n">
        <x:v>0</x:v>
      </x:c>
      <x:c r="O98" s="14" t="n">
        <x:v>5</x:v>
      </x:c>
      <x:c r="P98" s="14" t="n">
        <x:v>2</x:v>
      </x:c>
      <x:c r="Q98" t="str"/>
      <x:c r="R98" t="str"/>
      <x:c r="S98" t="str"/>
      <x:c r="T98" t="str"/>
      <x:c r="U98" t="str"/>
    </x:row>
    <x:row r="99" ht="36" customHeight="1">
      <x:c r="B99" t="str">
        <x:v>RFE-E093</x:v>
      </x:c>
      <x:c r="C99" t="str">
        <x:v>EC-03</x:v>
      </x:c>
      <x:c r="D99" t="str">
        <x:v>AM-05</x:v>
      </x:c>
      <x:c r="E99" t="str">
        <x:v>AF-1</x:v>
      </x:c>
      <x:c r="F99" t="str">
        <x:v>BA</x:v>
      </x:c>
      <x:c r="G99" t="str">
        <x:v>PTC-C</x:v>
      </x:c>
      <x:c r="H99" t="str">
        <x:v>RFP-C1</x:v>
      </x:c>
      <x:c r="I99" s="12" t="str">
        <x:v>AF-1-BA-A03</x:v>
      </x:c>
      <x:c r="J99" t="str">
        <x:v>RFE-P011</x:v>
      </x:c>
      <x:c r="K99" t="str">
        <x:v>challenge</x:v>
      </x:c>
      <x:c r="L99" s="12" t="str">
        <x:v>candidate sump at 50% liquid-equivalent fill</x:v>
      </x:c>
      <x:c r="M99" s="14" t="n">
        <x:v>500</x:v>
      </x:c>
      <x:c r="N99" s="14" t="n">
        <x:v>0</x:v>
      </x:c>
      <x:c r="O99" s="14" t="n">
        <x:v>5</x:v>
      </x:c>
      <x:c r="P99" s="14" t="n">
        <x:v>1</x:v>
      </x:c>
      <x:c r="Q99" t="str"/>
      <x:c r="R99" t="str"/>
      <x:c r="S99" t="str"/>
      <x:c r="T99" t="str"/>
      <x:c r="U99" t="str"/>
    </x:row>
    <x:row r="100" ht="36" customHeight="1">
      <x:c r="B100" t="str">
        <x:v>RFE-E094</x:v>
      </x:c>
      <x:c r="C100" t="str">
        <x:v>EC-03</x:v>
      </x:c>
      <x:c r="D100" t="str">
        <x:v>AM-05</x:v>
      </x:c>
      <x:c r="E100" t="str">
        <x:v>AF-1</x:v>
      </x:c>
      <x:c r="F100" t="str">
        <x:v>BA</x:v>
      </x:c>
      <x:c r="G100" t="str">
        <x:v>PTC-C</x:v>
      </x:c>
      <x:c r="H100" t="str">
        <x:v>RFP-C1</x:v>
      </x:c>
      <x:c r="I100" s="12" t="str">
        <x:v>AF-1-BA-A03</x:v>
      </x:c>
      <x:c r="J100" t="str">
        <x:v>RFE-P011</x:v>
      </x:c>
      <x:c r="K100" t="str">
        <x:v>control</x:v>
      </x:c>
      <x:c r="L100" s="12" t="str">
        <x:v>matched clean state</x:v>
      </x:c>
      <x:c r="M100" s="14" t="n">
        <x:v>500</x:v>
      </x:c>
      <x:c r="N100" s="14" t="n">
        <x:v>0</x:v>
      </x:c>
      <x:c r="O100" s="14" t="n">
        <x:v>5</x:v>
      </x:c>
      <x:c r="P100" s="14" t="n">
        <x:v>2</x:v>
      </x:c>
      <x:c r="Q100" t="str"/>
      <x:c r="R100" t="str"/>
      <x:c r="S100" t="str"/>
      <x:c r="T100" t="str"/>
      <x:c r="U100" t="str"/>
    </x:row>
    <x:row r="101" ht="36" customHeight="1">
      <x:c r="B101" t="str">
        <x:v>RFE-E095</x:v>
      </x:c>
      <x:c r="C101" t="str">
        <x:v>EC-03</x:v>
      </x:c>
      <x:c r="D101" t="str">
        <x:v>AM-05</x:v>
      </x:c>
      <x:c r="E101" t="str">
        <x:v>AF-1</x:v>
      </x:c>
      <x:c r="F101" t="str">
        <x:v>BA</x:v>
      </x:c>
      <x:c r="G101" t="str">
        <x:v>PTC-C</x:v>
      </x:c>
      <x:c r="H101" t="str">
        <x:v>RFP-C1</x:v>
      </x:c>
      <x:c r="I101" s="12" t="str">
        <x:v>AF-1-BA-A04</x:v>
      </x:c>
      <x:c r="J101" t="str">
        <x:v>RFE-P012</x:v>
      </x:c>
      <x:c r="K101" t="str">
        <x:v>control</x:v>
      </x:c>
      <x:c r="L101" s="12" t="str">
        <x:v>matched clean state</x:v>
      </x:c>
      <x:c r="M101" s="14" t="n">
        <x:v>500</x:v>
      </x:c>
      <x:c r="N101" s="14" t="n">
        <x:v>0</x:v>
      </x:c>
      <x:c r="O101" s="14" t="n">
        <x:v>5</x:v>
      </x:c>
      <x:c r="P101" s="14" t="n">
        <x:v>1</x:v>
      </x:c>
      <x:c r="Q101" t="str"/>
      <x:c r="R101" t="str"/>
      <x:c r="S101" t="str"/>
      <x:c r="T101" t="str"/>
      <x:c r="U101" t="str"/>
    </x:row>
    <x:row r="102" ht="36" customHeight="1">
      <x:c r="B102" t="str">
        <x:v>RFE-E096</x:v>
      </x:c>
      <x:c r="C102" t="str">
        <x:v>EC-03</x:v>
      </x:c>
      <x:c r="D102" t="str">
        <x:v>AM-05</x:v>
      </x:c>
      <x:c r="E102" t="str">
        <x:v>AF-1</x:v>
      </x:c>
      <x:c r="F102" t="str">
        <x:v>BA</x:v>
      </x:c>
      <x:c r="G102" t="str">
        <x:v>PTC-C</x:v>
      </x:c>
      <x:c r="H102" t="str">
        <x:v>RFP-C1</x:v>
      </x:c>
      <x:c r="I102" s="12" t="str">
        <x:v>AF-1-BA-A04</x:v>
      </x:c>
      <x:c r="J102" t="str">
        <x:v>RFE-P012</x:v>
      </x:c>
      <x:c r="K102" t="str">
        <x:v>challenge</x:v>
      </x:c>
      <x:c r="L102" s="12" t="str">
        <x:v>25% grate coverage plus ten mapped fragments</x:v>
      </x:c>
      <x:c r="M102" s="14" t="n">
        <x:v>500</x:v>
      </x:c>
      <x:c r="N102" s="14" t="n">
        <x:v>0</x:v>
      </x:c>
      <x:c r="O102" s="14" t="n">
        <x:v>5</x:v>
      </x:c>
      <x:c r="P102" s="14" t="n">
        <x:v>2</x:v>
      </x:c>
      <x:c r="Q102" t="str"/>
      <x:c r="R102" t="str"/>
      <x:c r="S102" t="str"/>
      <x:c r="T102" t="str"/>
      <x:c r="U102" t="str"/>
    </x:row>
    <x:row r="103" ht="36" customHeight="1">
      <x:c r="B103" t="str">
        <x:v>RFE-E097</x:v>
      </x:c>
      <x:c r="C103" t="str">
        <x:v>EC-04</x:v>
      </x:c>
      <x:c r="D103" t="str">
        <x:v>AM-07</x:v>
      </x:c>
      <x:c r="E103" t="str">
        <x:v>AF-1</x:v>
      </x:c>
      <x:c r="F103" t="str">
        <x:v>BA</x:v>
      </x:c>
      <x:c r="G103" t="str">
        <x:v>PTC-C</x:v>
      </x:c>
      <x:c r="H103" t="str">
        <x:v>RFP-C1</x:v>
      </x:c>
      <x:c r="I103" s="12" t="str">
        <x:v>AF-1-BA-A05</x:v>
      </x:c>
      <x:c r="J103" t="str">
        <x:v>RFE-P013</x:v>
      </x:c>
      <x:c r="K103" t="str">
        <x:v>challenge</x:v>
      </x:c>
      <x:c r="L103" s="12" t="str">
        <x:v>25 m2 pool; igniter command at T+15 s</x:v>
      </x:c>
      <x:c r="M103" s="14" t="n">
        <x:v>2000</x:v>
      </x:c>
      <x:c r="N103" s="14" t="n">
        <x:v>15</x:v>
      </x:c>
      <x:c r="O103" s="14" t="n">
        <x:v>9</x:v>
      </x:c>
      <x:c r="P103" s="14" t="n">
        <x:v>1</x:v>
      </x:c>
      <x:c r="Q103" t="str"/>
      <x:c r="R103" t="str"/>
      <x:c r="S103" t="str"/>
      <x:c r="T103" t="str"/>
      <x:c r="U103" t="str"/>
    </x:row>
    <x:row r="104" ht="36" customHeight="1">
      <x:c r="B104" t="str">
        <x:v>RFE-E098</x:v>
      </x:c>
      <x:c r="C104" t="str">
        <x:v>EC-04</x:v>
      </x:c>
      <x:c r="D104" t="str">
        <x:v>AM-07</x:v>
      </x:c>
      <x:c r="E104" t="str">
        <x:v>AF-1</x:v>
      </x:c>
      <x:c r="F104" t="str">
        <x:v>BA</x:v>
      </x:c>
      <x:c r="G104" t="str">
        <x:v>PTC-C</x:v>
      </x:c>
      <x:c r="H104" t="str">
        <x:v>RFP-C1</x:v>
      </x:c>
      <x:c r="I104" s="12" t="str">
        <x:v>AF-1-BA-A05</x:v>
      </x:c>
      <x:c r="J104" t="str">
        <x:v>RFE-P013</x:v>
      </x:c>
      <x:c r="K104" t="str">
        <x:v>control</x:v>
      </x:c>
      <x:c r="L104" s="12" t="str">
        <x:v>matched clean state</x:v>
      </x:c>
      <x:c r="M104" s="14" t="n">
        <x:v>2000</x:v>
      </x:c>
      <x:c r="N104" s="14" t="n">
        <x:v>15</x:v>
      </x:c>
      <x:c r="O104" s="14" t="n">
        <x:v>9</x:v>
      </x:c>
      <x:c r="P104" s="14" t="n">
        <x:v>2</x:v>
      </x:c>
      <x:c r="Q104" t="str"/>
      <x:c r="R104" t="str"/>
      <x:c r="S104" t="str"/>
      <x:c r="T104" t="str"/>
      <x:c r="U104" t="str"/>
    </x:row>
    <x:row r="105" ht="36" customHeight="1">
      <x:c r="B105" t="str">
        <x:v>RFE-E099</x:v>
      </x:c>
      <x:c r="C105" t="str">
        <x:v>EC-04</x:v>
      </x:c>
      <x:c r="D105" t="str">
        <x:v>AM-07</x:v>
      </x:c>
      <x:c r="E105" t="str">
        <x:v>AF-1</x:v>
      </x:c>
      <x:c r="F105" t="str">
        <x:v>BA</x:v>
      </x:c>
      <x:c r="G105" t="str">
        <x:v>PTC-C</x:v>
      </x:c>
      <x:c r="H105" t="str">
        <x:v>RFP-C1</x:v>
      </x:c>
      <x:c r="I105" s="12" t="str">
        <x:v>AF-1-BA-A06</x:v>
      </x:c>
      <x:c r="J105" t="str">
        <x:v>RFE-P014</x:v>
      </x:c>
      <x:c r="K105" t="str">
        <x:v>control</x:v>
      </x:c>
      <x:c r="L105" s="12" t="str">
        <x:v>matched clean state</x:v>
      </x:c>
      <x:c r="M105" s="14" t="n">
        <x:v>2000</x:v>
      </x:c>
      <x:c r="N105" s="14" t="n">
        <x:v>20</x:v>
      </x:c>
      <x:c r="O105" s="14" t="n">
        <x:v>9</x:v>
      </x:c>
      <x:c r="P105" s="14" t="n">
        <x:v>1</x:v>
      </x:c>
      <x:c r="Q105" t="str"/>
      <x:c r="R105" t="str"/>
      <x:c r="S105" t="str"/>
      <x:c r="T105" t="str"/>
      <x:c r="U105" t="str"/>
    </x:row>
    <x:row r="106" ht="36" customHeight="1">
      <x:c r="B106" t="str">
        <x:v>RFE-E100</x:v>
      </x:c>
      <x:c r="C106" t="str">
        <x:v>EC-04</x:v>
      </x:c>
      <x:c r="D106" t="str">
        <x:v>AM-07</x:v>
      </x:c>
      <x:c r="E106" t="str">
        <x:v>AF-1</x:v>
      </x:c>
      <x:c r="F106" t="str">
        <x:v>BA</x:v>
      </x:c>
      <x:c r="G106" t="str">
        <x:v>PTC-C</x:v>
      </x:c>
      <x:c r="H106" t="str">
        <x:v>RFP-C1</x:v>
      </x:c>
      <x:c r="I106" s="12" t="str">
        <x:v>AF-1-BA-A06</x:v>
      </x:c>
      <x:c r="J106" t="str">
        <x:v>RFE-P014</x:v>
      </x:c>
      <x:c r="K106" t="str">
        <x:v>challenge</x:v>
      </x:c>
      <x:c r="L106" s="12" t="str">
        <x:v>20 min candidate water window; vault begins 50% full</x:v>
      </x:c>
      <x:c r="M106" s="14" t="n">
        <x:v>2000</x:v>
      </x:c>
      <x:c r="N106" s="14" t="n">
        <x:v>20</x:v>
      </x:c>
      <x:c r="O106" s="14" t="n">
        <x:v>9</x:v>
      </x:c>
      <x:c r="P106" s="14" t="n">
        <x:v>2</x:v>
      </x:c>
      <x:c r="Q106" t="str"/>
      <x:c r="R106" t="str"/>
      <x:c r="S106" t="str"/>
      <x:c r="T106" t="str"/>
      <x:c r="U106" t="str"/>
    </x:row>
    <x:row r="107" ht="36" customHeight="1">
      <x:c r="B107" t="str">
        <x:v>RFE-E101</x:v>
      </x:c>
      <x:c r="C107" t="str">
        <x:v>EC-04</x:v>
      </x:c>
      <x:c r="D107" t="str">
        <x:v>AM-07</x:v>
      </x:c>
      <x:c r="E107" t="str">
        <x:v>AF-1</x:v>
      </x:c>
      <x:c r="F107" t="str">
        <x:v>BA</x:v>
      </x:c>
      <x:c r="G107" t="str">
        <x:v>PTC-C</x:v>
      </x:c>
      <x:c r="H107" t="str">
        <x:v>RFP-C1</x:v>
      </x:c>
      <x:c r="I107" s="12" t="str">
        <x:v>AF-1-BA-A07</x:v>
      </x:c>
      <x:c r="J107" t="str">
        <x:v>RFE-P015</x:v>
      </x:c>
      <x:c r="K107" t="str">
        <x:v>challenge</x:v>
      </x:c>
      <x:c r="L107" s="12" t="str">
        <x:v>50% barrier plus 1.5 kPa wind</x:v>
      </x:c>
      <x:c r="M107" s="14" t="n">
        <x:v>2000</x:v>
      </x:c>
      <x:c r="N107" s="14" t="n">
        <x:v>20</x:v>
      </x:c>
      <x:c r="O107" s="14" t="n">
        <x:v>9</x:v>
      </x:c>
      <x:c r="P107" s="14" t="n">
        <x:v>1</x:v>
      </x:c>
      <x:c r="Q107" t="str"/>
      <x:c r="R107" t="str"/>
      <x:c r="S107" t="str"/>
      <x:c r="T107" t="str"/>
      <x:c r="U107" t="str"/>
    </x:row>
    <x:row r="108" ht="36" customHeight="1">
      <x:c r="B108" t="str">
        <x:v>RFE-E102</x:v>
      </x:c>
      <x:c r="C108" t="str">
        <x:v>EC-04</x:v>
      </x:c>
      <x:c r="D108" t="str">
        <x:v>AM-07</x:v>
      </x:c>
      <x:c r="E108" t="str">
        <x:v>AF-1</x:v>
      </x:c>
      <x:c r="F108" t="str">
        <x:v>BA</x:v>
      </x:c>
      <x:c r="G108" t="str">
        <x:v>PTC-C</x:v>
      </x:c>
      <x:c r="H108" t="str">
        <x:v>RFP-C1</x:v>
      </x:c>
      <x:c r="I108" s="12" t="str">
        <x:v>AF-1-BA-A07</x:v>
      </x:c>
      <x:c r="J108" t="str">
        <x:v>RFE-P015</x:v>
      </x:c>
      <x:c r="K108" t="str">
        <x:v>control</x:v>
      </x:c>
      <x:c r="L108" s="12" t="str">
        <x:v>matched clean state</x:v>
      </x:c>
      <x:c r="M108" s="14" t="n">
        <x:v>2000</x:v>
      </x:c>
      <x:c r="N108" s="14" t="n">
        <x:v>20</x:v>
      </x:c>
      <x:c r="O108" s="14" t="n">
        <x:v>9</x:v>
      </x:c>
      <x:c r="P108" s="14" t="n">
        <x:v>2</x:v>
      </x:c>
      <x:c r="Q108" t="str"/>
      <x:c r="R108" t="str"/>
      <x:c r="S108" t="str"/>
      <x:c r="T108" t="str"/>
      <x:c r="U108" t="str"/>
    </x:row>
    <x:row r="109" ht="36" customHeight="1">
      <x:c r="B109" t="str">
        <x:v>RFE-E103</x:v>
      </x:c>
      <x:c r="C109" t="str">
        <x:v>EC-04</x:v>
      </x:c>
      <x:c r="D109" t="str">
        <x:v>AM-07</x:v>
      </x:c>
      <x:c r="E109" t="str">
        <x:v>AF-1</x:v>
      </x:c>
      <x:c r="F109" t="str">
        <x:v>BA</x:v>
      </x:c>
      <x:c r="G109" t="str">
        <x:v>PTC-C</x:v>
      </x:c>
      <x:c r="H109" t="str">
        <x:v>RFP-C1</x:v>
      </x:c>
      <x:c r="I109" s="12" t="str">
        <x:v>AF-1-BA-A08</x:v>
      </x:c>
      <x:c r="J109" t="str">
        <x:v>RFE-P016</x:v>
      </x:c>
      <x:c r="K109" t="str">
        <x:v>control</x:v>
      </x:c>
      <x:c r="L109" s="12" t="str">
        <x:v>matched clean state</x:v>
      </x:c>
      <x:c r="M109" s="14" t="n">
        <x:v>2000</x:v>
      </x:c>
      <x:c r="N109" s="14" t="n">
        <x:v>30</x:v>
      </x:c>
      <x:c r="O109" s="14" t="n">
        <x:v>9</x:v>
      </x:c>
      <x:c r="P109" s="14" t="n">
        <x:v>1</x:v>
      </x:c>
      <x:c r="Q109" t="str"/>
      <x:c r="R109" t="str"/>
      <x:c r="S109" t="str"/>
      <x:c r="T109" t="str"/>
      <x:c r="U109" t="str"/>
    </x:row>
    <x:row r="110" ht="36" customHeight="1">
      <x:c r="B110" t="str">
        <x:v>RFE-E104</x:v>
      </x:c>
      <x:c r="C110" t="str">
        <x:v>EC-04</x:v>
      </x:c>
      <x:c r="D110" t="str">
        <x:v>AM-07</x:v>
      </x:c>
      <x:c r="E110" t="str">
        <x:v>AF-1</x:v>
      </x:c>
      <x:c r="F110" t="str">
        <x:v>BA</x:v>
      </x:c>
      <x:c r="G110" t="str">
        <x:v>PTC-C</x:v>
      </x:c>
      <x:c r="H110" t="str">
        <x:v>RFP-C1</x:v>
      </x:c>
      <x:c r="I110" s="12" t="str">
        <x:v>AF-1-BA-A08</x:v>
      </x:c>
      <x:c r="J110" t="str">
        <x:v>RFE-P016</x:v>
      </x:c>
      <x:c r="K110" t="str">
        <x:v>challenge</x:v>
      </x:c>
      <x:c r="L110" s="12" t="str">
        <x:v>30 min candidate window; normal energy, network and primary time denied</x:v>
      </x:c>
      <x:c r="M110" s="14" t="n">
        <x:v>2000</x:v>
      </x:c>
      <x:c r="N110" s="14" t="n">
        <x:v>30</x:v>
      </x:c>
      <x:c r="O110" s="14" t="n">
        <x:v>9</x:v>
      </x:c>
      <x:c r="P110" s="14" t="n">
        <x:v>2</x:v>
      </x:c>
      <x:c r="Q110" t="str"/>
      <x:c r="R110" t="str"/>
      <x:c r="S110" t="str"/>
      <x:c r="T110" t="str"/>
      <x:c r="U110" t="str"/>
    </x:row>
    <x:row r="111" ht="36" customHeight="1">
      <x:c r="B111" t="str">
        <x:v>RFE-E105</x:v>
      </x:c>
      <x:c r="C111" t="str">
        <x:v>EC-03</x:v>
      </x:c>
      <x:c r="D111" t="str">
        <x:v>AM-05</x:v>
      </x:c>
      <x:c r="E111" t="str">
        <x:v>AF-1</x:v>
      </x:c>
      <x:c r="F111" t="str">
        <x:v>BB</x:v>
      </x:c>
      <x:c r="G111" t="str">
        <x:v>PTC-B</x:v>
      </x:c>
      <x:c r="H111" t="str">
        <x:v>RFP-B2</x:v>
      </x:c>
      <x:c r="I111" s="12" t="str">
        <x:v>AF-1-BB-A01</x:v>
      </x:c>
      <x:c r="J111" t="str">
        <x:v>RFE-P017</x:v>
      </x:c>
      <x:c r="K111" t="str">
        <x:v>control</x:v>
      </x:c>
      <x:c r="L111" s="12" t="str">
        <x:v>matched clean state</x:v>
      </x:c>
      <x:c r="M111" s="14" t="n">
        <x:v>500</x:v>
      </x:c>
      <x:c r="N111" s="14" t="n">
        <x:v>0</x:v>
      </x:c>
      <x:c r="O111" s="14" t="n">
        <x:v>5</x:v>
      </x:c>
      <x:c r="P111" s="14" t="n">
        <x:v>1</x:v>
      </x:c>
      <x:c r="Q111" t="str"/>
      <x:c r="R111" t="str"/>
      <x:c r="S111" t="str"/>
      <x:c r="T111" t="str"/>
      <x:c r="U111" t="str"/>
    </x:row>
    <x:row r="112" ht="36" customHeight="1">
      <x:c r="B112" t="str">
        <x:v>RFE-E106</x:v>
      </x:c>
      <x:c r="C112" t="str">
        <x:v>EC-03</x:v>
      </x:c>
      <x:c r="D112" t="str">
        <x:v>AM-05</x:v>
      </x:c>
      <x:c r="E112" t="str">
        <x:v>AF-1</x:v>
      </x:c>
      <x:c r="F112" t="str">
        <x:v>BB</x:v>
      </x:c>
      <x:c r="G112" t="str">
        <x:v>PTC-B</x:v>
      </x:c>
      <x:c r="H112" t="str">
        <x:v>RFP-B2</x:v>
      </x:c>
      <x:c r="I112" s="12" t="str">
        <x:v>AF-1-BB-A01</x:v>
      </x:c>
      <x:c r="J112" t="str">
        <x:v>RFE-P017</x:v>
      </x:c>
      <x:c r="K112" t="str">
        <x:v>challenge</x:v>
      </x:c>
      <x:c r="L112" s="12" t="str">
        <x:v>1.0% reverse local grade plus ±25 mm datum error</x:v>
      </x:c>
      <x:c r="M112" s="14" t="n">
        <x:v>500</x:v>
      </x:c>
      <x:c r="N112" s="14" t="n">
        <x:v>0</x:v>
      </x:c>
      <x:c r="O112" s="14" t="n">
        <x:v>5</x:v>
      </x:c>
      <x:c r="P112" s="14" t="n">
        <x:v>2</x:v>
      </x:c>
      <x:c r="Q112" t="str"/>
      <x:c r="R112" t="str"/>
      <x:c r="S112" t="str"/>
      <x:c r="T112" t="str"/>
      <x:c r="U112" t="str"/>
    </x:row>
    <x:row r="113" ht="36" customHeight="1">
      <x:c r="B113" t="str">
        <x:v>RFE-E107</x:v>
      </x:c>
      <x:c r="C113" t="str">
        <x:v>EC-03</x:v>
      </x:c>
      <x:c r="D113" t="str">
        <x:v>AM-05</x:v>
      </x:c>
      <x:c r="E113" t="str">
        <x:v>AF-1</x:v>
      </x:c>
      <x:c r="F113" t="str">
        <x:v>BB</x:v>
      </x:c>
      <x:c r="G113" t="str">
        <x:v>PTC-B</x:v>
      </x:c>
      <x:c r="H113" t="str">
        <x:v>RFP-B2</x:v>
      </x:c>
      <x:c r="I113" s="12" t="str">
        <x:v>AF-1-BB-A02</x:v>
      </x:c>
      <x:c r="J113" t="str">
        <x:v>RFE-P018</x:v>
      </x:c>
      <x:c r="K113" t="str">
        <x:v>challenge</x:v>
      </x:c>
      <x:c r="L113" s="12" t="str">
        <x:v>50% effective source-drain area</x:v>
      </x:c>
      <x:c r="M113" s="14" t="n">
        <x:v>500</x:v>
      </x:c>
      <x:c r="N113" s="14" t="n">
        <x:v>0</x:v>
      </x:c>
      <x:c r="O113" s="14" t="n">
        <x:v>5</x:v>
      </x:c>
      <x:c r="P113" s="14" t="n">
        <x:v>1</x:v>
      </x:c>
      <x:c r="Q113" t="str"/>
      <x:c r="R113" t="str"/>
      <x:c r="S113" t="str"/>
      <x:c r="T113" t="str"/>
      <x:c r="U113" t="str"/>
    </x:row>
    <x:row r="114" ht="36" customHeight="1">
      <x:c r="B114" t="str">
        <x:v>RFE-E108</x:v>
      </x:c>
      <x:c r="C114" t="str">
        <x:v>EC-03</x:v>
      </x:c>
      <x:c r="D114" t="str">
        <x:v>AM-05</x:v>
      </x:c>
      <x:c r="E114" t="str">
        <x:v>AF-1</x:v>
      </x:c>
      <x:c r="F114" t="str">
        <x:v>BB</x:v>
      </x:c>
      <x:c r="G114" t="str">
        <x:v>PTC-B</x:v>
      </x:c>
      <x:c r="H114" t="str">
        <x:v>RFP-B2</x:v>
      </x:c>
      <x:c r="I114" s="12" t="str">
        <x:v>AF-1-BB-A02</x:v>
      </x:c>
      <x:c r="J114" t="str">
        <x:v>RFE-P018</x:v>
      </x:c>
      <x:c r="K114" t="str">
        <x:v>control</x:v>
      </x:c>
      <x:c r="L114" s="12" t="str">
        <x:v>matched clean state</x:v>
      </x:c>
      <x:c r="M114" s="14" t="n">
        <x:v>500</x:v>
      </x:c>
      <x:c r="N114" s="14" t="n">
        <x:v>0</x:v>
      </x:c>
      <x:c r="O114" s="14" t="n">
        <x:v>5</x:v>
      </x:c>
      <x:c r="P114" s="14" t="n">
        <x:v>2</x:v>
      </x:c>
      <x:c r="Q114" t="str"/>
      <x:c r="R114" t="str"/>
      <x:c r="S114" t="str"/>
      <x:c r="T114" t="str"/>
      <x:c r="U114" t="str"/>
    </x:row>
    <x:row r="115" ht="36" customHeight="1">
      <x:c r="B115" t="str">
        <x:v>RFE-E109</x:v>
      </x:c>
      <x:c r="C115" t="str">
        <x:v>EC-03</x:v>
      </x:c>
      <x:c r="D115" t="str">
        <x:v>AM-05</x:v>
      </x:c>
      <x:c r="E115" t="str">
        <x:v>AF-1</x:v>
      </x:c>
      <x:c r="F115" t="str">
        <x:v>BB</x:v>
      </x:c>
      <x:c r="G115" t="str">
        <x:v>PTC-B</x:v>
      </x:c>
      <x:c r="H115" t="str">
        <x:v>RFP-B2</x:v>
      </x:c>
      <x:c r="I115" s="12" t="str">
        <x:v>AF-1-BB-A03</x:v>
      </x:c>
      <x:c r="J115" t="str">
        <x:v>RFE-P019</x:v>
      </x:c>
      <x:c r="K115" t="str">
        <x:v>control</x:v>
      </x:c>
      <x:c r="L115" s="12" t="str">
        <x:v>matched clean state</x:v>
      </x:c>
      <x:c r="M115" s="14" t="n">
        <x:v>500</x:v>
      </x:c>
      <x:c r="N115" s="14" t="n">
        <x:v>0</x:v>
      </x:c>
      <x:c r="O115" s="14" t="n">
        <x:v>5</x:v>
      </x:c>
      <x:c r="P115" s="14" t="n">
        <x:v>1</x:v>
      </x:c>
      <x:c r="Q115" t="str"/>
      <x:c r="R115" t="str"/>
      <x:c r="S115" t="str"/>
      <x:c r="T115" t="str"/>
      <x:c r="U115" t="str"/>
    </x:row>
    <x:row r="116" ht="36" customHeight="1">
      <x:c r="B116" t="str">
        <x:v>RFE-E110</x:v>
      </x:c>
      <x:c r="C116" t="str">
        <x:v>EC-03</x:v>
      </x:c>
      <x:c r="D116" t="str">
        <x:v>AM-05</x:v>
      </x:c>
      <x:c r="E116" t="str">
        <x:v>AF-1</x:v>
      </x:c>
      <x:c r="F116" t="str">
        <x:v>BB</x:v>
      </x:c>
      <x:c r="G116" t="str">
        <x:v>PTC-B</x:v>
      </x:c>
      <x:c r="H116" t="str">
        <x:v>RFP-B2</x:v>
      </x:c>
      <x:c r="I116" s="12" t="str">
        <x:v>AF-1-BB-A03</x:v>
      </x:c>
      <x:c r="J116" t="str">
        <x:v>RFE-P019</x:v>
      </x:c>
      <x:c r="K116" t="str">
        <x:v>challenge</x:v>
      </x:c>
      <x:c r="L116" s="12" t="str">
        <x:v>candidate sump at 50% liquid-equivalent fill</x:v>
      </x:c>
      <x:c r="M116" s="14" t="n">
        <x:v>500</x:v>
      </x:c>
      <x:c r="N116" s="14" t="n">
        <x:v>0</x:v>
      </x:c>
      <x:c r="O116" s="14" t="n">
        <x:v>5</x:v>
      </x:c>
      <x:c r="P116" s="14" t="n">
        <x:v>2</x:v>
      </x:c>
      <x:c r="Q116" t="str"/>
      <x:c r="R116" t="str"/>
      <x:c r="S116" t="str"/>
      <x:c r="T116" t="str"/>
      <x:c r="U116" t="str"/>
    </x:row>
    <x:row r="117" ht="36" customHeight="1">
      <x:c r="B117" t="str">
        <x:v>RFE-E111</x:v>
      </x:c>
      <x:c r="C117" t="str">
        <x:v>EC-03</x:v>
      </x:c>
      <x:c r="D117" t="str">
        <x:v>AM-05</x:v>
      </x:c>
      <x:c r="E117" t="str">
        <x:v>AF-1</x:v>
      </x:c>
      <x:c r="F117" t="str">
        <x:v>BB</x:v>
      </x:c>
      <x:c r="G117" t="str">
        <x:v>PTC-B</x:v>
      </x:c>
      <x:c r="H117" t="str">
        <x:v>RFP-B2</x:v>
      </x:c>
      <x:c r="I117" s="12" t="str">
        <x:v>AF-1-BB-A04</x:v>
      </x:c>
      <x:c r="J117" t="str">
        <x:v>RFE-P020</x:v>
      </x:c>
      <x:c r="K117" t="str">
        <x:v>challenge</x:v>
      </x:c>
      <x:c r="L117" s="12" t="str">
        <x:v>25% grate coverage plus ten mapped fragments</x:v>
      </x:c>
      <x:c r="M117" s="14" t="n">
        <x:v>500</x:v>
      </x:c>
      <x:c r="N117" s="14" t="n">
        <x:v>0</x:v>
      </x:c>
      <x:c r="O117" s="14" t="n">
        <x:v>5</x:v>
      </x:c>
      <x:c r="P117" s="14" t="n">
        <x:v>1</x:v>
      </x:c>
      <x:c r="Q117" t="str"/>
      <x:c r="R117" t="str"/>
      <x:c r="S117" t="str"/>
      <x:c r="T117" t="str"/>
      <x:c r="U117" t="str"/>
    </x:row>
    <x:row r="118" ht="36" customHeight="1">
      <x:c r="B118" t="str">
        <x:v>RFE-E112</x:v>
      </x:c>
      <x:c r="C118" t="str">
        <x:v>EC-03</x:v>
      </x:c>
      <x:c r="D118" t="str">
        <x:v>AM-05</x:v>
      </x:c>
      <x:c r="E118" t="str">
        <x:v>AF-1</x:v>
      </x:c>
      <x:c r="F118" t="str">
        <x:v>BB</x:v>
      </x:c>
      <x:c r="G118" t="str">
        <x:v>PTC-B</x:v>
      </x:c>
      <x:c r="H118" t="str">
        <x:v>RFP-B2</x:v>
      </x:c>
      <x:c r="I118" s="12" t="str">
        <x:v>AF-1-BB-A04</x:v>
      </x:c>
      <x:c r="J118" t="str">
        <x:v>RFE-P020</x:v>
      </x:c>
      <x:c r="K118" t="str">
        <x:v>control</x:v>
      </x:c>
      <x:c r="L118" s="12" t="str">
        <x:v>matched clean state</x:v>
      </x:c>
      <x:c r="M118" s="14" t="n">
        <x:v>500</x:v>
      </x:c>
      <x:c r="N118" s="14" t="n">
        <x:v>0</x:v>
      </x:c>
      <x:c r="O118" s="14" t="n">
        <x:v>5</x:v>
      </x:c>
      <x:c r="P118" s="14" t="n">
        <x:v>2</x:v>
      </x:c>
      <x:c r="Q118" t="str"/>
      <x:c r="R118" t="str"/>
      <x:c r="S118" t="str"/>
      <x:c r="T118" t="str"/>
      <x:c r="U118" t="str"/>
    </x:row>
    <x:row r="119" ht="36" customHeight="1">
      <x:c r="B119" t="str">
        <x:v>RFE-E113</x:v>
      </x:c>
      <x:c r="C119" t="str">
        <x:v>EC-04</x:v>
      </x:c>
      <x:c r="D119" t="str">
        <x:v>AM-07</x:v>
      </x:c>
      <x:c r="E119" t="str">
        <x:v>AF-1</x:v>
      </x:c>
      <x:c r="F119" t="str">
        <x:v>BB</x:v>
      </x:c>
      <x:c r="G119" t="str">
        <x:v>PTC-B</x:v>
      </x:c>
      <x:c r="H119" t="str">
        <x:v>RFP-B2</x:v>
      </x:c>
      <x:c r="I119" s="12" t="str">
        <x:v>AF-1-BB-A05</x:v>
      </x:c>
      <x:c r="J119" t="str">
        <x:v>RFE-P021</x:v>
      </x:c>
      <x:c r="K119" t="str">
        <x:v>control</x:v>
      </x:c>
      <x:c r="L119" s="12" t="str">
        <x:v>matched clean state</x:v>
      </x:c>
      <x:c r="M119" s="14" t="n">
        <x:v>2000</x:v>
      </x:c>
      <x:c r="N119" s="14" t="n">
        <x:v>15</x:v>
      </x:c>
      <x:c r="O119" s="14" t="n">
        <x:v>9</x:v>
      </x:c>
      <x:c r="P119" s="14" t="n">
        <x:v>1</x:v>
      </x:c>
      <x:c r="Q119" t="str"/>
      <x:c r="R119" t="str"/>
      <x:c r="S119" t="str"/>
      <x:c r="T119" t="str"/>
      <x:c r="U119" t="str"/>
    </x:row>
    <x:row r="120" ht="36" customHeight="1">
      <x:c r="B120" t="str">
        <x:v>RFE-E114</x:v>
      </x:c>
      <x:c r="C120" t="str">
        <x:v>EC-04</x:v>
      </x:c>
      <x:c r="D120" t="str">
        <x:v>AM-07</x:v>
      </x:c>
      <x:c r="E120" t="str">
        <x:v>AF-1</x:v>
      </x:c>
      <x:c r="F120" t="str">
        <x:v>BB</x:v>
      </x:c>
      <x:c r="G120" t="str">
        <x:v>PTC-B</x:v>
      </x:c>
      <x:c r="H120" t="str">
        <x:v>RFP-B2</x:v>
      </x:c>
      <x:c r="I120" s="12" t="str">
        <x:v>AF-1-BB-A05</x:v>
      </x:c>
      <x:c r="J120" t="str">
        <x:v>RFE-P021</x:v>
      </x:c>
      <x:c r="K120" t="str">
        <x:v>challenge</x:v>
      </x:c>
      <x:c r="L120" s="12" t="str">
        <x:v>25 m2 pool; igniter command at T+15 s</x:v>
      </x:c>
      <x:c r="M120" s="14" t="n">
        <x:v>2000</x:v>
      </x:c>
      <x:c r="N120" s="14" t="n">
        <x:v>15</x:v>
      </x:c>
      <x:c r="O120" s="14" t="n">
        <x:v>9</x:v>
      </x:c>
      <x:c r="P120" s="14" t="n">
        <x:v>2</x:v>
      </x:c>
      <x:c r="Q120" t="str"/>
      <x:c r="R120" t="str"/>
      <x:c r="S120" t="str"/>
      <x:c r="T120" t="str"/>
      <x:c r="U120" t="str"/>
    </x:row>
    <x:row r="121" ht="36" customHeight="1">
      <x:c r="B121" t="str">
        <x:v>RFE-E115</x:v>
      </x:c>
      <x:c r="C121" t="str">
        <x:v>EC-04</x:v>
      </x:c>
      <x:c r="D121" t="str">
        <x:v>AM-07</x:v>
      </x:c>
      <x:c r="E121" t="str">
        <x:v>AF-1</x:v>
      </x:c>
      <x:c r="F121" t="str">
        <x:v>BB</x:v>
      </x:c>
      <x:c r="G121" t="str">
        <x:v>PTC-B</x:v>
      </x:c>
      <x:c r="H121" t="str">
        <x:v>RFP-B2</x:v>
      </x:c>
      <x:c r="I121" s="12" t="str">
        <x:v>AF-1-BB-A06</x:v>
      </x:c>
      <x:c r="J121" t="str">
        <x:v>RFE-P022</x:v>
      </x:c>
      <x:c r="K121" t="str">
        <x:v>challenge</x:v>
      </x:c>
      <x:c r="L121" s="12" t="str">
        <x:v>20 min candidate water window; vault begins 50% full</x:v>
      </x:c>
      <x:c r="M121" s="14" t="n">
        <x:v>2000</x:v>
      </x:c>
      <x:c r="N121" s="14" t="n">
        <x:v>20</x:v>
      </x:c>
      <x:c r="O121" s="14" t="n">
        <x:v>9</x:v>
      </x:c>
      <x:c r="P121" s="14" t="n">
        <x:v>1</x:v>
      </x:c>
      <x:c r="Q121" t="str"/>
      <x:c r="R121" t="str"/>
      <x:c r="S121" t="str"/>
      <x:c r="T121" t="str"/>
      <x:c r="U121" t="str"/>
    </x:row>
    <x:row r="122" ht="36" customHeight="1">
      <x:c r="B122" t="str">
        <x:v>RFE-E116</x:v>
      </x:c>
      <x:c r="C122" t="str">
        <x:v>EC-04</x:v>
      </x:c>
      <x:c r="D122" t="str">
        <x:v>AM-07</x:v>
      </x:c>
      <x:c r="E122" t="str">
        <x:v>AF-1</x:v>
      </x:c>
      <x:c r="F122" t="str">
        <x:v>BB</x:v>
      </x:c>
      <x:c r="G122" t="str">
        <x:v>PTC-B</x:v>
      </x:c>
      <x:c r="H122" t="str">
        <x:v>RFP-B2</x:v>
      </x:c>
      <x:c r="I122" s="12" t="str">
        <x:v>AF-1-BB-A06</x:v>
      </x:c>
      <x:c r="J122" t="str">
        <x:v>RFE-P022</x:v>
      </x:c>
      <x:c r="K122" t="str">
        <x:v>control</x:v>
      </x:c>
      <x:c r="L122" s="12" t="str">
        <x:v>matched clean state</x:v>
      </x:c>
      <x:c r="M122" s="14" t="n">
        <x:v>2000</x:v>
      </x:c>
      <x:c r="N122" s="14" t="n">
        <x:v>20</x:v>
      </x:c>
      <x:c r="O122" s="14" t="n">
        <x:v>9</x:v>
      </x:c>
      <x:c r="P122" s="14" t="n">
        <x:v>2</x:v>
      </x:c>
      <x:c r="Q122" t="str"/>
      <x:c r="R122" t="str"/>
      <x:c r="S122" t="str"/>
      <x:c r="T122" t="str"/>
      <x:c r="U122" t="str"/>
    </x:row>
    <x:row r="123" ht="36" customHeight="1">
      <x:c r="B123" t="str">
        <x:v>RFE-E117</x:v>
      </x:c>
      <x:c r="C123" t="str">
        <x:v>EC-04</x:v>
      </x:c>
      <x:c r="D123" t="str">
        <x:v>AM-07</x:v>
      </x:c>
      <x:c r="E123" t="str">
        <x:v>AF-1</x:v>
      </x:c>
      <x:c r="F123" t="str">
        <x:v>BB</x:v>
      </x:c>
      <x:c r="G123" t="str">
        <x:v>PTC-B</x:v>
      </x:c>
      <x:c r="H123" t="str">
        <x:v>RFP-B2</x:v>
      </x:c>
      <x:c r="I123" s="12" t="str">
        <x:v>AF-1-BB-A07</x:v>
      </x:c>
      <x:c r="J123" t="str">
        <x:v>RFE-P023</x:v>
      </x:c>
      <x:c r="K123" t="str">
        <x:v>control</x:v>
      </x:c>
      <x:c r="L123" s="12" t="str">
        <x:v>matched clean state</x:v>
      </x:c>
      <x:c r="M123" s="14" t="n">
        <x:v>2000</x:v>
      </x:c>
      <x:c r="N123" s="14" t="n">
        <x:v>20</x:v>
      </x:c>
      <x:c r="O123" s="14" t="n">
        <x:v>9</x:v>
      </x:c>
      <x:c r="P123" s="14" t="n">
        <x:v>1</x:v>
      </x:c>
      <x:c r="Q123" t="str"/>
      <x:c r="R123" t="str"/>
      <x:c r="S123" t="str"/>
      <x:c r="T123" t="str"/>
      <x:c r="U123" t="str"/>
    </x:row>
    <x:row r="124" ht="36" customHeight="1">
      <x:c r="B124" t="str">
        <x:v>RFE-E118</x:v>
      </x:c>
      <x:c r="C124" t="str">
        <x:v>EC-04</x:v>
      </x:c>
      <x:c r="D124" t="str">
        <x:v>AM-07</x:v>
      </x:c>
      <x:c r="E124" t="str">
        <x:v>AF-1</x:v>
      </x:c>
      <x:c r="F124" t="str">
        <x:v>BB</x:v>
      </x:c>
      <x:c r="G124" t="str">
        <x:v>PTC-B</x:v>
      </x:c>
      <x:c r="H124" t="str">
        <x:v>RFP-B2</x:v>
      </x:c>
      <x:c r="I124" s="12" t="str">
        <x:v>AF-1-BB-A07</x:v>
      </x:c>
      <x:c r="J124" t="str">
        <x:v>RFE-P023</x:v>
      </x:c>
      <x:c r="K124" t="str">
        <x:v>challenge</x:v>
      </x:c>
      <x:c r="L124" s="12" t="str">
        <x:v>50% barrier plus 1.5 kPa wind</x:v>
      </x:c>
      <x:c r="M124" s="14" t="n">
        <x:v>2000</x:v>
      </x:c>
      <x:c r="N124" s="14" t="n">
        <x:v>20</x:v>
      </x:c>
      <x:c r="O124" s="14" t="n">
        <x:v>9</x:v>
      </x:c>
      <x:c r="P124" s="14" t="n">
        <x:v>2</x:v>
      </x:c>
      <x:c r="Q124" t="str"/>
      <x:c r="R124" t="str"/>
      <x:c r="S124" t="str"/>
      <x:c r="T124" t="str"/>
      <x:c r="U124" t="str"/>
    </x:row>
    <x:row r="125" ht="36" customHeight="1">
      <x:c r="B125" t="str">
        <x:v>RFE-E119</x:v>
      </x:c>
      <x:c r="C125" t="str">
        <x:v>EC-04</x:v>
      </x:c>
      <x:c r="D125" t="str">
        <x:v>AM-07</x:v>
      </x:c>
      <x:c r="E125" t="str">
        <x:v>AF-1</x:v>
      </x:c>
      <x:c r="F125" t="str">
        <x:v>BB</x:v>
      </x:c>
      <x:c r="G125" t="str">
        <x:v>PTC-B</x:v>
      </x:c>
      <x:c r="H125" t="str">
        <x:v>RFP-B2</x:v>
      </x:c>
      <x:c r="I125" s="12" t="str">
        <x:v>AF-1-BB-A08</x:v>
      </x:c>
      <x:c r="J125" t="str">
        <x:v>RFE-P024</x:v>
      </x:c>
      <x:c r="K125" t="str">
        <x:v>challenge</x:v>
      </x:c>
      <x:c r="L125" s="12" t="str">
        <x:v>30 min candidate window; normal energy, network and primary time denied</x:v>
      </x:c>
      <x:c r="M125" s="14" t="n">
        <x:v>2000</x:v>
      </x:c>
      <x:c r="N125" s="14" t="n">
        <x:v>30</x:v>
      </x:c>
      <x:c r="O125" s="14" t="n">
        <x:v>9</x:v>
      </x:c>
      <x:c r="P125" s="14" t="n">
        <x:v>1</x:v>
      </x:c>
      <x:c r="Q125" t="str"/>
      <x:c r="R125" t="str"/>
      <x:c r="S125" t="str"/>
      <x:c r="T125" t="str"/>
      <x:c r="U125" t="str"/>
    </x:row>
    <x:row r="126" ht="36" customHeight="1">
      <x:c r="B126" t="str">
        <x:v>RFE-E120</x:v>
      </x:c>
      <x:c r="C126" t="str">
        <x:v>EC-04</x:v>
      </x:c>
      <x:c r="D126" t="str">
        <x:v>AM-07</x:v>
      </x:c>
      <x:c r="E126" t="str">
        <x:v>AF-1</x:v>
      </x:c>
      <x:c r="F126" t="str">
        <x:v>BB</x:v>
      </x:c>
      <x:c r="G126" t="str">
        <x:v>PTC-B</x:v>
      </x:c>
      <x:c r="H126" t="str">
        <x:v>RFP-B2</x:v>
      </x:c>
      <x:c r="I126" s="12" t="str">
        <x:v>AF-1-BB-A08</x:v>
      </x:c>
      <x:c r="J126" t="str">
        <x:v>RFE-P024</x:v>
      </x:c>
      <x:c r="K126" t="str">
        <x:v>control</x:v>
      </x:c>
      <x:c r="L126" s="12" t="str">
        <x:v>matched clean state</x:v>
      </x:c>
      <x:c r="M126" s="14" t="n">
        <x:v>2000</x:v>
      </x:c>
      <x:c r="N126" s="14" t="n">
        <x:v>30</x:v>
      </x:c>
      <x:c r="O126" s="14" t="n">
        <x:v>9</x:v>
      </x:c>
      <x:c r="P126" s="14" t="n">
        <x:v>2</x:v>
      </x:c>
      <x:c r="Q126" t="str"/>
      <x:c r="R126" t="str"/>
      <x:c r="S126" t="str"/>
      <x:c r="T126" t="str"/>
      <x:c r="U126" t="str"/>
    </x:row>
    <x:row r="127" ht="36" customHeight="1">
      <x:c r="B127" t="str">
        <x:v>RFE-E121</x:v>
      </x:c>
      <x:c r="C127" t="str">
        <x:v>EC-03</x:v>
      </x:c>
      <x:c r="D127" t="str">
        <x:v>AM-05</x:v>
      </x:c>
      <x:c r="E127" t="str">
        <x:v>AF-1</x:v>
      </x:c>
      <x:c r="F127" t="str">
        <x:v>BB</x:v>
      </x:c>
      <x:c r="G127" t="str">
        <x:v>PTC-C</x:v>
      </x:c>
      <x:c r="H127" t="str">
        <x:v>RFP-C2</x:v>
      </x:c>
      <x:c r="I127" s="12" t="str">
        <x:v>AF-1-BB-A01</x:v>
      </x:c>
      <x:c r="J127" t="str">
        <x:v>RFE-P025</x:v>
      </x:c>
      <x:c r="K127" t="str">
        <x:v>challenge</x:v>
      </x:c>
      <x:c r="L127" s="12" t="str">
        <x:v>1.0% reverse local grade plus ±25 mm datum error</x:v>
      </x:c>
      <x:c r="M127" s="14" t="n">
        <x:v>500</x:v>
      </x:c>
      <x:c r="N127" s="14" t="n">
        <x:v>0</x:v>
      </x:c>
      <x:c r="O127" s="14" t="n">
        <x:v>5</x:v>
      </x:c>
      <x:c r="P127" s="14" t="n">
        <x:v>1</x:v>
      </x:c>
      <x:c r="Q127" t="str"/>
      <x:c r="R127" t="str"/>
      <x:c r="S127" t="str"/>
      <x:c r="T127" t="str"/>
      <x:c r="U127" t="str"/>
    </x:row>
    <x:row r="128" ht="36" customHeight="1">
      <x:c r="B128" t="str">
        <x:v>RFE-E122</x:v>
      </x:c>
      <x:c r="C128" t="str">
        <x:v>EC-03</x:v>
      </x:c>
      <x:c r="D128" t="str">
        <x:v>AM-05</x:v>
      </x:c>
      <x:c r="E128" t="str">
        <x:v>AF-1</x:v>
      </x:c>
      <x:c r="F128" t="str">
        <x:v>BB</x:v>
      </x:c>
      <x:c r="G128" t="str">
        <x:v>PTC-C</x:v>
      </x:c>
      <x:c r="H128" t="str">
        <x:v>RFP-C2</x:v>
      </x:c>
      <x:c r="I128" s="12" t="str">
        <x:v>AF-1-BB-A01</x:v>
      </x:c>
      <x:c r="J128" t="str">
        <x:v>RFE-P025</x:v>
      </x:c>
      <x:c r="K128" t="str">
        <x:v>control</x:v>
      </x:c>
      <x:c r="L128" s="12" t="str">
        <x:v>matched clean state</x:v>
      </x:c>
      <x:c r="M128" s="14" t="n">
        <x:v>500</x:v>
      </x:c>
      <x:c r="N128" s="14" t="n">
        <x:v>0</x:v>
      </x:c>
      <x:c r="O128" s="14" t="n">
        <x:v>5</x:v>
      </x:c>
      <x:c r="P128" s="14" t="n">
        <x:v>2</x:v>
      </x:c>
      <x:c r="Q128" t="str"/>
      <x:c r="R128" t="str"/>
      <x:c r="S128" t="str"/>
      <x:c r="T128" t="str"/>
      <x:c r="U128" t="str"/>
    </x:row>
    <x:row r="129" ht="36" customHeight="1">
      <x:c r="B129" t="str">
        <x:v>RFE-E123</x:v>
      </x:c>
      <x:c r="C129" t="str">
        <x:v>EC-03</x:v>
      </x:c>
      <x:c r="D129" t="str">
        <x:v>AM-05</x:v>
      </x:c>
      <x:c r="E129" t="str">
        <x:v>AF-1</x:v>
      </x:c>
      <x:c r="F129" t="str">
        <x:v>BB</x:v>
      </x:c>
      <x:c r="G129" t="str">
        <x:v>PTC-C</x:v>
      </x:c>
      <x:c r="H129" t="str">
        <x:v>RFP-C2</x:v>
      </x:c>
      <x:c r="I129" s="12" t="str">
        <x:v>AF-1-BB-A02</x:v>
      </x:c>
      <x:c r="J129" t="str">
        <x:v>RFE-P026</x:v>
      </x:c>
      <x:c r="K129" t="str">
        <x:v>control</x:v>
      </x:c>
      <x:c r="L129" s="12" t="str">
        <x:v>matched clean state</x:v>
      </x:c>
      <x:c r="M129" s="14" t="n">
        <x:v>500</x:v>
      </x:c>
      <x:c r="N129" s="14" t="n">
        <x:v>0</x:v>
      </x:c>
      <x:c r="O129" s="14" t="n">
        <x:v>5</x:v>
      </x:c>
      <x:c r="P129" s="14" t="n">
        <x:v>1</x:v>
      </x:c>
      <x:c r="Q129" t="str"/>
      <x:c r="R129" t="str"/>
      <x:c r="S129" t="str"/>
      <x:c r="T129" t="str"/>
      <x:c r="U129" t="str"/>
    </x:row>
    <x:row r="130" ht="36" customHeight="1">
      <x:c r="B130" t="str">
        <x:v>RFE-E124</x:v>
      </x:c>
      <x:c r="C130" t="str">
        <x:v>EC-03</x:v>
      </x:c>
      <x:c r="D130" t="str">
        <x:v>AM-05</x:v>
      </x:c>
      <x:c r="E130" t="str">
        <x:v>AF-1</x:v>
      </x:c>
      <x:c r="F130" t="str">
        <x:v>BB</x:v>
      </x:c>
      <x:c r="G130" t="str">
        <x:v>PTC-C</x:v>
      </x:c>
      <x:c r="H130" t="str">
        <x:v>RFP-C2</x:v>
      </x:c>
      <x:c r="I130" s="12" t="str">
        <x:v>AF-1-BB-A02</x:v>
      </x:c>
      <x:c r="J130" t="str">
        <x:v>RFE-P026</x:v>
      </x:c>
      <x:c r="K130" t="str">
        <x:v>challenge</x:v>
      </x:c>
      <x:c r="L130" s="12" t="str">
        <x:v>50% effective source-drain area</x:v>
      </x:c>
      <x:c r="M130" s="14" t="n">
        <x:v>500</x:v>
      </x:c>
      <x:c r="N130" s="14" t="n">
        <x:v>0</x:v>
      </x:c>
      <x:c r="O130" s="14" t="n">
        <x:v>5</x:v>
      </x:c>
      <x:c r="P130" s="14" t="n">
        <x:v>2</x:v>
      </x:c>
      <x:c r="Q130" t="str"/>
      <x:c r="R130" t="str"/>
      <x:c r="S130" t="str"/>
      <x:c r="T130" t="str"/>
      <x:c r="U130" t="str"/>
    </x:row>
    <x:row r="131" ht="36" customHeight="1">
      <x:c r="B131" t="str">
        <x:v>RFE-E125</x:v>
      </x:c>
      <x:c r="C131" t="str">
        <x:v>EC-03</x:v>
      </x:c>
      <x:c r="D131" t="str">
        <x:v>AM-05</x:v>
      </x:c>
      <x:c r="E131" t="str">
        <x:v>AF-1</x:v>
      </x:c>
      <x:c r="F131" t="str">
        <x:v>BB</x:v>
      </x:c>
      <x:c r="G131" t="str">
        <x:v>PTC-C</x:v>
      </x:c>
      <x:c r="H131" t="str">
        <x:v>RFP-C2</x:v>
      </x:c>
      <x:c r="I131" s="12" t="str">
        <x:v>AF-1-BB-A03</x:v>
      </x:c>
      <x:c r="J131" t="str">
        <x:v>RFE-P027</x:v>
      </x:c>
      <x:c r="K131" t="str">
        <x:v>challenge</x:v>
      </x:c>
      <x:c r="L131" s="12" t="str">
        <x:v>candidate sump at 50% liquid-equivalent fill</x:v>
      </x:c>
      <x:c r="M131" s="14" t="n">
        <x:v>500</x:v>
      </x:c>
      <x:c r="N131" s="14" t="n">
        <x:v>0</x:v>
      </x:c>
      <x:c r="O131" s="14" t="n">
        <x:v>5</x:v>
      </x:c>
      <x:c r="P131" s="14" t="n">
        <x:v>1</x:v>
      </x:c>
      <x:c r="Q131" t="str"/>
      <x:c r="R131" t="str"/>
      <x:c r="S131" t="str"/>
      <x:c r="T131" t="str"/>
      <x:c r="U131" t="str"/>
    </x:row>
    <x:row r="132" ht="36" customHeight="1">
      <x:c r="B132" t="str">
        <x:v>RFE-E126</x:v>
      </x:c>
      <x:c r="C132" t="str">
        <x:v>EC-03</x:v>
      </x:c>
      <x:c r="D132" t="str">
        <x:v>AM-05</x:v>
      </x:c>
      <x:c r="E132" t="str">
        <x:v>AF-1</x:v>
      </x:c>
      <x:c r="F132" t="str">
        <x:v>BB</x:v>
      </x:c>
      <x:c r="G132" t="str">
        <x:v>PTC-C</x:v>
      </x:c>
      <x:c r="H132" t="str">
        <x:v>RFP-C2</x:v>
      </x:c>
      <x:c r="I132" s="12" t="str">
        <x:v>AF-1-BB-A03</x:v>
      </x:c>
      <x:c r="J132" t="str">
        <x:v>RFE-P027</x:v>
      </x:c>
      <x:c r="K132" t="str">
        <x:v>control</x:v>
      </x:c>
      <x:c r="L132" s="12" t="str">
        <x:v>matched clean state</x:v>
      </x:c>
      <x:c r="M132" s="14" t="n">
        <x:v>500</x:v>
      </x:c>
      <x:c r="N132" s="14" t="n">
        <x:v>0</x:v>
      </x:c>
      <x:c r="O132" s="14" t="n">
        <x:v>5</x:v>
      </x:c>
      <x:c r="P132" s="14" t="n">
        <x:v>2</x:v>
      </x:c>
      <x:c r="Q132" t="str"/>
      <x:c r="R132" t="str"/>
      <x:c r="S132" t="str"/>
      <x:c r="T132" t="str"/>
      <x:c r="U132" t="str"/>
    </x:row>
    <x:row r="133" ht="36" customHeight="1">
      <x:c r="B133" t="str">
        <x:v>RFE-E127</x:v>
      </x:c>
      <x:c r="C133" t="str">
        <x:v>EC-03</x:v>
      </x:c>
      <x:c r="D133" t="str">
        <x:v>AM-05</x:v>
      </x:c>
      <x:c r="E133" t="str">
        <x:v>AF-1</x:v>
      </x:c>
      <x:c r="F133" t="str">
        <x:v>BB</x:v>
      </x:c>
      <x:c r="G133" t="str">
        <x:v>PTC-C</x:v>
      </x:c>
      <x:c r="H133" t="str">
        <x:v>RFP-C2</x:v>
      </x:c>
      <x:c r="I133" s="12" t="str">
        <x:v>AF-1-BB-A04</x:v>
      </x:c>
      <x:c r="J133" t="str">
        <x:v>RFE-P028</x:v>
      </x:c>
      <x:c r="K133" t="str">
        <x:v>control</x:v>
      </x:c>
      <x:c r="L133" s="12" t="str">
        <x:v>matched clean state</x:v>
      </x:c>
      <x:c r="M133" s="14" t="n">
        <x:v>500</x:v>
      </x:c>
      <x:c r="N133" s="14" t="n">
        <x:v>0</x:v>
      </x:c>
      <x:c r="O133" s="14" t="n">
        <x:v>5</x:v>
      </x:c>
      <x:c r="P133" s="14" t="n">
        <x:v>1</x:v>
      </x:c>
      <x:c r="Q133" t="str"/>
      <x:c r="R133" t="str"/>
      <x:c r="S133" t="str"/>
      <x:c r="T133" t="str"/>
      <x:c r="U133" t="str"/>
    </x:row>
    <x:row r="134" ht="36" customHeight="1">
      <x:c r="B134" t="str">
        <x:v>RFE-E128</x:v>
      </x:c>
      <x:c r="C134" t="str">
        <x:v>EC-03</x:v>
      </x:c>
      <x:c r="D134" t="str">
        <x:v>AM-05</x:v>
      </x:c>
      <x:c r="E134" t="str">
        <x:v>AF-1</x:v>
      </x:c>
      <x:c r="F134" t="str">
        <x:v>BB</x:v>
      </x:c>
      <x:c r="G134" t="str">
        <x:v>PTC-C</x:v>
      </x:c>
      <x:c r="H134" t="str">
        <x:v>RFP-C2</x:v>
      </x:c>
      <x:c r="I134" s="12" t="str">
        <x:v>AF-1-BB-A04</x:v>
      </x:c>
      <x:c r="J134" t="str">
        <x:v>RFE-P028</x:v>
      </x:c>
      <x:c r="K134" t="str">
        <x:v>challenge</x:v>
      </x:c>
      <x:c r="L134" s="12" t="str">
        <x:v>25% grate coverage plus ten mapped fragments</x:v>
      </x:c>
      <x:c r="M134" s="14" t="n">
        <x:v>500</x:v>
      </x:c>
      <x:c r="N134" s="14" t="n">
        <x:v>0</x:v>
      </x:c>
      <x:c r="O134" s="14" t="n">
        <x:v>5</x:v>
      </x:c>
      <x:c r="P134" s="14" t="n">
        <x:v>2</x:v>
      </x:c>
      <x:c r="Q134" t="str"/>
      <x:c r="R134" t="str"/>
      <x:c r="S134" t="str"/>
      <x:c r="T134" t="str"/>
      <x:c r="U134" t="str"/>
    </x:row>
    <x:row r="135" ht="36" customHeight="1">
      <x:c r="B135" t="str">
        <x:v>RFE-E129</x:v>
      </x:c>
      <x:c r="C135" t="str">
        <x:v>EC-04</x:v>
      </x:c>
      <x:c r="D135" t="str">
        <x:v>AM-07</x:v>
      </x:c>
      <x:c r="E135" t="str">
        <x:v>AF-1</x:v>
      </x:c>
      <x:c r="F135" t="str">
        <x:v>BB</x:v>
      </x:c>
      <x:c r="G135" t="str">
        <x:v>PTC-C</x:v>
      </x:c>
      <x:c r="H135" t="str">
        <x:v>RFP-C2</x:v>
      </x:c>
      <x:c r="I135" s="12" t="str">
        <x:v>AF-1-BB-A05</x:v>
      </x:c>
      <x:c r="J135" t="str">
        <x:v>RFE-P029</x:v>
      </x:c>
      <x:c r="K135" t="str">
        <x:v>challenge</x:v>
      </x:c>
      <x:c r="L135" s="12" t="str">
        <x:v>25 m2 pool; igniter command at T+15 s</x:v>
      </x:c>
      <x:c r="M135" s="14" t="n">
        <x:v>2000</x:v>
      </x:c>
      <x:c r="N135" s="14" t="n">
        <x:v>15</x:v>
      </x:c>
      <x:c r="O135" s="14" t="n">
        <x:v>9</x:v>
      </x:c>
      <x:c r="P135" s="14" t="n">
        <x:v>1</x:v>
      </x:c>
      <x:c r="Q135" t="str"/>
      <x:c r="R135" t="str"/>
      <x:c r="S135" t="str"/>
      <x:c r="T135" t="str"/>
      <x:c r="U135" t="str"/>
    </x:row>
    <x:row r="136" ht="36" customHeight="1">
      <x:c r="B136" t="str">
        <x:v>RFE-E130</x:v>
      </x:c>
      <x:c r="C136" t="str">
        <x:v>EC-04</x:v>
      </x:c>
      <x:c r="D136" t="str">
        <x:v>AM-07</x:v>
      </x:c>
      <x:c r="E136" t="str">
        <x:v>AF-1</x:v>
      </x:c>
      <x:c r="F136" t="str">
        <x:v>BB</x:v>
      </x:c>
      <x:c r="G136" t="str">
        <x:v>PTC-C</x:v>
      </x:c>
      <x:c r="H136" t="str">
        <x:v>RFP-C2</x:v>
      </x:c>
      <x:c r="I136" s="12" t="str">
        <x:v>AF-1-BB-A05</x:v>
      </x:c>
      <x:c r="J136" t="str">
        <x:v>RFE-P029</x:v>
      </x:c>
      <x:c r="K136" t="str">
        <x:v>control</x:v>
      </x:c>
      <x:c r="L136" s="12" t="str">
        <x:v>matched clean state</x:v>
      </x:c>
      <x:c r="M136" s="14" t="n">
        <x:v>2000</x:v>
      </x:c>
      <x:c r="N136" s="14" t="n">
        <x:v>15</x:v>
      </x:c>
      <x:c r="O136" s="14" t="n">
        <x:v>9</x:v>
      </x:c>
      <x:c r="P136" s="14" t="n">
        <x:v>2</x:v>
      </x:c>
      <x:c r="Q136" t="str"/>
      <x:c r="R136" t="str"/>
      <x:c r="S136" t="str"/>
      <x:c r="T136" t="str"/>
      <x:c r="U136" t="str"/>
    </x:row>
    <x:row r="137" ht="36" customHeight="1">
      <x:c r="B137" t="str">
        <x:v>RFE-E131</x:v>
      </x:c>
      <x:c r="C137" t="str">
        <x:v>EC-04</x:v>
      </x:c>
      <x:c r="D137" t="str">
        <x:v>AM-07</x:v>
      </x:c>
      <x:c r="E137" t="str">
        <x:v>AF-1</x:v>
      </x:c>
      <x:c r="F137" t="str">
        <x:v>BB</x:v>
      </x:c>
      <x:c r="G137" t="str">
        <x:v>PTC-C</x:v>
      </x:c>
      <x:c r="H137" t="str">
        <x:v>RFP-C2</x:v>
      </x:c>
      <x:c r="I137" s="12" t="str">
        <x:v>AF-1-BB-A06</x:v>
      </x:c>
      <x:c r="J137" t="str">
        <x:v>RFE-P030</x:v>
      </x:c>
      <x:c r="K137" t="str">
        <x:v>control</x:v>
      </x:c>
      <x:c r="L137" s="12" t="str">
        <x:v>matched clean state</x:v>
      </x:c>
      <x:c r="M137" s="14" t="n">
        <x:v>2000</x:v>
      </x:c>
      <x:c r="N137" s="14" t="n">
        <x:v>20</x:v>
      </x:c>
      <x:c r="O137" s="14" t="n">
        <x:v>9</x:v>
      </x:c>
      <x:c r="P137" s="14" t="n">
        <x:v>1</x:v>
      </x:c>
      <x:c r="Q137" t="str"/>
      <x:c r="R137" t="str"/>
      <x:c r="S137" t="str"/>
      <x:c r="T137" t="str"/>
      <x:c r="U137" t="str"/>
    </x:row>
    <x:row r="138" ht="36" customHeight="1">
      <x:c r="B138" t="str">
        <x:v>RFE-E132</x:v>
      </x:c>
      <x:c r="C138" t="str">
        <x:v>EC-04</x:v>
      </x:c>
      <x:c r="D138" t="str">
        <x:v>AM-07</x:v>
      </x:c>
      <x:c r="E138" t="str">
        <x:v>AF-1</x:v>
      </x:c>
      <x:c r="F138" t="str">
        <x:v>BB</x:v>
      </x:c>
      <x:c r="G138" t="str">
        <x:v>PTC-C</x:v>
      </x:c>
      <x:c r="H138" t="str">
        <x:v>RFP-C2</x:v>
      </x:c>
      <x:c r="I138" s="12" t="str">
        <x:v>AF-1-BB-A06</x:v>
      </x:c>
      <x:c r="J138" t="str">
        <x:v>RFE-P030</x:v>
      </x:c>
      <x:c r="K138" t="str">
        <x:v>challenge</x:v>
      </x:c>
      <x:c r="L138" s="12" t="str">
        <x:v>20 min candidate water window; vault begins 50% full</x:v>
      </x:c>
      <x:c r="M138" s="14" t="n">
        <x:v>2000</x:v>
      </x:c>
      <x:c r="N138" s="14" t="n">
        <x:v>20</x:v>
      </x:c>
      <x:c r="O138" s="14" t="n">
        <x:v>9</x:v>
      </x:c>
      <x:c r="P138" s="14" t="n">
        <x:v>2</x:v>
      </x:c>
      <x:c r="Q138" t="str"/>
      <x:c r="R138" t="str"/>
      <x:c r="S138" t="str"/>
      <x:c r="T138" t="str"/>
      <x:c r="U138" t="str"/>
    </x:row>
    <x:row r="139" ht="36" customHeight="1">
      <x:c r="B139" t="str">
        <x:v>RFE-E133</x:v>
      </x:c>
      <x:c r="C139" t="str">
        <x:v>EC-04</x:v>
      </x:c>
      <x:c r="D139" t="str">
        <x:v>AM-07</x:v>
      </x:c>
      <x:c r="E139" t="str">
        <x:v>AF-1</x:v>
      </x:c>
      <x:c r="F139" t="str">
        <x:v>BB</x:v>
      </x:c>
      <x:c r="G139" t="str">
        <x:v>PTC-C</x:v>
      </x:c>
      <x:c r="H139" t="str">
        <x:v>RFP-C2</x:v>
      </x:c>
      <x:c r="I139" s="12" t="str">
        <x:v>AF-1-BB-A07</x:v>
      </x:c>
      <x:c r="J139" t="str">
        <x:v>RFE-P031</x:v>
      </x:c>
      <x:c r="K139" t="str">
        <x:v>challenge</x:v>
      </x:c>
      <x:c r="L139" s="12" t="str">
        <x:v>50% barrier plus 1.5 kPa wind</x:v>
      </x:c>
      <x:c r="M139" s="14" t="n">
        <x:v>2000</x:v>
      </x:c>
      <x:c r="N139" s="14" t="n">
        <x:v>20</x:v>
      </x:c>
      <x:c r="O139" s="14" t="n">
        <x:v>9</x:v>
      </x:c>
      <x:c r="P139" s="14" t="n">
        <x:v>1</x:v>
      </x:c>
      <x:c r="Q139" t="str"/>
      <x:c r="R139" t="str"/>
      <x:c r="S139" t="str"/>
      <x:c r="T139" t="str"/>
      <x:c r="U139" t="str"/>
    </x:row>
    <x:row r="140" ht="36" customHeight="1">
      <x:c r="B140" t="str">
        <x:v>RFE-E134</x:v>
      </x:c>
      <x:c r="C140" t="str">
        <x:v>EC-04</x:v>
      </x:c>
      <x:c r="D140" t="str">
        <x:v>AM-07</x:v>
      </x:c>
      <x:c r="E140" t="str">
        <x:v>AF-1</x:v>
      </x:c>
      <x:c r="F140" t="str">
        <x:v>BB</x:v>
      </x:c>
      <x:c r="G140" t="str">
        <x:v>PTC-C</x:v>
      </x:c>
      <x:c r="H140" t="str">
        <x:v>RFP-C2</x:v>
      </x:c>
      <x:c r="I140" s="12" t="str">
        <x:v>AF-1-BB-A07</x:v>
      </x:c>
      <x:c r="J140" t="str">
        <x:v>RFE-P031</x:v>
      </x:c>
      <x:c r="K140" t="str">
        <x:v>control</x:v>
      </x:c>
      <x:c r="L140" s="12" t="str">
        <x:v>matched clean state</x:v>
      </x:c>
      <x:c r="M140" s="14" t="n">
        <x:v>2000</x:v>
      </x:c>
      <x:c r="N140" s="14" t="n">
        <x:v>20</x:v>
      </x:c>
      <x:c r="O140" s="14" t="n">
        <x:v>9</x:v>
      </x:c>
      <x:c r="P140" s="14" t="n">
        <x:v>2</x:v>
      </x:c>
      <x:c r="Q140" t="str"/>
      <x:c r="R140" t="str"/>
      <x:c r="S140" t="str"/>
      <x:c r="T140" t="str"/>
      <x:c r="U140" t="str"/>
    </x:row>
    <x:row r="141" ht="36" customHeight="1">
      <x:c r="B141" t="str">
        <x:v>RFE-E135</x:v>
      </x:c>
      <x:c r="C141" t="str">
        <x:v>EC-04</x:v>
      </x:c>
      <x:c r="D141" t="str">
        <x:v>AM-07</x:v>
      </x:c>
      <x:c r="E141" t="str">
        <x:v>AF-1</x:v>
      </x:c>
      <x:c r="F141" t="str">
        <x:v>BB</x:v>
      </x:c>
      <x:c r="G141" t="str">
        <x:v>PTC-C</x:v>
      </x:c>
      <x:c r="H141" t="str">
        <x:v>RFP-C2</x:v>
      </x:c>
      <x:c r="I141" s="12" t="str">
        <x:v>AF-1-BB-A08</x:v>
      </x:c>
      <x:c r="J141" t="str">
        <x:v>RFE-P032</x:v>
      </x:c>
      <x:c r="K141" t="str">
        <x:v>control</x:v>
      </x:c>
      <x:c r="L141" s="12" t="str">
        <x:v>matched clean state</x:v>
      </x:c>
      <x:c r="M141" s="14" t="n">
        <x:v>2000</x:v>
      </x:c>
      <x:c r="N141" s="14" t="n">
        <x:v>30</x:v>
      </x:c>
      <x:c r="O141" s="14" t="n">
        <x:v>9</x:v>
      </x:c>
      <x:c r="P141" s="14" t="n">
        <x:v>1</x:v>
      </x:c>
      <x:c r="Q141" t="str"/>
      <x:c r="R141" t="str"/>
      <x:c r="S141" t="str"/>
      <x:c r="T141" t="str"/>
      <x:c r="U141" t="str"/>
    </x:row>
    <x:row r="142" ht="36" customHeight="1">
      <x:c r="B142" t="str">
        <x:v>RFE-E136</x:v>
      </x:c>
      <x:c r="C142" t="str">
        <x:v>EC-04</x:v>
      </x:c>
      <x:c r="D142" t="str">
        <x:v>AM-07</x:v>
      </x:c>
      <x:c r="E142" t="str">
        <x:v>AF-1</x:v>
      </x:c>
      <x:c r="F142" t="str">
        <x:v>BB</x:v>
      </x:c>
      <x:c r="G142" t="str">
        <x:v>PTC-C</x:v>
      </x:c>
      <x:c r="H142" t="str">
        <x:v>RFP-C2</x:v>
      </x:c>
      <x:c r="I142" s="12" t="str">
        <x:v>AF-1-BB-A08</x:v>
      </x:c>
      <x:c r="J142" t="str">
        <x:v>RFE-P032</x:v>
      </x:c>
      <x:c r="K142" t="str">
        <x:v>challenge</x:v>
      </x:c>
      <x:c r="L142" s="12" t="str">
        <x:v>30 min candidate window; normal energy, network and primary time denied</x:v>
      </x:c>
      <x:c r="M142" s="14" t="n">
        <x:v>2000</x:v>
      </x:c>
      <x:c r="N142" s="14" t="n">
        <x:v>30</x:v>
      </x:c>
      <x:c r="O142" s="14" t="n">
        <x:v>9</x:v>
      </x:c>
      <x:c r="P142" s="14" t="n">
        <x:v>2</x:v>
      </x:c>
      <x:c r="Q142" t="str"/>
      <x:c r="R142" t="str"/>
      <x:c r="S142" t="str"/>
      <x:c r="T142" t="str"/>
      <x:c r="U142" t="str"/>
    </x:row>
    <x:row r="143" ht="36" customHeight="1">
      <x:c r="B143" t="str">
        <x:v>RFE-E137</x:v>
      </x:c>
      <x:c r="C143" t="str">
        <x:v>EC-03</x:v>
      </x:c>
      <x:c r="D143" t="str">
        <x:v>AM-05</x:v>
      </x:c>
      <x:c r="E143" t="str">
        <x:v>AF-2</x:v>
      </x:c>
      <x:c r="F143" t="str">
        <x:v>BA</x:v>
      </x:c>
      <x:c r="G143" t="str">
        <x:v>PTC-B</x:v>
      </x:c>
      <x:c r="H143" t="str">
        <x:v>RFP-B1</x:v>
      </x:c>
      <x:c r="I143" s="12" t="str">
        <x:v>AF-2-BA-A01</x:v>
      </x:c>
      <x:c r="J143" t="str">
        <x:v>RFE-P033</x:v>
      </x:c>
      <x:c r="K143" t="str">
        <x:v>control</x:v>
      </x:c>
      <x:c r="L143" s="12" t="str">
        <x:v>matched clean state</x:v>
      </x:c>
      <x:c r="M143" s="14" t="n">
        <x:v>500</x:v>
      </x:c>
      <x:c r="N143" s="14" t="n">
        <x:v>0</x:v>
      </x:c>
      <x:c r="O143" s="14" t="n">
        <x:v>5</x:v>
      </x:c>
      <x:c r="P143" s="14" t="n">
        <x:v>1</x:v>
      </x:c>
      <x:c r="Q143" t="str"/>
      <x:c r="R143" t="str"/>
      <x:c r="S143" t="str"/>
      <x:c r="T143" t="str"/>
      <x:c r="U143" t="str"/>
    </x:row>
    <x:row r="144" ht="36" customHeight="1">
      <x:c r="B144" t="str">
        <x:v>RFE-E138</x:v>
      </x:c>
      <x:c r="C144" t="str">
        <x:v>EC-03</x:v>
      </x:c>
      <x:c r="D144" t="str">
        <x:v>AM-05</x:v>
      </x:c>
      <x:c r="E144" t="str">
        <x:v>AF-2</x:v>
      </x:c>
      <x:c r="F144" t="str">
        <x:v>BA</x:v>
      </x:c>
      <x:c r="G144" t="str">
        <x:v>PTC-B</x:v>
      </x:c>
      <x:c r="H144" t="str">
        <x:v>RFP-B1</x:v>
      </x:c>
      <x:c r="I144" s="12" t="str">
        <x:v>AF-2-BA-A01</x:v>
      </x:c>
      <x:c r="J144" t="str">
        <x:v>RFE-P033</x:v>
      </x:c>
      <x:c r="K144" t="str">
        <x:v>challenge</x:v>
      </x:c>
      <x:c r="L144" s="12" t="str">
        <x:v>1.0% reverse local grade plus ±25 mm datum error</x:v>
      </x:c>
      <x:c r="M144" s="14" t="n">
        <x:v>500</x:v>
      </x:c>
      <x:c r="N144" s="14" t="n">
        <x:v>0</x:v>
      </x:c>
      <x:c r="O144" s="14" t="n">
        <x:v>5</x:v>
      </x:c>
      <x:c r="P144" s="14" t="n">
        <x:v>2</x:v>
      </x:c>
      <x:c r="Q144" t="str"/>
      <x:c r="R144" t="str"/>
      <x:c r="S144" t="str"/>
      <x:c r="T144" t="str"/>
      <x:c r="U144" t="str"/>
    </x:row>
    <x:row r="145" ht="36" customHeight="1">
      <x:c r="B145" t="str">
        <x:v>RFE-E139</x:v>
      </x:c>
      <x:c r="C145" t="str">
        <x:v>EC-03</x:v>
      </x:c>
      <x:c r="D145" t="str">
        <x:v>AM-05</x:v>
      </x:c>
      <x:c r="E145" t="str">
        <x:v>AF-2</x:v>
      </x:c>
      <x:c r="F145" t="str">
        <x:v>BA</x:v>
      </x:c>
      <x:c r="G145" t="str">
        <x:v>PTC-B</x:v>
      </x:c>
      <x:c r="H145" t="str">
        <x:v>RFP-B1</x:v>
      </x:c>
      <x:c r="I145" s="12" t="str">
        <x:v>AF-2-BA-A02</x:v>
      </x:c>
      <x:c r="J145" t="str">
        <x:v>RFE-P034</x:v>
      </x:c>
      <x:c r="K145" t="str">
        <x:v>challenge</x:v>
      </x:c>
      <x:c r="L145" s="12" t="str">
        <x:v>50% effective source-drain area</x:v>
      </x:c>
      <x:c r="M145" s="14" t="n">
        <x:v>500</x:v>
      </x:c>
      <x:c r="N145" s="14" t="n">
        <x:v>0</x:v>
      </x:c>
      <x:c r="O145" s="14" t="n">
        <x:v>5</x:v>
      </x:c>
      <x:c r="P145" s="14" t="n">
        <x:v>1</x:v>
      </x:c>
      <x:c r="Q145" t="str"/>
      <x:c r="R145" t="str"/>
      <x:c r="S145" t="str"/>
      <x:c r="T145" t="str"/>
      <x:c r="U145" t="str"/>
    </x:row>
    <x:row r="146" ht="36" customHeight="1">
      <x:c r="B146" t="str">
        <x:v>RFE-E140</x:v>
      </x:c>
      <x:c r="C146" t="str">
        <x:v>EC-03</x:v>
      </x:c>
      <x:c r="D146" t="str">
        <x:v>AM-05</x:v>
      </x:c>
      <x:c r="E146" t="str">
        <x:v>AF-2</x:v>
      </x:c>
      <x:c r="F146" t="str">
        <x:v>BA</x:v>
      </x:c>
      <x:c r="G146" t="str">
        <x:v>PTC-B</x:v>
      </x:c>
      <x:c r="H146" t="str">
        <x:v>RFP-B1</x:v>
      </x:c>
      <x:c r="I146" s="12" t="str">
        <x:v>AF-2-BA-A02</x:v>
      </x:c>
      <x:c r="J146" t="str">
        <x:v>RFE-P034</x:v>
      </x:c>
      <x:c r="K146" t="str">
        <x:v>control</x:v>
      </x:c>
      <x:c r="L146" s="12" t="str">
        <x:v>matched clean state</x:v>
      </x:c>
      <x:c r="M146" s="14" t="n">
        <x:v>500</x:v>
      </x:c>
      <x:c r="N146" s="14" t="n">
        <x:v>0</x:v>
      </x:c>
      <x:c r="O146" s="14" t="n">
        <x:v>5</x:v>
      </x:c>
      <x:c r="P146" s="14" t="n">
        <x:v>2</x:v>
      </x:c>
      <x:c r="Q146" t="str"/>
      <x:c r="R146" t="str"/>
      <x:c r="S146" t="str"/>
      <x:c r="T146" t="str"/>
      <x:c r="U146" t="str"/>
    </x:row>
    <x:row r="147" ht="36" customHeight="1">
      <x:c r="B147" t="str">
        <x:v>RFE-E141</x:v>
      </x:c>
      <x:c r="C147" t="str">
        <x:v>EC-03</x:v>
      </x:c>
      <x:c r="D147" t="str">
        <x:v>AM-05</x:v>
      </x:c>
      <x:c r="E147" t="str">
        <x:v>AF-2</x:v>
      </x:c>
      <x:c r="F147" t="str">
        <x:v>BA</x:v>
      </x:c>
      <x:c r="G147" t="str">
        <x:v>PTC-B</x:v>
      </x:c>
      <x:c r="H147" t="str">
        <x:v>RFP-B1</x:v>
      </x:c>
      <x:c r="I147" s="12" t="str">
        <x:v>AF-2-BA-A03</x:v>
      </x:c>
      <x:c r="J147" t="str">
        <x:v>RFE-P035</x:v>
      </x:c>
      <x:c r="K147" t="str">
        <x:v>control</x:v>
      </x:c>
      <x:c r="L147" s="12" t="str">
        <x:v>matched clean state</x:v>
      </x:c>
      <x:c r="M147" s="14" t="n">
        <x:v>500</x:v>
      </x:c>
      <x:c r="N147" s="14" t="n">
        <x:v>0</x:v>
      </x:c>
      <x:c r="O147" s="14" t="n">
        <x:v>5</x:v>
      </x:c>
      <x:c r="P147" s="14" t="n">
        <x:v>1</x:v>
      </x:c>
      <x:c r="Q147" t="str"/>
      <x:c r="R147" t="str"/>
      <x:c r="S147" t="str"/>
      <x:c r="T147" t="str"/>
      <x:c r="U147" t="str"/>
    </x:row>
    <x:row r="148" ht="36" customHeight="1">
      <x:c r="B148" t="str">
        <x:v>RFE-E142</x:v>
      </x:c>
      <x:c r="C148" t="str">
        <x:v>EC-03</x:v>
      </x:c>
      <x:c r="D148" t="str">
        <x:v>AM-05</x:v>
      </x:c>
      <x:c r="E148" t="str">
        <x:v>AF-2</x:v>
      </x:c>
      <x:c r="F148" t="str">
        <x:v>BA</x:v>
      </x:c>
      <x:c r="G148" t="str">
        <x:v>PTC-B</x:v>
      </x:c>
      <x:c r="H148" t="str">
        <x:v>RFP-B1</x:v>
      </x:c>
      <x:c r="I148" s="12" t="str">
        <x:v>AF-2-BA-A03</x:v>
      </x:c>
      <x:c r="J148" t="str">
        <x:v>RFE-P035</x:v>
      </x:c>
      <x:c r="K148" t="str">
        <x:v>challenge</x:v>
      </x:c>
      <x:c r="L148" s="12" t="str">
        <x:v>candidate sump at 50% liquid-equivalent fill</x:v>
      </x:c>
      <x:c r="M148" s="14" t="n">
        <x:v>500</x:v>
      </x:c>
      <x:c r="N148" s="14" t="n">
        <x:v>0</x:v>
      </x:c>
      <x:c r="O148" s="14" t="n">
        <x:v>5</x:v>
      </x:c>
      <x:c r="P148" s="14" t="n">
        <x:v>2</x:v>
      </x:c>
      <x:c r="Q148" t="str"/>
      <x:c r="R148" t="str"/>
      <x:c r="S148" t="str"/>
      <x:c r="T148" t="str"/>
      <x:c r="U148" t="str"/>
    </x:row>
    <x:row r="149" ht="36" customHeight="1">
      <x:c r="B149" t="str">
        <x:v>RFE-E143</x:v>
      </x:c>
      <x:c r="C149" t="str">
        <x:v>EC-03</x:v>
      </x:c>
      <x:c r="D149" t="str">
        <x:v>AM-05</x:v>
      </x:c>
      <x:c r="E149" t="str">
        <x:v>AF-2</x:v>
      </x:c>
      <x:c r="F149" t="str">
        <x:v>BA</x:v>
      </x:c>
      <x:c r="G149" t="str">
        <x:v>PTC-B</x:v>
      </x:c>
      <x:c r="H149" t="str">
        <x:v>RFP-B1</x:v>
      </x:c>
      <x:c r="I149" s="12" t="str">
        <x:v>AF-2-BA-A04</x:v>
      </x:c>
      <x:c r="J149" t="str">
        <x:v>RFE-P036</x:v>
      </x:c>
      <x:c r="K149" t="str">
        <x:v>challenge</x:v>
      </x:c>
      <x:c r="L149" s="12" t="str">
        <x:v>25% grate coverage plus ten mapped fragments</x:v>
      </x:c>
      <x:c r="M149" s="14" t="n">
        <x:v>500</x:v>
      </x:c>
      <x:c r="N149" s="14" t="n">
        <x:v>0</x:v>
      </x:c>
      <x:c r="O149" s="14" t="n">
        <x:v>5</x:v>
      </x:c>
      <x:c r="P149" s="14" t="n">
        <x:v>1</x:v>
      </x:c>
      <x:c r="Q149" t="str"/>
      <x:c r="R149" t="str"/>
      <x:c r="S149" t="str"/>
      <x:c r="T149" t="str"/>
      <x:c r="U149" t="str"/>
    </x:row>
    <x:row r="150" ht="36" customHeight="1">
      <x:c r="B150" t="str">
        <x:v>RFE-E144</x:v>
      </x:c>
      <x:c r="C150" t="str">
        <x:v>EC-03</x:v>
      </x:c>
      <x:c r="D150" t="str">
        <x:v>AM-05</x:v>
      </x:c>
      <x:c r="E150" t="str">
        <x:v>AF-2</x:v>
      </x:c>
      <x:c r="F150" t="str">
        <x:v>BA</x:v>
      </x:c>
      <x:c r="G150" t="str">
        <x:v>PTC-B</x:v>
      </x:c>
      <x:c r="H150" t="str">
        <x:v>RFP-B1</x:v>
      </x:c>
      <x:c r="I150" s="12" t="str">
        <x:v>AF-2-BA-A04</x:v>
      </x:c>
      <x:c r="J150" t="str">
        <x:v>RFE-P036</x:v>
      </x:c>
      <x:c r="K150" t="str">
        <x:v>control</x:v>
      </x:c>
      <x:c r="L150" s="12" t="str">
        <x:v>matched clean state</x:v>
      </x:c>
      <x:c r="M150" s="14" t="n">
        <x:v>500</x:v>
      </x:c>
      <x:c r="N150" s="14" t="n">
        <x:v>0</x:v>
      </x:c>
      <x:c r="O150" s="14" t="n">
        <x:v>5</x:v>
      </x:c>
      <x:c r="P150" s="14" t="n">
        <x:v>2</x:v>
      </x:c>
      <x:c r="Q150" t="str"/>
      <x:c r="R150" t="str"/>
      <x:c r="S150" t="str"/>
      <x:c r="T150" t="str"/>
      <x:c r="U150" t="str"/>
    </x:row>
    <x:row r="151" ht="36" customHeight="1">
      <x:c r="B151" t="str">
        <x:v>RFE-E145</x:v>
      </x:c>
      <x:c r="C151" t="str">
        <x:v>EC-04</x:v>
      </x:c>
      <x:c r="D151" t="str">
        <x:v>AM-07</x:v>
      </x:c>
      <x:c r="E151" t="str">
        <x:v>AF-2</x:v>
      </x:c>
      <x:c r="F151" t="str">
        <x:v>BA</x:v>
      </x:c>
      <x:c r="G151" t="str">
        <x:v>PTC-B</x:v>
      </x:c>
      <x:c r="H151" t="str">
        <x:v>RFP-B1</x:v>
      </x:c>
      <x:c r="I151" s="12" t="str">
        <x:v>AF-2-BA-A05</x:v>
      </x:c>
      <x:c r="J151" t="str">
        <x:v>RFE-P037</x:v>
      </x:c>
      <x:c r="K151" t="str">
        <x:v>control</x:v>
      </x:c>
      <x:c r="L151" s="12" t="str">
        <x:v>matched clean state</x:v>
      </x:c>
      <x:c r="M151" s="14" t="n">
        <x:v>2000</x:v>
      </x:c>
      <x:c r="N151" s="14" t="n">
        <x:v>15</x:v>
      </x:c>
      <x:c r="O151" s="14" t="n">
        <x:v>9</x:v>
      </x:c>
      <x:c r="P151" s="14" t="n">
        <x:v>1</x:v>
      </x:c>
      <x:c r="Q151" t="str"/>
      <x:c r="R151" t="str"/>
      <x:c r="S151" t="str"/>
      <x:c r="T151" t="str"/>
      <x:c r="U151" t="str"/>
    </x:row>
    <x:row r="152" ht="36" customHeight="1">
      <x:c r="B152" t="str">
        <x:v>RFE-E146</x:v>
      </x:c>
      <x:c r="C152" t="str">
        <x:v>EC-04</x:v>
      </x:c>
      <x:c r="D152" t="str">
        <x:v>AM-07</x:v>
      </x:c>
      <x:c r="E152" t="str">
        <x:v>AF-2</x:v>
      </x:c>
      <x:c r="F152" t="str">
        <x:v>BA</x:v>
      </x:c>
      <x:c r="G152" t="str">
        <x:v>PTC-B</x:v>
      </x:c>
      <x:c r="H152" t="str">
        <x:v>RFP-B1</x:v>
      </x:c>
      <x:c r="I152" s="12" t="str">
        <x:v>AF-2-BA-A05</x:v>
      </x:c>
      <x:c r="J152" t="str">
        <x:v>RFE-P037</x:v>
      </x:c>
      <x:c r="K152" t="str">
        <x:v>challenge</x:v>
      </x:c>
      <x:c r="L152" s="12" t="str">
        <x:v>25 m2 pool; igniter command at T+15 s</x:v>
      </x:c>
      <x:c r="M152" s="14" t="n">
        <x:v>2000</x:v>
      </x:c>
      <x:c r="N152" s="14" t="n">
        <x:v>15</x:v>
      </x:c>
      <x:c r="O152" s="14" t="n">
        <x:v>9</x:v>
      </x:c>
      <x:c r="P152" s="14" t="n">
        <x:v>2</x:v>
      </x:c>
      <x:c r="Q152" t="str"/>
      <x:c r="R152" t="str"/>
      <x:c r="S152" t="str"/>
      <x:c r="T152" t="str"/>
      <x:c r="U152" t="str"/>
    </x:row>
    <x:row r="153" ht="36" customHeight="1">
      <x:c r="B153" t="str">
        <x:v>RFE-E147</x:v>
      </x:c>
      <x:c r="C153" t="str">
        <x:v>EC-04</x:v>
      </x:c>
      <x:c r="D153" t="str">
        <x:v>AM-07</x:v>
      </x:c>
      <x:c r="E153" t="str">
        <x:v>AF-2</x:v>
      </x:c>
      <x:c r="F153" t="str">
        <x:v>BA</x:v>
      </x:c>
      <x:c r="G153" t="str">
        <x:v>PTC-B</x:v>
      </x:c>
      <x:c r="H153" t="str">
        <x:v>RFP-B1</x:v>
      </x:c>
      <x:c r="I153" s="12" t="str">
        <x:v>AF-2-BA-A06</x:v>
      </x:c>
      <x:c r="J153" t="str">
        <x:v>RFE-P038</x:v>
      </x:c>
      <x:c r="K153" t="str">
        <x:v>challenge</x:v>
      </x:c>
      <x:c r="L153" s="12" t="str">
        <x:v>20 min candidate water window; vault begins 50% full</x:v>
      </x:c>
      <x:c r="M153" s="14" t="n">
        <x:v>2000</x:v>
      </x:c>
      <x:c r="N153" s="14" t="n">
        <x:v>20</x:v>
      </x:c>
      <x:c r="O153" s="14" t="n">
        <x:v>9</x:v>
      </x:c>
      <x:c r="P153" s="14" t="n">
        <x:v>1</x:v>
      </x:c>
      <x:c r="Q153" t="str"/>
      <x:c r="R153" t="str"/>
      <x:c r="S153" t="str"/>
      <x:c r="T153" t="str"/>
      <x:c r="U153" t="str"/>
    </x:row>
    <x:row r="154" ht="36" customHeight="1">
      <x:c r="B154" t="str">
        <x:v>RFE-E148</x:v>
      </x:c>
      <x:c r="C154" t="str">
        <x:v>EC-04</x:v>
      </x:c>
      <x:c r="D154" t="str">
        <x:v>AM-07</x:v>
      </x:c>
      <x:c r="E154" t="str">
        <x:v>AF-2</x:v>
      </x:c>
      <x:c r="F154" t="str">
        <x:v>BA</x:v>
      </x:c>
      <x:c r="G154" t="str">
        <x:v>PTC-B</x:v>
      </x:c>
      <x:c r="H154" t="str">
        <x:v>RFP-B1</x:v>
      </x:c>
      <x:c r="I154" s="12" t="str">
        <x:v>AF-2-BA-A06</x:v>
      </x:c>
      <x:c r="J154" t="str">
        <x:v>RFE-P038</x:v>
      </x:c>
      <x:c r="K154" t="str">
        <x:v>control</x:v>
      </x:c>
      <x:c r="L154" s="12" t="str">
        <x:v>matched clean state</x:v>
      </x:c>
      <x:c r="M154" s="14" t="n">
        <x:v>2000</x:v>
      </x:c>
      <x:c r="N154" s="14" t="n">
        <x:v>20</x:v>
      </x:c>
      <x:c r="O154" s="14" t="n">
        <x:v>9</x:v>
      </x:c>
      <x:c r="P154" s="14" t="n">
        <x:v>2</x:v>
      </x:c>
      <x:c r="Q154" t="str"/>
      <x:c r="R154" t="str"/>
      <x:c r="S154" t="str"/>
      <x:c r="T154" t="str"/>
      <x:c r="U154" t="str"/>
    </x:row>
    <x:row r="155" ht="36" customHeight="1">
      <x:c r="B155" t="str">
        <x:v>RFE-E149</x:v>
      </x:c>
      <x:c r="C155" t="str">
        <x:v>EC-04</x:v>
      </x:c>
      <x:c r="D155" t="str">
        <x:v>AM-07</x:v>
      </x:c>
      <x:c r="E155" t="str">
        <x:v>AF-2</x:v>
      </x:c>
      <x:c r="F155" t="str">
        <x:v>BA</x:v>
      </x:c>
      <x:c r="G155" t="str">
        <x:v>PTC-B</x:v>
      </x:c>
      <x:c r="H155" t="str">
        <x:v>RFP-B1</x:v>
      </x:c>
      <x:c r="I155" s="12" t="str">
        <x:v>AF-2-BA-A07</x:v>
      </x:c>
      <x:c r="J155" t="str">
        <x:v>RFE-P039</x:v>
      </x:c>
      <x:c r="K155" t="str">
        <x:v>control</x:v>
      </x:c>
      <x:c r="L155" s="12" t="str">
        <x:v>matched clean state</x:v>
      </x:c>
      <x:c r="M155" s="14" t="n">
        <x:v>2000</x:v>
      </x:c>
      <x:c r="N155" s="14" t="n">
        <x:v>20</x:v>
      </x:c>
      <x:c r="O155" s="14" t="n">
        <x:v>9</x:v>
      </x:c>
      <x:c r="P155" s="14" t="n">
        <x:v>1</x:v>
      </x:c>
      <x:c r="Q155" t="str"/>
      <x:c r="R155" t="str"/>
      <x:c r="S155" t="str"/>
      <x:c r="T155" t="str"/>
      <x:c r="U155" t="str"/>
    </x:row>
    <x:row r="156" ht="36" customHeight="1">
      <x:c r="B156" t="str">
        <x:v>RFE-E150</x:v>
      </x:c>
      <x:c r="C156" t="str">
        <x:v>EC-04</x:v>
      </x:c>
      <x:c r="D156" t="str">
        <x:v>AM-07</x:v>
      </x:c>
      <x:c r="E156" t="str">
        <x:v>AF-2</x:v>
      </x:c>
      <x:c r="F156" t="str">
        <x:v>BA</x:v>
      </x:c>
      <x:c r="G156" t="str">
        <x:v>PTC-B</x:v>
      </x:c>
      <x:c r="H156" t="str">
        <x:v>RFP-B1</x:v>
      </x:c>
      <x:c r="I156" s="12" t="str">
        <x:v>AF-2-BA-A07</x:v>
      </x:c>
      <x:c r="J156" t="str">
        <x:v>RFE-P039</x:v>
      </x:c>
      <x:c r="K156" t="str">
        <x:v>challenge</x:v>
      </x:c>
      <x:c r="L156" s="12" t="str">
        <x:v>50% barrier plus 1.5 kPa wind</x:v>
      </x:c>
      <x:c r="M156" s="14" t="n">
        <x:v>2000</x:v>
      </x:c>
      <x:c r="N156" s="14" t="n">
        <x:v>20</x:v>
      </x:c>
      <x:c r="O156" s="14" t="n">
        <x:v>9</x:v>
      </x:c>
      <x:c r="P156" s="14" t="n">
        <x:v>2</x:v>
      </x:c>
      <x:c r="Q156" t="str"/>
      <x:c r="R156" t="str"/>
      <x:c r="S156" t="str"/>
      <x:c r="T156" t="str"/>
      <x:c r="U156" t="str"/>
    </x:row>
    <x:row r="157" ht="36" customHeight="1">
      <x:c r="B157" t="str">
        <x:v>RFE-E151</x:v>
      </x:c>
      <x:c r="C157" t="str">
        <x:v>EC-04</x:v>
      </x:c>
      <x:c r="D157" t="str">
        <x:v>AM-07</x:v>
      </x:c>
      <x:c r="E157" t="str">
        <x:v>AF-2</x:v>
      </x:c>
      <x:c r="F157" t="str">
        <x:v>BA</x:v>
      </x:c>
      <x:c r="G157" t="str">
        <x:v>PTC-B</x:v>
      </x:c>
      <x:c r="H157" t="str">
        <x:v>RFP-B1</x:v>
      </x:c>
      <x:c r="I157" s="12" t="str">
        <x:v>AF-2-BA-A08</x:v>
      </x:c>
      <x:c r="J157" t="str">
        <x:v>RFE-P040</x:v>
      </x:c>
      <x:c r="K157" t="str">
        <x:v>challenge</x:v>
      </x:c>
      <x:c r="L157" s="12" t="str">
        <x:v>30 min candidate window; normal energy, network and primary time denied</x:v>
      </x:c>
      <x:c r="M157" s="14" t="n">
        <x:v>2000</x:v>
      </x:c>
      <x:c r="N157" s="14" t="n">
        <x:v>30</x:v>
      </x:c>
      <x:c r="O157" s="14" t="n">
        <x:v>9</x:v>
      </x:c>
      <x:c r="P157" s="14" t="n">
        <x:v>1</x:v>
      </x:c>
      <x:c r="Q157" t="str"/>
      <x:c r="R157" t="str"/>
      <x:c r="S157" t="str"/>
      <x:c r="T157" t="str"/>
      <x:c r="U157" t="str"/>
    </x:row>
    <x:row r="158" ht="36" customHeight="1">
      <x:c r="B158" t="str">
        <x:v>RFE-E152</x:v>
      </x:c>
      <x:c r="C158" t="str">
        <x:v>EC-04</x:v>
      </x:c>
      <x:c r="D158" t="str">
        <x:v>AM-07</x:v>
      </x:c>
      <x:c r="E158" t="str">
        <x:v>AF-2</x:v>
      </x:c>
      <x:c r="F158" t="str">
        <x:v>BA</x:v>
      </x:c>
      <x:c r="G158" t="str">
        <x:v>PTC-B</x:v>
      </x:c>
      <x:c r="H158" t="str">
        <x:v>RFP-B1</x:v>
      </x:c>
      <x:c r="I158" s="12" t="str">
        <x:v>AF-2-BA-A08</x:v>
      </x:c>
      <x:c r="J158" t="str">
        <x:v>RFE-P040</x:v>
      </x:c>
      <x:c r="K158" t="str">
        <x:v>control</x:v>
      </x:c>
      <x:c r="L158" s="12" t="str">
        <x:v>matched clean state</x:v>
      </x:c>
      <x:c r="M158" s="14" t="n">
        <x:v>2000</x:v>
      </x:c>
      <x:c r="N158" s="14" t="n">
        <x:v>30</x:v>
      </x:c>
      <x:c r="O158" s="14" t="n">
        <x:v>9</x:v>
      </x:c>
      <x:c r="P158" s="14" t="n">
        <x:v>2</x:v>
      </x:c>
      <x:c r="Q158" t="str"/>
      <x:c r="R158" t="str"/>
      <x:c r="S158" t="str"/>
      <x:c r="T158" t="str"/>
      <x:c r="U158" t="str"/>
    </x:row>
    <x:row r="159" ht="36" customHeight="1">
      <x:c r="B159" t="str">
        <x:v>RFE-E153</x:v>
      </x:c>
      <x:c r="C159" t="str">
        <x:v>EC-03</x:v>
      </x:c>
      <x:c r="D159" t="str">
        <x:v>AM-05</x:v>
      </x:c>
      <x:c r="E159" t="str">
        <x:v>AF-2</x:v>
      </x:c>
      <x:c r="F159" t="str">
        <x:v>BA</x:v>
      </x:c>
      <x:c r="G159" t="str">
        <x:v>PTC-C</x:v>
      </x:c>
      <x:c r="H159" t="str">
        <x:v>RFP-C1</x:v>
      </x:c>
      <x:c r="I159" s="12" t="str">
        <x:v>AF-2-BA-A01</x:v>
      </x:c>
      <x:c r="J159" t="str">
        <x:v>RFE-P041</x:v>
      </x:c>
      <x:c r="K159" t="str">
        <x:v>challenge</x:v>
      </x:c>
      <x:c r="L159" s="12" t="str">
        <x:v>1.0% reverse local grade plus ±25 mm datum error</x:v>
      </x:c>
      <x:c r="M159" s="14" t="n">
        <x:v>500</x:v>
      </x:c>
      <x:c r="N159" s="14" t="n">
        <x:v>0</x:v>
      </x:c>
      <x:c r="O159" s="14" t="n">
        <x:v>5</x:v>
      </x:c>
      <x:c r="P159" s="14" t="n">
        <x:v>1</x:v>
      </x:c>
      <x:c r="Q159" t="str"/>
      <x:c r="R159" t="str"/>
      <x:c r="S159" t="str"/>
      <x:c r="T159" t="str"/>
      <x:c r="U159" t="str"/>
    </x:row>
    <x:row r="160" ht="36" customHeight="1">
      <x:c r="B160" t="str">
        <x:v>RFE-E154</x:v>
      </x:c>
      <x:c r="C160" t="str">
        <x:v>EC-03</x:v>
      </x:c>
      <x:c r="D160" t="str">
        <x:v>AM-05</x:v>
      </x:c>
      <x:c r="E160" t="str">
        <x:v>AF-2</x:v>
      </x:c>
      <x:c r="F160" t="str">
        <x:v>BA</x:v>
      </x:c>
      <x:c r="G160" t="str">
        <x:v>PTC-C</x:v>
      </x:c>
      <x:c r="H160" t="str">
        <x:v>RFP-C1</x:v>
      </x:c>
      <x:c r="I160" s="12" t="str">
        <x:v>AF-2-BA-A01</x:v>
      </x:c>
      <x:c r="J160" t="str">
        <x:v>RFE-P041</x:v>
      </x:c>
      <x:c r="K160" t="str">
        <x:v>control</x:v>
      </x:c>
      <x:c r="L160" s="12" t="str">
        <x:v>matched clean state</x:v>
      </x:c>
      <x:c r="M160" s="14" t="n">
        <x:v>500</x:v>
      </x:c>
      <x:c r="N160" s="14" t="n">
        <x:v>0</x:v>
      </x:c>
      <x:c r="O160" s="14" t="n">
        <x:v>5</x:v>
      </x:c>
      <x:c r="P160" s="14" t="n">
        <x:v>2</x:v>
      </x:c>
      <x:c r="Q160" t="str"/>
      <x:c r="R160" t="str"/>
      <x:c r="S160" t="str"/>
      <x:c r="T160" t="str"/>
      <x:c r="U160" t="str"/>
    </x:row>
    <x:row r="161" ht="36" customHeight="1">
      <x:c r="B161" t="str">
        <x:v>RFE-E155</x:v>
      </x:c>
      <x:c r="C161" t="str">
        <x:v>EC-03</x:v>
      </x:c>
      <x:c r="D161" t="str">
        <x:v>AM-05</x:v>
      </x:c>
      <x:c r="E161" t="str">
        <x:v>AF-2</x:v>
      </x:c>
      <x:c r="F161" t="str">
        <x:v>BA</x:v>
      </x:c>
      <x:c r="G161" t="str">
        <x:v>PTC-C</x:v>
      </x:c>
      <x:c r="H161" t="str">
        <x:v>RFP-C1</x:v>
      </x:c>
      <x:c r="I161" s="12" t="str">
        <x:v>AF-2-BA-A02</x:v>
      </x:c>
      <x:c r="J161" t="str">
        <x:v>RFE-P042</x:v>
      </x:c>
      <x:c r="K161" t="str">
        <x:v>control</x:v>
      </x:c>
      <x:c r="L161" s="12" t="str">
        <x:v>matched clean state</x:v>
      </x:c>
      <x:c r="M161" s="14" t="n">
        <x:v>500</x:v>
      </x:c>
      <x:c r="N161" s="14" t="n">
        <x:v>0</x:v>
      </x:c>
      <x:c r="O161" s="14" t="n">
        <x:v>5</x:v>
      </x:c>
      <x:c r="P161" s="14" t="n">
        <x:v>1</x:v>
      </x:c>
      <x:c r="Q161" t="str"/>
      <x:c r="R161" t="str"/>
      <x:c r="S161" t="str"/>
      <x:c r="T161" t="str"/>
      <x:c r="U161" t="str"/>
    </x:row>
    <x:row r="162" ht="36" customHeight="1">
      <x:c r="B162" t="str">
        <x:v>RFE-E156</x:v>
      </x:c>
      <x:c r="C162" t="str">
        <x:v>EC-03</x:v>
      </x:c>
      <x:c r="D162" t="str">
        <x:v>AM-05</x:v>
      </x:c>
      <x:c r="E162" t="str">
        <x:v>AF-2</x:v>
      </x:c>
      <x:c r="F162" t="str">
        <x:v>BA</x:v>
      </x:c>
      <x:c r="G162" t="str">
        <x:v>PTC-C</x:v>
      </x:c>
      <x:c r="H162" t="str">
        <x:v>RFP-C1</x:v>
      </x:c>
      <x:c r="I162" s="12" t="str">
        <x:v>AF-2-BA-A02</x:v>
      </x:c>
      <x:c r="J162" t="str">
        <x:v>RFE-P042</x:v>
      </x:c>
      <x:c r="K162" t="str">
        <x:v>challenge</x:v>
      </x:c>
      <x:c r="L162" s="12" t="str">
        <x:v>50% effective source-drain area</x:v>
      </x:c>
      <x:c r="M162" s="14" t="n">
        <x:v>500</x:v>
      </x:c>
      <x:c r="N162" s="14" t="n">
        <x:v>0</x:v>
      </x:c>
      <x:c r="O162" s="14" t="n">
        <x:v>5</x:v>
      </x:c>
      <x:c r="P162" s="14" t="n">
        <x:v>2</x:v>
      </x:c>
      <x:c r="Q162" t="str"/>
      <x:c r="R162" t="str"/>
      <x:c r="S162" t="str"/>
      <x:c r="T162" t="str"/>
      <x:c r="U162" t="str"/>
    </x:row>
    <x:row r="163" ht="36" customHeight="1">
      <x:c r="B163" t="str">
        <x:v>RFE-E157</x:v>
      </x:c>
      <x:c r="C163" t="str">
        <x:v>EC-03</x:v>
      </x:c>
      <x:c r="D163" t="str">
        <x:v>AM-05</x:v>
      </x:c>
      <x:c r="E163" t="str">
        <x:v>AF-2</x:v>
      </x:c>
      <x:c r="F163" t="str">
        <x:v>BA</x:v>
      </x:c>
      <x:c r="G163" t="str">
        <x:v>PTC-C</x:v>
      </x:c>
      <x:c r="H163" t="str">
        <x:v>RFP-C1</x:v>
      </x:c>
      <x:c r="I163" s="12" t="str">
        <x:v>AF-2-BA-A03</x:v>
      </x:c>
      <x:c r="J163" t="str">
        <x:v>RFE-P043</x:v>
      </x:c>
      <x:c r="K163" t="str">
        <x:v>challenge</x:v>
      </x:c>
      <x:c r="L163" s="12" t="str">
        <x:v>candidate sump at 50% liquid-equivalent fill</x:v>
      </x:c>
      <x:c r="M163" s="14" t="n">
        <x:v>500</x:v>
      </x:c>
      <x:c r="N163" s="14" t="n">
        <x:v>0</x:v>
      </x:c>
      <x:c r="O163" s="14" t="n">
        <x:v>5</x:v>
      </x:c>
      <x:c r="P163" s="14" t="n">
        <x:v>1</x:v>
      </x:c>
      <x:c r="Q163" t="str"/>
      <x:c r="R163" t="str"/>
      <x:c r="S163" t="str"/>
      <x:c r="T163" t="str"/>
      <x:c r="U163" t="str"/>
    </x:row>
    <x:row r="164" ht="36" customHeight="1">
      <x:c r="B164" t="str">
        <x:v>RFE-E158</x:v>
      </x:c>
      <x:c r="C164" t="str">
        <x:v>EC-03</x:v>
      </x:c>
      <x:c r="D164" t="str">
        <x:v>AM-05</x:v>
      </x:c>
      <x:c r="E164" t="str">
        <x:v>AF-2</x:v>
      </x:c>
      <x:c r="F164" t="str">
        <x:v>BA</x:v>
      </x:c>
      <x:c r="G164" t="str">
        <x:v>PTC-C</x:v>
      </x:c>
      <x:c r="H164" t="str">
        <x:v>RFP-C1</x:v>
      </x:c>
      <x:c r="I164" s="12" t="str">
        <x:v>AF-2-BA-A03</x:v>
      </x:c>
      <x:c r="J164" t="str">
        <x:v>RFE-P043</x:v>
      </x:c>
      <x:c r="K164" t="str">
        <x:v>control</x:v>
      </x:c>
      <x:c r="L164" s="12" t="str">
        <x:v>matched clean state</x:v>
      </x:c>
      <x:c r="M164" s="14" t="n">
        <x:v>500</x:v>
      </x:c>
      <x:c r="N164" s="14" t="n">
        <x:v>0</x:v>
      </x:c>
      <x:c r="O164" s="14" t="n">
        <x:v>5</x:v>
      </x:c>
      <x:c r="P164" s="14" t="n">
        <x:v>2</x:v>
      </x:c>
      <x:c r="Q164" t="str"/>
      <x:c r="R164" t="str"/>
      <x:c r="S164" t="str"/>
      <x:c r="T164" t="str"/>
      <x:c r="U164" t="str"/>
    </x:row>
    <x:row r="165" ht="36" customHeight="1">
      <x:c r="B165" t="str">
        <x:v>RFE-E159</x:v>
      </x:c>
      <x:c r="C165" t="str">
        <x:v>EC-03</x:v>
      </x:c>
      <x:c r="D165" t="str">
        <x:v>AM-05</x:v>
      </x:c>
      <x:c r="E165" t="str">
        <x:v>AF-2</x:v>
      </x:c>
      <x:c r="F165" t="str">
        <x:v>BA</x:v>
      </x:c>
      <x:c r="G165" t="str">
        <x:v>PTC-C</x:v>
      </x:c>
      <x:c r="H165" t="str">
        <x:v>RFP-C1</x:v>
      </x:c>
      <x:c r="I165" s="12" t="str">
        <x:v>AF-2-BA-A04</x:v>
      </x:c>
      <x:c r="J165" t="str">
        <x:v>RFE-P044</x:v>
      </x:c>
      <x:c r="K165" t="str">
        <x:v>control</x:v>
      </x:c>
      <x:c r="L165" s="12" t="str">
        <x:v>matched clean state</x:v>
      </x:c>
      <x:c r="M165" s="14" t="n">
        <x:v>500</x:v>
      </x:c>
      <x:c r="N165" s="14" t="n">
        <x:v>0</x:v>
      </x:c>
      <x:c r="O165" s="14" t="n">
        <x:v>5</x:v>
      </x:c>
      <x:c r="P165" s="14" t="n">
        <x:v>1</x:v>
      </x:c>
      <x:c r="Q165" t="str"/>
      <x:c r="R165" t="str"/>
      <x:c r="S165" t="str"/>
      <x:c r="T165" t="str"/>
      <x:c r="U165" t="str"/>
    </x:row>
    <x:row r="166" ht="36" customHeight="1">
      <x:c r="B166" t="str">
        <x:v>RFE-E160</x:v>
      </x:c>
      <x:c r="C166" t="str">
        <x:v>EC-03</x:v>
      </x:c>
      <x:c r="D166" t="str">
        <x:v>AM-05</x:v>
      </x:c>
      <x:c r="E166" t="str">
        <x:v>AF-2</x:v>
      </x:c>
      <x:c r="F166" t="str">
        <x:v>BA</x:v>
      </x:c>
      <x:c r="G166" t="str">
        <x:v>PTC-C</x:v>
      </x:c>
      <x:c r="H166" t="str">
        <x:v>RFP-C1</x:v>
      </x:c>
      <x:c r="I166" s="12" t="str">
        <x:v>AF-2-BA-A04</x:v>
      </x:c>
      <x:c r="J166" t="str">
        <x:v>RFE-P044</x:v>
      </x:c>
      <x:c r="K166" t="str">
        <x:v>challenge</x:v>
      </x:c>
      <x:c r="L166" s="12" t="str">
        <x:v>25% grate coverage plus ten mapped fragments</x:v>
      </x:c>
      <x:c r="M166" s="14" t="n">
        <x:v>500</x:v>
      </x:c>
      <x:c r="N166" s="14" t="n">
        <x:v>0</x:v>
      </x:c>
      <x:c r="O166" s="14" t="n">
        <x:v>5</x:v>
      </x:c>
      <x:c r="P166" s="14" t="n">
        <x:v>2</x:v>
      </x:c>
      <x:c r="Q166" t="str"/>
      <x:c r="R166" t="str"/>
      <x:c r="S166" t="str"/>
      <x:c r="T166" t="str"/>
      <x:c r="U166" t="str"/>
    </x:row>
    <x:row r="167" ht="36" customHeight="1">
      <x:c r="B167" t="str">
        <x:v>RFE-E161</x:v>
      </x:c>
      <x:c r="C167" t="str">
        <x:v>EC-04</x:v>
      </x:c>
      <x:c r="D167" t="str">
        <x:v>AM-07</x:v>
      </x:c>
      <x:c r="E167" t="str">
        <x:v>AF-2</x:v>
      </x:c>
      <x:c r="F167" t="str">
        <x:v>BA</x:v>
      </x:c>
      <x:c r="G167" t="str">
        <x:v>PTC-C</x:v>
      </x:c>
      <x:c r="H167" t="str">
        <x:v>RFP-C1</x:v>
      </x:c>
      <x:c r="I167" s="12" t="str">
        <x:v>AF-2-BA-A05</x:v>
      </x:c>
      <x:c r="J167" t="str">
        <x:v>RFE-P045</x:v>
      </x:c>
      <x:c r="K167" t="str">
        <x:v>challenge</x:v>
      </x:c>
      <x:c r="L167" s="12" t="str">
        <x:v>25 m2 pool; igniter command at T+15 s</x:v>
      </x:c>
      <x:c r="M167" s="14" t="n">
        <x:v>2000</x:v>
      </x:c>
      <x:c r="N167" s="14" t="n">
        <x:v>15</x:v>
      </x:c>
      <x:c r="O167" s="14" t="n">
        <x:v>9</x:v>
      </x:c>
      <x:c r="P167" s="14" t="n">
        <x:v>1</x:v>
      </x:c>
      <x:c r="Q167" t="str"/>
      <x:c r="R167" t="str"/>
      <x:c r="S167" t="str"/>
      <x:c r="T167" t="str"/>
      <x:c r="U167" t="str"/>
    </x:row>
    <x:row r="168" ht="36" customHeight="1">
      <x:c r="B168" t="str">
        <x:v>RFE-E162</x:v>
      </x:c>
      <x:c r="C168" t="str">
        <x:v>EC-04</x:v>
      </x:c>
      <x:c r="D168" t="str">
        <x:v>AM-07</x:v>
      </x:c>
      <x:c r="E168" t="str">
        <x:v>AF-2</x:v>
      </x:c>
      <x:c r="F168" t="str">
        <x:v>BA</x:v>
      </x:c>
      <x:c r="G168" t="str">
        <x:v>PTC-C</x:v>
      </x:c>
      <x:c r="H168" t="str">
        <x:v>RFP-C1</x:v>
      </x:c>
      <x:c r="I168" s="12" t="str">
        <x:v>AF-2-BA-A05</x:v>
      </x:c>
      <x:c r="J168" t="str">
        <x:v>RFE-P045</x:v>
      </x:c>
      <x:c r="K168" t="str">
        <x:v>control</x:v>
      </x:c>
      <x:c r="L168" s="12" t="str">
        <x:v>matched clean state</x:v>
      </x:c>
      <x:c r="M168" s="14" t="n">
        <x:v>2000</x:v>
      </x:c>
      <x:c r="N168" s="14" t="n">
        <x:v>15</x:v>
      </x:c>
      <x:c r="O168" s="14" t="n">
        <x:v>9</x:v>
      </x:c>
      <x:c r="P168" s="14" t="n">
        <x:v>2</x:v>
      </x:c>
      <x:c r="Q168" t="str"/>
      <x:c r="R168" t="str"/>
      <x:c r="S168" t="str"/>
      <x:c r="T168" t="str"/>
      <x:c r="U168" t="str"/>
    </x:row>
    <x:row r="169" ht="36" customHeight="1">
      <x:c r="B169" t="str">
        <x:v>RFE-E163</x:v>
      </x:c>
      <x:c r="C169" t="str">
        <x:v>EC-04</x:v>
      </x:c>
      <x:c r="D169" t="str">
        <x:v>AM-07</x:v>
      </x:c>
      <x:c r="E169" t="str">
        <x:v>AF-2</x:v>
      </x:c>
      <x:c r="F169" t="str">
        <x:v>BA</x:v>
      </x:c>
      <x:c r="G169" t="str">
        <x:v>PTC-C</x:v>
      </x:c>
      <x:c r="H169" t="str">
        <x:v>RFP-C1</x:v>
      </x:c>
      <x:c r="I169" s="12" t="str">
        <x:v>AF-2-BA-A06</x:v>
      </x:c>
      <x:c r="J169" t="str">
        <x:v>RFE-P046</x:v>
      </x:c>
      <x:c r="K169" t="str">
        <x:v>control</x:v>
      </x:c>
      <x:c r="L169" s="12" t="str">
        <x:v>matched clean state</x:v>
      </x:c>
      <x:c r="M169" s="14" t="n">
        <x:v>2000</x:v>
      </x:c>
      <x:c r="N169" s="14" t="n">
        <x:v>20</x:v>
      </x:c>
      <x:c r="O169" s="14" t="n">
        <x:v>9</x:v>
      </x:c>
      <x:c r="P169" s="14" t="n">
        <x:v>1</x:v>
      </x:c>
      <x:c r="Q169" t="str"/>
      <x:c r="R169" t="str"/>
      <x:c r="S169" t="str"/>
      <x:c r="T169" t="str"/>
      <x:c r="U169" t="str"/>
    </x:row>
    <x:row r="170" ht="36" customHeight="1">
      <x:c r="B170" t="str">
        <x:v>RFE-E164</x:v>
      </x:c>
      <x:c r="C170" t="str">
        <x:v>EC-04</x:v>
      </x:c>
      <x:c r="D170" t="str">
        <x:v>AM-07</x:v>
      </x:c>
      <x:c r="E170" t="str">
        <x:v>AF-2</x:v>
      </x:c>
      <x:c r="F170" t="str">
        <x:v>BA</x:v>
      </x:c>
      <x:c r="G170" t="str">
        <x:v>PTC-C</x:v>
      </x:c>
      <x:c r="H170" t="str">
        <x:v>RFP-C1</x:v>
      </x:c>
      <x:c r="I170" s="12" t="str">
        <x:v>AF-2-BA-A06</x:v>
      </x:c>
      <x:c r="J170" t="str">
        <x:v>RFE-P046</x:v>
      </x:c>
      <x:c r="K170" t="str">
        <x:v>challenge</x:v>
      </x:c>
      <x:c r="L170" s="12" t="str">
        <x:v>20 min candidate water window; vault begins 50% full</x:v>
      </x:c>
      <x:c r="M170" s="14" t="n">
        <x:v>2000</x:v>
      </x:c>
      <x:c r="N170" s="14" t="n">
        <x:v>20</x:v>
      </x:c>
      <x:c r="O170" s="14" t="n">
        <x:v>9</x:v>
      </x:c>
      <x:c r="P170" s="14" t="n">
        <x:v>2</x:v>
      </x:c>
      <x:c r="Q170" t="str"/>
      <x:c r="R170" t="str"/>
      <x:c r="S170" t="str"/>
      <x:c r="T170" t="str"/>
      <x:c r="U170" t="str"/>
    </x:row>
    <x:row r="171" ht="36" customHeight="1">
      <x:c r="B171" t="str">
        <x:v>RFE-E165</x:v>
      </x:c>
      <x:c r="C171" t="str">
        <x:v>EC-04</x:v>
      </x:c>
      <x:c r="D171" t="str">
        <x:v>AM-07</x:v>
      </x:c>
      <x:c r="E171" t="str">
        <x:v>AF-2</x:v>
      </x:c>
      <x:c r="F171" t="str">
        <x:v>BA</x:v>
      </x:c>
      <x:c r="G171" t="str">
        <x:v>PTC-C</x:v>
      </x:c>
      <x:c r="H171" t="str">
        <x:v>RFP-C1</x:v>
      </x:c>
      <x:c r="I171" s="12" t="str">
        <x:v>AF-2-BA-A07</x:v>
      </x:c>
      <x:c r="J171" t="str">
        <x:v>RFE-P047</x:v>
      </x:c>
      <x:c r="K171" t="str">
        <x:v>challenge</x:v>
      </x:c>
      <x:c r="L171" s="12" t="str">
        <x:v>50% barrier plus 1.5 kPa wind</x:v>
      </x:c>
      <x:c r="M171" s="14" t="n">
        <x:v>2000</x:v>
      </x:c>
      <x:c r="N171" s="14" t="n">
        <x:v>20</x:v>
      </x:c>
      <x:c r="O171" s="14" t="n">
        <x:v>9</x:v>
      </x:c>
      <x:c r="P171" s="14" t="n">
        <x:v>1</x:v>
      </x:c>
      <x:c r="Q171" t="str"/>
      <x:c r="R171" t="str"/>
      <x:c r="S171" t="str"/>
      <x:c r="T171" t="str"/>
      <x:c r="U171" t="str"/>
    </x:row>
    <x:row r="172" ht="36" customHeight="1">
      <x:c r="B172" t="str">
        <x:v>RFE-E166</x:v>
      </x:c>
      <x:c r="C172" t="str">
        <x:v>EC-04</x:v>
      </x:c>
      <x:c r="D172" t="str">
        <x:v>AM-07</x:v>
      </x:c>
      <x:c r="E172" t="str">
        <x:v>AF-2</x:v>
      </x:c>
      <x:c r="F172" t="str">
        <x:v>BA</x:v>
      </x:c>
      <x:c r="G172" t="str">
        <x:v>PTC-C</x:v>
      </x:c>
      <x:c r="H172" t="str">
        <x:v>RFP-C1</x:v>
      </x:c>
      <x:c r="I172" s="12" t="str">
        <x:v>AF-2-BA-A07</x:v>
      </x:c>
      <x:c r="J172" t="str">
        <x:v>RFE-P047</x:v>
      </x:c>
      <x:c r="K172" t="str">
        <x:v>control</x:v>
      </x:c>
      <x:c r="L172" s="12" t="str">
        <x:v>matched clean state</x:v>
      </x:c>
      <x:c r="M172" s="14" t="n">
        <x:v>2000</x:v>
      </x:c>
      <x:c r="N172" s="14" t="n">
        <x:v>20</x:v>
      </x:c>
      <x:c r="O172" s="14" t="n">
        <x:v>9</x:v>
      </x:c>
      <x:c r="P172" s="14" t="n">
        <x:v>2</x:v>
      </x:c>
      <x:c r="Q172" t="str"/>
      <x:c r="R172" t="str"/>
      <x:c r="S172" t="str"/>
      <x:c r="T172" t="str"/>
      <x:c r="U172" t="str"/>
    </x:row>
    <x:row r="173" ht="36" customHeight="1">
      <x:c r="B173" t="str">
        <x:v>RFE-E167</x:v>
      </x:c>
      <x:c r="C173" t="str">
        <x:v>EC-04</x:v>
      </x:c>
      <x:c r="D173" t="str">
        <x:v>AM-07</x:v>
      </x:c>
      <x:c r="E173" t="str">
        <x:v>AF-2</x:v>
      </x:c>
      <x:c r="F173" t="str">
        <x:v>BA</x:v>
      </x:c>
      <x:c r="G173" t="str">
        <x:v>PTC-C</x:v>
      </x:c>
      <x:c r="H173" t="str">
        <x:v>RFP-C1</x:v>
      </x:c>
      <x:c r="I173" s="12" t="str">
        <x:v>AF-2-BA-A08</x:v>
      </x:c>
      <x:c r="J173" t="str">
        <x:v>RFE-P048</x:v>
      </x:c>
      <x:c r="K173" t="str">
        <x:v>control</x:v>
      </x:c>
      <x:c r="L173" s="12" t="str">
        <x:v>matched clean state</x:v>
      </x:c>
      <x:c r="M173" s="14" t="n">
        <x:v>2000</x:v>
      </x:c>
      <x:c r="N173" s="14" t="n">
        <x:v>30</x:v>
      </x:c>
      <x:c r="O173" s="14" t="n">
        <x:v>9</x:v>
      </x:c>
      <x:c r="P173" s="14" t="n">
        <x:v>1</x:v>
      </x:c>
      <x:c r="Q173" t="str"/>
      <x:c r="R173" t="str"/>
      <x:c r="S173" t="str"/>
      <x:c r="T173" t="str"/>
      <x:c r="U173" t="str"/>
    </x:row>
    <x:row r="174" ht="36" customHeight="1">
      <x:c r="B174" t="str">
        <x:v>RFE-E168</x:v>
      </x:c>
      <x:c r="C174" t="str">
        <x:v>EC-04</x:v>
      </x:c>
      <x:c r="D174" t="str">
        <x:v>AM-07</x:v>
      </x:c>
      <x:c r="E174" t="str">
        <x:v>AF-2</x:v>
      </x:c>
      <x:c r="F174" t="str">
        <x:v>BA</x:v>
      </x:c>
      <x:c r="G174" t="str">
        <x:v>PTC-C</x:v>
      </x:c>
      <x:c r="H174" t="str">
        <x:v>RFP-C1</x:v>
      </x:c>
      <x:c r="I174" s="12" t="str">
        <x:v>AF-2-BA-A08</x:v>
      </x:c>
      <x:c r="J174" t="str">
        <x:v>RFE-P048</x:v>
      </x:c>
      <x:c r="K174" t="str">
        <x:v>challenge</x:v>
      </x:c>
      <x:c r="L174" s="12" t="str">
        <x:v>30 min candidate window; normal energy, network and primary time denied</x:v>
      </x:c>
      <x:c r="M174" s="14" t="n">
        <x:v>2000</x:v>
      </x:c>
      <x:c r="N174" s="14" t="n">
        <x:v>30</x:v>
      </x:c>
      <x:c r="O174" s="14" t="n">
        <x:v>9</x:v>
      </x:c>
      <x:c r="P174" s="14" t="n">
        <x:v>2</x:v>
      </x:c>
      <x:c r="Q174" t="str"/>
      <x:c r="R174" t="str"/>
      <x:c r="S174" t="str"/>
      <x:c r="T174" t="str"/>
      <x:c r="U174" t="str"/>
    </x:row>
    <x:row r="175" ht="36" customHeight="1">
      <x:c r="B175" t="str">
        <x:v>RFE-E169</x:v>
      </x:c>
      <x:c r="C175" t="str">
        <x:v>EC-03</x:v>
      </x:c>
      <x:c r="D175" t="str">
        <x:v>AM-05</x:v>
      </x:c>
      <x:c r="E175" t="str">
        <x:v>AF-2</x:v>
      </x:c>
      <x:c r="F175" t="str">
        <x:v>BB</x:v>
      </x:c>
      <x:c r="G175" t="str">
        <x:v>PTC-B</x:v>
      </x:c>
      <x:c r="H175" t="str">
        <x:v>RFP-B2</x:v>
      </x:c>
      <x:c r="I175" s="12" t="str">
        <x:v>AF-2-BB-A01</x:v>
      </x:c>
      <x:c r="J175" t="str">
        <x:v>RFE-P049</x:v>
      </x:c>
      <x:c r="K175" t="str">
        <x:v>control</x:v>
      </x:c>
      <x:c r="L175" s="12" t="str">
        <x:v>matched clean state</x:v>
      </x:c>
      <x:c r="M175" s="14" t="n">
        <x:v>500</x:v>
      </x:c>
      <x:c r="N175" s="14" t="n">
        <x:v>0</x:v>
      </x:c>
      <x:c r="O175" s="14" t="n">
        <x:v>5</x:v>
      </x:c>
      <x:c r="P175" s="14" t="n">
        <x:v>1</x:v>
      </x:c>
      <x:c r="Q175" t="str"/>
      <x:c r="R175" t="str"/>
      <x:c r="S175" t="str"/>
      <x:c r="T175" t="str"/>
      <x:c r="U175" t="str"/>
    </x:row>
    <x:row r="176" ht="36" customHeight="1">
      <x:c r="B176" t="str">
        <x:v>RFE-E170</x:v>
      </x:c>
      <x:c r="C176" t="str">
        <x:v>EC-03</x:v>
      </x:c>
      <x:c r="D176" t="str">
        <x:v>AM-05</x:v>
      </x:c>
      <x:c r="E176" t="str">
        <x:v>AF-2</x:v>
      </x:c>
      <x:c r="F176" t="str">
        <x:v>BB</x:v>
      </x:c>
      <x:c r="G176" t="str">
        <x:v>PTC-B</x:v>
      </x:c>
      <x:c r="H176" t="str">
        <x:v>RFP-B2</x:v>
      </x:c>
      <x:c r="I176" s="12" t="str">
        <x:v>AF-2-BB-A01</x:v>
      </x:c>
      <x:c r="J176" t="str">
        <x:v>RFE-P049</x:v>
      </x:c>
      <x:c r="K176" t="str">
        <x:v>challenge</x:v>
      </x:c>
      <x:c r="L176" s="12" t="str">
        <x:v>1.0% reverse local grade plus ±25 mm datum error</x:v>
      </x:c>
      <x:c r="M176" s="14" t="n">
        <x:v>500</x:v>
      </x:c>
      <x:c r="N176" s="14" t="n">
        <x:v>0</x:v>
      </x:c>
      <x:c r="O176" s="14" t="n">
        <x:v>5</x:v>
      </x:c>
      <x:c r="P176" s="14" t="n">
        <x:v>2</x:v>
      </x:c>
      <x:c r="Q176" t="str"/>
      <x:c r="R176" t="str"/>
      <x:c r="S176" t="str"/>
      <x:c r="T176" t="str"/>
      <x:c r="U176" t="str"/>
    </x:row>
    <x:row r="177" ht="36" customHeight="1">
      <x:c r="B177" t="str">
        <x:v>RFE-E171</x:v>
      </x:c>
      <x:c r="C177" t="str">
        <x:v>EC-03</x:v>
      </x:c>
      <x:c r="D177" t="str">
        <x:v>AM-05</x:v>
      </x:c>
      <x:c r="E177" t="str">
        <x:v>AF-2</x:v>
      </x:c>
      <x:c r="F177" t="str">
        <x:v>BB</x:v>
      </x:c>
      <x:c r="G177" t="str">
        <x:v>PTC-B</x:v>
      </x:c>
      <x:c r="H177" t="str">
        <x:v>RFP-B2</x:v>
      </x:c>
      <x:c r="I177" s="12" t="str">
        <x:v>AF-2-BB-A02</x:v>
      </x:c>
      <x:c r="J177" t="str">
        <x:v>RFE-P050</x:v>
      </x:c>
      <x:c r="K177" t="str">
        <x:v>challenge</x:v>
      </x:c>
      <x:c r="L177" s="12" t="str">
        <x:v>50% effective source-drain area</x:v>
      </x:c>
      <x:c r="M177" s="14" t="n">
        <x:v>500</x:v>
      </x:c>
      <x:c r="N177" s="14" t="n">
        <x:v>0</x:v>
      </x:c>
      <x:c r="O177" s="14" t="n">
        <x:v>5</x:v>
      </x:c>
      <x:c r="P177" s="14" t="n">
        <x:v>1</x:v>
      </x:c>
      <x:c r="Q177" t="str"/>
      <x:c r="R177" t="str"/>
      <x:c r="S177" t="str"/>
      <x:c r="T177" t="str"/>
      <x:c r="U177" t="str"/>
    </x:row>
    <x:row r="178" ht="36" customHeight="1">
      <x:c r="B178" t="str">
        <x:v>RFE-E172</x:v>
      </x:c>
      <x:c r="C178" t="str">
        <x:v>EC-03</x:v>
      </x:c>
      <x:c r="D178" t="str">
        <x:v>AM-05</x:v>
      </x:c>
      <x:c r="E178" t="str">
        <x:v>AF-2</x:v>
      </x:c>
      <x:c r="F178" t="str">
        <x:v>BB</x:v>
      </x:c>
      <x:c r="G178" t="str">
        <x:v>PTC-B</x:v>
      </x:c>
      <x:c r="H178" t="str">
        <x:v>RFP-B2</x:v>
      </x:c>
      <x:c r="I178" s="12" t="str">
        <x:v>AF-2-BB-A02</x:v>
      </x:c>
      <x:c r="J178" t="str">
        <x:v>RFE-P050</x:v>
      </x:c>
      <x:c r="K178" t="str">
        <x:v>control</x:v>
      </x:c>
      <x:c r="L178" s="12" t="str">
        <x:v>matched clean state</x:v>
      </x:c>
      <x:c r="M178" s="14" t="n">
        <x:v>500</x:v>
      </x:c>
      <x:c r="N178" s="14" t="n">
        <x:v>0</x:v>
      </x:c>
      <x:c r="O178" s="14" t="n">
        <x:v>5</x:v>
      </x:c>
      <x:c r="P178" s="14" t="n">
        <x:v>2</x:v>
      </x:c>
      <x:c r="Q178" t="str"/>
      <x:c r="R178" t="str"/>
      <x:c r="S178" t="str"/>
      <x:c r="T178" t="str"/>
      <x:c r="U178" t="str"/>
    </x:row>
    <x:row r="179" ht="36" customHeight="1">
      <x:c r="B179" t="str">
        <x:v>RFE-E173</x:v>
      </x:c>
      <x:c r="C179" t="str">
        <x:v>EC-03</x:v>
      </x:c>
      <x:c r="D179" t="str">
        <x:v>AM-05</x:v>
      </x:c>
      <x:c r="E179" t="str">
        <x:v>AF-2</x:v>
      </x:c>
      <x:c r="F179" t="str">
        <x:v>BB</x:v>
      </x:c>
      <x:c r="G179" t="str">
        <x:v>PTC-B</x:v>
      </x:c>
      <x:c r="H179" t="str">
        <x:v>RFP-B2</x:v>
      </x:c>
      <x:c r="I179" s="12" t="str">
        <x:v>AF-2-BB-A03</x:v>
      </x:c>
      <x:c r="J179" t="str">
        <x:v>RFE-P051</x:v>
      </x:c>
      <x:c r="K179" t="str">
        <x:v>control</x:v>
      </x:c>
      <x:c r="L179" s="12" t="str">
        <x:v>matched clean state</x:v>
      </x:c>
      <x:c r="M179" s="14" t="n">
        <x:v>500</x:v>
      </x:c>
      <x:c r="N179" s="14" t="n">
        <x:v>0</x:v>
      </x:c>
      <x:c r="O179" s="14" t="n">
        <x:v>5</x:v>
      </x:c>
      <x:c r="P179" s="14" t="n">
        <x:v>1</x:v>
      </x:c>
      <x:c r="Q179" t="str"/>
      <x:c r="R179" t="str"/>
      <x:c r="S179" t="str"/>
      <x:c r="T179" t="str"/>
      <x:c r="U179" t="str"/>
    </x:row>
    <x:row r="180" ht="36" customHeight="1">
      <x:c r="B180" t="str">
        <x:v>RFE-E174</x:v>
      </x:c>
      <x:c r="C180" t="str">
        <x:v>EC-03</x:v>
      </x:c>
      <x:c r="D180" t="str">
        <x:v>AM-05</x:v>
      </x:c>
      <x:c r="E180" t="str">
        <x:v>AF-2</x:v>
      </x:c>
      <x:c r="F180" t="str">
        <x:v>BB</x:v>
      </x:c>
      <x:c r="G180" t="str">
        <x:v>PTC-B</x:v>
      </x:c>
      <x:c r="H180" t="str">
        <x:v>RFP-B2</x:v>
      </x:c>
      <x:c r="I180" s="12" t="str">
        <x:v>AF-2-BB-A03</x:v>
      </x:c>
      <x:c r="J180" t="str">
        <x:v>RFE-P051</x:v>
      </x:c>
      <x:c r="K180" t="str">
        <x:v>challenge</x:v>
      </x:c>
      <x:c r="L180" s="12" t="str">
        <x:v>candidate sump at 50% liquid-equivalent fill</x:v>
      </x:c>
      <x:c r="M180" s="14" t="n">
        <x:v>500</x:v>
      </x:c>
      <x:c r="N180" s="14" t="n">
        <x:v>0</x:v>
      </x:c>
      <x:c r="O180" s="14" t="n">
        <x:v>5</x:v>
      </x:c>
      <x:c r="P180" s="14" t="n">
        <x:v>2</x:v>
      </x:c>
      <x:c r="Q180" t="str"/>
      <x:c r="R180" t="str"/>
      <x:c r="S180" t="str"/>
      <x:c r="T180" t="str"/>
      <x:c r="U180" t="str"/>
    </x:row>
    <x:row r="181" ht="36" customHeight="1">
      <x:c r="B181" t="str">
        <x:v>RFE-E175</x:v>
      </x:c>
      <x:c r="C181" t="str">
        <x:v>EC-03</x:v>
      </x:c>
      <x:c r="D181" t="str">
        <x:v>AM-05</x:v>
      </x:c>
      <x:c r="E181" t="str">
        <x:v>AF-2</x:v>
      </x:c>
      <x:c r="F181" t="str">
        <x:v>BB</x:v>
      </x:c>
      <x:c r="G181" t="str">
        <x:v>PTC-B</x:v>
      </x:c>
      <x:c r="H181" t="str">
        <x:v>RFP-B2</x:v>
      </x:c>
      <x:c r="I181" s="12" t="str">
        <x:v>AF-2-BB-A04</x:v>
      </x:c>
      <x:c r="J181" t="str">
        <x:v>RFE-P052</x:v>
      </x:c>
      <x:c r="K181" t="str">
        <x:v>challenge</x:v>
      </x:c>
      <x:c r="L181" s="12" t="str">
        <x:v>25% grate coverage plus ten mapped fragments</x:v>
      </x:c>
      <x:c r="M181" s="14" t="n">
        <x:v>500</x:v>
      </x:c>
      <x:c r="N181" s="14" t="n">
        <x:v>0</x:v>
      </x:c>
      <x:c r="O181" s="14" t="n">
        <x:v>5</x:v>
      </x:c>
      <x:c r="P181" s="14" t="n">
        <x:v>1</x:v>
      </x:c>
      <x:c r="Q181" t="str"/>
      <x:c r="R181" t="str"/>
      <x:c r="S181" t="str"/>
      <x:c r="T181" t="str"/>
      <x:c r="U181" t="str"/>
    </x:row>
    <x:row r="182" ht="36" customHeight="1">
      <x:c r="B182" t="str">
        <x:v>RFE-E176</x:v>
      </x:c>
      <x:c r="C182" t="str">
        <x:v>EC-03</x:v>
      </x:c>
      <x:c r="D182" t="str">
        <x:v>AM-05</x:v>
      </x:c>
      <x:c r="E182" t="str">
        <x:v>AF-2</x:v>
      </x:c>
      <x:c r="F182" t="str">
        <x:v>BB</x:v>
      </x:c>
      <x:c r="G182" t="str">
        <x:v>PTC-B</x:v>
      </x:c>
      <x:c r="H182" t="str">
        <x:v>RFP-B2</x:v>
      </x:c>
      <x:c r="I182" s="12" t="str">
        <x:v>AF-2-BB-A04</x:v>
      </x:c>
      <x:c r="J182" t="str">
        <x:v>RFE-P052</x:v>
      </x:c>
      <x:c r="K182" t="str">
        <x:v>control</x:v>
      </x:c>
      <x:c r="L182" s="12" t="str">
        <x:v>matched clean state</x:v>
      </x:c>
      <x:c r="M182" s="14" t="n">
        <x:v>500</x:v>
      </x:c>
      <x:c r="N182" s="14" t="n">
        <x:v>0</x:v>
      </x:c>
      <x:c r="O182" s="14" t="n">
        <x:v>5</x:v>
      </x:c>
      <x:c r="P182" s="14" t="n">
        <x:v>2</x:v>
      </x:c>
      <x:c r="Q182" t="str"/>
      <x:c r="R182" t="str"/>
      <x:c r="S182" t="str"/>
      <x:c r="T182" t="str"/>
      <x:c r="U182" t="str"/>
    </x:row>
    <x:row r="183" ht="36" customHeight="1">
      <x:c r="B183" t="str">
        <x:v>RFE-E177</x:v>
      </x:c>
      <x:c r="C183" t="str">
        <x:v>EC-04</x:v>
      </x:c>
      <x:c r="D183" t="str">
        <x:v>AM-07</x:v>
      </x:c>
      <x:c r="E183" t="str">
        <x:v>AF-2</x:v>
      </x:c>
      <x:c r="F183" t="str">
        <x:v>BB</x:v>
      </x:c>
      <x:c r="G183" t="str">
        <x:v>PTC-B</x:v>
      </x:c>
      <x:c r="H183" t="str">
        <x:v>RFP-B2</x:v>
      </x:c>
      <x:c r="I183" s="12" t="str">
        <x:v>AF-2-BB-A05</x:v>
      </x:c>
      <x:c r="J183" t="str">
        <x:v>RFE-P053</x:v>
      </x:c>
      <x:c r="K183" t="str">
        <x:v>control</x:v>
      </x:c>
      <x:c r="L183" s="12" t="str">
        <x:v>matched clean state</x:v>
      </x:c>
      <x:c r="M183" s="14" t="n">
        <x:v>2000</x:v>
      </x:c>
      <x:c r="N183" s="14" t="n">
        <x:v>15</x:v>
      </x:c>
      <x:c r="O183" s="14" t="n">
        <x:v>9</x:v>
      </x:c>
      <x:c r="P183" s="14" t="n">
        <x:v>1</x:v>
      </x:c>
      <x:c r="Q183" t="str"/>
      <x:c r="R183" t="str"/>
      <x:c r="S183" t="str"/>
      <x:c r="T183" t="str"/>
      <x:c r="U183" t="str"/>
    </x:row>
    <x:row r="184" ht="36" customHeight="1">
      <x:c r="B184" t="str">
        <x:v>RFE-E178</x:v>
      </x:c>
      <x:c r="C184" t="str">
        <x:v>EC-04</x:v>
      </x:c>
      <x:c r="D184" t="str">
        <x:v>AM-07</x:v>
      </x:c>
      <x:c r="E184" t="str">
        <x:v>AF-2</x:v>
      </x:c>
      <x:c r="F184" t="str">
        <x:v>BB</x:v>
      </x:c>
      <x:c r="G184" t="str">
        <x:v>PTC-B</x:v>
      </x:c>
      <x:c r="H184" t="str">
        <x:v>RFP-B2</x:v>
      </x:c>
      <x:c r="I184" s="12" t="str">
        <x:v>AF-2-BB-A05</x:v>
      </x:c>
      <x:c r="J184" t="str">
        <x:v>RFE-P053</x:v>
      </x:c>
      <x:c r="K184" t="str">
        <x:v>challenge</x:v>
      </x:c>
      <x:c r="L184" s="12" t="str">
        <x:v>25 m2 pool; igniter command at T+15 s</x:v>
      </x:c>
      <x:c r="M184" s="14" t="n">
        <x:v>2000</x:v>
      </x:c>
      <x:c r="N184" s="14" t="n">
        <x:v>15</x:v>
      </x:c>
      <x:c r="O184" s="14" t="n">
        <x:v>9</x:v>
      </x:c>
      <x:c r="P184" s="14" t="n">
        <x:v>2</x:v>
      </x:c>
      <x:c r="Q184" t="str"/>
      <x:c r="R184" t="str"/>
      <x:c r="S184" t="str"/>
      <x:c r="T184" t="str"/>
      <x:c r="U184" t="str"/>
    </x:row>
    <x:row r="185" ht="36" customHeight="1">
      <x:c r="B185" t="str">
        <x:v>RFE-E179</x:v>
      </x:c>
      <x:c r="C185" t="str">
        <x:v>EC-04</x:v>
      </x:c>
      <x:c r="D185" t="str">
        <x:v>AM-07</x:v>
      </x:c>
      <x:c r="E185" t="str">
        <x:v>AF-2</x:v>
      </x:c>
      <x:c r="F185" t="str">
        <x:v>BB</x:v>
      </x:c>
      <x:c r="G185" t="str">
        <x:v>PTC-B</x:v>
      </x:c>
      <x:c r="H185" t="str">
        <x:v>RFP-B2</x:v>
      </x:c>
      <x:c r="I185" s="12" t="str">
        <x:v>AF-2-BB-A06</x:v>
      </x:c>
      <x:c r="J185" t="str">
        <x:v>RFE-P054</x:v>
      </x:c>
      <x:c r="K185" t="str">
        <x:v>challenge</x:v>
      </x:c>
      <x:c r="L185" s="12" t="str">
        <x:v>20 min candidate water window; vault begins 50% full</x:v>
      </x:c>
      <x:c r="M185" s="14" t="n">
        <x:v>2000</x:v>
      </x:c>
      <x:c r="N185" s="14" t="n">
        <x:v>20</x:v>
      </x:c>
      <x:c r="O185" s="14" t="n">
        <x:v>9</x:v>
      </x:c>
      <x:c r="P185" s="14" t="n">
        <x:v>1</x:v>
      </x:c>
      <x:c r="Q185" t="str"/>
      <x:c r="R185" t="str"/>
      <x:c r="S185" t="str"/>
      <x:c r="T185" t="str"/>
      <x:c r="U185" t="str"/>
    </x:row>
    <x:row r="186" ht="36" customHeight="1">
      <x:c r="B186" t="str">
        <x:v>RFE-E180</x:v>
      </x:c>
      <x:c r="C186" t="str">
        <x:v>EC-04</x:v>
      </x:c>
      <x:c r="D186" t="str">
        <x:v>AM-07</x:v>
      </x:c>
      <x:c r="E186" t="str">
        <x:v>AF-2</x:v>
      </x:c>
      <x:c r="F186" t="str">
        <x:v>BB</x:v>
      </x:c>
      <x:c r="G186" t="str">
        <x:v>PTC-B</x:v>
      </x:c>
      <x:c r="H186" t="str">
        <x:v>RFP-B2</x:v>
      </x:c>
      <x:c r="I186" s="12" t="str">
        <x:v>AF-2-BB-A06</x:v>
      </x:c>
      <x:c r="J186" t="str">
        <x:v>RFE-P054</x:v>
      </x:c>
      <x:c r="K186" t="str">
        <x:v>control</x:v>
      </x:c>
      <x:c r="L186" s="12" t="str">
        <x:v>matched clean state</x:v>
      </x:c>
      <x:c r="M186" s="14" t="n">
        <x:v>2000</x:v>
      </x:c>
      <x:c r="N186" s="14" t="n">
        <x:v>20</x:v>
      </x:c>
      <x:c r="O186" s="14" t="n">
        <x:v>9</x:v>
      </x:c>
      <x:c r="P186" s="14" t="n">
        <x:v>2</x:v>
      </x:c>
      <x:c r="Q186" t="str"/>
      <x:c r="R186" t="str"/>
      <x:c r="S186" t="str"/>
      <x:c r="T186" t="str"/>
      <x:c r="U186" t="str"/>
    </x:row>
    <x:row r="187" ht="36" customHeight="1">
      <x:c r="B187" t="str">
        <x:v>RFE-E181</x:v>
      </x:c>
      <x:c r="C187" t="str">
        <x:v>EC-04</x:v>
      </x:c>
      <x:c r="D187" t="str">
        <x:v>AM-07</x:v>
      </x:c>
      <x:c r="E187" t="str">
        <x:v>AF-2</x:v>
      </x:c>
      <x:c r="F187" t="str">
        <x:v>BB</x:v>
      </x:c>
      <x:c r="G187" t="str">
        <x:v>PTC-B</x:v>
      </x:c>
      <x:c r="H187" t="str">
        <x:v>RFP-B2</x:v>
      </x:c>
      <x:c r="I187" s="12" t="str">
        <x:v>AF-2-BB-A07</x:v>
      </x:c>
      <x:c r="J187" t="str">
        <x:v>RFE-P055</x:v>
      </x:c>
      <x:c r="K187" t="str">
        <x:v>control</x:v>
      </x:c>
      <x:c r="L187" s="12" t="str">
        <x:v>matched clean state</x:v>
      </x:c>
      <x:c r="M187" s="14" t="n">
        <x:v>2000</x:v>
      </x:c>
      <x:c r="N187" s="14" t="n">
        <x:v>20</x:v>
      </x:c>
      <x:c r="O187" s="14" t="n">
        <x:v>9</x:v>
      </x:c>
      <x:c r="P187" s="14" t="n">
        <x:v>1</x:v>
      </x:c>
      <x:c r="Q187" t="str"/>
      <x:c r="R187" t="str"/>
      <x:c r="S187" t="str"/>
      <x:c r="T187" t="str"/>
      <x:c r="U187" t="str"/>
    </x:row>
    <x:row r="188" ht="36" customHeight="1">
      <x:c r="B188" t="str">
        <x:v>RFE-E182</x:v>
      </x:c>
      <x:c r="C188" t="str">
        <x:v>EC-04</x:v>
      </x:c>
      <x:c r="D188" t="str">
        <x:v>AM-07</x:v>
      </x:c>
      <x:c r="E188" t="str">
        <x:v>AF-2</x:v>
      </x:c>
      <x:c r="F188" t="str">
        <x:v>BB</x:v>
      </x:c>
      <x:c r="G188" t="str">
        <x:v>PTC-B</x:v>
      </x:c>
      <x:c r="H188" t="str">
        <x:v>RFP-B2</x:v>
      </x:c>
      <x:c r="I188" s="12" t="str">
        <x:v>AF-2-BB-A07</x:v>
      </x:c>
      <x:c r="J188" t="str">
        <x:v>RFE-P055</x:v>
      </x:c>
      <x:c r="K188" t="str">
        <x:v>challenge</x:v>
      </x:c>
      <x:c r="L188" s="12" t="str">
        <x:v>50% barrier plus 1.5 kPa wind</x:v>
      </x:c>
      <x:c r="M188" s="14" t="n">
        <x:v>2000</x:v>
      </x:c>
      <x:c r="N188" s="14" t="n">
        <x:v>20</x:v>
      </x:c>
      <x:c r="O188" s="14" t="n">
        <x:v>9</x:v>
      </x:c>
      <x:c r="P188" s="14" t="n">
        <x:v>2</x:v>
      </x:c>
      <x:c r="Q188" t="str"/>
      <x:c r="R188" t="str"/>
      <x:c r="S188" t="str"/>
      <x:c r="T188" t="str"/>
      <x:c r="U188" t="str"/>
    </x:row>
    <x:row r="189" ht="36" customHeight="1">
      <x:c r="B189" t="str">
        <x:v>RFE-E183</x:v>
      </x:c>
      <x:c r="C189" t="str">
        <x:v>EC-04</x:v>
      </x:c>
      <x:c r="D189" t="str">
        <x:v>AM-07</x:v>
      </x:c>
      <x:c r="E189" t="str">
        <x:v>AF-2</x:v>
      </x:c>
      <x:c r="F189" t="str">
        <x:v>BB</x:v>
      </x:c>
      <x:c r="G189" t="str">
        <x:v>PTC-B</x:v>
      </x:c>
      <x:c r="H189" t="str">
        <x:v>RFP-B2</x:v>
      </x:c>
      <x:c r="I189" s="12" t="str">
        <x:v>AF-2-BB-A08</x:v>
      </x:c>
      <x:c r="J189" t="str">
        <x:v>RFE-P056</x:v>
      </x:c>
      <x:c r="K189" t="str">
        <x:v>challenge</x:v>
      </x:c>
      <x:c r="L189" s="12" t="str">
        <x:v>30 min candidate window; normal energy, network and primary time denied</x:v>
      </x:c>
      <x:c r="M189" s="14" t="n">
        <x:v>2000</x:v>
      </x:c>
      <x:c r="N189" s="14" t="n">
        <x:v>30</x:v>
      </x:c>
      <x:c r="O189" s="14" t="n">
        <x:v>9</x:v>
      </x:c>
      <x:c r="P189" s="14" t="n">
        <x:v>1</x:v>
      </x:c>
      <x:c r="Q189" t="str"/>
      <x:c r="R189" t="str"/>
      <x:c r="S189" t="str"/>
      <x:c r="T189" t="str"/>
      <x:c r="U189" t="str"/>
    </x:row>
    <x:row r="190" ht="36" customHeight="1">
      <x:c r="B190" t="str">
        <x:v>RFE-E184</x:v>
      </x:c>
      <x:c r="C190" t="str">
        <x:v>EC-04</x:v>
      </x:c>
      <x:c r="D190" t="str">
        <x:v>AM-07</x:v>
      </x:c>
      <x:c r="E190" t="str">
        <x:v>AF-2</x:v>
      </x:c>
      <x:c r="F190" t="str">
        <x:v>BB</x:v>
      </x:c>
      <x:c r="G190" t="str">
        <x:v>PTC-B</x:v>
      </x:c>
      <x:c r="H190" t="str">
        <x:v>RFP-B2</x:v>
      </x:c>
      <x:c r="I190" s="12" t="str">
        <x:v>AF-2-BB-A08</x:v>
      </x:c>
      <x:c r="J190" t="str">
        <x:v>RFE-P056</x:v>
      </x:c>
      <x:c r="K190" t="str">
        <x:v>control</x:v>
      </x:c>
      <x:c r="L190" s="12" t="str">
        <x:v>matched clean state</x:v>
      </x:c>
      <x:c r="M190" s="14" t="n">
        <x:v>2000</x:v>
      </x:c>
      <x:c r="N190" s="14" t="n">
        <x:v>30</x:v>
      </x:c>
      <x:c r="O190" s="14" t="n">
        <x:v>9</x:v>
      </x:c>
      <x:c r="P190" s="14" t="n">
        <x:v>2</x:v>
      </x:c>
      <x:c r="Q190" t="str"/>
      <x:c r="R190" t="str"/>
      <x:c r="S190" t="str"/>
      <x:c r="T190" t="str"/>
      <x:c r="U190" t="str"/>
    </x:row>
    <x:row r="191" ht="36" customHeight="1">
      <x:c r="B191" t="str">
        <x:v>RFE-E185</x:v>
      </x:c>
      <x:c r="C191" t="str">
        <x:v>EC-03</x:v>
      </x:c>
      <x:c r="D191" t="str">
        <x:v>AM-05</x:v>
      </x:c>
      <x:c r="E191" t="str">
        <x:v>AF-2</x:v>
      </x:c>
      <x:c r="F191" t="str">
        <x:v>BB</x:v>
      </x:c>
      <x:c r="G191" t="str">
        <x:v>PTC-C</x:v>
      </x:c>
      <x:c r="H191" t="str">
        <x:v>RFP-C2</x:v>
      </x:c>
      <x:c r="I191" s="12" t="str">
        <x:v>AF-2-BB-A01</x:v>
      </x:c>
      <x:c r="J191" t="str">
        <x:v>RFE-P057</x:v>
      </x:c>
      <x:c r="K191" t="str">
        <x:v>challenge</x:v>
      </x:c>
      <x:c r="L191" s="12" t="str">
        <x:v>1.0% reverse local grade plus ±25 mm datum error</x:v>
      </x:c>
      <x:c r="M191" s="14" t="n">
        <x:v>500</x:v>
      </x:c>
      <x:c r="N191" s="14" t="n">
        <x:v>0</x:v>
      </x:c>
      <x:c r="O191" s="14" t="n">
        <x:v>5</x:v>
      </x:c>
      <x:c r="P191" s="14" t="n">
        <x:v>1</x:v>
      </x:c>
      <x:c r="Q191" t="str"/>
      <x:c r="R191" t="str"/>
      <x:c r="S191" t="str"/>
      <x:c r="T191" t="str"/>
      <x:c r="U191" t="str"/>
    </x:row>
    <x:row r="192" ht="36" customHeight="1">
      <x:c r="B192" t="str">
        <x:v>RFE-E186</x:v>
      </x:c>
      <x:c r="C192" t="str">
        <x:v>EC-03</x:v>
      </x:c>
      <x:c r="D192" t="str">
        <x:v>AM-05</x:v>
      </x:c>
      <x:c r="E192" t="str">
        <x:v>AF-2</x:v>
      </x:c>
      <x:c r="F192" t="str">
        <x:v>BB</x:v>
      </x:c>
      <x:c r="G192" t="str">
        <x:v>PTC-C</x:v>
      </x:c>
      <x:c r="H192" t="str">
        <x:v>RFP-C2</x:v>
      </x:c>
      <x:c r="I192" s="12" t="str">
        <x:v>AF-2-BB-A01</x:v>
      </x:c>
      <x:c r="J192" t="str">
        <x:v>RFE-P057</x:v>
      </x:c>
      <x:c r="K192" t="str">
        <x:v>control</x:v>
      </x:c>
      <x:c r="L192" s="12" t="str">
        <x:v>matched clean state</x:v>
      </x:c>
      <x:c r="M192" s="14" t="n">
        <x:v>500</x:v>
      </x:c>
      <x:c r="N192" s="14" t="n">
        <x:v>0</x:v>
      </x:c>
      <x:c r="O192" s="14" t="n">
        <x:v>5</x:v>
      </x:c>
      <x:c r="P192" s="14" t="n">
        <x:v>2</x:v>
      </x:c>
      <x:c r="Q192" t="str"/>
      <x:c r="R192" t="str"/>
      <x:c r="S192" t="str"/>
      <x:c r="T192" t="str"/>
      <x:c r="U192" t="str"/>
    </x:row>
    <x:row r="193" ht="36" customHeight="1">
      <x:c r="B193" t="str">
        <x:v>RFE-E187</x:v>
      </x:c>
      <x:c r="C193" t="str">
        <x:v>EC-03</x:v>
      </x:c>
      <x:c r="D193" t="str">
        <x:v>AM-05</x:v>
      </x:c>
      <x:c r="E193" t="str">
        <x:v>AF-2</x:v>
      </x:c>
      <x:c r="F193" t="str">
        <x:v>BB</x:v>
      </x:c>
      <x:c r="G193" t="str">
        <x:v>PTC-C</x:v>
      </x:c>
      <x:c r="H193" t="str">
        <x:v>RFP-C2</x:v>
      </x:c>
      <x:c r="I193" s="12" t="str">
        <x:v>AF-2-BB-A02</x:v>
      </x:c>
      <x:c r="J193" t="str">
        <x:v>RFE-P058</x:v>
      </x:c>
      <x:c r="K193" t="str">
        <x:v>control</x:v>
      </x:c>
      <x:c r="L193" s="12" t="str">
        <x:v>matched clean state</x:v>
      </x:c>
      <x:c r="M193" s="14" t="n">
        <x:v>500</x:v>
      </x:c>
      <x:c r="N193" s="14" t="n">
        <x:v>0</x:v>
      </x:c>
      <x:c r="O193" s="14" t="n">
        <x:v>5</x:v>
      </x:c>
      <x:c r="P193" s="14" t="n">
        <x:v>1</x:v>
      </x:c>
      <x:c r="Q193" t="str"/>
      <x:c r="R193" t="str"/>
      <x:c r="S193" t="str"/>
      <x:c r="T193" t="str"/>
      <x:c r="U193" t="str"/>
    </x:row>
    <x:row r="194" ht="36" customHeight="1">
      <x:c r="B194" t="str">
        <x:v>RFE-E188</x:v>
      </x:c>
      <x:c r="C194" t="str">
        <x:v>EC-03</x:v>
      </x:c>
      <x:c r="D194" t="str">
        <x:v>AM-05</x:v>
      </x:c>
      <x:c r="E194" t="str">
        <x:v>AF-2</x:v>
      </x:c>
      <x:c r="F194" t="str">
        <x:v>BB</x:v>
      </x:c>
      <x:c r="G194" t="str">
        <x:v>PTC-C</x:v>
      </x:c>
      <x:c r="H194" t="str">
        <x:v>RFP-C2</x:v>
      </x:c>
      <x:c r="I194" s="12" t="str">
        <x:v>AF-2-BB-A02</x:v>
      </x:c>
      <x:c r="J194" t="str">
        <x:v>RFE-P058</x:v>
      </x:c>
      <x:c r="K194" t="str">
        <x:v>challenge</x:v>
      </x:c>
      <x:c r="L194" s="12" t="str">
        <x:v>50% effective source-drain area</x:v>
      </x:c>
      <x:c r="M194" s="14" t="n">
        <x:v>500</x:v>
      </x:c>
      <x:c r="N194" s="14" t="n">
        <x:v>0</x:v>
      </x:c>
      <x:c r="O194" s="14" t="n">
        <x:v>5</x:v>
      </x:c>
      <x:c r="P194" s="14" t="n">
        <x:v>2</x:v>
      </x:c>
      <x:c r="Q194" t="str"/>
      <x:c r="R194" t="str"/>
      <x:c r="S194" t="str"/>
      <x:c r="T194" t="str"/>
      <x:c r="U194" t="str"/>
    </x:row>
    <x:row r="195" ht="36" customHeight="1">
      <x:c r="B195" t="str">
        <x:v>RFE-E189</x:v>
      </x:c>
      <x:c r="C195" t="str">
        <x:v>EC-03</x:v>
      </x:c>
      <x:c r="D195" t="str">
        <x:v>AM-05</x:v>
      </x:c>
      <x:c r="E195" t="str">
        <x:v>AF-2</x:v>
      </x:c>
      <x:c r="F195" t="str">
        <x:v>BB</x:v>
      </x:c>
      <x:c r="G195" t="str">
        <x:v>PTC-C</x:v>
      </x:c>
      <x:c r="H195" t="str">
        <x:v>RFP-C2</x:v>
      </x:c>
      <x:c r="I195" s="12" t="str">
        <x:v>AF-2-BB-A03</x:v>
      </x:c>
      <x:c r="J195" t="str">
        <x:v>RFE-P059</x:v>
      </x:c>
      <x:c r="K195" t="str">
        <x:v>challenge</x:v>
      </x:c>
      <x:c r="L195" s="12" t="str">
        <x:v>candidate sump at 50% liquid-equivalent fill</x:v>
      </x:c>
      <x:c r="M195" s="14" t="n">
        <x:v>500</x:v>
      </x:c>
      <x:c r="N195" s="14" t="n">
        <x:v>0</x:v>
      </x:c>
      <x:c r="O195" s="14" t="n">
        <x:v>5</x:v>
      </x:c>
      <x:c r="P195" s="14" t="n">
        <x:v>1</x:v>
      </x:c>
      <x:c r="Q195" t="str"/>
      <x:c r="R195" t="str"/>
      <x:c r="S195" t="str"/>
      <x:c r="T195" t="str"/>
      <x:c r="U195" t="str"/>
    </x:row>
    <x:row r="196" ht="36" customHeight="1">
      <x:c r="B196" t="str">
        <x:v>RFE-E190</x:v>
      </x:c>
      <x:c r="C196" t="str">
        <x:v>EC-03</x:v>
      </x:c>
      <x:c r="D196" t="str">
        <x:v>AM-05</x:v>
      </x:c>
      <x:c r="E196" t="str">
        <x:v>AF-2</x:v>
      </x:c>
      <x:c r="F196" t="str">
        <x:v>BB</x:v>
      </x:c>
      <x:c r="G196" t="str">
        <x:v>PTC-C</x:v>
      </x:c>
      <x:c r="H196" t="str">
        <x:v>RFP-C2</x:v>
      </x:c>
      <x:c r="I196" s="12" t="str">
        <x:v>AF-2-BB-A03</x:v>
      </x:c>
      <x:c r="J196" t="str">
        <x:v>RFE-P059</x:v>
      </x:c>
      <x:c r="K196" t="str">
        <x:v>control</x:v>
      </x:c>
      <x:c r="L196" s="12" t="str">
        <x:v>matched clean state</x:v>
      </x:c>
      <x:c r="M196" s="14" t="n">
        <x:v>500</x:v>
      </x:c>
      <x:c r="N196" s="14" t="n">
        <x:v>0</x:v>
      </x:c>
      <x:c r="O196" s="14" t="n">
        <x:v>5</x:v>
      </x:c>
      <x:c r="P196" s="14" t="n">
        <x:v>2</x:v>
      </x:c>
      <x:c r="Q196" t="str"/>
      <x:c r="R196" t="str"/>
      <x:c r="S196" t="str"/>
      <x:c r="T196" t="str"/>
      <x:c r="U196" t="str"/>
    </x:row>
    <x:row r="197" ht="36" customHeight="1">
      <x:c r="B197" t="str">
        <x:v>RFE-E191</x:v>
      </x:c>
      <x:c r="C197" t="str">
        <x:v>EC-03</x:v>
      </x:c>
      <x:c r="D197" t="str">
        <x:v>AM-05</x:v>
      </x:c>
      <x:c r="E197" t="str">
        <x:v>AF-2</x:v>
      </x:c>
      <x:c r="F197" t="str">
        <x:v>BB</x:v>
      </x:c>
      <x:c r="G197" t="str">
        <x:v>PTC-C</x:v>
      </x:c>
      <x:c r="H197" t="str">
        <x:v>RFP-C2</x:v>
      </x:c>
      <x:c r="I197" s="12" t="str">
        <x:v>AF-2-BB-A04</x:v>
      </x:c>
      <x:c r="J197" t="str">
        <x:v>RFE-P060</x:v>
      </x:c>
      <x:c r="K197" t="str">
        <x:v>control</x:v>
      </x:c>
      <x:c r="L197" s="12" t="str">
        <x:v>matched clean state</x:v>
      </x:c>
      <x:c r="M197" s="14" t="n">
        <x:v>500</x:v>
      </x:c>
      <x:c r="N197" s="14" t="n">
        <x:v>0</x:v>
      </x:c>
      <x:c r="O197" s="14" t="n">
        <x:v>5</x:v>
      </x:c>
      <x:c r="P197" s="14" t="n">
        <x:v>1</x:v>
      </x:c>
      <x:c r="Q197" t="str"/>
      <x:c r="R197" t="str"/>
      <x:c r="S197" t="str"/>
      <x:c r="T197" t="str"/>
      <x:c r="U197" t="str"/>
    </x:row>
    <x:row r="198" ht="36" customHeight="1">
      <x:c r="B198" t="str">
        <x:v>RFE-E192</x:v>
      </x:c>
      <x:c r="C198" t="str">
        <x:v>EC-03</x:v>
      </x:c>
      <x:c r="D198" t="str">
        <x:v>AM-05</x:v>
      </x:c>
      <x:c r="E198" t="str">
        <x:v>AF-2</x:v>
      </x:c>
      <x:c r="F198" t="str">
        <x:v>BB</x:v>
      </x:c>
      <x:c r="G198" t="str">
        <x:v>PTC-C</x:v>
      </x:c>
      <x:c r="H198" t="str">
        <x:v>RFP-C2</x:v>
      </x:c>
      <x:c r="I198" s="12" t="str">
        <x:v>AF-2-BB-A04</x:v>
      </x:c>
      <x:c r="J198" t="str">
        <x:v>RFE-P060</x:v>
      </x:c>
      <x:c r="K198" t="str">
        <x:v>challenge</x:v>
      </x:c>
      <x:c r="L198" s="12" t="str">
        <x:v>25% grate coverage plus ten mapped fragments</x:v>
      </x:c>
      <x:c r="M198" s="14" t="n">
        <x:v>500</x:v>
      </x:c>
      <x:c r="N198" s="14" t="n">
        <x:v>0</x:v>
      </x:c>
      <x:c r="O198" s="14" t="n">
        <x:v>5</x:v>
      </x:c>
      <x:c r="P198" s="14" t="n">
        <x:v>2</x:v>
      </x:c>
      <x:c r="Q198" t="str"/>
      <x:c r="R198" t="str"/>
      <x:c r="S198" t="str"/>
      <x:c r="T198" t="str"/>
      <x:c r="U198" t="str"/>
    </x:row>
    <x:row r="199" ht="36" customHeight="1">
      <x:c r="B199" t="str">
        <x:v>RFE-E193</x:v>
      </x:c>
      <x:c r="C199" t="str">
        <x:v>EC-04</x:v>
      </x:c>
      <x:c r="D199" t="str">
        <x:v>AM-07</x:v>
      </x:c>
      <x:c r="E199" t="str">
        <x:v>AF-2</x:v>
      </x:c>
      <x:c r="F199" t="str">
        <x:v>BB</x:v>
      </x:c>
      <x:c r="G199" t="str">
        <x:v>PTC-C</x:v>
      </x:c>
      <x:c r="H199" t="str">
        <x:v>RFP-C2</x:v>
      </x:c>
      <x:c r="I199" s="12" t="str">
        <x:v>AF-2-BB-A05</x:v>
      </x:c>
      <x:c r="J199" t="str">
        <x:v>RFE-P061</x:v>
      </x:c>
      <x:c r="K199" t="str">
        <x:v>challenge</x:v>
      </x:c>
      <x:c r="L199" s="12" t="str">
        <x:v>25 m2 pool; igniter command at T+15 s</x:v>
      </x:c>
      <x:c r="M199" s="14" t="n">
        <x:v>2000</x:v>
      </x:c>
      <x:c r="N199" s="14" t="n">
        <x:v>15</x:v>
      </x:c>
      <x:c r="O199" s="14" t="n">
        <x:v>9</x:v>
      </x:c>
      <x:c r="P199" s="14" t="n">
        <x:v>1</x:v>
      </x:c>
      <x:c r="Q199" t="str"/>
      <x:c r="R199" t="str"/>
      <x:c r="S199" t="str"/>
      <x:c r="T199" t="str"/>
      <x:c r="U199" t="str"/>
    </x:row>
    <x:row r="200" ht="36" customHeight="1">
      <x:c r="B200" t="str">
        <x:v>RFE-E194</x:v>
      </x:c>
      <x:c r="C200" t="str">
        <x:v>EC-04</x:v>
      </x:c>
      <x:c r="D200" t="str">
        <x:v>AM-07</x:v>
      </x:c>
      <x:c r="E200" t="str">
        <x:v>AF-2</x:v>
      </x:c>
      <x:c r="F200" t="str">
        <x:v>BB</x:v>
      </x:c>
      <x:c r="G200" t="str">
        <x:v>PTC-C</x:v>
      </x:c>
      <x:c r="H200" t="str">
        <x:v>RFP-C2</x:v>
      </x:c>
      <x:c r="I200" s="12" t="str">
        <x:v>AF-2-BB-A05</x:v>
      </x:c>
      <x:c r="J200" t="str">
        <x:v>RFE-P061</x:v>
      </x:c>
      <x:c r="K200" t="str">
        <x:v>control</x:v>
      </x:c>
      <x:c r="L200" s="12" t="str">
        <x:v>matched clean state</x:v>
      </x:c>
      <x:c r="M200" s="14" t="n">
        <x:v>2000</x:v>
      </x:c>
      <x:c r="N200" s="14" t="n">
        <x:v>15</x:v>
      </x:c>
      <x:c r="O200" s="14" t="n">
        <x:v>9</x:v>
      </x:c>
      <x:c r="P200" s="14" t="n">
        <x:v>2</x:v>
      </x:c>
      <x:c r="Q200" t="str"/>
      <x:c r="R200" t="str"/>
      <x:c r="S200" t="str"/>
      <x:c r="T200" t="str"/>
      <x:c r="U200" t="str"/>
    </x:row>
    <x:row r="201" ht="36" customHeight="1">
      <x:c r="B201" t="str">
        <x:v>RFE-E195</x:v>
      </x:c>
      <x:c r="C201" t="str">
        <x:v>EC-04</x:v>
      </x:c>
      <x:c r="D201" t="str">
        <x:v>AM-07</x:v>
      </x:c>
      <x:c r="E201" t="str">
        <x:v>AF-2</x:v>
      </x:c>
      <x:c r="F201" t="str">
        <x:v>BB</x:v>
      </x:c>
      <x:c r="G201" t="str">
        <x:v>PTC-C</x:v>
      </x:c>
      <x:c r="H201" t="str">
        <x:v>RFP-C2</x:v>
      </x:c>
      <x:c r="I201" s="12" t="str">
        <x:v>AF-2-BB-A06</x:v>
      </x:c>
      <x:c r="J201" t="str">
        <x:v>RFE-P062</x:v>
      </x:c>
      <x:c r="K201" t="str">
        <x:v>control</x:v>
      </x:c>
      <x:c r="L201" s="12" t="str">
        <x:v>matched clean state</x:v>
      </x:c>
      <x:c r="M201" s="14" t="n">
        <x:v>2000</x:v>
      </x:c>
      <x:c r="N201" s="14" t="n">
        <x:v>20</x:v>
      </x:c>
      <x:c r="O201" s="14" t="n">
        <x:v>9</x:v>
      </x:c>
      <x:c r="P201" s="14" t="n">
        <x:v>1</x:v>
      </x:c>
      <x:c r="Q201" t="str"/>
      <x:c r="R201" t="str"/>
      <x:c r="S201" t="str"/>
      <x:c r="T201" t="str"/>
      <x:c r="U201" t="str"/>
    </x:row>
    <x:row r="202" ht="36" customHeight="1">
      <x:c r="B202" t="str">
        <x:v>RFE-E196</x:v>
      </x:c>
      <x:c r="C202" t="str">
        <x:v>EC-04</x:v>
      </x:c>
      <x:c r="D202" t="str">
        <x:v>AM-07</x:v>
      </x:c>
      <x:c r="E202" t="str">
        <x:v>AF-2</x:v>
      </x:c>
      <x:c r="F202" t="str">
        <x:v>BB</x:v>
      </x:c>
      <x:c r="G202" t="str">
        <x:v>PTC-C</x:v>
      </x:c>
      <x:c r="H202" t="str">
        <x:v>RFP-C2</x:v>
      </x:c>
      <x:c r="I202" s="12" t="str">
        <x:v>AF-2-BB-A06</x:v>
      </x:c>
      <x:c r="J202" t="str">
        <x:v>RFE-P062</x:v>
      </x:c>
      <x:c r="K202" t="str">
        <x:v>challenge</x:v>
      </x:c>
      <x:c r="L202" s="12" t="str">
        <x:v>20 min candidate water window; vault begins 50% full</x:v>
      </x:c>
      <x:c r="M202" s="14" t="n">
        <x:v>2000</x:v>
      </x:c>
      <x:c r="N202" s="14" t="n">
        <x:v>20</x:v>
      </x:c>
      <x:c r="O202" s="14" t="n">
        <x:v>9</x:v>
      </x:c>
      <x:c r="P202" s="14" t="n">
        <x:v>2</x:v>
      </x:c>
      <x:c r="Q202" t="str"/>
      <x:c r="R202" t="str"/>
      <x:c r="S202" t="str"/>
      <x:c r="T202" t="str"/>
      <x:c r="U202" t="str"/>
    </x:row>
    <x:row r="203" ht="36" customHeight="1">
      <x:c r="B203" t="str">
        <x:v>RFE-E197</x:v>
      </x:c>
      <x:c r="C203" t="str">
        <x:v>EC-04</x:v>
      </x:c>
      <x:c r="D203" t="str">
        <x:v>AM-07</x:v>
      </x:c>
      <x:c r="E203" t="str">
        <x:v>AF-2</x:v>
      </x:c>
      <x:c r="F203" t="str">
        <x:v>BB</x:v>
      </x:c>
      <x:c r="G203" t="str">
        <x:v>PTC-C</x:v>
      </x:c>
      <x:c r="H203" t="str">
        <x:v>RFP-C2</x:v>
      </x:c>
      <x:c r="I203" s="12" t="str">
        <x:v>AF-2-BB-A07</x:v>
      </x:c>
      <x:c r="J203" t="str">
        <x:v>RFE-P063</x:v>
      </x:c>
      <x:c r="K203" t="str">
        <x:v>challenge</x:v>
      </x:c>
      <x:c r="L203" s="12" t="str">
        <x:v>50% barrier plus 1.5 kPa wind</x:v>
      </x:c>
      <x:c r="M203" s="14" t="n">
        <x:v>2000</x:v>
      </x:c>
      <x:c r="N203" s="14" t="n">
        <x:v>20</x:v>
      </x:c>
      <x:c r="O203" s="14" t="n">
        <x:v>9</x:v>
      </x:c>
      <x:c r="P203" s="14" t="n">
        <x:v>1</x:v>
      </x:c>
      <x:c r="Q203" t="str"/>
      <x:c r="R203" t="str"/>
      <x:c r="S203" t="str"/>
      <x:c r="T203" t="str"/>
      <x:c r="U203" t="str"/>
    </x:row>
    <x:row r="204" ht="36" customHeight="1">
      <x:c r="B204" t="str">
        <x:v>RFE-E198</x:v>
      </x:c>
      <x:c r="C204" t="str">
        <x:v>EC-04</x:v>
      </x:c>
      <x:c r="D204" t="str">
        <x:v>AM-07</x:v>
      </x:c>
      <x:c r="E204" t="str">
        <x:v>AF-2</x:v>
      </x:c>
      <x:c r="F204" t="str">
        <x:v>BB</x:v>
      </x:c>
      <x:c r="G204" t="str">
        <x:v>PTC-C</x:v>
      </x:c>
      <x:c r="H204" t="str">
        <x:v>RFP-C2</x:v>
      </x:c>
      <x:c r="I204" s="12" t="str">
        <x:v>AF-2-BB-A07</x:v>
      </x:c>
      <x:c r="J204" t="str">
        <x:v>RFE-P063</x:v>
      </x:c>
      <x:c r="K204" t="str">
        <x:v>control</x:v>
      </x:c>
      <x:c r="L204" s="12" t="str">
        <x:v>matched clean state</x:v>
      </x:c>
      <x:c r="M204" s="14" t="n">
        <x:v>2000</x:v>
      </x:c>
      <x:c r="N204" s="14" t="n">
        <x:v>20</x:v>
      </x:c>
      <x:c r="O204" s="14" t="n">
        <x:v>9</x:v>
      </x:c>
      <x:c r="P204" s="14" t="n">
        <x:v>2</x:v>
      </x:c>
      <x:c r="Q204" t="str"/>
      <x:c r="R204" t="str"/>
      <x:c r="S204" t="str"/>
      <x:c r="T204" t="str"/>
      <x:c r="U204" t="str"/>
    </x:row>
    <x:row r="205" ht="36" customHeight="1">
      <x:c r="B205" t="str">
        <x:v>RFE-E199</x:v>
      </x:c>
      <x:c r="C205" t="str">
        <x:v>EC-04</x:v>
      </x:c>
      <x:c r="D205" t="str">
        <x:v>AM-07</x:v>
      </x:c>
      <x:c r="E205" t="str">
        <x:v>AF-2</x:v>
      </x:c>
      <x:c r="F205" t="str">
        <x:v>BB</x:v>
      </x:c>
      <x:c r="G205" t="str">
        <x:v>PTC-C</x:v>
      </x:c>
      <x:c r="H205" t="str">
        <x:v>RFP-C2</x:v>
      </x:c>
      <x:c r="I205" s="12" t="str">
        <x:v>AF-2-BB-A08</x:v>
      </x:c>
      <x:c r="J205" t="str">
        <x:v>RFE-P064</x:v>
      </x:c>
      <x:c r="K205" t="str">
        <x:v>control</x:v>
      </x:c>
      <x:c r="L205" s="12" t="str">
        <x:v>matched clean state</x:v>
      </x:c>
      <x:c r="M205" s="14" t="n">
        <x:v>2000</x:v>
      </x:c>
      <x:c r="N205" s="14" t="n">
        <x:v>30</x:v>
      </x:c>
      <x:c r="O205" s="14" t="n">
        <x:v>9</x:v>
      </x:c>
      <x:c r="P205" s="14" t="n">
        <x:v>1</x:v>
      </x:c>
      <x:c r="Q205" t="str"/>
      <x:c r="R205" t="str"/>
      <x:c r="S205" t="str"/>
      <x:c r="T205" t="str"/>
      <x:c r="U205" t="str"/>
    </x:row>
    <x:row r="206" ht="36" customHeight="1">
      <x:c r="B206" t="str">
        <x:v>RFE-E200</x:v>
      </x:c>
      <x:c r="C206" t="str">
        <x:v>EC-04</x:v>
      </x:c>
      <x:c r="D206" t="str">
        <x:v>AM-07</x:v>
      </x:c>
      <x:c r="E206" t="str">
        <x:v>AF-2</x:v>
      </x:c>
      <x:c r="F206" t="str">
        <x:v>BB</x:v>
      </x:c>
      <x:c r="G206" t="str">
        <x:v>PTC-C</x:v>
      </x:c>
      <x:c r="H206" t="str">
        <x:v>RFP-C2</x:v>
      </x:c>
      <x:c r="I206" s="12" t="str">
        <x:v>AF-2-BB-A08</x:v>
      </x:c>
      <x:c r="J206" t="str">
        <x:v>RFE-P064</x:v>
      </x:c>
      <x:c r="K206" t="str">
        <x:v>challenge</x:v>
      </x:c>
      <x:c r="L206" s="12" t="str">
        <x:v>30 min candidate window; normal energy, network and primary time denied</x:v>
      </x:c>
      <x:c r="M206" s="14" t="n">
        <x:v>2000</x:v>
      </x:c>
      <x:c r="N206" s="14" t="n">
        <x:v>30</x:v>
      </x:c>
      <x:c r="O206" s="14" t="n">
        <x:v>9</x:v>
      </x:c>
      <x:c r="P206" s="14" t="n">
        <x:v>2</x:v>
      </x:c>
      <x:c r="Q206" t="str"/>
      <x:c r="R206" t="str"/>
      <x:c r="S206" t="str"/>
      <x:c r="T206" t="str"/>
      <x:c r="U206" t="str"/>
    </x:row>
    <x:row r="207" ht="36" customHeight="1">
      <x:c r="B207" t="str">
        <x:v>RFE-E201</x:v>
      </x:c>
      <x:c r="C207" t="str">
        <x:v>EC-03</x:v>
      </x:c>
      <x:c r="D207" t="str">
        <x:v>AM-05</x:v>
      </x:c>
      <x:c r="E207" t="str">
        <x:v>AF-3</x:v>
      </x:c>
      <x:c r="F207" t="str">
        <x:v>BA</x:v>
      </x:c>
      <x:c r="G207" t="str">
        <x:v>PTC-B</x:v>
      </x:c>
      <x:c r="H207" t="str">
        <x:v>RFP-B1</x:v>
      </x:c>
      <x:c r="I207" s="12" t="str">
        <x:v>AF-3-BA-A01</x:v>
      </x:c>
      <x:c r="J207" t="str">
        <x:v>RFE-P065</x:v>
      </x:c>
      <x:c r="K207" t="str">
        <x:v>control</x:v>
      </x:c>
      <x:c r="L207" s="12" t="str">
        <x:v>matched clean state</x:v>
      </x:c>
      <x:c r="M207" s="14" t="n">
        <x:v>500</x:v>
      </x:c>
      <x:c r="N207" s="14" t="n">
        <x:v>0</x:v>
      </x:c>
      <x:c r="O207" s="14" t="n">
        <x:v>5</x:v>
      </x:c>
      <x:c r="P207" s="14" t="n">
        <x:v>1</x:v>
      </x:c>
      <x:c r="Q207" t="str"/>
      <x:c r="R207" t="str"/>
      <x:c r="S207" t="str"/>
      <x:c r="T207" t="str"/>
      <x:c r="U207" t="str"/>
    </x:row>
    <x:row r="208" ht="36" customHeight="1">
      <x:c r="B208" t="str">
        <x:v>RFE-E202</x:v>
      </x:c>
      <x:c r="C208" t="str">
        <x:v>EC-03</x:v>
      </x:c>
      <x:c r="D208" t="str">
        <x:v>AM-05</x:v>
      </x:c>
      <x:c r="E208" t="str">
        <x:v>AF-3</x:v>
      </x:c>
      <x:c r="F208" t="str">
        <x:v>BA</x:v>
      </x:c>
      <x:c r="G208" t="str">
        <x:v>PTC-B</x:v>
      </x:c>
      <x:c r="H208" t="str">
        <x:v>RFP-B1</x:v>
      </x:c>
      <x:c r="I208" s="12" t="str">
        <x:v>AF-3-BA-A01</x:v>
      </x:c>
      <x:c r="J208" t="str">
        <x:v>RFE-P065</x:v>
      </x:c>
      <x:c r="K208" t="str">
        <x:v>challenge</x:v>
      </x:c>
      <x:c r="L208" s="12" t="str">
        <x:v>1.0% reverse local grade plus ±25 mm datum error</x:v>
      </x:c>
      <x:c r="M208" s="14" t="n">
        <x:v>500</x:v>
      </x:c>
      <x:c r="N208" s="14" t="n">
        <x:v>0</x:v>
      </x:c>
      <x:c r="O208" s="14" t="n">
        <x:v>5</x:v>
      </x:c>
      <x:c r="P208" s="14" t="n">
        <x:v>2</x:v>
      </x:c>
      <x:c r="Q208" t="str"/>
      <x:c r="R208" t="str"/>
      <x:c r="S208" t="str"/>
      <x:c r="T208" t="str"/>
      <x:c r="U208" t="str"/>
    </x:row>
    <x:row r="209" ht="36" customHeight="1">
      <x:c r="B209" t="str">
        <x:v>RFE-E203</x:v>
      </x:c>
      <x:c r="C209" t="str">
        <x:v>EC-03</x:v>
      </x:c>
      <x:c r="D209" t="str">
        <x:v>AM-05</x:v>
      </x:c>
      <x:c r="E209" t="str">
        <x:v>AF-3</x:v>
      </x:c>
      <x:c r="F209" t="str">
        <x:v>BA</x:v>
      </x:c>
      <x:c r="G209" t="str">
        <x:v>PTC-B</x:v>
      </x:c>
      <x:c r="H209" t="str">
        <x:v>RFP-B1</x:v>
      </x:c>
      <x:c r="I209" s="12" t="str">
        <x:v>AF-3-BA-A02</x:v>
      </x:c>
      <x:c r="J209" t="str">
        <x:v>RFE-P066</x:v>
      </x:c>
      <x:c r="K209" t="str">
        <x:v>challenge</x:v>
      </x:c>
      <x:c r="L209" s="12" t="str">
        <x:v>50% effective source-drain area</x:v>
      </x:c>
      <x:c r="M209" s="14" t="n">
        <x:v>500</x:v>
      </x:c>
      <x:c r="N209" s="14" t="n">
        <x:v>0</x:v>
      </x:c>
      <x:c r="O209" s="14" t="n">
        <x:v>5</x:v>
      </x:c>
      <x:c r="P209" s="14" t="n">
        <x:v>1</x:v>
      </x:c>
      <x:c r="Q209" t="str"/>
      <x:c r="R209" t="str"/>
      <x:c r="S209" t="str"/>
      <x:c r="T209" t="str"/>
      <x:c r="U209" t="str"/>
    </x:row>
    <x:row r="210" ht="36" customHeight="1">
      <x:c r="B210" t="str">
        <x:v>RFE-E204</x:v>
      </x:c>
      <x:c r="C210" t="str">
        <x:v>EC-03</x:v>
      </x:c>
      <x:c r="D210" t="str">
        <x:v>AM-05</x:v>
      </x:c>
      <x:c r="E210" t="str">
        <x:v>AF-3</x:v>
      </x:c>
      <x:c r="F210" t="str">
        <x:v>BA</x:v>
      </x:c>
      <x:c r="G210" t="str">
        <x:v>PTC-B</x:v>
      </x:c>
      <x:c r="H210" t="str">
        <x:v>RFP-B1</x:v>
      </x:c>
      <x:c r="I210" s="12" t="str">
        <x:v>AF-3-BA-A02</x:v>
      </x:c>
      <x:c r="J210" t="str">
        <x:v>RFE-P066</x:v>
      </x:c>
      <x:c r="K210" t="str">
        <x:v>control</x:v>
      </x:c>
      <x:c r="L210" s="12" t="str">
        <x:v>matched clean state</x:v>
      </x:c>
      <x:c r="M210" s="14" t="n">
        <x:v>500</x:v>
      </x:c>
      <x:c r="N210" s="14" t="n">
        <x:v>0</x:v>
      </x:c>
      <x:c r="O210" s="14" t="n">
        <x:v>5</x:v>
      </x:c>
      <x:c r="P210" s="14" t="n">
        <x:v>2</x:v>
      </x:c>
      <x:c r="Q210" t="str"/>
      <x:c r="R210" t="str"/>
      <x:c r="S210" t="str"/>
      <x:c r="T210" t="str"/>
      <x:c r="U210" t="str"/>
    </x:row>
    <x:row r="211" ht="36" customHeight="1">
      <x:c r="B211" t="str">
        <x:v>RFE-E205</x:v>
      </x:c>
      <x:c r="C211" t="str">
        <x:v>EC-03</x:v>
      </x:c>
      <x:c r="D211" t="str">
        <x:v>AM-05</x:v>
      </x:c>
      <x:c r="E211" t="str">
        <x:v>AF-3</x:v>
      </x:c>
      <x:c r="F211" t="str">
        <x:v>BA</x:v>
      </x:c>
      <x:c r="G211" t="str">
        <x:v>PTC-B</x:v>
      </x:c>
      <x:c r="H211" t="str">
        <x:v>RFP-B1</x:v>
      </x:c>
      <x:c r="I211" s="12" t="str">
        <x:v>AF-3-BA-A03</x:v>
      </x:c>
      <x:c r="J211" t="str">
        <x:v>RFE-P067</x:v>
      </x:c>
      <x:c r="K211" t="str">
        <x:v>control</x:v>
      </x:c>
      <x:c r="L211" s="12" t="str">
        <x:v>matched clean state</x:v>
      </x:c>
      <x:c r="M211" s="14" t="n">
        <x:v>500</x:v>
      </x:c>
      <x:c r="N211" s="14" t="n">
        <x:v>0</x:v>
      </x:c>
      <x:c r="O211" s="14" t="n">
        <x:v>5</x:v>
      </x:c>
      <x:c r="P211" s="14" t="n">
        <x:v>1</x:v>
      </x:c>
      <x:c r="Q211" t="str"/>
      <x:c r="R211" t="str"/>
      <x:c r="S211" t="str"/>
      <x:c r="T211" t="str"/>
      <x:c r="U211" t="str"/>
    </x:row>
    <x:row r="212" ht="36" customHeight="1">
      <x:c r="B212" t="str">
        <x:v>RFE-E206</x:v>
      </x:c>
      <x:c r="C212" t="str">
        <x:v>EC-03</x:v>
      </x:c>
      <x:c r="D212" t="str">
        <x:v>AM-05</x:v>
      </x:c>
      <x:c r="E212" t="str">
        <x:v>AF-3</x:v>
      </x:c>
      <x:c r="F212" t="str">
        <x:v>BA</x:v>
      </x:c>
      <x:c r="G212" t="str">
        <x:v>PTC-B</x:v>
      </x:c>
      <x:c r="H212" t="str">
        <x:v>RFP-B1</x:v>
      </x:c>
      <x:c r="I212" s="12" t="str">
        <x:v>AF-3-BA-A03</x:v>
      </x:c>
      <x:c r="J212" t="str">
        <x:v>RFE-P067</x:v>
      </x:c>
      <x:c r="K212" t="str">
        <x:v>challenge</x:v>
      </x:c>
      <x:c r="L212" s="12" t="str">
        <x:v>candidate sump at 50% liquid-equivalent fill</x:v>
      </x:c>
      <x:c r="M212" s="14" t="n">
        <x:v>500</x:v>
      </x:c>
      <x:c r="N212" s="14" t="n">
        <x:v>0</x:v>
      </x:c>
      <x:c r="O212" s="14" t="n">
        <x:v>5</x:v>
      </x:c>
      <x:c r="P212" s="14" t="n">
        <x:v>2</x:v>
      </x:c>
      <x:c r="Q212" t="str"/>
      <x:c r="R212" t="str"/>
      <x:c r="S212" t="str"/>
      <x:c r="T212" t="str"/>
      <x:c r="U212" t="str"/>
    </x:row>
    <x:row r="213" ht="36" customHeight="1">
      <x:c r="B213" t="str">
        <x:v>RFE-E207</x:v>
      </x:c>
      <x:c r="C213" t="str">
        <x:v>EC-03</x:v>
      </x:c>
      <x:c r="D213" t="str">
        <x:v>AM-05</x:v>
      </x:c>
      <x:c r="E213" t="str">
        <x:v>AF-3</x:v>
      </x:c>
      <x:c r="F213" t="str">
        <x:v>BA</x:v>
      </x:c>
      <x:c r="G213" t="str">
        <x:v>PTC-B</x:v>
      </x:c>
      <x:c r="H213" t="str">
        <x:v>RFP-B1</x:v>
      </x:c>
      <x:c r="I213" s="12" t="str">
        <x:v>AF-3-BA-A04</x:v>
      </x:c>
      <x:c r="J213" t="str">
        <x:v>RFE-P068</x:v>
      </x:c>
      <x:c r="K213" t="str">
        <x:v>challenge</x:v>
      </x:c>
      <x:c r="L213" s="12" t="str">
        <x:v>25% grate coverage plus ten mapped fragments</x:v>
      </x:c>
      <x:c r="M213" s="14" t="n">
        <x:v>500</x:v>
      </x:c>
      <x:c r="N213" s="14" t="n">
        <x:v>0</x:v>
      </x:c>
      <x:c r="O213" s="14" t="n">
        <x:v>5</x:v>
      </x:c>
      <x:c r="P213" s="14" t="n">
        <x:v>1</x:v>
      </x:c>
      <x:c r="Q213" t="str"/>
      <x:c r="R213" t="str"/>
      <x:c r="S213" t="str"/>
      <x:c r="T213" t="str"/>
      <x:c r="U213" t="str"/>
    </x:row>
    <x:row r="214" ht="36" customHeight="1">
      <x:c r="B214" t="str">
        <x:v>RFE-E208</x:v>
      </x:c>
      <x:c r="C214" t="str">
        <x:v>EC-03</x:v>
      </x:c>
      <x:c r="D214" t="str">
        <x:v>AM-05</x:v>
      </x:c>
      <x:c r="E214" t="str">
        <x:v>AF-3</x:v>
      </x:c>
      <x:c r="F214" t="str">
        <x:v>BA</x:v>
      </x:c>
      <x:c r="G214" t="str">
        <x:v>PTC-B</x:v>
      </x:c>
      <x:c r="H214" t="str">
        <x:v>RFP-B1</x:v>
      </x:c>
      <x:c r="I214" s="12" t="str">
        <x:v>AF-3-BA-A04</x:v>
      </x:c>
      <x:c r="J214" t="str">
        <x:v>RFE-P068</x:v>
      </x:c>
      <x:c r="K214" t="str">
        <x:v>control</x:v>
      </x:c>
      <x:c r="L214" s="12" t="str">
        <x:v>matched clean state</x:v>
      </x:c>
      <x:c r="M214" s="14" t="n">
        <x:v>500</x:v>
      </x:c>
      <x:c r="N214" s="14" t="n">
        <x:v>0</x:v>
      </x:c>
      <x:c r="O214" s="14" t="n">
        <x:v>5</x:v>
      </x:c>
      <x:c r="P214" s="14" t="n">
        <x:v>2</x:v>
      </x:c>
      <x:c r="Q214" t="str"/>
      <x:c r="R214" t="str"/>
      <x:c r="S214" t="str"/>
      <x:c r="T214" t="str"/>
      <x:c r="U214" t="str"/>
    </x:row>
    <x:row r="215" ht="36" customHeight="1">
      <x:c r="B215" t="str">
        <x:v>RFE-E209</x:v>
      </x:c>
      <x:c r="C215" t="str">
        <x:v>EC-04</x:v>
      </x:c>
      <x:c r="D215" t="str">
        <x:v>AM-07</x:v>
      </x:c>
      <x:c r="E215" t="str">
        <x:v>AF-3</x:v>
      </x:c>
      <x:c r="F215" t="str">
        <x:v>BA</x:v>
      </x:c>
      <x:c r="G215" t="str">
        <x:v>PTC-B</x:v>
      </x:c>
      <x:c r="H215" t="str">
        <x:v>RFP-B1</x:v>
      </x:c>
      <x:c r="I215" s="12" t="str">
        <x:v>AF-3-BA-A05</x:v>
      </x:c>
      <x:c r="J215" t="str">
        <x:v>RFE-P069</x:v>
      </x:c>
      <x:c r="K215" t="str">
        <x:v>control</x:v>
      </x:c>
      <x:c r="L215" s="12" t="str">
        <x:v>matched clean state</x:v>
      </x:c>
      <x:c r="M215" s="14" t="n">
        <x:v>2000</x:v>
      </x:c>
      <x:c r="N215" s="14" t="n">
        <x:v>15</x:v>
      </x:c>
      <x:c r="O215" s="14" t="n">
        <x:v>9</x:v>
      </x:c>
      <x:c r="P215" s="14" t="n">
        <x:v>1</x:v>
      </x:c>
      <x:c r="Q215" t="str"/>
      <x:c r="R215" t="str"/>
      <x:c r="S215" t="str"/>
      <x:c r="T215" t="str"/>
      <x:c r="U215" t="str"/>
    </x:row>
    <x:row r="216" ht="36" customHeight="1">
      <x:c r="B216" t="str">
        <x:v>RFE-E210</x:v>
      </x:c>
      <x:c r="C216" t="str">
        <x:v>EC-04</x:v>
      </x:c>
      <x:c r="D216" t="str">
        <x:v>AM-07</x:v>
      </x:c>
      <x:c r="E216" t="str">
        <x:v>AF-3</x:v>
      </x:c>
      <x:c r="F216" t="str">
        <x:v>BA</x:v>
      </x:c>
      <x:c r="G216" t="str">
        <x:v>PTC-B</x:v>
      </x:c>
      <x:c r="H216" t="str">
        <x:v>RFP-B1</x:v>
      </x:c>
      <x:c r="I216" s="12" t="str">
        <x:v>AF-3-BA-A05</x:v>
      </x:c>
      <x:c r="J216" t="str">
        <x:v>RFE-P069</x:v>
      </x:c>
      <x:c r="K216" t="str">
        <x:v>challenge</x:v>
      </x:c>
      <x:c r="L216" s="12" t="str">
        <x:v>25 m2 pool; igniter command at T+15 s</x:v>
      </x:c>
      <x:c r="M216" s="14" t="n">
        <x:v>2000</x:v>
      </x:c>
      <x:c r="N216" s="14" t="n">
        <x:v>15</x:v>
      </x:c>
      <x:c r="O216" s="14" t="n">
        <x:v>9</x:v>
      </x:c>
      <x:c r="P216" s="14" t="n">
        <x:v>2</x:v>
      </x:c>
      <x:c r="Q216" t="str"/>
      <x:c r="R216" t="str"/>
      <x:c r="S216" t="str"/>
      <x:c r="T216" t="str"/>
      <x:c r="U216" t="str"/>
    </x:row>
    <x:row r="217" ht="36" customHeight="1">
      <x:c r="B217" t="str">
        <x:v>RFE-E211</x:v>
      </x:c>
      <x:c r="C217" t="str">
        <x:v>EC-04</x:v>
      </x:c>
      <x:c r="D217" t="str">
        <x:v>AM-07</x:v>
      </x:c>
      <x:c r="E217" t="str">
        <x:v>AF-3</x:v>
      </x:c>
      <x:c r="F217" t="str">
        <x:v>BA</x:v>
      </x:c>
      <x:c r="G217" t="str">
        <x:v>PTC-B</x:v>
      </x:c>
      <x:c r="H217" t="str">
        <x:v>RFP-B1</x:v>
      </x:c>
      <x:c r="I217" s="12" t="str">
        <x:v>AF-3-BA-A06</x:v>
      </x:c>
      <x:c r="J217" t="str">
        <x:v>RFE-P070</x:v>
      </x:c>
      <x:c r="K217" t="str">
        <x:v>challenge</x:v>
      </x:c>
      <x:c r="L217" s="12" t="str">
        <x:v>20 min candidate water window; vault begins 50% full</x:v>
      </x:c>
      <x:c r="M217" s="14" t="n">
        <x:v>2000</x:v>
      </x:c>
      <x:c r="N217" s="14" t="n">
        <x:v>20</x:v>
      </x:c>
      <x:c r="O217" s="14" t="n">
        <x:v>9</x:v>
      </x:c>
      <x:c r="P217" s="14" t="n">
        <x:v>1</x:v>
      </x:c>
      <x:c r="Q217" t="str"/>
      <x:c r="R217" t="str"/>
      <x:c r="S217" t="str"/>
      <x:c r="T217" t="str"/>
      <x:c r="U217" t="str"/>
    </x:row>
    <x:row r="218" ht="36" customHeight="1">
      <x:c r="B218" t="str">
        <x:v>RFE-E212</x:v>
      </x:c>
      <x:c r="C218" t="str">
        <x:v>EC-04</x:v>
      </x:c>
      <x:c r="D218" t="str">
        <x:v>AM-07</x:v>
      </x:c>
      <x:c r="E218" t="str">
        <x:v>AF-3</x:v>
      </x:c>
      <x:c r="F218" t="str">
        <x:v>BA</x:v>
      </x:c>
      <x:c r="G218" t="str">
        <x:v>PTC-B</x:v>
      </x:c>
      <x:c r="H218" t="str">
        <x:v>RFP-B1</x:v>
      </x:c>
      <x:c r="I218" s="12" t="str">
        <x:v>AF-3-BA-A06</x:v>
      </x:c>
      <x:c r="J218" t="str">
        <x:v>RFE-P070</x:v>
      </x:c>
      <x:c r="K218" t="str">
        <x:v>control</x:v>
      </x:c>
      <x:c r="L218" s="12" t="str">
        <x:v>matched clean state</x:v>
      </x:c>
      <x:c r="M218" s="14" t="n">
        <x:v>2000</x:v>
      </x:c>
      <x:c r="N218" s="14" t="n">
        <x:v>20</x:v>
      </x:c>
      <x:c r="O218" s="14" t="n">
        <x:v>9</x:v>
      </x:c>
      <x:c r="P218" s="14" t="n">
        <x:v>2</x:v>
      </x:c>
      <x:c r="Q218" t="str"/>
      <x:c r="R218" t="str"/>
      <x:c r="S218" t="str"/>
      <x:c r="T218" t="str"/>
      <x:c r="U218" t="str"/>
    </x:row>
    <x:row r="219" ht="36" customHeight="1">
      <x:c r="B219" t="str">
        <x:v>RFE-E213</x:v>
      </x:c>
      <x:c r="C219" t="str">
        <x:v>EC-04</x:v>
      </x:c>
      <x:c r="D219" t="str">
        <x:v>AM-07</x:v>
      </x:c>
      <x:c r="E219" t="str">
        <x:v>AF-3</x:v>
      </x:c>
      <x:c r="F219" t="str">
        <x:v>BA</x:v>
      </x:c>
      <x:c r="G219" t="str">
        <x:v>PTC-B</x:v>
      </x:c>
      <x:c r="H219" t="str">
        <x:v>RFP-B1</x:v>
      </x:c>
      <x:c r="I219" s="12" t="str">
        <x:v>AF-3-BA-A07</x:v>
      </x:c>
      <x:c r="J219" t="str">
        <x:v>RFE-P071</x:v>
      </x:c>
      <x:c r="K219" t="str">
        <x:v>control</x:v>
      </x:c>
      <x:c r="L219" s="12" t="str">
        <x:v>matched clean state</x:v>
      </x:c>
      <x:c r="M219" s="14" t="n">
        <x:v>2000</x:v>
      </x:c>
      <x:c r="N219" s="14" t="n">
        <x:v>20</x:v>
      </x:c>
      <x:c r="O219" s="14" t="n">
        <x:v>9</x:v>
      </x:c>
      <x:c r="P219" s="14" t="n">
        <x:v>1</x:v>
      </x:c>
      <x:c r="Q219" t="str"/>
      <x:c r="R219" t="str"/>
      <x:c r="S219" t="str"/>
      <x:c r="T219" t="str"/>
      <x:c r="U219" t="str"/>
    </x:row>
    <x:row r="220" ht="36" customHeight="1">
      <x:c r="B220" t="str">
        <x:v>RFE-E214</x:v>
      </x:c>
      <x:c r="C220" t="str">
        <x:v>EC-04</x:v>
      </x:c>
      <x:c r="D220" t="str">
        <x:v>AM-07</x:v>
      </x:c>
      <x:c r="E220" t="str">
        <x:v>AF-3</x:v>
      </x:c>
      <x:c r="F220" t="str">
        <x:v>BA</x:v>
      </x:c>
      <x:c r="G220" t="str">
        <x:v>PTC-B</x:v>
      </x:c>
      <x:c r="H220" t="str">
        <x:v>RFP-B1</x:v>
      </x:c>
      <x:c r="I220" s="12" t="str">
        <x:v>AF-3-BA-A07</x:v>
      </x:c>
      <x:c r="J220" t="str">
        <x:v>RFE-P071</x:v>
      </x:c>
      <x:c r="K220" t="str">
        <x:v>challenge</x:v>
      </x:c>
      <x:c r="L220" s="12" t="str">
        <x:v>50% barrier plus 1.5 kPa wind</x:v>
      </x:c>
      <x:c r="M220" s="14" t="n">
        <x:v>2000</x:v>
      </x:c>
      <x:c r="N220" s="14" t="n">
        <x:v>20</x:v>
      </x:c>
      <x:c r="O220" s="14" t="n">
        <x:v>9</x:v>
      </x:c>
      <x:c r="P220" s="14" t="n">
        <x:v>2</x:v>
      </x:c>
      <x:c r="Q220" t="str"/>
      <x:c r="R220" t="str"/>
      <x:c r="S220" t="str"/>
      <x:c r="T220" t="str"/>
      <x:c r="U220" t="str"/>
    </x:row>
    <x:row r="221" ht="36" customHeight="1">
      <x:c r="B221" t="str">
        <x:v>RFE-E215</x:v>
      </x:c>
      <x:c r="C221" t="str">
        <x:v>EC-04</x:v>
      </x:c>
      <x:c r="D221" t="str">
        <x:v>AM-07</x:v>
      </x:c>
      <x:c r="E221" t="str">
        <x:v>AF-3</x:v>
      </x:c>
      <x:c r="F221" t="str">
        <x:v>BA</x:v>
      </x:c>
      <x:c r="G221" t="str">
        <x:v>PTC-B</x:v>
      </x:c>
      <x:c r="H221" t="str">
        <x:v>RFP-B1</x:v>
      </x:c>
      <x:c r="I221" s="12" t="str">
        <x:v>AF-3-BA-A08</x:v>
      </x:c>
      <x:c r="J221" t="str">
        <x:v>RFE-P072</x:v>
      </x:c>
      <x:c r="K221" t="str">
        <x:v>challenge</x:v>
      </x:c>
      <x:c r="L221" s="12" t="str">
        <x:v>30 min candidate window; normal energy, network and primary time denied</x:v>
      </x:c>
      <x:c r="M221" s="14" t="n">
        <x:v>2000</x:v>
      </x:c>
      <x:c r="N221" s="14" t="n">
        <x:v>30</x:v>
      </x:c>
      <x:c r="O221" s="14" t="n">
        <x:v>9</x:v>
      </x:c>
      <x:c r="P221" s="14" t="n">
        <x:v>1</x:v>
      </x:c>
      <x:c r="Q221" t="str"/>
      <x:c r="R221" t="str"/>
      <x:c r="S221" t="str"/>
      <x:c r="T221" t="str"/>
      <x:c r="U221" t="str"/>
    </x:row>
    <x:row r="222" ht="36" customHeight="1">
      <x:c r="B222" t="str">
        <x:v>RFE-E216</x:v>
      </x:c>
      <x:c r="C222" t="str">
        <x:v>EC-04</x:v>
      </x:c>
      <x:c r="D222" t="str">
        <x:v>AM-07</x:v>
      </x:c>
      <x:c r="E222" t="str">
        <x:v>AF-3</x:v>
      </x:c>
      <x:c r="F222" t="str">
        <x:v>BA</x:v>
      </x:c>
      <x:c r="G222" t="str">
        <x:v>PTC-B</x:v>
      </x:c>
      <x:c r="H222" t="str">
        <x:v>RFP-B1</x:v>
      </x:c>
      <x:c r="I222" s="12" t="str">
        <x:v>AF-3-BA-A08</x:v>
      </x:c>
      <x:c r="J222" t="str">
        <x:v>RFE-P072</x:v>
      </x:c>
      <x:c r="K222" t="str">
        <x:v>control</x:v>
      </x:c>
      <x:c r="L222" s="12" t="str">
        <x:v>matched clean state</x:v>
      </x:c>
      <x:c r="M222" s="14" t="n">
        <x:v>2000</x:v>
      </x:c>
      <x:c r="N222" s="14" t="n">
        <x:v>30</x:v>
      </x:c>
      <x:c r="O222" s="14" t="n">
        <x:v>9</x:v>
      </x:c>
      <x:c r="P222" s="14" t="n">
        <x:v>2</x:v>
      </x:c>
      <x:c r="Q222" t="str"/>
      <x:c r="R222" t="str"/>
      <x:c r="S222" t="str"/>
      <x:c r="T222" t="str"/>
      <x:c r="U222" t="str"/>
    </x:row>
    <x:row r="223" ht="36" customHeight="1">
      <x:c r="B223" t="str">
        <x:v>RFE-E217</x:v>
      </x:c>
      <x:c r="C223" t="str">
        <x:v>EC-03</x:v>
      </x:c>
      <x:c r="D223" t="str">
        <x:v>AM-05</x:v>
      </x:c>
      <x:c r="E223" t="str">
        <x:v>AF-3</x:v>
      </x:c>
      <x:c r="F223" t="str">
        <x:v>BA</x:v>
      </x:c>
      <x:c r="G223" t="str">
        <x:v>PTC-C</x:v>
      </x:c>
      <x:c r="H223" t="str">
        <x:v>RFP-C1</x:v>
      </x:c>
      <x:c r="I223" s="12" t="str">
        <x:v>AF-3-BA-A01</x:v>
      </x:c>
      <x:c r="J223" t="str">
        <x:v>RFE-P073</x:v>
      </x:c>
      <x:c r="K223" t="str">
        <x:v>challenge</x:v>
      </x:c>
      <x:c r="L223" s="12" t="str">
        <x:v>1.0% reverse local grade plus ±25 mm datum error</x:v>
      </x:c>
      <x:c r="M223" s="14" t="n">
        <x:v>500</x:v>
      </x:c>
      <x:c r="N223" s="14" t="n">
        <x:v>0</x:v>
      </x:c>
      <x:c r="O223" s="14" t="n">
        <x:v>5</x:v>
      </x:c>
      <x:c r="P223" s="14" t="n">
        <x:v>1</x:v>
      </x:c>
      <x:c r="Q223" t="str"/>
      <x:c r="R223" t="str"/>
      <x:c r="S223" t="str"/>
      <x:c r="T223" t="str"/>
      <x:c r="U223" t="str"/>
    </x:row>
    <x:row r="224" ht="36" customHeight="1">
      <x:c r="B224" t="str">
        <x:v>RFE-E218</x:v>
      </x:c>
      <x:c r="C224" t="str">
        <x:v>EC-03</x:v>
      </x:c>
      <x:c r="D224" t="str">
        <x:v>AM-05</x:v>
      </x:c>
      <x:c r="E224" t="str">
        <x:v>AF-3</x:v>
      </x:c>
      <x:c r="F224" t="str">
        <x:v>BA</x:v>
      </x:c>
      <x:c r="G224" t="str">
        <x:v>PTC-C</x:v>
      </x:c>
      <x:c r="H224" t="str">
        <x:v>RFP-C1</x:v>
      </x:c>
      <x:c r="I224" s="12" t="str">
        <x:v>AF-3-BA-A01</x:v>
      </x:c>
      <x:c r="J224" t="str">
        <x:v>RFE-P073</x:v>
      </x:c>
      <x:c r="K224" t="str">
        <x:v>control</x:v>
      </x:c>
      <x:c r="L224" s="12" t="str">
        <x:v>matched clean state</x:v>
      </x:c>
      <x:c r="M224" s="14" t="n">
        <x:v>500</x:v>
      </x:c>
      <x:c r="N224" s="14" t="n">
        <x:v>0</x:v>
      </x:c>
      <x:c r="O224" s="14" t="n">
        <x:v>5</x:v>
      </x:c>
      <x:c r="P224" s="14" t="n">
        <x:v>2</x:v>
      </x:c>
      <x:c r="Q224" t="str"/>
      <x:c r="R224" t="str"/>
      <x:c r="S224" t="str"/>
      <x:c r="T224" t="str"/>
      <x:c r="U224" t="str"/>
    </x:row>
    <x:row r="225" ht="36" customHeight="1">
      <x:c r="B225" t="str">
        <x:v>RFE-E219</x:v>
      </x:c>
      <x:c r="C225" t="str">
        <x:v>EC-03</x:v>
      </x:c>
      <x:c r="D225" t="str">
        <x:v>AM-05</x:v>
      </x:c>
      <x:c r="E225" t="str">
        <x:v>AF-3</x:v>
      </x:c>
      <x:c r="F225" t="str">
        <x:v>BA</x:v>
      </x:c>
      <x:c r="G225" t="str">
        <x:v>PTC-C</x:v>
      </x:c>
      <x:c r="H225" t="str">
        <x:v>RFP-C1</x:v>
      </x:c>
      <x:c r="I225" s="12" t="str">
        <x:v>AF-3-BA-A02</x:v>
      </x:c>
      <x:c r="J225" t="str">
        <x:v>RFE-P074</x:v>
      </x:c>
      <x:c r="K225" t="str">
        <x:v>control</x:v>
      </x:c>
      <x:c r="L225" s="12" t="str">
        <x:v>matched clean state</x:v>
      </x:c>
      <x:c r="M225" s="14" t="n">
        <x:v>500</x:v>
      </x:c>
      <x:c r="N225" s="14" t="n">
        <x:v>0</x:v>
      </x:c>
      <x:c r="O225" s="14" t="n">
        <x:v>5</x:v>
      </x:c>
      <x:c r="P225" s="14" t="n">
        <x:v>1</x:v>
      </x:c>
      <x:c r="Q225" t="str"/>
      <x:c r="R225" t="str"/>
      <x:c r="S225" t="str"/>
      <x:c r="T225" t="str"/>
      <x:c r="U225" t="str"/>
    </x:row>
    <x:row r="226" ht="36" customHeight="1">
      <x:c r="B226" t="str">
        <x:v>RFE-E220</x:v>
      </x:c>
      <x:c r="C226" t="str">
        <x:v>EC-03</x:v>
      </x:c>
      <x:c r="D226" t="str">
        <x:v>AM-05</x:v>
      </x:c>
      <x:c r="E226" t="str">
        <x:v>AF-3</x:v>
      </x:c>
      <x:c r="F226" t="str">
        <x:v>BA</x:v>
      </x:c>
      <x:c r="G226" t="str">
        <x:v>PTC-C</x:v>
      </x:c>
      <x:c r="H226" t="str">
        <x:v>RFP-C1</x:v>
      </x:c>
      <x:c r="I226" s="12" t="str">
        <x:v>AF-3-BA-A02</x:v>
      </x:c>
      <x:c r="J226" t="str">
        <x:v>RFE-P074</x:v>
      </x:c>
      <x:c r="K226" t="str">
        <x:v>challenge</x:v>
      </x:c>
      <x:c r="L226" s="12" t="str">
        <x:v>50% effective source-drain area</x:v>
      </x:c>
      <x:c r="M226" s="14" t="n">
        <x:v>500</x:v>
      </x:c>
      <x:c r="N226" s="14" t="n">
        <x:v>0</x:v>
      </x:c>
      <x:c r="O226" s="14" t="n">
        <x:v>5</x:v>
      </x:c>
      <x:c r="P226" s="14" t="n">
        <x:v>2</x:v>
      </x:c>
      <x:c r="Q226" t="str"/>
      <x:c r="R226" t="str"/>
      <x:c r="S226" t="str"/>
      <x:c r="T226" t="str"/>
      <x:c r="U226" t="str"/>
    </x:row>
    <x:row r="227" ht="36" customHeight="1">
      <x:c r="B227" t="str">
        <x:v>RFE-E221</x:v>
      </x:c>
      <x:c r="C227" t="str">
        <x:v>EC-03</x:v>
      </x:c>
      <x:c r="D227" t="str">
        <x:v>AM-05</x:v>
      </x:c>
      <x:c r="E227" t="str">
        <x:v>AF-3</x:v>
      </x:c>
      <x:c r="F227" t="str">
        <x:v>BA</x:v>
      </x:c>
      <x:c r="G227" t="str">
        <x:v>PTC-C</x:v>
      </x:c>
      <x:c r="H227" t="str">
        <x:v>RFP-C1</x:v>
      </x:c>
      <x:c r="I227" s="12" t="str">
        <x:v>AF-3-BA-A03</x:v>
      </x:c>
      <x:c r="J227" t="str">
        <x:v>RFE-P075</x:v>
      </x:c>
      <x:c r="K227" t="str">
        <x:v>challenge</x:v>
      </x:c>
      <x:c r="L227" s="12" t="str">
        <x:v>candidate sump at 50% liquid-equivalent fill</x:v>
      </x:c>
      <x:c r="M227" s="14" t="n">
        <x:v>500</x:v>
      </x:c>
      <x:c r="N227" s="14" t="n">
        <x:v>0</x:v>
      </x:c>
      <x:c r="O227" s="14" t="n">
        <x:v>5</x:v>
      </x:c>
      <x:c r="P227" s="14" t="n">
        <x:v>1</x:v>
      </x:c>
      <x:c r="Q227" t="str"/>
      <x:c r="R227" t="str"/>
      <x:c r="S227" t="str"/>
      <x:c r="T227" t="str"/>
      <x:c r="U227" t="str"/>
    </x:row>
    <x:row r="228" ht="36" customHeight="1">
      <x:c r="B228" t="str">
        <x:v>RFE-E222</x:v>
      </x:c>
      <x:c r="C228" t="str">
        <x:v>EC-03</x:v>
      </x:c>
      <x:c r="D228" t="str">
        <x:v>AM-05</x:v>
      </x:c>
      <x:c r="E228" t="str">
        <x:v>AF-3</x:v>
      </x:c>
      <x:c r="F228" t="str">
        <x:v>BA</x:v>
      </x:c>
      <x:c r="G228" t="str">
        <x:v>PTC-C</x:v>
      </x:c>
      <x:c r="H228" t="str">
        <x:v>RFP-C1</x:v>
      </x:c>
      <x:c r="I228" s="12" t="str">
        <x:v>AF-3-BA-A03</x:v>
      </x:c>
      <x:c r="J228" t="str">
        <x:v>RFE-P075</x:v>
      </x:c>
      <x:c r="K228" t="str">
        <x:v>control</x:v>
      </x:c>
      <x:c r="L228" s="12" t="str">
        <x:v>matched clean state</x:v>
      </x:c>
      <x:c r="M228" s="14" t="n">
        <x:v>500</x:v>
      </x:c>
      <x:c r="N228" s="14" t="n">
        <x:v>0</x:v>
      </x:c>
      <x:c r="O228" s="14" t="n">
        <x:v>5</x:v>
      </x:c>
      <x:c r="P228" s="14" t="n">
        <x:v>2</x:v>
      </x:c>
      <x:c r="Q228" t="str"/>
      <x:c r="R228" t="str"/>
      <x:c r="S228" t="str"/>
      <x:c r="T228" t="str"/>
      <x:c r="U228" t="str"/>
    </x:row>
    <x:row r="229" ht="36" customHeight="1">
      <x:c r="B229" t="str">
        <x:v>RFE-E223</x:v>
      </x:c>
      <x:c r="C229" t="str">
        <x:v>EC-03</x:v>
      </x:c>
      <x:c r="D229" t="str">
        <x:v>AM-05</x:v>
      </x:c>
      <x:c r="E229" t="str">
        <x:v>AF-3</x:v>
      </x:c>
      <x:c r="F229" t="str">
        <x:v>BA</x:v>
      </x:c>
      <x:c r="G229" t="str">
        <x:v>PTC-C</x:v>
      </x:c>
      <x:c r="H229" t="str">
        <x:v>RFP-C1</x:v>
      </x:c>
      <x:c r="I229" s="12" t="str">
        <x:v>AF-3-BA-A04</x:v>
      </x:c>
      <x:c r="J229" t="str">
        <x:v>RFE-P076</x:v>
      </x:c>
      <x:c r="K229" t="str">
        <x:v>control</x:v>
      </x:c>
      <x:c r="L229" s="12" t="str">
        <x:v>matched clean state</x:v>
      </x:c>
      <x:c r="M229" s="14" t="n">
        <x:v>500</x:v>
      </x:c>
      <x:c r="N229" s="14" t="n">
        <x:v>0</x:v>
      </x:c>
      <x:c r="O229" s="14" t="n">
        <x:v>5</x:v>
      </x:c>
      <x:c r="P229" s="14" t="n">
        <x:v>1</x:v>
      </x:c>
      <x:c r="Q229" t="str"/>
      <x:c r="R229" t="str"/>
      <x:c r="S229" t="str"/>
      <x:c r="T229" t="str"/>
      <x:c r="U229" t="str"/>
    </x:row>
    <x:row r="230" ht="36" customHeight="1">
      <x:c r="B230" t="str">
        <x:v>RFE-E224</x:v>
      </x:c>
      <x:c r="C230" t="str">
        <x:v>EC-03</x:v>
      </x:c>
      <x:c r="D230" t="str">
        <x:v>AM-05</x:v>
      </x:c>
      <x:c r="E230" t="str">
        <x:v>AF-3</x:v>
      </x:c>
      <x:c r="F230" t="str">
        <x:v>BA</x:v>
      </x:c>
      <x:c r="G230" t="str">
        <x:v>PTC-C</x:v>
      </x:c>
      <x:c r="H230" t="str">
        <x:v>RFP-C1</x:v>
      </x:c>
      <x:c r="I230" s="12" t="str">
        <x:v>AF-3-BA-A04</x:v>
      </x:c>
      <x:c r="J230" t="str">
        <x:v>RFE-P076</x:v>
      </x:c>
      <x:c r="K230" t="str">
        <x:v>challenge</x:v>
      </x:c>
      <x:c r="L230" s="12" t="str">
        <x:v>25% grate coverage plus ten mapped fragments</x:v>
      </x:c>
      <x:c r="M230" s="14" t="n">
        <x:v>500</x:v>
      </x:c>
      <x:c r="N230" s="14" t="n">
        <x:v>0</x:v>
      </x:c>
      <x:c r="O230" s="14" t="n">
        <x:v>5</x:v>
      </x:c>
      <x:c r="P230" s="14" t="n">
        <x:v>2</x:v>
      </x:c>
      <x:c r="Q230" t="str"/>
      <x:c r="R230" t="str"/>
      <x:c r="S230" t="str"/>
      <x:c r="T230" t="str"/>
      <x:c r="U230" t="str"/>
    </x:row>
    <x:row r="231" ht="36" customHeight="1">
      <x:c r="B231" t="str">
        <x:v>RFE-E225</x:v>
      </x:c>
      <x:c r="C231" t="str">
        <x:v>EC-04</x:v>
      </x:c>
      <x:c r="D231" t="str">
        <x:v>AM-07</x:v>
      </x:c>
      <x:c r="E231" t="str">
        <x:v>AF-3</x:v>
      </x:c>
      <x:c r="F231" t="str">
        <x:v>BA</x:v>
      </x:c>
      <x:c r="G231" t="str">
        <x:v>PTC-C</x:v>
      </x:c>
      <x:c r="H231" t="str">
        <x:v>RFP-C1</x:v>
      </x:c>
      <x:c r="I231" s="12" t="str">
        <x:v>AF-3-BA-A05</x:v>
      </x:c>
      <x:c r="J231" t="str">
        <x:v>RFE-P077</x:v>
      </x:c>
      <x:c r="K231" t="str">
        <x:v>challenge</x:v>
      </x:c>
      <x:c r="L231" s="12" t="str">
        <x:v>25 m2 pool; igniter command at T+15 s</x:v>
      </x:c>
      <x:c r="M231" s="14" t="n">
        <x:v>2000</x:v>
      </x:c>
      <x:c r="N231" s="14" t="n">
        <x:v>15</x:v>
      </x:c>
      <x:c r="O231" s="14" t="n">
        <x:v>9</x:v>
      </x:c>
      <x:c r="P231" s="14" t="n">
        <x:v>1</x:v>
      </x:c>
      <x:c r="Q231" t="str"/>
      <x:c r="R231" t="str"/>
      <x:c r="S231" t="str"/>
      <x:c r="T231" t="str"/>
      <x:c r="U231" t="str"/>
    </x:row>
    <x:row r="232" ht="36" customHeight="1">
      <x:c r="B232" t="str">
        <x:v>RFE-E226</x:v>
      </x:c>
      <x:c r="C232" t="str">
        <x:v>EC-04</x:v>
      </x:c>
      <x:c r="D232" t="str">
        <x:v>AM-07</x:v>
      </x:c>
      <x:c r="E232" t="str">
        <x:v>AF-3</x:v>
      </x:c>
      <x:c r="F232" t="str">
        <x:v>BA</x:v>
      </x:c>
      <x:c r="G232" t="str">
        <x:v>PTC-C</x:v>
      </x:c>
      <x:c r="H232" t="str">
        <x:v>RFP-C1</x:v>
      </x:c>
      <x:c r="I232" s="12" t="str">
        <x:v>AF-3-BA-A05</x:v>
      </x:c>
      <x:c r="J232" t="str">
        <x:v>RFE-P077</x:v>
      </x:c>
      <x:c r="K232" t="str">
        <x:v>control</x:v>
      </x:c>
      <x:c r="L232" s="12" t="str">
        <x:v>matched clean state</x:v>
      </x:c>
      <x:c r="M232" s="14" t="n">
        <x:v>2000</x:v>
      </x:c>
      <x:c r="N232" s="14" t="n">
        <x:v>15</x:v>
      </x:c>
      <x:c r="O232" s="14" t="n">
        <x:v>9</x:v>
      </x:c>
      <x:c r="P232" s="14" t="n">
        <x:v>2</x:v>
      </x:c>
      <x:c r="Q232" t="str"/>
      <x:c r="R232" t="str"/>
      <x:c r="S232" t="str"/>
      <x:c r="T232" t="str"/>
      <x:c r="U232" t="str"/>
    </x:row>
    <x:row r="233" ht="36" customHeight="1">
      <x:c r="B233" t="str">
        <x:v>RFE-E227</x:v>
      </x:c>
      <x:c r="C233" t="str">
        <x:v>EC-04</x:v>
      </x:c>
      <x:c r="D233" t="str">
        <x:v>AM-07</x:v>
      </x:c>
      <x:c r="E233" t="str">
        <x:v>AF-3</x:v>
      </x:c>
      <x:c r="F233" t="str">
        <x:v>BA</x:v>
      </x:c>
      <x:c r="G233" t="str">
        <x:v>PTC-C</x:v>
      </x:c>
      <x:c r="H233" t="str">
        <x:v>RFP-C1</x:v>
      </x:c>
      <x:c r="I233" s="12" t="str">
        <x:v>AF-3-BA-A06</x:v>
      </x:c>
      <x:c r="J233" t="str">
        <x:v>RFE-P078</x:v>
      </x:c>
      <x:c r="K233" t="str">
        <x:v>control</x:v>
      </x:c>
      <x:c r="L233" s="12" t="str">
        <x:v>matched clean state</x:v>
      </x:c>
      <x:c r="M233" s="14" t="n">
        <x:v>2000</x:v>
      </x:c>
      <x:c r="N233" s="14" t="n">
        <x:v>20</x:v>
      </x:c>
      <x:c r="O233" s="14" t="n">
        <x:v>9</x:v>
      </x:c>
      <x:c r="P233" s="14" t="n">
        <x:v>1</x:v>
      </x:c>
      <x:c r="Q233" t="str"/>
      <x:c r="R233" t="str"/>
      <x:c r="S233" t="str"/>
      <x:c r="T233" t="str"/>
      <x:c r="U233" t="str"/>
    </x:row>
    <x:row r="234" ht="36" customHeight="1">
      <x:c r="B234" t="str">
        <x:v>RFE-E228</x:v>
      </x:c>
      <x:c r="C234" t="str">
        <x:v>EC-04</x:v>
      </x:c>
      <x:c r="D234" t="str">
        <x:v>AM-07</x:v>
      </x:c>
      <x:c r="E234" t="str">
        <x:v>AF-3</x:v>
      </x:c>
      <x:c r="F234" t="str">
        <x:v>BA</x:v>
      </x:c>
      <x:c r="G234" t="str">
        <x:v>PTC-C</x:v>
      </x:c>
      <x:c r="H234" t="str">
        <x:v>RFP-C1</x:v>
      </x:c>
      <x:c r="I234" s="12" t="str">
        <x:v>AF-3-BA-A06</x:v>
      </x:c>
      <x:c r="J234" t="str">
        <x:v>RFE-P078</x:v>
      </x:c>
      <x:c r="K234" t="str">
        <x:v>challenge</x:v>
      </x:c>
      <x:c r="L234" s="12" t="str">
        <x:v>20 min candidate water window; vault begins 50% full</x:v>
      </x:c>
      <x:c r="M234" s="14" t="n">
        <x:v>2000</x:v>
      </x:c>
      <x:c r="N234" s="14" t="n">
        <x:v>20</x:v>
      </x:c>
      <x:c r="O234" s="14" t="n">
        <x:v>9</x:v>
      </x:c>
      <x:c r="P234" s="14" t="n">
        <x:v>2</x:v>
      </x:c>
      <x:c r="Q234" t="str"/>
      <x:c r="R234" t="str"/>
      <x:c r="S234" t="str"/>
      <x:c r="T234" t="str"/>
      <x:c r="U234" t="str"/>
    </x:row>
    <x:row r="235" ht="36" customHeight="1">
      <x:c r="B235" t="str">
        <x:v>RFE-E229</x:v>
      </x:c>
      <x:c r="C235" t="str">
        <x:v>EC-04</x:v>
      </x:c>
      <x:c r="D235" t="str">
        <x:v>AM-07</x:v>
      </x:c>
      <x:c r="E235" t="str">
        <x:v>AF-3</x:v>
      </x:c>
      <x:c r="F235" t="str">
        <x:v>BA</x:v>
      </x:c>
      <x:c r="G235" t="str">
        <x:v>PTC-C</x:v>
      </x:c>
      <x:c r="H235" t="str">
        <x:v>RFP-C1</x:v>
      </x:c>
      <x:c r="I235" s="12" t="str">
        <x:v>AF-3-BA-A07</x:v>
      </x:c>
      <x:c r="J235" t="str">
        <x:v>RFE-P079</x:v>
      </x:c>
      <x:c r="K235" t="str">
        <x:v>challenge</x:v>
      </x:c>
      <x:c r="L235" s="12" t="str">
        <x:v>50% barrier plus 1.5 kPa wind</x:v>
      </x:c>
      <x:c r="M235" s="14" t="n">
        <x:v>2000</x:v>
      </x:c>
      <x:c r="N235" s="14" t="n">
        <x:v>20</x:v>
      </x:c>
      <x:c r="O235" s="14" t="n">
        <x:v>9</x:v>
      </x:c>
      <x:c r="P235" s="14" t="n">
        <x:v>1</x:v>
      </x:c>
      <x:c r="Q235" t="str"/>
      <x:c r="R235" t="str"/>
      <x:c r="S235" t="str"/>
      <x:c r="T235" t="str"/>
      <x:c r="U235" t="str"/>
    </x:row>
    <x:row r="236" ht="36" customHeight="1">
      <x:c r="B236" t="str">
        <x:v>RFE-E230</x:v>
      </x:c>
      <x:c r="C236" t="str">
        <x:v>EC-04</x:v>
      </x:c>
      <x:c r="D236" t="str">
        <x:v>AM-07</x:v>
      </x:c>
      <x:c r="E236" t="str">
        <x:v>AF-3</x:v>
      </x:c>
      <x:c r="F236" t="str">
        <x:v>BA</x:v>
      </x:c>
      <x:c r="G236" t="str">
        <x:v>PTC-C</x:v>
      </x:c>
      <x:c r="H236" t="str">
        <x:v>RFP-C1</x:v>
      </x:c>
      <x:c r="I236" s="12" t="str">
        <x:v>AF-3-BA-A07</x:v>
      </x:c>
      <x:c r="J236" t="str">
        <x:v>RFE-P079</x:v>
      </x:c>
      <x:c r="K236" t="str">
        <x:v>control</x:v>
      </x:c>
      <x:c r="L236" s="12" t="str">
        <x:v>matched clean state</x:v>
      </x:c>
      <x:c r="M236" s="14" t="n">
        <x:v>2000</x:v>
      </x:c>
      <x:c r="N236" s="14" t="n">
        <x:v>20</x:v>
      </x:c>
      <x:c r="O236" s="14" t="n">
        <x:v>9</x:v>
      </x:c>
      <x:c r="P236" s="14" t="n">
        <x:v>2</x:v>
      </x:c>
      <x:c r="Q236" t="str"/>
      <x:c r="R236" t="str"/>
      <x:c r="S236" t="str"/>
      <x:c r="T236" t="str"/>
      <x:c r="U236" t="str"/>
    </x:row>
    <x:row r="237" ht="36" customHeight="1">
      <x:c r="B237" t="str">
        <x:v>RFE-E231</x:v>
      </x:c>
      <x:c r="C237" t="str">
        <x:v>EC-04</x:v>
      </x:c>
      <x:c r="D237" t="str">
        <x:v>AM-07</x:v>
      </x:c>
      <x:c r="E237" t="str">
        <x:v>AF-3</x:v>
      </x:c>
      <x:c r="F237" t="str">
        <x:v>BA</x:v>
      </x:c>
      <x:c r="G237" t="str">
        <x:v>PTC-C</x:v>
      </x:c>
      <x:c r="H237" t="str">
        <x:v>RFP-C1</x:v>
      </x:c>
      <x:c r="I237" s="12" t="str">
        <x:v>AF-3-BA-A08</x:v>
      </x:c>
      <x:c r="J237" t="str">
        <x:v>RFE-P080</x:v>
      </x:c>
      <x:c r="K237" t="str">
        <x:v>control</x:v>
      </x:c>
      <x:c r="L237" s="12" t="str">
        <x:v>matched clean state</x:v>
      </x:c>
      <x:c r="M237" s="14" t="n">
        <x:v>2000</x:v>
      </x:c>
      <x:c r="N237" s="14" t="n">
        <x:v>30</x:v>
      </x:c>
      <x:c r="O237" s="14" t="n">
        <x:v>9</x:v>
      </x:c>
      <x:c r="P237" s="14" t="n">
        <x:v>1</x:v>
      </x:c>
      <x:c r="Q237" t="str"/>
      <x:c r="R237" t="str"/>
      <x:c r="S237" t="str"/>
      <x:c r="T237" t="str"/>
      <x:c r="U237" t="str"/>
    </x:row>
    <x:row r="238" ht="36" customHeight="1">
      <x:c r="B238" t="str">
        <x:v>RFE-E232</x:v>
      </x:c>
      <x:c r="C238" t="str">
        <x:v>EC-04</x:v>
      </x:c>
      <x:c r="D238" t="str">
        <x:v>AM-07</x:v>
      </x:c>
      <x:c r="E238" t="str">
        <x:v>AF-3</x:v>
      </x:c>
      <x:c r="F238" t="str">
        <x:v>BA</x:v>
      </x:c>
      <x:c r="G238" t="str">
        <x:v>PTC-C</x:v>
      </x:c>
      <x:c r="H238" t="str">
        <x:v>RFP-C1</x:v>
      </x:c>
      <x:c r="I238" s="12" t="str">
        <x:v>AF-3-BA-A08</x:v>
      </x:c>
      <x:c r="J238" t="str">
        <x:v>RFE-P080</x:v>
      </x:c>
      <x:c r="K238" t="str">
        <x:v>challenge</x:v>
      </x:c>
      <x:c r="L238" s="12" t="str">
        <x:v>30 min candidate window; normal energy, network and primary time denied</x:v>
      </x:c>
      <x:c r="M238" s="14" t="n">
        <x:v>2000</x:v>
      </x:c>
      <x:c r="N238" s="14" t="n">
        <x:v>30</x:v>
      </x:c>
      <x:c r="O238" s="14" t="n">
        <x:v>9</x:v>
      </x:c>
      <x:c r="P238" s="14" t="n">
        <x:v>2</x:v>
      </x:c>
      <x:c r="Q238" t="str"/>
      <x:c r="R238" t="str"/>
      <x:c r="S238" t="str"/>
      <x:c r="T238" t="str"/>
      <x:c r="U238" t="str"/>
    </x:row>
    <x:row r="239" ht="36" customHeight="1">
      <x:c r="B239" t="str">
        <x:v>RFE-E233</x:v>
      </x:c>
      <x:c r="C239" t="str">
        <x:v>EC-03</x:v>
      </x:c>
      <x:c r="D239" t="str">
        <x:v>AM-05</x:v>
      </x:c>
      <x:c r="E239" t="str">
        <x:v>AF-3</x:v>
      </x:c>
      <x:c r="F239" t="str">
        <x:v>BB</x:v>
      </x:c>
      <x:c r="G239" t="str">
        <x:v>PTC-B</x:v>
      </x:c>
      <x:c r="H239" t="str">
        <x:v>RFP-B2</x:v>
      </x:c>
      <x:c r="I239" s="12" t="str">
        <x:v>AF-3-BB-A01</x:v>
      </x:c>
      <x:c r="J239" t="str">
        <x:v>RFE-P081</x:v>
      </x:c>
      <x:c r="K239" t="str">
        <x:v>control</x:v>
      </x:c>
      <x:c r="L239" s="12" t="str">
        <x:v>matched clean state</x:v>
      </x:c>
      <x:c r="M239" s="14" t="n">
        <x:v>500</x:v>
      </x:c>
      <x:c r="N239" s="14" t="n">
        <x:v>0</x:v>
      </x:c>
      <x:c r="O239" s="14" t="n">
        <x:v>5</x:v>
      </x:c>
      <x:c r="P239" s="14" t="n">
        <x:v>1</x:v>
      </x:c>
      <x:c r="Q239" t="str"/>
      <x:c r="R239" t="str"/>
      <x:c r="S239" t="str"/>
      <x:c r="T239" t="str"/>
      <x:c r="U239" t="str"/>
    </x:row>
    <x:row r="240" ht="36" customHeight="1">
      <x:c r="B240" t="str">
        <x:v>RFE-E234</x:v>
      </x:c>
      <x:c r="C240" t="str">
        <x:v>EC-03</x:v>
      </x:c>
      <x:c r="D240" t="str">
        <x:v>AM-05</x:v>
      </x:c>
      <x:c r="E240" t="str">
        <x:v>AF-3</x:v>
      </x:c>
      <x:c r="F240" t="str">
        <x:v>BB</x:v>
      </x:c>
      <x:c r="G240" t="str">
        <x:v>PTC-B</x:v>
      </x:c>
      <x:c r="H240" t="str">
        <x:v>RFP-B2</x:v>
      </x:c>
      <x:c r="I240" s="12" t="str">
        <x:v>AF-3-BB-A01</x:v>
      </x:c>
      <x:c r="J240" t="str">
        <x:v>RFE-P081</x:v>
      </x:c>
      <x:c r="K240" t="str">
        <x:v>challenge</x:v>
      </x:c>
      <x:c r="L240" s="12" t="str">
        <x:v>1.0% reverse local grade plus ±25 mm datum error</x:v>
      </x:c>
      <x:c r="M240" s="14" t="n">
        <x:v>500</x:v>
      </x:c>
      <x:c r="N240" s="14" t="n">
        <x:v>0</x:v>
      </x:c>
      <x:c r="O240" s="14" t="n">
        <x:v>5</x:v>
      </x:c>
      <x:c r="P240" s="14" t="n">
        <x:v>2</x:v>
      </x:c>
      <x:c r="Q240" t="str"/>
      <x:c r="R240" t="str"/>
      <x:c r="S240" t="str"/>
      <x:c r="T240" t="str"/>
      <x:c r="U240" t="str"/>
    </x:row>
    <x:row r="241" ht="36" customHeight="1">
      <x:c r="B241" t="str">
        <x:v>RFE-E235</x:v>
      </x:c>
      <x:c r="C241" t="str">
        <x:v>EC-03</x:v>
      </x:c>
      <x:c r="D241" t="str">
        <x:v>AM-05</x:v>
      </x:c>
      <x:c r="E241" t="str">
        <x:v>AF-3</x:v>
      </x:c>
      <x:c r="F241" t="str">
        <x:v>BB</x:v>
      </x:c>
      <x:c r="G241" t="str">
        <x:v>PTC-B</x:v>
      </x:c>
      <x:c r="H241" t="str">
        <x:v>RFP-B2</x:v>
      </x:c>
      <x:c r="I241" s="12" t="str">
        <x:v>AF-3-BB-A02</x:v>
      </x:c>
      <x:c r="J241" t="str">
        <x:v>RFE-P082</x:v>
      </x:c>
      <x:c r="K241" t="str">
        <x:v>challenge</x:v>
      </x:c>
      <x:c r="L241" s="12" t="str">
        <x:v>50% effective source-drain area</x:v>
      </x:c>
      <x:c r="M241" s="14" t="n">
        <x:v>500</x:v>
      </x:c>
      <x:c r="N241" s="14" t="n">
        <x:v>0</x:v>
      </x:c>
      <x:c r="O241" s="14" t="n">
        <x:v>5</x:v>
      </x:c>
      <x:c r="P241" s="14" t="n">
        <x:v>1</x:v>
      </x:c>
      <x:c r="Q241" t="str"/>
      <x:c r="R241" t="str"/>
      <x:c r="S241" t="str"/>
      <x:c r="T241" t="str"/>
      <x:c r="U241" t="str"/>
    </x:row>
    <x:row r="242" ht="36" customHeight="1">
      <x:c r="B242" t="str">
        <x:v>RFE-E236</x:v>
      </x:c>
      <x:c r="C242" t="str">
        <x:v>EC-03</x:v>
      </x:c>
      <x:c r="D242" t="str">
        <x:v>AM-05</x:v>
      </x:c>
      <x:c r="E242" t="str">
        <x:v>AF-3</x:v>
      </x:c>
      <x:c r="F242" t="str">
        <x:v>BB</x:v>
      </x:c>
      <x:c r="G242" t="str">
        <x:v>PTC-B</x:v>
      </x:c>
      <x:c r="H242" t="str">
        <x:v>RFP-B2</x:v>
      </x:c>
      <x:c r="I242" s="12" t="str">
        <x:v>AF-3-BB-A02</x:v>
      </x:c>
      <x:c r="J242" t="str">
        <x:v>RFE-P082</x:v>
      </x:c>
      <x:c r="K242" t="str">
        <x:v>control</x:v>
      </x:c>
      <x:c r="L242" s="12" t="str">
        <x:v>matched clean state</x:v>
      </x:c>
      <x:c r="M242" s="14" t="n">
        <x:v>500</x:v>
      </x:c>
      <x:c r="N242" s="14" t="n">
        <x:v>0</x:v>
      </x:c>
      <x:c r="O242" s="14" t="n">
        <x:v>5</x:v>
      </x:c>
      <x:c r="P242" s="14" t="n">
        <x:v>2</x:v>
      </x:c>
      <x:c r="Q242" t="str"/>
      <x:c r="R242" t="str"/>
      <x:c r="S242" t="str"/>
      <x:c r="T242" t="str"/>
      <x:c r="U242" t="str"/>
    </x:row>
    <x:row r="243" ht="36" customHeight="1">
      <x:c r="B243" t="str">
        <x:v>RFE-E237</x:v>
      </x:c>
      <x:c r="C243" t="str">
        <x:v>EC-03</x:v>
      </x:c>
      <x:c r="D243" t="str">
        <x:v>AM-05</x:v>
      </x:c>
      <x:c r="E243" t="str">
        <x:v>AF-3</x:v>
      </x:c>
      <x:c r="F243" t="str">
        <x:v>BB</x:v>
      </x:c>
      <x:c r="G243" t="str">
        <x:v>PTC-B</x:v>
      </x:c>
      <x:c r="H243" t="str">
        <x:v>RFP-B2</x:v>
      </x:c>
      <x:c r="I243" s="12" t="str">
        <x:v>AF-3-BB-A03</x:v>
      </x:c>
      <x:c r="J243" t="str">
        <x:v>RFE-P083</x:v>
      </x:c>
      <x:c r="K243" t="str">
        <x:v>control</x:v>
      </x:c>
      <x:c r="L243" s="12" t="str">
        <x:v>matched clean state</x:v>
      </x:c>
      <x:c r="M243" s="14" t="n">
        <x:v>500</x:v>
      </x:c>
      <x:c r="N243" s="14" t="n">
        <x:v>0</x:v>
      </x:c>
      <x:c r="O243" s="14" t="n">
        <x:v>5</x:v>
      </x:c>
      <x:c r="P243" s="14" t="n">
        <x:v>1</x:v>
      </x:c>
      <x:c r="Q243" t="str"/>
      <x:c r="R243" t="str"/>
      <x:c r="S243" t="str"/>
      <x:c r="T243" t="str"/>
      <x:c r="U243" t="str"/>
    </x:row>
    <x:row r="244" ht="36" customHeight="1">
      <x:c r="B244" t="str">
        <x:v>RFE-E238</x:v>
      </x:c>
      <x:c r="C244" t="str">
        <x:v>EC-03</x:v>
      </x:c>
      <x:c r="D244" t="str">
        <x:v>AM-05</x:v>
      </x:c>
      <x:c r="E244" t="str">
        <x:v>AF-3</x:v>
      </x:c>
      <x:c r="F244" t="str">
        <x:v>BB</x:v>
      </x:c>
      <x:c r="G244" t="str">
        <x:v>PTC-B</x:v>
      </x:c>
      <x:c r="H244" t="str">
        <x:v>RFP-B2</x:v>
      </x:c>
      <x:c r="I244" s="12" t="str">
        <x:v>AF-3-BB-A03</x:v>
      </x:c>
      <x:c r="J244" t="str">
        <x:v>RFE-P083</x:v>
      </x:c>
      <x:c r="K244" t="str">
        <x:v>challenge</x:v>
      </x:c>
      <x:c r="L244" s="12" t="str">
        <x:v>candidate sump at 50% liquid-equivalent fill</x:v>
      </x:c>
      <x:c r="M244" s="14" t="n">
        <x:v>500</x:v>
      </x:c>
      <x:c r="N244" s="14" t="n">
        <x:v>0</x:v>
      </x:c>
      <x:c r="O244" s="14" t="n">
        <x:v>5</x:v>
      </x:c>
      <x:c r="P244" s="14" t="n">
        <x:v>2</x:v>
      </x:c>
      <x:c r="Q244" t="str"/>
      <x:c r="R244" t="str"/>
      <x:c r="S244" t="str"/>
      <x:c r="T244" t="str"/>
      <x:c r="U244" t="str"/>
    </x:row>
    <x:row r="245" ht="36" customHeight="1">
      <x:c r="B245" t="str">
        <x:v>RFE-E239</x:v>
      </x:c>
      <x:c r="C245" t="str">
        <x:v>EC-03</x:v>
      </x:c>
      <x:c r="D245" t="str">
        <x:v>AM-05</x:v>
      </x:c>
      <x:c r="E245" t="str">
        <x:v>AF-3</x:v>
      </x:c>
      <x:c r="F245" t="str">
        <x:v>BB</x:v>
      </x:c>
      <x:c r="G245" t="str">
        <x:v>PTC-B</x:v>
      </x:c>
      <x:c r="H245" t="str">
        <x:v>RFP-B2</x:v>
      </x:c>
      <x:c r="I245" s="12" t="str">
        <x:v>AF-3-BB-A04</x:v>
      </x:c>
      <x:c r="J245" t="str">
        <x:v>RFE-P084</x:v>
      </x:c>
      <x:c r="K245" t="str">
        <x:v>challenge</x:v>
      </x:c>
      <x:c r="L245" s="12" t="str">
        <x:v>25% grate coverage plus ten mapped fragments</x:v>
      </x:c>
      <x:c r="M245" s="14" t="n">
        <x:v>500</x:v>
      </x:c>
      <x:c r="N245" s="14" t="n">
        <x:v>0</x:v>
      </x:c>
      <x:c r="O245" s="14" t="n">
        <x:v>5</x:v>
      </x:c>
      <x:c r="P245" s="14" t="n">
        <x:v>1</x:v>
      </x:c>
      <x:c r="Q245" t="str"/>
      <x:c r="R245" t="str"/>
      <x:c r="S245" t="str"/>
      <x:c r="T245" t="str"/>
      <x:c r="U245" t="str"/>
    </x:row>
    <x:row r="246" ht="36" customHeight="1">
      <x:c r="B246" t="str">
        <x:v>RFE-E240</x:v>
      </x:c>
      <x:c r="C246" t="str">
        <x:v>EC-03</x:v>
      </x:c>
      <x:c r="D246" t="str">
        <x:v>AM-05</x:v>
      </x:c>
      <x:c r="E246" t="str">
        <x:v>AF-3</x:v>
      </x:c>
      <x:c r="F246" t="str">
        <x:v>BB</x:v>
      </x:c>
      <x:c r="G246" t="str">
        <x:v>PTC-B</x:v>
      </x:c>
      <x:c r="H246" t="str">
        <x:v>RFP-B2</x:v>
      </x:c>
      <x:c r="I246" s="12" t="str">
        <x:v>AF-3-BB-A04</x:v>
      </x:c>
      <x:c r="J246" t="str">
        <x:v>RFE-P084</x:v>
      </x:c>
      <x:c r="K246" t="str">
        <x:v>control</x:v>
      </x:c>
      <x:c r="L246" s="12" t="str">
        <x:v>matched clean state</x:v>
      </x:c>
      <x:c r="M246" s="14" t="n">
        <x:v>500</x:v>
      </x:c>
      <x:c r="N246" s="14" t="n">
        <x:v>0</x:v>
      </x:c>
      <x:c r="O246" s="14" t="n">
        <x:v>5</x:v>
      </x:c>
      <x:c r="P246" s="14" t="n">
        <x:v>2</x:v>
      </x:c>
      <x:c r="Q246" t="str"/>
      <x:c r="R246" t="str"/>
      <x:c r="S246" t="str"/>
      <x:c r="T246" t="str"/>
      <x:c r="U246" t="str"/>
    </x:row>
    <x:row r="247" ht="36" customHeight="1">
      <x:c r="B247" t="str">
        <x:v>RFE-E241</x:v>
      </x:c>
      <x:c r="C247" t="str">
        <x:v>EC-04</x:v>
      </x:c>
      <x:c r="D247" t="str">
        <x:v>AM-07</x:v>
      </x:c>
      <x:c r="E247" t="str">
        <x:v>AF-3</x:v>
      </x:c>
      <x:c r="F247" t="str">
        <x:v>BB</x:v>
      </x:c>
      <x:c r="G247" t="str">
        <x:v>PTC-B</x:v>
      </x:c>
      <x:c r="H247" t="str">
        <x:v>RFP-B2</x:v>
      </x:c>
      <x:c r="I247" s="12" t="str">
        <x:v>AF-3-BB-A05</x:v>
      </x:c>
      <x:c r="J247" t="str">
        <x:v>RFE-P085</x:v>
      </x:c>
      <x:c r="K247" t="str">
        <x:v>control</x:v>
      </x:c>
      <x:c r="L247" s="12" t="str">
        <x:v>matched clean state</x:v>
      </x:c>
      <x:c r="M247" s="14" t="n">
        <x:v>2000</x:v>
      </x:c>
      <x:c r="N247" s="14" t="n">
        <x:v>15</x:v>
      </x:c>
      <x:c r="O247" s="14" t="n">
        <x:v>9</x:v>
      </x:c>
      <x:c r="P247" s="14" t="n">
        <x:v>1</x:v>
      </x:c>
      <x:c r="Q247" t="str"/>
      <x:c r="R247" t="str"/>
      <x:c r="S247" t="str"/>
      <x:c r="T247" t="str"/>
      <x:c r="U247" t="str"/>
    </x:row>
    <x:row r="248" ht="36" customHeight="1">
      <x:c r="B248" t="str">
        <x:v>RFE-E242</x:v>
      </x:c>
      <x:c r="C248" t="str">
        <x:v>EC-04</x:v>
      </x:c>
      <x:c r="D248" t="str">
        <x:v>AM-07</x:v>
      </x:c>
      <x:c r="E248" t="str">
        <x:v>AF-3</x:v>
      </x:c>
      <x:c r="F248" t="str">
        <x:v>BB</x:v>
      </x:c>
      <x:c r="G248" t="str">
        <x:v>PTC-B</x:v>
      </x:c>
      <x:c r="H248" t="str">
        <x:v>RFP-B2</x:v>
      </x:c>
      <x:c r="I248" s="12" t="str">
        <x:v>AF-3-BB-A05</x:v>
      </x:c>
      <x:c r="J248" t="str">
        <x:v>RFE-P085</x:v>
      </x:c>
      <x:c r="K248" t="str">
        <x:v>challenge</x:v>
      </x:c>
      <x:c r="L248" s="12" t="str">
        <x:v>25 m2 pool; igniter command at T+15 s</x:v>
      </x:c>
      <x:c r="M248" s="14" t="n">
        <x:v>2000</x:v>
      </x:c>
      <x:c r="N248" s="14" t="n">
        <x:v>15</x:v>
      </x:c>
      <x:c r="O248" s="14" t="n">
        <x:v>9</x:v>
      </x:c>
      <x:c r="P248" s="14" t="n">
        <x:v>2</x:v>
      </x:c>
      <x:c r="Q248" t="str"/>
      <x:c r="R248" t="str"/>
      <x:c r="S248" t="str"/>
      <x:c r="T248" t="str"/>
      <x:c r="U248" t="str"/>
    </x:row>
    <x:row r="249" ht="36" customHeight="1">
      <x:c r="B249" t="str">
        <x:v>RFE-E243</x:v>
      </x:c>
      <x:c r="C249" t="str">
        <x:v>EC-04</x:v>
      </x:c>
      <x:c r="D249" t="str">
        <x:v>AM-07</x:v>
      </x:c>
      <x:c r="E249" t="str">
        <x:v>AF-3</x:v>
      </x:c>
      <x:c r="F249" t="str">
        <x:v>BB</x:v>
      </x:c>
      <x:c r="G249" t="str">
        <x:v>PTC-B</x:v>
      </x:c>
      <x:c r="H249" t="str">
        <x:v>RFP-B2</x:v>
      </x:c>
      <x:c r="I249" s="12" t="str">
        <x:v>AF-3-BB-A06</x:v>
      </x:c>
      <x:c r="J249" t="str">
        <x:v>RFE-P086</x:v>
      </x:c>
      <x:c r="K249" t="str">
        <x:v>challenge</x:v>
      </x:c>
      <x:c r="L249" s="12" t="str">
        <x:v>20 min candidate water window; vault begins 50% full</x:v>
      </x:c>
      <x:c r="M249" s="14" t="n">
        <x:v>2000</x:v>
      </x:c>
      <x:c r="N249" s="14" t="n">
        <x:v>20</x:v>
      </x:c>
      <x:c r="O249" s="14" t="n">
        <x:v>9</x:v>
      </x:c>
      <x:c r="P249" s="14" t="n">
        <x:v>1</x:v>
      </x:c>
      <x:c r="Q249" t="str"/>
      <x:c r="R249" t="str"/>
      <x:c r="S249" t="str"/>
      <x:c r="T249" t="str"/>
      <x:c r="U249" t="str"/>
    </x:row>
    <x:row r="250" ht="36" customHeight="1">
      <x:c r="B250" t="str">
        <x:v>RFE-E244</x:v>
      </x:c>
      <x:c r="C250" t="str">
        <x:v>EC-04</x:v>
      </x:c>
      <x:c r="D250" t="str">
        <x:v>AM-07</x:v>
      </x:c>
      <x:c r="E250" t="str">
        <x:v>AF-3</x:v>
      </x:c>
      <x:c r="F250" t="str">
        <x:v>BB</x:v>
      </x:c>
      <x:c r="G250" t="str">
        <x:v>PTC-B</x:v>
      </x:c>
      <x:c r="H250" t="str">
        <x:v>RFP-B2</x:v>
      </x:c>
      <x:c r="I250" s="12" t="str">
        <x:v>AF-3-BB-A06</x:v>
      </x:c>
      <x:c r="J250" t="str">
        <x:v>RFE-P086</x:v>
      </x:c>
      <x:c r="K250" t="str">
        <x:v>control</x:v>
      </x:c>
      <x:c r="L250" s="12" t="str">
        <x:v>matched clean state</x:v>
      </x:c>
      <x:c r="M250" s="14" t="n">
        <x:v>2000</x:v>
      </x:c>
      <x:c r="N250" s="14" t="n">
        <x:v>20</x:v>
      </x:c>
      <x:c r="O250" s="14" t="n">
        <x:v>9</x:v>
      </x:c>
      <x:c r="P250" s="14" t="n">
        <x:v>2</x:v>
      </x:c>
      <x:c r="Q250" t="str"/>
      <x:c r="R250" t="str"/>
      <x:c r="S250" t="str"/>
      <x:c r="T250" t="str"/>
      <x:c r="U250" t="str"/>
    </x:row>
    <x:row r="251" ht="36" customHeight="1">
      <x:c r="B251" t="str">
        <x:v>RFE-E245</x:v>
      </x:c>
      <x:c r="C251" t="str">
        <x:v>EC-04</x:v>
      </x:c>
      <x:c r="D251" t="str">
        <x:v>AM-07</x:v>
      </x:c>
      <x:c r="E251" t="str">
        <x:v>AF-3</x:v>
      </x:c>
      <x:c r="F251" t="str">
        <x:v>BB</x:v>
      </x:c>
      <x:c r="G251" t="str">
        <x:v>PTC-B</x:v>
      </x:c>
      <x:c r="H251" t="str">
        <x:v>RFP-B2</x:v>
      </x:c>
      <x:c r="I251" s="12" t="str">
        <x:v>AF-3-BB-A07</x:v>
      </x:c>
      <x:c r="J251" t="str">
        <x:v>RFE-P087</x:v>
      </x:c>
      <x:c r="K251" t="str">
        <x:v>control</x:v>
      </x:c>
      <x:c r="L251" s="12" t="str">
        <x:v>matched clean state</x:v>
      </x:c>
      <x:c r="M251" s="14" t="n">
        <x:v>2000</x:v>
      </x:c>
      <x:c r="N251" s="14" t="n">
        <x:v>20</x:v>
      </x:c>
      <x:c r="O251" s="14" t="n">
        <x:v>9</x:v>
      </x:c>
      <x:c r="P251" s="14" t="n">
        <x:v>1</x:v>
      </x:c>
      <x:c r="Q251" t="str"/>
      <x:c r="R251" t="str"/>
      <x:c r="S251" t="str"/>
      <x:c r="T251" t="str"/>
      <x:c r="U251" t="str"/>
    </x:row>
    <x:row r="252" ht="36" customHeight="1">
      <x:c r="B252" t="str">
        <x:v>RFE-E246</x:v>
      </x:c>
      <x:c r="C252" t="str">
        <x:v>EC-04</x:v>
      </x:c>
      <x:c r="D252" t="str">
        <x:v>AM-07</x:v>
      </x:c>
      <x:c r="E252" t="str">
        <x:v>AF-3</x:v>
      </x:c>
      <x:c r="F252" t="str">
        <x:v>BB</x:v>
      </x:c>
      <x:c r="G252" t="str">
        <x:v>PTC-B</x:v>
      </x:c>
      <x:c r="H252" t="str">
        <x:v>RFP-B2</x:v>
      </x:c>
      <x:c r="I252" s="12" t="str">
        <x:v>AF-3-BB-A07</x:v>
      </x:c>
      <x:c r="J252" t="str">
        <x:v>RFE-P087</x:v>
      </x:c>
      <x:c r="K252" t="str">
        <x:v>challenge</x:v>
      </x:c>
      <x:c r="L252" s="12" t="str">
        <x:v>50% barrier plus 1.5 kPa wind</x:v>
      </x:c>
      <x:c r="M252" s="14" t="n">
        <x:v>2000</x:v>
      </x:c>
      <x:c r="N252" s="14" t="n">
        <x:v>20</x:v>
      </x:c>
      <x:c r="O252" s="14" t="n">
        <x:v>9</x:v>
      </x:c>
      <x:c r="P252" s="14" t="n">
        <x:v>2</x:v>
      </x:c>
      <x:c r="Q252" t="str"/>
      <x:c r="R252" t="str"/>
      <x:c r="S252" t="str"/>
      <x:c r="T252" t="str"/>
      <x:c r="U252" t="str"/>
    </x:row>
    <x:row r="253" ht="36" customHeight="1">
      <x:c r="B253" t="str">
        <x:v>RFE-E247</x:v>
      </x:c>
      <x:c r="C253" t="str">
        <x:v>EC-04</x:v>
      </x:c>
      <x:c r="D253" t="str">
        <x:v>AM-07</x:v>
      </x:c>
      <x:c r="E253" t="str">
        <x:v>AF-3</x:v>
      </x:c>
      <x:c r="F253" t="str">
        <x:v>BB</x:v>
      </x:c>
      <x:c r="G253" t="str">
        <x:v>PTC-B</x:v>
      </x:c>
      <x:c r="H253" t="str">
        <x:v>RFP-B2</x:v>
      </x:c>
      <x:c r="I253" s="12" t="str">
        <x:v>AF-3-BB-A08</x:v>
      </x:c>
      <x:c r="J253" t="str">
        <x:v>RFE-P088</x:v>
      </x:c>
      <x:c r="K253" t="str">
        <x:v>challenge</x:v>
      </x:c>
      <x:c r="L253" s="12" t="str">
        <x:v>30 min candidate window; normal energy, network and primary time denied</x:v>
      </x:c>
      <x:c r="M253" s="14" t="n">
        <x:v>2000</x:v>
      </x:c>
      <x:c r="N253" s="14" t="n">
        <x:v>30</x:v>
      </x:c>
      <x:c r="O253" s="14" t="n">
        <x:v>9</x:v>
      </x:c>
      <x:c r="P253" s="14" t="n">
        <x:v>1</x:v>
      </x:c>
      <x:c r="Q253" t="str"/>
      <x:c r="R253" t="str"/>
      <x:c r="S253" t="str"/>
      <x:c r="T253" t="str"/>
      <x:c r="U253" t="str"/>
    </x:row>
    <x:row r="254" ht="36" customHeight="1">
      <x:c r="B254" t="str">
        <x:v>RFE-E248</x:v>
      </x:c>
      <x:c r="C254" t="str">
        <x:v>EC-04</x:v>
      </x:c>
      <x:c r="D254" t="str">
        <x:v>AM-07</x:v>
      </x:c>
      <x:c r="E254" t="str">
        <x:v>AF-3</x:v>
      </x:c>
      <x:c r="F254" t="str">
        <x:v>BB</x:v>
      </x:c>
      <x:c r="G254" t="str">
        <x:v>PTC-B</x:v>
      </x:c>
      <x:c r="H254" t="str">
        <x:v>RFP-B2</x:v>
      </x:c>
      <x:c r="I254" s="12" t="str">
        <x:v>AF-3-BB-A08</x:v>
      </x:c>
      <x:c r="J254" t="str">
        <x:v>RFE-P088</x:v>
      </x:c>
      <x:c r="K254" t="str">
        <x:v>control</x:v>
      </x:c>
      <x:c r="L254" s="12" t="str">
        <x:v>matched clean state</x:v>
      </x:c>
      <x:c r="M254" s="14" t="n">
        <x:v>2000</x:v>
      </x:c>
      <x:c r="N254" s="14" t="n">
        <x:v>30</x:v>
      </x:c>
      <x:c r="O254" s="14" t="n">
        <x:v>9</x:v>
      </x:c>
      <x:c r="P254" s="14" t="n">
        <x:v>2</x:v>
      </x:c>
      <x:c r="Q254" t="str"/>
      <x:c r="R254" t="str"/>
      <x:c r="S254" t="str"/>
      <x:c r="T254" t="str"/>
      <x:c r="U254" t="str"/>
    </x:row>
    <x:row r="255" ht="36" customHeight="1">
      <x:c r="B255" t="str">
        <x:v>RFE-E249</x:v>
      </x:c>
      <x:c r="C255" t="str">
        <x:v>EC-03</x:v>
      </x:c>
      <x:c r="D255" t="str">
        <x:v>AM-05</x:v>
      </x:c>
      <x:c r="E255" t="str">
        <x:v>AF-3</x:v>
      </x:c>
      <x:c r="F255" t="str">
        <x:v>BB</x:v>
      </x:c>
      <x:c r="G255" t="str">
        <x:v>PTC-C</x:v>
      </x:c>
      <x:c r="H255" t="str">
        <x:v>RFP-C2</x:v>
      </x:c>
      <x:c r="I255" s="12" t="str">
        <x:v>AF-3-BB-A01</x:v>
      </x:c>
      <x:c r="J255" t="str">
        <x:v>RFE-P089</x:v>
      </x:c>
      <x:c r="K255" t="str">
        <x:v>challenge</x:v>
      </x:c>
      <x:c r="L255" s="12" t="str">
        <x:v>1.0% reverse local grade plus ±25 mm datum error</x:v>
      </x:c>
      <x:c r="M255" s="14" t="n">
        <x:v>500</x:v>
      </x:c>
      <x:c r="N255" s="14" t="n">
        <x:v>0</x:v>
      </x:c>
      <x:c r="O255" s="14" t="n">
        <x:v>5</x:v>
      </x:c>
      <x:c r="P255" s="14" t="n">
        <x:v>1</x:v>
      </x:c>
      <x:c r="Q255" t="str"/>
      <x:c r="R255" t="str"/>
      <x:c r="S255" t="str"/>
      <x:c r="T255" t="str"/>
      <x:c r="U255" t="str"/>
    </x:row>
    <x:row r="256" ht="36" customHeight="1">
      <x:c r="B256" t="str">
        <x:v>RFE-E250</x:v>
      </x:c>
      <x:c r="C256" t="str">
        <x:v>EC-03</x:v>
      </x:c>
      <x:c r="D256" t="str">
        <x:v>AM-05</x:v>
      </x:c>
      <x:c r="E256" t="str">
        <x:v>AF-3</x:v>
      </x:c>
      <x:c r="F256" t="str">
        <x:v>BB</x:v>
      </x:c>
      <x:c r="G256" t="str">
        <x:v>PTC-C</x:v>
      </x:c>
      <x:c r="H256" t="str">
        <x:v>RFP-C2</x:v>
      </x:c>
      <x:c r="I256" s="12" t="str">
        <x:v>AF-3-BB-A01</x:v>
      </x:c>
      <x:c r="J256" t="str">
        <x:v>RFE-P089</x:v>
      </x:c>
      <x:c r="K256" t="str">
        <x:v>control</x:v>
      </x:c>
      <x:c r="L256" s="12" t="str">
        <x:v>matched clean state</x:v>
      </x:c>
      <x:c r="M256" s="14" t="n">
        <x:v>500</x:v>
      </x:c>
      <x:c r="N256" s="14" t="n">
        <x:v>0</x:v>
      </x:c>
      <x:c r="O256" s="14" t="n">
        <x:v>5</x:v>
      </x:c>
      <x:c r="P256" s="14" t="n">
        <x:v>2</x:v>
      </x:c>
      <x:c r="Q256" t="str"/>
      <x:c r="R256" t="str"/>
      <x:c r="S256" t="str"/>
      <x:c r="T256" t="str"/>
      <x:c r="U256" t="str"/>
    </x:row>
    <x:row r="257" ht="36" customHeight="1">
      <x:c r="B257" t="str">
        <x:v>RFE-E251</x:v>
      </x:c>
      <x:c r="C257" t="str">
        <x:v>EC-03</x:v>
      </x:c>
      <x:c r="D257" t="str">
        <x:v>AM-05</x:v>
      </x:c>
      <x:c r="E257" t="str">
        <x:v>AF-3</x:v>
      </x:c>
      <x:c r="F257" t="str">
        <x:v>BB</x:v>
      </x:c>
      <x:c r="G257" t="str">
        <x:v>PTC-C</x:v>
      </x:c>
      <x:c r="H257" t="str">
        <x:v>RFP-C2</x:v>
      </x:c>
      <x:c r="I257" s="12" t="str">
        <x:v>AF-3-BB-A02</x:v>
      </x:c>
      <x:c r="J257" t="str">
        <x:v>RFE-P090</x:v>
      </x:c>
      <x:c r="K257" t="str">
        <x:v>control</x:v>
      </x:c>
      <x:c r="L257" s="12" t="str">
        <x:v>matched clean state</x:v>
      </x:c>
      <x:c r="M257" s="14" t="n">
        <x:v>500</x:v>
      </x:c>
      <x:c r="N257" s="14" t="n">
        <x:v>0</x:v>
      </x:c>
      <x:c r="O257" s="14" t="n">
        <x:v>5</x:v>
      </x:c>
      <x:c r="P257" s="14" t="n">
        <x:v>1</x:v>
      </x:c>
      <x:c r="Q257" t="str"/>
      <x:c r="R257" t="str"/>
      <x:c r="S257" t="str"/>
      <x:c r="T257" t="str"/>
      <x:c r="U257" t="str"/>
    </x:row>
    <x:row r="258" ht="36" customHeight="1">
      <x:c r="B258" t="str">
        <x:v>RFE-E252</x:v>
      </x:c>
      <x:c r="C258" t="str">
        <x:v>EC-03</x:v>
      </x:c>
      <x:c r="D258" t="str">
        <x:v>AM-05</x:v>
      </x:c>
      <x:c r="E258" t="str">
        <x:v>AF-3</x:v>
      </x:c>
      <x:c r="F258" t="str">
        <x:v>BB</x:v>
      </x:c>
      <x:c r="G258" t="str">
        <x:v>PTC-C</x:v>
      </x:c>
      <x:c r="H258" t="str">
        <x:v>RFP-C2</x:v>
      </x:c>
      <x:c r="I258" s="12" t="str">
        <x:v>AF-3-BB-A02</x:v>
      </x:c>
      <x:c r="J258" t="str">
        <x:v>RFE-P090</x:v>
      </x:c>
      <x:c r="K258" t="str">
        <x:v>challenge</x:v>
      </x:c>
      <x:c r="L258" s="12" t="str">
        <x:v>50% effective source-drain area</x:v>
      </x:c>
      <x:c r="M258" s="14" t="n">
        <x:v>500</x:v>
      </x:c>
      <x:c r="N258" s="14" t="n">
        <x:v>0</x:v>
      </x:c>
      <x:c r="O258" s="14" t="n">
        <x:v>5</x:v>
      </x:c>
      <x:c r="P258" s="14" t="n">
        <x:v>2</x:v>
      </x:c>
      <x:c r="Q258" t="str"/>
      <x:c r="R258" t="str"/>
      <x:c r="S258" t="str"/>
      <x:c r="T258" t="str"/>
      <x:c r="U258" t="str"/>
    </x:row>
    <x:row r="259" ht="36" customHeight="1">
      <x:c r="B259" t="str">
        <x:v>RFE-E253</x:v>
      </x:c>
      <x:c r="C259" t="str">
        <x:v>EC-03</x:v>
      </x:c>
      <x:c r="D259" t="str">
        <x:v>AM-05</x:v>
      </x:c>
      <x:c r="E259" t="str">
        <x:v>AF-3</x:v>
      </x:c>
      <x:c r="F259" t="str">
        <x:v>BB</x:v>
      </x:c>
      <x:c r="G259" t="str">
        <x:v>PTC-C</x:v>
      </x:c>
      <x:c r="H259" t="str">
        <x:v>RFP-C2</x:v>
      </x:c>
      <x:c r="I259" s="12" t="str">
        <x:v>AF-3-BB-A03</x:v>
      </x:c>
      <x:c r="J259" t="str">
        <x:v>RFE-P091</x:v>
      </x:c>
      <x:c r="K259" t="str">
        <x:v>challenge</x:v>
      </x:c>
      <x:c r="L259" s="12" t="str">
        <x:v>candidate sump at 50% liquid-equivalent fill</x:v>
      </x:c>
      <x:c r="M259" s="14" t="n">
        <x:v>500</x:v>
      </x:c>
      <x:c r="N259" s="14" t="n">
        <x:v>0</x:v>
      </x:c>
      <x:c r="O259" s="14" t="n">
        <x:v>5</x:v>
      </x:c>
      <x:c r="P259" s="14" t="n">
        <x:v>1</x:v>
      </x:c>
      <x:c r="Q259" t="str"/>
      <x:c r="R259" t="str"/>
      <x:c r="S259" t="str"/>
      <x:c r="T259" t="str"/>
      <x:c r="U259" t="str"/>
    </x:row>
    <x:row r="260" ht="36" customHeight="1">
      <x:c r="B260" t="str">
        <x:v>RFE-E254</x:v>
      </x:c>
      <x:c r="C260" t="str">
        <x:v>EC-03</x:v>
      </x:c>
      <x:c r="D260" t="str">
        <x:v>AM-05</x:v>
      </x:c>
      <x:c r="E260" t="str">
        <x:v>AF-3</x:v>
      </x:c>
      <x:c r="F260" t="str">
        <x:v>BB</x:v>
      </x:c>
      <x:c r="G260" t="str">
        <x:v>PTC-C</x:v>
      </x:c>
      <x:c r="H260" t="str">
        <x:v>RFP-C2</x:v>
      </x:c>
      <x:c r="I260" s="12" t="str">
        <x:v>AF-3-BB-A03</x:v>
      </x:c>
      <x:c r="J260" t="str">
        <x:v>RFE-P091</x:v>
      </x:c>
      <x:c r="K260" t="str">
        <x:v>control</x:v>
      </x:c>
      <x:c r="L260" s="12" t="str">
        <x:v>matched clean state</x:v>
      </x:c>
      <x:c r="M260" s="14" t="n">
        <x:v>500</x:v>
      </x:c>
      <x:c r="N260" s="14" t="n">
        <x:v>0</x:v>
      </x:c>
      <x:c r="O260" s="14" t="n">
        <x:v>5</x:v>
      </x:c>
      <x:c r="P260" s="14" t="n">
        <x:v>2</x:v>
      </x:c>
      <x:c r="Q260" t="str"/>
      <x:c r="R260" t="str"/>
      <x:c r="S260" t="str"/>
      <x:c r="T260" t="str"/>
      <x:c r="U260" t="str"/>
    </x:row>
    <x:row r="261" ht="36" customHeight="1">
      <x:c r="B261" t="str">
        <x:v>RFE-E255</x:v>
      </x:c>
      <x:c r="C261" t="str">
        <x:v>EC-03</x:v>
      </x:c>
      <x:c r="D261" t="str">
        <x:v>AM-05</x:v>
      </x:c>
      <x:c r="E261" t="str">
        <x:v>AF-3</x:v>
      </x:c>
      <x:c r="F261" t="str">
        <x:v>BB</x:v>
      </x:c>
      <x:c r="G261" t="str">
        <x:v>PTC-C</x:v>
      </x:c>
      <x:c r="H261" t="str">
        <x:v>RFP-C2</x:v>
      </x:c>
      <x:c r="I261" s="12" t="str">
        <x:v>AF-3-BB-A04</x:v>
      </x:c>
      <x:c r="J261" t="str">
        <x:v>RFE-P092</x:v>
      </x:c>
      <x:c r="K261" t="str">
        <x:v>control</x:v>
      </x:c>
      <x:c r="L261" s="12" t="str">
        <x:v>matched clean state</x:v>
      </x:c>
      <x:c r="M261" s="14" t="n">
        <x:v>500</x:v>
      </x:c>
      <x:c r="N261" s="14" t="n">
        <x:v>0</x:v>
      </x:c>
      <x:c r="O261" s="14" t="n">
        <x:v>5</x:v>
      </x:c>
      <x:c r="P261" s="14" t="n">
        <x:v>1</x:v>
      </x:c>
      <x:c r="Q261" t="str"/>
      <x:c r="R261" t="str"/>
      <x:c r="S261" t="str"/>
      <x:c r="T261" t="str"/>
      <x:c r="U261" t="str"/>
    </x:row>
    <x:row r="262" ht="36" customHeight="1">
      <x:c r="B262" t="str">
        <x:v>RFE-E256</x:v>
      </x:c>
      <x:c r="C262" t="str">
        <x:v>EC-03</x:v>
      </x:c>
      <x:c r="D262" t="str">
        <x:v>AM-05</x:v>
      </x:c>
      <x:c r="E262" t="str">
        <x:v>AF-3</x:v>
      </x:c>
      <x:c r="F262" t="str">
        <x:v>BB</x:v>
      </x:c>
      <x:c r="G262" t="str">
        <x:v>PTC-C</x:v>
      </x:c>
      <x:c r="H262" t="str">
        <x:v>RFP-C2</x:v>
      </x:c>
      <x:c r="I262" s="12" t="str">
        <x:v>AF-3-BB-A04</x:v>
      </x:c>
      <x:c r="J262" t="str">
        <x:v>RFE-P092</x:v>
      </x:c>
      <x:c r="K262" t="str">
        <x:v>challenge</x:v>
      </x:c>
      <x:c r="L262" s="12" t="str">
        <x:v>25% grate coverage plus ten mapped fragments</x:v>
      </x:c>
      <x:c r="M262" s="14" t="n">
        <x:v>500</x:v>
      </x:c>
      <x:c r="N262" s="14" t="n">
        <x:v>0</x:v>
      </x:c>
      <x:c r="O262" s="14" t="n">
        <x:v>5</x:v>
      </x:c>
      <x:c r="P262" s="14" t="n">
        <x:v>2</x:v>
      </x:c>
      <x:c r="Q262" t="str"/>
      <x:c r="R262" t="str"/>
      <x:c r="S262" t="str"/>
      <x:c r="T262" t="str"/>
      <x:c r="U262" t="str"/>
    </x:row>
    <x:row r="263" ht="36" customHeight="1">
      <x:c r="B263" t="str">
        <x:v>RFE-E257</x:v>
      </x:c>
      <x:c r="C263" t="str">
        <x:v>EC-04</x:v>
      </x:c>
      <x:c r="D263" t="str">
        <x:v>AM-07</x:v>
      </x:c>
      <x:c r="E263" t="str">
        <x:v>AF-3</x:v>
      </x:c>
      <x:c r="F263" t="str">
        <x:v>BB</x:v>
      </x:c>
      <x:c r="G263" t="str">
        <x:v>PTC-C</x:v>
      </x:c>
      <x:c r="H263" t="str">
        <x:v>RFP-C2</x:v>
      </x:c>
      <x:c r="I263" s="12" t="str">
        <x:v>AF-3-BB-A05</x:v>
      </x:c>
      <x:c r="J263" t="str">
        <x:v>RFE-P093</x:v>
      </x:c>
      <x:c r="K263" t="str">
        <x:v>challenge</x:v>
      </x:c>
      <x:c r="L263" s="12" t="str">
        <x:v>25 m2 pool; igniter command at T+15 s</x:v>
      </x:c>
      <x:c r="M263" s="14" t="n">
        <x:v>2000</x:v>
      </x:c>
      <x:c r="N263" s="14" t="n">
        <x:v>15</x:v>
      </x:c>
      <x:c r="O263" s="14" t="n">
        <x:v>9</x:v>
      </x:c>
      <x:c r="P263" s="14" t="n">
        <x:v>1</x:v>
      </x:c>
      <x:c r="Q263" t="str"/>
      <x:c r="R263" t="str"/>
      <x:c r="S263" t="str"/>
      <x:c r="T263" t="str"/>
      <x:c r="U263" t="str"/>
    </x:row>
    <x:row r="264" ht="36" customHeight="1">
      <x:c r="B264" t="str">
        <x:v>RFE-E258</x:v>
      </x:c>
      <x:c r="C264" t="str">
        <x:v>EC-04</x:v>
      </x:c>
      <x:c r="D264" t="str">
        <x:v>AM-07</x:v>
      </x:c>
      <x:c r="E264" t="str">
        <x:v>AF-3</x:v>
      </x:c>
      <x:c r="F264" t="str">
        <x:v>BB</x:v>
      </x:c>
      <x:c r="G264" t="str">
        <x:v>PTC-C</x:v>
      </x:c>
      <x:c r="H264" t="str">
        <x:v>RFP-C2</x:v>
      </x:c>
      <x:c r="I264" s="12" t="str">
        <x:v>AF-3-BB-A05</x:v>
      </x:c>
      <x:c r="J264" t="str">
        <x:v>RFE-P093</x:v>
      </x:c>
      <x:c r="K264" t="str">
        <x:v>control</x:v>
      </x:c>
      <x:c r="L264" s="12" t="str">
        <x:v>matched clean state</x:v>
      </x:c>
      <x:c r="M264" s="14" t="n">
        <x:v>2000</x:v>
      </x:c>
      <x:c r="N264" s="14" t="n">
        <x:v>15</x:v>
      </x:c>
      <x:c r="O264" s="14" t="n">
        <x:v>9</x:v>
      </x:c>
      <x:c r="P264" s="14" t="n">
        <x:v>2</x:v>
      </x:c>
      <x:c r="Q264" t="str"/>
      <x:c r="R264" t="str"/>
      <x:c r="S264" t="str"/>
      <x:c r="T264" t="str"/>
      <x:c r="U264" t="str"/>
    </x:row>
    <x:row r="265" ht="36" customHeight="1">
      <x:c r="B265" t="str">
        <x:v>RFE-E259</x:v>
      </x:c>
      <x:c r="C265" t="str">
        <x:v>EC-04</x:v>
      </x:c>
      <x:c r="D265" t="str">
        <x:v>AM-07</x:v>
      </x:c>
      <x:c r="E265" t="str">
        <x:v>AF-3</x:v>
      </x:c>
      <x:c r="F265" t="str">
        <x:v>BB</x:v>
      </x:c>
      <x:c r="G265" t="str">
        <x:v>PTC-C</x:v>
      </x:c>
      <x:c r="H265" t="str">
        <x:v>RFP-C2</x:v>
      </x:c>
      <x:c r="I265" s="12" t="str">
        <x:v>AF-3-BB-A06</x:v>
      </x:c>
      <x:c r="J265" t="str">
        <x:v>RFE-P094</x:v>
      </x:c>
      <x:c r="K265" t="str">
        <x:v>control</x:v>
      </x:c>
      <x:c r="L265" s="12" t="str">
        <x:v>matched clean state</x:v>
      </x:c>
      <x:c r="M265" s="14" t="n">
        <x:v>2000</x:v>
      </x:c>
      <x:c r="N265" s="14" t="n">
        <x:v>20</x:v>
      </x:c>
      <x:c r="O265" s="14" t="n">
        <x:v>9</x:v>
      </x:c>
      <x:c r="P265" s="14" t="n">
        <x:v>1</x:v>
      </x:c>
      <x:c r="Q265" t="str"/>
      <x:c r="R265" t="str"/>
      <x:c r="S265" t="str"/>
      <x:c r="T265" t="str"/>
      <x:c r="U265" t="str"/>
    </x:row>
    <x:row r="266" ht="36" customHeight="1">
      <x:c r="B266" t="str">
        <x:v>RFE-E260</x:v>
      </x:c>
      <x:c r="C266" t="str">
        <x:v>EC-04</x:v>
      </x:c>
      <x:c r="D266" t="str">
        <x:v>AM-07</x:v>
      </x:c>
      <x:c r="E266" t="str">
        <x:v>AF-3</x:v>
      </x:c>
      <x:c r="F266" t="str">
        <x:v>BB</x:v>
      </x:c>
      <x:c r="G266" t="str">
        <x:v>PTC-C</x:v>
      </x:c>
      <x:c r="H266" t="str">
        <x:v>RFP-C2</x:v>
      </x:c>
      <x:c r="I266" s="12" t="str">
        <x:v>AF-3-BB-A06</x:v>
      </x:c>
      <x:c r="J266" t="str">
        <x:v>RFE-P094</x:v>
      </x:c>
      <x:c r="K266" t="str">
        <x:v>challenge</x:v>
      </x:c>
      <x:c r="L266" s="12" t="str">
        <x:v>20 min candidate water window; vault begins 50% full</x:v>
      </x:c>
      <x:c r="M266" s="14" t="n">
        <x:v>2000</x:v>
      </x:c>
      <x:c r="N266" s="14" t="n">
        <x:v>20</x:v>
      </x:c>
      <x:c r="O266" s="14" t="n">
        <x:v>9</x:v>
      </x:c>
      <x:c r="P266" s="14" t="n">
        <x:v>2</x:v>
      </x:c>
      <x:c r="Q266" t="str"/>
      <x:c r="R266" t="str"/>
      <x:c r="S266" t="str"/>
      <x:c r="T266" t="str"/>
      <x:c r="U266" t="str"/>
    </x:row>
    <x:row r="267" ht="36" customHeight="1">
      <x:c r="B267" t="str">
        <x:v>RFE-E261</x:v>
      </x:c>
      <x:c r="C267" t="str">
        <x:v>EC-04</x:v>
      </x:c>
      <x:c r="D267" t="str">
        <x:v>AM-07</x:v>
      </x:c>
      <x:c r="E267" t="str">
        <x:v>AF-3</x:v>
      </x:c>
      <x:c r="F267" t="str">
        <x:v>BB</x:v>
      </x:c>
      <x:c r="G267" t="str">
        <x:v>PTC-C</x:v>
      </x:c>
      <x:c r="H267" t="str">
        <x:v>RFP-C2</x:v>
      </x:c>
      <x:c r="I267" s="12" t="str">
        <x:v>AF-3-BB-A07</x:v>
      </x:c>
      <x:c r="J267" t="str">
        <x:v>RFE-P095</x:v>
      </x:c>
      <x:c r="K267" t="str">
        <x:v>challenge</x:v>
      </x:c>
      <x:c r="L267" s="12" t="str">
        <x:v>50% barrier plus 1.5 kPa wind</x:v>
      </x:c>
      <x:c r="M267" s="14" t="n">
        <x:v>2000</x:v>
      </x:c>
      <x:c r="N267" s="14" t="n">
        <x:v>20</x:v>
      </x:c>
      <x:c r="O267" s="14" t="n">
        <x:v>9</x:v>
      </x:c>
      <x:c r="P267" s="14" t="n">
        <x:v>1</x:v>
      </x:c>
      <x:c r="Q267" t="str"/>
      <x:c r="R267" t="str"/>
      <x:c r="S267" t="str"/>
      <x:c r="T267" t="str"/>
      <x:c r="U267" t="str"/>
    </x:row>
    <x:row r="268" ht="36" customHeight="1">
      <x:c r="B268" t="str">
        <x:v>RFE-E262</x:v>
      </x:c>
      <x:c r="C268" t="str">
        <x:v>EC-04</x:v>
      </x:c>
      <x:c r="D268" t="str">
        <x:v>AM-07</x:v>
      </x:c>
      <x:c r="E268" t="str">
        <x:v>AF-3</x:v>
      </x:c>
      <x:c r="F268" t="str">
        <x:v>BB</x:v>
      </x:c>
      <x:c r="G268" t="str">
        <x:v>PTC-C</x:v>
      </x:c>
      <x:c r="H268" t="str">
        <x:v>RFP-C2</x:v>
      </x:c>
      <x:c r="I268" s="12" t="str">
        <x:v>AF-3-BB-A07</x:v>
      </x:c>
      <x:c r="J268" t="str">
        <x:v>RFE-P095</x:v>
      </x:c>
      <x:c r="K268" t="str">
        <x:v>control</x:v>
      </x:c>
      <x:c r="L268" s="12" t="str">
        <x:v>matched clean state</x:v>
      </x:c>
      <x:c r="M268" s="14" t="n">
        <x:v>2000</x:v>
      </x:c>
      <x:c r="N268" s="14" t="n">
        <x:v>20</x:v>
      </x:c>
      <x:c r="O268" s="14" t="n">
        <x:v>9</x:v>
      </x:c>
      <x:c r="P268" s="14" t="n">
        <x:v>2</x:v>
      </x:c>
      <x:c r="Q268" t="str"/>
      <x:c r="R268" t="str"/>
      <x:c r="S268" t="str"/>
      <x:c r="T268" t="str"/>
      <x:c r="U268" t="str"/>
    </x:row>
    <x:row r="269" ht="36" customHeight="1">
      <x:c r="B269" t="str">
        <x:v>RFE-E263</x:v>
      </x:c>
      <x:c r="C269" t="str">
        <x:v>EC-04</x:v>
      </x:c>
      <x:c r="D269" t="str">
        <x:v>AM-07</x:v>
      </x:c>
      <x:c r="E269" t="str">
        <x:v>AF-3</x:v>
      </x:c>
      <x:c r="F269" t="str">
        <x:v>BB</x:v>
      </x:c>
      <x:c r="G269" t="str">
        <x:v>PTC-C</x:v>
      </x:c>
      <x:c r="H269" t="str">
        <x:v>RFP-C2</x:v>
      </x:c>
      <x:c r="I269" s="12" t="str">
        <x:v>AF-3-BB-A08</x:v>
      </x:c>
      <x:c r="J269" t="str">
        <x:v>RFE-P096</x:v>
      </x:c>
      <x:c r="K269" t="str">
        <x:v>control</x:v>
      </x:c>
      <x:c r="L269" s="12" t="str">
        <x:v>matched clean state</x:v>
      </x:c>
      <x:c r="M269" s="14" t="n">
        <x:v>2000</x:v>
      </x:c>
      <x:c r="N269" s="14" t="n">
        <x:v>30</x:v>
      </x:c>
      <x:c r="O269" s="14" t="n">
        <x:v>9</x:v>
      </x:c>
      <x:c r="P269" s="14" t="n">
        <x:v>1</x:v>
      </x:c>
      <x:c r="Q269" t="str"/>
      <x:c r="R269" t="str"/>
      <x:c r="S269" t="str"/>
      <x:c r="T269" t="str"/>
      <x:c r="U269" t="str"/>
    </x:row>
    <x:row r="270" ht="36" customHeight="1">
      <x:c r="B270" t="str">
        <x:v>RFE-E264</x:v>
      </x:c>
      <x:c r="C270" t="str">
        <x:v>EC-04</x:v>
      </x:c>
      <x:c r="D270" t="str">
        <x:v>AM-07</x:v>
      </x:c>
      <x:c r="E270" t="str">
        <x:v>AF-3</x:v>
      </x:c>
      <x:c r="F270" t="str">
        <x:v>BB</x:v>
      </x:c>
      <x:c r="G270" t="str">
        <x:v>PTC-C</x:v>
      </x:c>
      <x:c r="H270" t="str">
        <x:v>RFP-C2</x:v>
      </x:c>
      <x:c r="I270" s="12" t="str">
        <x:v>AF-3-BB-A08</x:v>
      </x:c>
      <x:c r="J270" t="str">
        <x:v>RFE-P096</x:v>
      </x:c>
      <x:c r="K270" t="str">
        <x:v>challenge</x:v>
      </x:c>
      <x:c r="L270" s="12" t="str">
        <x:v>30 min candidate window; normal energy, network and primary time denied</x:v>
      </x:c>
      <x:c r="M270" s="14" t="n">
        <x:v>2000</x:v>
      </x:c>
      <x:c r="N270" s="14" t="n">
        <x:v>30</x:v>
      </x:c>
      <x:c r="O270" s="14" t="n">
        <x:v>9</x:v>
      </x:c>
      <x:c r="P270" s="14" t="n">
        <x:v>2</x:v>
      </x:c>
      <x:c r="Q270" t="str"/>
      <x:c r="R270" t="str"/>
      <x:c r="S270" t="str"/>
      <x:c r="T270" t="str"/>
      <x:c r="U270" t="str"/>
    </x:row>
    <x:row r="271" ht="36" customHeight="1">
      <x:c r="B271" t="str">
        <x:v>RFE-E265</x:v>
      </x:c>
      <x:c r="C271" t="str">
        <x:v>EC-05</x:v>
      </x:c>
      <x:c r="D271" t="str">
        <x:v>AM-08</x:v>
      </x:c>
      <x:c r="E271" t="str">
        <x:v>AF-1</x:v>
      </x:c>
      <x:c r="F271" t="str">
        <x:v>BA</x:v>
      </x:c>
      <x:c r="G271" t="str">
        <x:v>PTC-A</x:v>
      </x:c>
      <x:c r="H271" t="str">
        <x:v>RFP-A1</x:v>
      </x:c>
      <x:c r="I271" s="12" t="str">
        <x:v>AF-1-BA-D01</x:v>
      </x:c>
      <x:c r="J271" t="str">
        <x:v>—</x:v>
      </x:c>
      <x:c r="K271" t="str">
        <x:v>destructive</x:v>
      </x:c>
      <x:c r="L271" s="12" t="str">
        <x:v>source-route severance</x:v>
      </x:c>
      <x:c r="M271" s="14" t="n">
        <x:v>2000</x:v>
      </x:c>
      <x:c r="N271" s="14" t="n">
        <x:v>20</x:v>
      </x:c>
      <x:c r="O271" s="14" t="n">
        <x:v>14</x:v>
      </x:c>
      <x:c r="P271" s="14" t="n">
        <x:v>1</x:v>
      </x:c>
      <x:c r="Q271" t="str"/>
      <x:c r="R271" t="str"/>
      <x:c r="S271" t="str"/>
      <x:c r="T271" t="str"/>
      <x:c r="U271" t="str"/>
    </x:row>
    <x:row r="272" ht="36" customHeight="1">
      <x:c r="B272" t="str">
        <x:v>RFE-E266</x:v>
      </x:c>
      <x:c r="C272" t="str">
        <x:v>EC-05</x:v>
      </x:c>
      <x:c r="D272" t="str">
        <x:v>AM-08</x:v>
      </x:c>
      <x:c r="E272" t="str">
        <x:v>AF-1</x:v>
      </x:c>
      <x:c r="F272" t="str">
        <x:v>BA</x:v>
      </x:c>
      <x:c r="G272" t="str">
        <x:v>PTC-A</x:v>
      </x:c>
      <x:c r="H272" t="str">
        <x:v>RFP-A1</x:v>
      </x:c>
      <x:c r="I272" s="12" t="str">
        <x:v>AF-1-BA-D02</x:v>
      </x:c>
      <x:c r="J272" t="str">
        <x:v>—</x:v>
      </x:c>
      <x:c r="K272" t="str">
        <x:v>destructive</x:v>
      </x:c>
      <x:c r="L272" s="12" t="str">
        <x:v>candidate-vault overflow</x:v>
      </x:c>
      <x:c r="M272" s="14" t="n">
        <x:v>2000</x:v>
      </x:c>
      <x:c r="N272" s="14" t="n">
        <x:v>20</x:v>
      </x:c>
      <x:c r="O272" s="14" t="n">
        <x:v>14</x:v>
      </x:c>
      <x:c r="P272" s="14" t="n">
        <x:v>2</x:v>
      </x:c>
      <x:c r="Q272" t="str"/>
      <x:c r="R272" t="str"/>
      <x:c r="S272" t="str"/>
      <x:c r="T272" t="str"/>
      <x:c r="U272" t="str"/>
    </x:row>
    <x:row r="273" ht="36" customHeight="1">
      <x:c r="B273" t="str">
        <x:v>RFE-E267</x:v>
      </x:c>
      <x:c r="C273" t="str">
        <x:v>EC-05</x:v>
      </x:c>
      <x:c r="D273" t="str">
        <x:v>AM-08</x:v>
      </x:c>
      <x:c r="E273" t="str">
        <x:v>AF-1</x:v>
      </x:c>
      <x:c r="F273" t="str">
        <x:v>BA</x:v>
      </x:c>
      <x:c r="G273" t="str">
        <x:v>PTC-A</x:v>
      </x:c>
      <x:c r="H273" t="str">
        <x:v>RFP-A1</x:v>
      </x:c>
      <x:c r="I273" s="12" t="str">
        <x:v>AF-1-BA-D03</x:v>
      </x:c>
      <x:c r="J273" t="str">
        <x:v>—</x:v>
      </x:c>
      <x:c r="K273" t="str">
        <x:v>destructive</x:v>
      </x:c>
      <x:c r="L273" s="12" t="str">
        <x:v>thermal-barrier breach</x:v>
      </x:c>
      <x:c r="M273" s="14" t="n">
        <x:v>2000</x:v>
      </x:c>
      <x:c r="N273" s="14" t="n">
        <x:v>20</x:v>
      </x:c>
      <x:c r="O273" s="14" t="n">
        <x:v>14</x:v>
      </x:c>
      <x:c r="P273" s="14" t="n">
        <x:v>3</x:v>
      </x:c>
      <x:c r="Q273" t="str"/>
      <x:c r="R273" t="str"/>
      <x:c r="S273" t="str"/>
      <x:c r="T273" t="str"/>
      <x:c r="U273" t="str"/>
    </x:row>
    <x:row r="274" ht="36" customHeight="1">
      <x:c r="B274" t="str">
        <x:v>RFE-E268</x:v>
      </x:c>
      <x:c r="C274" t="str">
        <x:v>EC-05</x:v>
      </x:c>
      <x:c r="D274" t="str">
        <x:v>AM-08</x:v>
      </x:c>
      <x:c r="E274" t="str">
        <x:v>AF-1</x:v>
      </x:c>
      <x:c r="F274" t="str">
        <x:v>BA</x:v>
      </x:c>
      <x:c r="G274" t="str">
        <x:v>PTC-A</x:v>
      </x:c>
      <x:c r="H274" t="str">
        <x:v>RFP-A1</x:v>
      </x:c>
      <x:c r="I274" s="12" t="str">
        <x:v>AF-1-BA-D04</x:v>
      </x:c>
      <x:c r="J274" t="str">
        <x:v>—</x:v>
      </x:c>
      <x:c r="K274" t="str">
        <x:v>destructive</x:v>
      </x:c>
      <x:c r="L274" s="12" t="str">
        <x:v>compound drain, energy and evidence loss</x:v>
      </x:c>
      <x:c r="M274" s="14" t="n">
        <x:v>2000</x:v>
      </x:c>
      <x:c r="N274" s="14" t="n">
        <x:v>20</x:v>
      </x:c>
      <x:c r="O274" s="14" t="n">
        <x:v>14</x:v>
      </x:c>
      <x:c r="P274" s="14" t="n">
        <x:v>4</x:v>
      </x:c>
      <x:c r="Q274" t="str"/>
      <x:c r="R274" t="str"/>
      <x:c r="S274" t="str"/>
      <x:c r="T274" t="str"/>
      <x:c r="U274" t="str"/>
    </x:row>
    <x:row r="275" ht="36" customHeight="1">
      <x:c r="B275" t="str">
        <x:v>RFE-E269</x:v>
      </x:c>
      <x:c r="C275" t="str">
        <x:v>EC-05</x:v>
      </x:c>
      <x:c r="D275" t="str">
        <x:v>AM-08</x:v>
      </x:c>
      <x:c r="E275" t="str">
        <x:v>AF-1</x:v>
      </x:c>
      <x:c r="F275" t="str">
        <x:v>BB</x:v>
      </x:c>
      <x:c r="G275" t="str">
        <x:v>PTC-A</x:v>
      </x:c>
      <x:c r="H275" t="str">
        <x:v>RFP-A2</x:v>
      </x:c>
      <x:c r="I275" s="12" t="str">
        <x:v>AF-1-BB-D01</x:v>
      </x:c>
      <x:c r="J275" t="str">
        <x:v>—</x:v>
      </x:c>
      <x:c r="K275" t="str">
        <x:v>destructive</x:v>
      </x:c>
      <x:c r="L275" s="12" t="str">
        <x:v>source-route severance</x:v>
      </x:c>
      <x:c r="M275" s="14" t="n">
        <x:v>2000</x:v>
      </x:c>
      <x:c r="N275" s="14" t="n">
        <x:v>20</x:v>
      </x:c>
      <x:c r="O275" s="14" t="n">
        <x:v>14</x:v>
      </x:c>
      <x:c r="P275" s="14" t="n">
        <x:v>1</x:v>
      </x:c>
      <x:c r="Q275" t="str"/>
      <x:c r="R275" t="str"/>
      <x:c r="S275" t="str"/>
      <x:c r="T275" t="str"/>
      <x:c r="U275" t="str"/>
    </x:row>
    <x:row r="276" ht="36" customHeight="1">
      <x:c r="B276" t="str">
        <x:v>RFE-E270</x:v>
      </x:c>
      <x:c r="C276" t="str">
        <x:v>EC-05</x:v>
      </x:c>
      <x:c r="D276" t="str">
        <x:v>AM-08</x:v>
      </x:c>
      <x:c r="E276" t="str">
        <x:v>AF-1</x:v>
      </x:c>
      <x:c r="F276" t="str">
        <x:v>BB</x:v>
      </x:c>
      <x:c r="G276" t="str">
        <x:v>PTC-A</x:v>
      </x:c>
      <x:c r="H276" t="str">
        <x:v>RFP-A2</x:v>
      </x:c>
      <x:c r="I276" s="12" t="str">
        <x:v>AF-1-BB-D02</x:v>
      </x:c>
      <x:c r="J276" t="str">
        <x:v>—</x:v>
      </x:c>
      <x:c r="K276" t="str">
        <x:v>destructive</x:v>
      </x:c>
      <x:c r="L276" s="12" t="str">
        <x:v>candidate-vault overflow</x:v>
      </x:c>
      <x:c r="M276" s="14" t="n">
        <x:v>2000</x:v>
      </x:c>
      <x:c r="N276" s="14" t="n">
        <x:v>20</x:v>
      </x:c>
      <x:c r="O276" s="14" t="n">
        <x:v>14</x:v>
      </x:c>
      <x:c r="P276" s="14" t="n">
        <x:v>2</x:v>
      </x:c>
      <x:c r="Q276" t="str"/>
      <x:c r="R276" t="str"/>
      <x:c r="S276" t="str"/>
      <x:c r="T276" t="str"/>
      <x:c r="U276" t="str"/>
    </x:row>
    <x:row r="277" ht="36" customHeight="1">
      <x:c r="B277" t="str">
        <x:v>RFE-E271</x:v>
      </x:c>
      <x:c r="C277" t="str">
        <x:v>EC-05</x:v>
      </x:c>
      <x:c r="D277" t="str">
        <x:v>AM-08</x:v>
      </x:c>
      <x:c r="E277" t="str">
        <x:v>AF-1</x:v>
      </x:c>
      <x:c r="F277" t="str">
        <x:v>BB</x:v>
      </x:c>
      <x:c r="G277" t="str">
        <x:v>PTC-A</x:v>
      </x:c>
      <x:c r="H277" t="str">
        <x:v>RFP-A2</x:v>
      </x:c>
      <x:c r="I277" s="12" t="str">
        <x:v>AF-1-BB-D03</x:v>
      </x:c>
      <x:c r="J277" t="str">
        <x:v>—</x:v>
      </x:c>
      <x:c r="K277" t="str">
        <x:v>destructive</x:v>
      </x:c>
      <x:c r="L277" s="12" t="str">
        <x:v>thermal-barrier breach</x:v>
      </x:c>
      <x:c r="M277" s="14" t="n">
        <x:v>2000</x:v>
      </x:c>
      <x:c r="N277" s="14" t="n">
        <x:v>20</x:v>
      </x:c>
      <x:c r="O277" s="14" t="n">
        <x:v>14</x:v>
      </x:c>
      <x:c r="P277" s="14" t="n">
        <x:v>3</x:v>
      </x:c>
      <x:c r="Q277" t="str"/>
      <x:c r="R277" t="str"/>
      <x:c r="S277" t="str"/>
      <x:c r="T277" t="str"/>
      <x:c r="U277" t="str"/>
    </x:row>
    <x:row r="278" ht="36" customHeight="1">
      <x:c r="B278" t="str">
        <x:v>RFE-E272</x:v>
      </x:c>
      <x:c r="C278" t="str">
        <x:v>EC-05</x:v>
      </x:c>
      <x:c r="D278" t="str">
        <x:v>AM-08</x:v>
      </x:c>
      <x:c r="E278" t="str">
        <x:v>AF-1</x:v>
      </x:c>
      <x:c r="F278" t="str">
        <x:v>BB</x:v>
      </x:c>
      <x:c r="G278" t="str">
        <x:v>PTC-A</x:v>
      </x:c>
      <x:c r="H278" t="str">
        <x:v>RFP-A2</x:v>
      </x:c>
      <x:c r="I278" s="12" t="str">
        <x:v>AF-1-BB-D04</x:v>
      </x:c>
      <x:c r="J278" t="str">
        <x:v>—</x:v>
      </x:c>
      <x:c r="K278" t="str">
        <x:v>destructive</x:v>
      </x:c>
      <x:c r="L278" s="12" t="str">
        <x:v>compound drain, energy and evidence loss</x:v>
      </x:c>
      <x:c r="M278" s="14" t="n">
        <x:v>2000</x:v>
      </x:c>
      <x:c r="N278" s="14" t="n">
        <x:v>20</x:v>
      </x:c>
      <x:c r="O278" s="14" t="n">
        <x:v>14</x:v>
      </x:c>
      <x:c r="P278" s="14" t="n">
        <x:v>4</x:v>
      </x:c>
      <x:c r="Q278" t="str"/>
      <x:c r="R278" t="str"/>
      <x:c r="S278" t="str"/>
      <x:c r="T278" t="str"/>
      <x:c r="U278" t="str"/>
    </x:row>
    <x:row r="279" ht="36" customHeight="1">
      <x:c r="B279" t="str">
        <x:v>RFE-E273</x:v>
      </x:c>
      <x:c r="C279" t="str">
        <x:v>EC-05</x:v>
      </x:c>
      <x:c r="D279" t="str">
        <x:v>AM-08</x:v>
      </x:c>
      <x:c r="E279" t="str">
        <x:v>AF-2</x:v>
      </x:c>
      <x:c r="F279" t="str">
        <x:v>BA</x:v>
      </x:c>
      <x:c r="G279" t="str">
        <x:v>PTC-A</x:v>
      </x:c>
      <x:c r="H279" t="str">
        <x:v>RFP-A1</x:v>
      </x:c>
      <x:c r="I279" s="12" t="str">
        <x:v>AF-2-BA-D01</x:v>
      </x:c>
      <x:c r="J279" t="str">
        <x:v>—</x:v>
      </x:c>
      <x:c r="K279" t="str">
        <x:v>destructive</x:v>
      </x:c>
      <x:c r="L279" s="12" t="str">
        <x:v>source-route severance</x:v>
      </x:c>
      <x:c r="M279" s="14" t="n">
        <x:v>2000</x:v>
      </x:c>
      <x:c r="N279" s="14" t="n">
        <x:v>20</x:v>
      </x:c>
      <x:c r="O279" s="14" t="n">
        <x:v>14</x:v>
      </x:c>
      <x:c r="P279" s="14" t="n">
        <x:v>1</x:v>
      </x:c>
      <x:c r="Q279" t="str"/>
      <x:c r="R279" t="str"/>
      <x:c r="S279" t="str"/>
      <x:c r="T279" t="str"/>
      <x:c r="U279" t="str"/>
    </x:row>
    <x:row r="280" ht="36" customHeight="1">
      <x:c r="B280" t="str">
        <x:v>RFE-E274</x:v>
      </x:c>
      <x:c r="C280" t="str">
        <x:v>EC-05</x:v>
      </x:c>
      <x:c r="D280" t="str">
        <x:v>AM-08</x:v>
      </x:c>
      <x:c r="E280" t="str">
        <x:v>AF-2</x:v>
      </x:c>
      <x:c r="F280" t="str">
        <x:v>BA</x:v>
      </x:c>
      <x:c r="G280" t="str">
        <x:v>PTC-A</x:v>
      </x:c>
      <x:c r="H280" t="str">
        <x:v>RFP-A1</x:v>
      </x:c>
      <x:c r="I280" s="12" t="str">
        <x:v>AF-2-BA-D02</x:v>
      </x:c>
      <x:c r="J280" t="str">
        <x:v>—</x:v>
      </x:c>
      <x:c r="K280" t="str">
        <x:v>destructive</x:v>
      </x:c>
      <x:c r="L280" s="12" t="str">
        <x:v>candidate-vault overflow</x:v>
      </x:c>
      <x:c r="M280" s="14" t="n">
        <x:v>2000</x:v>
      </x:c>
      <x:c r="N280" s="14" t="n">
        <x:v>20</x:v>
      </x:c>
      <x:c r="O280" s="14" t="n">
        <x:v>14</x:v>
      </x:c>
      <x:c r="P280" s="14" t="n">
        <x:v>2</x:v>
      </x:c>
      <x:c r="Q280" t="str"/>
      <x:c r="R280" t="str"/>
      <x:c r="S280" t="str"/>
      <x:c r="T280" t="str"/>
      <x:c r="U280" t="str"/>
    </x:row>
    <x:row r="281" ht="36" customHeight="1">
      <x:c r="B281" t="str">
        <x:v>RFE-E275</x:v>
      </x:c>
      <x:c r="C281" t="str">
        <x:v>EC-05</x:v>
      </x:c>
      <x:c r="D281" t="str">
        <x:v>AM-08</x:v>
      </x:c>
      <x:c r="E281" t="str">
        <x:v>AF-2</x:v>
      </x:c>
      <x:c r="F281" t="str">
        <x:v>BA</x:v>
      </x:c>
      <x:c r="G281" t="str">
        <x:v>PTC-A</x:v>
      </x:c>
      <x:c r="H281" t="str">
        <x:v>RFP-A1</x:v>
      </x:c>
      <x:c r="I281" s="12" t="str">
        <x:v>AF-2-BA-D03</x:v>
      </x:c>
      <x:c r="J281" t="str">
        <x:v>—</x:v>
      </x:c>
      <x:c r="K281" t="str">
        <x:v>destructive</x:v>
      </x:c>
      <x:c r="L281" s="12" t="str">
        <x:v>thermal-barrier breach</x:v>
      </x:c>
      <x:c r="M281" s="14" t="n">
        <x:v>2000</x:v>
      </x:c>
      <x:c r="N281" s="14" t="n">
        <x:v>20</x:v>
      </x:c>
      <x:c r="O281" s="14" t="n">
        <x:v>14</x:v>
      </x:c>
      <x:c r="P281" s="14" t="n">
        <x:v>3</x:v>
      </x:c>
      <x:c r="Q281" t="str"/>
      <x:c r="R281" t="str"/>
      <x:c r="S281" t="str"/>
      <x:c r="T281" t="str"/>
      <x:c r="U281" t="str"/>
    </x:row>
    <x:row r="282" ht="36" customHeight="1">
      <x:c r="B282" t="str">
        <x:v>RFE-E276</x:v>
      </x:c>
      <x:c r="C282" t="str">
        <x:v>EC-05</x:v>
      </x:c>
      <x:c r="D282" t="str">
        <x:v>AM-08</x:v>
      </x:c>
      <x:c r="E282" t="str">
        <x:v>AF-2</x:v>
      </x:c>
      <x:c r="F282" t="str">
        <x:v>BA</x:v>
      </x:c>
      <x:c r="G282" t="str">
        <x:v>PTC-A</x:v>
      </x:c>
      <x:c r="H282" t="str">
        <x:v>RFP-A1</x:v>
      </x:c>
      <x:c r="I282" s="12" t="str">
        <x:v>AF-2-BA-D04</x:v>
      </x:c>
      <x:c r="J282" t="str">
        <x:v>—</x:v>
      </x:c>
      <x:c r="K282" t="str">
        <x:v>destructive</x:v>
      </x:c>
      <x:c r="L282" s="12" t="str">
        <x:v>compound drain, energy and evidence loss</x:v>
      </x:c>
      <x:c r="M282" s="14" t="n">
        <x:v>2000</x:v>
      </x:c>
      <x:c r="N282" s="14" t="n">
        <x:v>20</x:v>
      </x:c>
      <x:c r="O282" s="14" t="n">
        <x:v>14</x:v>
      </x:c>
      <x:c r="P282" s="14" t="n">
        <x:v>4</x:v>
      </x:c>
      <x:c r="Q282" t="str"/>
      <x:c r="R282" t="str"/>
      <x:c r="S282" t="str"/>
      <x:c r="T282" t="str"/>
      <x:c r="U282" t="str"/>
    </x:row>
    <x:row r="283" ht="36" customHeight="1">
      <x:c r="B283" t="str">
        <x:v>RFE-E277</x:v>
      </x:c>
      <x:c r="C283" t="str">
        <x:v>EC-05</x:v>
      </x:c>
      <x:c r="D283" t="str">
        <x:v>AM-08</x:v>
      </x:c>
      <x:c r="E283" t="str">
        <x:v>AF-2</x:v>
      </x:c>
      <x:c r="F283" t="str">
        <x:v>BB</x:v>
      </x:c>
      <x:c r="G283" t="str">
        <x:v>PTC-A</x:v>
      </x:c>
      <x:c r="H283" t="str">
        <x:v>RFP-A2</x:v>
      </x:c>
      <x:c r="I283" s="12" t="str">
        <x:v>AF-2-BB-D01</x:v>
      </x:c>
      <x:c r="J283" t="str">
        <x:v>—</x:v>
      </x:c>
      <x:c r="K283" t="str">
        <x:v>destructive</x:v>
      </x:c>
      <x:c r="L283" s="12" t="str">
        <x:v>source-route severance</x:v>
      </x:c>
      <x:c r="M283" s="14" t="n">
        <x:v>2000</x:v>
      </x:c>
      <x:c r="N283" s="14" t="n">
        <x:v>20</x:v>
      </x:c>
      <x:c r="O283" s="14" t="n">
        <x:v>14</x:v>
      </x:c>
      <x:c r="P283" s="14" t="n">
        <x:v>1</x:v>
      </x:c>
      <x:c r="Q283" t="str"/>
      <x:c r="R283" t="str"/>
      <x:c r="S283" t="str"/>
      <x:c r="T283" t="str"/>
      <x:c r="U283" t="str"/>
    </x:row>
    <x:row r="284" ht="36" customHeight="1">
      <x:c r="B284" t="str">
        <x:v>RFE-E278</x:v>
      </x:c>
      <x:c r="C284" t="str">
        <x:v>EC-05</x:v>
      </x:c>
      <x:c r="D284" t="str">
        <x:v>AM-08</x:v>
      </x:c>
      <x:c r="E284" t="str">
        <x:v>AF-2</x:v>
      </x:c>
      <x:c r="F284" t="str">
        <x:v>BB</x:v>
      </x:c>
      <x:c r="G284" t="str">
        <x:v>PTC-A</x:v>
      </x:c>
      <x:c r="H284" t="str">
        <x:v>RFP-A2</x:v>
      </x:c>
      <x:c r="I284" s="12" t="str">
        <x:v>AF-2-BB-D02</x:v>
      </x:c>
      <x:c r="J284" t="str">
        <x:v>—</x:v>
      </x:c>
      <x:c r="K284" t="str">
        <x:v>destructive</x:v>
      </x:c>
      <x:c r="L284" s="12" t="str">
        <x:v>candidate-vault overflow</x:v>
      </x:c>
      <x:c r="M284" s="14" t="n">
        <x:v>2000</x:v>
      </x:c>
      <x:c r="N284" s="14" t="n">
        <x:v>20</x:v>
      </x:c>
      <x:c r="O284" s="14" t="n">
        <x:v>14</x:v>
      </x:c>
      <x:c r="P284" s="14" t="n">
        <x:v>2</x:v>
      </x:c>
      <x:c r="Q284" t="str"/>
      <x:c r="R284" t="str"/>
      <x:c r="S284" t="str"/>
      <x:c r="T284" t="str"/>
      <x:c r="U284" t="str"/>
    </x:row>
    <x:row r="285" ht="36" customHeight="1">
      <x:c r="B285" t="str">
        <x:v>RFE-E279</x:v>
      </x:c>
      <x:c r="C285" t="str">
        <x:v>EC-05</x:v>
      </x:c>
      <x:c r="D285" t="str">
        <x:v>AM-08</x:v>
      </x:c>
      <x:c r="E285" t="str">
        <x:v>AF-2</x:v>
      </x:c>
      <x:c r="F285" t="str">
        <x:v>BB</x:v>
      </x:c>
      <x:c r="G285" t="str">
        <x:v>PTC-A</x:v>
      </x:c>
      <x:c r="H285" t="str">
        <x:v>RFP-A2</x:v>
      </x:c>
      <x:c r="I285" s="12" t="str">
        <x:v>AF-2-BB-D03</x:v>
      </x:c>
      <x:c r="J285" t="str">
        <x:v>—</x:v>
      </x:c>
      <x:c r="K285" t="str">
        <x:v>destructive</x:v>
      </x:c>
      <x:c r="L285" s="12" t="str">
        <x:v>thermal-barrier breach</x:v>
      </x:c>
      <x:c r="M285" s="14" t="n">
        <x:v>2000</x:v>
      </x:c>
      <x:c r="N285" s="14" t="n">
        <x:v>20</x:v>
      </x:c>
      <x:c r="O285" s="14" t="n">
        <x:v>14</x:v>
      </x:c>
      <x:c r="P285" s="14" t="n">
        <x:v>3</x:v>
      </x:c>
      <x:c r="Q285" t="str"/>
      <x:c r="R285" t="str"/>
      <x:c r="S285" t="str"/>
      <x:c r="T285" t="str"/>
      <x:c r="U285" t="str"/>
    </x:row>
    <x:row r="286" ht="36" customHeight="1">
      <x:c r="B286" t="str">
        <x:v>RFE-E280</x:v>
      </x:c>
      <x:c r="C286" t="str">
        <x:v>EC-05</x:v>
      </x:c>
      <x:c r="D286" t="str">
        <x:v>AM-08</x:v>
      </x:c>
      <x:c r="E286" t="str">
        <x:v>AF-2</x:v>
      </x:c>
      <x:c r="F286" t="str">
        <x:v>BB</x:v>
      </x:c>
      <x:c r="G286" t="str">
        <x:v>PTC-A</x:v>
      </x:c>
      <x:c r="H286" t="str">
        <x:v>RFP-A2</x:v>
      </x:c>
      <x:c r="I286" s="12" t="str">
        <x:v>AF-2-BB-D04</x:v>
      </x:c>
      <x:c r="J286" t="str">
        <x:v>—</x:v>
      </x:c>
      <x:c r="K286" t="str">
        <x:v>destructive</x:v>
      </x:c>
      <x:c r="L286" s="12" t="str">
        <x:v>compound drain, energy and evidence loss</x:v>
      </x:c>
      <x:c r="M286" s="14" t="n">
        <x:v>2000</x:v>
      </x:c>
      <x:c r="N286" s="14" t="n">
        <x:v>20</x:v>
      </x:c>
      <x:c r="O286" s="14" t="n">
        <x:v>14</x:v>
      </x:c>
      <x:c r="P286" s="14" t="n">
        <x:v>4</x:v>
      </x:c>
      <x:c r="Q286" t="str"/>
      <x:c r="R286" t="str"/>
      <x:c r="S286" t="str"/>
      <x:c r="T286" t="str"/>
      <x:c r="U286" t="str"/>
    </x:row>
    <x:row r="287" ht="36" customHeight="1">
      <x:c r="B287" t="str">
        <x:v>RFE-E281</x:v>
      </x:c>
      <x:c r="C287" t="str">
        <x:v>EC-05</x:v>
      </x:c>
      <x:c r="D287" t="str">
        <x:v>AM-08</x:v>
      </x:c>
      <x:c r="E287" t="str">
        <x:v>AF-3</x:v>
      </x:c>
      <x:c r="F287" t="str">
        <x:v>BA</x:v>
      </x:c>
      <x:c r="G287" t="str">
        <x:v>PTC-A</x:v>
      </x:c>
      <x:c r="H287" t="str">
        <x:v>RFP-A1</x:v>
      </x:c>
      <x:c r="I287" s="12" t="str">
        <x:v>AF-3-BA-D01</x:v>
      </x:c>
      <x:c r="J287" t="str">
        <x:v>—</x:v>
      </x:c>
      <x:c r="K287" t="str">
        <x:v>destructive</x:v>
      </x:c>
      <x:c r="L287" s="12" t="str">
        <x:v>source-route severance</x:v>
      </x:c>
      <x:c r="M287" s="14" t="n">
        <x:v>2000</x:v>
      </x:c>
      <x:c r="N287" s="14" t="n">
        <x:v>20</x:v>
      </x:c>
      <x:c r="O287" s="14" t="n">
        <x:v>14</x:v>
      </x:c>
      <x:c r="P287" s="14" t="n">
        <x:v>1</x:v>
      </x:c>
      <x:c r="Q287" t="str"/>
      <x:c r="R287" t="str"/>
      <x:c r="S287" t="str"/>
      <x:c r="T287" t="str"/>
      <x:c r="U287" t="str"/>
    </x:row>
    <x:row r="288" ht="36" customHeight="1">
      <x:c r="B288" t="str">
        <x:v>RFE-E282</x:v>
      </x:c>
      <x:c r="C288" t="str">
        <x:v>EC-05</x:v>
      </x:c>
      <x:c r="D288" t="str">
        <x:v>AM-08</x:v>
      </x:c>
      <x:c r="E288" t="str">
        <x:v>AF-3</x:v>
      </x:c>
      <x:c r="F288" t="str">
        <x:v>BA</x:v>
      </x:c>
      <x:c r="G288" t="str">
        <x:v>PTC-A</x:v>
      </x:c>
      <x:c r="H288" t="str">
        <x:v>RFP-A1</x:v>
      </x:c>
      <x:c r="I288" s="12" t="str">
        <x:v>AF-3-BA-D02</x:v>
      </x:c>
      <x:c r="J288" t="str">
        <x:v>—</x:v>
      </x:c>
      <x:c r="K288" t="str">
        <x:v>destructive</x:v>
      </x:c>
      <x:c r="L288" s="12" t="str">
        <x:v>candidate-vault overflow</x:v>
      </x:c>
      <x:c r="M288" s="14" t="n">
        <x:v>2000</x:v>
      </x:c>
      <x:c r="N288" s="14" t="n">
        <x:v>20</x:v>
      </x:c>
      <x:c r="O288" s="14" t="n">
        <x:v>14</x:v>
      </x:c>
      <x:c r="P288" s="14" t="n">
        <x:v>2</x:v>
      </x:c>
      <x:c r="Q288" t="str"/>
      <x:c r="R288" t="str"/>
      <x:c r="S288" t="str"/>
      <x:c r="T288" t="str"/>
      <x:c r="U288" t="str"/>
    </x:row>
    <x:row r="289" ht="36" customHeight="1">
      <x:c r="B289" t="str">
        <x:v>RFE-E283</x:v>
      </x:c>
      <x:c r="C289" t="str">
        <x:v>EC-05</x:v>
      </x:c>
      <x:c r="D289" t="str">
        <x:v>AM-08</x:v>
      </x:c>
      <x:c r="E289" t="str">
        <x:v>AF-3</x:v>
      </x:c>
      <x:c r="F289" t="str">
        <x:v>BA</x:v>
      </x:c>
      <x:c r="G289" t="str">
        <x:v>PTC-A</x:v>
      </x:c>
      <x:c r="H289" t="str">
        <x:v>RFP-A1</x:v>
      </x:c>
      <x:c r="I289" s="12" t="str">
        <x:v>AF-3-BA-D03</x:v>
      </x:c>
      <x:c r="J289" t="str">
        <x:v>—</x:v>
      </x:c>
      <x:c r="K289" t="str">
        <x:v>destructive</x:v>
      </x:c>
      <x:c r="L289" s="12" t="str">
        <x:v>thermal-barrier breach</x:v>
      </x:c>
      <x:c r="M289" s="14" t="n">
        <x:v>2000</x:v>
      </x:c>
      <x:c r="N289" s="14" t="n">
        <x:v>20</x:v>
      </x:c>
      <x:c r="O289" s="14" t="n">
        <x:v>14</x:v>
      </x:c>
      <x:c r="P289" s="14" t="n">
        <x:v>3</x:v>
      </x:c>
      <x:c r="Q289" t="str"/>
      <x:c r="R289" t="str"/>
      <x:c r="S289" t="str"/>
      <x:c r="T289" t="str"/>
      <x:c r="U289" t="str"/>
    </x:row>
    <x:row r="290" ht="36" customHeight="1">
      <x:c r="B290" t="str">
        <x:v>RFE-E284</x:v>
      </x:c>
      <x:c r="C290" t="str">
        <x:v>EC-05</x:v>
      </x:c>
      <x:c r="D290" t="str">
        <x:v>AM-08</x:v>
      </x:c>
      <x:c r="E290" t="str">
        <x:v>AF-3</x:v>
      </x:c>
      <x:c r="F290" t="str">
        <x:v>BA</x:v>
      </x:c>
      <x:c r="G290" t="str">
        <x:v>PTC-A</x:v>
      </x:c>
      <x:c r="H290" t="str">
        <x:v>RFP-A1</x:v>
      </x:c>
      <x:c r="I290" s="12" t="str">
        <x:v>AF-3-BA-D04</x:v>
      </x:c>
      <x:c r="J290" t="str">
        <x:v>—</x:v>
      </x:c>
      <x:c r="K290" t="str">
        <x:v>destructive</x:v>
      </x:c>
      <x:c r="L290" s="12" t="str">
        <x:v>compound drain, energy and evidence loss</x:v>
      </x:c>
      <x:c r="M290" s="14" t="n">
        <x:v>2000</x:v>
      </x:c>
      <x:c r="N290" s="14" t="n">
        <x:v>20</x:v>
      </x:c>
      <x:c r="O290" s="14" t="n">
        <x:v>14</x:v>
      </x:c>
      <x:c r="P290" s="14" t="n">
        <x:v>4</x:v>
      </x:c>
      <x:c r="Q290" t="str"/>
      <x:c r="R290" t="str"/>
      <x:c r="S290" t="str"/>
      <x:c r="T290" t="str"/>
      <x:c r="U290" t="str"/>
    </x:row>
    <x:row r="291" ht="36" customHeight="1">
      <x:c r="B291" t="str">
        <x:v>RFE-E285</x:v>
      </x:c>
      <x:c r="C291" t="str">
        <x:v>EC-05</x:v>
      </x:c>
      <x:c r="D291" t="str">
        <x:v>AM-08</x:v>
      </x:c>
      <x:c r="E291" t="str">
        <x:v>AF-3</x:v>
      </x:c>
      <x:c r="F291" t="str">
        <x:v>BB</x:v>
      </x:c>
      <x:c r="G291" t="str">
        <x:v>PTC-A</x:v>
      </x:c>
      <x:c r="H291" t="str">
        <x:v>RFP-A2</x:v>
      </x:c>
      <x:c r="I291" s="12" t="str">
        <x:v>AF-3-BB-D01</x:v>
      </x:c>
      <x:c r="J291" t="str">
        <x:v>—</x:v>
      </x:c>
      <x:c r="K291" t="str">
        <x:v>destructive</x:v>
      </x:c>
      <x:c r="L291" s="12" t="str">
        <x:v>source-route severance</x:v>
      </x:c>
      <x:c r="M291" s="14" t="n">
        <x:v>2000</x:v>
      </x:c>
      <x:c r="N291" s="14" t="n">
        <x:v>20</x:v>
      </x:c>
      <x:c r="O291" s="14" t="n">
        <x:v>14</x:v>
      </x:c>
      <x:c r="P291" s="14" t="n">
        <x:v>1</x:v>
      </x:c>
      <x:c r="Q291" t="str"/>
      <x:c r="R291" t="str"/>
      <x:c r="S291" t="str"/>
      <x:c r="T291" t="str"/>
      <x:c r="U291" t="str"/>
    </x:row>
    <x:row r="292" ht="36" customHeight="1">
      <x:c r="B292" t="str">
        <x:v>RFE-E286</x:v>
      </x:c>
      <x:c r="C292" t="str">
        <x:v>EC-05</x:v>
      </x:c>
      <x:c r="D292" t="str">
        <x:v>AM-08</x:v>
      </x:c>
      <x:c r="E292" t="str">
        <x:v>AF-3</x:v>
      </x:c>
      <x:c r="F292" t="str">
        <x:v>BB</x:v>
      </x:c>
      <x:c r="G292" t="str">
        <x:v>PTC-A</x:v>
      </x:c>
      <x:c r="H292" t="str">
        <x:v>RFP-A2</x:v>
      </x:c>
      <x:c r="I292" s="12" t="str">
        <x:v>AF-3-BB-D02</x:v>
      </x:c>
      <x:c r="J292" t="str">
        <x:v>—</x:v>
      </x:c>
      <x:c r="K292" t="str">
        <x:v>destructive</x:v>
      </x:c>
      <x:c r="L292" s="12" t="str">
        <x:v>candidate-vault overflow</x:v>
      </x:c>
      <x:c r="M292" s="14" t="n">
        <x:v>2000</x:v>
      </x:c>
      <x:c r="N292" s="14" t="n">
        <x:v>20</x:v>
      </x:c>
      <x:c r="O292" s="14" t="n">
        <x:v>14</x:v>
      </x:c>
      <x:c r="P292" s="14" t="n">
        <x:v>2</x:v>
      </x:c>
      <x:c r="Q292" t="str"/>
      <x:c r="R292" t="str"/>
      <x:c r="S292" t="str"/>
      <x:c r="T292" t="str"/>
      <x:c r="U292" t="str"/>
    </x:row>
    <x:row r="293" ht="36" customHeight="1">
      <x:c r="B293" t="str">
        <x:v>RFE-E287</x:v>
      </x:c>
      <x:c r="C293" t="str">
        <x:v>EC-05</x:v>
      </x:c>
      <x:c r="D293" t="str">
        <x:v>AM-08</x:v>
      </x:c>
      <x:c r="E293" t="str">
        <x:v>AF-3</x:v>
      </x:c>
      <x:c r="F293" t="str">
        <x:v>BB</x:v>
      </x:c>
      <x:c r="G293" t="str">
        <x:v>PTC-A</x:v>
      </x:c>
      <x:c r="H293" t="str">
        <x:v>RFP-A2</x:v>
      </x:c>
      <x:c r="I293" s="12" t="str">
        <x:v>AF-3-BB-D03</x:v>
      </x:c>
      <x:c r="J293" t="str">
        <x:v>—</x:v>
      </x:c>
      <x:c r="K293" t="str">
        <x:v>destructive</x:v>
      </x:c>
      <x:c r="L293" s="12" t="str">
        <x:v>thermal-barrier breach</x:v>
      </x:c>
      <x:c r="M293" s="14" t="n">
        <x:v>2000</x:v>
      </x:c>
      <x:c r="N293" s="14" t="n">
        <x:v>20</x:v>
      </x:c>
      <x:c r="O293" s="14" t="n">
        <x:v>14</x:v>
      </x:c>
      <x:c r="P293" s="14" t="n">
        <x:v>3</x:v>
      </x:c>
      <x:c r="Q293" t="str"/>
      <x:c r="R293" t="str"/>
      <x:c r="S293" t="str"/>
      <x:c r="T293" t="str"/>
      <x:c r="U293" t="str"/>
    </x:row>
    <x:row r="294" ht="36" customHeight="1">
      <x:c r="B294" t="str">
        <x:v>RFE-E288</x:v>
      </x:c>
      <x:c r="C294" t="str">
        <x:v>EC-05</x:v>
      </x:c>
      <x:c r="D294" t="str">
        <x:v>AM-08</x:v>
      </x:c>
      <x:c r="E294" t="str">
        <x:v>AF-3</x:v>
      </x:c>
      <x:c r="F294" t="str">
        <x:v>BB</x:v>
      </x:c>
      <x:c r="G294" t="str">
        <x:v>PTC-A</x:v>
      </x:c>
      <x:c r="H294" t="str">
        <x:v>RFP-A2</x:v>
      </x:c>
      <x:c r="I294" s="12" t="str">
        <x:v>AF-3-BB-D04</x:v>
      </x:c>
      <x:c r="J294" t="str">
        <x:v>—</x:v>
      </x:c>
      <x:c r="K294" t="str">
        <x:v>destructive</x:v>
      </x:c>
      <x:c r="L294" s="12" t="str">
        <x:v>compound drain, energy and evidence loss</x:v>
      </x:c>
      <x:c r="M294" s="14" t="n">
        <x:v>2000</x:v>
      </x:c>
      <x:c r="N294" s="14" t="n">
        <x:v>20</x:v>
      </x:c>
      <x:c r="O294" s="14" t="n">
        <x:v>14</x:v>
      </x:c>
      <x:c r="P294" s="14" t="n">
        <x:v>4</x:v>
      </x:c>
      <x:c r="Q294" t="str"/>
      <x:c r="R294" t="str"/>
      <x:c r="S294" t="str"/>
      <x:c r="T294" t="str"/>
      <x:c r="U294" t="str"/>
    </x:row>
    <x:row r="295" ht="36" customHeight="1">
      <x:c r="B295" t="str">
        <x:v>RFE-E289</x:v>
      </x:c>
      <x:c r="C295" t="str">
        <x:v>EC-06</x:v>
      </x:c>
      <x:c r="D295" t="str">
        <x:v>AM-09</x:v>
      </x:c>
      <x:c r="E295" t="str">
        <x:v>AF-1</x:v>
      </x:c>
      <x:c r="F295" t="str">
        <x:v>BA</x:v>
      </x:c>
      <x:c r="G295" t="str">
        <x:v>PTC-B</x:v>
      </x:c>
      <x:c r="H295" t="str">
        <x:v>RFP-B1</x:v>
      </x:c>
      <x:c r="I295" s="12" t="str">
        <x:v>AF-1-BA-RESET-B</x:v>
      </x:c>
      <x:c r="J295" t="str">
        <x:v>—</x:v>
      </x:c>
      <x:c r="K295" t="str">
        <x:v>recovery/reset</x:v>
      </x:c>
      <x:c r="L295" s="12" t="str">
        <x:v>restore serialized baseline and independent evidence</x:v>
      </x:c>
      <x:c r="M295" s="14" t="n">
        <x:v>0</x:v>
      </x:c>
      <x:c r="N295" s="14" t="n">
        <x:v>0</x:v>
      </x:c>
      <x:c r="O295" s="14" t="n">
        <x:v>7</x:v>
      </x:c>
      <x:c r="P295" s="14" t="n">
        <x:v>1</x:v>
      </x:c>
      <x:c r="Q295" t="str"/>
      <x:c r="R295" t="str"/>
      <x:c r="S295" t="str"/>
      <x:c r="T295" t="str"/>
      <x:c r="U295" t="str"/>
    </x:row>
    <x:row r="296" ht="36" customHeight="1">
      <x:c r="B296" t="str">
        <x:v>RFE-E290</x:v>
      </x:c>
      <x:c r="C296" t="str">
        <x:v>EC-06</x:v>
      </x:c>
      <x:c r="D296" t="str">
        <x:v>AM-09</x:v>
      </x:c>
      <x:c r="E296" t="str">
        <x:v>AF-1</x:v>
      </x:c>
      <x:c r="F296" t="str">
        <x:v>BA</x:v>
      </x:c>
      <x:c r="G296" t="str">
        <x:v>PTC-C</x:v>
      </x:c>
      <x:c r="H296" t="str">
        <x:v>RFP-C1</x:v>
      </x:c>
      <x:c r="I296" s="12" t="str">
        <x:v>AF-1-BA-RESET-C</x:v>
      </x:c>
      <x:c r="J296" t="str">
        <x:v>—</x:v>
      </x:c>
      <x:c r="K296" t="str">
        <x:v>recovery/reset</x:v>
      </x:c>
      <x:c r="L296" s="12" t="str">
        <x:v>restore serialized baseline and independent evidence</x:v>
      </x:c>
      <x:c r="M296" s="14" t="n">
        <x:v>0</x:v>
      </x:c>
      <x:c r="N296" s="14" t="n">
        <x:v>0</x:v>
      </x:c>
      <x:c r="O296" s="14" t="n">
        <x:v>7</x:v>
      </x:c>
      <x:c r="P296" s="14" t="n">
        <x:v>2</x:v>
      </x:c>
      <x:c r="Q296" t="str"/>
      <x:c r="R296" t="str"/>
      <x:c r="S296" t="str"/>
      <x:c r="T296" t="str"/>
      <x:c r="U296" t="str"/>
    </x:row>
    <x:row r="297" ht="36" customHeight="1">
      <x:c r="B297" t="str">
        <x:v>RFE-E291</x:v>
      </x:c>
      <x:c r="C297" t="str">
        <x:v>EC-06</x:v>
      </x:c>
      <x:c r="D297" t="str">
        <x:v>AM-09</x:v>
      </x:c>
      <x:c r="E297" t="str">
        <x:v>AF-1</x:v>
      </x:c>
      <x:c r="F297" t="str">
        <x:v>BB</x:v>
      </x:c>
      <x:c r="G297" t="str">
        <x:v>PTC-B</x:v>
      </x:c>
      <x:c r="H297" t="str">
        <x:v>RFP-B2</x:v>
      </x:c>
      <x:c r="I297" s="12" t="str">
        <x:v>AF-1-BB-RESET-B</x:v>
      </x:c>
      <x:c r="J297" t="str">
        <x:v>—</x:v>
      </x:c>
      <x:c r="K297" t="str">
        <x:v>recovery/reset</x:v>
      </x:c>
      <x:c r="L297" s="12" t="str">
        <x:v>restore serialized baseline and independent evidence</x:v>
      </x:c>
      <x:c r="M297" s="14" t="n">
        <x:v>0</x:v>
      </x:c>
      <x:c r="N297" s="14" t="n">
        <x:v>0</x:v>
      </x:c>
      <x:c r="O297" s="14" t="n">
        <x:v>7</x:v>
      </x:c>
      <x:c r="P297" s="14" t="n">
        <x:v>1</x:v>
      </x:c>
      <x:c r="Q297" t="str"/>
      <x:c r="R297" t="str"/>
      <x:c r="S297" t="str"/>
      <x:c r="T297" t="str"/>
      <x:c r="U297" t="str"/>
    </x:row>
    <x:row r="298" ht="36" customHeight="1">
      <x:c r="B298" t="str">
        <x:v>RFE-E292</x:v>
      </x:c>
      <x:c r="C298" t="str">
        <x:v>EC-06</x:v>
      </x:c>
      <x:c r="D298" t="str">
        <x:v>AM-09</x:v>
      </x:c>
      <x:c r="E298" t="str">
        <x:v>AF-1</x:v>
      </x:c>
      <x:c r="F298" t="str">
        <x:v>BB</x:v>
      </x:c>
      <x:c r="G298" t="str">
        <x:v>PTC-C</x:v>
      </x:c>
      <x:c r="H298" t="str">
        <x:v>RFP-C2</x:v>
      </x:c>
      <x:c r="I298" s="12" t="str">
        <x:v>AF-1-BB-RESET-C</x:v>
      </x:c>
      <x:c r="J298" t="str">
        <x:v>—</x:v>
      </x:c>
      <x:c r="K298" t="str">
        <x:v>recovery/reset</x:v>
      </x:c>
      <x:c r="L298" s="12" t="str">
        <x:v>restore serialized baseline and independent evidence</x:v>
      </x:c>
      <x:c r="M298" s="14" t="n">
        <x:v>0</x:v>
      </x:c>
      <x:c r="N298" s="14" t="n">
        <x:v>0</x:v>
      </x:c>
      <x:c r="O298" s="14" t="n">
        <x:v>7</x:v>
      </x:c>
      <x:c r="P298" s="14" t="n">
        <x:v>2</x:v>
      </x:c>
      <x:c r="Q298" t="str"/>
      <x:c r="R298" t="str"/>
      <x:c r="S298" t="str"/>
      <x:c r="T298" t="str"/>
      <x:c r="U298" t="str"/>
    </x:row>
    <x:row r="299" ht="36" customHeight="1">
      <x:c r="B299" t="str">
        <x:v>RFE-E293</x:v>
      </x:c>
      <x:c r="C299" t="str">
        <x:v>EC-06</x:v>
      </x:c>
      <x:c r="D299" t="str">
        <x:v>AM-09</x:v>
      </x:c>
      <x:c r="E299" t="str">
        <x:v>AF-2</x:v>
      </x:c>
      <x:c r="F299" t="str">
        <x:v>BA</x:v>
      </x:c>
      <x:c r="G299" t="str">
        <x:v>PTC-B</x:v>
      </x:c>
      <x:c r="H299" t="str">
        <x:v>RFP-B1</x:v>
      </x:c>
      <x:c r="I299" s="12" t="str">
        <x:v>AF-2-BA-RESET-B</x:v>
      </x:c>
      <x:c r="J299" t="str">
        <x:v>—</x:v>
      </x:c>
      <x:c r="K299" t="str">
        <x:v>recovery/reset</x:v>
      </x:c>
      <x:c r="L299" s="12" t="str">
        <x:v>restore serialized baseline and independent evidence</x:v>
      </x:c>
      <x:c r="M299" s="14" t="n">
        <x:v>0</x:v>
      </x:c>
      <x:c r="N299" s="14" t="n">
        <x:v>0</x:v>
      </x:c>
      <x:c r="O299" s="14" t="n">
        <x:v>7</x:v>
      </x:c>
      <x:c r="P299" s="14" t="n">
        <x:v>1</x:v>
      </x:c>
      <x:c r="Q299" t="str"/>
      <x:c r="R299" t="str"/>
      <x:c r="S299" t="str"/>
      <x:c r="T299" t="str"/>
      <x:c r="U299" t="str"/>
    </x:row>
    <x:row r="300" ht="36" customHeight="1">
      <x:c r="B300" t="str">
        <x:v>RFE-E294</x:v>
      </x:c>
      <x:c r="C300" t="str">
        <x:v>EC-06</x:v>
      </x:c>
      <x:c r="D300" t="str">
        <x:v>AM-09</x:v>
      </x:c>
      <x:c r="E300" t="str">
        <x:v>AF-2</x:v>
      </x:c>
      <x:c r="F300" t="str">
        <x:v>BA</x:v>
      </x:c>
      <x:c r="G300" t="str">
        <x:v>PTC-C</x:v>
      </x:c>
      <x:c r="H300" t="str">
        <x:v>RFP-C1</x:v>
      </x:c>
      <x:c r="I300" s="12" t="str">
        <x:v>AF-2-BA-RESET-C</x:v>
      </x:c>
      <x:c r="J300" t="str">
        <x:v>—</x:v>
      </x:c>
      <x:c r="K300" t="str">
        <x:v>recovery/reset</x:v>
      </x:c>
      <x:c r="L300" s="12" t="str">
        <x:v>restore serialized baseline and independent evidence</x:v>
      </x:c>
      <x:c r="M300" s="14" t="n">
        <x:v>0</x:v>
      </x:c>
      <x:c r="N300" s="14" t="n">
        <x:v>0</x:v>
      </x:c>
      <x:c r="O300" s="14" t="n">
        <x:v>7</x:v>
      </x:c>
      <x:c r="P300" s="14" t="n">
        <x:v>2</x:v>
      </x:c>
      <x:c r="Q300" t="str"/>
      <x:c r="R300" t="str"/>
      <x:c r="S300" t="str"/>
      <x:c r="T300" t="str"/>
      <x:c r="U300" t="str"/>
    </x:row>
    <x:row r="301" ht="36" customHeight="1">
      <x:c r="B301" t="str">
        <x:v>RFE-E295</x:v>
      </x:c>
      <x:c r="C301" t="str">
        <x:v>EC-06</x:v>
      </x:c>
      <x:c r="D301" t="str">
        <x:v>AM-09</x:v>
      </x:c>
      <x:c r="E301" t="str">
        <x:v>AF-2</x:v>
      </x:c>
      <x:c r="F301" t="str">
        <x:v>BB</x:v>
      </x:c>
      <x:c r="G301" t="str">
        <x:v>PTC-B</x:v>
      </x:c>
      <x:c r="H301" t="str">
        <x:v>RFP-B2</x:v>
      </x:c>
      <x:c r="I301" s="12" t="str">
        <x:v>AF-2-BB-RESET-B</x:v>
      </x:c>
      <x:c r="J301" t="str">
        <x:v>—</x:v>
      </x:c>
      <x:c r="K301" t="str">
        <x:v>recovery/reset</x:v>
      </x:c>
      <x:c r="L301" s="12" t="str">
        <x:v>restore serialized baseline and independent evidence</x:v>
      </x:c>
      <x:c r="M301" s="14" t="n">
        <x:v>0</x:v>
      </x:c>
      <x:c r="N301" s="14" t="n">
        <x:v>0</x:v>
      </x:c>
      <x:c r="O301" s="14" t="n">
        <x:v>7</x:v>
      </x:c>
      <x:c r="P301" s="14" t="n">
        <x:v>1</x:v>
      </x:c>
      <x:c r="Q301" t="str"/>
      <x:c r="R301" t="str"/>
      <x:c r="S301" t="str"/>
      <x:c r="T301" t="str"/>
      <x:c r="U301" t="str"/>
    </x:row>
    <x:row r="302" ht="36" customHeight="1">
      <x:c r="B302" t="str">
        <x:v>RFE-E296</x:v>
      </x:c>
      <x:c r="C302" t="str">
        <x:v>EC-06</x:v>
      </x:c>
      <x:c r="D302" t="str">
        <x:v>AM-09</x:v>
      </x:c>
      <x:c r="E302" t="str">
        <x:v>AF-2</x:v>
      </x:c>
      <x:c r="F302" t="str">
        <x:v>BB</x:v>
      </x:c>
      <x:c r="G302" t="str">
        <x:v>PTC-C</x:v>
      </x:c>
      <x:c r="H302" t="str">
        <x:v>RFP-C2</x:v>
      </x:c>
      <x:c r="I302" s="12" t="str">
        <x:v>AF-2-BB-RESET-C</x:v>
      </x:c>
      <x:c r="J302" t="str">
        <x:v>—</x:v>
      </x:c>
      <x:c r="K302" t="str">
        <x:v>recovery/reset</x:v>
      </x:c>
      <x:c r="L302" s="12" t="str">
        <x:v>restore serialized baseline and independent evidence</x:v>
      </x:c>
      <x:c r="M302" s="14" t="n">
        <x:v>0</x:v>
      </x:c>
      <x:c r="N302" s="14" t="n">
        <x:v>0</x:v>
      </x:c>
      <x:c r="O302" s="14" t="n">
        <x:v>7</x:v>
      </x:c>
      <x:c r="P302" s="14" t="n">
        <x:v>2</x:v>
      </x:c>
      <x:c r="Q302" t="str"/>
      <x:c r="R302" t="str"/>
      <x:c r="S302" t="str"/>
      <x:c r="T302" t="str"/>
      <x:c r="U302" t="str"/>
    </x:row>
    <x:row r="303" ht="36" customHeight="1">
      <x:c r="B303" t="str">
        <x:v>RFE-E297</x:v>
      </x:c>
      <x:c r="C303" t="str">
        <x:v>EC-06</x:v>
      </x:c>
      <x:c r="D303" t="str">
        <x:v>AM-09</x:v>
      </x:c>
      <x:c r="E303" t="str">
        <x:v>AF-3</x:v>
      </x:c>
      <x:c r="F303" t="str">
        <x:v>BA</x:v>
      </x:c>
      <x:c r="G303" t="str">
        <x:v>PTC-B</x:v>
      </x:c>
      <x:c r="H303" t="str">
        <x:v>RFP-B1</x:v>
      </x:c>
      <x:c r="I303" s="12" t="str">
        <x:v>AF-3-BA-RESET-B</x:v>
      </x:c>
      <x:c r="J303" t="str">
        <x:v>—</x:v>
      </x:c>
      <x:c r="K303" t="str">
        <x:v>recovery/reset</x:v>
      </x:c>
      <x:c r="L303" s="12" t="str">
        <x:v>restore serialized baseline and independent evidence</x:v>
      </x:c>
      <x:c r="M303" s="14" t="n">
        <x:v>0</x:v>
      </x:c>
      <x:c r="N303" s="14" t="n">
        <x:v>0</x:v>
      </x:c>
      <x:c r="O303" s="14" t="n">
        <x:v>7</x:v>
      </x:c>
      <x:c r="P303" s="14" t="n">
        <x:v>1</x:v>
      </x:c>
      <x:c r="Q303" t="str"/>
      <x:c r="R303" t="str"/>
      <x:c r="S303" t="str"/>
      <x:c r="T303" t="str"/>
      <x:c r="U303" t="str"/>
    </x:row>
    <x:row r="304" ht="36" customHeight="1">
      <x:c r="B304" t="str">
        <x:v>RFE-E298</x:v>
      </x:c>
      <x:c r="C304" t="str">
        <x:v>EC-06</x:v>
      </x:c>
      <x:c r="D304" t="str">
        <x:v>AM-09</x:v>
      </x:c>
      <x:c r="E304" t="str">
        <x:v>AF-3</x:v>
      </x:c>
      <x:c r="F304" t="str">
        <x:v>BA</x:v>
      </x:c>
      <x:c r="G304" t="str">
        <x:v>PTC-C</x:v>
      </x:c>
      <x:c r="H304" t="str">
        <x:v>RFP-C1</x:v>
      </x:c>
      <x:c r="I304" s="12" t="str">
        <x:v>AF-3-BA-RESET-C</x:v>
      </x:c>
      <x:c r="J304" t="str">
        <x:v>—</x:v>
      </x:c>
      <x:c r="K304" t="str">
        <x:v>recovery/reset</x:v>
      </x:c>
      <x:c r="L304" s="12" t="str">
        <x:v>restore serialized baseline and independent evidence</x:v>
      </x:c>
      <x:c r="M304" s="14" t="n">
        <x:v>0</x:v>
      </x:c>
      <x:c r="N304" s="14" t="n">
        <x:v>0</x:v>
      </x:c>
      <x:c r="O304" s="14" t="n">
        <x:v>7</x:v>
      </x:c>
      <x:c r="P304" s="14" t="n">
        <x:v>2</x:v>
      </x:c>
      <x:c r="Q304" t="str"/>
      <x:c r="R304" t="str"/>
      <x:c r="S304" t="str"/>
      <x:c r="T304" t="str"/>
      <x:c r="U304" t="str"/>
    </x:row>
    <x:row r="305" ht="36" customHeight="1">
      <x:c r="B305" t="str">
        <x:v>RFE-E299</x:v>
      </x:c>
      <x:c r="C305" t="str">
        <x:v>EC-06</x:v>
      </x:c>
      <x:c r="D305" t="str">
        <x:v>AM-09</x:v>
      </x:c>
      <x:c r="E305" t="str">
        <x:v>AF-3</x:v>
      </x:c>
      <x:c r="F305" t="str">
        <x:v>BB</x:v>
      </x:c>
      <x:c r="G305" t="str">
        <x:v>PTC-B</x:v>
      </x:c>
      <x:c r="H305" t="str">
        <x:v>RFP-B2</x:v>
      </x:c>
      <x:c r="I305" s="12" t="str">
        <x:v>AF-3-BB-RESET-B</x:v>
      </x:c>
      <x:c r="J305" t="str">
        <x:v>—</x:v>
      </x:c>
      <x:c r="K305" t="str">
        <x:v>recovery/reset</x:v>
      </x:c>
      <x:c r="L305" s="12" t="str">
        <x:v>restore serialized baseline and independent evidence</x:v>
      </x:c>
      <x:c r="M305" s="14" t="n">
        <x:v>0</x:v>
      </x:c>
      <x:c r="N305" s="14" t="n">
        <x:v>0</x:v>
      </x:c>
      <x:c r="O305" s="14" t="n">
        <x:v>7</x:v>
      </x:c>
      <x:c r="P305" s="14" t="n">
        <x:v>1</x:v>
      </x:c>
      <x:c r="Q305" t="str"/>
      <x:c r="R305" t="str"/>
      <x:c r="S305" t="str"/>
      <x:c r="T305" t="str"/>
      <x:c r="U305" t="str"/>
    </x:row>
    <x:row r="306" ht="36" customHeight="1">
      <x:c r="B306" t="str">
        <x:v>RFE-E300</x:v>
      </x:c>
      <x:c r="C306" t="str">
        <x:v>EC-06</x:v>
      </x:c>
      <x:c r="D306" t="str">
        <x:v>AM-09</x:v>
      </x:c>
      <x:c r="E306" t="str">
        <x:v>AF-3</x:v>
      </x:c>
      <x:c r="F306" t="str">
        <x:v>BB</x:v>
      </x:c>
      <x:c r="G306" t="str">
        <x:v>PTC-C</x:v>
      </x:c>
      <x:c r="H306" t="str">
        <x:v>RFP-C2</x:v>
      </x:c>
      <x:c r="I306" s="12" t="str">
        <x:v>AF-3-BB-RESET-C</x:v>
      </x:c>
      <x:c r="J306" t="str">
        <x:v>—</x:v>
      </x:c>
      <x:c r="K306" t="str">
        <x:v>recovery/reset</x:v>
      </x:c>
      <x:c r="L306" s="12" t="str">
        <x:v>restore serialized baseline and independent evidence</x:v>
      </x:c>
      <x:c r="M306" s="14" t="n">
        <x:v>0</x:v>
      </x:c>
      <x:c r="N306" s="14" t="n">
        <x:v>0</x:v>
      </x:c>
      <x:c r="O306" s="14" t="n">
        <x:v>7</x:v>
      </x:c>
      <x:c r="P306" s="14" t="n">
        <x:v>2</x:v>
      </x:c>
      <x:c r="Q306" t="str"/>
      <x:c r="R306" t="str"/>
      <x:c r="S306" t="str"/>
      <x:c r="T306" t="str"/>
      <x:c r="U306" t="str"/>
    </x:row>
    <x:row r="307" ht="36" customHeight="1">
      <x:c r="B307" t="str">
        <x:v>RFE-E301</x:v>
      </x:c>
      <x:c r="C307" t="str">
        <x:v>EC-07</x:v>
      </x:c>
      <x:c r="D307" t="str">
        <x:v>AM-09</x:v>
      </x:c>
      <x:c r="E307" t="str">
        <x:v>AF-1</x:v>
      </x:c>
      <x:c r="F307" t="str">
        <x:v>BA</x:v>
      </x:c>
      <x:c r="G307" t="str">
        <x:v>PTC-C</x:v>
      </x:c>
      <x:c r="H307" t="str">
        <x:v>RFP-C1</x:v>
      </x:c>
      <x:c r="I307" s="12" t="str">
        <x:v>AF-1-BA-REPLAY</x:v>
      </x:c>
      <x:c r="J307" t="str">
        <x:v>—</x:v>
      </x:c>
      <x:c r="K307" t="str">
        <x:v>cross-site replay</x:v>
      </x:c>
      <x:c r="L307" s="12" t="str">
        <x:v>origin PTC-B unavailable; decide A08 from outside original</x:v>
      </x:c>
      <x:c r="M307" s="14" t="n">
        <x:v>0</x:v>
      </x:c>
      <x:c r="N307" s="14" t="n">
        <x:v>0</x:v>
      </x:c>
      <x:c r="O307" s="14" t="n">
        <x:v>8</x:v>
      </x:c>
      <x:c r="P307" s="14" t="n">
        <x:v>1</x:v>
      </x:c>
      <x:c r="Q307" t="str"/>
      <x:c r="R307" t="str"/>
      <x:c r="S307" t="str"/>
      <x:c r="T307" t="str"/>
      <x:c r="U307" t="str"/>
    </x:row>
    <x:row r="308" ht="36" customHeight="1">
      <x:c r="B308" t="str">
        <x:v>RFE-E302</x:v>
      </x:c>
      <x:c r="C308" t="str">
        <x:v>EC-07</x:v>
      </x:c>
      <x:c r="D308" t="str">
        <x:v>AM-09</x:v>
      </x:c>
      <x:c r="E308" t="str">
        <x:v>AF-1</x:v>
      </x:c>
      <x:c r="F308" t="str">
        <x:v>BB</x:v>
      </x:c>
      <x:c r="G308" t="str">
        <x:v>PTC-B</x:v>
      </x:c>
      <x:c r="H308" t="str">
        <x:v>RFP-B2</x:v>
      </x:c>
      <x:c r="I308" s="12" t="str">
        <x:v>AF-1-BB-REPLAY</x:v>
      </x:c>
      <x:c r="J308" t="str">
        <x:v>—</x:v>
      </x:c>
      <x:c r="K308" t="str">
        <x:v>cross-site replay</x:v>
      </x:c>
      <x:c r="L308" s="12" t="str">
        <x:v>origin PTC-C unavailable; decide A08 from outside original</x:v>
      </x:c>
      <x:c r="M308" s="14" t="n">
        <x:v>0</x:v>
      </x:c>
      <x:c r="N308" s="14" t="n">
        <x:v>0</x:v>
      </x:c>
      <x:c r="O308" s="14" t="n">
        <x:v>8</x:v>
      </x:c>
      <x:c r="P308" s="14" t="n">
        <x:v>1</x:v>
      </x:c>
      <x:c r="Q308" t="str"/>
      <x:c r="R308" t="str"/>
      <x:c r="S308" t="str"/>
      <x:c r="T308" t="str"/>
      <x:c r="U308" t="str"/>
    </x:row>
    <x:row r="309" ht="36" customHeight="1">
      <x:c r="B309" t="str">
        <x:v>RFE-E303</x:v>
      </x:c>
      <x:c r="C309" t="str">
        <x:v>EC-07</x:v>
      </x:c>
      <x:c r="D309" t="str">
        <x:v>AM-09</x:v>
      </x:c>
      <x:c r="E309" t="str">
        <x:v>AF-2</x:v>
      </x:c>
      <x:c r="F309" t="str">
        <x:v>BA</x:v>
      </x:c>
      <x:c r="G309" t="str">
        <x:v>PTC-C</x:v>
      </x:c>
      <x:c r="H309" t="str">
        <x:v>RFP-C1</x:v>
      </x:c>
      <x:c r="I309" s="12" t="str">
        <x:v>AF-2-BA-REPLAY</x:v>
      </x:c>
      <x:c r="J309" t="str">
        <x:v>—</x:v>
      </x:c>
      <x:c r="K309" t="str">
        <x:v>cross-site replay</x:v>
      </x:c>
      <x:c r="L309" s="12" t="str">
        <x:v>origin PTC-B unavailable; decide A08 from outside original</x:v>
      </x:c>
      <x:c r="M309" s="14" t="n">
        <x:v>0</x:v>
      </x:c>
      <x:c r="N309" s="14" t="n">
        <x:v>0</x:v>
      </x:c>
      <x:c r="O309" s="14" t="n">
        <x:v>8</x:v>
      </x:c>
      <x:c r="P309" s="14" t="n">
        <x:v>1</x:v>
      </x:c>
      <x:c r="Q309" t="str"/>
      <x:c r="R309" t="str"/>
      <x:c r="S309" t="str"/>
      <x:c r="T309" t="str"/>
      <x:c r="U309" t="str"/>
    </x:row>
    <x:row r="310" ht="36" customHeight="1">
      <x:c r="B310" t="str">
        <x:v>RFE-E304</x:v>
      </x:c>
      <x:c r="C310" t="str">
        <x:v>EC-07</x:v>
      </x:c>
      <x:c r="D310" t="str">
        <x:v>AM-09</x:v>
      </x:c>
      <x:c r="E310" t="str">
        <x:v>AF-2</x:v>
      </x:c>
      <x:c r="F310" t="str">
        <x:v>BB</x:v>
      </x:c>
      <x:c r="G310" t="str">
        <x:v>PTC-B</x:v>
      </x:c>
      <x:c r="H310" t="str">
        <x:v>RFP-B2</x:v>
      </x:c>
      <x:c r="I310" s="12" t="str">
        <x:v>AF-2-BB-REPLAY</x:v>
      </x:c>
      <x:c r="J310" t="str">
        <x:v>—</x:v>
      </x:c>
      <x:c r="K310" t="str">
        <x:v>cross-site replay</x:v>
      </x:c>
      <x:c r="L310" s="12" t="str">
        <x:v>origin PTC-C unavailable; decide A08 from outside original</x:v>
      </x:c>
      <x:c r="M310" s="14" t="n">
        <x:v>0</x:v>
      </x:c>
      <x:c r="N310" s="14" t="n">
        <x:v>0</x:v>
      </x:c>
      <x:c r="O310" s="14" t="n">
        <x:v>8</x:v>
      </x:c>
      <x:c r="P310" s="14" t="n">
        <x:v>1</x:v>
      </x:c>
      <x:c r="Q310" t="str"/>
      <x:c r="R310" t="str"/>
      <x:c r="S310" t="str"/>
      <x:c r="T310" t="str"/>
      <x:c r="U310" t="str"/>
    </x:row>
    <x:row r="311" ht="36" customHeight="1">
      <x:c r="B311" t="str">
        <x:v>RFE-E305</x:v>
      </x:c>
      <x:c r="C311" t="str">
        <x:v>EC-07</x:v>
      </x:c>
      <x:c r="D311" t="str">
        <x:v>AM-09</x:v>
      </x:c>
      <x:c r="E311" t="str">
        <x:v>AF-3</x:v>
      </x:c>
      <x:c r="F311" t="str">
        <x:v>BA</x:v>
      </x:c>
      <x:c r="G311" t="str">
        <x:v>PTC-C</x:v>
      </x:c>
      <x:c r="H311" t="str">
        <x:v>RFP-C1</x:v>
      </x:c>
      <x:c r="I311" s="12" t="str">
        <x:v>AF-3-BA-REPLAY</x:v>
      </x:c>
      <x:c r="J311" t="str">
        <x:v>—</x:v>
      </x:c>
      <x:c r="K311" t="str">
        <x:v>cross-site replay</x:v>
      </x:c>
      <x:c r="L311" s="12" t="str">
        <x:v>origin PTC-B unavailable; decide A08 from outside original</x:v>
      </x:c>
      <x:c r="M311" s="14" t="n">
        <x:v>0</x:v>
      </x:c>
      <x:c r="N311" s="14" t="n">
        <x:v>0</x:v>
      </x:c>
      <x:c r="O311" s="14" t="n">
        <x:v>8</x:v>
      </x:c>
      <x:c r="P311" s="14" t="n">
        <x:v>1</x:v>
      </x:c>
      <x:c r="Q311" t="str"/>
      <x:c r="R311" t="str"/>
      <x:c r="S311" t="str"/>
      <x:c r="T311" t="str"/>
      <x:c r="U311" t="str"/>
    </x:row>
    <x:row r="312" ht="36" customHeight="1">
      <x:c r="B312" t="str">
        <x:v>RFE-E306</x:v>
      </x:c>
      <x:c r="C312" t="str">
        <x:v>EC-07</x:v>
      </x:c>
      <x:c r="D312" t="str">
        <x:v>AM-09</x:v>
      </x:c>
      <x:c r="E312" t="str">
        <x:v>AF-3</x:v>
      </x:c>
      <x:c r="F312" t="str">
        <x:v>BB</x:v>
      </x:c>
      <x:c r="G312" t="str">
        <x:v>PTC-B</x:v>
      </x:c>
      <x:c r="H312" t="str">
        <x:v>RFP-B2</x:v>
      </x:c>
      <x:c r="I312" s="12" t="str">
        <x:v>AF-3-BB-REPLAY</x:v>
      </x:c>
      <x:c r="J312" t="str">
        <x:v>—</x:v>
      </x:c>
      <x:c r="K312" t="str">
        <x:v>cross-site replay</x:v>
      </x:c>
      <x:c r="L312" s="12" t="str">
        <x:v>origin PTC-C unavailable; decide A08 from outside original</x:v>
      </x:c>
      <x:c r="M312" s="14" t="n">
        <x:v>0</x:v>
      </x:c>
      <x:c r="N312" s="14" t="n">
        <x:v>0</x:v>
      </x:c>
      <x:c r="O312" s="14" t="n">
        <x:v>8</x:v>
      </x:c>
      <x:c r="P312" s="14" t="n">
        <x:v>1</x:v>
      </x:c>
      <x:c r="Q312" t="str"/>
      <x:c r="R312" t="str"/>
      <x:c r="S312" t="str"/>
      <x:c r="T312" t="str"/>
      <x:c r="U312" t="str"/>
    </x:row>
  </x:sheetData>
  <x:conditionalFormatting sqref="U7:U312">
    <x:cfRule type="containsText" dxfId="7" priority="1" operator="containsText" text="FAIL"/>
    <x:cfRule type="containsText" dxfId="8" priority="2" operator="containsText" text="INVALID"/>
    <x:cfRule type="containsText" dxfId="9" priority="3" operator="containsText" text="BLOCKED"/>
    <x:cfRule type="containsText" dxfId="10" priority="4" operator="containsText" text="OPEN"/>
    <x:cfRule type="containsText" dxfId="11" priority="5" operator="containsText" text="GAP"/>
    <x:cfRule type="containsText" dxfId="12" priority="6" operator="containsText" text="PASS"/>
    <x:cfRule type="containsText" dxfId="13" priority="7" operator="containsText" text="VALI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6" hidden="0" customWidth="1"/>
    <x:col min="4" max="4" width="12" hidden="0" customWidth="1"/>
    <x:col min="5" max="5" width="14" hidden="0" customWidth="1"/>
    <x:col min="6" max="6" width="18" hidden="0" customWidth="1"/>
    <x:col min="7" max="7" width="20" hidden="0" customWidth="1"/>
    <x:col min="8" max="8" width="25" hidden="0" customWidth="1"/>
    <x:col min="9" max="9" width="18" hidden="0" customWidth="1"/>
    <x:col min="10" max="10" width="20" hidden="0" customWidth="1"/>
    <x:col min="11" max="11" width="18" hidden="0" customWidth="1"/>
    <x:col min="12" max="12" width="14" hidden="0" customWidth="1"/>
  </x:cols>
  <x:sheetData>
    <x:row r="2">
      <x:c r="B2" s="1" t="str">
        <x:v>Ninety-six control/challenge pairs</x:v>
      </x:c>
    </x:row>
    <x:row r="3">
      <x:c r="B3" s="2" t="str">
        <x:v>Both events must be valid and the pair must be signed before any contrast exists.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Pair</x:v>
      </x:c>
      <x:c r="C6" s="7" t="str">
        <x:v>Root</x:v>
      </x:c>
      <x:c r="D6" s="7" t="str">
        <x:v>Site</x:v>
      </x:c>
      <x:c r="E6" s="7" t="str">
        <x:v>Challenge</x:v>
      </x:c>
      <x:c r="F6" s="7" t="str">
        <x:v>Control event</x:v>
      </x:c>
      <x:c r="G6" s="7" t="str">
        <x:v>Challenge event</x:v>
      </x:c>
      <x:c r="H6" s="7" t="str">
        <x:v>Order</x:v>
      </x:c>
      <x:c r="I6" s="7" t="str">
        <x:v>Control valid</x:v>
      </x:c>
      <x:c r="J6" s="7" t="str">
        <x:v>Challenge valid</x:v>
      </x:c>
      <x:c r="K6" s="7" t="str">
        <x:v>Disposition</x:v>
      </x:c>
      <x:c r="L6" s="7" t="str">
        <x:v>State</x:v>
      </x:c>
    </x:row>
    <x:row r="7">
      <x:c r="B7" t="str">
        <x:v>RFE-P001</x:v>
      </x:c>
      <x:c r="C7" t="str">
        <x:v>AF-1-BA</x:v>
      </x:c>
      <x:c r="D7" t="str">
        <x:v>PTC-B</x:v>
      </x:c>
      <x:c r="E7" t="str">
        <x:v>A01</x:v>
      </x:c>
      <x:c r="F7" t="str">
        <x:v>RFE-E073</x:v>
      </x:c>
      <x:c r="G7" t="str">
        <x:v>RFE-E074</x:v>
      </x:c>
      <x:c r="H7" t="str">
        <x:v>control then challenge</x:v>
      </x:c>
      <x:c r="I7" t="str"/>
      <x:c r="J7" t="str"/>
      <x:c r="K7" t="str"/>
      <x:c r="L7" t="str">
        <x:f>IF(AND(I7=1,J7=1,K7=1),"PASS","OPEN")</x:f>
        <x:v>OPEN</x:v>
      </x:c>
    </x:row>
    <x:row r="8">
      <x:c r="B8" t="str">
        <x:v>RFE-P002</x:v>
      </x:c>
      <x:c r="C8" t="str">
        <x:v>AF-1-BA</x:v>
      </x:c>
      <x:c r="D8" t="str">
        <x:v>PTC-B</x:v>
      </x:c>
      <x:c r="E8" t="str">
        <x:v>A02</x:v>
      </x:c>
      <x:c r="F8" t="str">
        <x:v>RFE-E076</x:v>
      </x:c>
      <x:c r="G8" t="str">
        <x:v>RFE-E075</x:v>
      </x:c>
      <x:c r="H8" t="str">
        <x:v>challenge then control</x:v>
      </x:c>
      <x:c r="I8" t="str"/>
      <x:c r="J8" t="str"/>
      <x:c r="K8" t="str"/>
      <x:c r="L8" t="str">
        <x:f>IF(AND(I8=1,J8=1,K8=1),"PASS","OPEN")</x:f>
        <x:v>OPEN</x:v>
      </x:c>
    </x:row>
    <x:row r="9">
      <x:c r="B9" t="str">
        <x:v>RFE-P003</x:v>
      </x:c>
      <x:c r="C9" t="str">
        <x:v>AF-1-BA</x:v>
      </x:c>
      <x:c r="D9" t="str">
        <x:v>PTC-B</x:v>
      </x:c>
      <x:c r="E9" t="str">
        <x:v>A03</x:v>
      </x:c>
      <x:c r="F9" t="str">
        <x:v>RFE-E077</x:v>
      </x:c>
      <x:c r="G9" t="str">
        <x:v>RFE-E078</x:v>
      </x:c>
      <x:c r="H9" t="str">
        <x:v>control then challenge</x:v>
      </x:c>
      <x:c r="I9" t="str"/>
      <x:c r="J9" t="str"/>
      <x:c r="K9" t="str"/>
      <x:c r="L9" t="str">
        <x:f>IF(AND(I9=1,J9=1,K9=1),"PASS","OPEN")</x:f>
        <x:v>OPEN</x:v>
      </x:c>
    </x:row>
    <x:row r="10">
      <x:c r="B10" t="str">
        <x:v>RFE-P004</x:v>
      </x:c>
      <x:c r="C10" t="str">
        <x:v>AF-1-BA</x:v>
      </x:c>
      <x:c r="D10" t="str">
        <x:v>PTC-B</x:v>
      </x:c>
      <x:c r="E10" t="str">
        <x:v>A04</x:v>
      </x:c>
      <x:c r="F10" t="str">
        <x:v>RFE-E080</x:v>
      </x:c>
      <x:c r="G10" t="str">
        <x:v>RFE-E079</x:v>
      </x:c>
      <x:c r="H10" t="str">
        <x:v>challenge then control</x:v>
      </x:c>
      <x:c r="I10" t="str"/>
      <x:c r="J10" t="str"/>
      <x:c r="K10" t="str"/>
      <x:c r="L10" t="str">
        <x:f>IF(AND(I10=1,J10=1,K10=1),"PASS","OPEN")</x:f>
        <x:v>OPEN</x:v>
      </x:c>
    </x:row>
    <x:row r="11">
      <x:c r="B11" t="str">
        <x:v>RFE-P005</x:v>
      </x:c>
      <x:c r="C11" t="str">
        <x:v>AF-1-BA</x:v>
      </x:c>
      <x:c r="D11" t="str">
        <x:v>PTC-B</x:v>
      </x:c>
      <x:c r="E11" t="str">
        <x:v>A05</x:v>
      </x:c>
      <x:c r="F11" t="str">
        <x:v>RFE-E081</x:v>
      </x:c>
      <x:c r="G11" t="str">
        <x:v>RFE-E082</x:v>
      </x:c>
      <x:c r="H11" t="str">
        <x:v>control then challenge</x:v>
      </x:c>
      <x:c r="I11" t="str"/>
      <x:c r="J11" t="str"/>
      <x:c r="K11" t="str"/>
      <x:c r="L11" t="str">
        <x:f>IF(AND(I11=1,J11=1,K11=1),"PASS","OPEN")</x:f>
        <x:v>OPEN</x:v>
      </x:c>
    </x:row>
    <x:row r="12">
      <x:c r="B12" t="str">
        <x:v>RFE-P006</x:v>
      </x:c>
      <x:c r="C12" t="str">
        <x:v>AF-1-BA</x:v>
      </x:c>
      <x:c r="D12" t="str">
        <x:v>PTC-B</x:v>
      </x:c>
      <x:c r="E12" t="str">
        <x:v>A06</x:v>
      </x:c>
      <x:c r="F12" t="str">
        <x:v>RFE-E084</x:v>
      </x:c>
      <x:c r="G12" t="str">
        <x:v>RFE-E083</x:v>
      </x:c>
      <x:c r="H12" t="str">
        <x:v>challenge then control</x:v>
      </x:c>
      <x:c r="I12" t="str"/>
      <x:c r="J12" t="str"/>
      <x:c r="K12" t="str"/>
      <x:c r="L12" t="str">
        <x:f>IF(AND(I12=1,J12=1,K12=1),"PASS","OPEN")</x:f>
        <x:v>OPEN</x:v>
      </x:c>
    </x:row>
    <x:row r="13">
      <x:c r="B13" t="str">
        <x:v>RFE-P007</x:v>
      </x:c>
      <x:c r="C13" t="str">
        <x:v>AF-1-BA</x:v>
      </x:c>
      <x:c r="D13" t="str">
        <x:v>PTC-B</x:v>
      </x:c>
      <x:c r="E13" t="str">
        <x:v>A07</x:v>
      </x:c>
      <x:c r="F13" t="str">
        <x:v>RFE-E085</x:v>
      </x:c>
      <x:c r="G13" t="str">
        <x:v>RFE-E086</x:v>
      </x:c>
      <x:c r="H13" t="str">
        <x:v>control then challenge</x:v>
      </x:c>
      <x:c r="I13" t="str"/>
      <x:c r="J13" t="str"/>
      <x:c r="K13" t="str"/>
      <x:c r="L13" t="str">
        <x:f>IF(AND(I13=1,J13=1,K13=1),"PASS","OPEN")</x:f>
        <x:v>OPEN</x:v>
      </x:c>
    </x:row>
    <x:row r="14">
      <x:c r="B14" t="str">
        <x:v>RFE-P008</x:v>
      </x:c>
      <x:c r="C14" t="str">
        <x:v>AF-1-BA</x:v>
      </x:c>
      <x:c r="D14" t="str">
        <x:v>PTC-B</x:v>
      </x:c>
      <x:c r="E14" t="str">
        <x:v>A08</x:v>
      </x:c>
      <x:c r="F14" t="str">
        <x:v>RFE-E088</x:v>
      </x:c>
      <x:c r="G14" t="str">
        <x:v>RFE-E087</x:v>
      </x:c>
      <x:c r="H14" t="str">
        <x:v>challenge then control</x:v>
      </x:c>
      <x:c r="I14" t="str"/>
      <x:c r="J14" t="str"/>
      <x:c r="K14" t="str"/>
      <x:c r="L14" t="str">
        <x:f>IF(AND(I14=1,J14=1,K14=1),"PASS","OPEN")</x:f>
        <x:v>OPEN</x:v>
      </x:c>
    </x:row>
    <x:row r="15">
      <x:c r="B15" t="str">
        <x:v>RFE-P009</x:v>
      </x:c>
      <x:c r="C15" t="str">
        <x:v>AF-1-BA</x:v>
      </x:c>
      <x:c r="D15" t="str">
        <x:v>PTC-C</x:v>
      </x:c>
      <x:c r="E15" t="str">
        <x:v>A01</x:v>
      </x:c>
      <x:c r="F15" t="str">
        <x:v>RFE-E090</x:v>
      </x:c>
      <x:c r="G15" t="str">
        <x:v>RFE-E089</x:v>
      </x:c>
      <x:c r="H15" t="str">
        <x:v>challenge then control</x:v>
      </x:c>
      <x:c r="I15" t="str"/>
      <x:c r="J15" t="str"/>
      <x:c r="K15" t="str"/>
      <x:c r="L15" t="str">
        <x:f>IF(AND(I15=1,J15=1,K15=1),"PASS","OPEN")</x:f>
        <x:v>OPEN</x:v>
      </x:c>
    </x:row>
    <x:row r="16">
      <x:c r="B16" t="str">
        <x:v>RFE-P010</x:v>
      </x:c>
      <x:c r="C16" t="str">
        <x:v>AF-1-BA</x:v>
      </x:c>
      <x:c r="D16" t="str">
        <x:v>PTC-C</x:v>
      </x:c>
      <x:c r="E16" t="str">
        <x:v>A02</x:v>
      </x:c>
      <x:c r="F16" t="str">
        <x:v>RFE-E091</x:v>
      </x:c>
      <x:c r="G16" t="str">
        <x:v>RFE-E092</x:v>
      </x:c>
      <x:c r="H16" t="str">
        <x:v>control then challenge</x:v>
      </x:c>
      <x:c r="I16" t="str"/>
      <x:c r="J16" t="str"/>
      <x:c r="K16" t="str"/>
      <x:c r="L16" t="str">
        <x:f>IF(AND(I16=1,J16=1,K16=1),"PASS","OPEN")</x:f>
        <x:v>OPEN</x:v>
      </x:c>
    </x:row>
    <x:row r="17">
      <x:c r="B17" t="str">
        <x:v>RFE-P011</x:v>
      </x:c>
      <x:c r="C17" t="str">
        <x:v>AF-1-BA</x:v>
      </x:c>
      <x:c r="D17" t="str">
        <x:v>PTC-C</x:v>
      </x:c>
      <x:c r="E17" t="str">
        <x:v>A03</x:v>
      </x:c>
      <x:c r="F17" t="str">
        <x:v>RFE-E094</x:v>
      </x:c>
      <x:c r="G17" t="str">
        <x:v>RFE-E093</x:v>
      </x:c>
      <x:c r="H17" t="str">
        <x:v>challenge then control</x:v>
      </x:c>
      <x:c r="I17" t="str"/>
      <x:c r="J17" t="str"/>
      <x:c r="K17" t="str"/>
      <x:c r="L17" t="str">
        <x:f>IF(AND(I17=1,J17=1,K17=1),"PASS","OPEN")</x:f>
        <x:v>OPEN</x:v>
      </x:c>
    </x:row>
    <x:row r="18">
      <x:c r="B18" t="str">
        <x:v>RFE-P012</x:v>
      </x:c>
      <x:c r="C18" t="str">
        <x:v>AF-1-BA</x:v>
      </x:c>
      <x:c r="D18" t="str">
        <x:v>PTC-C</x:v>
      </x:c>
      <x:c r="E18" t="str">
        <x:v>A04</x:v>
      </x:c>
      <x:c r="F18" t="str">
        <x:v>RFE-E095</x:v>
      </x:c>
      <x:c r="G18" t="str">
        <x:v>RFE-E096</x:v>
      </x:c>
      <x:c r="H18" t="str">
        <x:v>control then challenge</x:v>
      </x:c>
      <x:c r="I18" t="str"/>
      <x:c r="J18" t="str"/>
      <x:c r="K18" t="str"/>
      <x:c r="L18" t="str">
        <x:f>IF(AND(I18=1,J18=1,K18=1),"PASS","OPEN")</x:f>
        <x:v>OPEN</x:v>
      </x:c>
    </x:row>
    <x:row r="19">
      <x:c r="B19" t="str">
        <x:v>RFE-P013</x:v>
      </x:c>
      <x:c r="C19" t="str">
        <x:v>AF-1-BA</x:v>
      </x:c>
      <x:c r="D19" t="str">
        <x:v>PTC-C</x:v>
      </x:c>
      <x:c r="E19" t="str">
        <x:v>A05</x:v>
      </x:c>
      <x:c r="F19" t="str">
        <x:v>RFE-E098</x:v>
      </x:c>
      <x:c r="G19" t="str">
        <x:v>RFE-E097</x:v>
      </x:c>
      <x:c r="H19" t="str">
        <x:v>challenge then control</x:v>
      </x:c>
      <x:c r="I19" t="str"/>
      <x:c r="J19" t="str"/>
      <x:c r="K19" t="str"/>
      <x:c r="L19" t="str">
        <x:f>IF(AND(I19=1,J19=1,K19=1),"PASS","OPEN")</x:f>
        <x:v>OPEN</x:v>
      </x:c>
    </x:row>
    <x:row r="20">
      <x:c r="B20" t="str">
        <x:v>RFE-P014</x:v>
      </x:c>
      <x:c r="C20" t="str">
        <x:v>AF-1-BA</x:v>
      </x:c>
      <x:c r="D20" t="str">
        <x:v>PTC-C</x:v>
      </x:c>
      <x:c r="E20" t="str">
        <x:v>A06</x:v>
      </x:c>
      <x:c r="F20" t="str">
        <x:v>RFE-E099</x:v>
      </x:c>
      <x:c r="G20" t="str">
        <x:v>RFE-E100</x:v>
      </x:c>
      <x:c r="H20" t="str">
        <x:v>control then challenge</x:v>
      </x:c>
      <x:c r="I20" t="str"/>
      <x:c r="J20" t="str"/>
      <x:c r="K20" t="str"/>
      <x:c r="L20" t="str">
        <x:f>IF(AND(I20=1,J20=1,K20=1),"PASS","OPEN")</x:f>
        <x:v>OPEN</x:v>
      </x:c>
    </x:row>
    <x:row r="21">
      <x:c r="B21" t="str">
        <x:v>RFE-P015</x:v>
      </x:c>
      <x:c r="C21" t="str">
        <x:v>AF-1-BA</x:v>
      </x:c>
      <x:c r="D21" t="str">
        <x:v>PTC-C</x:v>
      </x:c>
      <x:c r="E21" t="str">
        <x:v>A07</x:v>
      </x:c>
      <x:c r="F21" t="str">
        <x:v>RFE-E102</x:v>
      </x:c>
      <x:c r="G21" t="str">
        <x:v>RFE-E101</x:v>
      </x:c>
      <x:c r="H21" t="str">
        <x:v>challenge then control</x:v>
      </x:c>
      <x:c r="I21" t="str"/>
      <x:c r="J21" t="str"/>
      <x:c r="K21" t="str"/>
      <x:c r="L21" t="str">
        <x:f>IF(AND(I21=1,J21=1,K21=1),"PASS","OPEN")</x:f>
        <x:v>OPEN</x:v>
      </x:c>
    </x:row>
    <x:row r="22">
      <x:c r="B22" t="str">
        <x:v>RFE-P016</x:v>
      </x:c>
      <x:c r="C22" t="str">
        <x:v>AF-1-BA</x:v>
      </x:c>
      <x:c r="D22" t="str">
        <x:v>PTC-C</x:v>
      </x:c>
      <x:c r="E22" t="str">
        <x:v>A08</x:v>
      </x:c>
      <x:c r="F22" t="str">
        <x:v>RFE-E103</x:v>
      </x:c>
      <x:c r="G22" t="str">
        <x:v>RFE-E104</x:v>
      </x:c>
      <x:c r="H22" t="str">
        <x:v>control then challenge</x:v>
      </x:c>
      <x:c r="I22" t="str"/>
      <x:c r="J22" t="str"/>
      <x:c r="K22" t="str"/>
      <x:c r="L22" t="str">
        <x:f>IF(AND(I22=1,J22=1,K22=1),"PASS","OPEN")</x:f>
        <x:v>OPEN</x:v>
      </x:c>
    </x:row>
    <x:row r="23">
      <x:c r="B23" t="str">
        <x:v>RFE-P017</x:v>
      </x:c>
      <x:c r="C23" t="str">
        <x:v>AF-1-BB</x:v>
      </x:c>
      <x:c r="D23" t="str">
        <x:v>PTC-B</x:v>
      </x:c>
      <x:c r="E23" t="str">
        <x:v>A01</x:v>
      </x:c>
      <x:c r="F23" t="str">
        <x:v>RFE-E105</x:v>
      </x:c>
      <x:c r="G23" t="str">
        <x:v>RFE-E106</x:v>
      </x:c>
      <x:c r="H23" t="str">
        <x:v>control then challenge</x:v>
      </x:c>
      <x:c r="I23" t="str"/>
      <x:c r="J23" t="str"/>
      <x:c r="K23" t="str"/>
      <x:c r="L23" t="str">
        <x:f>IF(AND(I23=1,J23=1,K23=1),"PASS","OPEN")</x:f>
        <x:v>OPEN</x:v>
      </x:c>
    </x:row>
    <x:row r="24">
      <x:c r="B24" t="str">
        <x:v>RFE-P018</x:v>
      </x:c>
      <x:c r="C24" t="str">
        <x:v>AF-1-BB</x:v>
      </x:c>
      <x:c r="D24" t="str">
        <x:v>PTC-B</x:v>
      </x:c>
      <x:c r="E24" t="str">
        <x:v>A02</x:v>
      </x:c>
      <x:c r="F24" t="str">
        <x:v>RFE-E108</x:v>
      </x:c>
      <x:c r="G24" t="str">
        <x:v>RFE-E107</x:v>
      </x:c>
      <x:c r="H24" t="str">
        <x:v>challenge then control</x:v>
      </x:c>
      <x:c r="I24" t="str"/>
      <x:c r="J24" t="str"/>
      <x:c r="K24" t="str"/>
      <x:c r="L24" t="str">
        <x:f>IF(AND(I24=1,J24=1,K24=1),"PASS","OPEN")</x:f>
        <x:v>OPEN</x:v>
      </x:c>
    </x:row>
    <x:row r="25">
      <x:c r="B25" t="str">
        <x:v>RFE-P019</x:v>
      </x:c>
      <x:c r="C25" t="str">
        <x:v>AF-1-BB</x:v>
      </x:c>
      <x:c r="D25" t="str">
        <x:v>PTC-B</x:v>
      </x:c>
      <x:c r="E25" t="str">
        <x:v>A03</x:v>
      </x:c>
      <x:c r="F25" t="str">
        <x:v>RFE-E109</x:v>
      </x:c>
      <x:c r="G25" t="str">
        <x:v>RFE-E110</x:v>
      </x:c>
      <x:c r="H25" t="str">
        <x:v>control then challenge</x:v>
      </x:c>
      <x:c r="I25" t="str"/>
      <x:c r="J25" t="str"/>
      <x:c r="K25" t="str"/>
      <x:c r="L25" t="str">
        <x:f>IF(AND(I25=1,J25=1,K25=1),"PASS","OPEN")</x:f>
        <x:v>OPEN</x:v>
      </x:c>
    </x:row>
    <x:row r="26">
      <x:c r="B26" t="str">
        <x:v>RFE-P020</x:v>
      </x:c>
      <x:c r="C26" t="str">
        <x:v>AF-1-BB</x:v>
      </x:c>
      <x:c r="D26" t="str">
        <x:v>PTC-B</x:v>
      </x:c>
      <x:c r="E26" t="str">
        <x:v>A04</x:v>
      </x:c>
      <x:c r="F26" t="str">
        <x:v>RFE-E112</x:v>
      </x:c>
      <x:c r="G26" t="str">
        <x:v>RFE-E111</x:v>
      </x:c>
      <x:c r="H26" t="str">
        <x:v>challenge then control</x:v>
      </x:c>
      <x:c r="I26" t="str"/>
      <x:c r="J26" t="str"/>
      <x:c r="K26" t="str"/>
      <x:c r="L26" t="str">
        <x:f>IF(AND(I26=1,J26=1,K26=1),"PASS","OPEN")</x:f>
        <x:v>OPEN</x:v>
      </x:c>
    </x:row>
    <x:row r="27">
      <x:c r="B27" t="str">
        <x:v>RFE-P021</x:v>
      </x:c>
      <x:c r="C27" t="str">
        <x:v>AF-1-BB</x:v>
      </x:c>
      <x:c r="D27" t="str">
        <x:v>PTC-B</x:v>
      </x:c>
      <x:c r="E27" t="str">
        <x:v>A05</x:v>
      </x:c>
      <x:c r="F27" t="str">
        <x:v>RFE-E113</x:v>
      </x:c>
      <x:c r="G27" t="str">
        <x:v>RFE-E114</x:v>
      </x:c>
      <x:c r="H27" t="str">
        <x:v>control then challenge</x:v>
      </x:c>
      <x:c r="I27" t="str"/>
      <x:c r="J27" t="str"/>
      <x:c r="K27" t="str"/>
      <x:c r="L27" t="str">
        <x:f>IF(AND(I27=1,J27=1,K27=1),"PASS","OPEN")</x:f>
        <x:v>OPEN</x:v>
      </x:c>
    </x:row>
    <x:row r="28">
      <x:c r="B28" t="str">
        <x:v>RFE-P022</x:v>
      </x:c>
      <x:c r="C28" t="str">
        <x:v>AF-1-BB</x:v>
      </x:c>
      <x:c r="D28" t="str">
        <x:v>PTC-B</x:v>
      </x:c>
      <x:c r="E28" t="str">
        <x:v>A06</x:v>
      </x:c>
      <x:c r="F28" t="str">
        <x:v>RFE-E116</x:v>
      </x:c>
      <x:c r="G28" t="str">
        <x:v>RFE-E115</x:v>
      </x:c>
      <x:c r="H28" t="str">
        <x:v>challenge then control</x:v>
      </x:c>
      <x:c r="I28" t="str"/>
      <x:c r="J28" t="str"/>
      <x:c r="K28" t="str"/>
      <x:c r="L28" t="str">
        <x:f>IF(AND(I28=1,J28=1,K28=1),"PASS","OPEN")</x:f>
        <x:v>OPEN</x:v>
      </x:c>
    </x:row>
    <x:row r="29">
      <x:c r="B29" t="str">
        <x:v>RFE-P023</x:v>
      </x:c>
      <x:c r="C29" t="str">
        <x:v>AF-1-BB</x:v>
      </x:c>
      <x:c r="D29" t="str">
        <x:v>PTC-B</x:v>
      </x:c>
      <x:c r="E29" t="str">
        <x:v>A07</x:v>
      </x:c>
      <x:c r="F29" t="str">
        <x:v>RFE-E117</x:v>
      </x:c>
      <x:c r="G29" t="str">
        <x:v>RFE-E118</x:v>
      </x:c>
      <x:c r="H29" t="str">
        <x:v>control then challenge</x:v>
      </x:c>
      <x:c r="I29" t="str"/>
      <x:c r="J29" t="str"/>
      <x:c r="K29" t="str"/>
      <x:c r="L29" t="str">
        <x:f>IF(AND(I29=1,J29=1,K29=1),"PASS","OPEN")</x:f>
        <x:v>OPEN</x:v>
      </x:c>
    </x:row>
    <x:row r="30">
      <x:c r="B30" t="str">
        <x:v>RFE-P024</x:v>
      </x:c>
      <x:c r="C30" t="str">
        <x:v>AF-1-BB</x:v>
      </x:c>
      <x:c r="D30" t="str">
        <x:v>PTC-B</x:v>
      </x:c>
      <x:c r="E30" t="str">
        <x:v>A08</x:v>
      </x:c>
      <x:c r="F30" t="str">
        <x:v>RFE-E120</x:v>
      </x:c>
      <x:c r="G30" t="str">
        <x:v>RFE-E119</x:v>
      </x:c>
      <x:c r="H30" t="str">
        <x:v>challenge then control</x:v>
      </x:c>
      <x:c r="I30" t="str"/>
      <x:c r="J30" t="str"/>
      <x:c r="K30" t="str"/>
      <x:c r="L30" t="str">
        <x:f>IF(AND(I30=1,J30=1,K30=1),"PASS","OPEN")</x:f>
        <x:v>OPEN</x:v>
      </x:c>
    </x:row>
    <x:row r="31">
      <x:c r="B31" t="str">
        <x:v>RFE-P025</x:v>
      </x:c>
      <x:c r="C31" t="str">
        <x:v>AF-1-BB</x:v>
      </x:c>
      <x:c r="D31" t="str">
        <x:v>PTC-C</x:v>
      </x:c>
      <x:c r="E31" t="str">
        <x:v>A01</x:v>
      </x:c>
      <x:c r="F31" t="str">
        <x:v>RFE-E122</x:v>
      </x:c>
      <x:c r="G31" t="str">
        <x:v>RFE-E121</x:v>
      </x:c>
      <x:c r="H31" t="str">
        <x:v>challenge then control</x:v>
      </x:c>
      <x:c r="I31" t="str"/>
      <x:c r="J31" t="str"/>
      <x:c r="K31" t="str"/>
      <x:c r="L31" t="str">
        <x:f>IF(AND(I31=1,J31=1,K31=1),"PASS","OPEN")</x:f>
        <x:v>OPEN</x:v>
      </x:c>
    </x:row>
    <x:row r="32">
      <x:c r="B32" t="str">
        <x:v>RFE-P026</x:v>
      </x:c>
      <x:c r="C32" t="str">
        <x:v>AF-1-BB</x:v>
      </x:c>
      <x:c r="D32" t="str">
        <x:v>PTC-C</x:v>
      </x:c>
      <x:c r="E32" t="str">
        <x:v>A02</x:v>
      </x:c>
      <x:c r="F32" t="str">
        <x:v>RFE-E123</x:v>
      </x:c>
      <x:c r="G32" t="str">
        <x:v>RFE-E124</x:v>
      </x:c>
      <x:c r="H32" t="str">
        <x:v>control then challenge</x:v>
      </x:c>
      <x:c r="I32" t="str"/>
      <x:c r="J32" t="str"/>
      <x:c r="K32" t="str"/>
      <x:c r="L32" t="str">
        <x:f>IF(AND(I32=1,J32=1,K32=1),"PASS","OPEN")</x:f>
        <x:v>OPEN</x:v>
      </x:c>
    </x:row>
    <x:row r="33">
      <x:c r="B33" t="str">
        <x:v>RFE-P027</x:v>
      </x:c>
      <x:c r="C33" t="str">
        <x:v>AF-1-BB</x:v>
      </x:c>
      <x:c r="D33" t="str">
        <x:v>PTC-C</x:v>
      </x:c>
      <x:c r="E33" t="str">
        <x:v>A03</x:v>
      </x:c>
      <x:c r="F33" t="str">
        <x:v>RFE-E126</x:v>
      </x:c>
      <x:c r="G33" t="str">
        <x:v>RFE-E125</x:v>
      </x:c>
      <x:c r="H33" t="str">
        <x:v>challenge then control</x:v>
      </x:c>
      <x:c r="I33" t="str"/>
      <x:c r="J33" t="str"/>
      <x:c r="K33" t="str"/>
      <x:c r="L33" t="str">
        <x:f>IF(AND(I33=1,J33=1,K33=1),"PASS","OPEN")</x:f>
        <x:v>OPEN</x:v>
      </x:c>
    </x:row>
    <x:row r="34">
      <x:c r="B34" t="str">
        <x:v>RFE-P028</x:v>
      </x:c>
      <x:c r="C34" t="str">
        <x:v>AF-1-BB</x:v>
      </x:c>
      <x:c r="D34" t="str">
        <x:v>PTC-C</x:v>
      </x:c>
      <x:c r="E34" t="str">
        <x:v>A04</x:v>
      </x:c>
      <x:c r="F34" t="str">
        <x:v>RFE-E127</x:v>
      </x:c>
      <x:c r="G34" t="str">
        <x:v>RFE-E128</x:v>
      </x:c>
      <x:c r="H34" t="str">
        <x:v>control then challenge</x:v>
      </x:c>
      <x:c r="I34" t="str"/>
      <x:c r="J34" t="str"/>
      <x:c r="K34" t="str"/>
      <x:c r="L34" t="str">
        <x:f>IF(AND(I34=1,J34=1,K34=1),"PASS","OPEN")</x:f>
        <x:v>OPEN</x:v>
      </x:c>
    </x:row>
    <x:row r="35">
      <x:c r="B35" t="str">
        <x:v>RFE-P029</x:v>
      </x:c>
      <x:c r="C35" t="str">
        <x:v>AF-1-BB</x:v>
      </x:c>
      <x:c r="D35" t="str">
        <x:v>PTC-C</x:v>
      </x:c>
      <x:c r="E35" t="str">
        <x:v>A05</x:v>
      </x:c>
      <x:c r="F35" t="str">
        <x:v>RFE-E130</x:v>
      </x:c>
      <x:c r="G35" t="str">
        <x:v>RFE-E129</x:v>
      </x:c>
      <x:c r="H35" t="str">
        <x:v>challenge then control</x:v>
      </x:c>
      <x:c r="I35" t="str"/>
      <x:c r="J35" t="str"/>
      <x:c r="K35" t="str"/>
      <x:c r="L35" t="str">
        <x:f>IF(AND(I35=1,J35=1,K35=1),"PASS","OPEN")</x:f>
        <x:v>OPEN</x:v>
      </x:c>
    </x:row>
    <x:row r="36">
      <x:c r="B36" t="str">
        <x:v>RFE-P030</x:v>
      </x:c>
      <x:c r="C36" t="str">
        <x:v>AF-1-BB</x:v>
      </x:c>
      <x:c r="D36" t="str">
        <x:v>PTC-C</x:v>
      </x:c>
      <x:c r="E36" t="str">
        <x:v>A06</x:v>
      </x:c>
      <x:c r="F36" t="str">
        <x:v>RFE-E131</x:v>
      </x:c>
      <x:c r="G36" t="str">
        <x:v>RFE-E132</x:v>
      </x:c>
      <x:c r="H36" t="str">
        <x:v>control then challenge</x:v>
      </x:c>
      <x:c r="I36" t="str"/>
      <x:c r="J36" t="str"/>
      <x:c r="K36" t="str"/>
      <x:c r="L36" t="str">
        <x:f>IF(AND(I36=1,J36=1,K36=1),"PASS","OPEN")</x:f>
        <x:v>OPEN</x:v>
      </x:c>
    </x:row>
    <x:row r="37">
      <x:c r="B37" t="str">
        <x:v>RFE-P031</x:v>
      </x:c>
      <x:c r="C37" t="str">
        <x:v>AF-1-BB</x:v>
      </x:c>
      <x:c r="D37" t="str">
        <x:v>PTC-C</x:v>
      </x:c>
      <x:c r="E37" t="str">
        <x:v>A07</x:v>
      </x:c>
      <x:c r="F37" t="str">
        <x:v>RFE-E134</x:v>
      </x:c>
      <x:c r="G37" t="str">
        <x:v>RFE-E133</x:v>
      </x:c>
      <x:c r="H37" t="str">
        <x:v>challenge then control</x:v>
      </x:c>
      <x:c r="I37" t="str"/>
      <x:c r="J37" t="str"/>
      <x:c r="K37" t="str"/>
      <x:c r="L37" t="str">
        <x:f>IF(AND(I37=1,J37=1,K37=1),"PASS","OPEN")</x:f>
        <x:v>OPEN</x:v>
      </x:c>
    </x:row>
    <x:row r="38">
      <x:c r="B38" t="str">
        <x:v>RFE-P032</x:v>
      </x:c>
      <x:c r="C38" t="str">
        <x:v>AF-1-BB</x:v>
      </x:c>
      <x:c r="D38" t="str">
        <x:v>PTC-C</x:v>
      </x:c>
      <x:c r="E38" t="str">
        <x:v>A08</x:v>
      </x:c>
      <x:c r="F38" t="str">
        <x:v>RFE-E135</x:v>
      </x:c>
      <x:c r="G38" t="str">
        <x:v>RFE-E136</x:v>
      </x:c>
      <x:c r="H38" t="str">
        <x:v>control then challenge</x:v>
      </x:c>
      <x:c r="I38" t="str"/>
      <x:c r="J38" t="str"/>
      <x:c r="K38" t="str"/>
      <x:c r="L38" t="str">
        <x:f>IF(AND(I38=1,J38=1,K38=1),"PASS","OPEN")</x:f>
        <x:v>OPEN</x:v>
      </x:c>
    </x:row>
    <x:row r="39">
      <x:c r="B39" t="str">
        <x:v>RFE-P033</x:v>
      </x:c>
      <x:c r="C39" t="str">
        <x:v>AF-2-BA</x:v>
      </x:c>
      <x:c r="D39" t="str">
        <x:v>PTC-B</x:v>
      </x:c>
      <x:c r="E39" t="str">
        <x:v>A01</x:v>
      </x:c>
      <x:c r="F39" t="str">
        <x:v>RFE-E137</x:v>
      </x:c>
      <x:c r="G39" t="str">
        <x:v>RFE-E138</x:v>
      </x:c>
      <x:c r="H39" t="str">
        <x:v>control then challenge</x:v>
      </x:c>
      <x:c r="I39" t="str"/>
      <x:c r="J39" t="str"/>
      <x:c r="K39" t="str"/>
      <x:c r="L39" t="str">
        <x:f>IF(AND(I39=1,J39=1,K39=1),"PASS","OPEN")</x:f>
        <x:v>OPEN</x:v>
      </x:c>
    </x:row>
    <x:row r="40">
      <x:c r="B40" t="str">
        <x:v>RFE-P034</x:v>
      </x:c>
      <x:c r="C40" t="str">
        <x:v>AF-2-BA</x:v>
      </x:c>
      <x:c r="D40" t="str">
        <x:v>PTC-B</x:v>
      </x:c>
      <x:c r="E40" t="str">
        <x:v>A02</x:v>
      </x:c>
      <x:c r="F40" t="str">
        <x:v>RFE-E140</x:v>
      </x:c>
      <x:c r="G40" t="str">
        <x:v>RFE-E139</x:v>
      </x:c>
      <x:c r="H40" t="str">
        <x:v>challenge then control</x:v>
      </x:c>
      <x:c r="I40" t="str"/>
      <x:c r="J40" t="str"/>
      <x:c r="K40" t="str"/>
      <x:c r="L40" t="str">
        <x:f>IF(AND(I40=1,J40=1,K40=1),"PASS","OPEN")</x:f>
        <x:v>OPEN</x:v>
      </x:c>
    </x:row>
    <x:row r="41">
      <x:c r="B41" t="str">
        <x:v>RFE-P035</x:v>
      </x:c>
      <x:c r="C41" t="str">
        <x:v>AF-2-BA</x:v>
      </x:c>
      <x:c r="D41" t="str">
        <x:v>PTC-B</x:v>
      </x:c>
      <x:c r="E41" t="str">
        <x:v>A03</x:v>
      </x:c>
      <x:c r="F41" t="str">
        <x:v>RFE-E141</x:v>
      </x:c>
      <x:c r="G41" t="str">
        <x:v>RFE-E142</x:v>
      </x:c>
      <x:c r="H41" t="str">
        <x:v>control then challenge</x:v>
      </x:c>
      <x:c r="I41" t="str"/>
      <x:c r="J41" t="str"/>
      <x:c r="K41" t="str"/>
      <x:c r="L41" t="str">
        <x:f>IF(AND(I41=1,J41=1,K41=1),"PASS","OPEN")</x:f>
        <x:v>OPEN</x:v>
      </x:c>
    </x:row>
    <x:row r="42">
      <x:c r="B42" t="str">
        <x:v>RFE-P036</x:v>
      </x:c>
      <x:c r="C42" t="str">
        <x:v>AF-2-BA</x:v>
      </x:c>
      <x:c r="D42" t="str">
        <x:v>PTC-B</x:v>
      </x:c>
      <x:c r="E42" t="str">
        <x:v>A04</x:v>
      </x:c>
      <x:c r="F42" t="str">
        <x:v>RFE-E144</x:v>
      </x:c>
      <x:c r="G42" t="str">
        <x:v>RFE-E143</x:v>
      </x:c>
      <x:c r="H42" t="str">
        <x:v>challenge then control</x:v>
      </x:c>
      <x:c r="I42" t="str"/>
      <x:c r="J42" t="str"/>
      <x:c r="K42" t="str"/>
      <x:c r="L42" t="str">
        <x:f>IF(AND(I42=1,J42=1,K42=1),"PASS","OPEN")</x:f>
        <x:v>OPEN</x:v>
      </x:c>
    </x:row>
    <x:row r="43">
      <x:c r="B43" t="str">
        <x:v>RFE-P037</x:v>
      </x:c>
      <x:c r="C43" t="str">
        <x:v>AF-2-BA</x:v>
      </x:c>
      <x:c r="D43" t="str">
        <x:v>PTC-B</x:v>
      </x:c>
      <x:c r="E43" t="str">
        <x:v>A05</x:v>
      </x:c>
      <x:c r="F43" t="str">
        <x:v>RFE-E145</x:v>
      </x:c>
      <x:c r="G43" t="str">
        <x:v>RFE-E146</x:v>
      </x:c>
      <x:c r="H43" t="str">
        <x:v>control then challenge</x:v>
      </x:c>
      <x:c r="I43" t="str"/>
      <x:c r="J43" t="str"/>
      <x:c r="K43" t="str"/>
      <x:c r="L43" t="str">
        <x:f>IF(AND(I43=1,J43=1,K43=1),"PASS","OPEN")</x:f>
        <x:v>OPEN</x:v>
      </x:c>
    </x:row>
    <x:row r="44">
      <x:c r="B44" t="str">
        <x:v>RFE-P038</x:v>
      </x:c>
      <x:c r="C44" t="str">
        <x:v>AF-2-BA</x:v>
      </x:c>
      <x:c r="D44" t="str">
        <x:v>PTC-B</x:v>
      </x:c>
      <x:c r="E44" t="str">
        <x:v>A06</x:v>
      </x:c>
      <x:c r="F44" t="str">
        <x:v>RFE-E148</x:v>
      </x:c>
      <x:c r="G44" t="str">
        <x:v>RFE-E147</x:v>
      </x:c>
      <x:c r="H44" t="str">
        <x:v>challenge then control</x:v>
      </x:c>
      <x:c r="I44" t="str"/>
      <x:c r="J44" t="str"/>
      <x:c r="K44" t="str"/>
      <x:c r="L44" t="str">
        <x:f>IF(AND(I44=1,J44=1,K44=1),"PASS","OPEN")</x:f>
        <x:v>OPEN</x:v>
      </x:c>
    </x:row>
    <x:row r="45">
      <x:c r="B45" t="str">
        <x:v>RFE-P039</x:v>
      </x:c>
      <x:c r="C45" t="str">
        <x:v>AF-2-BA</x:v>
      </x:c>
      <x:c r="D45" t="str">
        <x:v>PTC-B</x:v>
      </x:c>
      <x:c r="E45" t="str">
        <x:v>A07</x:v>
      </x:c>
      <x:c r="F45" t="str">
        <x:v>RFE-E149</x:v>
      </x:c>
      <x:c r="G45" t="str">
        <x:v>RFE-E150</x:v>
      </x:c>
      <x:c r="H45" t="str">
        <x:v>control then challenge</x:v>
      </x:c>
      <x:c r="I45" t="str"/>
      <x:c r="J45" t="str"/>
      <x:c r="K45" t="str"/>
      <x:c r="L45" t="str">
        <x:f>IF(AND(I45=1,J45=1,K45=1),"PASS","OPEN")</x:f>
        <x:v>OPEN</x:v>
      </x:c>
    </x:row>
    <x:row r="46">
      <x:c r="B46" t="str">
        <x:v>RFE-P040</x:v>
      </x:c>
      <x:c r="C46" t="str">
        <x:v>AF-2-BA</x:v>
      </x:c>
      <x:c r="D46" t="str">
        <x:v>PTC-B</x:v>
      </x:c>
      <x:c r="E46" t="str">
        <x:v>A08</x:v>
      </x:c>
      <x:c r="F46" t="str">
        <x:v>RFE-E152</x:v>
      </x:c>
      <x:c r="G46" t="str">
        <x:v>RFE-E151</x:v>
      </x:c>
      <x:c r="H46" t="str">
        <x:v>challenge then control</x:v>
      </x:c>
      <x:c r="I46" t="str"/>
      <x:c r="J46" t="str"/>
      <x:c r="K46" t="str"/>
      <x:c r="L46" t="str">
        <x:f>IF(AND(I46=1,J46=1,K46=1),"PASS","OPEN")</x:f>
        <x:v>OPEN</x:v>
      </x:c>
    </x:row>
    <x:row r="47">
      <x:c r="B47" t="str">
        <x:v>RFE-P041</x:v>
      </x:c>
      <x:c r="C47" t="str">
        <x:v>AF-2-BA</x:v>
      </x:c>
      <x:c r="D47" t="str">
        <x:v>PTC-C</x:v>
      </x:c>
      <x:c r="E47" t="str">
        <x:v>A01</x:v>
      </x:c>
      <x:c r="F47" t="str">
        <x:v>RFE-E154</x:v>
      </x:c>
      <x:c r="G47" t="str">
        <x:v>RFE-E153</x:v>
      </x:c>
      <x:c r="H47" t="str">
        <x:v>challenge then control</x:v>
      </x:c>
      <x:c r="I47" t="str"/>
      <x:c r="J47" t="str"/>
      <x:c r="K47" t="str"/>
      <x:c r="L47" t="str">
        <x:f>IF(AND(I47=1,J47=1,K47=1),"PASS","OPEN")</x:f>
        <x:v>OPEN</x:v>
      </x:c>
    </x:row>
    <x:row r="48">
      <x:c r="B48" t="str">
        <x:v>RFE-P042</x:v>
      </x:c>
      <x:c r="C48" t="str">
        <x:v>AF-2-BA</x:v>
      </x:c>
      <x:c r="D48" t="str">
        <x:v>PTC-C</x:v>
      </x:c>
      <x:c r="E48" t="str">
        <x:v>A02</x:v>
      </x:c>
      <x:c r="F48" t="str">
        <x:v>RFE-E155</x:v>
      </x:c>
      <x:c r="G48" t="str">
        <x:v>RFE-E156</x:v>
      </x:c>
      <x:c r="H48" t="str">
        <x:v>control then challenge</x:v>
      </x:c>
      <x:c r="I48" t="str"/>
      <x:c r="J48" t="str"/>
      <x:c r="K48" t="str"/>
      <x:c r="L48" t="str">
        <x:f>IF(AND(I48=1,J48=1,K48=1),"PASS","OPEN")</x:f>
        <x:v>OPEN</x:v>
      </x:c>
    </x:row>
    <x:row r="49">
      <x:c r="B49" t="str">
        <x:v>RFE-P043</x:v>
      </x:c>
      <x:c r="C49" t="str">
        <x:v>AF-2-BA</x:v>
      </x:c>
      <x:c r="D49" t="str">
        <x:v>PTC-C</x:v>
      </x:c>
      <x:c r="E49" t="str">
        <x:v>A03</x:v>
      </x:c>
      <x:c r="F49" t="str">
        <x:v>RFE-E158</x:v>
      </x:c>
      <x:c r="G49" t="str">
        <x:v>RFE-E157</x:v>
      </x:c>
      <x:c r="H49" t="str">
        <x:v>challenge then control</x:v>
      </x:c>
      <x:c r="I49" t="str"/>
      <x:c r="J49" t="str"/>
      <x:c r="K49" t="str"/>
      <x:c r="L49" t="str">
        <x:f>IF(AND(I49=1,J49=1,K49=1),"PASS","OPEN")</x:f>
        <x:v>OPEN</x:v>
      </x:c>
    </x:row>
    <x:row r="50">
      <x:c r="B50" t="str">
        <x:v>RFE-P044</x:v>
      </x:c>
      <x:c r="C50" t="str">
        <x:v>AF-2-BA</x:v>
      </x:c>
      <x:c r="D50" t="str">
        <x:v>PTC-C</x:v>
      </x:c>
      <x:c r="E50" t="str">
        <x:v>A04</x:v>
      </x:c>
      <x:c r="F50" t="str">
        <x:v>RFE-E159</x:v>
      </x:c>
      <x:c r="G50" t="str">
        <x:v>RFE-E160</x:v>
      </x:c>
      <x:c r="H50" t="str">
        <x:v>control then challenge</x:v>
      </x:c>
      <x:c r="I50" t="str"/>
      <x:c r="J50" t="str"/>
      <x:c r="K50" t="str"/>
      <x:c r="L50" t="str">
        <x:f>IF(AND(I50=1,J50=1,K50=1),"PASS","OPEN")</x:f>
        <x:v>OPEN</x:v>
      </x:c>
    </x:row>
    <x:row r="51">
      <x:c r="B51" t="str">
        <x:v>RFE-P045</x:v>
      </x:c>
      <x:c r="C51" t="str">
        <x:v>AF-2-BA</x:v>
      </x:c>
      <x:c r="D51" t="str">
        <x:v>PTC-C</x:v>
      </x:c>
      <x:c r="E51" t="str">
        <x:v>A05</x:v>
      </x:c>
      <x:c r="F51" t="str">
        <x:v>RFE-E162</x:v>
      </x:c>
      <x:c r="G51" t="str">
        <x:v>RFE-E161</x:v>
      </x:c>
      <x:c r="H51" t="str">
        <x:v>challenge then control</x:v>
      </x:c>
      <x:c r="I51" t="str"/>
      <x:c r="J51" t="str"/>
      <x:c r="K51" t="str"/>
      <x:c r="L51" t="str">
        <x:f>IF(AND(I51=1,J51=1,K51=1),"PASS","OPEN")</x:f>
        <x:v>OPEN</x:v>
      </x:c>
    </x:row>
    <x:row r="52">
      <x:c r="B52" t="str">
        <x:v>RFE-P046</x:v>
      </x:c>
      <x:c r="C52" t="str">
        <x:v>AF-2-BA</x:v>
      </x:c>
      <x:c r="D52" t="str">
        <x:v>PTC-C</x:v>
      </x:c>
      <x:c r="E52" t="str">
        <x:v>A06</x:v>
      </x:c>
      <x:c r="F52" t="str">
        <x:v>RFE-E163</x:v>
      </x:c>
      <x:c r="G52" t="str">
        <x:v>RFE-E164</x:v>
      </x:c>
      <x:c r="H52" t="str">
        <x:v>control then challenge</x:v>
      </x:c>
      <x:c r="I52" t="str"/>
      <x:c r="J52" t="str"/>
      <x:c r="K52" t="str"/>
      <x:c r="L52" t="str">
        <x:f>IF(AND(I52=1,J52=1,K52=1),"PASS","OPEN")</x:f>
        <x:v>OPEN</x:v>
      </x:c>
    </x:row>
    <x:row r="53">
      <x:c r="B53" t="str">
        <x:v>RFE-P047</x:v>
      </x:c>
      <x:c r="C53" t="str">
        <x:v>AF-2-BA</x:v>
      </x:c>
      <x:c r="D53" t="str">
        <x:v>PTC-C</x:v>
      </x:c>
      <x:c r="E53" t="str">
        <x:v>A07</x:v>
      </x:c>
      <x:c r="F53" t="str">
        <x:v>RFE-E166</x:v>
      </x:c>
      <x:c r="G53" t="str">
        <x:v>RFE-E165</x:v>
      </x:c>
      <x:c r="H53" t="str">
        <x:v>challenge then control</x:v>
      </x:c>
      <x:c r="I53" t="str"/>
      <x:c r="J53" t="str"/>
      <x:c r="K53" t="str"/>
      <x:c r="L53" t="str">
        <x:f>IF(AND(I53=1,J53=1,K53=1),"PASS","OPEN")</x:f>
        <x:v>OPEN</x:v>
      </x:c>
    </x:row>
    <x:row r="54">
      <x:c r="B54" t="str">
        <x:v>RFE-P048</x:v>
      </x:c>
      <x:c r="C54" t="str">
        <x:v>AF-2-BA</x:v>
      </x:c>
      <x:c r="D54" t="str">
        <x:v>PTC-C</x:v>
      </x:c>
      <x:c r="E54" t="str">
        <x:v>A08</x:v>
      </x:c>
      <x:c r="F54" t="str">
        <x:v>RFE-E167</x:v>
      </x:c>
      <x:c r="G54" t="str">
        <x:v>RFE-E168</x:v>
      </x:c>
      <x:c r="H54" t="str">
        <x:v>control then challenge</x:v>
      </x:c>
      <x:c r="I54" t="str"/>
      <x:c r="J54" t="str"/>
      <x:c r="K54" t="str"/>
      <x:c r="L54" t="str">
        <x:f>IF(AND(I54=1,J54=1,K54=1),"PASS","OPEN")</x:f>
        <x:v>OPEN</x:v>
      </x:c>
    </x:row>
    <x:row r="55">
      <x:c r="B55" t="str">
        <x:v>RFE-P049</x:v>
      </x:c>
      <x:c r="C55" t="str">
        <x:v>AF-2-BB</x:v>
      </x:c>
      <x:c r="D55" t="str">
        <x:v>PTC-B</x:v>
      </x:c>
      <x:c r="E55" t="str">
        <x:v>A01</x:v>
      </x:c>
      <x:c r="F55" t="str">
        <x:v>RFE-E169</x:v>
      </x:c>
      <x:c r="G55" t="str">
        <x:v>RFE-E170</x:v>
      </x:c>
      <x:c r="H55" t="str">
        <x:v>control then challenge</x:v>
      </x:c>
      <x:c r="I55" t="str"/>
      <x:c r="J55" t="str"/>
      <x:c r="K55" t="str"/>
      <x:c r="L55" t="str">
        <x:f>IF(AND(I55=1,J55=1,K55=1),"PASS","OPEN")</x:f>
        <x:v>OPEN</x:v>
      </x:c>
    </x:row>
    <x:row r="56">
      <x:c r="B56" t="str">
        <x:v>RFE-P050</x:v>
      </x:c>
      <x:c r="C56" t="str">
        <x:v>AF-2-BB</x:v>
      </x:c>
      <x:c r="D56" t="str">
        <x:v>PTC-B</x:v>
      </x:c>
      <x:c r="E56" t="str">
        <x:v>A02</x:v>
      </x:c>
      <x:c r="F56" t="str">
        <x:v>RFE-E172</x:v>
      </x:c>
      <x:c r="G56" t="str">
        <x:v>RFE-E171</x:v>
      </x:c>
      <x:c r="H56" t="str">
        <x:v>challenge then control</x:v>
      </x:c>
      <x:c r="I56" t="str"/>
      <x:c r="J56" t="str"/>
      <x:c r="K56" t="str"/>
      <x:c r="L56" t="str">
        <x:f>IF(AND(I56=1,J56=1,K56=1),"PASS","OPEN")</x:f>
        <x:v>OPEN</x:v>
      </x:c>
    </x:row>
    <x:row r="57">
      <x:c r="B57" t="str">
        <x:v>RFE-P051</x:v>
      </x:c>
      <x:c r="C57" t="str">
        <x:v>AF-2-BB</x:v>
      </x:c>
      <x:c r="D57" t="str">
        <x:v>PTC-B</x:v>
      </x:c>
      <x:c r="E57" t="str">
        <x:v>A03</x:v>
      </x:c>
      <x:c r="F57" t="str">
        <x:v>RFE-E173</x:v>
      </x:c>
      <x:c r="G57" t="str">
        <x:v>RFE-E174</x:v>
      </x:c>
      <x:c r="H57" t="str">
        <x:v>control then challenge</x:v>
      </x:c>
      <x:c r="I57" t="str"/>
      <x:c r="J57" t="str"/>
      <x:c r="K57" t="str"/>
      <x:c r="L57" t="str">
        <x:f>IF(AND(I57=1,J57=1,K57=1),"PASS","OPEN")</x:f>
        <x:v>OPEN</x:v>
      </x:c>
    </x:row>
    <x:row r="58">
      <x:c r="B58" t="str">
        <x:v>RFE-P052</x:v>
      </x:c>
      <x:c r="C58" t="str">
        <x:v>AF-2-BB</x:v>
      </x:c>
      <x:c r="D58" t="str">
        <x:v>PTC-B</x:v>
      </x:c>
      <x:c r="E58" t="str">
        <x:v>A04</x:v>
      </x:c>
      <x:c r="F58" t="str">
        <x:v>RFE-E176</x:v>
      </x:c>
      <x:c r="G58" t="str">
        <x:v>RFE-E175</x:v>
      </x:c>
      <x:c r="H58" t="str">
        <x:v>challenge then control</x:v>
      </x:c>
      <x:c r="I58" t="str"/>
      <x:c r="J58" t="str"/>
      <x:c r="K58" t="str"/>
      <x:c r="L58" t="str">
        <x:f>IF(AND(I58=1,J58=1,K58=1),"PASS","OPEN")</x:f>
        <x:v>OPEN</x:v>
      </x:c>
    </x:row>
    <x:row r="59">
      <x:c r="B59" t="str">
        <x:v>RFE-P053</x:v>
      </x:c>
      <x:c r="C59" t="str">
        <x:v>AF-2-BB</x:v>
      </x:c>
      <x:c r="D59" t="str">
        <x:v>PTC-B</x:v>
      </x:c>
      <x:c r="E59" t="str">
        <x:v>A05</x:v>
      </x:c>
      <x:c r="F59" t="str">
        <x:v>RFE-E177</x:v>
      </x:c>
      <x:c r="G59" t="str">
        <x:v>RFE-E178</x:v>
      </x:c>
      <x:c r="H59" t="str">
        <x:v>control then challenge</x:v>
      </x:c>
      <x:c r="I59" t="str"/>
      <x:c r="J59" t="str"/>
      <x:c r="K59" t="str"/>
      <x:c r="L59" t="str">
        <x:f>IF(AND(I59=1,J59=1,K59=1),"PASS","OPEN")</x:f>
        <x:v>OPEN</x:v>
      </x:c>
    </x:row>
    <x:row r="60">
      <x:c r="B60" t="str">
        <x:v>RFE-P054</x:v>
      </x:c>
      <x:c r="C60" t="str">
        <x:v>AF-2-BB</x:v>
      </x:c>
      <x:c r="D60" t="str">
        <x:v>PTC-B</x:v>
      </x:c>
      <x:c r="E60" t="str">
        <x:v>A06</x:v>
      </x:c>
      <x:c r="F60" t="str">
        <x:v>RFE-E180</x:v>
      </x:c>
      <x:c r="G60" t="str">
        <x:v>RFE-E179</x:v>
      </x:c>
      <x:c r="H60" t="str">
        <x:v>challenge then control</x:v>
      </x:c>
      <x:c r="I60" t="str"/>
      <x:c r="J60" t="str"/>
      <x:c r="K60" t="str"/>
      <x:c r="L60" t="str">
        <x:f>IF(AND(I60=1,J60=1,K60=1),"PASS","OPEN")</x:f>
        <x:v>OPEN</x:v>
      </x:c>
    </x:row>
    <x:row r="61">
      <x:c r="B61" t="str">
        <x:v>RFE-P055</x:v>
      </x:c>
      <x:c r="C61" t="str">
        <x:v>AF-2-BB</x:v>
      </x:c>
      <x:c r="D61" t="str">
        <x:v>PTC-B</x:v>
      </x:c>
      <x:c r="E61" t="str">
        <x:v>A07</x:v>
      </x:c>
      <x:c r="F61" t="str">
        <x:v>RFE-E181</x:v>
      </x:c>
      <x:c r="G61" t="str">
        <x:v>RFE-E182</x:v>
      </x:c>
      <x:c r="H61" t="str">
        <x:v>control then challenge</x:v>
      </x:c>
      <x:c r="I61" t="str"/>
      <x:c r="J61" t="str"/>
      <x:c r="K61" t="str"/>
      <x:c r="L61" t="str">
        <x:f>IF(AND(I61=1,J61=1,K61=1),"PASS","OPEN")</x:f>
        <x:v>OPEN</x:v>
      </x:c>
    </x:row>
    <x:row r="62">
      <x:c r="B62" t="str">
        <x:v>RFE-P056</x:v>
      </x:c>
      <x:c r="C62" t="str">
        <x:v>AF-2-BB</x:v>
      </x:c>
      <x:c r="D62" t="str">
        <x:v>PTC-B</x:v>
      </x:c>
      <x:c r="E62" t="str">
        <x:v>A08</x:v>
      </x:c>
      <x:c r="F62" t="str">
        <x:v>RFE-E184</x:v>
      </x:c>
      <x:c r="G62" t="str">
        <x:v>RFE-E183</x:v>
      </x:c>
      <x:c r="H62" t="str">
        <x:v>challenge then control</x:v>
      </x:c>
      <x:c r="I62" t="str"/>
      <x:c r="J62" t="str"/>
      <x:c r="K62" t="str"/>
      <x:c r="L62" t="str">
        <x:f>IF(AND(I62=1,J62=1,K62=1),"PASS","OPEN")</x:f>
        <x:v>OPEN</x:v>
      </x:c>
    </x:row>
    <x:row r="63">
      <x:c r="B63" t="str">
        <x:v>RFE-P057</x:v>
      </x:c>
      <x:c r="C63" t="str">
        <x:v>AF-2-BB</x:v>
      </x:c>
      <x:c r="D63" t="str">
        <x:v>PTC-C</x:v>
      </x:c>
      <x:c r="E63" t="str">
        <x:v>A01</x:v>
      </x:c>
      <x:c r="F63" t="str">
        <x:v>RFE-E186</x:v>
      </x:c>
      <x:c r="G63" t="str">
        <x:v>RFE-E185</x:v>
      </x:c>
      <x:c r="H63" t="str">
        <x:v>challenge then control</x:v>
      </x:c>
      <x:c r="I63" t="str"/>
      <x:c r="J63" t="str"/>
      <x:c r="K63" t="str"/>
      <x:c r="L63" t="str">
        <x:f>IF(AND(I63=1,J63=1,K63=1),"PASS","OPEN")</x:f>
        <x:v>OPEN</x:v>
      </x:c>
    </x:row>
    <x:row r="64">
      <x:c r="B64" t="str">
        <x:v>RFE-P058</x:v>
      </x:c>
      <x:c r="C64" t="str">
        <x:v>AF-2-BB</x:v>
      </x:c>
      <x:c r="D64" t="str">
        <x:v>PTC-C</x:v>
      </x:c>
      <x:c r="E64" t="str">
        <x:v>A02</x:v>
      </x:c>
      <x:c r="F64" t="str">
        <x:v>RFE-E187</x:v>
      </x:c>
      <x:c r="G64" t="str">
        <x:v>RFE-E188</x:v>
      </x:c>
      <x:c r="H64" t="str">
        <x:v>control then challenge</x:v>
      </x:c>
      <x:c r="I64" t="str"/>
      <x:c r="J64" t="str"/>
      <x:c r="K64" t="str"/>
      <x:c r="L64" t="str">
        <x:f>IF(AND(I64=1,J64=1,K64=1),"PASS","OPEN")</x:f>
        <x:v>OPEN</x:v>
      </x:c>
    </x:row>
    <x:row r="65">
      <x:c r="B65" t="str">
        <x:v>RFE-P059</x:v>
      </x:c>
      <x:c r="C65" t="str">
        <x:v>AF-2-BB</x:v>
      </x:c>
      <x:c r="D65" t="str">
        <x:v>PTC-C</x:v>
      </x:c>
      <x:c r="E65" t="str">
        <x:v>A03</x:v>
      </x:c>
      <x:c r="F65" t="str">
        <x:v>RFE-E190</x:v>
      </x:c>
      <x:c r="G65" t="str">
        <x:v>RFE-E189</x:v>
      </x:c>
      <x:c r="H65" t="str">
        <x:v>challenge then control</x:v>
      </x:c>
      <x:c r="I65" t="str"/>
      <x:c r="J65" t="str"/>
      <x:c r="K65" t="str"/>
      <x:c r="L65" t="str">
        <x:f>IF(AND(I65=1,J65=1,K65=1),"PASS","OPEN")</x:f>
        <x:v>OPEN</x:v>
      </x:c>
    </x:row>
    <x:row r="66">
      <x:c r="B66" t="str">
        <x:v>RFE-P060</x:v>
      </x:c>
      <x:c r="C66" t="str">
        <x:v>AF-2-BB</x:v>
      </x:c>
      <x:c r="D66" t="str">
        <x:v>PTC-C</x:v>
      </x:c>
      <x:c r="E66" t="str">
        <x:v>A04</x:v>
      </x:c>
      <x:c r="F66" t="str">
        <x:v>RFE-E191</x:v>
      </x:c>
      <x:c r="G66" t="str">
        <x:v>RFE-E192</x:v>
      </x:c>
      <x:c r="H66" t="str">
        <x:v>control then challenge</x:v>
      </x:c>
      <x:c r="I66" t="str"/>
      <x:c r="J66" t="str"/>
      <x:c r="K66" t="str"/>
      <x:c r="L66" t="str">
        <x:f>IF(AND(I66=1,J66=1,K66=1),"PASS","OPEN")</x:f>
        <x:v>OPEN</x:v>
      </x:c>
    </x:row>
    <x:row r="67">
      <x:c r="B67" t="str">
        <x:v>RFE-P061</x:v>
      </x:c>
      <x:c r="C67" t="str">
        <x:v>AF-2-BB</x:v>
      </x:c>
      <x:c r="D67" t="str">
        <x:v>PTC-C</x:v>
      </x:c>
      <x:c r="E67" t="str">
        <x:v>A05</x:v>
      </x:c>
      <x:c r="F67" t="str">
        <x:v>RFE-E194</x:v>
      </x:c>
      <x:c r="G67" t="str">
        <x:v>RFE-E193</x:v>
      </x:c>
      <x:c r="H67" t="str">
        <x:v>challenge then control</x:v>
      </x:c>
      <x:c r="I67" t="str"/>
      <x:c r="J67" t="str"/>
      <x:c r="K67" t="str"/>
      <x:c r="L67" t="str">
        <x:f>IF(AND(I67=1,J67=1,K67=1),"PASS","OPEN")</x:f>
        <x:v>OPEN</x:v>
      </x:c>
    </x:row>
    <x:row r="68">
      <x:c r="B68" t="str">
        <x:v>RFE-P062</x:v>
      </x:c>
      <x:c r="C68" t="str">
        <x:v>AF-2-BB</x:v>
      </x:c>
      <x:c r="D68" t="str">
        <x:v>PTC-C</x:v>
      </x:c>
      <x:c r="E68" t="str">
        <x:v>A06</x:v>
      </x:c>
      <x:c r="F68" t="str">
        <x:v>RFE-E195</x:v>
      </x:c>
      <x:c r="G68" t="str">
        <x:v>RFE-E196</x:v>
      </x:c>
      <x:c r="H68" t="str">
        <x:v>control then challenge</x:v>
      </x:c>
      <x:c r="I68" t="str"/>
      <x:c r="J68" t="str"/>
      <x:c r="K68" t="str"/>
      <x:c r="L68" t="str">
        <x:f>IF(AND(I68=1,J68=1,K68=1),"PASS","OPEN")</x:f>
        <x:v>OPEN</x:v>
      </x:c>
    </x:row>
    <x:row r="69">
      <x:c r="B69" t="str">
        <x:v>RFE-P063</x:v>
      </x:c>
      <x:c r="C69" t="str">
        <x:v>AF-2-BB</x:v>
      </x:c>
      <x:c r="D69" t="str">
        <x:v>PTC-C</x:v>
      </x:c>
      <x:c r="E69" t="str">
        <x:v>A07</x:v>
      </x:c>
      <x:c r="F69" t="str">
        <x:v>RFE-E198</x:v>
      </x:c>
      <x:c r="G69" t="str">
        <x:v>RFE-E197</x:v>
      </x:c>
      <x:c r="H69" t="str">
        <x:v>challenge then control</x:v>
      </x:c>
      <x:c r="I69" t="str"/>
      <x:c r="J69" t="str"/>
      <x:c r="K69" t="str"/>
      <x:c r="L69" t="str">
        <x:f>IF(AND(I69=1,J69=1,K69=1),"PASS","OPEN")</x:f>
        <x:v>OPEN</x:v>
      </x:c>
    </x:row>
    <x:row r="70">
      <x:c r="B70" t="str">
        <x:v>RFE-P064</x:v>
      </x:c>
      <x:c r="C70" t="str">
        <x:v>AF-2-BB</x:v>
      </x:c>
      <x:c r="D70" t="str">
        <x:v>PTC-C</x:v>
      </x:c>
      <x:c r="E70" t="str">
        <x:v>A08</x:v>
      </x:c>
      <x:c r="F70" t="str">
        <x:v>RFE-E199</x:v>
      </x:c>
      <x:c r="G70" t="str">
        <x:v>RFE-E200</x:v>
      </x:c>
      <x:c r="H70" t="str">
        <x:v>control then challenge</x:v>
      </x:c>
      <x:c r="I70" t="str"/>
      <x:c r="J70" t="str"/>
      <x:c r="K70" t="str"/>
      <x:c r="L70" t="str">
        <x:f>IF(AND(I70=1,J70=1,K70=1),"PASS","OPEN")</x:f>
        <x:v>OPEN</x:v>
      </x:c>
    </x:row>
    <x:row r="71">
      <x:c r="B71" t="str">
        <x:v>RFE-P065</x:v>
      </x:c>
      <x:c r="C71" t="str">
        <x:v>AF-3-BA</x:v>
      </x:c>
      <x:c r="D71" t="str">
        <x:v>PTC-B</x:v>
      </x:c>
      <x:c r="E71" t="str">
        <x:v>A01</x:v>
      </x:c>
      <x:c r="F71" t="str">
        <x:v>RFE-E201</x:v>
      </x:c>
      <x:c r="G71" t="str">
        <x:v>RFE-E202</x:v>
      </x:c>
      <x:c r="H71" t="str">
        <x:v>control then challenge</x:v>
      </x:c>
      <x:c r="I71" t="str"/>
      <x:c r="J71" t="str"/>
      <x:c r="K71" t="str"/>
      <x:c r="L71" t="str">
        <x:f>IF(AND(I71=1,J71=1,K71=1),"PASS","OPEN")</x:f>
        <x:v>OPEN</x:v>
      </x:c>
    </x:row>
    <x:row r="72">
      <x:c r="B72" t="str">
        <x:v>RFE-P066</x:v>
      </x:c>
      <x:c r="C72" t="str">
        <x:v>AF-3-BA</x:v>
      </x:c>
      <x:c r="D72" t="str">
        <x:v>PTC-B</x:v>
      </x:c>
      <x:c r="E72" t="str">
        <x:v>A02</x:v>
      </x:c>
      <x:c r="F72" t="str">
        <x:v>RFE-E204</x:v>
      </x:c>
      <x:c r="G72" t="str">
        <x:v>RFE-E203</x:v>
      </x:c>
      <x:c r="H72" t="str">
        <x:v>challenge then control</x:v>
      </x:c>
      <x:c r="I72" t="str"/>
      <x:c r="J72" t="str"/>
      <x:c r="K72" t="str"/>
      <x:c r="L72" t="str">
        <x:f>IF(AND(I72=1,J72=1,K72=1),"PASS","OPEN")</x:f>
        <x:v>OPEN</x:v>
      </x:c>
    </x:row>
    <x:row r="73">
      <x:c r="B73" t="str">
        <x:v>RFE-P067</x:v>
      </x:c>
      <x:c r="C73" t="str">
        <x:v>AF-3-BA</x:v>
      </x:c>
      <x:c r="D73" t="str">
        <x:v>PTC-B</x:v>
      </x:c>
      <x:c r="E73" t="str">
        <x:v>A03</x:v>
      </x:c>
      <x:c r="F73" t="str">
        <x:v>RFE-E205</x:v>
      </x:c>
      <x:c r="G73" t="str">
        <x:v>RFE-E206</x:v>
      </x:c>
      <x:c r="H73" t="str">
        <x:v>control then challenge</x:v>
      </x:c>
      <x:c r="I73" t="str"/>
      <x:c r="J73" t="str"/>
      <x:c r="K73" t="str"/>
      <x:c r="L73" t="str">
        <x:f>IF(AND(I73=1,J73=1,K73=1),"PASS","OPEN")</x:f>
        <x:v>OPEN</x:v>
      </x:c>
    </x:row>
    <x:row r="74">
      <x:c r="B74" t="str">
        <x:v>RFE-P068</x:v>
      </x:c>
      <x:c r="C74" t="str">
        <x:v>AF-3-BA</x:v>
      </x:c>
      <x:c r="D74" t="str">
        <x:v>PTC-B</x:v>
      </x:c>
      <x:c r="E74" t="str">
        <x:v>A04</x:v>
      </x:c>
      <x:c r="F74" t="str">
        <x:v>RFE-E208</x:v>
      </x:c>
      <x:c r="G74" t="str">
        <x:v>RFE-E207</x:v>
      </x:c>
      <x:c r="H74" t="str">
        <x:v>challenge then control</x:v>
      </x:c>
      <x:c r="I74" t="str"/>
      <x:c r="J74" t="str"/>
      <x:c r="K74" t="str"/>
      <x:c r="L74" t="str">
        <x:f>IF(AND(I74=1,J74=1,K74=1),"PASS","OPEN")</x:f>
        <x:v>OPEN</x:v>
      </x:c>
    </x:row>
    <x:row r="75">
      <x:c r="B75" t="str">
        <x:v>RFE-P069</x:v>
      </x:c>
      <x:c r="C75" t="str">
        <x:v>AF-3-BA</x:v>
      </x:c>
      <x:c r="D75" t="str">
        <x:v>PTC-B</x:v>
      </x:c>
      <x:c r="E75" t="str">
        <x:v>A05</x:v>
      </x:c>
      <x:c r="F75" t="str">
        <x:v>RFE-E209</x:v>
      </x:c>
      <x:c r="G75" t="str">
        <x:v>RFE-E210</x:v>
      </x:c>
      <x:c r="H75" t="str">
        <x:v>control then challenge</x:v>
      </x:c>
      <x:c r="I75" t="str"/>
      <x:c r="J75" t="str"/>
      <x:c r="K75" t="str"/>
      <x:c r="L75" t="str">
        <x:f>IF(AND(I75=1,J75=1,K75=1),"PASS","OPEN")</x:f>
        <x:v>OPEN</x:v>
      </x:c>
    </x:row>
    <x:row r="76">
      <x:c r="B76" t="str">
        <x:v>RFE-P070</x:v>
      </x:c>
      <x:c r="C76" t="str">
        <x:v>AF-3-BA</x:v>
      </x:c>
      <x:c r="D76" t="str">
        <x:v>PTC-B</x:v>
      </x:c>
      <x:c r="E76" t="str">
        <x:v>A06</x:v>
      </x:c>
      <x:c r="F76" t="str">
        <x:v>RFE-E212</x:v>
      </x:c>
      <x:c r="G76" t="str">
        <x:v>RFE-E211</x:v>
      </x:c>
      <x:c r="H76" t="str">
        <x:v>challenge then control</x:v>
      </x:c>
      <x:c r="I76" t="str"/>
      <x:c r="J76" t="str"/>
      <x:c r="K76" t="str"/>
      <x:c r="L76" t="str">
        <x:f>IF(AND(I76=1,J76=1,K76=1),"PASS","OPEN")</x:f>
        <x:v>OPEN</x:v>
      </x:c>
    </x:row>
    <x:row r="77">
      <x:c r="B77" t="str">
        <x:v>RFE-P071</x:v>
      </x:c>
      <x:c r="C77" t="str">
        <x:v>AF-3-BA</x:v>
      </x:c>
      <x:c r="D77" t="str">
        <x:v>PTC-B</x:v>
      </x:c>
      <x:c r="E77" t="str">
        <x:v>A07</x:v>
      </x:c>
      <x:c r="F77" t="str">
        <x:v>RFE-E213</x:v>
      </x:c>
      <x:c r="G77" t="str">
        <x:v>RFE-E214</x:v>
      </x:c>
      <x:c r="H77" t="str">
        <x:v>control then challenge</x:v>
      </x:c>
      <x:c r="I77" t="str"/>
      <x:c r="J77" t="str"/>
      <x:c r="K77" t="str"/>
      <x:c r="L77" t="str">
        <x:f>IF(AND(I77=1,J77=1,K77=1),"PASS","OPEN")</x:f>
        <x:v>OPEN</x:v>
      </x:c>
    </x:row>
    <x:row r="78">
      <x:c r="B78" t="str">
        <x:v>RFE-P072</x:v>
      </x:c>
      <x:c r="C78" t="str">
        <x:v>AF-3-BA</x:v>
      </x:c>
      <x:c r="D78" t="str">
        <x:v>PTC-B</x:v>
      </x:c>
      <x:c r="E78" t="str">
        <x:v>A08</x:v>
      </x:c>
      <x:c r="F78" t="str">
        <x:v>RFE-E216</x:v>
      </x:c>
      <x:c r="G78" t="str">
        <x:v>RFE-E215</x:v>
      </x:c>
      <x:c r="H78" t="str">
        <x:v>challenge then control</x:v>
      </x:c>
      <x:c r="I78" t="str"/>
      <x:c r="J78" t="str"/>
      <x:c r="K78" t="str"/>
      <x:c r="L78" t="str">
        <x:f>IF(AND(I78=1,J78=1,K78=1),"PASS","OPEN")</x:f>
        <x:v>OPEN</x:v>
      </x:c>
    </x:row>
    <x:row r="79">
      <x:c r="B79" t="str">
        <x:v>RFE-P073</x:v>
      </x:c>
      <x:c r="C79" t="str">
        <x:v>AF-3-BA</x:v>
      </x:c>
      <x:c r="D79" t="str">
        <x:v>PTC-C</x:v>
      </x:c>
      <x:c r="E79" t="str">
        <x:v>A01</x:v>
      </x:c>
      <x:c r="F79" t="str">
        <x:v>RFE-E218</x:v>
      </x:c>
      <x:c r="G79" t="str">
        <x:v>RFE-E217</x:v>
      </x:c>
      <x:c r="H79" t="str">
        <x:v>challenge then control</x:v>
      </x:c>
      <x:c r="I79" t="str"/>
      <x:c r="J79" t="str"/>
      <x:c r="K79" t="str"/>
      <x:c r="L79" t="str">
        <x:f>IF(AND(I79=1,J79=1,K79=1),"PASS","OPEN")</x:f>
        <x:v>OPEN</x:v>
      </x:c>
    </x:row>
    <x:row r="80">
      <x:c r="B80" t="str">
        <x:v>RFE-P074</x:v>
      </x:c>
      <x:c r="C80" t="str">
        <x:v>AF-3-BA</x:v>
      </x:c>
      <x:c r="D80" t="str">
        <x:v>PTC-C</x:v>
      </x:c>
      <x:c r="E80" t="str">
        <x:v>A02</x:v>
      </x:c>
      <x:c r="F80" t="str">
        <x:v>RFE-E219</x:v>
      </x:c>
      <x:c r="G80" t="str">
        <x:v>RFE-E220</x:v>
      </x:c>
      <x:c r="H80" t="str">
        <x:v>control then challenge</x:v>
      </x:c>
      <x:c r="I80" t="str"/>
      <x:c r="J80" t="str"/>
      <x:c r="K80" t="str"/>
      <x:c r="L80" t="str">
        <x:f>IF(AND(I80=1,J80=1,K80=1),"PASS","OPEN")</x:f>
        <x:v>OPEN</x:v>
      </x:c>
    </x:row>
    <x:row r="81">
      <x:c r="B81" t="str">
        <x:v>RFE-P075</x:v>
      </x:c>
      <x:c r="C81" t="str">
        <x:v>AF-3-BA</x:v>
      </x:c>
      <x:c r="D81" t="str">
        <x:v>PTC-C</x:v>
      </x:c>
      <x:c r="E81" t="str">
        <x:v>A03</x:v>
      </x:c>
      <x:c r="F81" t="str">
        <x:v>RFE-E222</x:v>
      </x:c>
      <x:c r="G81" t="str">
        <x:v>RFE-E221</x:v>
      </x:c>
      <x:c r="H81" t="str">
        <x:v>challenge then control</x:v>
      </x:c>
      <x:c r="I81" t="str"/>
      <x:c r="J81" t="str"/>
      <x:c r="K81" t="str"/>
      <x:c r="L81" t="str">
        <x:f>IF(AND(I81=1,J81=1,K81=1),"PASS","OPEN")</x:f>
        <x:v>OPEN</x:v>
      </x:c>
    </x:row>
    <x:row r="82">
      <x:c r="B82" t="str">
        <x:v>RFE-P076</x:v>
      </x:c>
      <x:c r="C82" t="str">
        <x:v>AF-3-BA</x:v>
      </x:c>
      <x:c r="D82" t="str">
        <x:v>PTC-C</x:v>
      </x:c>
      <x:c r="E82" t="str">
        <x:v>A04</x:v>
      </x:c>
      <x:c r="F82" t="str">
        <x:v>RFE-E223</x:v>
      </x:c>
      <x:c r="G82" t="str">
        <x:v>RFE-E224</x:v>
      </x:c>
      <x:c r="H82" t="str">
        <x:v>control then challenge</x:v>
      </x:c>
      <x:c r="I82" t="str"/>
      <x:c r="J82" t="str"/>
      <x:c r="K82" t="str"/>
      <x:c r="L82" t="str">
        <x:f>IF(AND(I82=1,J82=1,K82=1),"PASS","OPEN")</x:f>
        <x:v>OPEN</x:v>
      </x:c>
    </x:row>
    <x:row r="83">
      <x:c r="B83" t="str">
        <x:v>RFE-P077</x:v>
      </x:c>
      <x:c r="C83" t="str">
        <x:v>AF-3-BA</x:v>
      </x:c>
      <x:c r="D83" t="str">
        <x:v>PTC-C</x:v>
      </x:c>
      <x:c r="E83" t="str">
        <x:v>A05</x:v>
      </x:c>
      <x:c r="F83" t="str">
        <x:v>RFE-E226</x:v>
      </x:c>
      <x:c r="G83" t="str">
        <x:v>RFE-E225</x:v>
      </x:c>
      <x:c r="H83" t="str">
        <x:v>challenge then control</x:v>
      </x:c>
      <x:c r="I83" t="str"/>
      <x:c r="J83" t="str"/>
      <x:c r="K83" t="str"/>
      <x:c r="L83" t="str">
        <x:f>IF(AND(I83=1,J83=1,K83=1),"PASS","OPEN")</x:f>
        <x:v>OPEN</x:v>
      </x:c>
    </x:row>
    <x:row r="84">
      <x:c r="B84" t="str">
        <x:v>RFE-P078</x:v>
      </x:c>
      <x:c r="C84" t="str">
        <x:v>AF-3-BA</x:v>
      </x:c>
      <x:c r="D84" t="str">
        <x:v>PTC-C</x:v>
      </x:c>
      <x:c r="E84" t="str">
        <x:v>A06</x:v>
      </x:c>
      <x:c r="F84" t="str">
        <x:v>RFE-E227</x:v>
      </x:c>
      <x:c r="G84" t="str">
        <x:v>RFE-E228</x:v>
      </x:c>
      <x:c r="H84" t="str">
        <x:v>control then challenge</x:v>
      </x:c>
      <x:c r="I84" t="str"/>
      <x:c r="J84" t="str"/>
      <x:c r="K84" t="str"/>
      <x:c r="L84" t="str">
        <x:f>IF(AND(I84=1,J84=1,K84=1),"PASS","OPEN")</x:f>
        <x:v>OPEN</x:v>
      </x:c>
    </x:row>
    <x:row r="85">
      <x:c r="B85" t="str">
        <x:v>RFE-P079</x:v>
      </x:c>
      <x:c r="C85" t="str">
        <x:v>AF-3-BA</x:v>
      </x:c>
      <x:c r="D85" t="str">
        <x:v>PTC-C</x:v>
      </x:c>
      <x:c r="E85" t="str">
        <x:v>A07</x:v>
      </x:c>
      <x:c r="F85" t="str">
        <x:v>RFE-E230</x:v>
      </x:c>
      <x:c r="G85" t="str">
        <x:v>RFE-E229</x:v>
      </x:c>
      <x:c r="H85" t="str">
        <x:v>challenge then control</x:v>
      </x:c>
      <x:c r="I85" t="str"/>
      <x:c r="J85" t="str"/>
      <x:c r="K85" t="str"/>
      <x:c r="L85" t="str">
        <x:f>IF(AND(I85=1,J85=1,K85=1),"PASS","OPEN")</x:f>
        <x:v>OPEN</x:v>
      </x:c>
    </x:row>
    <x:row r="86">
      <x:c r="B86" t="str">
        <x:v>RFE-P080</x:v>
      </x:c>
      <x:c r="C86" t="str">
        <x:v>AF-3-BA</x:v>
      </x:c>
      <x:c r="D86" t="str">
        <x:v>PTC-C</x:v>
      </x:c>
      <x:c r="E86" t="str">
        <x:v>A08</x:v>
      </x:c>
      <x:c r="F86" t="str">
        <x:v>RFE-E231</x:v>
      </x:c>
      <x:c r="G86" t="str">
        <x:v>RFE-E232</x:v>
      </x:c>
      <x:c r="H86" t="str">
        <x:v>control then challenge</x:v>
      </x:c>
      <x:c r="I86" t="str"/>
      <x:c r="J86" t="str"/>
      <x:c r="K86" t="str"/>
      <x:c r="L86" t="str">
        <x:f>IF(AND(I86=1,J86=1,K86=1),"PASS","OPEN")</x:f>
        <x:v>OPEN</x:v>
      </x:c>
    </x:row>
    <x:row r="87">
      <x:c r="B87" t="str">
        <x:v>RFE-P081</x:v>
      </x:c>
      <x:c r="C87" t="str">
        <x:v>AF-3-BB</x:v>
      </x:c>
      <x:c r="D87" t="str">
        <x:v>PTC-B</x:v>
      </x:c>
      <x:c r="E87" t="str">
        <x:v>A01</x:v>
      </x:c>
      <x:c r="F87" t="str">
        <x:v>RFE-E233</x:v>
      </x:c>
      <x:c r="G87" t="str">
        <x:v>RFE-E234</x:v>
      </x:c>
      <x:c r="H87" t="str">
        <x:v>control then challenge</x:v>
      </x:c>
      <x:c r="I87" t="str"/>
      <x:c r="J87" t="str"/>
      <x:c r="K87" t="str"/>
      <x:c r="L87" t="str">
        <x:f>IF(AND(I87=1,J87=1,K87=1),"PASS","OPEN")</x:f>
        <x:v>OPEN</x:v>
      </x:c>
    </x:row>
    <x:row r="88">
      <x:c r="B88" t="str">
        <x:v>RFE-P082</x:v>
      </x:c>
      <x:c r="C88" t="str">
        <x:v>AF-3-BB</x:v>
      </x:c>
      <x:c r="D88" t="str">
        <x:v>PTC-B</x:v>
      </x:c>
      <x:c r="E88" t="str">
        <x:v>A02</x:v>
      </x:c>
      <x:c r="F88" t="str">
        <x:v>RFE-E236</x:v>
      </x:c>
      <x:c r="G88" t="str">
        <x:v>RFE-E235</x:v>
      </x:c>
      <x:c r="H88" t="str">
        <x:v>challenge then control</x:v>
      </x:c>
      <x:c r="I88" t="str"/>
      <x:c r="J88" t="str"/>
      <x:c r="K88" t="str"/>
      <x:c r="L88" t="str">
        <x:f>IF(AND(I88=1,J88=1,K88=1),"PASS","OPEN")</x:f>
        <x:v>OPEN</x:v>
      </x:c>
    </x:row>
    <x:row r="89">
      <x:c r="B89" t="str">
        <x:v>RFE-P083</x:v>
      </x:c>
      <x:c r="C89" t="str">
        <x:v>AF-3-BB</x:v>
      </x:c>
      <x:c r="D89" t="str">
        <x:v>PTC-B</x:v>
      </x:c>
      <x:c r="E89" t="str">
        <x:v>A03</x:v>
      </x:c>
      <x:c r="F89" t="str">
        <x:v>RFE-E237</x:v>
      </x:c>
      <x:c r="G89" t="str">
        <x:v>RFE-E238</x:v>
      </x:c>
      <x:c r="H89" t="str">
        <x:v>control then challenge</x:v>
      </x:c>
      <x:c r="I89" t="str"/>
      <x:c r="J89" t="str"/>
      <x:c r="K89" t="str"/>
      <x:c r="L89" t="str">
        <x:f>IF(AND(I89=1,J89=1,K89=1),"PASS","OPEN")</x:f>
        <x:v>OPEN</x:v>
      </x:c>
    </x:row>
    <x:row r="90">
      <x:c r="B90" t="str">
        <x:v>RFE-P084</x:v>
      </x:c>
      <x:c r="C90" t="str">
        <x:v>AF-3-BB</x:v>
      </x:c>
      <x:c r="D90" t="str">
        <x:v>PTC-B</x:v>
      </x:c>
      <x:c r="E90" t="str">
        <x:v>A04</x:v>
      </x:c>
      <x:c r="F90" t="str">
        <x:v>RFE-E240</x:v>
      </x:c>
      <x:c r="G90" t="str">
        <x:v>RFE-E239</x:v>
      </x:c>
      <x:c r="H90" t="str">
        <x:v>challenge then control</x:v>
      </x:c>
      <x:c r="I90" t="str"/>
      <x:c r="J90" t="str"/>
      <x:c r="K90" t="str"/>
      <x:c r="L90" t="str">
        <x:f>IF(AND(I90=1,J90=1,K90=1),"PASS","OPEN")</x:f>
        <x:v>OPEN</x:v>
      </x:c>
    </x:row>
    <x:row r="91">
      <x:c r="B91" t="str">
        <x:v>RFE-P085</x:v>
      </x:c>
      <x:c r="C91" t="str">
        <x:v>AF-3-BB</x:v>
      </x:c>
      <x:c r="D91" t="str">
        <x:v>PTC-B</x:v>
      </x:c>
      <x:c r="E91" t="str">
        <x:v>A05</x:v>
      </x:c>
      <x:c r="F91" t="str">
        <x:v>RFE-E241</x:v>
      </x:c>
      <x:c r="G91" t="str">
        <x:v>RFE-E242</x:v>
      </x:c>
      <x:c r="H91" t="str">
        <x:v>control then challenge</x:v>
      </x:c>
      <x:c r="I91" t="str"/>
      <x:c r="J91" t="str"/>
      <x:c r="K91" t="str"/>
      <x:c r="L91" t="str">
        <x:f>IF(AND(I91=1,J91=1,K91=1),"PASS","OPEN")</x:f>
        <x:v>OPEN</x:v>
      </x:c>
    </x:row>
    <x:row r="92">
      <x:c r="B92" t="str">
        <x:v>RFE-P086</x:v>
      </x:c>
      <x:c r="C92" t="str">
        <x:v>AF-3-BB</x:v>
      </x:c>
      <x:c r="D92" t="str">
        <x:v>PTC-B</x:v>
      </x:c>
      <x:c r="E92" t="str">
        <x:v>A06</x:v>
      </x:c>
      <x:c r="F92" t="str">
        <x:v>RFE-E244</x:v>
      </x:c>
      <x:c r="G92" t="str">
        <x:v>RFE-E243</x:v>
      </x:c>
      <x:c r="H92" t="str">
        <x:v>challenge then control</x:v>
      </x:c>
      <x:c r="I92" t="str"/>
      <x:c r="J92" t="str"/>
      <x:c r="K92" t="str"/>
      <x:c r="L92" t="str">
        <x:f>IF(AND(I92=1,J92=1,K92=1),"PASS","OPEN")</x:f>
        <x:v>OPEN</x:v>
      </x:c>
    </x:row>
    <x:row r="93">
      <x:c r="B93" t="str">
        <x:v>RFE-P087</x:v>
      </x:c>
      <x:c r="C93" t="str">
        <x:v>AF-3-BB</x:v>
      </x:c>
      <x:c r="D93" t="str">
        <x:v>PTC-B</x:v>
      </x:c>
      <x:c r="E93" t="str">
        <x:v>A07</x:v>
      </x:c>
      <x:c r="F93" t="str">
        <x:v>RFE-E245</x:v>
      </x:c>
      <x:c r="G93" t="str">
        <x:v>RFE-E246</x:v>
      </x:c>
      <x:c r="H93" t="str">
        <x:v>control then challenge</x:v>
      </x:c>
      <x:c r="I93" t="str"/>
      <x:c r="J93" t="str"/>
      <x:c r="K93" t="str"/>
      <x:c r="L93" t="str">
        <x:f>IF(AND(I93=1,J93=1,K93=1),"PASS","OPEN")</x:f>
        <x:v>OPEN</x:v>
      </x:c>
    </x:row>
    <x:row r="94">
      <x:c r="B94" t="str">
        <x:v>RFE-P088</x:v>
      </x:c>
      <x:c r="C94" t="str">
        <x:v>AF-3-BB</x:v>
      </x:c>
      <x:c r="D94" t="str">
        <x:v>PTC-B</x:v>
      </x:c>
      <x:c r="E94" t="str">
        <x:v>A08</x:v>
      </x:c>
      <x:c r="F94" t="str">
        <x:v>RFE-E248</x:v>
      </x:c>
      <x:c r="G94" t="str">
        <x:v>RFE-E247</x:v>
      </x:c>
      <x:c r="H94" t="str">
        <x:v>challenge then control</x:v>
      </x:c>
      <x:c r="I94" t="str"/>
      <x:c r="J94" t="str"/>
      <x:c r="K94" t="str"/>
      <x:c r="L94" t="str">
        <x:f>IF(AND(I94=1,J94=1,K94=1),"PASS","OPEN")</x:f>
        <x:v>OPEN</x:v>
      </x:c>
    </x:row>
    <x:row r="95">
      <x:c r="B95" t="str">
        <x:v>RFE-P089</x:v>
      </x:c>
      <x:c r="C95" t="str">
        <x:v>AF-3-BB</x:v>
      </x:c>
      <x:c r="D95" t="str">
        <x:v>PTC-C</x:v>
      </x:c>
      <x:c r="E95" t="str">
        <x:v>A01</x:v>
      </x:c>
      <x:c r="F95" t="str">
        <x:v>RFE-E250</x:v>
      </x:c>
      <x:c r="G95" t="str">
        <x:v>RFE-E249</x:v>
      </x:c>
      <x:c r="H95" t="str">
        <x:v>challenge then control</x:v>
      </x:c>
      <x:c r="I95" t="str"/>
      <x:c r="J95" t="str"/>
      <x:c r="K95" t="str"/>
      <x:c r="L95" t="str">
        <x:f>IF(AND(I95=1,J95=1,K95=1),"PASS","OPEN")</x:f>
        <x:v>OPEN</x:v>
      </x:c>
    </x:row>
    <x:row r="96">
      <x:c r="B96" t="str">
        <x:v>RFE-P090</x:v>
      </x:c>
      <x:c r="C96" t="str">
        <x:v>AF-3-BB</x:v>
      </x:c>
      <x:c r="D96" t="str">
        <x:v>PTC-C</x:v>
      </x:c>
      <x:c r="E96" t="str">
        <x:v>A02</x:v>
      </x:c>
      <x:c r="F96" t="str">
        <x:v>RFE-E251</x:v>
      </x:c>
      <x:c r="G96" t="str">
        <x:v>RFE-E252</x:v>
      </x:c>
      <x:c r="H96" t="str">
        <x:v>control then challenge</x:v>
      </x:c>
      <x:c r="I96" t="str"/>
      <x:c r="J96" t="str"/>
      <x:c r="K96" t="str"/>
      <x:c r="L96" t="str">
        <x:f>IF(AND(I96=1,J96=1,K96=1),"PASS","OPEN")</x:f>
        <x:v>OPEN</x:v>
      </x:c>
    </x:row>
    <x:row r="97">
      <x:c r="B97" t="str">
        <x:v>RFE-P091</x:v>
      </x:c>
      <x:c r="C97" t="str">
        <x:v>AF-3-BB</x:v>
      </x:c>
      <x:c r="D97" t="str">
        <x:v>PTC-C</x:v>
      </x:c>
      <x:c r="E97" t="str">
        <x:v>A03</x:v>
      </x:c>
      <x:c r="F97" t="str">
        <x:v>RFE-E254</x:v>
      </x:c>
      <x:c r="G97" t="str">
        <x:v>RFE-E253</x:v>
      </x:c>
      <x:c r="H97" t="str">
        <x:v>challenge then control</x:v>
      </x:c>
      <x:c r="I97" t="str"/>
      <x:c r="J97" t="str"/>
      <x:c r="K97" t="str"/>
      <x:c r="L97" t="str">
        <x:f>IF(AND(I97=1,J97=1,K97=1),"PASS","OPEN")</x:f>
        <x:v>OPEN</x:v>
      </x:c>
    </x:row>
    <x:row r="98">
      <x:c r="B98" t="str">
        <x:v>RFE-P092</x:v>
      </x:c>
      <x:c r="C98" t="str">
        <x:v>AF-3-BB</x:v>
      </x:c>
      <x:c r="D98" t="str">
        <x:v>PTC-C</x:v>
      </x:c>
      <x:c r="E98" t="str">
        <x:v>A04</x:v>
      </x:c>
      <x:c r="F98" t="str">
        <x:v>RFE-E255</x:v>
      </x:c>
      <x:c r="G98" t="str">
        <x:v>RFE-E256</x:v>
      </x:c>
      <x:c r="H98" t="str">
        <x:v>control then challenge</x:v>
      </x:c>
      <x:c r="I98" t="str"/>
      <x:c r="J98" t="str"/>
      <x:c r="K98" t="str"/>
      <x:c r="L98" t="str">
        <x:f>IF(AND(I98=1,J98=1,K98=1),"PASS","OPEN")</x:f>
        <x:v>OPEN</x:v>
      </x:c>
    </x:row>
    <x:row r="99">
      <x:c r="B99" t="str">
        <x:v>RFE-P093</x:v>
      </x:c>
      <x:c r="C99" t="str">
        <x:v>AF-3-BB</x:v>
      </x:c>
      <x:c r="D99" t="str">
        <x:v>PTC-C</x:v>
      </x:c>
      <x:c r="E99" t="str">
        <x:v>A05</x:v>
      </x:c>
      <x:c r="F99" t="str">
        <x:v>RFE-E258</x:v>
      </x:c>
      <x:c r="G99" t="str">
        <x:v>RFE-E257</x:v>
      </x:c>
      <x:c r="H99" t="str">
        <x:v>challenge then control</x:v>
      </x:c>
      <x:c r="I99" t="str"/>
      <x:c r="J99" t="str"/>
      <x:c r="K99" t="str"/>
      <x:c r="L99" t="str">
        <x:f>IF(AND(I99=1,J99=1,K99=1),"PASS","OPEN")</x:f>
        <x:v>OPEN</x:v>
      </x:c>
    </x:row>
    <x:row r="100">
      <x:c r="B100" t="str">
        <x:v>RFE-P094</x:v>
      </x:c>
      <x:c r="C100" t="str">
        <x:v>AF-3-BB</x:v>
      </x:c>
      <x:c r="D100" t="str">
        <x:v>PTC-C</x:v>
      </x:c>
      <x:c r="E100" t="str">
        <x:v>A06</x:v>
      </x:c>
      <x:c r="F100" t="str">
        <x:v>RFE-E259</x:v>
      </x:c>
      <x:c r="G100" t="str">
        <x:v>RFE-E260</x:v>
      </x:c>
      <x:c r="H100" t="str">
        <x:v>control then challenge</x:v>
      </x:c>
      <x:c r="I100" t="str"/>
      <x:c r="J100" t="str"/>
      <x:c r="K100" t="str"/>
      <x:c r="L100" t="str">
        <x:f>IF(AND(I100=1,J100=1,K100=1),"PASS","OPEN")</x:f>
        <x:v>OPEN</x:v>
      </x:c>
    </x:row>
    <x:row r="101">
      <x:c r="B101" t="str">
        <x:v>RFE-P095</x:v>
      </x:c>
      <x:c r="C101" t="str">
        <x:v>AF-3-BB</x:v>
      </x:c>
      <x:c r="D101" t="str">
        <x:v>PTC-C</x:v>
      </x:c>
      <x:c r="E101" t="str">
        <x:v>A07</x:v>
      </x:c>
      <x:c r="F101" t="str">
        <x:v>RFE-E262</x:v>
      </x:c>
      <x:c r="G101" t="str">
        <x:v>RFE-E261</x:v>
      </x:c>
      <x:c r="H101" t="str">
        <x:v>challenge then control</x:v>
      </x:c>
      <x:c r="I101" t="str"/>
      <x:c r="J101" t="str"/>
      <x:c r="K101" t="str"/>
      <x:c r="L101" t="str">
        <x:f>IF(AND(I101=1,J101=1,K101=1),"PASS","OPEN")</x:f>
        <x:v>OPEN</x:v>
      </x:c>
    </x:row>
    <x:row r="102">
      <x:c r="B102" t="str">
        <x:v>RFE-P096</x:v>
      </x:c>
      <x:c r="C102" t="str">
        <x:v>AF-3-BB</x:v>
      </x:c>
      <x:c r="D102" t="str">
        <x:v>PTC-C</x:v>
      </x:c>
      <x:c r="E102" t="str">
        <x:v>A08</x:v>
      </x:c>
      <x:c r="F102" t="str">
        <x:v>RFE-E263</x:v>
      </x:c>
      <x:c r="G102" t="str">
        <x:v>RFE-E264</x:v>
      </x:c>
      <x:c r="H102" t="str">
        <x:v>control then challenge</x:v>
      </x:c>
      <x:c r="I102" t="str"/>
      <x:c r="J102" t="str"/>
      <x:c r="K102" t="str"/>
      <x:c r="L102" t="str">
        <x:f>IF(AND(I102=1,J102=1,K102=1),"PASS","OPEN")</x:f>
        <x:v>OPEN</x:v>
      </x:c>
    </x:row>
  </x:sheetData>
  <x:conditionalFormatting sqref="L7:L102">
    <x:cfRule type="containsText" dxfId="14" priority="1" operator="containsText" text="FAIL"/>
    <x:cfRule type="containsText" dxfId="15" priority="2" operator="containsText" text="INVALID"/>
    <x:cfRule type="containsText" dxfId="16" priority="3" operator="containsText" text="BLOCKED"/>
    <x:cfRule type="containsText" dxfId="17" priority="4" operator="containsText" text="OPEN"/>
    <x:cfRule type="containsText" dxfId="18" priority="5" operator="containsText" text="GAP"/>
    <x:cfRule type="containsText" dxfId="19" priority="6" operator="containsText" text="PASS"/>
    <x:cfRule type="containsText" dxfId="20" priority="7" operator="containsText" text="VALI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3" hidden="0" customWidth="1"/>
    <x:col min="4" max="4" width="14" hidden="0" customWidth="1"/>
    <x:col min="5" max="5" width="15" hidden="0" customWidth="1"/>
    <x:col min="6" max="6" width="14" hidden="0" customWidth="1"/>
    <x:col min="7" max="7" width="16" hidden="0" customWidth="1"/>
    <x:col min="8" max="8" width="19" hidden="0" customWidth="1"/>
    <x:col min="9" max="9" width="22" hidden="0" customWidth="1"/>
    <x:col min="10" max="10" width="17" hidden="0" customWidth="1"/>
  </x:cols>
  <x:sheetData>
    <x:row r="2">
      <x:c r="B2" s="1" t="str">
        <x:v>Sixty-six invalid-attempt reserve tokens</x:v>
      </x:c>
    </x:row>
    <x:row r="3">
      <x:c r="B3" s="2" t="str">
        <x:v>A token may replace an invalid attempt. It may never replace a valid adverse result or erase the original.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Token</x:v>
      </x:c>
      <x:c r="C6" s="7" t="str">
        <x:v>Class</x:v>
      </x:c>
      <x:c r="D6" s="7" t="str">
        <x:v>Ordinal</x:v>
      </x:c>
      <x:c r="E6" s="7" t="str">
        <x:v>Source kg</x:v>
      </x:c>
      <x:c r="F6" s="7" t="str">
        <x:v>Rig-days</x:v>
      </x:c>
      <x:c r="G6" s="7" t="str">
        <x:v>State</x:v>
      </x:c>
      <x:c r="H6" s="7" t="str">
        <x:v>Triggering event</x:v>
      </x:c>
      <x:c r="I6" s="7" t="str">
        <x:v>Replacement event</x:v>
      </x:c>
      <x:c r="J6" s="7" t="str">
        <x:v>Disposition</x:v>
      </x:c>
    </x:row>
    <x:row r="7">
      <x:c r="B7" t="str">
        <x:v>RFE-R001</x:v>
      </x:c>
      <x:c r="C7" t="str">
        <x:v>EC-01</x:v>
      </x:c>
      <x:c r="D7" t="n">
        <x:v>1</x:v>
      </x:c>
      <x:c r="E7" t="n">
        <x:v>0</x:v>
      </x:c>
      <x:c r="F7" t="n">
        <x:v>3</x:v>
      </x:c>
      <x:c r="G7" t="str">
        <x:v>dormant</x:v>
      </x:c>
      <x:c r="H7" t="str">
        <x:v>—</x:v>
      </x:c>
      <x:c r="I7" t="str">
        <x:v>—</x:v>
      </x:c>
      <x:c r="J7" t="str">
        <x:v>OPEN</x:v>
      </x:c>
    </x:row>
    <x:row r="8">
      <x:c r="B8" t="str">
        <x:v>RFE-R002</x:v>
      </x:c>
      <x:c r="C8" t="str">
        <x:v>EC-01</x:v>
      </x:c>
      <x:c r="D8" t="n">
        <x:v>2</x:v>
      </x:c>
      <x:c r="E8" t="n">
        <x:v>0</x:v>
      </x:c>
      <x:c r="F8" t="n">
        <x:v>3</x:v>
      </x:c>
      <x:c r="G8" t="str">
        <x:v>dormant</x:v>
      </x:c>
      <x:c r="H8" t="str">
        <x:v>—</x:v>
      </x:c>
      <x:c r="I8" t="str">
        <x:v>—</x:v>
      </x:c>
      <x:c r="J8" t="str">
        <x:v>OPEN</x:v>
      </x:c>
    </x:row>
    <x:row r="9">
      <x:c r="B9" t="str">
        <x:v>RFE-R003</x:v>
      </x:c>
      <x:c r="C9" t="str">
        <x:v>EC-01</x:v>
      </x:c>
      <x:c r="D9" t="n">
        <x:v>3</x:v>
      </x:c>
      <x:c r="E9" t="n">
        <x:v>0</x:v>
      </x:c>
      <x:c r="F9" t="n">
        <x:v>3</x:v>
      </x:c>
      <x:c r="G9" t="str">
        <x:v>dormant</x:v>
      </x:c>
      <x:c r="H9" t="str">
        <x:v>—</x:v>
      </x:c>
      <x:c r="I9" t="str">
        <x:v>—</x:v>
      </x:c>
      <x:c r="J9" t="str">
        <x:v>OPEN</x:v>
      </x:c>
    </x:row>
    <x:row r="10">
      <x:c r="B10" t="str">
        <x:v>RFE-R004</x:v>
      </x:c>
      <x:c r="C10" t="str">
        <x:v>EC-01</x:v>
      </x:c>
      <x:c r="D10" t="n">
        <x:v>4</x:v>
      </x:c>
      <x:c r="E10" t="n">
        <x:v>0</x:v>
      </x:c>
      <x:c r="F10" t="n">
        <x:v>3</x:v>
      </x:c>
      <x:c r="G10" t="str">
        <x:v>dormant</x:v>
      </x:c>
      <x:c r="H10" t="str">
        <x:v>—</x:v>
      </x:c>
      <x:c r="I10" t="str">
        <x:v>—</x:v>
      </x:c>
      <x:c r="J10" t="str">
        <x:v>OPEN</x:v>
      </x:c>
    </x:row>
    <x:row r="11">
      <x:c r="B11" t="str">
        <x:v>RFE-R005</x:v>
      </x:c>
      <x:c r="C11" t="str">
        <x:v>EC-01</x:v>
      </x:c>
      <x:c r="D11" t="n">
        <x:v>5</x:v>
      </x:c>
      <x:c r="E11" t="n">
        <x:v>0</x:v>
      </x:c>
      <x:c r="F11" t="n">
        <x:v>3</x:v>
      </x:c>
      <x:c r="G11" t="str">
        <x:v>dormant</x:v>
      </x:c>
      <x:c r="H11" t="str">
        <x:v>—</x:v>
      </x:c>
      <x:c r="I11" t="str">
        <x:v>—</x:v>
      </x:c>
      <x:c r="J11" t="str">
        <x:v>OPEN</x:v>
      </x:c>
    </x:row>
    <x:row r="12">
      <x:c r="B12" t="str">
        <x:v>RFE-R006</x:v>
      </x:c>
      <x:c r="C12" t="str">
        <x:v>EC-01</x:v>
      </x:c>
      <x:c r="D12" t="n">
        <x:v>6</x:v>
      </x:c>
      <x:c r="E12" t="n">
        <x:v>0</x:v>
      </x:c>
      <x:c r="F12" t="n">
        <x:v>3</x:v>
      </x:c>
      <x:c r="G12" t="str">
        <x:v>dormant</x:v>
      </x:c>
      <x:c r="H12" t="str">
        <x:v>—</x:v>
      </x:c>
      <x:c r="I12" t="str">
        <x:v>—</x:v>
      </x:c>
      <x:c r="J12" t="str">
        <x:v>OPEN</x:v>
      </x:c>
    </x:row>
    <x:row r="13">
      <x:c r="B13" t="str">
        <x:v>RFE-R007</x:v>
      </x:c>
      <x:c r="C13" t="str">
        <x:v>EC-01</x:v>
      </x:c>
      <x:c r="D13" t="n">
        <x:v>7</x:v>
      </x:c>
      <x:c r="E13" t="n">
        <x:v>0</x:v>
      </x:c>
      <x:c r="F13" t="n">
        <x:v>3</x:v>
      </x:c>
      <x:c r="G13" t="str">
        <x:v>dormant</x:v>
      </x:c>
      <x:c r="H13" t="str">
        <x:v>—</x:v>
      </x:c>
      <x:c r="I13" t="str">
        <x:v>—</x:v>
      </x:c>
      <x:c r="J13" t="str">
        <x:v>OPEN</x:v>
      </x:c>
    </x:row>
    <x:row r="14">
      <x:c r="B14" t="str">
        <x:v>RFE-R008</x:v>
      </x:c>
      <x:c r="C14" t="str">
        <x:v>EC-01</x:v>
      </x:c>
      <x:c r="D14" t="n">
        <x:v>8</x:v>
      </x:c>
      <x:c r="E14" t="n">
        <x:v>0</x:v>
      </x:c>
      <x:c r="F14" t="n">
        <x:v>3</x:v>
      </x:c>
      <x:c r="G14" t="str">
        <x:v>dormant</x:v>
      </x:c>
      <x:c r="H14" t="str">
        <x:v>—</x:v>
      </x:c>
      <x:c r="I14" t="str">
        <x:v>—</x:v>
      </x:c>
      <x:c r="J14" t="str">
        <x:v>OPEN</x:v>
      </x:c>
    </x:row>
    <x:row r="15">
      <x:c r="B15" t="str">
        <x:v>RFE-R009</x:v>
      </x:c>
      <x:c r="C15" t="str">
        <x:v>EC-01</x:v>
      </x:c>
      <x:c r="D15" t="n">
        <x:v>9</x:v>
      </x:c>
      <x:c r="E15" t="n">
        <x:v>0</x:v>
      </x:c>
      <x:c r="F15" t="n">
        <x:v>3</x:v>
      </x:c>
      <x:c r="G15" t="str">
        <x:v>dormant</x:v>
      </x:c>
      <x:c r="H15" t="str">
        <x:v>—</x:v>
      </x:c>
      <x:c r="I15" t="str">
        <x:v>—</x:v>
      </x:c>
      <x:c r="J15" t="str">
        <x:v>OPEN</x:v>
      </x:c>
    </x:row>
    <x:row r="16">
      <x:c r="B16" t="str">
        <x:v>RFE-R010</x:v>
      </x:c>
      <x:c r="C16" t="str">
        <x:v>EC-02</x:v>
      </x:c>
      <x:c r="D16" t="n">
        <x:v>1</x:v>
      </x:c>
      <x:c r="E16" t="n">
        <x:v>500</x:v>
      </x:c>
      <x:c r="F16" t="n">
        <x:v>6</x:v>
      </x:c>
      <x:c r="G16" t="str">
        <x:v>dormant</x:v>
      </x:c>
      <x:c r="H16" t="str">
        <x:v>—</x:v>
      </x:c>
      <x:c r="I16" t="str">
        <x:v>—</x:v>
      </x:c>
      <x:c r="J16" t="str">
        <x:v>OPEN</x:v>
      </x:c>
    </x:row>
    <x:row r="17">
      <x:c r="B17" t="str">
        <x:v>RFE-R011</x:v>
      </x:c>
      <x:c r="C17" t="str">
        <x:v>EC-02</x:v>
      </x:c>
      <x:c r="D17" t="n">
        <x:v>2</x:v>
      </x:c>
      <x:c r="E17" t="n">
        <x:v>500</x:v>
      </x:c>
      <x:c r="F17" t="n">
        <x:v>6</x:v>
      </x:c>
      <x:c r="G17" t="str">
        <x:v>dormant</x:v>
      </x:c>
      <x:c r="H17" t="str">
        <x:v>—</x:v>
      </x:c>
      <x:c r="I17" t="str">
        <x:v>—</x:v>
      </x:c>
      <x:c r="J17" t="str">
        <x:v>OPEN</x:v>
      </x:c>
    </x:row>
    <x:row r="18">
      <x:c r="B18" t="str">
        <x:v>RFE-R012</x:v>
      </x:c>
      <x:c r="C18" t="str">
        <x:v>EC-02</x:v>
      </x:c>
      <x:c r="D18" t="n">
        <x:v>3</x:v>
      </x:c>
      <x:c r="E18" t="n">
        <x:v>500</x:v>
      </x:c>
      <x:c r="F18" t="n">
        <x:v>6</x:v>
      </x:c>
      <x:c r="G18" t="str">
        <x:v>dormant</x:v>
      </x:c>
      <x:c r="H18" t="str">
        <x:v>—</x:v>
      </x:c>
      <x:c r="I18" t="str">
        <x:v>—</x:v>
      </x:c>
      <x:c r="J18" t="str">
        <x:v>OPEN</x:v>
      </x:c>
    </x:row>
    <x:row r="19">
      <x:c r="B19" t="str">
        <x:v>RFE-R013</x:v>
      </x:c>
      <x:c r="C19" t="str">
        <x:v>EC-03</x:v>
      </x:c>
      <x:c r="D19" t="n">
        <x:v>1</x:v>
      </x:c>
      <x:c r="E19" t="n">
        <x:v>500</x:v>
      </x:c>
      <x:c r="F19" t="n">
        <x:v>5</x:v>
      </x:c>
      <x:c r="G19" t="str">
        <x:v>dormant</x:v>
      </x:c>
      <x:c r="H19" t="str">
        <x:v>—</x:v>
      </x:c>
      <x:c r="I19" t="str">
        <x:v>—</x:v>
      </x:c>
      <x:c r="J19" t="str">
        <x:v>OPEN</x:v>
      </x:c>
    </x:row>
    <x:row r="20">
      <x:c r="B20" t="str">
        <x:v>RFE-R014</x:v>
      </x:c>
      <x:c r="C20" t="str">
        <x:v>EC-03</x:v>
      </x:c>
      <x:c r="D20" t="n">
        <x:v>2</x:v>
      </x:c>
      <x:c r="E20" t="n">
        <x:v>500</x:v>
      </x:c>
      <x:c r="F20" t="n">
        <x:v>5</x:v>
      </x:c>
      <x:c r="G20" t="str">
        <x:v>dormant</x:v>
      </x:c>
      <x:c r="H20" t="str">
        <x:v>—</x:v>
      </x:c>
      <x:c r="I20" t="str">
        <x:v>—</x:v>
      </x:c>
      <x:c r="J20" t="str">
        <x:v>OPEN</x:v>
      </x:c>
    </x:row>
    <x:row r="21">
      <x:c r="B21" t="str">
        <x:v>RFE-R015</x:v>
      </x:c>
      <x:c r="C21" t="str">
        <x:v>EC-03</x:v>
      </x:c>
      <x:c r="D21" t="n">
        <x:v>3</x:v>
      </x:c>
      <x:c r="E21" t="n">
        <x:v>500</x:v>
      </x:c>
      <x:c r="F21" t="n">
        <x:v>5</x:v>
      </x:c>
      <x:c r="G21" t="str">
        <x:v>dormant</x:v>
      </x:c>
      <x:c r="H21" t="str">
        <x:v>—</x:v>
      </x:c>
      <x:c r="I21" t="str">
        <x:v>—</x:v>
      </x:c>
      <x:c r="J21" t="str">
        <x:v>OPEN</x:v>
      </x:c>
    </x:row>
    <x:row r="22">
      <x:c r="B22" t="str">
        <x:v>RFE-R016</x:v>
      </x:c>
      <x:c r="C22" t="str">
        <x:v>EC-03</x:v>
      </x:c>
      <x:c r="D22" t="n">
        <x:v>4</x:v>
      </x:c>
      <x:c r="E22" t="n">
        <x:v>500</x:v>
      </x:c>
      <x:c r="F22" t="n">
        <x:v>5</x:v>
      </x:c>
      <x:c r="G22" t="str">
        <x:v>dormant</x:v>
      </x:c>
      <x:c r="H22" t="str">
        <x:v>—</x:v>
      </x:c>
      <x:c r="I22" t="str">
        <x:v>—</x:v>
      </x:c>
      <x:c r="J22" t="str">
        <x:v>OPEN</x:v>
      </x:c>
    </x:row>
    <x:row r="23">
      <x:c r="B23" t="str">
        <x:v>RFE-R017</x:v>
      </x:c>
      <x:c r="C23" t="str">
        <x:v>EC-03</x:v>
      </x:c>
      <x:c r="D23" t="n">
        <x:v>5</x:v>
      </x:c>
      <x:c r="E23" t="n">
        <x:v>500</x:v>
      </x:c>
      <x:c r="F23" t="n">
        <x:v>5</x:v>
      </x:c>
      <x:c r="G23" t="str">
        <x:v>dormant</x:v>
      </x:c>
      <x:c r="H23" t="str">
        <x:v>—</x:v>
      </x:c>
      <x:c r="I23" t="str">
        <x:v>—</x:v>
      </x:c>
      <x:c r="J23" t="str">
        <x:v>OPEN</x:v>
      </x:c>
    </x:row>
    <x:row r="24">
      <x:c r="B24" t="str">
        <x:v>RFE-R018</x:v>
      </x:c>
      <x:c r="C24" t="str">
        <x:v>EC-03</x:v>
      </x:c>
      <x:c r="D24" t="n">
        <x:v>6</x:v>
      </x:c>
      <x:c r="E24" t="n">
        <x:v>500</x:v>
      </x:c>
      <x:c r="F24" t="n">
        <x:v>5</x:v>
      </x:c>
      <x:c r="G24" t="str">
        <x:v>dormant</x:v>
      </x:c>
      <x:c r="H24" t="str">
        <x:v>—</x:v>
      </x:c>
      <x:c r="I24" t="str">
        <x:v>—</x:v>
      </x:c>
      <x:c r="J24" t="str">
        <x:v>OPEN</x:v>
      </x:c>
    </x:row>
    <x:row r="25">
      <x:c r="B25" t="str">
        <x:v>RFE-R019</x:v>
      </x:c>
      <x:c r="C25" t="str">
        <x:v>EC-03</x:v>
      </x:c>
      <x:c r="D25" t="n">
        <x:v>7</x:v>
      </x:c>
      <x:c r="E25" t="n">
        <x:v>500</x:v>
      </x:c>
      <x:c r="F25" t="n">
        <x:v>5</x:v>
      </x:c>
      <x:c r="G25" t="str">
        <x:v>dormant</x:v>
      </x:c>
      <x:c r="H25" t="str">
        <x:v>—</x:v>
      </x:c>
      <x:c r="I25" t="str">
        <x:v>—</x:v>
      </x:c>
      <x:c r="J25" t="str">
        <x:v>OPEN</x:v>
      </x:c>
    </x:row>
    <x:row r="26">
      <x:c r="B26" t="str">
        <x:v>RFE-R020</x:v>
      </x:c>
      <x:c r="C26" t="str">
        <x:v>EC-03</x:v>
      </x:c>
      <x:c r="D26" t="n">
        <x:v>8</x:v>
      </x:c>
      <x:c r="E26" t="n">
        <x:v>500</x:v>
      </x:c>
      <x:c r="F26" t="n">
        <x:v>5</x:v>
      </x:c>
      <x:c r="G26" t="str">
        <x:v>dormant</x:v>
      </x:c>
      <x:c r="H26" t="str">
        <x:v>—</x:v>
      </x:c>
      <x:c r="I26" t="str">
        <x:v>—</x:v>
      </x:c>
      <x:c r="J26" t="str">
        <x:v>OPEN</x:v>
      </x:c>
    </x:row>
    <x:row r="27">
      <x:c r="B27" t="str">
        <x:v>RFE-R021</x:v>
      </x:c>
      <x:c r="C27" t="str">
        <x:v>EC-03</x:v>
      </x:c>
      <x:c r="D27" t="n">
        <x:v>9</x:v>
      </x:c>
      <x:c r="E27" t="n">
        <x:v>500</x:v>
      </x:c>
      <x:c r="F27" t="n">
        <x:v>5</x:v>
      </x:c>
      <x:c r="G27" t="str">
        <x:v>dormant</x:v>
      </x:c>
      <x:c r="H27" t="str">
        <x:v>—</x:v>
      </x:c>
      <x:c r="I27" t="str">
        <x:v>—</x:v>
      </x:c>
      <x:c r="J27" t="str">
        <x:v>OPEN</x:v>
      </x:c>
    </x:row>
    <x:row r="28">
      <x:c r="B28" t="str">
        <x:v>RFE-R022</x:v>
      </x:c>
      <x:c r="C28" t="str">
        <x:v>EC-03</x:v>
      </x:c>
      <x:c r="D28" t="n">
        <x:v>10</x:v>
      </x:c>
      <x:c r="E28" t="n">
        <x:v>500</x:v>
      </x:c>
      <x:c r="F28" t="n">
        <x:v>5</x:v>
      </x:c>
      <x:c r="G28" t="str">
        <x:v>dormant</x:v>
      </x:c>
      <x:c r="H28" t="str">
        <x:v>—</x:v>
      </x:c>
      <x:c r="I28" t="str">
        <x:v>—</x:v>
      </x:c>
      <x:c r="J28" t="str">
        <x:v>OPEN</x:v>
      </x:c>
    </x:row>
    <x:row r="29">
      <x:c r="B29" t="str">
        <x:v>RFE-R023</x:v>
      </x:c>
      <x:c r="C29" t="str">
        <x:v>EC-03</x:v>
      </x:c>
      <x:c r="D29" t="n">
        <x:v>11</x:v>
      </x:c>
      <x:c r="E29" t="n">
        <x:v>500</x:v>
      </x:c>
      <x:c r="F29" t="n">
        <x:v>5</x:v>
      </x:c>
      <x:c r="G29" t="str">
        <x:v>dormant</x:v>
      </x:c>
      <x:c r="H29" t="str">
        <x:v>—</x:v>
      </x:c>
      <x:c r="I29" t="str">
        <x:v>—</x:v>
      </x:c>
      <x:c r="J29" t="str">
        <x:v>OPEN</x:v>
      </x:c>
    </x:row>
    <x:row r="30">
      <x:c r="B30" t="str">
        <x:v>RFE-R024</x:v>
      </x:c>
      <x:c r="C30" t="str">
        <x:v>EC-03</x:v>
      </x:c>
      <x:c r="D30" t="n">
        <x:v>12</x:v>
      </x:c>
      <x:c r="E30" t="n">
        <x:v>500</x:v>
      </x:c>
      <x:c r="F30" t="n">
        <x:v>5</x:v>
      </x:c>
      <x:c r="G30" t="str">
        <x:v>dormant</x:v>
      </x:c>
      <x:c r="H30" t="str">
        <x:v>—</x:v>
      </x:c>
      <x:c r="I30" t="str">
        <x:v>—</x:v>
      </x:c>
      <x:c r="J30" t="str">
        <x:v>OPEN</x:v>
      </x:c>
    </x:row>
    <x:row r="31">
      <x:c r="B31" t="str">
        <x:v>RFE-R025</x:v>
      </x:c>
      <x:c r="C31" t="str">
        <x:v>EC-03</x:v>
      </x:c>
      <x:c r="D31" t="n">
        <x:v>13</x:v>
      </x:c>
      <x:c r="E31" t="n">
        <x:v>500</x:v>
      </x:c>
      <x:c r="F31" t="n">
        <x:v>5</x:v>
      </x:c>
      <x:c r="G31" t="str">
        <x:v>dormant</x:v>
      </x:c>
      <x:c r="H31" t="str">
        <x:v>—</x:v>
      </x:c>
      <x:c r="I31" t="str">
        <x:v>—</x:v>
      </x:c>
      <x:c r="J31" t="str">
        <x:v>OPEN</x:v>
      </x:c>
    </x:row>
    <x:row r="32">
      <x:c r="B32" t="str">
        <x:v>RFE-R026</x:v>
      </x:c>
      <x:c r="C32" t="str">
        <x:v>EC-03</x:v>
      </x:c>
      <x:c r="D32" t="n">
        <x:v>14</x:v>
      </x:c>
      <x:c r="E32" t="n">
        <x:v>500</x:v>
      </x:c>
      <x:c r="F32" t="n">
        <x:v>5</x:v>
      </x:c>
      <x:c r="G32" t="str">
        <x:v>dormant</x:v>
      </x:c>
      <x:c r="H32" t="str">
        <x:v>—</x:v>
      </x:c>
      <x:c r="I32" t="str">
        <x:v>—</x:v>
      </x:c>
      <x:c r="J32" t="str">
        <x:v>OPEN</x:v>
      </x:c>
    </x:row>
    <x:row r="33">
      <x:c r="B33" t="str">
        <x:v>RFE-R027</x:v>
      </x:c>
      <x:c r="C33" t="str">
        <x:v>EC-03</x:v>
      </x:c>
      <x:c r="D33" t="n">
        <x:v>15</x:v>
      </x:c>
      <x:c r="E33" t="n">
        <x:v>500</x:v>
      </x:c>
      <x:c r="F33" t="n">
        <x:v>5</x:v>
      </x:c>
      <x:c r="G33" t="str">
        <x:v>dormant</x:v>
      </x:c>
      <x:c r="H33" t="str">
        <x:v>—</x:v>
      </x:c>
      <x:c r="I33" t="str">
        <x:v>—</x:v>
      </x:c>
      <x:c r="J33" t="str">
        <x:v>OPEN</x:v>
      </x:c>
    </x:row>
    <x:row r="34">
      <x:c r="B34" t="str">
        <x:v>RFE-R028</x:v>
      </x:c>
      <x:c r="C34" t="str">
        <x:v>EC-03</x:v>
      </x:c>
      <x:c r="D34" t="n">
        <x:v>16</x:v>
      </x:c>
      <x:c r="E34" t="n">
        <x:v>500</x:v>
      </x:c>
      <x:c r="F34" t="n">
        <x:v>5</x:v>
      </x:c>
      <x:c r="G34" t="str">
        <x:v>dormant</x:v>
      </x:c>
      <x:c r="H34" t="str">
        <x:v>—</x:v>
      </x:c>
      <x:c r="I34" t="str">
        <x:v>—</x:v>
      </x:c>
      <x:c r="J34" t="str">
        <x:v>OPEN</x:v>
      </x:c>
    </x:row>
    <x:row r="35">
      <x:c r="B35" t="str">
        <x:v>RFE-R029</x:v>
      </x:c>
      <x:c r="C35" t="str">
        <x:v>EC-03</x:v>
      </x:c>
      <x:c r="D35" t="n">
        <x:v>17</x:v>
      </x:c>
      <x:c r="E35" t="n">
        <x:v>500</x:v>
      </x:c>
      <x:c r="F35" t="n">
        <x:v>5</x:v>
      </x:c>
      <x:c r="G35" t="str">
        <x:v>dormant</x:v>
      </x:c>
      <x:c r="H35" t="str">
        <x:v>—</x:v>
      </x:c>
      <x:c r="I35" t="str">
        <x:v>—</x:v>
      </x:c>
      <x:c r="J35" t="str">
        <x:v>OPEN</x:v>
      </x:c>
    </x:row>
    <x:row r="36">
      <x:c r="B36" t="str">
        <x:v>RFE-R030</x:v>
      </x:c>
      <x:c r="C36" t="str">
        <x:v>EC-04</x:v>
      </x:c>
      <x:c r="D36" t="n">
        <x:v>1</x:v>
      </x:c>
      <x:c r="E36" t="n">
        <x:v>2000</x:v>
      </x:c>
      <x:c r="F36" t="n">
        <x:v>9</x:v>
      </x:c>
      <x:c r="G36" t="str">
        <x:v>dormant</x:v>
      </x:c>
      <x:c r="H36" t="str">
        <x:v>—</x:v>
      </x:c>
      <x:c r="I36" t="str">
        <x:v>—</x:v>
      </x:c>
      <x:c r="J36" t="str">
        <x:v>OPEN</x:v>
      </x:c>
    </x:row>
    <x:row r="37">
      <x:c r="B37" t="str">
        <x:v>RFE-R031</x:v>
      </x:c>
      <x:c r="C37" t="str">
        <x:v>EC-04</x:v>
      </x:c>
      <x:c r="D37" t="n">
        <x:v>2</x:v>
      </x:c>
      <x:c r="E37" t="n">
        <x:v>2000</x:v>
      </x:c>
      <x:c r="F37" t="n">
        <x:v>9</x:v>
      </x:c>
      <x:c r="G37" t="str">
        <x:v>dormant</x:v>
      </x:c>
      <x:c r="H37" t="str">
        <x:v>—</x:v>
      </x:c>
      <x:c r="I37" t="str">
        <x:v>—</x:v>
      </x:c>
      <x:c r="J37" t="str">
        <x:v>OPEN</x:v>
      </x:c>
    </x:row>
    <x:row r="38">
      <x:c r="B38" t="str">
        <x:v>RFE-R032</x:v>
      </x:c>
      <x:c r="C38" t="str">
        <x:v>EC-04</x:v>
      </x:c>
      <x:c r="D38" t="n">
        <x:v>3</x:v>
      </x:c>
      <x:c r="E38" t="n">
        <x:v>2000</x:v>
      </x:c>
      <x:c r="F38" t="n">
        <x:v>9</x:v>
      </x:c>
      <x:c r="G38" t="str">
        <x:v>dormant</x:v>
      </x:c>
      <x:c r="H38" t="str">
        <x:v>—</x:v>
      </x:c>
      <x:c r="I38" t="str">
        <x:v>—</x:v>
      </x:c>
      <x:c r="J38" t="str">
        <x:v>OPEN</x:v>
      </x:c>
    </x:row>
    <x:row r="39">
      <x:c r="B39" t="str">
        <x:v>RFE-R033</x:v>
      </x:c>
      <x:c r="C39" t="str">
        <x:v>EC-04</x:v>
      </x:c>
      <x:c r="D39" t="n">
        <x:v>4</x:v>
      </x:c>
      <x:c r="E39" t="n">
        <x:v>2000</x:v>
      </x:c>
      <x:c r="F39" t="n">
        <x:v>9</x:v>
      </x:c>
      <x:c r="G39" t="str">
        <x:v>dormant</x:v>
      </x:c>
      <x:c r="H39" t="str">
        <x:v>—</x:v>
      </x:c>
      <x:c r="I39" t="str">
        <x:v>—</x:v>
      </x:c>
      <x:c r="J39" t="str">
        <x:v>OPEN</x:v>
      </x:c>
    </x:row>
    <x:row r="40">
      <x:c r="B40" t="str">
        <x:v>RFE-R034</x:v>
      </x:c>
      <x:c r="C40" t="str">
        <x:v>EC-04</x:v>
      </x:c>
      <x:c r="D40" t="n">
        <x:v>5</x:v>
      </x:c>
      <x:c r="E40" t="n">
        <x:v>2000</x:v>
      </x:c>
      <x:c r="F40" t="n">
        <x:v>9</x:v>
      </x:c>
      <x:c r="G40" t="str">
        <x:v>dormant</x:v>
      </x:c>
      <x:c r="H40" t="str">
        <x:v>—</x:v>
      </x:c>
      <x:c r="I40" t="str">
        <x:v>—</x:v>
      </x:c>
      <x:c r="J40" t="str">
        <x:v>OPEN</x:v>
      </x:c>
    </x:row>
    <x:row r="41">
      <x:c r="B41" t="str">
        <x:v>RFE-R035</x:v>
      </x:c>
      <x:c r="C41" t="str">
        <x:v>EC-04</x:v>
      </x:c>
      <x:c r="D41" t="n">
        <x:v>6</x:v>
      </x:c>
      <x:c r="E41" t="n">
        <x:v>2000</x:v>
      </x:c>
      <x:c r="F41" t="n">
        <x:v>9</x:v>
      </x:c>
      <x:c r="G41" t="str">
        <x:v>dormant</x:v>
      </x:c>
      <x:c r="H41" t="str">
        <x:v>—</x:v>
      </x:c>
      <x:c r="I41" t="str">
        <x:v>—</x:v>
      </x:c>
      <x:c r="J41" t="str">
        <x:v>OPEN</x:v>
      </x:c>
    </x:row>
    <x:row r="42">
      <x:c r="B42" t="str">
        <x:v>RFE-R036</x:v>
      </x:c>
      <x:c r="C42" t="str">
        <x:v>EC-04</x:v>
      </x:c>
      <x:c r="D42" t="n">
        <x:v>7</x:v>
      </x:c>
      <x:c r="E42" t="n">
        <x:v>2000</x:v>
      </x:c>
      <x:c r="F42" t="n">
        <x:v>9</x:v>
      </x:c>
      <x:c r="G42" t="str">
        <x:v>dormant</x:v>
      </x:c>
      <x:c r="H42" t="str">
        <x:v>—</x:v>
      </x:c>
      <x:c r="I42" t="str">
        <x:v>—</x:v>
      </x:c>
      <x:c r="J42" t="str">
        <x:v>OPEN</x:v>
      </x:c>
    </x:row>
    <x:row r="43">
      <x:c r="B43" t="str">
        <x:v>RFE-R037</x:v>
      </x:c>
      <x:c r="C43" t="str">
        <x:v>EC-04</x:v>
      </x:c>
      <x:c r="D43" t="n">
        <x:v>8</x:v>
      </x:c>
      <x:c r="E43" t="n">
        <x:v>2000</x:v>
      </x:c>
      <x:c r="F43" t="n">
        <x:v>9</x:v>
      </x:c>
      <x:c r="G43" t="str">
        <x:v>dormant</x:v>
      </x:c>
      <x:c r="H43" t="str">
        <x:v>—</x:v>
      </x:c>
      <x:c r="I43" t="str">
        <x:v>—</x:v>
      </x:c>
      <x:c r="J43" t="str">
        <x:v>OPEN</x:v>
      </x:c>
    </x:row>
    <x:row r="44">
      <x:c r="B44" t="str">
        <x:v>RFE-R038</x:v>
      </x:c>
      <x:c r="C44" t="str">
        <x:v>EC-04</x:v>
      </x:c>
      <x:c r="D44" t="n">
        <x:v>9</x:v>
      </x:c>
      <x:c r="E44" t="n">
        <x:v>2000</x:v>
      </x:c>
      <x:c r="F44" t="n">
        <x:v>9</x:v>
      </x:c>
      <x:c r="G44" t="str">
        <x:v>dormant</x:v>
      </x:c>
      <x:c r="H44" t="str">
        <x:v>—</x:v>
      </x:c>
      <x:c r="I44" t="str">
        <x:v>—</x:v>
      </x:c>
      <x:c r="J44" t="str">
        <x:v>OPEN</x:v>
      </x:c>
    </x:row>
    <x:row r="45">
      <x:c r="B45" t="str">
        <x:v>RFE-R039</x:v>
      </x:c>
      <x:c r="C45" t="str">
        <x:v>EC-04</x:v>
      </x:c>
      <x:c r="D45" t="n">
        <x:v>10</x:v>
      </x:c>
      <x:c r="E45" t="n">
        <x:v>2000</x:v>
      </x:c>
      <x:c r="F45" t="n">
        <x:v>9</x:v>
      </x:c>
      <x:c r="G45" t="str">
        <x:v>dormant</x:v>
      </x:c>
      <x:c r="H45" t="str">
        <x:v>—</x:v>
      </x:c>
      <x:c r="I45" t="str">
        <x:v>—</x:v>
      </x:c>
      <x:c r="J45" t="str">
        <x:v>OPEN</x:v>
      </x:c>
    </x:row>
    <x:row r="46">
      <x:c r="B46" t="str">
        <x:v>RFE-R040</x:v>
      </x:c>
      <x:c r="C46" t="str">
        <x:v>EC-04</x:v>
      </x:c>
      <x:c r="D46" t="n">
        <x:v>11</x:v>
      </x:c>
      <x:c r="E46" t="n">
        <x:v>2000</x:v>
      </x:c>
      <x:c r="F46" t="n">
        <x:v>9</x:v>
      </x:c>
      <x:c r="G46" t="str">
        <x:v>dormant</x:v>
      </x:c>
      <x:c r="H46" t="str">
        <x:v>—</x:v>
      </x:c>
      <x:c r="I46" t="str">
        <x:v>—</x:v>
      </x:c>
      <x:c r="J46" t="str">
        <x:v>OPEN</x:v>
      </x:c>
    </x:row>
    <x:row r="47">
      <x:c r="B47" t="str">
        <x:v>RFE-R041</x:v>
      </x:c>
      <x:c r="C47" t="str">
        <x:v>EC-04</x:v>
      </x:c>
      <x:c r="D47" t="n">
        <x:v>12</x:v>
      </x:c>
      <x:c r="E47" t="n">
        <x:v>2000</x:v>
      </x:c>
      <x:c r="F47" t="n">
        <x:v>9</x:v>
      </x:c>
      <x:c r="G47" t="str">
        <x:v>dormant</x:v>
      </x:c>
      <x:c r="H47" t="str">
        <x:v>—</x:v>
      </x:c>
      <x:c r="I47" t="str">
        <x:v>—</x:v>
      </x:c>
      <x:c r="J47" t="str">
        <x:v>OPEN</x:v>
      </x:c>
    </x:row>
    <x:row r="48">
      <x:c r="B48" t="str">
        <x:v>RFE-R042</x:v>
      </x:c>
      <x:c r="C48" t="str">
        <x:v>EC-04</x:v>
      </x:c>
      <x:c r="D48" t="n">
        <x:v>13</x:v>
      </x:c>
      <x:c r="E48" t="n">
        <x:v>2000</x:v>
      </x:c>
      <x:c r="F48" t="n">
        <x:v>9</x:v>
      </x:c>
      <x:c r="G48" t="str">
        <x:v>dormant</x:v>
      </x:c>
      <x:c r="H48" t="str">
        <x:v>—</x:v>
      </x:c>
      <x:c r="I48" t="str">
        <x:v>—</x:v>
      </x:c>
      <x:c r="J48" t="str">
        <x:v>OPEN</x:v>
      </x:c>
    </x:row>
    <x:row r="49">
      <x:c r="B49" t="str">
        <x:v>RFE-R043</x:v>
      </x:c>
      <x:c r="C49" t="str">
        <x:v>EC-04</x:v>
      </x:c>
      <x:c r="D49" t="n">
        <x:v>14</x:v>
      </x:c>
      <x:c r="E49" t="n">
        <x:v>2000</x:v>
      </x:c>
      <x:c r="F49" t="n">
        <x:v>9</x:v>
      </x:c>
      <x:c r="G49" t="str">
        <x:v>dormant</x:v>
      </x:c>
      <x:c r="H49" t="str">
        <x:v>—</x:v>
      </x:c>
      <x:c r="I49" t="str">
        <x:v>—</x:v>
      </x:c>
      <x:c r="J49" t="str">
        <x:v>OPEN</x:v>
      </x:c>
    </x:row>
    <x:row r="50">
      <x:c r="B50" t="str">
        <x:v>RFE-R044</x:v>
      </x:c>
      <x:c r="C50" t="str">
        <x:v>EC-04</x:v>
      </x:c>
      <x:c r="D50" t="n">
        <x:v>15</x:v>
      </x:c>
      <x:c r="E50" t="n">
        <x:v>2000</x:v>
      </x:c>
      <x:c r="F50" t="n">
        <x:v>9</x:v>
      </x:c>
      <x:c r="G50" t="str">
        <x:v>dormant</x:v>
      </x:c>
      <x:c r="H50" t="str">
        <x:v>—</x:v>
      </x:c>
      <x:c r="I50" t="str">
        <x:v>—</x:v>
      </x:c>
      <x:c r="J50" t="str">
        <x:v>OPEN</x:v>
      </x:c>
    </x:row>
    <x:row r="51">
      <x:c r="B51" t="str">
        <x:v>RFE-R045</x:v>
      </x:c>
      <x:c r="C51" t="str">
        <x:v>EC-04</x:v>
      </x:c>
      <x:c r="D51" t="n">
        <x:v>16</x:v>
      </x:c>
      <x:c r="E51" t="n">
        <x:v>2000</x:v>
      </x:c>
      <x:c r="F51" t="n">
        <x:v>9</x:v>
      </x:c>
      <x:c r="G51" t="str">
        <x:v>dormant</x:v>
      </x:c>
      <x:c r="H51" t="str">
        <x:v>—</x:v>
      </x:c>
      <x:c r="I51" t="str">
        <x:v>—</x:v>
      </x:c>
      <x:c r="J51" t="str">
        <x:v>OPEN</x:v>
      </x:c>
    </x:row>
    <x:row r="52">
      <x:c r="B52" t="str">
        <x:v>RFE-R046</x:v>
      </x:c>
      <x:c r="C52" t="str">
        <x:v>EC-04</x:v>
      </x:c>
      <x:c r="D52" t="n">
        <x:v>17</x:v>
      </x:c>
      <x:c r="E52" t="n">
        <x:v>2000</x:v>
      </x:c>
      <x:c r="F52" t="n">
        <x:v>9</x:v>
      </x:c>
      <x:c r="G52" t="str">
        <x:v>dormant</x:v>
      </x:c>
      <x:c r="H52" t="str">
        <x:v>—</x:v>
      </x:c>
      <x:c r="I52" t="str">
        <x:v>—</x:v>
      </x:c>
      <x:c r="J52" t="str">
        <x:v>OPEN</x:v>
      </x:c>
    </x:row>
    <x:row r="53">
      <x:c r="B53" t="str">
        <x:v>RFE-R047</x:v>
      </x:c>
      <x:c r="C53" t="str">
        <x:v>EC-04</x:v>
      </x:c>
      <x:c r="D53" t="n">
        <x:v>18</x:v>
      </x:c>
      <x:c r="E53" t="n">
        <x:v>2000</x:v>
      </x:c>
      <x:c r="F53" t="n">
        <x:v>9</x:v>
      </x:c>
      <x:c r="G53" t="str">
        <x:v>dormant</x:v>
      </x:c>
      <x:c r="H53" t="str">
        <x:v>—</x:v>
      </x:c>
      <x:c r="I53" t="str">
        <x:v>—</x:v>
      </x:c>
      <x:c r="J53" t="str">
        <x:v>OPEN</x:v>
      </x:c>
    </x:row>
    <x:row r="54">
      <x:c r="B54" t="str">
        <x:v>RFE-R048</x:v>
      </x:c>
      <x:c r="C54" t="str">
        <x:v>EC-04</x:v>
      </x:c>
      <x:c r="D54" t="n">
        <x:v>19</x:v>
      </x:c>
      <x:c r="E54" t="n">
        <x:v>2000</x:v>
      </x:c>
      <x:c r="F54" t="n">
        <x:v>9</x:v>
      </x:c>
      <x:c r="G54" t="str">
        <x:v>dormant</x:v>
      </x:c>
      <x:c r="H54" t="str">
        <x:v>—</x:v>
      </x:c>
      <x:c r="I54" t="str">
        <x:v>—</x:v>
      </x:c>
      <x:c r="J54" t="str">
        <x:v>OPEN</x:v>
      </x:c>
    </x:row>
    <x:row r="55">
      <x:c r="B55" t="str">
        <x:v>RFE-R049</x:v>
      </x:c>
      <x:c r="C55" t="str">
        <x:v>EC-04</x:v>
      </x:c>
      <x:c r="D55" t="n">
        <x:v>20</x:v>
      </x:c>
      <x:c r="E55" t="n">
        <x:v>2000</x:v>
      </x:c>
      <x:c r="F55" t="n">
        <x:v>9</x:v>
      </x:c>
      <x:c r="G55" t="str">
        <x:v>dormant</x:v>
      </x:c>
      <x:c r="H55" t="str">
        <x:v>—</x:v>
      </x:c>
      <x:c r="I55" t="str">
        <x:v>—</x:v>
      </x:c>
      <x:c r="J55" t="str">
        <x:v>OPEN</x:v>
      </x:c>
    </x:row>
    <x:row r="56">
      <x:c r="B56" t="str">
        <x:v>RFE-R050</x:v>
      </x:c>
      <x:c r="C56" t="str">
        <x:v>EC-04</x:v>
      </x:c>
      <x:c r="D56" t="n">
        <x:v>21</x:v>
      </x:c>
      <x:c r="E56" t="n">
        <x:v>2000</x:v>
      </x:c>
      <x:c r="F56" t="n">
        <x:v>9</x:v>
      </x:c>
      <x:c r="G56" t="str">
        <x:v>dormant</x:v>
      </x:c>
      <x:c r="H56" t="str">
        <x:v>—</x:v>
      </x:c>
      <x:c r="I56" t="str">
        <x:v>—</x:v>
      </x:c>
      <x:c r="J56" t="str">
        <x:v>OPEN</x:v>
      </x:c>
    </x:row>
    <x:row r="57">
      <x:c r="B57" t="str">
        <x:v>RFE-R051</x:v>
      </x:c>
      <x:c r="C57" t="str">
        <x:v>EC-04</x:v>
      </x:c>
      <x:c r="D57" t="n">
        <x:v>22</x:v>
      </x:c>
      <x:c r="E57" t="n">
        <x:v>2000</x:v>
      </x:c>
      <x:c r="F57" t="n">
        <x:v>9</x:v>
      </x:c>
      <x:c r="G57" t="str">
        <x:v>dormant</x:v>
      </x:c>
      <x:c r="H57" t="str">
        <x:v>—</x:v>
      </x:c>
      <x:c r="I57" t="str">
        <x:v>—</x:v>
      </x:c>
      <x:c r="J57" t="str">
        <x:v>OPEN</x:v>
      </x:c>
    </x:row>
    <x:row r="58">
      <x:c r="B58" t="str">
        <x:v>RFE-R052</x:v>
      </x:c>
      <x:c r="C58" t="str">
        <x:v>EC-04</x:v>
      </x:c>
      <x:c r="D58" t="n">
        <x:v>23</x:v>
      </x:c>
      <x:c r="E58" t="n">
        <x:v>2000</x:v>
      </x:c>
      <x:c r="F58" t="n">
        <x:v>9</x:v>
      </x:c>
      <x:c r="G58" t="str">
        <x:v>dormant</x:v>
      </x:c>
      <x:c r="H58" t="str">
        <x:v>—</x:v>
      </x:c>
      <x:c r="I58" t="str">
        <x:v>—</x:v>
      </x:c>
      <x:c r="J58" t="str">
        <x:v>OPEN</x:v>
      </x:c>
    </x:row>
    <x:row r="59">
      <x:c r="B59" t="str">
        <x:v>RFE-R053</x:v>
      </x:c>
      <x:c r="C59" t="str">
        <x:v>EC-04</x:v>
      </x:c>
      <x:c r="D59" t="n">
        <x:v>24</x:v>
      </x:c>
      <x:c r="E59" t="n">
        <x:v>2000</x:v>
      </x:c>
      <x:c r="F59" t="n">
        <x:v>9</x:v>
      </x:c>
      <x:c r="G59" t="str">
        <x:v>dormant</x:v>
      </x:c>
      <x:c r="H59" t="str">
        <x:v>—</x:v>
      </x:c>
      <x:c r="I59" t="str">
        <x:v>—</x:v>
      </x:c>
      <x:c r="J59" t="str">
        <x:v>OPEN</x:v>
      </x:c>
    </x:row>
    <x:row r="60">
      <x:c r="B60" t="str">
        <x:v>RFE-R054</x:v>
      </x:c>
      <x:c r="C60" t="str">
        <x:v>EC-05</x:v>
      </x:c>
      <x:c r="D60" t="n">
        <x:v>1</x:v>
      </x:c>
      <x:c r="E60" t="n">
        <x:v>2000</x:v>
      </x:c>
      <x:c r="F60" t="n">
        <x:v>14</x:v>
      </x:c>
      <x:c r="G60" t="str">
        <x:v>dormant</x:v>
      </x:c>
      <x:c r="H60" t="str">
        <x:v>—</x:v>
      </x:c>
      <x:c r="I60" t="str">
        <x:v>—</x:v>
      </x:c>
      <x:c r="J60" t="str">
        <x:v>OPEN</x:v>
      </x:c>
    </x:row>
    <x:row r="61">
      <x:c r="B61" t="str">
        <x:v>RFE-R055</x:v>
      </x:c>
      <x:c r="C61" t="str">
        <x:v>EC-05</x:v>
      </x:c>
      <x:c r="D61" t="n">
        <x:v>2</x:v>
      </x:c>
      <x:c r="E61" t="n">
        <x:v>2000</x:v>
      </x:c>
      <x:c r="F61" t="n">
        <x:v>14</x:v>
      </x:c>
      <x:c r="G61" t="str">
        <x:v>dormant</x:v>
      </x:c>
      <x:c r="H61" t="str">
        <x:v>—</x:v>
      </x:c>
      <x:c r="I61" t="str">
        <x:v>—</x:v>
      </x:c>
      <x:c r="J61" t="str">
        <x:v>OPEN</x:v>
      </x:c>
    </x:row>
    <x:row r="62">
      <x:c r="B62" t="str">
        <x:v>RFE-R056</x:v>
      </x:c>
      <x:c r="C62" t="str">
        <x:v>EC-05</x:v>
      </x:c>
      <x:c r="D62" t="n">
        <x:v>3</x:v>
      </x:c>
      <x:c r="E62" t="n">
        <x:v>2000</x:v>
      </x:c>
      <x:c r="F62" t="n">
        <x:v>14</x:v>
      </x:c>
      <x:c r="G62" t="str">
        <x:v>dormant</x:v>
      </x:c>
      <x:c r="H62" t="str">
        <x:v>—</x:v>
      </x:c>
      <x:c r="I62" t="str">
        <x:v>—</x:v>
      </x:c>
      <x:c r="J62" t="str">
        <x:v>OPEN</x:v>
      </x:c>
    </x:row>
    <x:row r="63">
      <x:c r="B63" t="str">
        <x:v>RFE-R057</x:v>
      </x:c>
      <x:c r="C63" t="str">
        <x:v>EC-05</x:v>
      </x:c>
      <x:c r="D63" t="n">
        <x:v>4</x:v>
      </x:c>
      <x:c r="E63" t="n">
        <x:v>2000</x:v>
      </x:c>
      <x:c r="F63" t="n">
        <x:v>14</x:v>
      </x:c>
      <x:c r="G63" t="str">
        <x:v>dormant</x:v>
      </x:c>
      <x:c r="H63" t="str">
        <x:v>—</x:v>
      </x:c>
      <x:c r="I63" t="str">
        <x:v>—</x:v>
      </x:c>
      <x:c r="J63" t="str">
        <x:v>OPEN</x:v>
      </x:c>
    </x:row>
    <x:row r="64">
      <x:c r="B64" t="str">
        <x:v>RFE-R058</x:v>
      </x:c>
      <x:c r="C64" t="str">
        <x:v>EC-05</x:v>
      </x:c>
      <x:c r="D64" t="n">
        <x:v>5</x:v>
      </x:c>
      <x:c r="E64" t="n">
        <x:v>2000</x:v>
      </x:c>
      <x:c r="F64" t="n">
        <x:v>14</x:v>
      </x:c>
      <x:c r="G64" t="str">
        <x:v>dormant</x:v>
      </x:c>
      <x:c r="H64" t="str">
        <x:v>—</x:v>
      </x:c>
      <x:c r="I64" t="str">
        <x:v>—</x:v>
      </x:c>
      <x:c r="J64" t="str">
        <x:v>OPEN</x:v>
      </x:c>
    </x:row>
    <x:row r="65">
      <x:c r="B65" t="str">
        <x:v>RFE-R059</x:v>
      </x:c>
      <x:c r="C65" t="str">
        <x:v>EC-05</x:v>
      </x:c>
      <x:c r="D65" t="n">
        <x:v>6</x:v>
      </x:c>
      <x:c r="E65" t="n">
        <x:v>2000</x:v>
      </x:c>
      <x:c r="F65" t="n">
        <x:v>14</x:v>
      </x:c>
      <x:c r="G65" t="str">
        <x:v>dormant</x:v>
      </x:c>
      <x:c r="H65" t="str">
        <x:v>—</x:v>
      </x:c>
      <x:c r="I65" t="str">
        <x:v>—</x:v>
      </x:c>
      <x:c r="J65" t="str">
        <x:v>OPEN</x:v>
      </x:c>
    </x:row>
    <x:row r="66">
      <x:c r="B66" t="str">
        <x:v>RFE-R060</x:v>
      </x:c>
      <x:c r="C66" t="str">
        <x:v>EC-05</x:v>
      </x:c>
      <x:c r="D66" t="n">
        <x:v>7</x:v>
      </x:c>
      <x:c r="E66" t="n">
        <x:v>2000</x:v>
      </x:c>
      <x:c r="F66" t="n">
        <x:v>14</x:v>
      </x:c>
      <x:c r="G66" t="str">
        <x:v>dormant</x:v>
      </x:c>
      <x:c r="H66" t="str">
        <x:v>—</x:v>
      </x:c>
      <x:c r="I66" t="str">
        <x:v>—</x:v>
      </x:c>
      <x:c r="J66" t="str">
        <x:v>OPEN</x:v>
      </x:c>
    </x:row>
    <x:row r="67">
      <x:c r="B67" t="str">
        <x:v>RFE-R061</x:v>
      </x:c>
      <x:c r="C67" t="str">
        <x:v>EC-05</x:v>
      </x:c>
      <x:c r="D67" t="n">
        <x:v>8</x:v>
      </x:c>
      <x:c r="E67" t="n">
        <x:v>2000</x:v>
      </x:c>
      <x:c r="F67" t="n">
        <x:v>14</x:v>
      </x:c>
      <x:c r="G67" t="str">
        <x:v>dormant</x:v>
      </x:c>
      <x:c r="H67" t="str">
        <x:v>—</x:v>
      </x:c>
      <x:c r="I67" t="str">
        <x:v>—</x:v>
      </x:c>
      <x:c r="J67" t="str">
        <x:v>OPEN</x:v>
      </x:c>
    </x:row>
    <x:row r="68">
      <x:c r="B68" t="str">
        <x:v>RFE-R062</x:v>
      </x:c>
      <x:c r="C68" t="str">
        <x:v>EC-06</x:v>
      </x:c>
      <x:c r="D68" t="n">
        <x:v>1</x:v>
      </x:c>
      <x:c r="E68" t="n">
        <x:v>0</x:v>
      </x:c>
      <x:c r="F68" t="n">
        <x:v>7</x:v>
      </x:c>
      <x:c r="G68" t="str">
        <x:v>dormant</x:v>
      </x:c>
      <x:c r="H68" t="str">
        <x:v>—</x:v>
      </x:c>
      <x:c r="I68" t="str">
        <x:v>—</x:v>
      </x:c>
      <x:c r="J68" t="str">
        <x:v>OPEN</x:v>
      </x:c>
    </x:row>
    <x:row r="69">
      <x:c r="B69" t="str">
        <x:v>RFE-R063</x:v>
      </x:c>
      <x:c r="C69" t="str">
        <x:v>EC-06</x:v>
      </x:c>
      <x:c r="D69" t="n">
        <x:v>2</x:v>
      </x:c>
      <x:c r="E69" t="n">
        <x:v>0</x:v>
      </x:c>
      <x:c r="F69" t="n">
        <x:v>7</x:v>
      </x:c>
      <x:c r="G69" t="str">
        <x:v>dormant</x:v>
      </x:c>
      <x:c r="H69" t="str">
        <x:v>—</x:v>
      </x:c>
      <x:c r="I69" t="str">
        <x:v>—</x:v>
      </x:c>
      <x:c r="J69" t="str">
        <x:v>OPEN</x:v>
      </x:c>
    </x:row>
    <x:row r="70">
      <x:c r="B70" t="str">
        <x:v>RFE-R064</x:v>
      </x:c>
      <x:c r="C70" t="str">
        <x:v>EC-06</x:v>
      </x:c>
      <x:c r="D70" t="n">
        <x:v>3</x:v>
      </x:c>
      <x:c r="E70" t="n">
        <x:v>0</x:v>
      </x:c>
      <x:c r="F70" t="n">
        <x:v>7</x:v>
      </x:c>
      <x:c r="G70" t="str">
        <x:v>dormant</x:v>
      </x:c>
      <x:c r="H70" t="str">
        <x:v>—</x:v>
      </x:c>
      <x:c r="I70" t="str">
        <x:v>—</x:v>
      </x:c>
      <x:c r="J70" t="str">
        <x:v>OPEN</x:v>
      </x:c>
    </x:row>
    <x:row r="71">
      <x:c r="B71" t="str">
        <x:v>RFE-R065</x:v>
      </x:c>
      <x:c r="C71" t="str">
        <x:v>EC-07</x:v>
      </x:c>
      <x:c r="D71" t="n">
        <x:v>1</x:v>
      </x:c>
      <x:c r="E71" t="n">
        <x:v>0</x:v>
      </x:c>
      <x:c r="F71" t="n">
        <x:v>8</x:v>
      </x:c>
      <x:c r="G71" t="str">
        <x:v>dormant</x:v>
      </x:c>
      <x:c r="H71" t="str">
        <x:v>—</x:v>
      </x:c>
      <x:c r="I71" t="str">
        <x:v>—</x:v>
      </x:c>
      <x:c r="J71" t="str">
        <x:v>OPEN</x:v>
      </x:c>
    </x:row>
    <x:row r="72">
      <x:c r="B72" t="str">
        <x:v>RFE-R066</x:v>
      </x:c>
      <x:c r="C72" t="str">
        <x:v>EC-07</x:v>
      </x:c>
      <x:c r="D72" t="n">
        <x:v>2</x:v>
      </x:c>
      <x:c r="E72" t="n">
        <x:v>0</x:v>
      </x:c>
      <x:c r="F72" t="n">
        <x:v>8</x:v>
      </x:c>
      <x:c r="G72" t="str">
        <x:v>dormant</x:v>
      </x:c>
      <x:c r="H72" t="str">
        <x:v>—</x:v>
      </x:c>
      <x:c r="I72" t="str">
        <x:v>—</x:v>
      </x:c>
      <x:c r="J72" t="str">
        <x:v>OPEN</x:v>
      </x:c>
    </x:row>
  </x:sheetData>
  <x:conditionalFormatting sqref="J7:J72">
    <x:cfRule type="containsText" dxfId="21" priority="1" operator="containsText" text="FAIL"/>
    <x:cfRule type="containsText" dxfId="22" priority="2" operator="containsText" text="INVALID"/>
    <x:cfRule type="containsText" dxfId="23" priority="3" operator="containsText" text="BLOCKED"/>
    <x:cfRule type="containsText" dxfId="24" priority="4" operator="containsText" text="OPEN"/>
    <x:cfRule type="containsText" dxfId="25" priority="5" operator="containsText" text="GAP"/>
    <x:cfRule type="containsText" dxfId="26" priority="6" operator="containsText" text="PASS"/>
    <x:cfRule type="containsText" dxfId="27" priority="7" operator="containsText" text="VALI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14" hidden="0" customWidth="1"/>
    <x:col min="4" max="4" width="21" hidden="0" customWidth="1"/>
    <x:col min="5" max="5" width="72" hidden="0" customWidth="1"/>
    <x:col min="6" max="6" width="29" hidden="0" customWidth="1"/>
    <x:col min="7" max="7" width="21" hidden="0" customWidth="1"/>
    <x:col min="8" max="8" width="14" hidden="0" customWidth="1"/>
  </x:cols>
  <x:sheetData>
    <x:row r="2">
      <x:c r="B2" s="1" t="str">
        <x:v>Twenty-four initial-condition cards</x:v>
      </x:c>
    </x:row>
    <x:row r="3">
      <x:c r="B3" s="2" t="str">
        <x:v>Each state is measured and accepted before source admission; labels alone do not establish realization.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Card</x:v>
      </x:c>
      <x:c r="C6" s="7" t="str">
        <x:v>Challenge</x:v>
      </x:c>
      <x:c r="D6" s="7" t="str">
        <x:v>Condition</x:v>
      </x:c>
      <x:c r="E6" s="7" t="str">
        <x:v>State definition</x:v>
      </x:c>
      <x:c r="F6" s="7" t="str">
        <x:v>Owner</x:v>
      </x:c>
      <x:c r="G6" s="7" t="str">
        <x:v>Accepted UTC</x:v>
      </x:c>
      <x:c r="H6" s="7" t="str">
        <x:v>State</x:v>
      </x:c>
    </x:row>
    <x:row r="7" ht="45" customHeight="1">
      <x:c r="B7" t="str">
        <x:v>A01-CTRL</x:v>
      </x:c>
      <x:c r="C7" t="str">
        <x:v>A01</x:v>
      </x:c>
      <x:c r="D7" t="str">
        <x:v>control</x:v>
      </x:c>
      <x:c r="E7" s="12" t="str">
        <x:v>nominal terrain, drain, vault, service and weather</x:v>
      </x:c>
      <x:c r="F7" t="str">
        <x:v>public reference</x:v>
      </x:c>
      <x:c r="G7" t="str"/>
      <x:c r="H7" t="str">
        <x:v>OPEN</x:v>
      </x:c>
    </x:row>
    <x:row r="8" ht="45" customHeight="1">
      <x:c r="B8" t="str">
        <x:v>A01-CHAL</x:v>
      </x:c>
      <x:c r="C8" t="str">
        <x:v>A01</x:v>
      </x:c>
      <x:c r="D8" t="str">
        <x:v>challenge</x:v>
      </x:c>
      <x:c r="E8" s="12" t="str">
        <x:v>1.0% reverse local grade plus ±25 mm datum error</x:v>
      </x:c>
      <x:c r="F8" t="str">
        <x:v>blind challenge realization</x:v>
      </x:c>
      <x:c r="G8" t="str"/>
      <x:c r="H8" t="str">
        <x:v>OPEN</x:v>
      </x:c>
    </x:row>
    <x:row r="9" ht="45" customHeight="1">
      <x:c r="B9" t="str">
        <x:v>A01-REC</x:v>
      </x:c>
      <x:c r="C9" t="str">
        <x:v>A01</x:v>
      </x:c>
      <x:c r="D9" t="str">
        <x:v>recovery boundary</x:v>
      </x:c>
      <x:c r="E9" s="12" t="str">
        <x:v>casualty capacity, quarantine path and recovery robots ready</x:v>
      </x:c>
      <x:c r="F9" t="str">
        <x:v>recovery authority</x:v>
      </x:c>
      <x:c r="G9" t="str"/>
      <x:c r="H9" t="str">
        <x:v>OPEN</x:v>
      </x:c>
    </x:row>
    <x:row r="10" ht="45" customHeight="1">
      <x:c r="B10" t="str">
        <x:v>A02-CTRL</x:v>
      </x:c>
      <x:c r="C10" t="str">
        <x:v>A02</x:v>
      </x:c>
      <x:c r="D10" t="str">
        <x:v>control</x:v>
      </x:c>
      <x:c r="E10" s="12" t="str">
        <x:v>nominal terrain, drain, vault, service and weather</x:v>
      </x:c>
      <x:c r="F10" t="str">
        <x:v>public reference</x:v>
      </x:c>
      <x:c r="G10" t="str"/>
      <x:c r="H10" t="str">
        <x:v>OPEN</x:v>
      </x:c>
    </x:row>
    <x:row r="11" ht="45" customHeight="1">
      <x:c r="B11" t="str">
        <x:v>A02-CHAL</x:v>
      </x:c>
      <x:c r="C11" t="str">
        <x:v>A02</x:v>
      </x:c>
      <x:c r="D11" t="str">
        <x:v>challenge</x:v>
      </x:c>
      <x:c r="E11" s="12" t="str">
        <x:v>50% effective source-drain area</x:v>
      </x:c>
      <x:c r="F11" t="str">
        <x:v>blind challenge realization</x:v>
      </x:c>
      <x:c r="G11" t="str"/>
      <x:c r="H11" t="str">
        <x:v>OPEN</x:v>
      </x:c>
    </x:row>
    <x:row r="12" ht="45" customHeight="1">
      <x:c r="B12" t="str">
        <x:v>A02-REC</x:v>
      </x:c>
      <x:c r="C12" t="str">
        <x:v>A02</x:v>
      </x:c>
      <x:c r="D12" t="str">
        <x:v>recovery boundary</x:v>
      </x:c>
      <x:c r="E12" s="12" t="str">
        <x:v>casualty capacity, quarantine path and recovery robots ready</x:v>
      </x:c>
      <x:c r="F12" t="str">
        <x:v>recovery authority</x:v>
      </x:c>
      <x:c r="G12" t="str"/>
      <x:c r="H12" t="str">
        <x:v>OPEN</x:v>
      </x:c>
    </x:row>
    <x:row r="13" ht="45" customHeight="1">
      <x:c r="B13" t="str">
        <x:v>A03-CTRL</x:v>
      </x:c>
      <x:c r="C13" t="str">
        <x:v>A03</x:v>
      </x:c>
      <x:c r="D13" t="str">
        <x:v>control</x:v>
      </x:c>
      <x:c r="E13" s="12" t="str">
        <x:v>nominal terrain, drain, vault, service and weather</x:v>
      </x:c>
      <x:c r="F13" t="str">
        <x:v>public reference</x:v>
      </x:c>
      <x:c r="G13" t="str"/>
      <x:c r="H13" t="str">
        <x:v>OPEN</x:v>
      </x:c>
    </x:row>
    <x:row r="14" ht="45" customHeight="1">
      <x:c r="B14" t="str">
        <x:v>A03-CHAL</x:v>
      </x:c>
      <x:c r="C14" t="str">
        <x:v>A03</x:v>
      </x:c>
      <x:c r="D14" t="str">
        <x:v>challenge</x:v>
      </x:c>
      <x:c r="E14" s="12" t="str">
        <x:v>candidate sump at 50% liquid-equivalent fill</x:v>
      </x:c>
      <x:c r="F14" t="str">
        <x:v>blind challenge realization</x:v>
      </x:c>
      <x:c r="G14" t="str"/>
      <x:c r="H14" t="str">
        <x:v>OPEN</x:v>
      </x:c>
    </x:row>
    <x:row r="15" ht="45" customHeight="1">
      <x:c r="B15" t="str">
        <x:v>A03-REC</x:v>
      </x:c>
      <x:c r="C15" t="str">
        <x:v>A03</x:v>
      </x:c>
      <x:c r="D15" t="str">
        <x:v>recovery boundary</x:v>
      </x:c>
      <x:c r="E15" s="12" t="str">
        <x:v>casualty capacity, quarantine path and recovery robots ready</x:v>
      </x:c>
      <x:c r="F15" t="str">
        <x:v>recovery authority</x:v>
      </x:c>
      <x:c r="G15" t="str"/>
      <x:c r="H15" t="str">
        <x:v>OPEN</x:v>
      </x:c>
    </x:row>
    <x:row r="16" ht="45" customHeight="1">
      <x:c r="B16" t="str">
        <x:v>A04-CTRL</x:v>
      </x:c>
      <x:c r="C16" t="str">
        <x:v>A04</x:v>
      </x:c>
      <x:c r="D16" t="str">
        <x:v>control</x:v>
      </x:c>
      <x:c r="E16" s="12" t="str">
        <x:v>nominal terrain, drain, vault, service and weather</x:v>
      </x:c>
      <x:c r="F16" t="str">
        <x:v>public reference</x:v>
      </x:c>
      <x:c r="G16" t="str"/>
      <x:c r="H16" t="str">
        <x:v>OPEN</x:v>
      </x:c>
    </x:row>
    <x:row r="17" ht="45" customHeight="1">
      <x:c r="B17" t="str">
        <x:v>A04-CHAL</x:v>
      </x:c>
      <x:c r="C17" t="str">
        <x:v>A04</x:v>
      </x:c>
      <x:c r="D17" t="str">
        <x:v>challenge</x:v>
      </x:c>
      <x:c r="E17" s="12" t="str">
        <x:v>25% grate coverage plus ten mapped fragments</x:v>
      </x:c>
      <x:c r="F17" t="str">
        <x:v>blind challenge realization</x:v>
      </x:c>
      <x:c r="G17" t="str"/>
      <x:c r="H17" t="str">
        <x:v>OPEN</x:v>
      </x:c>
    </x:row>
    <x:row r="18" ht="45" customHeight="1">
      <x:c r="B18" t="str">
        <x:v>A04-REC</x:v>
      </x:c>
      <x:c r="C18" t="str">
        <x:v>A04</x:v>
      </x:c>
      <x:c r="D18" t="str">
        <x:v>recovery boundary</x:v>
      </x:c>
      <x:c r="E18" s="12" t="str">
        <x:v>casualty capacity, quarantine path and recovery robots ready</x:v>
      </x:c>
      <x:c r="F18" t="str">
        <x:v>recovery authority</x:v>
      </x:c>
      <x:c r="G18" t="str"/>
      <x:c r="H18" t="str">
        <x:v>OPEN</x:v>
      </x:c>
    </x:row>
    <x:row r="19" ht="45" customHeight="1">
      <x:c r="B19" t="str">
        <x:v>A05-CTRL</x:v>
      </x:c>
      <x:c r="C19" t="str">
        <x:v>A05</x:v>
      </x:c>
      <x:c r="D19" t="str">
        <x:v>control</x:v>
      </x:c>
      <x:c r="E19" s="12" t="str">
        <x:v>nominal terrain, drain, vault, service and weather</x:v>
      </x:c>
      <x:c r="F19" t="str">
        <x:v>public reference</x:v>
      </x:c>
      <x:c r="G19" t="str"/>
      <x:c r="H19" t="str">
        <x:v>OPEN</x:v>
      </x:c>
    </x:row>
    <x:row r="20" ht="45" customHeight="1">
      <x:c r="B20" t="str">
        <x:v>A05-CHAL</x:v>
      </x:c>
      <x:c r="C20" t="str">
        <x:v>A05</x:v>
      </x:c>
      <x:c r="D20" t="str">
        <x:v>challenge</x:v>
      </x:c>
      <x:c r="E20" s="12" t="str">
        <x:v>25 m2 pool; igniter command at T+15 s</x:v>
      </x:c>
      <x:c r="F20" t="str">
        <x:v>blind challenge realization</x:v>
      </x:c>
      <x:c r="G20" t="str"/>
      <x:c r="H20" t="str">
        <x:v>OPEN</x:v>
      </x:c>
    </x:row>
    <x:row r="21" ht="45" customHeight="1">
      <x:c r="B21" t="str">
        <x:v>A05-REC</x:v>
      </x:c>
      <x:c r="C21" t="str">
        <x:v>A05</x:v>
      </x:c>
      <x:c r="D21" t="str">
        <x:v>recovery boundary</x:v>
      </x:c>
      <x:c r="E21" s="12" t="str">
        <x:v>casualty capacity, quarantine path and recovery robots ready</x:v>
      </x:c>
      <x:c r="F21" t="str">
        <x:v>recovery authority</x:v>
      </x:c>
      <x:c r="G21" t="str"/>
      <x:c r="H21" t="str">
        <x:v>OPEN</x:v>
      </x:c>
    </x:row>
    <x:row r="22" ht="45" customHeight="1">
      <x:c r="B22" t="str">
        <x:v>A06-CTRL</x:v>
      </x:c>
      <x:c r="C22" t="str">
        <x:v>A06</x:v>
      </x:c>
      <x:c r="D22" t="str">
        <x:v>control</x:v>
      </x:c>
      <x:c r="E22" s="12" t="str">
        <x:v>nominal terrain, drain, vault, service and weather</x:v>
      </x:c>
      <x:c r="F22" t="str">
        <x:v>public reference</x:v>
      </x:c>
      <x:c r="G22" t="str"/>
      <x:c r="H22" t="str">
        <x:v>OPEN</x:v>
      </x:c>
    </x:row>
    <x:row r="23" ht="45" customHeight="1">
      <x:c r="B23" t="str">
        <x:v>A06-CHAL</x:v>
      </x:c>
      <x:c r="C23" t="str">
        <x:v>A06</x:v>
      </x:c>
      <x:c r="D23" t="str">
        <x:v>challenge</x:v>
      </x:c>
      <x:c r="E23" s="12" t="str">
        <x:v>20 min candidate water window; vault begins 50% full</x:v>
      </x:c>
      <x:c r="F23" t="str">
        <x:v>blind challenge realization</x:v>
      </x:c>
      <x:c r="G23" t="str"/>
      <x:c r="H23" t="str">
        <x:v>OPEN</x:v>
      </x:c>
    </x:row>
    <x:row r="24" ht="45" customHeight="1">
      <x:c r="B24" t="str">
        <x:v>A06-REC</x:v>
      </x:c>
      <x:c r="C24" t="str">
        <x:v>A06</x:v>
      </x:c>
      <x:c r="D24" t="str">
        <x:v>recovery boundary</x:v>
      </x:c>
      <x:c r="E24" s="12" t="str">
        <x:v>casualty capacity, quarantine path and recovery robots ready</x:v>
      </x:c>
      <x:c r="F24" t="str">
        <x:v>recovery authority</x:v>
      </x:c>
      <x:c r="G24" t="str"/>
      <x:c r="H24" t="str">
        <x:v>OPEN</x:v>
      </x:c>
    </x:row>
    <x:row r="25" ht="45" customHeight="1">
      <x:c r="B25" t="str">
        <x:v>A07-CTRL</x:v>
      </x:c>
      <x:c r="C25" t="str">
        <x:v>A07</x:v>
      </x:c>
      <x:c r="D25" t="str">
        <x:v>control</x:v>
      </x:c>
      <x:c r="E25" s="12" t="str">
        <x:v>nominal terrain, drain, vault, service and weather</x:v>
      </x:c>
      <x:c r="F25" t="str">
        <x:v>public reference</x:v>
      </x:c>
      <x:c r="G25" t="str"/>
      <x:c r="H25" t="str">
        <x:v>OPEN</x:v>
      </x:c>
    </x:row>
    <x:row r="26" ht="45" customHeight="1">
      <x:c r="B26" t="str">
        <x:v>A07-CHAL</x:v>
      </x:c>
      <x:c r="C26" t="str">
        <x:v>A07</x:v>
      </x:c>
      <x:c r="D26" t="str">
        <x:v>challenge</x:v>
      </x:c>
      <x:c r="E26" s="12" t="str">
        <x:v>50% barrier plus 1.5 kPa wind</x:v>
      </x:c>
      <x:c r="F26" t="str">
        <x:v>blind challenge realization</x:v>
      </x:c>
      <x:c r="G26" t="str"/>
      <x:c r="H26" t="str">
        <x:v>OPEN</x:v>
      </x:c>
    </x:row>
    <x:row r="27" ht="45" customHeight="1">
      <x:c r="B27" t="str">
        <x:v>A07-REC</x:v>
      </x:c>
      <x:c r="C27" t="str">
        <x:v>A07</x:v>
      </x:c>
      <x:c r="D27" t="str">
        <x:v>recovery boundary</x:v>
      </x:c>
      <x:c r="E27" s="12" t="str">
        <x:v>casualty capacity, quarantine path and recovery robots ready</x:v>
      </x:c>
      <x:c r="F27" t="str">
        <x:v>recovery authority</x:v>
      </x:c>
      <x:c r="G27" t="str"/>
      <x:c r="H27" t="str">
        <x:v>OPEN</x:v>
      </x:c>
    </x:row>
    <x:row r="28" ht="45" customHeight="1">
      <x:c r="B28" t="str">
        <x:v>A08-CTRL</x:v>
      </x:c>
      <x:c r="C28" t="str">
        <x:v>A08</x:v>
      </x:c>
      <x:c r="D28" t="str">
        <x:v>control</x:v>
      </x:c>
      <x:c r="E28" s="12" t="str">
        <x:v>nominal terrain, drain, vault, service and weather</x:v>
      </x:c>
      <x:c r="F28" t="str">
        <x:v>public reference</x:v>
      </x:c>
      <x:c r="G28" t="str"/>
      <x:c r="H28" t="str">
        <x:v>OPEN</x:v>
      </x:c>
    </x:row>
    <x:row r="29" ht="45" customHeight="1">
      <x:c r="B29" t="str">
        <x:v>A08-CHAL</x:v>
      </x:c>
      <x:c r="C29" t="str">
        <x:v>A08</x:v>
      </x:c>
      <x:c r="D29" t="str">
        <x:v>challenge</x:v>
      </x:c>
      <x:c r="E29" s="12" t="str">
        <x:v>30 min candidate window; normal energy, network and primary time denied</x:v>
      </x:c>
      <x:c r="F29" t="str">
        <x:v>blind challenge realization</x:v>
      </x:c>
      <x:c r="G29" t="str"/>
      <x:c r="H29" t="str">
        <x:v>OPEN</x:v>
      </x:c>
    </x:row>
    <x:row r="30" ht="45" customHeight="1">
      <x:c r="B30" t="str">
        <x:v>A08-REC</x:v>
      </x:c>
      <x:c r="C30" t="str">
        <x:v>A08</x:v>
      </x:c>
      <x:c r="D30" t="str">
        <x:v>recovery boundary</x:v>
      </x:c>
      <x:c r="E30" s="12" t="str">
        <x:v>casualty capacity, quarantine path and recovery robots ready</x:v>
      </x:c>
      <x:c r="F30" t="str">
        <x:v>recovery authority</x:v>
      </x:c>
      <x:c r="G30" t="str"/>
      <x:c r="H30" t="str">
        <x:v>OPEN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31" hidden="0" customWidth="1"/>
    <x:col min="4" max="4" width="78" hidden="0" customWidth="1"/>
    <x:col min="5" max="5" width="31" hidden="0" customWidth="1"/>
    <x:col min="6" max="6" width="50" hidden="0" customWidth="1"/>
  </x:cols>
  <x:sheetData>
    <x:row r="2">
      <x:c r="B2" s="1" t="str">
        <x:v>Twenty-four-phase common event clock</x:v>
      </x:c>
    </x:row>
    <x:row r="3">
      <x:c r="B3" s="2" t="str">
        <x:v>The source, ignition, water and casualty clocks remain distinct and independently observed.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Time</x:v>
      </x:c>
      <x:c r="C6" s="7" t="str">
        <x:v>Phase</x:v>
      </x:c>
      <x:c r="D6" s="7" t="str">
        <x:v>Required state or action</x:v>
      </x:c>
      <x:c r="E6" s="7" t="str">
        <x:v>Owner</x:v>
      </x:c>
      <x:c r="F6" s="7" t="str">
        <x:v>Failure response</x:v>
      </x:c>
    </x:row>
    <x:row r="7" ht="44" customHeight="1">
      <x:c r="B7" t="str">
        <x:v>T-96 h</x:v>
      </x:c>
      <x:c r="C7" t="str">
        <x:v>configuration freeze</x:v>
      </x:c>
      <x:c r="D7" s="12" t="str">
        <x:v>candidate article, rig, terrain, drain, software and method frozen</x:v>
      </x:c>
      <x:c r="E7" t="str">
        <x:v>configuration authority</x:v>
      </x:c>
      <x:c r="F7" s="12" t="str">
        <x:v>hold on unresolved change</x:v>
      </x:c>
    </x:row>
    <x:row r="8" ht="44" customHeight="1">
      <x:c r="B8" t="str">
        <x:v>T-72 h</x:v>
      </x:c>
      <x:c r="C8" t="str">
        <x:v>environmental baseline</x:v>
      </x:c>
      <x:c r="D8" s="12" t="str">
        <x:v>soil, groundwater, air, secondary basin and discharge state accepted</x:v>
      </x:c>
      <x:c r="E8" t="str">
        <x:v>environmental authority</x:v>
      </x:c>
      <x:c r="F8" s="12" t="str">
        <x:v>hold on unexplained prior inventory</x:v>
      </x:c>
    </x:row>
    <x:row r="9" ht="44" customHeight="1">
      <x:c r="B9" t="str">
        <x:v>T-60 h</x:v>
      </x:c>
      <x:c r="C9" t="str">
        <x:v>source-lot preliminary</x:v>
      </x:c>
      <x:c r="D9" s="12" t="str">
        <x:v>identity, quantity, chemistry and custody plan accepted</x:v>
      </x:c>
      <x:c r="E9" t="str">
        <x:v>source authority</x:v>
      </x:c>
      <x:c r="F9" s="12" t="str">
        <x:v>hold on source ambiguity</x:v>
      </x:c>
    </x:row>
    <x:row r="10" ht="44" customHeight="1">
      <x:c r="B10" t="str">
        <x:v>T-48 h</x:v>
      </x:c>
      <x:c r="C10" t="str">
        <x:v>recovery-capacity proof</x:v>
      </x:c>
      <x:c r="D10" s="12" t="str">
        <x:v>candidate receivers and public casualty source/water capacity proved</x:v>
      </x:c>
      <x:c r="E10" t="str">
        <x:v>recovery authority</x:v>
      </x:c>
      <x:c r="F10" s="12" t="str">
        <x:v>hold on insufficient independent capacity</x:v>
      </x:c>
    </x:row>
    <x:row r="11" ht="44" customHeight="1">
      <x:c r="B11" t="str">
        <x:v>T-36 h</x:v>
      </x:c>
      <x:c r="C11" t="str">
        <x:v>terrain and challenge survey</x:v>
      </x:c>
      <x:c r="D11" s="12" t="str">
        <x:v>cassette datum, inserts, debris, pool boundary and wind hardware accepted</x:v>
      </x:c>
      <x:c r="E11" t="str">
        <x:v>challenge authority</x:v>
      </x:c>
      <x:c r="F11" s="12" t="str">
        <x:v>hold on state or blindness failure</x:v>
      </x:c>
    </x:row>
    <x:row r="12" ht="44" customHeight="1">
      <x:c r="B12" t="str">
        <x:v>T-24 h</x:v>
      </x:c>
      <x:c r="C12" t="str">
        <x:v>source admission</x:v>
      </x:c>
      <x:c r="D12" s="12" t="str">
        <x:v>final lot splits, mass uncertainty and samples accepted</x:v>
      </x:c>
      <x:c r="E12" t="str">
        <x:v>source authority</x:v>
      </x:c>
      <x:c r="F12" s="12" t="str">
        <x:v>deny source on failed evidence</x:v>
      </x:c>
    </x:row>
    <x:row r="13" ht="44" customHeight="1">
      <x:c r="B13" t="str">
        <x:v>T-12 h</x:v>
      </x:c>
      <x:c r="C13" t="str">
        <x:v>candidate readiness</x:v>
      </x:c>
      <x:c r="D13" s="12" t="str">
        <x:v>article, controller, water logic, robots and reset history accepted</x:v>
      </x:c>
      <x:c r="E13" t="str">
        <x:v>candidate authority</x:v>
      </x:c>
      <x:c r="F13" s="12" t="str">
        <x:v>hold on mismatch</x:v>
      </x:c>
    </x:row>
    <x:row r="14" ht="44" customHeight="1">
      <x:c r="B14" t="str">
        <x:v>T-6 h</x:v>
      </x:c>
      <x:c r="C14" t="str">
        <x:v>service-state dwell</x:v>
      </x:c>
      <x:c r="D14" s="12" t="str">
        <x:v>water, heat rejection, thermal, weather and facility utilities stable</x:v>
      </x:c>
      <x:c r="E14" t="str">
        <x:v>test conductor</x:v>
      </x:c>
      <x:c r="F14" s="12" t="str">
        <x:v>hold until dwell is complete</x:v>
      </x:c>
    </x:row>
    <x:row r="15" ht="44" customHeight="1">
      <x:c r="B15" t="str">
        <x:v>T-2 h</x:v>
      </x:c>
      <x:c r="C15" t="str">
        <x:v>rescue and exclusion sweep</x:v>
      </x:c>
      <x:c r="D15" s="12" t="str">
        <x:v>people, corridors, breathing air, decontamination and clinical handoff ready</x:v>
      </x:c>
      <x:c r="E15" t="str">
        <x:v>life-safety authority</x:v>
      </x:c>
      <x:c r="F15" s="12" t="str">
        <x:v>deny event on missing rescue function</x:v>
      </x:c>
    </x:row>
    <x:row r="16" ht="44" customHeight="1">
      <x:c r="B16" t="str">
        <x:v>T-30 min</x:v>
      </x:c>
      <x:c r="C16" t="str">
        <x:v>native evidence armed</x:v>
      </x:c>
      <x:c r="D16" s="12" t="str">
        <x:v>public channels, two originals and outside-site mirror ready</x:v>
      </x:c>
      <x:c r="E16" t="str">
        <x:v>evidence authority</x:v>
      </x:c>
      <x:c r="F16" s="12" t="str">
        <x:v>deny event on missing decisive function</x:v>
      </x:c>
    </x:row>
    <x:row r="17" ht="44" customHeight="1">
      <x:c r="B17" t="str">
        <x:v>T-10 min</x:v>
      </x:c>
      <x:c r="C17" t="str">
        <x:v>final authority poll</x:v>
      </x:c>
      <x:c r="D17" s="12" t="str">
        <x:v>all named authorities return GO or explicit hold</x:v>
      </x:c>
      <x:c r="E17" t="str">
        <x:v>test conductor</x:v>
      </x:c>
      <x:c r="F17" s="12" t="str">
        <x:v>silence is not consent</x:v>
      </x:c>
    </x:row>
    <x:row r="18" ht="44" customHeight="1">
      <x:c r="B18" t="str">
        <x:v>T-60 s</x:v>
      </x:c>
      <x:c r="C18" t="str">
        <x:v>full-rate acquisition</x:v>
      </x:c>
      <x:c r="D18" s="12" t="str">
        <x:v>576 channels at registered rate and time alignment</x:v>
      </x:c>
      <x:c r="E18" t="str">
        <x:v>measurement lead</x:v>
      </x:c>
      <x:c r="F18" s="12" t="str">
        <x:v>abort if skew exceeds 5 microseconds</x:v>
      </x:c>
    </x:row>
    <x:row r="19" ht="44" customHeight="1">
      <x:c r="B19" t="str">
        <x:v>T-10 s</x:v>
      </x:c>
      <x:c r="C19" t="str">
        <x:v>challenge insertion</x:v>
      </x:c>
      <x:c r="D19" s="12" t="str">
        <x:v>blind challenge reaches registered state</x:v>
      </x:c>
      <x:c r="E19" t="str">
        <x:v>challenge lead</x:v>
      </x:c>
      <x:c r="F19" s="12" t="str">
        <x:v>abort if realization is indeterminate</x:v>
      </x:c>
    </x:row>
    <x:row r="20" ht="44" customHeight="1">
      <x:c r="B20" t="str">
        <x:v>T0</x:v>
      </x:c>
      <x:c r="C20" t="str">
        <x:v>source command</x:v>
      </x:c>
      <x:c r="D20" s="12" t="str">
        <x:v>public dispenser begins registered source history</x:v>
      </x:c>
      <x:c r="E20" t="str">
        <x:v>test conductor</x:v>
      </x:c>
      <x:c r="F20" s="12" t="str">
        <x:v>single accountable command</x:v>
      </x:c>
    </x:row>
    <x:row r="21" ht="44" customHeight="1">
      <x:c r="B21" t="str">
        <x:v>T+15 s</x:v>
      </x:c>
      <x:c r="C21" t="str">
        <x:v>ignition opportunity</x:v>
      </x:c>
      <x:c r="D21" s="12" t="str">
        <x:v>registered igniter energized for fire methods</x:v>
      </x:c>
      <x:c r="E21" t="str">
        <x:v>thermal authority</x:v>
      </x:c>
      <x:c r="F21" s="12" t="str">
        <x:v>no flame is an outcome if opportunity was valid</x:v>
      </x:c>
    </x:row>
    <x:row r="22" ht="44" customHeight="1">
      <x:c r="B22" t="str">
        <x:v>T+30 s</x:v>
      </x:c>
      <x:c r="C22" t="str">
        <x:v>terminal uncontrolled-source decision</x:v>
      </x:c>
      <x:c r="D22" s="12" t="str">
        <x:v>new uncontrolled source must end or enter bounded candidate route</x:v>
      </x:c>
      <x:c r="E22" t="str">
        <x:v>source authority</x:v>
      </x:c>
      <x:c r="F22" s="12" t="str">
        <x:v>candidate failure or public isolation</x:v>
      </x:c>
    </x:row>
    <x:row r="23" ht="44" customHeight="1">
      <x:c r="B23" t="str">
        <x:v>T+120 s</x:v>
      </x:c>
      <x:c r="C23" t="str">
        <x:v>scheduled dispenser end</x:v>
      </x:c>
      <x:c r="D23" s="12" t="str">
        <x:v>public source schedule ends unless isolated earlier</x:v>
      </x:c>
      <x:c r="E23" t="str">
        <x:v>test conductor</x:v>
      </x:c>
      <x:c r="F23" s="12" t="str">
        <x:v>observe captured versus uncontrolled source</x:v>
      </x:c>
    </x:row>
    <x:row r="24" ht="44" customHeight="1">
      <x:c r="B24" t="str">
        <x:v>T+15 min</x:v>
      </x:c>
      <x:c r="C24" t="str">
        <x:v>first thermal/water decision</x:v>
      </x:c>
      <x:c r="D24" s="12" t="str">
        <x:v>candidate water, heat, pool and vault state classified</x:v>
      </x:c>
      <x:c r="E24" t="str">
        <x:v>fire authority</x:v>
      </x:c>
      <x:c r="F24" s="12" t="str">
        <x:v>public casualty action if thresholds cross</x:v>
      </x:c>
    </x:row>
    <x:row r="25" ht="44" customHeight="1">
      <x:c r="B25" t="str">
        <x:v>T+30 min</x:v>
      </x:c>
      <x:c r="C25" t="str">
        <x:v>extended intervention decision</x:v>
      </x:c>
      <x:c r="D25" s="12" t="str">
        <x:v>A08 window, public quench and casualty custody classified</x:v>
      </x:c>
      <x:c r="E25" t="str">
        <x:v>life-safety authority</x:v>
      </x:c>
      <x:c r="F25" s="12" t="str">
        <x:v>continue remote state only</x:v>
      </x:c>
    </x:row>
    <x:row r="26" ht="44" customHeight="1">
      <x:c r="B26" t="str">
        <x:v>T+60 min</x:v>
      </x:c>
      <x:c r="C26" t="str">
        <x:v>remote-entry review</x:v>
      </x:c>
      <x:c r="D26" s="12" t="str">
        <x:v>robot entry class set from heat, gas, liquid and structure</x:v>
      </x:c>
      <x:c r="E26" t="str">
        <x:v>recovery authority</x:v>
      </x:c>
      <x:c r="F26" s="12" t="str">
        <x:v>no human-entry entitlement</x:v>
      </x:c>
    </x:row>
    <x:row r="27" ht="44" customHeight="1">
      <x:c r="B27" t="str">
        <x:v>T+6 h</x:v>
      </x:c>
      <x:c r="C27" t="str">
        <x:v>tail close review</x:v>
      </x:c>
      <x:c r="D27" s="12" t="str">
        <x:v>thermal, environmental and inventory conditions permit tail closure</x:v>
      </x:c>
      <x:c r="E27" t="str">
        <x:v>evidence authority</x:v>
      </x:c>
      <x:c r="F27" s="12" t="str">
        <x:v>extend record if state remains active</x:v>
      </x:c>
    </x:row>
    <x:row r="28" ht="44" customHeight="1">
      <x:c r="B28" t="str">
        <x:v>T+24 h</x:v>
      </x:c>
      <x:c r="C28" t="str">
        <x:v>mass and water closure due</x:v>
      </x:c>
      <x:c r="D28" s="12" t="str">
        <x:v>source, water, agent, air and solid ledgers reconciled</x:v>
      </x:c>
      <x:c r="E28" t="str">
        <x:v>evidence authority</x:v>
      </x:c>
      <x:c r="F28" s="12" t="str">
        <x:v>validity remains open on discrepancy</x:v>
      </x:c>
    </x:row>
    <x:row r="29" ht="44" customHeight="1">
      <x:c r="B29" t="str">
        <x:v>T+72 h</x:v>
      </x:c>
      <x:c r="C29" t="str">
        <x:v>packet freeze</x:v>
      </x:c>
      <x:c r="D29" s="12" t="str">
        <x:v>native originals, interventions, samples and configuration sealed</x:v>
      </x:c>
      <x:c r="E29" t="str">
        <x:v>evidence authority</x:v>
      </x:c>
      <x:c r="F29" s="12" t="str">
        <x:v>no overwrite after freeze</x:v>
      </x:c>
    </x:row>
    <x:row r="30" ht="44" customHeight="1">
      <x:c r="B30" t="str">
        <x:v>D+7</x:v>
      </x:c>
      <x:c r="C30" t="str">
        <x:v>validity then outcome</x:v>
      </x:c>
      <x:c r="D30" s="12" t="str">
        <x:v>independent board decides validity before candidate outcome</x:v>
      </x:c>
      <x:c r="E30" t="str">
        <x:v>adjudication board</x:v>
      </x:c>
      <x:c r="F30" s="12" t="str">
        <x:v>unresolved remains blank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7" hidden="0" customWidth="1"/>
    <x:col min="4" max="4" width="18" hidden="0" customWidth="1"/>
    <x:col min="5" max="5" width="58" hidden="0" customWidth="1"/>
    <x:col min="6" max="6" width="28" hidden="0" customWidth="1"/>
    <x:col min="7" max="7" width="14" hidden="0" customWidth="1"/>
    <x:col min="8" max="8" width="14" hidden="0" customWidth="1"/>
  </x:cols>
  <x:sheetData>
    <x:row r="2">
      <x:c r="B2" s="1" t="str">
        <x:v>Thirty-two pre-source holds</x:v>
      </x:c>
    </x:row>
    <x:row r="3">
      <x:c r="B3" s="2" t="str">
        <x:v>The test conductor coordinates holds but cannot clear another authority's hold.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Hold</x:v>
      </x:c>
      <x:c r="C6" s="7" t="str">
        <x:v>Domain</x:v>
      </x:c>
      <x:c r="D6" s="7" t="str">
        <x:v>Test</x:v>
      </x:c>
      <x:c r="E6" s="7" t="str">
        <x:v>Failure condition</x:v>
      </x:c>
      <x:c r="F6" s="7" t="str">
        <x:v>Owner</x:v>
      </x:c>
      <x:c r="G6" s="7" t="str">
        <x:v>Action</x:v>
      </x:c>
      <x:c r="H6" s="7" t="str">
        <x:v>State</x:v>
      </x:c>
    </x:row>
    <x:row r="7" ht="38" customHeight="1">
      <x:c r="B7" t="str">
        <x:v>HD-01</x:v>
      </x:c>
      <x:c r="C7" t="str">
        <x:v>configuration</x:v>
      </x:c>
      <x:c r="D7" t="str">
        <x:v>identity</x:v>
      </x:c>
      <x:c r="E7" s="12" t="str">
        <x:v>wrong serial, lot or version</x:v>
      </x:c>
      <x:c r="F7" t="str">
        <x:v>domain authority</x:v>
      </x:c>
      <x:c r="G7" t="str">
        <x:v>HOLD</x:v>
      </x:c>
      <x:c r="H7" t="str">
        <x:v>OPEN</x:v>
      </x:c>
    </x:row>
    <x:row r="8" ht="38" customHeight="1">
      <x:c r="B8" t="str">
        <x:v>HD-02</x:v>
      </x:c>
      <x:c r="C8" t="str">
        <x:v>configuration</x:v>
      </x:c>
      <x:c r="D8" t="str">
        <x:v>capacity</x:v>
      </x:c>
      <x:c r="E8" s="12" t="str">
        <x:v>insufficient independent capacity</x:v>
      </x:c>
      <x:c r="F8" t="str">
        <x:v>domain authority</x:v>
      </x:c>
      <x:c r="G8" t="str">
        <x:v>HOLD</x:v>
      </x:c>
      <x:c r="H8" t="str">
        <x:v>OPEN</x:v>
      </x:c>
    </x:row>
    <x:row r="9" ht="38" customHeight="1">
      <x:c r="B9" t="str">
        <x:v>HD-03</x:v>
      </x:c>
      <x:c r="C9" t="str">
        <x:v>configuration</x:v>
      </x:c>
      <x:c r="D9" t="str">
        <x:v>state</x:v>
      </x:c>
      <x:c r="E9" s="12" t="str">
        <x:v>state outside registered tolerance</x:v>
      </x:c>
      <x:c r="F9" t="str">
        <x:v>domain authority</x:v>
      </x:c>
      <x:c r="G9" t="str">
        <x:v>HOLD</x:v>
      </x:c>
      <x:c r="H9" t="str">
        <x:v>OPEN</x:v>
      </x:c>
    </x:row>
    <x:row r="10" ht="38" customHeight="1">
      <x:c r="B10" t="str">
        <x:v>HD-04</x:v>
      </x:c>
      <x:c r="C10" t="str">
        <x:v>configuration</x:v>
      </x:c>
      <x:c r="D10" t="str">
        <x:v>authority</x:v>
      </x:c>
      <x:c r="E10" s="12" t="str">
        <x:v>missing signature or unresolved prior disposition</x:v>
      </x:c>
      <x:c r="F10" t="str">
        <x:v>domain authority</x:v>
      </x:c>
      <x:c r="G10" t="str">
        <x:v>HOLD</x:v>
      </x:c>
      <x:c r="H10" t="str">
        <x:v>OPEN</x:v>
      </x:c>
    </x:row>
    <x:row r="11" ht="38" customHeight="1">
      <x:c r="B11" t="str">
        <x:v>HD-05</x:v>
      </x:c>
      <x:c r="C11" t="str">
        <x:v>source and chemistry</x:v>
      </x:c>
      <x:c r="D11" t="str">
        <x:v>identity</x:v>
      </x:c>
      <x:c r="E11" s="12" t="str">
        <x:v>wrong serial, lot or version</x:v>
      </x:c>
      <x:c r="F11" t="str">
        <x:v>domain authority</x:v>
      </x:c>
      <x:c r="G11" t="str">
        <x:v>HOLD</x:v>
      </x:c>
      <x:c r="H11" t="str">
        <x:v>OPEN</x:v>
      </x:c>
    </x:row>
    <x:row r="12" ht="38" customHeight="1">
      <x:c r="B12" t="str">
        <x:v>HD-06</x:v>
      </x:c>
      <x:c r="C12" t="str">
        <x:v>source and chemistry</x:v>
      </x:c>
      <x:c r="D12" t="str">
        <x:v>capacity</x:v>
      </x:c>
      <x:c r="E12" s="12" t="str">
        <x:v>insufficient independent capacity</x:v>
      </x:c>
      <x:c r="F12" t="str">
        <x:v>domain authority</x:v>
      </x:c>
      <x:c r="G12" t="str">
        <x:v>HOLD</x:v>
      </x:c>
      <x:c r="H12" t="str">
        <x:v>OPEN</x:v>
      </x:c>
    </x:row>
    <x:row r="13" ht="38" customHeight="1">
      <x:c r="B13" t="str">
        <x:v>HD-07</x:v>
      </x:c>
      <x:c r="C13" t="str">
        <x:v>source and chemistry</x:v>
      </x:c>
      <x:c r="D13" t="str">
        <x:v>state</x:v>
      </x:c>
      <x:c r="E13" s="12" t="str">
        <x:v>state outside registered tolerance</x:v>
      </x:c>
      <x:c r="F13" t="str">
        <x:v>domain authority</x:v>
      </x:c>
      <x:c r="G13" t="str">
        <x:v>HOLD</x:v>
      </x:c>
      <x:c r="H13" t="str">
        <x:v>OPEN</x:v>
      </x:c>
    </x:row>
    <x:row r="14" ht="38" customHeight="1">
      <x:c r="B14" t="str">
        <x:v>HD-08</x:v>
      </x:c>
      <x:c r="C14" t="str">
        <x:v>source and chemistry</x:v>
      </x:c>
      <x:c r="D14" t="str">
        <x:v>authority</x:v>
      </x:c>
      <x:c r="E14" s="12" t="str">
        <x:v>missing signature or unresolved prior disposition</x:v>
      </x:c>
      <x:c r="F14" t="str">
        <x:v>domain authority</x:v>
      </x:c>
      <x:c r="G14" t="str">
        <x:v>HOLD</x:v>
      </x:c>
      <x:c r="H14" t="str">
        <x:v>OPEN</x:v>
      </x:c>
    </x:row>
    <x:row r="15" ht="38" customHeight="1">
      <x:c r="B15" t="str">
        <x:v>HD-09</x:v>
      </x:c>
      <x:c r="C15" t="str">
        <x:v>terrain and challenge</x:v>
      </x:c>
      <x:c r="D15" t="str">
        <x:v>identity</x:v>
      </x:c>
      <x:c r="E15" s="12" t="str">
        <x:v>wrong serial, lot or version</x:v>
      </x:c>
      <x:c r="F15" t="str">
        <x:v>domain authority</x:v>
      </x:c>
      <x:c r="G15" t="str">
        <x:v>HOLD</x:v>
      </x:c>
      <x:c r="H15" t="str">
        <x:v>OPEN</x:v>
      </x:c>
    </x:row>
    <x:row r="16" ht="38" customHeight="1">
      <x:c r="B16" t="str">
        <x:v>HD-10</x:v>
      </x:c>
      <x:c r="C16" t="str">
        <x:v>terrain and challenge</x:v>
      </x:c>
      <x:c r="D16" t="str">
        <x:v>capacity</x:v>
      </x:c>
      <x:c r="E16" s="12" t="str">
        <x:v>insufficient independent capacity</x:v>
      </x:c>
      <x:c r="F16" t="str">
        <x:v>domain authority</x:v>
      </x:c>
      <x:c r="G16" t="str">
        <x:v>HOLD</x:v>
      </x:c>
      <x:c r="H16" t="str">
        <x:v>OPEN</x:v>
      </x:c>
    </x:row>
    <x:row r="17" ht="38" customHeight="1">
      <x:c r="B17" t="str">
        <x:v>HD-11</x:v>
      </x:c>
      <x:c r="C17" t="str">
        <x:v>terrain and challenge</x:v>
      </x:c>
      <x:c r="D17" t="str">
        <x:v>state</x:v>
      </x:c>
      <x:c r="E17" s="12" t="str">
        <x:v>state outside registered tolerance</x:v>
      </x:c>
      <x:c r="F17" t="str">
        <x:v>domain authority</x:v>
      </x:c>
      <x:c r="G17" t="str">
        <x:v>HOLD</x:v>
      </x:c>
      <x:c r="H17" t="str">
        <x:v>OPEN</x:v>
      </x:c>
    </x:row>
    <x:row r="18" ht="38" customHeight="1">
      <x:c r="B18" t="str">
        <x:v>HD-12</x:v>
      </x:c>
      <x:c r="C18" t="str">
        <x:v>terrain and challenge</x:v>
      </x:c>
      <x:c r="D18" t="str">
        <x:v>authority</x:v>
      </x:c>
      <x:c r="E18" s="12" t="str">
        <x:v>missing signature or unresolved prior disposition</x:v>
      </x:c>
      <x:c r="F18" t="str">
        <x:v>domain authority</x:v>
      </x:c>
      <x:c r="G18" t="str">
        <x:v>HOLD</x:v>
      </x:c>
      <x:c r="H18" t="str">
        <x:v>OPEN</x:v>
      </x:c>
    </x:row>
    <x:row r="19" ht="38" customHeight="1">
      <x:c r="B19" t="str">
        <x:v>HD-13</x:v>
      </x:c>
      <x:c r="C19" t="str">
        <x:v>candidate article</x:v>
      </x:c>
      <x:c r="D19" t="str">
        <x:v>identity</x:v>
      </x:c>
      <x:c r="E19" s="12" t="str">
        <x:v>wrong serial, lot or version</x:v>
      </x:c>
      <x:c r="F19" t="str">
        <x:v>domain authority</x:v>
      </x:c>
      <x:c r="G19" t="str">
        <x:v>HOLD</x:v>
      </x:c>
      <x:c r="H19" t="str">
        <x:v>OPEN</x:v>
      </x:c>
    </x:row>
    <x:row r="20" ht="38" customHeight="1">
      <x:c r="B20" t="str">
        <x:v>HD-14</x:v>
      </x:c>
      <x:c r="C20" t="str">
        <x:v>candidate article</x:v>
      </x:c>
      <x:c r="D20" t="str">
        <x:v>capacity</x:v>
      </x:c>
      <x:c r="E20" s="12" t="str">
        <x:v>insufficient independent capacity</x:v>
      </x:c>
      <x:c r="F20" t="str">
        <x:v>domain authority</x:v>
      </x:c>
      <x:c r="G20" t="str">
        <x:v>HOLD</x:v>
      </x:c>
      <x:c r="H20" t="str">
        <x:v>OPEN</x:v>
      </x:c>
    </x:row>
    <x:row r="21" ht="38" customHeight="1">
      <x:c r="B21" t="str">
        <x:v>HD-15</x:v>
      </x:c>
      <x:c r="C21" t="str">
        <x:v>candidate article</x:v>
      </x:c>
      <x:c r="D21" t="str">
        <x:v>state</x:v>
      </x:c>
      <x:c r="E21" s="12" t="str">
        <x:v>state outside registered tolerance</x:v>
      </x:c>
      <x:c r="F21" t="str">
        <x:v>domain authority</x:v>
      </x:c>
      <x:c r="G21" t="str">
        <x:v>HOLD</x:v>
      </x:c>
      <x:c r="H21" t="str">
        <x:v>OPEN</x:v>
      </x:c>
    </x:row>
    <x:row r="22" ht="38" customHeight="1">
      <x:c r="B22" t="str">
        <x:v>HD-16</x:v>
      </x:c>
      <x:c r="C22" t="str">
        <x:v>candidate article</x:v>
      </x:c>
      <x:c r="D22" t="str">
        <x:v>authority</x:v>
      </x:c>
      <x:c r="E22" s="12" t="str">
        <x:v>missing signature or unresolved prior disposition</x:v>
      </x:c>
      <x:c r="F22" t="str">
        <x:v>domain authority</x:v>
      </x:c>
      <x:c r="G22" t="str">
        <x:v>HOLD</x:v>
      </x:c>
      <x:c r="H22" t="str">
        <x:v>OPEN</x:v>
      </x:c>
    </x:row>
    <x:row r="23" ht="38" customHeight="1">
      <x:c r="B23" t="str">
        <x:v>HD-17</x:v>
      </x:c>
      <x:c r="C23" t="str">
        <x:v>water and heat</x:v>
      </x:c>
      <x:c r="D23" t="str">
        <x:v>identity</x:v>
      </x:c>
      <x:c r="E23" s="12" t="str">
        <x:v>wrong serial, lot or version</x:v>
      </x:c>
      <x:c r="F23" t="str">
        <x:v>domain authority</x:v>
      </x:c>
      <x:c r="G23" t="str">
        <x:v>HOLD</x:v>
      </x:c>
      <x:c r="H23" t="str">
        <x:v>OPEN</x:v>
      </x:c>
    </x:row>
    <x:row r="24" ht="38" customHeight="1">
      <x:c r="B24" t="str">
        <x:v>HD-18</x:v>
      </x:c>
      <x:c r="C24" t="str">
        <x:v>water and heat</x:v>
      </x:c>
      <x:c r="D24" t="str">
        <x:v>capacity</x:v>
      </x:c>
      <x:c r="E24" s="12" t="str">
        <x:v>insufficient independent capacity</x:v>
      </x:c>
      <x:c r="F24" t="str">
        <x:v>domain authority</x:v>
      </x:c>
      <x:c r="G24" t="str">
        <x:v>HOLD</x:v>
      </x:c>
      <x:c r="H24" t="str">
        <x:v>OPEN</x:v>
      </x:c>
    </x:row>
    <x:row r="25" ht="38" customHeight="1">
      <x:c r="B25" t="str">
        <x:v>HD-19</x:v>
      </x:c>
      <x:c r="C25" t="str">
        <x:v>water and heat</x:v>
      </x:c>
      <x:c r="D25" t="str">
        <x:v>state</x:v>
      </x:c>
      <x:c r="E25" s="12" t="str">
        <x:v>state outside registered tolerance</x:v>
      </x:c>
      <x:c r="F25" t="str">
        <x:v>domain authority</x:v>
      </x:c>
      <x:c r="G25" t="str">
        <x:v>HOLD</x:v>
      </x:c>
      <x:c r="H25" t="str">
        <x:v>OPEN</x:v>
      </x:c>
    </x:row>
    <x:row r="26" ht="38" customHeight="1">
      <x:c r="B26" t="str">
        <x:v>HD-20</x:v>
      </x:c>
      <x:c r="C26" t="str">
        <x:v>water and heat</x:v>
      </x:c>
      <x:c r="D26" t="str">
        <x:v>authority</x:v>
      </x:c>
      <x:c r="E26" s="12" t="str">
        <x:v>missing signature or unresolved prior disposition</x:v>
      </x:c>
      <x:c r="F26" t="str">
        <x:v>domain authority</x:v>
      </x:c>
      <x:c r="G26" t="str">
        <x:v>HOLD</x:v>
      </x:c>
      <x:c r="H26" t="str">
        <x:v>OPEN</x:v>
      </x:c>
    </x:row>
    <x:row r="27" ht="38" customHeight="1">
      <x:c r="B27" t="str">
        <x:v>HD-21</x:v>
      </x:c>
      <x:c r="C27" t="str">
        <x:v>safety and rescue</x:v>
      </x:c>
      <x:c r="D27" t="str">
        <x:v>identity</x:v>
      </x:c>
      <x:c r="E27" s="12" t="str">
        <x:v>wrong serial, lot or version</x:v>
      </x:c>
      <x:c r="F27" t="str">
        <x:v>domain authority</x:v>
      </x:c>
      <x:c r="G27" t="str">
        <x:v>HOLD</x:v>
      </x:c>
      <x:c r="H27" t="str">
        <x:v>OPEN</x:v>
      </x:c>
    </x:row>
    <x:row r="28" ht="38" customHeight="1">
      <x:c r="B28" t="str">
        <x:v>HD-22</x:v>
      </x:c>
      <x:c r="C28" t="str">
        <x:v>safety and rescue</x:v>
      </x:c>
      <x:c r="D28" t="str">
        <x:v>capacity</x:v>
      </x:c>
      <x:c r="E28" s="12" t="str">
        <x:v>insufficient independent capacity</x:v>
      </x:c>
      <x:c r="F28" t="str">
        <x:v>domain authority</x:v>
      </x:c>
      <x:c r="G28" t="str">
        <x:v>HOLD</x:v>
      </x:c>
      <x:c r="H28" t="str">
        <x:v>OPEN</x:v>
      </x:c>
    </x:row>
    <x:row r="29" ht="38" customHeight="1">
      <x:c r="B29" t="str">
        <x:v>HD-23</x:v>
      </x:c>
      <x:c r="C29" t="str">
        <x:v>safety and rescue</x:v>
      </x:c>
      <x:c r="D29" t="str">
        <x:v>state</x:v>
      </x:c>
      <x:c r="E29" s="12" t="str">
        <x:v>state outside registered tolerance</x:v>
      </x:c>
      <x:c r="F29" t="str">
        <x:v>domain authority</x:v>
      </x:c>
      <x:c r="G29" t="str">
        <x:v>HOLD</x:v>
      </x:c>
      <x:c r="H29" t="str">
        <x:v>OPEN</x:v>
      </x:c>
    </x:row>
    <x:row r="30" ht="38" customHeight="1">
      <x:c r="B30" t="str">
        <x:v>HD-24</x:v>
      </x:c>
      <x:c r="C30" t="str">
        <x:v>safety and rescue</x:v>
      </x:c>
      <x:c r="D30" t="str">
        <x:v>authority</x:v>
      </x:c>
      <x:c r="E30" s="12" t="str">
        <x:v>missing signature or unresolved prior disposition</x:v>
      </x:c>
      <x:c r="F30" t="str">
        <x:v>domain authority</x:v>
      </x:c>
      <x:c r="G30" t="str">
        <x:v>HOLD</x:v>
      </x:c>
      <x:c r="H30" t="str">
        <x:v>OPEN</x:v>
      </x:c>
    </x:row>
    <x:row r="31" ht="38" customHeight="1">
      <x:c r="B31" t="str">
        <x:v>HD-25</x:v>
      </x:c>
      <x:c r="C31" t="str">
        <x:v>measurement and time</x:v>
      </x:c>
      <x:c r="D31" t="str">
        <x:v>identity</x:v>
      </x:c>
      <x:c r="E31" s="12" t="str">
        <x:v>wrong serial, lot or version</x:v>
      </x:c>
      <x:c r="F31" t="str">
        <x:v>domain authority</x:v>
      </x:c>
      <x:c r="G31" t="str">
        <x:v>HOLD</x:v>
      </x:c>
      <x:c r="H31" t="str">
        <x:v>OPEN</x:v>
      </x:c>
    </x:row>
    <x:row r="32" ht="38" customHeight="1">
      <x:c r="B32" t="str">
        <x:v>HD-26</x:v>
      </x:c>
      <x:c r="C32" t="str">
        <x:v>measurement and time</x:v>
      </x:c>
      <x:c r="D32" t="str">
        <x:v>capacity</x:v>
      </x:c>
      <x:c r="E32" s="12" t="str">
        <x:v>insufficient independent capacity</x:v>
      </x:c>
      <x:c r="F32" t="str">
        <x:v>domain authority</x:v>
      </x:c>
      <x:c r="G32" t="str">
        <x:v>HOLD</x:v>
      </x:c>
      <x:c r="H32" t="str">
        <x:v>OPEN</x:v>
      </x:c>
    </x:row>
    <x:row r="33" ht="38" customHeight="1">
      <x:c r="B33" t="str">
        <x:v>HD-27</x:v>
      </x:c>
      <x:c r="C33" t="str">
        <x:v>measurement and time</x:v>
      </x:c>
      <x:c r="D33" t="str">
        <x:v>state</x:v>
      </x:c>
      <x:c r="E33" s="12" t="str">
        <x:v>state outside registered tolerance</x:v>
      </x:c>
      <x:c r="F33" t="str">
        <x:v>domain authority</x:v>
      </x:c>
      <x:c r="G33" t="str">
        <x:v>HOLD</x:v>
      </x:c>
      <x:c r="H33" t="str">
        <x:v>OPEN</x:v>
      </x:c>
    </x:row>
    <x:row r="34" ht="38" customHeight="1">
      <x:c r="B34" t="str">
        <x:v>HD-28</x:v>
      </x:c>
      <x:c r="C34" t="str">
        <x:v>measurement and time</x:v>
      </x:c>
      <x:c r="D34" t="str">
        <x:v>authority</x:v>
      </x:c>
      <x:c r="E34" s="12" t="str">
        <x:v>missing signature or unresolved prior disposition</x:v>
      </x:c>
      <x:c r="F34" t="str">
        <x:v>domain authority</x:v>
      </x:c>
      <x:c r="G34" t="str">
        <x:v>HOLD</x:v>
      </x:c>
      <x:c r="H34" t="str">
        <x:v>OPEN</x:v>
      </x:c>
    </x:row>
    <x:row r="35" ht="38" customHeight="1">
      <x:c r="B35" t="str">
        <x:v>HD-29</x:v>
      </x:c>
      <x:c r="C35" t="str">
        <x:v>environment and recovery</x:v>
      </x:c>
      <x:c r="D35" t="str">
        <x:v>identity</x:v>
      </x:c>
      <x:c r="E35" s="12" t="str">
        <x:v>wrong serial, lot or version</x:v>
      </x:c>
      <x:c r="F35" t="str">
        <x:v>domain authority</x:v>
      </x:c>
      <x:c r="G35" t="str">
        <x:v>HOLD</x:v>
      </x:c>
      <x:c r="H35" t="str">
        <x:v>OPEN</x:v>
      </x:c>
    </x:row>
    <x:row r="36" ht="38" customHeight="1">
      <x:c r="B36" t="str">
        <x:v>HD-30</x:v>
      </x:c>
      <x:c r="C36" t="str">
        <x:v>environment and recovery</x:v>
      </x:c>
      <x:c r="D36" t="str">
        <x:v>capacity</x:v>
      </x:c>
      <x:c r="E36" s="12" t="str">
        <x:v>insufficient independent capacity</x:v>
      </x:c>
      <x:c r="F36" t="str">
        <x:v>domain authority</x:v>
      </x:c>
      <x:c r="G36" t="str">
        <x:v>HOLD</x:v>
      </x:c>
      <x:c r="H36" t="str">
        <x:v>OPEN</x:v>
      </x:c>
    </x:row>
    <x:row r="37" ht="38" customHeight="1">
      <x:c r="B37" t="str">
        <x:v>HD-31</x:v>
      </x:c>
      <x:c r="C37" t="str">
        <x:v>environment and recovery</x:v>
      </x:c>
      <x:c r="D37" t="str">
        <x:v>state</x:v>
      </x:c>
      <x:c r="E37" s="12" t="str">
        <x:v>state outside registered tolerance</x:v>
      </x:c>
      <x:c r="F37" t="str">
        <x:v>domain authority</x:v>
      </x:c>
      <x:c r="G37" t="str">
        <x:v>HOLD</x:v>
      </x:c>
      <x:c r="H37" t="str">
        <x:v>OPEN</x:v>
      </x:c>
    </x:row>
    <x:row r="38" ht="38" customHeight="1">
      <x:c r="B38" t="str">
        <x:v>HD-32</x:v>
      </x:c>
      <x:c r="C38" t="str">
        <x:v>environment and recovery</x:v>
      </x:c>
      <x:c r="D38" t="str">
        <x:v>authority</x:v>
      </x:c>
      <x:c r="E38" s="12" t="str">
        <x:v>missing signature or unresolved prior disposition</x:v>
      </x:c>
      <x:c r="F38" t="str">
        <x:v>domain authority</x:v>
      </x:c>
      <x:c r="G38" t="str">
        <x:v>HOLD</x:v>
      </x:c>
      <x:c r="H38" t="str">
        <x:v>OPEN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33" hidden="0" customWidth="1"/>
    <x:col min="4" max="4" width="18" hidden="0" customWidth="1"/>
    <x:col min="5" max="5" width="29" hidden="0" customWidth="1"/>
    <x:col min="6" max="6" width="55" hidden="0" customWidth="1"/>
    <x:col min="7" max="7" width="34" hidden="0" customWidth="1"/>
  </x:cols>
  <x:sheetData>
    <x:row r="2">
      <x:c r="B2" s="1" t="str">
        <x:v>Twenty public and candidate command transactions</x:v>
      </x:c>
    </x:row>
    <x:row r="3">
      <x:c r="B3" s="2" t="str">
        <x:v>Every command has issuer, time, evidence and predetermined failure response.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Command</x:v>
      </x:c>
      <x:c r="C6" s="7" t="str">
        <x:v>Transaction</x:v>
      </x:c>
      <x:c r="D6" s="7" t="str">
        <x:v>Time</x:v>
      </x:c>
      <x:c r="E6" s="7" t="str">
        <x:v>Issuer</x:v>
      </x:c>
      <x:c r="F6" s="7" t="str">
        <x:v>Observable action</x:v>
      </x:c>
      <x:c r="G6" s="7" t="str">
        <x:v>Failure response</x:v>
      </x:c>
    </x:row>
    <x:row r="7" ht="40" customHeight="1">
      <x:c r="B7" t="str">
        <x:v>CM-01</x:v>
      </x:c>
      <x:c r="C7" t="str">
        <x:v>freeze configuration</x:v>
      </x:c>
      <x:c r="D7" t="str">
        <x:v>T-96 h</x:v>
      </x:c>
      <x:c r="E7" t="str">
        <x:v>configuration authority</x:v>
      </x:c>
      <x:c r="F7" s="12" t="str">
        <x:v>record hash and serial graph</x:v>
      </x:c>
      <x:c r="G7" t="str">
        <x:v>hold</x:v>
      </x:c>
    </x:row>
    <x:row r="8" ht="40" customHeight="1">
      <x:c r="B8" t="str">
        <x:v>CM-02</x:v>
      </x:c>
      <x:c r="C8" t="str">
        <x:v>accept environmental baseline</x:v>
      </x:c>
      <x:c r="D8" t="str">
        <x:v>T-72 h</x:v>
      </x:c>
      <x:c r="E8" t="str">
        <x:v>environmental authority</x:v>
      </x:c>
      <x:c r="F8" s="12" t="str">
        <x:v>seal pre-event witness set</x:v>
      </x:c>
      <x:c r="G8" t="str">
        <x:v>hold</x:v>
      </x:c>
    </x:row>
    <x:row r="9" ht="40" customHeight="1">
      <x:c r="B9" t="str">
        <x:v>CM-03</x:v>
      </x:c>
      <x:c r="C9" t="str">
        <x:v>accept source lot</x:v>
      </x:c>
      <x:c r="D9" t="str">
        <x:v>T-24 h</x:v>
      </x:c>
      <x:c r="E9" t="str">
        <x:v>source authority</x:v>
      </x:c>
      <x:c r="F9" s="12" t="str">
        <x:v>release exact source split</x:v>
      </x:c>
      <x:c r="G9" t="str">
        <x:v>deny source</x:v>
      </x:c>
    </x:row>
    <x:row r="10" ht="40" customHeight="1">
      <x:c r="B10" t="str">
        <x:v>CM-04</x:v>
      </x:c>
      <x:c r="C10" t="str">
        <x:v>arm public isolation</x:v>
      </x:c>
      <x:c r="D10" t="str">
        <x:v>T-2 h</x:v>
      </x:c>
      <x:c r="E10" t="str">
        <x:v>safety authority</x:v>
      </x:c>
      <x:c r="F10" s="12" t="str">
        <x:v>two independent barriers ready</x:v>
      </x:c>
      <x:c r="G10" t="str">
        <x:v>deny event</x:v>
      </x:c>
    </x:row>
    <x:row r="11" ht="40" customHeight="1">
      <x:c r="B11" t="str">
        <x:v>CM-05</x:v>
      </x:c>
      <x:c r="C11" t="str">
        <x:v>arm candidate control</x:v>
      </x:c>
      <x:c r="D11" t="str">
        <x:v>T-30 min</x:v>
      </x:c>
      <x:c r="E11" t="str">
        <x:v>candidate authority</x:v>
      </x:c>
      <x:c r="F11" s="12" t="str">
        <x:v>declared logic active</x:v>
      </x:c>
      <x:c r="G11" t="str">
        <x:v>hold</x:v>
      </x:c>
    </x:row>
    <x:row r="12" ht="40" customHeight="1">
      <x:c r="B12" t="str">
        <x:v>CM-06</x:v>
      </x:c>
      <x:c r="C12" t="str">
        <x:v>arm native evidence</x:v>
      </x:c>
      <x:c r="D12" t="str">
        <x:v>T-30 min</x:v>
      </x:c>
      <x:c r="E12" t="str">
        <x:v>evidence authority</x:v>
      </x:c>
      <x:c r="F12" s="12" t="str">
        <x:v>two originals and mirror active</x:v>
      </x:c>
      <x:c r="G12" t="str">
        <x:v>deny event</x:v>
      </x:c>
    </x:row>
    <x:row r="13" ht="40" customHeight="1">
      <x:c r="B13" t="str">
        <x:v>CM-07</x:v>
      </x:c>
      <x:c r="C13" t="str">
        <x:v>insert challenge</x:v>
      </x:c>
      <x:c r="D13" t="str">
        <x:v>T-10 s</x:v>
      </x:c>
      <x:c r="E13" t="str">
        <x:v>challenge authority</x:v>
      </x:c>
      <x:c r="F13" s="12" t="str">
        <x:v>realize blind registered state</x:v>
      </x:c>
      <x:c r="G13" t="str">
        <x:v>abort</x:v>
      </x:c>
    </x:row>
    <x:row r="14" ht="40" customHeight="1">
      <x:c r="B14" t="str">
        <x:v>CM-08</x:v>
      </x:c>
      <x:c r="C14" t="str">
        <x:v>begin source</x:v>
      </x:c>
      <x:c r="D14" t="str">
        <x:v>T0</x:v>
      </x:c>
      <x:c r="E14" t="str">
        <x:v>test conductor</x:v>
      </x:c>
      <x:c r="F14" s="12" t="str">
        <x:v>open registered dispenser path</x:v>
      </x:c>
      <x:c r="G14" t="str">
        <x:v>abort</x:v>
      </x:c>
    </x:row>
    <x:row r="15" ht="40" customHeight="1">
      <x:c r="B15" t="str">
        <x:v>CM-09</x:v>
      </x:c>
      <x:c r="C15" t="str">
        <x:v>energize igniter</x:v>
      </x:c>
      <x:c r="D15" t="str">
        <x:v>T+15 s</x:v>
      </x:c>
      <x:c r="E15" t="str">
        <x:v>thermal authority</x:v>
      </x:c>
      <x:c r="F15" s="12" t="str">
        <x:v>ten-second registered opportunity</x:v>
      </x:c>
      <x:c r="G15" t="str">
        <x:v>abort if invalid opportunity</x:v>
      </x:c>
    </x:row>
    <x:row r="16" ht="40" customHeight="1">
      <x:c r="B16" t="str">
        <x:v>CM-10</x:v>
      </x:c>
      <x:c r="C16" t="str">
        <x:v>candidate source action</x:v>
      </x:c>
      <x:c r="D16" t="str">
        <x:v>T0–30 s</x:v>
      </x:c>
      <x:c r="E16" t="str">
        <x:v>candidate controller</x:v>
      </x:c>
      <x:c r="F16" s="12" t="str">
        <x:v>isolate or route source</x:v>
      </x:c>
      <x:c r="G16" t="str">
        <x:v>candidate outcome</x:v>
      </x:c>
    </x:row>
    <x:row r="17" ht="40" customHeight="1">
      <x:c r="B17" t="str">
        <x:v>CM-11</x:v>
      </x:c>
      <x:c r="C17" t="str">
        <x:v>candidate water action</x:v>
      </x:c>
      <x:c r="D17" t="str">
        <x:v>T0–30 min</x:v>
      </x:c>
      <x:c r="E17" t="str">
        <x:v>candidate controller</x:v>
      </x:c>
      <x:c r="F17" s="12" t="str">
        <x:v>apply declared water logic</x:v>
      </x:c>
      <x:c r="G17" t="str">
        <x:v>candidate outcome</x:v>
      </x:c>
    </x:row>
    <x:row r="18" ht="40" customHeight="1">
      <x:c r="B18" t="str">
        <x:v>CM-12</x:v>
      </x:c>
      <x:c r="C18" t="str">
        <x:v>candidate robot action</x:v>
      </x:c>
      <x:c r="D18" t="str">
        <x:v>method-defined</x:v>
      </x:c>
      <x:c r="E18" t="str">
        <x:v>candidate controller</x:v>
      </x:c>
      <x:c r="F18" s="12" t="str">
        <x:v>deploy declared autonomy/tools</x:v>
      </x:c>
      <x:c r="G18" t="str">
        <x:v>candidate outcome</x:v>
      </x:c>
    </x:row>
    <x:row r="19" ht="40" customHeight="1">
      <x:c r="B19" t="str">
        <x:v>CM-13</x:v>
      </x:c>
      <x:c r="C19" t="str">
        <x:v>public source isolation</x:v>
      </x:c>
      <x:c r="D19" t="str">
        <x:v>threshold</x:v>
      </x:c>
      <x:c r="E19" t="str">
        <x:v>safety authority</x:v>
      </x:c>
      <x:c r="F19" s="12" t="str">
        <x:v>stop new public source</x:v>
      </x:c>
      <x:c r="G19" t="str">
        <x:v>record intervention</x:v>
      </x:c>
    </x:row>
    <x:row r="20" ht="40" customHeight="1">
      <x:c r="B20" t="str">
        <x:v>CM-14</x:v>
      </x:c>
      <x:c r="C20" t="str">
        <x:v>public casualty-source divert</x:v>
      </x:c>
      <x:c r="D20" t="str">
        <x:v>threshold</x:v>
      </x:c>
      <x:c r="E20" t="str">
        <x:v>safety authority</x:v>
      </x:c>
      <x:c r="F20" s="12" t="str">
        <x:v>one-way transfer to isolated tank</x:v>
      </x:c>
      <x:c r="G20" t="str">
        <x:v>record intervention</x:v>
      </x:c>
    </x:row>
    <x:row r="21" ht="40" customHeight="1">
      <x:c r="B21" t="str">
        <x:v>CM-15</x:v>
      </x:c>
      <x:c r="C21" t="str">
        <x:v>public casualty-water capture</x:v>
      </x:c>
      <x:c r="D21" t="str">
        <x:v>threshold</x:v>
      </x:c>
      <x:c r="E21" t="str">
        <x:v>safety authority</x:v>
      </x:c>
      <x:c r="F21" s="12" t="str">
        <x:v>open isolated vault inlet</x:v>
      </x:c>
      <x:c r="G21" t="str">
        <x:v>record intervention</x:v>
      </x:c>
    </x:row>
    <x:row r="22" ht="40" customHeight="1">
      <x:c r="B22" t="str">
        <x:v>CM-16</x:v>
      </x:c>
      <x:c r="C22" t="str">
        <x:v>public quench</x:v>
      </x:c>
      <x:c r="D22" t="str">
        <x:v>threshold</x:v>
      </x:c>
      <x:c r="E22" t="str">
        <x:v>fire authority</x:v>
      </x:c>
      <x:c r="F22" s="12" t="str">
        <x:v>apply independent quench</x:v>
      </x:c>
      <x:c r="G22" t="str">
        <x:v>record intervention</x:v>
      </x:c>
    </x:row>
    <x:row r="23" ht="40" customHeight="1">
      <x:c r="B23" t="str">
        <x:v>CM-17</x:v>
      </x:c>
      <x:c r="C23" t="str">
        <x:v>remote reconnaissance</x:v>
      </x:c>
      <x:c r="D23" t="str">
        <x:v>post-safeing</x:v>
      </x:c>
      <x:c r="E23" t="str">
        <x:v>recovery authority</x:v>
      </x:c>
      <x:c r="F23" s="12" t="str">
        <x:v>map heat, gas, liquid and casualty</x:v>
      </x:c>
      <x:c r="G23" t="str">
        <x:v>hold human entry</x:v>
      </x:c>
    </x:row>
    <x:row r="24" ht="40" customHeight="1">
      <x:c r="B24" t="str">
        <x:v>CM-18</x:v>
      </x:c>
      <x:c r="C24" t="str">
        <x:v>casualty extraction</x:v>
      </x:c>
      <x:c r="D24" t="str">
        <x:v>life safety</x:v>
      </x:c>
      <x:c r="E24" t="str">
        <x:v>life-safety authority</x:v>
      </x:c>
      <x:c r="F24" s="12" t="str">
        <x:v>extract and decontaminate</x:v>
      </x:c>
      <x:c r="G24" t="str">
        <x:v>evidence cannot delay</x:v>
      </x:c>
    </x:row>
    <x:row r="25" ht="40" customHeight="1">
      <x:c r="B25" t="str">
        <x:v>CM-19</x:v>
      </x:c>
      <x:c r="C25" t="str">
        <x:v>freeze packet</x:v>
      </x:c>
      <x:c r="D25" t="str">
        <x:v>T+72 h</x:v>
      </x:c>
      <x:c r="E25" t="str">
        <x:v>evidence authority</x:v>
      </x:c>
      <x:c r="F25" s="12" t="str">
        <x:v>seal native and forensic objects</x:v>
      </x:c>
      <x:c r="G25" t="str">
        <x:v>hold adjudication</x:v>
      </x:c>
    </x:row>
    <x:row r="26" ht="40" customHeight="1">
      <x:c r="B26" t="str">
        <x:v>CM-20</x:v>
      </x:c>
      <x:c r="C26" t="str">
        <x:v>release restoration</x:v>
      </x:c>
      <x:c r="D26" t="str">
        <x:v>post-freeze</x:v>
      </x:c>
      <x:c r="E26" t="str">
        <x:v>configuration board</x:v>
      </x:c>
      <x:c r="F26" s="12" t="str">
        <x:v>authorize cleaning, repair and reset</x:v>
      </x:c>
      <x:c r="G26" t="str">
        <x:v>regress changed objects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8" hidden="0" customWidth="1"/>
    <x:col min="4" max="4" width="29" hidden="0" customWidth="1"/>
    <x:col min="5" max="5" width="52" hidden="0" customWidth="1"/>
    <x:col min="6" max="6" width="39" hidden="0" customWidth="1"/>
    <x:col min="7" max="7" width="22" hidden="0" customWidth="1"/>
    <x:col min="8" max="8" width="14" hidden="0" customWidth="1"/>
  </x:cols>
  <x:sheetData>
    <x:row r="2">
      <x:c r="B2" s="1" t="str">
        <x:v>Twenty independent abort channels</x:v>
      </x:c>
    </x:row>
    <x:row r="3">
      <x:c r="B3" s="2" t="str">
        <x:v>An abort protects the public system; validity and candidate outcome are decided later.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Abort</x:v>
      </x:c>
      <x:c r="C6" s="7" t="str">
        <x:v>Observation</x:v>
      </x:c>
      <x:c r="D6" s="7" t="str">
        <x:v>Owner</x:v>
      </x:c>
      <x:c r="E6" s="7" t="str">
        <x:v>Action</x:v>
      </x:c>
      <x:c r="F6" s="7" t="str">
        <x:v>Provisional classification</x:v>
      </x:c>
      <x:c r="G6" s="7" t="str">
        <x:v>Drill accepted UTC</x:v>
      </x:c>
      <x:c r="H6" s="7" t="str">
        <x:v>State</x:v>
      </x:c>
    </x:row>
    <x:row r="7" ht="42" customHeight="1">
      <x:c r="B7" t="str">
        <x:v>AB-01</x:v>
      </x:c>
      <x:c r="C7" s="12" t="str">
        <x:v>source outside admitted mass or chemistry</x:v>
      </x:c>
      <x:c r="D7" t="str">
        <x:v>source authority</x:v>
      </x:c>
      <x:c r="E7" s="12" t="str">
        <x:v>deny source or isolate</x:v>
      </x:c>
      <x:c r="F7" s="12" t="str">
        <x:v>validity review</x:v>
      </x:c>
      <x:c r="G7" t="str"/>
      <x:c r="H7" t="str">
        <x:v>OPEN</x:v>
      </x:c>
    </x:row>
    <x:row r="8" ht="42" customHeight="1">
      <x:c r="B8" t="str">
        <x:v>AB-02</x:v>
      </x:c>
      <x:c r="C8" s="12" t="str">
        <x:v>time skew &gt; 5 microseconds</x:v>
      </x:c>
      <x:c r="D8" t="str">
        <x:v>evidence authority</x:v>
      </x:c>
      <x:c r="E8" s="12" t="str">
        <x:v>stop energetic sequence</x:v>
      </x:c>
      <x:c r="F8" s="12" t="str">
        <x:v>invalid unless decisive time recovered</x:v>
      </x:c>
      <x:c r="G8" t="str"/>
      <x:c r="H8" t="str">
        <x:v>OPEN</x:v>
      </x:c>
    </x:row>
    <x:row r="9" ht="42" customHeight="1">
      <x:c r="B9" t="str">
        <x:v>AB-03</x:v>
      </x:c>
      <x:c r="C9" s="12" t="str">
        <x:v>loss of both native originals</x:v>
      </x:c>
      <x:c r="D9" t="str">
        <x:v>evidence authority</x:v>
      </x:c>
      <x:c r="E9" s="12" t="str">
        <x:v>public isolate and preserve</x:v>
      </x:c>
      <x:c r="F9" s="12" t="str">
        <x:v>invalid</x:v>
      </x:c>
      <x:c r="G9" t="str"/>
      <x:c r="H9" t="str">
        <x:v>OPEN</x:v>
      </x:c>
    </x:row>
    <x:row r="10" ht="42" customHeight="1">
      <x:c r="B10" t="str">
        <x:v>AB-04</x:v>
      </x:c>
      <x:c r="C10" s="12" t="str">
        <x:v>challenge state indeterminate</x:v>
      </x:c>
      <x:c r="D10" t="str">
        <x:v>challenge authority</x:v>
      </x:c>
      <x:c r="E10" s="12" t="str">
        <x:v>isolate before source</x:v>
      </x:c>
      <x:c r="F10" s="12" t="str">
        <x:v>invalid</x:v>
      </x:c>
      <x:c r="G10" t="str"/>
      <x:c r="H10" t="str">
        <x:v>OPEN</x:v>
      </x:c>
    </x:row>
    <x:row r="11" ht="42" customHeight="1">
      <x:c r="B11" t="str">
        <x:v>AB-05</x:v>
      </x:c>
      <x:c r="C11" s="12" t="str">
        <x:v>uncontrolled source persists &gt; 30 s</x:v>
      </x:c>
      <x:c r="D11" t="str">
        <x:v>source authority</x:v>
      </x:c>
      <x:c r="E11" s="12" t="str">
        <x:v>public isolate/divert</x:v>
      </x:c>
      <x:c r="F11" s="12" t="str">
        <x:v>valid candidate failure</x:v>
      </x:c>
      <x:c r="G11" t="str"/>
      <x:c r="H11" t="str">
        <x:v>OPEN</x:v>
      </x:c>
    </x:row>
    <x:row r="12" ht="42" customHeight="1">
      <x:c r="B12" t="str">
        <x:v>AB-06</x:v>
      </x:c>
      <x:c r="C12" s="12" t="str">
        <x:v>source leaves candidate boundary</x:v>
      </x:c>
      <x:c r="D12" t="str">
        <x:v>environmental authority</x:v>
      </x:c>
      <x:c r="E12" s="12" t="str">
        <x:v>casualty source capture</x:v>
      </x:c>
      <x:c r="F12" s="12" t="str">
        <x:v>valid candidate failure</x:v>
      </x:c>
      <x:c r="G12" t="str"/>
      <x:c r="H12" t="str">
        <x:v>OPEN</x:v>
      </x:c>
    </x:row>
    <x:row r="13" ht="42" customHeight="1">
      <x:c r="B13" t="str">
        <x:v>AB-07</x:v>
      </x:c>
      <x:c r="C13" s="12" t="str">
        <x:v>candidate vault ≥ 95% and rising</x:v>
      </x:c>
      <x:c r="D13" t="str">
        <x:v>fire authority</x:v>
      </x:c>
      <x:c r="E13" s="12" t="str">
        <x:v>casualty water capture</x:v>
      </x:c>
      <x:c r="F13" s="12" t="str">
        <x:v>valid candidate failure</x:v>
      </x:c>
      <x:c r="G13" t="str"/>
      <x:c r="H13" t="str">
        <x:v>OPEN</x:v>
      </x:c>
    </x:row>
    <x:row r="14" ht="42" customHeight="1">
      <x:c r="B14" t="str">
        <x:v>AB-08</x:v>
      </x:c>
      <x:c r="C14" s="12" t="str">
        <x:v>secondary basin receives nominal flow</x:v>
      </x:c>
      <x:c r="D14" t="str">
        <x:v>environmental authority</x:v>
      </x:c>
      <x:c r="E14" s="12" t="str">
        <x:v>isolate candidate and capture</x:v>
      </x:c>
      <x:c r="F14" s="12" t="str">
        <x:v>valid candidate failure</x:v>
      </x:c>
      <x:c r="G14" t="str"/>
      <x:c r="H14" t="str">
        <x:v>OPEN</x:v>
      </x:c>
    </x:row>
    <x:row r="15" ht="42" customHeight="1">
      <x:c r="B15" t="str">
        <x:v>AB-09</x:v>
      </x:c>
      <x:c r="C15" s="12" t="str">
        <x:v>pool crosses registered field boundary</x:v>
      </x:c>
      <x:c r="D15" t="str">
        <x:v>fire authority</x:v>
      </x:c>
      <x:c r="E15" s="12" t="str">
        <x:v>public quench and isolate</x:v>
      </x:c>
      <x:c r="F15" s="12" t="str">
        <x:v>valid candidate failure</x:v>
      </x:c>
      <x:c r="G15" t="str"/>
      <x:c r="H15" t="str">
        <x:v>OPEN</x:v>
      </x:c>
    </x:row>
    <x:row r="16" ht="42" customHeight="1">
      <x:c r="B16" t="str">
        <x:v>AB-10</x:v>
      </x:c>
      <x:c r="C16" s="12" t="str">
        <x:v>radiant or thermal public limit crossed</x:v>
      </x:c>
      <x:c r="D16" t="str">
        <x:v>safety authority</x:v>
      </x:c>
      <x:c r="E16" s="12" t="str">
        <x:v>public quench</x:v>
      </x:c>
      <x:c r="F16" s="12" t="str">
        <x:v>valid candidate failure</x:v>
      </x:c>
      <x:c r="G16" t="str"/>
      <x:c r="H16" t="str">
        <x:v>OPEN</x:v>
      </x:c>
    </x:row>
    <x:row r="17" ht="42" customHeight="1">
      <x:c r="B17" t="str">
        <x:v>AB-11</x:v>
      </x:c>
      <x:c r="C17" s="12" t="str">
        <x:v>neighbor-source recruitment indicator</x:v>
      </x:c>
      <x:c r="D17" t="str">
        <x:v>source authority</x:v>
      </x:c>
      <x:c r="E17" s="12" t="str">
        <x:v>isolate all energy and quench</x:v>
      </x:c>
      <x:c r="F17" s="12" t="str">
        <x:v>valid candidate failure</x:v>
      </x:c>
      <x:c r="G17" t="str"/>
      <x:c r="H17" t="str">
        <x:v>OPEN</x:v>
      </x:c>
    </x:row>
    <x:row r="18" ht="42" customHeight="1">
      <x:c r="B18" t="str">
        <x:v>AB-12</x:v>
      </x:c>
      <x:c r="C18" s="12" t="str">
        <x:v>source–water ancestry lost</x:v>
      </x:c>
      <x:c r="D18" t="str">
        <x:v>evidence authority</x:v>
      </x:c>
      <x:c r="E18" s="12" t="str">
        <x:v>stop candidate transfer</x:v>
      </x:c>
      <x:c r="F18" s="12" t="str">
        <x:v>candidate failure or invalidity by cause</x:v>
      </x:c>
      <x:c r="G18" t="str"/>
      <x:c r="H18" t="str">
        <x:v>OPEN</x:v>
      </x:c>
    </x:row>
    <x:row r="19" ht="42" customHeight="1">
      <x:c r="B19" t="str">
        <x:v>AB-13</x:v>
      </x:c>
      <x:c r="C19" s="12" t="str">
        <x:v>loss of two public safeing paths</x:v>
      </x:c>
      <x:c r="D19" t="str">
        <x:v>safety authority</x:v>
      </x:c>
      <x:c r="E19" s="12" t="str">
        <x:v>passive state and site evacuation</x:v>
      </x:c>
      <x:c r="F19" s="12" t="str">
        <x:v>facility invalidity</x:v>
      </x:c>
      <x:c r="G19" t="str"/>
      <x:c r="H19" t="str">
        <x:v>OPEN</x:v>
      </x:c>
    </x:row>
    <x:row r="20" ht="42" customHeight="1">
      <x:c r="B20" t="str">
        <x:v>AB-14</x:v>
      </x:c>
      <x:c r="C20" s="12" t="str">
        <x:v>robot enters prohibited corridor</x:v>
      </x:c>
      <x:c r="D20" t="str">
        <x:v>life-safety authority</x:v>
      </x:c>
      <x:c r="E20" s="12" t="str">
        <x:v>stop robot and public isolate</x:v>
      </x:c>
      <x:c r="F20" s="12" t="str">
        <x:v>candidate failure</x:v>
      </x:c>
      <x:c r="G20" t="str"/>
      <x:c r="H20" t="str">
        <x:v>OPEN</x:v>
      </x:c>
    </x:row>
    <x:row r="21" ht="42" customHeight="1">
      <x:c r="B21" t="str">
        <x:v>AB-15</x:v>
      </x:c>
      <x:c r="C21" s="12" t="str">
        <x:v>casualty tag enters hot zone</x:v>
      </x:c>
      <x:c r="D21" t="str">
        <x:v>life-safety authority</x:v>
      </x:c>
      <x:c r="E21" s="12" t="str">
        <x:v>immediate extraction</x:v>
      </x:c>
      <x:c r="F21" s="12" t="str">
        <x:v>valid safety intervention</x:v>
      </x:c>
      <x:c r="G21" t="str"/>
      <x:c r="H21" t="str">
        <x:v>OPEN</x:v>
      </x:c>
    </x:row>
    <x:row r="22" ht="42" customHeight="1">
      <x:c r="B22" t="str">
        <x:v>AB-16</x:v>
      </x:c>
      <x:c r="C22" s="12" t="str">
        <x:v>breathing-air reserve &lt; 30 min</x:v>
      </x:c>
      <x:c r="D22" t="str">
        <x:v>life-safety authority</x:v>
      </x:c>
      <x:c r="E22" s="12" t="str">
        <x:v>withdraw responders</x:v>
      </x:c>
      <x:c r="F22" s="12" t="str">
        <x:v>facility invalidity</x:v>
      </x:c>
      <x:c r="G22" t="str"/>
      <x:c r="H22" t="str">
        <x:v>OPEN</x:v>
      </x:c>
    </x:row>
    <x:row r="23" ht="42" customHeight="1">
      <x:c r="B23" t="str">
        <x:v>AB-17</x:v>
      </x:c>
      <x:c r="C23" s="12" t="str">
        <x:v>unbounded air/combustion release</x:v>
      </x:c>
      <x:c r="D23" t="str">
        <x:v>environmental authority</x:v>
      </x:c>
      <x:c r="E23" s="12" t="str">
        <x:v>quench, isolate and site shelter</x:v>
      </x:c>
      <x:c r="F23" s="12" t="str">
        <x:v>valid candidate failure</x:v>
      </x:c>
      <x:c r="G23" t="str"/>
      <x:c r="H23" t="str">
        <x:v>OPEN</x:v>
      </x:c>
    </x:row>
    <x:row r="24" ht="42" customHeight="1">
      <x:c r="B24" t="str">
        <x:v>AB-18</x:v>
      </x:c>
      <x:c r="C24" s="12" t="str">
        <x:v>terrain reaction or structure limit crossed</x:v>
      </x:c>
      <x:c r="D24" t="str">
        <x:v>rig authority</x:v>
      </x:c>
      <x:c r="E24" s="12" t="str">
        <x:v>isolate, quench and deny approach</x:v>
      </x:c>
      <x:c r="F24" s="12" t="str">
        <x:v>cause review</x:v>
      </x:c>
      <x:c r="G24" t="str"/>
      <x:c r="H24" t="str">
        <x:v>OPEN</x:v>
      </x:c>
    </x:row>
    <x:row r="25" ht="42" customHeight="1">
      <x:c r="B25" t="str">
        <x:v>AB-19</x:v>
      </x:c>
      <x:c r="C25" s="12" t="str">
        <x:v>manual unconditional stop</x:v>
      </x:c>
      <x:c r="D25" t="str">
        <x:v>any console authority</x:v>
      </x:c>
      <x:c r="E25" s="12" t="str">
        <x:v>public safe state</x:v>
      </x:c>
      <x:c r="F25" s="12" t="str">
        <x:v>cause review</x:v>
      </x:c>
      <x:c r="G25" t="str"/>
      <x:c r="H25" t="str">
        <x:v>OPEN</x:v>
      </x:c>
    </x:row>
    <x:row r="26" ht="42" customHeight="1">
      <x:c r="B26" t="str">
        <x:v>AB-20</x:v>
      </x:c>
      <x:c r="C26" s="12" t="str">
        <x:v>public casualty capacity uncertain</x:v>
      </x:c>
      <x:c r="D26" t="str">
        <x:v>recovery authority</x:v>
      </x:c>
      <x:c r="E26" s="12" t="str">
        <x:v>deny or terminate source</x:v>
      </x:c>
      <x:c r="F26" s="12" t="str">
        <x:v>facility invalidity</x:v>
      </x:c>
      <x:c r="G26" t="str"/>
      <x:c r="H26" t="str">
        <x:v>OPEN</x:v>
      </x:c>
    </x:row>
  </x:sheetData>
  <x:conditionalFormatting sqref="H7:H26">
    <x:cfRule type="containsText" dxfId="28" priority="1" operator="containsText" text="FAIL"/>
    <x:cfRule type="containsText" dxfId="29" priority="2" operator="containsText" text="INVALID"/>
    <x:cfRule type="containsText" dxfId="30" priority="3" operator="containsText" text="BLOCKED"/>
    <x:cfRule type="containsText" dxfId="31" priority="4" operator="containsText" text="OPEN"/>
    <x:cfRule type="containsText" dxfId="32" priority="5" operator="containsText" text="GAP"/>
    <x:cfRule type="containsText" dxfId="33" priority="6" operator="containsText" text="PASS"/>
    <x:cfRule type="containsText" dxfId="34" priority="7" operator="containsText" text="VALI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34" hidden="0" customWidth="1"/>
    <x:col min="4" max="4" width="48" hidden="0" customWidth="1"/>
    <x:col min="5" max="5" width="42" hidden="0" customWidth="1"/>
    <x:col min="6" max="6" width="55" hidden="0" customWidth="1"/>
    <x:col min="7" max="7" width="22" hidden="0" customWidth="1"/>
    <x:col min="8" max="8" width="14" hidden="0" customWidth="1"/>
  </x:cols>
  <x:sheetData>
    <x:row r="2">
      <x:c r="B2" s="1" t="str">
        <x:v>Twelve scored public interventions</x:v>
      </x:c>
    </x:row>
    <x:row r="3">
      <x:c r="B3" s="2" t="str">
        <x:v>Public protection can make the site safe. It cannot make candidate performance successful.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Intervention</x:v>
      </x:c>
      <x:c r="C6" s="7" t="str">
        <x:v>Action</x:v>
      </x:c>
      <x:c r="D6" s="7" t="str">
        <x:v>Trigger</x:v>
      </x:c>
      <x:c r="E6" s="7" t="str">
        <x:v>Required evidence</x:v>
      </x:c>
      <x:c r="F6" s="7" t="str">
        <x:v>Candidate-scoring rule</x:v>
      </x:c>
      <x:c r="G6" s="7" t="str">
        <x:v>Path accepted UTC</x:v>
      </x:c>
      <x:c r="H6" s="7" t="str">
        <x:v>State</x:v>
      </x:c>
    </x:row>
    <x:row r="7" ht="48" customHeight="1">
      <x:c r="B7" t="str">
        <x:v>PI-01</x:v>
      </x:c>
      <x:c r="C7" t="str">
        <x:v>public source isolation</x:v>
      </x:c>
      <x:c r="D7" s="12" t="str">
        <x:v>new uncontrolled source &gt; 30 s</x:v>
      </x:c>
      <x:c r="E7" s="12" t="str">
        <x:v>source mass and isolation time</x:v>
      </x:c>
      <x:c r="F7" s="12" t="str">
        <x:v>candidate receives no terminal-time credit</x:v>
      </x:c>
      <x:c r="G7" t="str"/>
      <x:c r="H7" t="str">
        <x:v>OPEN</x:v>
      </x:c>
    </x:row>
    <x:row r="8" ht="48" customHeight="1">
      <x:c r="B8" t="str">
        <x:v>PI-02</x:v>
      </x:c>
      <x:c r="C8" t="str">
        <x:v>public casualty-source diversion</x:v>
      </x:c>
      <x:c r="D8" s="12" t="str">
        <x:v>source crosses candidate custody boundary</x:v>
      </x:c>
      <x:c r="E8" s="12" t="str">
        <x:v>diverted mass and chemistry</x:v>
      </x:c>
      <x:c r="F8" s="12" t="str">
        <x:v>candidate capture failure</x:v>
      </x:c>
      <x:c r="G8" t="str"/>
      <x:c r="H8" t="str">
        <x:v>OPEN</x:v>
      </x:c>
    </x:row>
    <x:row r="9" ht="48" customHeight="1">
      <x:c r="B9" t="str">
        <x:v>PI-03</x:v>
      </x:c>
      <x:c r="C9" t="str">
        <x:v>public casualty-water capture</x:v>
      </x:c>
      <x:c r="D9" s="12" t="str">
        <x:v>candidate vault ≥95% and rising</x:v>
      </x:c>
      <x:c r="E9" s="12" t="str">
        <x:v>captured water, source and agent</x:v>
      </x:c>
      <x:c r="F9" s="12" t="str">
        <x:v>candidate retention failure</x:v>
      </x:c>
      <x:c r="G9" t="str"/>
      <x:c r="H9" t="str">
        <x:v>OPEN</x:v>
      </x:c>
    </x:row>
    <x:row r="10" ht="48" customHeight="1">
      <x:c r="B10" t="str">
        <x:v>PI-04</x:v>
      </x:c>
      <x:c r="C10" t="str">
        <x:v>public quench path A</x:v>
      </x:c>
      <x:c r="D10" s="12" t="str">
        <x:v>thermal or radiant public limit</x:v>
      </x:c>
      <x:c r="E10" s="12" t="str">
        <x:v>water, heat and timing</x:v>
      </x:c>
      <x:c r="F10" s="12" t="str">
        <x:v>candidate thermal-control failure</x:v>
      </x:c>
      <x:c r="G10" t="str"/>
      <x:c r="H10" t="str">
        <x:v>OPEN</x:v>
      </x:c>
    </x:row>
    <x:row r="11" ht="48" customHeight="1">
      <x:c r="B11" t="str">
        <x:v>PI-05</x:v>
      </x:c>
      <x:c r="C11" t="str">
        <x:v>public quench path B</x:v>
      </x:c>
      <x:c r="D11" s="12" t="str">
        <x:v>path A unavailable or ineffective</x:v>
      </x:c>
      <x:c r="E11" s="12" t="str">
        <x:v>water, heat and timing</x:v>
      </x:c>
      <x:c r="F11" s="12" t="str">
        <x:v>candidate plus first public-path evidence</x:v>
      </x:c>
      <x:c r="G11" t="str"/>
      <x:c r="H11" t="str">
        <x:v>OPEN</x:v>
      </x:c>
    </x:row>
    <x:row r="12" ht="48" customHeight="1">
      <x:c r="B12" t="str">
        <x:v>PI-06</x:v>
      </x:c>
      <x:c r="C12" t="str">
        <x:v>secondary-basin admission</x:v>
      </x:c>
      <x:c r="D12" s="12" t="str">
        <x:v>nominal boundary exceeded</x:v>
      </x:c>
      <x:c r="E12" s="12" t="str">
        <x:v>inventory and ancestry</x:v>
      </x:c>
      <x:c r="F12" s="12" t="str">
        <x:v>candidate environmental failure</x:v>
      </x:c>
      <x:c r="G12" t="str"/>
      <x:c r="H12" t="str">
        <x:v>OPEN</x:v>
      </x:c>
    </x:row>
    <x:row r="13" ht="48" customHeight="1">
      <x:c r="B13" t="str">
        <x:v>PI-07</x:v>
      </x:c>
      <x:c r="C13" t="str">
        <x:v>robot corridor lockout</x:v>
      </x:c>
      <x:c r="D13" s="12" t="str">
        <x:v>candidate robot violates safe geometry</x:v>
      </x:c>
      <x:c r="E13" s="12" t="str">
        <x:v>pose, command and final state</x:v>
      </x:c>
      <x:c r="F13" s="12" t="str">
        <x:v>candidate autonomy failure</x:v>
      </x:c>
      <x:c r="G13" t="str"/>
      <x:c r="H13" t="str">
        <x:v>OPEN</x:v>
      </x:c>
    </x:row>
    <x:row r="14" ht="48" customHeight="1">
      <x:c r="B14" t="str">
        <x:v>PI-08</x:v>
      </x:c>
      <x:c r="C14" t="str">
        <x:v>public remote reconnaissance</x:v>
      </x:c>
      <x:c r="D14" s="12" t="str">
        <x:v>candidate state not independently known</x:v>
      </x:c>
      <x:c r="E14" s="12" t="str">
        <x:v>sensor set and map</x:v>
      </x:c>
      <x:c r="F14" s="12" t="str">
        <x:v>candidate observability failure</x:v>
      </x:c>
      <x:c r="G14" t="str"/>
      <x:c r="H14" t="str">
        <x:v>OPEN</x:v>
      </x:c>
    </x:row>
    <x:row r="15" ht="48" customHeight="1">
      <x:c r="B15" t="str">
        <x:v>PI-09</x:v>
      </x:c>
      <x:c r="C15" t="str">
        <x:v>public casualty extraction</x:v>
      </x:c>
      <x:c r="D15" s="12" t="str">
        <x:v>life safety requires immediate action</x:v>
      </x:c>
      <x:c r="E15" s="12" t="str">
        <x:v>casualty time and exposure</x:v>
      </x:c>
      <x:c r="F15" s="12" t="str">
        <x:v>candidate/person outcome retained</x:v>
      </x:c>
      <x:c r="G15" t="str"/>
      <x:c r="H15" t="str">
        <x:v>OPEN</x:v>
      </x:c>
    </x:row>
    <x:row r="16" ht="48" customHeight="1">
      <x:c r="B16" t="str">
        <x:v>PI-10</x:v>
      </x:c>
      <x:c r="C16" t="str">
        <x:v>site shelter or evacuation</x:v>
      </x:c>
      <x:c r="D16" s="12" t="str">
        <x:v>air or fire envelope exceeded</x:v>
      </x:c>
      <x:c r="E16" s="12" t="str">
        <x:v>area, duration and trigger</x:v>
      </x:c>
      <x:c r="F16" s="12" t="str">
        <x:v>candidate consequence failure</x:v>
      </x:c>
      <x:c r="G16" t="str"/>
      <x:c r="H16" t="str">
        <x:v>OPEN</x:v>
      </x:c>
    </x:row>
    <x:row r="17" ht="48" customHeight="1">
      <x:c r="B17" t="str">
        <x:v>PI-11</x:v>
      </x:c>
      <x:c r="C17" t="str">
        <x:v>public quarantine transfer</x:v>
      </x:c>
      <x:c r="D17" s="12" t="str">
        <x:v>post-event custody demands separation</x:v>
      </x:c>
      <x:c r="E17" s="12" t="str">
        <x:v>mass, chemistry and destination</x:v>
      </x:c>
      <x:c r="F17" s="12" t="str">
        <x:v>no candidate recovery credit</x:v>
      </x:c>
      <x:c r="G17" t="str"/>
      <x:c r="H17" t="str">
        <x:v>OPEN</x:v>
      </x:c>
    </x:row>
    <x:row r="18" ht="48" customHeight="1">
      <x:c r="B18" t="str">
        <x:v>PI-12</x:v>
      </x:c>
      <x:c r="C18" t="str">
        <x:v>evidence-preservation safe state</x:v>
      </x:c>
      <x:c r="D18" s="12" t="str">
        <x:v>candidate or facility state threatens record</x:v>
      </x:c>
      <x:c r="E18" s="12" t="str">
        <x:v>channels, originals and time</x:v>
      </x:c>
      <x:c r="F18" s="12" t="str">
        <x:v>validity depends on preserved causal functions</x:v>
      </x:c>
      <x:c r="G18" t="str"/>
      <x:c r="H18" t="str">
        <x:v>OPEN</x:v>
      </x:c>
    </x:row>
  </x:sheetData>
  <x:conditionalFormatting sqref="H7:H18">
    <x:cfRule type="containsText" dxfId="35" priority="1" operator="containsText" text="FAIL"/>
    <x:cfRule type="containsText" dxfId="36" priority="2" operator="containsText" text="INVALID"/>
    <x:cfRule type="containsText" dxfId="37" priority="3" operator="containsText" text="BLOCKED"/>
    <x:cfRule type="containsText" dxfId="38" priority="4" operator="containsText" text="OPEN"/>
    <x:cfRule type="containsText" dxfId="39" priority="5" operator="containsText" text="GAP"/>
    <x:cfRule type="containsText" dxfId="40" priority="6" operator="containsText" text="PASS"/>
    <x:cfRule type="containsText" dxfId="41" priority="7" operator="containsText" text="VALI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9" hidden="0" customWidth="1"/>
    <x:col min="4" max="4" width="56" hidden="0" customWidth="1"/>
    <x:col min="5" max="5" width="49" hidden="0" customWidth="1"/>
  </x:cols>
  <x:sheetData>
    <x:row r="2">
      <x:c r="B2" s="1" t="str">
        <x:v>Ten-action public safe-state sequence</x:v>
      </x:c>
    </x:row>
    <x:row r="3">
      <x:c r="B3" s="2" t="str">
        <x:v>Safe state preserves people, site, inventories and evidence without awarding candidate credit.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Action</x:v>
      </x:c>
      <x:c r="C6" s="7" t="str">
        <x:v>Function</x:v>
      </x:c>
      <x:c r="D6" s="7" t="str">
        <x:v>Independent means</x:v>
      </x:c>
      <x:c r="E6" s="7" t="str">
        <x:v>Terminal evidence</x:v>
      </x:c>
    </x:row>
    <x:row r="7" ht="43" customHeight="1">
      <x:c r="B7" t="str">
        <x:v>SS-01</x:v>
      </x:c>
      <x:c r="C7" t="str">
        <x:v>stop new source</x:v>
      </x:c>
      <x:c r="D7" s="12" t="str">
        <x:v>two independent public barriers or passive closure</x:v>
      </x:c>
      <x:c r="E7" s="12" t="str">
        <x:v>source flow terminal</x:v>
      </x:c>
    </x:row>
    <x:row r="8" ht="43" customHeight="1">
      <x:c r="B8" t="str">
        <x:v>SS-02</x:v>
      </x:c>
      <x:c r="C8" t="str">
        <x:v>isolate candidate source path</x:v>
      </x:c>
      <x:c r="D8" s="12" t="str">
        <x:v>separate final element</x:v>
      </x:c>
      <x:c r="E8" s="12" t="str">
        <x:v>no new candidate-path inventory</x:v>
      </x:c>
    </x:row>
    <x:row r="9" ht="43" customHeight="1">
      <x:c r="B9" t="str">
        <x:v>SS-03</x:v>
      </x:c>
      <x:c r="C9" t="str">
        <x:v>divert uncontrolled source</x:v>
      </x:c>
      <x:c r="D9" s="12" t="str">
        <x:v>one-way casualty tank</x:v>
      </x:c>
      <x:c r="E9" s="12" t="str">
        <x:v>mass remains independently measured</x:v>
      </x:c>
    </x:row>
    <x:row r="10" ht="43" customHeight="1">
      <x:c r="B10" t="str">
        <x:v>SS-04</x:v>
      </x:c>
      <x:c r="C10" t="str">
        <x:v>bound candidate and casualty water</x:v>
      </x:c>
      <x:c r="D10" s="12" t="str">
        <x:v>separate valves and vaults</x:v>
      </x:c>
      <x:c r="E10" s="12" t="str">
        <x:v>water ancestry preserved</x:v>
      </x:c>
    </x:row>
    <x:row r="11" ht="43" customHeight="1">
      <x:c r="B11" t="str">
        <x:v>SS-05</x:v>
      </x:c>
      <x:c r="C11" t="str">
        <x:v>remove ignition and nonessential heat</x:v>
      </x:c>
      <x:c r="D11" s="12" t="str">
        <x:v>independent thermal action</x:v>
      </x:c>
      <x:c r="E11" s="12" t="str">
        <x:v>no new public ignition energy</x:v>
      </x:c>
    </x:row>
    <x:row r="12" ht="43" customHeight="1">
      <x:c r="B12" t="str">
        <x:v>SS-06</x:v>
      </x:c>
      <x:c r="C12" t="str">
        <x:v>maintain essential cooling if beneficial</x:v>
      </x:c>
      <x:c r="D12" s="12" t="str">
        <x:v>public safety judgment</x:v>
      </x:c>
      <x:c r="E12" s="12" t="str">
        <x:v>net heat and water still recorded</x:v>
      </x:c>
    </x:row>
    <x:row r="13" ht="43" customHeight="1">
      <x:c r="B13" t="str">
        <x:v>SS-07</x:v>
      </x:c>
      <x:c r="C13" t="str">
        <x:v>maintain remote evidence</x:v>
      </x:c>
      <x:c r="D13" s="12" t="str">
        <x:v>two originals and local time</x:v>
      </x:c>
      <x:c r="E13" s="12" t="str">
        <x:v>decisive state remains observable</x:v>
      </x:c>
    </x:row>
    <x:row r="14" ht="43" customHeight="1">
      <x:c r="B14" t="str">
        <x:v>SS-08</x:v>
      </x:c>
      <x:c r="C14" t="str">
        <x:v>maintain exclusion, rescue and clinical posture</x:v>
      </x:c>
      <x:c r="D14" s="12" t="str">
        <x:v>life-safety command</x:v>
      </x:c>
      <x:c r="E14" s="12" t="str">
        <x:v>casualty extraction remains possible</x:v>
      </x:c>
    </x:row>
    <x:row r="15" ht="43" customHeight="1">
      <x:c r="B15" t="str">
        <x:v>SS-09</x:v>
      </x:c>
      <x:c r="C15" t="str">
        <x:v>freeze configuration and custody</x:v>
      </x:c>
      <x:c r="D15" s="12" t="str">
        <x:v>evidence authority</x:v>
      </x:c>
      <x:c r="E15" s="12" t="str">
        <x:v>no unrecorded cleaning or repair</x:v>
      </x:c>
    </x:row>
    <x:row r="16" ht="43" customHeight="1">
      <x:c r="B16" t="str">
        <x:v>SS-10</x:v>
      </x:c>
      <x:c r="C16" t="str">
        <x:v>enter recovery by measured state</x:v>
      </x:c>
      <x:c r="D16" s="12" t="str">
        <x:v>recovery authority</x:v>
      </x:c>
      <x:c r="E16" s="12" t="str">
        <x:v>time alone grants no entry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4" hidden="0" customWidth="1"/>
    <x:col min="4" max="4" width="14" hidden="0" customWidth="1"/>
    <x:col min="5" max="5" width="18" hidden="0" customWidth="1"/>
    <x:col min="6" max="6" width="22" hidden="0" customWidth="1"/>
    <x:col min="7" max="7" width="25" hidden="0" customWidth="1"/>
    <x:col min="8" max="8" width="23" hidden="0" customWidth="1"/>
    <x:col min="9" max="9" width="14" hidden="0" customWidth="1"/>
  </x:cols>
  <x:sheetData>
    <x:row r="2">
      <x:c r="B2" s="1" t="str">
        <x:v>Twenty-four public measurement functions</x:v>
      </x:c>
    </x:row>
    <x:row r="3">
      <x:c r="B3" s="2" t="str">
        <x:v>Method-specific decisive functions outrank the ninety-percent aggregate availability floor.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Function</x:v>
      </x:c>
      <x:c r="C6" s="7" t="str">
        <x:v>Measure</x:v>
      </x:c>
      <x:c r="D6" s="7" t="str">
        <x:v>Channels</x:v>
      </x:c>
      <x:c r="E6" s="7" t="str">
        <x:v>Primary unit</x:v>
      </x:c>
      <x:c r="F6" s="7" t="str">
        <x:v>Planning uncertainty</x:v>
      </x:c>
      <x:c r="G6" s="7" t="str">
        <x:v>Minimum usable fraction</x:v>
      </x:c>
      <x:c r="H6" s="7" t="str">
        <x:v>Calibration accepted</x:v>
      </x:c>
      <x:c r="I6" s="7" t="str">
        <x:v>State</x:v>
      </x:c>
    </x:row>
    <x:row r="7">
      <x:c r="B7" t="str">
        <x:v>MF-01</x:v>
      </x:c>
      <x:c r="C7" t="str">
        <x:v>source initial mass</x:v>
      </x:c>
      <x:c r="D7" s="14" t="n">
        <x:v>18</x:v>
      </x:c>
      <x:c r="E7" s="14" t="str">
        <x:v>kg</x:v>
      </x:c>
      <x:c r="F7" s="14" t="n">
        <x:v>0.8</x:v>
      </x:c>
      <x:c r="G7" s="14" t="n">
        <x:v>0.9</x:v>
      </x:c>
      <x:c r="H7" t="str"/>
      <x:c r="I7" t="str">
        <x:v>OPEN</x:v>
      </x:c>
    </x:row>
    <x:row r="8">
      <x:c r="B8" t="str">
        <x:v>MF-02</x:v>
      </x:c>
      <x:c r="C8" t="str">
        <x:v>source flow and residual</x:v>
      </x:c>
      <x:c r="D8" s="14" t="n">
        <x:v>30</x:v>
      </x:c>
      <x:c r="E8" s="14" t="str">
        <x:v>kg/s</x:v>
      </x:c>
      <x:c r="F8" s="14" t="n">
        <x:v>0.9</x:v>
      </x:c>
      <x:c r="G8" s="14" t="n">
        <x:v>0.9</x:v>
      </x:c>
      <x:c r="H8" t="str"/>
      <x:c r="I8" t="str">
        <x:v>OPEN</x:v>
      </x:c>
    </x:row>
    <x:row r="9">
      <x:c r="B9" t="str">
        <x:v>MF-03</x:v>
      </x:c>
      <x:c r="C9" t="str">
        <x:v>surface depth and extent</x:v>
      </x:c>
      <x:c r="D9" s="14" t="n">
        <x:v>42</x:v>
      </x:c>
      <x:c r="E9" s="14" t="str">
        <x:v>mm/m2</x:v>
      </x:c>
      <x:c r="F9" s="14" t="n">
        <x:v>1</x:v>
      </x:c>
      <x:c r="G9" s="14" t="n">
        <x:v>0.9</x:v>
      </x:c>
      <x:c r="H9" t="str"/>
      <x:c r="I9" t="str">
        <x:v>OPEN</x:v>
      </x:c>
    </x:row>
    <x:row r="10">
      <x:c r="B10" t="str">
        <x:v>MF-04</x:v>
      </x:c>
      <x:c r="C10" t="str">
        <x:v>terrain datum and motion</x:v>
      </x:c>
      <x:c r="D10" s="14" t="n">
        <x:v>36</x:v>
      </x:c>
      <x:c r="E10" s="14" t="str">
        <x:v>mm</x:v>
      </x:c>
      <x:c r="F10" s="14" t="n">
        <x:v>0.5</x:v>
      </x:c>
      <x:c r="G10" s="14" t="n">
        <x:v>0.9</x:v>
      </x:c>
      <x:c r="H10" t="str"/>
      <x:c r="I10" t="str">
        <x:v>OPEN</x:v>
      </x:c>
    </x:row>
    <x:row r="11">
      <x:c r="B11" t="str">
        <x:v>MF-05</x:v>
      </x:c>
      <x:c r="C11" t="str">
        <x:v>drain flow and inventory</x:v>
      </x:c>
      <x:c r="D11" s="14" t="n">
        <x:v>36</x:v>
      </x:c>
      <x:c r="E11" s="14" t="str">
        <x:v>kg/s</x:v>
      </x:c>
      <x:c r="F11" s="14" t="n">
        <x:v>1</x:v>
      </x:c>
      <x:c r="G11" s="14" t="n">
        <x:v>0.9</x:v>
      </x:c>
      <x:c r="H11" t="str"/>
      <x:c r="I11" t="str">
        <x:v>OPEN</x:v>
      </x:c>
    </x:row>
    <x:row r="12">
      <x:c r="B12" t="str">
        <x:v>MF-06</x:v>
      </x:c>
      <x:c r="C12" t="str">
        <x:v>candidate receiver inventory</x:v>
      </x:c>
      <x:c r="D12" s="14" t="n">
        <x:v>24</x:v>
      </x:c>
      <x:c r="E12" s="14" t="str">
        <x:v>kg</x:v>
      </x:c>
      <x:c r="F12" s="14" t="n">
        <x:v>1</x:v>
      </x:c>
      <x:c r="G12" s="14" t="n">
        <x:v>0.9</x:v>
      </x:c>
      <x:c r="H12" t="str"/>
      <x:c r="I12" t="str">
        <x:v>OPEN</x:v>
      </x:c>
    </x:row>
    <x:row r="13">
      <x:c r="B13" t="str">
        <x:v>MF-07</x:v>
      </x:c>
      <x:c r="C13" t="str">
        <x:v>water supply and return</x:v>
      </x:c>
      <x:c r="D13" s="14" t="n">
        <x:v>24</x:v>
      </x:c>
      <x:c r="E13" s="14" t="str">
        <x:v>m3</x:v>
      </x:c>
      <x:c r="F13" s="14" t="n">
        <x:v>0.2</x:v>
      </x:c>
      <x:c r="G13" s="14" t="n">
        <x:v>0.9</x:v>
      </x:c>
      <x:c r="H13" t="str"/>
      <x:c r="I13" t="str">
        <x:v>OPEN</x:v>
      </x:c>
    </x:row>
    <x:row r="14">
      <x:c r="B14" t="str">
        <x:v>MF-08</x:v>
      </x:c>
      <x:c r="C14" t="str">
        <x:v>casualty routes</x:v>
      </x:c>
      <x:c r="D14" s="14" t="n">
        <x:v>18</x:v>
      </x:c>
      <x:c r="E14" s="14" t="str">
        <x:v>kg/m3</x:v>
      </x:c>
      <x:c r="F14" s="14" t="n">
        <x:v>1.2</x:v>
      </x:c>
      <x:c r="G14" s="14" t="n">
        <x:v>0.9</x:v>
      </x:c>
      <x:c r="H14" t="str"/>
      <x:c r="I14" t="str">
        <x:v>OPEN</x:v>
      </x:c>
    </x:row>
    <x:row r="15">
      <x:c r="B15" t="str">
        <x:v>MF-09</x:v>
      </x:c>
      <x:c r="C15" t="str">
        <x:v>temperature</x:v>
      </x:c>
      <x:c r="D15" s="14" t="n">
        <x:v>48</x:v>
      </x:c>
      <x:c r="E15" s="14" t="str">
        <x:v>K</x:v>
      </x:c>
      <x:c r="F15" s="14" t="n">
        <x:v>0.5</x:v>
      </x:c>
      <x:c r="G15" s="14" t="n">
        <x:v>0.9</x:v>
      </x:c>
      <x:c r="H15" t="str"/>
      <x:c r="I15" t="str">
        <x:v>OPEN</x:v>
      </x:c>
    </x:row>
    <x:row r="16">
      <x:c r="B16" t="str">
        <x:v>MF-10</x:v>
      </x:c>
      <x:c r="C16" t="str">
        <x:v>heat flux and radiation</x:v>
      </x:c>
      <x:c r="D16" s="14" t="n">
        <x:v>30</x:v>
      </x:c>
      <x:c r="E16" s="14" t="str">
        <x:v>kW/m2</x:v>
      </x:c>
      <x:c r="F16" s="14" t="n">
        <x:v>0.08</x:v>
      </x:c>
      <x:c r="G16" s="14" t="n">
        <x:v>0.9</x:v>
      </x:c>
      <x:c r="H16" t="str"/>
      <x:c r="I16" t="str">
        <x:v>OPEN</x:v>
      </x:c>
    </x:row>
    <x:row r="17">
      <x:c r="B17" t="str">
        <x:v>MF-11</x:v>
      </x:c>
      <x:c r="C17" t="str">
        <x:v>flame and combustion gas</x:v>
      </x:c>
      <x:c r="D17" s="14" t="n">
        <x:v>24</x:v>
      </x:c>
      <x:c r="E17" s="14" t="str">
        <x:v>mixed</x:v>
      </x:c>
      <x:c r="F17" s="14" t="n">
        <x:v>1</x:v>
      </x:c>
      <x:c r="G17" s="14" t="n">
        <x:v>0.9</x:v>
      </x:c>
      <x:c r="H17" t="str"/>
      <x:c r="I17" t="str">
        <x:v>OPEN</x:v>
      </x:c>
    </x:row>
    <x:row r="18">
      <x:c r="B18" t="str">
        <x:v>MF-12</x:v>
      </x:c>
      <x:c r="C18" t="str">
        <x:v>structural load and strain</x:v>
      </x:c>
      <x:c r="D18" s="14" t="n">
        <x:v>30</x:v>
      </x:c>
      <x:c r="E18" s="14" t="str">
        <x:v>mixed</x:v>
      </x:c>
      <x:c r="F18" s="14" t="n">
        <x:v>1</x:v>
      </x:c>
      <x:c r="G18" s="14" t="n">
        <x:v>0.9</x:v>
      </x:c>
      <x:c r="H18" t="str"/>
      <x:c r="I18" t="str">
        <x:v>OPEN</x:v>
      </x:c>
    </x:row>
    <x:row r="19">
      <x:c r="B19" t="str">
        <x:v>MF-13</x:v>
      </x:c>
      <x:c r="C19" t="str">
        <x:v>water/source chemistry</x:v>
      </x:c>
      <x:c r="D19" s="14" t="n">
        <x:v>18</x:v>
      </x:c>
      <x:c r="E19" s="14" t="str">
        <x:v>mixed</x:v>
      </x:c>
      <x:c r="F19" s="14" t="n">
        <x:v>1</x:v>
      </x:c>
      <x:c r="G19" s="14" t="n">
        <x:v>0.9</x:v>
      </x:c>
      <x:c r="H19" t="str"/>
      <x:c r="I19" t="str">
        <x:v>OPEN</x:v>
      </x:c>
    </x:row>
    <x:row r="20">
      <x:c r="B20" t="str">
        <x:v>MF-14</x:v>
      </x:c>
      <x:c r="C20" t="str">
        <x:v>robot state</x:v>
      </x:c>
      <x:c r="D20" s="14" t="n">
        <x:v>24</x:v>
      </x:c>
      <x:c r="E20" s="14" t="str">
        <x:v>m/s</x:v>
      </x:c>
      <x:c r="F20" s="14" t="n">
        <x:v>0.05</x:v>
      </x:c>
      <x:c r="G20" s="14" t="n">
        <x:v>0.9</x:v>
      </x:c>
      <x:c r="H20" t="str"/>
      <x:c r="I20" t="str">
        <x:v>OPEN</x:v>
      </x:c>
    </x:row>
    <x:row r="21">
      <x:c r="B21" t="str">
        <x:v>MF-15</x:v>
      </x:c>
      <x:c r="C21" t="str">
        <x:v>safety power and action</x:v>
      </x:c>
      <x:c r="D21" s="14" t="n">
        <x:v>18</x:v>
      </x:c>
      <x:c r="E21" s="14" t="str">
        <x:v>mixed</x:v>
      </x:c>
      <x:c r="F21" s="14" t="n">
        <x:v>1</x:v>
      </x:c>
      <x:c r="G21" s="14" t="n">
        <x:v>0.9</x:v>
      </x:c>
      <x:c r="H21" t="str"/>
      <x:c r="I21" t="str">
        <x:v>OPEN</x:v>
      </x:c>
    </x:row>
    <x:row r="22">
      <x:c r="B22" t="str">
        <x:v>MF-16</x:v>
      </x:c>
      <x:c r="C22" t="str">
        <x:v>weather and plume</x:v>
      </x:c>
      <x:c r="D22" s="14" t="n">
        <x:v>12</x:v>
      </x:c>
      <x:c r="E22" s="14" t="str">
        <x:v>mixed</x:v>
      </x:c>
      <x:c r="F22" s="14" t="n">
        <x:v>1</x:v>
      </x:c>
      <x:c r="G22" s="14" t="n">
        <x:v>0.9</x:v>
      </x:c>
      <x:c r="H22" t="str"/>
      <x:c r="I22" t="str">
        <x:v>OPEN</x:v>
      </x:c>
    </x:row>
    <x:row r="23">
      <x:c r="B23" t="str">
        <x:v>MF-17</x:v>
      </x:c>
      <x:c r="C23" t="str">
        <x:v>high-speed imagery</x:v>
      </x:c>
      <x:c r="D23" s="14" t="n">
        <x:v>18</x:v>
      </x:c>
      <x:c r="E23" s="14" t="str">
        <x:v>frames</x:v>
      </x:c>
      <x:c r="F23" s="14" t="n">
        <x:v>1</x:v>
      </x:c>
      <x:c r="G23" s="14" t="n">
        <x:v>0.9</x:v>
      </x:c>
      <x:c r="H23" t="str"/>
      <x:c r="I23" t="str">
        <x:v>OPEN</x:v>
      </x:c>
    </x:row>
    <x:row r="24">
      <x:c r="B24" t="str">
        <x:v>MF-18</x:v>
      </x:c>
      <x:c r="C24" t="str">
        <x:v>thermal imagery</x:v>
      </x:c>
      <x:c r="D24" s="14" t="n">
        <x:v>12</x:v>
      </x:c>
      <x:c r="E24" s="14" t="str">
        <x:v>K</x:v>
      </x:c>
      <x:c r="F24" s="14" t="n">
        <x:v>1</x:v>
      </x:c>
      <x:c r="G24" s="14" t="n">
        <x:v>0.9</x:v>
      </x:c>
      <x:c r="H24" t="str"/>
      <x:c r="I24" t="str">
        <x:v>OPEN</x:v>
      </x:c>
    </x:row>
    <x:row r="25">
      <x:c r="B25" t="str">
        <x:v>MF-19</x:v>
      </x:c>
      <x:c r="C25" t="str">
        <x:v>event time and trigger</x:v>
      </x:c>
      <x:c r="D25" s="14" t="n">
        <x:v>12</x:v>
      </x:c>
      <x:c r="E25" s="14" t="str">
        <x:v>microseconds</x:v>
      </x:c>
      <x:c r="F25" s="14" t="n">
        <x:v>5</x:v>
      </x:c>
      <x:c r="G25" s="14" t="n">
        <x:v>0.9</x:v>
      </x:c>
      <x:c r="H25" t="str"/>
      <x:c r="I25" t="str">
        <x:v>OPEN</x:v>
      </x:c>
    </x:row>
    <x:row r="26">
      <x:c r="B26" t="str">
        <x:v>MF-20</x:v>
      </x:c>
      <x:c r="C26" t="str">
        <x:v>custody and configuration</x:v>
      </x:c>
      <x:c r="D26" s="14" t="n">
        <x:v>6</x:v>
      </x:c>
      <x:c r="E26" s="14" t="str">
        <x:v>identity</x:v>
      </x:c>
      <x:c r="F26" s="14" t="n">
        <x:v>0</x:v>
      </x:c>
      <x:c r="G26" s="14" t="n">
        <x:v>0.9</x:v>
      </x:c>
      <x:c r="H26" t="str"/>
      <x:c r="I26" t="str">
        <x:v>OPEN</x:v>
      </x:c>
    </x:row>
    <x:row r="27">
      <x:c r="B27" t="str">
        <x:v>FW-01</x:v>
      </x:c>
      <x:c r="C27" t="str">
        <x:v>facility utilities</x:v>
      </x:c>
      <x:c r="D27" s="14" t="n">
        <x:v>24</x:v>
      </x:c>
      <x:c r="E27" s="14" t="str">
        <x:v>mixed</x:v>
      </x:c>
      <x:c r="F27" s="14" t="n">
        <x:v>1</x:v>
      </x:c>
      <x:c r="G27" s="14" t="n">
        <x:v>0.9</x:v>
      </x:c>
      <x:c r="H27" t="str"/>
      <x:c r="I27" t="str">
        <x:v>OPEN</x:v>
      </x:c>
    </x:row>
    <x:row r="28">
      <x:c r="B28" t="str">
        <x:v>FW-02</x:v>
      </x:c>
      <x:c r="C28" t="str">
        <x:v>environmental witness</x:v>
      </x:c>
      <x:c r="D28" s="14" t="n">
        <x:v>24</x:v>
      </x:c>
      <x:c r="E28" s="14" t="str">
        <x:v>mixed</x:v>
      </x:c>
      <x:c r="F28" s="14" t="n">
        <x:v>1</x:v>
      </x:c>
      <x:c r="G28" s="14" t="n">
        <x:v>0.9</x:v>
      </x:c>
      <x:c r="H28" t="str"/>
      <x:c r="I28" t="str">
        <x:v>OPEN</x:v>
      </x:c>
    </x:row>
    <x:row r="29">
      <x:c r="B29" t="str">
        <x:v>FW-03</x:v>
      </x:c>
      <x:c r="C29" t="str">
        <x:v>casualty-system state</x:v>
      </x:c>
      <x:c r="D29" s="14" t="n">
        <x:v>24</x:v>
      </x:c>
      <x:c r="E29" s="14" t="str">
        <x:v>mixed</x:v>
      </x:c>
      <x:c r="F29" s="14" t="n">
        <x:v>1</x:v>
      </x:c>
      <x:c r="G29" s="14" t="n">
        <x:v>0.9</x:v>
      </x:c>
      <x:c r="H29" t="str"/>
      <x:c r="I29" t="str">
        <x:v>OPEN</x:v>
      </x:c>
    </x:row>
    <x:row r="30">
      <x:c r="B30" t="str">
        <x:v>FW-04</x:v>
      </x:c>
      <x:c r="C30" t="str">
        <x:v>independent field video</x:v>
      </x:c>
      <x:c r="D30" s="14" t="n">
        <x:v>24</x:v>
      </x:c>
      <x:c r="E30" s="14" t="str">
        <x:v>frames</x:v>
      </x:c>
      <x:c r="F30" s="14" t="n">
        <x:v>1</x:v>
      </x:c>
      <x:c r="G30" s="14" t="n">
        <x:v>0.9</x:v>
      </x:c>
      <x:c r="H30" t="str"/>
      <x:c r="I30" t="str">
        <x:v>OPEN</x:v>
      </x:c>
    </x:row>
  </x:sheetData>
  <x:conditionalFormatting sqref="I7:I30">
    <x:cfRule type="containsText" dxfId="42" priority="1" operator="containsText" text="FAIL"/>
    <x:cfRule type="containsText" dxfId="43" priority="2" operator="containsText" text="INVALID"/>
    <x:cfRule type="containsText" dxfId="44" priority="3" operator="containsText" text="BLOCKED"/>
    <x:cfRule type="containsText" dxfId="45" priority="4" operator="containsText" text="OPEN"/>
    <x:cfRule type="containsText" dxfId="46" priority="5" operator="containsText" text="GAP"/>
    <x:cfRule type="containsText" dxfId="47" priority="6" operator="containsText" text="PASS"/>
    <x:cfRule type="containsText" dxfId="48" priority="7" operator="containsText" text="VALI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9" hidden="0" customWidth="1"/>
    <x:col min="4" max="4" width="74" hidden="0" customWidth="1"/>
    <x:col min="5" max="5" width="31" hidden="0" customWidth="1"/>
  </x:cols>
  <x:sheetData>
    <x:row r="2">
      <x:c r="B2" s="1" t="str">
        <x:v>Twelve conjunctive validity rules</x:v>
      </x:c>
    </x:row>
    <x:row r="3">
      <x:c r="B3" s="2" t="str">
        <x:v>A candidate may fail in a valid event. A facility-caused result cannot be assigned to the candidate.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Rule</x:v>
      </x:c>
      <x:c r="C6" s="7" t="str">
        <x:v>Domain</x:v>
      </x:c>
      <x:c r="D6" s="7" t="str">
        <x:v>Acceptance statement</x:v>
      </x:c>
      <x:c r="E6" s="7" t="str">
        <x:v>Failure disposition</x:v>
      </x:c>
    </x:row>
    <x:row r="7" ht="42" customHeight="1">
      <x:c r="B7" t="str">
        <x:v>VT-01</x:v>
      </x:c>
      <x:c r="C7" t="str">
        <x:v>configuration identity</x:v>
      </x:c>
      <x:c r="D7" s="12" t="str">
        <x:v>all public and candidate serial/software states reconstruct</x:v>
      </x:c>
      <x:c r="E7" s="12" t="str">
        <x:v>invalid</x:v>
      </x:c>
    </x:row>
    <x:row r="8" ht="42" customHeight="1">
      <x:c r="B8" t="str">
        <x:v>VT-02</x:v>
      </x:c>
      <x:c r="C8" t="str">
        <x:v>source identity</x:v>
      </x:c>
      <x:c r="D8" s="12" t="str">
        <x:v>mass, chemistry, temperature and custody accepted</x:v>
      </x:c>
      <x:c r="E8" s="12" t="str">
        <x:v>invalid</x:v>
      </x:c>
    </x:row>
    <x:row r="9" ht="42" customHeight="1">
      <x:c r="B9" t="str">
        <x:v>VT-03</x:v>
      </x:c>
      <x:c r="C9" t="str">
        <x:v>initial state</x:v>
      </x:c>
      <x:c r="D9" s="12" t="str">
        <x:v>terrain, drain, vault, water, heat and weather inside card</x:v>
      </x:c>
      <x:c r="E9" s="12" t="str">
        <x:v>invalid</x:v>
      </x:c>
    </x:row>
    <x:row r="10" ht="42" customHeight="1">
      <x:c r="B10" t="str">
        <x:v>VT-04</x:v>
      </x:c>
      <x:c r="C10" t="str">
        <x:v>challenge realization</x:v>
      </x:c>
      <x:c r="D10" s="12" t="str">
        <x:v>registered challenge and blindness established</x:v>
      </x:c>
      <x:c r="E10" s="12" t="str">
        <x:v>invalid</x:v>
      </x:c>
    </x:row>
    <x:row r="11" ht="42" customHeight="1">
      <x:c r="B11" t="str">
        <x:v>VT-05</x:v>
      </x:c>
      <x:c r="C11" t="str">
        <x:v>decisive measurement</x:v>
      </x:c>
      <x:c r="D11" s="12" t="str">
        <x:v>every method-decisive function usable</x:v>
      </x:c>
      <x:c r="E11" s="12" t="str">
        <x:v>invalid</x:v>
      </x:c>
    </x:row>
    <x:row r="12" ht="42" customHeight="1">
      <x:c r="B12" t="str">
        <x:v>VT-06</x:v>
      </x:c>
      <x:c r="C12" t="str">
        <x:v>time integrity</x:v>
      </x:c>
      <x:c r="D12" s="12" t="str">
        <x:v>source, ignition, water and intervention clocks within limit</x:v>
      </x:c>
      <x:c r="E12" s="12" t="str">
        <x:v>invalid</x:v>
      </x:c>
    </x:row>
    <x:row r="13" ht="42" customHeight="1">
      <x:c r="B13" t="str">
        <x:v>VT-07</x:v>
      </x:c>
      <x:c r="C13" t="str">
        <x:v>public-boundary integrity</x:v>
      </x:c>
      <x:c r="D13" s="12" t="str">
        <x:v>rig did not create candidate consequence</x:v>
      </x:c>
      <x:c r="E13" s="12" t="str">
        <x:v>invalid if public-caused</x:v>
      </x:c>
    </x:row>
    <x:row r="14" ht="42" customHeight="1">
      <x:c r="B14" t="str">
        <x:v>VT-08</x:v>
      </x:c>
      <x:c r="C14" t="str">
        <x:v>mass and water closure</x:v>
      </x:c>
      <x:c r="D14" s="12" t="str">
        <x:v>source, water, agent, air and solid ledgers accepted</x:v>
      </x:c>
      <x:c r="E14" s="12" t="str">
        <x:v>invalid until resolved</x:v>
      </x:c>
    </x:row>
    <x:row r="15" ht="42" customHeight="1">
      <x:c r="B15" t="str">
        <x:v>VT-09</x:v>
      </x:c>
      <x:c r="C15" t="str">
        <x:v>intervention identity</x:v>
      </x:c>
      <x:c r="D15" s="12" t="str">
        <x:v>every public action has trigger, time and inventory</x:v>
      </x:c>
      <x:c r="E15" s="12" t="str">
        <x:v>invalid until resolved</x:v>
      </x:c>
    </x:row>
    <x:row r="16" ht="42" customHeight="1">
      <x:c r="B16" t="str">
        <x:v>VT-10</x:v>
      </x:c>
      <x:c r="C16" t="str">
        <x:v>custody continuity</x:v>
      </x:c>
      <x:c r="D16" s="12" t="str">
        <x:v>two originals and samples remain reconstructable</x:v>
      </x:c>
      <x:c r="E16" s="12" t="str">
        <x:v>invalid</x:v>
      </x:c>
    </x:row>
    <x:row r="17" ht="42" customHeight="1">
      <x:c r="B17" t="str">
        <x:v>VT-11</x:v>
      </x:c>
      <x:c r="C17" t="str">
        <x:v>rescue integrity</x:v>
      </x:c>
      <x:c r="D17" s="12" t="str">
        <x:v>life safety preserved without unrecorded state change</x:v>
      </x:c>
      <x:c r="E17" s="12" t="str">
        <x:v>invalid until resolved</x:v>
      </x:c>
    </x:row>
    <x:row r="18" ht="42" customHeight="1">
      <x:c r="B18" t="str">
        <x:v>VT-12</x:v>
      </x:c>
      <x:c r="C18" t="str">
        <x:v>independent adjudication</x:v>
      </x:c>
      <x:c r="D18" s="12" t="str">
        <x:v>validity signed before outcome</x:v>
      </x:c>
      <x:c r="E18" s="12" t="str">
        <x:v>unresolved remains blank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33" hidden="0" customWidth="1"/>
    <x:col min="4" max="4" width="20" hidden="0" customWidth="1"/>
    <x:col min="5" max="5" width="75" hidden="0" customWidth="1"/>
  </x:cols>
  <x:sheetData>
    <x:row r="2">
      <x:c r="B2" s="1" t="str">
        <x:v>Fourteen non-compensatory candidate outcomes</x:v>
      </x:c>
    </x:row>
    <x:row r="3">
      <x:c r="B3" s="2" t="str">
        <x:v>Outcome is assigned only after validity. Public intervention cannot be averaged into success.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Outcome</x:v>
      </x:c>
      <x:c r="C6" s="7" t="str">
        <x:v>Class</x:v>
      </x:c>
      <x:c r="D6" s="7" t="str">
        <x:v>Validity needed</x:v>
      </x:c>
      <x:c r="E6" s="7" t="str">
        <x:v>Rule</x:v>
      </x:c>
    </x:row>
    <x:row r="7" ht="42" customHeight="1">
      <x:c r="B7" t="str">
        <x:v>OC-01</x:v>
      </x:c>
      <x:c r="C7" t="str">
        <x:v>clean success</x:v>
      </x:c>
      <x:c r="D7" t="str">
        <x:v>valid</x:v>
      </x:c>
      <x:c r="E7" s="12" t="str">
        <x:v>all conjunctive limits; no public intervention</x:v>
      </x:c>
    </x:row>
    <x:row r="8" ht="42" customHeight="1">
      <x:c r="B8" t="str">
        <x:v>OC-02</x:v>
      </x:c>
      <x:c r="C8" t="str">
        <x:v>bounded degraded success</x:v>
      </x:c>
      <x:c r="D8" t="str">
        <x:v>valid</x:v>
      </x:c>
      <x:c r="E8" s="12" t="str">
        <x:v>declared degraded state inside every hard limit</x:v>
      </x:c>
    </x:row>
    <x:row r="9" ht="42" customHeight="1">
      <x:c r="B9" t="str">
        <x:v>OC-03</x:v>
      </x:c>
      <x:c r="C9" t="str">
        <x:v>safe refusal</x:v>
      </x:c>
      <x:c r="D9" t="str">
        <x:v>valid</x:v>
      </x:c>
      <x:c r="E9" s="12" t="str">
        <x:v>candidate declines action and enters declared safe state</x:v>
      </x:c>
    </x:row>
    <x:row r="10" ht="42" customHeight="1">
      <x:c r="B10" t="str">
        <x:v>OC-04</x:v>
      </x:c>
      <x:c r="C10" t="str">
        <x:v>terminal-time failure</x:v>
      </x:c>
      <x:c r="D10" t="str">
        <x:v>valid</x:v>
      </x:c>
      <x:c r="E10" s="12" t="str">
        <x:v>uncontrolled source exceeds 30 s or public isolation acts</x:v>
      </x:c>
    </x:row>
    <x:row r="11" ht="42" customHeight="1">
      <x:c r="B11" t="str">
        <x:v>OC-05</x:v>
      </x:c>
      <x:c r="C11" t="str">
        <x:v>source-capture failure</x:v>
      </x:c>
      <x:c r="D11" t="str">
        <x:v>valid</x:v>
      </x:c>
      <x:c r="E11" s="12" t="str">
        <x:v>source crosses candidate custody boundary</x:v>
      </x:c>
    </x:row>
    <x:row r="12" ht="42" customHeight="1">
      <x:c r="B12" t="str">
        <x:v>OC-06</x:v>
      </x:c>
      <x:c r="C12" t="str">
        <x:v>fire-growth failure</x:v>
      </x:c>
      <x:c r="D12" t="str">
        <x:v>valid</x:v>
      </x:c>
      <x:c r="E12" s="12" t="str">
        <x:v>pool, flame, heat or neighbor effect crosses hard limit</x:v>
      </x:c>
    </x:row>
    <x:row r="13" ht="42" customHeight="1">
      <x:c r="B13" t="str">
        <x:v>OC-07</x:v>
      </x:c>
      <x:c r="C13" t="str">
        <x:v>water-retention failure</x:v>
      </x:c>
      <x:c r="D13" t="str">
        <x:v>valid</x:v>
      </x:c>
      <x:c r="E13" s="12" t="str">
        <x:v>candidate vault or runoff boundary crossed</x:v>
      </x:c>
    </x:row>
    <x:row r="14" ht="42" customHeight="1">
      <x:c r="B14" t="str">
        <x:v>OC-08</x:v>
      </x:c>
      <x:c r="C14" t="str">
        <x:v>source–water mixing failure</x:v>
      </x:c>
      <x:c r="D14" t="str">
        <x:v>valid</x:v>
      </x:c>
      <x:c r="E14" s="12" t="str">
        <x:v>ancestry or accepted separation lost by candidate</x:v>
      </x:c>
    </x:row>
    <x:row r="15" ht="42" customHeight="1">
      <x:c r="B15" t="str">
        <x:v>OC-09</x:v>
      </x:c>
      <x:c r="C15" t="str">
        <x:v>environmental failure</x:v>
      </x:c>
      <x:c r="D15" t="str">
        <x:v>valid</x:v>
      </x:c>
      <x:c r="E15" s="12" t="str">
        <x:v>candidate inventory enters public secondary/tertiary custody</x:v>
      </x:c>
    </x:row>
    <x:row r="16" ht="42" customHeight="1">
      <x:c r="B16" t="str">
        <x:v>OC-10</x:v>
      </x:c>
      <x:c r="C16" t="str">
        <x:v>robot or recovery failure</x:v>
      </x:c>
      <x:c r="D16" t="str">
        <x:v>valid</x:v>
      </x:c>
      <x:c r="E16" s="12" t="str">
        <x:v>candidate remote action or terminal recovery fails</x:v>
      </x:c>
    </x:row>
    <x:row r="17" ht="42" customHeight="1">
      <x:c r="B17" t="str">
        <x:v>OC-11</x:v>
      </x:c>
      <x:c r="C17" t="str">
        <x:v>public casualty intervention</x:v>
      </x:c>
      <x:c r="D17" t="str">
        <x:v>valid</x:v>
      </x:c>
      <x:c r="E17" s="12" t="str">
        <x:v>public source, water, quench, rescue or shelter action required</x:v>
      </x:c>
    </x:row>
    <x:row r="18" ht="42" customHeight="1">
      <x:c r="B18" t="str">
        <x:v>OC-12</x:v>
      </x:c>
      <x:c r="C18" t="str">
        <x:v>reset-time failure</x:v>
      </x:c>
      <x:c r="D18" t="str">
        <x:v>valid</x:v>
      </x:c>
      <x:c r="E18" s="12" t="str">
        <x:v>serialized root misses its reset ceiling</x:v>
      </x:c>
    </x:row>
    <x:row r="19" ht="42" customHeight="1">
      <x:c r="B19" t="str">
        <x:v>OC-13</x:v>
      </x:c>
      <x:c r="C19" t="str">
        <x:v>unsafe excursion</x:v>
      </x:c>
      <x:c r="D19" t="str">
        <x:v>valid</x:v>
      </x:c>
      <x:c r="E19" s="12" t="str">
        <x:v>candidate creates unbounded or prohibited state</x:v>
      </x:c>
    </x:row>
    <x:row r="20" ht="42" customHeight="1">
      <x:c r="B20" t="str">
        <x:v>OC-14</x:v>
      </x:c>
      <x:c r="C20" t="str">
        <x:v>no candidate outcome</x:v>
      </x:c>
      <x:c r="D20" t="str">
        <x:v>invalid</x:v>
      </x:c>
      <x:c r="E20" s="12" t="str">
        <x:v>facility, challenge, source or evidence cause prevents attribution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9" hidden="0" customWidth="1"/>
    <x:col min="4" max="4" width="84" hidden="0" customWidth="1"/>
    <x:col min="5" max="5" width="18" hidden="0" customWidth="1"/>
  </x:cols>
  <x:sheetData>
    <x:row r="2">
      <x:c r="B2" s="1" t="str">
        <x:v>Ten pair-disposition rules</x:v>
      </x:c>
    </x:row>
    <x:row r="3">
      <x:c r="B3" s="2" t="str">
        <x:v>A reserve replaces an invalid member, never a valid adverse observation.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Rule</x:v>
      </x:c>
      <x:c r="C6" s="7" t="str">
        <x:v>Case</x:v>
      </x:c>
      <x:c r="D6" s="7" t="str">
        <x:v>Required treatment</x:v>
      </x:c>
      <x:c r="E6" s="7" t="str">
        <x:v>State</x:v>
      </x:c>
    </x:row>
    <x:row r="7" ht="42" customHeight="1">
      <x:c r="B7" t="str">
        <x:v>PD-01</x:v>
      </x:c>
      <x:c r="C7" t="str">
        <x:v>both valid</x:v>
      </x:c>
      <x:c r="D7" s="12" t="str">
        <x:v>both event validity records accepted</x:v>
      </x:c>
      <x:c r="E7" t="str">
        <x:v>continue</x:v>
      </x:c>
    </x:row>
    <x:row r="8" ht="42" customHeight="1">
      <x:c r="B8" t="str">
        <x:v>PD-02</x:v>
      </x:c>
      <x:c r="C8" t="str">
        <x:v>control invalid</x:v>
      </x:c>
      <x:c r="D8" s="12" t="str">
        <x:v>retain challenge; replace only control with reserve token</x:v>
      </x:c>
      <x:c r="E8" t="str">
        <x:v>hold pair</x:v>
      </x:c>
    </x:row>
    <x:row r="9" ht="42" customHeight="1">
      <x:c r="B9" t="str">
        <x:v>PD-03</x:v>
      </x:c>
      <x:c r="C9" t="str">
        <x:v>challenge invalid</x:v>
      </x:c>
      <x:c r="D9" s="12" t="str">
        <x:v>retain control; replace only challenge with reserve token</x:v>
      </x:c>
      <x:c r="E9" t="str">
        <x:v>hold pair</x:v>
      </x:c>
    </x:row>
    <x:row r="10" ht="42" customHeight="1">
      <x:c r="B10" t="str">
        <x:v>PD-04</x:v>
      </x:c>
      <x:c r="C10" t="str">
        <x:v>valid adverse control</x:v>
      </x:c>
      <x:c r="D10" s="12" t="str">
        <x:v>do not discard; adjudicate baseline failure</x:v>
      </x:c>
      <x:c r="E10" t="str">
        <x:v>hold contrast</x:v>
      </x:c>
    </x:row>
    <x:row r="11" ht="42" customHeight="1">
      <x:c r="B11" t="str">
        <x:v>PD-05</x:v>
      </x:c>
      <x:c r="C11" t="str">
        <x:v>valid public intervention</x:v>
      </x:c>
      <x:c r="D11" s="12" t="str">
        <x:v>retain as candidate outcome</x:v>
      </x:c>
      <x:c r="E11" t="str">
        <x:v>continue</x:v>
      </x:c>
    </x:row>
    <x:row r="12" ht="42" customHeight="1">
      <x:c r="B12" t="str">
        <x:v>PD-06</x:v>
      </x:c>
      <x:c r="C12" t="str">
        <x:v>run-order breach</x:v>
      </x:c>
      <x:c r="D12" s="12" t="str">
        <x:v>event invalid unless registered cause proves no causal effect</x:v>
      </x:c>
      <x:c r="E12" t="str">
        <x:v>hold pair</x:v>
      </x:c>
    </x:row>
    <x:row r="13" ht="42" customHeight="1">
      <x:c r="B13" t="str">
        <x:v>PD-07</x:v>
      </x:c>
      <x:c r="C13" t="str">
        <x:v>source-lot mismatch</x:v>
      </x:c>
      <x:c r="D13" s="12" t="str">
        <x:v>do not compute registered contrast</x:v>
      </x:c>
      <x:c r="E13" t="str">
        <x:v>hold pair</x:v>
      </x:c>
    </x:row>
    <x:row r="14" ht="42" customHeight="1">
      <x:c r="B14" t="str">
        <x:v>PD-08</x:v>
      </x:c>
      <x:c r="C14" t="str">
        <x:v>site disagreement</x:v>
      </x:c>
      <x:c r="D14" s="12" t="str">
        <x:v>retain both site effects</x:v>
      </x:c>
      <x:c r="E14" t="str">
        <x:v>continue to root with spread</x:v>
      </x:c>
    </x:row>
    <x:row r="15" ht="42" customHeight="1">
      <x:c r="B15" t="str">
        <x:v>PD-09</x:v>
      </x:c>
      <x:c r="C15" t="str">
        <x:v>builder disagreement</x:v>
      </x:c>
      <x:c r="D15" s="12" t="str">
        <x:v>retain both builder-root effects</x:v>
      </x:c>
      <x:c r="E15" t="str">
        <x:v>continue to candidate with spread</x:v>
      </x:c>
    </x:row>
    <x:row r="16" ht="42" customHeight="1">
      <x:c r="B16" t="str">
        <x:v>PD-10</x:v>
      </x:c>
      <x:c r="C16" t="str">
        <x:v>signed contrast</x:v>
      </x:c>
      <x:c r="D16" s="12" t="str">
        <x:v>challenge minus control with uncertainty and intervention flags</x:v>
      </x:c>
      <x:c r="E16" t="str">
        <x:v>release pair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7" hidden="0" customWidth="1"/>
    <x:col min="4" max="4" width="78" hidden="0" customWidth="1"/>
    <x:col min="5" max="5" width="15" hidden="0" customWidth="1"/>
    <x:col min="6" max="6" width="16" hidden="0" customWidth="1"/>
  </x:cols>
  <x:sheetData>
    <x:row r="2">
      <x:c r="B2" s="1" t="str">
        <x:v>Ten ordered recovery states</x:v>
      </x:c>
    </x:row>
    <x:row r="3">
      <x:c r="B3" s="2" t="str">
        <x:v>Elapsed time cannot substitute for a measured state transition.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State</x:v>
      </x:c>
      <x:c r="C6" s="7" t="str">
        <x:v>Name</x:v>
      </x:c>
      <x:c r="D6" s="7" t="str">
        <x:v>Exit evidence</x:v>
      </x:c>
      <x:c r="E6" s="7" t="str">
        <x:v>Accepted</x:v>
      </x:c>
      <x:c r="F6" s="7" t="str">
        <x:v>Gate state</x:v>
      </x:c>
    </x:row>
    <x:row r="7" ht="42" customHeight="1">
      <x:c r="B7" t="str">
        <x:v>RS-01</x:v>
      </x:c>
      <x:c r="C7" t="str">
        <x:v>new source terminated</x:v>
      </x:c>
      <x:c r="D7" s="12" t="str">
        <x:v>no new uncontrolled source and public dispenser state known</x:v>
      </x:c>
      <x:c r="E7" t="n">
        <x:v>0</x:v>
      </x:c>
      <x:c r="F7" t="str">
        <x:f>IF(E7=1,"PASS","OPEN")</x:f>
        <x:v>OPEN</x:v>
      </x:c>
    </x:row>
    <x:row r="8" ht="42" customHeight="1">
      <x:c r="B8" t="str">
        <x:v>RS-02</x:v>
      </x:c>
      <x:c r="C8" t="str">
        <x:v>candidate and public paths isolated</x:v>
      </x:c>
      <x:c r="D8" s="12" t="str">
        <x:v>source, water, heat and energy boundaries identified</x:v>
      </x:c>
      <x:c r="E8" t="n">
        <x:v>0</x:v>
      </x:c>
      <x:c r="F8" t="str">
        <x:f>IF(E8=1,"PASS","OPEN")</x:f>
        <x:v>OPEN</x:v>
      </x:c>
    </x:row>
    <x:row r="9" ht="42" customHeight="1">
      <x:c r="B9" t="str">
        <x:v>RS-03</x:v>
      </x:c>
      <x:c r="C9" t="str">
        <x:v>casualty status resolved</x:v>
      </x:c>
      <x:c r="D9" s="12" t="str">
        <x:v>all people located, extracted or declared clear</x:v>
      </x:c>
      <x:c r="E9" t="n">
        <x:v>0</x:v>
      </x:c>
      <x:c r="F9" t="str">
        <x:f>IF(E9=1,"PASS","OPEN")</x:f>
        <x:v>OPEN</x:v>
      </x:c>
    </x:row>
    <x:row r="10" ht="42" customHeight="1">
      <x:c r="B10" t="str">
        <x:v>RS-04</x:v>
      </x:c>
      <x:c r="C10" t="str">
        <x:v>remote map accepted</x:v>
      </x:c>
      <x:c r="D10" s="12" t="str">
        <x:v>heat, gas, liquid, structure and debris state reconstructed</x:v>
      </x:c>
      <x:c r="E10" t="n">
        <x:v>0</x:v>
      </x:c>
      <x:c r="F10" t="str">
        <x:f>IF(E10=1,"PASS","OPEN")</x:f>
        <x:v>OPEN</x:v>
      </x:c>
    </x:row>
    <x:row r="11" ht="42" customHeight="1">
      <x:c r="B11" t="str">
        <x:v>RS-05</x:v>
      </x:c>
      <x:c r="C11" t="str">
        <x:v>accountable inventories captured</x:v>
      </x:c>
      <x:c r="D11" s="12" t="str">
        <x:v>source, water, agent and solids in named custody</x:v>
      </x:c>
      <x:c r="E11" t="n">
        <x:v>0</x:v>
      </x:c>
      <x:c r="F11" t="str">
        <x:f>IF(E11=1,"PASS","OPEN")</x:f>
        <x:v>OPEN</x:v>
      </x:c>
    </x:row>
    <x:row r="12" ht="42" customHeight="1">
      <x:c r="B12" t="str">
        <x:v>RS-06</x:v>
      </x:c>
      <x:c r="C12" t="str">
        <x:v>atmosphere and thermal state accepted</x:v>
      </x:c>
      <x:c r="D12" s="12" t="str">
        <x:v>approach class established by independent measurement</x:v>
      </x:c>
      <x:c r="E12" t="n">
        <x:v>0</x:v>
      </x:c>
      <x:c r="F12" t="str">
        <x:f>IF(E12=1,"PASS","OPEN")</x:f>
        <x:v>OPEN</x:v>
      </x:c>
    </x:row>
    <x:row r="13" ht="42" customHeight="1">
      <x:c r="B13" t="str">
        <x:v>RS-07</x:v>
      </x:c>
      <x:c r="C13" t="str">
        <x:v>mass and water ledgers closed</x:v>
      </x:c>
      <x:c r="D13" s="12" t="str">
        <x:v>uncertainty and discrepancy accepted</x:v>
      </x:c>
      <x:c r="E13" t="n">
        <x:v>0</x:v>
      </x:c>
      <x:c r="F13" t="str">
        <x:f>IF(E13=1,"PASS","OPEN")</x:f>
        <x:v>OPEN</x:v>
      </x:c>
    </x:row>
    <x:row r="14" ht="42" customHeight="1">
      <x:c r="B14" t="str">
        <x:v>RS-08</x:v>
      </x:c>
      <x:c r="C14" t="str">
        <x:v>evidence packet frozen</x:v>
      </x:c>
      <x:c r="D14" s="12" t="str">
        <x:v>two originals, samples and intervention history sealed</x:v>
      </x:c>
      <x:c r="E14" t="n">
        <x:v>0</x:v>
      </x:c>
      <x:c r="F14" t="str">
        <x:f>IF(E14=1,"PASS","OPEN")</x:f>
        <x:v>OPEN</x:v>
      </x:c>
    </x:row>
    <x:row r="15" ht="42" customHeight="1">
      <x:c r="B15" t="str">
        <x:v>RS-09</x:v>
      </x:c>
      <x:c r="C15" t="str">
        <x:v>cleaning and repair released</x:v>
      </x:c>
      <x:c r="D15" s="12" t="str">
        <x:v>evidence authority transfers state to configuration board</x:v>
      </x:c>
      <x:c r="E15" t="n">
        <x:v>0</x:v>
      </x:c>
      <x:c r="F15" t="str">
        <x:f>IF(E15=1,"PASS","OPEN")</x:f>
        <x:v>OPEN</x:v>
      </x:c>
    </x:row>
    <x:row r="16" ht="42" customHeight="1">
      <x:c r="B16" t="str">
        <x:v>RS-10</x:v>
      </x:c>
      <x:c r="C16" t="str">
        <x:v>serialized baseline restored</x:v>
      </x:c>
      <x:c r="D16" s="12" t="str">
        <x:v>changed objects regressed and root ready for reacceptance</x:v>
      </x:c>
      <x:c r="E16" t="n">
        <x:v>0</x:v>
      </x:c>
      <x:c r="F16" t="str">
        <x:f>IF(E16=1,"PASS","OPEN")</x:f>
        <x:v>OPEN</x:v>
      </x:c>
    </x:row>
  </x:sheetData>
  <x:conditionalFormatting sqref="F7:F16">
    <x:cfRule type="containsText" dxfId="49" priority="1" operator="containsText" text="FAIL"/>
    <x:cfRule type="containsText" dxfId="50" priority="2" operator="containsText" text="INVALID"/>
    <x:cfRule type="containsText" dxfId="51" priority="3" operator="containsText" text="BLOCKED"/>
    <x:cfRule type="containsText" dxfId="52" priority="4" operator="containsText" text="OPEN"/>
    <x:cfRule type="containsText" dxfId="53" priority="5" operator="containsText" text="GAP"/>
    <x:cfRule type="containsText" dxfId="54" priority="6" operator="containsText" text="PASS"/>
    <x:cfRule type="containsText" dxfId="55" priority="7" operator="containsText" text="VALI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6" hidden="0" customWidth="1"/>
    <x:col min="4" max="4" width="12" hidden="0" customWidth="1"/>
    <x:col min="5" max="5" width="15" hidden="0" customWidth="1"/>
    <x:col min="6" max="6" width="16" hidden="0" customWidth="1"/>
    <x:col min="7" max="7" width="16" hidden="0" customWidth="1"/>
    <x:col min="8" max="8" width="17" hidden="0" customWidth="1"/>
    <x:col min="9" max="9" width="15" hidden="0" customWidth="1"/>
    <x:col min="10" max="10" width="14" hidden="0" customWidth="1"/>
  </x:cols>
  <x:sheetData>
    <x:row r="2">
      <x:c r="B2" s="1" t="str">
        <x:v>Twelve root-site reset clocks</x:v>
      </x:c>
    </x:row>
    <x:row r="3">
      <x:c r="B3" s="2" t="str">
        <x:v>The clock begins at measured source termination and ends at restored serialized baseline.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Reset</x:v>
      </x:c>
      <x:c r="C6" s="7" t="str">
        <x:v>Root</x:v>
      </x:c>
      <x:c r="D6" s="7" t="str">
        <x:v>Site</x:v>
      </x:c>
      <x:c r="E6" s="7" t="str">
        <x:v>Ceiling h</x:v>
      </x:c>
      <x:c r="F6" s="7" t="str">
        <x:v>Start state</x:v>
      </x:c>
      <x:c r="G6" s="7" t="str">
        <x:v>End state</x:v>
      </x:c>
      <x:c r="H6" s="7" t="str">
        <x:v>Observed h</x:v>
      </x:c>
      <x:c r="I6" s="7" t="str">
        <x:v>Accepted</x:v>
      </x:c>
      <x:c r="J6" s="7" t="str">
        <x:v>State</x:v>
      </x:c>
    </x:row>
    <x:row r="7">
      <x:c r="B7" t="str">
        <x:v>AF-1-BA-B</x:v>
      </x:c>
      <x:c r="C7" t="str">
        <x:v>AF-1-BA</x:v>
      </x:c>
      <x:c r="D7" t="str">
        <x:v>PTC-B</x:v>
      </x:c>
      <x:c r="E7" t="n">
        <x:v>72</x:v>
      </x:c>
      <x:c r="F7" t="str">
        <x:v>RS-01</x:v>
      </x:c>
      <x:c r="G7" t="str">
        <x:v>RS-10</x:v>
      </x:c>
      <x:c r="H7" t="str"/>
      <x:c r="I7" t="str"/>
      <x:c r="J7" t="str">
        <x:v>OPEN</x:v>
      </x:c>
    </x:row>
    <x:row r="8">
      <x:c r="B8" t="str">
        <x:v>AF-1-BA-C</x:v>
      </x:c>
      <x:c r="C8" t="str">
        <x:v>AF-1-BA</x:v>
      </x:c>
      <x:c r="D8" t="str">
        <x:v>PTC-C</x:v>
      </x:c>
      <x:c r="E8" t="n">
        <x:v>72</x:v>
      </x:c>
      <x:c r="F8" t="str">
        <x:v>RS-01</x:v>
      </x:c>
      <x:c r="G8" t="str">
        <x:v>RS-10</x:v>
      </x:c>
      <x:c r="H8" t="str"/>
      <x:c r="I8" t="str"/>
      <x:c r="J8" t="str">
        <x:v>OPEN</x:v>
      </x:c>
    </x:row>
    <x:row r="9">
      <x:c r="B9" t="str">
        <x:v>AF-1-BB-B</x:v>
      </x:c>
      <x:c r="C9" t="str">
        <x:v>AF-1-BB</x:v>
      </x:c>
      <x:c r="D9" t="str">
        <x:v>PTC-B</x:v>
      </x:c>
      <x:c r="E9" t="n">
        <x:v>72</x:v>
      </x:c>
      <x:c r="F9" t="str">
        <x:v>RS-01</x:v>
      </x:c>
      <x:c r="G9" t="str">
        <x:v>RS-10</x:v>
      </x:c>
      <x:c r="H9" t="str"/>
      <x:c r="I9" t="str"/>
      <x:c r="J9" t="str">
        <x:v>OPEN</x:v>
      </x:c>
    </x:row>
    <x:row r="10">
      <x:c r="B10" t="str">
        <x:v>AF-1-BB-C</x:v>
      </x:c>
      <x:c r="C10" t="str">
        <x:v>AF-1-BB</x:v>
      </x:c>
      <x:c r="D10" t="str">
        <x:v>PTC-C</x:v>
      </x:c>
      <x:c r="E10" t="n">
        <x:v>72</x:v>
      </x:c>
      <x:c r="F10" t="str">
        <x:v>RS-01</x:v>
      </x:c>
      <x:c r="G10" t="str">
        <x:v>RS-10</x:v>
      </x:c>
      <x:c r="H10" t="str"/>
      <x:c r="I10" t="str"/>
      <x:c r="J10" t="str">
        <x:v>OPEN</x:v>
      </x:c>
    </x:row>
    <x:row r="11">
      <x:c r="B11" t="str">
        <x:v>AF-2-BA-B</x:v>
      </x:c>
      <x:c r="C11" t="str">
        <x:v>AF-2-BA</x:v>
      </x:c>
      <x:c r="D11" t="str">
        <x:v>PTC-B</x:v>
      </x:c>
      <x:c r="E11" t="n">
        <x:v>96</x:v>
      </x:c>
      <x:c r="F11" t="str">
        <x:v>RS-01</x:v>
      </x:c>
      <x:c r="G11" t="str">
        <x:v>RS-10</x:v>
      </x:c>
      <x:c r="H11" t="str"/>
      <x:c r="I11" t="str"/>
      <x:c r="J11" t="str">
        <x:v>OPEN</x:v>
      </x:c>
    </x:row>
    <x:row r="12">
      <x:c r="B12" t="str">
        <x:v>AF-2-BA-C</x:v>
      </x:c>
      <x:c r="C12" t="str">
        <x:v>AF-2-BA</x:v>
      </x:c>
      <x:c r="D12" t="str">
        <x:v>PTC-C</x:v>
      </x:c>
      <x:c r="E12" t="n">
        <x:v>96</x:v>
      </x:c>
      <x:c r="F12" t="str">
        <x:v>RS-01</x:v>
      </x:c>
      <x:c r="G12" t="str">
        <x:v>RS-10</x:v>
      </x:c>
      <x:c r="H12" t="str"/>
      <x:c r="I12" t="str"/>
      <x:c r="J12" t="str">
        <x:v>OPEN</x:v>
      </x:c>
    </x:row>
    <x:row r="13">
      <x:c r="B13" t="str">
        <x:v>AF-2-BB-B</x:v>
      </x:c>
      <x:c r="C13" t="str">
        <x:v>AF-2-BB</x:v>
      </x:c>
      <x:c r="D13" t="str">
        <x:v>PTC-B</x:v>
      </x:c>
      <x:c r="E13" t="n">
        <x:v>96</x:v>
      </x:c>
      <x:c r="F13" t="str">
        <x:v>RS-01</x:v>
      </x:c>
      <x:c r="G13" t="str">
        <x:v>RS-10</x:v>
      </x:c>
      <x:c r="H13" t="str"/>
      <x:c r="I13" t="str"/>
      <x:c r="J13" t="str">
        <x:v>OPEN</x:v>
      </x:c>
    </x:row>
    <x:row r="14">
      <x:c r="B14" t="str">
        <x:v>AF-2-BB-C</x:v>
      </x:c>
      <x:c r="C14" t="str">
        <x:v>AF-2-BB</x:v>
      </x:c>
      <x:c r="D14" t="str">
        <x:v>PTC-C</x:v>
      </x:c>
      <x:c r="E14" t="n">
        <x:v>96</x:v>
      </x:c>
      <x:c r="F14" t="str">
        <x:v>RS-01</x:v>
      </x:c>
      <x:c r="G14" t="str">
        <x:v>RS-10</x:v>
      </x:c>
      <x:c r="H14" t="str"/>
      <x:c r="I14" t="str"/>
      <x:c r="J14" t="str">
        <x:v>OPEN</x:v>
      </x:c>
    </x:row>
    <x:row r="15">
      <x:c r="B15" t="str">
        <x:v>AF-3-BA-B</x:v>
      </x:c>
      <x:c r="C15" t="str">
        <x:v>AF-3-BA</x:v>
      </x:c>
      <x:c r="D15" t="str">
        <x:v>PTC-B</x:v>
      </x:c>
      <x:c r="E15" t="n">
        <x:v>84</x:v>
      </x:c>
      <x:c r="F15" t="str">
        <x:v>RS-01</x:v>
      </x:c>
      <x:c r="G15" t="str">
        <x:v>RS-10</x:v>
      </x:c>
      <x:c r="H15" t="str"/>
      <x:c r="I15" t="str"/>
      <x:c r="J15" t="str">
        <x:v>OPEN</x:v>
      </x:c>
    </x:row>
    <x:row r="16">
      <x:c r="B16" t="str">
        <x:v>AF-3-BA-C</x:v>
      </x:c>
      <x:c r="C16" t="str">
        <x:v>AF-3-BA</x:v>
      </x:c>
      <x:c r="D16" t="str">
        <x:v>PTC-C</x:v>
      </x:c>
      <x:c r="E16" t="n">
        <x:v>84</x:v>
      </x:c>
      <x:c r="F16" t="str">
        <x:v>RS-01</x:v>
      </x:c>
      <x:c r="G16" t="str">
        <x:v>RS-10</x:v>
      </x:c>
      <x:c r="H16" t="str"/>
      <x:c r="I16" t="str"/>
      <x:c r="J16" t="str">
        <x:v>OPEN</x:v>
      </x:c>
    </x:row>
    <x:row r="17">
      <x:c r="B17" t="str">
        <x:v>AF-3-BB-B</x:v>
      </x:c>
      <x:c r="C17" t="str">
        <x:v>AF-3-BB</x:v>
      </x:c>
      <x:c r="D17" t="str">
        <x:v>PTC-B</x:v>
      </x:c>
      <x:c r="E17" t="n">
        <x:v>84</x:v>
      </x:c>
      <x:c r="F17" t="str">
        <x:v>RS-01</x:v>
      </x:c>
      <x:c r="G17" t="str">
        <x:v>RS-10</x:v>
      </x:c>
      <x:c r="H17" t="str"/>
      <x:c r="I17" t="str"/>
      <x:c r="J17" t="str">
        <x:v>OPEN</x:v>
      </x:c>
    </x:row>
    <x:row r="18">
      <x:c r="B18" t="str">
        <x:v>AF-3-BB-C</x:v>
      </x:c>
      <x:c r="C18" t="str">
        <x:v>AF-3-BB</x:v>
      </x:c>
      <x:c r="D18" t="str">
        <x:v>PTC-C</x:v>
      </x:c>
      <x:c r="E18" t="n">
        <x:v>84</x:v>
      </x:c>
      <x:c r="F18" t="str">
        <x:v>RS-01</x:v>
      </x:c>
      <x:c r="G18" t="str">
        <x:v>RS-10</x:v>
      </x:c>
      <x:c r="H18" t="str"/>
      <x:c r="I18" t="str"/>
      <x:c r="J18" t="str">
        <x:v>OPEN</x:v>
      </x:c>
    </x:row>
  </x:sheetData>
  <x:conditionalFormatting sqref="J7:J18">
    <x:cfRule type="containsText" dxfId="56" priority="1" operator="containsText" text="FAIL"/>
    <x:cfRule type="containsText" dxfId="57" priority="2" operator="containsText" text="INVALID"/>
    <x:cfRule type="containsText" dxfId="58" priority="3" operator="containsText" text="BLOCKED"/>
    <x:cfRule type="containsText" dxfId="59" priority="4" operator="containsText" text="OPEN"/>
    <x:cfRule type="containsText" dxfId="60" priority="5" operator="containsText" text="GAP"/>
    <x:cfRule type="containsText" dxfId="61" priority="6" operator="containsText" text="PASS"/>
    <x:cfRule type="containsText" dxfId="62" priority="7" operator="containsText" text="VALID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6" hidden="0" customWidth="1"/>
    <x:col min="4" max="4" width="13" hidden="0" customWidth="1"/>
    <x:col min="5" max="5" width="13" hidden="0" customWidth="1"/>
    <x:col min="6" max="6" width="18" hidden="0" customWidth="1"/>
    <x:col min="7" max="7" width="78" hidden="0" customWidth="1"/>
    <x:col min="8" max="8" width="15" hidden="0" customWidth="1"/>
    <x:col min="9" max="9" width="14" hidden="0" customWidth="1"/>
  </x:cols>
  <x:sheetData>
    <x:row r="2">
      <x:c r="B2" s="1" t="str">
        <x:v>Six outside-origin reconstruction exercises</x:v>
      </x:c>
    </x:row>
    <x:row r="3">
      <x:c r="B3" s="2" t="str">
        <x:v>A root must be adjudicable after the origin campus is unavailable.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Replay</x:v>
      </x:c>
      <x:c r="C6" s="7" t="str">
        <x:v>Root</x:v>
      </x:c>
      <x:c r="D6" s="7" t="str">
        <x:v>Origin</x:v>
      </x:c>
      <x:c r="E6" s="7" t="str">
        <x:v>Target</x:v>
      </x:c>
      <x:c r="F6" s="7" t="str">
        <x:v>Event</x:v>
      </x:c>
      <x:c r="G6" s="7" t="str">
        <x:v>Required result</x:v>
      </x:c>
      <x:c r="H6" s="7" t="str">
        <x:v>Accepted</x:v>
      </x:c>
      <x:c r="I6" s="7" t="str">
        <x:v>State</x:v>
      </x:c>
    </x:row>
    <x:row r="7" ht="42" customHeight="1">
      <x:c r="B7" t="str">
        <x:v>AF-1-BA-XR</x:v>
      </x:c>
      <x:c r="C7" t="str">
        <x:v>AF-1-BA</x:v>
      </x:c>
      <x:c r="D7" t="str">
        <x:v>PTC-B</x:v>
      </x:c>
      <x:c r="E7" t="str">
        <x:v>PTC-C</x:v>
      </x:c>
      <x:c r="F7" t="str">
        <x:v>RFE-E301</x:v>
      </x:c>
      <x:c r="G7" s="12" t="str">
        <x:v>complete A08 decision from outside original and transferred forensic package</x:v>
      </x:c>
      <x:c r="H7" t="str"/>
      <x:c r="I7" t="str">
        <x:v>OPEN</x:v>
      </x:c>
    </x:row>
    <x:row r="8" ht="42" customHeight="1">
      <x:c r="B8" t="str">
        <x:v>AF-1-BB-XR</x:v>
      </x:c>
      <x:c r="C8" t="str">
        <x:v>AF-1-BB</x:v>
      </x:c>
      <x:c r="D8" t="str">
        <x:v>PTC-C</x:v>
      </x:c>
      <x:c r="E8" t="str">
        <x:v>PTC-B</x:v>
      </x:c>
      <x:c r="F8" t="str">
        <x:v>RFE-E302</x:v>
      </x:c>
      <x:c r="G8" s="12" t="str">
        <x:v>complete A08 decision from outside original and transferred forensic package</x:v>
      </x:c>
      <x:c r="H8" t="str"/>
      <x:c r="I8" t="str">
        <x:v>OPEN</x:v>
      </x:c>
    </x:row>
    <x:row r="9" ht="42" customHeight="1">
      <x:c r="B9" t="str">
        <x:v>AF-2-BA-XR</x:v>
      </x:c>
      <x:c r="C9" t="str">
        <x:v>AF-2-BA</x:v>
      </x:c>
      <x:c r="D9" t="str">
        <x:v>PTC-B</x:v>
      </x:c>
      <x:c r="E9" t="str">
        <x:v>PTC-C</x:v>
      </x:c>
      <x:c r="F9" t="str">
        <x:v>RFE-E303</x:v>
      </x:c>
      <x:c r="G9" s="12" t="str">
        <x:v>complete A08 decision from outside original and transferred forensic package</x:v>
      </x:c>
      <x:c r="H9" t="str"/>
      <x:c r="I9" t="str">
        <x:v>OPEN</x:v>
      </x:c>
    </x:row>
    <x:row r="10" ht="42" customHeight="1">
      <x:c r="B10" t="str">
        <x:v>AF-2-BB-XR</x:v>
      </x:c>
      <x:c r="C10" t="str">
        <x:v>AF-2-BB</x:v>
      </x:c>
      <x:c r="D10" t="str">
        <x:v>PTC-C</x:v>
      </x:c>
      <x:c r="E10" t="str">
        <x:v>PTC-B</x:v>
      </x:c>
      <x:c r="F10" t="str">
        <x:v>RFE-E304</x:v>
      </x:c>
      <x:c r="G10" s="12" t="str">
        <x:v>complete A08 decision from outside original and transferred forensic package</x:v>
      </x:c>
      <x:c r="H10" t="str"/>
      <x:c r="I10" t="str">
        <x:v>OPEN</x:v>
      </x:c>
    </x:row>
    <x:row r="11" ht="42" customHeight="1">
      <x:c r="B11" t="str">
        <x:v>AF-3-BA-XR</x:v>
      </x:c>
      <x:c r="C11" t="str">
        <x:v>AF-3-BA</x:v>
      </x:c>
      <x:c r="D11" t="str">
        <x:v>PTC-B</x:v>
      </x:c>
      <x:c r="E11" t="str">
        <x:v>PTC-C</x:v>
      </x:c>
      <x:c r="F11" t="str">
        <x:v>RFE-E305</x:v>
      </x:c>
      <x:c r="G11" s="12" t="str">
        <x:v>complete A08 decision from outside original and transferred forensic package</x:v>
      </x:c>
      <x:c r="H11" t="str"/>
      <x:c r="I11" t="str">
        <x:v>OPEN</x:v>
      </x:c>
    </x:row>
    <x:row r="12" ht="42" customHeight="1">
      <x:c r="B12" t="str">
        <x:v>AF-3-BB-XR</x:v>
      </x:c>
      <x:c r="C12" t="str">
        <x:v>AF-3-BB</x:v>
      </x:c>
      <x:c r="D12" t="str">
        <x:v>PTC-C</x:v>
      </x:c>
      <x:c r="E12" t="str">
        <x:v>PTC-B</x:v>
      </x:c>
      <x:c r="F12" t="str">
        <x:v>RFE-E306</x:v>
      </x:c>
      <x:c r="G12" s="12" t="str">
        <x:v>complete A08 decision from outside original and transferred forensic package</x:v>
      </x:c>
      <x:c r="H12" t="str"/>
      <x:c r="I12" t="str">
        <x:v>OPEN</x:v>
      </x:c>
    </x:row>
  </x:sheetData>
  <x:conditionalFormatting sqref="I7:I12">
    <x:cfRule type="containsText" dxfId="63" priority="1" operator="containsText" text="FAIL"/>
    <x:cfRule type="containsText" dxfId="64" priority="2" operator="containsText" text="INVALID"/>
    <x:cfRule type="containsText" dxfId="65" priority="3" operator="containsText" text="BLOCKED"/>
    <x:cfRule type="containsText" dxfId="66" priority="4" operator="containsText" text="OPEN"/>
    <x:cfRule type="containsText" dxfId="67" priority="5" operator="containsText" text="GAP"/>
    <x:cfRule type="containsText" dxfId="68" priority="6" operator="containsText" text="PASS"/>
    <x:cfRule type="containsText" dxfId="69" priority="7" operator="containsText" text="VALID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4" hidden="0" customWidth="1"/>
    <x:col min="4" max="4" width="16" hidden="0" customWidth="1"/>
    <x:col min="5" max="5" width="19" hidden="0" customWidth="1"/>
    <x:col min="6" max="6" width="18" hidden="0" customWidth="1"/>
    <x:col min="7" max="7" width="16" hidden="0" customWidth="1"/>
    <x:col min="8" max="8" width="20" hidden="0" customWidth="1"/>
    <x:col min="9" max="9" width="20" hidden="0" customWidth="1"/>
    <x:col min="10" max="10" width="18" hidden="0" customWidth="1"/>
  </x:cols>
  <x:sheetData>
    <x:row r="2">
      <x:c r="B2" s="1" t="str">
        <x:v>Base and invalid-attempt source provision</x:v>
      </x:c>
    </x:row>
    <x:row r="3">
      <x:c r="B3" s="2" t="str">
        <x:v>The exact execution plan adds twelve quarter-source development anchors and raises the inherited 288 t event-only view to 294 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Class</x:v>
      </x:c>
      <x:c r="C6" s="7" t="str">
        <x:v>Name</x:v>
      </x:c>
      <x:c r="D6" s="7" t="str">
        <x:v>Base events</x:v>
      </x:c>
      <x:c r="E6" s="7" t="str">
        <x:v>Source kg/event</x:v>
      </x:c>
      <x:c r="F6" s="7" t="str">
        <x:v>Base source t</x:v>
      </x:c>
      <x:c r="G6" s="7" t="str">
        <x:v>Base check</x:v>
      </x:c>
      <x:c r="H6" s="7" t="str">
        <x:v>Reserve attempts</x:v>
      </x:c>
      <x:c r="I6" s="7" t="str">
        <x:v>Reserve source t</x:v>
      </x:c>
      <x:c r="J6" s="7" t="str">
        <x:v>Total source t</x:v>
      </x:c>
    </x:row>
    <x:row r="7">
      <x:c r="B7" t="str">
        <x:v>EC-01</x:v>
      </x:c>
      <x:c r="C7" t="str">
        <x:v>safe development</x:v>
      </x:c>
      <x:c r="D7" t="n">
        <x:v>60</x:v>
      </x:c>
      <x:c r="E7" t="n">
        <x:v>0</x:v>
      </x:c>
      <x:c r="F7" t="n">
        <x:f>D7*E7/1000</x:f>
        <x:v>0</x:v>
      </x:c>
      <x:c r="G7" t="n">
        <x:f>F7-E7*D7/1000</x:f>
        <x:v>0</x:v>
      </x:c>
      <x:c r="H7" t="n">
        <x:v>9</x:v>
      </x:c>
      <x:c r="I7" t="n">
        <x:f>H7*E7/1000</x:f>
        <x:v>0</x:v>
      </x:c>
      <x:c r="J7" t="n">
        <x:f>F7+I7</x:f>
        <x:v>0</x:v>
      </x:c>
    </x:row>
    <x:row r="8">
      <x:c r="B8" t="str">
        <x:v>EC-02</x:v>
      </x:c>
      <x:c r="C8" t="str">
        <x:v>quarter-source development</x:v>
      </x:c>
      <x:c r="D8" t="n">
        <x:v>12</x:v>
      </x:c>
      <x:c r="E8" t="n">
        <x:v>500</x:v>
      </x:c>
      <x:c r="F8" t="n">
        <x:f>D8*E8/1000</x:f>
        <x:v>6</x:v>
      </x:c>
      <x:c r="G8" t="n">
        <x:f>F8-E8*D8/1000</x:f>
        <x:v>0</x:v>
      </x:c>
      <x:c r="H8" t="n">
        <x:v>3</x:v>
      </x:c>
      <x:c r="I8" t="n">
        <x:f>H8*E8/1000</x:f>
        <x:v>1.5</x:v>
      </x:c>
      <x:c r="J8" t="n">
        <x:f>F8+I8</x:f>
        <x:v>7.5</x:v>
      </x:c>
    </x:row>
    <x:row r="9">
      <x:c r="B9" t="str">
        <x:v>EC-03</x:v>
      </x:c>
      <x:c r="C9" t="str">
        <x:v>quarter-source paired</x:v>
      </x:c>
      <x:c r="D9" t="n">
        <x:v>96</x:v>
      </x:c>
      <x:c r="E9" t="n">
        <x:v>500</x:v>
      </x:c>
      <x:c r="F9" t="n">
        <x:f>D9*E9/1000</x:f>
        <x:v>48</x:v>
      </x:c>
      <x:c r="G9" t="n">
        <x:f>F9-E9*D9/1000</x:f>
        <x:v>0</x:v>
      </x:c>
      <x:c r="H9" t="n">
        <x:v>17</x:v>
      </x:c>
      <x:c r="I9" t="n">
        <x:f>H9*E9/1000</x:f>
        <x:v>8.5</x:v>
      </x:c>
      <x:c r="J9" t="n">
        <x:f>F9+I9</x:f>
        <x:v>56.5</x:v>
      </x:c>
    </x:row>
    <x:row r="10">
      <x:c r="B10" t="str">
        <x:v>EC-04</x:v>
      </x:c>
      <x:c r="C10" t="str">
        <x:v>full-source paired</x:v>
      </x:c>
      <x:c r="D10" t="n">
        <x:v>96</x:v>
      </x:c>
      <x:c r="E10" t="n">
        <x:v>2000</x:v>
      </x:c>
      <x:c r="F10" t="n">
        <x:f>D10*E10/1000</x:f>
        <x:v>192</x:v>
      </x:c>
      <x:c r="G10" t="n">
        <x:f>F10-E10*D10/1000</x:f>
        <x:v>0</x:v>
      </x:c>
      <x:c r="H10" t="n">
        <x:v>24</x:v>
      </x:c>
      <x:c r="I10" t="n">
        <x:f>H10*E10/1000</x:f>
        <x:v>48</x:v>
      </x:c>
      <x:c r="J10" t="n">
        <x:f>F10+I10</x:f>
        <x:v>240</x:v>
      </x:c>
    </x:row>
    <x:row r="11">
      <x:c r="B11" t="str">
        <x:v>EC-05</x:v>
      </x:c>
      <x:c r="C11" t="str">
        <x:v>destructive</x:v>
      </x:c>
      <x:c r="D11" t="n">
        <x:v>24</x:v>
      </x:c>
      <x:c r="E11" t="n">
        <x:v>2000</x:v>
      </x:c>
      <x:c r="F11" t="n">
        <x:f>D11*E11/1000</x:f>
        <x:v>48</x:v>
      </x:c>
      <x:c r="G11" t="n">
        <x:f>F11-E11*D11/1000</x:f>
        <x:v>0</x:v>
      </x:c>
      <x:c r="H11" t="n">
        <x:v>8</x:v>
      </x:c>
      <x:c r="I11" t="n">
        <x:f>H11*E11/1000</x:f>
        <x:v>16</x:v>
      </x:c>
      <x:c r="J11" t="n">
        <x:f>F11+I11</x:f>
        <x:v>64</x:v>
      </x:c>
    </x:row>
    <x:row r="12">
      <x:c r="B12" t="str">
        <x:v>EC-06</x:v>
      </x:c>
      <x:c r="C12" t="str">
        <x:v>recovery/reset</x:v>
      </x:c>
      <x:c r="D12" t="n">
        <x:v>12</x:v>
      </x:c>
      <x:c r="E12" t="n">
        <x:v>0</x:v>
      </x:c>
      <x:c r="F12" t="n">
        <x:f>D12*E12/1000</x:f>
        <x:v>0</x:v>
      </x:c>
      <x:c r="G12" t="n">
        <x:f>F12-E12*D12/1000</x:f>
        <x:v>0</x:v>
      </x:c>
      <x:c r="H12" t="n">
        <x:v>3</x:v>
      </x:c>
      <x:c r="I12" t="n">
        <x:f>H12*E12/1000</x:f>
        <x:v>0</x:v>
      </x:c>
      <x:c r="J12" t="n">
        <x:f>F12+I12</x:f>
        <x:v>0</x:v>
      </x:c>
    </x:row>
    <x:row r="13">
      <x:c r="B13" t="str">
        <x:v>EC-07</x:v>
      </x:c>
      <x:c r="C13" t="str">
        <x:v>cross-site replay</x:v>
      </x:c>
      <x:c r="D13" t="n">
        <x:v>6</x:v>
      </x:c>
      <x:c r="E13" t="n">
        <x:v>0</x:v>
      </x:c>
      <x:c r="F13" t="n">
        <x:f>D13*E13/1000</x:f>
        <x:v>0</x:v>
      </x:c>
      <x:c r="G13" t="n">
        <x:f>F13-E13*D13/1000</x:f>
        <x:v>0</x:v>
      </x:c>
      <x:c r="H13" t="n">
        <x:v>2</x:v>
      </x:c>
      <x:c r="I13" t="n">
        <x:f>H13*E13/1000</x:f>
        <x:v>0</x:v>
      </x:c>
      <x:c r="J13" t="n">
        <x:f>F13+I13</x:f>
        <x:v>0</x:v>
      </x:c>
    </x:row>
    <x:row r="15">
      <x:c r="B15" s="11" t="str">
        <x:v>TOTAL</x:v>
      </x:c>
      <x:c r="C15" s="11" t="str"/>
      <x:c r="D15" s="11" t="n">
        <x:f>SUM(D7:D13)</x:f>
        <x:v>306</x:v>
      </x:c>
      <x:c r="E15" s="11" t="str"/>
      <x:c r="F15" s="11" t="n">
        <x:f>SUM(F7:F13)</x:f>
        <x:v>294</x:v>
      </x:c>
      <x:c r="G15" s="11" t="n">
        <x:f>SUM(G7:G13)</x:f>
        <x:v>0</x:v>
      </x:c>
      <x:c r="H15" s="11" t="n">
        <x:f>SUM(H7:H13)</x:f>
        <x:v>66</x:v>
      </x:c>
      <x:c r="I15" s="11" t="n">
        <x:f>SUM(I7:I13)</x:f>
        <x:v>74</x:v>
      </x:c>
      <x:c r="J15" s="11" t="n">
        <x:f>SUM(J7:J13)</x:f>
        <x:v>368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5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18" hidden="0" customWidth="1"/>
    <x:col min="9" max="9" width="21" hidden="0" customWidth="1"/>
    <x:col min="10" max="10" width="23" hidden="0" customWidth="1"/>
    <x:col min="11" max="11" width="20" hidden="0" customWidth="1"/>
  </x:cols>
  <x:sheetData>
    <x:row r="2">
      <x:c r="B2" s="1" t="str">
        <x:v>Candidate water and retained-volume planning ledger</x:v>
      </x:c>
    </x:row>
    <x:row r="3">
      <x:c r="B3" s="2" t="str">
        <x:v>Water is an intervention. Gross use, recirculated fraction and net retained volume remain distinct.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Candidate</x:v>
      </x:c>
      <x:c r="C6" s="7" t="str">
        <x:v>Event class</x:v>
      </x:c>
      <x:c r="D6" s="7" t="str">
        <x:v>Events</x:v>
      </x:c>
      <x:c r="E6" s="7" t="str">
        <x:v>Minutes/event</x:v>
      </x:c>
      <x:c r="F6" s="7" t="str">
        <x:v>Rate m3/min</x:v>
      </x:c>
      <x:c r="G6" s="7" t="str">
        <x:v>Recirculated fraction</x:v>
      </x:c>
      <x:c r="H6" s="7" t="str">
        <x:v>Gross m3</x:v>
      </x:c>
      <x:c r="I6" s="7" t="str">
        <x:v>Net retained m3</x:v>
      </x:c>
      <x:c r="J6" s="7" t="str">
        <x:v>Mean net/event m3</x:v>
      </x:c>
      <x:c r="K6" s="7" t="str">
        <x:v>Candidate vault m3</x:v>
      </x:c>
    </x:row>
    <x:row r="7">
      <x:c r="B7" t="str">
        <x:v>AF-1</x:v>
      </x:c>
      <x:c r="C7" t="str">
        <x:v>quarter development</x:v>
      </x:c>
      <x:c r="D7" s="14" t="n">
        <x:v>2</x:v>
      </x:c>
      <x:c r="E7" s="14" t="n">
        <x:v>10</x:v>
      </x:c>
      <x:c r="F7" s="14" t="n">
        <x:v>2.4</x:v>
      </x:c>
      <x:c r="G7" s="14" t="n">
        <x:v>0</x:v>
      </x:c>
      <x:c r="H7" s="14" t="n">
        <x:f>D7*E7*F7</x:f>
        <x:v>48</x:v>
      </x:c>
      <x:c r="I7" s="14" t="n">
        <x:f>H7*(1-G7)</x:f>
        <x:v>48</x:v>
      </x:c>
      <x:c r="J7" s="14" t="n">
        <x:f>I7/D7</x:f>
        <x:v>24</x:v>
      </x:c>
      <x:c r="K7" t="n">
        <x:v>40</x:v>
      </x:c>
    </x:row>
    <x:row r="8">
      <x:c r="B8" t="str">
        <x:v>AF-1</x:v>
      </x:c>
      <x:c r="C8" t="str">
        <x:v>full paired</x:v>
      </x:c>
      <x:c r="D8" s="14" t="n">
        <x:v>32</x:v>
      </x:c>
      <x:c r="E8" s="14" t="n">
        <x:v>21.25</x:v>
      </x:c>
      <x:c r="F8" s="14" t="n">
        <x:v>2.4</x:v>
      </x:c>
      <x:c r="G8" s="14" t="n">
        <x:v>0</x:v>
      </x:c>
      <x:c r="H8" s="14" t="n">
        <x:f>D8*E8*F8</x:f>
        <x:v>1632</x:v>
      </x:c>
      <x:c r="I8" s="14" t="n">
        <x:f>H8*(1-G8)</x:f>
        <x:v>1632</x:v>
      </x:c>
      <x:c r="J8" s="14" t="n">
        <x:f>I8/D8</x:f>
        <x:v>51</x:v>
      </x:c>
      <x:c r="K8" t="n">
        <x:v>40</x:v>
      </x:c>
    </x:row>
    <x:row r="9">
      <x:c r="B9" t="str">
        <x:v>AF-1</x:v>
      </x:c>
      <x:c r="C9" t="str">
        <x:v>destructive</x:v>
      </x:c>
      <x:c r="D9" s="14" t="n">
        <x:v>8</x:v>
      </x:c>
      <x:c r="E9" s="14" t="n">
        <x:v>20</x:v>
      </x:c>
      <x:c r="F9" s="14" t="n">
        <x:v>2.4</x:v>
      </x:c>
      <x:c r="G9" s="14" t="n">
        <x:v>0</x:v>
      </x:c>
      <x:c r="H9" s="14" t="n">
        <x:f>D9*E9*F9</x:f>
        <x:v>384</x:v>
      </x:c>
      <x:c r="I9" s="14" t="n">
        <x:f>H9*(1-G9)</x:f>
        <x:v>384</x:v>
      </x:c>
      <x:c r="J9" s="14" t="n">
        <x:f>I9/D9</x:f>
        <x:v>48</x:v>
      </x:c>
      <x:c r="K9" t="n">
        <x:v>40</x:v>
      </x:c>
    </x:row>
    <x:row r="10">
      <x:c r="B10" t="str">
        <x:v>AF-2</x:v>
      </x:c>
      <x:c r="C10" t="str">
        <x:v>quarter development</x:v>
      </x:c>
      <x:c r="D10" s="14" t="n">
        <x:v>2</x:v>
      </x:c>
      <x:c r="E10" s="14" t="n">
        <x:v>10</x:v>
      </x:c>
      <x:c r="F10" s="14" t="n">
        <x:v>1.6</x:v>
      </x:c>
      <x:c r="G10" s="14" t="n">
        <x:v>0.85</x:v>
      </x:c>
      <x:c r="H10" s="14" t="n">
        <x:f>D10*E10*F10</x:f>
        <x:v>32</x:v>
      </x:c>
      <x:c r="I10" s="14" t="n">
        <x:f>H10*(1-G10)</x:f>
        <x:v>4.800000000000001</x:v>
      </x:c>
      <x:c r="J10" s="14" t="n">
        <x:f>I10/D10</x:f>
        <x:v>2.4000000000000004</x:v>
      </x:c>
      <x:c r="K10" t="n">
        <x:v>40</x:v>
      </x:c>
    </x:row>
    <x:row r="11">
      <x:c r="B11" t="str">
        <x:v>AF-2</x:v>
      </x:c>
      <x:c r="C11" t="str">
        <x:v>full paired</x:v>
      </x:c>
      <x:c r="D11" s="14" t="n">
        <x:v>32</x:v>
      </x:c>
      <x:c r="E11" s="14" t="n">
        <x:v>21.25</x:v>
      </x:c>
      <x:c r="F11" s="14" t="n">
        <x:v>1.6</x:v>
      </x:c>
      <x:c r="G11" s="14" t="n">
        <x:v>0.85</x:v>
      </x:c>
      <x:c r="H11" s="14" t="n">
        <x:f>D11*E11*F11</x:f>
        <x:v>1088</x:v>
      </x:c>
      <x:c r="I11" s="14" t="n">
        <x:f>H11*(1-G11)</x:f>
        <x:v>163.20000000000002</x:v>
      </x:c>
      <x:c r="J11" s="14" t="n">
        <x:f>I11/D11</x:f>
        <x:v>5.1000000000000005</x:v>
      </x:c>
      <x:c r="K11" t="n">
        <x:v>40</x:v>
      </x:c>
    </x:row>
    <x:row r="12">
      <x:c r="B12" t="str">
        <x:v>AF-2</x:v>
      </x:c>
      <x:c r="C12" t="str">
        <x:v>destructive</x:v>
      </x:c>
      <x:c r="D12" s="14" t="n">
        <x:v>8</x:v>
      </x:c>
      <x:c r="E12" s="14" t="n">
        <x:v>20</x:v>
      </x:c>
      <x:c r="F12" s="14" t="n">
        <x:v>1.6</x:v>
      </x:c>
      <x:c r="G12" s="14" t="n">
        <x:v>0.85</x:v>
      </x:c>
      <x:c r="H12" s="14" t="n">
        <x:f>D12*E12*F12</x:f>
        <x:v>256</x:v>
      </x:c>
      <x:c r="I12" s="14" t="n">
        <x:f>H12*(1-G12)</x:f>
        <x:v>38.400000000000006</x:v>
      </x:c>
      <x:c r="J12" s="14" t="n">
        <x:f>I12/D12</x:f>
        <x:v>4.800000000000001</x:v>
      </x:c>
      <x:c r="K12" t="n">
        <x:v>40</x:v>
      </x:c>
    </x:row>
    <x:row r="13">
      <x:c r="B13" t="str">
        <x:v>AF-3</x:v>
      </x:c>
      <x:c r="C13" t="str">
        <x:v>quarter development</x:v>
      </x:c>
      <x:c r="D13" s="14" t="n">
        <x:v>2</x:v>
      </x:c>
      <x:c r="E13" s="14" t="n">
        <x:v>10</x:v>
      </x:c>
      <x:c r="F13" s="14" t="n">
        <x:v>1.2</x:v>
      </x:c>
      <x:c r="G13" s="14" t="n">
        <x:v>0.4</x:v>
      </x:c>
      <x:c r="H13" s="14" t="n">
        <x:f>D13*E13*F13</x:f>
        <x:v>24</x:v>
      </x:c>
      <x:c r="I13" s="14" t="n">
        <x:f>H13*(1-G13)</x:f>
        <x:v>14.399999999999999</x:v>
      </x:c>
      <x:c r="J13" s="14" t="n">
        <x:f>I13/D13</x:f>
        <x:v>7.199999999999999</x:v>
      </x:c>
      <x:c r="K13" t="n">
        <x:v>40</x:v>
      </x:c>
    </x:row>
    <x:row r="14">
      <x:c r="B14" t="str">
        <x:v>AF-3</x:v>
      </x:c>
      <x:c r="C14" t="str">
        <x:v>full paired</x:v>
      </x:c>
      <x:c r="D14" s="14" t="n">
        <x:v>32</x:v>
      </x:c>
      <x:c r="E14" s="14" t="n">
        <x:v>21.25</x:v>
      </x:c>
      <x:c r="F14" s="14" t="n">
        <x:v>1.2</x:v>
      </x:c>
      <x:c r="G14" s="14" t="n">
        <x:v>0.4</x:v>
      </x:c>
      <x:c r="H14" s="14" t="n">
        <x:f>D14*E14*F14</x:f>
        <x:v>816</x:v>
      </x:c>
      <x:c r="I14" s="14" t="n">
        <x:f>H14*(1-G14)</x:f>
        <x:v>489.59999999999997</x:v>
      </x:c>
      <x:c r="J14" s="14" t="n">
        <x:f>I14/D14</x:f>
        <x:v>15.299999999999999</x:v>
      </x:c>
      <x:c r="K14" t="n">
        <x:v>40</x:v>
      </x:c>
    </x:row>
    <x:row r="15">
      <x:c r="B15" t="str">
        <x:v>AF-3</x:v>
      </x:c>
      <x:c r="C15" t="str">
        <x:v>destructive</x:v>
      </x:c>
      <x:c r="D15" s="14" t="n">
        <x:v>8</x:v>
      </x:c>
      <x:c r="E15" s="14" t="n">
        <x:v>20</x:v>
      </x:c>
      <x:c r="F15" s="14" t="n">
        <x:v>1.2</x:v>
      </x:c>
      <x:c r="G15" s="14" t="n">
        <x:v>0.4</x:v>
      </x:c>
      <x:c r="H15" s="14" t="n">
        <x:f>D15*E15*F15</x:f>
        <x:v>192</x:v>
      </x:c>
      <x:c r="I15" s="14" t="n">
        <x:f>H15*(1-G15)</x:f>
        <x:v>115.19999999999999</x:v>
      </x:c>
      <x:c r="J15" s="14" t="n">
        <x:f>I15/D15</x:f>
        <x:v>14.399999999999999</x:v>
      </x:c>
      <x:c r="K15" t="n">
        <x:v>40</x:v>
      </x:c>
    </x:row>
    <x:row r="16">
      <x:c r="D16" s="14"/>
      <x:c r="E16" s="14"/>
      <x:c r="F16" s="14"/>
      <x:c r="G16" s="14"/>
      <x:c r="H16" s="14"/>
      <x:c r="I16" s="14"/>
      <x:c r="J16" s="14"/>
    </x:row>
    <x:row r="17">
      <x:c r="B17" s="11" t="str">
        <x:v>TOTAL</x:v>
      </x:c>
      <x:c r="C17" s="11" t="str"/>
      <x:c r="D17" s="15" t="str"/>
      <x:c r="E17" s="15" t="str"/>
      <x:c r="F17" s="15" t="str"/>
      <x:c r="G17" s="15" t="str"/>
      <x:c r="H17" s="15" t="n">
        <x:f>SUM(H7:H15)</x:f>
        <x:v>4472</x:v>
      </x:c>
      <x:c r="I17" s="15" t="n">
        <x:f>SUM(I7:I15)</x:f>
        <x:v>2889.6</x:v>
      </x:c>
      <x:c r="J17" s="15" t="str"/>
      <x:c r="K17" s="11" t="str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35" hidden="0" customWidth="1"/>
    <x:col min="4" max="4" width="28" hidden="0" customWidth="1"/>
    <x:col min="5" max="5" width="18" hidden="0" customWidth="1"/>
  </x:cols>
  <x:sheetData>
    <x:row r="2">
      <x:c r="B2" s="1" t="str">
        <x:v>Mass-closure uncertainty allocation</x:v>
      </x:c>
    </x:row>
    <x:row r="3">
      <x:c r="B3" s="2" t="str">
        <x:v>Passing the allocation creates a metrology burden; it does not close an event.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Allocation</x:v>
      </x:c>
      <x:c r="C6" s="7" t="str">
        <x:v>Inventory</x:v>
      </x:c>
      <x:c r="D6" s="7" t="str">
        <x:v>Standard uncertainty kg</x:v>
      </x:c>
      <x:c r="E6" s="7" t="str">
        <x:v>Variance kg2</x:v>
      </x:c>
    </x:row>
    <x:row r="7">
      <x:c r="B7" t="str">
        <x:v>MB-01</x:v>
      </x:c>
      <x:c r="C7" t="str">
        <x:v>initial source</x:v>
      </x:c>
      <x:c r="D7" s="14" t="n">
        <x:v>0.8</x:v>
      </x:c>
      <x:c r="E7" s="14" t="n">
        <x:f>D7^2</x:f>
        <x:v>0.6400000000000001</x:v>
      </x:c>
    </x:row>
    <x:row r="8">
      <x:c r="B8" t="str">
        <x:v>MB-02</x:v>
      </x:c>
      <x:c r="C8" t="str">
        <x:v>dispenser residual</x:v>
      </x:c>
      <x:c r="D8" s="14" t="n">
        <x:v>0.9</x:v>
      </x:c>
      <x:c r="E8" s="14" t="n">
        <x:f>D8^2</x:f>
        <x:v>0.81</x:v>
      </x:c>
    </x:row>
    <x:row r="9">
      <x:c r="B9" t="str">
        <x:v>MB-03</x:v>
      </x:c>
      <x:c r="C9" t="str">
        <x:v>terrain and drain residual</x:v>
      </x:c>
      <x:c r="D9" s="14" t="n">
        <x:v>0.95</x:v>
      </x:c>
      <x:c r="E9" s="14" t="n">
        <x:f>D9^2</x:f>
        <x:v>0.9025</x:v>
      </x:c>
    </x:row>
    <x:row r="10">
      <x:c r="B10" t="str">
        <x:v>MB-04</x:v>
      </x:c>
      <x:c r="C10" t="str">
        <x:v>candidate receiver</x:v>
      </x:c>
      <x:c r="D10" s="14" t="n">
        <x:v>1</x:v>
      </x:c>
      <x:c r="E10" s="14" t="n">
        <x:f>D10^2</x:f>
        <x:v>1</x:v>
      </x:c>
    </x:row>
    <x:row r="11">
      <x:c r="B11" t="str">
        <x:v>MB-05</x:v>
      </x:c>
      <x:c r="C11" t="str">
        <x:v>casualty source inventory</x:v>
      </x:c>
      <x:c r="D11" s="14" t="n">
        <x:v>1.2</x:v>
      </x:c>
      <x:c r="E11" s="14" t="n">
        <x:f>D11^2</x:f>
        <x:v>1.44</x:v>
      </x:c>
    </x:row>
    <x:row r="12">
      <x:c r="B12" t="str">
        <x:v>MB-06</x:v>
      </x:c>
      <x:c r="C12" t="str">
        <x:v>burned, emitted or sampled</x:v>
      </x:c>
      <x:c r="D12" s="14" t="n">
        <x:v>1</x:v>
      </x:c>
      <x:c r="E12" s="14" t="n">
        <x:f>D12^2</x:f>
        <x:v>1</x:v>
      </x:c>
    </x:row>
    <x:row r="13">
      <x:c r="D13" s="14"/>
      <x:c r="E13" s="14"/>
    </x:row>
    <x:row r="14">
      <x:c r="B14" s="11" t="str">
        <x:v>TOTAL</x:v>
      </x:c>
      <x:c r="C14" s="11" t="str">
        <x:v>RSS standard</x:v>
      </x:c>
      <x:c r="D14" s="15" t="n">
        <x:f>SQRT(SUM(E7:E12))</x:f>
        <x:v>2.406761309311748</x:v>
      </x:c>
      <x:c r="E14" s="15" t="n">
        <x:f>2*D14</x:f>
        <x:v>4.813522618623496</x:v>
      </x:c>
    </x:row>
    <x:row r="15">
      <x:c r="B15" t="str">
        <x:v>SCREEN</x:v>
      </x:c>
      <x:c r="C15" t="str">
        <x:v>expanded ≤ 5 kg</x:v>
      </x:c>
      <x:c r="D15" s="14" t="str"/>
      <x:c r="E15" s="14" t="str">
        <x:f>IF(E14&lt;=Controls!$D$33,"SCREEN","REOPEN")</x:f>
        <x:v>SCREEN</x:v>
      </x:c>
    </x:row>
  </x:sheetData>
  <x:conditionalFormatting sqref="E15:E15">
    <x:cfRule type="containsText" dxfId="70" priority="1" operator="containsText" text="FAIL"/>
    <x:cfRule type="containsText" dxfId="71" priority="2" operator="containsText" text="INVALID"/>
    <x:cfRule type="containsText" dxfId="72" priority="3" operator="containsText" text="BLOCKED"/>
    <x:cfRule type="containsText" dxfId="73" priority="4" operator="containsText" text="OPEN"/>
    <x:cfRule type="containsText" dxfId="74" priority="5" operator="containsText" text="GAP"/>
    <x:cfRule type="containsText" dxfId="75" priority="6" operator="containsText" text="PASS"/>
    <x:cfRule type="containsText" dxfId="76" priority="7" operator="containsText" text="VALID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9" hidden="0" customWidth="1"/>
    <x:col min="4" max="4" width="17" hidden="0" customWidth="1"/>
    <x:col min="5" max="5" width="31" hidden="0" customWidth="1"/>
    <x:col min="6" max="6" width="21" hidden="0" customWidth="1"/>
    <x:col min="7" max="7" width="21" hidden="0" customWidth="1"/>
  </x:cols>
  <x:sheetData>
    <x:row r="2">
      <x:c r="B2" s="1" t="str">
        <x:v>Ten decision-linked uncertainty chains</x:v>
      </x:c>
    </x:row>
    <x:row r="3">
      <x:c r="B3" s="2" t="str">
        <x:v>Every allocation requires physical calibration and remains separate from the decision threshold.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Chain</x:v>
      </x:c>
      <x:c r="C6" s="7" t="str">
        <x:v>Measure</x:v>
      </x:c>
      <x:c r="D6" s="7" t="str">
        <x:v>Unit</x:v>
      </x:c>
      <x:c r="E6" s="7" t="str">
        <x:v>Planning expanded uncertainty</x:v>
      </x:c>
      <x:c r="F6" s="7" t="str">
        <x:v>Decision limit</x:v>
      </x:c>
      <x:c r="G6" s="7" t="str">
        <x:v>Decision class</x:v>
      </x:c>
    </x:row>
    <x:row r="7">
      <x:c r="B7" t="str">
        <x:v>UC-01</x:v>
      </x:c>
      <x:c r="C7" t="str">
        <x:v>terminal uncontrolled-source time</x:v>
      </x:c>
      <x:c r="D7" t="str">
        <x:v>s</x:v>
      </x:c>
      <x:c r="E7" t="n">
        <x:v>0.25</x:v>
      </x:c>
      <x:c r="F7" t="n">
        <x:v>30</x:v>
      </x:c>
      <x:c r="G7" t="str">
        <x:v>candidate outcome</x:v>
      </x:c>
    </x:row>
    <x:row r="8">
      <x:c r="B8" t="str">
        <x:v>UC-02</x:v>
      </x:c>
      <x:c r="C8" t="str">
        <x:v>source mass closure</x:v>
      </x:c>
      <x:c r="D8" t="str">
        <x:v>kg</x:v>
      </x:c>
      <x:c r="E8" t="n">
        <x:v>4.8135</x:v>
      </x:c>
      <x:c r="F8" t="n">
        <x:v>5</x:v>
      </x:c>
      <x:c r="G8" t="str">
        <x:v>validity</x:v>
      </x:c>
    </x:row>
    <x:row r="9">
      <x:c r="B9" t="str">
        <x:v>UC-03</x:v>
      </x:c>
      <x:c r="C9" t="str">
        <x:v>water inventory</x:v>
      </x:c>
      <x:c r="D9" t="str">
        <x:v>m3</x:v>
      </x:c>
      <x:c r="E9" t="n">
        <x:v>0.2</x:v>
      </x:c>
      <x:c r="F9" t="n">
        <x:v>0.5</x:v>
      </x:c>
      <x:c r="G9" t="str">
        <x:v>outcome</x:v>
      </x:c>
    </x:row>
    <x:row r="10">
      <x:c r="B10" t="str">
        <x:v>UC-04</x:v>
      </x:c>
      <x:c r="C10" t="str">
        <x:v>pool area</x:v>
      </x:c>
      <x:c r="D10" t="str">
        <x:v>m2</x:v>
      </x:c>
      <x:c r="E10" t="n">
        <x:v>0.3</x:v>
      </x:c>
      <x:c r="F10" t="n">
        <x:v>1</x:v>
      </x:c>
      <x:c r="G10" t="str">
        <x:v>outcome</x:v>
      </x:c>
    </x:row>
    <x:row r="11">
      <x:c r="B11" t="str">
        <x:v>UC-05</x:v>
      </x:c>
      <x:c r="C11" t="str">
        <x:v>heat flux</x:v>
      </x:c>
      <x:c r="D11" t="str">
        <x:v>percent</x:v>
      </x:c>
      <x:c r="E11" t="n">
        <x:v>2</x:v>
      </x:c>
      <x:c r="F11" t="n">
        <x:v>5</x:v>
      </x:c>
      <x:c r="G11" t="str">
        <x:v>outcome</x:v>
      </x:c>
    </x:row>
    <x:row r="12">
      <x:c r="B12" t="str">
        <x:v>UC-06</x:v>
      </x:c>
      <x:c r="C12" t="str">
        <x:v>terrain datum</x:v>
      </x:c>
      <x:c r="D12" t="str">
        <x:v>mm</x:v>
      </x:c>
      <x:c r="E12" t="n">
        <x:v>0.5</x:v>
      </x:c>
      <x:c r="F12" t="n">
        <x:v>2</x:v>
      </x:c>
      <x:c r="G12" t="str">
        <x:v>validity</x:v>
      </x:c>
    </x:row>
    <x:row r="13">
      <x:c r="B13" t="str">
        <x:v>UC-07</x:v>
      </x:c>
      <x:c r="C13" t="str">
        <x:v>event time skew</x:v>
      </x:c>
      <x:c r="D13" t="str">
        <x:v>microseconds</x:v>
      </x:c>
      <x:c r="E13" t="n">
        <x:v>5</x:v>
      </x:c>
      <x:c r="F13" t="n">
        <x:v>5</x:v>
      </x:c>
      <x:c r="G13" t="str">
        <x:v>validity</x:v>
      </x:c>
    </x:row>
    <x:row r="14">
      <x:c r="B14" t="str">
        <x:v>UC-08</x:v>
      </x:c>
      <x:c r="C14" t="str">
        <x:v>robot position</x:v>
      </x:c>
      <x:c r="D14" t="str">
        <x:v>m</x:v>
      </x:c>
      <x:c r="E14" t="n">
        <x:v>0.05</x:v>
      </x:c>
      <x:c r="F14" t="n">
        <x:v>0.25</x:v>
      </x:c>
      <x:c r="G14" t="str">
        <x:v>outcome</x:v>
      </x:c>
    </x:row>
    <x:row r="15">
      <x:c r="B15" t="str">
        <x:v>UC-09</x:v>
      </x:c>
      <x:c r="C15" t="str">
        <x:v>casualty time</x:v>
      </x:c>
      <x:c r="D15" t="str">
        <x:v>s</x:v>
      </x:c>
      <x:c r="E15" t="n">
        <x:v>0.25</x:v>
      </x:c>
      <x:c r="F15" t="n">
        <x:v>1</x:v>
      </x:c>
      <x:c r="G15" t="str">
        <x:v>safety</x:v>
      </x:c>
    </x:row>
    <x:row r="16">
      <x:c r="B16" t="str">
        <x:v>UC-10</x:v>
      </x:c>
      <x:c r="C16" t="str">
        <x:v>chemistry allocation</x:v>
      </x:c>
      <x:c r="D16" t="str">
        <x:v>percent</x:v>
      </x:c>
      <x:c r="E16" t="n">
        <x:v>2</x:v>
      </x:c>
      <x:c r="F16" t="n">
        <x:v>5</x:v>
      </x:c>
      <x:c r="G16" t="str">
        <x:v>validity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6" hidden="0" customWidth="1"/>
    <x:col min="4" max="4" width="18" hidden="0" customWidth="1"/>
    <x:col min="5" max="5" width="17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</x:cols>
  <x:sheetData>
    <x:row r="2">
      <x:c r="B2" s="1" t="str">
        <x:v>Native evidence by exact rig load</x:v>
      </x:c>
    </x:row>
    <x:row r="3">
      <x:c r="B3" s="2" t="str">
        <x:v>Exact allocation replaces the prior equal-average screen; reserve tokens and forensic overhead are explicit.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Rig</x:v>
      </x:c>
      <x:c r="C6" s="7" t="str">
        <x:v>Base events</x:v>
      </x:c>
      <x:c r="D6" s="7" t="str">
        <x:v>GB/event</x:v>
      </x:c>
      <x:c r="E6" s="7" t="str">
        <x:v>Base TB</x:v>
      </x:c>
      <x:c r="F6" s="7" t="str">
        <x:v>Reserve allocation</x:v>
      </x:c>
      <x:c r="G6" s="7" t="str">
        <x:v>Reserve TB</x:v>
      </x:c>
      <x:c r="H6" s="7" t="str">
        <x:v>Forensic factor</x:v>
      </x:c>
      <x:c r="I6" s="7" t="str">
        <x:v>Total TB</x:v>
      </x:c>
    </x:row>
    <x:row r="7">
      <x:c r="B7" t="str">
        <x:v>RFP-A1</x:v>
      </x:c>
      <x:c r="C7" s="14" t="n">
        <x:v>21</x:v>
      </x:c>
      <x:c r="D7" s="14" t="n">
        <x:f>Controls!$D$34*(Controls!$D$35+Controls!$D$36*Controls!$D$37)*Controls!$D$38*Controls!$D$39/1000</x:f>
        <x:v>117.65934028800001</x:v>
      </x:c>
      <x:c r="E7" s="14" t="n">
        <x:f>C7*D7/1000</x:f>
        <x:v>2.4708461460480002</x:v>
      </x:c>
      <x:c r="F7" s="14" t="n">
        <x:f>'Stage Matrix'!F15/Controls!$D$9</x:f>
        <x:v>11</x:v>
      </x:c>
      <x:c r="G7" s="14" t="n">
        <x:f>F7*D7/1000</x:f>
        <x:v>1.294252743168</x:v>
      </x:c>
      <x:c r="H7" s="14" t="n">
        <x:f>1+Controls!$D$40</x:f>
        <x:v>1.2</x:v>
      </x:c>
      <x:c r="I7" s="14" t="n">
        <x:f>(E7+G7)*H7</x:f>
        <x:v>4.5181186670592</x:v>
      </x:c>
    </x:row>
    <x:row r="8">
      <x:c r="B8" t="str">
        <x:v>RFP-A2</x:v>
      </x:c>
      <x:c r="C8" s="14" t="n">
        <x:v>21</x:v>
      </x:c>
      <x:c r="D8" s="14" t="n">
        <x:f>Controls!$D$34*(Controls!$D$35+Controls!$D$36*Controls!$D$37)*Controls!$D$38*Controls!$D$39/1000</x:f>
        <x:v>117.65934028800001</x:v>
      </x:c>
      <x:c r="E8" s="14" t="n">
        <x:f>C8*D8/1000</x:f>
        <x:v>2.4708461460480002</x:v>
      </x:c>
      <x:c r="F8" s="14" t="n">
        <x:f>'Stage Matrix'!F15/Controls!$D$9</x:f>
        <x:v>11</x:v>
      </x:c>
      <x:c r="G8" s="14" t="n">
        <x:f>F8*D8/1000</x:f>
        <x:v>1.294252743168</x:v>
      </x:c>
      <x:c r="H8" s="14" t="n">
        <x:f>1+Controls!$D$40</x:f>
        <x:v>1.2</x:v>
      </x:c>
      <x:c r="I8" s="14" t="n">
        <x:f>(E8+G8)*H8</x:f>
        <x:v>4.5181186670592</x:v>
      </x:c>
    </x:row>
    <x:row r="9">
      <x:c r="B9" t="str">
        <x:v>RFP-B1</x:v>
      </x:c>
      <x:c r="C9" s="14" t="n">
        <x:v>66</x:v>
      </x:c>
      <x:c r="D9" s="14" t="n">
        <x:f>Controls!$D$34*(Controls!$D$35+Controls!$D$36*Controls!$D$37)*Controls!$D$38*Controls!$D$39/1000</x:f>
        <x:v>117.65934028800001</x:v>
      </x:c>
      <x:c r="E9" s="14" t="n">
        <x:f>C9*D9/1000</x:f>
        <x:v>7.765516459008</x:v>
      </x:c>
      <x:c r="F9" s="14" t="n">
        <x:f>'Stage Matrix'!F15/Controls!$D$9</x:f>
        <x:v>11</x:v>
      </x:c>
      <x:c r="G9" s="14" t="n">
        <x:f>F9*D9/1000</x:f>
        <x:v>1.294252743168</x:v>
      </x:c>
      <x:c r="H9" s="14" t="n">
        <x:f>1+Controls!$D$40</x:f>
        <x:v>1.2</x:v>
      </x:c>
      <x:c r="I9" s="14" t="n">
        <x:f>(E9+G9)*H9</x:f>
        <x:v>10.8717230426112</x:v>
      </x:c>
    </x:row>
    <x:row r="10">
      <x:c r="B10" t="str">
        <x:v>RFP-B2</x:v>
      </x:c>
      <x:c r="C10" s="14" t="n">
        <x:v>69</x:v>
      </x:c>
      <x:c r="D10" s="14" t="n">
        <x:f>Controls!$D$34*(Controls!$D$35+Controls!$D$36*Controls!$D$37)*Controls!$D$38*Controls!$D$39/1000</x:f>
        <x:v>117.65934028800001</x:v>
      </x:c>
      <x:c r="E10" s="14" t="n">
        <x:f>C10*D10/1000</x:f>
        <x:v>8.118494479872</x:v>
      </x:c>
      <x:c r="F10" s="14" t="n">
        <x:f>'Stage Matrix'!F15/Controls!$D$9</x:f>
        <x:v>11</x:v>
      </x:c>
      <x:c r="G10" s="14" t="n">
        <x:f>F10*D10/1000</x:f>
        <x:v>1.294252743168</x:v>
      </x:c>
      <x:c r="H10" s="14" t="n">
        <x:f>1+Controls!$D$40</x:f>
        <x:v>1.2</x:v>
      </x:c>
      <x:c r="I10" s="14" t="n">
        <x:f>(E10+G10)*H10</x:f>
        <x:v>11.295296667648</x:v>
      </x:c>
    </x:row>
    <x:row r="11">
      <x:c r="B11" t="str">
        <x:v>RFP-C1</x:v>
      </x:c>
      <x:c r="C11" s="14" t="n">
        <x:v>66</x:v>
      </x:c>
      <x:c r="D11" s="14" t="n">
        <x:f>Controls!$D$34*(Controls!$D$35+Controls!$D$36*Controls!$D$37)*Controls!$D$38*Controls!$D$39/1000</x:f>
        <x:v>117.65934028800001</x:v>
      </x:c>
      <x:c r="E11" s="14" t="n">
        <x:f>C11*D11/1000</x:f>
        <x:v>7.765516459008</x:v>
      </x:c>
      <x:c r="F11" s="14" t="n">
        <x:f>'Stage Matrix'!F15/Controls!$D$9</x:f>
        <x:v>11</x:v>
      </x:c>
      <x:c r="G11" s="14" t="n">
        <x:f>F11*D11/1000</x:f>
        <x:v>1.294252743168</x:v>
      </x:c>
      <x:c r="H11" s="14" t="n">
        <x:f>1+Controls!$D$40</x:f>
        <x:v>1.2</x:v>
      </x:c>
      <x:c r="I11" s="14" t="n">
        <x:f>(E11+G11)*H11</x:f>
        <x:v>10.8717230426112</x:v>
      </x:c>
    </x:row>
    <x:row r="12">
      <x:c r="B12" t="str">
        <x:v>RFP-C2</x:v>
      </x:c>
      <x:c r="C12" s="14" t="n">
        <x:v>63</x:v>
      </x:c>
      <x:c r="D12" s="14" t="n">
        <x:f>Controls!$D$34*(Controls!$D$35+Controls!$D$36*Controls!$D$37)*Controls!$D$38*Controls!$D$39/1000</x:f>
        <x:v>117.65934028800001</x:v>
      </x:c>
      <x:c r="E12" s="14" t="n">
        <x:f>C12*D12/1000</x:f>
        <x:v>7.412538438144001</x:v>
      </x:c>
      <x:c r="F12" s="14" t="n">
        <x:f>'Stage Matrix'!F15/Controls!$D$9</x:f>
        <x:v>11</x:v>
      </x:c>
      <x:c r="G12" s="14" t="n">
        <x:f>F12*D12/1000</x:f>
        <x:v>1.294252743168</x:v>
      </x:c>
      <x:c r="H12" s="14" t="n">
        <x:f>1+Controls!$D$40</x:f>
        <x:v>1.2</x:v>
      </x:c>
      <x:c r="I12" s="14" t="n">
        <x:f>(E12+G12)*H12</x:f>
        <x:v>10.4481494175744</x:v>
      </x:c>
    </x:row>
    <x:row r="13">
      <x:c r="C13" s="14"/>
      <x:c r="D13" s="14"/>
      <x:c r="E13" s="14"/>
      <x:c r="F13" s="14"/>
      <x:c r="G13" s="14"/>
      <x:c r="H13" s="14"/>
      <x:c r="I13" s="14"/>
    </x:row>
    <x:row r="14">
      <x:c r="B14" s="11" t="str">
        <x:v>FEDERATION</x:v>
      </x:c>
      <x:c r="C14" s="15" t="n">
        <x:f>SUM(C7:C12)</x:f>
        <x:v>306</x:v>
      </x:c>
      <x:c r="D14" s="15" t="str"/>
      <x:c r="E14" s="15" t="n">
        <x:f>SUM(E7:E12)</x:f>
        <x:v>36.003758128128005</x:v>
      </x:c>
      <x:c r="F14" s="15" t="n">
        <x:f>SUM(F7:F12)</x:f>
        <x:v>66</x:v>
      </x:c>
      <x:c r="G14" s="15" t="n">
        <x:f>SUM(G7:G12)</x:f>
        <x:v>7.765516459008</x:v>
      </x:c>
      <x:c r="H14" s="15" t="str"/>
      <x:c r="I14" s="15" t="n">
        <x:f>SUM(I7:I12)</x:f>
        <x:v>52.523129504563194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2" hidden="0" customWidth="1"/>
    <x:col min="4" max="4" width="18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</x:cols>
  <x:sheetData>
    <x:row r="2">
      <x:c r="B2" s="1" t="str">
        <x:v>Unequal event allocation by physical rig</x:v>
      </x:c>
    </x:row>
    <x:row r="3">
      <x:c r="B3" s="2" t="str">
        <x:v>The Pass 124 51-event storage value was a federation average. Exact site roles create unequal rig loads.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Rig</x:v>
      </x:c>
      <x:c r="C6" s="7" t="str">
        <x:v>Campus</x:v>
      </x:c>
      <x:c r="D6" s="7" t="str">
        <x:v>Development</x:v>
      </x:c>
      <x:c r="E6" s="7" t="str">
        <x:v>Paired</x:v>
      </x:c>
      <x:c r="F6" s="7" t="str">
        <x:v>Destructive</x:v>
      </x:c>
      <x:c r="G6" s="7" t="str">
        <x:v>Reset</x:v>
      </x:c>
      <x:c r="H6" s="7" t="str">
        <x:v>Replay</x:v>
      </x:c>
      <x:c r="I6" s="7" t="str">
        <x:v>Events</x:v>
      </x:c>
      <x:c r="J6" s="7" t="str">
        <x:v>Base rig-days</x:v>
      </x:c>
    </x:row>
    <x:row r="7">
      <x:c r="B7" t="str">
        <x:v>RFP-A1</x:v>
      </x:c>
      <x:c r="C7" t="str">
        <x:v>A</x:v>
      </x:c>
      <x:c r="D7" s="14" t="n">
        <x:v>9</x:v>
      </x:c>
      <x:c r="E7" s="14" t="n">
        <x:v>0</x:v>
      </x:c>
      <x:c r="F7" s="14" t="n">
        <x:v>12</x:v>
      </x:c>
      <x:c r="G7" s="14" t="n">
        <x:v>0</x:v>
      </x:c>
      <x:c r="H7" s="14" t="n">
        <x:v>0</x:v>
      </x:c>
      <x:c r="I7" s="14" t="n">
        <x:v>21</x:v>
      </x:c>
      <x:c r="J7" s="14" t="n">
        <x:v>195</x:v>
      </x:c>
    </x:row>
    <x:row r="8">
      <x:c r="B8" t="str">
        <x:v>RFP-A2</x:v>
      </x:c>
      <x:c r="C8" t="str">
        <x:v>A</x:v>
      </x:c>
      <x:c r="D8" s="14" t="n">
        <x:v>9</x:v>
      </x:c>
      <x:c r="E8" s="14" t="n">
        <x:v>0</x:v>
      </x:c>
      <x:c r="F8" s="14" t="n">
        <x:v>12</x:v>
      </x:c>
      <x:c r="G8" s="14" t="n">
        <x:v>0</x:v>
      </x:c>
      <x:c r="H8" s="14" t="n">
        <x:v>0</x:v>
      </x:c>
      <x:c r="I8" s="14" t="n">
        <x:v>21</x:v>
      </x:c>
      <x:c r="J8" s="14" t="n">
        <x:v>195</x:v>
      </x:c>
    </x:row>
    <x:row r="9">
      <x:c r="B9" t="str">
        <x:v>RFP-B1</x:v>
      </x:c>
      <x:c r="C9" t="str">
        <x:v>B</x:v>
      </x:c>
      <x:c r="D9" s="14" t="n">
        <x:v>15</x:v>
      </x:c>
      <x:c r="E9" s="14" t="n">
        <x:v>48</x:v>
      </x:c>
      <x:c r="F9" s="14" t="n">
        <x:v>0</x:v>
      </x:c>
      <x:c r="G9" s="14" t="n">
        <x:v>3</x:v>
      </x:c>
      <x:c r="H9" s="14" t="n">
        <x:v>0</x:v>
      </x:c>
      <x:c r="I9" s="14" t="n">
        <x:v>66</x:v>
      </x:c>
      <x:c r="J9" s="14" t="n">
        <x:v>411</x:v>
      </x:c>
    </x:row>
    <x:row r="10">
      <x:c r="B10" t="str">
        <x:v>RFP-B2</x:v>
      </x:c>
      <x:c r="C10" t="str">
        <x:v>B</x:v>
      </x:c>
      <x:c r="D10" s="14" t="n">
        <x:v>15</x:v>
      </x:c>
      <x:c r="E10" s="14" t="n">
        <x:v>48</x:v>
      </x:c>
      <x:c r="F10" s="14" t="n">
        <x:v>0</x:v>
      </x:c>
      <x:c r="G10" s="14" t="n">
        <x:v>3</x:v>
      </x:c>
      <x:c r="H10" s="14" t="n">
        <x:v>3</x:v>
      </x:c>
      <x:c r="I10" s="14" t="n">
        <x:v>69</x:v>
      </x:c>
      <x:c r="J10" s="14" t="n">
        <x:v>435</x:v>
      </x:c>
    </x:row>
    <x:row r="11">
      <x:c r="B11" t="str">
        <x:v>RFP-C1</x:v>
      </x:c>
      <x:c r="C11" t="str">
        <x:v>C</x:v>
      </x:c>
      <x:c r="D11" s="14" t="n">
        <x:v>12</x:v>
      </x:c>
      <x:c r="E11" s="14" t="n">
        <x:v>48</x:v>
      </x:c>
      <x:c r="F11" s="14" t="n">
        <x:v>0</x:v>
      </x:c>
      <x:c r="G11" s="14" t="n">
        <x:v>3</x:v>
      </x:c>
      <x:c r="H11" s="14" t="n">
        <x:v>3</x:v>
      </x:c>
      <x:c r="I11" s="14" t="n">
        <x:v>66</x:v>
      </x:c>
      <x:c r="J11" s="14" t="n">
        <x:v>426</x:v>
      </x:c>
    </x:row>
    <x:row r="12">
      <x:c r="B12" t="str">
        <x:v>RFP-C2</x:v>
      </x:c>
      <x:c r="C12" t="str">
        <x:v>C</x:v>
      </x:c>
      <x:c r="D12" s="14" t="n">
        <x:v>12</x:v>
      </x:c>
      <x:c r="E12" s="14" t="n">
        <x:v>48</x:v>
      </x:c>
      <x:c r="F12" s="14" t="n">
        <x:v>0</x:v>
      </x:c>
      <x:c r="G12" s="14" t="n">
        <x:v>3</x:v>
      </x:c>
      <x:c r="H12" s="14" t="n">
        <x:v>0</x:v>
      </x:c>
      <x:c r="I12" s="14" t="n">
        <x:v>63</x:v>
      </x:c>
      <x:c r="J12" s="14" t="n">
        <x:v>402</x:v>
      </x:c>
    </x:row>
    <x:row r="13">
      <x:c r="D13" s="14"/>
      <x:c r="E13" s="14"/>
      <x:c r="F13" s="14"/>
      <x:c r="G13" s="14"/>
      <x:c r="H13" s="14"/>
      <x:c r="I13" s="14"/>
      <x:c r="J13" s="14"/>
    </x:row>
    <x:row r="14">
      <x:c r="D14" s="14"/>
      <x:c r="E14" s="14"/>
      <x:c r="F14" s="14"/>
      <x:c r="G14" s="14"/>
      <x:c r="H14" s="14"/>
      <x:c r="I14" s="14"/>
      <x:c r="J14" s="14"/>
    </x:row>
    <x:row r="15">
      <x:c r="B15" s="11" t="str">
        <x:v>TOTAL</x:v>
      </x:c>
      <x:c r="C15" s="11" t="str"/>
      <x:c r="D15" s="15" t="n">
        <x:f>SUM(D7:D12)</x:f>
        <x:v>72</x:v>
      </x:c>
      <x:c r="E15" s="15" t="n">
        <x:f>SUM(E7:E12)</x:f>
        <x:v>192</x:v>
      </x:c>
      <x:c r="F15" s="15" t="n">
        <x:f>SUM(F7:F12)</x:f>
        <x:v>24</x:v>
      </x:c>
      <x:c r="G15" s="15" t="n">
        <x:f>SUM(G7:G12)</x:f>
        <x:v>12</x:v>
      </x:c>
      <x:c r="H15" s="15" t="n">
        <x:f>SUM(H7:H12)</x:f>
        <x:v>6</x:v>
      </x:c>
      <x:c r="I15" s="15" t="n">
        <x:f>SUM(I7:I12)</x:f>
        <x:v>306</x:v>
      </x:c>
      <x:c r="J15" s="15" t="n">
        <x:f>SUM(J7:J12)</x:f>
        <x:v>2064</x:v>
      </x:c>
    </x:row>
    <x:row r="16">
      <x:c r="D16" s="14"/>
      <x:c r="E16" s="14"/>
      <x:c r="F16" s="14"/>
      <x:c r="G16" s="14"/>
      <x:c r="H16" s="14"/>
      <x:c r="I16" s="14"/>
      <x:c r="J16" s="14"/>
    </x:row>
    <x:row r="17">
      <x:c r="D17" s="14"/>
      <x:c r="E17" s="14"/>
      <x:c r="F17" s="14"/>
      <x:c r="G17" s="14"/>
      <x:c r="H17" s="14"/>
      <x:c r="I17" s="14"/>
      <x:c r="J17" s="14"/>
    </x:row>
    <x:row r="18">
      <x:c r="B18" t="str">
        <x:v>Federation available rig-days</x:v>
      </x:c>
      <x:c r="C18" t="str"/>
      <x:c r="D18" s="14" t="str"/>
      <x:c r="E18" s="14" t="str"/>
      <x:c r="F18" s="14" t="n">
        <x:f>Controls!$D$9*Controls!$D$42*30.44*Controls!$D$41</x:f>
        <x:v>5084.6976</x:v>
      </x:c>
      <x:c r="G18" s="14"/>
      <x:c r="H18" s="14"/>
      <x:c r="I18" s="14"/>
      <x:c r="J18" s="14"/>
    </x:row>
    <x:row r="19">
      <x:c r="B19" t="str">
        <x:v>Base plus reserve rig-days</x:v>
      </x:c>
      <x:c r="C19" t="str"/>
      <x:c r="D19" s="14" t="str"/>
      <x:c r="E19" s="14" t="str"/>
      <x:c r="F19" s="14" t="n">
        <x:f>'Stage Matrix'!H15+'Stage Matrix'!I15</x:f>
        <x:v>2559</x:v>
      </x:c>
      <x:c r="G19" s="14"/>
      <x:c r="H19" s="14"/>
      <x:c r="I19" s="14"/>
      <x:c r="J19" s="14"/>
    </x:row>
    <x:row r="20">
      <x:c r="B20" t="str">
        <x:v>Utilization</x:v>
      </x:c>
      <x:c r="C20" t="str"/>
      <x:c r="D20" s="14" t="str"/>
      <x:c r="E20" s="14" t="str"/>
      <x:c r="F20" s="14" t="n">
        <x:f>F19/F18</x:f>
        <x:v>0.5032747670185932</x:v>
      </x:c>
      <x:c r="G20" s="14"/>
      <x:c r="H20" s="14"/>
      <x:c r="I20" s="14"/>
      <x:c r="J20" s="14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52" hidden="0" customWidth="1"/>
    <x:col min="4" max="4" width="17" hidden="0" customWidth="1"/>
    <x:col min="5" max="5" width="17" hidden="0" customWidth="1"/>
    <x:col min="6" max="6" width="66" hidden="0" customWidth="1"/>
  </x:cols>
  <x:sheetData>
    <x:row r="2">
      <x:c r="B2" s="1" t="str">
        <x:v>Forty-eight-month execution program</x:v>
      </x:c>
    </x:row>
    <x:row r="3">
      <x:c r="B3" s="2" t="str">
        <x:v>Different sites and roots overlap only where authority, recovery and evidence remain independent.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Phase</x:v>
      </x:c>
      <x:c r="C6" s="7" t="str">
        <x:v>Work</x:v>
      </x:c>
      <x:c r="D6" s="7" t="str">
        <x:v>Start month</x:v>
      </x:c>
      <x:c r="E6" s="7" t="str">
        <x:v>End month</x:v>
      </x:c>
      <x:c r="F6" s="7" t="str">
        <x:v>Exit</x:v>
      </x:c>
    </x:row>
    <x:row r="7" ht="42" customHeight="1">
      <x:c r="B7" t="str">
        <x:v>PH-01</x:v>
      </x:c>
      <x:c r="C7" t="str">
        <x:v>execution constitution and independent review</x:v>
      </x:c>
      <x:c r="D7" t="n">
        <x:v>1</x:v>
      </x:c>
      <x:c r="E7" t="n">
        <x:v>4</x:v>
      </x:c>
      <x:c r="F7" s="12" t="str">
        <x:v>register, clock and intervention law frozen</x:v>
      </x:c>
    </x:row>
    <x:row r="8" ht="42" customHeight="1">
      <x:c r="B8" t="str">
        <x:v>PH-02</x:v>
      </x:c>
      <x:c r="C8" t="str">
        <x:v>rig physical acceptance support</x:v>
      </x:c>
      <x:c r="D8" t="n">
        <x:v>2</x:v>
      </x:c>
      <x:c r="E8" t="n">
        <x:v>12</x:v>
      </x:c>
      <x:c r="F8" s="12" t="str">
        <x:v>RFP physical prerequisites available</x:v>
      </x:c>
    </x:row>
    <x:row r="9" ht="42" customHeight="1">
      <x:c r="B9" t="str">
        <x:v>PH-03</x:v>
      </x:c>
      <x:c r="C9" t="str">
        <x:v>method cards and blank events</x:v>
      </x:c>
      <x:c r="D9" t="n">
        <x:v>3</x:v>
      </x:c>
      <x:c r="E9" t="n">
        <x:v>12</x:v>
      </x:c>
      <x:c r="F9" s="12" t="str">
        <x:v>geometry, water and tracer methods accepted</x:v>
      </x:c>
    </x:row>
    <x:row r="10" ht="42" customHeight="1">
      <x:c r="B10" t="str">
        <x:v>PH-04</x:v>
      </x:c>
      <x:c r="C10" t="str">
        <x:v>safe development campaign</x:v>
      </x:c>
      <x:c r="D10" t="n">
        <x:v>8</x:v>
      </x:c>
      <x:c r="E10" t="n">
        <x:v>18</x:v>
      </x:c>
      <x:c r="F10" s="12" t="str">
        <x:v>sixty non-source events dispositioned</x:v>
      </x:c>
    </x:row>
    <x:row r="11" ht="42" customHeight="1">
      <x:c r="B11" t="str">
        <x:v>PH-05</x:v>
      </x:c>
      <x:c r="C11" t="str">
        <x:v>quarter-source development</x:v>
      </x:c>
      <x:c r="D11" t="n">
        <x:v>14</x:v>
      </x:c>
      <x:c r="E11" t="n">
        <x:v>22</x:v>
      </x:c>
      <x:c r="F11" s="12" t="str">
        <x:v>twelve source anchors dispositioned</x:v>
      </x:c>
    </x:row>
    <x:row r="12" ht="42" customHeight="1">
      <x:c r="B12" t="str">
        <x:v>PH-06</x:v>
      </x:c>
      <x:c r="C12" t="str">
        <x:v>quarter-source paired campaign</x:v>
      </x:c>
      <x:c r="D12" t="n">
        <x:v>18</x:v>
      </x:c>
      <x:c r="E12" t="n">
        <x:v>31</x:v>
      </x:c>
      <x:c r="F12" s="12" t="str">
        <x:v>ninety-six paired events executed</x:v>
      </x:c>
    </x:row>
    <x:row r="13" ht="42" customHeight="1">
      <x:c r="B13" t="str">
        <x:v>PH-07</x:v>
      </x:c>
      <x:c r="C13" t="str">
        <x:v>full-source paired campaign</x:v>
      </x:c>
      <x:c r="D13" t="n">
        <x:v>24</x:v>
      </x:c>
      <x:c r="E13" t="n">
        <x:v>39</x:v>
      </x:c>
      <x:c r="F13" s="12" t="str">
        <x:v>ninety-six paired fire events executed</x:v>
      </x:c>
    </x:row>
    <x:row r="14" ht="42" customHeight="1">
      <x:c r="B14" t="str">
        <x:v>PH-08</x:v>
      </x:c>
      <x:c r="C14" t="str">
        <x:v>destructive campaign</x:v>
      </x:c>
      <x:c r="D14" t="n">
        <x:v>32</x:v>
      </x:c>
      <x:c r="E14" t="n">
        <x:v>42</x:v>
      </x:c>
      <x:c r="F14" s="12" t="str">
        <x:v>twenty-four controlled failures executed</x:v>
      </x:c>
    </x:row>
    <x:row r="15" ht="42" customHeight="1">
      <x:c r="B15" t="str">
        <x:v>PH-09</x:v>
      </x:c>
      <x:c r="C15" t="str">
        <x:v>reset demonstrations</x:v>
      </x:c>
      <x:c r="D15" t="n">
        <x:v>28</x:v>
      </x:c>
      <x:c r="E15" t="n">
        <x:v>43</x:v>
      </x:c>
      <x:c r="F15" s="12" t="str">
        <x:v>twelve root-site reset clocks accepted</x:v>
      </x:c>
    </x:row>
    <x:row r="16" ht="42" customHeight="1">
      <x:c r="B16" t="str">
        <x:v>PH-10</x:v>
      </x:c>
      <x:c r="C16" t="str">
        <x:v>cross-site replay</x:v>
      </x:c>
      <x:c r="D16" t="n">
        <x:v>38</x:v>
      </x:c>
      <x:c r="E16" t="n">
        <x:v>44</x:v>
      </x:c>
      <x:c r="F16" s="12" t="str">
        <x:v>six outside-origin decisions accepted</x:v>
      </x:c>
    </x:row>
    <x:row r="17" ht="42" customHeight="1">
      <x:c r="B17" t="str">
        <x:v>PH-11</x:v>
      </x:c>
      <x:c r="C17" t="str">
        <x:v>validity, outcome and causal review</x:v>
      </x:c>
      <x:c r="D17" t="n">
        <x:v>41</x:v>
      </x:c>
      <x:c r="E17" t="n">
        <x:v>47</x:v>
      </x:c>
      <x:c r="F17" s="12" t="str">
        <x:v>events and pairs independently dispositioned</x:v>
      </x:c>
    </x:row>
    <x:row r="18" ht="42" customHeight="1">
      <x:c r="B18" t="str">
        <x:v>PH-12</x:v>
      </x:c>
      <x:c r="C18" t="str">
        <x:v>campaign freeze and transfer</x:v>
      </x:c>
      <x:c r="D18" t="n">
        <x:v>47</x:v>
      </x:c>
      <x:c r="E18" t="n">
        <x:v>48</x:v>
      </x:c>
      <x:c r="F18" s="12" t="str">
        <x:v>immutable Root A decision packet delivered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4" hidden="0" customWidth="1"/>
    <x:col min="3" max="3" width="18" hidden="0" customWidth="1"/>
    <x:col min="4" max="4" width="16" hidden="0" customWidth="1"/>
    <x:col min="5" max="5" width="55" hidden="0" customWidth="1"/>
  </x:cols>
  <x:sheetData>
    <x:row r="2">
      <x:c r="B2" s="1" t="str">
        <x:v>Mission operating establishment</x:v>
      </x:c>
    </x:row>
    <x:row r="3">
      <x:c r="B3" s="2" t="str">
        <x:v>Candidate-builder labor and construction trades are additional contract capacity.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Function</x:v>
      </x:c>
      <x:c r="C6" s="7" t="str">
        <x:v>Positions</x:v>
      </x:c>
      <x:c r="D6" s="7" t="str">
        <x:v>Share</x:v>
      </x:c>
      <x:c r="E6" s="7" t="str">
        <x:v>Mission</x:v>
      </x:c>
    </x:row>
    <x:row r="7">
      <x:c r="B7" t="str">
        <x:v>campaign operations</x:v>
      </x:c>
      <x:c r="C7" s="14" t="n">
        <x:v>108</x:v>
      </x:c>
      <x:c r="D7" s="14" t="n">
        <x:f>C7/C18</x:f>
        <x:v>0.18493150684931506</x:v>
      </x:c>
      <x:c r="E7" t="str">
        <x:v>campaign operations</x:v>
      </x:c>
    </x:row>
    <x:row r="8">
      <x:c r="B8" t="str">
        <x:v>source and chemistry</x:v>
      </x:c>
      <x:c r="C8" s="14" t="n">
        <x:v>66</x:v>
      </x:c>
      <x:c r="D8" s="14" t="n">
        <x:f>C8/C18</x:f>
        <x:v>0.11301369863013698</x:v>
      </x:c>
      <x:c r="E8" t="str">
        <x:v>source and chemistry</x:v>
      </x:c>
    </x:row>
    <x:row r="9">
      <x:c r="B9" t="str">
        <x:v>fire, water and thermal science</x:v>
      </x:c>
      <x:c r="C9" s="14" t="n">
        <x:v>58</x:v>
      </x:c>
      <x:c r="D9" s="14" t="n">
        <x:f>C9/C18</x:f>
        <x:v>0.09931506849315068</x:v>
      </x:c>
      <x:c r="E9" t="str">
        <x:v>fire, water and thermal science</x:v>
      </x:c>
    </x:row>
    <x:row r="10">
      <x:c r="B10" t="str">
        <x:v>instrumentation and evidence</x:v>
      </x:c>
      <x:c r="C10" s="14" t="n">
        <x:v>78</x:v>
      </x:c>
      <x:c r="D10" s="14" t="n">
        <x:f>C10/C18</x:f>
        <x:v>0.13356164383561644</x:v>
      </x:c>
      <x:c r="E10" t="str">
        <x:v>instrumentation and evidence</x:v>
      </x:c>
    </x:row>
    <x:row r="11">
      <x:c r="B11" t="str">
        <x:v>safety, rescue and clinical</x:v>
      </x:c>
      <x:c r="C11" s="14" t="n">
        <x:v>70</x:v>
      </x:c>
      <x:c r="D11" s="14" t="n">
        <x:f>C11/C18</x:f>
        <x:v>0.11986301369863013</x:v>
      </x:c>
      <x:c r="E11" t="str">
        <x:v>safety, rescue and clinical</x:v>
      </x:c>
    </x:row>
    <x:row r="12">
      <x:c r="B12" t="str">
        <x:v>candidate integration</x:v>
      </x:c>
      <x:c r="C12" s="14" t="n">
        <x:v>62</x:v>
      </x:c>
      <x:c r="D12" s="14" t="n">
        <x:f>C12/C18</x:f>
        <x:v>0.10616438356164383</x:v>
      </x:c>
      <x:c r="E12" t="str">
        <x:v>candidate integration</x:v>
      </x:c>
    </x:row>
    <x:row r="13">
      <x:c r="B13" t="str">
        <x:v>robotics and recovery</x:v>
      </x:c>
      <x:c r="C13" s="14" t="n">
        <x:v>48</x:v>
      </x:c>
      <x:c r="D13" s="14" t="n">
        <x:f>C13/C18</x:f>
        <x:v>0.0821917808219178</x:v>
      </x:c>
      <x:c r="E13" t="str">
        <x:v>robotics and recovery</x:v>
      </x:c>
    </x:row>
    <x:row r="14">
      <x:c r="B14" t="str">
        <x:v>environmental custody</x:v>
      </x:c>
      <x:c r="C14" s="14" t="n">
        <x:v>34</x:v>
      </x:c>
      <x:c r="D14" s="14" t="n">
        <x:f>C14/C18</x:f>
        <x:v>0.05821917808219178</x:v>
      </x:c>
      <x:c r="E14" t="str">
        <x:v>environmental custody</x:v>
      </x:c>
    </x:row>
    <x:row r="15">
      <x:c r="B15" t="str">
        <x:v>authority and adjudication</x:v>
      </x:c>
      <x:c r="C15" s="14" t="n">
        <x:v>34</x:v>
      </x:c>
      <x:c r="D15" s="14" t="n">
        <x:f>C15/C18</x:f>
        <x:v>0.05821917808219178</x:v>
      </x:c>
      <x:c r="E15" t="str">
        <x:v>authority and adjudication</x:v>
      </x:c>
    </x:row>
    <x:row r="16">
      <x:c r="B16" t="str">
        <x:v>logistics and facilities</x:v>
      </x:c>
      <x:c r="C16" s="14" t="n">
        <x:v>26</x:v>
      </x:c>
      <x:c r="D16" s="14" t="n">
        <x:f>C16/C18</x:f>
        <x:v>0.04452054794520548</x:v>
      </x:c>
      <x:c r="E16" t="str">
        <x:v>logistics and facilities</x:v>
      </x:c>
    </x:row>
    <x:row r="17">
      <x:c r="C17" s="14"/>
      <x:c r="D17" s="14"/>
    </x:row>
    <x:row r="18">
      <x:c r="B18" s="11" t="str">
        <x:v>TOTAL</x:v>
      </x:c>
      <x:c r="C18" s="15" t="n">
        <x:f>SUM(C7:C16)</x:f>
        <x:v>584</x:v>
      </x:c>
      <x:c r="D18" s="15" t="n">
        <x:v>1</x:v>
      </x:c>
      <x:c r="E18" s="11" t="str">
        <x:v>mission establishment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9" hidden="0" customWidth="1"/>
    <x:col min="3" max="3" width="20" hidden="0" customWidth="1"/>
    <x:col min="4" max="4" width="19" hidden="0" customWidth="1"/>
    <x:col min="5" max="5" width="21" hidden="0" customWidth="1"/>
    <x:col min="6" max="6" width="18" hidden="0" customWidth="1"/>
    <x:col min="7" max="7" width="14" hidden="0" customWidth="1"/>
  </x:cols>
  <x:sheetData>
    <x:row r="2">
      <x:c r="B2" s="1" t="str">
        <x:v>RFE-1 capital allocation</x:v>
      </x:c>
    </x:row>
    <x:row r="3">
      <x:c r="B3" s="2" t="str">
        <x:v>Gross, CISA and shared-technology ownership sum explicitly.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Element</x:v>
      </x:c>
      <x:c r="C6" s="7" t="str">
        <x:v>Gross USD M</x:v>
      </x:c>
      <x:c r="D6" s="7" t="str">
        <x:v>CISA USD M</x:v>
      </x:c>
      <x:c r="E6" s="7" t="str">
        <x:v>Shared USD M</x:v>
      </x:c>
      <x:c r="F6" s="7" t="str">
        <x:v>Share check</x:v>
      </x:c>
      <x:c r="G6" s="7" t="str">
        <x:v>State</x:v>
      </x:c>
    </x:row>
    <x:row r="7">
      <x:c r="B7" t="str">
        <x:v>execution conversion</x:v>
      </x:c>
      <x:c r="C7" s="14" t="n">
        <x:v>72</x:v>
      </x:c>
      <x:c r="D7" s="14" t="n">
        <x:v>44</x:v>
      </x:c>
      <x:c r="E7" s="14" t="n">
        <x:v>28</x:v>
      </x:c>
      <x:c r="F7" s="14" t="n">
        <x:f>C7-D7-E7</x:f>
        <x:v>0</x:v>
      </x:c>
      <x:c r="G7" t="str">
        <x:f>IF(ABS(F7)&lt;0.001,"PASS","FAIL")</x:f>
        <x:v>PASS</x:v>
      </x:c>
    </x:row>
    <x:row r="8">
      <x:c r="B8" t="str">
        <x:v>source lots and conditioning</x:v>
      </x:c>
      <x:c r="C8" s="14" t="n">
        <x:v>50</x:v>
      </x:c>
      <x:c r="D8" s="14" t="n">
        <x:v>34</x:v>
      </x:c>
      <x:c r="E8" s="14" t="n">
        <x:v>16</x:v>
      </x:c>
      <x:c r="F8" s="14" t="n">
        <x:f>C8-D8-E8</x:f>
        <x:v>0</x:v>
      </x:c>
      <x:c r="G8" t="str">
        <x:f>IF(ABS(F8)&lt;0.001,"PASS","FAIL")</x:f>
        <x:v>PASS</x:v>
      </x:c>
    </x:row>
    <x:row r="9">
      <x:c r="B9" t="str">
        <x:v>thermal and water operations</x:v>
      </x:c>
      <x:c r="C9" s="14" t="n">
        <x:v>54</x:v>
      </x:c>
      <x:c r="D9" s="14" t="n">
        <x:v>36</x:v>
      </x:c>
      <x:c r="E9" s="14" t="n">
        <x:v>18</x:v>
      </x:c>
      <x:c r="F9" s="14" t="n">
        <x:f>C9-D9-E9</x:f>
        <x:v>0</x:v>
      </x:c>
      <x:c r="G9" t="str">
        <x:f>IF(ABS(F9)&lt;0.001,"PASS","FAIL")</x:f>
        <x:v>PASS</x:v>
      </x:c>
    </x:row>
    <x:row r="10">
      <x:c r="B10" t="str">
        <x:v>measurement, time and native evidence</x:v>
      </x:c>
      <x:c r="C10" s="14" t="n">
        <x:v>60</x:v>
      </x:c>
      <x:c r="D10" s="14" t="n">
        <x:v>30</x:v>
      </x:c>
      <x:c r="E10" s="14" t="n">
        <x:v>30</x:v>
      </x:c>
      <x:c r="F10" s="14" t="n">
        <x:f>C10-D10-E10</x:f>
        <x:v>0</x:v>
      </x:c>
      <x:c r="G10" t="str">
        <x:f>IF(ABS(F10)&lt;0.001,"PASS","FAIL")</x:f>
        <x:v>PASS</x:v>
      </x:c>
    </x:row>
    <x:row r="11">
      <x:c r="B11" t="str">
        <x:v>safety, rescue and clinical</x:v>
      </x:c>
      <x:c r="C11" s="14" t="n">
        <x:v>42</x:v>
      </x:c>
      <x:c r="D11" s="14" t="n">
        <x:v>28</x:v>
      </x:c>
      <x:c r="E11" s="14" t="n">
        <x:v>14</x:v>
      </x:c>
      <x:c r="F11" s="14" t="n">
        <x:f>C11-D11-E11</x:f>
        <x:v>0</x:v>
      </x:c>
      <x:c r="G11" t="str">
        <x:f>IF(ABS(F11)&lt;0.001,"PASS","FAIL")</x:f>
        <x:v>PASS</x:v>
      </x:c>
    </x:row>
    <x:row r="12">
      <x:c r="B12" t="str">
        <x:v>environmental custody</x:v>
      </x:c>
      <x:c r="C12" s="14" t="n">
        <x:v>38</x:v>
      </x:c>
      <x:c r="D12" s="14" t="n">
        <x:v>26</x:v>
      </x:c>
      <x:c r="E12" s="14" t="n">
        <x:v>12</x:v>
      </x:c>
      <x:c r="F12" s="14" t="n">
        <x:f>C12-D12-E12</x:f>
        <x:v>0</x:v>
      </x:c>
      <x:c r="G12" t="str">
        <x:f>IF(ABS(F12)&lt;0.001,"PASS","FAIL")</x:f>
        <x:v>PASS</x:v>
      </x:c>
    </x:row>
    <x:row r="13">
      <x:c r="B13" t="str">
        <x:v>robotics and recovery</x:v>
      </x:c>
      <x:c r="C13" s="14" t="n">
        <x:v>34</x:v>
      </x:c>
      <x:c r="D13" s="14" t="n">
        <x:v>22</x:v>
      </x:c>
      <x:c r="E13" s="14" t="n">
        <x:v>12</x:v>
      </x:c>
      <x:c r="F13" s="14" t="n">
        <x:f>C13-D13-E13</x:f>
        <x:v>0</x:v>
      </x:c>
      <x:c r="G13" t="str">
        <x:f>IF(ABS(F13)&lt;0.001,"PASS","FAIL")</x:f>
        <x:v>PASS</x:v>
      </x:c>
    </x:row>
    <x:row r="14">
      <x:c r="B14" t="str">
        <x:v>cross-site evidence</x:v>
      </x:c>
      <x:c r="C14" s="14" t="n">
        <x:v>22</x:v>
      </x:c>
      <x:c r="D14" s="14" t="n">
        <x:v>8</x:v>
      </x:c>
      <x:c r="E14" s="14" t="n">
        <x:v>14</x:v>
      </x:c>
      <x:c r="F14" s="14" t="n">
        <x:f>C14-D14-E14</x:f>
        <x:v>0</x:v>
      </x:c>
      <x:c r="G14" t="str">
        <x:f>IF(ABS(F14)&lt;0.001,"PASS","FAIL")</x:f>
        <x:v>PASS</x:v>
      </x:c>
    </x:row>
    <x:row r="15">
      <x:c r="B15" t="str">
        <x:v>spares and controlled rebuild</x:v>
      </x:c>
      <x:c r="C15" s="14" t="n">
        <x:v>18</x:v>
      </x:c>
      <x:c r="D15" s="14" t="n">
        <x:v>12</x:v>
      </x:c>
      <x:c r="E15" s="14" t="n">
        <x:v>6</x:v>
      </x:c>
      <x:c r="F15" s="14" t="n">
        <x:f>C15-D15-E15</x:f>
        <x:v>0</x:v>
      </x:c>
      <x:c r="G15" t="str">
        <x:f>IF(ABS(F15)&lt;0.001,"PASS","FAIL")</x:f>
        <x:v>PASS</x:v>
      </x:c>
    </x:row>
    <x:row r="16">
      <x:c r="B16" t="str">
        <x:v>method laboratories</x:v>
      </x:c>
      <x:c r="C16" s="14" t="n">
        <x:v>12</x:v>
      </x:c>
      <x:c r="D16" s="14" t="n">
        <x:v>8</x:v>
      </x:c>
      <x:c r="E16" s="14" t="n">
        <x:v>4</x:v>
      </x:c>
      <x:c r="F16" s="14" t="n">
        <x:f>C16-D16-E16</x:f>
        <x:v>0</x:v>
      </x:c>
      <x:c r="G16" t="str">
        <x:f>IF(ABS(F16)&lt;0.001,"PASS","FAIL")</x:f>
        <x:v>PASS</x:v>
      </x:c>
    </x:row>
    <x:row r="17">
      <x:c r="B17" t="str">
        <x:v>commissioning and authority setup</x:v>
      </x:c>
      <x:c r="C17" s="14" t="n">
        <x:v>8</x:v>
      </x:c>
      <x:c r="D17" s="14" t="n">
        <x:v>5</x:v>
      </x:c>
      <x:c r="E17" s="14" t="n">
        <x:v>3</x:v>
      </x:c>
      <x:c r="F17" s="14" t="n">
        <x:f>C17-D17-E17</x:f>
        <x:v>0</x:v>
      </x:c>
      <x:c r="G17" t="str">
        <x:f>IF(ABS(F17)&lt;0.001,"PASS","FAIL")</x:f>
        <x:v>PASS</x:v>
      </x:c>
    </x:row>
    <x:row r="18">
      <x:c r="B18" t="str">
        <x:v>controlled capital uncertainty</x:v>
      </x:c>
      <x:c r="C18" s="14" t="n">
        <x:v>10</x:v>
      </x:c>
      <x:c r="D18" s="14" t="n">
        <x:v>7</x:v>
      </x:c>
      <x:c r="E18" s="14" t="n">
        <x:v>3</x:v>
      </x:c>
      <x:c r="F18" s="14" t="n">
        <x:f>C18-D18-E18</x:f>
        <x:v>0</x:v>
      </x:c>
      <x:c r="G18" t="str">
        <x:f>IF(ABS(F18)&lt;0.001,"PASS","FAIL")</x:f>
        <x:v>PASS</x:v>
      </x:c>
    </x:row>
    <x:row r="19">
      <x:c r="C19" s="14"/>
      <x:c r="D19" s="14"/>
      <x:c r="E19" s="14"/>
      <x:c r="F19" s="14"/>
    </x:row>
    <x:row r="20">
      <x:c r="B20" s="11" t="str">
        <x:v>TOTAL</x:v>
      </x:c>
      <x:c r="C20" s="15" t="n">
        <x:f>SUM(C7:C18)</x:f>
        <x:v>420</x:v>
      </x:c>
      <x:c r="D20" s="15" t="n">
        <x:f>SUM(D7:D18)</x:f>
        <x:v>260</x:v>
      </x:c>
      <x:c r="E20" s="15" t="n">
        <x:f>SUM(E7:E18)</x:f>
        <x:v>160</x:v>
      </x:c>
      <x:c r="F20" s="15" t="n">
        <x:f>C20-D20-E20</x:f>
        <x:v>0</x:v>
      </x:c>
      <x:c r="G20" s="11" t="str">
        <x:f>IF(ABS(F20)&lt;0.001,"PASS","FAIL")</x:f>
        <x:v>PASS</x:v>
      </x:c>
    </x:row>
  </x:sheetData>
  <x:conditionalFormatting sqref="G7:G20">
    <x:cfRule type="containsText" dxfId="77" priority="1" operator="containsText" text="FAIL"/>
    <x:cfRule type="containsText" dxfId="78" priority="2" operator="containsText" text="INVALID"/>
    <x:cfRule type="containsText" dxfId="79" priority="3" operator="containsText" text="BLOCKED"/>
    <x:cfRule type="containsText" dxfId="80" priority="4" operator="containsText" text="OPEN"/>
    <x:cfRule type="containsText" dxfId="81" priority="5" operator="containsText" text="GAP"/>
    <x:cfRule type="containsText" dxfId="82" priority="6" operator="containsText" text="PASS"/>
    <x:cfRule type="containsText" dxfId="83" priority="7" operator="containsText" text="VALID"/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9" hidden="0" customWidth="1"/>
    <x:col min="3" max="3" width="23" hidden="0" customWidth="1"/>
    <x:col min="4" max="4" width="22" hidden="0" customWidth="1"/>
    <x:col min="5" max="5" width="24" hidden="0" customWidth="1"/>
    <x:col min="6" max="6" width="18" hidden="0" customWidth="1"/>
    <x:col min="7" max="7" width="14" hidden="0" customWidth="1"/>
  </x:cols>
  <x:sheetData>
    <x:row r="2">
      <x:c r="B2" s="1" t="str">
        <x:v>RFE-1 annual operating allocation</x:v>
      </x:c>
    </x:row>
    <x:row r="3">
      <x:c r="B3" s="2" t="str">
        <x:v>Permanent public competence is not hidden in construction capital.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Element</x:v>
      </x:c>
      <x:c r="C6" s="7" t="str">
        <x:v>Gross USD M/year</x:v>
      </x:c>
      <x:c r="D6" s="7" t="str">
        <x:v>CISA USD M/year</x:v>
      </x:c>
      <x:c r="E6" s="7" t="str">
        <x:v>Shared USD M/year</x:v>
      </x:c>
      <x:c r="F6" s="7" t="str">
        <x:v>Share check</x:v>
      </x:c>
      <x:c r="G6" s="7" t="str">
        <x:v>State</x:v>
      </x:c>
    </x:row>
    <x:row r="7">
      <x:c r="B7" t="str">
        <x:v>mission workforce</x:v>
      </x:c>
      <x:c r="C7" s="14" t="n">
        <x:v>114</x:v>
      </x:c>
      <x:c r="D7" s="14" t="n">
        <x:v>72</x:v>
      </x:c>
      <x:c r="E7" s="14" t="n">
        <x:v>42</x:v>
      </x:c>
      <x:c r="F7" s="14" t="n">
        <x:f>C7-D7-E7</x:f>
        <x:v>0</x:v>
      </x:c>
      <x:c r="G7" t="str">
        <x:f>IF(ABS(F7)&lt;0.001,"PASS","FAIL")</x:f>
        <x:v>PASS</x:v>
      </x:c>
    </x:row>
    <x:row r="8">
      <x:c r="B8" t="str">
        <x:v>source and media</x:v>
      </x:c>
      <x:c r="C8" s="14" t="n">
        <x:v>28</x:v>
      </x:c>
      <x:c r="D8" s="14" t="n">
        <x:v>20</x:v>
      </x:c>
      <x:c r="E8" s="14" t="n">
        <x:v>8</x:v>
      </x:c>
      <x:c r="F8" s="14" t="n">
        <x:f>C8-D8-E8</x:f>
        <x:v>0</x:v>
      </x:c>
      <x:c r="G8" t="str">
        <x:f>IF(ABS(F8)&lt;0.001,"PASS","FAIL")</x:f>
        <x:v>PASS</x:v>
      </x:c>
    </x:row>
    <x:row r="9">
      <x:c r="B9" t="str">
        <x:v>facilities and utilities</x:v>
      </x:c>
      <x:c r="C9" s="14" t="n">
        <x:v>24</x:v>
      </x:c>
      <x:c r="D9" s="14" t="n">
        <x:v>14</x:v>
      </x:c>
      <x:c r="E9" s="14" t="n">
        <x:v>10</x:v>
      </x:c>
      <x:c r="F9" s="14" t="n">
        <x:f>C9-D9-E9</x:f>
        <x:v>0</x:v>
      </x:c>
      <x:c r="G9" t="str">
        <x:f>IF(ABS(F9)&lt;0.001,"PASS","FAIL")</x:f>
        <x:v>PASS</x:v>
      </x:c>
    </x:row>
    <x:row r="10">
      <x:c r="B10" t="str">
        <x:v>maintenance and calibration</x:v>
      </x:c>
      <x:c r="C10" s="14" t="n">
        <x:v>18</x:v>
      </x:c>
      <x:c r="D10" s="14" t="n">
        <x:v>10</x:v>
      </x:c>
      <x:c r="E10" s="14" t="n">
        <x:v>8</x:v>
      </x:c>
      <x:c r="F10" s="14" t="n">
        <x:f>C10-D10-E10</x:f>
        <x:v>0</x:v>
      </x:c>
      <x:c r="G10" t="str">
        <x:f>IF(ABS(F10)&lt;0.001,"PASS","FAIL")</x:f>
        <x:v>PASS</x:v>
      </x:c>
    </x:row>
    <x:row r="11">
      <x:c r="B11" t="str">
        <x:v>native evidence estate</x:v>
      </x:c>
      <x:c r="C11" s="14" t="n">
        <x:v>12</x:v>
      </x:c>
      <x:c r="D11" s="14" t="n">
        <x:v>5</x:v>
      </x:c>
      <x:c r="E11" s="14" t="n">
        <x:v>7</x:v>
      </x:c>
      <x:c r="F11" s="14" t="n">
        <x:f>C11-D11-E11</x:f>
        <x:v>0</x:v>
      </x:c>
      <x:c r="G11" t="str">
        <x:f>IF(ABS(F11)&lt;0.001,"PASS","FAIL")</x:f>
        <x:v>PASS</x:v>
      </x:c>
    </x:row>
    <x:row r="12">
      <x:c r="B12" t="str">
        <x:v>safety, rescue and clinical</x:v>
      </x:c>
      <x:c r="C12" s="14" t="n">
        <x:v>12</x:v>
      </x:c>
      <x:c r="D12" s="14" t="n">
        <x:v>8</x:v>
      </x:c>
      <x:c r="E12" s="14" t="n">
        <x:v>4</x:v>
      </x:c>
      <x:c r="F12" s="14" t="n">
        <x:f>C12-D12-E12</x:f>
        <x:v>0</x:v>
      </x:c>
      <x:c r="G12" t="str">
        <x:f>IF(ABS(F12)&lt;0.001,"PASS","FAIL")</x:f>
        <x:v>PASS</x:v>
      </x:c>
    </x:row>
    <x:row r="13">
      <x:c r="B13" t="str">
        <x:v>environmental disposition</x:v>
      </x:c>
      <x:c r="C13" s="14" t="n">
        <x:v>8</x:v>
      </x:c>
      <x:c r="D13" s="14" t="n">
        <x:v>5</x:v>
      </x:c>
      <x:c r="E13" s="14" t="n">
        <x:v>3</x:v>
      </x:c>
      <x:c r="F13" s="14" t="n">
        <x:f>C13-D13-E13</x:f>
        <x:v>0</x:v>
      </x:c>
      <x:c r="G13" t="str">
        <x:f>IF(ABS(F13)&lt;0.001,"PASS","FAIL")</x:f>
        <x:v>PASS</x:v>
      </x:c>
    </x:row>
    <x:row r="14">
      <x:c r="B14" t="str">
        <x:v>controlled rebuild</x:v>
      </x:c>
      <x:c r="C14" s="14" t="n">
        <x:v>6</x:v>
      </x:c>
      <x:c r="D14" s="14" t="n">
        <x:v>4</x:v>
      </x:c>
      <x:c r="E14" s="14" t="n">
        <x:v>2</x:v>
      </x:c>
      <x:c r="F14" s="14" t="n">
        <x:f>C14-D14-E14</x:f>
        <x:v>0</x:v>
      </x:c>
      <x:c r="G14" t="str">
        <x:f>IF(ABS(F14)&lt;0.001,"PASS","FAIL")</x:f>
        <x:v>PASS</x:v>
      </x:c>
    </x:row>
    <x:row r="15">
      <x:c r="B15" t="str">
        <x:v>independent review</x:v>
      </x:c>
      <x:c r="C15" s="14" t="n">
        <x:v>4</x:v>
      </x:c>
      <x:c r="D15" s="14" t="n">
        <x:v>1</x:v>
      </x:c>
      <x:c r="E15" s="14" t="n">
        <x:v>3</x:v>
      </x:c>
      <x:c r="F15" s="14" t="n">
        <x:f>C15-D15-E15</x:f>
        <x:v>0</x:v>
      </x:c>
      <x:c r="G15" t="str">
        <x:f>IF(ABS(F15)&lt;0.001,"PASS","FAIL")</x:f>
        <x:v>PASS</x:v>
      </x:c>
    </x:row>
    <x:row r="16">
      <x:c r="B16" t="str">
        <x:v>controlled annual uncertainty</x:v>
      </x:c>
      <x:c r="C16" s="14" t="n">
        <x:v>2</x:v>
      </x:c>
      <x:c r="D16" s="14" t="n">
        <x:v>1</x:v>
      </x:c>
      <x:c r="E16" s="14" t="n">
        <x:v>1</x:v>
      </x:c>
      <x:c r="F16" s="14" t="n">
        <x:f>C16-D16-E16</x:f>
        <x:v>0</x:v>
      </x:c>
      <x:c r="G16" t="str">
        <x:f>IF(ABS(F16)&lt;0.001,"PASS","FAIL")</x:f>
        <x:v>PASS</x:v>
      </x:c>
    </x:row>
    <x:row r="17">
      <x:c r="C17" s="14"/>
      <x:c r="D17" s="14"/>
      <x:c r="E17" s="14"/>
      <x:c r="F17" s="14"/>
    </x:row>
    <x:row r="18">
      <x:c r="B18" s="11" t="str">
        <x:v>TOTAL</x:v>
      </x:c>
      <x:c r="C18" s="15" t="n">
        <x:f>SUM(C7:C16)</x:f>
        <x:v>228</x:v>
      </x:c>
      <x:c r="D18" s="15" t="n">
        <x:f>SUM(D7:D16)</x:f>
        <x:v>140</x:v>
      </x:c>
      <x:c r="E18" s="15" t="n">
        <x:f>SUM(E7:E16)</x:f>
        <x:v>88</x:v>
      </x:c>
      <x:c r="F18" s="15" t="n">
        <x:f>C18-D18-E18</x:f>
        <x:v>0</x:v>
      </x:c>
      <x:c r="G18" s="11" t="str">
        <x:f>IF(ABS(F18)&lt;0.001,"PASS","FAIL")</x:f>
        <x:v>PASS</x:v>
      </x:c>
    </x:row>
  </x:sheetData>
  <x:conditionalFormatting sqref="G7:G18">
    <x:cfRule type="containsText" dxfId="84" priority="1" operator="containsText" text="FAIL"/>
    <x:cfRule type="containsText" dxfId="85" priority="2" operator="containsText" text="INVALID"/>
    <x:cfRule type="containsText" dxfId="86" priority="3" operator="containsText" text="BLOCKED"/>
    <x:cfRule type="containsText" dxfId="87" priority="4" operator="containsText" text="OPEN"/>
    <x:cfRule type="containsText" dxfId="88" priority="5" operator="containsText" text="GAP"/>
    <x:cfRule type="containsText" dxfId="89" priority="6" operator="containsText" text="PASS"/>
    <x:cfRule type="containsText" dxfId="90" priority="7" operator="containsText" text="VALID"/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3" hidden="0" customWidth="1"/>
    <x:col min="3" max="3" width="22" hidden="0" customWidth="1"/>
    <x:col min="4" max="4" width="24" hidden="0" customWidth="1"/>
    <x:col min="5" max="5" width="59" hidden="0" customWidth="1"/>
  </x:cols>
  <x:sheetData>
    <x:row r="2">
      <x:c r="B2" s="1" t="str">
        <x:v>Gross, overlap, ownership and corrected boundary</x:v>
      </x:c>
    </x:row>
    <x:row r="3">
      <x:c r="B3" s="2" t="str">
        <x:v>Overlap prevents duplicate counting; it does not reduce the physical obligation.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View</x:v>
      </x:c>
      <x:c r="C6" s="7" t="str">
        <x:v>Capital USD M</x:v>
      </x:c>
      <x:c r="D6" s="7" t="str">
        <x:v>Annual USD M/year</x:v>
      </x:c>
      <x:c r="E6" s="7" t="str">
        <x:v>Formula note</x:v>
      </x:c>
    </x:row>
    <x:row r="7">
      <x:c r="B7" t="str">
        <x:v>RFE-1 gross</x:v>
      </x:c>
      <x:c r="C7" s="14" t="n">
        <x:f>Controls!$D$44</x:f>
        <x:v>420</x:v>
      </x:c>
      <x:c r="D7" s="14" t="n">
        <x:f>Controls!$D$45</x:f>
        <x:v>228</x:v>
      </x:c>
      <x:c r="E7" t="str"/>
    </x:row>
    <x:row r="8">
      <x:c r="B8" t="str">
        <x:v>registered overlap</x:v>
      </x:c>
      <x:c r="C8" s="14" t="n">
        <x:f>Controls!$D$50</x:f>
        <x:v>370</x:v>
      </x:c>
      <x:c r="D8" s="14" t="n">
        <x:f>Controls!$D$51</x:f>
        <x:v>184</x:v>
      </x:c>
      <x:c r="E8" t="str"/>
    </x:row>
    <x:row r="9">
      <x:c r="B9" t="str">
        <x:v>gross net-new</x:v>
      </x:c>
      <x:c r="C9" s="14" t="n">
        <x:f>C7-C8</x:f>
        <x:v>50</x:v>
      </x:c>
      <x:c r="D9" s="14" t="n">
        <x:f>D7-D8</x:f>
        <x:v>44</x:v>
      </x:c>
      <x:c r="E9" t="str"/>
    </x:row>
    <x:row r="10">
      <x:c r="B10" t="str">
        <x:v>CISA gross share</x:v>
      </x:c>
      <x:c r="C10" s="14" t="n">
        <x:f>Controls!$D$46</x:f>
        <x:v>260</x:v>
      </x:c>
      <x:c r="D10" s="14" t="n">
        <x:f>Controls!$D$48</x:f>
        <x:v>140</x:v>
      </x:c>
      <x:c r="E10" t="str"/>
    </x:row>
    <x:row r="11">
      <x:c r="B11" t="str">
        <x:v>CISA overlap</x:v>
      </x:c>
      <x:c r="C11" s="14" t="n">
        <x:f>Controls!$D$52</x:f>
        <x:v>230</x:v>
      </x:c>
      <x:c r="D11" s="14" t="n">
        <x:f>Controls!$D$53</x:f>
        <x:v>112</x:v>
      </x:c>
      <x:c r="E11" t="str"/>
    </x:row>
    <x:row r="12">
      <x:c r="B12" t="str">
        <x:v>CISA net-new</x:v>
      </x:c>
      <x:c r="C12" s="14" t="n">
        <x:f>C10-C11</x:f>
        <x:v>30</x:v>
      </x:c>
      <x:c r="D12" s="14" t="n">
        <x:f>D10-D11</x:f>
        <x:v>28</x:v>
      </x:c>
      <x:c r="E12" t="str"/>
    </x:row>
    <x:row r="13">
      <x:c r="B13" t="str">
        <x:v>shared gross share</x:v>
      </x:c>
      <x:c r="C13" s="14" t="n">
        <x:f>Controls!$D$47</x:f>
        <x:v>160</x:v>
      </x:c>
      <x:c r="D13" s="14" t="n">
        <x:f>Controls!$D$49</x:f>
        <x:v>88</x:v>
      </x:c>
      <x:c r="E13" t="str"/>
    </x:row>
    <x:row r="14">
      <x:c r="B14" t="str">
        <x:v>shared overlap</x:v>
      </x:c>
      <x:c r="C14" s="14" t="n">
        <x:f>Controls!$D$54</x:f>
        <x:v>140</x:v>
      </x:c>
      <x:c r="D14" s="14" t="n">
        <x:f>Controls!$D$55</x:f>
        <x:v>72</x:v>
      </x:c>
      <x:c r="E14" t="str"/>
    </x:row>
    <x:row r="15">
      <x:c r="B15" t="str">
        <x:v>shared net-new</x:v>
      </x:c>
      <x:c r="C15" s="14" t="n">
        <x:f>C13-C14</x:f>
        <x:v>20</x:v>
      </x:c>
      <x:c r="D15" s="14" t="n">
        <x:f>D13-D14</x:f>
        <x:v>16</x:v>
      </x:c>
      <x:c r="E15" t="str"/>
    </x:row>
    <x:row r="16">
      <x:c r="B16" t="str">
        <x:v>BRD-10R inherited</x:v>
      </x:c>
      <x:c r="C16" s="14" t="n">
        <x:f>Controls!$D$56</x:f>
        <x:v>2295</x:v>
      </x:c>
      <x:c r="D16" s="14" t="n">
        <x:f>Controls!$D$57</x:f>
        <x:v>386</x:v>
      </x:c>
      <x:c r="E16" t="str"/>
    </x:row>
    <x:row r="17">
      <x:c r="B17" t="str">
        <x:v>BRD-11R corrected</x:v>
      </x:c>
      <x:c r="C17" s="14" t="n">
        <x:f>C16+C12</x:f>
        <x:v>2325</x:v>
      </x:c>
      <x:c r="D17" s="14" t="n">
        <x:f>D16+D12</x:f>
        <x:v>414</x:v>
      </x:c>
      <x:c r="E17" t="str"/>
    </x:row>
    <x:row r="18">
      <x:c r="B18" t="str">
        <x:v>CISA parent</x:v>
      </x:c>
      <x:c r="C18" s="14" t="n">
        <x:f>Controls!$D$60</x:f>
        <x:v>960</x:v>
      </x:c>
      <x:c r="D18" s="14" t="n">
        <x:f>Controls!$D$61</x:f>
        <x:v>260</x:v>
      </x:c>
      <x:c r="E18" t="str"/>
    </x:row>
    <x:row r="19">
      <x:c r="B19" t="str">
        <x:v>BRD-11R remainder</x:v>
      </x:c>
      <x:c r="C19" s="14" t="n">
        <x:f>C18-C17</x:f>
        <x:v>-1365</x:v>
      </x:c>
      <x:c r="D19" s="14" t="n">
        <x:f>D18-D17</x:f>
        <x:v>-154</x:v>
      </x:c>
      <x:c r="E19" t="str"/>
    </x:row>
    <x:row r="20">
      <x:c r="B20" t="str">
        <x:v>BRD-10U inherited</x:v>
      </x:c>
      <x:c r="C20" s="14" t="n">
        <x:f>Controls!$D$58</x:f>
        <x:v>2873</x:v>
      </x:c>
      <x:c r="D20" s="14" t="n">
        <x:f>Controls!$D$59</x:f>
        <x:v>515</x:v>
      </x:c>
      <x:c r="E20" t="str"/>
    </x:row>
    <x:row r="21">
      <x:c r="B21" t="str">
        <x:v>BRD-11U uncredited</x:v>
      </x:c>
      <x:c r="C21" s="14" t="n">
        <x:f>C20+C9</x:f>
        <x:v>2923</x:v>
      </x:c>
      <x:c r="D21" s="14" t="n">
        <x:f>D20+D9</x:f>
        <x:v>559</x:v>
      </x:c>
      <x:c r="E21" t="str"/>
    </x:row>
    <x:row r="22">
      <x:c r="B22" t="str">
        <x:v>program-period exposure</x:v>
      </x:c>
      <x:c r="C22" s="14" t="n">
        <x:f>Controls!$D$44+Controls!$D$45*Controls!$D$42/12</x:f>
        <x:v>1332</x:v>
      </x:c>
      <x:c r="D22" s="14" t="str"/>
      <x:c r="E22" t="str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5" hidden="0" customWidth="1"/>
    <x:col min="3" max="3" width="15" hidden="0" customWidth="1"/>
    <x:col min="4" max="4" width="34" hidden="0" customWidth="1"/>
    <x:col min="5" max="5" width="32" hidden="0" customWidth="1"/>
    <x:col min="6" max="6" width="14" hidden="0" customWidth="1"/>
    <x:col min="7" max="7" width="14" hidden="0" customWidth="1"/>
    <x:col min="8" max="8" width="31" hidden="0" customWidth="1"/>
    <x:col min="9" max="9" width="14" hidden="0" customWidth="1"/>
    <x:col min="11" max="11" width="16" hidden="0" customWidth="1"/>
  </x:cols>
  <x:sheetData>
    <x:row r="2">
      <x:c r="B2" s="1" t="str">
        <x:v>RFE-1 release ledger</x:v>
      </x:c>
      <x:c r="K2" t="n">
        <x:v>775</x:v>
      </x:c>
    </x:row>
    <x:row r="3">
      <x:c r="B3" s="2" t="str">
        <x:v>Planning completeness cannot grant physical, source, selection or rendering authority.</x:v>
      </x:c>
      <x:c r="K3" t="n">
        <x:v>1411</x:v>
      </x:c>
    </x:row>
    <x:row r="4">
      <x:c r="K4" t="n">
        <x:v>9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Gate</x:v>
      </x:c>
      <x:c r="C6" s="7" t="str">
        <x:v>Class</x:v>
      </x:c>
      <x:c r="D6" s="7" t="str">
        <x:v>Requirement</x:v>
      </x:c>
      <x:c r="E6" s="7" t="str">
        <x:v>Evidence</x:v>
      </x:c>
      <x:c r="F6" s="7" t="str">
        <x:v>Observed</x:v>
      </x:c>
      <x:c r="G6" s="7" t="str">
        <x:v>Required</x:v>
      </x:c>
      <x:c r="H6" s="7" t="str">
        <x:v>Owner</x:v>
      </x:c>
      <x:c r="I6" s="7" t="str">
        <x:v>State</x:v>
      </x:c>
    </x:row>
    <x:row r="7">
      <x:c r="B7" t="str">
        <x:v>PL-0001</x:v>
      </x:c>
      <x:c r="C7" t="str">
        <x:v>PLANNING</x:v>
      </x:c>
      <x:c r="D7" t="str">
        <x:v>event</x:v>
      </x:c>
      <x:c r="E7" t="str">
        <x:v>event 1</x:v>
      </x:c>
      <x:c r="F7" t="n">
        <x:f>Controls!$D$62</x:f>
        <x:v>1</x:v>
      </x:c>
      <x:c r="G7" t="n">
        <x:v>1</x:v>
      </x:c>
      <x:c r="H7" t="str">
        <x:v>RFE design authority</x:v>
      </x:c>
      <x:c r="I7" t="str">
        <x:f>IF(F7=1,"PASS","GAP")</x:f>
        <x:v>PASS</x:v>
      </x:c>
    </x:row>
    <x:row r="8">
      <x:c r="B8" t="str">
        <x:v>PL-0002</x:v>
      </x:c>
      <x:c r="C8" t="str">
        <x:v>PLANNING</x:v>
      </x:c>
      <x:c r="D8" t="str">
        <x:v>event</x:v>
      </x:c>
      <x:c r="E8" t="str">
        <x:v>event 2</x:v>
      </x:c>
      <x:c r="F8" t="n">
        <x:f>Controls!$D$62</x:f>
        <x:v>1</x:v>
      </x:c>
      <x:c r="G8" t="n">
        <x:v>1</x:v>
      </x:c>
      <x:c r="H8" t="str">
        <x:v>RFE design authority</x:v>
      </x:c>
      <x:c r="I8" t="str">
        <x:f>IF(F8=1,"PASS","GAP")</x:f>
        <x:v>PASS</x:v>
      </x:c>
    </x:row>
    <x:row r="9">
      <x:c r="B9" t="str">
        <x:v>PL-0003</x:v>
      </x:c>
      <x:c r="C9" t="str">
        <x:v>PLANNING</x:v>
      </x:c>
      <x:c r="D9" t="str">
        <x:v>event</x:v>
      </x:c>
      <x:c r="E9" t="str">
        <x:v>event 3</x:v>
      </x:c>
      <x:c r="F9" t="n">
        <x:f>Controls!$D$62</x:f>
        <x:v>1</x:v>
      </x:c>
      <x:c r="G9" t="n">
        <x:v>1</x:v>
      </x:c>
      <x:c r="H9" t="str">
        <x:v>RFE design authority</x:v>
      </x:c>
      <x:c r="I9" t="str">
        <x:f>IF(F9=1,"PASS","GAP")</x:f>
        <x:v>PASS</x:v>
      </x:c>
    </x:row>
    <x:row r="10">
      <x:c r="B10" t="str">
        <x:v>PL-0004</x:v>
      </x:c>
      <x:c r="C10" t="str">
        <x:v>PLANNING</x:v>
      </x:c>
      <x:c r="D10" t="str">
        <x:v>event</x:v>
      </x:c>
      <x:c r="E10" t="str">
        <x:v>event 4</x:v>
      </x:c>
      <x:c r="F10" t="n">
        <x:f>Controls!$D$62</x:f>
        <x:v>1</x:v>
      </x:c>
      <x:c r="G10" t="n">
        <x:v>1</x:v>
      </x:c>
      <x:c r="H10" t="str">
        <x:v>RFE design authority</x:v>
      </x:c>
      <x:c r="I10" t="str">
        <x:f>IF(F10=1,"PASS","GAP")</x:f>
        <x:v>PASS</x:v>
      </x:c>
    </x:row>
    <x:row r="11">
      <x:c r="B11" t="str">
        <x:v>PL-0005</x:v>
      </x:c>
      <x:c r="C11" t="str">
        <x:v>PLANNING</x:v>
      </x:c>
      <x:c r="D11" t="str">
        <x:v>event</x:v>
      </x:c>
      <x:c r="E11" t="str">
        <x:v>event 5</x:v>
      </x:c>
      <x:c r="F11" t="n">
        <x:f>Controls!$D$62</x:f>
        <x:v>1</x:v>
      </x:c>
      <x:c r="G11" t="n">
        <x:v>1</x:v>
      </x:c>
      <x:c r="H11" t="str">
        <x:v>RFE design authority</x:v>
      </x:c>
      <x:c r="I11" t="str">
        <x:f>IF(F11=1,"PASS","GAP")</x:f>
        <x:v>PASS</x:v>
      </x:c>
    </x:row>
    <x:row r="12">
      <x:c r="B12" t="str">
        <x:v>PL-0006</x:v>
      </x:c>
      <x:c r="C12" t="str">
        <x:v>PLANNING</x:v>
      </x:c>
      <x:c r="D12" t="str">
        <x:v>event</x:v>
      </x:c>
      <x:c r="E12" t="str">
        <x:v>event 6</x:v>
      </x:c>
      <x:c r="F12" t="n">
        <x:f>Controls!$D$62</x:f>
        <x:v>1</x:v>
      </x:c>
      <x:c r="G12" t="n">
        <x:v>1</x:v>
      </x:c>
      <x:c r="H12" t="str">
        <x:v>RFE design authority</x:v>
      </x:c>
      <x:c r="I12" t="str">
        <x:f>IF(F12=1,"PASS","GAP")</x:f>
        <x:v>PASS</x:v>
      </x:c>
    </x:row>
    <x:row r="13">
      <x:c r="B13" t="str">
        <x:v>PL-0007</x:v>
      </x:c>
      <x:c r="C13" t="str">
        <x:v>PLANNING</x:v>
      </x:c>
      <x:c r="D13" t="str">
        <x:v>event</x:v>
      </x:c>
      <x:c r="E13" t="str">
        <x:v>event 7</x:v>
      </x:c>
      <x:c r="F13" t="n">
        <x:f>Controls!$D$62</x:f>
        <x:v>1</x:v>
      </x:c>
      <x:c r="G13" t="n">
        <x:v>1</x:v>
      </x:c>
      <x:c r="H13" t="str">
        <x:v>RFE design authority</x:v>
      </x:c>
      <x:c r="I13" t="str">
        <x:f>IF(F13=1,"PASS","GAP")</x:f>
        <x:v>PASS</x:v>
      </x:c>
    </x:row>
    <x:row r="14">
      <x:c r="B14" t="str">
        <x:v>PL-0008</x:v>
      </x:c>
      <x:c r="C14" t="str">
        <x:v>PLANNING</x:v>
      </x:c>
      <x:c r="D14" t="str">
        <x:v>event</x:v>
      </x:c>
      <x:c r="E14" t="str">
        <x:v>event 8</x:v>
      </x:c>
      <x:c r="F14" t="n">
        <x:f>Controls!$D$62</x:f>
        <x:v>1</x:v>
      </x:c>
      <x:c r="G14" t="n">
        <x:v>1</x:v>
      </x:c>
      <x:c r="H14" t="str">
        <x:v>RFE design authority</x:v>
      </x:c>
      <x:c r="I14" t="str">
        <x:f>IF(F14=1,"PASS","GAP")</x:f>
        <x:v>PASS</x:v>
      </x:c>
    </x:row>
    <x:row r="15">
      <x:c r="B15" t="str">
        <x:v>PL-0009</x:v>
      </x:c>
      <x:c r="C15" t="str">
        <x:v>PLANNING</x:v>
      </x:c>
      <x:c r="D15" t="str">
        <x:v>event</x:v>
      </x:c>
      <x:c r="E15" t="str">
        <x:v>event 9</x:v>
      </x:c>
      <x:c r="F15" t="n">
        <x:f>Controls!$D$62</x:f>
        <x:v>1</x:v>
      </x:c>
      <x:c r="G15" t="n">
        <x:v>1</x:v>
      </x:c>
      <x:c r="H15" t="str">
        <x:v>RFE design authority</x:v>
      </x:c>
      <x:c r="I15" t="str">
        <x:f>IF(F15=1,"PASS","GAP")</x:f>
        <x:v>PASS</x:v>
      </x:c>
    </x:row>
    <x:row r="16">
      <x:c r="B16" t="str">
        <x:v>PL-0010</x:v>
      </x:c>
      <x:c r="C16" t="str">
        <x:v>PLANNING</x:v>
      </x:c>
      <x:c r="D16" t="str">
        <x:v>event</x:v>
      </x:c>
      <x:c r="E16" t="str">
        <x:v>event 10</x:v>
      </x:c>
      <x:c r="F16" t="n">
        <x:f>Controls!$D$62</x:f>
        <x:v>1</x:v>
      </x:c>
      <x:c r="G16" t="n">
        <x:v>1</x:v>
      </x:c>
      <x:c r="H16" t="str">
        <x:v>RFE design authority</x:v>
      </x:c>
      <x:c r="I16" t="str">
        <x:f>IF(F16=1,"PASS","GAP")</x:f>
        <x:v>PASS</x:v>
      </x:c>
    </x:row>
    <x:row r="17">
      <x:c r="B17" t="str">
        <x:v>PL-0011</x:v>
      </x:c>
      <x:c r="C17" t="str">
        <x:v>PLANNING</x:v>
      </x:c>
      <x:c r="D17" t="str">
        <x:v>event</x:v>
      </x:c>
      <x:c r="E17" t="str">
        <x:v>event 11</x:v>
      </x:c>
      <x:c r="F17" t="n">
        <x:f>Controls!$D$62</x:f>
        <x:v>1</x:v>
      </x:c>
      <x:c r="G17" t="n">
        <x:v>1</x:v>
      </x:c>
      <x:c r="H17" t="str">
        <x:v>RFE design authority</x:v>
      </x:c>
      <x:c r="I17" t="str">
        <x:f>IF(F17=1,"PASS","GAP")</x:f>
        <x:v>PASS</x:v>
      </x:c>
    </x:row>
    <x:row r="18">
      <x:c r="B18" t="str">
        <x:v>PL-0012</x:v>
      </x:c>
      <x:c r="C18" t="str">
        <x:v>PLANNING</x:v>
      </x:c>
      <x:c r="D18" t="str">
        <x:v>event</x:v>
      </x:c>
      <x:c r="E18" t="str">
        <x:v>event 12</x:v>
      </x:c>
      <x:c r="F18" t="n">
        <x:f>Controls!$D$62</x:f>
        <x:v>1</x:v>
      </x:c>
      <x:c r="G18" t="n">
        <x:v>1</x:v>
      </x:c>
      <x:c r="H18" t="str">
        <x:v>RFE design authority</x:v>
      </x:c>
      <x:c r="I18" t="str">
        <x:f>IF(F18=1,"PASS","GAP")</x:f>
        <x:v>PASS</x:v>
      </x:c>
    </x:row>
    <x:row r="19">
      <x:c r="B19" t="str">
        <x:v>PL-0013</x:v>
      </x:c>
      <x:c r="C19" t="str">
        <x:v>PLANNING</x:v>
      </x:c>
      <x:c r="D19" t="str">
        <x:v>event</x:v>
      </x:c>
      <x:c r="E19" t="str">
        <x:v>event 13</x:v>
      </x:c>
      <x:c r="F19" t="n">
        <x:f>Controls!$D$62</x:f>
        <x:v>1</x:v>
      </x:c>
      <x:c r="G19" t="n">
        <x:v>1</x:v>
      </x:c>
      <x:c r="H19" t="str">
        <x:v>RFE design authority</x:v>
      </x:c>
      <x:c r="I19" t="str">
        <x:f>IF(F19=1,"PASS","GAP")</x:f>
        <x:v>PASS</x:v>
      </x:c>
    </x:row>
    <x:row r="20">
      <x:c r="B20" t="str">
        <x:v>PL-0014</x:v>
      </x:c>
      <x:c r="C20" t="str">
        <x:v>PLANNING</x:v>
      </x:c>
      <x:c r="D20" t="str">
        <x:v>event</x:v>
      </x:c>
      <x:c r="E20" t="str">
        <x:v>event 14</x:v>
      </x:c>
      <x:c r="F20" t="n">
        <x:f>Controls!$D$62</x:f>
        <x:v>1</x:v>
      </x:c>
      <x:c r="G20" t="n">
        <x:v>1</x:v>
      </x:c>
      <x:c r="H20" t="str">
        <x:v>RFE design authority</x:v>
      </x:c>
      <x:c r="I20" t="str">
        <x:f>IF(F20=1,"PASS","GAP")</x:f>
        <x:v>PASS</x:v>
      </x:c>
    </x:row>
    <x:row r="21">
      <x:c r="B21" t="str">
        <x:v>PL-0015</x:v>
      </x:c>
      <x:c r="C21" t="str">
        <x:v>PLANNING</x:v>
      </x:c>
      <x:c r="D21" t="str">
        <x:v>event</x:v>
      </x:c>
      <x:c r="E21" t="str">
        <x:v>event 15</x:v>
      </x:c>
      <x:c r="F21" t="n">
        <x:f>Controls!$D$62</x:f>
        <x:v>1</x:v>
      </x:c>
      <x:c r="G21" t="n">
        <x:v>1</x:v>
      </x:c>
      <x:c r="H21" t="str">
        <x:v>RFE design authority</x:v>
      </x:c>
      <x:c r="I21" t="str">
        <x:f>IF(F21=1,"PASS","GAP")</x:f>
        <x:v>PASS</x:v>
      </x:c>
    </x:row>
    <x:row r="22">
      <x:c r="B22" t="str">
        <x:v>PL-0016</x:v>
      </x:c>
      <x:c r="C22" t="str">
        <x:v>PLANNING</x:v>
      </x:c>
      <x:c r="D22" t="str">
        <x:v>event</x:v>
      </x:c>
      <x:c r="E22" t="str">
        <x:v>event 16</x:v>
      </x:c>
      <x:c r="F22" t="n">
        <x:f>Controls!$D$62</x:f>
        <x:v>1</x:v>
      </x:c>
      <x:c r="G22" t="n">
        <x:v>1</x:v>
      </x:c>
      <x:c r="H22" t="str">
        <x:v>RFE design authority</x:v>
      </x:c>
      <x:c r="I22" t="str">
        <x:f>IF(F22=1,"PASS","GAP")</x:f>
        <x:v>PASS</x:v>
      </x:c>
    </x:row>
    <x:row r="23">
      <x:c r="B23" t="str">
        <x:v>PL-0017</x:v>
      </x:c>
      <x:c r="C23" t="str">
        <x:v>PLANNING</x:v>
      </x:c>
      <x:c r="D23" t="str">
        <x:v>event</x:v>
      </x:c>
      <x:c r="E23" t="str">
        <x:v>event 17</x:v>
      </x:c>
      <x:c r="F23" t="n">
        <x:f>Controls!$D$62</x:f>
        <x:v>1</x:v>
      </x:c>
      <x:c r="G23" t="n">
        <x:v>1</x:v>
      </x:c>
      <x:c r="H23" t="str">
        <x:v>RFE design authority</x:v>
      </x:c>
      <x:c r="I23" t="str">
        <x:f>IF(F23=1,"PASS","GAP")</x:f>
        <x:v>PASS</x:v>
      </x:c>
    </x:row>
    <x:row r="24">
      <x:c r="B24" t="str">
        <x:v>PL-0018</x:v>
      </x:c>
      <x:c r="C24" t="str">
        <x:v>PLANNING</x:v>
      </x:c>
      <x:c r="D24" t="str">
        <x:v>event</x:v>
      </x:c>
      <x:c r="E24" t="str">
        <x:v>event 18</x:v>
      </x:c>
      <x:c r="F24" t="n">
        <x:f>Controls!$D$62</x:f>
        <x:v>1</x:v>
      </x:c>
      <x:c r="G24" t="n">
        <x:v>1</x:v>
      </x:c>
      <x:c r="H24" t="str">
        <x:v>RFE design authority</x:v>
      </x:c>
      <x:c r="I24" t="str">
        <x:f>IF(F24=1,"PASS","GAP")</x:f>
        <x:v>PASS</x:v>
      </x:c>
    </x:row>
    <x:row r="25">
      <x:c r="B25" t="str">
        <x:v>PL-0019</x:v>
      </x:c>
      <x:c r="C25" t="str">
        <x:v>PLANNING</x:v>
      </x:c>
      <x:c r="D25" t="str">
        <x:v>event</x:v>
      </x:c>
      <x:c r="E25" t="str">
        <x:v>event 19</x:v>
      </x:c>
      <x:c r="F25" t="n">
        <x:f>Controls!$D$62</x:f>
        <x:v>1</x:v>
      </x:c>
      <x:c r="G25" t="n">
        <x:v>1</x:v>
      </x:c>
      <x:c r="H25" t="str">
        <x:v>RFE design authority</x:v>
      </x:c>
      <x:c r="I25" t="str">
        <x:f>IF(F25=1,"PASS","GAP")</x:f>
        <x:v>PASS</x:v>
      </x:c>
    </x:row>
    <x:row r="26">
      <x:c r="B26" t="str">
        <x:v>PL-0020</x:v>
      </x:c>
      <x:c r="C26" t="str">
        <x:v>PLANNING</x:v>
      </x:c>
      <x:c r="D26" t="str">
        <x:v>event</x:v>
      </x:c>
      <x:c r="E26" t="str">
        <x:v>event 20</x:v>
      </x:c>
      <x:c r="F26" t="n">
        <x:f>Controls!$D$62</x:f>
        <x:v>1</x:v>
      </x:c>
      <x:c r="G26" t="n">
        <x:v>1</x:v>
      </x:c>
      <x:c r="H26" t="str">
        <x:v>RFE design authority</x:v>
      </x:c>
      <x:c r="I26" t="str">
        <x:f>IF(F26=1,"PASS","GAP")</x:f>
        <x:v>PASS</x:v>
      </x:c>
    </x:row>
    <x:row r="27">
      <x:c r="B27" t="str">
        <x:v>PL-0021</x:v>
      </x:c>
      <x:c r="C27" t="str">
        <x:v>PLANNING</x:v>
      </x:c>
      <x:c r="D27" t="str">
        <x:v>event</x:v>
      </x:c>
      <x:c r="E27" t="str">
        <x:v>event 21</x:v>
      </x:c>
      <x:c r="F27" t="n">
        <x:f>Controls!$D$62</x:f>
        <x:v>1</x:v>
      </x:c>
      <x:c r="G27" t="n">
        <x:v>1</x:v>
      </x:c>
      <x:c r="H27" t="str">
        <x:v>RFE design authority</x:v>
      </x:c>
      <x:c r="I27" t="str">
        <x:f>IF(F27=1,"PASS","GAP")</x:f>
        <x:v>PASS</x:v>
      </x:c>
    </x:row>
    <x:row r="28">
      <x:c r="B28" t="str">
        <x:v>PL-0022</x:v>
      </x:c>
      <x:c r="C28" t="str">
        <x:v>PLANNING</x:v>
      </x:c>
      <x:c r="D28" t="str">
        <x:v>event</x:v>
      </x:c>
      <x:c r="E28" t="str">
        <x:v>event 22</x:v>
      </x:c>
      <x:c r="F28" t="n">
        <x:f>Controls!$D$62</x:f>
        <x:v>1</x:v>
      </x:c>
      <x:c r="G28" t="n">
        <x:v>1</x:v>
      </x:c>
      <x:c r="H28" t="str">
        <x:v>RFE design authority</x:v>
      </x:c>
      <x:c r="I28" t="str">
        <x:f>IF(F28=1,"PASS","GAP")</x:f>
        <x:v>PASS</x:v>
      </x:c>
    </x:row>
    <x:row r="29">
      <x:c r="B29" t="str">
        <x:v>PL-0023</x:v>
      </x:c>
      <x:c r="C29" t="str">
        <x:v>PLANNING</x:v>
      </x:c>
      <x:c r="D29" t="str">
        <x:v>event</x:v>
      </x:c>
      <x:c r="E29" t="str">
        <x:v>event 23</x:v>
      </x:c>
      <x:c r="F29" t="n">
        <x:f>Controls!$D$62</x:f>
        <x:v>1</x:v>
      </x:c>
      <x:c r="G29" t="n">
        <x:v>1</x:v>
      </x:c>
      <x:c r="H29" t="str">
        <x:v>RFE design authority</x:v>
      </x:c>
      <x:c r="I29" t="str">
        <x:f>IF(F29=1,"PASS","GAP")</x:f>
        <x:v>PASS</x:v>
      </x:c>
    </x:row>
    <x:row r="30">
      <x:c r="B30" t="str">
        <x:v>PL-0024</x:v>
      </x:c>
      <x:c r="C30" t="str">
        <x:v>PLANNING</x:v>
      </x:c>
      <x:c r="D30" t="str">
        <x:v>event</x:v>
      </x:c>
      <x:c r="E30" t="str">
        <x:v>event 24</x:v>
      </x:c>
      <x:c r="F30" t="n">
        <x:f>Controls!$D$62</x:f>
        <x:v>1</x:v>
      </x:c>
      <x:c r="G30" t="n">
        <x:v>1</x:v>
      </x:c>
      <x:c r="H30" t="str">
        <x:v>RFE design authority</x:v>
      </x:c>
      <x:c r="I30" t="str">
        <x:f>IF(F30=1,"PASS","GAP")</x:f>
        <x:v>PASS</x:v>
      </x:c>
    </x:row>
    <x:row r="31">
      <x:c r="B31" t="str">
        <x:v>PL-0025</x:v>
      </x:c>
      <x:c r="C31" t="str">
        <x:v>PLANNING</x:v>
      </x:c>
      <x:c r="D31" t="str">
        <x:v>event</x:v>
      </x:c>
      <x:c r="E31" t="str">
        <x:v>event 25</x:v>
      </x:c>
      <x:c r="F31" t="n">
        <x:f>Controls!$D$62</x:f>
        <x:v>1</x:v>
      </x:c>
      <x:c r="G31" t="n">
        <x:v>1</x:v>
      </x:c>
      <x:c r="H31" t="str">
        <x:v>RFE design authority</x:v>
      </x:c>
      <x:c r="I31" t="str">
        <x:f>IF(F31=1,"PASS","GAP")</x:f>
        <x:v>PASS</x:v>
      </x:c>
    </x:row>
    <x:row r="32">
      <x:c r="B32" t="str">
        <x:v>PL-0026</x:v>
      </x:c>
      <x:c r="C32" t="str">
        <x:v>PLANNING</x:v>
      </x:c>
      <x:c r="D32" t="str">
        <x:v>event</x:v>
      </x:c>
      <x:c r="E32" t="str">
        <x:v>event 26</x:v>
      </x:c>
      <x:c r="F32" t="n">
        <x:f>Controls!$D$62</x:f>
        <x:v>1</x:v>
      </x:c>
      <x:c r="G32" t="n">
        <x:v>1</x:v>
      </x:c>
      <x:c r="H32" t="str">
        <x:v>RFE design authority</x:v>
      </x:c>
      <x:c r="I32" t="str">
        <x:f>IF(F32=1,"PASS","GAP")</x:f>
        <x:v>PASS</x:v>
      </x:c>
    </x:row>
    <x:row r="33">
      <x:c r="B33" t="str">
        <x:v>PL-0027</x:v>
      </x:c>
      <x:c r="C33" t="str">
        <x:v>PLANNING</x:v>
      </x:c>
      <x:c r="D33" t="str">
        <x:v>event</x:v>
      </x:c>
      <x:c r="E33" t="str">
        <x:v>event 27</x:v>
      </x:c>
      <x:c r="F33" t="n">
        <x:f>Controls!$D$62</x:f>
        <x:v>1</x:v>
      </x:c>
      <x:c r="G33" t="n">
        <x:v>1</x:v>
      </x:c>
      <x:c r="H33" t="str">
        <x:v>RFE design authority</x:v>
      </x:c>
      <x:c r="I33" t="str">
        <x:f>IF(F33=1,"PASS","GAP")</x:f>
        <x:v>PASS</x:v>
      </x:c>
    </x:row>
    <x:row r="34">
      <x:c r="B34" t="str">
        <x:v>PL-0028</x:v>
      </x:c>
      <x:c r="C34" t="str">
        <x:v>PLANNING</x:v>
      </x:c>
      <x:c r="D34" t="str">
        <x:v>event</x:v>
      </x:c>
      <x:c r="E34" t="str">
        <x:v>event 28</x:v>
      </x:c>
      <x:c r="F34" t="n">
        <x:f>Controls!$D$62</x:f>
        <x:v>1</x:v>
      </x:c>
      <x:c r="G34" t="n">
        <x:v>1</x:v>
      </x:c>
      <x:c r="H34" t="str">
        <x:v>RFE design authority</x:v>
      </x:c>
      <x:c r="I34" t="str">
        <x:f>IF(F34=1,"PASS","GAP")</x:f>
        <x:v>PASS</x:v>
      </x:c>
    </x:row>
    <x:row r="35">
      <x:c r="B35" t="str">
        <x:v>PL-0029</x:v>
      </x:c>
      <x:c r="C35" t="str">
        <x:v>PLANNING</x:v>
      </x:c>
      <x:c r="D35" t="str">
        <x:v>event</x:v>
      </x:c>
      <x:c r="E35" t="str">
        <x:v>event 29</x:v>
      </x:c>
      <x:c r="F35" t="n">
        <x:f>Controls!$D$62</x:f>
        <x:v>1</x:v>
      </x:c>
      <x:c r="G35" t="n">
        <x:v>1</x:v>
      </x:c>
      <x:c r="H35" t="str">
        <x:v>RFE design authority</x:v>
      </x:c>
      <x:c r="I35" t="str">
        <x:f>IF(F35=1,"PASS","GAP")</x:f>
        <x:v>PASS</x:v>
      </x:c>
    </x:row>
    <x:row r="36">
      <x:c r="B36" t="str">
        <x:v>PL-0030</x:v>
      </x:c>
      <x:c r="C36" t="str">
        <x:v>PLANNING</x:v>
      </x:c>
      <x:c r="D36" t="str">
        <x:v>event</x:v>
      </x:c>
      <x:c r="E36" t="str">
        <x:v>event 30</x:v>
      </x:c>
      <x:c r="F36" t="n">
        <x:f>Controls!$D$62</x:f>
        <x:v>1</x:v>
      </x:c>
      <x:c r="G36" t="n">
        <x:v>1</x:v>
      </x:c>
      <x:c r="H36" t="str">
        <x:v>RFE design authority</x:v>
      </x:c>
      <x:c r="I36" t="str">
        <x:f>IF(F36=1,"PASS","GAP")</x:f>
        <x:v>PASS</x:v>
      </x:c>
    </x:row>
    <x:row r="37">
      <x:c r="B37" t="str">
        <x:v>PL-0031</x:v>
      </x:c>
      <x:c r="C37" t="str">
        <x:v>PLANNING</x:v>
      </x:c>
      <x:c r="D37" t="str">
        <x:v>event</x:v>
      </x:c>
      <x:c r="E37" t="str">
        <x:v>event 31</x:v>
      </x:c>
      <x:c r="F37" t="n">
        <x:f>Controls!$D$62</x:f>
        <x:v>1</x:v>
      </x:c>
      <x:c r="G37" t="n">
        <x:v>1</x:v>
      </x:c>
      <x:c r="H37" t="str">
        <x:v>RFE design authority</x:v>
      </x:c>
      <x:c r="I37" t="str">
        <x:f>IF(F37=1,"PASS","GAP")</x:f>
        <x:v>PASS</x:v>
      </x:c>
    </x:row>
    <x:row r="38">
      <x:c r="B38" t="str">
        <x:v>PL-0032</x:v>
      </x:c>
      <x:c r="C38" t="str">
        <x:v>PLANNING</x:v>
      </x:c>
      <x:c r="D38" t="str">
        <x:v>event</x:v>
      </x:c>
      <x:c r="E38" t="str">
        <x:v>event 32</x:v>
      </x:c>
      <x:c r="F38" t="n">
        <x:f>Controls!$D$62</x:f>
        <x:v>1</x:v>
      </x:c>
      <x:c r="G38" t="n">
        <x:v>1</x:v>
      </x:c>
      <x:c r="H38" t="str">
        <x:v>RFE design authority</x:v>
      </x:c>
      <x:c r="I38" t="str">
        <x:f>IF(F38=1,"PASS","GAP")</x:f>
        <x:v>PASS</x:v>
      </x:c>
    </x:row>
    <x:row r="39">
      <x:c r="B39" t="str">
        <x:v>PL-0033</x:v>
      </x:c>
      <x:c r="C39" t="str">
        <x:v>PLANNING</x:v>
      </x:c>
      <x:c r="D39" t="str">
        <x:v>event</x:v>
      </x:c>
      <x:c r="E39" t="str">
        <x:v>event 33</x:v>
      </x:c>
      <x:c r="F39" t="n">
        <x:f>Controls!$D$62</x:f>
        <x:v>1</x:v>
      </x:c>
      <x:c r="G39" t="n">
        <x:v>1</x:v>
      </x:c>
      <x:c r="H39" t="str">
        <x:v>RFE design authority</x:v>
      </x:c>
      <x:c r="I39" t="str">
        <x:f>IF(F39=1,"PASS","GAP")</x:f>
        <x:v>PASS</x:v>
      </x:c>
    </x:row>
    <x:row r="40">
      <x:c r="B40" t="str">
        <x:v>PL-0034</x:v>
      </x:c>
      <x:c r="C40" t="str">
        <x:v>PLANNING</x:v>
      </x:c>
      <x:c r="D40" t="str">
        <x:v>event</x:v>
      </x:c>
      <x:c r="E40" t="str">
        <x:v>event 34</x:v>
      </x:c>
      <x:c r="F40" t="n">
        <x:f>Controls!$D$62</x:f>
        <x:v>1</x:v>
      </x:c>
      <x:c r="G40" t="n">
        <x:v>1</x:v>
      </x:c>
      <x:c r="H40" t="str">
        <x:v>RFE design authority</x:v>
      </x:c>
      <x:c r="I40" t="str">
        <x:f>IF(F40=1,"PASS","GAP")</x:f>
        <x:v>PASS</x:v>
      </x:c>
    </x:row>
    <x:row r="41">
      <x:c r="B41" t="str">
        <x:v>PL-0035</x:v>
      </x:c>
      <x:c r="C41" t="str">
        <x:v>PLANNING</x:v>
      </x:c>
      <x:c r="D41" t="str">
        <x:v>event</x:v>
      </x:c>
      <x:c r="E41" t="str">
        <x:v>event 35</x:v>
      </x:c>
      <x:c r="F41" t="n">
        <x:f>Controls!$D$62</x:f>
        <x:v>1</x:v>
      </x:c>
      <x:c r="G41" t="n">
        <x:v>1</x:v>
      </x:c>
      <x:c r="H41" t="str">
        <x:v>RFE design authority</x:v>
      </x:c>
      <x:c r="I41" t="str">
        <x:f>IF(F41=1,"PASS","GAP")</x:f>
        <x:v>PASS</x:v>
      </x:c>
    </x:row>
    <x:row r="42">
      <x:c r="B42" t="str">
        <x:v>PL-0036</x:v>
      </x:c>
      <x:c r="C42" t="str">
        <x:v>PLANNING</x:v>
      </x:c>
      <x:c r="D42" t="str">
        <x:v>event</x:v>
      </x:c>
      <x:c r="E42" t="str">
        <x:v>event 36</x:v>
      </x:c>
      <x:c r="F42" t="n">
        <x:f>Controls!$D$62</x:f>
        <x:v>1</x:v>
      </x:c>
      <x:c r="G42" t="n">
        <x:v>1</x:v>
      </x:c>
      <x:c r="H42" t="str">
        <x:v>RFE design authority</x:v>
      </x:c>
      <x:c r="I42" t="str">
        <x:f>IF(F42=1,"PASS","GAP")</x:f>
        <x:v>PASS</x:v>
      </x:c>
    </x:row>
    <x:row r="43">
      <x:c r="B43" t="str">
        <x:v>PL-0037</x:v>
      </x:c>
      <x:c r="C43" t="str">
        <x:v>PLANNING</x:v>
      </x:c>
      <x:c r="D43" t="str">
        <x:v>event</x:v>
      </x:c>
      <x:c r="E43" t="str">
        <x:v>event 37</x:v>
      </x:c>
      <x:c r="F43" t="n">
        <x:f>Controls!$D$62</x:f>
        <x:v>1</x:v>
      </x:c>
      <x:c r="G43" t="n">
        <x:v>1</x:v>
      </x:c>
      <x:c r="H43" t="str">
        <x:v>RFE design authority</x:v>
      </x:c>
      <x:c r="I43" t="str">
        <x:f>IF(F43=1,"PASS","GAP")</x:f>
        <x:v>PASS</x:v>
      </x:c>
    </x:row>
    <x:row r="44">
      <x:c r="B44" t="str">
        <x:v>PL-0038</x:v>
      </x:c>
      <x:c r="C44" t="str">
        <x:v>PLANNING</x:v>
      </x:c>
      <x:c r="D44" t="str">
        <x:v>event</x:v>
      </x:c>
      <x:c r="E44" t="str">
        <x:v>event 38</x:v>
      </x:c>
      <x:c r="F44" t="n">
        <x:f>Controls!$D$62</x:f>
        <x:v>1</x:v>
      </x:c>
      <x:c r="G44" t="n">
        <x:v>1</x:v>
      </x:c>
      <x:c r="H44" t="str">
        <x:v>RFE design authority</x:v>
      </x:c>
      <x:c r="I44" t="str">
        <x:f>IF(F44=1,"PASS","GAP")</x:f>
        <x:v>PASS</x:v>
      </x:c>
    </x:row>
    <x:row r="45">
      <x:c r="B45" t="str">
        <x:v>PL-0039</x:v>
      </x:c>
      <x:c r="C45" t="str">
        <x:v>PLANNING</x:v>
      </x:c>
      <x:c r="D45" t="str">
        <x:v>event</x:v>
      </x:c>
      <x:c r="E45" t="str">
        <x:v>event 39</x:v>
      </x:c>
      <x:c r="F45" t="n">
        <x:f>Controls!$D$62</x:f>
        <x:v>1</x:v>
      </x:c>
      <x:c r="G45" t="n">
        <x:v>1</x:v>
      </x:c>
      <x:c r="H45" t="str">
        <x:v>RFE design authority</x:v>
      </x:c>
      <x:c r="I45" t="str">
        <x:f>IF(F45=1,"PASS","GAP")</x:f>
        <x:v>PASS</x:v>
      </x:c>
    </x:row>
    <x:row r="46">
      <x:c r="B46" t="str">
        <x:v>PL-0040</x:v>
      </x:c>
      <x:c r="C46" t="str">
        <x:v>PLANNING</x:v>
      </x:c>
      <x:c r="D46" t="str">
        <x:v>event</x:v>
      </x:c>
      <x:c r="E46" t="str">
        <x:v>event 40</x:v>
      </x:c>
      <x:c r="F46" t="n">
        <x:f>Controls!$D$62</x:f>
        <x:v>1</x:v>
      </x:c>
      <x:c r="G46" t="n">
        <x:v>1</x:v>
      </x:c>
      <x:c r="H46" t="str">
        <x:v>RFE design authority</x:v>
      </x:c>
      <x:c r="I46" t="str">
        <x:f>IF(F46=1,"PASS","GAP")</x:f>
        <x:v>PASS</x:v>
      </x:c>
    </x:row>
    <x:row r="47">
      <x:c r="B47" t="str">
        <x:v>PL-0041</x:v>
      </x:c>
      <x:c r="C47" t="str">
        <x:v>PLANNING</x:v>
      </x:c>
      <x:c r="D47" t="str">
        <x:v>event</x:v>
      </x:c>
      <x:c r="E47" t="str">
        <x:v>event 41</x:v>
      </x:c>
      <x:c r="F47" t="n">
        <x:f>Controls!$D$62</x:f>
        <x:v>1</x:v>
      </x:c>
      <x:c r="G47" t="n">
        <x:v>1</x:v>
      </x:c>
      <x:c r="H47" t="str">
        <x:v>RFE design authority</x:v>
      </x:c>
      <x:c r="I47" t="str">
        <x:f>IF(F47=1,"PASS","GAP")</x:f>
        <x:v>PASS</x:v>
      </x:c>
    </x:row>
    <x:row r="48">
      <x:c r="B48" t="str">
        <x:v>PL-0042</x:v>
      </x:c>
      <x:c r="C48" t="str">
        <x:v>PLANNING</x:v>
      </x:c>
      <x:c r="D48" t="str">
        <x:v>event</x:v>
      </x:c>
      <x:c r="E48" t="str">
        <x:v>event 42</x:v>
      </x:c>
      <x:c r="F48" t="n">
        <x:f>Controls!$D$62</x:f>
        <x:v>1</x:v>
      </x:c>
      <x:c r="G48" t="n">
        <x:v>1</x:v>
      </x:c>
      <x:c r="H48" t="str">
        <x:v>RFE design authority</x:v>
      </x:c>
      <x:c r="I48" t="str">
        <x:f>IF(F48=1,"PASS","GAP")</x:f>
        <x:v>PASS</x:v>
      </x:c>
    </x:row>
    <x:row r="49">
      <x:c r="B49" t="str">
        <x:v>PL-0043</x:v>
      </x:c>
      <x:c r="C49" t="str">
        <x:v>PLANNING</x:v>
      </x:c>
      <x:c r="D49" t="str">
        <x:v>event</x:v>
      </x:c>
      <x:c r="E49" t="str">
        <x:v>event 43</x:v>
      </x:c>
      <x:c r="F49" t="n">
        <x:f>Controls!$D$62</x:f>
        <x:v>1</x:v>
      </x:c>
      <x:c r="G49" t="n">
        <x:v>1</x:v>
      </x:c>
      <x:c r="H49" t="str">
        <x:v>RFE design authority</x:v>
      </x:c>
      <x:c r="I49" t="str">
        <x:f>IF(F49=1,"PASS","GAP")</x:f>
        <x:v>PASS</x:v>
      </x:c>
    </x:row>
    <x:row r="50">
      <x:c r="B50" t="str">
        <x:v>PL-0044</x:v>
      </x:c>
      <x:c r="C50" t="str">
        <x:v>PLANNING</x:v>
      </x:c>
      <x:c r="D50" t="str">
        <x:v>event</x:v>
      </x:c>
      <x:c r="E50" t="str">
        <x:v>event 44</x:v>
      </x:c>
      <x:c r="F50" t="n">
        <x:f>Controls!$D$62</x:f>
        <x:v>1</x:v>
      </x:c>
      <x:c r="G50" t="n">
        <x:v>1</x:v>
      </x:c>
      <x:c r="H50" t="str">
        <x:v>RFE design authority</x:v>
      </x:c>
      <x:c r="I50" t="str">
        <x:f>IF(F50=1,"PASS","GAP")</x:f>
        <x:v>PASS</x:v>
      </x:c>
    </x:row>
    <x:row r="51">
      <x:c r="B51" t="str">
        <x:v>PL-0045</x:v>
      </x:c>
      <x:c r="C51" t="str">
        <x:v>PLANNING</x:v>
      </x:c>
      <x:c r="D51" t="str">
        <x:v>event</x:v>
      </x:c>
      <x:c r="E51" t="str">
        <x:v>event 45</x:v>
      </x:c>
      <x:c r="F51" t="n">
        <x:f>Controls!$D$62</x:f>
        <x:v>1</x:v>
      </x:c>
      <x:c r="G51" t="n">
        <x:v>1</x:v>
      </x:c>
      <x:c r="H51" t="str">
        <x:v>RFE design authority</x:v>
      </x:c>
      <x:c r="I51" t="str">
        <x:f>IF(F51=1,"PASS","GAP")</x:f>
        <x:v>PASS</x:v>
      </x:c>
    </x:row>
    <x:row r="52">
      <x:c r="B52" t="str">
        <x:v>PL-0046</x:v>
      </x:c>
      <x:c r="C52" t="str">
        <x:v>PLANNING</x:v>
      </x:c>
      <x:c r="D52" t="str">
        <x:v>event</x:v>
      </x:c>
      <x:c r="E52" t="str">
        <x:v>event 46</x:v>
      </x:c>
      <x:c r="F52" t="n">
        <x:f>Controls!$D$62</x:f>
        <x:v>1</x:v>
      </x:c>
      <x:c r="G52" t="n">
        <x:v>1</x:v>
      </x:c>
      <x:c r="H52" t="str">
        <x:v>RFE design authority</x:v>
      </x:c>
      <x:c r="I52" t="str">
        <x:f>IF(F52=1,"PASS","GAP")</x:f>
        <x:v>PASS</x:v>
      </x:c>
    </x:row>
    <x:row r="53">
      <x:c r="B53" t="str">
        <x:v>PL-0047</x:v>
      </x:c>
      <x:c r="C53" t="str">
        <x:v>PLANNING</x:v>
      </x:c>
      <x:c r="D53" t="str">
        <x:v>event</x:v>
      </x:c>
      <x:c r="E53" t="str">
        <x:v>event 47</x:v>
      </x:c>
      <x:c r="F53" t="n">
        <x:f>Controls!$D$62</x:f>
        <x:v>1</x:v>
      </x:c>
      <x:c r="G53" t="n">
        <x:v>1</x:v>
      </x:c>
      <x:c r="H53" t="str">
        <x:v>RFE design authority</x:v>
      </x:c>
      <x:c r="I53" t="str">
        <x:f>IF(F53=1,"PASS","GAP")</x:f>
        <x:v>PASS</x:v>
      </x:c>
    </x:row>
    <x:row r="54">
      <x:c r="B54" t="str">
        <x:v>PL-0048</x:v>
      </x:c>
      <x:c r="C54" t="str">
        <x:v>PLANNING</x:v>
      </x:c>
      <x:c r="D54" t="str">
        <x:v>event</x:v>
      </x:c>
      <x:c r="E54" t="str">
        <x:v>event 48</x:v>
      </x:c>
      <x:c r="F54" t="n">
        <x:f>Controls!$D$62</x:f>
        <x:v>1</x:v>
      </x:c>
      <x:c r="G54" t="n">
        <x:v>1</x:v>
      </x:c>
      <x:c r="H54" t="str">
        <x:v>RFE design authority</x:v>
      </x:c>
      <x:c r="I54" t="str">
        <x:f>IF(F54=1,"PASS","GAP")</x:f>
        <x:v>PASS</x:v>
      </x:c>
    </x:row>
    <x:row r="55">
      <x:c r="B55" t="str">
        <x:v>PL-0049</x:v>
      </x:c>
      <x:c r="C55" t="str">
        <x:v>PLANNING</x:v>
      </x:c>
      <x:c r="D55" t="str">
        <x:v>event</x:v>
      </x:c>
      <x:c r="E55" t="str">
        <x:v>event 49</x:v>
      </x:c>
      <x:c r="F55" t="n">
        <x:f>Controls!$D$62</x:f>
        <x:v>1</x:v>
      </x:c>
      <x:c r="G55" t="n">
        <x:v>1</x:v>
      </x:c>
      <x:c r="H55" t="str">
        <x:v>RFE design authority</x:v>
      </x:c>
      <x:c r="I55" t="str">
        <x:f>IF(F55=1,"PASS","GAP")</x:f>
        <x:v>PASS</x:v>
      </x:c>
    </x:row>
    <x:row r="56">
      <x:c r="B56" t="str">
        <x:v>PL-0050</x:v>
      </x:c>
      <x:c r="C56" t="str">
        <x:v>PLANNING</x:v>
      </x:c>
      <x:c r="D56" t="str">
        <x:v>event</x:v>
      </x:c>
      <x:c r="E56" t="str">
        <x:v>event 50</x:v>
      </x:c>
      <x:c r="F56" t="n">
        <x:f>Controls!$D$62</x:f>
        <x:v>1</x:v>
      </x:c>
      <x:c r="G56" t="n">
        <x:v>1</x:v>
      </x:c>
      <x:c r="H56" t="str">
        <x:v>RFE design authority</x:v>
      </x:c>
      <x:c r="I56" t="str">
        <x:f>IF(F56=1,"PASS","GAP")</x:f>
        <x:v>PASS</x:v>
      </x:c>
    </x:row>
    <x:row r="57">
      <x:c r="B57" t="str">
        <x:v>PL-0051</x:v>
      </x:c>
      <x:c r="C57" t="str">
        <x:v>PLANNING</x:v>
      </x:c>
      <x:c r="D57" t="str">
        <x:v>event</x:v>
      </x:c>
      <x:c r="E57" t="str">
        <x:v>event 51</x:v>
      </x:c>
      <x:c r="F57" t="n">
        <x:f>Controls!$D$62</x:f>
        <x:v>1</x:v>
      </x:c>
      <x:c r="G57" t="n">
        <x:v>1</x:v>
      </x:c>
      <x:c r="H57" t="str">
        <x:v>RFE design authority</x:v>
      </x:c>
      <x:c r="I57" t="str">
        <x:f>IF(F57=1,"PASS","GAP")</x:f>
        <x:v>PASS</x:v>
      </x:c>
    </x:row>
    <x:row r="58">
      <x:c r="B58" t="str">
        <x:v>PL-0052</x:v>
      </x:c>
      <x:c r="C58" t="str">
        <x:v>PLANNING</x:v>
      </x:c>
      <x:c r="D58" t="str">
        <x:v>event</x:v>
      </x:c>
      <x:c r="E58" t="str">
        <x:v>event 52</x:v>
      </x:c>
      <x:c r="F58" t="n">
        <x:f>Controls!$D$62</x:f>
        <x:v>1</x:v>
      </x:c>
      <x:c r="G58" t="n">
        <x:v>1</x:v>
      </x:c>
      <x:c r="H58" t="str">
        <x:v>RFE design authority</x:v>
      </x:c>
      <x:c r="I58" t="str">
        <x:f>IF(F58=1,"PASS","GAP")</x:f>
        <x:v>PASS</x:v>
      </x:c>
    </x:row>
    <x:row r="59">
      <x:c r="B59" t="str">
        <x:v>PL-0053</x:v>
      </x:c>
      <x:c r="C59" t="str">
        <x:v>PLANNING</x:v>
      </x:c>
      <x:c r="D59" t="str">
        <x:v>event</x:v>
      </x:c>
      <x:c r="E59" t="str">
        <x:v>event 53</x:v>
      </x:c>
      <x:c r="F59" t="n">
        <x:f>Controls!$D$62</x:f>
        <x:v>1</x:v>
      </x:c>
      <x:c r="G59" t="n">
        <x:v>1</x:v>
      </x:c>
      <x:c r="H59" t="str">
        <x:v>RFE design authority</x:v>
      </x:c>
      <x:c r="I59" t="str">
        <x:f>IF(F59=1,"PASS","GAP")</x:f>
        <x:v>PASS</x:v>
      </x:c>
    </x:row>
    <x:row r="60">
      <x:c r="B60" t="str">
        <x:v>PL-0054</x:v>
      </x:c>
      <x:c r="C60" t="str">
        <x:v>PLANNING</x:v>
      </x:c>
      <x:c r="D60" t="str">
        <x:v>event</x:v>
      </x:c>
      <x:c r="E60" t="str">
        <x:v>event 54</x:v>
      </x:c>
      <x:c r="F60" t="n">
        <x:f>Controls!$D$62</x:f>
        <x:v>1</x:v>
      </x:c>
      <x:c r="G60" t="n">
        <x:v>1</x:v>
      </x:c>
      <x:c r="H60" t="str">
        <x:v>RFE design authority</x:v>
      </x:c>
      <x:c r="I60" t="str">
        <x:f>IF(F60=1,"PASS","GAP")</x:f>
        <x:v>PASS</x:v>
      </x:c>
    </x:row>
    <x:row r="61">
      <x:c r="B61" t="str">
        <x:v>PL-0055</x:v>
      </x:c>
      <x:c r="C61" t="str">
        <x:v>PLANNING</x:v>
      </x:c>
      <x:c r="D61" t="str">
        <x:v>event</x:v>
      </x:c>
      <x:c r="E61" t="str">
        <x:v>event 55</x:v>
      </x:c>
      <x:c r="F61" t="n">
        <x:f>Controls!$D$62</x:f>
        <x:v>1</x:v>
      </x:c>
      <x:c r="G61" t="n">
        <x:v>1</x:v>
      </x:c>
      <x:c r="H61" t="str">
        <x:v>RFE design authority</x:v>
      </x:c>
      <x:c r="I61" t="str">
        <x:f>IF(F61=1,"PASS","GAP")</x:f>
        <x:v>PASS</x:v>
      </x:c>
    </x:row>
    <x:row r="62">
      <x:c r="B62" t="str">
        <x:v>PL-0056</x:v>
      </x:c>
      <x:c r="C62" t="str">
        <x:v>PLANNING</x:v>
      </x:c>
      <x:c r="D62" t="str">
        <x:v>event</x:v>
      </x:c>
      <x:c r="E62" t="str">
        <x:v>event 56</x:v>
      </x:c>
      <x:c r="F62" t="n">
        <x:f>Controls!$D$62</x:f>
        <x:v>1</x:v>
      </x:c>
      <x:c r="G62" t="n">
        <x:v>1</x:v>
      </x:c>
      <x:c r="H62" t="str">
        <x:v>RFE design authority</x:v>
      </x:c>
      <x:c r="I62" t="str">
        <x:f>IF(F62=1,"PASS","GAP")</x:f>
        <x:v>PASS</x:v>
      </x:c>
    </x:row>
    <x:row r="63">
      <x:c r="B63" t="str">
        <x:v>PL-0057</x:v>
      </x:c>
      <x:c r="C63" t="str">
        <x:v>PLANNING</x:v>
      </x:c>
      <x:c r="D63" t="str">
        <x:v>event</x:v>
      </x:c>
      <x:c r="E63" t="str">
        <x:v>event 57</x:v>
      </x:c>
      <x:c r="F63" t="n">
        <x:f>Controls!$D$62</x:f>
        <x:v>1</x:v>
      </x:c>
      <x:c r="G63" t="n">
        <x:v>1</x:v>
      </x:c>
      <x:c r="H63" t="str">
        <x:v>RFE design authority</x:v>
      </x:c>
      <x:c r="I63" t="str">
        <x:f>IF(F63=1,"PASS","GAP")</x:f>
        <x:v>PASS</x:v>
      </x:c>
    </x:row>
    <x:row r="64">
      <x:c r="B64" t="str">
        <x:v>PL-0058</x:v>
      </x:c>
      <x:c r="C64" t="str">
        <x:v>PLANNING</x:v>
      </x:c>
      <x:c r="D64" t="str">
        <x:v>event</x:v>
      </x:c>
      <x:c r="E64" t="str">
        <x:v>event 58</x:v>
      </x:c>
      <x:c r="F64" t="n">
        <x:f>Controls!$D$62</x:f>
        <x:v>1</x:v>
      </x:c>
      <x:c r="G64" t="n">
        <x:v>1</x:v>
      </x:c>
      <x:c r="H64" t="str">
        <x:v>RFE design authority</x:v>
      </x:c>
      <x:c r="I64" t="str">
        <x:f>IF(F64=1,"PASS","GAP")</x:f>
        <x:v>PASS</x:v>
      </x:c>
    </x:row>
    <x:row r="65">
      <x:c r="B65" t="str">
        <x:v>PL-0059</x:v>
      </x:c>
      <x:c r="C65" t="str">
        <x:v>PLANNING</x:v>
      </x:c>
      <x:c r="D65" t="str">
        <x:v>event</x:v>
      </x:c>
      <x:c r="E65" t="str">
        <x:v>event 59</x:v>
      </x:c>
      <x:c r="F65" t="n">
        <x:f>Controls!$D$62</x:f>
        <x:v>1</x:v>
      </x:c>
      <x:c r="G65" t="n">
        <x:v>1</x:v>
      </x:c>
      <x:c r="H65" t="str">
        <x:v>RFE design authority</x:v>
      </x:c>
      <x:c r="I65" t="str">
        <x:f>IF(F65=1,"PASS","GAP")</x:f>
        <x:v>PASS</x:v>
      </x:c>
    </x:row>
    <x:row r="66">
      <x:c r="B66" t="str">
        <x:v>PL-0060</x:v>
      </x:c>
      <x:c r="C66" t="str">
        <x:v>PLANNING</x:v>
      </x:c>
      <x:c r="D66" t="str">
        <x:v>event</x:v>
      </x:c>
      <x:c r="E66" t="str">
        <x:v>event 60</x:v>
      </x:c>
      <x:c r="F66" t="n">
        <x:f>Controls!$D$62</x:f>
        <x:v>1</x:v>
      </x:c>
      <x:c r="G66" t="n">
        <x:v>1</x:v>
      </x:c>
      <x:c r="H66" t="str">
        <x:v>RFE design authority</x:v>
      </x:c>
      <x:c r="I66" t="str">
        <x:f>IF(F66=1,"PASS","GAP")</x:f>
        <x:v>PASS</x:v>
      </x:c>
    </x:row>
    <x:row r="67">
      <x:c r="B67" t="str">
        <x:v>PL-0061</x:v>
      </x:c>
      <x:c r="C67" t="str">
        <x:v>PLANNING</x:v>
      </x:c>
      <x:c r="D67" t="str">
        <x:v>event</x:v>
      </x:c>
      <x:c r="E67" t="str">
        <x:v>event 61</x:v>
      </x:c>
      <x:c r="F67" t="n">
        <x:f>Controls!$D$62</x:f>
        <x:v>1</x:v>
      </x:c>
      <x:c r="G67" t="n">
        <x:v>1</x:v>
      </x:c>
      <x:c r="H67" t="str">
        <x:v>RFE design authority</x:v>
      </x:c>
      <x:c r="I67" t="str">
        <x:f>IF(F67=1,"PASS","GAP")</x:f>
        <x:v>PASS</x:v>
      </x:c>
    </x:row>
    <x:row r="68">
      <x:c r="B68" t="str">
        <x:v>PL-0062</x:v>
      </x:c>
      <x:c r="C68" t="str">
        <x:v>PLANNING</x:v>
      </x:c>
      <x:c r="D68" t="str">
        <x:v>event</x:v>
      </x:c>
      <x:c r="E68" t="str">
        <x:v>event 62</x:v>
      </x:c>
      <x:c r="F68" t="n">
        <x:f>Controls!$D$62</x:f>
        <x:v>1</x:v>
      </x:c>
      <x:c r="G68" t="n">
        <x:v>1</x:v>
      </x:c>
      <x:c r="H68" t="str">
        <x:v>RFE design authority</x:v>
      </x:c>
      <x:c r="I68" t="str">
        <x:f>IF(F68=1,"PASS","GAP")</x:f>
        <x:v>PASS</x:v>
      </x:c>
    </x:row>
    <x:row r="69">
      <x:c r="B69" t="str">
        <x:v>PL-0063</x:v>
      </x:c>
      <x:c r="C69" t="str">
        <x:v>PLANNING</x:v>
      </x:c>
      <x:c r="D69" t="str">
        <x:v>event</x:v>
      </x:c>
      <x:c r="E69" t="str">
        <x:v>event 63</x:v>
      </x:c>
      <x:c r="F69" t="n">
        <x:f>Controls!$D$62</x:f>
        <x:v>1</x:v>
      </x:c>
      <x:c r="G69" t="n">
        <x:v>1</x:v>
      </x:c>
      <x:c r="H69" t="str">
        <x:v>RFE design authority</x:v>
      </x:c>
      <x:c r="I69" t="str">
        <x:f>IF(F69=1,"PASS","GAP")</x:f>
        <x:v>PASS</x:v>
      </x:c>
    </x:row>
    <x:row r="70">
      <x:c r="B70" t="str">
        <x:v>PL-0064</x:v>
      </x:c>
      <x:c r="C70" t="str">
        <x:v>PLANNING</x:v>
      </x:c>
      <x:c r="D70" t="str">
        <x:v>event</x:v>
      </x:c>
      <x:c r="E70" t="str">
        <x:v>event 64</x:v>
      </x:c>
      <x:c r="F70" t="n">
        <x:f>Controls!$D$62</x:f>
        <x:v>1</x:v>
      </x:c>
      <x:c r="G70" t="n">
        <x:v>1</x:v>
      </x:c>
      <x:c r="H70" t="str">
        <x:v>RFE design authority</x:v>
      </x:c>
      <x:c r="I70" t="str">
        <x:f>IF(F70=1,"PASS","GAP")</x:f>
        <x:v>PASS</x:v>
      </x:c>
    </x:row>
    <x:row r="71">
      <x:c r="B71" t="str">
        <x:v>PL-0065</x:v>
      </x:c>
      <x:c r="C71" t="str">
        <x:v>PLANNING</x:v>
      </x:c>
      <x:c r="D71" t="str">
        <x:v>event</x:v>
      </x:c>
      <x:c r="E71" t="str">
        <x:v>event 65</x:v>
      </x:c>
      <x:c r="F71" t="n">
        <x:f>Controls!$D$62</x:f>
        <x:v>1</x:v>
      </x:c>
      <x:c r="G71" t="n">
        <x:v>1</x:v>
      </x:c>
      <x:c r="H71" t="str">
        <x:v>RFE design authority</x:v>
      </x:c>
      <x:c r="I71" t="str">
        <x:f>IF(F71=1,"PASS","GAP")</x:f>
        <x:v>PASS</x:v>
      </x:c>
    </x:row>
    <x:row r="72">
      <x:c r="B72" t="str">
        <x:v>PL-0066</x:v>
      </x:c>
      <x:c r="C72" t="str">
        <x:v>PLANNING</x:v>
      </x:c>
      <x:c r="D72" t="str">
        <x:v>event</x:v>
      </x:c>
      <x:c r="E72" t="str">
        <x:v>event 66</x:v>
      </x:c>
      <x:c r="F72" t="n">
        <x:f>Controls!$D$62</x:f>
        <x:v>1</x:v>
      </x:c>
      <x:c r="G72" t="n">
        <x:v>1</x:v>
      </x:c>
      <x:c r="H72" t="str">
        <x:v>RFE design authority</x:v>
      </x:c>
      <x:c r="I72" t="str">
        <x:f>IF(F72=1,"PASS","GAP")</x:f>
        <x:v>PASS</x:v>
      </x:c>
    </x:row>
    <x:row r="73">
      <x:c r="B73" t="str">
        <x:v>PL-0067</x:v>
      </x:c>
      <x:c r="C73" t="str">
        <x:v>PLANNING</x:v>
      </x:c>
      <x:c r="D73" t="str">
        <x:v>event</x:v>
      </x:c>
      <x:c r="E73" t="str">
        <x:v>event 67</x:v>
      </x:c>
      <x:c r="F73" t="n">
        <x:f>Controls!$D$62</x:f>
        <x:v>1</x:v>
      </x:c>
      <x:c r="G73" t="n">
        <x:v>1</x:v>
      </x:c>
      <x:c r="H73" t="str">
        <x:v>RFE design authority</x:v>
      </x:c>
      <x:c r="I73" t="str">
        <x:f>IF(F73=1,"PASS","GAP")</x:f>
        <x:v>PASS</x:v>
      </x:c>
    </x:row>
    <x:row r="74">
      <x:c r="B74" t="str">
        <x:v>PL-0068</x:v>
      </x:c>
      <x:c r="C74" t="str">
        <x:v>PLANNING</x:v>
      </x:c>
      <x:c r="D74" t="str">
        <x:v>event</x:v>
      </x:c>
      <x:c r="E74" t="str">
        <x:v>event 68</x:v>
      </x:c>
      <x:c r="F74" t="n">
        <x:f>Controls!$D$62</x:f>
        <x:v>1</x:v>
      </x:c>
      <x:c r="G74" t="n">
        <x:v>1</x:v>
      </x:c>
      <x:c r="H74" t="str">
        <x:v>RFE design authority</x:v>
      </x:c>
      <x:c r="I74" t="str">
        <x:f>IF(F74=1,"PASS","GAP")</x:f>
        <x:v>PASS</x:v>
      </x:c>
    </x:row>
    <x:row r="75">
      <x:c r="B75" t="str">
        <x:v>PL-0069</x:v>
      </x:c>
      <x:c r="C75" t="str">
        <x:v>PLANNING</x:v>
      </x:c>
      <x:c r="D75" t="str">
        <x:v>event</x:v>
      </x:c>
      <x:c r="E75" t="str">
        <x:v>event 69</x:v>
      </x:c>
      <x:c r="F75" t="n">
        <x:f>Controls!$D$62</x:f>
        <x:v>1</x:v>
      </x:c>
      <x:c r="G75" t="n">
        <x:v>1</x:v>
      </x:c>
      <x:c r="H75" t="str">
        <x:v>RFE design authority</x:v>
      </x:c>
      <x:c r="I75" t="str">
        <x:f>IF(F75=1,"PASS","GAP")</x:f>
        <x:v>PASS</x:v>
      </x:c>
    </x:row>
    <x:row r="76">
      <x:c r="B76" t="str">
        <x:v>PL-0070</x:v>
      </x:c>
      <x:c r="C76" t="str">
        <x:v>PLANNING</x:v>
      </x:c>
      <x:c r="D76" t="str">
        <x:v>event</x:v>
      </x:c>
      <x:c r="E76" t="str">
        <x:v>event 70</x:v>
      </x:c>
      <x:c r="F76" t="n">
        <x:f>Controls!$D$62</x:f>
        <x:v>1</x:v>
      </x:c>
      <x:c r="G76" t="n">
        <x:v>1</x:v>
      </x:c>
      <x:c r="H76" t="str">
        <x:v>RFE design authority</x:v>
      </x:c>
      <x:c r="I76" t="str">
        <x:f>IF(F76=1,"PASS","GAP")</x:f>
        <x:v>PASS</x:v>
      </x:c>
    </x:row>
    <x:row r="77">
      <x:c r="B77" t="str">
        <x:v>PL-0071</x:v>
      </x:c>
      <x:c r="C77" t="str">
        <x:v>PLANNING</x:v>
      </x:c>
      <x:c r="D77" t="str">
        <x:v>event</x:v>
      </x:c>
      <x:c r="E77" t="str">
        <x:v>event 71</x:v>
      </x:c>
      <x:c r="F77" t="n">
        <x:f>Controls!$D$62</x:f>
        <x:v>1</x:v>
      </x:c>
      <x:c r="G77" t="n">
        <x:v>1</x:v>
      </x:c>
      <x:c r="H77" t="str">
        <x:v>RFE design authority</x:v>
      </x:c>
      <x:c r="I77" t="str">
        <x:f>IF(F77=1,"PASS","GAP")</x:f>
        <x:v>PASS</x:v>
      </x:c>
    </x:row>
    <x:row r="78">
      <x:c r="B78" t="str">
        <x:v>PL-0072</x:v>
      </x:c>
      <x:c r="C78" t="str">
        <x:v>PLANNING</x:v>
      </x:c>
      <x:c r="D78" t="str">
        <x:v>event</x:v>
      </x:c>
      <x:c r="E78" t="str">
        <x:v>event 72</x:v>
      </x:c>
      <x:c r="F78" t="n">
        <x:f>Controls!$D$62</x:f>
        <x:v>1</x:v>
      </x:c>
      <x:c r="G78" t="n">
        <x:v>1</x:v>
      </x:c>
      <x:c r="H78" t="str">
        <x:v>RFE design authority</x:v>
      </x:c>
      <x:c r="I78" t="str">
        <x:f>IF(F78=1,"PASS","GAP")</x:f>
        <x:v>PASS</x:v>
      </x:c>
    </x:row>
    <x:row r="79">
      <x:c r="B79" t="str">
        <x:v>PL-0073</x:v>
      </x:c>
      <x:c r="C79" t="str">
        <x:v>PLANNING</x:v>
      </x:c>
      <x:c r="D79" t="str">
        <x:v>event</x:v>
      </x:c>
      <x:c r="E79" t="str">
        <x:v>event 73</x:v>
      </x:c>
      <x:c r="F79" t="n">
        <x:f>Controls!$D$62</x:f>
        <x:v>1</x:v>
      </x:c>
      <x:c r="G79" t="n">
        <x:v>1</x:v>
      </x:c>
      <x:c r="H79" t="str">
        <x:v>RFE design authority</x:v>
      </x:c>
      <x:c r="I79" t="str">
        <x:f>IF(F79=1,"PASS","GAP")</x:f>
        <x:v>PASS</x:v>
      </x:c>
    </x:row>
    <x:row r="80">
      <x:c r="B80" t="str">
        <x:v>PL-0074</x:v>
      </x:c>
      <x:c r="C80" t="str">
        <x:v>PLANNING</x:v>
      </x:c>
      <x:c r="D80" t="str">
        <x:v>event</x:v>
      </x:c>
      <x:c r="E80" t="str">
        <x:v>event 74</x:v>
      </x:c>
      <x:c r="F80" t="n">
        <x:f>Controls!$D$62</x:f>
        <x:v>1</x:v>
      </x:c>
      <x:c r="G80" t="n">
        <x:v>1</x:v>
      </x:c>
      <x:c r="H80" t="str">
        <x:v>RFE design authority</x:v>
      </x:c>
      <x:c r="I80" t="str">
        <x:f>IF(F80=1,"PASS","GAP")</x:f>
        <x:v>PASS</x:v>
      </x:c>
    </x:row>
    <x:row r="81">
      <x:c r="B81" t="str">
        <x:v>PL-0075</x:v>
      </x:c>
      <x:c r="C81" t="str">
        <x:v>PLANNING</x:v>
      </x:c>
      <x:c r="D81" t="str">
        <x:v>event</x:v>
      </x:c>
      <x:c r="E81" t="str">
        <x:v>event 75</x:v>
      </x:c>
      <x:c r="F81" t="n">
        <x:f>Controls!$D$62</x:f>
        <x:v>1</x:v>
      </x:c>
      <x:c r="G81" t="n">
        <x:v>1</x:v>
      </x:c>
      <x:c r="H81" t="str">
        <x:v>RFE design authority</x:v>
      </x:c>
      <x:c r="I81" t="str">
        <x:f>IF(F81=1,"PASS","GAP")</x:f>
        <x:v>PASS</x:v>
      </x:c>
    </x:row>
    <x:row r="82">
      <x:c r="B82" t="str">
        <x:v>PL-0076</x:v>
      </x:c>
      <x:c r="C82" t="str">
        <x:v>PLANNING</x:v>
      </x:c>
      <x:c r="D82" t="str">
        <x:v>event</x:v>
      </x:c>
      <x:c r="E82" t="str">
        <x:v>event 76</x:v>
      </x:c>
      <x:c r="F82" t="n">
        <x:f>Controls!$D$62</x:f>
        <x:v>1</x:v>
      </x:c>
      <x:c r="G82" t="n">
        <x:v>1</x:v>
      </x:c>
      <x:c r="H82" t="str">
        <x:v>RFE design authority</x:v>
      </x:c>
      <x:c r="I82" t="str">
        <x:f>IF(F82=1,"PASS","GAP")</x:f>
        <x:v>PASS</x:v>
      </x:c>
    </x:row>
    <x:row r="83">
      <x:c r="B83" t="str">
        <x:v>PL-0077</x:v>
      </x:c>
      <x:c r="C83" t="str">
        <x:v>PLANNING</x:v>
      </x:c>
      <x:c r="D83" t="str">
        <x:v>event</x:v>
      </x:c>
      <x:c r="E83" t="str">
        <x:v>event 77</x:v>
      </x:c>
      <x:c r="F83" t="n">
        <x:f>Controls!$D$62</x:f>
        <x:v>1</x:v>
      </x:c>
      <x:c r="G83" t="n">
        <x:v>1</x:v>
      </x:c>
      <x:c r="H83" t="str">
        <x:v>RFE design authority</x:v>
      </x:c>
      <x:c r="I83" t="str">
        <x:f>IF(F83=1,"PASS","GAP")</x:f>
        <x:v>PASS</x:v>
      </x:c>
    </x:row>
    <x:row r="84">
      <x:c r="B84" t="str">
        <x:v>PL-0078</x:v>
      </x:c>
      <x:c r="C84" t="str">
        <x:v>PLANNING</x:v>
      </x:c>
      <x:c r="D84" t="str">
        <x:v>event</x:v>
      </x:c>
      <x:c r="E84" t="str">
        <x:v>event 78</x:v>
      </x:c>
      <x:c r="F84" t="n">
        <x:f>Controls!$D$62</x:f>
        <x:v>1</x:v>
      </x:c>
      <x:c r="G84" t="n">
        <x:v>1</x:v>
      </x:c>
      <x:c r="H84" t="str">
        <x:v>RFE design authority</x:v>
      </x:c>
      <x:c r="I84" t="str">
        <x:f>IF(F84=1,"PASS","GAP")</x:f>
        <x:v>PASS</x:v>
      </x:c>
    </x:row>
    <x:row r="85">
      <x:c r="B85" t="str">
        <x:v>PL-0079</x:v>
      </x:c>
      <x:c r="C85" t="str">
        <x:v>PLANNING</x:v>
      </x:c>
      <x:c r="D85" t="str">
        <x:v>event</x:v>
      </x:c>
      <x:c r="E85" t="str">
        <x:v>event 79</x:v>
      </x:c>
      <x:c r="F85" t="n">
        <x:f>Controls!$D$62</x:f>
        <x:v>1</x:v>
      </x:c>
      <x:c r="G85" t="n">
        <x:v>1</x:v>
      </x:c>
      <x:c r="H85" t="str">
        <x:v>RFE design authority</x:v>
      </x:c>
      <x:c r="I85" t="str">
        <x:f>IF(F85=1,"PASS","GAP")</x:f>
        <x:v>PASS</x:v>
      </x:c>
    </x:row>
    <x:row r="86">
      <x:c r="B86" t="str">
        <x:v>PL-0080</x:v>
      </x:c>
      <x:c r="C86" t="str">
        <x:v>PLANNING</x:v>
      </x:c>
      <x:c r="D86" t="str">
        <x:v>event</x:v>
      </x:c>
      <x:c r="E86" t="str">
        <x:v>event 80</x:v>
      </x:c>
      <x:c r="F86" t="n">
        <x:f>Controls!$D$62</x:f>
        <x:v>1</x:v>
      </x:c>
      <x:c r="G86" t="n">
        <x:v>1</x:v>
      </x:c>
      <x:c r="H86" t="str">
        <x:v>RFE design authority</x:v>
      </x:c>
      <x:c r="I86" t="str">
        <x:f>IF(F86=1,"PASS","GAP")</x:f>
        <x:v>PASS</x:v>
      </x:c>
    </x:row>
    <x:row r="87">
      <x:c r="B87" t="str">
        <x:v>PL-0081</x:v>
      </x:c>
      <x:c r="C87" t="str">
        <x:v>PLANNING</x:v>
      </x:c>
      <x:c r="D87" t="str">
        <x:v>event</x:v>
      </x:c>
      <x:c r="E87" t="str">
        <x:v>event 81</x:v>
      </x:c>
      <x:c r="F87" t="n">
        <x:f>Controls!$D$62</x:f>
        <x:v>1</x:v>
      </x:c>
      <x:c r="G87" t="n">
        <x:v>1</x:v>
      </x:c>
      <x:c r="H87" t="str">
        <x:v>RFE design authority</x:v>
      </x:c>
      <x:c r="I87" t="str">
        <x:f>IF(F87=1,"PASS","GAP")</x:f>
        <x:v>PASS</x:v>
      </x:c>
    </x:row>
    <x:row r="88">
      <x:c r="B88" t="str">
        <x:v>PL-0082</x:v>
      </x:c>
      <x:c r="C88" t="str">
        <x:v>PLANNING</x:v>
      </x:c>
      <x:c r="D88" t="str">
        <x:v>event</x:v>
      </x:c>
      <x:c r="E88" t="str">
        <x:v>event 82</x:v>
      </x:c>
      <x:c r="F88" t="n">
        <x:f>Controls!$D$62</x:f>
        <x:v>1</x:v>
      </x:c>
      <x:c r="G88" t="n">
        <x:v>1</x:v>
      </x:c>
      <x:c r="H88" t="str">
        <x:v>RFE design authority</x:v>
      </x:c>
      <x:c r="I88" t="str">
        <x:f>IF(F88=1,"PASS","GAP")</x:f>
        <x:v>PASS</x:v>
      </x:c>
    </x:row>
    <x:row r="89">
      <x:c r="B89" t="str">
        <x:v>PL-0083</x:v>
      </x:c>
      <x:c r="C89" t="str">
        <x:v>PLANNING</x:v>
      </x:c>
      <x:c r="D89" t="str">
        <x:v>event</x:v>
      </x:c>
      <x:c r="E89" t="str">
        <x:v>event 83</x:v>
      </x:c>
      <x:c r="F89" t="n">
        <x:f>Controls!$D$62</x:f>
        <x:v>1</x:v>
      </x:c>
      <x:c r="G89" t="n">
        <x:v>1</x:v>
      </x:c>
      <x:c r="H89" t="str">
        <x:v>RFE design authority</x:v>
      </x:c>
      <x:c r="I89" t="str">
        <x:f>IF(F89=1,"PASS","GAP")</x:f>
        <x:v>PASS</x:v>
      </x:c>
    </x:row>
    <x:row r="90">
      <x:c r="B90" t="str">
        <x:v>PL-0084</x:v>
      </x:c>
      <x:c r="C90" t="str">
        <x:v>PLANNING</x:v>
      </x:c>
      <x:c r="D90" t="str">
        <x:v>event</x:v>
      </x:c>
      <x:c r="E90" t="str">
        <x:v>event 84</x:v>
      </x:c>
      <x:c r="F90" t="n">
        <x:f>Controls!$D$62</x:f>
        <x:v>1</x:v>
      </x:c>
      <x:c r="G90" t="n">
        <x:v>1</x:v>
      </x:c>
      <x:c r="H90" t="str">
        <x:v>RFE design authority</x:v>
      </x:c>
      <x:c r="I90" t="str">
        <x:f>IF(F90=1,"PASS","GAP")</x:f>
        <x:v>PASS</x:v>
      </x:c>
    </x:row>
    <x:row r="91">
      <x:c r="B91" t="str">
        <x:v>PL-0085</x:v>
      </x:c>
      <x:c r="C91" t="str">
        <x:v>PLANNING</x:v>
      </x:c>
      <x:c r="D91" t="str">
        <x:v>event</x:v>
      </x:c>
      <x:c r="E91" t="str">
        <x:v>event 85</x:v>
      </x:c>
      <x:c r="F91" t="n">
        <x:f>Controls!$D$62</x:f>
        <x:v>1</x:v>
      </x:c>
      <x:c r="G91" t="n">
        <x:v>1</x:v>
      </x:c>
      <x:c r="H91" t="str">
        <x:v>RFE design authority</x:v>
      </x:c>
      <x:c r="I91" t="str">
        <x:f>IF(F91=1,"PASS","GAP")</x:f>
        <x:v>PASS</x:v>
      </x:c>
    </x:row>
    <x:row r="92">
      <x:c r="B92" t="str">
        <x:v>PL-0086</x:v>
      </x:c>
      <x:c r="C92" t="str">
        <x:v>PLANNING</x:v>
      </x:c>
      <x:c r="D92" t="str">
        <x:v>event</x:v>
      </x:c>
      <x:c r="E92" t="str">
        <x:v>event 86</x:v>
      </x:c>
      <x:c r="F92" t="n">
        <x:f>Controls!$D$62</x:f>
        <x:v>1</x:v>
      </x:c>
      <x:c r="G92" t="n">
        <x:v>1</x:v>
      </x:c>
      <x:c r="H92" t="str">
        <x:v>RFE design authority</x:v>
      </x:c>
      <x:c r="I92" t="str">
        <x:f>IF(F92=1,"PASS","GAP")</x:f>
        <x:v>PASS</x:v>
      </x:c>
    </x:row>
    <x:row r="93">
      <x:c r="B93" t="str">
        <x:v>PL-0087</x:v>
      </x:c>
      <x:c r="C93" t="str">
        <x:v>PLANNING</x:v>
      </x:c>
      <x:c r="D93" t="str">
        <x:v>event</x:v>
      </x:c>
      <x:c r="E93" t="str">
        <x:v>event 87</x:v>
      </x:c>
      <x:c r="F93" t="n">
        <x:f>Controls!$D$62</x:f>
        <x:v>1</x:v>
      </x:c>
      <x:c r="G93" t="n">
        <x:v>1</x:v>
      </x:c>
      <x:c r="H93" t="str">
        <x:v>RFE design authority</x:v>
      </x:c>
      <x:c r="I93" t="str">
        <x:f>IF(F93=1,"PASS","GAP")</x:f>
        <x:v>PASS</x:v>
      </x:c>
    </x:row>
    <x:row r="94">
      <x:c r="B94" t="str">
        <x:v>PL-0088</x:v>
      </x:c>
      <x:c r="C94" t="str">
        <x:v>PLANNING</x:v>
      </x:c>
      <x:c r="D94" t="str">
        <x:v>event</x:v>
      </x:c>
      <x:c r="E94" t="str">
        <x:v>event 88</x:v>
      </x:c>
      <x:c r="F94" t="n">
        <x:f>Controls!$D$62</x:f>
        <x:v>1</x:v>
      </x:c>
      <x:c r="G94" t="n">
        <x:v>1</x:v>
      </x:c>
      <x:c r="H94" t="str">
        <x:v>RFE design authority</x:v>
      </x:c>
      <x:c r="I94" t="str">
        <x:f>IF(F94=1,"PASS","GAP")</x:f>
        <x:v>PASS</x:v>
      </x:c>
    </x:row>
    <x:row r="95">
      <x:c r="B95" t="str">
        <x:v>PL-0089</x:v>
      </x:c>
      <x:c r="C95" t="str">
        <x:v>PLANNING</x:v>
      </x:c>
      <x:c r="D95" t="str">
        <x:v>event</x:v>
      </x:c>
      <x:c r="E95" t="str">
        <x:v>event 89</x:v>
      </x:c>
      <x:c r="F95" t="n">
        <x:f>Controls!$D$62</x:f>
        <x:v>1</x:v>
      </x:c>
      <x:c r="G95" t="n">
        <x:v>1</x:v>
      </x:c>
      <x:c r="H95" t="str">
        <x:v>RFE design authority</x:v>
      </x:c>
      <x:c r="I95" t="str">
        <x:f>IF(F95=1,"PASS","GAP")</x:f>
        <x:v>PASS</x:v>
      </x:c>
    </x:row>
    <x:row r="96">
      <x:c r="B96" t="str">
        <x:v>PL-0090</x:v>
      </x:c>
      <x:c r="C96" t="str">
        <x:v>PLANNING</x:v>
      </x:c>
      <x:c r="D96" t="str">
        <x:v>event</x:v>
      </x:c>
      <x:c r="E96" t="str">
        <x:v>event 90</x:v>
      </x:c>
      <x:c r="F96" t="n">
        <x:f>Controls!$D$62</x:f>
        <x:v>1</x:v>
      </x:c>
      <x:c r="G96" t="n">
        <x:v>1</x:v>
      </x:c>
      <x:c r="H96" t="str">
        <x:v>RFE design authority</x:v>
      </x:c>
      <x:c r="I96" t="str">
        <x:f>IF(F96=1,"PASS","GAP")</x:f>
        <x:v>PASS</x:v>
      </x:c>
    </x:row>
    <x:row r="97">
      <x:c r="B97" t="str">
        <x:v>PL-0091</x:v>
      </x:c>
      <x:c r="C97" t="str">
        <x:v>PLANNING</x:v>
      </x:c>
      <x:c r="D97" t="str">
        <x:v>event</x:v>
      </x:c>
      <x:c r="E97" t="str">
        <x:v>event 91</x:v>
      </x:c>
      <x:c r="F97" t="n">
        <x:f>Controls!$D$62</x:f>
        <x:v>1</x:v>
      </x:c>
      <x:c r="G97" t="n">
        <x:v>1</x:v>
      </x:c>
      <x:c r="H97" t="str">
        <x:v>RFE design authority</x:v>
      </x:c>
      <x:c r="I97" t="str">
        <x:f>IF(F97=1,"PASS","GAP")</x:f>
        <x:v>PASS</x:v>
      </x:c>
    </x:row>
    <x:row r="98">
      <x:c r="B98" t="str">
        <x:v>PL-0092</x:v>
      </x:c>
      <x:c r="C98" t="str">
        <x:v>PLANNING</x:v>
      </x:c>
      <x:c r="D98" t="str">
        <x:v>event</x:v>
      </x:c>
      <x:c r="E98" t="str">
        <x:v>event 92</x:v>
      </x:c>
      <x:c r="F98" t="n">
        <x:f>Controls!$D$62</x:f>
        <x:v>1</x:v>
      </x:c>
      <x:c r="G98" t="n">
        <x:v>1</x:v>
      </x:c>
      <x:c r="H98" t="str">
        <x:v>RFE design authority</x:v>
      </x:c>
      <x:c r="I98" t="str">
        <x:f>IF(F98=1,"PASS","GAP")</x:f>
        <x:v>PASS</x:v>
      </x:c>
    </x:row>
    <x:row r="99">
      <x:c r="B99" t="str">
        <x:v>PL-0093</x:v>
      </x:c>
      <x:c r="C99" t="str">
        <x:v>PLANNING</x:v>
      </x:c>
      <x:c r="D99" t="str">
        <x:v>event</x:v>
      </x:c>
      <x:c r="E99" t="str">
        <x:v>event 93</x:v>
      </x:c>
      <x:c r="F99" t="n">
        <x:f>Controls!$D$62</x:f>
        <x:v>1</x:v>
      </x:c>
      <x:c r="G99" t="n">
        <x:v>1</x:v>
      </x:c>
      <x:c r="H99" t="str">
        <x:v>RFE design authority</x:v>
      </x:c>
      <x:c r="I99" t="str">
        <x:f>IF(F99=1,"PASS","GAP")</x:f>
        <x:v>PASS</x:v>
      </x:c>
    </x:row>
    <x:row r="100">
      <x:c r="B100" t="str">
        <x:v>PL-0094</x:v>
      </x:c>
      <x:c r="C100" t="str">
        <x:v>PLANNING</x:v>
      </x:c>
      <x:c r="D100" t="str">
        <x:v>event</x:v>
      </x:c>
      <x:c r="E100" t="str">
        <x:v>event 94</x:v>
      </x:c>
      <x:c r="F100" t="n">
        <x:f>Controls!$D$62</x:f>
        <x:v>1</x:v>
      </x:c>
      <x:c r="G100" t="n">
        <x:v>1</x:v>
      </x:c>
      <x:c r="H100" t="str">
        <x:v>RFE design authority</x:v>
      </x:c>
      <x:c r="I100" t="str">
        <x:f>IF(F100=1,"PASS","GAP")</x:f>
        <x:v>PASS</x:v>
      </x:c>
    </x:row>
    <x:row r="101">
      <x:c r="B101" t="str">
        <x:v>PL-0095</x:v>
      </x:c>
      <x:c r="C101" t="str">
        <x:v>PLANNING</x:v>
      </x:c>
      <x:c r="D101" t="str">
        <x:v>event</x:v>
      </x:c>
      <x:c r="E101" t="str">
        <x:v>event 95</x:v>
      </x:c>
      <x:c r="F101" t="n">
        <x:f>Controls!$D$62</x:f>
        <x:v>1</x:v>
      </x:c>
      <x:c r="G101" t="n">
        <x:v>1</x:v>
      </x:c>
      <x:c r="H101" t="str">
        <x:v>RFE design authority</x:v>
      </x:c>
      <x:c r="I101" t="str">
        <x:f>IF(F101=1,"PASS","GAP")</x:f>
        <x:v>PASS</x:v>
      </x:c>
    </x:row>
    <x:row r="102">
      <x:c r="B102" t="str">
        <x:v>PL-0096</x:v>
      </x:c>
      <x:c r="C102" t="str">
        <x:v>PLANNING</x:v>
      </x:c>
      <x:c r="D102" t="str">
        <x:v>event</x:v>
      </x:c>
      <x:c r="E102" t="str">
        <x:v>event 96</x:v>
      </x:c>
      <x:c r="F102" t="n">
        <x:f>Controls!$D$62</x:f>
        <x:v>1</x:v>
      </x:c>
      <x:c r="G102" t="n">
        <x:v>1</x:v>
      </x:c>
      <x:c r="H102" t="str">
        <x:v>RFE design authority</x:v>
      </x:c>
      <x:c r="I102" t="str">
        <x:f>IF(F102=1,"PASS","GAP")</x:f>
        <x:v>PASS</x:v>
      </x:c>
    </x:row>
    <x:row r="103">
      <x:c r="B103" t="str">
        <x:v>PL-0097</x:v>
      </x:c>
      <x:c r="C103" t="str">
        <x:v>PLANNING</x:v>
      </x:c>
      <x:c r="D103" t="str">
        <x:v>event</x:v>
      </x:c>
      <x:c r="E103" t="str">
        <x:v>event 97</x:v>
      </x:c>
      <x:c r="F103" t="n">
        <x:f>Controls!$D$62</x:f>
        <x:v>1</x:v>
      </x:c>
      <x:c r="G103" t="n">
        <x:v>1</x:v>
      </x:c>
      <x:c r="H103" t="str">
        <x:v>RFE design authority</x:v>
      </x:c>
      <x:c r="I103" t="str">
        <x:f>IF(F103=1,"PASS","GAP")</x:f>
        <x:v>PASS</x:v>
      </x:c>
    </x:row>
    <x:row r="104">
      <x:c r="B104" t="str">
        <x:v>PL-0098</x:v>
      </x:c>
      <x:c r="C104" t="str">
        <x:v>PLANNING</x:v>
      </x:c>
      <x:c r="D104" t="str">
        <x:v>event</x:v>
      </x:c>
      <x:c r="E104" t="str">
        <x:v>event 98</x:v>
      </x:c>
      <x:c r="F104" t="n">
        <x:f>Controls!$D$62</x:f>
        <x:v>1</x:v>
      </x:c>
      <x:c r="G104" t="n">
        <x:v>1</x:v>
      </x:c>
      <x:c r="H104" t="str">
        <x:v>RFE design authority</x:v>
      </x:c>
      <x:c r="I104" t="str">
        <x:f>IF(F104=1,"PASS","GAP")</x:f>
        <x:v>PASS</x:v>
      </x:c>
    </x:row>
    <x:row r="105">
      <x:c r="B105" t="str">
        <x:v>PL-0099</x:v>
      </x:c>
      <x:c r="C105" t="str">
        <x:v>PLANNING</x:v>
      </x:c>
      <x:c r="D105" t="str">
        <x:v>event</x:v>
      </x:c>
      <x:c r="E105" t="str">
        <x:v>event 99</x:v>
      </x:c>
      <x:c r="F105" t="n">
        <x:f>Controls!$D$62</x:f>
        <x:v>1</x:v>
      </x:c>
      <x:c r="G105" t="n">
        <x:v>1</x:v>
      </x:c>
      <x:c r="H105" t="str">
        <x:v>RFE design authority</x:v>
      </x:c>
      <x:c r="I105" t="str">
        <x:f>IF(F105=1,"PASS","GAP")</x:f>
        <x:v>PASS</x:v>
      </x:c>
    </x:row>
    <x:row r="106">
      <x:c r="B106" t="str">
        <x:v>PL-0100</x:v>
      </x:c>
      <x:c r="C106" t="str">
        <x:v>PLANNING</x:v>
      </x:c>
      <x:c r="D106" t="str">
        <x:v>event</x:v>
      </x:c>
      <x:c r="E106" t="str">
        <x:v>event 100</x:v>
      </x:c>
      <x:c r="F106" t="n">
        <x:f>Controls!$D$62</x:f>
        <x:v>1</x:v>
      </x:c>
      <x:c r="G106" t="n">
        <x:v>1</x:v>
      </x:c>
      <x:c r="H106" t="str">
        <x:v>RFE design authority</x:v>
      </x:c>
      <x:c r="I106" t="str">
        <x:f>IF(F106=1,"PASS","GAP")</x:f>
        <x:v>PASS</x:v>
      </x:c>
    </x:row>
    <x:row r="107">
      <x:c r="B107" t="str">
        <x:v>PL-0101</x:v>
      </x:c>
      <x:c r="C107" t="str">
        <x:v>PLANNING</x:v>
      </x:c>
      <x:c r="D107" t="str">
        <x:v>event</x:v>
      </x:c>
      <x:c r="E107" t="str">
        <x:v>event 101</x:v>
      </x:c>
      <x:c r="F107" t="n">
        <x:f>Controls!$D$62</x:f>
        <x:v>1</x:v>
      </x:c>
      <x:c r="G107" t="n">
        <x:v>1</x:v>
      </x:c>
      <x:c r="H107" t="str">
        <x:v>RFE design authority</x:v>
      </x:c>
      <x:c r="I107" t="str">
        <x:f>IF(F107=1,"PASS","GAP")</x:f>
        <x:v>PASS</x:v>
      </x:c>
    </x:row>
    <x:row r="108">
      <x:c r="B108" t="str">
        <x:v>PL-0102</x:v>
      </x:c>
      <x:c r="C108" t="str">
        <x:v>PLANNING</x:v>
      </x:c>
      <x:c r="D108" t="str">
        <x:v>event</x:v>
      </x:c>
      <x:c r="E108" t="str">
        <x:v>event 102</x:v>
      </x:c>
      <x:c r="F108" t="n">
        <x:f>Controls!$D$62</x:f>
        <x:v>1</x:v>
      </x:c>
      <x:c r="G108" t="n">
        <x:v>1</x:v>
      </x:c>
      <x:c r="H108" t="str">
        <x:v>RFE design authority</x:v>
      </x:c>
      <x:c r="I108" t="str">
        <x:f>IF(F108=1,"PASS","GAP")</x:f>
        <x:v>PASS</x:v>
      </x:c>
    </x:row>
    <x:row r="109">
      <x:c r="B109" t="str">
        <x:v>PL-0103</x:v>
      </x:c>
      <x:c r="C109" t="str">
        <x:v>PLANNING</x:v>
      </x:c>
      <x:c r="D109" t="str">
        <x:v>event</x:v>
      </x:c>
      <x:c r="E109" t="str">
        <x:v>event 103</x:v>
      </x:c>
      <x:c r="F109" t="n">
        <x:f>Controls!$D$62</x:f>
        <x:v>1</x:v>
      </x:c>
      <x:c r="G109" t="n">
        <x:v>1</x:v>
      </x:c>
      <x:c r="H109" t="str">
        <x:v>RFE design authority</x:v>
      </x:c>
      <x:c r="I109" t="str">
        <x:f>IF(F109=1,"PASS","GAP")</x:f>
        <x:v>PASS</x:v>
      </x:c>
    </x:row>
    <x:row r="110">
      <x:c r="B110" t="str">
        <x:v>PL-0104</x:v>
      </x:c>
      <x:c r="C110" t="str">
        <x:v>PLANNING</x:v>
      </x:c>
      <x:c r="D110" t="str">
        <x:v>event</x:v>
      </x:c>
      <x:c r="E110" t="str">
        <x:v>event 104</x:v>
      </x:c>
      <x:c r="F110" t="n">
        <x:f>Controls!$D$62</x:f>
        <x:v>1</x:v>
      </x:c>
      <x:c r="G110" t="n">
        <x:v>1</x:v>
      </x:c>
      <x:c r="H110" t="str">
        <x:v>RFE design authority</x:v>
      </x:c>
      <x:c r="I110" t="str">
        <x:f>IF(F110=1,"PASS","GAP")</x:f>
        <x:v>PASS</x:v>
      </x:c>
    </x:row>
    <x:row r="111">
      <x:c r="B111" t="str">
        <x:v>PL-0105</x:v>
      </x:c>
      <x:c r="C111" t="str">
        <x:v>PLANNING</x:v>
      </x:c>
      <x:c r="D111" t="str">
        <x:v>event</x:v>
      </x:c>
      <x:c r="E111" t="str">
        <x:v>event 105</x:v>
      </x:c>
      <x:c r="F111" t="n">
        <x:f>Controls!$D$62</x:f>
        <x:v>1</x:v>
      </x:c>
      <x:c r="G111" t="n">
        <x:v>1</x:v>
      </x:c>
      <x:c r="H111" t="str">
        <x:v>RFE design authority</x:v>
      </x:c>
      <x:c r="I111" t="str">
        <x:f>IF(F111=1,"PASS","GAP")</x:f>
        <x:v>PASS</x:v>
      </x:c>
    </x:row>
    <x:row r="112">
      <x:c r="B112" t="str">
        <x:v>PL-0106</x:v>
      </x:c>
      <x:c r="C112" t="str">
        <x:v>PLANNING</x:v>
      </x:c>
      <x:c r="D112" t="str">
        <x:v>event</x:v>
      </x:c>
      <x:c r="E112" t="str">
        <x:v>event 106</x:v>
      </x:c>
      <x:c r="F112" t="n">
        <x:f>Controls!$D$62</x:f>
        <x:v>1</x:v>
      </x:c>
      <x:c r="G112" t="n">
        <x:v>1</x:v>
      </x:c>
      <x:c r="H112" t="str">
        <x:v>RFE design authority</x:v>
      </x:c>
      <x:c r="I112" t="str">
        <x:f>IF(F112=1,"PASS","GAP")</x:f>
        <x:v>PASS</x:v>
      </x:c>
    </x:row>
    <x:row r="113">
      <x:c r="B113" t="str">
        <x:v>PL-0107</x:v>
      </x:c>
      <x:c r="C113" t="str">
        <x:v>PLANNING</x:v>
      </x:c>
      <x:c r="D113" t="str">
        <x:v>event</x:v>
      </x:c>
      <x:c r="E113" t="str">
        <x:v>event 107</x:v>
      </x:c>
      <x:c r="F113" t="n">
        <x:f>Controls!$D$62</x:f>
        <x:v>1</x:v>
      </x:c>
      <x:c r="G113" t="n">
        <x:v>1</x:v>
      </x:c>
      <x:c r="H113" t="str">
        <x:v>RFE design authority</x:v>
      </x:c>
      <x:c r="I113" t="str">
        <x:f>IF(F113=1,"PASS","GAP")</x:f>
        <x:v>PASS</x:v>
      </x:c>
    </x:row>
    <x:row r="114">
      <x:c r="B114" t="str">
        <x:v>PL-0108</x:v>
      </x:c>
      <x:c r="C114" t="str">
        <x:v>PLANNING</x:v>
      </x:c>
      <x:c r="D114" t="str">
        <x:v>event</x:v>
      </x:c>
      <x:c r="E114" t="str">
        <x:v>event 108</x:v>
      </x:c>
      <x:c r="F114" t="n">
        <x:f>Controls!$D$62</x:f>
        <x:v>1</x:v>
      </x:c>
      <x:c r="G114" t="n">
        <x:v>1</x:v>
      </x:c>
      <x:c r="H114" t="str">
        <x:v>RFE design authority</x:v>
      </x:c>
      <x:c r="I114" t="str">
        <x:f>IF(F114=1,"PASS","GAP")</x:f>
        <x:v>PASS</x:v>
      </x:c>
    </x:row>
    <x:row r="115">
      <x:c r="B115" t="str">
        <x:v>PL-0109</x:v>
      </x:c>
      <x:c r="C115" t="str">
        <x:v>PLANNING</x:v>
      </x:c>
      <x:c r="D115" t="str">
        <x:v>event</x:v>
      </x:c>
      <x:c r="E115" t="str">
        <x:v>event 109</x:v>
      </x:c>
      <x:c r="F115" t="n">
        <x:f>Controls!$D$62</x:f>
        <x:v>1</x:v>
      </x:c>
      <x:c r="G115" t="n">
        <x:v>1</x:v>
      </x:c>
      <x:c r="H115" t="str">
        <x:v>RFE design authority</x:v>
      </x:c>
      <x:c r="I115" t="str">
        <x:f>IF(F115=1,"PASS","GAP")</x:f>
        <x:v>PASS</x:v>
      </x:c>
    </x:row>
    <x:row r="116">
      <x:c r="B116" t="str">
        <x:v>PL-0110</x:v>
      </x:c>
      <x:c r="C116" t="str">
        <x:v>PLANNING</x:v>
      </x:c>
      <x:c r="D116" t="str">
        <x:v>event</x:v>
      </x:c>
      <x:c r="E116" t="str">
        <x:v>event 110</x:v>
      </x:c>
      <x:c r="F116" t="n">
        <x:f>Controls!$D$62</x:f>
        <x:v>1</x:v>
      </x:c>
      <x:c r="G116" t="n">
        <x:v>1</x:v>
      </x:c>
      <x:c r="H116" t="str">
        <x:v>RFE design authority</x:v>
      </x:c>
      <x:c r="I116" t="str">
        <x:f>IF(F116=1,"PASS","GAP")</x:f>
        <x:v>PASS</x:v>
      </x:c>
    </x:row>
    <x:row r="117">
      <x:c r="B117" t="str">
        <x:v>PL-0111</x:v>
      </x:c>
      <x:c r="C117" t="str">
        <x:v>PLANNING</x:v>
      </x:c>
      <x:c r="D117" t="str">
        <x:v>event</x:v>
      </x:c>
      <x:c r="E117" t="str">
        <x:v>event 111</x:v>
      </x:c>
      <x:c r="F117" t="n">
        <x:f>Controls!$D$62</x:f>
        <x:v>1</x:v>
      </x:c>
      <x:c r="G117" t="n">
        <x:v>1</x:v>
      </x:c>
      <x:c r="H117" t="str">
        <x:v>RFE design authority</x:v>
      </x:c>
      <x:c r="I117" t="str">
        <x:f>IF(F117=1,"PASS","GAP")</x:f>
        <x:v>PASS</x:v>
      </x:c>
    </x:row>
    <x:row r="118">
      <x:c r="B118" t="str">
        <x:v>PL-0112</x:v>
      </x:c>
      <x:c r="C118" t="str">
        <x:v>PLANNING</x:v>
      </x:c>
      <x:c r="D118" t="str">
        <x:v>event</x:v>
      </x:c>
      <x:c r="E118" t="str">
        <x:v>event 112</x:v>
      </x:c>
      <x:c r="F118" t="n">
        <x:f>Controls!$D$62</x:f>
        <x:v>1</x:v>
      </x:c>
      <x:c r="G118" t="n">
        <x:v>1</x:v>
      </x:c>
      <x:c r="H118" t="str">
        <x:v>RFE design authority</x:v>
      </x:c>
      <x:c r="I118" t="str">
        <x:f>IF(F118=1,"PASS","GAP")</x:f>
        <x:v>PASS</x:v>
      </x:c>
    </x:row>
    <x:row r="119">
      <x:c r="B119" t="str">
        <x:v>PL-0113</x:v>
      </x:c>
      <x:c r="C119" t="str">
        <x:v>PLANNING</x:v>
      </x:c>
      <x:c r="D119" t="str">
        <x:v>event</x:v>
      </x:c>
      <x:c r="E119" t="str">
        <x:v>event 113</x:v>
      </x:c>
      <x:c r="F119" t="n">
        <x:f>Controls!$D$62</x:f>
        <x:v>1</x:v>
      </x:c>
      <x:c r="G119" t="n">
        <x:v>1</x:v>
      </x:c>
      <x:c r="H119" t="str">
        <x:v>RFE design authority</x:v>
      </x:c>
      <x:c r="I119" t="str">
        <x:f>IF(F119=1,"PASS","GAP")</x:f>
        <x:v>PASS</x:v>
      </x:c>
    </x:row>
    <x:row r="120">
      <x:c r="B120" t="str">
        <x:v>PL-0114</x:v>
      </x:c>
      <x:c r="C120" t="str">
        <x:v>PLANNING</x:v>
      </x:c>
      <x:c r="D120" t="str">
        <x:v>event</x:v>
      </x:c>
      <x:c r="E120" t="str">
        <x:v>event 114</x:v>
      </x:c>
      <x:c r="F120" t="n">
        <x:f>Controls!$D$62</x:f>
        <x:v>1</x:v>
      </x:c>
      <x:c r="G120" t="n">
        <x:v>1</x:v>
      </x:c>
      <x:c r="H120" t="str">
        <x:v>RFE design authority</x:v>
      </x:c>
      <x:c r="I120" t="str">
        <x:f>IF(F120=1,"PASS","GAP")</x:f>
        <x:v>PASS</x:v>
      </x:c>
    </x:row>
    <x:row r="121">
      <x:c r="B121" t="str">
        <x:v>PL-0115</x:v>
      </x:c>
      <x:c r="C121" t="str">
        <x:v>PLANNING</x:v>
      </x:c>
      <x:c r="D121" t="str">
        <x:v>event</x:v>
      </x:c>
      <x:c r="E121" t="str">
        <x:v>event 115</x:v>
      </x:c>
      <x:c r="F121" t="n">
        <x:f>Controls!$D$62</x:f>
        <x:v>1</x:v>
      </x:c>
      <x:c r="G121" t="n">
        <x:v>1</x:v>
      </x:c>
      <x:c r="H121" t="str">
        <x:v>RFE design authority</x:v>
      </x:c>
      <x:c r="I121" t="str">
        <x:f>IF(F121=1,"PASS","GAP")</x:f>
        <x:v>PASS</x:v>
      </x:c>
    </x:row>
    <x:row r="122">
      <x:c r="B122" t="str">
        <x:v>PL-0116</x:v>
      </x:c>
      <x:c r="C122" t="str">
        <x:v>PLANNING</x:v>
      </x:c>
      <x:c r="D122" t="str">
        <x:v>event</x:v>
      </x:c>
      <x:c r="E122" t="str">
        <x:v>event 116</x:v>
      </x:c>
      <x:c r="F122" t="n">
        <x:f>Controls!$D$62</x:f>
        <x:v>1</x:v>
      </x:c>
      <x:c r="G122" t="n">
        <x:v>1</x:v>
      </x:c>
      <x:c r="H122" t="str">
        <x:v>RFE design authority</x:v>
      </x:c>
      <x:c r="I122" t="str">
        <x:f>IF(F122=1,"PASS","GAP")</x:f>
        <x:v>PASS</x:v>
      </x:c>
    </x:row>
    <x:row r="123">
      <x:c r="B123" t="str">
        <x:v>PL-0117</x:v>
      </x:c>
      <x:c r="C123" t="str">
        <x:v>PLANNING</x:v>
      </x:c>
      <x:c r="D123" t="str">
        <x:v>event</x:v>
      </x:c>
      <x:c r="E123" t="str">
        <x:v>event 117</x:v>
      </x:c>
      <x:c r="F123" t="n">
        <x:f>Controls!$D$62</x:f>
        <x:v>1</x:v>
      </x:c>
      <x:c r="G123" t="n">
        <x:v>1</x:v>
      </x:c>
      <x:c r="H123" t="str">
        <x:v>RFE design authority</x:v>
      </x:c>
      <x:c r="I123" t="str">
        <x:f>IF(F123=1,"PASS","GAP")</x:f>
        <x:v>PASS</x:v>
      </x:c>
    </x:row>
    <x:row r="124">
      <x:c r="B124" t="str">
        <x:v>PL-0118</x:v>
      </x:c>
      <x:c r="C124" t="str">
        <x:v>PLANNING</x:v>
      </x:c>
      <x:c r="D124" t="str">
        <x:v>event</x:v>
      </x:c>
      <x:c r="E124" t="str">
        <x:v>event 118</x:v>
      </x:c>
      <x:c r="F124" t="n">
        <x:f>Controls!$D$62</x:f>
        <x:v>1</x:v>
      </x:c>
      <x:c r="G124" t="n">
        <x:v>1</x:v>
      </x:c>
      <x:c r="H124" t="str">
        <x:v>RFE design authority</x:v>
      </x:c>
      <x:c r="I124" t="str">
        <x:f>IF(F124=1,"PASS","GAP")</x:f>
        <x:v>PASS</x:v>
      </x:c>
    </x:row>
    <x:row r="125">
      <x:c r="B125" t="str">
        <x:v>PL-0119</x:v>
      </x:c>
      <x:c r="C125" t="str">
        <x:v>PLANNING</x:v>
      </x:c>
      <x:c r="D125" t="str">
        <x:v>event</x:v>
      </x:c>
      <x:c r="E125" t="str">
        <x:v>event 119</x:v>
      </x:c>
      <x:c r="F125" t="n">
        <x:f>Controls!$D$62</x:f>
        <x:v>1</x:v>
      </x:c>
      <x:c r="G125" t="n">
        <x:v>1</x:v>
      </x:c>
      <x:c r="H125" t="str">
        <x:v>RFE design authority</x:v>
      </x:c>
      <x:c r="I125" t="str">
        <x:f>IF(F125=1,"PASS","GAP")</x:f>
        <x:v>PASS</x:v>
      </x:c>
    </x:row>
    <x:row r="126">
      <x:c r="B126" t="str">
        <x:v>PL-0120</x:v>
      </x:c>
      <x:c r="C126" t="str">
        <x:v>PLANNING</x:v>
      </x:c>
      <x:c r="D126" t="str">
        <x:v>event</x:v>
      </x:c>
      <x:c r="E126" t="str">
        <x:v>event 120</x:v>
      </x:c>
      <x:c r="F126" t="n">
        <x:f>Controls!$D$62</x:f>
        <x:v>1</x:v>
      </x:c>
      <x:c r="G126" t="n">
        <x:v>1</x:v>
      </x:c>
      <x:c r="H126" t="str">
        <x:v>RFE design authority</x:v>
      </x:c>
      <x:c r="I126" t="str">
        <x:f>IF(F126=1,"PASS","GAP")</x:f>
        <x:v>PASS</x:v>
      </x:c>
    </x:row>
    <x:row r="127">
      <x:c r="B127" t="str">
        <x:v>PL-0121</x:v>
      </x:c>
      <x:c r="C127" t="str">
        <x:v>PLANNING</x:v>
      </x:c>
      <x:c r="D127" t="str">
        <x:v>event</x:v>
      </x:c>
      <x:c r="E127" t="str">
        <x:v>event 121</x:v>
      </x:c>
      <x:c r="F127" t="n">
        <x:f>Controls!$D$62</x:f>
        <x:v>1</x:v>
      </x:c>
      <x:c r="G127" t="n">
        <x:v>1</x:v>
      </x:c>
      <x:c r="H127" t="str">
        <x:v>RFE design authority</x:v>
      </x:c>
      <x:c r="I127" t="str">
        <x:f>IF(F127=1,"PASS","GAP")</x:f>
        <x:v>PASS</x:v>
      </x:c>
    </x:row>
    <x:row r="128">
      <x:c r="B128" t="str">
        <x:v>PL-0122</x:v>
      </x:c>
      <x:c r="C128" t="str">
        <x:v>PLANNING</x:v>
      </x:c>
      <x:c r="D128" t="str">
        <x:v>event</x:v>
      </x:c>
      <x:c r="E128" t="str">
        <x:v>event 122</x:v>
      </x:c>
      <x:c r="F128" t="n">
        <x:f>Controls!$D$62</x:f>
        <x:v>1</x:v>
      </x:c>
      <x:c r="G128" t="n">
        <x:v>1</x:v>
      </x:c>
      <x:c r="H128" t="str">
        <x:v>RFE design authority</x:v>
      </x:c>
      <x:c r="I128" t="str">
        <x:f>IF(F128=1,"PASS","GAP")</x:f>
        <x:v>PASS</x:v>
      </x:c>
    </x:row>
    <x:row r="129">
      <x:c r="B129" t="str">
        <x:v>PL-0123</x:v>
      </x:c>
      <x:c r="C129" t="str">
        <x:v>PLANNING</x:v>
      </x:c>
      <x:c r="D129" t="str">
        <x:v>event</x:v>
      </x:c>
      <x:c r="E129" t="str">
        <x:v>event 123</x:v>
      </x:c>
      <x:c r="F129" t="n">
        <x:f>Controls!$D$62</x:f>
        <x:v>1</x:v>
      </x:c>
      <x:c r="G129" t="n">
        <x:v>1</x:v>
      </x:c>
      <x:c r="H129" t="str">
        <x:v>RFE design authority</x:v>
      </x:c>
      <x:c r="I129" t="str">
        <x:f>IF(F129=1,"PASS","GAP")</x:f>
        <x:v>PASS</x:v>
      </x:c>
    </x:row>
    <x:row r="130">
      <x:c r="B130" t="str">
        <x:v>PL-0124</x:v>
      </x:c>
      <x:c r="C130" t="str">
        <x:v>PLANNING</x:v>
      </x:c>
      <x:c r="D130" t="str">
        <x:v>event</x:v>
      </x:c>
      <x:c r="E130" t="str">
        <x:v>event 124</x:v>
      </x:c>
      <x:c r="F130" t="n">
        <x:f>Controls!$D$62</x:f>
        <x:v>1</x:v>
      </x:c>
      <x:c r="G130" t="n">
        <x:v>1</x:v>
      </x:c>
      <x:c r="H130" t="str">
        <x:v>RFE design authority</x:v>
      </x:c>
      <x:c r="I130" t="str">
        <x:f>IF(F130=1,"PASS","GAP")</x:f>
        <x:v>PASS</x:v>
      </x:c>
    </x:row>
    <x:row r="131">
      <x:c r="B131" t="str">
        <x:v>PL-0125</x:v>
      </x:c>
      <x:c r="C131" t="str">
        <x:v>PLANNING</x:v>
      </x:c>
      <x:c r="D131" t="str">
        <x:v>event</x:v>
      </x:c>
      <x:c r="E131" t="str">
        <x:v>event 125</x:v>
      </x:c>
      <x:c r="F131" t="n">
        <x:f>Controls!$D$62</x:f>
        <x:v>1</x:v>
      </x:c>
      <x:c r="G131" t="n">
        <x:v>1</x:v>
      </x:c>
      <x:c r="H131" t="str">
        <x:v>RFE design authority</x:v>
      </x:c>
      <x:c r="I131" t="str">
        <x:f>IF(F131=1,"PASS","GAP")</x:f>
        <x:v>PASS</x:v>
      </x:c>
    </x:row>
    <x:row r="132">
      <x:c r="B132" t="str">
        <x:v>PL-0126</x:v>
      </x:c>
      <x:c r="C132" t="str">
        <x:v>PLANNING</x:v>
      </x:c>
      <x:c r="D132" t="str">
        <x:v>event</x:v>
      </x:c>
      <x:c r="E132" t="str">
        <x:v>event 126</x:v>
      </x:c>
      <x:c r="F132" t="n">
        <x:f>Controls!$D$62</x:f>
        <x:v>1</x:v>
      </x:c>
      <x:c r="G132" t="n">
        <x:v>1</x:v>
      </x:c>
      <x:c r="H132" t="str">
        <x:v>RFE design authority</x:v>
      </x:c>
      <x:c r="I132" t="str">
        <x:f>IF(F132=1,"PASS","GAP")</x:f>
        <x:v>PASS</x:v>
      </x:c>
    </x:row>
    <x:row r="133">
      <x:c r="B133" t="str">
        <x:v>PL-0127</x:v>
      </x:c>
      <x:c r="C133" t="str">
        <x:v>PLANNING</x:v>
      </x:c>
      <x:c r="D133" t="str">
        <x:v>event</x:v>
      </x:c>
      <x:c r="E133" t="str">
        <x:v>event 127</x:v>
      </x:c>
      <x:c r="F133" t="n">
        <x:f>Controls!$D$62</x:f>
        <x:v>1</x:v>
      </x:c>
      <x:c r="G133" t="n">
        <x:v>1</x:v>
      </x:c>
      <x:c r="H133" t="str">
        <x:v>RFE design authority</x:v>
      </x:c>
      <x:c r="I133" t="str">
        <x:f>IF(F133=1,"PASS","GAP")</x:f>
        <x:v>PASS</x:v>
      </x:c>
    </x:row>
    <x:row r="134">
      <x:c r="B134" t="str">
        <x:v>PL-0128</x:v>
      </x:c>
      <x:c r="C134" t="str">
        <x:v>PLANNING</x:v>
      </x:c>
      <x:c r="D134" t="str">
        <x:v>event</x:v>
      </x:c>
      <x:c r="E134" t="str">
        <x:v>event 128</x:v>
      </x:c>
      <x:c r="F134" t="n">
        <x:f>Controls!$D$62</x:f>
        <x:v>1</x:v>
      </x:c>
      <x:c r="G134" t="n">
        <x:v>1</x:v>
      </x:c>
      <x:c r="H134" t="str">
        <x:v>RFE design authority</x:v>
      </x:c>
      <x:c r="I134" t="str">
        <x:f>IF(F134=1,"PASS","GAP")</x:f>
        <x:v>PASS</x:v>
      </x:c>
    </x:row>
    <x:row r="135">
      <x:c r="B135" t="str">
        <x:v>PL-0129</x:v>
      </x:c>
      <x:c r="C135" t="str">
        <x:v>PLANNING</x:v>
      </x:c>
      <x:c r="D135" t="str">
        <x:v>event</x:v>
      </x:c>
      <x:c r="E135" t="str">
        <x:v>event 129</x:v>
      </x:c>
      <x:c r="F135" t="n">
        <x:f>Controls!$D$62</x:f>
        <x:v>1</x:v>
      </x:c>
      <x:c r="G135" t="n">
        <x:v>1</x:v>
      </x:c>
      <x:c r="H135" t="str">
        <x:v>RFE design authority</x:v>
      </x:c>
      <x:c r="I135" t="str">
        <x:f>IF(F135=1,"PASS","GAP")</x:f>
        <x:v>PASS</x:v>
      </x:c>
    </x:row>
    <x:row r="136">
      <x:c r="B136" t="str">
        <x:v>PL-0130</x:v>
      </x:c>
      <x:c r="C136" t="str">
        <x:v>PLANNING</x:v>
      </x:c>
      <x:c r="D136" t="str">
        <x:v>event</x:v>
      </x:c>
      <x:c r="E136" t="str">
        <x:v>event 130</x:v>
      </x:c>
      <x:c r="F136" t="n">
        <x:f>Controls!$D$62</x:f>
        <x:v>1</x:v>
      </x:c>
      <x:c r="G136" t="n">
        <x:v>1</x:v>
      </x:c>
      <x:c r="H136" t="str">
        <x:v>RFE design authority</x:v>
      </x:c>
      <x:c r="I136" t="str">
        <x:f>IF(F136=1,"PASS","GAP")</x:f>
        <x:v>PASS</x:v>
      </x:c>
    </x:row>
    <x:row r="137">
      <x:c r="B137" t="str">
        <x:v>PL-0131</x:v>
      </x:c>
      <x:c r="C137" t="str">
        <x:v>PLANNING</x:v>
      </x:c>
      <x:c r="D137" t="str">
        <x:v>event</x:v>
      </x:c>
      <x:c r="E137" t="str">
        <x:v>event 131</x:v>
      </x:c>
      <x:c r="F137" t="n">
        <x:f>Controls!$D$62</x:f>
        <x:v>1</x:v>
      </x:c>
      <x:c r="G137" t="n">
        <x:v>1</x:v>
      </x:c>
      <x:c r="H137" t="str">
        <x:v>RFE design authority</x:v>
      </x:c>
      <x:c r="I137" t="str">
        <x:f>IF(F137=1,"PASS","GAP")</x:f>
        <x:v>PASS</x:v>
      </x:c>
    </x:row>
    <x:row r="138">
      <x:c r="B138" t="str">
        <x:v>PL-0132</x:v>
      </x:c>
      <x:c r="C138" t="str">
        <x:v>PLANNING</x:v>
      </x:c>
      <x:c r="D138" t="str">
        <x:v>event</x:v>
      </x:c>
      <x:c r="E138" t="str">
        <x:v>event 132</x:v>
      </x:c>
      <x:c r="F138" t="n">
        <x:f>Controls!$D$62</x:f>
        <x:v>1</x:v>
      </x:c>
      <x:c r="G138" t="n">
        <x:v>1</x:v>
      </x:c>
      <x:c r="H138" t="str">
        <x:v>RFE design authority</x:v>
      </x:c>
      <x:c r="I138" t="str">
        <x:f>IF(F138=1,"PASS","GAP")</x:f>
        <x:v>PASS</x:v>
      </x:c>
    </x:row>
    <x:row r="139">
      <x:c r="B139" t="str">
        <x:v>PL-0133</x:v>
      </x:c>
      <x:c r="C139" t="str">
        <x:v>PLANNING</x:v>
      </x:c>
      <x:c r="D139" t="str">
        <x:v>event</x:v>
      </x:c>
      <x:c r="E139" t="str">
        <x:v>event 133</x:v>
      </x:c>
      <x:c r="F139" t="n">
        <x:f>Controls!$D$62</x:f>
        <x:v>1</x:v>
      </x:c>
      <x:c r="G139" t="n">
        <x:v>1</x:v>
      </x:c>
      <x:c r="H139" t="str">
        <x:v>RFE design authority</x:v>
      </x:c>
      <x:c r="I139" t="str">
        <x:f>IF(F139=1,"PASS","GAP")</x:f>
        <x:v>PASS</x:v>
      </x:c>
    </x:row>
    <x:row r="140">
      <x:c r="B140" t="str">
        <x:v>PL-0134</x:v>
      </x:c>
      <x:c r="C140" t="str">
        <x:v>PLANNING</x:v>
      </x:c>
      <x:c r="D140" t="str">
        <x:v>event</x:v>
      </x:c>
      <x:c r="E140" t="str">
        <x:v>event 134</x:v>
      </x:c>
      <x:c r="F140" t="n">
        <x:f>Controls!$D$62</x:f>
        <x:v>1</x:v>
      </x:c>
      <x:c r="G140" t="n">
        <x:v>1</x:v>
      </x:c>
      <x:c r="H140" t="str">
        <x:v>RFE design authority</x:v>
      </x:c>
      <x:c r="I140" t="str">
        <x:f>IF(F140=1,"PASS","GAP")</x:f>
        <x:v>PASS</x:v>
      </x:c>
    </x:row>
    <x:row r="141">
      <x:c r="B141" t="str">
        <x:v>PL-0135</x:v>
      </x:c>
      <x:c r="C141" t="str">
        <x:v>PLANNING</x:v>
      </x:c>
      <x:c r="D141" t="str">
        <x:v>event</x:v>
      </x:c>
      <x:c r="E141" t="str">
        <x:v>event 135</x:v>
      </x:c>
      <x:c r="F141" t="n">
        <x:f>Controls!$D$62</x:f>
        <x:v>1</x:v>
      </x:c>
      <x:c r="G141" t="n">
        <x:v>1</x:v>
      </x:c>
      <x:c r="H141" t="str">
        <x:v>RFE design authority</x:v>
      </x:c>
      <x:c r="I141" t="str">
        <x:f>IF(F141=1,"PASS","GAP")</x:f>
        <x:v>PASS</x:v>
      </x:c>
    </x:row>
    <x:row r="142">
      <x:c r="B142" t="str">
        <x:v>PL-0136</x:v>
      </x:c>
      <x:c r="C142" t="str">
        <x:v>PLANNING</x:v>
      </x:c>
      <x:c r="D142" t="str">
        <x:v>event</x:v>
      </x:c>
      <x:c r="E142" t="str">
        <x:v>event 136</x:v>
      </x:c>
      <x:c r="F142" t="n">
        <x:f>Controls!$D$62</x:f>
        <x:v>1</x:v>
      </x:c>
      <x:c r="G142" t="n">
        <x:v>1</x:v>
      </x:c>
      <x:c r="H142" t="str">
        <x:v>RFE design authority</x:v>
      </x:c>
      <x:c r="I142" t="str">
        <x:f>IF(F142=1,"PASS","GAP")</x:f>
        <x:v>PASS</x:v>
      </x:c>
    </x:row>
    <x:row r="143">
      <x:c r="B143" t="str">
        <x:v>PL-0137</x:v>
      </x:c>
      <x:c r="C143" t="str">
        <x:v>PLANNING</x:v>
      </x:c>
      <x:c r="D143" t="str">
        <x:v>event</x:v>
      </x:c>
      <x:c r="E143" t="str">
        <x:v>event 137</x:v>
      </x:c>
      <x:c r="F143" t="n">
        <x:f>Controls!$D$62</x:f>
        <x:v>1</x:v>
      </x:c>
      <x:c r="G143" t="n">
        <x:v>1</x:v>
      </x:c>
      <x:c r="H143" t="str">
        <x:v>RFE design authority</x:v>
      </x:c>
      <x:c r="I143" t="str">
        <x:f>IF(F143=1,"PASS","GAP")</x:f>
        <x:v>PASS</x:v>
      </x:c>
    </x:row>
    <x:row r="144">
      <x:c r="B144" t="str">
        <x:v>PL-0138</x:v>
      </x:c>
      <x:c r="C144" t="str">
        <x:v>PLANNING</x:v>
      </x:c>
      <x:c r="D144" t="str">
        <x:v>event</x:v>
      </x:c>
      <x:c r="E144" t="str">
        <x:v>event 138</x:v>
      </x:c>
      <x:c r="F144" t="n">
        <x:f>Controls!$D$62</x:f>
        <x:v>1</x:v>
      </x:c>
      <x:c r="G144" t="n">
        <x:v>1</x:v>
      </x:c>
      <x:c r="H144" t="str">
        <x:v>RFE design authority</x:v>
      </x:c>
      <x:c r="I144" t="str">
        <x:f>IF(F144=1,"PASS","GAP")</x:f>
        <x:v>PASS</x:v>
      </x:c>
    </x:row>
    <x:row r="145">
      <x:c r="B145" t="str">
        <x:v>PL-0139</x:v>
      </x:c>
      <x:c r="C145" t="str">
        <x:v>PLANNING</x:v>
      </x:c>
      <x:c r="D145" t="str">
        <x:v>event</x:v>
      </x:c>
      <x:c r="E145" t="str">
        <x:v>event 139</x:v>
      </x:c>
      <x:c r="F145" t="n">
        <x:f>Controls!$D$62</x:f>
        <x:v>1</x:v>
      </x:c>
      <x:c r="G145" t="n">
        <x:v>1</x:v>
      </x:c>
      <x:c r="H145" t="str">
        <x:v>RFE design authority</x:v>
      </x:c>
      <x:c r="I145" t="str">
        <x:f>IF(F145=1,"PASS","GAP")</x:f>
        <x:v>PASS</x:v>
      </x:c>
    </x:row>
    <x:row r="146">
      <x:c r="B146" t="str">
        <x:v>PL-0140</x:v>
      </x:c>
      <x:c r="C146" t="str">
        <x:v>PLANNING</x:v>
      </x:c>
      <x:c r="D146" t="str">
        <x:v>event</x:v>
      </x:c>
      <x:c r="E146" t="str">
        <x:v>event 140</x:v>
      </x:c>
      <x:c r="F146" t="n">
        <x:f>Controls!$D$62</x:f>
        <x:v>1</x:v>
      </x:c>
      <x:c r="G146" t="n">
        <x:v>1</x:v>
      </x:c>
      <x:c r="H146" t="str">
        <x:v>RFE design authority</x:v>
      </x:c>
      <x:c r="I146" t="str">
        <x:f>IF(F146=1,"PASS","GAP")</x:f>
        <x:v>PASS</x:v>
      </x:c>
    </x:row>
    <x:row r="147">
      <x:c r="B147" t="str">
        <x:v>PL-0141</x:v>
      </x:c>
      <x:c r="C147" t="str">
        <x:v>PLANNING</x:v>
      </x:c>
      <x:c r="D147" t="str">
        <x:v>event</x:v>
      </x:c>
      <x:c r="E147" t="str">
        <x:v>event 141</x:v>
      </x:c>
      <x:c r="F147" t="n">
        <x:f>Controls!$D$62</x:f>
        <x:v>1</x:v>
      </x:c>
      <x:c r="G147" t="n">
        <x:v>1</x:v>
      </x:c>
      <x:c r="H147" t="str">
        <x:v>RFE design authority</x:v>
      </x:c>
      <x:c r="I147" t="str">
        <x:f>IF(F147=1,"PASS","GAP")</x:f>
        <x:v>PASS</x:v>
      </x:c>
    </x:row>
    <x:row r="148">
      <x:c r="B148" t="str">
        <x:v>PL-0142</x:v>
      </x:c>
      <x:c r="C148" t="str">
        <x:v>PLANNING</x:v>
      </x:c>
      <x:c r="D148" t="str">
        <x:v>event</x:v>
      </x:c>
      <x:c r="E148" t="str">
        <x:v>event 142</x:v>
      </x:c>
      <x:c r="F148" t="n">
        <x:f>Controls!$D$62</x:f>
        <x:v>1</x:v>
      </x:c>
      <x:c r="G148" t="n">
        <x:v>1</x:v>
      </x:c>
      <x:c r="H148" t="str">
        <x:v>RFE design authority</x:v>
      </x:c>
      <x:c r="I148" t="str">
        <x:f>IF(F148=1,"PASS","GAP")</x:f>
        <x:v>PASS</x:v>
      </x:c>
    </x:row>
    <x:row r="149">
      <x:c r="B149" t="str">
        <x:v>PL-0143</x:v>
      </x:c>
      <x:c r="C149" t="str">
        <x:v>PLANNING</x:v>
      </x:c>
      <x:c r="D149" t="str">
        <x:v>event</x:v>
      </x:c>
      <x:c r="E149" t="str">
        <x:v>event 143</x:v>
      </x:c>
      <x:c r="F149" t="n">
        <x:f>Controls!$D$62</x:f>
        <x:v>1</x:v>
      </x:c>
      <x:c r="G149" t="n">
        <x:v>1</x:v>
      </x:c>
      <x:c r="H149" t="str">
        <x:v>RFE design authority</x:v>
      </x:c>
      <x:c r="I149" t="str">
        <x:f>IF(F149=1,"PASS","GAP")</x:f>
        <x:v>PASS</x:v>
      </x:c>
    </x:row>
    <x:row r="150">
      <x:c r="B150" t="str">
        <x:v>PL-0144</x:v>
      </x:c>
      <x:c r="C150" t="str">
        <x:v>PLANNING</x:v>
      </x:c>
      <x:c r="D150" t="str">
        <x:v>event</x:v>
      </x:c>
      <x:c r="E150" t="str">
        <x:v>event 144</x:v>
      </x:c>
      <x:c r="F150" t="n">
        <x:f>Controls!$D$62</x:f>
        <x:v>1</x:v>
      </x:c>
      <x:c r="G150" t="n">
        <x:v>1</x:v>
      </x:c>
      <x:c r="H150" t="str">
        <x:v>RFE design authority</x:v>
      </x:c>
      <x:c r="I150" t="str">
        <x:f>IF(F150=1,"PASS","GAP")</x:f>
        <x:v>PASS</x:v>
      </x:c>
    </x:row>
    <x:row r="151">
      <x:c r="B151" t="str">
        <x:v>PL-0145</x:v>
      </x:c>
      <x:c r="C151" t="str">
        <x:v>PLANNING</x:v>
      </x:c>
      <x:c r="D151" t="str">
        <x:v>event</x:v>
      </x:c>
      <x:c r="E151" t="str">
        <x:v>event 145</x:v>
      </x:c>
      <x:c r="F151" t="n">
        <x:f>Controls!$D$62</x:f>
        <x:v>1</x:v>
      </x:c>
      <x:c r="G151" t="n">
        <x:v>1</x:v>
      </x:c>
      <x:c r="H151" t="str">
        <x:v>RFE design authority</x:v>
      </x:c>
      <x:c r="I151" t="str">
        <x:f>IF(F151=1,"PASS","GAP")</x:f>
        <x:v>PASS</x:v>
      </x:c>
    </x:row>
    <x:row r="152">
      <x:c r="B152" t="str">
        <x:v>PL-0146</x:v>
      </x:c>
      <x:c r="C152" t="str">
        <x:v>PLANNING</x:v>
      </x:c>
      <x:c r="D152" t="str">
        <x:v>event</x:v>
      </x:c>
      <x:c r="E152" t="str">
        <x:v>event 146</x:v>
      </x:c>
      <x:c r="F152" t="n">
        <x:f>Controls!$D$62</x:f>
        <x:v>1</x:v>
      </x:c>
      <x:c r="G152" t="n">
        <x:v>1</x:v>
      </x:c>
      <x:c r="H152" t="str">
        <x:v>RFE design authority</x:v>
      </x:c>
      <x:c r="I152" t="str">
        <x:f>IF(F152=1,"PASS","GAP")</x:f>
        <x:v>PASS</x:v>
      </x:c>
    </x:row>
    <x:row r="153">
      <x:c r="B153" t="str">
        <x:v>PL-0147</x:v>
      </x:c>
      <x:c r="C153" t="str">
        <x:v>PLANNING</x:v>
      </x:c>
      <x:c r="D153" t="str">
        <x:v>event</x:v>
      </x:c>
      <x:c r="E153" t="str">
        <x:v>event 147</x:v>
      </x:c>
      <x:c r="F153" t="n">
        <x:f>Controls!$D$62</x:f>
        <x:v>1</x:v>
      </x:c>
      <x:c r="G153" t="n">
        <x:v>1</x:v>
      </x:c>
      <x:c r="H153" t="str">
        <x:v>RFE design authority</x:v>
      </x:c>
      <x:c r="I153" t="str">
        <x:f>IF(F153=1,"PASS","GAP")</x:f>
        <x:v>PASS</x:v>
      </x:c>
    </x:row>
    <x:row r="154">
      <x:c r="B154" t="str">
        <x:v>PL-0148</x:v>
      </x:c>
      <x:c r="C154" t="str">
        <x:v>PLANNING</x:v>
      </x:c>
      <x:c r="D154" t="str">
        <x:v>event</x:v>
      </x:c>
      <x:c r="E154" t="str">
        <x:v>event 148</x:v>
      </x:c>
      <x:c r="F154" t="n">
        <x:f>Controls!$D$62</x:f>
        <x:v>1</x:v>
      </x:c>
      <x:c r="G154" t="n">
        <x:v>1</x:v>
      </x:c>
      <x:c r="H154" t="str">
        <x:v>RFE design authority</x:v>
      </x:c>
      <x:c r="I154" t="str">
        <x:f>IF(F154=1,"PASS","GAP")</x:f>
        <x:v>PASS</x:v>
      </x:c>
    </x:row>
    <x:row r="155">
      <x:c r="B155" t="str">
        <x:v>PL-0149</x:v>
      </x:c>
      <x:c r="C155" t="str">
        <x:v>PLANNING</x:v>
      </x:c>
      <x:c r="D155" t="str">
        <x:v>event</x:v>
      </x:c>
      <x:c r="E155" t="str">
        <x:v>event 149</x:v>
      </x:c>
      <x:c r="F155" t="n">
        <x:f>Controls!$D$62</x:f>
        <x:v>1</x:v>
      </x:c>
      <x:c r="G155" t="n">
        <x:v>1</x:v>
      </x:c>
      <x:c r="H155" t="str">
        <x:v>RFE design authority</x:v>
      </x:c>
      <x:c r="I155" t="str">
        <x:f>IF(F155=1,"PASS","GAP")</x:f>
        <x:v>PASS</x:v>
      </x:c>
    </x:row>
    <x:row r="156">
      <x:c r="B156" t="str">
        <x:v>PL-0150</x:v>
      </x:c>
      <x:c r="C156" t="str">
        <x:v>PLANNING</x:v>
      </x:c>
      <x:c r="D156" t="str">
        <x:v>event</x:v>
      </x:c>
      <x:c r="E156" t="str">
        <x:v>event 150</x:v>
      </x:c>
      <x:c r="F156" t="n">
        <x:f>Controls!$D$62</x:f>
        <x:v>1</x:v>
      </x:c>
      <x:c r="G156" t="n">
        <x:v>1</x:v>
      </x:c>
      <x:c r="H156" t="str">
        <x:v>RFE design authority</x:v>
      </x:c>
      <x:c r="I156" t="str">
        <x:f>IF(F156=1,"PASS","GAP")</x:f>
        <x:v>PASS</x:v>
      </x:c>
    </x:row>
    <x:row r="157">
      <x:c r="B157" t="str">
        <x:v>PL-0151</x:v>
      </x:c>
      <x:c r="C157" t="str">
        <x:v>PLANNING</x:v>
      </x:c>
      <x:c r="D157" t="str">
        <x:v>event</x:v>
      </x:c>
      <x:c r="E157" t="str">
        <x:v>event 151</x:v>
      </x:c>
      <x:c r="F157" t="n">
        <x:f>Controls!$D$62</x:f>
        <x:v>1</x:v>
      </x:c>
      <x:c r="G157" t="n">
        <x:v>1</x:v>
      </x:c>
      <x:c r="H157" t="str">
        <x:v>RFE design authority</x:v>
      </x:c>
      <x:c r="I157" t="str">
        <x:f>IF(F157=1,"PASS","GAP")</x:f>
        <x:v>PASS</x:v>
      </x:c>
    </x:row>
    <x:row r="158">
      <x:c r="B158" t="str">
        <x:v>PL-0152</x:v>
      </x:c>
      <x:c r="C158" t="str">
        <x:v>PLANNING</x:v>
      </x:c>
      <x:c r="D158" t="str">
        <x:v>event</x:v>
      </x:c>
      <x:c r="E158" t="str">
        <x:v>event 152</x:v>
      </x:c>
      <x:c r="F158" t="n">
        <x:f>Controls!$D$62</x:f>
        <x:v>1</x:v>
      </x:c>
      <x:c r="G158" t="n">
        <x:v>1</x:v>
      </x:c>
      <x:c r="H158" t="str">
        <x:v>RFE design authority</x:v>
      </x:c>
      <x:c r="I158" t="str">
        <x:f>IF(F158=1,"PASS","GAP")</x:f>
        <x:v>PASS</x:v>
      </x:c>
    </x:row>
    <x:row r="159">
      <x:c r="B159" t="str">
        <x:v>PL-0153</x:v>
      </x:c>
      <x:c r="C159" t="str">
        <x:v>PLANNING</x:v>
      </x:c>
      <x:c r="D159" t="str">
        <x:v>event</x:v>
      </x:c>
      <x:c r="E159" t="str">
        <x:v>event 153</x:v>
      </x:c>
      <x:c r="F159" t="n">
        <x:f>Controls!$D$62</x:f>
        <x:v>1</x:v>
      </x:c>
      <x:c r="G159" t="n">
        <x:v>1</x:v>
      </x:c>
      <x:c r="H159" t="str">
        <x:v>RFE design authority</x:v>
      </x:c>
      <x:c r="I159" t="str">
        <x:f>IF(F159=1,"PASS","GAP")</x:f>
        <x:v>PASS</x:v>
      </x:c>
    </x:row>
    <x:row r="160">
      <x:c r="B160" t="str">
        <x:v>PL-0154</x:v>
      </x:c>
      <x:c r="C160" t="str">
        <x:v>PLANNING</x:v>
      </x:c>
      <x:c r="D160" t="str">
        <x:v>event</x:v>
      </x:c>
      <x:c r="E160" t="str">
        <x:v>event 154</x:v>
      </x:c>
      <x:c r="F160" t="n">
        <x:f>Controls!$D$62</x:f>
        <x:v>1</x:v>
      </x:c>
      <x:c r="G160" t="n">
        <x:v>1</x:v>
      </x:c>
      <x:c r="H160" t="str">
        <x:v>RFE design authority</x:v>
      </x:c>
      <x:c r="I160" t="str">
        <x:f>IF(F160=1,"PASS","GAP")</x:f>
        <x:v>PASS</x:v>
      </x:c>
    </x:row>
    <x:row r="161">
      <x:c r="B161" t="str">
        <x:v>PL-0155</x:v>
      </x:c>
      <x:c r="C161" t="str">
        <x:v>PLANNING</x:v>
      </x:c>
      <x:c r="D161" t="str">
        <x:v>event</x:v>
      </x:c>
      <x:c r="E161" t="str">
        <x:v>event 155</x:v>
      </x:c>
      <x:c r="F161" t="n">
        <x:f>Controls!$D$62</x:f>
        <x:v>1</x:v>
      </x:c>
      <x:c r="G161" t="n">
        <x:v>1</x:v>
      </x:c>
      <x:c r="H161" t="str">
        <x:v>RFE design authority</x:v>
      </x:c>
      <x:c r="I161" t="str">
        <x:f>IF(F161=1,"PASS","GAP")</x:f>
        <x:v>PASS</x:v>
      </x:c>
    </x:row>
    <x:row r="162">
      <x:c r="B162" t="str">
        <x:v>PL-0156</x:v>
      </x:c>
      <x:c r="C162" t="str">
        <x:v>PLANNING</x:v>
      </x:c>
      <x:c r="D162" t="str">
        <x:v>event</x:v>
      </x:c>
      <x:c r="E162" t="str">
        <x:v>event 156</x:v>
      </x:c>
      <x:c r="F162" t="n">
        <x:f>Controls!$D$62</x:f>
        <x:v>1</x:v>
      </x:c>
      <x:c r="G162" t="n">
        <x:v>1</x:v>
      </x:c>
      <x:c r="H162" t="str">
        <x:v>RFE design authority</x:v>
      </x:c>
      <x:c r="I162" t="str">
        <x:f>IF(F162=1,"PASS","GAP")</x:f>
        <x:v>PASS</x:v>
      </x:c>
    </x:row>
    <x:row r="163">
      <x:c r="B163" t="str">
        <x:v>PL-0157</x:v>
      </x:c>
      <x:c r="C163" t="str">
        <x:v>PLANNING</x:v>
      </x:c>
      <x:c r="D163" t="str">
        <x:v>event</x:v>
      </x:c>
      <x:c r="E163" t="str">
        <x:v>event 157</x:v>
      </x:c>
      <x:c r="F163" t="n">
        <x:f>Controls!$D$62</x:f>
        <x:v>1</x:v>
      </x:c>
      <x:c r="G163" t="n">
        <x:v>1</x:v>
      </x:c>
      <x:c r="H163" t="str">
        <x:v>RFE design authority</x:v>
      </x:c>
      <x:c r="I163" t="str">
        <x:f>IF(F163=1,"PASS","GAP")</x:f>
        <x:v>PASS</x:v>
      </x:c>
    </x:row>
    <x:row r="164">
      <x:c r="B164" t="str">
        <x:v>PL-0158</x:v>
      </x:c>
      <x:c r="C164" t="str">
        <x:v>PLANNING</x:v>
      </x:c>
      <x:c r="D164" t="str">
        <x:v>event</x:v>
      </x:c>
      <x:c r="E164" t="str">
        <x:v>event 158</x:v>
      </x:c>
      <x:c r="F164" t="n">
        <x:f>Controls!$D$62</x:f>
        <x:v>1</x:v>
      </x:c>
      <x:c r="G164" t="n">
        <x:v>1</x:v>
      </x:c>
      <x:c r="H164" t="str">
        <x:v>RFE design authority</x:v>
      </x:c>
      <x:c r="I164" t="str">
        <x:f>IF(F164=1,"PASS","GAP")</x:f>
        <x:v>PASS</x:v>
      </x:c>
    </x:row>
    <x:row r="165">
      <x:c r="B165" t="str">
        <x:v>PL-0159</x:v>
      </x:c>
      <x:c r="C165" t="str">
        <x:v>PLANNING</x:v>
      </x:c>
      <x:c r="D165" t="str">
        <x:v>event</x:v>
      </x:c>
      <x:c r="E165" t="str">
        <x:v>event 159</x:v>
      </x:c>
      <x:c r="F165" t="n">
        <x:f>Controls!$D$62</x:f>
        <x:v>1</x:v>
      </x:c>
      <x:c r="G165" t="n">
        <x:v>1</x:v>
      </x:c>
      <x:c r="H165" t="str">
        <x:v>RFE design authority</x:v>
      </x:c>
      <x:c r="I165" t="str">
        <x:f>IF(F165=1,"PASS","GAP")</x:f>
        <x:v>PASS</x:v>
      </x:c>
    </x:row>
    <x:row r="166">
      <x:c r="B166" t="str">
        <x:v>PL-0160</x:v>
      </x:c>
      <x:c r="C166" t="str">
        <x:v>PLANNING</x:v>
      </x:c>
      <x:c r="D166" t="str">
        <x:v>event</x:v>
      </x:c>
      <x:c r="E166" t="str">
        <x:v>event 160</x:v>
      </x:c>
      <x:c r="F166" t="n">
        <x:f>Controls!$D$62</x:f>
        <x:v>1</x:v>
      </x:c>
      <x:c r="G166" t="n">
        <x:v>1</x:v>
      </x:c>
      <x:c r="H166" t="str">
        <x:v>RFE design authority</x:v>
      </x:c>
      <x:c r="I166" t="str">
        <x:f>IF(F166=1,"PASS","GAP")</x:f>
        <x:v>PASS</x:v>
      </x:c>
    </x:row>
    <x:row r="167">
      <x:c r="B167" t="str">
        <x:v>PL-0161</x:v>
      </x:c>
      <x:c r="C167" t="str">
        <x:v>PLANNING</x:v>
      </x:c>
      <x:c r="D167" t="str">
        <x:v>event</x:v>
      </x:c>
      <x:c r="E167" t="str">
        <x:v>event 161</x:v>
      </x:c>
      <x:c r="F167" t="n">
        <x:f>Controls!$D$62</x:f>
        <x:v>1</x:v>
      </x:c>
      <x:c r="G167" t="n">
        <x:v>1</x:v>
      </x:c>
      <x:c r="H167" t="str">
        <x:v>RFE design authority</x:v>
      </x:c>
      <x:c r="I167" t="str">
        <x:f>IF(F167=1,"PASS","GAP")</x:f>
        <x:v>PASS</x:v>
      </x:c>
    </x:row>
    <x:row r="168">
      <x:c r="B168" t="str">
        <x:v>PL-0162</x:v>
      </x:c>
      <x:c r="C168" t="str">
        <x:v>PLANNING</x:v>
      </x:c>
      <x:c r="D168" t="str">
        <x:v>event</x:v>
      </x:c>
      <x:c r="E168" t="str">
        <x:v>event 162</x:v>
      </x:c>
      <x:c r="F168" t="n">
        <x:f>Controls!$D$62</x:f>
        <x:v>1</x:v>
      </x:c>
      <x:c r="G168" t="n">
        <x:v>1</x:v>
      </x:c>
      <x:c r="H168" t="str">
        <x:v>RFE design authority</x:v>
      </x:c>
      <x:c r="I168" t="str">
        <x:f>IF(F168=1,"PASS","GAP")</x:f>
        <x:v>PASS</x:v>
      </x:c>
    </x:row>
    <x:row r="169">
      <x:c r="B169" t="str">
        <x:v>PL-0163</x:v>
      </x:c>
      <x:c r="C169" t="str">
        <x:v>PLANNING</x:v>
      </x:c>
      <x:c r="D169" t="str">
        <x:v>event</x:v>
      </x:c>
      <x:c r="E169" t="str">
        <x:v>event 163</x:v>
      </x:c>
      <x:c r="F169" t="n">
        <x:f>Controls!$D$62</x:f>
        <x:v>1</x:v>
      </x:c>
      <x:c r="G169" t="n">
        <x:v>1</x:v>
      </x:c>
      <x:c r="H169" t="str">
        <x:v>RFE design authority</x:v>
      </x:c>
      <x:c r="I169" t="str">
        <x:f>IF(F169=1,"PASS","GAP")</x:f>
        <x:v>PASS</x:v>
      </x:c>
    </x:row>
    <x:row r="170">
      <x:c r="B170" t="str">
        <x:v>PL-0164</x:v>
      </x:c>
      <x:c r="C170" t="str">
        <x:v>PLANNING</x:v>
      </x:c>
      <x:c r="D170" t="str">
        <x:v>event</x:v>
      </x:c>
      <x:c r="E170" t="str">
        <x:v>event 164</x:v>
      </x:c>
      <x:c r="F170" t="n">
        <x:f>Controls!$D$62</x:f>
        <x:v>1</x:v>
      </x:c>
      <x:c r="G170" t="n">
        <x:v>1</x:v>
      </x:c>
      <x:c r="H170" t="str">
        <x:v>RFE design authority</x:v>
      </x:c>
      <x:c r="I170" t="str">
        <x:f>IF(F170=1,"PASS","GAP")</x:f>
        <x:v>PASS</x:v>
      </x:c>
    </x:row>
    <x:row r="171">
      <x:c r="B171" t="str">
        <x:v>PL-0165</x:v>
      </x:c>
      <x:c r="C171" t="str">
        <x:v>PLANNING</x:v>
      </x:c>
      <x:c r="D171" t="str">
        <x:v>event</x:v>
      </x:c>
      <x:c r="E171" t="str">
        <x:v>event 165</x:v>
      </x:c>
      <x:c r="F171" t="n">
        <x:f>Controls!$D$62</x:f>
        <x:v>1</x:v>
      </x:c>
      <x:c r="G171" t="n">
        <x:v>1</x:v>
      </x:c>
      <x:c r="H171" t="str">
        <x:v>RFE design authority</x:v>
      </x:c>
      <x:c r="I171" t="str">
        <x:f>IF(F171=1,"PASS","GAP")</x:f>
        <x:v>PASS</x:v>
      </x:c>
    </x:row>
    <x:row r="172">
      <x:c r="B172" t="str">
        <x:v>PL-0166</x:v>
      </x:c>
      <x:c r="C172" t="str">
        <x:v>PLANNING</x:v>
      </x:c>
      <x:c r="D172" t="str">
        <x:v>event</x:v>
      </x:c>
      <x:c r="E172" t="str">
        <x:v>event 166</x:v>
      </x:c>
      <x:c r="F172" t="n">
        <x:f>Controls!$D$62</x:f>
        <x:v>1</x:v>
      </x:c>
      <x:c r="G172" t="n">
        <x:v>1</x:v>
      </x:c>
      <x:c r="H172" t="str">
        <x:v>RFE design authority</x:v>
      </x:c>
      <x:c r="I172" t="str">
        <x:f>IF(F172=1,"PASS","GAP")</x:f>
        <x:v>PASS</x:v>
      </x:c>
    </x:row>
    <x:row r="173">
      <x:c r="B173" t="str">
        <x:v>PL-0167</x:v>
      </x:c>
      <x:c r="C173" t="str">
        <x:v>PLANNING</x:v>
      </x:c>
      <x:c r="D173" t="str">
        <x:v>event</x:v>
      </x:c>
      <x:c r="E173" t="str">
        <x:v>event 167</x:v>
      </x:c>
      <x:c r="F173" t="n">
        <x:f>Controls!$D$62</x:f>
        <x:v>1</x:v>
      </x:c>
      <x:c r="G173" t="n">
        <x:v>1</x:v>
      </x:c>
      <x:c r="H173" t="str">
        <x:v>RFE design authority</x:v>
      </x:c>
      <x:c r="I173" t="str">
        <x:f>IF(F173=1,"PASS","GAP")</x:f>
        <x:v>PASS</x:v>
      </x:c>
    </x:row>
    <x:row r="174">
      <x:c r="B174" t="str">
        <x:v>PL-0168</x:v>
      </x:c>
      <x:c r="C174" t="str">
        <x:v>PLANNING</x:v>
      </x:c>
      <x:c r="D174" t="str">
        <x:v>event</x:v>
      </x:c>
      <x:c r="E174" t="str">
        <x:v>event 168</x:v>
      </x:c>
      <x:c r="F174" t="n">
        <x:f>Controls!$D$62</x:f>
        <x:v>1</x:v>
      </x:c>
      <x:c r="G174" t="n">
        <x:v>1</x:v>
      </x:c>
      <x:c r="H174" t="str">
        <x:v>RFE design authority</x:v>
      </x:c>
      <x:c r="I174" t="str">
        <x:f>IF(F174=1,"PASS","GAP")</x:f>
        <x:v>PASS</x:v>
      </x:c>
    </x:row>
    <x:row r="175">
      <x:c r="B175" t="str">
        <x:v>PL-0169</x:v>
      </x:c>
      <x:c r="C175" t="str">
        <x:v>PLANNING</x:v>
      </x:c>
      <x:c r="D175" t="str">
        <x:v>event</x:v>
      </x:c>
      <x:c r="E175" t="str">
        <x:v>event 169</x:v>
      </x:c>
      <x:c r="F175" t="n">
        <x:f>Controls!$D$62</x:f>
        <x:v>1</x:v>
      </x:c>
      <x:c r="G175" t="n">
        <x:v>1</x:v>
      </x:c>
      <x:c r="H175" t="str">
        <x:v>RFE design authority</x:v>
      </x:c>
      <x:c r="I175" t="str">
        <x:f>IF(F175=1,"PASS","GAP")</x:f>
        <x:v>PASS</x:v>
      </x:c>
    </x:row>
    <x:row r="176">
      <x:c r="B176" t="str">
        <x:v>PL-0170</x:v>
      </x:c>
      <x:c r="C176" t="str">
        <x:v>PLANNING</x:v>
      </x:c>
      <x:c r="D176" t="str">
        <x:v>event</x:v>
      </x:c>
      <x:c r="E176" t="str">
        <x:v>event 170</x:v>
      </x:c>
      <x:c r="F176" t="n">
        <x:f>Controls!$D$62</x:f>
        <x:v>1</x:v>
      </x:c>
      <x:c r="G176" t="n">
        <x:v>1</x:v>
      </x:c>
      <x:c r="H176" t="str">
        <x:v>RFE design authority</x:v>
      </x:c>
      <x:c r="I176" t="str">
        <x:f>IF(F176=1,"PASS","GAP")</x:f>
        <x:v>PASS</x:v>
      </x:c>
    </x:row>
    <x:row r="177">
      <x:c r="B177" t="str">
        <x:v>PL-0171</x:v>
      </x:c>
      <x:c r="C177" t="str">
        <x:v>PLANNING</x:v>
      </x:c>
      <x:c r="D177" t="str">
        <x:v>event</x:v>
      </x:c>
      <x:c r="E177" t="str">
        <x:v>event 171</x:v>
      </x:c>
      <x:c r="F177" t="n">
        <x:f>Controls!$D$62</x:f>
        <x:v>1</x:v>
      </x:c>
      <x:c r="G177" t="n">
        <x:v>1</x:v>
      </x:c>
      <x:c r="H177" t="str">
        <x:v>RFE design authority</x:v>
      </x:c>
      <x:c r="I177" t="str">
        <x:f>IF(F177=1,"PASS","GAP")</x:f>
        <x:v>PASS</x:v>
      </x:c>
    </x:row>
    <x:row r="178">
      <x:c r="B178" t="str">
        <x:v>PL-0172</x:v>
      </x:c>
      <x:c r="C178" t="str">
        <x:v>PLANNING</x:v>
      </x:c>
      <x:c r="D178" t="str">
        <x:v>event</x:v>
      </x:c>
      <x:c r="E178" t="str">
        <x:v>event 172</x:v>
      </x:c>
      <x:c r="F178" t="n">
        <x:f>Controls!$D$62</x:f>
        <x:v>1</x:v>
      </x:c>
      <x:c r="G178" t="n">
        <x:v>1</x:v>
      </x:c>
      <x:c r="H178" t="str">
        <x:v>RFE design authority</x:v>
      </x:c>
      <x:c r="I178" t="str">
        <x:f>IF(F178=1,"PASS","GAP")</x:f>
        <x:v>PASS</x:v>
      </x:c>
    </x:row>
    <x:row r="179">
      <x:c r="B179" t="str">
        <x:v>PL-0173</x:v>
      </x:c>
      <x:c r="C179" t="str">
        <x:v>PLANNING</x:v>
      </x:c>
      <x:c r="D179" t="str">
        <x:v>event</x:v>
      </x:c>
      <x:c r="E179" t="str">
        <x:v>event 173</x:v>
      </x:c>
      <x:c r="F179" t="n">
        <x:f>Controls!$D$62</x:f>
        <x:v>1</x:v>
      </x:c>
      <x:c r="G179" t="n">
        <x:v>1</x:v>
      </x:c>
      <x:c r="H179" t="str">
        <x:v>RFE design authority</x:v>
      </x:c>
      <x:c r="I179" t="str">
        <x:f>IF(F179=1,"PASS","GAP")</x:f>
        <x:v>PASS</x:v>
      </x:c>
    </x:row>
    <x:row r="180">
      <x:c r="B180" t="str">
        <x:v>PL-0174</x:v>
      </x:c>
      <x:c r="C180" t="str">
        <x:v>PLANNING</x:v>
      </x:c>
      <x:c r="D180" t="str">
        <x:v>event</x:v>
      </x:c>
      <x:c r="E180" t="str">
        <x:v>event 174</x:v>
      </x:c>
      <x:c r="F180" t="n">
        <x:f>Controls!$D$62</x:f>
        <x:v>1</x:v>
      </x:c>
      <x:c r="G180" t="n">
        <x:v>1</x:v>
      </x:c>
      <x:c r="H180" t="str">
        <x:v>RFE design authority</x:v>
      </x:c>
      <x:c r="I180" t="str">
        <x:f>IF(F180=1,"PASS","GAP")</x:f>
        <x:v>PASS</x:v>
      </x:c>
    </x:row>
    <x:row r="181">
      <x:c r="B181" t="str">
        <x:v>PL-0175</x:v>
      </x:c>
      <x:c r="C181" t="str">
        <x:v>PLANNING</x:v>
      </x:c>
      <x:c r="D181" t="str">
        <x:v>event</x:v>
      </x:c>
      <x:c r="E181" t="str">
        <x:v>event 175</x:v>
      </x:c>
      <x:c r="F181" t="n">
        <x:f>Controls!$D$62</x:f>
        <x:v>1</x:v>
      </x:c>
      <x:c r="G181" t="n">
        <x:v>1</x:v>
      </x:c>
      <x:c r="H181" t="str">
        <x:v>RFE design authority</x:v>
      </x:c>
      <x:c r="I181" t="str">
        <x:f>IF(F181=1,"PASS","GAP")</x:f>
        <x:v>PASS</x:v>
      </x:c>
    </x:row>
    <x:row r="182">
      <x:c r="B182" t="str">
        <x:v>PL-0176</x:v>
      </x:c>
      <x:c r="C182" t="str">
        <x:v>PLANNING</x:v>
      </x:c>
      <x:c r="D182" t="str">
        <x:v>event</x:v>
      </x:c>
      <x:c r="E182" t="str">
        <x:v>event 176</x:v>
      </x:c>
      <x:c r="F182" t="n">
        <x:f>Controls!$D$62</x:f>
        <x:v>1</x:v>
      </x:c>
      <x:c r="G182" t="n">
        <x:v>1</x:v>
      </x:c>
      <x:c r="H182" t="str">
        <x:v>RFE design authority</x:v>
      </x:c>
      <x:c r="I182" t="str">
        <x:f>IF(F182=1,"PASS","GAP")</x:f>
        <x:v>PASS</x:v>
      </x:c>
    </x:row>
    <x:row r="183">
      <x:c r="B183" t="str">
        <x:v>PL-0177</x:v>
      </x:c>
      <x:c r="C183" t="str">
        <x:v>PLANNING</x:v>
      </x:c>
      <x:c r="D183" t="str">
        <x:v>event</x:v>
      </x:c>
      <x:c r="E183" t="str">
        <x:v>event 177</x:v>
      </x:c>
      <x:c r="F183" t="n">
        <x:f>Controls!$D$62</x:f>
        <x:v>1</x:v>
      </x:c>
      <x:c r="G183" t="n">
        <x:v>1</x:v>
      </x:c>
      <x:c r="H183" t="str">
        <x:v>RFE design authority</x:v>
      </x:c>
      <x:c r="I183" t="str">
        <x:f>IF(F183=1,"PASS","GAP")</x:f>
        <x:v>PASS</x:v>
      </x:c>
    </x:row>
    <x:row r="184">
      <x:c r="B184" t="str">
        <x:v>PL-0178</x:v>
      </x:c>
      <x:c r="C184" t="str">
        <x:v>PLANNING</x:v>
      </x:c>
      <x:c r="D184" t="str">
        <x:v>event</x:v>
      </x:c>
      <x:c r="E184" t="str">
        <x:v>event 178</x:v>
      </x:c>
      <x:c r="F184" t="n">
        <x:f>Controls!$D$62</x:f>
        <x:v>1</x:v>
      </x:c>
      <x:c r="G184" t="n">
        <x:v>1</x:v>
      </x:c>
      <x:c r="H184" t="str">
        <x:v>RFE design authority</x:v>
      </x:c>
      <x:c r="I184" t="str">
        <x:f>IF(F184=1,"PASS","GAP")</x:f>
        <x:v>PASS</x:v>
      </x:c>
    </x:row>
    <x:row r="185">
      <x:c r="B185" t="str">
        <x:v>PL-0179</x:v>
      </x:c>
      <x:c r="C185" t="str">
        <x:v>PLANNING</x:v>
      </x:c>
      <x:c r="D185" t="str">
        <x:v>event</x:v>
      </x:c>
      <x:c r="E185" t="str">
        <x:v>event 179</x:v>
      </x:c>
      <x:c r="F185" t="n">
        <x:f>Controls!$D$62</x:f>
        <x:v>1</x:v>
      </x:c>
      <x:c r="G185" t="n">
        <x:v>1</x:v>
      </x:c>
      <x:c r="H185" t="str">
        <x:v>RFE design authority</x:v>
      </x:c>
      <x:c r="I185" t="str">
        <x:f>IF(F185=1,"PASS","GAP")</x:f>
        <x:v>PASS</x:v>
      </x:c>
    </x:row>
    <x:row r="186">
      <x:c r="B186" t="str">
        <x:v>PL-0180</x:v>
      </x:c>
      <x:c r="C186" t="str">
        <x:v>PLANNING</x:v>
      </x:c>
      <x:c r="D186" t="str">
        <x:v>event</x:v>
      </x:c>
      <x:c r="E186" t="str">
        <x:v>event 180</x:v>
      </x:c>
      <x:c r="F186" t="n">
        <x:f>Controls!$D$62</x:f>
        <x:v>1</x:v>
      </x:c>
      <x:c r="G186" t="n">
        <x:v>1</x:v>
      </x:c>
      <x:c r="H186" t="str">
        <x:v>RFE design authority</x:v>
      </x:c>
      <x:c r="I186" t="str">
        <x:f>IF(F186=1,"PASS","GAP")</x:f>
        <x:v>PASS</x:v>
      </x:c>
    </x:row>
    <x:row r="187">
      <x:c r="B187" t="str">
        <x:v>PL-0181</x:v>
      </x:c>
      <x:c r="C187" t="str">
        <x:v>PLANNING</x:v>
      </x:c>
      <x:c r="D187" t="str">
        <x:v>event</x:v>
      </x:c>
      <x:c r="E187" t="str">
        <x:v>event 181</x:v>
      </x:c>
      <x:c r="F187" t="n">
        <x:f>Controls!$D$62</x:f>
        <x:v>1</x:v>
      </x:c>
      <x:c r="G187" t="n">
        <x:v>1</x:v>
      </x:c>
      <x:c r="H187" t="str">
        <x:v>RFE design authority</x:v>
      </x:c>
      <x:c r="I187" t="str">
        <x:f>IF(F187=1,"PASS","GAP")</x:f>
        <x:v>PASS</x:v>
      </x:c>
    </x:row>
    <x:row r="188">
      <x:c r="B188" t="str">
        <x:v>PL-0182</x:v>
      </x:c>
      <x:c r="C188" t="str">
        <x:v>PLANNING</x:v>
      </x:c>
      <x:c r="D188" t="str">
        <x:v>event</x:v>
      </x:c>
      <x:c r="E188" t="str">
        <x:v>event 182</x:v>
      </x:c>
      <x:c r="F188" t="n">
        <x:f>Controls!$D$62</x:f>
        <x:v>1</x:v>
      </x:c>
      <x:c r="G188" t="n">
        <x:v>1</x:v>
      </x:c>
      <x:c r="H188" t="str">
        <x:v>RFE design authority</x:v>
      </x:c>
      <x:c r="I188" t="str">
        <x:f>IF(F188=1,"PASS","GAP")</x:f>
        <x:v>PASS</x:v>
      </x:c>
    </x:row>
    <x:row r="189">
      <x:c r="B189" t="str">
        <x:v>PL-0183</x:v>
      </x:c>
      <x:c r="C189" t="str">
        <x:v>PLANNING</x:v>
      </x:c>
      <x:c r="D189" t="str">
        <x:v>event</x:v>
      </x:c>
      <x:c r="E189" t="str">
        <x:v>event 183</x:v>
      </x:c>
      <x:c r="F189" t="n">
        <x:f>Controls!$D$62</x:f>
        <x:v>1</x:v>
      </x:c>
      <x:c r="G189" t="n">
        <x:v>1</x:v>
      </x:c>
      <x:c r="H189" t="str">
        <x:v>RFE design authority</x:v>
      </x:c>
      <x:c r="I189" t="str">
        <x:f>IF(F189=1,"PASS","GAP")</x:f>
        <x:v>PASS</x:v>
      </x:c>
    </x:row>
    <x:row r="190">
      <x:c r="B190" t="str">
        <x:v>PL-0184</x:v>
      </x:c>
      <x:c r="C190" t="str">
        <x:v>PLANNING</x:v>
      </x:c>
      <x:c r="D190" t="str">
        <x:v>event</x:v>
      </x:c>
      <x:c r="E190" t="str">
        <x:v>event 184</x:v>
      </x:c>
      <x:c r="F190" t="n">
        <x:f>Controls!$D$62</x:f>
        <x:v>1</x:v>
      </x:c>
      <x:c r="G190" t="n">
        <x:v>1</x:v>
      </x:c>
      <x:c r="H190" t="str">
        <x:v>RFE design authority</x:v>
      </x:c>
      <x:c r="I190" t="str">
        <x:f>IF(F190=1,"PASS","GAP")</x:f>
        <x:v>PASS</x:v>
      </x:c>
    </x:row>
    <x:row r="191">
      <x:c r="B191" t="str">
        <x:v>PL-0185</x:v>
      </x:c>
      <x:c r="C191" t="str">
        <x:v>PLANNING</x:v>
      </x:c>
      <x:c r="D191" t="str">
        <x:v>event</x:v>
      </x:c>
      <x:c r="E191" t="str">
        <x:v>event 185</x:v>
      </x:c>
      <x:c r="F191" t="n">
        <x:f>Controls!$D$62</x:f>
        <x:v>1</x:v>
      </x:c>
      <x:c r="G191" t="n">
        <x:v>1</x:v>
      </x:c>
      <x:c r="H191" t="str">
        <x:v>RFE design authority</x:v>
      </x:c>
      <x:c r="I191" t="str">
        <x:f>IF(F191=1,"PASS","GAP")</x:f>
        <x:v>PASS</x:v>
      </x:c>
    </x:row>
    <x:row r="192">
      <x:c r="B192" t="str">
        <x:v>PL-0186</x:v>
      </x:c>
      <x:c r="C192" t="str">
        <x:v>PLANNING</x:v>
      </x:c>
      <x:c r="D192" t="str">
        <x:v>event</x:v>
      </x:c>
      <x:c r="E192" t="str">
        <x:v>event 186</x:v>
      </x:c>
      <x:c r="F192" t="n">
        <x:f>Controls!$D$62</x:f>
        <x:v>1</x:v>
      </x:c>
      <x:c r="G192" t="n">
        <x:v>1</x:v>
      </x:c>
      <x:c r="H192" t="str">
        <x:v>RFE design authority</x:v>
      </x:c>
      <x:c r="I192" t="str">
        <x:f>IF(F192=1,"PASS","GAP")</x:f>
        <x:v>PASS</x:v>
      </x:c>
    </x:row>
    <x:row r="193">
      <x:c r="B193" t="str">
        <x:v>PL-0187</x:v>
      </x:c>
      <x:c r="C193" t="str">
        <x:v>PLANNING</x:v>
      </x:c>
      <x:c r="D193" t="str">
        <x:v>event</x:v>
      </x:c>
      <x:c r="E193" t="str">
        <x:v>event 187</x:v>
      </x:c>
      <x:c r="F193" t="n">
        <x:f>Controls!$D$62</x:f>
        <x:v>1</x:v>
      </x:c>
      <x:c r="G193" t="n">
        <x:v>1</x:v>
      </x:c>
      <x:c r="H193" t="str">
        <x:v>RFE design authority</x:v>
      </x:c>
      <x:c r="I193" t="str">
        <x:f>IF(F193=1,"PASS","GAP")</x:f>
        <x:v>PASS</x:v>
      </x:c>
    </x:row>
    <x:row r="194">
      <x:c r="B194" t="str">
        <x:v>PL-0188</x:v>
      </x:c>
      <x:c r="C194" t="str">
        <x:v>PLANNING</x:v>
      </x:c>
      <x:c r="D194" t="str">
        <x:v>event</x:v>
      </x:c>
      <x:c r="E194" t="str">
        <x:v>event 188</x:v>
      </x:c>
      <x:c r="F194" t="n">
        <x:f>Controls!$D$62</x:f>
        <x:v>1</x:v>
      </x:c>
      <x:c r="G194" t="n">
        <x:v>1</x:v>
      </x:c>
      <x:c r="H194" t="str">
        <x:v>RFE design authority</x:v>
      </x:c>
      <x:c r="I194" t="str">
        <x:f>IF(F194=1,"PASS","GAP")</x:f>
        <x:v>PASS</x:v>
      </x:c>
    </x:row>
    <x:row r="195">
      <x:c r="B195" t="str">
        <x:v>PL-0189</x:v>
      </x:c>
      <x:c r="C195" t="str">
        <x:v>PLANNING</x:v>
      </x:c>
      <x:c r="D195" t="str">
        <x:v>event</x:v>
      </x:c>
      <x:c r="E195" t="str">
        <x:v>event 189</x:v>
      </x:c>
      <x:c r="F195" t="n">
        <x:f>Controls!$D$62</x:f>
        <x:v>1</x:v>
      </x:c>
      <x:c r="G195" t="n">
        <x:v>1</x:v>
      </x:c>
      <x:c r="H195" t="str">
        <x:v>RFE design authority</x:v>
      </x:c>
      <x:c r="I195" t="str">
        <x:f>IF(F195=1,"PASS","GAP")</x:f>
        <x:v>PASS</x:v>
      </x:c>
    </x:row>
    <x:row r="196">
      <x:c r="B196" t="str">
        <x:v>PL-0190</x:v>
      </x:c>
      <x:c r="C196" t="str">
        <x:v>PLANNING</x:v>
      </x:c>
      <x:c r="D196" t="str">
        <x:v>event</x:v>
      </x:c>
      <x:c r="E196" t="str">
        <x:v>event 190</x:v>
      </x:c>
      <x:c r="F196" t="n">
        <x:f>Controls!$D$62</x:f>
        <x:v>1</x:v>
      </x:c>
      <x:c r="G196" t="n">
        <x:v>1</x:v>
      </x:c>
      <x:c r="H196" t="str">
        <x:v>RFE design authority</x:v>
      </x:c>
      <x:c r="I196" t="str">
        <x:f>IF(F196=1,"PASS","GAP")</x:f>
        <x:v>PASS</x:v>
      </x:c>
    </x:row>
    <x:row r="197">
      <x:c r="B197" t="str">
        <x:v>PL-0191</x:v>
      </x:c>
      <x:c r="C197" t="str">
        <x:v>PLANNING</x:v>
      </x:c>
      <x:c r="D197" t="str">
        <x:v>event</x:v>
      </x:c>
      <x:c r="E197" t="str">
        <x:v>event 191</x:v>
      </x:c>
      <x:c r="F197" t="n">
        <x:f>Controls!$D$62</x:f>
        <x:v>1</x:v>
      </x:c>
      <x:c r="G197" t="n">
        <x:v>1</x:v>
      </x:c>
      <x:c r="H197" t="str">
        <x:v>RFE design authority</x:v>
      </x:c>
      <x:c r="I197" t="str">
        <x:f>IF(F197=1,"PASS","GAP")</x:f>
        <x:v>PASS</x:v>
      </x:c>
    </x:row>
    <x:row r="198">
      <x:c r="B198" t="str">
        <x:v>PL-0192</x:v>
      </x:c>
      <x:c r="C198" t="str">
        <x:v>PLANNING</x:v>
      </x:c>
      <x:c r="D198" t="str">
        <x:v>event</x:v>
      </x:c>
      <x:c r="E198" t="str">
        <x:v>event 192</x:v>
      </x:c>
      <x:c r="F198" t="n">
        <x:f>Controls!$D$62</x:f>
        <x:v>1</x:v>
      </x:c>
      <x:c r="G198" t="n">
        <x:v>1</x:v>
      </x:c>
      <x:c r="H198" t="str">
        <x:v>RFE design authority</x:v>
      </x:c>
      <x:c r="I198" t="str">
        <x:f>IF(F198=1,"PASS","GAP")</x:f>
        <x:v>PASS</x:v>
      </x:c>
    </x:row>
    <x:row r="199">
      <x:c r="B199" t="str">
        <x:v>PL-0193</x:v>
      </x:c>
      <x:c r="C199" t="str">
        <x:v>PLANNING</x:v>
      </x:c>
      <x:c r="D199" t="str">
        <x:v>event</x:v>
      </x:c>
      <x:c r="E199" t="str">
        <x:v>event 193</x:v>
      </x:c>
      <x:c r="F199" t="n">
        <x:f>Controls!$D$62</x:f>
        <x:v>1</x:v>
      </x:c>
      <x:c r="G199" t="n">
        <x:v>1</x:v>
      </x:c>
      <x:c r="H199" t="str">
        <x:v>RFE design authority</x:v>
      </x:c>
      <x:c r="I199" t="str">
        <x:f>IF(F199=1,"PASS","GAP")</x:f>
        <x:v>PASS</x:v>
      </x:c>
    </x:row>
    <x:row r="200">
      <x:c r="B200" t="str">
        <x:v>PL-0194</x:v>
      </x:c>
      <x:c r="C200" t="str">
        <x:v>PLANNING</x:v>
      </x:c>
      <x:c r="D200" t="str">
        <x:v>event</x:v>
      </x:c>
      <x:c r="E200" t="str">
        <x:v>event 194</x:v>
      </x:c>
      <x:c r="F200" t="n">
        <x:f>Controls!$D$62</x:f>
        <x:v>1</x:v>
      </x:c>
      <x:c r="G200" t="n">
        <x:v>1</x:v>
      </x:c>
      <x:c r="H200" t="str">
        <x:v>RFE design authority</x:v>
      </x:c>
      <x:c r="I200" t="str">
        <x:f>IF(F200=1,"PASS","GAP")</x:f>
        <x:v>PASS</x:v>
      </x:c>
    </x:row>
    <x:row r="201">
      <x:c r="B201" t="str">
        <x:v>PL-0195</x:v>
      </x:c>
      <x:c r="C201" t="str">
        <x:v>PLANNING</x:v>
      </x:c>
      <x:c r="D201" t="str">
        <x:v>event</x:v>
      </x:c>
      <x:c r="E201" t="str">
        <x:v>event 195</x:v>
      </x:c>
      <x:c r="F201" t="n">
        <x:f>Controls!$D$62</x:f>
        <x:v>1</x:v>
      </x:c>
      <x:c r="G201" t="n">
        <x:v>1</x:v>
      </x:c>
      <x:c r="H201" t="str">
        <x:v>RFE design authority</x:v>
      </x:c>
      <x:c r="I201" t="str">
        <x:f>IF(F201=1,"PASS","GAP")</x:f>
        <x:v>PASS</x:v>
      </x:c>
    </x:row>
    <x:row r="202">
      <x:c r="B202" t="str">
        <x:v>PL-0196</x:v>
      </x:c>
      <x:c r="C202" t="str">
        <x:v>PLANNING</x:v>
      </x:c>
      <x:c r="D202" t="str">
        <x:v>event</x:v>
      </x:c>
      <x:c r="E202" t="str">
        <x:v>event 196</x:v>
      </x:c>
      <x:c r="F202" t="n">
        <x:f>Controls!$D$62</x:f>
        <x:v>1</x:v>
      </x:c>
      <x:c r="G202" t="n">
        <x:v>1</x:v>
      </x:c>
      <x:c r="H202" t="str">
        <x:v>RFE design authority</x:v>
      </x:c>
      <x:c r="I202" t="str">
        <x:f>IF(F202=1,"PASS","GAP")</x:f>
        <x:v>PASS</x:v>
      </x:c>
    </x:row>
    <x:row r="203">
      <x:c r="B203" t="str">
        <x:v>PL-0197</x:v>
      </x:c>
      <x:c r="C203" t="str">
        <x:v>PLANNING</x:v>
      </x:c>
      <x:c r="D203" t="str">
        <x:v>event</x:v>
      </x:c>
      <x:c r="E203" t="str">
        <x:v>event 197</x:v>
      </x:c>
      <x:c r="F203" t="n">
        <x:f>Controls!$D$62</x:f>
        <x:v>1</x:v>
      </x:c>
      <x:c r="G203" t="n">
        <x:v>1</x:v>
      </x:c>
      <x:c r="H203" t="str">
        <x:v>RFE design authority</x:v>
      </x:c>
      <x:c r="I203" t="str">
        <x:f>IF(F203=1,"PASS","GAP")</x:f>
        <x:v>PASS</x:v>
      </x:c>
    </x:row>
    <x:row r="204">
      <x:c r="B204" t="str">
        <x:v>PL-0198</x:v>
      </x:c>
      <x:c r="C204" t="str">
        <x:v>PLANNING</x:v>
      </x:c>
      <x:c r="D204" t="str">
        <x:v>event</x:v>
      </x:c>
      <x:c r="E204" t="str">
        <x:v>event 198</x:v>
      </x:c>
      <x:c r="F204" t="n">
        <x:f>Controls!$D$62</x:f>
        <x:v>1</x:v>
      </x:c>
      <x:c r="G204" t="n">
        <x:v>1</x:v>
      </x:c>
      <x:c r="H204" t="str">
        <x:v>RFE design authority</x:v>
      </x:c>
      <x:c r="I204" t="str">
        <x:f>IF(F204=1,"PASS","GAP")</x:f>
        <x:v>PASS</x:v>
      </x:c>
    </x:row>
    <x:row r="205">
      <x:c r="B205" t="str">
        <x:v>PL-0199</x:v>
      </x:c>
      <x:c r="C205" t="str">
        <x:v>PLANNING</x:v>
      </x:c>
      <x:c r="D205" t="str">
        <x:v>event</x:v>
      </x:c>
      <x:c r="E205" t="str">
        <x:v>event 199</x:v>
      </x:c>
      <x:c r="F205" t="n">
        <x:f>Controls!$D$62</x:f>
        <x:v>1</x:v>
      </x:c>
      <x:c r="G205" t="n">
        <x:v>1</x:v>
      </x:c>
      <x:c r="H205" t="str">
        <x:v>RFE design authority</x:v>
      </x:c>
      <x:c r="I205" t="str">
        <x:f>IF(F205=1,"PASS","GAP")</x:f>
        <x:v>PASS</x:v>
      </x:c>
    </x:row>
    <x:row r="206">
      <x:c r="B206" t="str">
        <x:v>PL-0200</x:v>
      </x:c>
      <x:c r="C206" t="str">
        <x:v>PLANNING</x:v>
      </x:c>
      <x:c r="D206" t="str">
        <x:v>event</x:v>
      </x:c>
      <x:c r="E206" t="str">
        <x:v>event 200</x:v>
      </x:c>
      <x:c r="F206" t="n">
        <x:f>Controls!$D$62</x:f>
        <x:v>1</x:v>
      </x:c>
      <x:c r="G206" t="n">
        <x:v>1</x:v>
      </x:c>
      <x:c r="H206" t="str">
        <x:v>RFE design authority</x:v>
      </x:c>
      <x:c r="I206" t="str">
        <x:f>IF(F206=1,"PASS","GAP")</x:f>
        <x:v>PASS</x:v>
      </x:c>
    </x:row>
    <x:row r="207">
      <x:c r="B207" t="str">
        <x:v>PL-0201</x:v>
      </x:c>
      <x:c r="C207" t="str">
        <x:v>PLANNING</x:v>
      </x:c>
      <x:c r="D207" t="str">
        <x:v>event</x:v>
      </x:c>
      <x:c r="E207" t="str">
        <x:v>event 201</x:v>
      </x:c>
      <x:c r="F207" t="n">
        <x:f>Controls!$D$62</x:f>
        <x:v>1</x:v>
      </x:c>
      <x:c r="G207" t="n">
        <x:v>1</x:v>
      </x:c>
      <x:c r="H207" t="str">
        <x:v>RFE design authority</x:v>
      </x:c>
      <x:c r="I207" t="str">
        <x:f>IF(F207=1,"PASS","GAP")</x:f>
        <x:v>PASS</x:v>
      </x:c>
    </x:row>
    <x:row r="208">
      <x:c r="B208" t="str">
        <x:v>PL-0202</x:v>
      </x:c>
      <x:c r="C208" t="str">
        <x:v>PLANNING</x:v>
      </x:c>
      <x:c r="D208" t="str">
        <x:v>event</x:v>
      </x:c>
      <x:c r="E208" t="str">
        <x:v>event 202</x:v>
      </x:c>
      <x:c r="F208" t="n">
        <x:f>Controls!$D$62</x:f>
        <x:v>1</x:v>
      </x:c>
      <x:c r="G208" t="n">
        <x:v>1</x:v>
      </x:c>
      <x:c r="H208" t="str">
        <x:v>RFE design authority</x:v>
      </x:c>
      <x:c r="I208" t="str">
        <x:f>IF(F208=1,"PASS","GAP")</x:f>
        <x:v>PASS</x:v>
      </x:c>
    </x:row>
    <x:row r="209">
      <x:c r="B209" t="str">
        <x:v>PL-0203</x:v>
      </x:c>
      <x:c r="C209" t="str">
        <x:v>PLANNING</x:v>
      </x:c>
      <x:c r="D209" t="str">
        <x:v>event</x:v>
      </x:c>
      <x:c r="E209" t="str">
        <x:v>event 203</x:v>
      </x:c>
      <x:c r="F209" t="n">
        <x:f>Controls!$D$62</x:f>
        <x:v>1</x:v>
      </x:c>
      <x:c r="G209" t="n">
        <x:v>1</x:v>
      </x:c>
      <x:c r="H209" t="str">
        <x:v>RFE design authority</x:v>
      </x:c>
      <x:c r="I209" t="str">
        <x:f>IF(F209=1,"PASS","GAP")</x:f>
        <x:v>PASS</x:v>
      </x:c>
    </x:row>
    <x:row r="210">
      <x:c r="B210" t="str">
        <x:v>PL-0204</x:v>
      </x:c>
      <x:c r="C210" t="str">
        <x:v>PLANNING</x:v>
      </x:c>
      <x:c r="D210" t="str">
        <x:v>event</x:v>
      </x:c>
      <x:c r="E210" t="str">
        <x:v>event 204</x:v>
      </x:c>
      <x:c r="F210" t="n">
        <x:f>Controls!$D$62</x:f>
        <x:v>1</x:v>
      </x:c>
      <x:c r="G210" t="n">
        <x:v>1</x:v>
      </x:c>
      <x:c r="H210" t="str">
        <x:v>RFE design authority</x:v>
      </x:c>
      <x:c r="I210" t="str">
        <x:f>IF(F210=1,"PASS","GAP")</x:f>
        <x:v>PASS</x:v>
      </x:c>
    </x:row>
    <x:row r="211">
      <x:c r="B211" t="str">
        <x:v>PL-0205</x:v>
      </x:c>
      <x:c r="C211" t="str">
        <x:v>PLANNING</x:v>
      </x:c>
      <x:c r="D211" t="str">
        <x:v>event</x:v>
      </x:c>
      <x:c r="E211" t="str">
        <x:v>event 205</x:v>
      </x:c>
      <x:c r="F211" t="n">
        <x:f>Controls!$D$62</x:f>
        <x:v>1</x:v>
      </x:c>
      <x:c r="G211" t="n">
        <x:v>1</x:v>
      </x:c>
      <x:c r="H211" t="str">
        <x:v>RFE design authority</x:v>
      </x:c>
      <x:c r="I211" t="str">
        <x:f>IF(F211=1,"PASS","GAP")</x:f>
        <x:v>PASS</x:v>
      </x:c>
    </x:row>
    <x:row r="212">
      <x:c r="B212" t="str">
        <x:v>PL-0206</x:v>
      </x:c>
      <x:c r="C212" t="str">
        <x:v>PLANNING</x:v>
      </x:c>
      <x:c r="D212" t="str">
        <x:v>event</x:v>
      </x:c>
      <x:c r="E212" t="str">
        <x:v>event 206</x:v>
      </x:c>
      <x:c r="F212" t="n">
        <x:f>Controls!$D$62</x:f>
        <x:v>1</x:v>
      </x:c>
      <x:c r="G212" t="n">
        <x:v>1</x:v>
      </x:c>
      <x:c r="H212" t="str">
        <x:v>RFE design authority</x:v>
      </x:c>
      <x:c r="I212" t="str">
        <x:f>IF(F212=1,"PASS","GAP")</x:f>
        <x:v>PASS</x:v>
      </x:c>
    </x:row>
    <x:row r="213">
      <x:c r="B213" t="str">
        <x:v>PL-0207</x:v>
      </x:c>
      <x:c r="C213" t="str">
        <x:v>PLANNING</x:v>
      </x:c>
      <x:c r="D213" t="str">
        <x:v>event</x:v>
      </x:c>
      <x:c r="E213" t="str">
        <x:v>event 207</x:v>
      </x:c>
      <x:c r="F213" t="n">
        <x:f>Controls!$D$62</x:f>
        <x:v>1</x:v>
      </x:c>
      <x:c r="G213" t="n">
        <x:v>1</x:v>
      </x:c>
      <x:c r="H213" t="str">
        <x:v>RFE design authority</x:v>
      </x:c>
      <x:c r="I213" t="str">
        <x:f>IF(F213=1,"PASS","GAP")</x:f>
        <x:v>PASS</x:v>
      </x:c>
    </x:row>
    <x:row r="214">
      <x:c r="B214" t="str">
        <x:v>PL-0208</x:v>
      </x:c>
      <x:c r="C214" t="str">
        <x:v>PLANNING</x:v>
      </x:c>
      <x:c r="D214" t="str">
        <x:v>event</x:v>
      </x:c>
      <x:c r="E214" t="str">
        <x:v>event 208</x:v>
      </x:c>
      <x:c r="F214" t="n">
        <x:f>Controls!$D$62</x:f>
        <x:v>1</x:v>
      </x:c>
      <x:c r="G214" t="n">
        <x:v>1</x:v>
      </x:c>
      <x:c r="H214" t="str">
        <x:v>RFE design authority</x:v>
      </x:c>
      <x:c r="I214" t="str">
        <x:f>IF(F214=1,"PASS","GAP")</x:f>
        <x:v>PASS</x:v>
      </x:c>
    </x:row>
    <x:row r="215">
      <x:c r="B215" t="str">
        <x:v>PL-0209</x:v>
      </x:c>
      <x:c r="C215" t="str">
        <x:v>PLANNING</x:v>
      </x:c>
      <x:c r="D215" t="str">
        <x:v>event</x:v>
      </x:c>
      <x:c r="E215" t="str">
        <x:v>event 209</x:v>
      </x:c>
      <x:c r="F215" t="n">
        <x:f>Controls!$D$62</x:f>
        <x:v>1</x:v>
      </x:c>
      <x:c r="G215" t="n">
        <x:v>1</x:v>
      </x:c>
      <x:c r="H215" t="str">
        <x:v>RFE design authority</x:v>
      </x:c>
      <x:c r="I215" t="str">
        <x:f>IF(F215=1,"PASS","GAP")</x:f>
        <x:v>PASS</x:v>
      </x:c>
    </x:row>
    <x:row r="216">
      <x:c r="B216" t="str">
        <x:v>PL-0210</x:v>
      </x:c>
      <x:c r="C216" t="str">
        <x:v>PLANNING</x:v>
      </x:c>
      <x:c r="D216" t="str">
        <x:v>event</x:v>
      </x:c>
      <x:c r="E216" t="str">
        <x:v>event 210</x:v>
      </x:c>
      <x:c r="F216" t="n">
        <x:f>Controls!$D$62</x:f>
        <x:v>1</x:v>
      </x:c>
      <x:c r="G216" t="n">
        <x:v>1</x:v>
      </x:c>
      <x:c r="H216" t="str">
        <x:v>RFE design authority</x:v>
      </x:c>
      <x:c r="I216" t="str">
        <x:f>IF(F216=1,"PASS","GAP")</x:f>
        <x:v>PASS</x:v>
      </x:c>
    </x:row>
    <x:row r="217">
      <x:c r="B217" t="str">
        <x:v>PL-0211</x:v>
      </x:c>
      <x:c r="C217" t="str">
        <x:v>PLANNING</x:v>
      </x:c>
      <x:c r="D217" t="str">
        <x:v>event</x:v>
      </x:c>
      <x:c r="E217" t="str">
        <x:v>event 211</x:v>
      </x:c>
      <x:c r="F217" t="n">
        <x:f>Controls!$D$62</x:f>
        <x:v>1</x:v>
      </x:c>
      <x:c r="G217" t="n">
        <x:v>1</x:v>
      </x:c>
      <x:c r="H217" t="str">
        <x:v>RFE design authority</x:v>
      </x:c>
      <x:c r="I217" t="str">
        <x:f>IF(F217=1,"PASS","GAP")</x:f>
        <x:v>PASS</x:v>
      </x:c>
    </x:row>
    <x:row r="218">
      <x:c r="B218" t="str">
        <x:v>PL-0212</x:v>
      </x:c>
      <x:c r="C218" t="str">
        <x:v>PLANNING</x:v>
      </x:c>
      <x:c r="D218" t="str">
        <x:v>event</x:v>
      </x:c>
      <x:c r="E218" t="str">
        <x:v>event 212</x:v>
      </x:c>
      <x:c r="F218" t="n">
        <x:f>Controls!$D$62</x:f>
        <x:v>1</x:v>
      </x:c>
      <x:c r="G218" t="n">
        <x:v>1</x:v>
      </x:c>
      <x:c r="H218" t="str">
        <x:v>RFE design authority</x:v>
      </x:c>
      <x:c r="I218" t="str">
        <x:f>IF(F218=1,"PASS","GAP")</x:f>
        <x:v>PASS</x:v>
      </x:c>
    </x:row>
    <x:row r="219">
      <x:c r="B219" t="str">
        <x:v>PL-0213</x:v>
      </x:c>
      <x:c r="C219" t="str">
        <x:v>PLANNING</x:v>
      </x:c>
      <x:c r="D219" t="str">
        <x:v>event</x:v>
      </x:c>
      <x:c r="E219" t="str">
        <x:v>event 213</x:v>
      </x:c>
      <x:c r="F219" t="n">
        <x:f>Controls!$D$62</x:f>
        <x:v>1</x:v>
      </x:c>
      <x:c r="G219" t="n">
        <x:v>1</x:v>
      </x:c>
      <x:c r="H219" t="str">
        <x:v>RFE design authority</x:v>
      </x:c>
      <x:c r="I219" t="str">
        <x:f>IF(F219=1,"PASS","GAP")</x:f>
        <x:v>PASS</x:v>
      </x:c>
    </x:row>
    <x:row r="220">
      <x:c r="B220" t="str">
        <x:v>PL-0214</x:v>
      </x:c>
      <x:c r="C220" t="str">
        <x:v>PLANNING</x:v>
      </x:c>
      <x:c r="D220" t="str">
        <x:v>event</x:v>
      </x:c>
      <x:c r="E220" t="str">
        <x:v>event 214</x:v>
      </x:c>
      <x:c r="F220" t="n">
        <x:f>Controls!$D$62</x:f>
        <x:v>1</x:v>
      </x:c>
      <x:c r="G220" t="n">
        <x:v>1</x:v>
      </x:c>
      <x:c r="H220" t="str">
        <x:v>RFE design authority</x:v>
      </x:c>
      <x:c r="I220" t="str">
        <x:f>IF(F220=1,"PASS","GAP")</x:f>
        <x:v>PASS</x:v>
      </x:c>
    </x:row>
    <x:row r="221">
      <x:c r="B221" t="str">
        <x:v>PL-0215</x:v>
      </x:c>
      <x:c r="C221" t="str">
        <x:v>PLANNING</x:v>
      </x:c>
      <x:c r="D221" t="str">
        <x:v>event</x:v>
      </x:c>
      <x:c r="E221" t="str">
        <x:v>event 215</x:v>
      </x:c>
      <x:c r="F221" t="n">
        <x:f>Controls!$D$62</x:f>
        <x:v>1</x:v>
      </x:c>
      <x:c r="G221" t="n">
        <x:v>1</x:v>
      </x:c>
      <x:c r="H221" t="str">
        <x:v>RFE design authority</x:v>
      </x:c>
      <x:c r="I221" t="str">
        <x:f>IF(F221=1,"PASS","GAP")</x:f>
        <x:v>PASS</x:v>
      </x:c>
    </x:row>
    <x:row r="222">
      <x:c r="B222" t="str">
        <x:v>PL-0216</x:v>
      </x:c>
      <x:c r="C222" t="str">
        <x:v>PLANNING</x:v>
      </x:c>
      <x:c r="D222" t="str">
        <x:v>event</x:v>
      </x:c>
      <x:c r="E222" t="str">
        <x:v>event 216</x:v>
      </x:c>
      <x:c r="F222" t="n">
        <x:f>Controls!$D$62</x:f>
        <x:v>1</x:v>
      </x:c>
      <x:c r="G222" t="n">
        <x:v>1</x:v>
      </x:c>
      <x:c r="H222" t="str">
        <x:v>RFE design authority</x:v>
      </x:c>
      <x:c r="I222" t="str">
        <x:f>IF(F222=1,"PASS","GAP")</x:f>
        <x:v>PASS</x:v>
      </x:c>
    </x:row>
    <x:row r="223">
      <x:c r="B223" t="str">
        <x:v>PL-0217</x:v>
      </x:c>
      <x:c r="C223" t="str">
        <x:v>PLANNING</x:v>
      </x:c>
      <x:c r="D223" t="str">
        <x:v>event</x:v>
      </x:c>
      <x:c r="E223" t="str">
        <x:v>event 217</x:v>
      </x:c>
      <x:c r="F223" t="n">
        <x:f>Controls!$D$62</x:f>
        <x:v>1</x:v>
      </x:c>
      <x:c r="G223" t="n">
        <x:v>1</x:v>
      </x:c>
      <x:c r="H223" t="str">
        <x:v>RFE design authority</x:v>
      </x:c>
      <x:c r="I223" t="str">
        <x:f>IF(F223=1,"PASS","GAP")</x:f>
        <x:v>PASS</x:v>
      </x:c>
    </x:row>
    <x:row r="224">
      <x:c r="B224" t="str">
        <x:v>PL-0218</x:v>
      </x:c>
      <x:c r="C224" t="str">
        <x:v>PLANNING</x:v>
      </x:c>
      <x:c r="D224" t="str">
        <x:v>event</x:v>
      </x:c>
      <x:c r="E224" t="str">
        <x:v>event 218</x:v>
      </x:c>
      <x:c r="F224" t="n">
        <x:f>Controls!$D$62</x:f>
        <x:v>1</x:v>
      </x:c>
      <x:c r="G224" t="n">
        <x:v>1</x:v>
      </x:c>
      <x:c r="H224" t="str">
        <x:v>RFE design authority</x:v>
      </x:c>
      <x:c r="I224" t="str">
        <x:f>IF(F224=1,"PASS","GAP")</x:f>
        <x:v>PASS</x:v>
      </x:c>
    </x:row>
    <x:row r="225">
      <x:c r="B225" t="str">
        <x:v>PL-0219</x:v>
      </x:c>
      <x:c r="C225" t="str">
        <x:v>PLANNING</x:v>
      </x:c>
      <x:c r="D225" t="str">
        <x:v>event</x:v>
      </x:c>
      <x:c r="E225" t="str">
        <x:v>event 219</x:v>
      </x:c>
      <x:c r="F225" t="n">
        <x:f>Controls!$D$62</x:f>
        <x:v>1</x:v>
      </x:c>
      <x:c r="G225" t="n">
        <x:v>1</x:v>
      </x:c>
      <x:c r="H225" t="str">
        <x:v>RFE design authority</x:v>
      </x:c>
      <x:c r="I225" t="str">
        <x:f>IF(F225=1,"PASS","GAP")</x:f>
        <x:v>PASS</x:v>
      </x:c>
    </x:row>
    <x:row r="226">
      <x:c r="B226" t="str">
        <x:v>PL-0220</x:v>
      </x:c>
      <x:c r="C226" t="str">
        <x:v>PLANNING</x:v>
      </x:c>
      <x:c r="D226" t="str">
        <x:v>event</x:v>
      </x:c>
      <x:c r="E226" t="str">
        <x:v>event 220</x:v>
      </x:c>
      <x:c r="F226" t="n">
        <x:f>Controls!$D$62</x:f>
        <x:v>1</x:v>
      </x:c>
      <x:c r="G226" t="n">
        <x:v>1</x:v>
      </x:c>
      <x:c r="H226" t="str">
        <x:v>RFE design authority</x:v>
      </x:c>
      <x:c r="I226" t="str">
        <x:f>IF(F226=1,"PASS","GAP")</x:f>
        <x:v>PASS</x:v>
      </x:c>
    </x:row>
    <x:row r="227">
      <x:c r="B227" t="str">
        <x:v>PL-0221</x:v>
      </x:c>
      <x:c r="C227" t="str">
        <x:v>PLANNING</x:v>
      </x:c>
      <x:c r="D227" t="str">
        <x:v>event</x:v>
      </x:c>
      <x:c r="E227" t="str">
        <x:v>event 221</x:v>
      </x:c>
      <x:c r="F227" t="n">
        <x:f>Controls!$D$62</x:f>
        <x:v>1</x:v>
      </x:c>
      <x:c r="G227" t="n">
        <x:v>1</x:v>
      </x:c>
      <x:c r="H227" t="str">
        <x:v>RFE design authority</x:v>
      </x:c>
      <x:c r="I227" t="str">
        <x:f>IF(F227=1,"PASS","GAP")</x:f>
        <x:v>PASS</x:v>
      </x:c>
    </x:row>
    <x:row r="228">
      <x:c r="B228" t="str">
        <x:v>PL-0222</x:v>
      </x:c>
      <x:c r="C228" t="str">
        <x:v>PLANNING</x:v>
      </x:c>
      <x:c r="D228" t="str">
        <x:v>event</x:v>
      </x:c>
      <x:c r="E228" t="str">
        <x:v>event 222</x:v>
      </x:c>
      <x:c r="F228" t="n">
        <x:f>Controls!$D$62</x:f>
        <x:v>1</x:v>
      </x:c>
      <x:c r="G228" t="n">
        <x:v>1</x:v>
      </x:c>
      <x:c r="H228" t="str">
        <x:v>RFE design authority</x:v>
      </x:c>
      <x:c r="I228" t="str">
        <x:f>IF(F228=1,"PASS","GAP")</x:f>
        <x:v>PASS</x:v>
      </x:c>
    </x:row>
    <x:row r="229">
      <x:c r="B229" t="str">
        <x:v>PL-0223</x:v>
      </x:c>
      <x:c r="C229" t="str">
        <x:v>PLANNING</x:v>
      </x:c>
      <x:c r="D229" t="str">
        <x:v>event</x:v>
      </x:c>
      <x:c r="E229" t="str">
        <x:v>event 223</x:v>
      </x:c>
      <x:c r="F229" t="n">
        <x:f>Controls!$D$62</x:f>
        <x:v>1</x:v>
      </x:c>
      <x:c r="G229" t="n">
        <x:v>1</x:v>
      </x:c>
      <x:c r="H229" t="str">
        <x:v>RFE design authority</x:v>
      </x:c>
      <x:c r="I229" t="str">
        <x:f>IF(F229=1,"PASS","GAP")</x:f>
        <x:v>PASS</x:v>
      </x:c>
    </x:row>
    <x:row r="230">
      <x:c r="B230" t="str">
        <x:v>PL-0224</x:v>
      </x:c>
      <x:c r="C230" t="str">
        <x:v>PLANNING</x:v>
      </x:c>
      <x:c r="D230" t="str">
        <x:v>event</x:v>
      </x:c>
      <x:c r="E230" t="str">
        <x:v>event 224</x:v>
      </x:c>
      <x:c r="F230" t="n">
        <x:f>Controls!$D$62</x:f>
        <x:v>1</x:v>
      </x:c>
      <x:c r="G230" t="n">
        <x:v>1</x:v>
      </x:c>
      <x:c r="H230" t="str">
        <x:v>RFE design authority</x:v>
      </x:c>
      <x:c r="I230" t="str">
        <x:f>IF(F230=1,"PASS","GAP")</x:f>
        <x:v>PASS</x:v>
      </x:c>
    </x:row>
    <x:row r="231">
      <x:c r="B231" t="str">
        <x:v>PL-0225</x:v>
      </x:c>
      <x:c r="C231" t="str">
        <x:v>PLANNING</x:v>
      </x:c>
      <x:c r="D231" t="str">
        <x:v>event</x:v>
      </x:c>
      <x:c r="E231" t="str">
        <x:v>event 225</x:v>
      </x:c>
      <x:c r="F231" t="n">
        <x:f>Controls!$D$62</x:f>
        <x:v>1</x:v>
      </x:c>
      <x:c r="G231" t="n">
        <x:v>1</x:v>
      </x:c>
      <x:c r="H231" t="str">
        <x:v>RFE design authority</x:v>
      </x:c>
      <x:c r="I231" t="str">
        <x:f>IF(F231=1,"PASS","GAP")</x:f>
        <x:v>PASS</x:v>
      </x:c>
    </x:row>
    <x:row r="232">
      <x:c r="B232" t="str">
        <x:v>PL-0226</x:v>
      </x:c>
      <x:c r="C232" t="str">
        <x:v>PLANNING</x:v>
      </x:c>
      <x:c r="D232" t="str">
        <x:v>event</x:v>
      </x:c>
      <x:c r="E232" t="str">
        <x:v>event 226</x:v>
      </x:c>
      <x:c r="F232" t="n">
        <x:f>Controls!$D$62</x:f>
        <x:v>1</x:v>
      </x:c>
      <x:c r="G232" t="n">
        <x:v>1</x:v>
      </x:c>
      <x:c r="H232" t="str">
        <x:v>RFE design authority</x:v>
      </x:c>
      <x:c r="I232" t="str">
        <x:f>IF(F232=1,"PASS","GAP")</x:f>
        <x:v>PASS</x:v>
      </x:c>
    </x:row>
    <x:row r="233">
      <x:c r="B233" t="str">
        <x:v>PL-0227</x:v>
      </x:c>
      <x:c r="C233" t="str">
        <x:v>PLANNING</x:v>
      </x:c>
      <x:c r="D233" t="str">
        <x:v>event</x:v>
      </x:c>
      <x:c r="E233" t="str">
        <x:v>event 227</x:v>
      </x:c>
      <x:c r="F233" t="n">
        <x:f>Controls!$D$62</x:f>
        <x:v>1</x:v>
      </x:c>
      <x:c r="G233" t="n">
        <x:v>1</x:v>
      </x:c>
      <x:c r="H233" t="str">
        <x:v>RFE design authority</x:v>
      </x:c>
      <x:c r="I233" t="str">
        <x:f>IF(F233=1,"PASS","GAP")</x:f>
        <x:v>PASS</x:v>
      </x:c>
    </x:row>
    <x:row r="234">
      <x:c r="B234" t="str">
        <x:v>PL-0228</x:v>
      </x:c>
      <x:c r="C234" t="str">
        <x:v>PLANNING</x:v>
      </x:c>
      <x:c r="D234" t="str">
        <x:v>event</x:v>
      </x:c>
      <x:c r="E234" t="str">
        <x:v>event 228</x:v>
      </x:c>
      <x:c r="F234" t="n">
        <x:f>Controls!$D$62</x:f>
        <x:v>1</x:v>
      </x:c>
      <x:c r="G234" t="n">
        <x:v>1</x:v>
      </x:c>
      <x:c r="H234" t="str">
        <x:v>RFE design authority</x:v>
      </x:c>
      <x:c r="I234" t="str">
        <x:f>IF(F234=1,"PASS","GAP")</x:f>
        <x:v>PASS</x:v>
      </x:c>
    </x:row>
    <x:row r="235">
      <x:c r="B235" t="str">
        <x:v>PL-0229</x:v>
      </x:c>
      <x:c r="C235" t="str">
        <x:v>PLANNING</x:v>
      </x:c>
      <x:c r="D235" t="str">
        <x:v>event</x:v>
      </x:c>
      <x:c r="E235" t="str">
        <x:v>event 229</x:v>
      </x:c>
      <x:c r="F235" t="n">
        <x:f>Controls!$D$62</x:f>
        <x:v>1</x:v>
      </x:c>
      <x:c r="G235" t="n">
        <x:v>1</x:v>
      </x:c>
      <x:c r="H235" t="str">
        <x:v>RFE design authority</x:v>
      </x:c>
      <x:c r="I235" t="str">
        <x:f>IF(F235=1,"PASS","GAP")</x:f>
        <x:v>PASS</x:v>
      </x:c>
    </x:row>
    <x:row r="236">
      <x:c r="B236" t="str">
        <x:v>PL-0230</x:v>
      </x:c>
      <x:c r="C236" t="str">
        <x:v>PLANNING</x:v>
      </x:c>
      <x:c r="D236" t="str">
        <x:v>event</x:v>
      </x:c>
      <x:c r="E236" t="str">
        <x:v>event 230</x:v>
      </x:c>
      <x:c r="F236" t="n">
        <x:f>Controls!$D$62</x:f>
        <x:v>1</x:v>
      </x:c>
      <x:c r="G236" t="n">
        <x:v>1</x:v>
      </x:c>
      <x:c r="H236" t="str">
        <x:v>RFE design authority</x:v>
      </x:c>
      <x:c r="I236" t="str">
        <x:f>IF(F236=1,"PASS","GAP")</x:f>
        <x:v>PASS</x:v>
      </x:c>
    </x:row>
    <x:row r="237">
      <x:c r="B237" t="str">
        <x:v>PL-0231</x:v>
      </x:c>
      <x:c r="C237" t="str">
        <x:v>PLANNING</x:v>
      </x:c>
      <x:c r="D237" t="str">
        <x:v>event</x:v>
      </x:c>
      <x:c r="E237" t="str">
        <x:v>event 231</x:v>
      </x:c>
      <x:c r="F237" t="n">
        <x:f>Controls!$D$62</x:f>
        <x:v>1</x:v>
      </x:c>
      <x:c r="G237" t="n">
        <x:v>1</x:v>
      </x:c>
      <x:c r="H237" t="str">
        <x:v>RFE design authority</x:v>
      </x:c>
      <x:c r="I237" t="str">
        <x:f>IF(F237=1,"PASS","GAP")</x:f>
        <x:v>PASS</x:v>
      </x:c>
    </x:row>
    <x:row r="238">
      <x:c r="B238" t="str">
        <x:v>PL-0232</x:v>
      </x:c>
      <x:c r="C238" t="str">
        <x:v>PLANNING</x:v>
      </x:c>
      <x:c r="D238" t="str">
        <x:v>event</x:v>
      </x:c>
      <x:c r="E238" t="str">
        <x:v>event 232</x:v>
      </x:c>
      <x:c r="F238" t="n">
        <x:f>Controls!$D$62</x:f>
        <x:v>1</x:v>
      </x:c>
      <x:c r="G238" t="n">
        <x:v>1</x:v>
      </x:c>
      <x:c r="H238" t="str">
        <x:v>RFE design authority</x:v>
      </x:c>
      <x:c r="I238" t="str">
        <x:f>IF(F238=1,"PASS","GAP")</x:f>
        <x:v>PASS</x:v>
      </x:c>
    </x:row>
    <x:row r="239">
      <x:c r="B239" t="str">
        <x:v>PL-0233</x:v>
      </x:c>
      <x:c r="C239" t="str">
        <x:v>PLANNING</x:v>
      </x:c>
      <x:c r="D239" t="str">
        <x:v>event</x:v>
      </x:c>
      <x:c r="E239" t="str">
        <x:v>event 233</x:v>
      </x:c>
      <x:c r="F239" t="n">
        <x:f>Controls!$D$62</x:f>
        <x:v>1</x:v>
      </x:c>
      <x:c r="G239" t="n">
        <x:v>1</x:v>
      </x:c>
      <x:c r="H239" t="str">
        <x:v>RFE design authority</x:v>
      </x:c>
      <x:c r="I239" t="str">
        <x:f>IF(F239=1,"PASS","GAP")</x:f>
        <x:v>PASS</x:v>
      </x:c>
    </x:row>
    <x:row r="240">
      <x:c r="B240" t="str">
        <x:v>PL-0234</x:v>
      </x:c>
      <x:c r="C240" t="str">
        <x:v>PLANNING</x:v>
      </x:c>
      <x:c r="D240" t="str">
        <x:v>event</x:v>
      </x:c>
      <x:c r="E240" t="str">
        <x:v>event 234</x:v>
      </x:c>
      <x:c r="F240" t="n">
        <x:f>Controls!$D$62</x:f>
        <x:v>1</x:v>
      </x:c>
      <x:c r="G240" t="n">
        <x:v>1</x:v>
      </x:c>
      <x:c r="H240" t="str">
        <x:v>RFE design authority</x:v>
      </x:c>
      <x:c r="I240" t="str">
        <x:f>IF(F240=1,"PASS","GAP")</x:f>
        <x:v>PASS</x:v>
      </x:c>
    </x:row>
    <x:row r="241">
      <x:c r="B241" t="str">
        <x:v>PL-0235</x:v>
      </x:c>
      <x:c r="C241" t="str">
        <x:v>PLANNING</x:v>
      </x:c>
      <x:c r="D241" t="str">
        <x:v>event</x:v>
      </x:c>
      <x:c r="E241" t="str">
        <x:v>event 235</x:v>
      </x:c>
      <x:c r="F241" t="n">
        <x:f>Controls!$D$62</x:f>
        <x:v>1</x:v>
      </x:c>
      <x:c r="G241" t="n">
        <x:v>1</x:v>
      </x:c>
      <x:c r="H241" t="str">
        <x:v>RFE design authority</x:v>
      </x:c>
      <x:c r="I241" t="str">
        <x:f>IF(F241=1,"PASS","GAP")</x:f>
        <x:v>PASS</x:v>
      </x:c>
    </x:row>
    <x:row r="242">
      <x:c r="B242" t="str">
        <x:v>PL-0236</x:v>
      </x:c>
      <x:c r="C242" t="str">
        <x:v>PLANNING</x:v>
      </x:c>
      <x:c r="D242" t="str">
        <x:v>event</x:v>
      </x:c>
      <x:c r="E242" t="str">
        <x:v>event 236</x:v>
      </x:c>
      <x:c r="F242" t="n">
        <x:f>Controls!$D$62</x:f>
        <x:v>1</x:v>
      </x:c>
      <x:c r="G242" t="n">
        <x:v>1</x:v>
      </x:c>
      <x:c r="H242" t="str">
        <x:v>RFE design authority</x:v>
      </x:c>
      <x:c r="I242" t="str">
        <x:f>IF(F242=1,"PASS","GAP")</x:f>
        <x:v>PASS</x:v>
      </x:c>
    </x:row>
    <x:row r="243">
      <x:c r="B243" t="str">
        <x:v>PL-0237</x:v>
      </x:c>
      <x:c r="C243" t="str">
        <x:v>PLANNING</x:v>
      </x:c>
      <x:c r="D243" t="str">
        <x:v>event</x:v>
      </x:c>
      <x:c r="E243" t="str">
        <x:v>event 237</x:v>
      </x:c>
      <x:c r="F243" t="n">
        <x:f>Controls!$D$62</x:f>
        <x:v>1</x:v>
      </x:c>
      <x:c r="G243" t="n">
        <x:v>1</x:v>
      </x:c>
      <x:c r="H243" t="str">
        <x:v>RFE design authority</x:v>
      </x:c>
      <x:c r="I243" t="str">
        <x:f>IF(F243=1,"PASS","GAP")</x:f>
        <x:v>PASS</x:v>
      </x:c>
    </x:row>
    <x:row r="244">
      <x:c r="B244" t="str">
        <x:v>PL-0238</x:v>
      </x:c>
      <x:c r="C244" t="str">
        <x:v>PLANNING</x:v>
      </x:c>
      <x:c r="D244" t="str">
        <x:v>event</x:v>
      </x:c>
      <x:c r="E244" t="str">
        <x:v>event 238</x:v>
      </x:c>
      <x:c r="F244" t="n">
        <x:f>Controls!$D$62</x:f>
        <x:v>1</x:v>
      </x:c>
      <x:c r="G244" t="n">
        <x:v>1</x:v>
      </x:c>
      <x:c r="H244" t="str">
        <x:v>RFE design authority</x:v>
      </x:c>
      <x:c r="I244" t="str">
        <x:f>IF(F244=1,"PASS","GAP")</x:f>
        <x:v>PASS</x:v>
      </x:c>
    </x:row>
    <x:row r="245">
      <x:c r="B245" t="str">
        <x:v>PL-0239</x:v>
      </x:c>
      <x:c r="C245" t="str">
        <x:v>PLANNING</x:v>
      </x:c>
      <x:c r="D245" t="str">
        <x:v>event</x:v>
      </x:c>
      <x:c r="E245" t="str">
        <x:v>event 239</x:v>
      </x:c>
      <x:c r="F245" t="n">
        <x:f>Controls!$D$62</x:f>
        <x:v>1</x:v>
      </x:c>
      <x:c r="G245" t="n">
        <x:v>1</x:v>
      </x:c>
      <x:c r="H245" t="str">
        <x:v>RFE design authority</x:v>
      </x:c>
      <x:c r="I245" t="str">
        <x:f>IF(F245=1,"PASS","GAP")</x:f>
        <x:v>PASS</x:v>
      </x:c>
    </x:row>
    <x:row r="246">
      <x:c r="B246" t="str">
        <x:v>PL-0240</x:v>
      </x:c>
      <x:c r="C246" t="str">
        <x:v>PLANNING</x:v>
      </x:c>
      <x:c r="D246" t="str">
        <x:v>event</x:v>
      </x:c>
      <x:c r="E246" t="str">
        <x:v>event 240</x:v>
      </x:c>
      <x:c r="F246" t="n">
        <x:f>Controls!$D$62</x:f>
        <x:v>1</x:v>
      </x:c>
      <x:c r="G246" t="n">
        <x:v>1</x:v>
      </x:c>
      <x:c r="H246" t="str">
        <x:v>RFE design authority</x:v>
      </x:c>
      <x:c r="I246" t="str">
        <x:f>IF(F246=1,"PASS","GAP")</x:f>
        <x:v>PASS</x:v>
      </x:c>
    </x:row>
    <x:row r="247">
      <x:c r="B247" t="str">
        <x:v>PL-0241</x:v>
      </x:c>
      <x:c r="C247" t="str">
        <x:v>PLANNING</x:v>
      </x:c>
      <x:c r="D247" t="str">
        <x:v>event</x:v>
      </x:c>
      <x:c r="E247" t="str">
        <x:v>event 241</x:v>
      </x:c>
      <x:c r="F247" t="n">
        <x:f>Controls!$D$62</x:f>
        <x:v>1</x:v>
      </x:c>
      <x:c r="G247" t="n">
        <x:v>1</x:v>
      </x:c>
      <x:c r="H247" t="str">
        <x:v>RFE design authority</x:v>
      </x:c>
      <x:c r="I247" t="str">
        <x:f>IF(F247=1,"PASS","GAP")</x:f>
        <x:v>PASS</x:v>
      </x:c>
    </x:row>
    <x:row r="248">
      <x:c r="B248" t="str">
        <x:v>PL-0242</x:v>
      </x:c>
      <x:c r="C248" t="str">
        <x:v>PLANNING</x:v>
      </x:c>
      <x:c r="D248" t="str">
        <x:v>event</x:v>
      </x:c>
      <x:c r="E248" t="str">
        <x:v>event 242</x:v>
      </x:c>
      <x:c r="F248" t="n">
        <x:f>Controls!$D$62</x:f>
        <x:v>1</x:v>
      </x:c>
      <x:c r="G248" t="n">
        <x:v>1</x:v>
      </x:c>
      <x:c r="H248" t="str">
        <x:v>RFE design authority</x:v>
      </x:c>
      <x:c r="I248" t="str">
        <x:f>IF(F248=1,"PASS","GAP")</x:f>
        <x:v>PASS</x:v>
      </x:c>
    </x:row>
    <x:row r="249">
      <x:c r="B249" t="str">
        <x:v>PL-0243</x:v>
      </x:c>
      <x:c r="C249" t="str">
        <x:v>PLANNING</x:v>
      </x:c>
      <x:c r="D249" t="str">
        <x:v>event</x:v>
      </x:c>
      <x:c r="E249" t="str">
        <x:v>event 243</x:v>
      </x:c>
      <x:c r="F249" t="n">
        <x:f>Controls!$D$62</x:f>
        <x:v>1</x:v>
      </x:c>
      <x:c r="G249" t="n">
        <x:v>1</x:v>
      </x:c>
      <x:c r="H249" t="str">
        <x:v>RFE design authority</x:v>
      </x:c>
      <x:c r="I249" t="str">
        <x:f>IF(F249=1,"PASS","GAP")</x:f>
        <x:v>PASS</x:v>
      </x:c>
    </x:row>
    <x:row r="250">
      <x:c r="B250" t="str">
        <x:v>PL-0244</x:v>
      </x:c>
      <x:c r="C250" t="str">
        <x:v>PLANNING</x:v>
      </x:c>
      <x:c r="D250" t="str">
        <x:v>event</x:v>
      </x:c>
      <x:c r="E250" t="str">
        <x:v>event 244</x:v>
      </x:c>
      <x:c r="F250" t="n">
        <x:f>Controls!$D$62</x:f>
        <x:v>1</x:v>
      </x:c>
      <x:c r="G250" t="n">
        <x:v>1</x:v>
      </x:c>
      <x:c r="H250" t="str">
        <x:v>RFE design authority</x:v>
      </x:c>
      <x:c r="I250" t="str">
        <x:f>IF(F250=1,"PASS","GAP")</x:f>
        <x:v>PASS</x:v>
      </x:c>
    </x:row>
    <x:row r="251">
      <x:c r="B251" t="str">
        <x:v>PL-0245</x:v>
      </x:c>
      <x:c r="C251" t="str">
        <x:v>PLANNING</x:v>
      </x:c>
      <x:c r="D251" t="str">
        <x:v>event</x:v>
      </x:c>
      <x:c r="E251" t="str">
        <x:v>event 245</x:v>
      </x:c>
      <x:c r="F251" t="n">
        <x:f>Controls!$D$62</x:f>
        <x:v>1</x:v>
      </x:c>
      <x:c r="G251" t="n">
        <x:v>1</x:v>
      </x:c>
      <x:c r="H251" t="str">
        <x:v>RFE design authority</x:v>
      </x:c>
      <x:c r="I251" t="str">
        <x:f>IF(F251=1,"PASS","GAP")</x:f>
        <x:v>PASS</x:v>
      </x:c>
    </x:row>
    <x:row r="252">
      <x:c r="B252" t="str">
        <x:v>PL-0246</x:v>
      </x:c>
      <x:c r="C252" t="str">
        <x:v>PLANNING</x:v>
      </x:c>
      <x:c r="D252" t="str">
        <x:v>event</x:v>
      </x:c>
      <x:c r="E252" t="str">
        <x:v>event 246</x:v>
      </x:c>
      <x:c r="F252" t="n">
        <x:f>Controls!$D$62</x:f>
        <x:v>1</x:v>
      </x:c>
      <x:c r="G252" t="n">
        <x:v>1</x:v>
      </x:c>
      <x:c r="H252" t="str">
        <x:v>RFE design authority</x:v>
      </x:c>
      <x:c r="I252" t="str">
        <x:f>IF(F252=1,"PASS","GAP")</x:f>
        <x:v>PASS</x:v>
      </x:c>
    </x:row>
    <x:row r="253">
      <x:c r="B253" t="str">
        <x:v>PL-0247</x:v>
      </x:c>
      <x:c r="C253" t="str">
        <x:v>PLANNING</x:v>
      </x:c>
      <x:c r="D253" t="str">
        <x:v>event</x:v>
      </x:c>
      <x:c r="E253" t="str">
        <x:v>event 247</x:v>
      </x:c>
      <x:c r="F253" t="n">
        <x:f>Controls!$D$62</x:f>
        <x:v>1</x:v>
      </x:c>
      <x:c r="G253" t="n">
        <x:v>1</x:v>
      </x:c>
      <x:c r="H253" t="str">
        <x:v>RFE design authority</x:v>
      </x:c>
      <x:c r="I253" t="str">
        <x:f>IF(F253=1,"PASS","GAP")</x:f>
        <x:v>PASS</x:v>
      </x:c>
    </x:row>
    <x:row r="254">
      <x:c r="B254" t="str">
        <x:v>PL-0248</x:v>
      </x:c>
      <x:c r="C254" t="str">
        <x:v>PLANNING</x:v>
      </x:c>
      <x:c r="D254" t="str">
        <x:v>event</x:v>
      </x:c>
      <x:c r="E254" t="str">
        <x:v>event 248</x:v>
      </x:c>
      <x:c r="F254" t="n">
        <x:f>Controls!$D$62</x:f>
        <x:v>1</x:v>
      </x:c>
      <x:c r="G254" t="n">
        <x:v>1</x:v>
      </x:c>
      <x:c r="H254" t="str">
        <x:v>RFE design authority</x:v>
      </x:c>
      <x:c r="I254" t="str">
        <x:f>IF(F254=1,"PASS","GAP")</x:f>
        <x:v>PASS</x:v>
      </x:c>
    </x:row>
    <x:row r="255">
      <x:c r="B255" t="str">
        <x:v>PL-0249</x:v>
      </x:c>
      <x:c r="C255" t="str">
        <x:v>PLANNING</x:v>
      </x:c>
      <x:c r="D255" t="str">
        <x:v>event</x:v>
      </x:c>
      <x:c r="E255" t="str">
        <x:v>event 249</x:v>
      </x:c>
      <x:c r="F255" t="n">
        <x:f>Controls!$D$62</x:f>
        <x:v>1</x:v>
      </x:c>
      <x:c r="G255" t="n">
        <x:v>1</x:v>
      </x:c>
      <x:c r="H255" t="str">
        <x:v>RFE design authority</x:v>
      </x:c>
      <x:c r="I255" t="str">
        <x:f>IF(F255=1,"PASS","GAP")</x:f>
        <x:v>PASS</x:v>
      </x:c>
    </x:row>
    <x:row r="256">
      <x:c r="B256" t="str">
        <x:v>PL-0250</x:v>
      </x:c>
      <x:c r="C256" t="str">
        <x:v>PLANNING</x:v>
      </x:c>
      <x:c r="D256" t="str">
        <x:v>event</x:v>
      </x:c>
      <x:c r="E256" t="str">
        <x:v>event 250</x:v>
      </x:c>
      <x:c r="F256" t="n">
        <x:f>Controls!$D$62</x:f>
        <x:v>1</x:v>
      </x:c>
      <x:c r="G256" t="n">
        <x:v>1</x:v>
      </x:c>
      <x:c r="H256" t="str">
        <x:v>RFE design authority</x:v>
      </x:c>
      <x:c r="I256" t="str">
        <x:f>IF(F256=1,"PASS","GAP")</x:f>
        <x:v>PASS</x:v>
      </x:c>
    </x:row>
    <x:row r="257">
      <x:c r="B257" t="str">
        <x:v>PL-0251</x:v>
      </x:c>
      <x:c r="C257" t="str">
        <x:v>PLANNING</x:v>
      </x:c>
      <x:c r="D257" t="str">
        <x:v>event</x:v>
      </x:c>
      <x:c r="E257" t="str">
        <x:v>event 251</x:v>
      </x:c>
      <x:c r="F257" t="n">
        <x:f>Controls!$D$62</x:f>
        <x:v>1</x:v>
      </x:c>
      <x:c r="G257" t="n">
        <x:v>1</x:v>
      </x:c>
      <x:c r="H257" t="str">
        <x:v>RFE design authority</x:v>
      </x:c>
      <x:c r="I257" t="str">
        <x:f>IF(F257=1,"PASS","GAP")</x:f>
        <x:v>PASS</x:v>
      </x:c>
    </x:row>
    <x:row r="258">
      <x:c r="B258" t="str">
        <x:v>PL-0252</x:v>
      </x:c>
      <x:c r="C258" t="str">
        <x:v>PLANNING</x:v>
      </x:c>
      <x:c r="D258" t="str">
        <x:v>event</x:v>
      </x:c>
      <x:c r="E258" t="str">
        <x:v>event 252</x:v>
      </x:c>
      <x:c r="F258" t="n">
        <x:f>Controls!$D$62</x:f>
        <x:v>1</x:v>
      </x:c>
      <x:c r="G258" t="n">
        <x:v>1</x:v>
      </x:c>
      <x:c r="H258" t="str">
        <x:v>RFE design authority</x:v>
      </x:c>
      <x:c r="I258" t="str">
        <x:f>IF(F258=1,"PASS","GAP")</x:f>
        <x:v>PASS</x:v>
      </x:c>
    </x:row>
    <x:row r="259">
      <x:c r="B259" t="str">
        <x:v>PL-0253</x:v>
      </x:c>
      <x:c r="C259" t="str">
        <x:v>PLANNING</x:v>
      </x:c>
      <x:c r="D259" t="str">
        <x:v>event</x:v>
      </x:c>
      <x:c r="E259" t="str">
        <x:v>event 253</x:v>
      </x:c>
      <x:c r="F259" t="n">
        <x:f>Controls!$D$62</x:f>
        <x:v>1</x:v>
      </x:c>
      <x:c r="G259" t="n">
        <x:v>1</x:v>
      </x:c>
      <x:c r="H259" t="str">
        <x:v>RFE design authority</x:v>
      </x:c>
      <x:c r="I259" t="str">
        <x:f>IF(F259=1,"PASS","GAP")</x:f>
        <x:v>PASS</x:v>
      </x:c>
    </x:row>
    <x:row r="260">
      <x:c r="B260" t="str">
        <x:v>PL-0254</x:v>
      </x:c>
      <x:c r="C260" t="str">
        <x:v>PLANNING</x:v>
      </x:c>
      <x:c r="D260" t="str">
        <x:v>event</x:v>
      </x:c>
      <x:c r="E260" t="str">
        <x:v>event 254</x:v>
      </x:c>
      <x:c r="F260" t="n">
        <x:f>Controls!$D$62</x:f>
        <x:v>1</x:v>
      </x:c>
      <x:c r="G260" t="n">
        <x:v>1</x:v>
      </x:c>
      <x:c r="H260" t="str">
        <x:v>RFE design authority</x:v>
      </x:c>
      <x:c r="I260" t="str">
        <x:f>IF(F260=1,"PASS","GAP")</x:f>
        <x:v>PASS</x:v>
      </x:c>
    </x:row>
    <x:row r="261">
      <x:c r="B261" t="str">
        <x:v>PL-0255</x:v>
      </x:c>
      <x:c r="C261" t="str">
        <x:v>PLANNING</x:v>
      </x:c>
      <x:c r="D261" t="str">
        <x:v>event</x:v>
      </x:c>
      <x:c r="E261" t="str">
        <x:v>event 255</x:v>
      </x:c>
      <x:c r="F261" t="n">
        <x:f>Controls!$D$62</x:f>
        <x:v>1</x:v>
      </x:c>
      <x:c r="G261" t="n">
        <x:v>1</x:v>
      </x:c>
      <x:c r="H261" t="str">
        <x:v>RFE design authority</x:v>
      </x:c>
      <x:c r="I261" t="str">
        <x:f>IF(F261=1,"PASS","GAP")</x:f>
        <x:v>PASS</x:v>
      </x:c>
    </x:row>
    <x:row r="262">
      <x:c r="B262" t="str">
        <x:v>PL-0256</x:v>
      </x:c>
      <x:c r="C262" t="str">
        <x:v>PLANNING</x:v>
      </x:c>
      <x:c r="D262" t="str">
        <x:v>event</x:v>
      </x:c>
      <x:c r="E262" t="str">
        <x:v>event 256</x:v>
      </x:c>
      <x:c r="F262" t="n">
        <x:f>Controls!$D$62</x:f>
        <x:v>1</x:v>
      </x:c>
      <x:c r="G262" t="n">
        <x:v>1</x:v>
      </x:c>
      <x:c r="H262" t="str">
        <x:v>RFE design authority</x:v>
      </x:c>
      <x:c r="I262" t="str">
        <x:f>IF(F262=1,"PASS","GAP")</x:f>
        <x:v>PASS</x:v>
      </x:c>
    </x:row>
    <x:row r="263">
      <x:c r="B263" t="str">
        <x:v>PL-0257</x:v>
      </x:c>
      <x:c r="C263" t="str">
        <x:v>PLANNING</x:v>
      </x:c>
      <x:c r="D263" t="str">
        <x:v>event</x:v>
      </x:c>
      <x:c r="E263" t="str">
        <x:v>event 257</x:v>
      </x:c>
      <x:c r="F263" t="n">
        <x:f>Controls!$D$62</x:f>
        <x:v>1</x:v>
      </x:c>
      <x:c r="G263" t="n">
        <x:v>1</x:v>
      </x:c>
      <x:c r="H263" t="str">
        <x:v>RFE design authority</x:v>
      </x:c>
      <x:c r="I263" t="str">
        <x:f>IF(F263=1,"PASS","GAP")</x:f>
        <x:v>PASS</x:v>
      </x:c>
    </x:row>
    <x:row r="264">
      <x:c r="B264" t="str">
        <x:v>PL-0258</x:v>
      </x:c>
      <x:c r="C264" t="str">
        <x:v>PLANNING</x:v>
      </x:c>
      <x:c r="D264" t="str">
        <x:v>event</x:v>
      </x:c>
      <x:c r="E264" t="str">
        <x:v>event 258</x:v>
      </x:c>
      <x:c r="F264" t="n">
        <x:f>Controls!$D$62</x:f>
        <x:v>1</x:v>
      </x:c>
      <x:c r="G264" t="n">
        <x:v>1</x:v>
      </x:c>
      <x:c r="H264" t="str">
        <x:v>RFE design authority</x:v>
      </x:c>
      <x:c r="I264" t="str">
        <x:f>IF(F264=1,"PASS","GAP")</x:f>
        <x:v>PASS</x:v>
      </x:c>
    </x:row>
    <x:row r="265">
      <x:c r="B265" t="str">
        <x:v>PL-0259</x:v>
      </x:c>
      <x:c r="C265" t="str">
        <x:v>PLANNING</x:v>
      </x:c>
      <x:c r="D265" t="str">
        <x:v>event</x:v>
      </x:c>
      <x:c r="E265" t="str">
        <x:v>event 259</x:v>
      </x:c>
      <x:c r="F265" t="n">
        <x:f>Controls!$D$62</x:f>
        <x:v>1</x:v>
      </x:c>
      <x:c r="G265" t="n">
        <x:v>1</x:v>
      </x:c>
      <x:c r="H265" t="str">
        <x:v>RFE design authority</x:v>
      </x:c>
      <x:c r="I265" t="str">
        <x:f>IF(F265=1,"PASS","GAP")</x:f>
        <x:v>PASS</x:v>
      </x:c>
    </x:row>
    <x:row r="266">
      <x:c r="B266" t="str">
        <x:v>PL-0260</x:v>
      </x:c>
      <x:c r="C266" t="str">
        <x:v>PLANNING</x:v>
      </x:c>
      <x:c r="D266" t="str">
        <x:v>event</x:v>
      </x:c>
      <x:c r="E266" t="str">
        <x:v>event 260</x:v>
      </x:c>
      <x:c r="F266" t="n">
        <x:f>Controls!$D$62</x:f>
        <x:v>1</x:v>
      </x:c>
      <x:c r="G266" t="n">
        <x:v>1</x:v>
      </x:c>
      <x:c r="H266" t="str">
        <x:v>RFE design authority</x:v>
      </x:c>
      <x:c r="I266" t="str">
        <x:f>IF(F266=1,"PASS","GAP")</x:f>
        <x:v>PASS</x:v>
      </x:c>
    </x:row>
    <x:row r="267">
      <x:c r="B267" t="str">
        <x:v>PL-0261</x:v>
      </x:c>
      <x:c r="C267" t="str">
        <x:v>PLANNING</x:v>
      </x:c>
      <x:c r="D267" t="str">
        <x:v>event</x:v>
      </x:c>
      <x:c r="E267" t="str">
        <x:v>event 261</x:v>
      </x:c>
      <x:c r="F267" t="n">
        <x:f>Controls!$D$62</x:f>
        <x:v>1</x:v>
      </x:c>
      <x:c r="G267" t="n">
        <x:v>1</x:v>
      </x:c>
      <x:c r="H267" t="str">
        <x:v>RFE design authority</x:v>
      </x:c>
      <x:c r="I267" t="str">
        <x:f>IF(F267=1,"PASS","GAP")</x:f>
        <x:v>PASS</x:v>
      </x:c>
    </x:row>
    <x:row r="268">
      <x:c r="B268" t="str">
        <x:v>PL-0262</x:v>
      </x:c>
      <x:c r="C268" t="str">
        <x:v>PLANNING</x:v>
      </x:c>
      <x:c r="D268" t="str">
        <x:v>event</x:v>
      </x:c>
      <x:c r="E268" t="str">
        <x:v>event 262</x:v>
      </x:c>
      <x:c r="F268" t="n">
        <x:f>Controls!$D$62</x:f>
        <x:v>1</x:v>
      </x:c>
      <x:c r="G268" t="n">
        <x:v>1</x:v>
      </x:c>
      <x:c r="H268" t="str">
        <x:v>RFE design authority</x:v>
      </x:c>
      <x:c r="I268" t="str">
        <x:f>IF(F268=1,"PASS","GAP")</x:f>
        <x:v>PASS</x:v>
      </x:c>
    </x:row>
    <x:row r="269">
      <x:c r="B269" t="str">
        <x:v>PL-0263</x:v>
      </x:c>
      <x:c r="C269" t="str">
        <x:v>PLANNING</x:v>
      </x:c>
      <x:c r="D269" t="str">
        <x:v>event</x:v>
      </x:c>
      <x:c r="E269" t="str">
        <x:v>event 263</x:v>
      </x:c>
      <x:c r="F269" t="n">
        <x:f>Controls!$D$62</x:f>
        <x:v>1</x:v>
      </x:c>
      <x:c r="G269" t="n">
        <x:v>1</x:v>
      </x:c>
      <x:c r="H269" t="str">
        <x:v>RFE design authority</x:v>
      </x:c>
      <x:c r="I269" t="str">
        <x:f>IF(F269=1,"PASS","GAP")</x:f>
        <x:v>PASS</x:v>
      </x:c>
    </x:row>
    <x:row r="270">
      <x:c r="B270" t="str">
        <x:v>PL-0264</x:v>
      </x:c>
      <x:c r="C270" t="str">
        <x:v>PLANNING</x:v>
      </x:c>
      <x:c r="D270" t="str">
        <x:v>event</x:v>
      </x:c>
      <x:c r="E270" t="str">
        <x:v>event 264</x:v>
      </x:c>
      <x:c r="F270" t="n">
        <x:f>Controls!$D$62</x:f>
        <x:v>1</x:v>
      </x:c>
      <x:c r="G270" t="n">
        <x:v>1</x:v>
      </x:c>
      <x:c r="H270" t="str">
        <x:v>RFE design authority</x:v>
      </x:c>
      <x:c r="I270" t="str">
        <x:f>IF(F270=1,"PASS","GAP")</x:f>
        <x:v>PASS</x:v>
      </x:c>
    </x:row>
    <x:row r="271">
      <x:c r="B271" t="str">
        <x:v>PL-0265</x:v>
      </x:c>
      <x:c r="C271" t="str">
        <x:v>PLANNING</x:v>
      </x:c>
      <x:c r="D271" t="str">
        <x:v>event</x:v>
      </x:c>
      <x:c r="E271" t="str">
        <x:v>event 265</x:v>
      </x:c>
      <x:c r="F271" t="n">
        <x:f>Controls!$D$62</x:f>
        <x:v>1</x:v>
      </x:c>
      <x:c r="G271" t="n">
        <x:v>1</x:v>
      </x:c>
      <x:c r="H271" t="str">
        <x:v>RFE design authority</x:v>
      </x:c>
      <x:c r="I271" t="str">
        <x:f>IF(F271=1,"PASS","GAP")</x:f>
        <x:v>PASS</x:v>
      </x:c>
    </x:row>
    <x:row r="272">
      <x:c r="B272" t="str">
        <x:v>PL-0266</x:v>
      </x:c>
      <x:c r="C272" t="str">
        <x:v>PLANNING</x:v>
      </x:c>
      <x:c r="D272" t="str">
        <x:v>event</x:v>
      </x:c>
      <x:c r="E272" t="str">
        <x:v>event 266</x:v>
      </x:c>
      <x:c r="F272" t="n">
        <x:f>Controls!$D$62</x:f>
        <x:v>1</x:v>
      </x:c>
      <x:c r="G272" t="n">
        <x:v>1</x:v>
      </x:c>
      <x:c r="H272" t="str">
        <x:v>RFE design authority</x:v>
      </x:c>
      <x:c r="I272" t="str">
        <x:f>IF(F272=1,"PASS","GAP")</x:f>
        <x:v>PASS</x:v>
      </x:c>
    </x:row>
    <x:row r="273">
      <x:c r="B273" t="str">
        <x:v>PL-0267</x:v>
      </x:c>
      <x:c r="C273" t="str">
        <x:v>PLANNING</x:v>
      </x:c>
      <x:c r="D273" t="str">
        <x:v>event</x:v>
      </x:c>
      <x:c r="E273" t="str">
        <x:v>event 267</x:v>
      </x:c>
      <x:c r="F273" t="n">
        <x:f>Controls!$D$62</x:f>
        <x:v>1</x:v>
      </x:c>
      <x:c r="G273" t="n">
        <x:v>1</x:v>
      </x:c>
      <x:c r="H273" t="str">
        <x:v>RFE design authority</x:v>
      </x:c>
      <x:c r="I273" t="str">
        <x:f>IF(F273=1,"PASS","GAP")</x:f>
        <x:v>PASS</x:v>
      </x:c>
    </x:row>
    <x:row r="274">
      <x:c r="B274" t="str">
        <x:v>PL-0268</x:v>
      </x:c>
      <x:c r="C274" t="str">
        <x:v>PLANNING</x:v>
      </x:c>
      <x:c r="D274" t="str">
        <x:v>event</x:v>
      </x:c>
      <x:c r="E274" t="str">
        <x:v>event 268</x:v>
      </x:c>
      <x:c r="F274" t="n">
        <x:f>Controls!$D$62</x:f>
        <x:v>1</x:v>
      </x:c>
      <x:c r="G274" t="n">
        <x:v>1</x:v>
      </x:c>
      <x:c r="H274" t="str">
        <x:v>RFE design authority</x:v>
      </x:c>
      <x:c r="I274" t="str">
        <x:f>IF(F274=1,"PASS","GAP")</x:f>
        <x:v>PASS</x:v>
      </x:c>
    </x:row>
    <x:row r="275">
      <x:c r="B275" t="str">
        <x:v>PL-0269</x:v>
      </x:c>
      <x:c r="C275" t="str">
        <x:v>PLANNING</x:v>
      </x:c>
      <x:c r="D275" t="str">
        <x:v>event</x:v>
      </x:c>
      <x:c r="E275" t="str">
        <x:v>event 269</x:v>
      </x:c>
      <x:c r="F275" t="n">
        <x:f>Controls!$D$62</x:f>
        <x:v>1</x:v>
      </x:c>
      <x:c r="G275" t="n">
        <x:v>1</x:v>
      </x:c>
      <x:c r="H275" t="str">
        <x:v>RFE design authority</x:v>
      </x:c>
      <x:c r="I275" t="str">
        <x:f>IF(F275=1,"PASS","GAP")</x:f>
        <x:v>PASS</x:v>
      </x:c>
    </x:row>
    <x:row r="276">
      <x:c r="B276" t="str">
        <x:v>PL-0270</x:v>
      </x:c>
      <x:c r="C276" t="str">
        <x:v>PLANNING</x:v>
      </x:c>
      <x:c r="D276" t="str">
        <x:v>event</x:v>
      </x:c>
      <x:c r="E276" t="str">
        <x:v>event 270</x:v>
      </x:c>
      <x:c r="F276" t="n">
        <x:f>Controls!$D$62</x:f>
        <x:v>1</x:v>
      </x:c>
      <x:c r="G276" t="n">
        <x:v>1</x:v>
      </x:c>
      <x:c r="H276" t="str">
        <x:v>RFE design authority</x:v>
      </x:c>
      <x:c r="I276" t="str">
        <x:f>IF(F276=1,"PASS","GAP")</x:f>
        <x:v>PASS</x:v>
      </x:c>
    </x:row>
    <x:row r="277">
      <x:c r="B277" t="str">
        <x:v>PL-0271</x:v>
      </x:c>
      <x:c r="C277" t="str">
        <x:v>PLANNING</x:v>
      </x:c>
      <x:c r="D277" t="str">
        <x:v>event</x:v>
      </x:c>
      <x:c r="E277" t="str">
        <x:v>event 271</x:v>
      </x:c>
      <x:c r="F277" t="n">
        <x:f>Controls!$D$62</x:f>
        <x:v>1</x:v>
      </x:c>
      <x:c r="G277" t="n">
        <x:v>1</x:v>
      </x:c>
      <x:c r="H277" t="str">
        <x:v>RFE design authority</x:v>
      </x:c>
      <x:c r="I277" t="str">
        <x:f>IF(F277=1,"PASS","GAP")</x:f>
        <x:v>PASS</x:v>
      </x:c>
    </x:row>
    <x:row r="278">
      <x:c r="B278" t="str">
        <x:v>PL-0272</x:v>
      </x:c>
      <x:c r="C278" t="str">
        <x:v>PLANNING</x:v>
      </x:c>
      <x:c r="D278" t="str">
        <x:v>event</x:v>
      </x:c>
      <x:c r="E278" t="str">
        <x:v>event 272</x:v>
      </x:c>
      <x:c r="F278" t="n">
        <x:f>Controls!$D$62</x:f>
        <x:v>1</x:v>
      </x:c>
      <x:c r="G278" t="n">
        <x:v>1</x:v>
      </x:c>
      <x:c r="H278" t="str">
        <x:v>RFE design authority</x:v>
      </x:c>
      <x:c r="I278" t="str">
        <x:f>IF(F278=1,"PASS","GAP")</x:f>
        <x:v>PASS</x:v>
      </x:c>
    </x:row>
    <x:row r="279">
      <x:c r="B279" t="str">
        <x:v>PL-0273</x:v>
      </x:c>
      <x:c r="C279" t="str">
        <x:v>PLANNING</x:v>
      </x:c>
      <x:c r="D279" t="str">
        <x:v>event</x:v>
      </x:c>
      <x:c r="E279" t="str">
        <x:v>event 273</x:v>
      </x:c>
      <x:c r="F279" t="n">
        <x:f>Controls!$D$62</x:f>
        <x:v>1</x:v>
      </x:c>
      <x:c r="G279" t="n">
        <x:v>1</x:v>
      </x:c>
      <x:c r="H279" t="str">
        <x:v>RFE design authority</x:v>
      </x:c>
      <x:c r="I279" t="str">
        <x:f>IF(F279=1,"PASS","GAP")</x:f>
        <x:v>PASS</x:v>
      </x:c>
    </x:row>
    <x:row r="280">
      <x:c r="B280" t="str">
        <x:v>PL-0274</x:v>
      </x:c>
      <x:c r="C280" t="str">
        <x:v>PLANNING</x:v>
      </x:c>
      <x:c r="D280" t="str">
        <x:v>event</x:v>
      </x:c>
      <x:c r="E280" t="str">
        <x:v>event 274</x:v>
      </x:c>
      <x:c r="F280" t="n">
        <x:f>Controls!$D$62</x:f>
        <x:v>1</x:v>
      </x:c>
      <x:c r="G280" t="n">
        <x:v>1</x:v>
      </x:c>
      <x:c r="H280" t="str">
        <x:v>RFE design authority</x:v>
      </x:c>
      <x:c r="I280" t="str">
        <x:f>IF(F280=1,"PASS","GAP")</x:f>
        <x:v>PASS</x:v>
      </x:c>
    </x:row>
    <x:row r="281">
      <x:c r="B281" t="str">
        <x:v>PL-0275</x:v>
      </x:c>
      <x:c r="C281" t="str">
        <x:v>PLANNING</x:v>
      </x:c>
      <x:c r="D281" t="str">
        <x:v>event</x:v>
      </x:c>
      <x:c r="E281" t="str">
        <x:v>event 275</x:v>
      </x:c>
      <x:c r="F281" t="n">
        <x:f>Controls!$D$62</x:f>
        <x:v>1</x:v>
      </x:c>
      <x:c r="G281" t="n">
        <x:v>1</x:v>
      </x:c>
      <x:c r="H281" t="str">
        <x:v>RFE design authority</x:v>
      </x:c>
      <x:c r="I281" t="str">
        <x:f>IF(F281=1,"PASS","GAP")</x:f>
        <x:v>PASS</x:v>
      </x:c>
    </x:row>
    <x:row r="282">
      <x:c r="B282" t="str">
        <x:v>PL-0276</x:v>
      </x:c>
      <x:c r="C282" t="str">
        <x:v>PLANNING</x:v>
      </x:c>
      <x:c r="D282" t="str">
        <x:v>event</x:v>
      </x:c>
      <x:c r="E282" t="str">
        <x:v>event 276</x:v>
      </x:c>
      <x:c r="F282" t="n">
        <x:f>Controls!$D$62</x:f>
        <x:v>1</x:v>
      </x:c>
      <x:c r="G282" t="n">
        <x:v>1</x:v>
      </x:c>
      <x:c r="H282" t="str">
        <x:v>RFE design authority</x:v>
      </x:c>
      <x:c r="I282" t="str">
        <x:f>IF(F282=1,"PASS","GAP")</x:f>
        <x:v>PASS</x:v>
      </x:c>
    </x:row>
    <x:row r="283">
      <x:c r="B283" t="str">
        <x:v>PL-0277</x:v>
      </x:c>
      <x:c r="C283" t="str">
        <x:v>PLANNING</x:v>
      </x:c>
      <x:c r="D283" t="str">
        <x:v>event</x:v>
      </x:c>
      <x:c r="E283" t="str">
        <x:v>event 277</x:v>
      </x:c>
      <x:c r="F283" t="n">
        <x:f>Controls!$D$62</x:f>
        <x:v>1</x:v>
      </x:c>
      <x:c r="G283" t="n">
        <x:v>1</x:v>
      </x:c>
      <x:c r="H283" t="str">
        <x:v>RFE design authority</x:v>
      </x:c>
      <x:c r="I283" t="str">
        <x:f>IF(F283=1,"PASS","GAP")</x:f>
        <x:v>PASS</x:v>
      </x:c>
    </x:row>
    <x:row r="284">
      <x:c r="B284" t="str">
        <x:v>PL-0278</x:v>
      </x:c>
      <x:c r="C284" t="str">
        <x:v>PLANNING</x:v>
      </x:c>
      <x:c r="D284" t="str">
        <x:v>event</x:v>
      </x:c>
      <x:c r="E284" t="str">
        <x:v>event 278</x:v>
      </x:c>
      <x:c r="F284" t="n">
        <x:f>Controls!$D$62</x:f>
        <x:v>1</x:v>
      </x:c>
      <x:c r="G284" t="n">
        <x:v>1</x:v>
      </x:c>
      <x:c r="H284" t="str">
        <x:v>RFE design authority</x:v>
      </x:c>
      <x:c r="I284" t="str">
        <x:f>IF(F284=1,"PASS","GAP")</x:f>
        <x:v>PASS</x:v>
      </x:c>
    </x:row>
    <x:row r="285">
      <x:c r="B285" t="str">
        <x:v>PL-0279</x:v>
      </x:c>
      <x:c r="C285" t="str">
        <x:v>PLANNING</x:v>
      </x:c>
      <x:c r="D285" t="str">
        <x:v>event</x:v>
      </x:c>
      <x:c r="E285" t="str">
        <x:v>event 279</x:v>
      </x:c>
      <x:c r="F285" t="n">
        <x:f>Controls!$D$62</x:f>
        <x:v>1</x:v>
      </x:c>
      <x:c r="G285" t="n">
        <x:v>1</x:v>
      </x:c>
      <x:c r="H285" t="str">
        <x:v>RFE design authority</x:v>
      </x:c>
      <x:c r="I285" t="str">
        <x:f>IF(F285=1,"PASS","GAP")</x:f>
        <x:v>PASS</x:v>
      </x:c>
    </x:row>
    <x:row r="286">
      <x:c r="B286" t="str">
        <x:v>PL-0280</x:v>
      </x:c>
      <x:c r="C286" t="str">
        <x:v>PLANNING</x:v>
      </x:c>
      <x:c r="D286" t="str">
        <x:v>event</x:v>
      </x:c>
      <x:c r="E286" t="str">
        <x:v>event 280</x:v>
      </x:c>
      <x:c r="F286" t="n">
        <x:f>Controls!$D$62</x:f>
        <x:v>1</x:v>
      </x:c>
      <x:c r="G286" t="n">
        <x:v>1</x:v>
      </x:c>
      <x:c r="H286" t="str">
        <x:v>RFE design authority</x:v>
      </x:c>
      <x:c r="I286" t="str">
        <x:f>IF(F286=1,"PASS","GAP")</x:f>
        <x:v>PASS</x:v>
      </x:c>
    </x:row>
    <x:row r="287">
      <x:c r="B287" t="str">
        <x:v>PL-0281</x:v>
      </x:c>
      <x:c r="C287" t="str">
        <x:v>PLANNING</x:v>
      </x:c>
      <x:c r="D287" t="str">
        <x:v>event</x:v>
      </x:c>
      <x:c r="E287" t="str">
        <x:v>event 281</x:v>
      </x:c>
      <x:c r="F287" t="n">
        <x:f>Controls!$D$62</x:f>
        <x:v>1</x:v>
      </x:c>
      <x:c r="G287" t="n">
        <x:v>1</x:v>
      </x:c>
      <x:c r="H287" t="str">
        <x:v>RFE design authority</x:v>
      </x:c>
      <x:c r="I287" t="str">
        <x:f>IF(F287=1,"PASS","GAP")</x:f>
        <x:v>PASS</x:v>
      </x:c>
    </x:row>
    <x:row r="288">
      <x:c r="B288" t="str">
        <x:v>PL-0282</x:v>
      </x:c>
      <x:c r="C288" t="str">
        <x:v>PLANNING</x:v>
      </x:c>
      <x:c r="D288" t="str">
        <x:v>event</x:v>
      </x:c>
      <x:c r="E288" t="str">
        <x:v>event 282</x:v>
      </x:c>
      <x:c r="F288" t="n">
        <x:f>Controls!$D$62</x:f>
        <x:v>1</x:v>
      </x:c>
      <x:c r="G288" t="n">
        <x:v>1</x:v>
      </x:c>
      <x:c r="H288" t="str">
        <x:v>RFE design authority</x:v>
      </x:c>
      <x:c r="I288" t="str">
        <x:f>IF(F288=1,"PASS","GAP")</x:f>
        <x:v>PASS</x:v>
      </x:c>
    </x:row>
    <x:row r="289">
      <x:c r="B289" t="str">
        <x:v>PL-0283</x:v>
      </x:c>
      <x:c r="C289" t="str">
        <x:v>PLANNING</x:v>
      </x:c>
      <x:c r="D289" t="str">
        <x:v>event</x:v>
      </x:c>
      <x:c r="E289" t="str">
        <x:v>event 283</x:v>
      </x:c>
      <x:c r="F289" t="n">
        <x:f>Controls!$D$62</x:f>
        <x:v>1</x:v>
      </x:c>
      <x:c r="G289" t="n">
        <x:v>1</x:v>
      </x:c>
      <x:c r="H289" t="str">
        <x:v>RFE design authority</x:v>
      </x:c>
      <x:c r="I289" t="str">
        <x:f>IF(F289=1,"PASS","GAP")</x:f>
        <x:v>PASS</x:v>
      </x:c>
    </x:row>
    <x:row r="290">
      <x:c r="B290" t="str">
        <x:v>PL-0284</x:v>
      </x:c>
      <x:c r="C290" t="str">
        <x:v>PLANNING</x:v>
      </x:c>
      <x:c r="D290" t="str">
        <x:v>event</x:v>
      </x:c>
      <x:c r="E290" t="str">
        <x:v>event 284</x:v>
      </x:c>
      <x:c r="F290" t="n">
        <x:f>Controls!$D$62</x:f>
        <x:v>1</x:v>
      </x:c>
      <x:c r="G290" t="n">
        <x:v>1</x:v>
      </x:c>
      <x:c r="H290" t="str">
        <x:v>RFE design authority</x:v>
      </x:c>
      <x:c r="I290" t="str">
        <x:f>IF(F290=1,"PASS","GAP")</x:f>
        <x:v>PASS</x:v>
      </x:c>
    </x:row>
    <x:row r="291">
      <x:c r="B291" t="str">
        <x:v>PL-0285</x:v>
      </x:c>
      <x:c r="C291" t="str">
        <x:v>PLANNING</x:v>
      </x:c>
      <x:c r="D291" t="str">
        <x:v>event</x:v>
      </x:c>
      <x:c r="E291" t="str">
        <x:v>event 285</x:v>
      </x:c>
      <x:c r="F291" t="n">
        <x:f>Controls!$D$62</x:f>
        <x:v>1</x:v>
      </x:c>
      <x:c r="G291" t="n">
        <x:v>1</x:v>
      </x:c>
      <x:c r="H291" t="str">
        <x:v>RFE design authority</x:v>
      </x:c>
      <x:c r="I291" t="str">
        <x:f>IF(F291=1,"PASS","GAP")</x:f>
        <x:v>PASS</x:v>
      </x:c>
    </x:row>
    <x:row r="292">
      <x:c r="B292" t="str">
        <x:v>PL-0286</x:v>
      </x:c>
      <x:c r="C292" t="str">
        <x:v>PLANNING</x:v>
      </x:c>
      <x:c r="D292" t="str">
        <x:v>event</x:v>
      </x:c>
      <x:c r="E292" t="str">
        <x:v>event 286</x:v>
      </x:c>
      <x:c r="F292" t="n">
        <x:f>Controls!$D$62</x:f>
        <x:v>1</x:v>
      </x:c>
      <x:c r="G292" t="n">
        <x:v>1</x:v>
      </x:c>
      <x:c r="H292" t="str">
        <x:v>RFE design authority</x:v>
      </x:c>
      <x:c r="I292" t="str">
        <x:f>IF(F292=1,"PASS","GAP")</x:f>
        <x:v>PASS</x:v>
      </x:c>
    </x:row>
    <x:row r="293">
      <x:c r="B293" t="str">
        <x:v>PL-0287</x:v>
      </x:c>
      <x:c r="C293" t="str">
        <x:v>PLANNING</x:v>
      </x:c>
      <x:c r="D293" t="str">
        <x:v>event</x:v>
      </x:c>
      <x:c r="E293" t="str">
        <x:v>event 287</x:v>
      </x:c>
      <x:c r="F293" t="n">
        <x:f>Controls!$D$62</x:f>
        <x:v>1</x:v>
      </x:c>
      <x:c r="G293" t="n">
        <x:v>1</x:v>
      </x:c>
      <x:c r="H293" t="str">
        <x:v>RFE design authority</x:v>
      </x:c>
      <x:c r="I293" t="str">
        <x:f>IF(F293=1,"PASS","GAP")</x:f>
        <x:v>PASS</x:v>
      </x:c>
    </x:row>
    <x:row r="294">
      <x:c r="B294" t="str">
        <x:v>PL-0288</x:v>
      </x:c>
      <x:c r="C294" t="str">
        <x:v>PLANNING</x:v>
      </x:c>
      <x:c r="D294" t="str">
        <x:v>event</x:v>
      </x:c>
      <x:c r="E294" t="str">
        <x:v>event 288</x:v>
      </x:c>
      <x:c r="F294" t="n">
        <x:f>Controls!$D$62</x:f>
        <x:v>1</x:v>
      </x:c>
      <x:c r="G294" t="n">
        <x:v>1</x:v>
      </x:c>
      <x:c r="H294" t="str">
        <x:v>RFE design authority</x:v>
      </x:c>
      <x:c r="I294" t="str">
        <x:f>IF(F294=1,"PASS","GAP")</x:f>
        <x:v>PASS</x:v>
      </x:c>
    </x:row>
    <x:row r="295">
      <x:c r="B295" t="str">
        <x:v>PL-0289</x:v>
      </x:c>
      <x:c r="C295" t="str">
        <x:v>PLANNING</x:v>
      </x:c>
      <x:c r="D295" t="str">
        <x:v>event</x:v>
      </x:c>
      <x:c r="E295" t="str">
        <x:v>event 289</x:v>
      </x:c>
      <x:c r="F295" t="n">
        <x:f>Controls!$D$62</x:f>
        <x:v>1</x:v>
      </x:c>
      <x:c r="G295" t="n">
        <x:v>1</x:v>
      </x:c>
      <x:c r="H295" t="str">
        <x:v>RFE design authority</x:v>
      </x:c>
      <x:c r="I295" t="str">
        <x:f>IF(F295=1,"PASS","GAP")</x:f>
        <x:v>PASS</x:v>
      </x:c>
    </x:row>
    <x:row r="296">
      <x:c r="B296" t="str">
        <x:v>PL-0290</x:v>
      </x:c>
      <x:c r="C296" t="str">
        <x:v>PLANNING</x:v>
      </x:c>
      <x:c r="D296" t="str">
        <x:v>event</x:v>
      </x:c>
      <x:c r="E296" t="str">
        <x:v>event 290</x:v>
      </x:c>
      <x:c r="F296" t="n">
        <x:f>Controls!$D$62</x:f>
        <x:v>1</x:v>
      </x:c>
      <x:c r="G296" t="n">
        <x:v>1</x:v>
      </x:c>
      <x:c r="H296" t="str">
        <x:v>RFE design authority</x:v>
      </x:c>
      <x:c r="I296" t="str">
        <x:f>IF(F296=1,"PASS","GAP")</x:f>
        <x:v>PASS</x:v>
      </x:c>
    </x:row>
    <x:row r="297">
      <x:c r="B297" t="str">
        <x:v>PL-0291</x:v>
      </x:c>
      <x:c r="C297" t="str">
        <x:v>PLANNING</x:v>
      </x:c>
      <x:c r="D297" t="str">
        <x:v>event</x:v>
      </x:c>
      <x:c r="E297" t="str">
        <x:v>event 291</x:v>
      </x:c>
      <x:c r="F297" t="n">
        <x:f>Controls!$D$62</x:f>
        <x:v>1</x:v>
      </x:c>
      <x:c r="G297" t="n">
        <x:v>1</x:v>
      </x:c>
      <x:c r="H297" t="str">
        <x:v>RFE design authority</x:v>
      </x:c>
      <x:c r="I297" t="str">
        <x:f>IF(F297=1,"PASS","GAP")</x:f>
        <x:v>PASS</x:v>
      </x:c>
    </x:row>
    <x:row r="298">
      <x:c r="B298" t="str">
        <x:v>PL-0292</x:v>
      </x:c>
      <x:c r="C298" t="str">
        <x:v>PLANNING</x:v>
      </x:c>
      <x:c r="D298" t="str">
        <x:v>event</x:v>
      </x:c>
      <x:c r="E298" t="str">
        <x:v>event 292</x:v>
      </x:c>
      <x:c r="F298" t="n">
        <x:f>Controls!$D$62</x:f>
        <x:v>1</x:v>
      </x:c>
      <x:c r="G298" t="n">
        <x:v>1</x:v>
      </x:c>
      <x:c r="H298" t="str">
        <x:v>RFE design authority</x:v>
      </x:c>
      <x:c r="I298" t="str">
        <x:f>IF(F298=1,"PASS","GAP")</x:f>
        <x:v>PASS</x:v>
      </x:c>
    </x:row>
    <x:row r="299">
      <x:c r="B299" t="str">
        <x:v>PL-0293</x:v>
      </x:c>
      <x:c r="C299" t="str">
        <x:v>PLANNING</x:v>
      </x:c>
      <x:c r="D299" t="str">
        <x:v>event</x:v>
      </x:c>
      <x:c r="E299" t="str">
        <x:v>event 293</x:v>
      </x:c>
      <x:c r="F299" t="n">
        <x:f>Controls!$D$62</x:f>
        <x:v>1</x:v>
      </x:c>
      <x:c r="G299" t="n">
        <x:v>1</x:v>
      </x:c>
      <x:c r="H299" t="str">
        <x:v>RFE design authority</x:v>
      </x:c>
      <x:c r="I299" t="str">
        <x:f>IF(F299=1,"PASS","GAP")</x:f>
        <x:v>PASS</x:v>
      </x:c>
    </x:row>
    <x:row r="300">
      <x:c r="B300" t="str">
        <x:v>PL-0294</x:v>
      </x:c>
      <x:c r="C300" t="str">
        <x:v>PLANNING</x:v>
      </x:c>
      <x:c r="D300" t="str">
        <x:v>event</x:v>
      </x:c>
      <x:c r="E300" t="str">
        <x:v>event 294</x:v>
      </x:c>
      <x:c r="F300" t="n">
        <x:f>Controls!$D$62</x:f>
        <x:v>1</x:v>
      </x:c>
      <x:c r="G300" t="n">
        <x:v>1</x:v>
      </x:c>
      <x:c r="H300" t="str">
        <x:v>RFE design authority</x:v>
      </x:c>
      <x:c r="I300" t="str">
        <x:f>IF(F300=1,"PASS","GAP")</x:f>
        <x:v>PASS</x:v>
      </x:c>
    </x:row>
    <x:row r="301">
      <x:c r="B301" t="str">
        <x:v>PL-0295</x:v>
      </x:c>
      <x:c r="C301" t="str">
        <x:v>PLANNING</x:v>
      </x:c>
      <x:c r="D301" t="str">
        <x:v>event</x:v>
      </x:c>
      <x:c r="E301" t="str">
        <x:v>event 295</x:v>
      </x:c>
      <x:c r="F301" t="n">
        <x:f>Controls!$D$62</x:f>
        <x:v>1</x:v>
      </x:c>
      <x:c r="G301" t="n">
        <x:v>1</x:v>
      </x:c>
      <x:c r="H301" t="str">
        <x:v>RFE design authority</x:v>
      </x:c>
      <x:c r="I301" t="str">
        <x:f>IF(F301=1,"PASS","GAP")</x:f>
        <x:v>PASS</x:v>
      </x:c>
    </x:row>
    <x:row r="302">
      <x:c r="B302" t="str">
        <x:v>PL-0296</x:v>
      </x:c>
      <x:c r="C302" t="str">
        <x:v>PLANNING</x:v>
      </x:c>
      <x:c r="D302" t="str">
        <x:v>event</x:v>
      </x:c>
      <x:c r="E302" t="str">
        <x:v>event 296</x:v>
      </x:c>
      <x:c r="F302" t="n">
        <x:f>Controls!$D$62</x:f>
        <x:v>1</x:v>
      </x:c>
      <x:c r="G302" t="n">
        <x:v>1</x:v>
      </x:c>
      <x:c r="H302" t="str">
        <x:v>RFE design authority</x:v>
      </x:c>
      <x:c r="I302" t="str">
        <x:f>IF(F302=1,"PASS","GAP")</x:f>
        <x:v>PASS</x:v>
      </x:c>
    </x:row>
    <x:row r="303">
      <x:c r="B303" t="str">
        <x:v>PL-0297</x:v>
      </x:c>
      <x:c r="C303" t="str">
        <x:v>PLANNING</x:v>
      </x:c>
      <x:c r="D303" t="str">
        <x:v>event</x:v>
      </x:c>
      <x:c r="E303" t="str">
        <x:v>event 297</x:v>
      </x:c>
      <x:c r="F303" t="n">
        <x:f>Controls!$D$62</x:f>
        <x:v>1</x:v>
      </x:c>
      <x:c r="G303" t="n">
        <x:v>1</x:v>
      </x:c>
      <x:c r="H303" t="str">
        <x:v>RFE design authority</x:v>
      </x:c>
      <x:c r="I303" t="str">
        <x:f>IF(F303=1,"PASS","GAP")</x:f>
        <x:v>PASS</x:v>
      </x:c>
    </x:row>
    <x:row r="304">
      <x:c r="B304" t="str">
        <x:v>PL-0298</x:v>
      </x:c>
      <x:c r="C304" t="str">
        <x:v>PLANNING</x:v>
      </x:c>
      <x:c r="D304" t="str">
        <x:v>event</x:v>
      </x:c>
      <x:c r="E304" t="str">
        <x:v>event 298</x:v>
      </x:c>
      <x:c r="F304" t="n">
        <x:f>Controls!$D$62</x:f>
        <x:v>1</x:v>
      </x:c>
      <x:c r="G304" t="n">
        <x:v>1</x:v>
      </x:c>
      <x:c r="H304" t="str">
        <x:v>RFE design authority</x:v>
      </x:c>
      <x:c r="I304" t="str">
        <x:f>IF(F304=1,"PASS","GAP")</x:f>
        <x:v>PASS</x:v>
      </x:c>
    </x:row>
    <x:row r="305">
      <x:c r="B305" t="str">
        <x:v>PL-0299</x:v>
      </x:c>
      <x:c r="C305" t="str">
        <x:v>PLANNING</x:v>
      </x:c>
      <x:c r="D305" t="str">
        <x:v>event</x:v>
      </x:c>
      <x:c r="E305" t="str">
        <x:v>event 299</x:v>
      </x:c>
      <x:c r="F305" t="n">
        <x:f>Controls!$D$62</x:f>
        <x:v>1</x:v>
      </x:c>
      <x:c r="G305" t="n">
        <x:v>1</x:v>
      </x:c>
      <x:c r="H305" t="str">
        <x:v>RFE design authority</x:v>
      </x:c>
      <x:c r="I305" t="str">
        <x:f>IF(F305=1,"PASS","GAP")</x:f>
        <x:v>PASS</x:v>
      </x:c>
    </x:row>
    <x:row r="306">
      <x:c r="B306" t="str">
        <x:v>PL-0300</x:v>
      </x:c>
      <x:c r="C306" t="str">
        <x:v>PLANNING</x:v>
      </x:c>
      <x:c r="D306" t="str">
        <x:v>event</x:v>
      </x:c>
      <x:c r="E306" t="str">
        <x:v>event 300</x:v>
      </x:c>
      <x:c r="F306" t="n">
        <x:f>Controls!$D$62</x:f>
        <x:v>1</x:v>
      </x:c>
      <x:c r="G306" t="n">
        <x:v>1</x:v>
      </x:c>
      <x:c r="H306" t="str">
        <x:v>RFE design authority</x:v>
      </x:c>
      <x:c r="I306" t="str">
        <x:f>IF(F306=1,"PASS","GAP")</x:f>
        <x:v>PASS</x:v>
      </x:c>
    </x:row>
    <x:row r="307">
      <x:c r="B307" t="str">
        <x:v>PL-0301</x:v>
      </x:c>
      <x:c r="C307" t="str">
        <x:v>PLANNING</x:v>
      </x:c>
      <x:c r="D307" t="str">
        <x:v>event</x:v>
      </x:c>
      <x:c r="E307" t="str">
        <x:v>event 301</x:v>
      </x:c>
      <x:c r="F307" t="n">
        <x:f>Controls!$D$62</x:f>
        <x:v>1</x:v>
      </x:c>
      <x:c r="G307" t="n">
        <x:v>1</x:v>
      </x:c>
      <x:c r="H307" t="str">
        <x:v>RFE design authority</x:v>
      </x:c>
      <x:c r="I307" t="str">
        <x:f>IF(F307=1,"PASS","GAP")</x:f>
        <x:v>PASS</x:v>
      </x:c>
    </x:row>
    <x:row r="308">
      <x:c r="B308" t="str">
        <x:v>PL-0302</x:v>
      </x:c>
      <x:c r="C308" t="str">
        <x:v>PLANNING</x:v>
      </x:c>
      <x:c r="D308" t="str">
        <x:v>event</x:v>
      </x:c>
      <x:c r="E308" t="str">
        <x:v>event 302</x:v>
      </x:c>
      <x:c r="F308" t="n">
        <x:f>Controls!$D$62</x:f>
        <x:v>1</x:v>
      </x:c>
      <x:c r="G308" t="n">
        <x:v>1</x:v>
      </x:c>
      <x:c r="H308" t="str">
        <x:v>RFE design authority</x:v>
      </x:c>
      <x:c r="I308" t="str">
        <x:f>IF(F308=1,"PASS","GAP")</x:f>
        <x:v>PASS</x:v>
      </x:c>
    </x:row>
    <x:row r="309">
      <x:c r="B309" t="str">
        <x:v>PL-0303</x:v>
      </x:c>
      <x:c r="C309" t="str">
        <x:v>PLANNING</x:v>
      </x:c>
      <x:c r="D309" t="str">
        <x:v>event</x:v>
      </x:c>
      <x:c r="E309" t="str">
        <x:v>event 303</x:v>
      </x:c>
      <x:c r="F309" t="n">
        <x:f>Controls!$D$62</x:f>
        <x:v>1</x:v>
      </x:c>
      <x:c r="G309" t="n">
        <x:v>1</x:v>
      </x:c>
      <x:c r="H309" t="str">
        <x:v>RFE design authority</x:v>
      </x:c>
      <x:c r="I309" t="str">
        <x:f>IF(F309=1,"PASS","GAP")</x:f>
        <x:v>PASS</x:v>
      </x:c>
    </x:row>
    <x:row r="310">
      <x:c r="B310" t="str">
        <x:v>PL-0304</x:v>
      </x:c>
      <x:c r="C310" t="str">
        <x:v>PLANNING</x:v>
      </x:c>
      <x:c r="D310" t="str">
        <x:v>event</x:v>
      </x:c>
      <x:c r="E310" t="str">
        <x:v>event 304</x:v>
      </x:c>
      <x:c r="F310" t="n">
        <x:f>Controls!$D$62</x:f>
        <x:v>1</x:v>
      </x:c>
      <x:c r="G310" t="n">
        <x:v>1</x:v>
      </x:c>
      <x:c r="H310" t="str">
        <x:v>RFE design authority</x:v>
      </x:c>
      <x:c r="I310" t="str">
        <x:f>IF(F310=1,"PASS","GAP")</x:f>
        <x:v>PASS</x:v>
      </x:c>
    </x:row>
    <x:row r="311">
      <x:c r="B311" t="str">
        <x:v>PL-0305</x:v>
      </x:c>
      <x:c r="C311" t="str">
        <x:v>PLANNING</x:v>
      </x:c>
      <x:c r="D311" t="str">
        <x:v>event</x:v>
      </x:c>
      <x:c r="E311" t="str">
        <x:v>event 305</x:v>
      </x:c>
      <x:c r="F311" t="n">
        <x:f>Controls!$D$62</x:f>
        <x:v>1</x:v>
      </x:c>
      <x:c r="G311" t="n">
        <x:v>1</x:v>
      </x:c>
      <x:c r="H311" t="str">
        <x:v>RFE design authority</x:v>
      </x:c>
      <x:c r="I311" t="str">
        <x:f>IF(F311=1,"PASS","GAP")</x:f>
        <x:v>PASS</x:v>
      </x:c>
    </x:row>
    <x:row r="312">
      <x:c r="B312" t="str">
        <x:v>PL-0306</x:v>
      </x:c>
      <x:c r="C312" t="str">
        <x:v>PLANNING</x:v>
      </x:c>
      <x:c r="D312" t="str">
        <x:v>event</x:v>
      </x:c>
      <x:c r="E312" t="str">
        <x:v>event 306</x:v>
      </x:c>
      <x:c r="F312" t="n">
        <x:f>Controls!$D$62</x:f>
        <x:v>1</x:v>
      </x:c>
      <x:c r="G312" t="n">
        <x:v>1</x:v>
      </x:c>
      <x:c r="H312" t="str">
        <x:v>RFE design authority</x:v>
      </x:c>
      <x:c r="I312" t="str">
        <x:f>IF(F312=1,"PASS","GAP")</x:f>
        <x:v>PASS</x:v>
      </x:c>
    </x:row>
    <x:row r="313">
      <x:c r="B313" t="str">
        <x:v>PL-0307</x:v>
      </x:c>
      <x:c r="C313" t="str">
        <x:v>PLANNING</x:v>
      </x:c>
      <x:c r="D313" t="str">
        <x:v>pair</x:v>
      </x:c>
      <x:c r="E313" t="str">
        <x:v>pair 1</x:v>
      </x:c>
      <x:c r="F313" t="n">
        <x:f>Controls!$D$62</x:f>
        <x:v>1</x:v>
      </x:c>
      <x:c r="G313" t="n">
        <x:v>1</x:v>
      </x:c>
      <x:c r="H313" t="str">
        <x:v>RFE design authority</x:v>
      </x:c>
      <x:c r="I313" t="str">
        <x:f>IF(F313=1,"PASS","GAP")</x:f>
        <x:v>PASS</x:v>
      </x:c>
    </x:row>
    <x:row r="314">
      <x:c r="B314" t="str">
        <x:v>PL-0308</x:v>
      </x:c>
      <x:c r="C314" t="str">
        <x:v>PLANNING</x:v>
      </x:c>
      <x:c r="D314" t="str">
        <x:v>pair</x:v>
      </x:c>
      <x:c r="E314" t="str">
        <x:v>pair 2</x:v>
      </x:c>
      <x:c r="F314" t="n">
        <x:f>Controls!$D$62</x:f>
        <x:v>1</x:v>
      </x:c>
      <x:c r="G314" t="n">
        <x:v>1</x:v>
      </x:c>
      <x:c r="H314" t="str">
        <x:v>RFE design authority</x:v>
      </x:c>
      <x:c r="I314" t="str">
        <x:f>IF(F314=1,"PASS","GAP")</x:f>
        <x:v>PASS</x:v>
      </x:c>
    </x:row>
    <x:row r="315">
      <x:c r="B315" t="str">
        <x:v>PL-0309</x:v>
      </x:c>
      <x:c r="C315" t="str">
        <x:v>PLANNING</x:v>
      </x:c>
      <x:c r="D315" t="str">
        <x:v>pair</x:v>
      </x:c>
      <x:c r="E315" t="str">
        <x:v>pair 3</x:v>
      </x:c>
      <x:c r="F315" t="n">
        <x:f>Controls!$D$62</x:f>
        <x:v>1</x:v>
      </x:c>
      <x:c r="G315" t="n">
        <x:v>1</x:v>
      </x:c>
      <x:c r="H315" t="str">
        <x:v>RFE design authority</x:v>
      </x:c>
      <x:c r="I315" t="str">
        <x:f>IF(F315=1,"PASS","GAP")</x:f>
        <x:v>PASS</x:v>
      </x:c>
    </x:row>
    <x:row r="316">
      <x:c r="B316" t="str">
        <x:v>PL-0310</x:v>
      </x:c>
      <x:c r="C316" t="str">
        <x:v>PLANNING</x:v>
      </x:c>
      <x:c r="D316" t="str">
        <x:v>pair</x:v>
      </x:c>
      <x:c r="E316" t="str">
        <x:v>pair 4</x:v>
      </x:c>
      <x:c r="F316" t="n">
        <x:f>Controls!$D$62</x:f>
        <x:v>1</x:v>
      </x:c>
      <x:c r="G316" t="n">
        <x:v>1</x:v>
      </x:c>
      <x:c r="H316" t="str">
        <x:v>RFE design authority</x:v>
      </x:c>
      <x:c r="I316" t="str">
        <x:f>IF(F316=1,"PASS","GAP")</x:f>
        <x:v>PASS</x:v>
      </x:c>
    </x:row>
    <x:row r="317">
      <x:c r="B317" t="str">
        <x:v>PL-0311</x:v>
      </x:c>
      <x:c r="C317" t="str">
        <x:v>PLANNING</x:v>
      </x:c>
      <x:c r="D317" t="str">
        <x:v>pair</x:v>
      </x:c>
      <x:c r="E317" t="str">
        <x:v>pair 5</x:v>
      </x:c>
      <x:c r="F317" t="n">
        <x:f>Controls!$D$62</x:f>
        <x:v>1</x:v>
      </x:c>
      <x:c r="G317" t="n">
        <x:v>1</x:v>
      </x:c>
      <x:c r="H317" t="str">
        <x:v>RFE design authority</x:v>
      </x:c>
      <x:c r="I317" t="str">
        <x:f>IF(F317=1,"PASS","GAP")</x:f>
        <x:v>PASS</x:v>
      </x:c>
    </x:row>
    <x:row r="318">
      <x:c r="B318" t="str">
        <x:v>PL-0312</x:v>
      </x:c>
      <x:c r="C318" t="str">
        <x:v>PLANNING</x:v>
      </x:c>
      <x:c r="D318" t="str">
        <x:v>pair</x:v>
      </x:c>
      <x:c r="E318" t="str">
        <x:v>pair 6</x:v>
      </x:c>
      <x:c r="F318" t="n">
        <x:f>Controls!$D$62</x:f>
        <x:v>1</x:v>
      </x:c>
      <x:c r="G318" t="n">
        <x:v>1</x:v>
      </x:c>
      <x:c r="H318" t="str">
        <x:v>RFE design authority</x:v>
      </x:c>
      <x:c r="I318" t="str">
        <x:f>IF(F318=1,"PASS","GAP")</x:f>
        <x:v>PASS</x:v>
      </x:c>
    </x:row>
    <x:row r="319">
      <x:c r="B319" t="str">
        <x:v>PL-0313</x:v>
      </x:c>
      <x:c r="C319" t="str">
        <x:v>PLANNING</x:v>
      </x:c>
      <x:c r="D319" t="str">
        <x:v>pair</x:v>
      </x:c>
      <x:c r="E319" t="str">
        <x:v>pair 7</x:v>
      </x:c>
      <x:c r="F319" t="n">
        <x:f>Controls!$D$62</x:f>
        <x:v>1</x:v>
      </x:c>
      <x:c r="G319" t="n">
        <x:v>1</x:v>
      </x:c>
      <x:c r="H319" t="str">
        <x:v>RFE design authority</x:v>
      </x:c>
      <x:c r="I319" t="str">
        <x:f>IF(F319=1,"PASS","GAP")</x:f>
        <x:v>PASS</x:v>
      </x:c>
    </x:row>
    <x:row r="320">
      <x:c r="B320" t="str">
        <x:v>PL-0314</x:v>
      </x:c>
      <x:c r="C320" t="str">
        <x:v>PLANNING</x:v>
      </x:c>
      <x:c r="D320" t="str">
        <x:v>pair</x:v>
      </x:c>
      <x:c r="E320" t="str">
        <x:v>pair 8</x:v>
      </x:c>
      <x:c r="F320" t="n">
        <x:f>Controls!$D$62</x:f>
        <x:v>1</x:v>
      </x:c>
      <x:c r="G320" t="n">
        <x:v>1</x:v>
      </x:c>
      <x:c r="H320" t="str">
        <x:v>RFE design authority</x:v>
      </x:c>
      <x:c r="I320" t="str">
        <x:f>IF(F320=1,"PASS","GAP")</x:f>
        <x:v>PASS</x:v>
      </x:c>
    </x:row>
    <x:row r="321">
      <x:c r="B321" t="str">
        <x:v>PL-0315</x:v>
      </x:c>
      <x:c r="C321" t="str">
        <x:v>PLANNING</x:v>
      </x:c>
      <x:c r="D321" t="str">
        <x:v>pair</x:v>
      </x:c>
      <x:c r="E321" t="str">
        <x:v>pair 9</x:v>
      </x:c>
      <x:c r="F321" t="n">
        <x:f>Controls!$D$62</x:f>
        <x:v>1</x:v>
      </x:c>
      <x:c r="G321" t="n">
        <x:v>1</x:v>
      </x:c>
      <x:c r="H321" t="str">
        <x:v>RFE design authority</x:v>
      </x:c>
      <x:c r="I321" t="str">
        <x:f>IF(F321=1,"PASS","GAP")</x:f>
        <x:v>PASS</x:v>
      </x:c>
    </x:row>
    <x:row r="322">
      <x:c r="B322" t="str">
        <x:v>PL-0316</x:v>
      </x:c>
      <x:c r="C322" t="str">
        <x:v>PLANNING</x:v>
      </x:c>
      <x:c r="D322" t="str">
        <x:v>pair</x:v>
      </x:c>
      <x:c r="E322" t="str">
        <x:v>pair 10</x:v>
      </x:c>
      <x:c r="F322" t="n">
        <x:f>Controls!$D$62</x:f>
        <x:v>1</x:v>
      </x:c>
      <x:c r="G322" t="n">
        <x:v>1</x:v>
      </x:c>
      <x:c r="H322" t="str">
        <x:v>RFE design authority</x:v>
      </x:c>
      <x:c r="I322" t="str">
        <x:f>IF(F322=1,"PASS","GAP")</x:f>
        <x:v>PASS</x:v>
      </x:c>
    </x:row>
    <x:row r="323">
      <x:c r="B323" t="str">
        <x:v>PL-0317</x:v>
      </x:c>
      <x:c r="C323" t="str">
        <x:v>PLANNING</x:v>
      </x:c>
      <x:c r="D323" t="str">
        <x:v>pair</x:v>
      </x:c>
      <x:c r="E323" t="str">
        <x:v>pair 11</x:v>
      </x:c>
      <x:c r="F323" t="n">
        <x:f>Controls!$D$62</x:f>
        <x:v>1</x:v>
      </x:c>
      <x:c r="G323" t="n">
        <x:v>1</x:v>
      </x:c>
      <x:c r="H323" t="str">
        <x:v>RFE design authority</x:v>
      </x:c>
      <x:c r="I323" t="str">
        <x:f>IF(F323=1,"PASS","GAP")</x:f>
        <x:v>PASS</x:v>
      </x:c>
    </x:row>
    <x:row r="324">
      <x:c r="B324" t="str">
        <x:v>PL-0318</x:v>
      </x:c>
      <x:c r="C324" t="str">
        <x:v>PLANNING</x:v>
      </x:c>
      <x:c r="D324" t="str">
        <x:v>pair</x:v>
      </x:c>
      <x:c r="E324" t="str">
        <x:v>pair 12</x:v>
      </x:c>
      <x:c r="F324" t="n">
        <x:f>Controls!$D$62</x:f>
        <x:v>1</x:v>
      </x:c>
      <x:c r="G324" t="n">
        <x:v>1</x:v>
      </x:c>
      <x:c r="H324" t="str">
        <x:v>RFE design authority</x:v>
      </x:c>
      <x:c r="I324" t="str">
        <x:f>IF(F324=1,"PASS","GAP")</x:f>
        <x:v>PASS</x:v>
      </x:c>
    </x:row>
    <x:row r="325">
      <x:c r="B325" t="str">
        <x:v>PL-0319</x:v>
      </x:c>
      <x:c r="C325" t="str">
        <x:v>PLANNING</x:v>
      </x:c>
      <x:c r="D325" t="str">
        <x:v>pair</x:v>
      </x:c>
      <x:c r="E325" t="str">
        <x:v>pair 13</x:v>
      </x:c>
      <x:c r="F325" t="n">
        <x:f>Controls!$D$62</x:f>
        <x:v>1</x:v>
      </x:c>
      <x:c r="G325" t="n">
        <x:v>1</x:v>
      </x:c>
      <x:c r="H325" t="str">
        <x:v>RFE design authority</x:v>
      </x:c>
      <x:c r="I325" t="str">
        <x:f>IF(F325=1,"PASS","GAP")</x:f>
        <x:v>PASS</x:v>
      </x:c>
    </x:row>
    <x:row r="326">
      <x:c r="B326" t="str">
        <x:v>PL-0320</x:v>
      </x:c>
      <x:c r="C326" t="str">
        <x:v>PLANNING</x:v>
      </x:c>
      <x:c r="D326" t="str">
        <x:v>pair</x:v>
      </x:c>
      <x:c r="E326" t="str">
        <x:v>pair 14</x:v>
      </x:c>
      <x:c r="F326" t="n">
        <x:f>Controls!$D$62</x:f>
        <x:v>1</x:v>
      </x:c>
      <x:c r="G326" t="n">
        <x:v>1</x:v>
      </x:c>
      <x:c r="H326" t="str">
        <x:v>RFE design authority</x:v>
      </x:c>
      <x:c r="I326" t="str">
        <x:f>IF(F326=1,"PASS","GAP")</x:f>
        <x:v>PASS</x:v>
      </x:c>
    </x:row>
    <x:row r="327">
      <x:c r="B327" t="str">
        <x:v>PL-0321</x:v>
      </x:c>
      <x:c r="C327" t="str">
        <x:v>PLANNING</x:v>
      </x:c>
      <x:c r="D327" t="str">
        <x:v>pair</x:v>
      </x:c>
      <x:c r="E327" t="str">
        <x:v>pair 15</x:v>
      </x:c>
      <x:c r="F327" t="n">
        <x:f>Controls!$D$62</x:f>
        <x:v>1</x:v>
      </x:c>
      <x:c r="G327" t="n">
        <x:v>1</x:v>
      </x:c>
      <x:c r="H327" t="str">
        <x:v>RFE design authority</x:v>
      </x:c>
      <x:c r="I327" t="str">
        <x:f>IF(F327=1,"PASS","GAP")</x:f>
        <x:v>PASS</x:v>
      </x:c>
    </x:row>
    <x:row r="328">
      <x:c r="B328" t="str">
        <x:v>PL-0322</x:v>
      </x:c>
      <x:c r="C328" t="str">
        <x:v>PLANNING</x:v>
      </x:c>
      <x:c r="D328" t="str">
        <x:v>pair</x:v>
      </x:c>
      <x:c r="E328" t="str">
        <x:v>pair 16</x:v>
      </x:c>
      <x:c r="F328" t="n">
        <x:f>Controls!$D$62</x:f>
        <x:v>1</x:v>
      </x:c>
      <x:c r="G328" t="n">
        <x:v>1</x:v>
      </x:c>
      <x:c r="H328" t="str">
        <x:v>RFE design authority</x:v>
      </x:c>
      <x:c r="I328" t="str">
        <x:f>IF(F328=1,"PASS","GAP")</x:f>
        <x:v>PASS</x:v>
      </x:c>
    </x:row>
    <x:row r="329">
      <x:c r="B329" t="str">
        <x:v>PL-0323</x:v>
      </x:c>
      <x:c r="C329" t="str">
        <x:v>PLANNING</x:v>
      </x:c>
      <x:c r="D329" t="str">
        <x:v>pair</x:v>
      </x:c>
      <x:c r="E329" t="str">
        <x:v>pair 17</x:v>
      </x:c>
      <x:c r="F329" t="n">
        <x:f>Controls!$D$62</x:f>
        <x:v>1</x:v>
      </x:c>
      <x:c r="G329" t="n">
        <x:v>1</x:v>
      </x:c>
      <x:c r="H329" t="str">
        <x:v>RFE design authority</x:v>
      </x:c>
      <x:c r="I329" t="str">
        <x:f>IF(F329=1,"PASS","GAP")</x:f>
        <x:v>PASS</x:v>
      </x:c>
    </x:row>
    <x:row r="330">
      <x:c r="B330" t="str">
        <x:v>PL-0324</x:v>
      </x:c>
      <x:c r="C330" t="str">
        <x:v>PLANNING</x:v>
      </x:c>
      <x:c r="D330" t="str">
        <x:v>pair</x:v>
      </x:c>
      <x:c r="E330" t="str">
        <x:v>pair 18</x:v>
      </x:c>
      <x:c r="F330" t="n">
        <x:f>Controls!$D$62</x:f>
        <x:v>1</x:v>
      </x:c>
      <x:c r="G330" t="n">
        <x:v>1</x:v>
      </x:c>
      <x:c r="H330" t="str">
        <x:v>RFE design authority</x:v>
      </x:c>
      <x:c r="I330" t="str">
        <x:f>IF(F330=1,"PASS","GAP")</x:f>
        <x:v>PASS</x:v>
      </x:c>
    </x:row>
    <x:row r="331">
      <x:c r="B331" t="str">
        <x:v>PL-0325</x:v>
      </x:c>
      <x:c r="C331" t="str">
        <x:v>PLANNING</x:v>
      </x:c>
      <x:c r="D331" t="str">
        <x:v>pair</x:v>
      </x:c>
      <x:c r="E331" t="str">
        <x:v>pair 19</x:v>
      </x:c>
      <x:c r="F331" t="n">
        <x:f>Controls!$D$62</x:f>
        <x:v>1</x:v>
      </x:c>
      <x:c r="G331" t="n">
        <x:v>1</x:v>
      </x:c>
      <x:c r="H331" t="str">
        <x:v>RFE design authority</x:v>
      </x:c>
      <x:c r="I331" t="str">
        <x:f>IF(F331=1,"PASS","GAP")</x:f>
        <x:v>PASS</x:v>
      </x:c>
    </x:row>
    <x:row r="332">
      <x:c r="B332" t="str">
        <x:v>PL-0326</x:v>
      </x:c>
      <x:c r="C332" t="str">
        <x:v>PLANNING</x:v>
      </x:c>
      <x:c r="D332" t="str">
        <x:v>pair</x:v>
      </x:c>
      <x:c r="E332" t="str">
        <x:v>pair 20</x:v>
      </x:c>
      <x:c r="F332" t="n">
        <x:f>Controls!$D$62</x:f>
        <x:v>1</x:v>
      </x:c>
      <x:c r="G332" t="n">
        <x:v>1</x:v>
      </x:c>
      <x:c r="H332" t="str">
        <x:v>RFE design authority</x:v>
      </x:c>
      <x:c r="I332" t="str">
        <x:f>IF(F332=1,"PASS","GAP")</x:f>
        <x:v>PASS</x:v>
      </x:c>
    </x:row>
    <x:row r="333">
      <x:c r="B333" t="str">
        <x:v>PL-0327</x:v>
      </x:c>
      <x:c r="C333" t="str">
        <x:v>PLANNING</x:v>
      </x:c>
      <x:c r="D333" t="str">
        <x:v>pair</x:v>
      </x:c>
      <x:c r="E333" t="str">
        <x:v>pair 21</x:v>
      </x:c>
      <x:c r="F333" t="n">
        <x:f>Controls!$D$62</x:f>
        <x:v>1</x:v>
      </x:c>
      <x:c r="G333" t="n">
        <x:v>1</x:v>
      </x:c>
      <x:c r="H333" t="str">
        <x:v>RFE design authority</x:v>
      </x:c>
      <x:c r="I333" t="str">
        <x:f>IF(F333=1,"PASS","GAP")</x:f>
        <x:v>PASS</x:v>
      </x:c>
    </x:row>
    <x:row r="334">
      <x:c r="B334" t="str">
        <x:v>PL-0328</x:v>
      </x:c>
      <x:c r="C334" t="str">
        <x:v>PLANNING</x:v>
      </x:c>
      <x:c r="D334" t="str">
        <x:v>pair</x:v>
      </x:c>
      <x:c r="E334" t="str">
        <x:v>pair 22</x:v>
      </x:c>
      <x:c r="F334" t="n">
        <x:f>Controls!$D$62</x:f>
        <x:v>1</x:v>
      </x:c>
      <x:c r="G334" t="n">
        <x:v>1</x:v>
      </x:c>
      <x:c r="H334" t="str">
        <x:v>RFE design authority</x:v>
      </x:c>
      <x:c r="I334" t="str">
        <x:f>IF(F334=1,"PASS","GAP")</x:f>
        <x:v>PASS</x:v>
      </x:c>
    </x:row>
    <x:row r="335">
      <x:c r="B335" t="str">
        <x:v>PL-0329</x:v>
      </x:c>
      <x:c r="C335" t="str">
        <x:v>PLANNING</x:v>
      </x:c>
      <x:c r="D335" t="str">
        <x:v>pair</x:v>
      </x:c>
      <x:c r="E335" t="str">
        <x:v>pair 23</x:v>
      </x:c>
      <x:c r="F335" t="n">
        <x:f>Controls!$D$62</x:f>
        <x:v>1</x:v>
      </x:c>
      <x:c r="G335" t="n">
        <x:v>1</x:v>
      </x:c>
      <x:c r="H335" t="str">
        <x:v>RFE design authority</x:v>
      </x:c>
      <x:c r="I335" t="str">
        <x:f>IF(F335=1,"PASS","GAP")</x:f>
        <x:v>PASS</x:v>
      </x:c>
    </x:row>
    <x:row r="336">
      <x:c r="B336" t="str">
        <x:v>PL-0330</x:v>
      </x:c>
      <x:c r="C336" t="str">
        <x:v>PLANNING</x:v>
      </x:c>
      <x:c r="D336" t="str">
        <x:v>pair</x:v>
      </x:c>
      <x:c r="E336" t="str">
        <x:v>pair 24</x:v>
      </x:c>
      <x:c r="F336" t="n">
        <x:f>Controls!$D$62</x:f>
        <x:v>1</x:v>
      </x:c>
      <x:c r="G336" t="n">
        <x:v>1</x:v>
      </x:c>
      <x:c r="H336" t="str">
        <x:v>RFE design authority</x:v>
      </x:c>
      <x:c r="I336" t="str">
        <x:f>IF(F336=1,"PASS","GAP")</x:f>
        <x:v>PASS</x:v>
      </x:c>
    </x:row>
    <x:row r="337">
      <x:c r="B337" t="str">
        <x:v>PL-0331</x:v>
      </x:c>
      <x:c r="C337" t="str">
        <x:v>PLANNING</x:v>
      </x:c>
      <x:c r="D337" t="str">
        <x:v>pair</x:v>
      </x:c>
      <x:c r="E337" t="str">
        <x:v>pair 25</x:v>
      </x:c>
      <x:c r="F337" t="n">
        <x:f>Controls!$D$62</x:f>
        <x:v>1</x:v>
      </x:c>
      <x:c r="G337" t="n">
        <x:v>1</x:v>
      </x:c>
      <x:c r="H337" t="str">
        <x:v>RFE design authority</x:v>
      </x:c>
      <x:c r="I337" t="str">
        <x:f>IF(F337=1,"PASS","GAP")</x:f>
        <x:v>PASS</x:v>
      </x:c>
    </x:row>
    <x:row r="338">
      <x:c r="B338" t="str">
        <x:v>PL-0332</x:v>
      </x:c>
      <x:c r="C338" t="str">
        <x:v>PLANNING</x:v>
      </x:c>
      <x:c r="D338" t="str">
        <x:v>pair</x:v>
      </x:c>
      <x:c r="E338" t="str">
        <x:v>pair 26</x:v>
      </x:c>
      <x:c r="F338" t="n">
        <x:f>Controls!$D$62</x:f>
        <x:v>1</x:v>
      </x:c>
      <x:c r="G338" t="n">
        <x:v>1</x:v>
      </x:c>
      <x:c r="H338" t="str">
        <x:v>RFE design authority</x:v>
      </x:c>
      <x:c r="I338" t="str">
        <x:f>IF(F338=1,"PASS","GAP")</x:f>
        <x:v>PASS</x:v>
      </x:c>
    </x:row>
    <x:row r="339">
      <x:c r="B339" t="str">
        <x:v>PL-0333</x:v>
      </x:c>
      <x:c r="C339" t="str">
        <x:v>PLANNING</x:v>
      </x:c>
      <x:c r="D339" t="str">
        <x:v>pair</x:v>
      </x:c>
      <x:c r="E339" t="str">
        <x:v>pair 27</x:v>
      </x:c>
      <x:c r="F339" t="n">
        <x:f>Controls!$D$62</x:f>
        <x:v>1</x:v>
      </x:c>
      <x:c r="G339" t="n">
        <x:v>1</x:v>
      </x:c>
      <x:c r="H339" t="str">
        <x:v>RFE design authority</x:v>
      </x:c>
      <x:c r="I339" t="str">
        <x:f>IF(F339=1,"PASS","GAP")</x:f>
        <x:v>PASS</x:v>
      </x:c>
    </x:row>
    <x:row r="340">
      <x:c r="B340" t="str">
        <x:v>PL-0334</x:v>
      </x:c>
      <x:c r="C340" t="str">
        <x:v>PLANNING</x:v>
      </x:c>
      <x:c r="D340" t="str">
        <x:v>pair</x:v>
      </x:c>
      <x:c r="E340" t="str">
        <x:v>pair 28</x:v>
      </x:c>
      <x:c r="F340" t="n">
        <x:f>Controls!$D$62</x:f>
        <x:v>1</x:v>
      </x:c>
      <x:c r="G340" t="n">
        <x:v>1</x:v>
      </x:c>
      <x:c r="H340" t="str">
        <x:v>RFE design authority</x:v>
      </x:c>
      <x:c r="I340" t="str">
        <x:f>IF(F340=1,"PASS","GAP")</x:f>
        <x:v>PASS</x:v>
      </x:c>
    </x:row>
    <x:row r="341">
      <x:c r="B341" t="str">
        <x:v>PL-0335</x:v>
      </x:c>
      <x:c r="C341" t="str">
        <x:v>PLANNING</x:v>
      </x:c>
      <x:c r="D341" t="str">
        <x:v>pair</x:v>
      </x:c>
      <x:c r="E341" t="str">
        <x:v>pair 29</x:v>
      </x:c>
      <x:c r="F341" t="n">
        <x:f>Controls!$D$62</x:f>
        <x:v>1</x:v>
      </x:c>
      <x:c r="G341" t="n">
        <x:v>1</x:v>
      </x:c>
      <x:c r="H341" t="str">
        <x:v>RFE design authority</x:v>
      </x:c>
      <x:c r="I341" t="str">
        <x:f>IF(F341=1,"PASS","GAP")</x:f>
        <x:v>PASS</x:v>
      </x:c>
    </x:row>
    <x:row r="342">
      <x:c r="B342" t="str">
        <x:v>PL-0336</x:v>
      </x:c>
      <x:c r="C342" t="str">
        <x:v>PLANNING</x:v>
      </x:c>
      <x:c r="D342" t="str">
        <x:v>pair</x:v>
      </x:c>
      <x:c r="E342" t="str">
        <x:v>pair 30</x:v>
      </x:c>
      <x:c r="F342" t="n">
        <x:f>Controls!$D$62</x:f>
        <x:v>1</x:v>
      </x:c>
      <x:c r="G342" t="n">
        <x:v>1</x:v>
      </x:c>
      <x:c r="H342" t="str">
        <x:v>RFE design authority</x:v>
      </x:c>
      <x:c r="I342" t="str">
        <x:f>IF(F342=1,"PASS","GAP")</x:f>
        <x:v>PASS</x:v>
      </x:c>
    </x:row>
    <x:row r="343">
      <x:c r="B343" t="str">
        <x:v>PL-0337</x:v>
      </x:c>
      <x:c r="C343" t="str">
        <x:v>PLANNING</x:v>
      </x:c>
      <x:c r="D343" t="str">
        <x:v>pair</x:v>
      </x:c>
      <x:c r="E343" t="str">
        <x:v>pair 31</x:v>
      </x:c>
      <x:c r="F343" t="n">
        <x:f>Controls!$D$62</x:f>
        <x:v>1</x:v>
      </x:c>
      <x:c r="G343" t="n">
        <x:v>1</x:v>
      </x:c>
      <x:c r="H343" t="str">
        <x:v>RFE design authority</x:v>
      </x:c>
      <x:c r="I343" t="str">
        <x:f>IF(F343=1,"PASS","GAP")</x:f>
        <x:v>PASS</x:v>
      </x:c>
    </x:row>
    <x:row r="344">
      <x:c r="B344" t="str">
        <x:v>PL-0338</x:v>
      </x:c>
      <x:c r="C344" t="str">
        <x:v>PLANNING</x:v>
      </x:c>
      <x:c r="D344" t="str">
        <x:v>pair</x:v>
      </x:c>
      <x:c r="E344" t="str">
        <x:v>pair 32</x:v>
      </x:c>
      <x:c r="F344" t="n">
        <x:f>Controls!$D$62</x:f>
        <x:v>1</x:v>
      </x:c>
      <x:c r="G344" t="n">
        <x:v>1</x:v>
      </x:c>
      <x:c r="H344" t="str">
        <x:v>RFE design authority</x:v>
      </x:c>
      <x:c r="I344" t="str">
        <x:f>IF(F344=1,"PASS","GAP")</x:f>
        <x:v>PASS</x:v>
      </x:c>
    </x:row>
    <x:row r="345">
      <x:c r="B345" t="str">
        <x:v>PL-0339</x:v>
      </x:c>
      <x:c r="C345" t="str">
        <x:v>PLANNING</x:v>
      </x:c>
      <x:c r="D345" t="str">
        <x:v>pair</x:v>
      </x:c>
      <x:c r="E345" t="str">
        <x:v>pair 33</x:v>
      </x:c>
      <x:c r="F345" t="n">
        <x:f>Controls!$D$62</x:f>
        <x:v>1</x:v>
      </x:c>
      <x:c r="G345" t="n">
        <x:v>1</x:v>
      </x:c>
      <x:c r="H345" t="str">
        <x:v>RFE design authority</x:v>
      </x:c>
      <x:c r="I345" t="str">
        <x:f>IF(F345=1,"PASS","GAP")</x:f>
        <x:v>PASS</x:v>
      </x:c>
    </x:row>
    <x:row r="346">
      <x:c r="B346" t="str">
        <x:v>PL-0340</x:v>
      </x:c>
      <x:c r="C346" t="str">
        <x:v>PLANNING</x:v>
      </x:c>
      <x:c r="D346" t="str">
        <x:v>pair</x:v>
      </x:c>
      <x:c r="E346" t="str">
        <x:v>pair 34</x:v>
      </x:c>
      <x:c r="F346" t="n">
        <x:f>Controls!$D$62</x:f>
        <x:v>1</x:v>
      </x:c>
      <x:c r="G346" t="n">
        <x:v>1</x:v>
      </x:c>
      <x:c r="H346" t="str">
        <x:v>RFE design authority</x:v>
      </x:c>
      <x:c r="I346" t="str">
        <x:f>IF(F346=1,"PASS","GAP")</x:f>
        <x:v>PASS</x:v>
      </x:c>
    </x:row>
    <x:row r="347">
      <x:c r="B347" t="str">
        <x:v>PL-0341</x:v>
      </x:c>
      <x:c r="C347" t="str">
        <x:v>PLANNING</x:v>
      </x:c>
      <x:c r="D347" t="str">
        <x:v>pair</x:v>
      </x:c>
      <x:c r="E347" t="str">
        <x:v>pair 35</x:v>
      </x:c>
      <x:c r="F347" t="n">
        <x:f>Controls!$D$62</x:f>
        <x:v>1</x:v>
      </x:c>
      <x:c r="G347" t="n">
        <x:v>1</x:v>
      </x:c>
      <x:c r="H347" t="str">
        <x:v>RFE design authority</x:v>
      </x:c>
      <x:c r="I347" t="str">
        <x:f>IF(F347=1,"PASS","GAP")</x:f>
        <x:v>PASS</x:v>
      </x:c>
    </x:row>
    <x:row r="348">
      <x:c r="B348" t="str">
        <x:v>PL-0342</x:v>
      </x:c>
      <x:c r="C348" t="str">
        <x:v>PLANNING</x:v>
      </x:c>
      <x:c r="D348" t="str">
        <x:v>pair</x:v>
      </x:c>
      <x:c r="E348" t="str">
        <x:v>pair 36</x:v>
      </x:c>
      <x:c r="F348" t="n">
        <x:f>Controls!$D$62</x:f>
        <x:v>1</x:v>
      </x:c>
      <x:c r="G348" t="n">
        <x:v>1</x:v>
      </x:c>
      <x:c r="H348" t="str">
        <x:v>RFE design authority</x:v>
      </x:c>
      <x:c r="I348" t="str">
        <x:f>IF(F348=1,"PASS","GAP")</x:f>
        <x:v>PASS</x:v>
      </x:c>
    </x:row>
    <x:row r="349">
      <x:c r="B349" t="str">
        <x:v>PL-0343</x:v>
      </x:c>
      <x:c r="C349" t="str">
        <x:v>PLANNING</x:v>
      </x:c>
      <x:c r="D349" t="str">
        <x:v>pair</x:v>
      </x:c>
      <x:c r="E349" t="str">
        <x:v>pair 37</x:v>
      </x:c>
      <x:c r="F349" t="n">
        <x:f>Controls!$D$62</x:f>
        <x:v>1</x:v>
      </x:c>
      <x:c r="G349" t="n">
        <x:v>1</x:v>
      </x:c>
      <x:c r="H349" t="str">
        <x:v>RFE design authority</x:v>
      </x:c>
      <x:c r="I349" t="str">
        <x:f>IF(F349=1,"PASS","GAP")</x:f>
        <x:v>PASS</x:v>
      </x:c>
    </x:row>
    <x:row r="350">
      <x:c r="B350" t="str">
        <x:v>PL-0344</x:v>
      </x:c>
      <x:c r="C350" t="str">
        <x:v>PLANNING</x:v>
      </x:c>
      <x:c r="D350" t="str">
        <x:v>pair</x:v>
      </x:c>
      <x:c r="E350" t="str">
        <x:v>pair 38</x:v>
      </x:c>
      <x:c r="F350" t="n">
        <x:f>Controls!$D$62</x:f>
        <x:v>1</x:v>
      </x:c>
      <x:c r="G350" t="n">
        <x:v>1</x:v>
      </x:c>
      <x:c r="H350" t="str">
        <x:v>RFE design authority</x:v>
      </x:c>
      <x:c r="I350" t="str">
        <x:f>IF(F350=1,"PASS","GAP")</x:f>
        <x:v>PASS</x:v>
      </x:c>
    </x:row>
    <x:row r="351">
      <x:c r="B351" t="str">
        <x:v>PL-0345</x:v>
      </x:c>
      <x:c r="C351" t="str">
        <x:v>PLANNING</x:v>
      </x:c>
      <x:c r="D351" t="str">
        <x:v>pair</x:v>
      </x:c>
      <x:c r="E351" t="str">
        <x:v>pair 39</x:v>
      </x:c>
      <x:c r="F351" t="n">
        <x:f>Controls!$D$62</x:f>
        <x:v>1</x:v>
      </x:c>
      <x:c r="G351" t="n">
        <x:v>1</x:v>
      </x:c>
      <x:c r="H351" t="str">
        <x:v>RFE design authority</x:v>
      </x:c>
      <x:c r="I351" t="str">
        <x:f>IF(F351=1,"PASS","GAP")</x:f>
        <x:v>PASS</x:v>
      </x:c>
    </x:row>
    <x:row r="352">
      <x:c r="B352" t="str">
        <x:v>PL-0346</x:v>
      </x:c>
      <x:c r="C352" t="str">
        <x:v>PLANNING</x:v>
      </x:c>
      <x:c r="D352" t="str">
        <x:v>pair</x:v>
      </x:c>
      <x:c r="E352" t="str">
        <x:v>pair 40</x:v>
      </x:c>
      <x:c r="F352" t="n">
        <x:f>Controls!$D$62</x:f>
        <x:v>1</x:v>
      </x:c>
      <x:c r="G352" t="n">
        <x:v>1</x:v>
      </x:c>
      <x:c r="H352" t="str">
        <x:v>RFE design authority</x:v>
      </x:c>
      <x:c r="I352" t="str">
        <x:f>IF(F352=1,"PASS","GAP")</x:f>
        <x:v>PASS</x:v>
      </x:c>
    </x:row>
    <x:row r="353">
      <x:c r="B353" t="str">
        <x:v>PL-0347</x:v>
      </x:c>
      <x:c r="C353" t="str">
        <x:v>PLANNING</x:v>
      </x:c>
      <x:c r="D353" t="str">
        <x:v>pair</x:v>
      </x:c>
      <x:c r="E353" t="str">
        <x:v>pair 41</x:v>
      </x:c>
      <x:c r="F353" t="n">
        <x:f>Controls!$D$62</x:f>
        <x:v>1</x:v>
      </x:c>
      <x:c r="G353" t="n">
        <x:v>1</x:v>
      </x:c>
      <x:c r="H353" t="str">
        <x:v>RFE design authority</x:v>
      </x:c>
      <x:c r="I353" t="str">
        <x:f>IF(F353=1,"PASS","GAP")</x:f>
        <x:v>PASS</x:v>
      </x:c>
    </x:row>
    <x:row r="354">
      <x:c r="B354" t="str">
        <x:v>PL-0348</x:v>
      </x:c>
      <x:c r="C354" t="str">
        <x:v>PLANNING</x:v>
      </x:c>
      <x:c r="D354" t="str">
        <x:v>pair</x:v>
      </x:c>
      <x:c r="E354" t="str">
        <x:v>pair 42</x:v>
      </x:c>
      <x:c r="F354" t="n">
        <x:f>Controls!$D$62</x:f>
        <x:v>1</x:v>
      </x:c>
      <x:c r="G354" t="n">
        <x:v>1</x:v>
      </x:c>
      <x:c r="H354" t="str">
        <x:v>RFE design authority</x:v>
      </x:c>
      <x:c r="I354" t="str">
        <x:f>IF(F354=1,"PASS","GAP")</x:f>
        <x:v>PASS</x:v>
      </x:c>
    </x:row>
    <x:row r="355">
      <x:c r="B355" t="str">
        <x:v>PL-0349</x:v>
      </x:c>
      <x:c r="C355" t="str">
        <x:v>PLANNING</x:v>
      </x:c>
      <x:c r="D355" t="str">
        <x:v>pair</x:v>
      </x:c>
      <x:c r="E355" t="str">
        <x:v>pair 43</x:v>
      </x:c>
      <x:c r="F355" t="n">
        <x:f>Controls!$D$62</x:f>
        <x:v>1</x:v>
      </x:c>
      <x:c r="G355" t="n">
        <x:v>1</x:v>
      </x:c>
      <x:c r="H355" t="str">
        <x:v>RFE design authority</x:v>
      </x:c>
      <x:c r="I355" t="str">
        <x:f>IF(F355=1,"PASS","GAP")</x:f>
        <x:v>PASS</x:v>
      </x:c>
    </x:row>
    <x:row r="356">
      <x:c r="B356" t="str">
        <x:v>PL-0350</x:v>
      </x:c>
      <x:c r="C356" t="str">
        <x:v>PLANNING</x:v>
      </x:c>
      <x:c r="D356" t="str">
        <x:v>pair</x:v>
      </x:c>
      <x:c r="E356" t="str">
        <x:v>pair 44</x:v>
      </x:c>
      <x:c r="F356" t="n">
        <x:f>Controls!$D$62</x:f>
        <x:v>1</x:v>
      </x:c>
      <x:c r="G356" t="n">
        <x:v>1</x:v>
      </x:c>
      <x:c r="H356" t="str">
        <x:v>RFE design authority</x:v>
      </x:c>
      <x:c r="I356" t="str">
        <x:f>IF(F356=1,"PASS","GAP")</x:f>
        <x:v>PASS</x:v>
      </x:c>
    </x:row>
    <x:row r="357">
      <x:c r="B357" t="str">
        <x:v>PL-0351</x:v>
      </x:c>
      <x:c r="C357" t="str">
        <x:v>PLANNING</x:v>
      </x:c>
      <x:c r="D357" t="str">
        <x:v>pair</x:v>
      </x:c>
      <x:c r="E357" t="str">
        <x:v>pair 45</x:v>
      </x:c>
      <x:c r="F357" t="n">
        <x:f>Controls!$D$62</x:f>
        <x:v>1</x:v>
      </x:c>
      <x:c r="G357" t="n">
        <x:v>1</x:v>
      </x:c>
      <x:c r="H357" t="str">
        <x:v>RFE design authority</x:v>
      </x:c>
      <x:c r="I357" t="str">
        <x:f>IF(F357=1,"PASS","GAP")</x:f>
        <x:v>PASS</x:v>
      </x:c>
    </x:row>
    <x:row r="358">
      <x:c r="B358" t="str">
        <x:v>PL-0352</x:v>
      </x:c>
      <x:c r="C358" t="str">
        <x:v>PLANNING</x:v>
      </x:c>
      <x:c r="D358" t="str">
        <x:v>pair</x:v>
      </x:c>
      <x:c r="E358" t="str">
        <x:v>pair 46</x:v>
      </x:c>
      <x:c r="F358" t="n">
        <x:f>Controls!$D$62</x:f>
        <x:v>1</x:v>
      </x:c>
      <x:c r="G358" t="n">
        <x:v>1</x:v>
      </x:c>
      <x:c r="H358" t="str">
        <x:v>RFE design authority</x:v>
      </x:c>
      <x:c r="I358" t="str">
        <x:f>IF(F358=1,"PASS","GAP")</x:f>
        <x:v>PASS</x:v>
      </x:c>
    </x:row>
    <x:row r="359">
      <x:c r="B359" t="str">
        <x:v>PL-0353</x:v>
      </x:c>
      <x:c r="C359" t="str">
        <x:v>PLANNING</x:v>
      </x:c>
      <x:c r="D359" t="str">
        <x:v>pair</x:v>
      </x:c>
      <x:c r="E359" t="str">
        <x:v>pair 47</x:v>
      </x:c>
      <x:c r="F359" t="n">
        <x:f>Controls!$D$62</x:f>
        <x:v>1</x:v>
      </x:c>
      <x:c r="G359" t="n">
        <x:v>1</x:v>
      </x:c>
      <x:c r="H359" t="str">
        <x:v>RFE design authority</x:v>
      </x:c>
      <x:c r="I359" t="str">
        <x:f>IF(F359=1,"PASS","GAP")</x:f>
        <x:v>PASS</x:v>
      </x:c>
    </x:row>
    <x:row r="360">
      <x:c r="B360" t="str">
        <x:v>PL-0354</x:v>
      </x:c>
      <x:c r="C360" t="str">
        <x:v>PLANNING</x:v>
      </x:c>
      <x:c r="D360" t="str">
        <x:v>pair</x:v>
      </x:c>
      <x:c r="E360" t="str">
        <x:v>pair 48</x:v>
      </x:c>
      <x:c r="F360" t="n">
        <x:f>Controls!$D$62</x:f>
        <x:v>1</x:v>
      </x:c>
      <x:c r="G360" t="n">
        <x:v>1</x:v>
      </x:c>
      <x:c r="H360" t="str">
        <x:v>RFE design authority</x:v>
      </x:c>
      <x:c r="I360" t="str">
        <x:f>IF(F360=1,"PASS","GAP")</x:f>
        <x:v>PASS</x:v>
      </x:c>
    </x:row>
    <x:row r="361">
      <x:c r="B361" t="str">
        <x:v>PL-0355</x:v>
      </x:c>
      <x:c r="C361" t="str">
        <x:v>PLANNING</x:v>
      </x:c>
      <x:c r="D361" t="str">
        <x:v>pair</x:v>
      </x:c>
      <x:c r="E361" t="str">
        <x:v>pair 49</x:v>
      </x:c>
      <x:c r="F361" t="n">
        <x:f>Controls!$D$62</x:f>
        <x:v>1</x:v>
      </x:c>
      <x:c r="G361" t="n">
        <x:v>1</x:v>
      </x:c>
      <x:c r="H361" t="str">
        <x:v>RFE design authority</x:v>
      </x:c>
      <x:c r="I361" t="str">
        <x:f>IF(F361=1,"PASS","GAP")</x:f>
        <x:v>PASS</x:v>
      </x:c>
    </x:row>
    <x:row r="362">
      <x:c r="B362" t="str">
        <x:v>PL-0356</x:v>
      </x:c>
      <x:c r="C362" t="str">
        <x:v>PLANNING</x:v>
      </x:c>
      <x:c r="D362" t="str">
        <x:v>pair</x:v>
      </x:c>
      <x:c r="E362" t="str">
        <x:v>pair 50</x:v>
      </x:c>
      <x:c r="F362" t="n">
        <x:f>Controls!$D$62</x:f>
        <x:v>1</x:v>
      </x:c>
      <x:c r="G362" t="n">
        <x:v>1</x:v>
      </x:c>
      <x:c r="H362" t="str">
        <x:v>RFE design authority</x:v>
      </x:c>
      <x:c r="I362" t="str">
        <x:f>IF(F362=1,"PASS","GAP")</x:f>
        <x:v>PASS</x:v>
      </x:c>
    </x:row>
    <x:row r="363">
      <x:c r="B363" t="str">
        <x:v>PL-0357</x:v>
      </x:c>
      <x:c r="C363" t="str">
        <x:v>PLANNING</x:v>
      </x:c>
      <x:c r="D363" t="str">
        <x:v>pair</x:v>
      </x:c>
      <x:c r="E363" t="str">
        <x:v>pair 51</x:v>
      </x:c>
      <x:c r="F363" t="n">
        <x:f>Controls!$D$62</x:f>
        <x:v>1</x:v>
      </x:c>
      <x:c r="G363" t="n">
        <x:v>1</x:v>
      </x:c>
      <x:c r="H363" t="str">
        <x:v>RFE design authority</x:v>
      </x:c>
      <x:c r="I363" t="str">
        <x:f>IF(F363=1,"PASS","GAP")</x:f>
        <x:v>PASS</x:v>
      </x:c>
    </x:row>
    <x:row r="364">
      <x:c r="B364" t="str">
        <x:v>PL-0358</x:v>
      </x:c>
      <x:c r="C364" t="str">
        <x:v>PLANNING</x:v>
      </x:c>
      <x:c r="D364" t="str">
        <x:v>pair</x:v>
      </x:c>
      <x:c r="E364" t="str">
        <x:v>pair 52</x:v>
      </x:c>
      <x:c r="F364" t="n">
        <x:f>Controls!$D$62</x:f>
        <x:v>1</x:v>
      </x:c>
      <x:c r="G364" t="n">
        <x:v>1</x:v>
      </x:c>
      <x:c r="H364" t="str">
        <x:v>RFE design authority</x:v>
      </x:c>
      <x:c r="I364" t="str">
        <x:f>IF(F364=1,"PASS","GAP")</x:f>
        <x:v>PASS</x:v>
      </x:c>
    </x:row>
    <x:row r="365">
      <x:c r="B365" t="str">
        <x:v>PL-0359</x:v>
      </x:c>
      <x:c r="C365" t="str">
        <x:v>PLANNING</x:v>
      </x:c>
      <x:c r="D365" t="str">
        <x:v>pair</x:v>
      </x:c>
      <x:c r="E365" t="str">
        <x:v>pair 53</x:v>
      </x:c>
      <x:c r="F365" t="n">
        <x:f>Controls!$D$62</x:f>
        <x:v>1</x:v>
      </x:c>
      <x:c r="G365" t="n">
        <x:v>1</x:v>
      </x:c>
      <x:c r="H365" t="str">
        <x:v>RFE design authority</x:v>
      </x:c>
      <x:c r="I365" t="str">
        <x:f>IF(F365=1,"PASS","GAP")</x:f>
        <x:v>PASS</x:v>
      </x:c>
    </x:row>
    <x:row r="366">
      <x:c r="B366" t="str">
        <x:v>PL-0360</x:v>
      </x:c>
      <x:c r="C366" t="str">
        <x:v>PLANNING</x:v>
      </x:c>
      <x:c r="D366" t="str">
        <x:v>pair</x:v>
      </x:c>
      <x:c r="E366" t="str">
        <x:v>pair 54</x:v>
      </x:c>
      <x:c r="F366" t="n">
        <x:f>Controls!$D$62</x:f>
        <x:v>1</x:v>
      </x:c>
      <x:c r="G366" t="n">
        <x:v>1</x:v>
      </x:c>
      <x:c r="H366" t="str">
        <x:v>RFE design authority</x:v>
      </x:c>
      <x:c r="I366" t="str">
        <x:f>IF(F366=1,"PASS","GAP")</x:f>
        <x:v>PASS</x:v>
      </x:c>
    </x:row>
    <x:row r="367">
      <x:c r="B367" t="str">
        <x:v>PL-0361</x:v>
      </x:c>
      <x:c r="C367" t="str">
        <x:v>PLANNING</x:v>
      </x:c>
      <x:c r="D367" t="str">
        <x:v>pair</x:v>
      </x:c>
      <x:c r="E367" t="str">
        <x:v>pair 55</x:v>
      </x:c>
      <x:c r="F367" t="n">
        <x:f>Controls!$D$62</x:f>
        <x:v>1</x:v>
      </x:c>
      <x:c r="G367" t="n">
        <x:v>1</x:v>
      </x:c>
      <x:c r="H367" t="str">
        <x:v>RFE design authority</x:v>
      </x:c>
      <x:c r="I367" t="str">
        <x:f>IF(F367=1,"PASS","GAP")</x:f>
        <x:v>PASS</x:v>
      </x:c>
    </x:row>
    <x:row r="368">
      <x:c r="B368" t="str">
        <x:v>PL-0362</x:v>
      </x:c>
      <x:c r="C368" t="str">
        <x:v>PLANNING</x:v>
      </x:c>
      <x:c r="D368" t="str">
        <x:v>pair</x:v>
      </x:c>
      <x:c r="E368" t="str">
        <x:v>pair 56</x:v>
      </x:c>
      <x:c r="F368" t="n">
        <x:f>Controls!$D$62</x:f>
        <x:v>1</x:v>
      </x:c>
      <x:c r="G368" t="n">
        <x:v>1</x:v>
      </x:c>
      <x:c r="H368" t="str">
        <x:v>RFE design authority</x:v>
      </x:c>
      <x:c r="I368" t="str">
        <x:f>IF(F368=1,"PASS","GAP")</x:f>
        <x:v>PASS</x:v>
      </x:c>
    </x:row>
    <x:row r="369">
      <x:c r="B369" t="str">
        <x:v>PL-0363</x:v>
      </x:c>
      <x:c r="C369" t="str">
        <x:v>PLANNING</x:v>
      </x:c>
      <x:c r="D369" t="str">
        <x:v>pair</x:v>
      </x:c>
      <x:c r="E369" t="str">
        <x:v>pair 57</x:v>
      </x:c>
      <x:c r="F369" t="n">
        <x:f>Controls!$D$62</x:f>
        <x:v>1</x:v>
      </x:c>
      <x:c r="G369" t="n">
        <x:v>1</x:v>
      </x:c>
      <x:c r="H369" t="str">
        <x:v>RFE design authority</x:v>
      </x:c>
      <x:c r="I369" t="str">
        <x:f>IF(F369=1,"PASS","GAP")</x:f>
        <x:v>PASS</x:v>
      </x:c>
    </x:row>
    <x:row r="370">
      <x:c r="B370" t="str">
        <x:v>PL-0364</x:v>
      </x:c>
      <x:c r="C370" t="str">
        <x:v>PLANNING</x:v>
      </x:c>
      <x:c r="D370" t="str">
        <x:v>pair</x:v>
      </x:c>
      <x:c r="E370" t="str">
        <x:v>pair 58</x:v>
      </x:c>
      <x:c r="F370" t="n">
        <x:f>Controls!$D$62</x:f>
        <x:v>1</x:v>
      </x:c>
      <x:c r="G370" t="n">
        <x:v>1</x:v>
      </x:c>
      <x:c r="H370" t="str">
        <x:v>RFE design authority</x:v>
      </x:c>
      <x:c r="I370" t="str">
        <x:f>IF(F370=1,"PASS","GAP")</x:f>
        <x:v>PASS</x:v>
      </x:c>
    </x:row>
    <x:row r="371">
      <x:c r="B371" t="str">
        <x:v>PL-0365</x:v>
      </x:c>
      <x:c r="C371" t="str">
        <x:v>PLANNING</x:v>
      </x:c>
      <x:c r="D371" t="str">
        <x:v>pair</x:v>
      </x:c>
      <x:c r="E371" t="str">
        <x:v>pair 59</x:v>
      </x:c>
      <x:c r="F371" t="n">
        <x:f>Controls!$D$62</x:f>
        <x:v>1</x:v>
      </x:c>
      <x:c r="G371" t="n">
        <x:v>1</x:v>
      </x:c>
      <x:c r="H371" t="str">
        <x:v>RFE design authority</x:v>
      </x:c>
      <x:c r="I371" t="str">
        <x:f>IF(F371=1,"PASS","GAP")</x:f>
        <x:v>PASS</x:v>
      </x:c>
    </x:row>
    <x:row r="372">
      <x:c r="B372" t="str">
        <x:v>PL-0366</x:v>
      </x:c>
      <x:c r="C372" t="str">
        <x:v>PLANNING</x:v>
      </x:c>
      <x:c r="D372" t="str">
        <x:v>pair</x:v>
      </x:c>
      <x:c r="E372" t="str">
        <x:v>pair 60</x:v>
      </x:c>
      <x:c r="F372" t="n">
        <x:f>Controls!$D$62</x:f>
        <x:v>1</x:v>
      </x:c>
      <x:c r="G372" t="n">
        <x:v>1</x:v>
      </x:c>
      <x:c r="H372" t="str">
        <x:v>RFE design authority</x:v>
      </x:c>
      <x:c r="I372" t="str">
        <x:f>IF(F372=1,"PASS","GAP")</x:f>
        <x:v>PASS</x:v>
      </x:c>
    </x:row>
    <x:row r="373">
      <x:c r="B373" t="str">
        <x:v>PL-0367</x:v>
      </x:c>
      <x:c r="C373" t="str">
        <x:v>PLANNING</x:v>
      </x:c>
      <x:c r="D373" t="str">
        <x:v>pair</x:v>
      </x:c>
      <x:c r="E373" t="str">
        <x:v>pair 61</x:v>
      </x:c>
      <x:c r="F373" t="n">
        <x:f>Controls!$D$62</x:f>
        <x:v>1</x:v>
      </x:c>
      <x:c r="G373" t="n">
        <x:v>1</x:v>
      </x:c>
      <x:c r="H373" t="str">
        <x:v>RFE design authority</x:v>
      </x:c>
      <x:c r="I373" t="str">
        <x:f>IF(F373=1,"PASS","GAP")</x:f>
        <x:v>PASS</x:v>
      </x:c>
    </x:row>
    <x:row r="374">
      <x:c r="B374" t="str">
        <x:v>PL-0368</x:v>
      </x:c>
      <x:c r="C374" t="str">
        <x:v>PLANNING</x:v>
      </x:c>
      <x:c r="D374" t="str">
        <x:v>pair</x:v>
      </x:c>
      <x:c r="E374" t="str">
        <x:v>pair 62</x:v>
      </x:c>
      <x:c r="F374" t="n">
        <x:f>Controls!$D$62</x:f>
        <x:v>1</x:v>
      </x:c>
      <x:c r="G374" t="n">
        <x:v>1</x:v>
      </x:c>
      <x:c r="H374" t="str">
        <x:v>RFE design authority</x:v>
      </x:c>
      <x:c r="I374" t="str">
        <x:f>IF(F374=1,"PASS","GAP")</x:f>
        <x:v>PASS</x:v>
      </x:c>
    </x:row>
    <x:row r="375">
      <x:c r="B375" t="str">
        <x:v>PL-0369</x:v>
      </x:c>
      <x:c r="C375" t="str">
        <x:v>PLANNING</x:v>
      </x:c>
      <x:c r="D375" t="str">
        <x:v>pair</x:v>
      </x:c>
      <x:c r="E375" t="str">
        <x:v>pair 63</x:v>
      </x:c>
      <x:c r="F375" t="n">
        <x:f>Controls!$D$62</x:f>
        <x:v>1</x:v>
      </x:c>
      <x:c r="G375" t="n">
        <x:v>1</x:v>
      </x:c>
      <x:c r="H375" t="str">
        <x:v>RFE design authority</x:v>
      </x:c>
      <x:c r="I375" t="str">
        <x:f>IF(F375=1,"PASS","GAP")</x:f>
        <x:v>PASS</x:v>
      </x:c>
    </x:row>
    <x:row r="376">
      <x:c r="B376" t="str">
        <x:v>PL-0370</x:v>
      </x:c>
      <x:c r="C376" t="str">
        <x:v>PLANNING</x:v>
      </x:c>
      <x:c r="D376" t="str">
        <x:v>pair</x:v>
      </x:c>
      <x:c r="E376" t="str">
        <x:v>pair 64</x:v>
      </x:c>
      <x:c r="F376" t="n">
        <x:f>Controls!$D$62</x:f>
        <x:v>1</x:v>
      </x:c>
      <x:c r="G376" t="n">
        <x:v>1</x:v>
      </x:c>
      <x:c r="H376" t="str">
        <x:v>RFE design authority</x:v>
      </x:c>
      <x:c r="I376" t="str">
        <x:f>IF(F376=1,"PASS","GAP")</x:f>
        <x:v>PASS</x:v>
      </x:c>
    </x:row>
    <x:row r="377">
      <x:c r="B377" t="str">
        <x:v>PL-0371</x:v>
      </x:c>
      <x:c r="C377" t="str">
        <x:v>PLANNING</x:v>
      </x:c>
      <x:c r="D377" t="str">
        <x:v>pair</x:v>
      </x:c>
      <x:c r="E377" t="str">
        <x:v>pair 65</x:v>
      </x:c>
      <x:c r="F377" t="n">
        <x:f>Controls!$D$62</x:f>
        <x:v>1</x:v>
      </x:c>
      <x:c r="G377" t="n">
        <x:v>1</x:v>
      </x:c>
      <x:c r="H377" t="str">
        <x:v>RFE design authority</x:v>
      </x:c>
      <x:c r="I377" t="str">
        <x:f>IF(F377=1,"PASS","GAP")</x:f>
        <x:v>PASS</x:v>
      </x:c>
    </x:row>
    <x:row r="378">
      <x:c r="B378" t="str">
        <x:v>PL-0372</x:v>
      </x:c>
      <x:c r="C378" t="str">
        <x:v>PLANNING</x:v>
      </x:c>
      <x:c r="D378" t="str">
        <x:v>pair</x:v>
      </x:c>
      <x:c r="E378" t="str">
        <x:v>pair 66</x:v>
      </x:c>
      <x:c r="F378" t="n">
        <x:f>Controls!$D$62</x:f>
        <x:v>1</x:v>
      </x:c>
      <x:c r="G378" t="n">
        <x:v>1</x:v>
      </x:c>
      <x:c r="H378" t="str">
        <x:v>RFE design authority</x:v>
      </x:c>
      <x:c r="I378" t="str">
        <x:f>IF(F378=1,"PASS","GAP")</x:f>
        <x:v>PASS</x:v>
      </x:c>
    </x:row>
    <x:row r="379">
      <x:c r="B379" t="str">
        <x:v>PL-0373</x:v>
      </x:c>
      <x:c r="C379" t="str">
        <x:v>PLANNING</x:v>
      </x:c>
      <x:c r="D379" t="str">
        <x:v>pair</x:v>
      </x:c>
      <x:c r="E379" t="str">
        <x:v>pair 67</x:v>
      </x:c>
      <x:c r="F379" t="n">
        <x:f>Controls!$D$62</x:f>
        <x:v>1</x:v>
      </x:c>
      <x:c r="G379" t="n">
        <x:v>1</x:v>
      </x:c>
      <x:c r="H379" t="str">
        <x:v>RFE design authority</x:v>
      </x:c>
      <x:c r="I379" t="str">
        <x:f>IF(F379=1,"PASS","GAP")</x:f>
        <x:v>PASS</x:v>
      </x:c>
    </x:row>
    <x:row r="380">
      <x:c r="B380" t="str">
        <x:v>PL-0374</x:v>
      </x:c>
      <x:c r="C380" t="str">
        <x:v>PLANNING</x:v>
      </x:c>
      <x:c r="D380" t="str">
        <x:v>pair</x:v>
      </x:c>
      <x:c r="E380" t="str">
        <x:v>pair 68</x:v>
      </x:c>
      <x:c r="F380" t="n">
        <x:f>Controls!$D$62</x:f>
        <x:v>1</x:v>
      </x:c>
      <x:c r="G380" t="n">
        <x:v>1</x:v>
      </x:c>
      <x:c r="H380" t="str">
        <x:v>RFE design authority</x:v>
      </x:c>
      <x:c r="I380" t="str">
        <x:f>IF(F380=1,"PASS","GAP")</x:f>
        <x:v>PASS</x:v>
      </x:c>
    </x:row>
    <x:row r="381">
      <x:c r="B381" t="str">
        <x:v>PL-0375</x:v>
      </x:c>
      <x:c r="C381" t="str">
        <x:v>PLANNING</x:v>
      </x:c>
      <x:c r="D381" t="str">
        <x:v>pair</x:v>
      </x:c>
      <x:c r="E381" t="str">
        <x:v>pair 69</x:v>
      </x:c>
      <x:c r="F381" t="n">
        <x:f>Controls!$D$62</x:f>
        <x:v>1</x:v>
      </x:c>
      <x:c r="G381" t="n">
        <x:v>1</x:v>
      </x:c>
      <x:c r="H381" t="str">
        <x:v>RFE design authority</x:v>
      </x:c>
      <x:c r="I381" t="str">
        <x:f>IF(F381=1,"PASS","GAP")</x:f>
        <x:v>PASS</x:v>
      </x:c>
    </x:row>
    <x:row r="382">
      <x:c r="B382" t="str">
        <x:v>PL-0376</x:v>
      </x:c>
      <x:c r="C382" t="str">
        <x:v>PLANNING</x:v>
      </x:c>
      <x:c r="D382" t="str">
        <x:v>pair</x:v>
      </x:c>
      <x:c r="E382" t="str">
        <x:v>pair 70</x:v>
      </x:c>
      <x:c r="F382" t="n">
        <x:f>Controls!$D$62</x:f>
        <x:v>1</x:v>
      </x:c>
      <x:c r="G382" t="n">
        <x:v>1</x:v>
      </x:c>
      <x:c r="H382" t="str">
        <x:v>RFE design authority</x:v>
      </x:c>
      <x:c r="I382" t="str">
        <x:f>IF(F382=1,"PASS","GAP")</x:f>
        <x:v>PASS</x:v>
      </x:c>
    </x:row>
    <x:row r="383">
      <x:c r="B383" t="str">
        <x:v>PL-0377</x:v>
      </x:c>
      <x:c r="C383" t="str">
        <x:v>PLANNING</x:v>
      </x:c>
      <x:c r="D383" t="str">
        <x:v>pair</x:v>
      </x:c>
      <x:c r="E383" t="str">
        <x:v>pair 71</x:v>
      </x:c>
      <x:c r="F383" t="n">
        <x:f>Controls!$D$62</x:f>
        <x:v>1</x:v>
      </x:c>
      <x:c r="G383" t="n">
        <x:v>1</x:v>
      </x:c>
      <x:c r="H383" t="str">
        <x:v>RFE design authority</x:v>
      </x:c>
      <x:c r="I383" t="str">
        <x:f>IF(F383=1,"PASS","GAP")</x:f>
        <x:v>PASS</x:v>
      </x:c>
    </x:row>
    <x:row r="384">
      <x:c r="B384" t="str">
        <x:v>PL-0378</x:v>
      </x:c>
      <x:c r="C384" t="str">
        <x:v>PLANNING</x:v>
      </x:c>
      <x:c r="D384" t="str">
        <x:v>pair</x:v>
      </x:c>
      <x:c r="E384" t="str">
        <x:v>pair 72</x:v>
      </x:c>
      <x:c r="F384" t="n">
        <x:f>Controls!$D$62</x:f>
        <x:v>1</x:v>
      </x:c>
      <x:c r="G384" t="n">
        <x:v>1</x:v>
      </x:c>
      <x:c r="H384" t="str">
        <x:v>RFE design authority</x:v>
      </x:c>
      <x:c r="I384" t="str">
        <x:f>IF(F384=1,"PASS","GAP")</x:f>
        <x:v>PASS</x:v>
      </x:c>
    </x:row>
    <x:row r="385">
      <x:c r="B385" t="str">
        <x:v>PL-0379</x:v>
      </x:c>
      <x:c r="C385" t="str">
        <x:v>PLANNING</x:v>
      </x:c>
      <x:c r="D385" t="str">
        <x:v>pair</x:v>
      </x:c>
      <x:c r="E385" t="str">
        <x:v>pair 73</x:v>
      </x:c>
      <x:c r="F385" t="n">
        <x:f>Controls!$D$62</x:f>
        <x:v>1</x:v>
      </x:c>
      <x:c r="G385" t="n">
        <x:v>1</x:v>
      </x:c>
      <x:c r="H385" t="str">
        <x:v>RFE design authority</x:v>
      </x:c>
      <x:c r="I385" t="str">
        <x:f>IF(F385=1,"PASS","GAP")</x:f>
        <x:v>PASS</x:v>
      </x:c>
    </x:row>
    <x:row r="386">
      <x:c r="B386" t="str">
        <x:v>PL-0380</x:v>
      </x:c>
      <x:c r="C386" t="str">
        <x:v>PLANNING</x:v>
      </x:c>
      <x:c r="D386" t="str">
        <x:v>pair</x:v>
      </x:c>
      <x:c r="E386" t="str">
        <x:v>pair 74</x:v>
      </x:c>
      <x:c r="F386" t="n">
        <x:f>Controls!$D$62</x:f>
        <x:v>1</x:v>
      </x:c>
      <x:c r="G386" t="n">
        <x:v>1</x:v>
      </x:c>
      <x:c r="H386" t="str">
        <x:v>RFE design authority</x:v>
      </x:c>
      <x:c r="I386" t="str">
        <x:f>IF(F386=1,"PASS","GAP")</x:f>
        <x:v>PASS</x:v>
      </x:c>
    </x:row>
    <x:row r="387">
      <x:c r="B387" t="str">
        <x:v>PL-0381</x:v>
      </x:c>
      <x:c r="C387" t="str">
        <x:v>PLANNING</x:v>
      </x:c>
      <x:c r="D387" t="str">
        <x:v>pair</x:v>
      </x:c>
      <x:c r="E387" t="str">
        <x:v>pair 75</x:v>
      </x:c>
      <x:c r="F387" t="n">
        <x:f>Controls!$D$62</x:f>
        <x:v>1</x:v>
      </x:c>
      <x:c r="G387" t="n">
        <x:v>1</x:v>
      </x:c>
      <x:c r="H387" t="str">
        <x:v>RFE design authority</x:v>
      </x:c>
      <x:c r="I387" t="str">
        <x:f>IF(F387=1,"PASS","GAP")</x:f>
        <x:v>PASS</x:v>
      </x:c>
    </x:row>
    <x:row r="388">
      <x:c r="B388" t="str">
        <x:v>PL-0382</x:v>
      </x:c>
      <x:c r="C388" t="str">
        <x:v>PLANNING</x:v>
      </x:c>
      <x:c r="D388" t="str">
        <x:v>pair</x:v>
      </x:c>
      <x:c r="E388" t="str">
        <x:v>pair 76</x:v>
      </x:c>
      <x:c r="F388" t="n">
        <x:f>Controls!$D$62</x:f>
        <x:v>1</x:v>
      </x:c>
      <x:c r="G388" t="n">
        <x:v>1</x:v>
      </x:c>
      <x:c r="H388" t="str">
        <x:v>RFE design authority</x:v>
      </x:c>
      <x:c r="I388" t="str">
        <x:f>IF(F388=1,"PASS","GAP")</x:f>
        <x:v>PASS</x:v>
      </x:c>
    </x:row>
    <x:row r="389">
      <x:c r="B389" t="str">
        <x:v>PL-0383</x:v>
      </x:c>
      <x:c r="C389" t="str">
        <x:v>PLANNING</x:v>
      </x:c>
      <x:c r="D389" t="str">
        <x:v>pair</x:v>
      </x:c>
      <x:c r="E389" t="str">
        <x:v>pair 77</x:v>
      </x:c>
      <x:c r="F389" t="n">
        <x:f>Controls!$D$62</x:f>
        <x:v>1</x:v>
      </x:c>
      <x:c r="G389" t="n">
        <x:v>1</x:v>
      </x:c>
      <x:c r="H389" t="str">
        <x:v>RFE design authority</x:v>
      </x:c>
      <x:c r="I389" t="str">
        <x:f>IF(F389=1,"PASS","GAP")</x:f>
        <x:v>PASS</x:v>
      </x:c>
    </x:row>
    <x:row r="390">
      <x:c r="B390" t="str">
        <x:v>PL-0384</x:v>
      </x:c>
      <x:c r="C390" t="str">
        <x:v>PLANNING</x:v>
      </x:c>
      <x:c r="D390" t="str">
        <x:v>pair</x:v>
      </x:c>
      <x:c r="E390" t="str">
        <x:v>pair 78</x:v>
      </x:c>
      <x:c r="F390" t="n">
        <x:f>Controls!$D$62</x:f>
        <x:v>1</x:v>
      </x:c>
      <x:c r="G390" t="n">
        <x:v>1</x:v>
      </x:c>
      <x:c r="H390" t="str">
        <x:v>RFE design authority</x:v>
      </x:c>
      <x:c r="I390" t="str">
        <x:f>IF(F390=1,"PASS","GAP")</x:f>
        <x:v>PASS</x:v>
      </x:c>
    </x:row>
    <x:row r="391">
      <x:c r="B391" t="str">
        <x:v>PL-0385</x:v>
      </x:c>
      <x:c r="C391" t="str">
        <x:v>PLANNING</x:v>
      </x:c>
      <x:c r="D391" t="str">
        <x:v>pair</x:v>
      </x:c>
      <x:c r="E391" t="str">
        <x:v>pair 79</x:v>
      </x:c>
      <x:c r="F391" t="n">
        <x:f>Controls!$D$62</x:f>
        <x:v>1</x:v>
      </x:c>
      <x:c r="G391" t="n">
        <x:v>1</x:v>
      </x:c>
      <x:c r="H391" t="str">
        <x:v>RFE design authority</x:v>
      </x:c>
      <x:c r="I391" t="str">
        <x:f>IF(F391=1,"PASS","GAP")</x:f>
        <x:v>PASS</x:v>
      </x:c>
    </x:row>
    <x:row r="392">
      <x:c r="B392" t="str">
        <x:v>PL-0386</x:v>
      </x:c>
      <x:c r="C392" t="str">
        <x:v>PLANNING</x:v>
      </x:c>
      <x:c r="D392" t="str">
        <x:v>pair</x:v>
      </x:c>
      <x:c r="E392" t="str">
        <x:v>pair 80</x:v>
      </x:c>
      <x:c r="F392" t="n">
        <x:f>Controls!$D$62</x:f>
        <x:v>1</x:v>
      </x:c>
      <x:c r="G392" t="n">
        <x:v>1</x:v>
      </x:c>
      <x:c r="H392" t="str">
        <x:v>RFE design authority</x:v>
      </x:c>
      <x:c r="I392" t="str">
        <x:f>IF(F392=1,"PASS","GAP")</x:f>
        <x:v>PASS</x:v>
      </x:c>
    </x:row>
    <x:row r="393">
      <x:c r="B393" t="str">
        <x:v>PL-0387</x:v>
      </x:c>
      <x:c r="C393" t="str">
        <x:v>PLANNING</x:v>
      </x:c>
      <x:c r="D393" t="str">
        <x:v>pair</x:v>
      </x:c>
      <x:c r="E393" t="str">
        <x:v>pair 81</x:v>
      </x:c>
      <x:c r="F393" t="n">
        <x:f>Controls!$D$62</x:f>
        <x:v>1</x:v>
      </x:c>
      <x:c r="G393" t="n">
        <x:v>1</x:v>
      </x:c>
      <x:c r="H393" t="str">
        <x:v>RFE design authority</x:v>
      </x:c>
      <x:c r="I393" t="str">
        <x:f>IF(F393=1,"PASS","GAP")</x:f>
        <x:v>PASS</x:v>
      </x:c>
    </x:row>
    <x:row r="394">
      <x:c r="B394" t="str">
        <x:v>PL-0388</x:v>
      </x:c>
      <x:c r="C394" t="str">
        <x:v>PLANNING</x:v>
      </x:c>
      <x:c r="D394" t="str">
        <x:v>pair</x:v>
      </x:c>
      <x:c r="E394" t="str">
        <x:v>pair 82</x:v>
      </x:c>
      <x:c r="F394" t="n">
        <x:f>Controls!$D$62</x:f>
        <x:v>1</x:v>
      </x:c>
      <x:c r="G394" t="n">
        <x:v>1</x:v>
      </x:c>
      <x:c r="H394" t="str">
        <x:v>RFE design authority</x:v>
      </x:c>
      <x:c r="I394" t="str">
        <x:f>IF(F394=1,"PASS","GAP")</x:f>
        <x:v>PASS</x:v>
      </x:c>
    </x:row>
    <x:row r="395">
      <x:c r="B395" t="str">
        <x:v>PL-0389</x:v>
      </x:c>
      <x:c r="C395" t="str">
        <x:v>PLANNING</x:v>
      </x:c>
      <x:c r="D395" t="str">
        <x:v>pair</x:v>
      </x:c>
      <x:c r="E395" t="str">
        <x:v>pair 83</x:v>
      </x:c>
      <x:c r="F395" t="n">
        <x:f>Controls!$D$62</x:f>
        <x:v>1</x:v>
      </x:c>
      <x:c r="G395" t="n">
        <x:v>1</x:v>
      </x:c>
      <x:c r="H395" t="str">
        <x:v>RFE design authority</x:v>
      </x:c>
      <x:c r="I395" t="str">
        <x:f>IF(F395=1,"PASS","GAP")</x:f>
        <x:v>PASS</x:v>
      </x:c>
    </x:row>
    <x:row r="396">
      <x:c r="B396" t="str">
        <x:v>PL-0390</x:v>
      </x:c>
      <x:c r="C396" t="str">
        <x:v>PLANNING</x:v>
      </x:c>
      <x:c r="D396" t="str">
        <x:v>pair</x:v>
      </x:c>
      <x:c r="E396" t="str">
        <x:v>pair 84</x:v>
      </x:c>
      <x:c r="F396" t="n">
        <x:f>Controls!$D$62</x:f>
        <x:v>1</x:v>
      </x:c>
      <x:c r="G396" t="n">
        <x:v>1</x:v>
      </x:c>
      <x:c r="H396" t="str">
        <x:v>RFE design authority</x:v>
      </x:c>
      <x:c r="I396" t="str">
        <x:f>IF(F396=1,"PASS","GAP")</x:f>
        <x:v>PASS</x:v>
      </x:c>
    </x:row>
    <x:row r="397">
      <x:c r="B397" t="str">
        <x:v>PL-0391</x:v>
      </x:c>
      <x:c r="C397" t="str">
        <x:v>PLANNING</x:v>
      </x:c>
      <x:c r="D397" t="str">
        <x:v>pair</x:v>
      </x:c>
      <x:c r="E397" t="str">
        <x:v>pair 85</x:v>
      </x:c>
      <x:c r="F397" t="n">
        <x:f>Controls!$D$62</x:f>
        <x:v>1</x:v>
      </x:c>
      <x:c r="G397" t="n">
        <x:v>1</x:v>
      </x:c>
      <x:c r="H397" t="str">
        <x:v>RFE design authority</x:v>
      </x:c>
      <x:c r="I397" t="str">
        <x:f>IF(F397=1,"PASS","GAP")</x:f>
        <x:v>PASS</x:v>
      </x:c>
    </x:row>
    <x:row r="398">
      <x:c r="B398" t="str">
        <x:v>PL-0392</x:v>
      </x:c>
      <x:c r="C398" t="str">
        <x:v>PLANNING</x:v>
      </x:c>
      <x:c r="D398" t="str">
        <x:v>pair</x:v>
      </x:c>
      <x:c r="E398" t="str">
        <x:v>pair 86</x:v>
      </x:c>
      <x:c r="F398" t="n">
        <x:f>Controls!$D$62</x:f>
        <x:v>1</x:v>
      </x:c>
      <x:c r="G398" t="n">
        <x:v>1</x:v>
      </x:c>
      <x:c r="H398" t="str">
        <x:v>RFE design authority</x:v>
      </x:c>
      <x:c r="I398" t="str">
        <x:f>IF(F398=1,"PASS","GAP")</x:f>
        <x:v>PASS</x:v>
      </x:c>
    </x:row>
    <x:row r="399">
      <x:c r="B399" t="str">
        <x:v>PL-0393</x:v>
      </x:c>
      <x:c r="C399" t="str">
        <x:v>PLANNING</x:v>
      </x:c>
      <x:c r="D399" t="str">
        <x:v>pair</x:v>
      </x:c>
      <x:c r="E399" t="str">
        <x:v>pair 87</x:v>
      </x:c>
      <x:c r="F399" t="n">
        <x:f>Controls!$D$62</x:f>
        <x:v>1</x:v>
      </x:c>
      <x:c r="G399" t="n">
        <x:v>1</x:v>
      </x:c>
      <x:c r="H399" t="str">
        <x:v>RFE design authority</x:v>
      </x:c>
      <x:c r="I399" t="str">
        <x:f>IF(F399=1,"PASS","GAP")</x:f>
        <x:v>PASS</x:v>
      </x:c>
    </x:row>
    <x:row r="400">
      <x:c r="B400" t="str">
        <x:v>PL-0394</x:v>
      </x:c>
      <x:c r="C400" t="str">
        <x:v>PLANNING</x:v>
      </x:c>
      <x:c r="D400" t="str">
        <x:v>pair</x:v>
      </x:c>
      <x:c r="E400" t="str">
        <x:v>pair 88</x:v>
      </x:c>
      <x:c r="F400" t="n">
        <x:f>Controls!$D$62</x:f>
        <x:v>1</x:v>
      </x:c>
      <x:c r="G400" t="n">
        <x:v>1</x:v>
      </x:c>
      <x:c r="H400" t="str">
        <x:v>RFE design authority</x:v>
      </x:c>
      <x:c r="I400" t="str">
        <x:f>IF(F400=1,"PASS","GAP")</x:f>
        <x:v>PASS</x:v>
      </x:c>
    </x:row>
    <x:row r="401">
      <x:c r="B401" t="str">
        <x:v>PL-0395</x:v>
      </x:c>
      <x:c r="C401" t="str">
        <x:v>PLANNING</x:v>
      </x:c>
      <x:c r="D401" t="str">
        <x:v>pair</x:v>
      </x:c>
      <x:c r="E401" t="str">
        <x:v>pair 89</x:v>
      </x:c>
      <x:c r="F401" t="n">
        <x:f>Controls!$D$62</x:f>
        <x:v>1</x:v>
      </x:c>
      <x:c r="G401" t="n">
        <x:v>1</x:v>
      </x:c>
      <x:c r="H401" t="str">
        <x:v>RFE design authority</x:v>
      </x:c>
      <x:c r="I401" t="str">
        <x:f>IF(F401=1,"PASS","GAP")</x:f>
        <x:v>PASS</x:v>
      </x:c>
    </x:row>
    <x:row r="402">
      <x:c r="B402" t="str">
        <x:v>PL-0396</x:v>
      </x:c>
      <x:c r="C402" t="str">
        <x:v>PLANNING</x:v>
      </x:c>
      <x:c r="D402" t="str">
        <x:v>pair</x:v>
      </x:c>
      <x:c r="E402" t="str">
        <x:v>pair 90</x:v>
      </x:c>
      <x:c r="F402" t="n">
        <x:f>Controls!$D$62</x:f>
        <x:v>1</x:v>
      </x:c>
      <x:c r="G402" t="n">
        <x:v>1</x:v>
      </x:c>
      <x:c r="H402" t="str">
        <x:v>RFE design authority</x:v>
      </x:c>
      <x:c r="I402" t="str">
        <x:f>IF(F402=1,"PASS","GAP")</x:f>
        <x:v>PASS</x:v>
      </x:c>
    </x:row>
    <x:row r="403">
      <x:c r="B403" t="str">
        <x:v>PL-0397</x:v>
      </x:c>
      <x:c r="C403" t="str">
        <x:v>PLANNING</x:v>
      </x:c>
      <x:c r="D403" t="str">
        <x:v>pair</x:v>
      </x:c>
      <x:c r="E403" t="str">
        <x:v>pair 91</x:v>
      </x:c>
      <x:c r="F403" t="n">
        <x:f>Controls!$D$62</x:f>
        <x:v>1</x:v>
      </x:c>
      <x:c r="G403" t="n">
        <x:v>1</x:v>
      </x:c>
      <x:c r="H403" t="str">
        <x:v>RFE design authority</x:v>
      </x:c>
      <x:c r="I403" t="str">
        <x:f>IF(F403=1,"PASS","GAP")</x:f>
        <x:v>PASS</x:v>
      </x:c>
    </x:row>
    <x:row r="404">
      <x:c r="B404" t="str">
        <x:v>PL-0398</x:v>
      </x:c>
      <x:c r="C404" t="str">
        <x:v>PLANNING</x:v>
      </x:c>
      <x:c r="D404" t="str">
        <x:v>pair</x:v>
      </x:c>
      <x:c r="E404" t="str">
        <x:v>pair 92</x:v>
      </x:c>
      <x:c r="F404" t="n">
        <x:f>Controls!$D$62</x:f>
        <x:v>1</x:v>
      </x:c>
      <x:c r="G404" t="n">
        <x:v>1</x:v>
      </x:c>
      <x:c r="H404" t="str">
        <x:v>RFE design authority</x:v>
      </x:c>
      <x:c r="I404" t="str">
        <x:f>IF(F404=1,"PASS","GAP")</x:f>
        <x:v>PASS</x:v>
      </x:c>
    </x:row>
    <x:row r="405">
      <x:c r="B405" t="str">
        <x:v>PL-0399</x:v>
      </x:c>
      <x:c r="C405" t="str">
        <x:v>PLANNING</x:v>
      </x:c>
      <x:c r="D405" t="str">
        <x:v>pair</x:v>
      </x:c>
      <x:c r="E405" t="str">
        <x:v>pair 93</x:v>
      </x:c>
      <x:c r="F405" t="n">
        <x:f>Controls!$D$62</x:f>
        <x:v>1</x:v>
      </x:c>
      <x:c r="G405" t="n">
        <x:v>1</x:v>
      </x:c>
      <x:c r="H405" t="str">
        <x:v>RFE design authority</x:v>
      </x:c>
      <x:c r="I405" t="str">
        <x:f>IF(F405=1,"PASS","GAP")</x:f>
        <x:v>PASS</x:v>
      </x:c>
    </x:row>
    <x:row r="406">
      <x:c r="B406" t="str">
        <x:v>PL-0400</x:v>
      </x:c>
      <x:c r="C406" t="str">
        <x:v>PLANNING</x:v>
      </x:c>
      <x:c r="D406" t="str">
        <x:v>pair</x:v>
      </x:c>
      <x:c r="E406" t="str">
        <x:v>pair 94</x:v>
      </x:c>
      <x:c r="F406" t="n">
        <x:f>Controls!$D$62</x:f>
        <x:v>1</x:v>
      </x:c>
      <x:c r="G406" t="n">
        <x:v>1</x:v>
      </x:c>
      <x:c r="H406" t="str">
        <x:v>RFE design authority</x:v>
      </x:c>
      <x:c r="I406" t="str">
        <x:f>IF(F406=1,"PASS","GAP")</x:f>
        <x:v>PASS</x:v>
      </x:c>
    </x:row>
    <x:row r="407">
      <x:c r="B407" t="str">
        <x:v>PL-0401</x:v>
      </x:c>
      <x:c r="C407" t="str">
        <x:v>PLANNING</x:v>
      </x:c>
      <x:c r="D407" t="str">
        <x:v>pair</x:v>
      </x:c>
      <x:c r="E407" t="str">
        <x:v>pair 95</x:v>
      </x:c>
      <x:c r="F407" t="n">
        <x:f>Controls!$D$62</x:f>
        <x:v>1</x:v>
      </x:c>
      <x:c r="G407" t="n">
        <x:v>1</x:v>
      </x:c>
      <x:c r="H407" t="str">
        <x:v>RFE design authority</x:v>
      </x:c>
      <x:c r="I407" t="str">
        <x:f>IF(F407=1,"PASS","GAP")</x:f>
        <x:v>PASS</x:v>
      </x:c>
    </x:row>
    <x:row r="408">
      <x:c r="B408" t="str">
        <x:v>PL-0402</x:v>
      </x:c>
      <x:c r="C408" t="str">
        <x:v>PLANNING</x:v>
      </x:c>
      <x:c r="D408" t="str">
        <x:v>pair</x:v>
      </x:c>
      <x:c r="E408" t="str">
        <x:v>pair 96</x:v>
      </x:c>
      <x:c r="F408" t="n">
        <x:f>Controls!$D$62</x:f>
        <x:v>1</x:v>
      </x:c>
      <x:c r="G408" t="n">
        <x:v>1</x:v>
      </x:c>
      <x:c r="H408" t="str">
        <x:v>RFE design authority</x:v>
      </x:c>
      <x:c r="I408" t="str">
        <x:f>IF(F408=1,"PASS","GAP")</x:f>
        <x:v>PASS</x:v>
      </x:c>
    </x:row>
    <x:row r="409">
      <x:c r="B409" t="str">
        <x:v>PL-0403</x:v>
      </x:c>
      <x:c r="C409" t="str">
        <x:v>PLANNING</x:v>
      </x:c>
      <x:c r="D409" t="str">
        <x:v>reserve</x:v>
      </x:c>
      <x:c r="E409" t="str">
        <x:v>reserve 1</x:v>
      </x:c>
      <x:c r="F409" t="n">
        <x:f>Controls!$D$62</x:f>
        <x:v>1</x:v>
      </x:c>
      <x:c r="G409" t="n">
        <x:v>1</x:v>
      </x:c>
      <x:c r="H409" t="str">
        <x:v>RFE design authority</x:v>
      </x:c>
      <x:c r="I409" t="str">
        <x:f>IF(F409=1,"PASS","GAP")</x:f>
        <x:v>PASS</x:v>
      </x:c>
    </x:row>
    <x:row r="410">
      <x:c r="B410" t="str">
        <x:v>PL-0404</x:v>
      </x:c>
      <x:c r="C410" t="str">
        <x:v>PLANNING</x:v>
      </x:c>
      <x:c r="D410" t="str">
        <x:v>reserve</x:v>
      </x:c>
      <x:c r="E410" t="str">
        <x:v>reserve 2</x:v>
      </x:c>
      <x:c r="F410" t="n">
        <x:f>Controls!$D$62</x:f>
        <x:v>1</x:v>
      </x:c>
      <x:c r="G410" t="n">
        <x:v>1</x:v>
      </x:c>
      <x:c r="H410" t="str">
        <x:v>RFE design authority</x:v>
      </x:c>
      <x:c r="I410" t="str">
        <x:f>IF(F410=1,"PASS","GAP")</x:f>
        <x:v>PASS</x:v>
      </x:c>
    </x:row>
    <x:row r="411">
      <x:c r="B411" t="str">
        <x:v>PL-0405</x:v>
      </x:c>
      <x:c r="C411" t="str">
        <x:v>PLANNING</x:v>
      </x:c>
      <x:c r="D411" t="str">
        <x:v>reserve</x:v>
      </x:c>
      <x:c r="E411" t="str">
        <x:v>reserve 3</x:v>
      </x:c>
      <x:c r="F411" t="n">
        <x:f>Controls!$D$62</x:f>
        <x:v>1</x:v>
      </x:c>
      <x:c r="G411" t="n">
        <x:v>1</x:v>
      </x:c>
      <x:c r="H411" t="str">
        <x:v>RFE design authority</x:v>
      </x:c>
      <x:c r="I411" t="str">
        <x:f>IF(F411=1,"PASS","GAP")</x:f>
        <x:v>PASS</x:v>
      </x:c>
    </x:row>
    <x:row r="412">
      <x:c r="B412" t="str">
        <x:v>PL-0406</x:v>
      </x:c>
      <x:c r="C412" t="str">
        <x:v>PLANNING</x:v>
      </x:c>
      <x:c r="D412" t="str">
        <x:v>reserve</x:v>
      </x:c>
      <x:c r="E412" t="str">
        <x:v>reserve 4</x:v>
      </x:c>
      <x:c r="F412" t="n">
        <x:f>Controls!$D$62</x:f>
        <x:v>1</x:v>
      </x:c>
      <x:c r="G412" t="n">
        <x:v>1</x:v>
      </x:c>
      <x:c r="H412" t="str">
        <x:v>RFE design authority</x:v>
      </x:c>
      <x:c r="I412" t="str">
        <x:f>IF(F412=1,"PASS","GAP")</x:f>
        <x:v>PASS</x:v>
      </x:c>
    </x:row>
    <x:row r="413">
      <x:c r="B413" t="str">
        <x:v>PL-0407</x:v>
      </x:c>
      <x:c r="C413" t="str">
        <x:v>PLANNING</x:v>
      </x:c>
      <x:c r="D413" t="str">
        <x:v>reserve</x:v>
      </x:c>
      <x:c r="E413" t="str">
        <x:v>reserve 5</x:v>
      </x:c>
      <x:c r="F413" t="n">
        <x:f>Controls!$D$62</x:f>
        <x:v>1</x:v>
      </x:c>
      <x:c r="G413" t="n">
        <x:v>1</x:v>
      </x:c>
      <x:c r="H413" t="str">
        <x:v>RFE design authority</x:v>
      </x:c>
      <x:c r="I413" t="str">
        <x:f>IF(F413=1,"PASS","GAP")</x:f>
        <x:v>PASS</x:v>
      </x:c>
    </x:row>
    <x:row r="414">
      <x:c r="B414" t="str">
        <x:v>PL-0408</x:v>
      </x:c>
      <x:c r="C414" t="str">
        <x:v>PLANNING</x:v>
      </x:c>
      <x:c r="D414" t="str">
        <x:v>reserve</x:v>
      </x:c>
      <x:c r="E414" t="str">
        <x:v>reserve 6</x:v>
      </x:c>
      <x:c r="F414" t="n">
        <x:f>Controls!$D$62</x:f>
        <x:v>1</x:v>
      </x:c>
      <x:c r="G414" t="n">
        <x:v>1</x:v>
      </x:c>
      <x:c r="H414" t="str">
        <x:v>RFE design authority</x:v>
      </x:c>
      <x:c r="I414" t="str">
        <x:f>IF(F414=1,"PASS","GAP")</x:f>
        <x:v>PASS</x:v>
      </x:c>
    </x:row>
    <x:row r="415">
      <x:c r="B415" t="str">
        <x:v>PL-0409</x:v>
      </x:c>
      <x:c r="C415" t="str">
        <x:v>PLANNING</x:v>
      </x:c>
      <x:c r="D415" t="str">
        <x:v>reserve</x:v>
      </x:c>
      <x:c r="E415" t="str">
        <x:v>reserve 7</x:v>
      </x:c>
      <x:c r="F415" t="n">
        <x:f>Controls!$D$62</x:f>
        <x:v>1</x:v>
      </x:c>
      <x:c r="G415" t="n">
        <x:v>1</x:v>
      </x:c>
      <x:c r="H415" t="str">
        <x:v>RFE design authority</x:v>
      </x:c>
      <x:c r="I415" t="str">
        <x:f>IF(F415=1,"PASS","GAP")</x:f>
        <x:v>PASS</x:v>
      </x:c>
    </x:row>
    <x:row r="416">
      <x:c r="B416" t="str">
        <x:v>PL-0410</x:v>
      </x:c>
      <x:c r="C416" t="str">
        <x:v>PLANNING</x:v>
      </x:c>
      <x:c r="D416" t="str">
        <x:v>reserve</x:v>
      </x:c>
      <x:c r="E416" t="str">
        <x:v>reserve 8</x:v>
      </x:c>
      <x:c r="F416" t="n">
        <x:f>Controls!$D$62</x:f>
        <x:v>1</x:v>
      </x:c>
      <x:c r="G416" t="n">
        <x:v>1</x:v>
      </x:c>
      <x:c r="H416" t="str">
        <x:v>RFE design authority</x:v>
      </x:c>
      <x:c r="I416" t="str">
        <x:f>IF(F416=1,"PASS","GAP")</x:f>
        <x:v>PASS</x:v>
      </x:c>
    </x:row>
    <x:row r="417">
      <x:c r="B417" t="str">
        <x:v>PL-0411</x:v>
      </x:c>
      <x:c r="C417" t="str">
        <x:v>PLANNING</x:v>
      </x:c>
      <x:c r="D417" t="str">
        <x:v>reserve</x:v>
      </x:c>
      <x:c r="E417" t="str">
        <x:v>reserve 9</x:v>
      </x:c>
      <x:c r="F417" t="n">
        <x:f>Controls!$D$62</x:f>
        <x:v>1</x:v>
      </x:c>
      <x:c r="G417" t="n">
        <x:v>1</x:v>
      </x:c>
      <x:c r="H417" t="str">
        <x:v>RFE design authority</x:v>
      </x:c>
      <x:c r="I417" t="str">
        <x:f>IF(F417=1,"PASS","GAP")</x:f>
        <x:v>PASS</x:v>
      </x:c>
    </x:row>
    <x:row r="418">
      <x:c r="B418" t="str">
        <x:v>PL-0412</x:v>
      </x:c>
      <x:c r="C418" t="str">
        <x:v>PLANNING</x:v>
      </x:c>
      <x:c r="D418" t="str">
        <x:v>reserve</x:v>
      </x:c>
      <x:c r="E418" t="str">
        <x:v>reserve 10</x:v>
      </x:c>
      <x:c r="F418" t="n">
        <x:f>Controls!$D$62</x:f>
        <x:v>1</x:v>
      </x:c>
      <x:c r="G418" t="n">
        <x:v>1</x:v>
      </x:c>
      <x:c r="H418" t="str">
        <x:v>RFE design authority</x:v>
      </x:c>
      <x:c r="I418" t="str">
        <x:f>IF(F418=1,"PASS","GAP")</x:f>
        <x:v>PASS</x:v>
      </x:c>
    </x:row>
    <x:row r="419">
      <x:c r="B419" t="str">
        <x:v>PL-0413</x:v>
      </x:c>
      <x:c r="C419" t="str">
        <x:v>PLANNING</x:v>
      </x:c>
      <x:c r="D419" t="str">
        <x:v>reserve</x:v>
      </x:c>
      <x:c r="E419" t="str">
        <x:v>reserve 11</x:v>
      </x:c>
      <x:c r="F419" t="n">
        <x:f>Controls!$D$62</x:f>
        <x:v>1</x:v>
      </x:c>
      <x:c r="G419" t="n">
        <x:v>1</x:v>
      </x:c>
      <x:c r="H419" t="str">
        <x:v>RFE design authority</x:v>
      </x:c>
      <x:c r="I419" t="str">
        <x:f>IF(F419=1,"PASS","GAP")</x:f>
        <x:v>PASS</x:v>
      </x:c>
    </x:row>
    <x:row r="420">
      <x:c r="B420" t="str">
        <x:v>PL-0414</x:v>
      </x:c>
      <x:c r="C420" t="str">
        <x:v>PLANNING</x:v>
      </x:c>
      <x:c r="D420" t="str">
        <x:v>reserve</x:v>
      </x:c>
      <x:c r="E420" t="str">
        <x:v>reserve 12</x:v>
      </x:c>
      <x:c r="F420" t="n">
        <x:f>Controls!$D$62</x:f>
        <x:v>1</x:v>
      </x:c>
      <x:c r="G420" t="n">
        <x:v>1</x:v>
      </x:c>
      <x:c r="H420" t="str">
        <x:v>RFE design authority</x:v>
      </x:c>
      <x:c r="I420" t="str">
        <x:f>IF(F420=1,"PASS","GAP")</x:f>
        <x:v>PASS</x:v>
      </x:c>
    </x:row>
    <x:row r="421">
      <x:c r="B421" t="str">
        <x:v>PL-0415</x:v>
      </x:c>
      <x:c r="C421" t="str">
        <x:v>PLANNING</x:v>
      </x:c>
      <x:c r="D421" t="str">
        <x:v>reserve</x:v>
      </x:c>
      <x:c r="E421" t="str">
        <x:v>reserve 13</x:v>
      </x:c>
      <x:c r="F421" t="n">
        <x:f>Controls!$D$62</x:f>
        <x:v>1</x:v>
      </x:c>
      <x:c r="G421" t="n">
        <x:v>1</x:v>
      </x:c>
      <x:c r="H421" t="str">
        <x:v>RFE design authority</x:v>
      </x:c>
      <x:c r="I421" t="str">
        <x:f>IF(F421=1,"PASS","GAP")</x:f>
        <x:v>PASS</x:v>
      </x:c>
    </x:row>
    <x:row r="422">
      <x:c r="B422" t="str">
        <x:v>PL-0416</x:v>
      </x:c>
      <x:c r="C422" t="str">
        <x:v>PLANNING</x:v>
      </x:c>
      <x:c r="D422" t="str">
        <x:v>reserve</x:v>
      </x:c>
      <x:c r="E422" t="str">
        <x:v>reserve 14</x:v>
      </x:c>
      <x:c r="F422" t="n">
        <x:f>Controls!$D$62</x:f>
        <x:v>1</x:v>
      </x:c>
      <x:c r="G422" t="n">
        <x:v>1</x:v>
      </x:c>
      <x:c r="H422" t="str">
        <x:v>RFE design authority</x:v>
      </x:c>
      <x:c r="I422" t="str">
        <x:f>IF(F422=1,"PASS","GAP")</x:f>
        <x:v>PASS</x:v>
      </x:c>
    </x:row>
    <x:row r="423">
      <x:c r="B423" t="str">
        <x:v>PL-0417</x:v>
      </x:c>
      <x:c r="C423" t="str">
        <x:v>PLANNING</x:v>
      </x:c>
      <x:c r="D423" t="str">
        <x:v>reserve</x:v>
      </x:c>
      <x:c r="E423" t="str">
        <x:v>reserve 15</x:v>
      </x:c>
      <x:c r="F423" t="n">
        <x:f>Controls!$D$62</x:f>
        <x:v>1</x:v>
      </x:c>
      <x:c r="G423" t="n">
        <x:v>1</x:v>
      </x:c>
      <x:c r="H423" t="str">
        <x:v>RFE design authority</x:v>
      </x:c>
      <x:c r="I423" t="str">
        <x:f>IF(F423=1,"PASS","GAP")</x:f>
        <x:v>PASS</x:v>
      </x:c>
    </x:row>
    <x:row r="424">
      <x:c r="B424" t="str">
        <x:v>PL-0418</x:v>
      </x:c>
      <x:c r="C424" t="str">
        <x:v>PLANNING</x:v>
      </x:c>
      <x:c r="D424" t="str">
        <x:v>reserve</x:v>
      </x:c>
      <x:c r="E424" t="str">
        <x:v>reserve 16</x:v>
      </x:c>
      <x:c r="F424" t="n">
        <x:f>Controls!$D$62</x:f>
        <x:v>1</x:v>
      </x:c>
      <x:c r="G424" t="n">
        <x:v>1</x:v>
      </x:c>
      <x:c r="H424" t="str">
        <x:v>RFE design authority</x:v>
      </x:c>
      <x:c r="I424" t="str">
        <x:f>IF(F424=1,"PASS","GAP")</x:f>
        <x:v>PASS</x:v>
      </x:c>
    </x:row>
    <x:row r="425">
      <x:c r="B425" t="str">
        <x:v>PL-0419</x:v>
      </x:c>
      <x:c r="C425" t="str">
        <x:v>PLANNING</x:v>
      </x:c>
      <x:c r="D425" t="str">
        <x:v>reserve</x:v>
      </x:c>
      <x:c r="E425" t="str">
        <x:v>reserve 17</x:v>
      </x:c>
      <x:c r="F425" t="n">
        <x:f>Controls!$D$62</x:f>
        <x:v>1</x:v>
      </x:c>
      <x:c r="G425" t="n">
        <x:v>1</x:v>
      </x:c>
      <x:c r="H425" t="str">
        <x:v>RFE design authority</x:v>
      </x:c>
      <x:c r="I425" t="str">
        <x:f>IF(F425=1,"PASS","GAP")</x:f>
        <x:v>PASS</x:v>
      </x:c>
    </x:row>
    <x:row r="426">
      <x:c r="B426" t="str">
        <x:v>PL-0420</x:v>
      </x:c>
      <x:c r="C426" t="str">
        <x:v>PLANNING</x:v>
      </x:c>
      <x:c r="D426" t="str">
        <x:v>reserve</x:v>
      </x:c>
      <x:c r="E426" t="str">
        <x:v>reserve 18</x:v>
      </x:c>
      <x:c r="F426" t="n">
        <x:f>Controls!$D$62</x:f>
        <x:v>1</x:v>
      </x:c>
      <x:c r="G426" t="n">
        <x:v>1</x:v>
      </x:c>
      <x:c r="H426" t="str">
        <x:v>RFE design authority</x:v>
      </x:c>
      <x:c r="I426" t="str">
        <x:f>IF(F426=1,"PASS","GAP")</x:f>
        <x:v>PASS</x:v>
      </x:c>
    </x:row>
    <x:row r="427">
      <x:c r="B427" t="str">
        <x:v>PL-0421</x:v>
      </x:c>
      <x:c r="C427" t="str">
        <x:v>PLANNING</x:v>
      </x:c>
      <x:c r="D427" t="str">
        <x:v>reserve</x:v>
      </x:c>
      <x:c r="E427" t="str">
        <x:v>reserve 19</x:v>
      </x:c>
      <x:c r="F427" t="n">
        <x:f>Controls!$D$62</x:f>
        <x:v>1</x:v>
      </x:c>
      <x:c r="G427" t="n">
        <x:v>1</x:v>
      </x:c>
      <x:c r="H427" t="str">
        <x:v>RFE design authority</x:v>
      </x:c>
      <x:c r="I427" t="str">
        <x:f>IF(F427=1,"PASS","GAP")</x:f>
        <x:v>PASS</x:v>
      </x:c>
    </x:row>
    <x:row r="428">
      <x:c r="B428" t="str">
        <x:v>PL-0422</x:v>
      </x:c>
      <x:c r="C428" t="str">
        <x:v>PLANNING</x:v>
      </x:c>
      <x:c r="D428" t="str">
        <x:v>reserve</x:v>
      </x:c>
      <x:c r="E428" t="str">
        <x:v>reserve 20</x:v>
      </x:c>
      <x:c r="F428" t="n">
        <x:f>Controls!$D$62</x:f>
        <x:v>1</x:v>
      </x:c>
      <x:c r="G428" t="n">
        <x:v>1</x:v>
      </x:c>
      <x:c r="H428" t="str">
        <x:v>RFE design authority</x:v>
      </x:c>
      <x:c r="I428" t="str">
        <x:f>IF(F428=1,"PASS","GAP")</x:f>
        <x:v>PASS</x:v>
      </x:c>
    </x:row>
    <x:row r="429">
      <x:c r="B429" t="str">
        <x:v>PL-0423</x:v>
      </x:c>
      <x:c r="C429" t="str">
        <x:v>PLANNING</x:v>
      </x:c>
      <x:c r="D429" t="str">
        <x:v>reserve</x:v>
      </x:c>
      <x:c r="E429" t="str">
        <x:v>reserve 21</x:v>
      </x:c>
      <x:c r="F429" t="n">
        <x:f>Controls!$D$62</x:f>
        <x:v>1</x:v>
      </x:c>
      <x:c r="G429" t="n">
        <x:v>1</x:v>
      </x:c>
      <x:c r="H429" t="str">
        <x:v>RFE design authority</x:v>
      </x:c>
      <x:c r="I429" t="str">
        <x:f>IF(F429=1,"PASS","GAP")</x:f>
        <x:v>PASS</x:v>
      </x:c>
    </x:row>
    <x:row r="430">
      <x:c r="B430" t="str">
        <x:v>PL-0424</x:v>
      </x:c>
      <x:c r="C430" t="str">
        <x:v>PLANNING</x:v>
      </x:c>
      <x:c r="D430" t="str">
        <x:v>reserve</x:v>
      </x:c>
      <x:c r="E430" t="str">
        <x:v>reserve 22</x:v>
      </x:c>
      <x:c r="F430" t="n">
        <x:f>Controls!$D$62</x:f>
        <x:v>1</x:v>
      </x:c>
      <x:c r="G430" t="n">
        <x:v>1</x:v>
      </x:c>
      <x:c r="H430" t="str">
        <x:v>RFE design authority</x:v>
      </x:c>
      <x:c r="I430" t="str">
        <x:f>IF(F430=1,"PASS","GAP")</x:f>
        <x:v>PASS</x:v>
      </x:c>
    </x:row>
    <x:row r="431">
      <x:c r="B431" t="str">
        <x:v>PL-0425</x:v>
      </x:c>
      <x:c r="C431" t="str">
        <x:v>PLANNING</x:v>
      </x:c>
      <x:c r="D431" t="str">
        <x:v>reserve</x:v>
      </x:c>
      <x:c r="E431" t="str">
        <x:v>reserve 23</x:v>
      </x:c>
      <x:c r="F431" t="n">
        <x:f>Controls!$D$62</x:f>
        <x:v>1</x:v>
      </x:c>
      <x:c r="G431" t="n">
        <x:v>1</x:v>
      </x:c>
      <x:c r="H431" t="str">
        <x:v>RFE design authority</x:v>
      </x:c>
      <x:c r="I431" t="str">
        <x:f>IF(F431=1,"PASS","GAP")</x:f>
        <x:v>PASS</x:v>
      </x:c>
    </x:row>
    <x:row r="432">
      <x:c r="B432" t="str">
        <x:v>PL-0426</x:v>
      </x:c>
      <x:c r="C432" t="str">
        <x:v>PLANNING</x:v>
      </x:c>
      <x:c r="D432" t="str">
        <x:v>reserve</x:v>
      </x:c>
      <x:c r="E432" t="str">
        <x:v>reserve 24</x:v>
      </x:c>
      <x:c r="F432" t="n">
        <x:f>Controls!$D$62</x:f>
        <x:v>1</x:v>
      </x:c>
      <x:c r="G432" t="n">
        <x:v>1</x:v>
      </x:c>
      <x:c r="H432" t="str">
        <x:v>RFE design authority</x:v>
      </x:c>
      <x:c r="I432" t="str">
        <x:f>IF(F432=1,"PASS","GAP")</x:f>
        <x:v>PASS</x:v>
      </x:c>
    </x:row>
    <x:row r="433">
      <x:c r="B433" t="str">
        <x:v>PL-0427</x:v>
      </x:c>
      <x:c r="C433" t="str">
        <x:v>PLANNING</x:v>
      </x:c>
      <x:c r="D433" t="str">
        <x:v>reserve</x:v>
      </x:c>
      <x:c r="E433" t="str">
        <x:v>reserve 25</x:v>
      </x:c>
      <x:c r="F433" t="n">
        <x:f>Controls!$D$62</x:f>
        <x:v>1</x:v>
      </x:c>
      <x:c r="G433" t="n">
        <x:v>1</x:v>
      </x:c>
      <x:c r="H433" t="str">
        <x:v>RFE design authority</x:v>
      </x:c>
      <x:c r="I433" t="str">
        <x:f>IF(F433=1,"PASS","GAP")</x:f>
        <x:v>PASS</x:v>
      </x:c>
    </x:row>
    <x:row r="434">
      <x:c r="B434" t="str">
        <x:v>PL-0428</x:v>
      </x:c>
      <x:c r="C434" t="str">
        <x:v>PLANNING</x:v>
      </x:c>
      <x:c r="D434" t="str">
        <x:v>reserve</x:v>
      </x:c>
      <x:c r="E434" t="str">
        <x:v>reserve 26</x:v>
      </x:c>
      <x:c r="F434" t="n">
        <x:f>Controls!$D$62</x:f>
        <x:v>1</x:v>
      </x:c>
      <x:c r="G434" t="n">
        <x:v>1</x:v>
      </x:c>
      <x:c r="H434" t="str">
        <x:v>RFE design authority</x:v>
      </x:c>
      <x:c r="I434" t="str">
        <x:f>IF(F434=1,"PASS","GAP")</x:f>
        <x:v>PASS</x:v>
      </x:c>
    </x:row>
    <x:row r="435">
      <x:c r="B435" t="str">
        <x:v>PL-0429</x:v>
      </x:c>
      <x:c r="C435" t="str">
        <x:v>PLANNING</x:v>
      </x:c>
      <x:c r="D435" t="str">
        <x:v>reserve</x:v>
      </x:c>
      <x:c r="E435" t="str">
        <x:v>reserve 27</x:v>
      </x:c>
      <x:c r="F435" t="n">
        <x:f>Controls!$D$62</x:f>
        <x:v>1</x:v>
      </x:c>
      <x:c r="G435" t="n">
        <x:v>1</x:v>
      </x:c>
      <x:c r="H435" t="str">
        <x:v>RFE design authority</x:v>
      </x:c>
      <x:c r="I435" t="str">
        <x:f>IF(F435=1,"PASS","GAP")</x:f>
        <x:v>PASS</x:v>
      </x:c>
    </x:row>
    <x:row r="436">
      <x:c r="B436" t="str">
        <x:v>PL-0430</x:v>
      </x:c>
      <x:c r="C436" t="str">
        <x:v>PLANNING</x:v>
      </x:c>
      <x:c r="D436" t="str">
        <x:v>reserve</x:v>
      </x:c>
      <x:c r="E436" t="str">
        <x:v>reserve 28</x:v>
      </x:c>
      <x:c r="F436" t="n">
        <x:f>Controls!$D$62</x:f>
        <x:v>1</x:v>
      </x:c>
      <x:c r="G436" t="n">
        <x:v>1</x:v>
      </x:c>
      <x:c r="H436" t="str">
        <x:v>RFE design authority</x:v>
      </x:c>
      <x:c r="I436" t="str">
        <x:f>IF(F436=1,"PASS","GAP")</x:f>
        <x:v>PASS</x:v>
      </x:c>
    </x:row>
    <x:row r="437">
      <x:c r="B437" t="str">
        <x:v>PL-0431</x:v>
      </x:c>
      <x:c r="C437" t="str">
        <x:v>PLANNING</x:v>
      </x:c>
      <x:c r="D437" t="str">
        <x:v>reserve</x:v>
      </x:c>
      <x:c r="E437" t="str">
        <x:v>reserve 29</x:v>
      </x:c>
      <x:c r="F437" t="n">
        <x:f>Controls!$D$62</x:f>
        <x:v>1</x:v>
      </x:c>
      <x:c r="G437" t="n">
        <x:v>1</x:v>
      </x:c>
      <x:c r="H437" t="str">
        <x:v>RFE design authority</x:v>
      </x:c>
      <x:c r="I437" t="str">
        <x:f>IF(F437=1,"PASS","GAP")</x:f>
        <x:v>PASS</x:v>
      </x:c>
    </x:row>
    <x:row r="438">
      <x:c r="B438" t="str">
        <x:v>PL-0432</x:v>
      </x:c>
      <x:c r="C438" t="str">
        <x:v>PLANNING</x:v>
      </x:c>
      <x:c r="D438" t="str">
        <x:v>reserve</x:v>
      </x:c>
      <x:c r="E438" t="str">
        <x:v>reserve 30</x:v>
      </x:c>
      <x:c r="F438" t="n">
        <x:f>Controls!$D$62</x:f>
        <x:v>1</x:v>
      </x:c>
      <x:c r="G438" t="n">
        <x:v>1</x:v>
      </x:c>
      <x:c r="H438" t="str">
        <x:v>RFE design authority</x:v>
      </x:c>
      <x:c r="I438" t="str">
        <x:f>IF(F438=1,"PASS","GAP")</x:f>
        <x:v>PASS</x:v>
      </x:c>
    </x:row>
    <x:row r="439">
      <x:c r="B439" t="str">
        <x:v>PL-0433</x:v>
      </x:c>
      <x:c r="C439" t="str">
        <x:v>PLANNING</x:v>
      </x:c>
      <x:c r="D439" t="str">
        <x:v>reserve</x:v>
      </x:c>
      <x:c r="E439" t="str">
        <x:v>reserve 31</x:v>
      </x:c>
      <x:c r="F439" t="n">
        <x:f>Controls!$D$62</x:f>
        <x:v>1</x:v>
      </x:c>
      <x:c r="G439" t="n">
        <x:v>1</x:v>
      </x:c>
      <x:c r="H439" t="str">
        <x:v>RFE design authority</x:v>
      </x:c>
      <x:c r="I439" t="str">
        <x:f>IF(F439=1,"PASS","GAP")</x:f>
        <x:v>PASS</x:v>
      </x:c>
    </x:row>
    <x:row r="440">
      <x:c r="B440" t="str">
        <x:v>PL-0434</x:v>
      </x:c>
      <x:c r="C440" t="str">
        <x:v>PLANNING</x:v>
      </x:c>
      <x:c r="D440" t="str">
        <x:v>reserve</x:v>
      </x:c>
      <x:c r="E440" t="str">
        <x:v>reserve 32</x:v>
      </x:c>
      <x:c r="F440" t="n">
        <x:f>Controls!$D$62</x:f>
        <x:v>1</x:v>
      </x:c>
      <x:c r="G440" t="n">
        <x:v>1</x:v>
      </x:c>
      <x:c r="H440" t="str">
        <x:v>RFE design authority</x:v>
      </x:c>
      <x:c r="I440" t="str">
        <x:f>IF(F440=1,"PASS","GAP")</x:f>
        <x:v>PASS</x:v>
      </x:c>
    </x:row>
    <x:row r="441">
      <x:c r="B441" t="str">
        <x:v>PL-0435</x:v>
      </x:c>
      <x:c r="C441" t="str">
        <x:v>PLANNING</x:v>
      </x:c>
      <x:c r="D441" t="str">
        <x:v>reserve</x:v>
      </x:c>
      <x:c r="E441" t="str">
        <x:v>reserve 33</x:v>
      </x:c>
      <x:c r="F441" t="n">
        <x:f>Controls!$D$62</x:f>
        <x:v>1</x:v>
      </x:c>
      <x:c r="G441" t="n">
        <x:v>1</x:v>
      </x:c>
      <x:c r="H441" t="str">
        <x:v>RFE design authority</x:v>
      </x:c>
      <x:c r="I441" t="str">
        <x:f>IF(F441=1,"PASS","GAP")</x:f>
        <x:v>PASS</x:v>
      </x:c>
    </x:row>
    <x:row r="442">
      <x:c r="B442" t="str">
        <x:v>PL-0436</x:v>
      </x:c>
      <x:c r="C442" t="str">
        <x:v>PLANNING</x:v>
      </x:c>
      <x:c r="D442" t="str">
        <x:v>reserve</x:v>
      </x:c>
      <x:c r="E442" t="str">
        <x:v>reserve 34</x:v>
      </x:c>
      <x:c r="F442" t="n">
        <x:f>Controls!$D$62</x:f>
        <x:v>1</x:v>
      </x:c>
      <x:c r="G442" t="n">
        <x:v>1</x:v>
      </x:c>
      <x:c r="H442" t="str">
        <x:v>RFE design authority</x:v>
      </x:c>
      <x:c r="I442" t="str">
        <x:f>IF(F442=1,"PASS","GAP")</x:f>
        <x:v>PASS</x:v>
      </x:c>
    </x:row>
    <x:row r="443">
      <x:c r="B443" t="str">
        <x:v>PL-0437</x:v>
      </x:c>
      <x:c r="C443" t="str">
        <x:v>PLANNING</x:v>
      </x:c>
      <x:c r="D443" t="str">
        <x:v>reserve</x:v>
      </x:c>
      <x:c r="E443" t="str">
        <x:v>reserve 35</x:v>
      </x:c>
      <x:c r="F443" t="n">
        <x:f>Controls!$D$62</x:f>
        <x:v>1</x:v>
      </x:c>
      <x:c r="G443" t="n">
        <x:v>1</x:v>
      </x:c>
      <x:c r="H443" t="str">
        <x:v>RFE design authority</x:v>
      </x:c>
      <x:c r="I443" t="str">
        <x:f>IF(F443=1,"PASS","GAP")</x:f>
        <x:v>PASS</x:v>
      </x:c>
    </x:row>
    <x:row r="444">
      <x:c r="B444" t="str">
        <x:v>PL-0438</x:v>
      </x:c>
      <x:c r="C444" t="str">
        <x:v>PLANNING</x:v>
      </x:c>
      <x:c r="D444" t="str">
        <x:v>reserve</x:v>
      </x:c>
      <x:c r="E444" t="str">
        <x:v>reserve 36</x:v>
      </x:c>
      <x:c r="F444" t="n">
        <x:f>Controls!$D$62</x:f>
        <x:v>1</x:v>
      </x:c>
      <x:c r="G444" t="n">
        <x:v>1</x:v>
      </x:c>
      <x:c r="H444" t="str">
        <x:v>RFE design authority</x:v>
      </x:c>
      <x:c r="I444" t="str">
        <x:f>IF(F444=1,"PASS","GAP")</x:f>
        <x:v>PASS</x:v>
      </x:c>
    </x:row>
    <x:row r="445">
      <x:c r="B445" t="str">
        <x:v>PL-0439</x:v>
      </x:c>
      <x:c r="C445" t="str">
        <x:v>PLANNING</x:v>
      </x:c>
      <x:c r="D445" t="str">
        <x:v>reserve</x:v>
      </x:c>
      <x:c r="E445" t="str">
        <x:v>reserve 37</x:v>
      </x:c>
      <x:c r="F445" t="n">
        <x:f>Controls!$D$62</x:f>
        <x:v>1</x:v>
      </x:c>
      <x:c r="G445" t="n">
        <x:v>1</x:v>
      </x:c>
      <x:c r="H445" t="str">
        <x:v>RFE design authority</x:v>
      </x:c>
      <x:c r="I445" t="str">
        <x:f>IF(F445=1,"PASS","GAP")</x:f>
        <x:v>PASS</x:v>
      </x:c>
    </x:row>
    <x:row r="446">
      <x:c r="B446" t="str">
        <x:v>PL-0440</x:v>
      </x:c>
      <x:c r="C446" t="str">
        <x:v>PLANNING</x:v>
      </x:c>
      <x:c r="D446" t="str">
        <x:v>reserve</x:v>
      </x:c>
      <x:c r="E446" t="str">
        <x:v>reserve 38</x:v>
      </x:c>
      <x:c r="F446" t="n">
        <x:f>Controls!$D$62</x:f>
        <x:v>1</x:v>
      </x:c>
      <x:c r="G446" t="n">
        <x:v>1</x:v>
      </x:c>
      <x:c r="H446" t="str">
        <x:v>RFE design authority</x:v>
      </x:c>
      <x:c r="I446" t="str">
        <x:f>IF(F446=1,"PASS","GAP")</x:f>
        <x:v>PASS</x:v>
      </x:c>
    </x:row>
    <x:row r="447">
      <x:c r="B447" t="str">
        <x:v>PL-0441</x:v>
      </x:c>
      <x:c r="C447" t="str">
        <x:v>PLANNING</x:v>
      </x:c>
      <x:c r="D447" t="str">
        <x:v>reserve</x:v>
      </x:c>
      <x:c r="E447" t="str">
        <x:v>reserve 39</x:v>
      </x:c>
      <x:c r="F447" t="n">
        <x:f>Controls!$D$62</x:f>
        <x:v>1</x:v>
      </x:c>
      <x:c r="G447" t="n">
        <x:v>1</x:v>
      </x:c>
      <x:c r="H447" t="str">
        <x:v>RFE design authority</x:v>
      </x:c>
      <x:c r="I447" t="str">
        <x:f>IF(F447=1,"PASS","GAP")</x:f>
        <x:v>PASS</x:v>
      </x:c>
    </x:row>
    <x:row r="448">
      <x:c r="B448" t="str">
        <x:v>PL-0442</x:v>
      </x:c>
      <x:c r="C448" t="str">
        <x:v>PLANNING</x:v>
      </x:c>
      <x:c r="D448" t="str">
        <x:v>reserve</x:v>
      </x:c>
      <x:c r="E448" t="str">
        <x:v>reserve 40</x:v>
      </x:c>
      <x:c r="F448" t="n">
        <x:f>Controls!$D$62</x:f>
        <x:v>1</x:v>
      </x:c>
      <x:c r="G448" t="n">
        <x:v>1</x:v>
      </x:c>
      <x:c r="H448" t="str">
        <x:v>RFE design authority</x:v>
      </x:c>
      <x:c r="I448" t="str">
        <x:f>IF(F448=1,"PASS","GAP")</x:f>
        <x:v>PASS</x:v>
      </x:c>
    </x:row>
    <x:row r="449">
      <x:c r="B449" t="str">
        <x:v>PL-0443</x:v>
      </x:c>
      <x:c r="C449" t="str">
        <x:v>PLANNING</x:v>
      </x:c>
      <x:c r="D449" t="str">
        <x:v>reserve</x:v>
      </x:c>
      <x:c r="E449" t="str">
        <x:v>reserve 41</x:v>
      </x:c>
      <x:c r="F449" t="n">
        <x:f>Controls!$D$62</x:f>
        <x:v>1</x:v>
      </x:c>
      <x:c r="G449" t="n">
        <x:v>1</x:v>
      </x:c>
      <x:c r="H449" t="str">
        <x:v>RFE design authority</x:v>
      </x:c>
      <x:c r="I449" t="str">
        <x:f>IF(F449=1,"PASS","GAP")</x:f>
        <x:v>PASS</x:v>
      </x:c>
    </x:row>
    <x:row r="450">
      <x:c r="B450" t="str">
        <x:v>PL-0444</x:v>
      </x:c>
      <x:c r="C450" t="str">
        <x:v>PLANNING</x:v>
      </x:c>
      <x:c r="D450" t="str">
        <x:v>reserve</x:v>
      </x:c>
      <x:c r="E450" t="str">
        <x:v>reserve 42</x:v>
      </x:c>
      <x:c r="F450" t="n">
        <x:f>Controls!$D$62</x:f>
        <x:v>1</x:v>
      </x:c>
      <x:c r="G450" t="n">
        <x:v>1</x:v>
      </x:c>
      <x:c r="H450" t="str">
        <x:v>RFE design authority</x:v>
      </x:c>
      <x:c r="I450" t="str">
        <x:f>IF(F450=1,"PASS","GAP")</x:f>
        <x:v>PASS</x:v>
      </x:c>
    </x:row>
    <x:row r="451">
      <x:c r="B451" t="str">
        <x:v>PL-0445</x:v>
      </x:c>
      <x:c r="C451" t="str">
        <x:v>PLANNING</x:v>
      </x:c>
      <x:c r="D451" t="str">
        <x:v>reserve</x:v>
      </x:c>
      <x:c r="E451" t="str">
        <x:v>reserve 43</x:v>
      </x:c>
      <x:c r="F451" t="n">
        <x:f>Controls!$D$62</x:f>
        <x:v>1</x:v>
      </x:c>
      <x:c r="G451" t="n">
        <x:v>1</x:v>
      </x:c>
      <x:c r="H451" t="str">
        <x:v>RFE design authority</x:v>
      </x:c>
      <x:c r="I451" t="str">
        <x:f>IF(F451=1,"PASS","GAP")</x:f>
        <x:v>PASS</x:v>
      </x:c>
    </x:row>
    <x:row r="452">
      <x:c r="B452" t="str">
        <x:v>PL-0446</x:v>
      </x:c>
      <x:c r="C452" t="str">
        <x:v>PLANNING</x:v>
      </x:c>
      <x:c r="D452" t="str">
        <x:v>reserve</x:v>
      </x:c>
      <x:c r="E452" t="str">
        <x:v>reserve 44</x:v>
      </x:c>
      <x:c r="F452" t="n">
        <x:f>Controls!$D$62</x:f>
        <x:v>1</x:v>
      </x:c>
      <x:c r="G452" t="n">
        <x:v>1</x:v>
      </x:c>
      <x:c r="H452" t="str">
        <x:v>RFE design authority</x:v>
      </x:c>
      <x:c r="I452" t="str">
        <x:f>IF(F452=1,"PASS","GAP")</x:f>
        <x:v>PASS</x:v>
      </x:c>
    </x:row>
    <x:row r="453">
      <x:c r="B453" t="str">
        <x:v>PL-0447</x:v>
      </x:c>
      <x:c r="C453" t="str">
        <x:v>PLANNING</x:v>
      </x:c>
      <x:c r="D453" t="str">
        <x:v>reserve</x:v>
      </x:c>
      <x:c r="E453" t="str">
        <x:v>reserve 45</x:v>
      </x:c>
      <x:c r="F453" t="n">
        <x:f>Controls!$D$62</x:f>
        <x:v>1</x:v>
      </x:c>
      <x:c r="G453" t="n">
        <x:v>1</x:v>
      </x:c>
      <x:c r="H453" t="str">
        <x:v>RFE design authority</x:v>
      </x:c>
      <x:c r="I453" t="str">
        <x:f>IF(F453=1,"PASS","GAP")</x:f>
        <x:v>PASS</x:v>
      </x:c>
    </x:row>
    <x:row r="454">
      <x:c r="B454" t="str">
        <x:v>PL-0448</x:v>
      </x:c>
      <x:c r="C454" t="str">
        <x:v>PLANNING</x:v>
      </x:c>
      <x:c r="D454" t="str">
        <x:v>reserve</x:v>
      </x:c>
      <x:c r="E454" t="str">
        <x:v>reserve 46</x:v>
      </x:c>
      <x:c r="F454" t="n">
        <x:f>Controls!$D$62</x:f>
        <x:v>1</x:v>
      </x:c>
      <x:c r="G454" t="n">
        <x:v>1</x:v>
      </x:c>
      <x:c r="H454" t="str">
        <x:v>RFE design authority</x:v>
      </x:c>
      <x:c r="I454" t="str">
        <x:f>IF(F454=1,"PASS","GAP")</x:f>
        <x:v>PASS</x:v>
      </x:c>
    </x:row>
    <x:row r="455">
      <x:c r="B455" t="str">
        <x:v>PL-0449</x:v>
      </x:c>
      <x:c r="C455" t="str">
        <x:v>PLANNING</x:v>
      </x:c>
      <x:c r="D455" t="str">
        <x:v>reserve</x:v>
      </x:c>
      <x:c r="E455" t="str">
        <x:v>reserve 47</x:v>
      </x:c>
      <x:c r="F455" t="n">
        <x:f>Controls!$D$62</x:f>
        <x:v>1</x:v>
      </x:c>
      <x:c r="G455" t="n">
        <x:v>1</x:v>
      </x:c>
      <x:c r="H455" t="str">
        <x:v>RFE design authority</x:v>
      </x:c>
      <x:c r="I455" t="str">
        <x:f>IF(F455=1,"PASS","GAP")</x:f>
        <x:v>PASS</x:v>
      </x:c>
    </x:row>
    <x:row r="456">
      <x:c r="B456" t="str">
        <x:v>PL-0450</x:v>
      </x:c>
      <x:c r="C456" t="str">
        <x:v>PLANNING</x:v>
      </x:c>
      <x:c r="D456" t="str">
        <x:v>reserve</x:v>
      </x:c>
      <x:c r="E456" t="str">
        <x:v>reserve 48</x:v>
      </x:c>
      <x:c r="F456" t="n">
        <x:f>Controls!$D$62</x:f>
        <x:v>1</x:v>
      </x:c>
      <x:c r="G456" t="n">
        <x:v>1</x:v>
      </x:c>
      <x:c r="H456" t="str">
        <x:v>RFE design authority</x:v>
      </x:c>
      <x:c r="I456" t="str">
        <x:f>IF(F456=1,"PASS","GAP")</x:f>
        <x:v>PASS</x:v>
      </x:c>
    </x:row>
    <x:row r="457">
      <x:c r="B457" t="str">
        <x:v>PL-0451</x:v>
      </x:c>
      <x:c r="C457" t="str">
        <x:v>PLANNING</x:v>
      </x:c>
      <x:c r="D457" t="str">
        <x:v>reserve</x:v>
      </x:c>
      <x:c r="E457" t="str">
        <x:v>reserve 49</x:v>
      </x:c>
      <x:c r="F457" t="n">
        <x:f>Controls!$D$62</x:f>
        <x:v>1</x:v>
      </x:c>
      <x:c r="G457" t="n">
        <x:v>1</x:v>
      </x:c>
      <x:c r="H457" t="str">
        <x:v>RFE design authority</x:v>
      </x:c>
      <x:c r="I457" t="str">
        <x:f>IF(F457=1,"PASS","GAP")</x:f>
        <x:v>PASS</x:v>
      </x:c>
    </x:row>
    <x:row r="458">
      <x:c r="B458" t="str">
        <x:v>PL-0452</x:v>
      </x:c>
      <x:c r="C458" t="str">
        <x:v>PLANNING</x:v>
      </x:c>
      <x:c r="D458" t="str">
        <x:v>reserve</x:v>
      </x:c>
      <x:c r="E458" t="str">
        <x:v>reserve 50</x:v>
      </x:c>
      <x:c r="F458" t="n">
        <x:f>Controls!$D$62</x:f>
        <x:v>1</x:v>
      </x:c>
      <x:c r="G458" t="n">
        <x:v>1</x:v>
      </x:c>
      <x:c r="H458" t="str">
        <x:v>RFE design authority</x:v>
      </x:c>
      <x:c r="I458" t="str">
        <x:f>IF(F458=1,"PASS","GAP")</x:f>
        <x:v>PASS</x:v>
      </x:c>
    </x:row>
    <x:row r="459">
      <x:c r="B459" t="str">
        <x:v>PL-0453</x:v>
      </x:c>
      <x:c r="C459" t="str">
        <x:v>PLANNING</x:v>
      </x:c>
      <x:c r="D459" t="str">
        <x:v>reserve</x:v>
      </x:c>
      <x:c r="E459" t="str">
        <x:v>reserve 51</x:v>
      </x:c>
      <x:c r="F459" t="n">
        <x:f>Controls!$D$62</x:f>
        <x:v>1</x:v>
      </x:c>
      <x:c r="G459" t="n">
        <x:v>1</x:v>
      </x:c>
      <x:c r="H459" t="str">
        <x:v>RFE design authority</x:v>
      </x:c>
      <x:c r="I459" t="str">
        <x:f>IF(F459=1,"PASS","GAP")</x:f>
        <x:v>PASS</x:v>
      </x:c>
    </x:row>
    <x:row r="460">
      <x:c r="B460" t="str">
        <x:v>PL-0454</x:v>
      </x:c>
      <x:c r="C460" t="str">
        <x:v>PLANNING</x:v>
      </x:c>
      <x:c r="D460" t="str">
        <x:v>reserve</x:v>
      </x:c>
      <x:c r="E460" t="str">
        <x:v>reserve 52</x:v>
      </x:c>
      <x:c r="F460" t="n">
        <x:f>Controls!$D$62</x:f>
        <x:v>1</x:v>
      </x:c>
      <x:c r="G460" t="n">
        <x:v>1</x:v>
      </x:c>
      <x:c r="H460" t="str">
        <x:v>RFE design authority</x:v>
      </x:c>
      <x:c r="I460" t="str">
        <x:f>IF(F460=1,"PASS","GAP")</x:f>
        <x:v>PASS</x:v>
      </x:c>
    </x:row>
    <x:row r="461">
      <x:c r="B461" t="str">
        <x:v>PL-0455</x:v>
      </x:c>
      <x:c r="C461" t="str">
        <x:v>PLANNING</x:v>
      </x:c>
      <x:c r="D461" t="str">
        <x:v>reserve</x:v>
      </x:c>
      <x:c r="E461" t="str">
        <x:v>reserve 53</x:v>
      </x:c>
      <x:c r="F461" t="n">
        <x:f>Controls!$D$62</x:f>
        <x:v>1</x:v>
      </x:c>
      <x:c r="G461" t="n">
        <x:v>1</x:v>
      </x:c>
      <x:c r="H461" t="str">
        <x:v>RFE design authority</x:v>
      </x:c>
      <x:c r="I461" t="str">
        <x:f>IF(F461=1,"PASS","GAP")</x:f>
        <x:v>PASS</x:v>
      </x:c>
    </x:row>
    <x:row r="462">
      <x:c r="B462" t="str">
        <x:v>PL-0456</x:v>
      </x:c>
      <x:c r="C462" t="str">
        <x:v>PLANNING</x:v>
      </x:c>
      <x:c r="D462" t="str">
        <x:v>reserve</x:v>
      </x:c>
      <x:c r="E462" t="str">
        <x:v>reserve 54</x:v>
      </x:c>
      <x:c r="F462" t="n">
        <x:f>Controls!$D$62</x:f>
        <x:v>1</x:v>
      </x:c>
      <x:c r="G462" t="n">
        <x:v>1</x:v>
      </x:c>
      <x:c r="H462" t="str">
        <x:v>RFE design authority</x:v>
      </x:c>
      <x:c r="I462" t="str">
        <x:f>IF(F462=1,"PASS","GAP")</x:f>
        <x:v>PASS</x:v>
      </x:c>
    </x:row>
    <x:row r="463">
      <x:c r="B463" t="str">
        <x:v>PL-0457</x:v>
      </x:c>
      <x:c r="C463" t="str">
        <x:v>PLANNING</x:v>
      </x:c>
      <x:c r="D463" t="str">
        <x:v>reserve</x:v>
      </x:c>
      <x:c r="E463" t="str">
        <x:v>reserve 55</x:v>
      </x:c>
      <x:c r="F463" t="n">
        <x:f>Controls!$D$62</x:f>
        <x:v>1</x:v>
      </x:c>
      <x:c r="G463" t="n">
        <x:v>1</x:v>
      </x:c>
      <x:c r="H463" t="str">
        <x:v>RFE design authority</x:v>
      </x:c>
      <x:c r="I463" t="str">
        <x:f>IF(F463=1,"PASS","GAP")</x:f>
        <x:v>PASS</x:v>
      </x:c>
    </x:row>
    <x:row r="464">
      <x:c r="B464" t="str">
        <x:v>PL-0458</x:v>
      </x:c>
      <x:c r="C464" t="str">
        <x:v>PLANNING</x:v>
      </x:c>
      <x:c r="D464" t="str">
        <x:v>reserve</x:v>
      </x:c>
      <x:c r="E464" t="str">
        <x:v>reserve 56</x:v>
      </x:c>
      <x:c r="F464" t="n">
        <x:f>Controls!$D$62</x:f>
        <x:v>1</x:v>
      </x:c>
      <x:c r="G464" t="n">
        <x:v>1</x:v>
      </x:c>
      <x:c r="H464" t="str">
        <x:v>RFE design authority</x:v>
      </x:c>
      <x:c r="I464" t="str">
        <x:f>IF(F464=1,"PASS","GAP")</x:f>
        <x:v>PASS</x:v>
      </x:c>
    </x:row>
    <x:row r="465">
      <x:c r="B465" t="str">
        <x:v>PL-0459</x:v>
      </x:c>
      <x:c r="C465" t="str">
        <x:v>PLANNING</x:v>
      </x:c>
      <x:c r="D465" t="str">
        <x:v>reserve</x:v>
      </x:c>
      <x:c r="E465" t="str">
        <x:v>reserve 57</x:v>
      </x:c>
      <x:c r="F465" t="n">
        <x:f>Controls!$D$62</x:f>
        <x:v>1</x:v>
      </x:c>
      <x:c r="G465" t="n">
        <x:v>1</x:v>
      </x:c>
      <x:c r="H465" t="str">
        <x:v>RFE design authority</x:v>
      </x:c>
      <x:c r="I465" t="str">
        <x:f>IF(F465=1,"PASS","GAP")</x:f>
        <x:v>PASS</x:v>
      </x:c>
    </x:row>
    <x:row r="466">
      <x:c r="B466" t="str">
        <x:v>PL-0460</x:v>
      </x:c>
      <x:c r="C466" t="str">
        <x:v>PLANNING</x:v>
      </x:c>
      <x:c r="D466" t="str">
        <x:v>reserve</x:v>
      </x:c>
      <x:c r="E466" t="str">
        <x:v>reserve 58</x:v>
      </x:c>
      <x:c r="F466" t="n">
        <x:f>Controls!$D$62</x:f>
        <x:v>1</x:v>
      </x:c>
      <x:c r="G466" t="n">
        <x:v>1</x:v>
      </x:c>
      <x:c r="H466" t="str">
        <x:v>RFE design authority</x:v>
      </x:c>
      <x:c r="I466" t="str">
        <x:f>IF(F466=1,"PASS","GAP")</x:f>
        <x:v>PASS</x:v>
      </x:c>
    </x:row>
    <x:row r="467">
      <x:c r="B467" t="str">
        <x:v>PL-0461</x:v>
      </x:c>
      <x:c r="C467" t="str">
        <x:v>PLANNING</x:v>
      </x:c>
      <x:c r="D467" t="str">
        <x:v>reserve</x:v>
      </x:c>
      <x:c r="E467" t="str">
        <x:v>reserve 59</x:v>
      </x:c>
      <x:c r="F467" t="n">
        <x:f>Controls!$D$62</x:f>
        <x:v>1</x:v>
      </x:c>
      <x:c r="G467" t="n">
        <x:v>1</x:v>
      </x:c>
      <x:c r="H467" t="str">
        <x:v>RFE design authority</x:v>
      </x:c>
      <x:c r="I467" t="str">
        <x:f>IF(F467=1,"PASS","GAP")</x:f>
        <x:v>PASS</x:v>
      </x:c>
    </x:row>
    <x:row r="468">
      <x:c r="B468" t="str">
        <x:v>PL-0462</x:v>
      </x:c>
      <x:c r="C468" t="str">
        <x:v>PLANNING</x:v>
      </x:c>
      <x:c r="D468" t="str">
        <x:v>reserve</x:v>
      </x:c>
      <x:c r="E468" t="str">
        <x:v>reserve 60</x:v>
      </x:c>
      <x:c r="F468" t="n">
        <x:f>Controls!$D$62</x:f>
        <x:v>1</x:v>
      </x:c>
      <x:c r="G468" t="n">
        <x:v>1</x:v>
      </x:c>
      <x:c r="H468" t="str">
        <x:v>RFE design authority</x:v>
      </x:c>
      <x:c r="I468" t="str">
        <x:f>IF(F468=1,"PASS","GAP")</x:f>
        <x:v>PASS</x:v>
      </x:c>
    </x:row>
    <x:row r="469">
      <x:c r="B469" t="str">
        <x:v>PL-0463</x:v>
      </x:c>
      <x:c r="C469" t="str">
        <x:v>PLANNING</x:v>
      </x:c>
      <x:c r="D469" t="str">
        <x:v>reserve</x:v>
      </x:c>
      <x:c r="E469" t="str">
        <x:v>reserve 61</x:v>
      </x:c>
      <x:c r="F469" t="n">
        <x:f>Controls!$D$62</x:f>
        <x:v>1</x:v>
      </x:c>
      <x:c r="G469" t="n">
        <x:v>1</x:v>
      </x:c>
      <x:c r="H469" t="str">
        <x:v>RFE design authority</x:v>
      </x:c>
      <x:c r="I469" t="str">
        <x:f>IF(F469=1,"PASS","GAP")</x:f>
        <x:v>PASS</x:v>
      </x:c>
    </x:row>
    <x:row r="470">
      <x:c r="B470" t="str">
        <x:v>PL-0464</x:v>
      </x:c>
      <x:c r="C470" t="str">
        <x:v>PLANNING</x:v>
      </x:c>
      <x:c r="D470" t="str">
        <x:v>reserve</x:v>
      </x:c>
      <x:c r="E470" t="str">
        <x:v>reserve 62</x:v>
      </x:c>
      <x:c r="F470" t="n">
        <x:f>Controls!$D$62</x:f>
        <x:v>1</x:v>
      </x:c>
      <x:c r="G470" t="n">
        <x:v>1</x:v>
      </x:c>
      <x:c r="H470" t="str">
        <x:v>RFE design authority</x:v>
      </x:c>
      <x:c r="I470" t="str">
        <x:f>IF(F470=1,"PASS","GAP")</x:f>
        <x:v>PASS</x:v>
      </x:c>
    </x:row>
    <x:row r="471">
      <x:c r="B471" t="str">
        <x:v>PL-0465</x:v>
      </x:c>
      <x:c r="C471" t="str">
        <x:v>PLANNING</x:v>
      </x:c>
      <x:c r="D471" t="str">
        <x:v>reserve</x:v>
      </x:c>
      <x:c r="E471" t="str">
        <x:v>reserve 63</x:v>
      </x:c>
      <x:c r="F471" t="n">
        <x:f>Controls!$D$62</x:f>
        <x:v>1</x:v>
      </x:c>
      <x:c r="G471" t="n">
        <x:v>1</x:v>
      </x:c>
      <x:c r="H471" t="str">
        <x:v>RFE design authority</x:v>
      </x:c>
      <x:c r="I471" t="str">
        <x:f>IF(F471=1,"PASS","GAP")</x:f>
        <x:v>PASS</x:v>
      </x:c>
    </x:row>
    <x:row r="472">
      <x:c r="B472" t="str">
        <x:v>PL-0466</x:v>
      </x:c>
      <x:c r="C472" t="str">
        <x:v>PLANNING</x:v>
      </x:c>
      <x:c r="D472" t="str">
        <x:v>reserve</x:v>
      </x:c>
      <x:c r="E472" t="str">
        <x:v>reserve 64</x:v>
      </x:c>
      <x:c r="F472" t="n">
        <x:f>Controls!$D$62</x:f>
        <x:v>1</x:v>
      </x:c>
      <x:c r="G472" t="n">
        <x:v>1</x:v>
      </x:c>
      <x:c r="H472" t="str">
        <x:v>RFE design authority</x:v>
      </x:c>
      <x:c r="I472" t="str">
        <x:f>IF(F472=1,"PASS","GAP")</x:f>
        <x:v>PASS</x:v>
      </x:c>
    </x:row>
    <x:row r="473">
      <x:c r="B473" t="str">
        <x:v>PL-0467</x:v>
      </x:c>
      <x:c r="C473" t="str">
        <x:v>PLANNING</x:v>
      </x:c>
      <x:c r="D473" t="str">
        <x:v>reserve</x:v>
      </x:c>
      <x:c r="E473" t="str">
        <x:v>reserve 65</x:v>
      </x:c>
      <x:c r="F473" t="n">
        <x:f>Controls!$D$62</x:f>
        <x:v>1</x:v>
      </x:c>
      <x:c r="G473" t="n">
        <x:v>1</x:v>
      </x:c>
      <x:c r="H473" t="str">
        <x:v>RFE design authority</x:v>
      </x:c>
      <x:c r="I473" t="str">
        <x:f>IF(F473=1,"PASS","GAP")</x:f>
        <x:v>PASS</x:v>
      </x:c>
    </x:row>
    <x:row r="474">
      <x:c r="B474" t="str">
        <x:v>PL-0468</x:v>
      </x:c>
      <x:c r="C474" t="str">
        <x:v>PLANNING</x:v>
      </x:c>
      <x:c r="D474" t="str">
        <x:v>reserve</x:v>
      </x:c>
      <x:c r="E474" t="str">
        <x:v>reserve 66</x:v>
      </x:c>
      <x:c r="F474" t="n">
        <x:f>Controls!$D$62</x:f>
        <x:v>1</x:v>
      </x:c>
      <x:c r="G474" t="n">
        <x:v>1</x:v>
      </x:c>
      <x:c r="H474" t="str">
        <x:v>RFE design authority</x:v>
      </x:c>
      <x:c r="I474" t="str">
        <x:f>IF(F474=1,"PASS","GAP")</x:f>
        <x:v>PASS</x:v>
      </x:c>
    </x:row>
    <x:row r="475">
      <x:c r="B475" t="str">
        <x:v>PL-0469</x:v>
      </x:c>
      <x:c r="C475" t="str">
        <x:v>PLANNING</x:v>
      </x:c>
      <x:c r="D475" t="str">
        <x:v>class</x:v>
      </x:c>
      <x:c r="E475" t="str">
        <x:v>class 1</x:v>
      </x:c>
      <x:c r="F475" t="n">
        <x:f>Controls!$D$62</x:f>
        <x:v>1</x:v>
      </x:c>
      <x:c r="G475" t="n">
        <x:v>1</x:v>
      </x:c>
      <x:c r="H475" t="str">
        <x:v>RFE design authority</x:v>
      </x:c>
      <x:c r="I475" t="str">
        <x:f>IF(F475=1,"PASS","GAP")</x:f>
        <x:v>PASS</x:v>
      </x:c>
    </x:row>
    <x:row r="476">
      <x:c r="B476" t="str">
        <x:v>PL-0470</x:v>
      </x:c>
      <x:c r="C476" t="str">
        <x:v>PLANNING</x:v>
      </x:c>
      <x:c r="D476" t="str">
        <x:v>class</x:v>
      </x:c>
      <x:c r="E476" t="str">
        <x:v>class 2</x:v>
      </x:c>
      <x:c r="F476" t="n">
        <x:f>Controls!$D$62</x:f>
        <x:v>1</x:v>
      </x:c>
      <x:c r="G476" t="n">
        <x:v>1</x:v>
      </x:c>
      <x:c r="H476" t="str">
        <x:v>RFE design authority</x:v>
      </x:c>
      <x:c r="I476" t="str">
        <x:f>IF(F476=1,"PASS","GAP")</x:f>
        <x:v>PASS</x:v>
      </x:c>
    </x:row>
    <x:row r="477">
      <x:c r="B477" t="str">
        <x:v>PL-0471</x:v>
      </x:c>
      <x:c r="C477" t="str">
        <x:v>PLANNING</x:v>
      </x:c>
      <x:c r="D477" t="str">
        <x:v>class</x:v>
      </x:c>
      <x:c r="E477" t="str">
        <x:v>class 3</x:v>
      </x:c>
      <x:c r="F477" t="n">
        <x:f>Controls!$D$62</x:f>
        <x:v>1</x:v>
      </x:c>
      <x:c r="G477" t="n">
        <x:v>1</x:v>
      </x:c>
      <x:c r="H477" t="str">
        <x:v>RFE design authority</x:v>
      </x:c>
      <x:c r="I477" t="str">
        <x:f>IF(F477=1,"PASS","GAP")</x:f>
        <x:v>PASS</x:v>
      </x:c>
    </x:row>
    <x:row r="478">
      <x:c r="B478" t="str">
        <x:v>PL-0472</x:v>
      </x:c>
      <x:c r="C478" t="str">
        <x:v>PLANNING</x:v>
      </x:c>
      <x:c r="D478" t="str">
        <x:v>class</x:v>
      </x:c>
      <x:c r="E478" t="str">
        <x:v>class 4</x:v>
      </x:c>
      <x:c r="F478" t="n">
        <x:f>Controls!$D$62</x:f>
        <x:v>1</x:v>
      </x:c>
      <x:c r="G478" t="n">
        <x:v>1</x:v>
      </x:c>
      <x:c r="H478" t="str">
        <x:v>RFE design authority</x:v>
      </x:c>
      <x:c r="I478" t="str">
        <x:f>IF(F478=1,"PASS","GAP")</x:f>
        <x:v>PASS</x:v>
      </x:c>
    </x:row>
    <x:row r="479">
      <x:c r="B479" t="str">
        <x:v>PL-0473</x:v>
      </x:c>
      <x:c r="C479" t="str">
        <x:v>PLANNING</x:v>
      </x:c>
      <x:c r="D479" t="str">
        <x:v>class</x:v>
      </x:c>
      <x:c r="E479" t="str">
        <x:v>class 5</x:v>
      </x:c>
      <x:c r="F479" t="n">
        <x:f>Controls!$D$62</x:f>
        <x:v>1</x:v>
      </x:c>
      <x:c r="G479" t="n">
        <x:v>1</x:v>
      </x:c>
      <x:c r="H479" t="str">
        <x:v>RFE design authority</x:v>
      </x:c>
      <x:c r="I479" t="str">
        <x:f>IF(F479=1,"PASS","GAP")</x:f>
        <x:v>PASS</x:v>
      </x:c>
    </x:row>
    <x:row r="480">
      <x:c r="B480" t="str">
        <x:v>PL-0474</x:v>
      </x:c>
      <x:c r="C480" t="str">
        <x:v>PLANNING</x:v>
      </x:c>
      <x:c r="D480" t="str">
        <x:v>class</x:v>
      </x:c>
      <x:c r="E480" t="str">
        <x:v>class 6</x:v>
      </x:c>
      <x:c r="F480" t="n">
        <x:f>Controls!$D$62</x:f>
        <x:v>1</x:v>
      </x:c>
      <x:c r="G480" t="n">
        <x:v>1</x:v>
      </x:c>
      <x:c r="H480" t="str">
        <x:v>RFE design authority</x:v>
      </x:c>
      <x:c r="I480" t="str">
        <x:f>IF(F480=1,"PASS","GAP")</x:f>
        <x:v>PASS</x:v>
      </x:c>
    </x:row>
    <x:row r="481">
      <x:c r="B481" t="str">
        <x:v>PL-0475</x:v>
      </x:c>
      <x:c r="C481" t="str">
        <x:v>PLANNING</x:v>
      </x:c>
      <x:c r="D481" t="str">
        <x:v>class</x:v>
      </x:c>
      <x:c r="E481" t="str">
        <x:v>class 7</x:v>
      </x:c>
      <x:c r="F481" t="n">
        <x:f>Controls!$D$62</x:f>
        <x:v>1</x:v>
      </x:c>
      <x:c r="G481" t="n">
        <x:v>1</x:v>
      </x:c>
      <x:c r="H481" t="str">
        <x:v>RFE design authority</x:v>
      </x:c>
      <x:c r="I481" t="str">
        <x:f>IF(F481=1,"PASS","GAP")</x:f>
        <x:v>PASS</x:v>
      </x:c>
    </x:row>
    <x:row r="482">
      <x:c r="B482" t="str">
        <x:v>PL-0476</x:v>
      </x:c>
      <x:c r="C482" t="str">
        <x:v>PLANNING</x:v>
      </x:c>
      <x:c r="D482" t="str">
        <x:v>initial condition</x:v>
      </x:c>
      <x:c r="E482" t="str">
        <x:v>initial condition 1</x:v>
      </x:c>
      <x:c r="F482" t="n">
        <x:f>Controls!$D$62</x:f>
        <x:v>1</x:v>
      </x:c>
      <x:c r="G482" t="n">
        <x:v>1</x:v>
      </x:c>
      <x:c r="H482" t="str">
        <x:v>RFE design authority</x:v>
      </x:c>
      <x:c r="I482" t="str">
        <x:f>IF(F482=1,"PASS","GAP")</x:f>
        <x:v>PASS</x:v>
      </x:c>
    </x:row>
    <x:row r="483">
      <x:c r="B483" t="str">
        <x:v>PL-0477</x:v>
      </x:c>
      <x:c r="C483" t="str">
        <x:v>PLANNING</x:v>
      </x:c>
      <x:c r="D483" t="str">
        <x:v>initial condition</x:v>
      </x:c>
      <x:c r="E483" t="str">
        <x:v>initial condition 2</x:v>
      </x:c>
      <x:c r="F483" t="n">
        <x:f>Controls!$D$62</x:f>
        <x:v>1</x:v>
      </x:c>
      <x:c r="G483" t="n">
        <x:v>1</x:v>
      </x:c>
      <x:c r="H483" t="str">
        <x:v>RFE design authority</x:v>
      </x:c>
      <x:c r="I483" t="str">
        <x:f>IF(F483=1,"PASS","GAP")</x:f>
        <x:v>PASS</x:v>
      </x:c>
    </x:row>
    <x:row r="484">
      <x:c r="B484" t="str">
        <x:v>PL-0478</x:v>
      </x:c>
      <x:c r="C484" t="str">
        <x:v>PLANNING</x:v>
      </x:c>
      <x:c r="D484" t="str">
        <x:v>initial condition</x:v>
      </x:c>
      <x:c r="E484" t="str">
        <x:v>initial condition 3</x:v>
      </x:c>
      <x:c r="F484" t="n">
        <x:f>Controls!$D$62</x:f>
        <x:v>1</x:v>
      </x:c>
      <x:c r="G484" t="n">
        <x:v>1</x:v>
      </x:c>
      <x:c r="H484" t="str">
        <x:v>RFE design authority</x:v>
      </x:c>
      <x:c r="I484" t="str">
        <x:f>IF(F484=1,"PASS","GAP")</x:f>
        <x:v>PASS</x:v>
      </x:c>
    </x:row>
    <x:row r="485">
      <x:c r="B485" t="str">
        <x:v>PL-0479</x:v>
      </x:c>
      <x:c r="C485" t="str">
        <x:v>PLANNING</x:v>
      </x:c>
      <x:c r="D485" t="str">
        <x:v>initial condition</x:v>
      </x:c>
      <x:c r="E485" t="str">
        <x:v>initial condition 4</x:v>
      </x:c>
      <x:c r="F485" t="n">
        <x:f>Controls!$D$62</x:f>
        <x:v>1</x:v>
      </x:c>
      <x:c r="G485" t="n">
        <x:v>1</x:v>
      </x:c>
      <x:c r="H485" t="str">
        <x:v>RFE design authority</x:v>
      </x:c>
      <x:c r="I485" t="str">
        <x:f>IF(F485=1,"PASS","GAP")</x:f>
        <x:v>PASS</x:v>
      </x:c>
    </x:row>
    <x:row r="486">
      <x:c r="B486" t="str">
        <x:v>PL-0480</x:v>
      </x:c>
      <x:c r="C486" t="str">
        <x:v>PLANNING</x:v>
      </x:c>
      <x:c r="D486" t="str">
        <x:v>initial condition</x:v>
      </x:c>
      <x:c r="E486" t="str">
        <x:v>initial condition 5</x:v>
      </x:c>
      <x:c r="F486" t="n">
        <x:f>Controls!$D$62</x:f>
        <x:v>1</x:v>
      </x:c>
      <x:c r="G486" t="n">
        <x:v>1</x:v>
      </x:c>
      <x:c r="H486" t="str">
        <x:v>RFE design authority</x:v>
      </x:c>
      <x:c r="I486" t="str">
        <x:f>IF(F486=1,"PASS","GAP")</x:f>
        <x:v>PASS</x:v>
      </x:c>
    </x:row>
    <x:row r="487">
      <x:c r="B487" t="str">
        <x:v>PL-0481</x:v>
      </x:c>
      <x:c r="C487" t="str">
        <x:v>PLANNING</x:v>
      </x:c>
      <x:c r="D487" t="str">
        <x:v>initial condition</x:v>
      </x:c>
      <x:c r="E487" t="str">
        <x:v>initial condition 6</x:v>
      </x:c>
      <x:c r="F487" t="n">
        <x:f>Controls!$D$62</x:f>
        <x:v>1</x:v>
      </x:c>
      <x:c r="G487" t="n">
        <x:v>1</x:v>
      </x:c>
      <x:c r="H487" t="str">
        <x:v>RFE design authority</x:v>
      </x:c>
      <x:c r="I487" t="str">
        <x:f>IF(F487=1,"PASS","GAP")</x:f>
        <x:v>PASS</x:v>
      </x:c>
    </x:row>
    <x:row r="488">
      <x:c r="B488" t="str">
        <x:v>PL-0482</x:v>
      </x:c>
      <x:c r="C488" t="str">
        <x:v>PLANNING</x:v>
      </x:c>
      <x:c r="D488" t="str">
        <x:v>initial condition</x:v>
      </x:c>
      <x:c r="E488" t="str">
        <x:v>initial condition 7</x:v>
      </x:c>
      <x:c r="F488" t="n">
        <x:f>Controls!$D$62</x:f>
        <x:v>1</x:v>
      </x:c>
      <x:c r="G488" t="n">
        <x:v>1</x:v>
      </x:c>
      <x:c r="H488" t="str">
        <x:v>RFE design authority</x:v>
      </x:c>
      <x:c r="I488" t="str">
        <x:f>IF(F488=1,"PASS","GAP")</x:f>
        <x:v>PASS</x:v>
      </x:c>
    </x:row>
    <x:row r="489">
      <x:c r="B489" t="str">
        <x:v>PL-0483</x:v>
      </x:c>
      <x:c r="C489" t="str">
        <x:v>PLANNING</x:v>
      </x:c>
      <x:c r="D489" t="str">
        <x:v>initial condition</x:v>
      </x:c>
      <x:c r="E489" t="str">
        <x:v>initial condition 8</x:v>
      </x:c>
      <x:c r="F489" t="n">
        <x:f>Controls!$D$62</x:f>
        <x:v>1</x:v>
      </x:c>
      <x:c r="G489" t="n">
        <x:v>1</x:v>
      </x:c>
      <x:c r="H489" t="str">
        <x:v>RFE design authority</x:v>
      </x:c>
      <x:c r="I489" t="str">
        <x:f>IF(F489=1,"PASS","GAP")</x:f>
        <x:v>PASS</x:v>
      </x:c>
    </x:row>
    <x:row r="490">
      <x:c r="B490" t="str">
        <x:v>PL-0484</x:v>
      </x:c>
      <x:c r="C490" t="str">
        <x:v>PLANNING</x:v>
      </x:c>
      <x:c r="D490" t="str">
        <x:v>initial condition</x:v>
      </x:c>
      <x:c r="E490" t="str">
        <x:v>initial condition 9</x:v>
      </x:c>
      <x:c r="F490" t="n">
        <x:f>Controls!$D$62</x:f>
        <x:v>1</x:v>
      </x:c>
      <x:c r="G490" t="n">
        <x:v>1</x:v>
      </x:c>
      <x:c r="H490" t="str">
        <x:v>RFE design authority</x:v>
      </x:c>
      <x:c r="I490" t="str">
        <x:f>IF(F490=1,"PASS","GAP")</x:f>
        <x:v>PASS</x:v>
      </x:c>
    </x:row>
    <x:row r="491">
      <x:c r="B491" t="str">
        <x:v>PL-0485</x:v>
      </x:c>
      <x:c r="C491" t="str">
        <x:v>PLANNING</x:v>
      </x:c>
      <x:c r="D491" t="str">
        <x:v>initial condition</x:v>
      </x:c>
      <x:c r="E491" t="str">
        <x:v>initial condition 10</x:v>
      </x:c>
      <x:c r="F491" t="n">
        <x:f>Controls!$D$62</x:f>
        <x:v>1</x:v>
      </x:c>
      <x:c r="G491" t="n">
        <x:v>1</x:v>
      </x:c>
      <x:c r="H491" t="str">
        <x:v>RFE design authority</x:v>
      </x:c>
      <x:c r="I491" t="str">
        <x:f>IF(F491=1,"PASS","GAP")</x:f>
        <x:v>PASS</x:v>
      </x:c>
    </x:row>
    <x:row r="492">
      <x:c r="B492" t="str">
        <x:v>PL-0486</x:v>
      </x:c>
      <x:c r="C492" t="str">
        <x:v>PLANNING</x:v>
      </x:c>
      <x:c r="D492" t="str">
        <x:v>initial condition</x:v>
      </x:c>
      <x:c r="E492" t="str">
        <x:v>initial condition 11</x:v>
      </x:c>
      <x:c r="F492" t="n">
        <x:f>Controls!$D$62</x:f>
        <x:v>1</x:v>
      </x:c>
      <x:c r="G492" t="n">
        <x:v>1</x:v>
      </x:c>
      <x:c r="H492" t="str">
        <x:v>RFE design authority</x:v>
      </x:c>
      <x:c r="I492" t="str">
        <x:f>IF(F492=1,"PASS","GAP")</x:f>
        <x:v>PASS</x:v>
      </x:c>
    </x:row>
    <x:row r="493">
      <x:c r="B493" t="str">
        <x:v>PL-0487</x:v>
      </x:c>
      <x:c r="C493" t="str">
        <x:v>PLANNING</x:v>
      </x:c>
      <x:c r="D493" t="str">
        <x:v>initial condition</x:v>
      </x:c>
      <x:c r="E493" t="str">
        <x:v>initial condition 12</x:v>
      </x:c>
      <x:c r="F493" t="n">
        <x:f>Controls!$D$62</x:f>
        <x:v>1</x:v>
      </x:c>
      <x:c r="G493" t="n">
        <x:v>1</x:v>
      </x:c>
      <x:c r="H493" t="str">
        <x:v>RFE design authority</x:v>
      </x:c>
      <x:c r="I493" t="str">
        <x:f>IF(F493=1,"PASS","GAP")</x:f>
        <x:v>PASS</x:v>
      </x:c>
    </x:row>
    <x:row r="494">
      <x:c r="B494" t="str">
        <x:v>PL-0488</x:v>
      </x:c>
      <x:c r="C494" t="str">
        <x:v>PLANNING</x:v>
      </x:c>
      <x:c r="D494" t="str">
        <x:v>initial condition</x:v>
      </x:c>
      <x:c r="E494" t="str">
        <x:v>initial condition 13</x:v>
      </x:c>
      <x:c r="F494" t="n">
        <x:f>Controls!$D$62</x:f>
        <x:v>1</x:v>
      </x:c>
      <x:c r="G494" t="n">
        <x:v>1</x:v>
      </x:c>
      <x:c r="H494" t="str">
        <x:v>RFE design authority</x:v>
      </x:c>
      <x:c r="I494" t="str">
        <x:f>IF(F494=1,"PASS","GAP")</x:f>
        <x:v>PASS</x:v>
      </x:c>
    </x:row>
    <x:row r="495">
      <x:c r="B495" t="str">
        <x:v>PL-0489</x:v>
      </x:c>
      <x:c r="C495" t="str">
        <x:v>PLANNING</x:v>
      </x:c>
      <x:c r="D495" t="str">
        <x:v>initial condition</x:v>
      </x:c>
      <x:c r="E495" t="str">
        <x:v>initial condition 14</x:v>
      </x:c>
      <x:c r="F495" t="n">
        <x:f>Controls!$D$62</x:f>
        <x:v>1</x:v>
      </x:c>
      <x:c r="G495" t="n">
        <x:v>1</x:v>
      </x:c>
      <x:c r="H495" t="str">
        <x:v>RFE design authority</x:v>
      </x:c>
      <x:c r="I495" t="str">
        <x:f>IF(F495=1,"PASS","GAP")</x:f>
        <x:v>PASS</x:v>
      </x:c>
    </x:row>
    <x:row r="496">
      <x:c r="B496" t="str">
        <x:v>PL-0490</x:v>
      </x:c>
      <x:c r="C496" t="str">
        <x:v>PLANNING</x:v>
      </x:c>
      <x:c r="D496" t="str">
        <x:v>initial condition</x:v>
      </x:c>
      <x:c r="E496" t="str">
        <x:v>initial condition 15</x:v>
      </x:c>
      <x:c r="F496" t="n">
        <x:f>Controls!$D$62</x:f>
        <x:v>1</x:v>
      </x:c>
      <x:c r="G496" t="n">
        <x:v>1</x:v>
      </x:c>
      <x:c r="H496" t="str">
        <x:v>RFE design authority</x:v>
      </x:c>
      <x:c r="I496" t="str">
        <x:f>IF(F496=1,"PASS","GAP")</x:f>
        <x:v>PASS</x:v>
      </x:c>
    </x:row>
    <x:row r="497">
      <x:c r="B497" t="str">
        <x:v>PL-0491</x:v>
      </x:c>
      <x:c r="C497" t="str">
        <x:v>PLANNING</x:v>
      </x:c>
      <x:c r="D497" t="str">
        <x:v>initial condition</x:v>
      </x:c>
      <x:c r="E497" t="str">
        <x:v>initial condition 16</x:v>
      </x:c>
      <x:c r="F497" t="n">
        <x:f>Controls!$D$62</x:f>
        <x:v>1</x:v>
      </x:c>
      <x:c r="G497" t="n">
        <x:v>1</x:v>
      </x:c>
      <x:c r="H497" t="str">
        <x:v>RFE design authority</x:v>
      </x:c>
      <x:c r="I497" t="str">
        <x:f>IF(F497=1,"PASS","GAP")</x:f>
        <x:v>PASS</x:v>
      </x:c>
    </x:row>
    <x:row r="498">
      <x:c r="B498" t="str">
        <x:v>PL-0492</x:v>
      </x:c>
      <x:c r="C498" t="str">
        <x:v>PLANNING</x:v>
      </x:c>
      <x:c r="D498" t="str">
        <x:v>initial condition</x:v>
      </x:c>
      <x:c r="E498" t="str">
        <x:v>initial condition 17</x:v>
      </x:c>
      <x:c r="F498" t="n">
        <x:f>Controls!$D$62</x:f>
        <x:v>1</x:v>
      </x:c>
      <x:c r="G498" t="n">
        <x:v>1</x:v>
      </x:c>
      <x:c r="H498" t="str">
        <x:v>RFE design authority</x:v>
      </x:c>
      <x:c r="I498" t="str">
        <x:f>IF(F498=1,"PASS","GAP")</x:f>
        <x:v>PASS</x:v>
      </x:c>
    </x:row>
    <x:row r="499">
      <x:c r="B499" t="str">
        <x:v>PL-0493</x:v>
      </x:c>
      <x:c r="C499" t="str">
        <x:v>PLANNING</x:v>
      </x:c>
      <x:c r="D499" t="str">
        <x:v>initial condition</x:v>
      </x:c>
      <x:c r="E499" t="str">
        <x:v>initial condition 18</x:v>
      </x:c>
      <x:c r="F499" t="n">
        <x:f>Controls!$D$62</x:f>
        <x:v>1</x:v>
      </x:c>
      <x:c r="G499" t="n">
        <x:v>1</x:v>
      </x:c>
      <x:c r="H499" t="str">
        <x:v>RFE design authority</x:v>
      </x:c>
      <x:c r="I499" t="str">
        <x:f>IF(F499=1,"PASS","GAP")</x:f>
        <x:v>PASS</x:v>
      </x:c>
    </x:row>
    <x:row r="500">
      <x:c r="B500" t="str">
        <x:v>PL-0494</x:v>
      </x:c>
      <x:c r="C500" t="str">
        <x:v>PLANNING</x:v>
      </x:c>
      <x:c r="D500" t="str">
        <x:v>initial condition</x:v>
      </x:c>
      <x:c r="E500" t="str">
        <x:v>initial condition 19</x:v>
      </x:c>
      <x:c r="F500" t="n">
        <x:f>Controls!$D$62</x:f>
        <x:v>1</x:v>
      </x:c>
      <x:c r="G500" t="n">
        <x:v>1</x:v>
      </x:c>
      <x:c r="H500" t="str">
        <x:v>RFE design authority</x:v>
      </x:c>
      <x:c r="I500" t="str">
        <x:f>IF(F500=1,"PASS","GAP")</x:f>
        <x:v>PASS</x:v>
      </x:c>
    </x:row>
    <x:row r="501">
      <x:c r="B501" t="str">
        <x:v>PL-0495</x:v>
      </x:c>
      <x:c r="C501" t="str">
        <x:v>PLANNING</x:v>
      </x:c>
      <x:c r="D501" t="str">
        <x:v>initial condition</x:v>
      </x:c>
      <x:c r="E501" t="str">
        <x:v>initial condition 20</x:v>
      </x:c>
      <x:c r="F501" t="n">
        <x:f>Controls!$D$62</x:f>
        <x:v>1</x:v>
      </x:c>
      <x:c r="G501" t="n">
        <x:v>1</x:v>
      </x:c>
      <x:c r="H501" t="str">
        <x:v>RFE design authority</x:v>
      </x:c>
      <x:c r="I501" t="str">
        <x:f>IF(F501=1,"PASS","GAP")</x:f>
        <x:v>PASS</x:v>
      </x:c>
    </x:row>
    <x:row r="502">
      <x:c r="B502" t="str">
        <x:v>PL-0496</x:v>
      </x:c>
      <x:c r="C502" t="str">
        <x:v>PLANNING</x:v>
      </x:c>
      <x:c r="D502" t="str">
        <x:v>initial condition</x:v>
      </x:c>
      <x:c r="E502" t="str">
        <x:v>initial condition 21</x:v>
      </x:c>
      <x:c r="F502" t="n">
        <x:f>Controls!$D$62</x:f>
        <x:v>1</x:v>
      </x:c>
      <x:c r="G502" t="n">
        <x:v>1</x:v>
      </x:c>
      <x:c r="H502" t="str">
        <x:v>RFE design authority</x:v>
      </x:c>
      <x:c r="I502" t="str">
        <x:f>IF(F502=1,"PASS","GAP")</x:f>
        <x:v>PASS</x:v>
      </x:c>
    </x:row>
    <x:row r="503">
      <x:c r="B503" t="str">
        <x:v>PL-0497</x:v>
      </x:c>
      <x:c r="C503" t="str">
        <x:v>PLANNING</x:v>
      </x:c>
      <x:c r="D503" t="str">
        <x:v>initial condition</x:v>
      </x:c>
      <x:c r="E503" t="str">
        <x:v>initial condition 22</x:v>
      </x:c>
      <x:c r="F503" t="n">
        <x:f>Controls!$D$62</x:f>
        <x:v>1</x:v>
      </x:c>
      <x:c r="G503" t="n">
        <x:v>1</x:v>
      </x:c>
      <x:c r="H503" t="str">
        <x:v>RFE design authority</x:v>
      </x:c>
      <x:c r="I503" t="str">
        <x:f>IF(F503=1,"PASS","GAP")</x:f>
        <x:v>PASS</x:v>
      </x:c>
    </x:row>
    <x:row r="504">
      <x:c r="B504" t="str">
        <x:v>PL-0498</x:v>
      </x:c>
      <x:c r="C504" t="str">
        <x:v>PLANNING</x:v>
      </x:c>
      <x:c r="D504" t="str">
        <x:v>initial condition</x:v>
      </x:c>
      <x:c r="E504" t="str">
        <x:v>initial condition 23</x:v>
      </x:c>
      <x:c r="F504" t="n">
        <x:f>Controls!$D$62</x:f>
        <x:v>1</x:v>
      </x:c>
      <x:c r="G504" t="n">
        <x:v>1</x:v>
      </x:c>
      <x:c r="H504" t="str">
        <x:v>RFE design authority</x:v>
      </x:c>
      <x:c r="I504" t="str">
        <x:f>IF(F504=1,"PASS","GAP")</x:f>
        <x:v>PASS</x:v>
      </x:c>
    </x:row>
    <x:row r="505">
      <x:c r="B505" t="str">
        <x:v>PL-0499</x:v>
      </x:c>
      <x:c r="C505" t="str">
        <x:v>PLANNING</x:v>
      </x:c>
      <x:c r="D505" t="str">
        <x:v>initial condition</x:v>
      </x:c>
      <x:c r="E505" t="str">
        <x:v>initial condition 24</x:v>
      </x:c>
      <x:c r="F505" t="n">
        <x:f>Controls!$D$62</x:f>
        <x:v>1</x:v>
      </x:c>
      <x:c r="G505" t="n">
        <x:v>1</x:v>
      </x:c>
      <x:c r="H505" t="str">
        <x:v>RFE design authority</x:v>
      </x:c>
      <x:c r="I505" t="str">
        <x:f>IF(F505=1,"PASS","GAP")</x:f>
        <x:v>PASS</x:v>
      </x:c>
    </x:row>
    <x:row r="506">
      <x:c r="B506" t="str">
        <x:v>PL-0500</x:v>
      </x:c>
      <x:c r="C506" t="str">
        <x:v>PLANNING</x:v>
      </x:c>
      <x:c r="D506" t="str">
        <x:v>timeline phase</x:v>
      </x:c>
      <x:c r="E506" t="str">
        <x:v>timeline phase 1</x:v>
      </x:c>
      <x:c r="F506" t="n">
        <x:f>Controls!$D$62</x:f>
        <x:v>1</x:v>
      </x:c>
      <x:c r="G506" t="n">
        <x:v>1</x:v>
      </x:c>
      <x:c r="H506" t="str">
        <x:v>RFE design authority</x:v>
      </x:c>
      <x:c r="I506" t="str">
        <x:f>IF(F506=1,"PASS","GAP")</x:f>
        <x:v>PASS</x:v>
      </x:c>
    </x:row>
    <x:row r="507">
      <x:c r="B507" t="str">
        <x:v>PL-0501</x:v>
      </x:c>
      <x:c r="C507" t="str">
        <x:v>PLANNING</x:v>
      </x:c>
      <x:c r="D507" t="str">
        <x:v>timeline phase</x:v>
      </x:c>
      <x:c r="E507" t="str">
        <x:v>timeline phase 2</x:v>
      </x:c>
      <x:c r="F507" t="n">
        <x:f>Controls!$D$62</x:f>
        <x:v>1</x:v>
      </x:c>
      <x:c r="G507" t="n">
        <x:v>1</x:v>
      </x:c>
      <x:c r="H507" t="str">
        <x:v>RFE design authority</x:v>
      </x:c>
      <x:c r="I507" t="str">
        <x:f>IF(F507=1,"PASS","GAP")</x:f>
        <x:v>PASS</x:v>
      </x:c>
    </x:row>
    <x:row r="508">
      <x:c r="B508" t="str">
        <x:v>PL-0502</x:v>
      </x:c>
      <x:c r="C508" t="str">
        <x:v>PLANNING</x:v>
      </x:c>
      <x:c r="D508" t="str">
        <x:v>timeline phase</x:v>
      </x:c>
      <x:c r="E508" t="str">
        <x:v>timeline phase 3</x:v>
      </x:c>
      <x:c r="F508" t="n">
        <x:f>Controls!$D$62</x:f>
        <x:v>1</x:v>
      </x:c>
      <x:c r="G508" t="n">
        <x:v>1</x:v>
      </x:c>
      <x:c r="H508" t="str">
        <x:v>RFE design authority</x:v>
      </x:c>
      <x:c r="I508" t="str">
        <x:f>IF(F508=1,"PASS","GAP")</x:f>
        <x:v>PASS</x:v>
      </x:c>
    </x:row>
    <x:row r="509">
      <x:c r="B509" t="str">
        <x:v>PL-0503</x:v>
      </x:c>
      <x:c r="C509" t="str">
        <x:v>PLANNING</x:v>
      </x:c>
      <x:c r="D509" t="str">
        <x:v>timeline phase</x:v>
      </x:c>
      <x:c r="E509" t="str">
        <x:v>timeline phase 4</x:v>
      </x:c>
      <x:c r="F509" t="n">
        <x:f>Controls!$D$62</x:f>
        <x:v>1</x:v>
      </x:c>
      <x:c r="G509" t="n">
        <x:v>1</x:v>
      </x:c>
      <x:c r="H509" t="str">
        <x:v>RFE design authority</x:v>
      </x:c>
      <x:c r="I509" t="str">
        <x:f>IF(F509=1,"PASS","GAP")</x:f>
        <x:v>PASS</x:v>
      </x:c>
    </x:row>
    <x:row r="510">
      <x:c r="B510" t="str">
        <x:v>PL-0504</x:v>
      </x:c>
      <x:c r="C510" t="str">
        <x:v>PLANNING</x:v>
      </x:c>
      <x:c r="D510" t="str">
        <x:v>timeline phase</x:v>
      </x:c>
      <x:c r="E510" t="str">
        <x:v>timeline phase 5</x:v>
      </x:c>
      <x:c r="F510" t="n">
        <x:f>Controls!$D$62</x:f>
        <x:v>1</x:v>
      </x:c>
      <x:c r="G510" t="n">
        <x:v>1</x:v>
      </x:c>
      <x:c r="H510" t="str">
        <x:v>RFE design authority</x:v>
      </x:c>
      <x:c r="I510" t="str">
        <x:f>IF(F510=1,"PASS","GAP")</x:f>
        <x:v>PASS</x:v>
      </x:c>
    </x:row>
    <x:row r="511">
      <x:c r="B511" t="str">
        <x:v>PL-0505</x:v>
      </x:c>
      <x:c r="C511" t="str">
        <x:v>PLANNING</x:v>
      </x:c>
      <x:c r="D511" t="str">
        <x:v>timeline phase</x:v>
      </x:c>
      <x:c r="E511" t="str">
        <x:v>timeline phase 6</x:v>
      </x:c>
      <x:c r="F511" t="n">
        <x:f>Controls!$D$62</x:f>
        <x:v>1</x:v>
      </x:c>
      <x:c r="G511" t="n">
        <x:v>1</x:v>
      </x:c>
      <x:c r="H511" t="str">
        <x:v>RFE design authority</x:v>
      </x:c>
      <x:c r="I511" t="str">
        <x:f>IF(F511=1,"PASS","GAP")</x:f>
        <x:v>PASS</x:v>
      </x:c>
    </x:row>
    <x:row r="512">
      <x:c r="B512" t="str">
        <x:v>PL-0506</x:v>
      </x:c>
      <x:c r="C512" t="str">
        <x:v>PLANNING</x:v>
      </x:c>
      <x:c r="D512" t="str">
        <x:v>timeline phase</x:v>
      </x:c>
      <x:c r="E512" t="str">
        <x:v>timeline phase 7</x:v>
      </x:c>
      <x:c r="F512" t="n">
        <x:f>Controls!$D$62</x:f>
        <x:v>1</x:v>
      </x:c>
      <x:c r="G512" t="n">
        <x:v>1</x:v>
      </x:c>
      <x:c r="H512" t="str">
        <x:v>RFE design authority</x:v>
      </x:c>
      <x:c r="I512" t="str">
        <x:f>IF(F512=1,"PASS","GAP")</x:f>
        <x:v>PASS</x:v>
      </x:c>
    </x:row>
    <x:row r="513">
      <x:c r="B513" t="str">
        <x:v>PL-0507</x:v>
      </x:c>
      <x:c r="C513" t="str">
        <x:v>PLANNING</x:v>
      </x:c>
      <x:c r="D513" t="str">
        <x:v>timeline phase</x:v>
      </x:c>
      <x:c r="E513" t="str">
        <x:v>timeline phase 8</x:v>
      </x:c>
      <x:c r="F513" t="n">
        <x:f>Controls!$D$62</x:f>
        <x:v>1</x:v>
      </x:c>
      <x:c r="G513" t="n">
        <x:v>1</x:v>
      </x:c>
      <x:c r="H513" t="str">
        <x:v>RFE design authority</x:v>
      </x:c>
      <x:c r="I513" t="str">
        <x:f>IF(F513=1,"PASS","GAP")</x:f>
        <x:v>PASS</x:v>
      </x:c>
    </x:row>
    <x:row r="514">
      <x:c r="B514" t="str">
        <x:v>PL-0508</x:v>
      </x:c>
      <x:c r="C514" t="str">
        <x:v>PLANNING</x:v>
      </x:c>
      <x:c r="D514" t="str">
        <x:v>timeline phase</x:v>
      </x:c>
      <x:c r="E514" t="str">
        <x:v>timeline phase 9</x:v>
      </x:c>
      <x:c r="F514" t="n">
        <x:f>Controls!$D$62</x:f>
        <x:v>1</x:v>
      </x:c>
      <x:c r="G514" t="n">
        <x:v>1</x:v>
      </x:c>
      <x:c r="H514" t="str">
        <x:v>RFE design authority</x:v>
      </x:c>
      <x:c r="I514" t="str">
        <x:f>IF(F514=1,"PASS","GAP")</x:f>
        <x:v>PASS</x:v>
      </x:c>
    </x:row>
    <x:row r="515">
      <x:c r="B515" t="str">
        <x:v>PL-0509</x:v>
      </x:c>
      <x:c r="C515" t="str">
        <x:v>PLANNING</x:v>
      </x:c>
      <x:c r="D515" t="str">
        <x:v>timeline phase</x:v>
      </x:c>
      <x:c r="E515" t="str">
        <x:v>timeline phase 10</x:v>
      </x:c>
      <x:c r="F515" t="n">
        <x:f>Controls!$D$62</x:f>
        <x:v>1</x:v>
      </x:c>
      <x:c r="G515" t="n">
        <x:v>1</x:v>
      </x:c>
      <x:c r="H515" t="str">
        <x:v>RFE design authority</x:v>
      </x:c>
      <x:c r="I515" t="str">
        <x:f>IF(F515=1,"PASS","GAP")</x:f>
        <x:v>PASS</x:v>
      </x:c>
    </x:row>
    <x:row r="516">
      <x:c r="B516" t="str">
        <x:v>PL-0510</x:v>
      </x:c>
      <x:c r="C516" t="str">
        <x:v>PLANNING</x:v>
      </x:c>
      <x:c r="D516" t="str">
        <x:v>timeline phase</x:v>
      </x:c>
      <x:c r="E516" t="str">
        <x:v>timeline phase 11</x:v>
      </x:c>
      <x:c r="F516" t="n">
        <x:f>Controls!$D$62</x:f>
        <x:v>1</x:v>
      </x:c>
      <x:c r="G516" t="n">
        <x:v>1</x:v>
      </x:c>
      <x:c r="H516" t="str">
        <x:v>RFE design authority</x:v>
      </x:c>
      <x:c r="I516" t="str">
        <x:f>IF(F516=1,"PASS","GAP")</x:f>
        <x:v>PASS</x:v>
      </x:c>
    </x:row>
    <x:row r="517">
      <x:c r="B517" t="str">
        <x:v>PL-0511</x:v>
      </x:c>
      <x:c r="C517" t="str">
        <x:v>PLANNING</x:v>
      </x:c>
      <x:c r="D517" t="str">
        <x:v>timeline phase</x:v>
      </x:c>
      <x:c r="E517" t="str">
        <x:v>timeline phase 12</x:v>
      </x:c>
      <x:c r="F517" t="n">
        <x:f>Controls!$D$62</x:f>
        <x:v>1</x:v>
      </x:c>
      <x:c r="G517" t="n">
        <x:v>1</x:v>
      </x:c>
      <x:c r="H517" t="str">
        <x:v>RFE design authority</x:v>
      </x:c>
      <x:c r="I517" t="str">
        <x:f>IF(F517=1,"PASS","GAP")</x:f>
        <x:v>PASS</x:v>
      </x:c>
    </x:row>
    <x:row r="518">
      <x:c r="B518" t="str">
        <x:v>PL-0512</x:v>
      </x:c>
      <x:c r="C518" t="str">
        <x:v>PLANNING</x:v>
      </x:c>
      <x:c r="D518" t="str">
        <x:v>timeline phase</x:v>
      </x:c>
      <x:c r="E518" t="str">
        <x:v>timeline phase 13</x:v>
      </x:c>
      <x:c r="F518" t="n">
        <x:f>Controls!$D$62</x:f>
        <x:v>1</x:v>
      </x:c>
      <x:c r="G518" t="n">
        <x:v>1</x:v>
      </x:c>
      <x:c r="H518" t="str">
        <x:v>RFE design authority</x:v>
      </x:c>
      <x:c r="I518" t="str">
        <x:f>IF(F518=1,"PASS","GAP")</x:f>
        <x:v>PASS</x:v>
      </x:c>
    </x:row>
    <x:row r="519">
      <x:c r="B519" t="str">
        <x:v>PL-0513</x:v>
      </x:c>
      <x:c r="C519" t="str">
        <x:v>PLANNING</x:v>
      </x:c>
      <x:c r="D519" t="str">
        <x:v>timeline phase</x:v>
      </x:c>
      <x:c r="E519" t="str">
        <x:v>timeline phase 14</x:v>
      </x:c>
      <x:c r="F519" t="n">
        <x:f>Controls!$D$62</x:f>
        <x:v>1</x:v>
      </x:c>
      <x:c r="G519" t="n">
        <x:v>1</x:v>
      </x:c>
      <x:c r="H519" t="str">
        <x:v>RFE design authority</x:v>
      </x:c>
      <x:c r="I519" t="str">
        <x:f>IF(F519=1,"PASS","GAP")</x:f>
        <x:v>PASS</x:v>
      </x:c>
    </x:row>
    <x:row r="520">
      <x:c r="B520" t="str">
        <x:v>PL-0514</x:v>
      </x:c>
      <x:c r="C520" t="str">
        <x:v>PLANNING</x:v>
      </x:c>
      <x:c r="D520" t="str">
        <x:v>timeline phase</x:v>
      </x:c>
      <x:c r="E520" t="str">
        <x:v>timeline phase 15</x:v>
      </x:c>
      <x:c r="F520" t="n">
        <x:f>Controls!$D$62</x:f>
        <x:v>1</x:v>
      </x:c>
      <x:c r="G520" t="n">
        <x:v>1</x:v>
      </x:c>
      <x:c r="H520" t="str">
        <x:v>RFE design authority</x:v>
      </x:c>
      <x:c r="I520" t="str">
        <x:f>IF(F520=1,"PASS","GAP")</x:f>
        <x:v>PASS</x:v>
      </x:c>
    </x:row>
    <x:row r="521">
      <x:c r="B521" t="str">
        <x:v>PL-0515</x:v>
      </x:c>
      <x:c r="C521" t="str">
        <x:v>PLANNING</x:v>
      </x:c>
      <x:c r="D521" t="str">
        <x:v>timeline phase</x:v>
      </x:c>
      <x:c r="E521" t="str">
        <x:v>timeline phase 16</x:v>
      </x:c>
      <x:c r="F521" t="n">
        <x:f>Controls!$D$62</x:f>
        <x:v>1</x:v>
      </x:c>
      <x:c r="G521" t="n">
        <x:v>1</x:v>
      </x:c>
      <x:c r="H521" t="str">
        <x:v>RFE design authority</x:v>
      </x:c>
      <x:c r="I521" t="str">
        <x:f>IF(F521=1,"PASS","GAP")</x:f>
        <x:v>PASS</x:v>
      </x:c>
    </x:row>
    <x:row r="522">
      <x:c r="B522" t="str">
        <x:v>PL-0516</x:v>
      </x:c>
      <x:c r="C522" t="str">
        <x:v>PLANNING</x:v>
      </x:c>
      <x:c r="D522" t="str">
        <x:v>timeline phase</x:v>
      </x:c>
      <x:c r="E522" t="str">
        <x:v>timeline phase 17</x:v>
      </x:c>
      <x:c r="F522" t="n">
        <x:f>Controls!$D$62</x:f>
        <x:v>1</x:v>
      </x:c>
      <x:c r="G522" t="n">
        <x:v>1</x:v>
      </x:c>
      <x:c r="H522" t="str">
        <x:v>RFE design authority</x:v>
      </x:c>
      <x:c r="I522" t="str">
        <x:f>IF(F522=1,"PASS","GAP")</x:f>
        <x:v>PASS</x:v>
      </x:c>
    </x:row>
    <x:row r="523">
      <x:c r="B523" t="str">
        <x:v>PL-0517</x:v>
      </x:c>
      <x:c r="C523" t="str">
        <x:v>PLANNING</x:v>
      </x:c>
      <x:c r="D523" t="str">
        <x:v>timeline phase</x:v>
      </x:c>
      <x:c r="E523" t="str">
        <x:v>timeline phase 18</x:v>
      </x:c>
      <x:c r="F523" t="n">
        <x:f>Controls!$D$62</x:f>
        <x:v>1</x:v>
      </x:c>
      <x:c r="G523" t="n">
        <x:v>1</x:v>
      </x:c>
      <x:c r="H523" t="str">
        <x:v>RFE design authority</x:v>
      </x:c>
      <x:c r="I523" t="str">
        <x:f>IF(F523=1,"PASS","GAP")</x:f>
        <x:v>PASS</x:v>
      </x:c>
    </x:row>
    <x:row r="524">
      <x:c r="B524" t="str">
        <x:v>PL-0518</x:v>
      </x:c>
      <x:c r="C524" t="str">
        <x:v>PLANNING</x:v>
      </x:c>
      <x:c r="D524" t="str">
        <x:v>timeline phase</x:v>
      </x:c>
      <x:c r="E524" t="str">
        <x:v>timeline phase 19</x:v>
      </x:c>
      <x:c r="F524" t="n">
        <x:f>Controls!$D$62</x:f>
        <x:v>1</x:v>
      </x:c>
      <x:c r="G524" t="n">
        <x:v>1</x:v>
      </x:c>
      <x:c r="H524" t="str">
        <x:v>RFE design authority</x:v>
      </x:c>
      <x:c r="I524" t="str">
        <x:f>IF(F524=1,"PASS","GAP")</x:f>
        <x:v>PASS</x:v>
      </x:c>
    </x:row>
    <x:row r="525">
      <x:c r="B525" t="str">
        <x:v>PL-0519</x:v>
      </x:c>
      <x:c r="C525" t="str">
        <x:v>PLANNING</x:v>
      </x:c>
      <x:c r="D525" t="str">
        <x:v>timeline phase</x:v>
      </x:c>
      <x:c r="E525" t="str">
        <x:v>timeline phase 20</x:v>
      </x:c>
      <x:c r="F525" t="n">
        <x:f>Controls!$D$62</x:f>
        <x:v>1</x:v>
      </x:c>
      <x:c r="G525" t="n">
        <x:v>1</x:v>
      </x:c>
      <x:c r="H525" t="str">
        <x:v>RFE design authority</x:v>
      </x:c>
      <x:c r="I525" t="str">
        <x:f>IF(F525=1,"PASS","GAP")</x:f>
        <x:v>PASS</x:v>
      </x:c>
    </x:row>
    <x:row r="526">
      <x:c r="B526" t="str">
        <x:v>PL-0520</x:v>
      </x:c>
      <x:c r="C526" t="str">
        <x:v>PLANNING</x:v>
      </x:c>
      <x:c r="D526" t="str">
        <x:v>timeline phase</x:v>
      </x:c>
      <x:c r="E526" t="str">
        <x:v>timeline phase 21</x:v>
      </x:c>
      <x:c r="F526" t="n">
        <x:f>Controls!$D$62</x:f>
        <x:v>1</x:v>
      </x:c>
      <x:c r="G526" t="n">
        <x:v>1</x:v>
      </x:c>
      <x:c r="H526" t="str">
        <x:v>RFE design authority</x:v>
      </x:c>
      <x:c r="I526" t="str">
        <x:f>IF(F526=1,"PASS","GAP")</x:f>
        <x:v>PASS</x:v>
      </x:c>
    </x:row>
    <x:row r="527">
      <x:c r="B527" t="str">
        <x:v>PL-0521</x:v>
      </x:c>
      <x:c r="C527" t="str">
        <x:v>PLANNING</x:v>
      </x:c>
      <x:c r="D527" t="str">
        <x:v>timeline phase</x:v>
      </x:c>
      <x:c r="E527" t="str">
        <x:v>timeline phase 22</x:v>
      </x:c>
      <x:c r="F527" t="n">
        <x:f>Controls!$D$62</x:f>
        <x:v>1</x:v>
      </x:c>
      <x:c r="G527" t="n">
        <x:v>1</x:v>
      </x:c>
      <x:c r="H527" t="str">
        <x:v>RFE design authority</x:v>
      </x:c>
      <x:c r="I527" t="str">
        <x:f>IF(F527=1,"PASS","GAP")</x:f>
        <x:v>PASS</x:v>
      </x:c>
    </x:row>
    <x:row r="528">
      <x:c r="B528" t="str">
        <x:v>PL-0522</x:v>
      </x:c>
      <x:c r="C528" t="str">
        <x:v>PLANNING</x:v>
      </x:c>
      <x:c r="D528" t="str">
        <x:v>timeline phase</x:v>
      </x:c>
      <x:c r="E528" t="str">
        <x:v>timeline phase 23</x:v>
      </x:c>
      <x:c r="F528" t="n">
        <x:f>Controls!$D$62</x:f>
        <x:v>1</x:v>
      </x:c>
      <x:c r="G528" t="n">
        <x:v>1</x:v>
      </x:c>
      <x:c r="H528" t="str">
        <x:v>RFE design authority</x:v>
      </x:c>
      <x:c r="I528" t="str">
        <x:f>IF(F528=1,"PASS","GAP")</x:f>
        <x:v>PASS</x:v>
      </x:c>
    </x:row>
    <x:row r="529">
      <x:c r="B529" t="str">
        <x:v>PL-0523</x:v>
      </x:c>
      <x:c r="C529" t="str">
        <x:v>PLANNING</x:v>
      </x:c>
      <x:c r="D529" t="str">
        <x:v>timeline phase</x:v>
      </x:c>
      <x:c r="E529" t="str">
        <x:v>timeline phase 24</x:v>
      </x:c>
      <x:c r="F529" t="n">
        <x:f>Controls!$D$62</x:f>
        <x:v>1</x:v>
      </x:c>
      <x:c r="G529" t="n">
        <x:v>1</x:v>
      </x:c>
      <x:c r="H529" t="str">
        <x:v>RFE design authority</x:v>
      </x:c>
      <x:c r="I529" t="str">
        <x:f>IF(F529=1,"PASS","GAP")</x:f>
        <x:v>PASS</x:v>
      </x:c>
    </x:row>
    <x:row r="530">
      <x:c r="B530" t="str">
        <x:v>PL-0524</x:v>
      </x:c>
      <x:c r="C530" t="str">
        <x:v>PLANNING</x:v>
      </x:c>
      <x:c r="D530" t="str">
        <x:v>hold</x:v>
      </x:c>
      <x:c r="E530" t="str">
        <x:v>hold 1</x:v>
      </x:c>
      <x:c r="F530" t="n">
        <x:f>Controls!$D$62</x:f>
        <x:v>1</x:v>
      </x:c>
      <x:c r="G530" t="n">
        <x:v>1</x:v>
      </x:c>
      <x:c r="H530" t="str">
        <x:v>RFE design authority</x:v>
      </x:c>
      <x:c r="I530" t="str">
        <x:f>IF(F530=1,"PASS","GAP")</x:f>
        <x:v>PASS</x:v>
      </x:c>
    </x:row>
    <x:row r="531">
      <x:c r="B531" t="str">
        <x:v>PL-0525</x:v>
      </x:c>
      <x:c r="C531" t="str">
        <x:v>PLANNING</x:v>
      </x:c>
      <x:c r="D531" t="str">
        <x:v>hold</x:v>
      </x:c>
      <x:c r="E531" t="str">
        <x:v>hold 2</x:v>
      </x:c>
      <x:c r="F531" t="n">
        <x:f>Controls!$D$62</x:f>
        <x:v>1</x:v>
      </x:c>
      <x:c r="G531" t="n">
        <x:v>1</x:v>
      </x:c>
      <x:c r="H531" t="str">
        <x:v>RFE design authority</x:v>
      </x:c>
      <x:c r="I531" t="str">
        <x:f>IF(F531=1,"PASS","GAP")</x:f>
        <x:v>PASS</x:v>
      </x:c>
    </x:row>
    <x:row r="532">
      <x:c r="B532" t="str">
        <x:v>PL-0526</x:v>
      </x:c>
      <x:c r="C532" t="str">
        <x:v>PLANNING</x:v>
      </x:c>
      <x:c r="D532" t="str">
        <x:v>hold</x:v>
      </x:c>
      <x:c r="E532" t="str">
        <x:v>hold 3</x:v>
      </x:c>
      <x:c r="F532" t="n">
        <x:f>Controls!$D$62</x:f>
        <x:v>1</x:v>
      </x:c>
      <x:c r="G532" t="n">
        <x:v>1</x:v>
      </x:c>
      <x:c r="H532" t="str">
        <x:v>RFE design authority</x:v>
      </x:c>
      <x:c r="I532" t="str">
        <x:f>IF(F532=1,"PASS","GAP")</x:f>
        <x:v>PASS</x:v>
      </x:c>
    </x:row>
    <x:row r="533">
      <x:c r="B533" t="str">
        <x:v>PL-0527</x:v>
      </x:c>
      <x:c r="C533" t="str">
        <x:v>PLANNING</x:v>
      </x:c>
      <x:c r="D533" t="str">
        <x:v>hold</x:v>
      </x:c>
      <x:c r="E533" t="str">
        <x:v>hold 4</x:v>
      </x:c>
      <x:c r="F533" t="n">
        <x:f>Controls!$D$62</x:f>
        <x:v>1</x:v>
      </x:c>
      <x:c r="G533" t="n">
        <x:v>1</x:v>
      </x:c>
      <x:c r="H533" t="str">
        <x:v>RFE design authority</x:v>
      </x:c>
      <x:c r="I533" t="str">
        <x:f>IF(F533=1,"PASS","GAP")</x:f>
        <x:v>PASS</x:v>
      </x:c>
    </x:row>
    <x:row r="534">
      <x:c r="B534" t="str">
        <x:v>PL-0528</x:v>
      </x:c>
      <x:c r="C534" t="str">
        <x:v>PLANNING</x:v>
      </x:c>
      <x:c r="D534" t="str">
        <x:v>hold</x:v>
      </x:c>
      <x:c r="E534" t="str">
        <x:v>hold 5</x:v>
      </x:c>
      <x:c r="F534" t="n">
        <x:f>Controls!$D$62</x:f>
        <x:v>1</x:v>
      </x:c>
      <x:c r="G534" t="n">
        <x:v>1</x:v>
      </x:c>
      <x:c r="H534" t="str">
        <x:v>RFE design authority</x:v>
      </x:c>
      <x:c r="I534" t="str">
        <x:f>IF(F534=1,"PASS","GAP")</x:f>
        <x:v>PASS</x:v>
      </x:c>
    </x:row>
    <x:row r="535">
      <x:c r="B535" t="str">
        <x:v>PL-0529</x:v>
      </x:c>
      <x:c r="C535" t="str">
        <x:v>PLANNING</x:v>
      </x:c>
      <x:c r="D535" t="str">
        <x:v>hold</x:v>
      </x:c>
      <x:c r="E535" t="str">
        <x:v>hold 6</x:v>
      </x:c>
      <x:c r="F535" t="n">
        <x:f>Controls!$D$62</x:f>
        <x:v>1</x:v>
      </x:c>
      <x:c r="G535" t="n">
        <x:v>1</x:v>
      </x:c>
      <x:c r="H535" t="str">
        <x:v>RFE design authority</x:v>
      </x:c>
      <x:c r="I535" t="str">
        <x:f>IF(F535=1,"PASS","GAP")</x:f>
        <x:v>PASS</x:v>
      </x:c>
    </x:row>
    <x:row r="536">
      <x:c r="B536" t="str">
        <x:v>PL-0530</x:v>
      </x:c>
      <x:c r="C536" t="str">
        <x:v>PLANNING</x:v>
      </x:c>
      <x:c r="D536" t="str">
        <x:v>hold</x:v>
      </x:c>
      <x:c r="E536" t="str">
        <x:v>hold 7</x:v>
      </x:c>
      <x:c r="F536" t="n">
        <x:f>Controls!$D$62</x:f>
        <x:v>1</x:v>
      </x:c>
      <x:c r="G536" t="n">
        <x:v>1</x:v>
      </x:c>
      <x:c r="H536" t="str">
        <x:v>RFE design authority</x:v>
      </x:c>
      <x:c r="I536" t="str">
        <x:f>IF(F536=1,"PASS","GAP")</x:f>
        <x:v>PASS</x:v>
      </x:c>
    </x:row>
    <x:row r="537">
      <x:c r="B537" t="str">
        <x:v>PL-0531</x:v>
      </x:c>
      <x:c r="C537" t="str">
        <x:v>PLANNING</x:v>
      </x:c>
      <x:c r="D537" t="str">
        <x:v>hold</x:v>
      </x:c>
      <x:c r="E537" t="str">
        <x:v>hold 8</x:v>
      </x:c>
      <x:c r="F537" t="n">
        <x:f>Controls!$D$62</x:f>
        <x:v>1</x:v>
      </x:c>
      <x:c r="G537" t="n">
        <x:v>1</x:v>
      </x:c>
      <x:c r="H537" t="str">
        <x:v>RFE design authority</x:v>
      </x:c>
      <x:c r="I537" t="str">
        <x:f>IF(F537=1,"PASS","GAP")</x:f>
        <x:v>PASS</x:v>
      </x:c>
    </x:row>
    <x:row r="538">
      <x:c r="B538" t="str">
        <x:v>PL-0532</x:v>
      </x:c>
      <x:c r="C538" t="str">
        <x:v>PLANNING</x:v>
      </x:c>
      <x:c r="D538" t="str">
        <x:v>hold</x:v>
      </x:c>
      <x:c r="E538" t="str">
        <x:v>hold 9</x:v>
      </x:c>
      <x:c r="F538" t="n">
        <x:f>Controls!$D$62</x:f>
        <x:v>1</x:v>
      </x:c>
      <x:c r="G538" t="n">
        <x:v>1</x:v>
      </x:c>
      <x:c r="H538" t="str">
        <x:v>RFE design authority</x:v>
      </x:c>
      <x:c r="I538" t="str">
        <x:f>IF(F538=1,"PASS","GAP")</x:f>
        <x:v>PASS</x:v>
      </x:c>
    </x:row>
    <x:row r="539">
      <x:c r="B539" t="str">
        <x:v>PL-0533</x:v>
      </x:c>
      <x:c r="C539" t="str">
        <x:v>PLANNING</x:v>
      </x:c>
      <x:c r="D539" t="str">
        <x:v>hold</x:v>
      </x:c>
      <x:c r="E539" t="str">
        <x:v>hold 10</x:v>
      </x:c>
      <x:c r="F539" t="n">
        <x:f>Controls!$D$62</x:f>
        <x:v>1</x:v>
      </x:c>
      <x:c r="G539" t="n">
        <x:v>1</x:v>
      </x:c>
      <x:c r="H539" t="str">
        <x:v>RFE design authority</x:v>
      </x:c>
      <x:c r="I539" t="str">
        <x:f>IF(F539=1,"PASS","GAP")</x:f>
        <x:v>PASS</x:v>
      </x:c>
    </x:row>
    <x:row r="540">
      <x:c r="B540" t="str">
        <x:v>PL-0534</x:v>
      </x:c>
      <x:c r="C540" t="str">
        <x:v>PLANNING</x:v>
      </x:c>
      <x:c r="D540" t="str">
        <x:v>hold</x:v>
      </x:c>
      <x:c r="E540" t="str">
        <x:v>hold 11</x:v>
      </x:c>
      <x:c r="F540" t="n">
        <x:f>Controls!$D$62</x:f>
        <x:v>1</x:v>
      </x:c>
      <x:c r="G540" t="n">
        <x:v>1</x:v>
      </x:c>
      <x:c r="H540" t="str">
        <x:v>RFE design authority</x:v>
      </x:c>
      <x:c r="I540" t="str">
        <x:f>IF(F540=1,"PASS","GAP")</x:f>
        <x:v>PASS</x:v>
      </x:c>
    </x:row>
    <x:row r="541">
      <x:c r="B541" t="str">
        <x:v>PL-0535</x:v>
      </x:c>
      <x:c r="C541" t="str">
        <x:v>PLANNING</x:v>
      </x:c>
      <x:c r="D541" t="str">
        <x:v>hold</x:v>
      </x:c>
      <x:c r="E541" t="str">
        <x:v>hold 12</x:v>
      </x:c>
      <x:c r="F541" t="n">
        <x:f>Controls!$D$62</x:f>
        <x:v>1</x:v>
      </x:c>
      <x:c r="G541" t="n">
        <x:v>1</x:v>
      </x:c>
      <x:c r="H541" t="str">
        <x:v>RFE design authority</x:v>
      </x:c>
      <x:c r="I541" t="str">
        <x:f>IF(F541=1,"PASS","GAP")</x:f>
        <x:v>PASS</x:v>
      </x:c>
    </x:row>
    <x:row r="542">
      <x:c r="B542" t="str">
        <x:v>PL-0536</x:v>
      </x:c>
      <x:c r="C542" t="str">
        <x:v>PLANNING</x:v>
      </x:c>
      <x:c r="D542" t="str">
        <x:v>hold</x:v>
      </x:c>
      <x:c r="E542" t="str">
        <x:v>hold 13</x:v>
      </x:c>
      <x:c r="F542" t="n">
        <x:f>Controls!$D$62</x:f>
        <x:v>1</x:v>
      </x:c>
      <x:c r="G542" t="n">
        <x:v>1</x:v>
      </x:c>
      <x:c r="H542" t="str">
        <x:v>RFE design authority</x:v>
      </x:c>
      <x:c r="I542" t="str">
        <x:f>IF(F542=1,"PASS","GAP")</x:f>
        <x:v>PASS</x:v>
      </x:c>
    </x:row>
    <x:row r="543">
      <x:c r="B543" t="str">
        <x:v>PL-0537</x:v>
      </x:c>
      <x:c r="C543" t="str">
        <x:v>PLANNING</x:v>
      </x:c>
      <x:c r="D543" t="str">
        <x:v>hold</x:v>
      </x:c>
      <x:c r="E543" t="str">
        <x:v>hold 14</x:v>
      </x:c>
      <x:c r="F543" t="n">
        <x:f>Controls!$D$62</x:f>
        <x:v>1</x:v>
      </x:c>
      <x:c r="G543" t="n">
        <x:v>1</x:v>
      </x:c>
      <x:c r="H543" t="str">
        <x:v>RFE design authority</x:v>
      </x:c>
      <x:c r="I543" t="str">
        <x:f>IF(F543=1,"PASS","GAP")</x:f>
        <x:v>PASS</x:v>
      </x:c>
    </x:row>
    <x:row r="544">
      <x:c r="B544" t="str">
        <x:v>PL-0538</x:v>
      </x:c>
      <x:c r="C544" t="str">
        <x:v>PLANNING</x:v>
      </x:c>
      <x:c r="D544" t="str">
        <x:v>hold</x:v>
      </x:c>
      <x:c r="E544" t="str">
        <x:v>hold 15</x:v>
      </x:c>
      <x:c r="F544" t="n">
        <x:f>Controls!$D$62</x:f>
        <x:v>1</x:v>
      </x:c>
      <x:c r="G544" t="n">
        <x:v>1</x:v>
      </x:c>
      <x:c r="H544" t="str">
        <x:v>RFE design authority</x:v>
      </x:c>
      <x:c r="I544" t="str">
        <x:f>IF(F544=1,"PASS","GAP")</x:f>
        <x:v>PASS</x:v>
      </x:c>
    </x:row>
    <x:row r="545">
      <x:c r="B545" t="str">
        <x:v>PL-0539</x:v>
      </x:c>
      <x:c r="C545" t="str">
        <x:v>PLANNING</x:v>
      </x:c>
      <x:c r="D545" t="str">
        <x:v>hold</x:v>
      </x:c>
      <x:c r="E545" t="str">
        <x:v>hold 16</x:v>
      </x:c>
      <x:c r="F545" t="n">
        <x:f>Controls!$D$62</x:f>
        <x:v>1</x:v>
      </x:c>
      <x:c r="G545" t="n">
        <x:v>1</x:v>
      </x:c>
      <x:c r="H545" t="str">
        <x:v>RFE design authority</x:v>
      </x:c>
      <x:c r="I545" t="str">
        <x:f>IF(F545=1,"PASS","GAP")</x:f>
        <x:v>PASS</x:v>
      </x:c>
    </x:row>
    <x:row r="546">
      <x:c r="B546" t="str">
        <x:v>PL-0540</x:v>
      </x:c>
      <x:c r="C546" t="str">
        <x:v>PLANNING</x:v>
      </x:c>
      <x:c r="D546" t="str">
        <x:v>hold</x:v>
      </x:c>
      <x:c r="E546" t="str">
        <x:v>hold 17</x:v>
      </x:c>
      <x:c r="F546" t="n">
        <x:f>Controls!$D$62</x:f>
        <x:v>1</x:v>
      </x:c>
      <x:c r="G546" t="n">
        <x:v>1</x:v>
      </x:c>
      <x:c r="H546" t="str">
        <x:v>RFE design authority</x:v>
      </x:c>
      <x:c r="I546" t="str">
        <x:f>IF(F546=1,"PASS","GAP")</x:f>
        <x:v>PASS</x:v>
      </x:c>
    </x:row>
    <x:row r="547">
      <x:c r="B547" t="str">
        <x:v>PL-0541</x:v>
      </x:c>
      <x:c r="C547" t="str">
        <x:v>PLANNING</x:v>
      </x:c>
      <x:c r="D547" t="str">
        <x:v>hold</x:v>
      </x:c>
      <x:c r="E547" t="str">
        <x:v>hold 18</x:v>
      </x:c>
      <x:c r="F547" t="n">
        <x:f>Controls!$D$62</x:f>
        <x:v>1</x:v>
      </x:c>
      <x:c r="G547" t="n">
        <x:v>1</x:v>
      </x:c>
      <x:c r="H547" t="str">
        <x:v>RFE design authority</x:v>
      </x:c>
      <x:c r="I547" t="str">
        <x:f>IF(F547=1,"PASS","GAP")</x:f>
        <x:v>PASS</x:v>
      </x:c>
    </x:row>
    <x:row r="548">
      <x:c r="B548" t="str">
        <x:v>PL-0542</x:v>
      </x:c>
      <x:c r="C548" t="str">
        <x:v>PLANNING</x:v>
      </x:c>
      <x:c r="D548" t="str">
        <x:v>hold</x:v>
      </x:c>
      <x:c r="E548" t="str">
        <x:v>hold 19</x:v>
      </x:c>
      <x:c r="F548" t="n">
        <x:f>Controls!$D$62</x:f>
        <x:v>1</x:v>
      </x:c>
      <x:c r="G548" t="n">
        <x:v>1</x:v>
      </x:c>
      <x:c r="H548" t="str">
        <x:v>RFE design authority</x:v>
      </x:c>
      <x:c r="I548" t="str">
        <x:f>IF(F548=1,"PASS","GAP")</x:f>
        <x:v>PASS</x:v>
      </x:c>
    </x:row>
    <x:row r="549">
      <x:c r="B549" t="str">
        <x:v>PL-0543</x:v>
      </x:c>
      <x:c r="C549" t="str">
        <x:v>PLANNING</x:v>
      </x:c>
      <x:c r="D549" t="str">
        <x:v>hold</x:v>
      </x:c>
      <x:c r="E549" t="str">
        <x:v>hold 20</x:v>
      </x:c>
      <x:c r="F549" t="n">
        <x:f>Controls!$D$62</x:f>
        <x:v>1</x:v>
      </x:c>
      <x:c r="G549" t="n">
        <x:v>1</x:v>
      </x:c>
      <x:c r="H549" t="str">
        <x:v>RFE design authority</x:v>
      </x:c>
      <x:c r="I549" t="str">
        <x:f>IF(F549=1,"PASS","GAP")</x:f>
        <x:v>PASS</x:v>
      </x:c>
    </x:row>
    <x:row r="550">
      <x:c r="B550" t="str">
        <x:v>PL-0544</x:v>
      </x:c>
      <x:c r="C550" t="str">
        <x:v>PLANNING</x:v>
      </x:c>
      <x:c r="D550" t="str">
        <x:v>hold</x:v>
      </x:c>
      <x:c r="E550" t="str">
        <x:v>hold 21</x:v>
      </x:c>
      <x:c r="F550" t="n">
        <x:f>Controls!$D$62</x:f>
        <x:v>1</x:v>
      </x:c>
      <x:c r="G550" t="n">
        <x:v>1</x:v>
      </x:c>
      <x:c r="H550" t="str">
        <x:v>RFE design authority</x:v>
      </x:c>
      <x:c r="I550" t="str">
        <x:f>IF(F550=1,"PASS","GAP")</x:f>
        <x:v>PASS</x:v>
      </x:c>
    </x:row>
    <x:row r="551">
      <x:c r="B551" t="str">
        <x:v>PL-0545</x:v>
      </x:c>
      <x:c r="C551" t="str">
        <x:v>PLANNING</x:v>
      </x:c>
      <x:c r="D551" t="str">
        <x:v>hold</x:v>
      </x:c>
      <x:c r="E551" t="str">
        <x:v>hold 22</x:v>
      </x:c>
      <x:c r="F551" t="n">
        <x:f>Controls!$D$62</x:f>
        <x:v>1</x:v>
      </x:c>
      <x:c r="G551" t="n">
        <x:v>1</x:v>
      </x:c>
      <x:c r="H551" t="str">
        <x:v>RFE design authority</x:v>
      </x:c>
      <x:c r="I551" t="str">
        <x:f>IF(F551=1,"PASS","GAP")</x:f>
        <x:v>PASS</x:v>
      </x:c>
    </x:row>
    <x:row r="552">
      <x:c r="B552" t="str">
        <x:v>PL-0546</x:v>
      </x:c>
      <x:c r="C552" t="str">
        <x:v>PLANNING</x:v>
      </x:c>
      <x:c r="D552" t="str">
        <x:v>hold</x:v>
      </x:c>
      <x:c r="E552" t="str">
        <x:v>hold 23</x:v>
      </x:c>
      <x:c r="F552" t="n">
        <x:f>Controls!$D$62</x:f>
        <x:v>1</x:v>
      </x:c>
      <x:c r="G552" t="n">
        <x:v>1</x:v>
      </x:c>
      <x:c r="H552" t="str">
        <x:v>RFE design authority</x:v>
      </x:c>
      <x:c r="I552" t="str">
        <x:f>IF(F552=1,"PASS","GAP")</x:f>
        <x:v>PASS</x:v>
      </x:c>
    </x:row>
    <x:row r="553">
      <x:c r="B553" t="str">
        <x:v>PL-0547</x:v>
      </x:c>
      <x:c r="C553" t="str">
        <x:v>PLANNING</x:v>
      </x:c>
      <x:c r="D553" t="str">
        <x:v>hold</x:v>
      </x:c>
      <x:c r="E553" t="str">
        <x:v>hold 24</x:v>
      </x:c>
      <x:c r="F553" t="n">
        <x:f>Controls!$D$62</x:f>
        <x:v>1</x:v>
      </x:c>
      <x:c r="G553" t="n">
        <x:v>1</x:v>
      </x:c>
      <x:c r="H553" t="str">
        <x:v>RFE design authority</x:v>
      </x:c>
      <x:c r="I553" t="str">
        <x:f>IF(F553=1,"PASS","GAP")</x:f>
        <x:v>PASS</x:v>
      </x:c>
    </x:row>
    <x:row r="554">
      <x:c r="B554" t="str">
        <x:v>PL-0548</x:v>
      </x:c>
      <x:c r="C554" t="str">
        <x:v>PLANNING</x:v>
      </x:c>
      <x:c r="D554" t="str">
        <x:v>hold</x:v>
      </x:c>
      <x:c r="E554" t="str">
        <x:v>hold 25</x:v>
      </x:c>
      <x:c r="F554" t="n">
        <x:f>Controls!$D$62</x:f>
        <x:v>1</x:v>
      </x:c>
      <x:c r="G554" t="n">
        <x:v>1</x:v>
      </x:c>
      <x:c r="H554" t="str">
        <x:v>RFE design authority</x:v>
      </x:c>
      <x:c r="I554" t="str">
        <x:f>IF(F554=1,"PASS","GAP")</x:f>
        <x:v>PASS</x:v>
      </x:c>
    </x:row>
    <x:row r="555">
      <x:c r="B555" t="str">
        <x:v>PL-0549</x:v>
      </x:c>
      <x:c r="C555" t="str">
        <x:v>PLANNING</x:v>
      </x:c>
      <x:c r="D555" t="str">
        <x:v>hold</x:v>
      </x:c>
      <x:c r="E555" t="str">
        <x:v>hold 26</x:v>
      </x:c>
      <x:c r="F555" t="n">
        <x:f>Controls!$D$62</x:f>
        <x:v>1</x:v>
      </x:c>
      <x:c r="G555" t="n">
        <x:v>1</x:v>
      </x:c>
      <x:c r="H555" t="str">
        <x:v>RFE design authority</x:v>
      </x:c>
      <x:c r="I555" t="str">
        <x:f>IF(F555=1,"PASS","GAP")</x:f>
        <x:v>PASS</x:v>
      </x:c>
    </x:row>
    <x:row r="556">
      <x:c r="B556" t="str">
        <x:v>PL-0550</x:v>
      </x:c>
      <x:c r="C556" t="str">
        <x:v>PLANNING</x:v>
      </x:c>
      <x:c r="D556" t="str">
        <x:v>hold</x:v>
      </x:c>
      <x:c r="E556" t="str">
        <x:v>hold 27</x:v>
      </x:c>
      <x:c r="F556" t="n">
        <x:f>Controls!$D$62</x:f>
        <x:v>1</x:v>
      </x:c>
      <x:c r="G556" t="n">
        <x:v>1</x:v>
      </x:c>
      <x:c r="H556" t="str">
        <x:v>RFE design authority</x:v>
      </x:c>
      <x:c r="I556" t="str">
        <x:f>IF(F556=1,"PASS","GAP")</x:f>
        <x:v>PASS</x:v>
      </x:c>
    </x:row>
    <x:row r="557">
      <x:c r="B557" t="str">
        <x:v>PL-0551</x:v>
      </x:c>
      <x:c r="C557" t="str">
        <x:v>PLANNING</x:v>
      </x:c>
      <x:c r="D557" t="str">
        <x:v>hold</x:v>
      </x:c>
      <x:c r="E557" t="str">
        <x:v>hold 28</x:v>
      </x:c>
      <x:c r="F557" t="n">
        <x:f>Controls!$D$62</x:f>
        <x:v>1</x:v>
      </x:c>
      <x:c r="G557" t="n">
        <x:v>1</x:v>
      </x:c>
      <x:c r="H557" t="str">
        <x:v>RFE design authority</x:v>
      </x:c>
      <x:c r="I557" t="str">
        <x:f>IF(F557=1,"PASS","GAP")</x:f>
        <x:v>PASS</x:v>
      </x:c>
    </x:row>
    <x:row r="558">
      <x:c r="B558" t="str">
        <x:v>PL-0552</x:v>
      </x:c>
      <x:c r="C558" t="str">
        <x:v>PLANNING</x:v>
      </x:c>
      <x:c r="D558" t="str">
        <x:v>hold</x:v>
      </x:c>
      <x:c r="E558" t="str">
        <x:v>hold 29</x:v>
      </x:c>
      <x:c r="F558" t="n">
        <x:f>Controls!$D$62</x:f>
        <x:v>1</x:v>
      </x:c>
      <x:c r="G558" t="n">
        <x:v>1</x:v>
      </x:c>
      <x:c r="H558" t="str">
        <x:v>RFE design authority</x:v>
      </x:c>
      <x:c r="I558" t="str">
        <x:f>IF(F558=1,"PASS","GAP")</x:f>
        <x:v>PASS</x:v>
      </x:c>
    </x:row>
    <x:row r="559">
      <x:c r="B559" t="str">
        <x:v>PL-0553</x:v>
      </x:c>
      <x:c r="C559" t="str">
        <x:v>PLANNING</x:v>
      </x:c>
      <x:c r="D559" t="str">
        <x:v>hold</x:v>
      </x:c>
      <x:c r="E559" t="str">
        <x:v>hold 30</x:v>
      </x:c>
      <x:c r="F559" t="n">
        <x:f>Controls!$D$62</x:f>
        <x:v>1</x:v>
      </x:c>
      <x:c r="G559" t="n">
        <x:v>1</x:v>
      </x:c>
      <x:c r="H559" t="str">
        <x:v>RFE design authority</x:v>
      </x:c>
      <x:c r="I559" t="str">
        <x:f>IF(F559=1,"PASS","GAP")</x:f>
        <x:v>PASS</x:v>
      </x:c>
    </x:row>
    <x:row r="560">
      <x:c r="B560" t="str">
        <x:v>PL-0554</x:v>
      </x:c>
      <x:c r="C560" t="str">
        <x:v>PLANNING</x:v>
      </x:c>
      <x:c r="D560" t="str">
        <x:v>hold</x:v>
      </x:c>
      <x:c r="E560" t="str">
        <x:v>hold 31</x:v>
      </x:c>
      <x:c r="F560" t="n">
        <x:f>Controls!$D$62</x:f>
        <x:v>1</x:v>
      </x:c>
      <x:c r="G560" t="n">
        <x:v>1</x:v>
      </x:c>
      <x:c r="H560" t="str">
        <x:v>RFE design authority</x:v>
      </x:c>
      <x:c r="I560" t="str">
        <x:f>IF(F560=1,"PASS","GAP")</x:f>
        <x:v>PASS</x:v>
      </x:c>
    </x:row>
    <x:row r="561">
      <x:c r="B561" t="str">
        <x:v>PL-0555</x:v>
      </x:c>
      <x:c r="C561" t="str">
        <x:v>PLANNING</x:v>
      </x:c>
      <x:c r="D561" t="str">
        <x:v>hold</x:v>
      </x:c>
      <x:c r="E561" t="str">
        <x:v>hold 32</x:v>
      </x:c>
      <x:c r="F561" t="n">
        <x:f>Controls!$D$62</x:f>
        <x:v>1</x:v>
      </x:c>
      <x:c r="G561" t="n">
        <x:v>1</x:v>
      </x:c>
      <x:c r="H561" t="str">
        <x:v>RFE design authority</x:v>
      </x:c>
      <x:c r="I561" t="str">
        <x:f>IF(F561=1,"PASS","GAP")</x:f>
        <x:v>PASS</x:v>
      </x:c>
    </x:row>
    <x:row r="562">
      <x:c r="B562" t="str">
        <x:v>PL-0556</x:v>
      </x:c>
      <x:c r="C562" t="str">
        <x:v>PLANNING</x:v>
      </x:c>
      <x:c r="D562" t="str">
        <x:v>command</x:v>
      </x:c>
      <x:c r="E562" t="str">
        <x:v>command 1</x:v>
      </x:c>
      <x:c r="F562" t="n">
        <x:f>Controls!$D$62</x:f>
        <x:v>1</x:v>
      </x:c>
      <x:c r="G562" t="n">
        <x:v>1</x:v>
      </x:c>
      <x:c r="H562" t="str">
        <x:v>RFE design authority</x:v>
      </x:c>
      <x:c r="I562" t="str">
        <x:f>IF(F562=1,"PASS","GAP")</x:f>
        <x:v>PASS</x:v>
      </x:c>
    </x:row>
    <x:row r="563">
      <x:c r="B563" t="str">
        <x:v>PL-0557</x:v>
      </x:c>
      <x:c r="C563" t="str">
        <x:v>PLANNING</x:v>
      </x:c>
      <x:c r="D563" t="str">
        <x:v>command</x:v>
      </x:c>
      <x:c r="E563" t="str">
        <x:v>command 2</x:v>
      </x:c>
      <x:c r="F563" t="n">
        <x:f>Controls!$D$62</x:f>
        <x:v>1</x:v>
      </x:c>
      <x:c r="G563" t="n">
        <x:v>1</x:v>
      </x:c>
      <x:c r="H563" t="str">
        <x:v>RFE design authority</x:v>
      </x:c>
      <x:c r="I563" t="str">
        <x:f>IF(F563=1,"PASS","GAP")</x:f>
        <x:v>PASS</x:v>
      </x:c>
    </x:row>
    <x:row r="564">
      <x:c r="B564" t="str">
        <x:v>PL-0558</x:v>
      </x:c>
      <x:c r="C564" t="str">
        <x:v>PLANNING</x:v>
      </x:c>
      <x:c r="D564" t="str">
        <x:v>command</x:v>
      </x:c>
      <x:c r="E564" t="str">
        <x:v>command 3</x:v>
      </x:c>
      <x:c r="F564" t="n">
        <x:f>Controls!$D$62</x:f>
        <x:v>1</x:v>
      </x:c>
      <x:c r="G564" t="n">
        <x:v>1</x:v>
      </x:c>
      <x:c r="H564" t="str">
        <x:v>RFE design authority</x:v>
      </x:c>
      <x:c r="I564" t="str">
        <x:f>IF(F564=1,"PASS","GAP")</x:f>
        <x:v>PASS</x:v>
      </x:c>
    </x:row>
    <x:row r="565">
      <x:c r="B565" t="str">
        <x:v>PL-0559</x:v>
      </x:c>
      <x:c r="C565" t="str">
        <x:v>PLANNING</x:v>
      </x:c>
      <x:c r="D565" t="str">
        <x:v>command</x:v>
      </x:c>
      <x:c r="E565" t="str">
        <x:v>command 4</x:v>
      </x:c>
      <x:c r="F565" t="n">
        <x:f>Controls!$D$62</x:f>
        <x:v>1</x:v>
      </x:c>
      <x:c r="G565" t="n">
        <x:v>1</x:v>
      </x:c>
      <x:c r="H565" t="str">
        <x:v>RFE design authority</x:v>
      </x:c>
      <x:c r="I565" t="str">
        <x:f>IF(F565=1,"PASS","GAP")</x:f>
        <x:v>PASS</x:v>
      </x:c>
    </x:row>
    <x:row r="566">
      <x:c r="B566" t="str">
        <x:v>PL-0560</x:v>
      </x:c>
      <x:c r="C566" t="str">
        <x:v>PLANNING</x:v>
      </x:c>
      <x:c r="D566" t="str">
        <x:v>command</x:v>
      </x:c>
      <x:c r="E566" t="str">
        <x:v>command 5</x:v>
      </x:c>
      <x:c r="F566" t="n">
        <x:f>Controls!$D$62</x:f>
        <x:v>1</x:v>
      </x:c>
      <x:c r="G566" t="n">
        <x:v>1</x:v>
      </x:c>
      <x:c r="H566" t="str">
        <x:v>RFE design authority</x:v>
      </x:c>
      <x:c r="I566" t="str">
        <x:f>IF(F566=1,"PASS","GAP")</x:f>
        <x:v>PASS</x:v>
      </x:c>
    </x:row>
    <x:row r="567">
      <x:c r="B567" t="str">
        <x:v>PL-0561</x:v>
      </x:c>
      <x:c r="C567" t="str">
        <x:v>PLANNING</x:v>
      </x:c>
      <x:c r="D567" t="str">
        <x:v>command</x:v>
      </x:c>
      <x:c r="E567" t="str">
        <x:v>command 6</x:v>
      </x:c>
      <x:c r="F567" t="n">
        <x:f>Controls!$D$62</x:f>
        <x:v>1</x:v>
      </x:c>
      <x:c r="G567" t="n">
        <x:v>1</x:v>
      </x:c>
      <x:c r="H567" t="str">
        <x:v>RFE design authority</x:v>
      </x:c>
      <x:c r="I567" t="str">
        <x:f>IF(F567=1,"PASS","GAP")</x:f>
        <x:v>PASS</x:v>
      </x:c>
    </x:row>
    <x:row r="568">
      <x:c r="B568" t="str">
        <x:v>PL-0562</x:v>
      </x:c>
      <x:c r="C568" t="str">
        <x:v>PLANNING</x:v>
      </x:c>
      <x:c r="D568" t="str">
        <x:v>command</x:v>
      </x:c>
      <x:c r="E568" t="str">
        <x:v>command 7</x:v>
      </x:c>
      <x:c r="F568" t="n">
        <x:f>Controls!$D$62</x:f>
        <x:v>1</x:v>
      </x:c>
      <x:c r="G568" t="n">
        <x:v>1</x:v>
      </x:c>
      <x:c r="H568" t="str">
        <x:v>RFE design authority</x:v>
      </x:c>
      <x:c r="I568" t="str">
        <x:f>IF(F568=1,"PASS","GAP")</x:f>
        <x:v>PASS</x:v>
      </x:c>
    </x:row>
    <x:row r="569">
      <x:c r="B569" t="str">
        <x:v>PL-0563</x:v>
      </x:c>
      <x:c r="C569" t="str">
        <x:v>PLANNING</x:v>
      </x:c>
      <x:c r="D569" t="str">
        <x:v>command</x:v>
      </x:c>
      <x:c r="E569" t="str">
        <x:v>command 8</x:v>
      </x:c>
      <x:c r="F569" t="n">
        <x:f>Controls!$D$62</x:f>
        <x:v>1</x:v>
      </x:c>
      <x:c r="G569" t="n">
        <x:v>1</x:v>
      </x:c>
      <x:c r="H569" t="str">
        <x:v>RFE design authority</x:v>
      </x:c>
      <x:c r="I569" t="str">
        <x:f>IF(F569=1,"PASS","GAP")</x:f>
        <x:v>PASS</x:v>
      </x:c>
    </x:row>
    <x:row r="570">
      <x:c r="B570" t="str">
        <x:v>PL-0564</x:v>
      </x:c>
      <x:c r="C570" t="str">
        <x:v>PLANNING</x:v>
      </x:c>
      <x:c r="D570" t="str">
        <x:v>command</x:v>
      </x:c>
      <x:c r="E570" t="str">
        <x:v>command 9</x:v>
      </x:c>
      <x:c r="F570" t="n">
        <x:f>Controls!$D$62</x:f>
        <x:v>1</x:v>
      </x:c>
      <x:c r="G570" t="n">
        <x:v>1</x:v>
      </x:c>
      <x:c r="H570" t="str">
        <x:v>RFE design authority</x:v>
      </x:c>
      <x:c r="I570" t="str">
        <x:f>IF(F570=1,"PASS","GAP")</x:f>
        <x:v>PASS</x:v>
      </x:c>
    </x:row>
    <x:row r="571">
      <x:c r="B571" t="str">
        <x:v>PL-0565</x:v>
      </x:c>
      <x:c r="C571" t="str">
        <x:v>PLANNING</x:v>
      </x:c>
      <x:c r="D571" t="str">
        <x:v>command</x:v>
      </x:c>
      <x:c r="E571" t="str">
        <x:v>command 10</x:v>
      </x:c>
      <x:c r="F571" t="n">
        <x:f>Controls!$D$62</x:f>
        <x:v>1</x:v>
      </x:c>
      <x:c r="G571" t="n">
        <x:v>1</x:v>
      </x:c>
      <x:c r="H571" t="str">
        <x:v>RFE design authority</x:v>
      </x:c>
      <x:c r="I571" t="str">
        <x:f>IF(F571=1,"PASS","GAP")</x:f>
        <x:v>PASS</x:v>
      </x:c>
    </x:row>
    <x:row r="572">
      <x:c r="B572" t="str">
        <x:v>PL-0566</x:v>
      </x:c>
      <x:c r="C572" t="str">
        <x:v>PLANNING</x:v>
      </x:c>
      <x:c r="D572" t="str">
        <x:v>command</x:v>
      </x:c>
      <x:c r="E572" t="str">
        <x:v>command 11</x:v>
      </x:c>
      <x:c r="F572" t="n">
        <x:f>Controls!$D$62</x:f>
        <x:v>1</x:v>
      </x:c>
      <x:c r="G572" t="n">
        <x:v>1</x:v>
      </x:c>
      <x:c r="H572" t="str">
        <x:v>RFE design authority</x:v>
      </x:c>
      <x:c r="I572" t="str">
        <x:f>IF(F572=1,"PASS","GAP")</x:f>
        <x:v>PASS</x:v>
      </x:c>
    </x:row>
    <x:row r="573">
      <x:c r="B573" t="str">
        <x:v>PL-0567</x:v>
      </x:c>
      <x:c r="C573" t="str">
        <x:v>PLANNING</x:v>
      </x:c>
      <x:c r="D573" t="str">
        <x:v>command</x:v>
      </x:c>
      <x:c r="E573" t="str">
        <x:v>command 12</x:v>
      </x:c>
      <x:c r="F573" t="n">
        <x:f>Controls!$D$62</x:f>
        <x:v>1</x:v>
      </x:c>
      <x:c r="G573" t="n">
        <x:v>1</x:v>
      </x:c>
      <x:c r="H573" t="str">
        <x:v>RFE design authority</x:v>
      </x:c>
      <x:c r="I573" t="str">
        <x:f>IF(F573=1,"PASS","GAP")</x:f>
        <x:v>PASS</x:v>
      </x:c>
    </x:row>
    <x:row r="574">
      <x:c r="B574" t="str">
        <x:v>PL-0568</x:v>
      </x:c>
      <x:c r="C574" t="str">
        <x:v>PLANNING</x:v>
      </x:c>
      <x:c r="D574" t="str">
        <x:v>command</x:v>
      </x:c>
      <x:c r="E574" t="str">
        <x:v>command 13</x:v>
      </x:c>
      <x:c r="F574" t="n">
        <x:f>Controls!$D$62</x:f>
        <x:v>1</x:v>
      </x:c>
      <x:c r="G574" t="n">
        <x:v>1</x:v>
      </x:c>
      <x:c r="H574" t="str">
        <x:v>RFE design authority</x:v>
      </x:c>
      <x:c r="I574" t="str">
        <x:f>IF(F574=1,"PASS","GAP")</x:f>
        <x:v>PASS</x:v>
      </x:c>
    </x:row>
    <x:row r="575">
      <x:c r="B575" t="str">
        <x:v>PL-0569</x:v>
      </x:c>
      <x:c r="C575" t="str">
        <x:v>PLANNING</x:v>
      </x:c>
      <x:c r="D575" t="str">
        <x:v>command</x:v>
      </x:c>
      <x:c r="E575" t="str">
        <x:v>command 14</x:v>
      </x:c>
      <x:c r="F575" t="n">
        <x:f>Controls!$D$62</x:f>
        <x:v>1</x:v>
      </x:c>
      <x:c r="G575" t="n">
        <x:v>1</x:v>
      </x:c>
      <x:c r="H575" t="str">
        <x:v>RFE design authority</x:v>
      </x:c>
      <x:c r="I575" t="str">
        <x:f>IF(F575=1,"PASS","GAP")</x:f>
        <x:v>PASS</x:v>
      </x:c>
    </x:row>
    <x:row r="576">
      <x:c r="B576" t="str">
        <x:v>PL-0570</x:v>
      </x:c>
      <x:c r="C576" t="str">
        <x:v>PLANNING</x:v>
      </x:c>
      <x:c r="D576" t="str">
        <x:v>command</x:v>
      </x:c>
      <x:c r="E576" t="str">
        <x:v>command 15</x:v>
      </x:c>
      <x:c r="F576" t="n">
        <x:f>Controls!$D$62</x:f>
        <x:v>1</x:v>
      </x:c>
      <x:c r="G576" t="n">
        <x:v>1</x:v>
      </x:c>
      <x:c r="H576" t="str">
        <x:v>RFE design authority</x:v>
      </x:c>
      <x:c r="I576" t="str">
        <x:f>IF(F576=1,"PASS","GAP")</x:f>
        <x:v>PASS</x:v>
      </x:c>
    </x:row>
    <x:row r="577">
      <x:c r="B577" t="str">
        <x:v>PL-0571</x:v>
      </x:c>
      <x:c r="C577" t="str">
        <x:v>PLANNING</x:v>
      </x:c>
      <x:c r="D577" t="str">
        <x:v>command</x:v>
      </x:c>
      <x:c r="E577" t="str">
        <x:v>command 16</x:v>
      </x:c>
      <x:c r="F577" t="n">
        <x:f>Controls!$D$62</x:f>
        <x:v>1</x:v>
      </x:c>
      <x:c r="G577" t="n">
        <x:v>1</x:v>
      </x:c>
      <x:c r="H577" t="str">
        <x:v>RFE design authority</x:v>
      </x:c>
      <x:c r="I577" t="str">
        <x:f>IF(F577=1,"PASS","GAP")</x:f>
        <x:v>PASS</x:v>
      </x:c>
    </x:row>
    <x:row r="578">
      <x:c r="B578" t="str">
        <x:v>PL-0572</x:v>
      </x:c>
      <x:c r="C578" t="str">
        <x:v>PLANNING</x:v>
      </x:c>
      <x:c r="D578" t="str">
        <x:v>command</x:v>
      </x:c>
      <x:c r="E578" t="str">
        <x:v>command 17</x:v>
      </x:c>
      <x:c r="F578" t="n">
        <x:f>Controls!$D$62</x:f>
        <x:v>1</x:v>
      </x:c>
      <x:c r="G578" t="n">
        <x:v>1</x:v>
      </x:c>
      <x:c r="H578" t="str">
        <x:v>RFE design authority</x:v>
      </x:c>
      <x:c r="I578" t="str">
        <x:f>IF(F578=1,"PASS","GAP")</x:f>
        <x:v>PASS</x:v>
      </x:c>
    </x:row>
    <x:row r="579">
      <x:c r="B579" t="str">
        <x:v>PL-0573</x:v>
      </x:c>
      <x:c r="C579" t="str">
        <x:v>PLANNING</x:v>
      </x:c>
      <x:c r="D579" t="str">
        <x:v>command</x:v>
      </x:c>
      <x:c r="E579" t="str">
        <x:v>command 18</x:v>
      </x:c>
      <x:c r="F579" t="n">
        <x:f>Controls!$D$62</x:f>
        <x:v>1</x:v>
      </x:c>
      <x:c r="G579" t="n">
        <x:v>1</x:v>
      </x:c>
      <x:c r="H579" t="str">
        <x:v>RFE design authority</x:v>
      </x:c>
      <x:c r="I579" t="str">
        <x:f>IF(F579=1,"PASS","GAP")</x:f>
        <x:v>PASS</x:v>
      </x:c>
    </x:row>
    <x:row r="580">
      <x:c r="B580" t="str">
        <x:v>PL-0574</x:v>
      </x:c>
      <x:c r="C580" t="str">
        <x:v>PLANNING</x:v>
      </x:c>
      <x:c r="D580" t="str">
        <x:v>command</x:v>
      </x:c>
      <x:c r="E580" t="str">
        <x:v>command 19</x:v>
      </x:c>
      <x:c r="F580" t="n">
        <x:f>Controls!$D$62</x:f>
        <x:v>1</x:v>
      </x:c>
      <x:c r="G580" t="n">
        <x:v>1</x:v>
      </x:c>
      <x:c r="H580" t="str">
        <x:v>RFE design authority</x:v>
      </x:c>
      <x:c r="I580" t="str">
        <x:f>IF(F580=1,"PASS","GAP")</x:f>
        <x:v>PASS</x:v>
      </x:c>
    </x:row>
    <x:row r="581">
      <x:c r="B581" t="str">
        <x:v>PL-0575</x:v>
      </x:c>
      <x:c r="C581" t="str">
        <x:v>PLANNING</x:v>
      </x:c>
      <x:c r="D581" t="str">
        <x:v>command</x:v>
      </x:c>
      <x:c r="E581" t="str">
        <x:v>command 20</x:v>
      </x:c>
      <x:c r="F581" t="n">
        <x:f>Controls!$D$62</x:f>
        <x:v>1</x:v>
      </x:c>
      <x:c r="G581" t="n">
        <x:v>1</x:v>
      </x:c>
      <x:c r="H581" t="str">
        <x:v>RFE design authority</x:v>
      </x:c>
      <x:c r="I581" t="str">
        <x:f>IF(F581=1,"PASS","GAP")</x:f>
        <x:v>PASS</x:v>
      </x:c>
    </x:row>
    <x:row r="582">
      <x:c r="B582" t="str">
        <x:v>PL-0576</x:v>
      </x:c>
      <x:c r="C582" t="str">
        <x:v>PLANNING</x:v>
      </x:c>
      <x:c r="D582" t="str">
        <x:v>abort</x:v>
      </x:c>
      <x:c r="E582" t="str">
        <x:v>abort 1</x:v>
      </x:c>
      <x:c r="F582" t="n">
        <x:f>Controls!$D$62</x:f>
        <x:v>1</x:v>
      </x:c>
      <x:c r="G582" t="n">
        <x:v>1</x:v>
      </x:c>
      <x:c r="H582" t="str">
        <x:v>RFE design authority</x:v>
      </x:c>
      <x:c r="I582" t="str">
        <x:f>IF(F582=1,"PASS","GAP")</x:f>
        <x:v>PASS</x:v>
      </x:c>
    </x:row>
    <x:row r="583">
      <x:c r="B583" t="str">
        <x:v>PL-0577</x:v>
      </x:c>
      <x:c r="C583" t="str">
        <x:v>PLANNING</x:v>
      </x:c>
      <x:c r="D583" t="str">
        <x:v>abort</x:v>
      </x:c>
      <x:c r="E583" t="str">
        <x:v>abort 2</x:v>
      </x:c>
      <x:c r="F583" t="n">
        <x:f>Controls!$D$62</x:f>
        <x:v>1</x:v>
      </x:c>
      <x:c r="G583" t="n">
        <x:v>1</x:v>
      </x:c>
      <x:c r="H583" t="str">
        <x:v>RFE design authority</x:v>
      </x:c>
      <x:c r="I583" t="str">
        <x:f>IF(F583=1,"PASS","GAP")</x:f>
        <x:v>PASS</x:v>
      </x:c>
    </x:row>
    <x:row r="584">
      <x:c r="B584" t="str">
        <x:v>PL-0578</x:v>
      </x:c>
      <x:c r="C584" t="str">
        <x:v>PLANNING</x:v>
      </x:c>
      <x:c r="D584" t="str">
        <x:v>abort</x:v>
      </x:c>
      <x:c r="E584" t="str">
        <x:v>abort 3</x:v>
      </x:c>
      <x:c r="F584" t="n">
        <x:f>Controls!$D$62</x:f>
        <x:v>1</x:v>
      </x:c>
      <x:c r="G584" t="n">
        <x:v>1</x:v>
      </x:c>
      <x:c r="H584" t="str">
        <x:v>RFE design authority</x:v>
      </x:c>
      <x:c r="I584" t="str">
        <x:f>IF(F584=1,"PASS","GAP")</x:f>
        <x:v>PASS</x:v>
      </x:c>
    </x:row>
    <x:row r="585">
      <x:c r="B585" t="str">
        <x:v>PL-0579</x:v>
      </x:c>
      <x:c r="C585" t="str">
        <x:v>PLANNING</x:v>
      </x:c>
      <x:c r="D585" t="str">
        <x:v>abort</x:v>
      </x:c>
      <x:c r="E585" t="str">
        <x:v>abort 4</x:v>
      </x:c>
      <x:c r="F585" t="n">
        <x:f>Controls!$D$62</x:f>
        <x:v>1</x:v>
      </x:c>
      <x:c r="G585" t="n">
        <x:v>1</x:v>
      </x:c>
      <x:c r="H585" t="str">
        <x:v>RFE design authority</x:v>
      </x:c>
      <x:c r="I585" t="str">
        <x:f>IF(F585=1,"PASS","GAP")</x:f>
        <x:v>PASS</x:v>
      </x:c>
    </x:row>
    <x:row r="586">
      <x:c r="B586" t="str">
        <x:v>PL-0580</x:v>
      </x:c>
      <x:c r="C586" t="str">
        <x:v>PLANNING</x:v>
      </x:c>
      <x:c r="D586" t="str">
        <x:v>abort</x:v>
      </x:c>
      <x:c r="E586" t="str">
        <x:v>abort 5</x:v>
      </x:c>
      <x:c r="F586" t="n">
        <x:f>Controls!$D$62</x:f>
        <x:v>1</x:v>
      </x:c>
      <x:c r="G586" t="n">
        <x:v>1</x:v>
      </x:c>
      <x:c r="H586" t="str">
        <x:v>RFE design authority</x:v>
      </x:c>
      <x:c r="I586" t="str">
        <x:f>IF(F586=1,"PASS","GAP")</x:f>
        <x:v>PASS</x:v>
      </x:c>
    </x:row>
    <x:row r="587">
      <x:c r="B587" t="str">
        <x:v>PL-0581</x:v>
      </x:c>
      <x:c r="C587" t="str">
        <x:v>PLANNING</x:v>
      </x:c>
      <x:c r="D587" t="str">
        <x:v>abort</x:v>
      </x:c>
      <x:c r="E587" t="str">
        <x:v>abort 6</x:v>
      </x:c>
      <x:c r="F587" t="n">
        <x:f>Controls!$D$62</x:f>
        <x:v>1</x:v>
      </x:c>
      <x:c r="G587" t="n">
        <x:v>1</x:v>
      </x:c>
      <x:c r="H587" t="str">
        <x:v>RFE design authority</x:v>
      </x:c>
      <x:c r="I587" t="str">
        <x:f>IF(F587=1,"PASS","GAP")</x:f>
        <x:v>PASS</x:v>
      </x:c>
    </x:row>
    <x:row r="588">
      <x:c r="B588" t="str">
        <x:v>PL-0582</x:v>
      </x:c>
      <x:c r="C588" t="str">
        <x:v>PLANNING</x:v>
      </x:c>
      <x:c r="D588" t="str">
        <x:v>abort</x:v>
      </x:c>
      <x:c r="E588" t="str">
        <x:v>abort 7</x:v>
      </x:c>
      <x:c r="F588" t="n">
        <x:f>Controls!$D$62</x:f>
        <x:v>1</x:v>
      </x:c>
      <x:c r="G588" t="n">
        <x:v>1</x:v>
      </x:c>
      <x:c r="H588" t="str">
        <x:v>RFE design authority</x:v>
      </x:c>
      <x:c r="I588" t="str">
        <x:f>IF(F588=1,"PASS","GAP")</x:f>
        <x:v>PASS</x:v>
      </x:c>
    </x:row>
    <x:row r="589">
      <x:c r="B589" t="str">
        <x:v>PL-0583</x:v>
      </x:c>
      <x:c r="C589" t="str">
        <x:v>PLANNING</x:v>
      </x:c>
      <x:c r="D589" t="str">
        <x:v>abort</x:v>
      </x:c>
      <x:c r="E589" t="str">
        <x:v>abort 8</x:v>
      </x:c>
      <x:c r="F589" t="n">
        <x:f>Controls!$D$62</x:f>
        <x:v>1</x:v>
      </x:c>
      <x:c r="G589" t="n">
        <x:v>1</x:v>
      </x:c>
      <x:c r="H589" t="str">
        <x:v>RFE design authority</x:v>
      </x:c>
      <x:c r="I589" t="str">
        <x:f>IF(F589=1,"PASS","GAP")</x:f>
        <x:v>PASS</x:v>
      </x:c>
    </x:row>
    <x:row r="590">
      <x:c r="B590" t="str">
        <x:v>PL-0584</x:v>
      </x:c>
      <x:c r="C590" t="str">
        <x:v>PLANNING</x:v>
      </x:c>
      <x:c r="D590" t="str">
        <x:v>abort</x:v>
      </x:c>
      <x:c r="E590" t="str">
        <x:v>abort 9</x:v>
      </x:c>
      <x:c r="F590" t="n">
        <x:f>Controls!$D$62</x:f>
        <x:v>1</x:v>
      </x:c>
      <x:c r="G590" t="n">
        <x:v>1</x:v>
      </x:c>
      <x:c r="H590" t="str">
        <x:v>RFE design authority</x:v>
      </x:c>
      <x:c r="I590" t="str">
        <x:f>IF(F590=1,"PASS","GAP")</x:f>
        <x:v>PASS</x:v>
      </x:c>
    </x:row>
    <x:row r="591">
      <x:c r="B591" t="str">
        <x:v>PL-0585</x:v>
      </x:c>
      <x:c r="C591" t="str">
        <x:v>PLANNING</x:v>
      </x:c>
      <x:c r="D591" t="str">
        <x:v>abort</x:v>
      </x:c>
      <x:c r="E591" t="str">
        <x:v>abort 10</x:v>
      </x:c>
      <x:c r="F591" t="n">
        <x:f>Controls!$D$62</x:f>
        <x:v>1</x:v>
      </x:c>
      <x:c r="G591" t="n">
        <x:v>1</x:v>
      </x:c>
      <x:c r="H591" t="str">
        <x:v>RFE design authority</x:v>
      </x:c>
      <x:c r="I591" t="str">
        <x:f>IF(F591=1,"PASS","GAP")</x:f>
        <x:v>PASS</x:v>
      </x:c>
    </x:row>
    <x:row r="592">
      <x:c r="B592" t="str">
        <x:v>PL-0586</x:v>
      </x:c>
      <x:c r="C592" t="str">
        <x:v>PLANNING</x:v>
      </x:c>
      <x:c r="D592" t="str">
        <x:v>abort</x:v>
      </x:c>
      <x:c r="E592" t="str">
        <x:v>abort 11</x:v>
      </x:c>
      <x:c r="F592" t="n">
        <x:f>Controls!$D$62</x:f>
        <x:v>1</x:v>
      </x:c>
      <x:c r="G592" t="n">
        <x:v>1</x:v>
      </x:c>
      <x:c r="H592" t="str">
        <x:v>RFE design authority</x:v>
      </x:c>
      <x:c r="I592" t="str">
        <x:f>IF(F592=1,"PASS","GAP")</x:f>
        <x:v>PASS</x:v>
      </x:c>
    </x:row>
    <x:row r="593">
      <x:c r="B593" t="str">
        <x:v>PL-0587</x:v>
      </x:c>
      <x:c r="C593" t="str">
        <x:v>PLANNING</x:v>
      </x:c>
      <x:c r="D593" t="str">
        <x:v>abort</x:v>
      </x:c>
      <x:c r="E593" t="str">
        <x:v>abort 12</x:v>
      </x:c>
      <x:c r="F593" t="n">
        <x:f>Controls!$D$62</x:f>
        <x:v>1</x:v>
      </x:c>
      <x:c r="G593" t="n">
        <x:v>1</x:v>
      </x:c>
      <x:c r="H593" t="str">
        <x:v>RFE design authority</x:v>
      </x:c>
      <x:c r="I593" t="str">
        <x:f>IF(F593=1,"PASS","GAP")</x:f>
        <x:v>PASS</x:v>
      </x:c>
    </x:row>
    <x:row r="594">
      <x:c r="B594" t="str">
        <x:v>PL-0588</x:v>
      </x:c>
      <x:c r="C594" t="str">
        <x:v>PLANNING</x:v>
      </x:c>
      <x:c r="D594" t="str">
        <x:v>abort</x:v>
      </x:c>
      <x:c r="E594" t="str">
        <x:v>abort 13</x:v>
      </x:c>
      <x:c r="F594" t="n">
        <x:f>Controls!$D$62</x:f>
        <x:v>1</x:v>
      </x:c>
      <x:c r="G594" t="n">
        <x:v>1</x:v>
      </x:c>
      <x:c r="H594" t="str">
        <x:v>RFE design authority</x:v>
      </x:c>
      <x:c r="I594" t="str">
        <x:f>IF(F594=1,"PASS","GAP")</x:f>
        <x:v>PASS</x:v>
      </x:c>
    </x:row>
    <x:row r="595">
      <x:c r="B595" t="str">
        <x:v>PL-0589</x:v>
      </x:c>
      <x:c r="C595" t="str">
        <x:v>PLANNING</x:v>
      </x:c>
      <x:c r="D595" t="str">
        <x:v>abort</x:v>
      </x:c>
      <x:c r="E595" t="str">
        <x:v>abort 14</x:v>
      </x:c>
      <x:c r="F595" t="n">
        <x:f>Controls!$D$62</x:f>
        <x:v>1</x:v>
      </x:c>
      <x:c r="G595" t="n">
        <x:v>1</x:v>
      </x:c>
      <x:c r="H595" t="str">
        <x:v>RFE design authority</x:v>
      </x:c>
      <x:c r="I595" t="str">
        <x:f>IF(F595=1,"PASS","GAP")</x:f>
        <x:v>PASS</x:v>
      </x:c>
    </x:row>
    <x:row r="596">
      <x:c r="B596" t="str">
        <x:v>PL-0590</x:v>
      </x:c>
      <x:c r="C596" t="str">
        <x:v>PLANNING</x:v>
      </x:c>
      <x:c r="D596" t="str">
        <x:v>abort</x:v>
      </x:c>
      <x:c r="E596" t="str">
        <x:v>abort 15</x:v>
      </x:c>
      <x:c r="F596" t="n">
        <x:f>Controls!$D$62</x:f>
        <x:v>1</x:v>
      </x:c>
      <x:c r="G596" t="n">
        <x:v>1</x:v>
      </x:c>
      <x:c r="H596" t="str">
        <x:v>RFE design authority</x:v>
      </x:c>
      <x:c r="I596" t="str">
        <x:f>IF(F596=1,"PASS","GAP")</x:f>
        <x:v>PASS</x:v>
      </x:c>
    </x:row>
    <x:row r="597">
      <x:c r="B597" t="str">
        <x:v>PL-0591</x:v>
      </x:c>
      <x:c r="C597" t="str">
        <x:v>PLANNING</x:v>
      </x:c>
      <x:c r="D597" t="str">
        <x:v>abort</x:v>
      </x:c>
      <x:c r="E597" t="str">
        <x:v>abort 16</x:v>
      </x:c>
      <x:c r="F597" t="n">
        <x:f>Controls!$D$62</x:f>
        <x:v>1</x:v>
      </x:c>
      <x:c r="G597" t="n">
        <x:v>1</x:v>
      </x:c>
      <x:c r="H597" t="str">
        <x:v>RFE design authority</x:v>
      </x:c>
      <x:c r="I597" t="str">
        <x:f>IF(F597=1,"PASS","GAP")</x:f>
        <x:v>PASS</x:v>
      </x:c>
    </x:row>
    <x:row r="598">
      <x:c r="B598" t="str">
        <x:v>PL-0592</x:v>
      </x:c>
      <x:c r="C598" t="str">
        <x:v>PLANNING</x:v>
      </x:c>
      <x:c r="D598" t="str">
        <x:v>abort</x:v>
      </x:c>
      <x:c r="E598" t="str">
        <x:v>abort 17</x:v>
      </x:c>
      <x:c r="F598" t="n">
        <x:f>Controls!$D$62</x:f>
        <x:v>1</x:v>
      </x:c>
      <x:c r="G598" t="n">
        <x:v>1</x:v>
      </x:c>
      <x:c r="H598" t="str">
        <x:v>RFE design authority</x:v>
      </x:c>
      <x:c r="I598" t="str">
        <x:f>IF(F598=1,"PASS","GAP")</x:f>
        <x:v>PASS</x:v>
      </x:c>
    </x:row>
    <x:row r="599">
      <x:c r="B599" t="str">
        <x:v>PL-0593</x:v>
      </x:c>
      <x:c r="C599" t="str">
        <x:v>PLANNING</x:v>
      </x:c>
      <x:c r="D599" t="str">
        <x:v>abort</x:v>
      </x:c>
      <x:c r="E599" t="str">
        <x:v>abort 18</x:v>
      </x:c>
      <x:c r="F599" t="n">
        <x:f>Controls!$D$62</x:f>
        <x:v>1</x:v>
      </x:c>
      <x:c r="G599" t="n">
        <x:v>1</x:v>
      </x:c>
      <x:c r="H599" t="str">
        <x:v>RFE design authority</x:v>
      </x:c>
      <x:c r="I599" t="str">
        <x:f>IF(F599=1,"PASS","GAP")</x:f>
        <x:v>PASS</x:v>
      </x:c>
    </x:row>
    <x:row r="600">
      <x:c r="B600" t="str">
        <x:v>PL-0594</x:v>
      </x:c>
      <x:c r="C600" t="str">
        <x:v>PLANNING</x:v>
      </x:c>
      <x:c r="D600" t="str">
        <x:v>abort</x:v>
      </x:c>
      <x:c r="E600" t="str">
        <x:v>abort 19</x:v>
      </x:c>
      <x:c r="F600" t="n">
        <x:f>Controls!$D$62</x:f>
        <x:v>1</x:v>
      </x:c>
      <x:c r="G600" t="n">
        <x:v>1</x:v>
      </x:c>
      <x:c r="H600" t="str">
        <x:v>RFE design authority</x:v>
      </x:c>
      <x:c r="I600" t="str">
        <x:f>IF(F600=1,"PASS","GAP")</x:f>
        <x:v>PASS</x:v>
      </x:c>
    </x:row>
    <x:row r="601">
      <x:c r="B601" t="str">
        <x:v>PL-0595</x:v>
      </x:c>
      <x:c r="C601" t="str">
        <x:v>PLANNING</x:v>
      </x:c>
      <x:c r="D601" t="str">
        <x:v>abort</x:v>
      </x:c>
      <x:c r="E601" t="str">
        <x:v>abort 20</x:v>
      </x:c>
      <x:c r="F601" t="n">
        <x:f>Controls!$D$62</x:f>
        <x:v>1</x:v>
      </x:c>
      <x:c r="G601" t="n">
        <x:v>1</x:v>
      </x:c>
      <x:c r="H601" t="str">
        <x:v>RFE design authority</x:v>
      </x:c>
      <x:c r="I601" t="str">
        <x:f>IF(F601=1,"PASS","GAP")</x:f>
        <x:v>PASS</x:v>
      </x:c>
    </x:row>
    <x:row r="602">
      <x:c r="B602" t="str">
        <x:v>PL-0596</x:v>
      </x:c>
      <x:c r="C602" t="str">
        <x:v>PLANNING</x:v>
      </x:c>
      <x:c r="D602" t="str">
        <x:v>intervention</x:v>
      </x:c>
      <x:c r="E602" t="str">
        <x:v>intervention 1</x:v>
      </x:c>
      <x:c r="F602" t="n">
        <x:f>Controls!$D$62</x:f>
        <x:v>1</x:v>
      </x:c>
      <x:c r="G602" t="n">
        <x:v>1</x:v>
      </x:c>
      <x:c r="H602" t="str">
        <x:v>RFE design authority</x:v>
      </x:c>
      <x:c r="I602" t="str">
        <x:f>IF(F602=1,"PASS","GAP")</x:f>
        <x:v>PASS</x:v>
      </x:c>
    </x:row>
    <x:row r="603">
      <x:c r="B603" t="str">
        <x:v>PL-0597</x:v>
      </x:c>
      <x:c r="C603" t="str">
        <x:v>PLANNING</x:v>
      </x:c>
      <x:c r="D603" t="str">
        <x:v>intervention</x:v>
      </x:c>
      <x:c r="E603" t="str">
        <x:v>intervention 2</x:v>
      </x:c>
      <x:c r="F603" t="n">
        <x:f>Controls!$D$62</x:f>
        <x:v>1</x:v>
      </x:c>
      <x:c r="G603" t="n">
        <x:v>1</x:v>
      </x:c>
      <x:c r="H603" t="str">
        <x:v>RFE design authority</x:v>
      </x:c>
      <x:c r="I603" t="str">
        <x:f>IF(F603=1,"PASS","GAP")</x:f>
        <x:v>PASS</x:v>
      </x:c>
    </x:row>
    <x:row r="604">
      <x:c r="B604" t="str">
        <x:v>PL-0598</x:v>
      </x:c>
      <x:c r="C604" t="str">
        <x:v>PLANNING</x:v>
      </x:c>
      <x:c r="D604" t="str">
        <x:v>intervention</x:v>
      </x:c>
      <x:c r="E604" t="str">
        <x:v>intervention 3</x:v>
      </x:c>
      <x:c r="F604" t="n">
        <x:f>Controls!$D$62</x:f>
        <x:v>1</x:v>
      </x:c>
      <x:c r="G604" t="n">
        <x:v>1</x:v>
      </x:c>
      <x:c r="H604" t="str">
        <x:v>RFE design authority</x:v>
      </x:c>
      <x:c r="I604" t="str">
        <x:f>IF(F604=1,"PASS","GAP")</x:f>
        <x:v>PASS</x:v>
      </x:c>
    </x:row>
    <x:row r="605">
      <x:c r="B605" t="str">
        <x:v>PL-0599</x:v>
      </x:c>
      <x:c r="C605" t="str">
        <x:v>PLANNING</x:v>
      </x:c>
      <x:c r="D605" t="str">
        <x:v>intervention</x:v>
      </x:c>
      <x:c r="E605" t="str">
        <x:v>intervention 4</x:v>
      </x:c>
      <x:c r="F605" t="n">
        <x:f>Controls!$D$62</x:f>
        <x:v>1</x:v>
      </x:c>
      <x:c r="G605" t="n">
        <x:v>1</x:v>
      </x:c>
      <x:c r="H605" t="str">
        <x:v>RFE design authority</x:v>
      </x:c>
      <x:c r="I605" t="str">
        <x:f>IF(F605=1,"PASS","GAP")</x:f>
        <x:v>PASS</x:v>
      </x:c>
    </x:row>
    <x:row r="606">
      <x:c r="B606" t="str">
        <x:v>PL-0600</x:v>
      </x:c>
      <x:c r="C606" t="str">
        <x:v>PLANNING</x:v>
      </x:c>
      <x:c r="D606" t="str">
        <x:v>intervention</x:v>
      </x:c>
      <x:c r="E606" t="str">
        <x:v>intervention 5</x:v>
      </x:c>
      <x:c r="F606" t="n">
        <x:f>Controls!$D$62</x:f>
        <x:v>1</x:v>
      </x:c>
      <x:c r="G606" t="n">
        <x:v>1</x:v>
      </x:c>
      <x:c r="H606" t="str">
        <x:v>RFE design authority</x:v>
      </x:c>
      <x:c r="I606" t="str">
        <x:f>IF(F606=1,"PASS","GAP")</x:f>
        <x:v>PASS</x:v>
      </x:c>
    </x:row>
    <x:row r="607">
      <x:c r="B607" t="str">
        <x:v>PL-0601</x:v>
      </x:c>
      <x:c r="C607" t="str">
        <x:v>PLANNING</x:v>
      </x:c>
      <x:c r="D607" t="str">
        <x:v>intervention</x:v>
      </x:c>
      <x:c r="E607" t="str">
        <x:v>intervention 6</x:v>
      </x:c>
      <x:c r="F607" t="n">
        <x:f>Controls!$D$62</x:f>
        <x:v>1</x:v>
      </x:c>
      <x:c r="G607" t="n">
        <x:v>1</x:v>
      </x:c>
      <x:c r="H607" t="str">
        <x:v>RFE design authority</x:v>
      </x:c>
      <x:c r="I607" t="str">
        <x:f>IF(F607=1,"PASS","GAP")</x:f>
        <x:v>PASS</x:v>
      </x:c>
    </x:row>
    <x:row r="608">
      <x:c r="B608" t="str">
        <x:v>PL-0602</x:v>
      </x:c>
      <x:c r="C608" t="str">
        <x:v>PLANNING</x:v>
      </x:c>
      <x:c r="D608" t="str">
        <x:v>intervention</x:v>
      </x:c>
      <x:c r="E608" t="str">
        <x:v>intervention 7</x:v>
      </x:c>
      <x:c r="F608" t="n">
        <x:f>Controls!$D$62</x:f>
        <x:v>1</x:v>
      </x:c>
      <x:c r="G608" t="n">
        <x:v>1</x:v>
      </x:c>
      <x:c r="H608" t="str">
        <x:v>RFE design authority</x:v>
      </x:c>
      <x:c r="I608" t="str">
        <x:f>IF(F608=1,"PASS","GAP")</x:f>
        <x:v>PASS</x:v>
      </x:c>
    </x:row>
    <x:row r="609">
      <x:c r="B609" t="str">
        <x:v>PL-0603</x:v>
      </x:c>
      <x:c r="C609" t="str">
        <x:v>PLANNING</x:v>
      </x:c>
      <x:c r="D609" t="str">
        <x:v>intervention</x:v>
      </x:c>
      <x:c r="E609" t="str">
        <x:v>intervention 8</x:v>
      </x:c>
      <x:c r="F609" t="n">
        <x:f>Controls!$D$62</x:f>
        <x:v>1</x:v>
      </x:c>
      <x:c r="G609" t="n">
        <x:v>1</x:v>
      </x:c>
      <x:c r="H609" t="str">
        <x:v>RFE design authority</x:v>
      </x:c>
      <x:c r="I609" t="str">
        <x:f>IF(F609=1,"PASS","GAP")</x:f>
        <x:v>PASS</x:v>
      </x:c>
    </x:row>
    <x:row r="610">
      <x:c r="B610" t="str">
        <x:v>PL-0604</x:v>
      </x:c>
      <x:c r="C610" t="str">
        <x:v>PLANNING</x:v>
      </x:c>
      <x:c r="D610" t="str">
        <x:v>intervention</x:v>
      </x:c>
      <x:c r="E610" t="str">
        <x:v>intervention 9</x:v>
      </x:c>
      <x:c r="F610" t="n">
        <x:f>Controls!$D$62</x:f>
        <x:v>1</x:v>
      </x:c>
      <x:c r="G610" t="n">
        <x:v>1</x:v>
      </x:c>
      <x:c r="H610" t="str">
        <x:v>RFE design authority</x:v>
      </x:c>
      <x:c r="I610" t="str">
        <x:f>IF(F610=1,"PASS","GAP")</x:f>
        <x:v>PASS</x:v>
      </x:c>
    </x:row>
    <x:row r="611">
      <x:c r="B611" t="str">
        <x:v>PL-0605</x:v>
      </x:c>
      <x:c r="C611" t="str">
        <x:v>PLANNING</x:v>
      </x:c>
      <x:c r="D611" t="str">
        <x:v>intervention</x:v>
      </x:c>
      <x:c r="E611" t="str">
        <x:v>intervention 10</x:v>
      </x:c>
      <x:c r="F611" t="n">
        <x:f>Controls!$D$62</x:f>
        <x:v>1</x:v>
      </x:c>
      <x:c r="G611" t="n">
        <x:v>1</x:v>
      </x:c>
      <x:c r="H611" t="str">
        <x:v>RFE design authority</x:v>
      </x:c>
      <x:c r="I611" t="str">
        <x:f>IF(F611=1,"PASS","GAP")</x:f>
        <x:v>PASS</x:v>
      </x:c>
    </x:row>
    <x:row r="612">
      <x:c r="B612" t="str">
        <x:v>PL-0606</x:v>
      </x:c>
      <x:c r="C612" t="str">
        <x:v>PLANNING</x:v>
      </x:c>
      <x:c r="D612" t="str">
        <x:v>intervention</x:v>
      </x:c>
      <x:c r="E612" t="str">
        <x:v>intervention 11</x:v>
      </x:c>
      <x:c r="F612" t="n">
        <x:f>Controls!$D$62</x:f>
        <x:v>1</x:v>
      </x:c>
      <x:c r="G612" t="n">
        <x:v>1</x:v>
      </x:c>
      <x:c r="H612" t="str">
        <x:v>RFE design authority</x:v>
      </x:c>
      <x:c r="I612" t="str">
        <x:f>IF(F612=1,"PASS","GAP")</x:f>
        <x:v>PASS</x:v>
      </x:c>
    </x:row>
    <x:row r="613">
      <x:c r="B613" t="str">
        <x:v>PL-0607</x:v>
      </x:c>
      <x:c r="C613" t="str">
        <x:v>PLANNING</x:v>
      </x:c>
      <x:c r="D613" t="str">
        <x:v>intervention</x:v>
      </x:c>
      <x:c r="E613" t="str">
        <x:v>intervention 12</x:v>
      </x:c>
      <x:c r="F613" t="n">
        <x:f>Controls!$D$62</x:f>
        <x:v>1</x:v>
      </x:c>
      <x:c r="G613" t="n">
        <x:v>1</x:v>
      </x:c>
      <x:c r="H613" t="str">
        <x:v>RFE design authority</x:v>
      </x:c>
      <x:c r="I613" t="str">
        <x:f>IF(F613=1,"PASS","GAP")</x:f>
        <x:v>PASS</x:v>
      </x:c>
    </x:row>
    <x:row r="614">
      <x:c r="B614" t="str">
        <x:v>PL-0608</x:v>
      </x:c>
      <x:c r="C614" t="str">
        <x:v>PLANNING</x:v>
      </x:c>
      <x:c r="D614" t="str">
        <x:v>safe action</x:v>
      </x:c>
      <x:c r="E614" t="str">
        <x:v>safe action 1</x:v>
      </x:c>
      <x:c r="F614" t="n">
        <x:f>Controls!$D$62</x:f>
        <x:v>1</x:v>
      </x:c>
      <x:c r="G614" t="n">
        <x:v>1</x:v>
      </x:c>
      <x:c r="H614" t="str">
        <x:v>RFE design authority</x:v>
      </x:c>
      <x:c r="I614" t="str">
        <x:f>IF(F614=1,"PASS","GAP")</x:f>
        <x:v>PASS</x:v>
      </x:c>
    </x:row>
    <x:row r="615">
      <x:c r="B615" t="str">
        <x:v>PL-0609</x:v>
      </x:c>
      <x:c r="C615" t="str">
        <x:v>PLANNING</x:v>
      </x:c>
      <x:c r="D615" t="str">
        <x:v>safe action</x:v>
      </x:c>
      <x:c r="E615" t="str">
        <x:v>safe action 2</x:v>
      </x:c>
      <x:c r="F615" t="n">
        <x:f>Controls!$D$62</x:f>
        <x:v>1</x:v>
      </x:c>
      <x:c r="G615" t="n">
        <x:v>1</x:v>
      </x:c>
      <x:c r="H615" t="str">
        <x:v>RFE design authority</x:v>
      </x:c>
      <x:c r="I615" t="str">
        <x:f>IF(F615=1,"PASS","GAP")</x:f>
        <x:v>PASS</x:v>
      </x:c>
    </x:row>
    <x:row r="616">
      <x:c r="B616" t="str">
        <x:v>PL-0610</x:v>
      </x:c>
      <x:c r="C616" t="str">
        <x:v>PLANNING</x:v>
      </x:c>
      <x:c r="D616" t="str">
        <x:v>safe action</x:v>
      </x:c>
      <x:c r="E616" t="str">
        <x:v>safe action 3</x:v>
      </x:c>
      <x:c r="F616" t="n">
        <x:f>Controls!$D$62</x:f>
        <x:v>1</x:v>
      </x:c>
      <x:c r="G616" t="n">
        <x:v>1</x:v>
      </x:c>
      <x:c r="H616" t="str">
        <x:v>RFE design authority</x:v>
      </x:c>
      <x:c r="I616" t="str">
        <x:f>IF(F616=1,"PASS","GAP")</x:f>
        <x:v>PASS</x:v>
      </x:c>
    </x:row>
    <x:row r="617">
      <x:c r="B617" t="str">
        <x:v>PL-0611</x:v>
      </x:c>
      <x:c r="C617" t="str">
        <x:v>PLANNING</x:v>
      </x:c>
      <x:c r="D617" t="str">
        <x:v>safe action</x:v>
      </x:c>
      <x:c r="E617" t="str">
        <x:v>safe action 4</x:v>
      </x:c>
      <x:c r="F617" t="n">
        <x:f>Controls!$D$62</x:f>
        <x:v>1</x:v>
      </x:c>
      <x:c r="G617" t="n">
        <x:v>1</x:v>
      </x:c>
      <x:c r="H617" t="str">
        <x:v>RFE design authority</x:v>
      </x:c>
      <x:c r="I617" t="str">
        <x:f>IF(F617=1,"PASS","GAP")</x:f>
        <x:v>PASS</x:v>
      </x:c>
    </x:row>
    <x:row r="618">
      <x:c r="B618" t="str">
        <x:v>PL-0612</x:v>
      </x:c>
      <x:c r="C618" t="str">
        <x:v>PLANNING</x:v>
      </x:c>
      <x:c r="D618" t="str">
        <x:v>safe action</x:v>
      </x:c>
      <x:c r="E618" t="str">
        <x:v>safe action 5</x:v>
      </x:c>
      <x:c r="F618" t="n">
        <x:f>Controls!$D$62</x:f>
        <x:v>1</x:v>
      </x:c>
      <x:c r="G618" t="n">
        <x:v>1</x:v>
      </x:c>
      <x:c r="H618" t="str">
        <x:v>RFE design authority</x:v>
      </x:c>
      <x:c r="I618" t="str">
        <x:f>IF(F618=1,"PASS","GAP")</x:f>
        <x:v>PASS</x:v>
      </x:c>
    </x:row>
    <x:row r="619">
      <x:c r="B619" t="str">
        <x:v>PL-0613</x:v>
      </x:c>
      <x:c r="C619" t="str">
        <x:v>PLANNING</x:v>
      </x:c>
      <x:c r="D619" t="str">
        <x:v>safe action</x:v>
      </x:c>
      <x:c r="E619" t="str">
        <x:v>safe action 6</x:v>
      </x:c>
      <x:c r="F619" t="n">
        <x:f>Controls!$D$62</x:f>
        <x:v>1</x:v>
      </x:c>
      <x:c r="G619" t="n">
        <x:v>1</x:v>
      </x:c>
      <x:c r="H619" t="str">
        <x:v>RFE design authority</x:v>
      </x:c>
      <x:c r="I619" t="str">
        <x:f>IF(F619=1,"PASS","GAP")</x:f>
        <x:v>PASS</x:v>
      </x:c>
    </x:row>
    <x:row r="620">
      <x:c r="B620" t="str">
        <x:v>PL-0614</x:v>
      </x:c>
      <x:c r="C620" t="str">
        <x:v>PLANNING</x:v>
      </x:c>
      <x:c r="D620" t="str">
        <x:v>safe action</x:v>
      </x:c>
      <x:c r="E620" t="str">
        <x:v>safe action 7</x:v>
      </x:c>
      <x:c r="F620" t="n">
        <x:f>Controls!$D$62</x:f>
        <x:v>1</x:v>
      </x:c>
      <x:c r="G620" t="n">
        <x:v>1</x:v>
      </x:c>
      <x:c r="H620" t="str">
        <x:v>RFE design authority</x:v>
      </x:c>
      <x:c r="I620" t="str">
        <x:f>IF(F620=1,"PASS","GAP")</x:f>
        <x:v>PASS</x:v>
      </x:c>
    </x:row>
    <x:row r="621">
      <x:c r="B621" t="str">
        <x:v>PL-0615</x:v>
      </x:c>
      <x:c r="C621" t="str">
        <x:v>PLANNING</x:v>
      </x:c>
      <x:c r="D621" t="str">
        <x:v>safe action</x:v>
      </x:c>
      <x:c r="E621" t="str">
        <x:v>safe action 8</x:v>
      </x:c>
      <x:c r="F621" t="n">
        <x:f>Controls!$D$62</x:f>
        <x:v>1</x:v>
      </x:c>
      <x:c r="G621" t="n">
        <x:v>1</x:v>
      </x:c>
      <x:c r="H621" t="str">
        <x:v>RFE design authority</x:v>
      </x:c>
      <x:c r="I621" t="str">
        <x:f>IF(F621=1,"PASS","GAP")</x:f>
        <x:v>PASS</x:v>
      </x:c>
    </x:row>
    <x:row r="622">
      <x:c r="B622" t="str">
        <x:v>PL-0616</x:v>
      </x:c>
      <x:c r="C622" t="str">
        <x:v>PLANNING</x:v>
      </x:c>
      <x:c r="D622" t="str">
        <x:v>safe action</x:v>
      </x:c>
      <x:c r="E622" t="str">
        <x:v>safe action 9</x:v>
      </x:c>
      <x:c r="F622" t="n">
        <x:f>Controls!$D$62</x:f>
        <x:v>1</x:v>
      </x:c>
      <x:c r="G622" t="n">
        <x:v>1</x:v>
      </x:c>
      <x:c r="H622" t="str">
        <x:v>RFE design authority</x:v>
      </x:c>
      <x:c r="I622" t="str">
        <x:f>IF(F622=1,"PASS","GAP")</x:f>
        <x:v>PASS</x:v>
      </x:c>
    </x:row>
    <x:row r="623">
      <x:c r="B623" t="str">
        <x:v>PL-0617</x:v>
      </x:c>
      <x:c r="C623" t="str">
        <x:v>PLANNING</x:v>
      </x:c>
      <x:c r="D623" t="str">
        <x:v>safe action</x:v>
      </x:c>
      <x:c r="E623" t="str">
        <x:v>safe action 10</x:v>
      </x:c>
      <x:c r="F623" t="n">
        <x:f>Controls!$D$62</x:f>
        <x:v>1</x:v>
      </x:c>
      <x:c r="G623" t="n">
        <x:v>1</x:v>
      </x:c>
      <x:c r="H623" t="str">
        <x:v>RFE design authority</x:v>
      </x:c>
      <x:c r="I623" t="str">
        <x:f>IF(F623=1,"PASS","GAP")</x:f>
        <x:v>PASS</x:v>
      </x:c>
    </x:row>
    <x:row r="624">
      <x:c r="B624" t="str">
        <x:v>PL-0618</x:v>
      </x:c>
      <x:c r="C624" t="str">
        <x:v>PLANNING</x:v>
      </x:c>
      <x:c r="D624" t="str">
        <x:v>measurement</x:v>
      </x:c>
      <x:c r="E624" t="str">
        <x:v>measurement 1</x:v>
      </x:c>
      <x:c r="F624" t="n">
        <x:f>Controls!$D$62</x:f>
        <x:v>1</x:v>
      </x:c>
      <x:c r="G624" t="n">
        <x:v>1</x:v>
      </x:c>
      <x:c r="H624" t="str">
        <x:v>RFE design authority</x:v>
      </x:c>
      <x:c r="I624" t="str">
        <x:f>IF(F624=1,"PASS","GAP")</x:f>
        <x:v>PASS</x:v>
      </x:c>
    </x:row>
    <x:row r="625">
      <x:c r="B625" t="str">
        <x:v>PL-0619</x:v>
      </x:c>
      <x:c r="C625" t="str">
        <x:v>PLANNING</x:v>
      </x:c>
      <x:c r="D625" t="str">
        <x:v>measurement</x:v>
      </x:c>
      <x:c r="E625" t="str">
        <x:v>measurement 2</x:v>
      </x:c>
      <x:c r="F625" t="n">
        <x:f>Controls!$D$62</x:f>
        <x:v>1</x:v>
      </x:c>
      <x:c r="G625" t="n">
        <x:v>1</x:v>
      </x:c>
      <x:c r="H625" t="str">
        <x:v>RFE design authority</x:v>
      </x:c>
      <x:c r="I625" t="str">
        <x:f>IF(F625=1,"PASS","GAP")</x:f>
        <x:v>PASS</x:v>
      </x:c>
    </x:row>
    <x:row r="626">
      <x:c r="B626" t="str">
        <x:v>PL-0620</x:v>
      </x:c>
      <x:c r="C626" t="str">
        <x:v>PLANNING</x:v>
      </x:c>
      <x:c r="D626" t="str">
        <x:v>measurement</x:v>
      </x:c>
      <x:c r="E626" t="str">
        <x:v>measurement 3</x:v>
      </x:c>
      <x:c r="F626" t="n">
        <x:f>Controls!$D$62</x:f>
        <x:v>1</x:v>
      </x:c>
      <x:c r="G626" t="n">
        <x:v>1</x:v>
      </x:c>
      <x:c r="H626" t="str">
        <x:v>RFE design authority</x:v>
      </x:c>
      <x:c r="I626" t="str">
        <x:f>IF(F626=1,"PASS","GAP")</x:f>
        <x:v>PASS</x:v>
      </x:c>
    </x:row>
    <x:row r="627">
      <x:c r="B627" t="str">
        <x:v>PL-0621</x:v>
      </x:c>
      <x:c r="C627" t="str">
        <x:v>PLANNING</x:v>
      </x:c>
      <x:c r="D627" t="str">
        <x:v>measurement</x:v>
      </x:c>
      <x:c r="E627" t="str">
        <x:v>measurement 4</x:v>
      </x:c>
      <x:c r="F627" t="n">
        <x:f>Controls!$D$62</x:f>
        <x:v>1</x:v>
      </x:c>
      <x:c r="G627" t="n">
        <x:v>1</x:v>
      </x:c>
      <x:c r="H627" t="str">
        <x:v>RFE design authority</x:v>
      </x:c>
      <x:c r="I627" t="str">
        <x:f>IF(F627=1,"PASS","GAP")</x:f>
        <x:v>PASS</x:v>
      </x:c>
    </x:row>
    <x:row r="628">
      <x:c r="B628" t="str">
        <x:v>PL-0622</x:v>
      </x:c>
      <x:c r="C628" t="str">
        <x:v>PLANNING</x:v>
      </x:c>
      <x:c r="D628" t="str">
        <x:v>measurement</x:v>
      </x:c>
      <x:c r="E628" t="str">
        <x:v>measurement 5</x:v>
      </x:c>
      <x:c r="F628" t="n">
        <x:f>Controls!$D$62</x:f>
        <x:v>1</x:v>
      </x:c>
      <x:c r="G628" t="n">
        <x:v>1</x:v>
      </x:c>
      <x:c r="H628" t="str">
        <x:v>RFE design authority</x:v>
      </x:c>
      <x:c r="I628" t="str">
        <x:f>IF(F628=1,"PASS","GAP")</x:f>
        <x:v>PASS</x:v>
      </x:c>
    </x:row>
    <x:row r="629">
      <x:c r="B629" t="str">
        <x:v>PL-0623</x:v>
      </x:c>
      <x:c r="C629" t="str">
        <x:v>PLANNING</x:v>
      </x:c>
      <x:c r="D629" t="str">
        <x:v>measurement</x:v>
      </x:c>
      <x:c r="E629" t="str">
        <x:v>measurement 6</x:v>
      </x:c>
      <x:c r="F629" t="n">
        <x:f>Controls!$D$62</x:f>
        <x:v>1</x:v>
      </x:c>
      <x:c r="G629" t="n">
        <x:v>1</x:v>
      </x:c>
      <x:c r="H629" t="str">
        <x:v>RFE design authority</x:v>
      </x:c>
      <x:c r="I629" t="str">
        <x:f>IF(F629=1,"PASS","GAP")</x:f>
        <x:v>PASS</x:v>
      </x:c>
    </x:row>
    <x:row r="630">
      <x:c r="B630" t="str">
        <x:v>PL-0624</x:v>
      </x:c>
      <x:c r="C630" t="str">
        <x:v>PLANNING</x:v>
      </x:c>
      <x:c r="D630" t="str">
        <x:v>measurement</x:v>
      </x:c>
      <x:c r="E630" t="str">
        <x:v>measurement 7</x:v>
      </x:c>
      <x:c r="F630" t="n">
        <x:f>Controls!$D$62</x:f>
        <x:v>1</x:v>
      </x:c>
      <x:c r="G630" t="n">
        <x:v>1</x:v>
      </x:c>
      <x:c r="H630" t="str">
        <x:v>RFE design authority</x:v>
      </x:c>
      <x:c r="I630" t="str">
        <x:f>IF(F630=1,"PASS","GAP")</x:f>
        <x:v>PASS</x:v>
      </x:c>
    </x:row>
    <x:row r="631">
      <x:c r="B631" t="str">
        <x:v>PL-0625</x:v>
      </x:c>
      <x:c r="C631" t="str">
        <x:v>PLANNING</x:v>
      </x:c>
      <x:c r="D631" t="str">
        <x:v>measurement</x:v>
      </x:c>
      <x:c r="E631" t="str">
        <x:v>measurement 8</x:v>
      </x:c>
      <x:c r="F631" t="n">
        <x:f>Controls!$D$62</x:f>
        <x:v>1</x:v>
      </x:c>
      <x:c r="G631" t="n">
        <x:v>1</x:v>
      </x:c>
      <x:c r="H631" t="str">
        <x:v>RFE design authority</x:v>
      </x:c>
      <x:c r="I631" t="str">
        <x:f>IF(F631=1,"PASS","GAP")</x:f>
        <x:v>PASS</x:v>
      </x:c>
    </x:row>
    <x:row r="632">
      <x:c r="B632" t="str">
        <x:v>PL-0626</x:v>
      </x:c>
      <x:c r="C632" t="str">
        <x:v>PLANNING</x:v>
      </x:c>
      <x:c r="D632" t="str">
        <x:v>measurement</x:v>
      </x:c>
      <x:c r="E632" t="str">
        <x:v>measurement 9</x:v>
      </x:c>
      <x:c r="F632" t="n">
        <x:f>Controls!$D$62</x:f>
        <x:v>1</x:v>
      </x:c>
      <x:c r="G632" t="n">
        <x:v>1</x:v>
      </x:c>
      <x:c r="H632" t="str">
        <x:v>RFE design authority</x:v>
      </x:c>
      <x:c r="I632" t="str">
        <x:f>IF(F632=1,"PASS","GAP")</x:f>
        <x:v>PASS</x:v>
      </x:c>
    </x:row>
    <x:row r="633">
      <x:c r="B633" t="str">
        <x:v>PL-0627</x:v>
      </x:c>
      <x:c r="C633" t="str">
        <x:v>PLANNING</x:v>
      </x:c>
      <x:c r="D633" t="str">
        <x:v>measurement</x:v>
      </x:c>
      <x:c r="E633" t="str">
        <x:v>measurement 10</x:v>
      </x:c>
      <x:c r="F633" t="n">
        <x:f>Controls!$D$62</x:f>
        <x:v>1</x:v>
      </x:c>
      <x:c r="G633" t="n">
        <x:v>1</x:v>
      </x:c>
      <x:c r="H633" t="str">
        <x:v>RFE design authority</x:v>
      </x:c>
      <x:c r="I633" t="str">
        <x:f>IF(F633=1,"PASS","GAP")</x:f>
        <x:v>PASS</x:v>
      </x:c>
    </x:row>
    <x:row r="634">
      <x:c r="B634" t="str">
        <x:v>PL-0628</x:v>
      </x:c>
      <x:c r="C634" t="str">
        <x:v>PLANNING</x:v>
      </x:c>
      <x:c r="D634" t="str">
        <x:v>measurement</x:v>
      </x:c>
      <x:c r="E634" t="str">
        <x:v>measurement 11</x:v>
      </x:c>
      <x:c r="F634" t="n">
        <x:f>Controls!$D$62</x:f>
        <x:v>1</x:v>
      </x:c>
      <x:c r="G634" t="n">
        <x:v>1</x:v>
      </x:c>
      <x:c r="H634" t="str">
        <x:v>RFE design authority</x:v>
      </x:c>
      <x:c r="I634" t="str">
        <x:f>IF(F634=1,"PASS","GAP")</x:f>
        <x:v>PASS</x:v>
      </x:c>
    </x:row>
    <x:row r="635">
      <x:c r="B635" t="str">
        <x:v>PL-0629</x:v>
      </x:c>
      <x:c r="C635" t="str">
        <x:v>PLANNING</x:v>
      </x:c>
      <x:c r="D635" t="str">
        <x:v>measurement</x:v>
      </x:c>
      <x:c r="E635" t="str">
        <x:v>measurement 12</x:v>
      </x:c>
      <x:c r="F635" t="n">
        <x:f>Controls!$D$62</x:f>
        <x:v>1</x:v>
      </x:c>
      <x:c r="G635" t="n">
        <x:v>1</x:v>
      </x:c>
      <x:c r="H635" t="str">
        <x:v>RFE design authority</x:v>
      </x:c>
      <x:c r="I635" t="str">
        <x:f>IF(F635=1,"PASS","GAP")</x:f>
        <x:v>PASS</x:v>
      </x:c>
    </x:row>
    <x:row r="636">
      <x:c r="B636" t="str">
        <x:v>PL-0630</x:v>
      </x:c>
      <x:c r="C636" t="str">
        <x:v>PLANNING</x:v>
      </x:c>
      <x:c r="D636" t="str">
        <x:v>measurement</x:v>
      </x:c>
      <x:c r="E636" t="str">
        <x:v>measurement 13</x:v>
      </x:c>
      <x:c r="F636" t="n">
        <x:f>Controls!$D$62</x:f>
        <x:v>1</x:v>
      </x:c>
      <x:c r="G636" t="n">
        <x:v>1</x:v>
      </x:c>
      <x:c r="H636" t="str">
        <x:v>RFE design authority</x:v>
      </x:c>
      <x:c r="I636" t="str">
        <x:f>IF(F636=1,"PASS","GAP")</x:f>
        <x:v>PASS</x:v>
      </x:c>
    </x:row>
    <x:row r="637">
      <x:c r="B637" t="str">
        <x:v>PL-0631</x:v>
      </x:c>
      <x:c r="C637" t="str">
        <x:v>PLANNING</x:v>
      </x:c>
      <x:c r="D637" t="str">
        <x:v>measurement</x:v>
      </x:c>
      <x:c r="E637" t="str">
        <x:v>measurement 14</x:v>
      </x:c>
      <x:c r="F637" t="n">
        <x:f>Controls!$D$62</x:f>
        <x:v>1</x:v>
      </x:c>
      <x:c r="G637" t="n">
        <x:v>1</x:v>
      </x:c>
      <x:c r="H637" t="str">
        <x:v>RFE design authority</x:v>
      </x:c>
      <x:c r="I637" t="str">
        <x:f>IF(F637=1,"PASS","GAP")</x:f>
        <x:v>PASS</x:v>
      </x:c>
    </x:row>
    <x:row r="638">
      <x:c r="B638" t="str">
        <x:v>PL-0632</x:v>
      </x:c>
      <x:c r="C638" t="str">
        <x:v>PLANNING</x:v>
      </x:c>
      <x:c r="D638" t="str">
        <x:v>measurement</x:v>
      </x:c>
      <x:c r="E638" t="str">
        <x:v>measurement 15</x:v>
      </x:c>
      <x:c r="F638" t="n">
        <x:f>Controls!$D$62</x:f>
        <x:v>1</x:v>
      </x:c>
      <x:c r="G638" t="n">
        <x:v>1</x:v>
      </x:c>
      <x:c r="H638" t="str">
        <x:v>RFE design authority</x:v>
      </x:c>
      <x:c r="I638" t="str">
        <x:f>IF(F638=1,"PASS","GAP")</x:f>
        <x:v>PASS</x:v>
      </x:c>
    </x:row>
    <x:row r="639">
      <x:c r="B639" t="str">
        <x:v>PL-0633</x:v>
      </x:c>
      <x:c r="C639" t="str">
        <x:v>PLANNING</x:v>
      </x:c>
      <x:c r="D639" t="str">
        <x:v>measurement</x:v>
      </x:c>
      <x:c r="E639" t="str">
        <x:v>measurement 16</x:v>
      </x:c>
      <x:c r="F639" t="n">
        <x:f>Controls!$D$62</x:f>
        <x:v>1</x:v>
      </x:c>
      <x:c r="G639" t="n">
        <x:v>1</x:v>
      </x:c>
      <x:c r="H639" t="str">
        <x:v>RFE design authority</x:v>
      </x:c>
      <x:c r="I639" t="str">
        <x:f>IF(F639=1,"PASS","GAP")</x:f>
        <x:v>PASS</x:v>
      </x:c>
    </x:row>
    <x:row r="640">
      <x:c r="B640" t="str">
        <x:v>PL-0634</x:v>
      </x:c>
      <x:c r="C640" t="str">
        <x:v>PLANNING</x:v>
      </x:c>
      <x:c r="D640" t="str">
        <x:v>measurement</x:v>
      </x:c>
      <x:c r="E640" t="str">
        <x:v>measurement 17</x:v>
      </x:c>
      <x:c r="F640" t="n">
        <x:f>Controls!$D$62</x:f>
        <x:v>1</x:v>
      </x:c>
      <x:c r="G640" t="n">
        <x:v>1</x:v>
      </x:c>
      <x:c r="H640" t="str">
        <x:v>RFE design authority</x:v>
      </x:c>
      <x:c r="I640" t="str">
        <x:f>IF(F640=1,"PASS","GAP")</x:f>
        <x:v>PASS</x:v>
      </x:c>
    </x:row>
    <x:row r="641">
      <x:c r="B641" t="str">
        <x:v>PL-0635</x:v>
      </x:c>
      <x:c r="C641" t="str">
        <x:v>PLANNING</x:v>
      </x:c>
      <x:c r="D641" t="str">
        <x:v>measurement</x:v>
      </x:c>
      <x:c r="E641" t="str">
        <x:v>measurement 18</x:v>
      </x:c>
      <x:c r="F641" t="n">
        <x:f>Controls!$D$62</x:f>
        <x:v>1</x:v>
      </x:c>
      <x:c r="G641" t="n">
        <x:v>1</x:v>
      </x:c>
      <x:c r="H641" t="str">
        <x:v>RFE design authority</x:v>
      </x:c>
      <x:c r="I641" t="str">
        <x:f>IF(F641=1,"PASS","GAP")</x:f>
        <x:v>PASS</x:v>
      </x:c>
    </x:row>
    <x:row r="642">
      <x:c r="B642" t="str">
        <x:v>PL-0636</x:v>
      </x:c>
      <x:c r="C642" t="str">
        <x:v>PLANNING</x:v>
      </x:c>
      <x:c r="D642" t="str">
        <x:v>measurement</x:v>
      </x:c>
      <x:c r="E642" t="str">
        <x:v>measurement 19</x:v>
      </x:c>
      <x:c r="F642" t="n">
        <x:f>Controls!$D$62</x:f>
        <x:v>1</x:v>
      </x:c>
      <x:c r="G642" t="n">
        <x:v>1</x:v>
      </x:c>
      <x:c r="H642" t="str">
        <x:v>RFE design authority</x:v>
      </x:c>
      <x:c r="I642" t="str">
        <x:f>IF(F642=1,"PASS","GAP")</x:f>
        <x:v>PASS</x:v>
      </x:c>
    </x:row>
    <x:row r="643">
      <x:c r="B643" t="str">
        <x:v>PL-0637</x:v>
      </x:c>
      <x:c r="C643" t="str">
        <x:v>PLANNING</x:v>
      </x:c>
      <x:c r="D643" t="str">
        <x:v>measurement</x:v>
      </x:c>
      <x:c r="E643" t="str">
        <x:v>measurement 20</x:v>
      </x:c>
      <x:c r="F643" t="n">
        <x:f>Controls!$D$62</x:f>
        <x:v>1</x:v>
      </x:c>
      <x:c r="G643" t="n">
        <x:v>1</x:v>
      </x:c>
      <x:c r="H643" t="str">
        <x:v>RFE design authority</x:v>
      </x:c>
      <x:c r="I643" t="str">
        <x:f>IF(F643=1,"PASS","GAP")</x:f>
        <x:v>PASS</x:v>
      </x:c>
    </x:row>
    <x:row r="644">
      <x:c r="B644" t="str">
        <x:v>PL-0638</x:v>
      </x:c>
      <x:c r="C644" t="str">
        <x:v>PLANNING</x:v>
      </x:c>
      <x:c r="D644" t="str">
        <x:v>measurement</x:v>
      </x:c>
      <x:c r="E644" t="str">
        <x:v>measurement 21</x:v>
      </x:c>
      <x:c r="F644" t="n">
        <x:f>Controls!$D$62</x:f>
        <x:v>1</x:v>
      </x:c>
      <x:c r="G644" t="n">
        <x:v>1</x:v>
      </x:c>
      <x:c r="H644" t="str">
        <x:v>RFE design authority</x:v>
      </x:c>
      <x:c r="I644" t="str">
        <x:f>IF(F644=1,"PASS","GAP")</x:f>
        <x:v>PASS</x:v>
      </x:c>
    </x:row>
    <x:row r="645">
      <x:c r="B645" t="str">
        <x:v>PL-0639</x:v>
      </x:c>
      <x:c r="C645" t="str">
        <x:v>PLANNING</x:v>
      </x:c>
      <x:c r="D645" t="str">
        <x:v>measurement</x:v>
      </x:c>
      <x:c r="E645" t="str">
        <x:v>measurement 22</x:v>
      </x:c>
      <x:c r="F645" t="n">
        <x:f>Controls!$D$62</x:f>
        <x:v>1</x:v>
      </x:c>
      <x:c r="G645" t="n">
        <x:v>1</x:v>
      </x:c>
      <x:c r="H645" t="str">
        <x:v>RFE design authority</x:v>
      </x:c>
      <x:c r="I645" t="str">
        <x:f>IF(F645=1,"PASS","GAP")</x:f>
        <x:v>PASS</x:v>
      </x:c>
    </x:row>
    <x:row r="646">
      <x:c r="B646" t="str">
        <x:v>PL-0640</x:v>
      </x:c>
      <x:c r="C646" t="str">
        <x:v>PLANNING</x:v>
      </x:c>
      <x:c r="D646" t="str">
        <x:v>measurement</x:v>
      </x:c>
      <x:c r="E646" t="str">
        <x:v>measurement 23</x:v>
      </x:c>
      <x:c r="F646" t="n">
        <x:f>Controls!$D$62</x:f>
        <x:v>1</x:v>
      </x:c>
      <x:c r="G646" t="n">
        <x:v>1</x:v>
      </x:c>
      <x:c r="H646" t="str">
        <x:v>RFE design authority</x:v>
      </x:c>
      <x:c r="I646" t="str">
        <x:f>IF(F646=1,"PASS","GAP")</x:f>
        <x:v>PASS</x:v>
      </x:c>
    </x:row>
    <x:row r="647">
      <x:c r="B647" t="str">
        <x:v>PL-0641</x:v>
      </x:c>
      <x:c r="C647" t="str">
        <x:v>PLANNING</x:v>
      </x:c>
      <x:c r="D647" t="str">
        <x:v>measurement</x:v>
      </x:c>
      <x:c r="E647" t="str">
        <x:v>measurement 24</x:v>
      </x:c>
      <x:c r="F647" t="n">
        <x:f>Controls!$D$62</x:f>
        <x:v>1</x:v>
      </x:c>
      <x:c r="G647" t="n">
        <x:v>1</x:v>
      </x:c>
      <x:c r="H647" t="str">
        <x:v>RFE design authority</x:v>
      </x:c>
      <x:c r="I647" t="str">
        <x:f>IF(F647=1,"PASS","GAP")</x:f>
        <x:v>PASS</x:v>
      </x:c>
    </x:row>
    <x:row r="648">
      <x:c r="B648" t="str">
        <x:v>PL-0642</x:v>
      </x:c>
      <x:c r="C648" t="str">
        <x:v>PLANNING</x:v>
      </x:c>
      <x:c r="D648" t="str">
        <x:v>validity</x:v>
      </x:c>
      <x:c r="E648" t="str">
        <x:v>validity 1</x:v>
      </x:c>
      <x:c r="F648" t="n">
        <x:f>Controls!$D$62</x:f>
        <x:v>1</x:v>
      </x:c>
      <x:c r="G648" t="n">
        <x:v>1</x:v>
      </x:c>
      <x:c r="H648" t="str">
        <x:v>RFE design authority</x:v>
      </x:c>
      <x:c r="I648" t="str">
        <x:f>IF(F648=1,"PASS","GAP")</x:f>
        <x:v>PASS</x:v>
      </x:c>
    </x:row>
    <x:row r="649">
      <x:c r="B649" t="str">
        <x:v>PL-0643</x:v>
      </x:c>
      <x:c r="C649" t="str">
        <x:v>PLANNING</x:v>
      </x:c>
      <x:c r="D649" t="str">
        <x:v>validity</x:v>
      </x:c>
      <x:c r="E649" t="str">
        <x:v>validity 2</x:v>
      </x:c>
      <x:c r="F649" t="n">
        <x:f>Controls!$D$62</x:f>
        <x:v>1</x:v>
      </x:c>
      <x:c r="G649" t="n">
        <x:v>1</x:v>
      </x:c>
      <x:c r="H649" t="str">
        <x:v>RFE design authority</x:v>
      </x:c>
      <x:c r="I649" t="str">
        <x:f>IF(F649=1,"PASS","GAP")</x:f>
        <x:v>PASS</x:v>
      </x:c>
    </x:row>
    <x:row r="650">
      <x:c r="B650" t="str">
        <x:v>PL-0644</x:v>
      </x:c>
      <x:c r="C650" t="str">
        <x:v>PLANNING</x:v>
      </x:c>
      <x:c r="D650" t="str">
        <x:v>validity</x:v>
      </x:c>
      <x:c r="E650" t="str">
        <x:v>validity 3</x:v>
      </x:c>
      <x:c r="F650" t="n">
        <x:f>Controls!$D$62</x:f>
        <x:v>1</x:v>
      </x:c>
      <x:c r="G650" t="n">
        <x:v>1</x:v>
      </x:c>
      <x:c r="H650" t="str">
        <x:v>RFE design authority</x:v>
      </x:c>
      <x:c r="I650" t="str">
        <x:f>IF(F650=1,"PASS","GAP")</x:f>
        <x:v>PASS</x:v>
      </x:c>
    </x:row>
    <x:row r="651">
      <x:c r="B651" t="str">
        <x:v>PL-0645</x:v>
      </x:c>
      <x:c r="C651" t="str">
        <x:v>PLANNING</x:v>
      </x:c>
      <x:c r="D651" t="str">
        <x:v>validity</x:v>
      </x:c>
      <x:c r="E651" t="str">
        <x:v>validity 4</x:v>
      </x:c>
      <x:c r="F651" t="n">
        <x:f>Controls!$D$62</x:f>
        <x:v>1</x:v>
      </x:c>
      <x:c r="G651" t="n">
        <x:v>1</x:v>
      </x:c>
      <x:c r="H651" t="str">
        <x:v>RFE design authority</x:v>
      </x:c>
      <x:c r="I651" t="str">
        <x:f>IF(F651=1,"PASS","GAP")</x:f>
        <x:v>PASS</x:v>
      </x:c>
    </x:row>
    <x:row r="652">
      <x:c r="B652" t="str">
        <x:v>PL-0646</x:v>
      </x:c>
      <x:c r="C652" t="str">
        <x:v>PLANNING</x:v>
      </x:c>
      <x:c r="D652" t="str">
        <x:v>validity</x:v>
      </x:c>
      <x:c r="E652" t="str">
        <x:v>validity 5</x:v>
      </x:c>
      <x:c r="F652" t="n">
        <x:f>Controls!$D$62</x:f>
        <x:v>1</x:v>
      </x:c>
      <x:c r="G652" t="n">
        <x:v>1</x:v>
      </x:c>
      <x:c r="H652" t="str">
        <x:v>RFE design authority</x:v>
      </x:c>
      <x:c r="I652" t="str">
        <x:f>IF(F652=1,"PASS","GAP")</x:f>
        <x:v>PASS</x:v>
      </x:c>
    </x:row>
    <x:row r="653">
      <x:c r="B653" t="str">
        <x:v>PL-0647</x:v>
      </x:c>
      <x:c r="C653" t="str">
        <x:v>PLANNING</x:v>
      </x:c>
      <x:c r="D653" t="str">
        <x:v>validity</x:v>
      </x:c>
      <x:c r="E653" t="str">
        <x:v>validity 6</x:v>
      </x:c>
      <x:c r="F653" t="n">
        <x:f>Controls!$D$62</x:f>
        <x:v>1</x:v>
      </x:c>
      <x:c r="G653" t="n">
        <x:v>1</x:v>
      </x:c>
      <x:c r="H653" t="str">
        <x:v>RFE design authority</x:v>
      </x:c>
      <x:c r="I653" t="str">
        <x:f>IF(F653=1,"PASS","GAP")</x:f>
        <x:v>PASS</x:v>
      </x:c>
    </x:row>
    <x:row r="654">
      <x:c r="B654" t="str">
        <x:v>PL-0648</x:v>
      </x:c>
      <x:c r="C654" t="str">
        <x:v>PLANNING</x:v>
      </x:c>
      <x:c r="D654" t="str">
        <x:v>validity</x:v>
      </x:c>
      <x:c r="E654" t="str">
        <x:v>validity 7</x:v>
      </x:c>
      <x:c r="F654" t="n">
        <x:f>Controls!$D$62</x:f>
        <x:v>1</x:v>
      </x:c>
      <x:c r="G654" t="n">
        <x:v>1</x:v>
      </x:c>
      <x:c r="H654" t="str">
        <x:v>RFE design authority</x:v>
      </x:c>
      <x:c r="I654" t="str">
        <x:f>IF(F654=1,"PASS","GAP")</x:f>
        <x:v>PASS</x:v>
      </x:c>
    </x:row>
    <x:row r="655">
      <x:c r="B655" t="str">
        <x:v>PL-0649</x:v>
      </x:c>
      <x:c r="C655" t="str">
        <x:v>PLANNING</x:v>
      </x:c>
      <x:c r="D655" t="str">
        <x:v>validity</x:v>
      </x:c>
      <x:c r="E655" t="str">
        <x:v>validity 8</x:v>
      </x:c>
      <x:c r="F655" t="n">
        <x:f>Controls!$D$62</x:f>
        <x:v>1</x:v>
      </x:c>
      <x:c r="G655" t="n">
        <x:v>1</x:v>
      </x:c>
      <x:c r="H655" t="str">
        <x:v>RFE design authority</x:v>
      </x:c>
      <x:c r="I655" t="str">
        <x:f>IF(F655=1,"PASS","GAP")</x:f>
        <x:v>PASS</x:v>
      </x:c>
    </x:row>
    <x:row r="656">
      <x:c r="B656" t="str">
        <x:v>PL-0650</x:v>
      </x:c>
      <x:c r="C656" t="str">
        <x:v>PLANNING</x:v>
      </x:c>
      <x:c r="D656" t="str">
        <x:v>validity</x:v>
      </x:c>
      <x:c r="E656" t="str">
        <x:v>validity 9</x:v>
      </x:c>
      <x:c r="F656" t="n">
        <x:f>Controls!$D$62</x:f>
        <x:v>1</x:v>
      </x:c>
      <x:c r="G656" t="n">
        <x:v>1</x:v>
      </x:c>
      <x:c r="H656" t="str">
        <x:v>RFE design authority</x:v>
      </x:c>
      <x:c r="I656" t="str">
        <x:f>IF(F656=1,"PASS","GAP")</x:f>
        <x:v>PASS</x:v>
      </x:c>
    </x:row>
    <x:row r="657">
      <x:c r="B657" t="str">
        <x:v>PL-0651</x:v>
      </x:c>
      <x:c r="C657" t="str">
        <x:v>PLANNING</x:v>
      </x:c>
      <x:c r="D657" t="str">
        <x:v>validity</x:v>
      </x:c>
      <x:c r="E657" t="str">
        <x:v>validity 10</x:v>
      </x:c>
      <x:c r="F657" t="n">
        <x:f>Controls!$D$62</x:f>
        <x:v>1</x:v>
      </x:c>
      <x:c r="G657" t="n">
        <x:v>1</x:v>
      </x:c>
      <x:c r="H657" t="str">
        <x:v>RFE design authority</x:v>
      </x:c>
      <x:c r="I657" t="str">
        <x:f>IF(F657=1,"PASS","GAP")</x:f>
        <x:v>PASS</x:v>
      </x:c>
    </x:row>
    <x:row r="658">
      <x:c r="B658" t="str">
        <x:v>PL-0652</x:v>
      </x:c>
      <x:c r="C658" t="str">
        <x:v>PLANNING</x:v>
      </x:c>
      <x:c r="D658" t="str">
        <x:v>validity</x:v>
      </x:c>
      <x:c r="E658" t="str">
        <x:v>validity 11</x:v>
      </x:c>
      <x:c r="F658" t="n">
        <x:f>Controls!$D$62</x:f>
        <x:v>1</x:v>
      </x:c>
      <x:c r="G658" t="n">
        <x:v>1</x:v>
      </x:c>
      <x:c r="H658" t="str">
        <x:v>RFE design authority</x:v>
      </x:c>
      <x:c r="I658" t="str">
        <x:f>IF(F658=1,"PASS","GAP")</x:f>
        <x:v>PASS</x:v>
      </x:c>
    </x:row>
    <x:row r="659">
      <x:c r="B659" t="str">
        <x:v>PL-0653</x:v>
      </x:c>
      <x:c r="C659" t="str">
        <x:v>PLANNING</x:v>
      </x:c>
      <x:c r="D659" t="str">
        <x:v>validity</x:v>
      </x:c>
      <x:c r="E659" t="str">
        <x:v>validity 12</x:v>
      </x:c>
      <x:c r="F659" t="n">
        <x:f>Controls!$D$62</x:f>
        <x:v>1</x:v>
      </x:c>
      <x:c r="G659" t="n">
        <x:v>1</x:v>
      </x:c>
      <x:c r="H659" t="str">
        <x:v>RFE design authority</x:v>
      </x:c>
      <x:c r="I659" t="str">
        <x:f>IF(F659=1,"PASS","GAP")</x:f>
        <x:v>PASS</x:v>
      </x:c>
    </x:row>
    <x:row r="660">
      <x:c r="B660" t="str">
        <x:v>PL-0654</x:v>
      </x:c>
      <x:c r="C660" t="str">
        <x:v>PLANNING</x:v>
      </x:c>
      <x:c r="D660" t="str">
        <x:v>outcome</x:v>
      </x:c>
      <x:c r="E660" t="str">
        <x:v>outcome 1</x:v>
      </x:c>
      <x:c r="F660" t="n">
        <x:f>Controls!$D$62</x:f>
        <x:v>1</x:v>
      </x:c>
      <x:c r="G660" t="n">
        <x:v>1</x:v>
      </x:c>
      <x:c r="H660" t="str">
        <x:v>RFE design authority</x:v>
      </x:c>
      <x:c r="I660" t="str">
        <x:f>IF(F660=1,"PASS","GAP")</x:f>
        <x:v>PASS</x:v>
      </x:c>
    </x:row>
    <x:row r="661">
      <x:c r="B661" t="str">
        <x:v>PL-0655</x:v>
      </x:c>
      <x:c r="C661" t="str">
        <x:v>PLANNING</x:v>
      </x:c>
      <x:c r="D661" t="str">
        <x:v>outcome</x:v>
      </x:c>
      <x:c r="E661" t="str">
        <x:v>outcome 2</x:v>
      </x:c>
      <x:c r="F661" t="n">
        <x:f>Controls!$D$62</x:f>
        <x:v>1</x:v>
      </x:c>
      <x:c r="G661" t="n">
        <x:v>1</x:v>
      </x:c>
      <x:c r="H661" t="str">
        <x:v>RFE design authority</x:v>
      </x:c>
      <x:c r="I661" t="str">
        <x:f>IF(F661=1,"PASS","GAP")</x:f>
        <x:v>PASS</x:v>
      </x:c>
    </x:row>
    <x:row r="662">
      <x:c r="B662" t="str">
        <x:v>PL-0656</x:v>
      </x:c>
      <x:c r="C662" t="str">
        <x:v>PLANNING</x:v>
      </x:c>
      <x:c r="D662" t="str">
        <x:v>outcome</x:v>
      </x:c>
      <x:c r="E662" t="str">
        <x:v>outcome 3</x:v>
      </x:c>
      <x:c r="F662" t="n">
        <x:f>Controls!$D$62</x:f>
        <x:v>1</x:v>
      </x:c>
      <x:c r="G662" t="n">
        <x:v>1</x:v>
      </x:c>
      <x:c r="H662" t="str">
        <x:v>RFE design authority</x:v>
      </x:c>
      <x:c r="I662" t="str">
        <x:f>IF(F662=1,"PASS","GAP")</x:f>
        <x:v>PASS</x:v>
      </x:c>
    </x:row>
    <x:row r="663">
      <x:c r="B663" t="str">
        <x:v>PL-0657</x:v>
      </x:c>
      <x:c r="C663" t="str">
        <x:v>PLANNING</x:v>
      </x:c>
      <x:c r="D663" t="str">
        <x:v>outcome</x:v>
      </x:c>
      <x:c r="E663" t="str">
        <x:v>outcome 4</x:v>
      </x:c>
      <x:c r="F663" t="n">
        <x:f>Controls!$D$62</x:f>
        <x:v>1</x:v>
      </x:c>
      <x:c r="G663" t="n">
        <x:v>1</x:v>
      </x:c>
      <x:c r="H663" t="str">
        <x:v>RFE design authority</x:v>
      </x:c>
      <x:c r="I663" t="str">
        <x:f>IF(F663=1,"PASS","GAP")</x:f>
        <x:v>PASS</x:v>
      </x:c>
    </x:row>
    <x:row r="664">
      <x:c r="B664" t="str">
        <x:v>PL-0658</x:v>
      </x:c>
      <x:c r="C664" t="str">
        <x:v>PLANNING</x:v>
      </x:c>
      <x:c r="D664" t="str">
        <x:v>outcome</x:v>
      </x:c>
      <x:c r="E664" t="str">
        <x:v>outcome 5</x:v>
      </x:c>
      <x:c r="F664" t="n">
        <x:f>Controls!$D$62</x:f>
        <x:v>1</x:v>
      </x:c>
      <x:c r="G664" t="n">
        <x:v>1</x:v>
      </x:c>
      <x:c r="H664" t="str">
        <x:v>RFE design authority</x:v>
      </x:c>
      <x:c r="I664" t="str">
        <x:f>IF(F664=1,"PASS","GAP")</x:f>
        <x:v>PASS</x:v>
      </x:c>
    </x:row>
    <x:row r="665">
      <x:c r="B665" t="str">
        <x:v>PL-0659</x:v>
      </x:c>
      <x:c r="C665" t="str">
        <x:v>PLANNING</x:v>
      </x:c>
      <x:c r="D665" t="str">
        <x:v>outcome</x:v>
      </x:c>
      <x:c r="E665" t="str">
        <x:v>outcome 6</x:v>
      </x:c>
      <x:c r="F665" t="n">
        <x:f>Controls!$D$62</x:f>
        <x:v>1</x:v>
      </x:c>
      <x:c r="G665" t="n">
        <x:v>1</x:v>
      </x:c>
      <x:c r="H665" t="str">
        <x:v>RFE design authority</x:v>
      </x:c>
      <x:c r="I665" t="str">
        <x:f>IF(F665=1,"PASS","GAP")</x:f>
        <x:v>PASS</x:v>
      </x:c>
    </x:row>
    <x:row r="666">
      <x:c r="B666" t="str">
        <x:v>PL-0660</x:v>
      </x:c>
      <x:c r="C666" t="str">
        <x:v>PLANNING</x:v>
      </x:c>
      <x:c r="D666" t="str">
        <x:v>outcome</x:v>
      </x:c>
      <x:c r="E666" t="str">
        <x:v>outcome 7</x:v>
      </x:c>
      <x:c r="F666" t="n">
        <x:f>Controls!$D$62</x:f>
        <x:v>1</x:v>
      </x:c>
      <x:c r="G666" t="n">
        <x:v>1</x:v>
      </x:c>
      <x:c r="H666" t="str">
        <x:v>RFE design authority</x:v>
      </x:c>
      <x:c r="I666" t="str">
        <x:f>IF(F666=1,"PASS","GAP")</x:f>
        <x:v>PASS</x:v>
      </x:c>
    </x:row>
    <x:row r="667">
      <x:c r="B667" t="str">
        <x:v>PL-0661</x:v>
      </x:c>
      <x:c r="C667" t="str">
        <x:v>PLANNING</x:v>
      </x:c>
      <x:c r="D667" t="str">
        <x:v>outcome</x:v>
      </x:c>
      <x:c r="E667" t="str">
        <x:v>outcome 8</x:v>
      </x:c>
      <x:c r="F667" t="n">
        <x:f>Controls!$D$62</x:f>
        <x:v>1</x:v>
      </x:c>
      <x:c r="G667" t="n">
        <x:v>1</x:v>
      </x:c>
      <x:c r="H667" t="str">
        <x:v>RFE design authority</x:v>
      </x:c>
      <x:c r="I667" t="str">
        <x:f>IF(F667=1,"PASS","GAP")</x:f>
        <x:v>PASS</x:v>
      </x:c>
    </x:row>
    <x:row r="668">
      <x:c r="B668" t="str">
        <x:v>PL-0662</x:v>
      </x:c>
      <x:c r="C668" t="str">
        <x:v>PLANNING</x:v>
      </x:c>
      <x:c r="D668" t="str">
        <x:v>outcome</x:v>
      </x:c>
      <x:c r="E668" t="str">
        <x:v>outcome 9</x:v>
      </x:c>
      <x:c r="F668" t="n">
        <x:f>Controls!$D$62</x:f>
        <x:v>1</x:v>
      </x:c>
      <x:c r="G668" t="n">
        <x:v>1</x:v>
      </x:c>
      <x:c r="H668" t="str">
        <x:v>RFE design authority</x:v>
      </x:c>
      <x:c r="I668" t="str">
        <x:f>IF(F668=1,"PASS","GAP")</x:f>
        <x:v>PASS</x:v>
      </x:c>
    </x:row>
    <x:row r="669">
      <x:c r="B669" t="str">
        <x:v>PL-0663</x:v>
      </x:c>
      <x:c r="C669" t="str">
        <x:v>PLANNING</x:v>
      </x:c>
      <x:c r="D669" t="str">
        <x:v>outcome</x:v>
      </x:c>
      <x:c r="E669" t="str">
        <x:v>outcome 10</x:v>
      </x:c>
      <x:c r="F669" t="n">
        <x:f>Controls!$D$62</x:f>
        <x:v>1</x:v>
      </x:c>
      <x:c r="G669" t="n">
        <x:v>1</x:v>
      </x:c>
      <x:c r="H669" t="str">
        <x:v>RFE design authority</x:v>
      </x:c>
      <x:c r="I669" t="str">
        <x:f>IF(F669=1,"PASS","GAP")</x:f>
        <x:v>PASS</x:v>
      </x:c>
    </x:row>
    <x:row r="670">
      <x:c r="B670" t="str">
        <x:v>PL-0664</x:v>
      </x:c>
      <x:c r="C670" t="str">
        <x:v>PLANNING</x:v>
      </x:c>
      <x:c r="D670" t="str">
        <x:v>outcome</x:v>
      </x:c>
      <x:c r="E670" t="str">
        <x:v>outcome 11</x:v>
      </x:c>
      <x:c r="F670" t="n">
        <x:f>Controls!$D$62</x:f>
        <x:v>1</x:v>
      </x:c>
      <x:c r="G670" t="n">
        <x:v>1</x:v>
      </x:c>
      <x:c r="H670" t="str">
        <x:v>RFE design authority</x:v>
      </x:c>
      <x:c r="I670" t="str">
        <x:f>IF(F670=1,"PASS","GAP")</x:f>
        <x:v>PASS</x:v>
      </x:c>
    </x:row>
    <x:row r="671">
      <x:c r="B671" t="str">
        <x:v>PL-0665</x:v>
      </x:c>
      <x:c r="C671" t="str">
        <x:v>PLANNING</x:v>
      </x:c>
      <x:c r="D671" t="str">
        <x:v>outcome</x:v>
      </x:c>
      <x:c r="E671" t="str">
        <x:v>outcome 12</x:v>
      </x:c>
      <x:c r="F671" t="n">
        <x:f>Controls!$D$62</x:f>
        <x:v>1</x:v>
      </x:c>
      <x:c r="G671" t="n">
        <x:v>1</x:v>
      </x:c>
      <x:c r="H671" t="str">
        <x:v>RFE design authority</x:v>
      </x:c>
      <x:c r="I671" t="str">
        <x:f>IF(F671=1,"PASS","GAP")</x:f>
        <x:v>PASS</x:v>
      </x:c>
    </x:row>
    <x:row r="672">
      <x:c r="B672" t="str">
        <x:v>PL-0666</x:v>
      </x:c>
      <x:c r="C672" t="str">
        <x:v>PLANNING</x:v>
      </x:c>
      <x:c r="D672" t="str">
        <x:v>outcome</x:v>
      </x:c>
      <x:c r="E672" t="str">
        <x:v>outcome 13</x:v>
      </x:c>
      <x:c r="F672" t="n">
        <x:f>Controls!$D$62</x:f>
        <x:v>1</x:v>
      </x:c>
      <x:c r="G672" t="n">
        <x:v>1</x:v>
      </x:c>
      <x:c r="H672" t="str">
        <x:v>RFE design authority</x:v>
      </x:c>
      <x:c r="I672" t="str">
        <x:f>IF(F672=1,"PASS","GAP")</x:f>
        <x:v>PASS</x:v>
      </x:c>
    </x:row>
    <x:row r="673">
      <x:c r="B673" t="str">
        <x:v>PL-0667</x:v>
      </x:c>
      <x:c r="C673" t="str">
        <x:v>PLANNING</x:v>
      </x:c>
      <x:c r="D673" t="str">
        <x:v>outcome</x:v>
      </x:c>
      <x:c r="E673" t="str">
        <x:v>outcome 14</x:v>
      </x:c>
      <x:c r="F673" t="n">
        <x:f>Controls!$D$62</x:f>
        <x:v>1</x:v>
      </x:c>
      <x:c r="G673" t="n">
        <x:v>1</x:v>
      </x:c>
      <x:c r="H673" t="str">
        <x:v>RFE design authority</x:v>
      </x:c>
      <x:c r="I673" t="str">
        <x:f>IF(F673=1,"PASS","GAP")</x:f>
        <x:v>PASS</x:v>
      </x:c>
    </x:row>
    <x:row r="674">
      <x:c r="B674" t="str">
        <x:v>PL-0668</x:v>
      </x:c>
      <x:c r="C674" t="str">
        <x:v>PLANNING</x:v>
      </x:c>
      <x:c r="D674" t="str">
        <x:v>pair rule</x:v>
      </x:c>
      <x:c r="E674" t="str">
        <x:v>pair rule 1</x:v>
      </x:c>
      <x:c r="F674" t="n">
        <x:f>Controls!$D$62</x:f>
        <x:v>1</x:v>
      </x:c>
      <x:c r="G674" t="n">
        <x:v>1</x:v>
      </x:c>
      <x:c r="H674" t="str">
        <x:v>RFE design authority</x:v>
      </x:c>
      <x:c r="I674" t="str">
        <x:f>IF(F674=1,"PASS","GAP")</x:f>
        <x:v>PASS</x:v>
      </x:c>
    </x:row>
    <x:row r="675">
      <x:c r="B675" t="str">
        <x:v>PL-0669</x:v>
      </x:c>
      <x:c r="C675" t="str">
        <x:v>PLANNING</x:v>
      </x:c>
      <x:c r="D675" t="str">
        <x:v>pair rule</x:v>
      </x:c>
      <x:c r="E675" t="str">
        <x:v>pair rule 2</x:v>
      </x:c>
      <x:c r="F675" t="n">
        <x:f>Controls!$D$62</x:f>
        <x:v>1</x:v>
      </x:c>
      <x:c r="G675" t="n">
        <x:v>1</x:v>
      </x:c>
      <x:c r="H675" t="str">
        <x:v>RFE design authority</x:v>
      </x:c>
      <x:c r="I675" t="str">
        <x:f>IF(F675=1,"PASS","GAP")</x:f>
        <x:v>PASS</x:v>
      </x:c>
    </x:row>
    <x:row r="676">
      <x:c r="B676" t="str">
        <x:v>PL-0670</x:v>
      </x:c>
      <x:c r="C676" t="str">
        <x:v>PLANNING</x:v>
      </x:c>
      <x:c r="D676" t="str">
        <x:v>pair rule</x:v>
      </x:c>
      <x:c r="E676" t="str">
        <x:v>pair rule 3</x:v>
      </x:c>
      <x:c r="F676" t="n">
        <x:f>Controls!$D$62</x:f>
        <x:v>1</x:v>
      </x:c>
      <x:c r="G676" t="n">
        <x:v>1</x:v>
      </x:c>
      <x:c r="H676" t="str">
        <x:v>RFE design authority</x:v>
      </x:c>
      <x:c r="I676" t="str">
        <x:f>IF(F676=1,"PASS","GAP")</x:f>
        <x:v>PASS</x:v>
      </x:c>
    </x:row>
    <x:row r="677">
      <x:c r="B677" t="str">
        <x:v>PL-0671</x:v>
      </x:c>
      <x:c r="C677" t="str">
        <x:v>PLANNING</x:v>
      </x:c>
      <x:c r="D677" t="str">
        <x:v>pair rule</x:v>
      </x:c>
      <x:c r="E677" t="str">
        <x:v>pair rule 4</x:v>
      </x:c>
      <x:c r="F677" t="n">
        <x:f>Controls!$D$62</x:f>
        <x:v>1</x:v>
      </x:c>
      <x:c r="G677" t="n">
        <x:v>1</x:v>
      </x:c>
      <x:c r="H677" t="str">
        <x:v>RFE design authority</x:v>
      </x:c>
      <x:c r="I677" t="str">
        <x:f>IF(F677=1,"PASS","GAP")</x:f>
        <x:v>PASS</x:v>
      </x:c>
    </x:row>
    <x:row r="678">
      <x:c r="B678" t="str">
        <x:v>PL-0672</x:v>
      </x:c>
      <x:c r="C678" t="str">
        <x:v>PLANNING</x:v>
      </x:c>
      <x:c r="D678" t="str">
        <x:v>pair rule</x:v>
      </x:c>
      <x:c r="E678" t="str">
        <x:v>pair rule 5</x:v>
      </x:c>
      <x:c r="F678" t="n">
        <x:f>Controls!$D$62</x:f>
        <x:v>1</x:v>
      </x:c>
      <x:c r="G678" t="n">
        <x:v>1</x:v>
      </x:c>
      <x:c r="H678" t="str">
        <x:v>RFE design authority</x:v>
      </x:c>
      <x:c r="I678" t="str">
        <x:f>IF(F678=1,"PASS","GAP")</x:f>
        <x:v>PASS</x:v>
      </x:c>
    </x:row>
    <x:row r="679">
      <x:c r="B679" t="str">
        <x:v>PL-0673</x:v>
      </x:c>
      <x:c r="C679" t="str">
        <x:v>PLANNING</x:v>
      </x:c>
      <x:c r="D679" t="str">
        <x:v>pair rule</x:v>
      </x:c>
      <x:c r="E679" t="str">
        <x:v>pair rule 6</x:v>
      </x:c>
      <x:c r="F679" t="n">
        <x:f>Controls!$D$62</x:f>
        <x:v>1</x:v>
      </x:c>
      <x:c r="G679" t="n">
        <x:v>1</x:v>
      </x:c>
      <x:c r="H679" t="str">
        <x:v>RFE design authority</x:v>
      </x:c>
      <x:c r="I679" t="str">
        <x:f>IF(F679=1,"PASS","GAP")</x:f>
        <x:v>PASS</x:v>
      </x:c>
    </x:row>
    <x:row r="680">
      <x:c r="B680" t="str">
        <x:v>PL-0674</x:v>
      </x:c>
      <x:c r="C680" t="str">
        <x:v>PLANNING</x:v>
      </x:c>
      <x:c r="D680" t="str">
        <x:v>pair rule</x:v>
      </x:c>
      <x:c r="E680" t="str">
        <x:v>pair rule 7</x:v>
      </x:c>
      <x:c r="F680" t="n">
        <x:f>Controls!$D$62</x:f>
        <x:v>1</x:v>
      </x:c>
      <x:c r="G680" t="n">
        <x:v>1</x:v>
      </x:c>
      <x:c r="H680" t="str">
        <x:v>RFE design authority</x:v>
      </x:c>
      <x:c r="I680" t="str">
        <x:f>IF(F680=1,"PASS","GAP")</x:f>
        <x:v>PASS</x:v>
      </x:c>
    </x:row>
    <x:row r="681">
      <x:c r="B681" t="str">
        <x:v>PL-0675</x:v>
      </x:c>
      <x:c r="C681" t="str">
        <x:v>PLANNING</x:v>
      </x:c>
      <x:c r="D681" t="str">
        <x:v>pair rule</x:v>
      </x:c>
      <x:c r="E681" t="str">
        <x:v>pair rule 8</x:v>
      </x:c>
      <x:c r="F681" t="n">
        <x:f>Controls!$D$62</x:f>
        <x:v>1</x:v>
      </x:c>
      <x:c r="G681" t="n">
        <x:v>1</x:v>
      </x:c>
      <x:c r="H681" t="str">
        <x:v>RFE design authority</x:v>
      </x:c>
      <x:c r="I681" t="str">
        <x:f>IF(F681=1,"PASS","GAP")</x:f>
        <x:v>PASS</x:v>
      </x:c>
    </x:row>
    <x:row r="682">
      <x:c r="B682" t="str">
        <x:v>PL-0676</x:v>
      </x:c>
      <x:c r="C682" t="str">
        <x:v>PLANNING</x:v>
      </x:c>
      <x:c r="D682" t="str">
        <x:v>pair rule</x:v>
      </x:c>
      <x:c r="E682" t="str">
        <x:v>pair rule 9</x:v>
      </x:c>
      <x:c r="F682" t="n">
        <x:f>Controls!$D$62</x:f>
        <x:v>1</x:v>
      </x:c>
      <x:c r="G682" t="n">
        <x:v>1</x:v>
      </x:c>
      <x:c r="H682" t="str">
        <x:v>RFE design authority</x:v>
      </x:c>
      <x:c r="I682" t="str">
        <x:f>IF(F682=1,"PASS","GAP")</x:f>
        <x:v>PASS</x:v>
      </x:c>
    </x:row>
    <x:row r="683">
      <x:c r="B683" t="str">
        <x:v>PL-0677</x:v>
      </x:c>
      <x:c r="C683" t="str">
        <x:v>PLANNING</x:v>
      </x:c>
      <x:c r="D683" t="str">
        <x:v>pair rule</x:v>
      </x:c>
      <x:c r="E683" t="str">
        <x:v>pair rule 10</x:v>
      </x:c>
      <x:c r="F683" t="n">
        <x:f>Controls!$D$62</x:f>
        <x:v>1</x:v>
      </x:c>
      <x:c r="G683" t="n">
        <x:v>1</x:v>
      </x:c>
      <x:c r="H683" t="str">
        <x:v>RFE design authority</x:v>
      </x:c>
      <x:c r="I683" t="str">
        <x:f>IF(F683=1,"PASS","GAP")</x:f>
        <x:v>PASS</x:v>
      </x:c>
    </x:row>
    <x:row r="684">
      <x:c r="B684" t="str">
        <x:v>PL-0678</x:v>
      </x:c>
      <x:c r="C684" t="str">
        <x:v>PLANNING</x:v>
      </x:c>
      <x:c r="D684" t="str">
        <x:v>recovery state</x:v>
      </x:c>
      <x:c r="E684" t="str">
        <x:v>recovery state 1</x:v>
      </x:c>
      <x:c r="F684" t="n">
        <x:f>Controls!$D$62</x:f>
        <x:v>1</x:v>
      </x:c>
      <x:c r="G684" t="n">
        <x:v>1</x:v>
      </x:c>
      <x:c r="H684" t="str">
        <x:v>RFE design authority</x:v>
      </x:c>
      <x:c r="I684" t="str">
        <x:f>IF(F684=1,"PASS","GAP")</x:f>
        <x:v>PASS</x:v>
      </x:c>
    </x:row>
    <x:row r="685">
      <x:c r="B685" t="str">
        <x:v>PL-0679</x:v>
      </x:c>
      <x:c r="C685" t="str">
        <x:v>PLANNING</x:v>
      </x:c>
      <x:c r="D685" t="str">
        <x:v>recovery state</x:v>
      </x:c>
      <x:c r="E685" t="str">
        <x:v>recovery state 2</x:v>
      </x:c>
      <x:c r="F685" t="n">
        <x:f>Controls!$D$62</x:f>
        <x:v>1</x:v>
      </x:c>
      <x:c r="G685" t="n">
        <x:v>1</x:v>
      </x:c>
      <x:c r="H685" t="str">
        <x:v>RFE design authority</x:v>
      </x:c>
      <x:c r="I685" t="str">
        <x:f>IF(F685=1,"PASS","GAP")</x:f>
        <x:v>PASS</x:v>
      </x:c>
    </x:row>
    <x:row r="686">
      <x:c r="B686" t="str">
        <x:v>PL-0680</x:v>
      </x:c>
      <x:c r="C686" t="str">
        <x:v>PLANNING</x:v>
      </x:c>
      <x:c r="D686" t="str">
        <x:v>recovery state</x:v>
      </x:c>
      <x:c r="E686" t="str">
        <x:v>recovery state 3</x:v>
      </x:c>
      <x:c r="F686" t="n">
        <x:f>Controls!$D$62</x:f>
        <x:v>1</x:v>
      </x:c>
      <x:c r="G686" t="n">
        <x:v>1</x:v>
      </x:c>
      <x:c r="H686" t="str">
        <x:v>RFE design authority</x:v>
      </x:c>
      <x:c r="I686" t="str">
        <x:f>IF(F686=1,"PASS","GAP")</x:f>
        <x:v>PASS</x:v>
      </x:c>
    </x:row>
    <x:row r="687">
      <x:c r="B687" t="str">
        <x:v>PL-0681</x:v>
      </x:c>
      <x:c r="C687" t="str">
        <x:v>PLANNING</x:v>
      </x:c>
      <x:c r="D687" t="str">
        <x:v>recovery state</x:v>
      </x:c>
      <x:c r="E687" t="str">
        <x:v>recovery state 4</x:v>
      </x:c>
      <x:c r="F687" t="n">
        <x:f>Controls!$D$62</x:f>
        <x:v>1</x:v>
      </x:c>
      <x:c r="G687" t="n">
        <x:v>1</x:v>
      </x:c>
      <x:c r="H687" t="str">
        <x:v>RFE design authority</x:v>
      </x:c>
      <x:c r="I687" t="str">
        <x:f>IF(F687=1,"PASS","GAP")</x:f>
        <x:v>PASS</x:v>
      </x:c>
    </x:row>
    <x:row r="688">
      <x:c r="B688" t="str">
        <x:v>PL-0682</x:v>
      </x:c>
      <x:c r="C688" t="str">
        <x:v>PLANNING</x:v>
      </x:c>
      <x:c r="D688" t="str">
        <x:v>recovery state</x:v>
      </x:c>
      <x:c r="E688" t="str">
        <x:v>recovery state 5</x:v>
      </x:c>
      <x:c r="F688" t="n">
        <x:f>Controls!$D$62</x:f>
        <x:v>1</x:v>
      </x:c>
      <x:c r="G688" t="n">
        <x:v>1</x:v>
      </x:c>
      <x:c r="H688" t="str">
        <x:v>RFE design authority</x:v>
      </x:c>
      <x:c r="I688" t="str">
        <x:f>IF(F688=1,"PASS","GAP")</x:f>
        <x:v>PASS</x:v>
      </x:c>
    </x:row>
    <x:row r="689">
      <x:c r="B689" t="str">
        <x:v>PL-0683</x:v>
      </x:c>
      <x:c r="C689" t="str">
        <x:v>PLANNING</x:v>
      </x:c>
      <x:c r="D689" t="str">
        <x:v>recovery state</x:v>
      </x:c>
      <x:c r="E689" t="str">
        <x:v>recovery state 6</x:v>
      </x:c>
      <x:c r="F689" t="n">
        <x:f>Controls!$D$62</x:f>
        <x:v>1</x:v>
      </x:c>
      <x:c r="G689" t="n">
        <x:v>1</x:v>
      </x:c>
      <x:c r="H689" t="str">
        <x:v>RFE design authority</x:v>
      </x:c>
      <x:c r="I689" t="str">
        <x:f>IF(F689=1,"PASS","GAP")</x:f>
        <x:v>PASS</x:v>
      </x:c>
    </x:row>
    <x:row r="690">
      <x:c r="B690" t="str">
        <x:v>PL-0684</x:v>
      </x:c>
      <x:c r="C690" t="str">
        <x:v>PLANNING</x:v>
      </x:c>
      <x:c r="D690" t="str">
        <x:v>recovery state</x:v>
      </x:c>
      <x:c r="E690" t="str">
        <x:v>recovery state 7</x:v>
      </x:c>
      <x:c r="F690" t="n">
        <x:f>Controls!$D$62</x:f>
        <x:v>1</x:v>
      </x:c>
      <x:c r="G690" t="n">
        <x:v>1</x:v>
      </x:c>
      <x:c r="H690" t="str">
        <x:v>RFE design authority</x:v>
      </x:c>
      <x:c r="I690" t="str">
        <x:f>IF(F690=1,"PASS","GAP")</x:f>
        <x:v>PASS</x:v>
      </x:c>
    </x:row>
    <x:row r="691">
      <x:c r="B691" t="str">
        <x:v>PL-0685</x:v>
      </x:c>
      <x:c r="C691" t="str">
        <x:v>PLANNING</x:v>
      </x:c>
      <x:c r="D691" t="str">
        <x:v>recovery state</x:v>
      </x:c>
      <x:c r="E691" t="str">
        <x:v>recovery state 8</x:v>
      </x:c>
      <x:c r="F691" t="n">
        <x:f>Controls!$D$62</x:f>
        <x:v>1</x:v>
      </x:c>
      <x:c r="G691" t="n">
        <x:v>1</x:v>
      </x:c>
      <x:c r="H691" t="str">
        <x:v>RFE design authority</x:v>
      </x:c>
      <x:c r="I691" t="str">
        <x:f>IF(F691=1,"PASS","GAP")</x:f>
        <x:v>PASS</x:v>
      </x:c>
    </x:row>
    <x:row r="692">
      <x:c r="B692" t="str">
        <x:v>PL-0686</x:v>
      </x:c>
      <x:c r="C692" t="str">
        <x:v>PLANNING</x:v>
      </x:c>
      <x:c r="D692" t="str">
        <x:v>recovery state</x:v>
      </x:c>
      <x:c r="E692" t="str">
        <x:v>recovery state 9</x:v>
      </x:c>
      <x:c r="F692" t="n">
        <x:f>Controls!$D$62</x:f>
        <x:v>1</x:v>
      </x:c>
      <x:c r="G692" t="n">
        <x:v>1</x:v>
      </x:c>
      <x:c r="H692" t="str">
        <x:v>RFE design authority</x:v>
      </x:c>
      <x:c r="I692" t="str">
        <x:f>IF(F692=1,"PASS","GAP")</x:f>
        <x:v>PASS</x:v>
      </x:c>
    </x:row>
    <x:row r="693">
      <x:c r="B693" t="str">
        <x:v>PL-0687</x:v>
      </x:c>
      <x:c r="C693" t="str">
        <x:v>PLANNING</x:v>
      </x:c>
      <x:c r="D693" t="str">
        <x:v>recovery state</x:v>
      </x:c>
      <x:c r="E693" t="str">
        <x:v>recovery state 10</x:v>
      </x:c>
      <x:c r="F693" t="n">
        <x:f>Controls!$D$62</x:f>
        <x:v>1</x:v>
      </x:c>
      <x:c r="G693" t="n">
        <x:v>1</x:v>
      </x:c>
      <x:c r="H693" t="str">
        <x:v>RFE design authority</x:v>
      </x:c>
      <x:c r="I693" t="str">
        <x:f>IF(F693=1,"PASS","GAP")</x:f>
        <x:v>PASS</x:v>
      </x:c>
    </x:row>
    <x:row r="694">
      <x:c r="B694" t="str">
        <x:v>PL-0688</x:v>
      </x:c>
      <x:c r="C694" t="str">
        <x:v>PLANNING</x:v>
      </x:c>
      <x:c r="D694" t="str">
        <x:v>reset clock</x:v>
      </x:c>
      <x:c r="E694" t="str">
        <x:v>reset clock 1</x:v>
      </x:c>
      <x:c r="F694" t="n">
        <x:f>Controls!$D$62</x:f>
        <x:v>1</x:v>
      </x:c>
      <x:c r="G694" t="n">
        <x:v>1</x:v>
      </x:c>
      <x:c r="H694" t="str">
        <x:v>RFE design authority</x:v>
      </x:c>
      <x:c r="I694" t="str">
        <x:f>IF(F694=1,"PASS","GAP")</x:f>
        <x:v>PASS</x:v>
      </x:c>
    </x:row>
    <x:row r="695">
      <x:c r="B695" t="str">
        <x:v>PL-0689</x:v>
      </x:c>
      <x:c r="C695" t="str">
        <x:v>PLANNING</x:v>
      </x:c>
      <x:c r="D695" t="str">
        <x:v>reset clock</x:v>
      </x:c>
      <x:c r="E695" t="str">
        <x:v>reset clock 2</x:v>
      </x:c>
      <x:c r="F695" t="n">
        <x:f>Controls!$D$62</x:f>
        <x:v>1</x:v>
      </x:c>
      <x:c r="G695" t="n">
        <x:v>1</x:v>
      </x:c>
      <x:c r="H695" t="str">
        <x:v>RFE design authority</x:v>
      </x:c>
      <x:c r="I695" t="str">
        <x:f>IF(F695=1,"PASS","GAP")</x:f>
        <x:v>PASS</x:v>
      </x:c>
    </x:row>
    <x:row r="696">
      <x:c r="B696" t="str">
        <x:v>PL-0690</x:v>
      </x:c>
      <x:c r="C696" t="str">
        <x:v>PLANNING</x:v>
      </x:c>
      <x:c r="D696" t="str">
        <x:v>reset clock</x:v>
      </x:c>
      <x:c r="E696" t="str">
        <x:v>reset clock 3</x:v>
      </x:c>
      <x:c r="F696" t="n">
        <x:f>Controls!$D$62</x:f>
        <x:v>1</x:v>
      </x:c>
      <x:c r="G696" t="n">
        <x:v>1</x:v>
      </x:c>
      <x:c r="H696" t="str">
        <x:v>RFE design authority</x:v>
      </x:c>
      <x:c r="I696" t="str">
        <x:f>IF(F696=1,"PASS","GAP")</x:f>
        <x:v>PASS</x:v>
      </x:c>
    </x:row>
    <x:row r="697">
      <x:c r="B697" t="str">
        <x:v>PL-0691</x:v>
      </x:c>
      <x:c r="C697" t="str">
        <x:v>PLANNING</x:v>
      </x:c>
      <x:c r="D697" t="str">
        <x:v>reset clock</x:v>
      </x:c>
      <x:c r="E697" t="str">
        <x:v>reset clock 4</x:v>
      </x:c>
      <x:c r="F697" t="n">
        <x:f>Controls!$D$62</x:f>
        <x:v>1</x:v>
      </x:c>
      <x:c r="G697" t="n">
        <x:v>1</x:v>
      </x:c>
      <x:c r="H697" t="str">
        <x:v>RFE design authority</x:v>
      </x:c>
      <x:c r="I697" t="str">
        <x:f>IF(F697=1,"PASS","GAP")</x:f>
        <x:v>PASS</x:v>
      </x:c>
    </x:row>
    <x:row r="698">
      <x:c r="B698" t="str">
        <x:v>PL-0692</x:v>
      </x:c>
      <x:c r="C698" t="str">
        <x:v>PLANNING</x:v>
      </x:c>
      <x:c r="D698" t="str">
        <x:v>reset clock</x:v>
      </x:c>
      <x:c r="E698" t="str">
        <x:v>reset clock 5</x:v>
      </x:c>
      <x:c r="F698" t="n">
        <x:f>Controls!$D$62</x:f>
        <x:v>1</x:v>
      </x:c>
      <x:c r="G698" t="n">
        <x:v>1</x:v>
      </x:c>
      <x:c r="H698" t="str">
        <x:v>RFE design authority</x:v>
      </x:c>
      <x:c r="I698" t="str">
        <x:f>IF(F698=1,"PASS","GAP")</x:f>
        <x:v>PASS</x:v>
      </x:c>
    </x:row>
    <x:row r="699">
      <x:c r="B699" t="str">
        <x:v>PL-0693</x:v>
      </x:c>
      <x:c r="C699" t="str">
        <x:v>PLANNING</x:v>
      </x:c>
      <x:c r="D699" t="str">
        <x:v>reset clock</x:v>
      </x:c>
      <x:c r="E699" t="str">
        <x:v>reset clock 6</x:v>
      </x:c>
      <x:c r="F699" t="n">
        <x:f>Controls!$D$62</x:f>
        <x:v>1</x:v>
      </x:c>
      <x:c r="G699" t="n">
        <x:v>1</x:v>
      </x:c>
      <x:c r="H699" t="str">
        <x:v>RFE design authority</x:v>
      </x:c>
      <x:c r="I699" t="str">
        <x:f>IF(F699=1,"PASS","GAP")</x:f>
        <x:v>PASS</x:v>
      </x:c>
    </x:row>
    <x:row r="700">
      <x:c r="B700" t="str">
        <x:v>PL-0694</x:v>
      </x:c>
      <x:c r="C700" t="str">
        <x:v>PLANNING</x:v>
      </x:c>
      <x:c r="D700" t="str">
        <x:v>reset clock</x:v>
      </x:c>
      <x:c r="E700" t="str">
        <x:v>reset clock 7</x:v>
      </x:c>
      <x:c r="F700" t="n">
        <x:f>Controls!$D$62</x:f>
        <x:v>1</x:v>
      </x:c>
      <x:c r="G700" t="n">
        <x:v>1</x:v>
      </x:c>
      <x:c r="H700" t="str">
        <x:v>RFE design authority</x:v>
      </x:c>
      <x:c r="I700" t="str">
        <x:f>IF(F700=1,"PASS","GAP")</x:f>
        <x:v>PASS</x:v>
      </x:c>
    </x:row>
    <x:row r="701">
      <x:c r="B701" t="str">
        <x:v>PL-0695</x:v>
      </x:c>
      <x:c r="C701" t="str">
        <x:v>PLANNING</x:v>
      </x:c>
      <x:c r="D701" t="str">
        <x:v>reset clock</x:v>
      </x:c>
      <x:c r="E701" t="str">
        <x:v>reset clock 8</x:v>
      </x:c>
      <x:c r="F701" t="n">
        <x:f>Controls!$D$62</x:f>
        <x:v>1</x:v>
      </x:c>
      <x:c r="G701" t="n">
        <x:v>1</x:v>
      </x:c>
      <x:c r="H701" t="str">
        <x:v>RFE design authority</x:v>
      </x:c>
      <x:c r="I701" t="str">
        <x:f>IF(F701=1,"PASS","GAP")</x:f>
        <x:v>PASS</x:v>
      </x:c>
    </x:row>
    <x:row r="702">
      <x:c r="B702" t="str">
        <x:v>PL-0696</x:v>
      </x:c>
      <x:c r="C702" t="str">
        <x:v>PLANNING</x:v>
      </x:c>
      <x:c r="D702" t="str">
        <x:v>reset clock</x:v>
      </x:c>
      <x:c r="E702" t="str">
        <x:v>reset clock 9</x:v>
      </x:c>
      <x:c r="F702" t="n">
        <x:f>Controls!$D$62</x:f>
        <x:v>1</x:v>
      </x:c>
      <x:c r="G702" t="n">
        <x:v>1</x:v>
      </x:c>
      <x:c r="H702" t="str">
        <x:v>RFE design authority</x:v>
      </x:c>
      <x:c r="I702" t="str">
        <x:f>IF(F702=1,"PASS","GAP")</x:f>
        <x:v>PASS</x:v>
      </x:c>
    </x:row>
    <x:row r="703">
      <x:c r="B703" t="str">
        <x:v>PL-0697</x:v>
      </x:c>
      <x:c r="C703" t="str">
        <x:v>PLANNING</x:v>
      </x:c>
      <x:c r="D703" t="str">
        <x:v>reset clock</x:v>
      </x:c>
      <x:c r="E703" t="str">
        <x:v>reset clock 10</x:v>
      </x:c>
      <x:c r="F703" t="n">
        <x:f>Controls!$D$62</x:f>
        <x:v>1</x:v>
      </x:c>
      <x:c r="G703" t="n">
        <x:v>1</x:v>
      </x:c>
      <x:c r="H703" t="str">
        <x:v>RFE design authority</x:v>
      </x:c>
      <x:c r="I703" t="str">
        <x:f>IF(F703=1,"PASS","GAP")</x:f>
        <x:v>PASS</x:v>
      </x:c>
    </x:row>
    <x:row r="704">
      <x:c r="B704" t="str">
        <x:v>PL-0698</x:v>
      </x:c>
      <x:c r="C704" t="str">
        <x:v>PLANNING</x:v>
      </x:c>
      <x:c r="D704" t="str">
        <x:v>reset clock</x:v>
      </x:c>
      <x:c r="E704" t="str">
        <x:v>reset clock 11</x:v>
      </x:c>
      <x:c r="F704" t="n">
        <x:f>Controls!$D$62</x:f>
        <x:v>1</x:v>
      </x:c>
      <x:c r="G704" t="n">
        <x:v>1</x:v>
      </x:c>
      <x:c r="H704" t="str">
        <x:v>RFE design authority</x:v>
      </x:c>
      <x:c r="I704" t="str">
        <x:f>IF(F704=1,"PASS","GAP")</x:f>
        <x:v>PASS</x:v>
      </x:c>
    </x:row>
    <x:row r="705">
      <x:c r="B705" t="str">
        <x:v>PL-0699</x:v>
      </x:c>
      <x:c r="C705" t="str">
        <x:v>PLANNING</x:v>
      </x:c>
      <x:c r="D705" t="str">
        <x:v>reset clock</x:v>
      </x:c>
      <x:c r="E705" t="str">
        <x:v>reset clock 12</x:v>
      </x:c>
      <x:c r="F705" t="n">
        <x:f>Controls!$D$62</x:f>
        <x:v>1</x:v>
      </x:c>
      <x:c r="G705" t="n">
        <x:v>1</x:v>
      </x:c>
      <x:c r="H705" t="str">
        <x:v>RFE design authority</x:v>
      </x:c>
      <x:c r="I705" t="str">
        <x:f>IF(F705=1,"PASS","GAP")</x:f>
        <x:v>PASS</x:v>
      </x:c>
    </x:row>
    <x:row r="706">
      <x:c r="B706" t="str">
        <x:v>PL-0700</x:v>
      </x:c>
      <x:c r="C706" t="str">
        <x:v>PLANNING</x:v>
      </x:c>
      <x:c r="D706" t="str">
        <x:v>replay</x:v>
      </x:c>
      <x:c r="E706" t="str">
        <x:v>replay 1</x:v>
      </x:c>
      <x:c r="F706" t="n">
        <x:f>Controls!$D$62</x:f>
        <x:v>1</x:v>
      </x:c>
      <x:c r="G706" t="n">
        <x:v>1</x:v>
      </x:c>
      <x:c r="H706" t="str">
        <x:v>RFE design authority</x:v>
      </x:c>
      <x:c r="I706" t="str">
        <x:f>IF(F706=1,"PASS","GAP")</x:f>
        <x:v>PASS</x:v>
      </x:c>
    </x:row>
    <x:row r="707">
      <x:c r="B707" t="str">
        <x:v>PL-0701</x:v>
      </x:c>
      <x:c r="C707" t="str">
        <x:v>PLANNING</x:v>
      </x:c>
      <x:c r="D707" t="str">
        <x:v>replay</x:v>
      </x:c>
      <x:c r="E707" t="str">
        <x:v>replay 2</x:v>
      </x:c>
      <x:c r="F707" t="n">
        <x:f>Controls!$D$62</x:f>
        <x:v>1</x:v>
      </x:c>
      <x:c r="G707" t="n">
        <x:v>1</x:v>
      </x:c>
      <x:c r="H707" t="str">
        <x:v>RFE design authority</x:v>
      </x:c>
      <x:c r="I707" t="str">
        <x:f>IF(F707=1,"PASS","GAP")</x:f>
        <x:v>PASS</x:v>
      </x:c>
    </x:row>
    <x:row r="708">
      <x:c r="B708" t="str">
        <x:v>PL-0702</x:v>
      </x:c>
      <x:c r="C708" t="str">
        <x:v>PLANNING</x:v>
      </x:c>
      <x:c r="D708" t="str">
        <x:v>replay</x:v>
      </x:c>
      <x:c r="E708" t="str">
        <x:v>replay 3</x:v>
      </x:c>
      <x:c r="F708" t="n">
        <x:f>Controls!$D$62</x:f>
        <x:v>1</x:v>
      </x:c>
      <x:c r="G708" t="n">
        <x:v>1</x:v>
      </x:c>
      <x:c r="H708" t="str">
        <x:v>RFE design authority</x:v>
      </x:c>
      <x:c r="I708" t="str">
        <x:f>IF(F708=1,"PASS","GAP")</x:f>
        <x:v>PASS</x:v>
      </x:c>
    </x:row>
    <x:row r="709">
      <x:c r="B709" t="str">
        <x:v>PL-0703</x:v>
      </x:c>
      <x:c r="C709" t="str">
        <x:v>PLANNING</x:v>
      </x:c>
      <x:c r="D709" t="str">
        <x:v>replay</x:v>
      </x:c>
      <x:c r="E709" t="str">
        <x:v>replay 4</x:v>
      </x:c>
      <x:c r="F709" t="n">
        <x:f>Controls!$D$62</x:f>
        <x:v>1</x:v>
      </x:c>
      <x:c r="G709" t="n">
        <x:v>1</x:v>
      </x:c>
      <x:c r="H709" t="str">
        <x:v>RFE design authority</x:v>
      </x:c>
      <x:c r="I709" t="str">
        <x:f>IF(F709=1,"PASS","GAP")</x:f>
        <x:v>PASS</x:v>
      </x:c>
    </x:row>
    <x:row r="710">
      <x:c r="B710" t="str">
        <x:v>PL-0704</x:v>
      </x:c>
      <x:c r="C710" t="str">
        <x:v>PLANNING</x:v>
      </x:c>
      <x:c r="D710" t="str">
        <x:v>replay</x:v>
      </x:c>
      <x:c r="E710" t="str">
        <x:v>replay 5</x:v>
      </x:c>
      <x:c r="F710" t="n">
        <x:f>Controls!$D$62</x:f>
        <x:v>1</x:v>
      </x:c>
      <x:c r="G710" t="n">
        <x:v>1</x:v>
      </x:c>
      <x:c r="H710" t="str">
        <x:v>RFE design authority</x:v>
      </x:c>
      <x:c r="I710" t="str">
        <x:f>IF(F710=1,"PASS","GAP")</x:f>
        <x:v>PASS</x:v>
      </x:c>
    </x:row>
    <x:row r="711">
      <x:c r="B711" t="str">
        <x:v>PL-0705</x:v>
      </x:c>
      <x:c r="C711" t="str">
        <x:v>PLANNING</x:v>
      </x:c>
      <x:c r="D711" t="str">
        <x:v>replay</x:v>
      </x:c>
      <x:c r="E711" t="str">
        <x:v>replay 6</x:v>
      </x:c>
      <x:c r="F711" t="n">
        <x:f>Controls!$D$62</x:f>
        <x:v>1</x:v>
      </x:c>
      <x:c r="G711" t="n">
        <x:v>1</x:v>
      </x:c>
      <x:c r="H711" t="str">
        <x:v>RFE design authority</x:v>
      </x:c>
      <x:c r="I711" t="str">
        <x:f>IF(F711=1,"PASS","GAP")</x:f>
        <x:v>PASS</x:v>
      </x:c>
    </x:row>
    <x:row r="712">
      <x:c r="B712" t="str">
        <x:v>PL-0706</x:v>
      </x:c>
      <x:c r="C712" t="str">
        <x:v>PLANNING</x:v>
      </x:c>
      <x:c r="D712" t="str">
        <x:v>source line</x:v>
      </x:c>
      <x:c r="E712" t="str">
        <x:v>source line 1</x:v>
      </x:c>
      <x:c r="F712" t="n">
        <x:f>Controls!$D$62</x:f>
        <x:v>1</x:v>
      </x:c>
      <x:c r="G712" t="n">
        <x:v>1</x:v>
      </x:c>
      <x:c r="H712" t="str">
        <x:v>RFE design authority</x:v>
      </x:c>
      <x:c r="I712" t="str">
        <x:f>IF(F712=1,"PASS","GAP")</x:f>
        <x:v>PASS</x:v>
      </x:c>
    </x:row>
    <x:row r="713">
      <x:c r="B713" t="str">
        <x:v>PL-0707</x:v>
      </x:c>
      <x:c r="C713" t="str">
        <x:v>PLANNING</x:v>
      </x:c>
      <x:c r="D713" t="str">
        <x:v>source line</x:v>
      </x:c>
      <x:c r="E713" t="str">
        <x:v>source line 2</x:v>
      </x:c>
      <x:c r="F713" t="n">
        <x:f>Controls!$D$62</x:f>
        <x:v>1</x:v>
      </x:c>
      <x:c r="G713" t="n">
        <x:v>1</x:v>
      </x:c>
      <x:c r="H713" t="str">
        <x:v>RFE design authority</x:v>
      </x:c>
      <x:c r="I713" t="str">
        <x:f>IF(F713=1,"PASS","GAP")</x:f>
        <x:v>PASS</x:v>
      </x:c>
    </x:row>
    <x:row r="714">
      <x:c r="B714" t="str">
        <x:v>PL-0708</x:v>
      </x:c>
      <x:c r="C714" t="str">
        <x:v>PLANNING</x:v>
      </x:c>
      <x:c r="D714" t="str">
        <x:v>source line</x:v>
      </x:c>
      <x:c r="E714" t="str">
        <x:v>source line 3</x:v>
      </x:c>
      <x:c r="F714" t="n">
        <x:f>Controls!$D$62</x:f>
        <x:v>1</x:v>
      </x:c>
      <x:c r="G714" t="n">
        <x:v>1</x:v>
      </x:c>
      <x:c r="H714" t="str">
        <x:v>RFE design authority</x:v>
      </x:c>
      <x:c r="I714" t="str">
        <x:f>IF(F714=1,"PASS","GAP")</x:f>
        <x:v>PASS</x:v>
      </x:c>
    </x:row>
    <x:row r="715">
      <x:c r="B715" t="str">
        <x:v>PL-0709</x:v>
      </x:c>
      <x:c r="C715" t="str">
        <x:v>PLANNING</x:v>
      </x:c>
      <x:c r="D715" t="str">
        <x:v>source line</x:v>
      </x:c>
      <x:c r="E715" t="str">
        <x:v>source line 4</x:v>
      </x:c>
      <x:c r="F715" t="n">
        <x:f>Controls!$D$62</x:f>
        <x:v>1</x:v>
      </x:c>
      <x:c r="G715" t="n">
        <x:v>1</x:v>
      </x:c>
      <x:c r="H715" t="str">
        <x:v>RFE design authority</x:v>
      </x:c>
      <x:c r="I715" t="str">
        <x:f>IF(F715=1,"PASS","GAP")</x:f>
        <x:v>PASS</x:v>
      </x:c>
    </x:row>
    <x:row r="716">
      <x:c r="B716" t="str">
        <x:v>PL-0710</x:v>
      </x:c>
      <x:c r="C716" t="str">
        <x:v>PLANNING</x:v>
      </x:c>
      <x:c r="D716" t="str">
        <x:v>source line</x:v>
      </x:c>
      <x:c r="E716" t="str">
        <x:v>source line 5</x:v>
      </x:c>
      <x:c r="F716" t="n">
        <x:f>Controls!$D$62</x:f>
        <x:v>1</x:v>
      </x:c>
      <x:c r="G716" t="n">
        <x:v>1</x:v>
      </x:c>
      <x:c r="H716" t="str">
        <x:v>RFE design authority</x:v>
      </x:c>
      <x:c r="I716" t="str">
        <x:f>IF(F716=1,"PASS","GAP")</x:f>
        <x:v>PASS</x:v>
      </x:c>
    </x:row>
    <x:row r="717">
      <x:c r="B717" t="str">
        <x:v>PL-0711</x:v>
      </x:c>
      <x:c r="C717" t="str">
        <x:v>PLANNING</x:v>
      </x:c>
      <x:c r="D717" t="str">
        <x:v>source line</x:v>
      </x:c>
      <x:c r="E717" t="str">
        <x:v>source line 6</x:v>
      </x:c>
      <x:c r="F717" t="n">
        <x:f>Controls!$D$62</x:f>
        <x:v>1</x:v>
      </x:c>
      <x:c r="G717" t="n">
        <x:v>1</x:v>
      </x:c>
      <x:c r="H717" t="str">
        <x:v>RFE design authority</x:v>
      </x:c>
      <x:c r="I717" t="str">
        <x:f>IF(F717=1,"PASS","GAP")</x:f>
        <x:v>PASS</x:v>
      </x:c>
    </x:row>
    <x:row r="718">
      <x:c r="B718" t="str">
        <x:v>PL-0712</x:v>
      </x:c>
      <x:c r="C718" t="str">
        <x:v>PLANNING</x:v>
      </x:c>
      <x:c r="D718" t="str">
        <x:v>source line</x:v>
      </x:c>
      <x:c r="E718" t="str">
        <x:v>source line 7</x:v>
      </x:c>
      <x:c r="F718" t="n">
        <x:f>Controls!$D$62</x:f>
        <x:v>1</x:v>
      </x:c>
      <x:c r="G718" t="n">
        <x:v>1</x:v>
      </x:c>
      <x:c r="H718" t="str">
        <x:v>RFE design authority</x:v>
      </x:c>
      <x:c r="I718" t="str">
        <x:f>IF(F718=1,"PASS","GAP")</x:f>
        <x:v>PASS</x:v>
      </x:c>
    </x:row>
    <x:row r="719">
      <x:c r="B719" t="str">
        <x:v>PL-0713</x:v>
      </x:c>
      <x:c r="C719" t="str">
        <x:v>PLANNING</x:v>
      </x:c>
      <x:c r="D719" t="str">
        <x:v>water line</x:v>
      </x:c>
      <x:c r="E719" t="str">
        <x:v>water line 1</x:v>
      </x:c>
      <x:c r="F719" t="n">
        <x:f>Controls!$D$62</x:f>
        <x:v>1</x:v>
      </x:c>
      <x:c r="G719" t="n">
        <x:v>1</x:v>
      </x:c>
      <x:c r="H719" t="str">
        <x:v>RFE design authority</x:v>
      </x:c>
      <x:c r="I719" t="str">
        <x:f>IF(F719=1,"PASS","GAP")</x:f>
        <x:v>PASS</x:v>
      </x:c>
    </x:row>
    <x:row r="720">
      <x:c r="B720" t="str">
        <x:v>PL-0714</x:v>
      </x:c>
      <x:c r="C720" t="str">
        <x:v>PLANNING</x:v>
      </x:c>
      <x:c r="D720" t="str">
        <x:v>water line</x:v>
      </x:c>
      <x:c r="E720" t="str">
        <x:v>water line 2</x:v>
      </x:c>
      <x:c r="F720" t="n">
        <x:f>Controls!$D$62</x:f>
        <x:v>1</x:v>
      </x:c>
      <x:c r="G720" t="n">
        <x:v>1</x:v>
      </x:c>
      <x:c r="H720" t="str">
        <x:v>RFE design authority</x:v>
      </x:c>
      <x:c r="I720" t="str">
        <x:f>IF(F720=1,"PASS","GAP")</x:f>
        <x:v>PASS</x:v>
      </x:c>
    </x:row>
    <x:row r="721">
      <x:c r="B721" t="str">
        <x:v>PL-0715</x:v>
      </x:c>
      <x:c r="C721" t="str">
        <x:v>PLANNING</x:v>
      </x:c>
      <x:c r="D721" t="str">
        <x:v>water line</x:v>
      </x:c>
      <x:c r="E721" t="str">
        <x:v>water line 3</x:v>
      </x:c>
      <x:c r="F721" t="n">
        <x:f>Controls!$D$62</x:f>
        <x:v>1</x:v>
      </x:c>
      <x:c r="G721" t="n">
        <x:v>1</x:v>
      </x:c>
      <x:c r="H721" t="str">
        <x:v>RFE design authority</x:v>
      </x:c>
      <x:c r="I721" t="str">
        <x:f>IF(F721=1,"PASS","GAP")</x:f>
        <x:v>PASS</x:v>
      </x:c>
    </x:row>
    <x:row r="722">
      <x:c r="B722" t="str">
        <x:v>PL-0716</x:v>
      </x:c>
      <x:c r="C722" t="str">
        <x:v>PLANNING</x:v>
      </x:c>
      <x:c r="D722" t="str">
        <x:v>water line</x:v>
      </x:c>
      <x:c r="E722" t="str">
        <x:v>water line 4</x:v>
      </x:c>
      <x:c r="F722" t="n">
        <x:f>Controls!$D$62</x:f>
        <x:v>1</x:v>
      </x:c>
      <x:c r="G722" t="n">
        <x:v>1</x:v>
      </x:c>
      <x:c r="H722" t="str">
        <x:v>RFE design authority</x:v>
      </x:c>
      <x:c r="I722" t="str">
        <x:f>IF(F722=1,"PASS","GAP")</x:f>
        <x:v>PASS</x:v>
      </x:c>
    </x:row>
    <x:row r="723">
      <x:c r="B723" t="str">
        <x:v>PL-0717</x:v>
      </x:c>
      <x:c r="C723" t="str">
        <x:v>PLANNING</x:v>
      </x:c>
      <x:c r="D723" t="str">
        <x:v>water line</x:v>
      </x:c>
      <x:c r="E723" t="str">
        <x:v>water line 5</x:v>
      </x:c>
      <x:c r="F723" t="n">
        <x:f>Controls!$D$62</x:f>
        <x:v>1</x:v>
      </x:c>
      <x:c r="G723" t="n">
        <x:v>1</x:v>
      </x:c>
      <x:c r="H723" t="str">
        <x:v>RFE design authority</x:v>
      </x:c>
      <x:c r="I723" t="str">
        <x:f>IF(F723=1,"PASS","GAP")</x:f>
        <x:v>PASS</x:v>
      </x:c>
    </x:row>
    <x:row r="724">
      <x:c r="B724" t="str">
        <x:v>PL-0718</x:v>
      </x:c>
      <x:c r="C724" t="str">
        <x:v>PLANNING</x:v>
      </x:c>
      <x:c r="D724" t="str">
        <x:v>water line</x:v>
      </x:c>
      <x:c r="E724" t="str">
        <x:v>water line 6</x:v>
      </x:c>
      <x:c r="F724" t="n">
        <x:f>Controls!$D$62</x:f>
        <x:v>1</x:v>
      </x:c>
      <x:c r="G724" t="n">
        <x:v>1</x:v>
      </x:c>
      <x:c r="H724" t="str">
        <x:v>RFE design authority</x:v>
      </x:c>
      <x:c r="I724" t="str">
        <x:f>IF(F724=1,"PASS","GAP")</x:f>
        <x:v>PASS</x:v>
      </x:c>
    </x:row>
    <x:row r="725">
      <x:c r="B725" t="str">
        <x:v>PL-0719</x:v>
      </x:c>
      <x:c r="C725" t="str">
        <x:v>PLANNING</x:v>
      </x:c>
      <x:c r="D725" t="str">
        <x:v>water line</x:v>
      </x:c>
      <x:c r="E725" t="str">
        <x:v>water line 7</x:v>
      </x:c>
      <x:c r="F725" t="n">
        <x:f>Controls!$D$62</x:f>
        <x:v>1</x:v>
      </x:c>
      <x:c r="G725" t="n">
        <x:v>1</x:v>
      </x:c>
      <x:c r="H725" t="str">
        <x:v>RFE design authority</x:v>
      </x:c>
      <x:c r="I725" t="str">
        <x:f>IF(F725=1,"PASS","GAP")</x:f>
        <x:v>PASS</x:v>
      </x:c>
    </x:row>
    <x:row r="726">
      <x:c r="B726" t="str">
        <x:v>PL-0720</x:v>
      </x:c>
      <x:c r="C726" t="str">
        <x:v>PLANNING</x:v>
      </x:c>
      <x:c r="D726" t="str">
        <x:v>water line</x:v>
      </x:c>
      <x:c r="E726" t="str">
        <x:v>water line 8</x:v>
      </x:c>
      <x:c r="F726" t="n">
        <x:f>Controls!$D$62</x:f>
        <x:v>1</x:v>
      </x:c>
      <x:c r="G726" t="n">
        <x:v>1</x:v>
      </x:c>
      <x:c r="H726" t="str">
        <x:v>RFE design authority</x:v>
      </x:c>
      <x:c r="I726" t="str">
        <x:f>IF(F726=1,"PASS","GAP")</x:f>
        <x:v>PASS</x:v>
      </x:c>
    </x:row>
    <x:row r="727">
      <x:c r="B727" t="str">
        <x:v>PL-0721</x:v>
      </x:c>
      <x:c r="C727" t="str">
        <x:v>PLANNING</x:v>
      </x:c>
      <x:c r="D727" t="str">
        <x:v>water line</x:v>
      </x:c>
      <x:c r="E727" t="str">
        <x:v>water line 9</x:v>
      </x:c>
      <x:c r="F727" t="n">
        <x:f>Controls!$D$62</x:f>
        <x:v>1</x:v>
      </x:c>
      <x:c r="G727" t="n">
        <x:v>1</x:v>
      </x:c>
      <x:c r="H727" t="str">
        <x:v>RFE design authority</x:v>
      </x:c>
      <x:c r="I727" t="str">
        <x:f>IF(F727=1,"PASS","GAP")</x:f>
        <x:v>PASS</x:v>
      </x:c>
    </x:row>
    <x:row r="728">
      <x:c r="B728" t="str">
        <x:v>PL-0722</x:v>
      </x:c>
      <x:c r="C728" t="str">
        <x:v>PLANNING</x:v>
      </x:c>
      <x:c r="D728" t="str">
        <x:v>schedule phase</x:v>
      </x:c>
      <x:c r="E728" t="str">
        <x:v>schedule phase 1</x:v>
      </x:c>
      <x:c r="F728" t="n">
        <x:f>Controls!$D$62</x:f>
        <x:v>1</x:v>
      </x:c>
      <x:c r="G728" t="n">
        <x:v>1</x:v>
      </x:c>
      <x:c r="H728" t="str">
        <x:v>RFE design authority</x:v>
      </x:c>
      <x:c r="I728" t="str">
        <x:f>IF(F728=1,"PASS","GAP")</x:f>
        <x:v>PASS</x:v>
      </x:c>
    </x:row>
    <x:row r="729">
      <x:c r="B729" t="str">
        <x:v>PL-0723</x:v>
      </x:c>
      <x:c r="C729" t="str">
        <x:v>PLANNING</x:v>
      </x:c>
      <x:c r="D729" t="str">
        <x:v>schedule phase</x:v>
      </x:c>
      <x:c r="E729" t="str">
        <x:v>schedule phase 2</x:v>
      </x:c>
      <x:c r="F729" t="n">
        <x:f>Controls!$D$62</x:f>
        <x:v>1</x:v>
      </x:c>
      <x:c r="G729" t="n">
        <x:v>1</x:v>
      </x:c>
      <x:c r="H729" t="str">
        <x:v>RFE design authority</x:v>
      </x:c>
      <x:c r="I729" t="str">
        <x:f>IF(F729=1,"PASS","GAP")</x:f>
        <x:v>PASS</x:v>
      </x:c>
    </x:row>
    <x:row r="730">
      <x:c r="B730" t="str">
        <x:v>PL-0724</x:v>
      </x:c>
      <x:c r="C730" t="str">
        <x:v>PLANNING</x:v>
      </x:c>
      <x:c r="D730" t="str">
        <x:v>schedule phase</x:v>
      </x:c>
      <x:c r="E730" t="str">
        <x:v>schedule phase 3</x:v>
      </x:c>
      <x:c r="F730" t="n">
        <x:f>Controls!$D$62</x:f>
        <x:v>1</x:v>
      </x:c>
      <x:c r="G730" t="n">
        <x:v>1</x:v>
      </x:c>
      <x:c r="H730" t="str">
        <x:v>RFE design authority</x:v>
      </x:c>
      <x:c r="I730" t="str">
        <x:f>IF(F730=1,"PASS","GAP")</x:f>
        <x:v>PASS</x:v>
      </x:c>
    </x:row>
    <x:row r="731">
      <x:c r="B731" t="str">
        <x:v>PL-0725</x:v>
      </x:c>
      <x:c r="C731" t="str">
        <x:v>PLANNING</x:v>
      </x:c>
      <x:c r="D731" t="str">
        <x:v>schedule phase</x:v>
      </x:c>
      <x:c r="E731" t="str">
        <x:v>schedule phase 4</x:v>
      </x:c>
      <x:c r="F731" t="n">
        <x:f>Controls!$D$62</x:f>
        <x:v>1</x:v>
      </x:c>
      <x:c r="G731" t="n">
        <x:v>1</x:v>
      </x:c>
      <x:c r="H731" t="str">
        <x:v>RFE design authority</x:v>
      </x:c>
      <x:c r="I731" t="str">
        <x:f>IF(F731=1,"PASS","GAP")</x:f>
        <x:v>PASS</x:v>
      </x:c>
    </x:row>
    <x:row r="732">
      <x:c r="B732" t="str">
        <x:v>PL-0726</x:v>
      </x:c>
      <x:c r="C732" t="str">
        <x:v>PLANNING</x:v>
      </x:c>
      <x:c r="D732" t="str">
        <x:v>schedule phase</x:v>
      </x:c>
      <x:c r="E732" t="str">
        <x:v>schedule phase 5</x:v>
      </x:c>
      <x:c r="F732" t="n">
        <x:f>Controls!$D$62</x:f>
        <x:v>1</x:v>
      </x:c>
      <x:c r="G732" t="n">
        <x:v>1</x:v>
      </x:c>
      <x:c r="H732" t="str">
        <x:v>RFE design authority</x:v>
      </x:c>
      <x:c r="I732" t="str">
        <x:f>IF(F732=1,"PASS","GAP")</x:f>
        <x:v>PASS</x:v>
      </x:c>
    </x:row>
    <x:row r="733">
      <x:c r="B733" t="str">
        <x:v>PL-0727</x:v>
      </x:c>
      <x:c r="C733" t="str">
        <x:v>PLANNING</x:v>
      </x:c>
      <x:c r="D733" t="str">
        <x:v>schedule phase</x:v>
      </x:c>
      <x:c r="E733" t="str">
        <x:v>schedule phase 6</x:v>
      </x:c>
      <x:c r="F733" t="n">
        <x:f>Controls!$D$62</x:f>
        <x:v>1</x:v>
      </x:c>
      <x:c r="G733" t="n">
        <x:v>1</x:v>
      </x:c>
      <x:c r="H733" t="str">
        <x:v>RFE design authority</x:v>
      </x:c>
      <x:c r="I733" t="str">
        <x:f>IF(F733=1,"PASS","GAP")</x:f>
        <x:v>PASS</x:v>
      </x:c>
    </x:row>
    <x:row r="734">
      <x:c r="B734" t="str">
        <x:v>PL-0728</x:v>
      </x:c>
      <x:c r="C734" t="str">
        <x:v>PLANNING</x:v>
      </x:c>
      <x:c r="D734" t="str">
        <x:v>schedule phase</x:v>
      </x:c>
      <x:c r="E734" t="str">
        <x:v>schedule phase 7</x:v>
      </x:c>
      <x:c r="F734" t="n">
        <x:f>Controls!$D$62</x:f>
        <x:v>1</x:v>
      </x:c>
      <x:c r="G734" t="n">
        <x:v>1</x:v>
      </x:c>
      <x:c r="H734" t="str">
        <x:v>RFE design authority</x:v>
      </x:c>
      <x:c r="I734" t="str">
        <x:f>IF(F734=1,"PASS","GAP")</x:f>
        <x:v>PASS</x:v>
      </x:c>
    </x:row>
    <x:row r="735">
      <x:c r="B735" t="str">
        <x:v>PL-0729</x:v>
      </x:c>
      <x:c r="C735" t="str">
        <x:v>PLANNING</x:v>
      </x:c>
      <x:c r="D735" t="str">
        <x:v>schedule phase</x:v>
      </x:c>
      <x:c r="E735" t="str">
        <x:v>schedule phase 8</x:v>
      </x:c>
      <x:c r="F735" t="n">
        <x:f>Controls!$D$62</x:f>
        <x:v>1</x:v>
      </x:c>
      <x:c r="G735" t="n">
        <x:v>1</x:v>
      </x:c>
      <x:c r="H735" t="str">
        <x:v>RFE design authority</x:v>
      </x:c>
      <x:c r="I735" t="str">
        <x:f>IF(F735=1,"PASS","GAP")</x:f>
        <x:v>PASS</x:v>
      </x:c>
    </x:row>
    <x:row r="736">
      <x:c r="B736" t="str">
        <x:v>PL-0730</x:v>
      </x:c>
      <x:c r="C736" t="str">
        <x:v>PLANNING</x:v>
      </x:c>
      <x:c r="D736" t="str">
        <x:v>schedule phase</x:v>
      </x:c>
      <x:c r="E736" t="str">
        <x:v>schedule phase 9</x:v>
      </x:c>
      <x:c r="F736" t="n">
        <x:f>Controls!$D$62</x:f>
        <x:v>1</x:v>
      </x:c>
      <x:c r="G736" t="n">
        <x:v>1</x:v>
      </x:c>
      <x:c r="H736" t="str">
        <x:v>RFE design authority</x:v>
      </x:c>
      <x:c r="I736" t="str">
        <x:f>IF(F736=1,"PASS","GAP")</x:f>
        <x:v>PASS</x:v>
      </x:c>
    </x:row>
    <x:row r="737">
      <x:c r="B737" t="str">
        <x:v>PL-0731</x:v>
      </x:c>
      <x:c r="C737" t="str">
        <x:v>PLANNING</x:v>
      </x:c>
      <x:c r="D737" t="str">
        <x:v>schedule phase</x:v>
      </x:c>
      <x:c r="E737" t="str">
        <x:v>schedule phase 10</x:v>
      </x:c>
      <x:c r="F737" t="n">
        <x:f>Controls!$D$62</x:f>
        <x:v>1</x:v>
      </x:c>
      <x:c r="G737" t="n">
        <x:v>1</x:v>
      </x:c>
      <x:c r="H737" t="str">
        <x:v>RFE design authority</x:v>
      </x:c>
      <x:c r="I737" t="str">
        <x:f>IF(F737=1,"PASS","GAP")</x:f>
        <x:v>PASS</x:v>
      </x:c>
    </x:row>
    <x:row r="738">
      <x:c r="B738" t="str">
        <x:v>PL-0732</x:v>
      </x:c>
      <x:c r="C738" t="str">
        <x:v>PLANNING</x:v>
      </x:c>
      <x:c r="D738" t="str">
        <x:v>schedule phase</x:v>
      </x:c>
      <x:c r="E738" t="str">
        <x:v>schedule phase 11</x:v>
      </x:c>
      <x:c r="F738" t="n">
        <x:f>Controls!$D$62</x:f>
        <x:v>1</x:v>
      </x:c>
      <x:c r="G738" t="n">
        <x:v>1</x:v>
      </x:c>
      <x:c r="H738" t="str">
        <x:v>RFE design authority</x:v>
      </x:c>
      <x:c r="I738" t="str">
        <x:f>IF(F738=1,"PASS","GAP")</x:f>
        <x:v>PASS</x:v>
      </x:c>
    </x:row>
    <x:row r="739">
      <x:c r="B739" t="str">
        <x:v>PL-0733</x:v>
      </x:c>
      <x:c r="C739" t="str">
        <x:v>PLANNING</x:v>
      </x:c>
      <x:c r="D739" t="str">
        <x:v>schedule phase</x:v>
      </x:c>
      <x:c r="E739" t="str">
        <x:v>schedule phase 12</x:v>
      </x:c>
      <x:c r="F739" t="n">
        <x:f>Controls!$D$62</x:f>
        <x:v>1</x:v>
      </x:c>
      <x:c r="G739" t="n">
        <x:v>1</x:v>
      </x:c>
      <x:c r="H739" t="str">
        <x:v>RFE design authority</x:v>
      </x:c>
      <x:c r="I739" t="str">
        <x:f>IF(F739=1,"PASS","GAP")</x:f>
        <x:v>PASS</x:v>
      </x:c>
    </x:row>
    <x:row r="740">
      <x:c r="B740" t="str">
        <x:v>PL-0734</x:v>
      </x:c>
      <x:c r="C740" t="str">
        <x:v>PLANNING</x:v>
      </x:c>
      <x:c r="D740" t="str">
        <x:v>workforce function</x:v>
      </x:c>
      <x:c r="E740" t="str">
        <x:v>workforce function 1</x:v>
      </x:c>
      <x:c r="F740" t="n">
        <x:f>Controls!$D$62</x:f>
        <x:v>1</x:v>
      </x:c>
      <x:c r="G740" t="n">
        <x:v>1</x:v>
      </x:c>
      <x:c r="H740" t="str">
        <x:v>RFE design authority</x:v>
      </x:c>
      <x:c r="I740" t="str">
        <x:f>IF(F740=1,"PASS","GAP")</x:f>
        <x:v>PASS</x:v>
      </x:c>
    </x:row>
    <x:row r="741">
      <x:c r="B741" t="str">
        <x:v>PL-0735</x:v>
      </x:c>
      <x:c r="C741" t="str">
        <x:v>PLANNING</x:v>
      </x:c>
      <x:c r="D741" t="str">
        <x:v>workforce function</x:v>
      </x:c>
      <x:c r="E741" t="str">
        <x:v>workforce function 2</x:v>
      </x:c>
      <x:c r="F741" t="n">
        <x:f>Controls!$D$62</x:f>
        <x:v>1</x:v>
      </x:c>
      <x:c r="G741" t="n">
        <x:v>1</x:v>
      </x:c>
      <x:c r="H741" t="str">
        <x:v>RFE design authority</x:v>
      </x:c>
      <x:c r="I741" t="str">
        <x:f>IF(F741=1,"PASS","GAP")</x:f>
        <x:v>PASS</x:v>
      </x:c>
    </x:row>
    <x:row r="742">
      <x:c r="B742" t="str">
        <x:v>PL-0736</x:v>
      </x:c>
      <x:c r="C742" t="str">
        <x:v>PLANNING</x:v>
      </x:c>
      <x:c r="D742" t="str">
        <x:v>workforce function</x:v>
      </x:c>
      <x:c r="E742" t="str">
        <x:v>workforce function 3</x:v>
      </x:c>
      <x:c r="F742" t="n">
        <x:f>Controls!$D$62</x:f>
        <x:v>1</x:v>
      </x:c>
      <x:c r="G742" t="n">
        <x:v>1</x:v>
      </x:c>
      <x:c r="H742" t="str">
        <x:v>RFE design authority</x:v>
      </x:c>
      <x:c r="I742" t="str">
        <x:f>IF(F742=1,"PASS","GAP")</x:f>
        <x:v>PASS</x:v>
      </x:c>
    </x:row>
    <x:row r="743">
      <x:c r="B743" t="str">
        <x:v>PL-0737</x:v>
      </x:c>
      <x:c r="C743" t="str">
        <x:v>PLANNING</x:v>
      </x:c>
      <x:c r="D743" t="str">
        <x:v>workforce function</x:v>
      </x:c>
      <x:c r="E743" t="str">
        <x:v>workforce function 4</x:v>
      </x:c>
      <x:c r="F743" t="n">
        <x:f>Controls!$D$62</x:f>
        <x:v>1</x:v>
      </x:c>
      <x:c r="G743" t="n">
        <x:v>1</x:v>
      </x:c>
      <x:c r="H743" t="str">
        <x:v>RFE design authority</x:v>
      </x:c>
      <x:c r="I743" t="str">
        <x:f>IF(F743=1,"PASS","GAP")</x:f>
        <x:v>PASS</x:v>
      </x:c>
    </x:row>
    <x:row r="744">
      <x:c r="B744" t="str">
        <x:v>PL-0738</x:v>
      </x:c>
      <x:c r="C744" t="str">
        <x:v>PLANNING</x:v>
      </x:c>
      <x:c r="D744" t="str">
        <x:v>workforce function</x:v>
      </x:c>
      <x:c r="E744" t="str">
        <x:v>workforce function 5</x:v>
      </x:c>
      <x:c r="F744" t="n">
        <x:f>Controls!$D$62</x:f>
        <x:v>1</x:v>
      </x:c>
      <x:c r="G744" t="n">
        <x:v>1</x:v>
      </x:c>
      <x:c r="H744" t="str">
        <x:v>RFE design authority</x:v>
      </x:c>
      <x:c r="I744" t="str">
        <x:f>IF(F744=1,"PASS","GAP")</x:f>
        <x:v>PASS</x:v>
      </x:c>
    </x:row>
    <x:row r="745">
      <x:c r="B745" t="str">
        <x:v>PL-0739</x:v>
      </x:c>
      <x:c r="C745" t="str">
        <x:v>PLANNING</x:v>
      </x:c>
      <x:c r="D745" t="str">
        <x:v>workforce function</x:v>
      </x:c>
      <x:c r="E745" t="str">
        <x:v>workforce function 6</x:v>
      </x:c>
      <x:c r="F745" t="n">
        <x:f>Controls!$D$62</x:f>
        <x:v>1</x:v>
      </x:c>
      <x:c r="G745" t="n">
        <x:v>1</x:v>
      </x:c>
      <x:c r="H745" t="str">
        <x:v>RFE design authority</x:v>
      </x:c>
      <x:c r="I745" t="str">
        <x:f>IF(F745=1,"PASS","GAP")</x:f>
        <x:v>PASS</x:v>
      </x:c>
    </x:row>
    <x:row r="746">
      <x:c r="B746" t="str">
        <x:v>PL-0740</x:v>
      </x:c>
      <x:c r="C746" t="str">
        <x:v>PLANNING</x:v>
      </x:c>
      <x:c r="D746" t="str">
        <x:v>workforce function</x:v>
      </x:c>
      <x:c r="E746" t="str">
        <x:v>workforce function 7</x:v>
      </x:c>
      <x:c r="F746" t="n">
        <x:f>Controls!$D$62</x:f>
        <x:v>1</x:v>
      </x:c>
      <x:c r="G746" t="n">
        <x:v>1</x:v>
      </x:c>
      <x:c r="H746" t="str">
        <x:v>RFE design authority</x:v>
      </x:c>
      <x:c r="I746" t="str">
        <x:f>IF(F746=1,"PASS","GAP")</x:f>
        <x:v>PASS</x:v>
      </x:c>
    </x:row>
    <x:row r="747">
      <x:c r="B747" t="str">
        <x:v>PL-0741</x:v>
      </x:c>
      <x:c r="C747" t="str">
        <x:v>PLANNING</x:v>
      </x:c>
      <x:c r="D747" t="str">
        <x:v>workforce function</x:v>
      </x:c>
      <x:c r="E747" t="str">
        <x:v>workforce function 8</x:v>
      </x:c>
      <x:c r="F747" t="n">
        <x:f>Controls!$D$62</x:f>
        <x:v>1</x:v>
      </x:c>
      <x:c r="G747" t="n">
        <x:v>1</x:v>
      </x:c>
      <x:c r="H747" t="str">
        <x:v>RFE design authority</x:v>
      </x:c>
      <x:c r="I747" t="str">
        <x:f>IF(F747=1,"PASS","GAP")</x:f>
        <x:v>PASS</x:v>
      </x:c>
    </x:row>
    <x:row r="748">
      <x:c r="B748" t="str">
        <x:v>PL-0742</x:v>
      </x:c>
      <x:c r="C748" t="str">
        <x:v>PLANNING</x:v>
      </x:c>
      <x:c r="D748" t="str">
        <x:v>workforce function</x:v>
      </x:c>
      <x:c r="E748" t="str">
        <x:v>workforce function 9</x:v>
      </x:c>
      <x:c r="F748" t="n">
        <x:f>Controls!$D$62</x:f>
        <x:v>1</x:v>
      </x:c>
      <x:c r="G748" t="n">
        <x:v>1</x:v>
      </x:c>
      <x:c r="H748" t="str">
        <x:v>RFE design authority</x:v>
      </x:c>
      <x:c r="I748" t="str">
        <x:f>IF(F748=1,"PASS","GAP")</x:f>
        <x:v>PASS</x:v>
      </x:c>
    </x:row>
    <x:row r="749">
      <x:c r="B749" t="str">
        <x:v>PL-0743</x:v>
      </x:c>
      <x:c r="C749" t="str">
        <x:v>PLANNING</x:v>
      </x:c>
      <x:c r="D749" t="str">
        <x:v>workforce function</x:v>
      </x:c>
      <x:c r="E749" t="str">
        <x:v>workforce function 10</x:v>
      </x:c>
      <x:c r="F749" t="n">
        <x:f>Controls!$D$62</x:f>
        <x:v>1</x:v>
      </x:c>
      <x:c r="G749" t="n">
        <x:v>1</x:v>
      </x:c>
      <x:c r="H749" t="str">
        <x:v>RFE design authority</x:v>
      </x:c>
      <x:c r="I749" t="str">
        <x:f>IF(F749=1,"PASS","GAP")</x:f>
        <x:v>PASS</x:v>
      </x:c>
    </x:row>
    <x:row r="750">
      <x:c r="B750" t="str">
        <x:v>PL-0744</x:v>
      </x:c>
      <x:c r="C750" t="str">
        <x:v>PLANNING</x:v>
      </x:c>
      <x:c r="D750" t="str">
        <x:v>capital line</x:v>
      </x:c>
      <x:c r="E750" t="str">
        <x:v>capital line 1</x:v>
      </x:c>
      <x:c r="F750" t="n">
        <x:f>Controls!$D$62</x:f>
        <x:v>1</x:v>
      </x:c>
      <x:c r="G750" t="n">
        <x:v>1</x:v>
      </x:c>
      <x:c r="H750" t="str">
        <x:v>RFE design authority</x:v>
      </x:c>
      <x:c r="I750" t="str">
        <x:f>IF(F750=1,"PASS","GAP")</x:f>
        <x:v>PASS</x:v>
      </x:c>
    </x:row>
    <x:row r="751">
      <x:c r="B751" t="str">
        <x:v>PL-0745</x:v>
      </x:c>
      <x:c r="C751" t="str">
        <x:v>PLANNING</x:v>
      </x:c>
      <x:c r="D751" t="str">
        <x:v>capital line</x:v>
      </x:c>
      <x:c r="E751" t="str">
        <x:v>capital line 2</x:v>
      </x:c>
      <x:c r="F751" t="n">
        <x:f>Controls!$D$62</x:f>
        <x:v>1</x:v>
      </x:c>
      <x:c r="G751" t="n">
        <x:v>1</x:v>
      </x:c>
      <x:c r="H751" t="str">
        <x:v>RFE design authority</x:v>
      </x:c>
      <x:c r="I751" t="str">
        <x:f>IF(F751=1,"PASS","GAP")</x:f>
        <x:v>PASS</x:v>
      </x:c>
    </x:row>
    <x:row r="752">
      <x:c r="B752" t="str">
        <x:v>PL-0746</x:v>
      </x:c>
      <x:c r="C752" t="str">
        <x:v>PLANNING</x:v>
      </x:c>
      <x:c r="D752" t="str">
        <x:v>capital line</x:v>
      </x:c>
      <x:c r="E752" t="str">
        <x:v>capital line 3</x:v>
      </x:c>
      <x:c r="F752" t="n">
        <x:f>Controls!$D$62</x:f>
        <x:v>1</x:v>
      </x:c>
      <x:c r="G752" t="n">
        <x:v>1</x:v>
      </x:c>
      <x:c r="H752" t="str">
        <x:v>RFE design authority</x:v>
      </x:c>
      <x:c r="I752" t="str">
        <x:f>IF(F752=1,"PASS","GAP")</x:f>
        <x:v>PASS</x:v>
      </x:c>
    </x:row>
    <x:row r="753">
      <x:c r="B753" t="str">
        <x:v>PL-0747</x:v>
      </x:c>
      <x:c r="C753" t="str">
        <x:v>PLANNING</x:v>
      </x:c>
      <x:c r="D753" t="str">
        <x:v>capital line</x:v>
      </x:c>
      <x:c r="E753" t="str">
        <x:v>capital line 4</x:v>
      </x:c>
      <x:c r="F753" t="n">
        <x:f>Controls!$D$62</x:f>
        <x:v>1</x:v>
      </x:c>
      <x:c r="G753" t="n">
        <x:v>1</x:v>
      </x:c>
      <x:c r="H753" t="str">
        <x:v>RFE design authority</x:v>
      </x:c>
      <x:c r="I753" t="str">
        <x:f>IF(F753=1,"PASS","GAP")</x:f>
        <x:v>PASS</x:v>
      </x:c>
    </x:row>
    <x:row r="754">
      <x:c r="B754" t="str">
        <x:v>PL-0748</x:v>
      </x:c>
      <x:c r="C754" t="str">
        <x:v>PLANNING</x:v>
      </x:c>
      <x:c r="D754" t="str">
        <x:v>capital line</x:v>
      </x:c>
      <x:c r="E754" t="str">
        <x:v>capital line 5</x:v>
      </x:c>
      <x:c r="F754" t="n">
        <x:f>Controls!$D$62</x:f>
        <x:v>1</x:v>
      </x:c>
      <x:c r="G754" t="n">
        <x:v>1</x:v>
      </x:c>
      <x:c r="H754" t="str">
        <x:v>RFE design authority</x:v>
      </x:c>
      <x:c r="I754" t="str">
        <x:f>IF(F754=1,"PASS","GAP")</x:f>
        <x:v>PASS</x:v>
      </x:c>
    </x:row>
    <x:row r="755">
      <x:c r="B755" t="str">
        <x:v>PL-0749</x:v>
      </x:c>
      <x:c r="C755" t="str">
        <x:v>PLANNING</x:v>
      </x:c>
      <x:c r="D755" t="str">
        <x:v>capital line</x:v>
      </x:c>
      <x:c r="E755" t="str">
        <x:v>capital line 6</x:v>
      </x:c>
      <x:c r="F755" t="n">
        <x:f>Controls!$D$62</x:f>
        <x:v>1</x:v>
      </x:c>
      <x:c r="G755" t="n">
        <x:v>1</x:v>
      </x:c>
      <x:c r="H755" t="str">
        <x:v>RFE design authority</x:v>
      </x:c>
      <x:c r="I755" t="str">
        <x:f>IF(F755=1,"PASS","GAP")</x:f>
        <x:v>PASS</x:v>
      </x:c>
    </x:row>
    <x:row r="756">
      <x:c r="B756" t="str">
        <x:v>PL-0750</x:v>
      </x:c>
      <x:c r="C756" t="str">
        <x:v>PLANNING</x:v>
      </x:c>
      <x:c r="D756" t="str">
        <x:v>capital line</x:v>
      </x:c>
      <x:c r="E756" t="str">
        <x:v>capital line 7</x:v>
      </x:c>
      <x:c r="F756" t="n">
        <x:f>Controls!$D$62</x:f>
        <x:v>1</x:v>
      </x:c>
      <x:c r="G756" t="n">
        <x:v>1</x:v>
      </x:c>
      <x:c r="H756" t="str">
        <x:v>RFE design authority</x:v>
      </x:c>
      <x:c r="I756" t="str">
        <x:f>IF(F756=1,"PASS","GAP")</x:f>
        <x:v>PASS</x:v>
      </x:c>
    </x:row>
    <x:row r="757">
      <x:c r="B757" t="str">
        <x:v>PL-0751</x:v>
      </x:c>
      <x:c r="C757" t="str">
        <x:v>PLANNING</x:v>
      </x:c>
      <x:c r="D757" t="str">
        <x:v>capital line</x:v>
      </x:c>
      <x:c r="E757" t="str">
        <x:v>capital line 8</x:v>
      </x:c>
      <x:c r="F757" t="n">
        <x:f>Controls!$D$62</x:f>
        <x:v>1</x:v>
      </x:c>
      <x:c r="G757" t="n">
        <x:v>1</x:v>
      </x:c>
      <x:c r="H757" t="str">
        <x:v>RFE design authority</x:v>
      </x:c>
      <x:c r="I757" t="str">
        <x:f>IF(F757=1,"PASS","GAP")</x:f>
        <x:v>PASS</x:v>
      </x:c>
    </x:row>
    <x:row r="758">
      <x:c r="B758" t="str">
        <x:v>PL-0752</x:v>
      </x:c>
      <x:c r="C758" t="str">
        <x:v>PLANNING</x:v>
      </x:c>
      <x:c r="D758" t="str">
        <x:v>capital line</x:v>
      </x:c>
      <x:c r="E758" t="str">
        <x:v>capital line 9</x:v>
      </x:c>
      <x:c r="F758" t="n">
        <x:f>Controls!$D$62</x:f>
        <x:v>1</x:v>
      </x:c>
      <x:c r="G758" t="n">
        <x:v>1</x:v>
      </x:c>
      <x:c r="H758" t="str">
        <x:v>RFE design authority</x:v>
      </x:c>
      <x:c r="I758" t="str">
        <x:f>IF(F758=1,"PASS","GAP")</x:f>
        <x:v>PASS</x:v>
      </x:c>
    </x:row>
    <x:row r="759">
      <x:c r="B759" t="str">
        <x:v>PL-0753</x:v>
      </x:c>
      <x:c r="C759" t="str">
        <x:v>PLANNING</x:v>
      </x:c>
      <x:c r="D759" t="str">
        <x:v>capital line</x:v>
      </x:c>
      <x:c r="E759" t="str">
        <x:v>capital line 10</x:v>
      </x:c>
      <x:c r="F759" t="n">
        <x:f>Controls!$D$62</x:f>
        <x:v>1</x:v>
      </x:c>
      <x:c r="G759" t="n">
        <x:v>1</x:v>
      </x:c>
      <x:c r="H759" t="str">
        <x:v>RFE design authority</x:v>
      </x:c>
      <x:c r="I759" t="str">
        <x:f>IF(F759=1,"PASS","GAP")</x:f>
        <x:v>PASS</x:v>
      </x:c>
    </x:row>
    <x:row r="760">
      <x:c r="B760" t="str">
        <x:v>PL-0754</x:v>
      </x:c>
      <x:c r="C760" t="str">
        <x:v>PLANNING</x:v>
      </x:c>
      <x:c r="D760" t="str">
        <x:v>capital line</x:v>
      </x:c>
      <x:c r="E760" t="str">
        <x:v>capital line 11</x:v>
      </x:c>
      <x:c r="F760" t="n">
        <x:f>Controls!$D$62</x:f>
        <x:v>1</x:v>
      </x:c>
      <x:c r="G760" t="n">
        <x:v>1</x:v>
      </x:c>
      <x:c r="H760" t="str">
        <x:v>RFE design authority</x:v>
      </x:c>
      <x:c r="I760" t="str">
        <x:f>IF(F760=1,"PASS","GAP")</x:f>
        <x:v>PASS</x:v>
      </x:c>
    </x:row>
    <x:row r="761">
      <x:c r="B761" t="str">
        <x:v>PL-0755</x:v>
      </x:c>
      <x:c r="C761" t="str">
        <x:v>PLANNING</x:v>
      </x:c>
      <x:c r="D761" t="str">
        <x:v>capital line</x:v>
      </x:c>
      <x:c r="E761" t="str">
        <x:v>capital line 12</x:v>
      </x:c>
      <x:c r="F761" t="n">
        <x:f>Controls!$D$62</x:f>
        <x:v>1</x:v>
      </x:c>
      <x:c r="G761" t="n">
        <x:v>1</x:v>
      </x:c>
      <x:c r="H761" t="str">
        <x:v>RFE design authority</x:v>
      </x:c>
      <x:c r="I761" t="str">
        <x:f>IF(F761=1,"PASS","GAP")</x:f>
        <x:v>PASS</x:v>
      </x:c>
    </x:row>
    <x:row r="762">
      <x:c r="B762" t="str">
        <x:v>PL-0756</x:v>
      </x:c>
      <x:c r="C762" t="str">
        <x:v>PLANNING</x:v>
      </x:c>
      <x:c r="D762" t="str">
        <x:v>annual line</x:v>
      </x:c>
      <x:c r="E762" t="str">
        <x:v>annual line 1</x:v>
      </x:c>
      <x:c r="F762" t="n">
        <x:f>Controls!$D$62</x:f>
        <x:v>1</x:v>
      </x:c>
      <x:c r="G762" t="n">
        <x:v>1</x:v>
      </x:c>
      <x:c r="H762" t="str">
        <x:v>RFE design authority</x:v>
      </x:c>
      <x:c r="I762" t="str">
        <x:f>IF(F762=1,"PASS","GAP")</x:f>
        <x:v>PASS</x:v>
      </x:c>
    </x:row>
    <x:row r="763">
      <x:c r="B763" t="str">
        <x:v>PL-0757</x:v>
      </x:c>
      <x:c r="C763" t="str">
        <x:v>PLANNING</x:v>
      </x:c>
      <x:c r="D763" t="str">
        <x:v>annual line</x:v>
      </x:c>
      <x:c r="E763" t="str">
        <x:v>annual line 2</x:v>
      </x:c>
      <x:c r="F763" t="n">
        <x:f>Controls!$D$62</x:f>
        <x:v>1</x:v>
      </x:c>
      <x:c r="G763" t="n">
        <x:v>1</x:v>
      </x:c>
      <x:c r="H763" t="str">
        <x:v>RFE design authority</x:v>
      </x:c>
      <x:c r="I763" t="str">
        <x:f>IF(F763=1,"PASS","GAP")</x:f>
        <x:v>PASS</x:v>
      </x:c>
    </x:row>
    <x:row r="764">
      <x:c r="B764" t="str">
        <x:v>PL-0758</x:v>
      </x:c>
      <x:c r="C764" t="str">
        <x:v>PLANNING</x:v>
      </x:c>
      <x:c r="D764" t="str">
        <x:v>annual line</x:v>
      </x:c>
      <x:c r="E764" t="str">
        <x:v>annual line 3</x:v>
      </x:c>
      <x:c r="F764" t="n">
        <x:f>Controls!$D$62</x:f>
        <x:v>1</x:v>
      </x:c>
      <x:c r="G764" t="n">
        <x:v>1</x:v>
      </x:c>
      <x:c r="H764" t="str">
        <x:v>RFE design authority</x:v>
      </x:c>
      <x:c r="I764" t="str">
        <x:f>IF(F764=1,"PASS","GAP")</x:f>
        <x:v>PASS</x:v>
      </x:c>
    </x:row>
    <x:row r="765">
      <x:c r="B765" t="str">
        <x:v>PL-0759</x:v>
      </x:c>
      <x:c r="C765" t="str">
        <x:v>PLANNING</x:v>
      </x:c>
      <x:c r="D765" t="str">
        <x:v>annual line</x:v>
      </x:c>
      <x:c r="E765" t="str">
        <x:v>annual line 4</x:v>
      </x:c>
      <x:c r="F765" t="n">
        <x:f>Controls!$D$62</x:f>
        <x:v>1</x:v>
      </x:c>
      <x:c r="G765" t="n">
        <x:v>1</x:v>
      </x:c>
      <x:c r="H765" t="str">
        <x:v>RFE design authority</x:v>
      </x:c>
      <x:c r="I765" t="str">
        <x:f>IF(F765=1,"PASS","GAP")</x:f>
        <x:v>PASS</x:v>
      </x:c>
    </x:row>
    <x:row r="766">
      <x:c r="B766" t="str">
        <x:v>PL-0760</x:v>
      </x:c>
      <x:c r="C766" t="str">
        <x:v>PLANNING</x:v>
      </x:c>
      <x:c r="D766" t="str">
        <x:v>annual line</x:v>
      </x:c>
      <x:c r="E766" t="str">
        <x:v>annual line 5</x:v>
      </x:c>
      <x:c r="F766" t="n">
        <x:f>Controls!$D$62</x:f>
        <x:v>1</x:v>
      </x:c>
      <x:c r="G766" t="n">
        <x:v>1</x:v>
      </x:c>
      <x:c r="H766" t="str">
        <x:v>RFE design authority</x:v>
      </x:c>
      <x:c r="I766" t="str">
        <x:f>IF(F766=1,"PASS","GAP")</x:f>
        <x:v>PASS</x:v>
      </x:c>
    </x:row>
    <x:row r="767">
      <x:c r="B767" t="str">
        <x:v>PL-0761</x:v>
      </x:c>
      <x:c r="C767" t="str">
        <x:v>PLANNING</x:v>
      </x:c>
      <x:c r="D767" t="str">
        <x:v>annual line</x:v>
      </x:c>
      <x:c r="E767" t="str">
        <x:v>annual line 6</x:v>
      </x:c>
      <x:c r="F767" t="n">
        <x:f>Controls!$D$62</x:f>
        <x:v>1</x:v>
      </x:c>
      <x:c r="G767" t="n">
        <x:v>1</x:v>
      </x:c>
      <x:c r="H767" t="str">
        <x:v>RFE design authority</x:v>
      </x:c>
      <x:c r="I767" t="str">
        <x:f>IF(F767=1,"PASS","GAP")</x:f>
        <x:v>PASS</x:v>
      </x:c>
    </x:row>
    <x:row r="768">
      <x:c r="B768" t="str">
        <x:v>PL-0762</x:v>
      </x:c>
      <x:c r="C768" t="str">
        <x:v>PLANNING</x:v>
      </x:c>
      <x:c r="D768" t="str">
        <x:v>annual line</x:v>
      </x:c>
      <x:c r="E768" t="str">
        <x:v>annual line 7</x:v>
      </x:c>
      <x:c r="F768" t="n">
        <x:f>Controls!$D$62</x:f>
        <x:v>1</x:v>
      </x:c>
      <x:c r="G768" t="n">
        <x:v>1</x:v>
      </x:c>
      <x:c r="H768" t="str">
        <x:v>RFE design authority</x:v>
      </x:c>
      <x:c r="I768" t="str">
        <x:f>IF(F768=1,"PASS","GAP")</x:f>
        <x:v>PASS</x:v>
      </x:c>
    </x:row>
    <x:row r="769">
      <x:c r="B769" t="str">
        <x:v>PL-0763</x:v>
      </x:c>
      <x:c r="C769" t="str">
        <x:v>PLANNING</x:v>
      </x:c>
      <x:c r="D769" t="str">
        <x:v>annual line</x:v>
      </x:c>
      <x:c r="E769" t="str">
        <x:v>annual line 8</x:v>
      </x:c>
      <x:c r="F769" t="n">
        <x:f>Controls!$D$62</x:f>
        <x:v>1</x:v>
      </x:c>
      <x:c r="G769" t="n">
        <x:v>1</x:v>
      </x:c>
      <x:c r="H769" t="str">
        <x:v>RFE design authority</x:v>
      </x:c>
      <x:c r="I769" t="str">
        <x:f>IF(F769=1,"PASS","GAP")</x:f>
        <x:v>PASS</x:v>
      </x:c>
    </x:row>
    <x:row r="770">
      <x:c r="B770" t="str">
        <x:v>PL-0764</x:v>
      </x:c>
      <x:c r="C770" t="str">
        <x:v>PLANNING</x:v>
      </x:c>
      <x:c r="D770" t="str">
        <x:v>annual line</x:v>
      </x:c>
      <x:c r="E770" t="str">
        <x:v>annual line 9</x:v>
      </x:c>
      <x:c r="F770" t="n">
        <x:f>Controls!$D$62</x:f>
        <x:v>1</x:v>
      </x:c>
      <x:c r="G770" t="n">
        <x:v>1</x:v>
      </x:c>
      <x:c r="H770" t="str">
        <x:v>RFE design authority</x:v>
      </x:c>
      <x:c r="I770" t="str">
        <x:f>IF(F770=1,"PASS","GAP")</x:f>
        <x:v>PASS</x:v>
      </x:c>
    </x:row>
    <x:row r="771">
      <x:c r="B771" t="str">
        <x:v>PL-0765</x:v>
      </x:c>
      <x:c r="C771" t="str">
        <x:v>PLANNING</x:v>
      </x:c>
      <x:c r="D771" t="str">
        <x:v>annual line</x:v>
      </x:c>
      <x:c r="E771" t="str">
        <x:v>annual line 10</x:v>
      </x:c>
      <x:c r="F771" t="n">
        <x:f>Controls!$D$62</x:f>
        <x:v>1</x:v>
      </x:c>
      <x:c r="G771" t="n">
        <x:v>1</x:v>
      </x:c>
      <x:c r="H771" t="str">
        <x:v>RFE design authority</x:v>
      </x:c>
      <x:c r="I771" t="str">
        <x:f>IF(F771=1,"PASS","GAP")</x:f>
        <x:v>PASS</x:v>
      </x:c>
    </x:row>
    <x:row r="772">
      <x:c r="B772" t="str">
        <x:v>PL-0766</x:v>
      </x:c>
      <x:c r="C772" t="str">
        <x:v>PLANNING</x:v>
      </x:c>
      <x:c r="D772" t="str">
        <x:v>authority</x:v>
      </x:c>
      <x:c r="E772" t="str">
        <x:v>authority 1</x:v>
      </x:c>
      <x:c r="F772" t="n">
        <x:f>Controls!$D$62</x:f>
        <x:v>1</x:v>
      </x:c>
      <x:c r="G772" t="n">
        <x:v>1</x:v>
      </x:c>
      <x:c r="H772" t="str">
        <x:v>RFE design authority</x:v>
      </x:c>
      <x:c r="I772" t="str">
        <x:f>IF(F772=1,"PASS","GAP")</x:f>
        <x:v>PASS</x:v>
      </x:c>
    </x:row>
    <x:row r="773">
      <x:c r="B773" t="str">
        <x:v>PL-0767</x:v>
      </x:c>
      <x:c r="C773" t="str">
        <x:v>PLANNING</x:v>
      </x:c>
      <x:c r="D773" t="str">
        <x:v>authority</x:v>
      </x:c>
      <x:c r="E773" t="str">
        <x:v>authority 2</x:v>
      </x:c>
      <x:c r="F773" t="n">
        <x:f>Controls!$D$62</x:f>
        <x:v>1</x:v>
      </x:c>
      <x:c r="G773" t="n">
        <x:v>1</x:v>
      </x:c>
      <x:c r="H773" t="str">
        <x:v>RFE design authority</x:v>
      </x:c>
      <x:c r="I773" t="str">
        <x:f>IF(F773=1,"PASS","GAP")</x:f>
        <x:v>PASS</x:v>
      </x:c>
    </x:row>
    <x:row r="774">
      <x:c r="B774" t="str">
        <x:v>PL-0768</x:v>
      </x:c>
      <x:c r="C774" t="str">
        <x:v>PLANNING</x:v>
      </x:c>
      <x:c r="D774" t="str">
        <x:v>authority</x:v>
      </x:c>
      <x:c r="E774" t="str">
        <x:v>authority 3</x:v>
      </x:c>
      <x:c r="F774" t="n">
        <x:f>Controls!$D$62</x:f>
        <x:v>1</x:v>
      </x:c>
      <x:c r="G774" t="n">
        <x:v>1</x:v>
      </x:c>
      <x:c r="H774" t="str">
        <x:v>RFE design authority</x:v>
      </x:c>
      <x:c r="I774" t="str">
        <x:f>IF(F774=1,"PASS","GAP")</x:f>
        <x:v>PASS</x:v>
      </x:c>
    </x:row>
    <x:row r="775">
      <x:c r="B775" t="str">
        <x:v>PL-0769</x:v>
      </x:c>
      <x:c r="C775" t="str">
        <x:v>PLANNING</x:v>
      </x:c>
      <x:c r="D775" t="str">
        <x:v>authority</x:v>
      </x:c>
      <x:c r="E775" t="str">
        <x:v>authority 4</x:v>
      </x:c>
      <x:c r="F775" t="n">
        <x:f>Controls!$D$62</x:f>
        <x:v>1</x:v>
      </x:c>
      <x:c r="G775" t="n">
        <x:v>1</x:v>
      </x:c>
      <x:c r="H775" t="str">
        <x:v>RFE design authority</x:v>
      </x:c>
      <x:c r="I775" t="str">
        <x:f>IF(F775=1,"PASS","GAP")</x:f>
        <x:v>PASS</x:v>
      </x:c>
    </x:row>
    <x:row r="776">
      <x:c r="B776" t="str">
        <x:v>PL-0770</x:v>
      </x:c>
      <x:c r="C776" t="str">
        <x:v>PLANNING</x:v>
      </x:c>
      <x:c r="D776" t="str">
        <x:v>authority</x:v>
      </x:c>
      <x:c r="E776" t="str">
        <x:v>authority 5</x:v>
      </x:c>
      <x:c r="F776" t="n">
        <x:f>Controls!$D$62</x:f>
        <x:v>1</x:v>
      </x:c>
      <x:c r="G776" t="n">
        <x:v>1</x:v>
      </x:c>
      <x:c r="H776" t="str">
        <x:v>RFE design authority</x:v>
      </x:c>
      <x:c r="I776" t="str">
        <x:f>IF(F776=1,"PASS","GAP")</x:f>
        <x:v>PASS</x:v>
      </x:c>
    </x:row>
    <x:row r="777">
      <x:c r="B777" t="str">
        <x:v>PL-0771</x:v>
      </x:c>
      <x:c r="C777" t="str">
        <x:v>PLANNING</x:v>
      </x:c>
      <x:c r="D777" t="str">
        <x:v>authority</x:v>
      </x:c>
      <x:c r="E777" t="str">
        <x:v>authority 6</x:v>
      </x:c>
      <x:c r="F777" t="n">
        <x:f>Controls!$D$62</x:f>
        <x:v>1</x:v>
      </x:c>
      <x:c r="G777" t="n">
        <x:v>1</x:v>
      </x:c>
      <x:c r="H777" t="str">
        <x:v>RFE design authority</x:v>
      </x:c>
      <x:c r="I777" t="str">
        <x:f>IF(F777=1,"PASS","GAP")</x:f>
        <x:v>PASS</x:v>
      </x:c>
    </x:row>
    <x:row r="778">
      <x:c r="B778" t="str">
        <x:v>PL-0772</x:v>
      </x:c>
      <x:c r="C778" t="str">
        <x:v>PLANNING</x:v>
      </x:c>
      <x:c r="D778" t="str">
        <x:v>authority</x:v>
      </x:c>
      <x:c r="E778" t="str">
        <x:v>authority 7</x:v>
      </x:c>
      <x:c r="F778" t="n">
        <x:f>Controls!$D$62</x:f>
        <x:v>1</x:v>
      </x:c>
      <x:c r="G778" t="n">
        <x:v>1</x:v>
      </x:c>
      <x:c r="H778" t="str">
        <x:v>RFE design authority</x:v>
      </x:c>
      <x:c r="I778" t="str">
        <x:f>IF(F778=1,"PASS","GAP")</x:f>
        <x:v>PASS</x:v>
      </x:c>
    </x:row>
    <x:row r="779">
      <x:c r="B779" t="str">
        <x:v>PL-0773</x:v>
      </x:c>
      <x:c r="C779" t="str">
        <x:v>PLANNING</x:v>
      </x:c>
      <x:c r="D779" t="str">
        <x:v>authority</x:v>
      </x:c>
      <x:c r="E779" t="str">
        <x:v>authority 8</x:v>
      </x:c>
      <x:c r="F779" t="n">
        <x:f>Controls!$D$62</x:f>
        <x:v>1</x:v>
      </x:c>
      <x:c r="G779" t="n">
        <x:v>1</x:v>
      </x:c>
      <x:c r="H779" t="str">
        <x:v>RFE design authority</x:v>
      </x:c>
      <x:c r="I779" t="str">
        <x:f>IF(F779=1,"PASS","GAP")</x:f>
        <x:v>PASS</x:v>
      </x:c>
    </x:row>
    <x:row r="780">
      <x:c r="B780" t="str">
        <x:v>PL-0774</x:v>
      </x:c>
      <x:c r="C780" t="str">
        <x:v>PLANNING</x:v>
      </x:c>
      <x:c r="D780" t="str">
        <x:v>authority</x:v>
      </x:c>
      <x:c r="E780" t="str">
        <x:v>authority 9</x:v>
      </x:c>
      <x:c r="F780" t="n">
        <x:f>Controls!$D$62</x:f>
        <x:v>1</x:v>
      </x:c>
      <x:c r="G780" t="n">
        <x:v>1</x:v>
      </x:c>
      <x:c r="H780" t="str">
        <x:v>RFE design authority</x:v>
      </x:c>
      <x:c r="I780" t="str">
        <x:f>IF(F780=1,"PASS","GAP")</x:f>
        <x:v>PASS</x:v>
      </x:c>
    </x:row>
    <x:row r="781">
      <x:c r="B781" t="str">
        <x:v>PL-0775</x:v>
      </x:c>
      <x:c r="C781" t="str">
        <x:v>PLANNING</x:v>
      </x:c>
      <x:c r="D781" t="str">
        <x:v>authority</x:v>
      </x:c>
      <x:c r="E781" t="str">
        <x:v>authority 10</x:v>
      </x:c>
      <x:c r="F781" t="n">
        <x:f>Controls!$D$62</x:f>
        <x:v>1</x:v>
      </x:c>
      <x:c r="G781" t="n">
        <x:v>1</x:v>
      </x:c>
      <x:c r="H781" t="str">
        <x:v>RFE design authority</x:v>
      </x:c>
      <x:c r="I781" t="str">
        <x:f>IF(F781=1,"PASS","GAP")</x:f>
        <x:v>PASS</x:v>
      </x:c>
    </x:row>
    <x:row r="782">
      <x:c r="B782" t="str">
        <x:v>PH-EX-001</x:v>
      </x:c>
      <x:c r="C782" t="str">
        <x:v>PHYSICAL</x:v>
      </x:c>
      <x:c r="D782" t="str">
        <x:v>event execution</x:v>
      </x:c>
      <x:c r="E782" t="str">
        <x:v>PH-EX-001</x:v>
      </x:c>
      <x:c r="F782" t="n">
        <x:f>IF('Event Register'!R7&lt;&gt;"",1,0)</x:f>
        <x:v>0</x:v>
      </x:c>
      <x:c r="G782" t="n">
        <x:v>1</x:v>
      </x:c>
      <x:c r="H782" t="str">
        <x:v>independent physical acceptance</x:v>
      </x:c>
      <x:c r="I782" t="str">
        <x:f>IF(F782=1,"PASS","OPEN")</x:f>
        <x:v>OPEN</x:v>
      </x:c>
    </x:row>
    <x:row r="783">
      <x:c r="B783" t="str">
        <x:v>PH-EV-001</x:v>
      </x:c>
      <x:c r="C783" t="str">
        <x:v>PHYSICAL</x:v>
      </x:c>
      <x:c r="D783" t="str">
        <x:v>event evidence</x:v>
      </x:c>
      <x:c r="E783" t="str">
        <x:v>PH-EV-001</x:v>
      </x:c>
      <x:c r="F783" t="n">
        <x:f>IF('Event Register'!S7&lt;&gt;"",1,0)</x:f>
        <x:v>0</x:v>
      </x:c>
      <x:c r="G783" t="n">
        <x:v>1</x:v>
      </x:c>
      <x:c r="H783" t="str">
        <x:v>independent physical acceptance</x:v>
      </x:c>
      <x:c r="I783" t="str">
        <x:f>IF(F783=1,"PASS","OPEN")</x:f>
        <x:v>OPEN</x:v>
      </x:c>
    </x:row>
    <x:row r="784">
      <x:c r="B784" t="str">
        <x:v>PH-VA-001</x:v>
      </x:c>
      <x:c r="C784" t="str">
        <x:v>PHYSICAL</x:v>
      </x:c>
      <x:c r="D784" t="str">
        <x:v>event validity</x:v>
      </x:c>
      <x:c r="E784" t="str">
        <x:v>PH-VA-001</x:v>
      </x:c>
      <x:c r="F784" t="n">
        <x:f>IF('Event Register'!T7&lt;&gt;"",1,0)</x:f>
        <x:v>0</x:v>
      </x:c>
      <x:c r="G784" t="n">
        <x:v>1</x:v>
      </x:c>
      <x:c r="H784" t="str">
        <x:v>independent physical acceptance</x:v>
      </x:c>
      <x:c r="I784" t="str">
        <x:f>IF(F784=1,"PASS","OPEN")</x:f>
        <x:v>OPEN</x:v>
      </x:c>
    </x:row>
    <x:row r="785">
      <x:c r="B785" t="str">
        <x:v>PH-OU-001</x:v>
      </x:c>
      <x:c r="C785" t="str">
        <x:v>PHYSICAL</x:v>
      </x:c>
      <x:c r="D785" t="str">
        <x:v>event outcome</x:v>
      </x:c>
      <x:c r="E785" t="str">
        <x:v>PH-OU-001</x:v>
      </x:c>
      <x:c r="F785" t="n">
        <x:f>IF('Event Register'!U7&lt;&gt;"",1,0)</x:f>
        <x:v>0</x:v>
      </x:c>
      <x:c r="G785" t="n">
        <x:v>1</x:v>
      </x:c>
      <x:c r="H785" t="str">
        <x:v>independent physical acceptance</x:v>
      </x:c>
      <x:c r="I785" t="str">
        <x:f>IF(F785=1,"PASS","OPEN")</x:f>
        <x:v>OPEN</x:v>
      </x:c>
    </x:row>
    <x:row r="786">
      <x:c r="B786" t="str">
        <x:v>PH-EX-002</x:v>
      </x:c>
      <x:c r="C786" t="str">
        <x:v>PHYSICAL</x:v>
      </x:c>
      <x:c r="D786" t="str">
        <x:v>event execution</x:v>
      </x:c>
      <x:c r="E786" t="str">
        <x:v>PH-EX-002</x:v>
      </x:c>
      <x:c r="F786" t="n">
        <x:f>IF('Event Register'!R8&lt;&gt;"",1,0)</x:f>
        <x:v>0</x:v>
      </x:c>
      <x:c r="G786" t="n">
        <x:v>1</x:v>
      </x:c>
      <x:c r="H786" t="str">
        <x:v>independent physical acceptance</x:v>
      </x:c>
      <x:c r="I786" t="str">
        <x:f>IF(F786=1,"PASS","OPEN")</x:f>
        <x:v>OPEN</x:v>
      </x:c>
    </x:row>
    <x:row r="787">
      <x:c r="B787" t="str">
        <x:v>PH-EV-002</x:v>
      </x:c>
      <x:c r="C787" t="str">
        <x:v>PHYSICAL</x:v>
      </x:c>
      <x:c r="D787" t="str">
        <x:v>event evidence</x:v>
      </x:c>
      <x:c r="E787" t="str">
        <x:v>PH-EV-002</x:v>
      </x:c>
      <x:c r="F787" t="n">
        <x:f>IF('Event Register'!S8&lt;&gt;"",1,0)</x:f>
        <x:v>0</x:v>
      </x:c>
      <x:c r="G787" t="n">
        <x:v>1</x:v>
      </x:c>
      <x:c r="H787" t="str">
        <x:v>independent physical acceptance</x:v>
      </x:c>
      <x:c r="I787" t="str">
        <x:f>IF(F787=1,"PASS","OPEN")</x:f>
        <x:v>OPEN</x:v>
      </x:c>
    </x:row>
    <x:row r="788">
      <x:c r="B788" t="str">
        <x:v>PH-VA-002</x:v>
      </x:c>
      <x:c r="C788" t="str">
        <x:v>PHYSICAL</x:v>
      </x:c>
      <x:c r="D788" t="str">
        <x:v>event validity</x:v>
      </x:c>
      <x:c r="E788" t="str">
        <x:v>PH-VA-002</x:v>
      </x:c>
      <x:c r="F788" t="n">
        <x:f>IF('Event Register'!T8&lt;&gt;"",1,0)</x:f>
        <x:v>0</x:v>
      </x:c>
      <x:c r="G788" t="n">
        <x:v>1</x:v>
      </x:c>
      <x:c r="H788" t="str">
        <x:v>independent physical acceptance</x:v>
      </x:c>
      <x:c r="I788" t="str">
        <x:f>IF(F788=1,"PASS","OPEN")</x:f>
        <x:v>OPEN</x:v>
      </x:c>
    </x:row>
    <x:row r="789">
      <x:c r="B789" t="str">
        <x:v>PH-OU-002</x:v>
      </x:c>
      <x:c r="C789" t="str">
        <x:v>PHYSICAL</x:v>
      </x:c>
      <x:c r="D789" t="str">
        <x:v>event outcome</x:v>
      </x:c>
      <x:c r="E789" t="str">
        <x:v>PH-OU-002</x:v>
      </x:c>
      <x:c r="F789" t="n">
        <x:f>IF('Event Register'!U8&lt;&gt;"",1,0)</x:f>
        <x:v>0</x:v>
      </x:c>
      <x:c r="G789" t="n">
        <x:v>1</x:v>
      </x:c>
      <x:c r="H789" t="str">
        <x:v>independent physical acceptance</x:v>
      </x:c>
      <x:c r="I789" t="str">
        <x:f>IF(F789=1,"PASS","OPEN")</x:f>
        <x:v>OPEN</x:v>
      </x:c>
    </x:row>
    <x:row r="790">
      <x:c r="B790" t="str">
        <x:v>PH-EX-003</x:v>
      </x:c>
      <x:c r="C790" t="str">
        <x:v>PHYSICAL</x:v>
      </x:c>
      <x:c r="D790" t="str">
        <x:v>event execution</x:v>
      </x:c>
      <x:c r="E790" t="str">
        <x:v>PH-EX-003</x:v>
      </x:c>
      <x:c r="F790" t="n">
        <x:f>IF('Event Register'!R9&lt;&gt;"",1,0)</x:f>
        <x:v>0</x:v>
      </x:c>
      <x:c r="G790" t="n">
        <x:v>1</x:v>
      </x:c>
      <x:c r="H790" t="str">
        <x:v>independent physical acceptance</x:v>
      </x:c>
      <x:c r="I790" t="str">
        <x:f>IF(F790=1,"PASS","OPEN")</x:f>
        <x:v>OPEN</x:v>
      </x:c>
    </x:row>
    <x:row r="791">
      <x:c r="B791" t="str">
        <x:v>PH-EV-003</x:v>
      </x:c>
      <x:c r="C791" t="str">
        <x:v>PHYSICAL</x:v>
      </x:c>
      <x:c r="D791" t="str">
        <x:v>event evidence</x:v>
      </x:c>
      <x:c r="E791" t="str">
        <x:v>PH-EV-003</x:v>
      </x:c>
      <x:c r="F791" t="n">
        <x:f>IF('Event Register'!S9&lt;&gt;"",1,0)</x:f>
        <x:v>0</x:v>
      </x:c>
      <x:c r="G791" t="n">
        <x:v>1</x:v>
      </x:c>
      <x:c r="H791" t="str">
        <x:v>independent physical acceptance</x:v>
      </x:c>
      <x:c r="I791" t="str">
        <x:f>IF(F791=1,"PASS","OPEN")</x:f>
        <x:v>OPEN</x:v>
      </x:c>
    </x:row>
    <x:row r="792">
      <x:c r="B792" t="str">
        <x:v>PH-VA-003</x:v>
      </x:c>
      <x:c r="C792" t="str">
        <x:v>PHYSICAL</x:v>
      </x:c>
      <x:c r="D792" t="str">
        <x:v>event validity</x:v>
      </x:c>
      <x:c r="E792" t="str">
        <x:v>PH-VA-003</x:v>
      </x:c>
      <x:c r="F792" t="n">
        <x:f>IF('Event Register'!T9&lt;&gt;"",1,0)</x:f>
        <x:v>0</x:v>
      </x:c>
      <x:c r="G792" t="n">
        <x:v>1</x:v>
      </x:c>
      <x:c r="H792" t="str">
        <x:v>independent physical acceptance</x:v>
      </x:c>
      <x:c r="I792" t="str">
        <x:f>IF(F792=1,"PASS","OPEN")</x:f>
        <x:v>OPEN</x:v>
      </x:c>
    </x:row>
    <x:row r="793">
      <x:c r="B793" t="str">
        <x:v>PH-OU-003</x:v>
      </x:c>
      <x:c r="C793" t="str">
        <x:v>PHYSICAL</x:v>
      </x:c>
      <x:c r="D793" t="str">
        <x:v>event outcome</x:v>
      </x:c>
      <x:c r="E793" t="str">
        <x:v>PH-OU-003</x:v>
      </x:c>
      <x:c r="F793" t="n">
        <x:f>IF('Event Register'!U9&lt;&gt;"",1,0)</x:f>
        <x:v>0</x:v>
      </x:c>
      <x:c r="G793" t="n">
        <x:v>1</x:v>
      </x:c>
      <x:c r="H793" t="str">
        <x:v>independent physical acceptance</x:v>
      </x:c>
      <x:c r="I793" t="str">
        <x:f>IF(F793=1,"PASS","OPEN")</x:f>
        <x:v>OPEN</x:v>
      </x:c>
    </x:row>
    <x:row r="794">
      <x:c r="B794" t="str">
        <x:v>PH-EX-004</x:v>
      </x:c>
      <x:c r="C794" t="str">
        <x:v>PHYSICAL</x:v>
      </x:c>
      <x:c r="D794" t="str">
        <x:v>event execution</x:v>
      </x:c>
      <x:c r="E794" t="str">
        <x:v>PH-EX-004</x:v>
      </x:c>
      <x:c r="F794" t="n">
        <x:f>IF('Event Register'!R10&lt;&gt;"",1,0)</x:f>
        <x:v>0</x:v>
      </x:c>
      <x:c r="G794" t="n">
        <x:v>1</x:v>
      </x:c>
      <x:c r="H794" t="str">
        <x:v>independent physical acceptance</x:v>
      </x:c>
      <x:c r="I794" t="str">
        <x:f>IF(F794=1,"PASS","OPEN")</x:f>
        <x:v>OPEN</x:v>
      </x:c>
    </x:row>
    <x:row r="795">
      <x:c r="B795" t="str">
        <x:v>PH-EV-004</x:v>
      </x:c>
      <x:c r="C795" t="str">
        <x:v>PHYSICAL</x:v>
      </x:c>
      <x:c r="D795" t="str">
        <x:v>event evidence</x:v>
      </x:c>
      <x:c r="E795" t="str">
        <x:v>PH-EV-004</x:v>
      </x:c>
      <x:c r="F795" t="n">
        <x:f>IF('Event Register'!S10&lt;&gt;"",1,0)</x:f>
        <x:v>0</x:v>
      </x:c>
      <x:c r="G795" t="n">
        <x:v>1</x:v>
      </x:c>
      <x:c r="H795" t="str">
        <x:v>independent physical acceptance</x:v>
      </x:c>
      <x:c r="I795" t="str">
        <x:f>IF(F795=1,"PASS","OPEN")</x:f>
        <x:v>OPEN</x:v>
      </x:c>
    </x:row>
    <x:row r="796">
      <x:c r="B796" t="str">
        <x:v>PH-VA-004</x:v>
      </x:c>
      <x:c r="C796" t="str">
        <x:v>PHYSICAL</x:v>
      </x:c>
      <x:c r="D796" t="str">
        <x:v>event validity</x:v>
      </x:c>
      <x:c r="E796" t="str">
        <x:v>PH-VA-004</x:v>
      </x:c>
      <x:c r="F796" t="n">
        <x:f>IF('Event Register'!T10&lt;&gt;"",1,0)</x:f>
        <x:v>0</x:v>
      </x:c>
      <x:c r="G796" t="n">
        <x:v>1</x:v>
      </x:c>
      <x:c r="H796" t="str">
        <x:v>independent physical acceptance</x:v>
      </x:c>
      <x:c r="I796" t="str">
        <x:f>IF(F796=1,"PASS","OPEN")</x:f>
        <x:v>OPEN</x:v>
      </x:c>
    </x:row>
    <x:row r="797">
      <x:c r="B797" t="str">
        <x:v>PH-OU-004</x:v>
      </x:c>
      <x:c r="C797" t="str">
        <x:v>PHYSICAL</x:v>
      </x:c>
      <x:c r="D797" t="str">
        <x:v>event outcome</x:v>
      </x:c>
      <x:c r="E797" t="str">
        <x:v>PH-OU-004</x:v>
      </x:c>
      <x:c r="F797" t="n">
        <x:f>IF('Event Register'!U10&lt;&gt;"",1,0)</x:f>
        <x:v>0</x:v>
      </x:c>
      <x:c r="G797" t="n">
        <x:v>1</x:v>
      </x:c>
      <x:c r="H797" t="str">
        <x:v>independent physical acceptance</x:v>
      </x:c>
      <x:c r="I797" t="str">
        <x:f>IF(F797=1,"PASS","OPEN")</x:f>
        <x:v>OPEN</x:v>
      </x:c>
    </x:row>
    <x:row r="798">
      <x:c r="B798" t="str">
        <x:v>PH-EX-005</x:v>
      </x:c>
      <x:c r="C798" t="str">
        <x:v>PHYSICAL</x:v>
      </x:c>
      <x:c r="D798" t="str">
        <x:v>event execution</x:v>
      </x:c>
      <x:c r="E798" t="str">
        <x:v>PH-EX-005</x:v>
      </x:c>
      <x:c r="F798" t="n">
        <x:f>IF('Event Register'!R11&lt;&gt;"",1,0)</x:f>
        <x:v>0</x:v>
      </x:c>
      <x:c r="G798" t="n">
        <x:v>1</x:v>
      </x:c>
      <x:c r="H798" t="str">
        <x:v>independent physical acceptance</x:v>
      </x:c>
      <x:c r="I798" t="str">
        <x:f>IF(F798=1,"PASS","OPEN")</x:f>
        <x:v>OPEN</x:v>
      </x:c>
    </x:row>
    <x:row r="799">
      <x:c r="B799" t="str">
        <x:v>PH-EV-005</x:v>
      </x:c>
      <x:c r="C799" t="str">
        <x:v>PHYSICAL</x:v>
      </x:c>
      <x:c r="D799" t="str">
        <x:v>event evidence</x:v>
      </x:c>
      <x:c r="E799" t="str">
        <x:v>PH-EV-005</x:v>
      </x:c>
      <x:c r="F799" t="n">
        <x:f>IF('Event Register'!S11&lt;&gt;"",1,0)</x:f>
        <x:v>0</x:v>
      </x:c>
      <x:c r="G799" t="n">
        <x:v>1</x:v>
      </x:c>
      <x:c r="H799" t="str">
        <x:v>independent physical acceptance</x:v>
      </x:c>
      <x:c r="I799" t="str">
        <x:f>IF(F799=1,"PASS","OPEN")</x:f>
        <x:v>OPEN</x:v>
      </x:c>
    </x:row>
    <x:row r="800">
      <x:c r="B800" t="str">
        <x:v>PH-VA-005</x:v>
      </x:c>
      <x:c r="C800" t="str">
        <x:v>PHYSICAL</x:v>
      </x:c>
      <x:c r="D800" t="str">
        <x:v>event validity</x:v>
      </x:c>
      <x:c r="E800" t="str">
        <x:v>PH-VA-005</x:v>
      </x:c>
      <x:c r="F800" t="n">
        <x:f>IF('Event Register'!T11&lt;&gt;"",1,0)</x:f>
        <x:v>0</x:v>
      </x:c>
      <x:c r="G800" t="n">
        <x:v>1</x:v>
      </x:c>
      <x:c r="H800" t="str">
        <x:v>independent physical acceptance</x:v>
      </x:c>
      <x:c r="I800" t="str">
        <x:f>IF(F800=1,"PASS","OPEN")</x:f>
        <x:v>OPEN</x:v>
      </x:c>
    </x:row>
    <x:row r="801">
      <x:c r="B801" t="str">
        <x:v>PH-OU-005</x:v>
      </x:c>
      <x:c r="C801" t="str">
        <x:v>PHYSICAL</x:v>
      </x:c>
      <x:c r="D801" t="str">
        <x:v>event outcome</x:v>
      </x:c>
      <x:c r="E801" t="str">
        <x:v>PH-OU-005</x:v>
      </x:c>
      <x:c r="F801" t="n">
        <x:f>IF('Event Register'!U11&lt;&gt;"",1,0)</x:f>
        <x:v>0</x:v>
      </x:c>
      <x:c r="G801" t="n">
        <x:v>1</x:v>
      </x:c>
      <x:c r="H801" t="str">
        <x:v>independent physical acceptance</x:v>
      </x:c>
      <x:c r="I801" t="str">
        <x:f>IF(F801=1,"PASS","OPEN")</x:f>
        <x:v>OPEN</x:v>
      </x:c>
    </x:row>
    <x:row r="802">
      <x:c r="B802" t="str">
        <x:v>PH-EX-006</x:v>
      </x:c>
      <x:c r="C802" t="str">
        <x:v>PHYSICAL</x:v>
      </x:c>
      <x:c r="D802" t="str">
        <x:v>event execution</x:v>
      </x:c>
      <x:c r="E802" t="str">
        <x:v>PH-EX-006</x:v>
      </x:c>
      <x:c r="F802" t="n">
        <x:f>IF('Event Register'!R12&lt;&gt;"",1,0)</x:f>
        <x:v>0</x:v>
      </x:c>
      <x:c r="G802" t="n">
        <x:v>1</x:v>
      </x:c>
      <x:c r="H802" t="str">
        <x:v>independent physical acceptance</x:v>
      </x:c>
      <x:c r="I802" t="str">
        <x:f>IF(F802=1,"PASS","OPEN")</x:f>
        <x:v>OPEN</x:v>
      </x:c>
    </x:row>
    <x:row r="803">
      <x:c r="B803" t="str">
        <x:v>PH-EV-006</x:v>
      </x:c>
      <x:c r="C803" t="str">
        <x:v>PHYSICAL</x:v>
      </x:c>
      <x:c r="D803" t="str">
        <x:v>event evidence</x:v>
      </x:c>
      <x:c r="E803" t="str">
        <x:v>PH-EV-006</x:v>
      </x:c>
      <x:c r="F803" t="n">
        <x:f>IF('Event Register'!S12&lt;&gt;"",1,0)</x:f>
        <x:v>0</x:v>
      </x:c>
      <x:c r="G803" t="n">
        <x:v>1</x:v>
      </x:c>
      <x:c r="H803" t="str">
        <x:v>independent physical acceptance</x:v>
      </x:c>
      <x:c r="I803" t="str">
        <x:f>IF(F803=1,"PASS","OPEN")</x:f>
        <x:v>OPEN</x:v>
      </x:c>
    </x:row>
    <x:row r="804">
      <x:c r="B804" t="str">
        <x:v>PH-VA-006</x:v>
      </x:c>
      <x:c r="C804" t="str">
        <x:v>PHYSICAL</x:v>
      </x:c>
      <x:c r="D804" t="str">
        <x:v>event validity</x:v>
      </x:c>
      <x:c r="E804" t="str">
        <x:v>PH-VA-006</x:v>
      </x:c>
      <x:c r="F804" t="n">
        <x:f>IF('Event Register'!T12&lt;&gt;"",1,0)</x:f>
        <x:v>0</x:v>
      </x:c>
      <x:c r="G804" t="n">
        <x:v>1</x:v>
      </x:c>
      <x:c r="H804" t="str">
        <x:v>independent physical acceptance</x:v>
      </x:c>
      <x:c r="I804" t="str">
        <x:f>IF(F804=1,"PASS","OPEN")</x:f>
        <x:v>OPEN</x:v>
      </x:c>
    </x:row>
    <x:row r="805">
      <x:c r="B805" t="str">
        <x:v>PH-OU-006</x:v>
      </x:c>
      <x:c r="C805" t="str">
        <x:v>PHYSICAL</x:v>
      </x:c>
      <x:c r="D805" t="str">
        <x:v>event outcome</x:v>
      </x:c>
      <x:c r="E805" t="str">
        <x:v>PH-OU-006</x:v>
      </x:c>
      <x:c r="F805" t="n">
        <x:f>IF('Event Register'!U12&lt;&gt;"",1,0)</x:f>
        <x:v>0</x:v>
      </x:c>
      <x:c r="G805" t="n">
        <x:v>1</x:v>
      </x:c>
      <x:c r="H805" t="str">
        <x:v>independent physical acceptance</x:v>
      </x:c>
      <x:c r="I805" t="str">
        <x:f>IF(F805=1,"PASS","OPEN")</x:f>
        <x:v>OPEN</x:v>
      </x:c>
    </x:row>
    <x:row r="806">
      <x:c r="B806" t="str">
        <x:v>PH-EX-007</x:v>
      </x:c>
      <x:c r="C806" t="str">
        <x:v>PHYSICAL</x:v>
      </x:c>
      <x:c r="D806" t="str">
        <x:v>event execution</x:v>
      </x:c>
      <x:c r="E806" t="str">
        <x:v>PH-EX-007</x:v>
      </x:c>
      <x:c r="F806" t="n">
        <x:f>IF('Event Register'!R13&lt;&gt;"",1,0)</x:f>
        <x:v>0</x:v>
      </x:c>
      <x:c r="G806" t="n">
        <x:v>1</x:v>
      </x:c>
      <x:c r="H806" t="str">
        <x:v>independent physical acceptance</x:v>
      </x:c>
      <x:c r="I806" t="str">
        <x:f>IF(F806=1,"PASS","OPEN")</x:f>
        <x:v>OPEN</x:v>
      </x:c>
    </x:row>
    <x:row r="807">
      <x:c r="B807" t="str">
        <x:v>PH-EV-007</x:v>
      </x:c>
      <x:c r="C807" t="str">
        <x:v>PHYSICAL</x:v>
      </x:c>
      <x:c r="D807" t="str">
        <x:v>event evidence</x:v>
      </x:c>
      <x:c r="E807" t="str">
        <x:v>PH-EV-007</x:v>
      </x:c>
      <x:c r="F807" t="n">
        <x:f>IF('Event Register'!S13&lt;&gt;"",1,0)</x:f>
        <x:v>0</x:v>
      </x:c>
      <x:c r="G807" t="n">
        <x:v>1</x:v>
      </x:c>
      <x:c r="H807" t="str">
        <x:v>independent physical acceptance</x:v>
      </x:c>
      <x:c r="I807" t="str">
        <x:f>IF(F807=1,"PASS","OPEN")</x:f>
        <x:v>OPEN</x:v>
      </x:c>
    </x:row>
    <x:row r="808">
      <x:c r="B808" t="str">
        <x:v>PH-VA-007</x:v>
      </x:c>
      <x:c r="C808" t="str">
        <x:v>PHYSICAL</x:v>
      </x:c>
      <x:c r="D808" t="str">
        <x:v>event validity</x:v>
      </x:c>
      <x:c r="E808" t="str">
        <x:v>PH-VA-007</x:v>
      </x:c>
      <x:c r="F808" t="n">
        <x:f>IF('Event Register'!T13&lt;&gt;"",1,0)</x:f>
        <x:v>0</x:v>
      </x:c>
      <x:c r="G808" t="n">
        <x:v>1</x:v>
      </x:c>
      <x:c r="H808" t="str">
        <x:v>independent physical acceptance</x:v>
      </x:c>
      <x:c r="I808" t="str">
        <x:f>IF(F808=1,"PASS","OPEN")</x:f>
        <x:v>OPEN</x:v>
      </x:c>
    </x:row>
    <x:row r="809">
      <x:c r="B809" t="str">
        <x:v>PH-OU-007</x:v>
      </x:c>
      <x:c r="C809" t="str">
        <x:v>PHYSICAL</x:v>
      </x:c>
      <x:c r="D809" t="str">
        <x:v>event outcome</x:v>
      </x:c>
      <x:c r="E809" t="str">
        <x:v>PH-OU-007</x:v>
      </x:c>
      <x:c r="F809" t="n">
        <x:f>IF('Event Register'!U13&lt;&gt;"",1,0)</x:f>
        <x:v>0</x:v>
      </x:c>
      <x:c r="G809" t="n">
        <x:v>1</x:v>
      </x:c>
      <x:c r="H809" t="str">
        <x:v>independent physical acceptance</x:v>
      </x:c>
      <x:c r="I809" t="str">
        <x:f>IF(F809=1,"PASS","OPEN")</x:f>
        <x:v>OPEN</x:v>
      </x:c>
    </x:row>
    <x:row r="810">
      <x:c r="B810" t="str">
        <x:v>PH-EX-008</x:v>
      </x:c>
      <x:c r="C810" t="str">
        <x:v>PHYSICAL</x:v>
      </x:c>
      <x:c r="D810" t="str">
        <x:v>event execution</x:v>
      </x:c>
      <x:c r="E810" t="str">
        <x:v>PH-EX-008</x:v>
      </x:c>
      <x:c r="F810" t="n">
        <x:f>IF('Event Register'!R14&lt;&gt;"",1,0)</x:f>
        <x:v>0</x:v>
      </x:c>
      <x:c r="G810" t="n">
        <x:v>1</x:v>
      </x:c>
      <x:c r="H810" t="str">
        <x:v>independent physical acceptance</x:v>
      </x:c>
      <x:c r="I810" t="str">
        <x:f>IF(F810=1,"PASS","OPEN")</x:f>
        <x:v>OPEN</x:v>
      </x:c>
    </x:row>
    <x:row r="811">
      <x:c r="B811" t="str">
        <x:v>PH-EV-008</x:v>
      </x:c>
      <x:c r="C811" t="str">
        <x:v>PHYSICAL</x:v>
      </x:c>
      <x:c r="D811" t="str">
        <x:v>event evidence</x:v>
      </x:c>
      <x:c r="E811" t="str">
        <x:v>PH-EV-008</x:v>
      </x:c>
      <x:c r="F811" t="n">
        <x:f>IF('Event Register'!S14&lt;&gt;"",1,0)</x:f>
        <x:v>0</x:v>
      </x:c>
      <x:c r="G811" t="n">
        <x:v>1</x:v>
      </x:c>
      <x:c r="H811" t="str">
        <x:v>independent physical acceptance</x:v>
      </x:c>
      <x:c r="I811" t="str">
        <x:f>IF(F811=1,"PASS","OPEN")</x:f>
        <x:v>OPEN</x:v>
      </x:c>
    </x:row>
    <x:row r="812">
      <x:c r="B812" t="str">
        <x:v>PH-VA-008</x:v>
      </x:c>
      <x:c r="C812" t="str">
        <x:v>PHYSICAL</x:v>
      </x:c>
      <x:c r="D812" t="str">
        <x:v>event validity</x:v>
      </x:c>
      <x:c r="E812" t="str">
        <x:v>PH-VA-008</x:v>
      </x:c>
      <x:c r="F812" t="n">
        <x:f>IF('Event Register'!T14&lt;&gt;"",1,0)</x:f>
        <x:v>0</x:v>
      </x:c>
      <x:c r="G812" t="n">
        <x:v>1</x:v>
      </x:c>
      <x:c r="H812" t="str">
        <x:v>independent physical acceptance</x:v>
      </x:c>
      <x:c r="I812" t="str">
        <x:f>IF(F812=1,"PASS","OPEN")</x:f>
        <x:v>OPEN</x:v>
      </x:c>
    </x:row>
    <x:row r="813">
      <x:c r="B813" t="str">
        <x:v>PH-OU-008</x:v>
      </x:c>
      <x:c r="C813" t="str">
        <x:v>PHYSICAL</x:v>
      </x:c>
      <x:c r="D813" t="str">
        <x:v>event outcome</x:v>
      </x:c>
      <x:c r="E813" t="str">
        <x:v>PH-OU-008</x:v>
      </x:c>
      <x:c r="F813" t="n">
        <x:f>IF('Event Register'!U14&lt;&gt;"",1,0)</x:f>
        <x:v>0</x:v>
      </x:c>
      <x:c r="G813" t="n">
        <x:v>1</x:v>
      </x:c>
      <x:c r="H813" t="str">
        <x:v>independent physical acceptance</x:v>
      </x:c>
      <x:c r="I813" t="str">
        <x:f>IF(F813=1,"PASS","OPEN")</x:f>
        <x:v>OPEN</x:v>
      </x:c>
    </x:row>
    <x:row r="814">
      <x:c r="B814" t="str">
        <x:v>PH-EX-009</x:v>
      </x:c>
      <x:c r="C814" t="str">
        <x:v>PHYSICAL</x:v>
      </x:c>
      <x:c r="D814" t="str">
        <x:v>event execution</x:v>
      </x:c>
      <x:c r="E814" t="str">
        <x:v>PH-EX-009</x:v>
      </x:c>
      <x:c r="F814" t="n">
        <x:f>IF('Event Register'!R15&lt;&gt;"",1,0)</x:f>
        <x:v>0</x:v>
      </x:c>
      <x:c r="G814" t="n">
        <x:v>1</x:v>
      </x:c>
      <x:c r="H814" t="str">
        <x:v>independent physical acceptance</x:v>
      </x:c>
      <x:c r="I814" t="str">
        <x:f>IF(F814=1,"PASS","OPEN")</x:f>
        <x:v>OPEN</x:v>
      </x:c>
    </x:row>
    <x:row r="815">
      <x:c r="B815" t="str">
        <x:v>PH-EV-009</x:v>
      </x:c>
      <x:c r="C815" t="str">
        <x:v>PHYSICAL</x:v>
      </x:c>
      <x:c r="D815" t="str">
        <x:v>event evidence</x:v>
      </x:c>
      <x:c r="E815" t="str">
        <x:v>PH-EV-009</x:v>
      </x:c>
      <x:c r="F815" t="n">
        <x:f>IF('Event Register'!S15&lt;&gt;"",1,0)</x:f>
        <x:v>0</x:v>
      </x:c>
      <x:c r="G815" t="n">
        <x:v>1</x:v>
      </x:c>
      <x:c r="H815" t="str">
        <x:v>independent physical acceptance</x:v>
      </x:c>
      <x:c r="I815" t="str">
        <x:f>IF(F815=1,"PASS","OPEN")</x:f>
        <x:v>OPEN</x:v>
      </x:c>
    </x:row>
    <x:row r="816">
      <x:c r="B816" t="str">
        <x:v>PH-VA-009</x:v>
      </x:c>
      <x:c r="C816" t="str">
        <x:v>PHYSICAL</x:v>
      </x:c>
      <x:c r="D816" t="str">
        <x:v>event validity</x:v>
      </x:c>
      <x:c r="E816" t="str">
        <x:v>PH-VA-009</x:v>
      </x:c>
      <x:c r="F816" t="n">
        <x:f>IF('Event Register'!T15&lt;&gt;"",1,0)</x:f>
        <x:v>0</x:v>
      </x:c>
      <x:c r="G816" t="n">
        <x:v>1</x:v>
      </x:c>
      <x:c r="H816" t="str">
        <x:v>independent physical acceptance</x:v>
      </x:c>
      <x:c r="I816" t="str">
        <x:f>IF(F816=1,"PASS","OPEN")</x:f>
        <x:v>OPEN</x:v>
      </x:c>
    </x:row>
    <x:row r="817">
      <x:c r="B817" t="str">
        <x:v>PH-OU-009</x:v>
      </x:c>
      <x:c r="C817" t="str">
        <x:v>PHYSICAL</x:v>
      </x:c>
      <x:c r="D817" t="str">
        <x:v>event outcome</x:v>
      </x:c>
      <x:c r="E817" t="str">
        <x:v>PH-OU-009</x:v>
      </x:c>
      <x:c r="F817" t="n">
        <x:f>IF('Event Register'!U15&lt;&gt;"",1,0)</x:f>
        <x:v>0</x:v>
      </x:c>
      <x:c r="G817" t="n">
        <x:v>1</x:v>
      </x:c>
      <x:c r="H817" t="str">
        <x:v>independent physical acceptance</x:v>
      </x:c>
      <x:c r="I817" t="str">
        <x:f>IF(F817=1,"PASS","OPEN")</x:f>
        <x:v>OPEN</x:v>
      </x:c>
    </x:row>
    <x:row r="818">
      <x:c r="B818" t="str">
        <x:v>PH-EX-010</x:v>
      </x:c>
      <x:c r="C818" t="str">
        <x:v>PHYSICAL</x:v>
      </x:c>
      <x:c r="D818" t="str">
        <x:v>event execution</x:v>
      </x:c>
      <x:c r="E818" t="str">
        <x:v>PH-EX-010</x:v>
      </x:c>
      <x:c r="F818" t="n">
        <x:f>IF('Event Register'!R16&lt;&gt;"",1,0)</x:f>
        <x:v>0</x:v>
      </x:c>
      <x:c r="G818" t="n">
        <x:v>1</x:v>
      </x:c>
      <x:c r="H818" t="str">
        <x:v>independent physical acceptance</x:v>
      </x:c>
      <x:c r="I818" t="str">
        <x:f>IF(F818=1,"PASS","OPEN")</x:f>
        <x:v>OPEN</x:v>
      </x:c>
    </x:row>
    <x:row r="819">
      <x:c r="B819" t="str">
        <x:v>PH-EV-010</x:v>
      </x:c>
      <x:c r="C819" t="str">
        <x:v>PHYSICAL</x:v>
      </x:c>
      <x:c r="D819" t="str">
        <x:v>event evidence</x:v>
      </x:c>
      <x:c r="E819" t="str">
        <x:v>PH-EV-010</x:v>
      </x:c>
      <x:c r="F819" t="n">
        <x:f>IF('Event Register'!S16&lt;&gt;"",1,0)</x:f>
        <x:v>0</x:v>
      </x:c>
      <x:c r="G819" t="n">
        <x:v>1</x:v>
      </x:c>
      <x:c r="H819" t="str">
        <x:v>independent physical acceptance</x:v>
      </x:c>
      <x:c r="I819" t="str">
        <x:f>IF(F819=1,"PASS","OPEN")</x:f>
        <x:v>OPEN</x:v>
      </x:c>
    </x:row>
    <x:row r="820">
      <x:c r="B820" t="str">
        <x:v>PH-VA-010</x:v>
      </x:c>
      <x:c r="C820" t="str">
        <x:v>PHYSICAL</x:v>
      </x:c>
      <x:c r="D820" t="str">
        <x:v>event validity</x:v>
      </x:c>
      <x:c r="E820" t="str">
        <x:v>PH-VA-010</x:v>
      </x:c>
      <x:c r="F820" t="n">
        <x:f>IF('Event Register'!T16&lt;&gt;"",1,0)</x:f>
        <x:v>0</x:v>
      </x:c>
      <x:c r="G820" t="n">
        <x:v>1</x:v>
      </x:c>
      <x:c r="H820" t="str">
        <x:v>independent physical acceptance</x:v>
      </x:c>
      <x:c r="I820" t="str">
        <x:f>IF(F820=1,"PASS","OPEN")</x:f>
        <x:v>OPEN</x:v>
      </x:c>
    </x:row>
    <x:row r="821">
      <x:c r="B821" t="str">
        <x:v>PH-OU-010</x:v>
      </x:c>
      <x:c r="C821" t="str">
        <x:v>PHYSICAL</x:v>
      </x:c>
      <x:c r="D821" t="str">
        <x:v>event outcome</x:v>
      </x:c>
      <x:c r="E821" t="str">
        <x:v>PH-OU-010</x:v>
      </x:c>
      <x:c r="F821" t="n">
        <x:f>IF('Event Register'!U16&lt;&gt;"",1,0)</x:f>
        <x:v>0</x:v>
      </x:c>
      <x:c r="G821" t="n">
        <x:v>1</x:v>
      </x:c>
      <x:c r="H821" t="str">
        <x:v>independent physical acceptance</x:v>
      </x:c>
      <x:c r="I821" t="str">
        <x:f>IF(F821=1,"PASS","OPEN")</x:f>
        <x:v>OPEN</x:v>
      </x:c>
    </x:row>
    <x:row r="822">
      <x:c r="B822" t="str">
        <x:v>PH-EX-011</x:v>
      </x:c>
      <x:c r="C822" t="str">
        <x:v>PHYSICAL</x:v>
      </x:c>
      <x:c r="D822" t="str">
        <x:v>event execution</x:v>
      </x:c>
      <x:c r="E822" t="str">
        <x:v>PH-EX-011</x:v>
      </x:c>
      <x:c r="F822" t="n">
        <x:f>IF('Event Register'!R17&lt;&gt;"",1,0)</x:f>
        <x:v>0</x:v>
      </x:c>
      <x:c r="G822" t="n">
        <x:v>1</x:v>
      </x:c>
      <x:c r="H822" t="str">
        <x:v>independent physical acceptance</x:v>
      </x:c>
      <x:c r="I822" t="str">
        <x:f>IF(F822=1,"PASS","OPEN")</x:f>
        <x:v>OPEN</x:v>
      </x:c>
    </x:row>
    <x:row r="823">
      <x:c r="B823" t="str">
        <x:v>PH-EV-011</x:v>
      </x:c>
      <x:c r="C823" t="str">
        <x:v>PHYSICAL</x:v>
      </x:c>
      <x:c r="D823" t="str">
        <x:v>event evidence</x:v>
      </x:c>
      <x:c r="E823" t="str">
        <x:v>PH-EV-011</x:v>
      </x:c>
      <x:c r="F823" t="n">
        <x:f>IF('Event Register'!S17&lt;&gt;"",1,0)</x:f>
        <x:v>0</x:v>
      </x:c>
      <x:c r="G823" t="n">
        <x:v>1</x:v>
      </x:c>
      <x:c r="H823" t="str">
        <x:v>independent physical acceptance</x:v>
      </x:c>
      <x:c r="I823" t="str">
        <x:f>IF(F823=1,"PASS","OPEN")</x:f>
        <x:v>OPEN</x:v>
      </x:c>
    </x:row>
    <x:row r="824">
      <x:c r="B824" t="str">
        <x:v>PH-VA-011</x:v>
      </x:c>
      <x:c r="C824" t="str">
        <x:v>PHYSICAL</x:v>
      </x:c>
      <x:c r="D824" t="str">
        <x:v>event validity</x:v>
      </x:c>
      <x:c r="E824" t="str">
        <x:v>PH-VA-011</x:v>
      </x:c>
      <x:c r="F824" t="n">
        <x:f>IF('Event Register'!T17&lt;&gt;"",1,0)</x:f>
        <x:v>0</x:v>
      </x:c>
      <x:c r="G824" t="n">
        <x:v>1</x:v>
      </x:c>
      <x:c r="H824" t="str">
        <x:v>independent physical acceptance</x:v>
      </x:c>
      <x:c r="I824" t="str">
        <x:f>IF(F824=1,"PASS","OPEN")</x:f>
        <x:v>OPEN</x:v>
      </x:c>
    </x:row>
    <x:row r="825">
      <x:c r="B825" t="str">
        <x:v>PH-OU-011</x:v>
      </x:c>
      <x:c r="C825" t="str">
        <x:v>PHYSICAL</x:v>
      </x:c>
      <x:c r="D825" t="str">
        <x:v>event outcome</x:v>
      </x:c>
      <x:c r="E825" t="str">
        <x:v>PH-OU-011</x:v>
      </x:c>
      <x:c r="F825" t="n">
        <x:f>IF('Event Register'!U17&lt;&gt;"",1,0)</x:f>
        <x:v>0</x:v>
      </x:c>
      <x:c r="G825" t="n">
        <x:v>1</x:v>
      </x:c>
      <x:c r="H825" t="str">
        <x:v>independent physical acceptance</x:v>
      </x:c>
      <x:c r="I825" t="str">
        <x:f>IF(F825=1,"PASS","OPEN")</x:f>
        <x:v>OPEN</x:v>
      </x:c>
    </x:row>
    <x:row r="826">
      <x:c r="B826" t="str">
        <x:v>PH-EX-012</x:v>
      </x:c>
      <x:c r="C826" t="str">
        <x:v>PHYSICAL</x:v>
      </x:c>
      <x:c r="D826" t="str">
        <x:v>event execution</x:v>
      </x:c>
      <x:c r="E826" t="str">
        <x:v>PH-EX-012</x:v>
      </x:c>
      <x:c r="F826" t="n">
        <x:f>IF('Event Register'!R18&lt;&gt;"",1,0)</x:f>
        <x:v>0</x:v>
      </x:c>
      <x:c r="G826" t="n">
        <x:v>1</x:v>
      </x:c>
      <x:c r="H826" t="str">
        <x:v>independent physical acceptance</x:v>
      </x:c>
      <x:c r="I826" t="str">
        <x:f>IF(F826=1,"PASS","OPEN")</x:f>
        <x:v>OPEN</x:v>
      </x:c>
    </x:row>
    <x:row r="827">
      <x:c r="B827" t="str">
        <x:v>PH-EV-012</x:v>
      </x:c>
      <x:c r="C827" t="str">
        <x:v>PHYSICAL</x:v>
      </x:c>
      <x:c r="D827" t="str">
        <x:v>event evidence</x:v>
      </x:c>
      <x:c r="E827" t="str">
        <x:v>PH-EV-012</x:v>
      </x:c>
      <x:c r="F827" t="n">
        <x:f>IF('Event Register'!S18&lt;&gt;"",1,0)</x:f>
        <x:v>0</x:v>
      </x:c>
      <x:c r="G827" t="n">
        <x:v>1</x:v>
      </x:c>
      <x:c r="H827" t="str">
        <x:v>independent physical acceptance</x:v>
      </x:c>
      <x:c r="I827" t="str">
        <x:f>IF(F827=1,"PASS","OPEN")</x:f>
        <x:v>OPEN</x:v>
      </x:c>
    </x:row>
    <x:row r="828">
      <x:c r="B828" t="str">
        <x:v>PH-VA-012</x:v>
      </x:c>
      <x:c r="C828" t="str">
        <x:v>PHYSICAL</x:v>
      </x:c>
      <x:c r="D828" t="str">
        <x:v>event validity</x:v>
      </x:c>
      <x:c r="E828" t="str">
        <x:v>PH-VA-012</x:v>
      </x:c>
      <x:c r="F828" t="n">
        <x:f>IF('Event Register'!T18&lt;&gt;"",1,0)</x:f>
        <x:v>0</x:v>
      </x:c>
      <x:c r="G828" t="n">
        <x:v>1</x:v>
      </x:c>
      <x:c r="H828" t="str">
        <x:v>independent physical acceptance</x:v>
      </x:c>
      <x:c r="I828" t="str">
        <x:f>IF(F828=1,"PASS","OPEN")</x:f>
        <x:v>OPEN</x:v>
      </x:c>
    </x:row>
    <x:row r="829">
      <x:c r="B829" t="str">
        <x:v>PH-OU-012</x:v>
      </x:c>
      <x:c r="C829" t="str">
        <x:v>PHYSICAL</x:v>
      </x:c>
      <x:c r="D829" t="str">
        <x:v>event outcome</x:v>
      </x:c>
      <x:c r="E829" t="str">
        <x:v>PH-OU-012</x:v>
      </x:c>
      <x:c r="F829" t="n">
        <x:f>IF('Event Register'!U18&lt;&gt;"",1,0)</x:f>
        <x:v>0</x:v>
      </x:c>
      <x:c r="G829" t="n">
        <x:v>1</x:v>
      </x:c>
      <x:c r="H829" t="str">
        <x:v>independent physical acceptance</x:v>
      </x:c>
      <x:c r="I829" t="str">
        <x:f>IF(F829=1,"PASS","OPEN")</x:f>
        <x:v>OPEN</x:v>
      </x:c>
    </x:row>
    <x:row r="830">
      <x:c r="B830" t="str">
        <x:v>PH-EX-013</x:v>
      </x:c>
      <x:c r="C830" t="str">
        <x:v>PHYSICAL</x:v>
      </x:c>
      <x:c r="D830" t="str">
        <x:v>event execution</x:v>
      </x:c>
      <x:c r="E830" t="str">
        <x:v>PH-EX-013</x:v>
      </x:c>
      <x:c r="F830" t="n">
        <x:f>IF('Event Register'!R19&lt;&gt;"",1,0)</x:f>
        <x:v>0</x:v>
      </x:c>
      <x:c r="G830" t="n">
        <x:v>1</x:v>
      </x:c>
      <x:c r="H830" t="str">
        <x:v>independent physical acceptance</x:v>
      </x:c>
      <x:c r="I830" t="str">
        <x:f>IF(F830=1,"PASS","OPEN")</x:f>
        <x:v>OPEN</x:v>
      </x:c>
    </x:row>
    <x:row r="831">
      <x:c r="B831" t="str">
        <x:v>PH-EV-013</x:v>
      </x:c>
      <x:c r="C831" t="str">
        <x:v>PHYSICAL</x:v>
      </x:c>
      <x:c r="D831" t="str">
        <x:v>event evidence</x:v>
      </x:c>
      <x:c r="E831" t="str">
        <x:v>PH-EV-013</x:v>
      </x:c>
      <x:c r="F831" t="n">
        <x:f>IF('Event Register'!S19&lt;&gt;"",1,0)</x:f>
        <x:v>0</x:v>
      </x:c>
      <x:c r="G831" t="n">
        <x:v>1</x:v>
      </x:c>
      <x:c r="H831" t="str">
        <x:v>independent physical acceptance</x:v>
      </x:c>
      <x:c r="I831" t="str">
        <x:f>IF(F831=1,"PASS","OPEN")</x:f>
        <x:v>OPEN</x:v>
      </x:c>
    </x:row>
    <x:row r="832">
      <x:c r="B832" t="str">
        <x:v>PH-VA-013</x:v>
      </x:c>
      <x:c r="C832" t="str">
        <x:v>PHYSICAL</x:v>
      </x:c>
      <x:c r="D832" t="str">
        <x:v>event validity</x:v>
      </x:c>
      <x:c r="E832" t="str">
        <x:v>PH-VA-013</x:v>
      </x:c>
      <x:c r="F832" t="n">
        <x:f>IF('Event Register'!T19&lt;&gt;"",1,0)</x:f>
        <x:v>0</x:v>
      </x:c>
      <x:c r="G832" t="n">
        <x:v>1</x:v>
      </x:c>
      <x:c r="H832" t="str">
        <x:v>independent physical acceptance</x:v>
      </x:c>
      <x:c r="I832" t="str">
        <x:f>IF(F832=1,"PASS","OPEN")</x:f>
        <x:v>OPEN</x:v>
      </x:c>
    </x:row>
    <x:row r="833">
      <x:c r="B833" t="str">
        <x:v>PH-OU-013</x:v>
      </x:c>
      <x:c r="C833" t="str">
        <x:v>PHYSICAL</x:v>
      </x:c>
      <x:c r="D833" t="str">
        <x:v>event outcome</x:v>
      </x:c>
      <x:c r="E833" t="str">
        <x:v>PH-OU-013</x:v>
      </x:c>
      <x:c r="F833" t="n">
        <x:f>IF('Event Register'!U19&lt;&gt;"",1,0)</x:f>
        <x:v>0</x:v>
      </x:c>
      <x:c r="G833" t="n">
        <x:v>1</x:v>
      </x:c>
      <x:c r="H833" t="str">
        <x:v>independent physical acceptance</x:v>
      </x:c>
      <x:c r="I833" t="str">
        <x:f>IF(F833=1,"PASS","OPEN")</x:f>
        <x:v>OPEN</x:v>
      </x:c>
    </x:row>
    <x:row r="834">
      <x:c r="B834" t="str">
        <x:v>PH-EX-014</x:v>
      </x:c>
      <x:c r="C834" t="str">
        <x:v>PHYSICAL</x:v>
      </x:c>
      <x:c r="D834" t="str">
        <x:v>event execution</x:v>
      </x:c>
      <x:c r="E834" t="str">
        <x:v>PH-EX-014</x:v>
      </x:c>
      <x:c r="F834" t="n">
        <x:f>IF('Event Register'!R20&lt;&gt;"",1,0)</x:f>
        <x:v>0</x:v>
      </x:c>
      <x:c r="G834" t="n">
        <x:v>1</x:v>
      </x:c>
      <x:c r="H834" t="str">
        <x:v>independent physical acceptance</x:v>
      </x:c>
      <x:c r="I834" t="str">
        <x:f>IF(F834=1,"PASS","OPEN")</x:f>
        <x:v>OPEN</x:v>
      </x:c>
    </x:row>
    <x:row r="835">
      <x:c r="B835" t="str">
        <x:v>PH-EV-014</x:v>
      </x:c>
      <x:c r="C835" t="str">
        <x:v>PHYSICAL</x:v>
      </x:c>
      <x:c r="D835" t="str">
        <x:v>event evidence</x:v>
      </x:c>
      <x:c r="E835" t="str">
        <x:v>PH-EV-014</x:v>
      </x:c>
      <x:c r="F835" t="n">
        <x:f>IF('Event Register'!S20&lt;&gt;"",1,0)</x:f>
        <x:v>0</x:v>
      </x:c>
      <x:c r="G835" t="n">
        <x:v>1</x:v>
      </x:c>
      <x:c r="H835" t="str">
        <x:v>independent physical acceptance</x:v>
      </x:c>
      <x:c r="I835" t="str">
        <x:f>IF(F835=1,"PASS","OPEN")</x:f>
        <x:v>OPEN</x:v>
      </x:c>
    </x:row>
    <x:row r="836">
      <x:c r="B836" t="str">
        <x:v>PH-VA-014</x:v>
      </x:c>
      <x:c r="C836" t="str">
        <x:v>PHYSICAL</x:v>
      </x:c>
      <x:c r="D836" t="str">
        <x:v>event validity</x:v>
      </x:c>
      <x:c r="E836" t="str">
        <x:v>PH-VA-014</x:v>
      </x:c>
      <x:c r="F836" t="n">
        <x:f>IF('Event Register'!T20&lt;&gt;"",1,0)</x:f>
        <x:v>0</x:v>
      </x:c>
      <x:c r="G836" t="n">
        <x:v>1</x:v>
      </x:c>
      <x:c r="H836" t="str">
        <x:v>independent physical acceptance</x:v>
      </x:c>
      <x:c r="I836" t="str">
        <x:f>IF(F836=1,"PASS","OPEN")</x:f>
        <x:v>OPEN</x:v>
      </x:c>
    </x:row>
    <x:row r="837">
      <x:c r="B837" t="str">
        <x:v>PH-OU-014</x:v>
      </x:c>
      <x:c r="C837" t="str">
        <x:v>PHYSICAL</x:v>
      </x:c>
      <x:c r="D837" t="str">
        <x:v>event outcome</x:v>
      </x:c>
      <x:c r="E837" t="str">
        <x:v>PH-OU-014</x:v>
      </x:c>
      <x:c r="F837" t="n">
        <x:f>IF('Event Register'!U20&lt;&gt;"",1,0)</x:f>
        <x:v>0</x:v>
      </x:c>
      <x:c r="G837" t="n">
        <x:v>1</x:v>
      </x:c>
      <x:c r="H837" t="str">
        <x:v>independent physical acceptance</x:v>
      </x:c>
      <x:c r="I837" t="str">
        <x:f>IF(F837=1,"PASS","OPEN")</x:f>
        <x:v>OPEN</x:v>
      </x:c>
    </x:row>
    <x:row r="838">
      <x:c r="B838" t="str">
        <x:v>PH-EX-015</x:v>
      </x:c>
      <x:c r="C838" t="str">
        <x:v>PHYSICAL</x:v>
      </x:c>
      <x:c r="D838" t="str">
        <x:v>event execution</x:v>
      </x:c>
      <x:c r="E838" t="str">
        <x:v>PH-EX-015</x:v>
      </x:c>
      <x:c r="F838" t="n">
        <x:f>IF('Event Register'!R21&lt;&gt;"",1,0)</x:f>
        <x:v>0</x:v>
      </x:c>
      <x:c r="G838" t="n">
        <x:v>1</x:v>
      </x:c>
      <x:c r="H838" t="str">
        <x:v>independent physical acceptance</x:v>
      </x:c>
      <x:c r="I838" t="str">
        <x:f>IF(F838=1,"PASS","OPEN")</x:f>
        <x:v>OPEN</x:v>
      </x:c>
    </x:row>
    <x:row r="839">
      <x:c r="B839" t="str">
        <x:v>PH-EV-015</x:v>
      </x:c>
      <x:c r="C839" t="str">
        <x:v>PHYSICAL</x:v>
      </x:c>
      <x:c r="D839" t="str">
        <x:v>event evidence</x:v>
      </x:c>
      <x:c r="E839" t="str">
        <x:v>PH-EV-015</x:v>
      </x:c>
      <x:c r="F839" t="n">
        <x:f>IF('Event Register'!S21&lt;&gt;"",1,0)</x:f>
        <x:v>0</x:v>
      </x:c>
      <x:c r="G839" t="n">
        <x:v>1</x:v>
      </x:c>
      <x:c r="H839" t="str">
        <x:v>independent physical acceptance</x:v>
      </x:c>
      <x:c r="I839" t="str">
        <x:f>IF(F839=1,"PASS","OPEN")</x:f>
        <x:v>OPEN</x:v>
      </x:c>
    </x:row>
    <x:row r="840">
      <x:c r="B840" t="str">
        <x:v>PH-VA-015</x:v>
      </x:c>
      <x:c r="C840" t="str">
        <x:v>PHYSICAL</x:v>
      </x:c>
      <x:c r="D840" t="str">
        <x:v>event validity</x:v>
      </x:c>
      <x:c r="E840" t="str">
        <x:v>PH-VA-015</x:v>
      </x:c>
      <x:c r="F840" t="n">
        <x:f>IF('Event Register'!T21&lt;&gt;"",1,0)</x:f>
        <x:v>0</x:v>
      </x:c>
      <x:c r="G840" t="n">
        <x:v>1</x:v>
      </x:c>
      <x:c r="H840" t="str">
        <x:v>independent physical acceptance</x:v>
      </x:c>
      <x:c r="I840" t="str">
        <x:f>IF(F840=1,"PASS","OPEN")</x:f>
        <x:v>OPEN</x:v>
      </x:c>
    </x:row>
    <x:row r="841">
      <x:c r="B841" t="str">
        <x:v>PH-OU-015</x:v>
      </x:c>
      <x:c r="C841" t="str">
        <x:v>PHYSICAL</x:v>
      </x:c>
      <x:c r="D841" t="str">
        <x:v>event outcome</x:v>
      </x:c>
      <x:c r="E841" t="str">
        <x:v>PH-OU-015</x:v>
      </x:c>
      <x:c r="F841" t="n">
        <x:f>IF('Event Register'!U21&lt;&gt;"",1,0)</x:f>
        <x:v>0</x:v>
      </x:c>
      <x:c r="G841" t="n">
        <x:v>1</x:v>
      </x:c>
      <x:c r="H841" t="str">
        <x:v>independent physical acceptance</x:v>
      </x:c>
      <x:c r="I841" t="str">
        <x:f>IF(F841=1,"PASS","OPEN")</x:f>
        <x:v>OPEN</x:v>
      </x:c>
    </x:row>
    <x:row r="842">
      <x:c r="B842" t="str">
        <x:v>PH-EX-016</x:v>
      </x:c>
      <x:c r="C842" t="str">
        <x:v>PHYSICAL</x:v>
      </x:c>
      <x:c r="D842" t="str">
        <x:v>event execution</x:v>
      </x:c>
      <x:c r="E842" t="str">
        <x:v>PH-EX-016</x:v>
      </x:c>
      <x:c r="F842" t="n">
        <x:f>IF('Event Register'!R22&lt;&gt;"",1,0)</x:f>
        <x:v>0</x:v>
      </x:c>
      <x:c r="G842" t="n">
        <x:v>1</x:v>
      </x:c>
      <x:c r="H842" t="str">
        <x:v>independent physical acceptance</x:v>
      </x:c>
      <x:c r="I842" t="str">
        <x:f>IF(F842=1,"PASS","OPEN")</x:f>
        <x:v>OPEN</x:v>
      </x:c>
    </x:row>
    <x:row r="843">
      <x:c r="B843" t="str">
        <x:v>PH-EV-016</x:v>
      </x:c>
      <x:c r="C843" t="str">
        <x:v>PHYSICAL</x:v>
      </x:c>
      <x:c r="D843" t="str">
        <x:v>event evidence</x:v>
      </x:c>
      <x:c r="E843" t="str">
        <x:v>PH-EV-016</x:v>
      </x:c>
      <x:c r="F843" t="n">
        <x:f>IF('Event Register'!S22&lt;&gt;"",1,0)</x:f>
        <x:v>0</x:v>
      </x:c>
      <x:c r="G843" t="n">
        <x:v>1</x:v>
      </x:c>
      <x:c r="H843" t="str">
        <x:v>independent physical acceptance</x:v>
      </x:c>
      <x:c r="I843" t="str">
        <x:f>IF(F843=1,"PASS","OPEN")</x:f>
        <x:v>OPEN</x:v>
      </x:c>
    </x:row>
    <x:row r="844">
      <x:c r="B844" t="str">
        <x:v>PH-VA-016</x:v>
      </x:c>
      <x:c r="C844" t="str">
        <x:v>PHYSICAL</x:v>
      </x:c>
      <x:c r="D844" t="str">
        <x:v>event validity</x:v>
      </x:c>
      <x:c r="E844" t="str">
        <x:v>PH-VA-016</x:v>
      </x:c>
      <x:c r="F844" t="n">
        <x:f>IF('Event Register'!T22&lt;&gt;"",1,0)</x:f>
        <x:v>0</x:v>
      </x:c>
      <x:c r="G844" t="n">
        <x:v>1</x:v>
      </x:c>
      <x:c r="H844" t="str">
        <x:v>independent physical acceptance</x:v>
      </x:c>
      <x:c r="I844" t="str">
        <x:f>IF(F844=1,"PASS","OPEN")</x:f>
        <x:v>OPEN</x:v>
      </x:c>
    </x:row>
    <x:row r="845">
      <x:c r="B845" t="str">
        <x:v>PH-OU-016</x:v>
      </x:c>
      <x:c r="C845" t="str">
        <x:v>PHYSICAL</x:v>
      </x:c>
      <x:c r="D845" t="str">
        <x:v>event outcome</x:v>
      </x:c>
      <x:c r="E845" t="str">
        <x:v>PH-OU-016</x:v>
      </x:c>
      <x:c r="F845" t="n">
        <x:f>IF('Event Register'!U22&lt;&gt;"",1,0)</x:f>
        <x:v>0</x:v>
      </x:c>
      <x:c r="G845" t="n">
        <x:v>1</x:v>
      </x:c>
      <x:c r="H845" t="str">
        <x:v>independent physical acceptance</x:v>
      </x:c>
      <x:c r="I845" t="str">
        <x:f>IF(F845=1,"PASS","OPEN")</x:f>
        <x:v>OPEN</x:v>
      </x:c>
    </x:row>
    <x:row r="846">
      <x:c r="B846" t="str">
        <x:v>PH-EX-017</x:v>
      </x:c>
      <x:c r="C846" t="str">
        <x:v>PHYSICAL</x:v>
      </x:c>
      <x:c r="D846" t="str">
        <x:v>event execution</x:v>
      </x:c>
      <x:c r="E846" t="str">
        <x:v>PH-EX-017</x:v>
      </x:c>
      <x:c r="F846" t="n">
        <x:f>IF('Event Register'!R23&lt;&gt;"",1,0)</x:f>
        <x:v>0</x:v>
      </x:c>
      <x:c r="G846" t="n">
        <x:v>1</x:v>
      </x:c>
      <x:c r="H846" t="str">
        <x:v>independent physical acceptance</x:v>
      </x:c>
      <x:c r="I846" t="str">
        <x:f>IF(F846=1,"PASS","OPEN")</x:f>
        <x:v>OPEN</x:v>
      </x:c>
    </x:row>
    <x:row r="847">
      <x:c r="B847" t="str">
        <x:v>PH-EV-017</x:v>
      </x:c>
      <x:c r="C847" t="str">
        <x:v>PHYSICAL</x:v>
      </x:c>
      <x:c r="D847" t="str">
        <x:v>event evidence</x:v>
      </x:c>
      <x:c r="E847" t="str">
        <x:v>PH-EV-017</x:v>
      </x:c>
      <x:c r="F847" t="n">
        <x:f>IF('Event Register'!S23&lt;&gt;"",1,0)</x:f>
        <x:v>0</x:v>
      </x:c>
      <x:c r="G847" t="n">
        <x:v>1</x:v>
      </x:c>
      <x:c r="H847" t="str">
        <x:v>independent physical acceptance</x:v>
      </x:c>
      <x:c r="I847" t="str">
        <x:f>IF(F847=1,"PASS","OPEN")</x:f>
        <x:v>OPEN</x:v>
      </x:c>
    </x:row>
    <x:row r="848">
      <x:c r="B848" t="str">
        <x:v>PH-VA-017</x:v>
      </x:c>
      <x:c r="C848" t="str">
        <x:v>PHYSICAL</x:v>
      </x:c>
      <x:c r="D848" t="str">
        <x:v>event validity</x:v>
      </x:c>
      <x:c r="E848" t="str">
        <x:v>PH-VA-017</x:v>
      </x:c>
      <x:c r="F848" t="n">
        <x:f>IF('Event Register'!T23&lt;&gt;"",1,0)</x:f>
        <x:v>0</x:v>
      </x:c>
      <x:c r="G848" t="n">
        <x:v>1</x:v>
      </x:c>
      <x:c r="H848" t="str">
        <x:v>independent physical acceptance</x:v>
      </x:c>
      <x:c r="I848" t="str">
        <x:f>IF(F848=1,"PASS","OPEN")</x:f>
        <x:v>OPEN</x:v>
      </x:c>
    </x:row>
    <x:row r="849">
      <x:c r="B849" t="str">
        <x:v>PH-OU-017</x:v>
      </x:c>
      <x:c r="C849" t="str">
        <x:v>PHYSICAL</x:v>
      </x:c>
      <x:c r="D849" t="str">
        <x:v>event outcome</x:v>
      </x:c>
      <x:c r="E849" t="str">
        <x:v>PH-OU-017</x:v>
      </x:c>
      <x:c r="F849" t="n">
        <x:f>IF('Event Register'!U23&lt;&gt;"",1,0)</x:f>
        <x:v>0</x:v>
      </x:c>
      <x:c r="G849" t="n">
        <x:v>1</x:v>
      </x:c>
      <x:c r="H849" t="str">
        <x:v>independent physical acceptance</x:v>
      </x:c>
      <x:c r="I849" t="str">
        <x:f>IF(F849=1,"PASS","OPEN")</x:f>
        <x:v>OPEN</x:v>
      </x:c>
    </x:row>
    <x:row r="850">
      <x:c r="B850" t="str">
        <x:v>PH-EX-018</x:v>
      </x:c>
      <x:c r="C850" t="str">
        <x:v>PHYSICAL</x:v>
      </x:c>
      <x:c r="D850" t="str">
        <x:v>event execution</x:v>
      </x:c>
      <x:c r="E850" t="str">
        <x:v>PH-EX-018</x:v>
      </x:c>
      <x:c r="F850" t="n">
        <x:f>IF('Event Register'!R24&lt;&gt;"",1,0)</x:f>
        <x:v>0</x:v>
      </x:c>
      <x:c r="G850" t="n">
        <x:v>1</x:v>
      </x:c>
      <x:c r="H850" t="str">
        <x:v>independent physical acceptance</x:v>
      </x:c>
      <x:c r="I850" t="str">
        <x:f>IF(F850=1,"PASS","OPEN")</x:f>
        <x:v>OPEN</x:v>
      </x:c>
    </x:row>
    <x:row r="851">
      <x:c r="B851" t="str">
        <x:v>PH-EV-018</x:v>
      </x:c>
      <x:c r="C851" t="str">
        <x:v>PHYSICAL</x:v>
      </x:c>
      <x:c r="D851" t="str">
        <x:v>event evidence</x:v>
      </x:c>
      <x:c r="E851" t="str">
        <x:v>PH-EV-018</x:v>
      </x:c>
      <x:c r="F851" t="n">
        <x:f>IF('Event Register'!S24&lt;&gt;"",1,0)</x:f>
        <x:v>0</x:v>
      </x:c>
      <x:c r="G851" t="n">
        <x:v>1</x:v>
      </x:c>
      <x:c r="H851" t="str">
        <x:v>independent physical acceptance</x:v>
      </x:c>
      <x:c r="I851" t="str">
        <x:f>IF(F851=1,"PASS","OPEN")</x:f>
        <x:v>OPEN</x:v>
      </x:c>
    </x:row>
    <x:row r="852">
      <x:c r="B852" t="str">
        <x:v>PH-VA-018</x:v>
      </x:c>
      <x:c r="C852" t="str">
        <x:v>PHYSICAL</x:v>
      </x:c>
      <x:c r="D852" t="str">
        <x:v>event validity</x:v>
      </x:c>
      <x:c r="E852" t="str">
        <x:v>PH-VA-018</x:v>
      </x:c>
      <x:c r="F852" t="n">
        <x:f>IF('Event Register'!T24&lt;&gt;"",1,0)</x:f>
        <x:v>0</x:v>
      </x:c>
      <x:c r="G852" t="n">
        <x:v>1</x:v>
      </x:c>
      <x:c r="H852" t="str">
        <x:v>independent physical acceptance</x:v>
      </x:c>
      <x:c r="I852" t="str">
        <x:f>IF(F852=1,"PASS","OPEN")</x:f>
        <x:v>OPEN</x:v>
      </x:c>
    </x:row>
    <x:row r="853">
      <x:c r="B853" t="str">
        <x:v>PH-OU-018</x:v>
      </x:c>
      <x:c r="C853" t="str">
        <x:v>PHYSICAL</x:v>
      </x:c>
      <x:c r="D853" t="str">
        <x:v>event outcome</x:v>
      </x:c>
      <x:c r="E853" t="str">
        <x:v>PH-OU-018</x:v>
      </x:c>
      <x:c r="F853" t="n">
        <x:f>IF('Event Register'!U24&lt;&gt;"",1,0)</x:f>
        <x:v>0</x:v>
      </x:c>
      <x:c r="G853" t="n">
        <x:v>1</x:v>
      </x:c>
      <x:c r="H853" t="str">
        <x:v>independent physical acceptance</x:v>
      </x:c>
      <x:c r="I853" t="str">
        <x:f>IF(F853=1,"PASS","OPEN")</x:f>
        <x:v>OPEN</x:v>
      </x:c>
    </x:row>
    <x:row r="854">
      <x:c r="B854" t="str">
        <x:v>PH-EX-019</x:v>
      </x:c>
      <x:c r="C854" t="str">
        <x:v>PHYSICAL</x:v>
      </x:c>
      <x:c r="D854" t="str">
        <x:v>event execution</x:v>
      </x:c>
      <x:c r="E854" t="str">
        <x:v>PH-EX-019</x:v>
      </x:c>
      <x:c r="F854" t="n">
        <x:f>IF('Event Register'!R25&lt;&gt;"",1,0)</x:f>
        <x:v>0</x:v>
      </x:c>
      <x:c r="G854" t="n">
        <x:v>1</x:v>
      </x:c>
      <x:c r="H854" t="str">
        <x:v>independent physical acceptance</x:v>
      </x:c>
      <x:c r="I854" t="str">
        <x:f>IF(F854=1,"PASS","OPEN")</x:f>
        <x:v>OPEN</x:v>
      </x:c>
    </x:row>
    <x:row r="855">
      <x:c r="B855" t="str">
        <x:v>PH-EV-019</x:v>
      </x:c>
      <x:c r="C855" t="str">
        <x:v>PHYSICAL</x:v>
      </x:c>
      <x:c r="D855" t="str">
        <x:v>event evidence</x:v>
      </x:c>
      <x:c r="E855" t="str">
        <x:v>PH-EV-019</x:v>
      </x:c>
      <x:c r="F855" t="n">
        <x:f>IF('Event Register'!S25&lt;&gt;"",1,0)</x:f>
        <x:v>0</x:v>
      </x:c>
      <x:c r="G855" t="n">
        <x:v>1</x:v>
      </x:c>
      <x:c r="H855" t="str">
        <x:v>independent physical acceptance</x:v>
      </x:c>
      <x:c r="I855" t="str">
        <x:f>IF(F855=1,"PASS","OPEN")</x:f>
        <x:v>OPEN</x:v>
      </x:c>
    </x:row>
    <x:row r="856">
      <x:c r="B856" t="str">
        <x:v>PH-VA-019</x:v>
      </x:c>
      <x:c r="C856" t="str">
        <x:v>PHYSICAL</x:v>
      </x:c>
      <x:c r="D856" t="str">
        <x:v>event validity</x:v>
      </x:c>
      <x:c r="E856" t="str">
        <x:v>PH-VA-019</x:v>
      </x:c>
      <x:c r="F856" t="n">
        <x:f>IF('Event Register'!T25&lt;&gt;"",1,0)</x:f>
        <x:v>0</x:v>
      </x:c>
      <x:c r="G856" t="n">
        <x:v>1</x:v>
      </x:c>
      <x:c r="H856" t="str">
        <x:v>independent physical acceptance</x:v>
      </x:c>
      <x:c r="I856" t="str">
        <x:f>IF(F856=1,"PASS","OPEN")</x:f>
        <x:v>OPEN</x:v>
      </x:c>
    </x:row>
    <x:row r="857">
      <x:c r="B857" t="str">
        <x:v>PH-OU-019</x:v>
      </x:c>
      <x:c r="C857" t="str">
        <x:v>PHYSICAL</x:v>
      </x:c>
      <x:c r="D857" t="str">
        <x:v>event outcome</x:v>
      </x:c>
      <x:c r="E857" t="str">
        <x:v>PH-OU-019</x:v>
      </x:c>
      <x:c r="F857" t="n">
        <x:f>IF('Event Register'!U25&lt;&gt;"",1,0)</x:f>
        <x:v>0</x:v>
      </x:c>
      <x:c r="G857" t="n">
        <x:v>1</x:v>
      </x:c>
      <x:c r="H857" t="str">
        <x:v>independent physical acceptance</x:v>
      </x:c>
      <x:c r="I857" t="str">
        <x:f>IF(F857=1,"PASS","OPEN")</x:f>
        <x:v>OPEN</x:v>
      </x:c>
    </x:row>
    <x:row r="858">
      <x:c r="B858" t="str">
        <x:v>PH-EX-020</x:v>
      </x:c>
      <x:c r="C858" t="str">
        <x:v>PHYSICAL</x:v>
      </x:c>
      <x:c r="D858" t="str">
        <x:v>event execution</x:v>
      </x:c>
      <x:c r="E858" t="str">
        <x:v>PH-EX-020</x:v>
      </x:c>
      <x:c r="F858" t="n">
        <x:f>IF('Event Register'!R26&lt;&gt;"",1,0)</x:f>
        <x:v>0</x:v>
      </x:c>
      <x:c r="G858" t="n">
        <x:v>1</x:v>
      </x:c>
      <x:c r="H858" t="str">
        <x:v>independent physical acceptance</x:v>
      </x:c>
      <x:c r="I858" t="str">
        <x:f>IF(F858=1,"PASS","OPEN")</x:f>
        <x:v>OPEN</x:v>
      </x:c>
    </x:row>
    <x:row r="859">
      <x:c r="B859" t="str">
        <x:v>PH-EV-020</x:v>
      </x:c>
      <x:c r="C859" t="str">
        <x:v>PHYSICAL</x:v>
      </x:c>
      <x:c r="D859" t="str">
        <x:v>event evidence</x:v>
      </x:c>
      <x:c r="E859" t="str">
        <x:v>PH-EV-020</x:v>
      </x:c>
      <x:c r="F859" t="n">
        <x:f>IF('Event Register'!S26&lt;&gt;"",1,0)</x:f>
        <x:v>0</x:v>
      </x:c>
      <x:c r="G859" t="n">
        <x:v>1</x:v>
      </x:c>
      <x:c r="H859" t="str">
        <x:v>independent physical acceptance</x:v>
      </x:c>
      <x:c r="I859" t="str">
        <x:f>IF(F859=1,"PASS","OPEN")</x:f>
        <x:v>OPEN</x:v>
      </x:c>
    </x:row>
    <x:row r="860">
      <x:c r="B860" t="str">
        <x:v>PH-VA-020</x:v>
      </x:c>
      <x:c r="C860" t="str">
        <x:v>PHYSICAL</x:v>
      </x:c>
      <x:c r="D860" t="str">
        <x:v>event validity</x:v>
      </x:c>
      <x:c r="E860" t="str">
        <x:v>PH-VA-020</x:v>
      </x:c>
      <x:c r="F860" t="n">
        <x:f>IF('Event Register'!T26&lt;&gt;"",1,0)</x:f>
        <x:v>0</x:v>
      </x:c>
      <x:c r="G860" t="n">
        <x:v>1</x:v>
      </x:c>
      <x:c r="H860" t="str">
        <x:v>independent physical acceptance</x:v>
      </x:c>
      <x:c r="I860" t="str">
        <x:f>IF(F860=1,"PASS","OPEN")</x:f>
        <x:v>OPEN</x:v>
      </x:c>
    </x:row>
    <x:row r="861">
      <x:c r="B861" t="str">
        <x:v>PH-OU-020</x:v>
      </x:c>
      <x:c r="C861" t="str">
        <x:v>PHYSICAL</x:v>
      </x:c>
      <x:c r="D861" t="str">
        <x:v>event outcome</x:v>
      </x:c>
      <x:c r="E861" t="str">
        <x:v>PH-OU-020</x:v>
      </x:c>
      <x:c r="F861" t="n">
        <x:f>IF('Event Register'!U26&lt;&gt;"",1,0)</x:f>
        <x:v>0</x:v>
      </x:c>
      <x:c r="G861" t="n">
        <x:v>1</x:v>
      </x:c>
      <x:c r="H861" t="str">
        <x:v>independent physical acceptance</x:v>
      </x:c>
      <x:c r="I861" t="str">
        <x:f>IF(F861=1,"PASS","OPEN")</x:f>
        <x:v>OPEN</x:v>
      </x:c>
    </x:row>
    <x:row r="862">
      <x:c r="B862" t="str">
        <x:v>PH-EX-021</x:v>
      </x:c>
      <x:c r="C862" t="str">
        <x:v>PHYSICAL</x:v>
      </x:c>
      <x:c r="D862" t="str">
        <x:v>event execution</x:v>
      </x:c>
      <x:c r="E862" t="str">
        <x:v>PH-EX-021</x:v>
      </x:c>
      <x:c r="F862" t="n">
        <x:f>IF('Event Register'!R27&lt;&gt;"",1,0)</x:f>
        <x:v>0</x:v>
      </x:c>
      <x:c r="G862" t="n">
        <x:v>1</x:v>
      </x:c>
      <x:c r="H862" t="str">
        <x:v>independent physical acceptance</x:v>
      </x:c>
      <x:c r="I862" t="str">
        <x:f>IF(F862=1,"PASS","OPEN")</x:f>
        <x:v>OPEN</x:v>
      </x:c>
    </x:row>
    <x:row r="863">
      <x:c r="B863" t="str">
        <x:v>PH-EV-021</x:v>
      </x:c>
      <x:c r="C863" t="str">
        <x:v>PHYSICAL</x:v>
      </x:c>
      <x:c r="D863" t="str">
        <x:v>event evidence</x:v>
      </x:c>
      <x:c r="E863" t="str">
        <x:v>PH-EV-021</x:v>
      </x:c>
      <x:c r="F863" t="n">
        <x:f>IF('Event Register'!S27&lt;&gt;"",1,0)</x:f>
        <x:v>0</x:v>
      </x:c>
      <x:c r="G863" t="n">
        <x:v>1</x:v>
      </x:c>
      <x:c r="H863" t="str">
        <x:v>independent physical acceptance</x:v>
      </x:c>
      <x:c r="I863" t="str">
        <x:f>IF(F863=1,"PASS","OPEN")</x:f>
        <x:v>OPEN</x:v>
      </x:c>
    </x:row>
    <x:row r="864">
      <x:c r="B864" t="str">
        <x:v>PH-VA-021</x:v>
      </x:c>
      <x:c r="C864" t="str">
        <x:v>PHYSICAL</x:v>
      </x:c>
      <x:c r="D864" t="str">
        <x:v>event validity</x:v>
      </x:c>
      <x:c r="E864" t="str">
        <x:v>PH-VA-021</x:v>
      </x:c>
      <x:c r="F864" t="n">
        <x:f>IF('Event Register'!T27&lt;&gt;"",1,0)</x:f>
        <x:v>0</x:v>
      </x:c>
      <x:c r="G864" t="n">
        <x:v>1</x:v>
      </x:c>
      <x:c r="H864" t="str">
        <x:v>independent physical acceptance</x:v>
      </x:c>
      <x:c r="I864" t="str">
        <x:f>IF(F864=1,"PASS","OPEN")</x:f>
        <x:v>OPEN</x:v>
      </x:c>
    </x:row>
    <x:row r="865">
      <x:c r="B865" t="str">
        <x:v>PH-OU-021</x:v>
      </x:c>
      <x:c r="C865" t="str">
        <x:v>PHYSICAL</x:v>
      </x:c>
      <x:c r="D865" t="str">
        <x:v>event outcome</x:v>
      </x:c>
      <x:c r="E865" t="str">
        <x:v>PH-OU-021</x:v>
      </x:c>
      <x:c r="F865" t="n">
        <x:f>IF('Event Register'!U27&lt;&gt;"",1,0)</x:f>
        <x:v>0</x:v>
      </x:c>
      <x:c r="G865" t="n">
        <x:v>1</x:v>
      </x:c>
      <x:c r="H865" t="str">
        <x:v>independent physical acceptance</x:v>
      </x:c>
      <x:c r="I865" t="str">
        <x:f>IF(F865=1,"PASS","OPEN")</x:f>
        <x:v>OPEN</x:v>
      </x:c>
    </x:row>
    <x:row r="866">
      <x:c r="B866" t="str">
        <x:v>PH-EX-022</x:v>
      </x:c>
      <x:c r="C866" t="str">
        <x:v>PHYSICAL</x:v>
      </x:c>
      <x:c r="D866" t="str">
        <x:v>event execution</x:v>
      </x:c>
      <x:c r="E866" t="str">
        <x:v>PH-EX-022</x:v>
      </x:c>
      <x:c r="F866" t="n">
        <x:f>IF('Event Register'!R28&lt;&gt;"",1,0)</x:f>
        <x:v>0</x:v>
      </x:c>
      <x:c r="G866" t="n">
        <x:v>1</x:v>
      </x:c>
      <x:c r="H866" t="str">
        <x:v>independent physical acceptance</x:v>
      </x:c>
      <x:c r="I866" t="str">
        <x:f>IF(F866=1,"PASS","OPEN")</x:f>
        <x:v>OPEN</x:v>
      </x:c>
    </x:row>
    <x:row r="867">
      <x:c r="B867" t="str">
        <x:v>PH-EV-022</x:v>
      </x:c>
      <x:c r="C867" t="str">
        <x:v>PHYSICAL</x:v>
      </x:c>
      <x:c r="D867" t="str">
        <x:v>event evidence</x:v>
      </x:c>
      <x:c r="E867" t="str">
        <x:v>PH-EV-022</x:v>
      </x:c>
      <x:c r="F867" t="n">
        <x:f>IF('Event Register'!S28&lt;&gt;"",1,0)</x:f>
        <x:v>0</x:v>
      </x:c>
      <x:c r="G867" t="n">
        <x:v>1</x:v>
      </x:c>
      <x:c r="H867" t="str">
        <x:v>independent physical acceptance</x:v>
      </x:c>
      <x:c r="I867" t="str">
        <x:f>IF(F867=1,"PASS","OPEN")</x:f>
        <x:v>OPEN</x:v>
      </x:c>
    </x:row>
    <x:row r="868">
      <x:c r="B868" t="str">
        <x:v>PH-VA-022</x:v>
      </x:c>
      <x:c r="C868" t="str">
        <x:v>PHYSICAL</x:v>
      </x:c>
      <x:c r="D868" t="str">
        <x:v>event validity</x:v>
      </x:c>
      <x:c r="E868" t="str">
        <x:v>PH-VA-022</x:v>
      </x:c>
      <x:c r="F868" t="n">
        <x:f>IF('Event Register'!T28&lt;&gt;"",1,0)</x:f>
        <x:v>0</x:v>
      </x:c>
      <x:c r="G868" t="n">
        <x:v>1</x:v>
      </x:c>
      <x:c r="H868" t="str">
        <x:v>independent physical acceptance</x:v>
      </x:c>
      <x:c r="I868" t="str">
        <x:f>IF(F868=1,"PASS","OPEN")</x:f>
        <x:v>OPEN</x:v>
      </x:c>
    </x:row>
    <x:row r="869">
      <x:c r="B869" t="str">
        <x:v>PH-OU-022</x:v>
      </x:c>
      <x:c r="C869" t="str">
        <x:v>PHYSICAL</x:v>
      </x:c>
      <x:c r="D869" t="str">
        <x:v>event outcome</x:v>
      </x:c>
      <x:c r="E869" t="str">
        <x:v>PH-OU-022</x:v>
      </x:c>
      <x:c r="F869" t="n">
        <x:f>IF('Event Register'!U28&lt;&gt;"",1,0)</x:f>
        <x:v>0</x:v>
      </x:c>
      <x:c r="G869" t="n">
        <x:v>1</x:v>
      </x:c>
      <x:c r="H869" t="str">
        <x:v>independent physical acceptance</x:v>
      </x:c>
      <x:c r="I869" t="str">
        <x:f>IF(F869=1,"PASS","OPEN")</x:f>
        <x:v>OPEN</x:v>
      </x:c>
    </x:row>
    <x:row r="870">
      <x:c r="B870" t="str">
        <x:v>PH-EX-023</x:v>
      </x:c>
      <x:c r="C870" t="str">
        <x:v>PHYSICAL</x:v>
      </x:c>
      <x:c r="D870" t="str">
        <x:v>event execution</x:v>
      </x:c>
      <x:c r="E870" t="str">
        <x:v>PH-EX-023</x:v>
      </x:c>
      <x:c r="F870" t="n">
        <x:f>IF('Event Register'!R29&lt;&gt;"",1,0)</x:f>
        <x:v>0</x:v>
      </x:c>
      <x:c r="G870" t="n">
        <x:v>1</x:v>
      </x:c>
      <x:c r="H870" t="str">
        <x:v>independent physical acceptance</x:v>
      </x:c>
      <x:c r="I870" t="str">
        <x:f>IF(F870=1,"PASS","OPEN")</x:f>
        <x:v>OPEN</x:v>
      </x:c>
    </x:row>
    <x:row r="871">
      <x:c r="B871" t="str">
        <x:v>PH-EV-023</x:v>
      </x:c>
      <x:c r="C871" t="str">
        <x:v>PHYSICAL</x:v>
      </x:c>
      <x:c r="D871" t="str">
        <x:v>event evidence</x:v>
      </x:c>
      <x:c r="E871" t="str">
        <x:v>PH-EV-023</x:v>
      </x:c>
      <x:c r="F871" t="n">
        <x:f>IF('Event Register'!S29&lt;&gt;"",1,0)</x:f>
        <x:v>0</x:v>
      </x:c>
      <x:c r="G871" t="n">
        <x:v>1</x:v>
      </x:c>
      <x:c r="H871" t="str">
        <x:v>independent physical acceptance</x:v>
      </x:c>
      <x:c r="I871" t="str">
        <x:f>IF(F871=1,"PASS","OPEN")</x:f>
        <x:v>OPEN</x:v>
      </x:c>
    </x:row>
    <x:row r="872">
      <x:c r="B872" t="str">
        <x:v>PH-VA-023</x:v>
      </x:c>
      <x:c r="C872" t="str">
        <x:v>PHYSICAL</x:v>
      </x:c>
      <x:c r="D872" t="str">
        <x:v>event validity</x:v>
      </x:c>
      <x:c r="E872" t="str">
        <x:v>PH-VA-023</x:v>
      </x:c>
      <x:c r="F872" t="n">
        <x:f>IF('Event Register'!T29&lt;&gt;"",1,0)</x:f>
        <x:v>0</x:v>
      </x:c>
      <x:c r="G872" t="n">
        <x:v>1</x:v>
      </x:c>
      <x:c r="H872" t="str">
        <x:v>independent physical acceptance</x:v>
      </x:c>
      <x:c r="I872" t="str">
        <x:f>IF(F872=1,"PASS","OPEN")</x:f>
        <x:v>OPEN</x:v>
      </x:c>
    </x:row>
    <x:row r="873">
      <x:c r="B873" t="str">
        <x:v>PH-OU-023</x:v>
      </x:c>
      <x:c r="C873" t="str">
        <x:v>PHYSICAL</x:v>
      </x:c>
      <x:c r="D873" t="str">
        <x:v>event outcome</x:v>
      </x:c>
      <x:c r="E873" t="str">
        <x:v>PH-OU-023</x:v>
      </x:c>
      <x:c r="F873" t="n">
        <x:f>IF('Event Register'!U29&lt;&gt;"",1,0)</x:f>
        <x:v>0</x:v>
      </x:c>
      <x:c r="G873" t="n">
        <x:v>1</x:v>
      </x:c>
      <x:c r="H873" t="str">
        <x:v>independent physical acceptance</x:v>
      </x:c>
      <x:c r="I873" t="str">
        <x:f>IF(F873=1,"PASS","OPEN")</x:f>
        <x:v>OPEN</x:v>
      </x:c>
    </x:row>
    <x:row r="874">
      <x:c r="B874" t="str">
        <x:v>PH-EX-024</x:v>
      </x:c>
      <x:c r="C874" t="str">
        <x:v>PHYSICAL</x:v>
      </x:c>
      <x:c r="D874" t="str">
        <x:v>event execution</x:v>
      </x:c>
      <x:c r="E874" t="str">
        <x:v>PH-EX-024</x:v>
      </x:c>
      <x:c r="F874" t="n">
        <x:f>IF('Event Register'!R30&lt;&gt;"",1,0)</x:f>
        <x:v>0</x:v>
      </x:c>
      <x:c r="G874" t="n">
        <x:v>1</x:v>
      </x:c>
      <x:c r="H874" t="str">
        <x:v>independent physical acceptance</x:v>
      </x:c>
      <x:c r="I874" t="str">
        <x:f>IF(F874=1,"PASS","OPEN")</x:f>
        <x:v>OPEN</x:v>
      </x:c>
    </x:row>
    <x:row r="875">
      <x:c r="B875" t="str">
        <x:v>PH-EV-024</x:v>
      </x:c>
      <x:c r="C875" t="str">
        <x:v>PHYSICAL</x:v>
      </x:c>
      <x:c r="D875" t="str">
        <x:v>event evidence</x:v>
      </x:c>
      <x:c r="E875" t="str">
        <x:v>PH-EV-024</x:v>
      </x:c>
      <x:c r="F875" t="n">
        <x:f>IF('Event Register'!S30&lt;&gt;"",1,0)</x:f>
        <x:v>0</x:v>
      </x:c>
      <x:c r="G875" t="n">
        <x:v>1</x:v>
      </x:c>
      <x:c r="H875" t="str">
        <x:v>independent physical acceptance</x:v>
      </x:c>
      <x:c r="I875" t="str">
        <x:f>IF(F875=1,"PASS","OPEN")</x:f>
        <x:v>OPEN</x:v>
      </x:c>
    </x:row>
    <x:row r="876">
      <x:c r="B876" t="str">
        <x:v>PH-VA-024</x:v>
      </x:c>
      <x:c r="C876" t="str">
        <x:v>PHYSICAL</x:v>
      </x:c>
      <x:c r="D876" t="str">
        <x:v>event validity</x:v>
      </x:c>
      <x:c r="E876" t="str">
        <x:v>PH-VA-024</x:v>
      </x:c>
      <x:c r="F876" t="n">
        <x:f>IF('Event Register'!T30&lt;&gt;"",1,0)</x:f>
        <x:v>0</x:v>
      </x:c>
      <x:c r="G876" t="n">
        <x:v>1</x:v>
      </x:c>
      <x:c r="H876" t="str">
        <x:v>independent physical acceptance</x:v>
      </x:c>
      <x:c r="I876" t="str">
        <x:f>IF(F876=1,"PASS","OPEN")</x:f>
        <x:v>OPEN</x:v>
      </x:c>
    </x:row>
    <x:row r="877">
      <x:c r="B877" t="str">
        <x:v>PH-OU-024</x:v>
      </x:c>
      <x:c r="C877" t="str">
        <x:v>PHYSICAL</x:v>
      </x:c>
      <x:c r="D877" t="str">
        <x:v>event outcome</x:v>
      </x:c>
      <x:c r="E877" t="str">
        <x:v>PH-OU-024</x:v>
      </x:c>
      <x:c r="F877" t="n">
        <x:f>IF('Event Register'!U30&lt;&gt;"",1,0)</x:f>
        <x:v>0</x:v>
      </x:c>
      <x:c r="G877" t="n">
        <x:v>1</x:v>
      </x:c>
      <x:c r="H877" t="str">
        <x:v>independent physical acceptance</x:v>
      </x:c>
      <x:c r="I877" t="str">
        <x:f>IF(F877=1,"PASS","OPEN")</x:f>
        <x:v>OPEN</x:v>
      </x:c>
    </x:row>
    <x:row r="878">
      <x:c r="B878" t="str">
        <x:v>PH-EX-025</x:v>
      </x:c>
      <x:c r="C878" t="str">
        <x:v>PHYSICAL</x:v>
      </x:c>
      <x:c r="D878" t="str">
        <x:v>event execution</x:v>
      </x:c>
      <x:c r="E878" t="str">
        <x:v>PH-EX-025</x:v>
      </x:c>
      <x:c r="F878" t="n">
        <x:f>IF('Event Register'!R31&lt;&gt;"",1,0)</x:f>
        <x:v>0</x:v>
      </x:c>
      <x:c r="G878" t="n">
        <x:v>1</x:v>
      </x:c>
      <x:c r="H878" t="str">
        <x:v>independent physical acceptance</x:v>
      </x:c>
      <x:c r="I878" t="str">
        <x:f>IF(F878=1,"PASS","OPEN")</x:f>
        <x:v>OPEN</x:v>
      </x:c>
    </x:row>
    <x:row r="879">
      <x:c r="B879" t="str">
        <x:v>PH-EV-025</x:v>
      </x:c>
      <x:c r="C879" t="str">
        <x:v>PHYSICAL</x:v>
      </x:c>
      <x:c r="D879" t="str">
        <x:v>event evidence</x:v>
      </x:c>
      <x:c r="E879" t="str">
        <x:v>PH-EV-025</x:v>
      </x:c>
      <x:c r="F879" t="n">
        <x:f>IF('Event Register'!S31&lt;&gt;"",1,0)</x:f>
        <x:v>0</x:v>
      </x:c>
      <x:c r="G879" t="n">
        <x:v>1</x:v>
      </x:c>
      <x:c r="H879" t="str">
        <x:v>independent physical acceptance</x:v>
      </x:c>
      <x:c r="I879" t="str">
        <x:f>IF(F879=1,"PASS","OPEN")</x:f>
        <x:v>OPEN</x:v>
      </x:c>
    </x:row>
    <x:row r="880">
      <x:c r="B880" t="str">
        <x:v>PH-VA-025</x:v>
      </x:c>
      <x:c r="C880" t="str">
        <x:v>PHYSICAL</x:v>
      </x:c>
      <x:c r="D880" t="str">
        <x:v>event validity</x:v>
      </x:c>
      <x:c r="E880" t="str">
        <x:v>PH-VA-025</x:v>
      </x:c>
      <x:c r="F880" t="n">
        <x:f>IF('Event Register'!T31&lt;&gt;"",1,0)</x:f>
        <x:v>0</x:v>
      </x:c>
      <x:c r="G880" t="n">
        <x:v>1</x:v>
      </x:c>
      <x:c r="H880" t="str">
        <x:v>independent physical acceptance</x:v>
      </x:c>
      <x:c r="I880" t="str">
        <x:f>IF(F880=1,"PASS","OPEN")</x:f>
        <x:v>OPEN</x:v>
      </x:c>
    </x:row>
    <x:row r="881">
      <x:c r="B881" t="str">
        <x:v>PH-OU-025</x:v>
      </x:c>
      <x:c r="C881" t="str">
        <x:v>PHYSICAL</x:v>
      </x:c>
      <x:c r="D881" t="str">
        <x:v>event outcome</x:v>
      </x:c>
      <x:c r="E881" t="str">
        <x:v>PH-OU-025</x:v>
      </x:c>
      <x:c r="F881" t="n">
        <x:f>IF('Event Register'!U31&lt;&gt;"",1,0)</x:f>
        <x:v>0</x:v>
      </x:c>
      <x:c r="G881" t="n">
        <x:v>1</x:v>
      </x:c>
      <x:c r="H881" t="str">
        <x:v>independent physical acceptance</x:v>
      </x:c>
      <x:c r="I881" t="str">
        <x:f>IF(F881=1,"PASS","OPEN")</x:f>
        <x:v>OPEN</x:v>
      </x:c>
    </x:row>
    <x:row r="882">
      <x:c r="B882" t="str">
        <x:v>PH-EX-026</x:v>
      </x:c>
      <x:c r="C882" t="str">
        <x:v>PHYSICAL</x:v>
      </x:c>
      <x:c r="D882" t="str">
        <x:v>event execution</x:v>
      </x:c>
      <x:c r="E882" t="str">
        <x:v>PH-EX-026</x:v>
      </x:c>
      <x:c r="F882" t="n">
        <x:f>IF('Event Register'!R32&lt;&gt;"",1,0)</x:f>
        <x:v>0</x:v>
      </x:c>
      <x:c r="G882" t="n">
        <x:v>1</x:v>
      </x:c>
      <x:c r="H882" t="str">
        <x:v>independent physical acceptance</x:v>
      </x:c>
      <x:c r="I882" t="str">
        <x:f>IF(F882=1,"PASS","OPEN")</x:f>
        <x:v>OPEN</x:v>
      </x:c>
    </x:row>
    <x:row r="883">
      <x:c r="B883" t="str">
        <x:v>PH-EV-026</x:v>
      </x:c>
      <x:c r="C883" t="str">
        <x:v>PHYSICAL</x:v>
      </x:c>
      <x:c r="D883" t="str">
        <x:v>event evidence</x:v>
      </x:c>
      <x:c r="E883" t="str">
        <x:v>PH-EV-026</x:v>
      </x:c>
      <x:c r="F883" t="n">
        <x:f>IF('Event Register'!S32&lt;&gt;"",1,0)</x:f>
        <x:v>0</x:v>
      </x:c>
      <x:c r="G883" t="n">
        <x:v>1</x:v>
      </x:c>
      <x:c r="H883" t="str">
        <x:v>independent physical acceptance</x:v>
      </x:c>
      <x:c r="I883" t="str">
        <x:f>IF(F883=1,"PASS","OPEN")</x:f>
        <x:v>OPEN</x:v>
      </x:c>
    </x:row>
    <x:row r="884">
      <x:c r="B884" t="str">
        <x:v>PH-VA-026</x:v>
      </x:c>
      <x:c r="C884" t="str">
        <x:v>PHYSICAL</x:v>
      </x:c>
      <x:c r="D884" t="str">
        <x:v>event validity</x:v>
      </x:c>
      <x:c r="E884" t="str">
        <x:v>PH-VA-026</x:v>
      </x:c>
      <x:c r="F884" t="n">
        <x:f>IF('Event Register'!T32&lt;&gt;"",1,0)</x:f>
        <x:v>0</x:v>
      </x:c>
      <x:c r="G884" t="n">
        <x:v>1</x:v>
      </x:c>
      <x:c r="H884" t="str">
        <x:v>independent physical acceptance</x:v>
      </x:c>
      <x:c r="I884" t="str">
        <x:f>IF(F884=1,"PASS","OPEN")</x:f>
        <x:v>OPEN</x:v>
      </x:c>
    </x:row>
    <x:row r="885">
      <x:c r="B885" t="str">
        <x:v>PH-OU-026</x:v>
      </x:c>
      <x:c r="C885" t="str">
        <x:v>PHYSICAL</x:v>
      </x:c>
      <x:c r="D885" t="str">
        <x:v>event outcome</x:v>
      </x:c>
      <x:c r="E885" t="str">
        <x:v>PH-OU-026</x:v>
      </x:c>
      <x:c r="F885" t="n">
        <x:f>IF('Event Register'!U32&lt;&gt;"",1,0)</x:f>
        <x:v>0</x:v>
      </x:c>
      <x:c r="G885" t="n">
        <x:v>1</x:v>
      </x:c>
      <x:c r="H885" t="str">
        <x:v>independent physical acceptance</x:v>
      </x:c>
      <x:c r="I885" t="str">
        <x:f>IF(F885=1,"PASS","OPEN")</x:f>
        <x:v>OPEN</x:v>
      </x:c>
    </x:row>
    <x:row r="886">
      <x:c r="B886" t="str">
        <x:v>PH-EX-027</x:v>
      </x:c>
      <x:c r="C886" t="str">
        <x:v>PHYSICAL</x:v>
      </x:c>
      <x:c r="D886" t="str">
        <x:v>event execution</x:v>
      </x:c>
      <x:c r="E886" t="str">
        <x:v>PH-EX-027</x:v>
      </x:c>
      <x:c r="F886" t="n">
        <x:f>IF('Event Register'!R33&lt;&gt;"",1,0)</x:f>
        <x:v>0</x:v>
      </x:c>
      <x:c r="G886" t="n">
        <x:v>1</x:v>
      </x:c>
      <x:c r="H886" t="str">
        <x:v>independent physical acceptance</x:v>
      </x:c>
      <x:c r="I886" t="str">
        <x:f>IF(F886=1,"PASS","OPEN")</x:f>
        <x:v>OPEN</x:v>
      </x:c>
    </x:row>
    <x:row r="887">
      <x:c r="B887" t="str">
        <x:v>PH-EV-027</x:v>
      </x:c>
      <x:c r="C887" t="str">
        <x:v>PHYSICAL</x:v>
      </x:c>
      <x:c r="D887" t="str">
        <x:v>event evidence</x:v>
      </x:c>
      <x:c r="E887" t="str">
        <x:v>PH-EV-027</x:v>
      </x:c>
      <x:c r="F887" t="n">
        <x:f>IF('Event Register'!S33&lt;&gt;"",1,0)</x:f>
        <x:v>0</x:v>
      </x:c>
      <x:c r="G887" t="n">
        <x:v>1</x:v>
      </x:c>
      <x:c r="H887" t="str">
        <x:v>independent physical acceptance</x:v>
      </x:c>
      <x:c r="I887" t="str">
        <x:f>IF(F887=1,"PASS","OPEN")</x:f>
        <x:v>OPEN</x:v>
      </x:c>
    </x:row>
    <x:row r="888">
      <x:c r="B888" t="str">
        <x:v>PH-VA-027</x:v>
      </x:c>
      <x:c r="C888" t="str">
        <x:v>PHYSICAL</x:v>
      </x:c>
      <x:c r="D888" t="str">
        <x:v>event validity</x:v>
      </x:c>
      <x:c r="E888" t="str">
        <x:v>PH-VA-027</x:v>
      </x:c>
      <x:c r="F888" t="n">
        <x:f>IF('Event Register'!T33&lt;&gt;"",1,0)</x:f>
        <x:v>0</x:v>
      </x:c>
      <x:c r="G888" t="n">
        <x:v>1</x:v>
      </x:c>
      <x:c r="H888" t="str">
        <x:v>independent physical acceptance</x:v>
      </x:c>
      <x:c r="I888" t="str">
        <x:f>IF(F888=1,"PASS","OPEN")</x:f>
        <x:v>OPEN</x:v>
      </x:c>
    </x:row>
    <x:row r="889">
      <x:c r="B889" t="str">
        <x:v>PH-OU-027</x:v>
      </x:c>
      <x:c r="C889" t="str">
        <x:v>PHYSICAL</x:v>
      </x:c>
      <x:c r="D889" t="str">
        <x:v>event outcome</x:v>
      </x:c>
      <x:c r="E889" t="str">
        <x:v>PH-OU-027</x:v>
      </x:c>
      <x:c r="F889" t="n">
        <x:f>IF('Event Register'!U33&lt;&gt;"",1,0)</x:f>
        <x:v>0</x:v>
      </x:c>
      <x:c r="G889" t="n">
        <x:v>1</x:v>
      </x:c>
      <x:c r="H889" t="str">
        <x:v>independent physical acceptance</x:v>
      </x:c>
      <x:c r="I889" t="str">
        <x:f>IF(F889=1,"PASS","OPEN")</x:f>
        <x:v>OPEN</x:v>
      </x:c>
    </x:row>
    <x:row r="890">
      <x:c r="B890" t="str">
        <x:v>PH-EX-028</x:v>
      </x:c>
      <x:c r="C890" t="str">
        <x:v>PHYSICAL</x:v>
      </x:c>
      <x:c r="D890" t="str">
        <x:v>event execution</x:v>
      </x:c>
      <x:c r="E890" t="str">
        <x:v>PH-EX-028</x:v>
      </x:c>
      <x:c r="F890" t="n">
        <x:f>IF('Event Register'!R34&lt;&gt;"",1,0)</x:f>
        <x:v>0</x:v>
      </x:c>
      <x:c r="G890" t="n">
        <x:v>1</x:v>
      </x:c>
      <x:c r="H890" t="str">
        <x:v>independent physical acceptance</x:v>
      </x:c>
      <x:c r="I890" t="str">
        <x:f>IF(F890=1,"PASS","OPEN")</x:f>
        <x:v>OPEN</x:v>
      </x:c>
    </x:row>
    <x:row r="891">
      <x:c r="B891" t="str">
        <x:v>PH-EV-028</x:v>
      </x:c>
      <x:c r="C891" t="str">
        <x:v>PHYSICAL</x:v>
      </x:c>
      <x:c r="D891" t="str">
        <x:v>event evidence</x:v>
      </x:c>
      <x:c r="E891" t="str">
        <x:v>PH-EV-028</x:v>
      </x:c>
      <x:c r="F891" t="n">
        <x:f>IF('Event Register'!S34&lt;&gt;"",1,0)</x:f>
        <x:v>0</x:v>
      </x:c>
      <x:c r="G891" t="n">
        <x:v>1</x:v>
      </x:c>
      <x:c r="H891" t="str">
        <x:v>independent physical acceptance</x:v>
      </x:c>
      <x:c r="I891" t="str">
        <x:f>IF(F891=1,"PASS","OPEN")</x:f>
        <x:v>OPEN</x:v>
      </x:c>
    </x:row>
    <x:row r="892">
      <x:c r="B892" t="str">
        <x:v>PH-VA-028</x:v>
      </x:c>
      <x:c r="C892" t="str">
        <x:v>PHYSICAL</x:v>
      </x:c>
      <x:c r="D892" t="str">
        <x:v>event validity</x:v>
      </x:c>
      <x:c r="E892" t="str">
        <x:v>PH-VA-028</x:v>
      </x:c>
      <x:c r="F892" t="n">
        <x:f>IF('Event Register'!T34&lt;&gt;"",1,0)</x:f>
        <x:v>0</x:v>
      </x:c>
      <x:c r="G892" t="n">
        <x:v>1</x:v>
      </x:c>
      <x:c r="H892" t="str">
        <x:v>independent physical acceptance</x:v>
      </x:c>
      <x:c r="I892" t="str">
        <x:f>IF(F892=1,"PASS","OPEN")</x:f>
        <x:v>OPEN</x:v>
      </x:c>
    </x:row>
    <x:row r="893">
      <x:c r="B893" t="str">
        <x:v>PH-OU-028</x:v>
      </x:c>
      <x:c r="C893" t="str">
        <x:v>PHYSICAL</x:v>
      </x:c>
      <x:c r="D893" t="str">
        <x:v>event outcome</x:v>
      </x:c>
      <x:c r="E893" t="str">
        <x:v>PH-OU-028</x:v>
      </x:c>
      <x:c r="F893" t="n">
        <x:f>IF('Event Register'!U34&lt;&gt;"",1,0)</x:f>
        <x:v>0</x:v>
      </x:c>
      <x:c r="G893" t="n">
        <x:v>1</x:v>
      </x:c>
      <x:c r="H893" t="str">
        <x:v>independent physical acceptance</x:v>
      </x:c>
      <x:c r="I893" t="str">
        <x:f>IF(F893=1,"PASS","OPEN")</x:f>
        <x:v>OPEN</x:v>
      </x:c>
    </x:row>
    <x:row r="894">
      <x:c r="B894" t="str">
        <x:v>PH-EX-029</x:v>
      </x:c>
      <x:c r="C894" t="str">
        <x:v>PHYSICAL</x:v>
      </x:c>
      <x:c r="D894" t="str">
        <x:v>event execution</x:v>
      </x:c>
      <x:c r="E894" t="str">
        <x:v>PH-EX-029</x:v>
      </x:c>
      <x:c r="F894" t="n">
        <x:f>IF('Event Register'!R35&lt;&gt;"",1,0)</x:f>
        <x:v>0</x:v>
      </x:c>
      <x:c r="G894" t="n">
        <x:v>1</x:v>
      </x:c>
      <x:c r="H894" t="str">
        <x:v>independent physical acceptance</x:v>
      </x:c>
      <x:c r="I894" t="str">
        <x:f>IF(F894=1,"PASS","OPEN")</x:f>
        <x:v>OPEN</x:v>
      </x:c>
    </x:row>
    <x:row r="895">
      <x:c r="B895" t="str">
        <x:v>PH-EV-029</x:v>
      </x:c>
      <x:c r="C895" t="str">
        <x:v>PHYSICAL</x:v>
      </x:c>
      <x:c r="D895" t="str">
        <x:v>event evidence</x:v>
      </x:c>
      <x:c r="E895" t="str">
        <x:v>PH-EV-029</x:v>
      </x:c>
      <x:c r="F895" t="n">
        <x:f>IF('Event Register'!S35&lt;&gt;"",1,0)</x:f>
        <x:v>0</x:v>
      </x:c>
      <x:c r="G895" t="n">
        <x:v>1</x:v>
      </x:c>
      <x:c r="H895" t="str">
        <x:v>independent physical acceptance</x:v>
      </x:c>
      <x:c r="I895" t="str">
        <x:f>IF(F895=1,"PASS","OPEN")</x:f>
        <x:v>OPEN</x:v>
      </x:c>
    </x:row>
    <x:row r="896">
      <x:c r="B896" t="str">
        <x:v>PH-VA-029</x:v>
      </x:c>
      <x:c r="C896" t="str">
        <x:v>PHYSICAL</x:v>
      </x:c>
      <x:c r="D896" t="str">
        <x:v>event validity</x:v>
      </x:c>
      <x:c r="E896" t="str">
        <x:v>PH-VA-029</x:v>
      </x:c>
      <x:c r="F896" t="n">
        <x:f>IF('Event Register'!T35&lt;&gt;"",1,0)</x:f>
        <x:v>0</x:v>
      </x:c>
      <x:c r="G896" t="n">
        <x:v>1</x:v>
      </x:c>
      <x:c r="H896" t="str">
        <x:v>independent physical acceptance</x:v>
      </x:c>
      <x:c r="I896" t="str">
        <x:f>IF(F896=1,"PASS","OPEN")</x:f>
        <x:v>OPEN</x:v>
      </x:c>
    </x:row>
    <x:row r="897">
      <x:c r="B897" t="str">
        <x:v>PH-OU-029</x:v>
      </x:c>
      <x:c r="C897" t="str">
        <x:v>PHYSICAL</x:v>
      </x:c>
      <x:c r="D897" t="str">
        <x:v>event outcome</x:v>
      </x:c>
      <x:c r="E897" t="str">
        <x:v>PH-OU-029</x:v>
      </x:c>
      <x:c r="F897" t="n">
        <x:f>IF('Event Register'!U35&lt;&gt;"",1,0)</x:f>
        <x:v>0</x:v>
      </x:c>
      <x:c r="G897" t="n">
        <x:v>1</x:v>
      </x:c>
      <x:c r="H897" t="str">
        <x:v>independent physical acceptance</x:v>
      </x:c>
      <x:c r="I897" t="str">
        <x:f>IF(F897=1,"PASS","OPEN")</x:f>
        <x:v>OPEN</x:v>
      </x:c>
    </x:row>
    <x:row r="898">
      <x:c r="B898" t="str">
        <x:v>PH-EX-030</x:v>
      </x:c>
      <x:c r="C898" t="str">
        <x:v>PHYSICAL</x:v>
      </x:c>
      <x:c r="D898" t="str">
        <x:v>event execution</x:v>
      </x:c>
      <x:c r="E898" t="str">
        <x:v>PH-EX-030</x:v>
      </x:c>
      <x:c r="F898" t="n">
        <x:f>IF('Event Register'!R36&lt;&gt;"",1,0)</x:f>
        <x:v>0</x:v>
      </x:c>
      <x:c r="G898" t="n">
        <x:v>1</x:v>
      </x:c>
      <x:c r="H898" t="str">
        <x:v>independent physical acceptance</x:v>
      </x:c>
      <x:c r="I898" t="str">
        <x:f>IF(F898=1,"PASS","OPEN")</x:f>
        <x:v>OPEN</x:v>
      </x:c>
    </x:row>
    <x:row r="899">
      <x:c r="B899" t="str">
        <x:v>PH-EV-030</x:v>
      </x:c>
      <x:c r="C899" t="str">
        <x:v>PHYSICAL</x:v>
      </x:c>
      <x:c r="D899" t="str">
        <x:v>event evidence</x:v>
      </x:c>
      <x:c r="E899" t="str">
        <x:v>PH-EV-030</x:v>
      </x:c>
      <x:c r="F899" t="n">
        <x:f>IF('Event Register'!S36&lt;&gt;"",1,0)</x:f>
        <x:v>0</x:v>
      </x:c>
      <x:c r="G899" t="n">
        <x:v>1</x:v>
      </x:c>
      <x:c r="H899" t="str">
        <x:v>independent physical acceptance</x:v>
      </x:c>
      <x:c r="I899" t="str">
        <x:f>IF(F899=1,"PASS","OPEN")</x:f>
        <x:v>OPEN</x:v>
      </x:c>
    </x:row>
    <x:row r="900">
      <x:c r="B900" t="str">
        <x:v>PH-VA-030</x:v>
      </x:c>
      <x:c r="C900" t="str">
        <x:v>PHYSICAL</x:v>
      </x:c>
      <x:c r="D900" t="str">
        <x:v>event validity</x:v>
      </x:c>
      <x:c r="E900" t="str">
        <x:v>PH-VA-030</x:v>
      </x:c>
      <x:c r="F900" t="n">
        <x:f>IF('Event Register'!T36&lt;&gt;"",1,0)</x:f>
        <x:v>0</x:v>
      </x:c>
      <x:c r="G900" t="n">
        <x:v>1</x:v>
      </x:c>
      <x:c r="H900" t="str">
        <x:v>independent physical acceptance</x:v>
      </x:c>
      <x:c r="I900" t="str">
        <x:f>IF(F900=1,"PASS","OPEN")</x:f>
        <x:v>OPEN</x:v>
      </x:c>
    </x:row>
    <x:row r="901">
      <x:c r="B901" t="str">
        <x:v>PH-OU-030</x:v>
      </x:c>
      <x:c r="C901" t="str">
        <x:v>PHYSICAL</x:v>
      </x:c>
      <x:c r="D901" t="str">
        <x:v>event outcome</x:v>
      </x:c>
      <x:c r="E901" t="str">
        <x:v>PH-OU-030</x:v>
      </x:c>
      <x:c r="F901" t="n">
        <x:f>IF('Event Register'!U36&lt;&gt;"",1,0)</x:f>
        <x:v>0</x:v>
      </x:c>
      <x:c r="G901" t="n">
        <x:v>1</x:v>
      </x:c>
      <x:c r="H901" t="str">
        <x:v>independent physical acceptance</x:v>
      </x:c>
      <x:c r="I901" t="str">
        <x:f>IF(F901=1,"PASS","OPEN")</x:f>
        <x:v>OPEN</x:v>
      </x:c>
    </x:row>
    <x:row r="902">
      <x:c r="B902" t="str">
        <x:v>PH-EX-031</x:v>
      </x:c>
      <x:c r="C902" t="str">
        <x:v>PHYSICAL</x:v>
      </x:c>
      <x:c r="D902" t="str">
        <x:v>event execution</x:v>
      </x:c>
      <x:c r="E902" t="str">
        <x:v>PH-EX-031</x:v>
      </x:c>
      <x:c r="F902" t="n">
        <x:f>IF('Event Register'!R37&lt;&gt;"",1,0)</x:f>
        <x:v>0</x:v>
      </x:c>
      <x:c r="G902" t="n">
        <x:v>1</x:v>
      </x:c>
      <x:c r="H902" t="str">
        <x:v>independent physical acceptance</x:v>
      </x:c>
      <x:c r="I902" t="str">
        <x:f>IF(F902=1,"PASS","OPEN")</x:f>
        <x:v>OPEN</x:v>
      </x:c>
    </x:row>
    <x:row r="903">
      <x:c r="B903" t="str">
        <x:v>PH-EV-031</x:v>
      </x:c>
      <x:c r="C903" t="str">
        <x:v>PHYSICAL</x:v>
      </x:c>
      <x:c r="D903" t="str">
        <x:v>event evidence</x:v>
      </x:c>
      <x:c r="E903" t="str">
        <x:v>PH-EV-031</x:v>
      </x:c>
      <x:c r="F903" t="n">
        <x:f>IF('Event Register'!S37&lt;&gt;"",1,0)</x:f>
        <x:v>0</x:v>
      </x:c>
      <x:c r="G903" t="n">
        <x:v>1</x:v>
      </x:c>
      <x:c r="H903" t="str">
        <x:v>independent physical acceptance</x:v>
      </x:c>
      <x:c r="I903" t="str">
        <x:f>IF(F903=1,"PASS","OPEN")</x:f>
        <x:v>OPEN</x:v>
      </x:c>
    </x:row>
    <x:row r="904">
      <x:c r="B904" t="str">
        <x:v>PH-VA-031</x:v>
      </x:c>
      <x:c r="C904" t="str">
        <x:v>PHYSICAL</x:v>
      </x:c>
      <x:c r="D904" t="str">
        <x:v>event validity</x:v>
      </x:c>
      <x:c r="E904" t="str">
        <x:v>PH-VA-031</x:v>
      </x:c>
      <x:c r="F904" t="n">
        <x:f>IF('Event Register'!T37&lt;&gt;"",1,0)</x:f>
        <x:v>0</x:v>
      </x:c>
      <x:c r="G904" t="n">
        <x:v>1</x:v>
      </x:c>
      <x:c r="H904" t="str">
        <x:v>independent physical acceptance</x:v>
      </x:c>
      <x:c r="I904" t="str">
        <x:f>IF(F904=1,"PASS","OPEN")</x:f>
        <x:v>OPEN</x:v>
      </x:c>
    </x:row>
    <x:row r="905">
      <x:c r="B905" t="str">
        <x:v>PH-OU-031</x:v>
      </x:c>
      <x:c r="C905" t="str">
        <x:v>PHYSICAL</x:v>
      </x:c>
      <x:c r="D905" t="str">
        <x:v>event outcome</x:v>
      </x:c>
      <x:c r="E905" t="str">
        <x:v>PH-OU-031</x:v>
      </x:c>
      <x:c r="F905" t="n">
        <x:f>IF('Event Register'!U37&lt;&gt;"",1,0)</x:f>
        <x:v>0</x:v>
      </x:c>
      <x:c r="G905" t="n">
        <x:v>1</x:v>
      </x:c>
      <x:c r="H905" t="str">
        <x:v>independent physical acceptance</x:v>
      </x:c>
      <x:c r="I905" t="str">
        <x:f>IF(F905=1,"PASS","OPEN")</x:f>
        <x:v>OPEN</x:v>
      </x:c>
    </x:row>
    <x:row r="906">
      <x:c r="B906" t="str">
        <x:v>PH-EX-032</x:v>
      </x:c>
      <x:c r="C906" t="str">
        <x:v>PHYSICAL</x:v>
      </x:c>
      <x:c r="D906" t="str">
        <x:v>event execution</x:v>
      </x:c>
      <x:c r="E906" t="str">
        <x:v>PH-EX-032</x:v>
      </x:c>
      <x:c r="F906" t="n">
        <x:f>IF('Event Register'!R38&lt;&gt;"",1,0)</x:f>
        <x:v>0</x:v>
      </x:c>
      <x:c r="G906" t="n">
        <x:v>1</x:v>
      </x:c>
      <x:c r="H906" t="str">
        <x:v>independent physical acceptance</x:v>
      </x:c>
      <x:c r="I906" t="str">
        <x:f>IF(F906=1,"PASS","OPEN")</x:f>
        <x:v>OPEN</x:v>
      </x:c>
    </x:row>
    <x:row r="907">
      <x:c r="B907" t="str">
        <x:v>PH-EV-032</x:v>
      </x:c>
      <x:c r="C907" t="str">
        <x:v>PHYSICAL</x:v>
      </x:c>
      <x:c r="D907" t="str">
        <x:v>event evidence</x:v>
      </x:c>
      <x:c r="E907" t="str">
        <x:v>PH-EV-032</x:v>
      </x:c>
      <x:c r="F907" t="n">
        <x:f>IF('Event Register'!S38&lt;&gt;"",1,0)</x:f>
        <x:v>0</x:v>
      </x:c>
      <x:c r="G907" t="n">
        <x:v>1</x:v>
      </x:c>
      <x:c r="H907" t="str">
        <x:v>independent physical acceptance</x:v>
      </x:c>
      <x:c r="I907" t="str">
        <x:f>IF(F907=1,"PASS","OPEN")</x:f>
        <x:v>OPEN</x:v>
      </x:c>
    </x:row>
    <x:row r="908">
      <x:c r="B908" t="str">
        <x:v>PH-VA-032</x:v>
      </x:c>
      <x:c r="C908" t="str">
        <x:v>PHYSICAL</x:v>
      </x:c>
      <x:c r="D908" t="str">
        <x:v>event validity</x:v>
      </x:c>
      <x:c r="E908" t="str">
        <x:v>PH-VA-032</x:v>
      </x:c>
      <x:c r="F908" t="n">
        <x:f>IF('Event Register'!T38&lt;&gt;"",1,0)</x:f>
        <x:v>0</x:v>
      </x:c>
      <x:c r="G908" t="n">
        <x:v>1</x:v>
      </x:c>
      <x:c r="H908" t="str">
        <x:v>independent physical acceptance</x:v>
      </x:c>
      <x:c r="I908" t="str">
        <x:f>IF(F908=1,"PASS","OPEN")</x:f>
        <x:v>OPEN</x:v>
      </x:c>
    </x:row>
    <x:row r="909">
      <x:c r="B909" t="str">
        <x:v>PH-OU-032</x:v>
      </x:c>
      <x:c r="C909" t="str">
        <x:v>PHYSICAL</x:v>
      </x:c>
      <x:c r="D909" t="str">
        <x:v>event outcome</x:v>
      </x:c>
      <x:c r="E909" t="str">
        <x:v>PH-OU-032</x:v>
      </x:c>
      <x:c r="F909" t="n">
        <x:f>IF('Event Register'!U38&lt;&gt;"",1,0)</x:f>
        <x:v>0</x:v>
      </x:c>
      <x:c r="G909" t="n">
        <x:v>1</x:v>
      </x:c>
      <x:c r="H909" t="str">
        <x:v>independent physical acceptance</x:v>
      </x:c>
      <x:c r="I909" t="str">
        <x:f>IF(F909=1,"PASS","OPEN")</x:f>
        <x:v>OPEN</x:v>
      </x:c>
    </x:row>
    <x:row r="910">
      <x:c r="B910" t="str">
        <x:v>PH-EX-033</x:v>
      </x:c>
      <x:c r="C910" t="str">
        <x:v>PHYSICAL</x:v>
      </x:c>
      <x:c r="D910" t="str">
        <x:v>event execution</x:v>
      </x:c>
      <x:c r="E910" t="str">
        <x:v>PH-EX-033</x:v>
      </x:c>
      <x:c r="F910" t="n">
        <x:f>IF('Event Register'!R39&lt;&gt;"",1,0)</x:f>
        <x:v>0</x:v>
      </x:c>
      <x:c r="G910" t="n">
        <x:v>1</x:v>
      </x:c>
      <x:c r="H910" t="str">
        <x:v>independent physical acceptance</x:v>
      </x:c>
      <x:c r="I910" t="str">
        <x:f>IF(F910=1,"PASS","OPEN")</x:f>
        <x:v>OPEN</x:v>
      </x:c>
    </x:row>
    <x:row r="911">
      <x:c r="B911" t="str">
        <x:v>PH-EV-033</x:v>
      </x:c>
      <x:c r="C911" t="str">
        <x:v>PHYSICAL</x:v>
      </x:c>
      <x:c r="D911" t="str">
        <x:v>event evidence</x:v>
      </x:c>
      <x:c r="E911" t="str">
        <x:v>PH-EV-033</x:v>
      </x:c>
      <x:c r="F911" t="n">
        <x:f>IF('Event Register'!S39&lt;&gt;"",1,0)</x:f>
        <x:v>0</x:v>
      </x:c>
      <x:c r="G911" t="n">
        <x:v>1</x:v>
      </x:c>
      <x:c r="H911" t="str">
        <x:v>independent physical acceptance</x:v>
      </x:c>
      <x:c r="I911" t="str">
        <x:f>IF(F911=1,"PASS","OPEN")</x:f>
        <x:v>OPEN</x:v>
      </x:c>
    </x:row>
    <x:row r="912">
      <x:c r="B912" t="str">
        <x:v>PH-VA-033</x:v>
      </x:c>
      <x:c r="C912" t="str">
        <x:v>PHYSICAL</x:v>
      </x:c>
      <x:c r="D912" t="str">
        <x:v>event validity</x:v>
      </x:c>
      <x:c r="E912" t="str">
        <x:v>PH-VA-033</x:v>
      </x:c>
      <x:c r="F912" t="n">
        <x:f>IF('Event Register'!T39&lt;&gt;"",1,0)</x:f>
        <x:v>0</x:v>
      </x:c>
      <x:c r="G912" t="n">
        <x:v>1</x:v>
      </x:c>
      <x:c r="H912" t="str">
        <x:v>independent physical acceptance</x:v>
      </x:c>
      <x:c r="I912" t="str">
        <x:f>IF(F912=1,"PASS","OPEN")</x:f>
        <x:v>OPEN</x:v>
      </x:c>
    </x:row>
    <x:row r="913">
      <x:c r="B913" t="str">
        <x:v>PH-OU-033</x:v>
      </x:c>
      <x:c r="C913" t="str">
        <x:v>PHYSICAL</x:v>
      </x:c>
      <x:c r="D913" t="str">
        <x:v>event outcome</x:v>
      </x:c>
      <x:c r="E913" t="str">
        <x:v>PH-OU-033</x:v>
      </x:c>
      <x:c r="F913" t="n">
        <x:f>IF('Event Register'!U39&lt;&gt;"",1,0)</x:f>
        <x:v>0</x:v>
      </x:c>
      <x:c r="G913" t="n">
        <x:v>1</x:v>
      </x:c>
      <x:c r="H913" t="str">
        <x:v>independent physical acceptance</x:v>
      </x:c>
      <x:c r="I913" t="str">
        <x:f>IF(F913=1,"PASS","OPEN")</x:f>
        <x:v>OPEN</x:v>
      </x:c>
    </x:row>
    <x:row r="914">
      <x:c r="B914" t="str">
        <x:v>PH-EX-034</x:v>
      </x:c>
      <x:c r="C914" t="str">
        <x:v>PHYSICAL</x:v>
      </x:c>
      <x:c r="D914" t="str">
        <x:v>event execution</x:v>
      </x:c>
      <x:c r="E914" t="str">
        <x:v>PH-EX-034</x:v>
      </x:c>
      <x:c r="F914" t="n">
        <x:f>IF('Event Register'!R40&lt;&gt;"",1,0)</x:f>
        <x:v>0</x:v>
      </x:c>
      <x:c r="G914" t="n">
        <x:v>1</x:v>
      </x:c>
      <x:c r="H914" t="str">
        <x:v>independent physical acceptance</x:v>
      </x:c>
      <x:c r="I914" t="str">
        <x:f>IF(F914=1,"PASS","OPEN")</x:f>
        <x:v>OPEN</x:v>
      </x:c>
    </x:row>
    <x:row r="915">
      <x:c r="B915" t="str">
        <x:v>PH-EV-034</x:v>
      </x:c>
      <x:c r="C915" t="str">
        <x:v>PHYSICAL</x:v>
      </x:c>
      <x:c r="D915" t="str">
        <x:v>event evidence</x:v>
      </x:c>
      <x:c r="E915" t="str">
        <x:v>PH-EV-034</x:v>
      </x:c>
      <x:c r="F915" t="n">
        <x:f>IF('Event Register'!S40&lt;&gt;"",1,0)</x:f>
        <x:v>0</x:v>
      </x:c>
      <x:c r="G915" t="n">
        <x:v>1</x:v>
      </x:c>
      <x:c r="H915" t="str">
        <x:v>independent physical acceptance</x:v>
      </x:c>
      <x:c r="I915" t="str">
        <x:f>IF(F915=1,"PASS","OPEN")</x:f>
        <x:v>OPEN</x:v>
      </x:c>
    </x:row>
    <x:row r="916">
      <x:c r="B916" t="str">
        <x:v>PH-VA-034</x:v>
      </x:c>
      <x:c r="C916" t="str">
        <x:v>PHYSICAL</x:v>
      </x:c>
      <x:c r="D916" t="str">
        <x:v>event validity</x:v>
      </x:c>
      <x:c r="E916" t="str">
        <x:v>PH-VA-034</x:v>
      </x:c>
      <x:c r="F916" t="n">
        <x:f>IF('Event Register'!T40&lt;&gt;"",1,0)</x:f>
        <x:v>0</x:v>
      </x:c>
      <x:c r="G916" t="n">
        <x:v>1</x:v>
      </x:c>
      <x:c r="H916" t="str">
        <x:v>independent physical acceptance</x:v>
      </x:c>
      <x:c r="I916" t="str">
        <x:f>IF(F916=1,"PASS","OPEN")</x:f>
        <x:v>OPEN</x:v>
      </x:c>
    </x:row>
    <x:row r="917">
      <x:c r="B917" t="str">
        <x:v>PH-OU-034</x:v>
      </x:c>
      <x:c r="C917" t="str">
        <x:v>PHYSICAL</x:v>
      </x:c>
      <x:c r="D917" t="str">
        <x:v>event outcome</x:v>
      </x:c>
      <x:c r="E917" t="str">
        <x:v>PH-OU-034</x:v>
      </x:c>
      <x:c r="F917" t="n">
        <x:f>IF('Event Register'!U40&lt;&gt;"",1,0)</x:f>
        <x:v>0</x:v>
      </x:c>
      <x:c r="G917" t="n">
        <x:v>1</x:v>
      </x:c>
      <x:c r="H917" t="str">
        <x:v>independent physical acceptance</x:v>
      </x:c>
      <x:c r="I917" t="str">
        <x:f>IF(F917=1,"PASS","OPEN")</x:f>
        <x:v>OPEN</x:v>
      </x:c>
    </x:row>
    <x:row r="918">
      <x:c r="B918" t="str">
        <x:v>PH-EX-035</x:v>
      </x:c>
      <x:c r="C918" t="str">
        <x:v>PHYSICAL</x:v>
      </x:c>
      <x:c r="D918" t="str">
        <x:v>event execution</x:v>
      </x:c>
      <x:c r="E918" t="str">
        <x:v>PH-EX-035</x:v>
      </x:c>
      <x:c r="F918" t="n">
        <x:f>IF('Event Register'!R41&lt;&gt;"",1,0)</x:f>
        <x:v>0</x:v>
      </x:c>
      <x:c r="G918" t="n">
        <x:v>1</x:v>
      </x:c>
      <x:c r="H918" t="str">
        <x:v>independent physical acceptance</x:v>
      </x:c>
      <x:c r="I918" t="str">
        <x:f>IF(F918=1,"PASS","OPEN")</x:f>
        <x:v>OPEN</x:v>
      </x:c>
    </x:row>
    <x:row r="919">
      <x:c r="B919" t="str">
        <x:v>PH-EV-035</x:v>
      </x:c>
      <x:c r="C919" t="str">
        <x:v>PHYSICAL</x:v>
      </x:c>
      <x:c r="D919" t="str">
        <x:v>event evidence</x:v>
      </x:c>
      <x:c r="E919" t="str">
        <x:v>PH-EV-035</x:v>
      </x:c>
      <x:c r="F919" t="n">
        <x:f>IF('Event Register'!S41&lt;&gt;"",1,0)</x:f>
        <x:v>0</x:v>
      </x:c>
      <x:c r="G919" t="n">
        <x:v>1</x:v>
      </x:c>
      <x:c r="H919" t="str">
        <x:v>independent physical acceptance</x:v>
      </x:c>
      <x:c r="I919" t="str">
        <x:f>IF(F919=1,"PASS","OPEN")</x:f>
        <x:v>OPEN</x:v>
      </x:c>
    </x:row>
    <x:row r="920">
      <x:c r="B920" t="str">
        <x:v>PH-VA-035</x:v>
      </x:c>
      <x:c r="C920" t="str">
        <x:v>PHYSICAL</x:v>
      </x:c>
      <x:c r="D920" t="str">
        <x:v>event validity</x:v>
      </x:c>
      <x:c r="E920" t="str">
        <x:v>PH-VA-035</x:v>
      </x:c>
      <x:c r="F920" t="n">
        <x:f>IF('Event Register'!T41&lt;&gt;"",1,0)</x:f>
        <x:v>0</x:v>
      </x:c>
      <x:c r="G920" t="n">
        <x:v>1</x:v>
      </x:c>
      <x:c r="H920" t="str">
        <x:v>independent physical acceptance</x:v>
      </x:c>
      <x:c r="I920" t="str">
        <x:f>IF(F920=1,"PASS","OPEN")</x:f>
        <x:v>OPEN</x:v>
      </x:c>
    </x:row>
    <x:row r="921">
      <x:c r="B921" t="str">
        <x:v>PH-OU-035</x:v>
      </x:c>
      <x:c r="C921" t="str">
        <x:v>PHYSICAL</x:v>
      </x:c>
      <x:c r="D921" t="str">
        <x:v>event outcome</x:v>
      </x:c>
      <x:c r="E921" t="str">
        <x:v>PH-OU-035</x:v>
      </x:c>
      <x:c r="F921" t="n">
        <x:f>IF('Event Register'!U41&lt;&gt;"",1,0)</x:f>
        <x:v>0</x:v>
      </x:c>
      <x:c r="G921" t="n">
        <x:v>1</x:v>
      </x:c>
      <x:c r="H921" t="str">
        <x:v>independent physical acceptance</x:v>
      </x:c>
      <x:c r="I921" t="str">
        <x:f>IF(F921=1,"PASS","OPEN")</x:f>
        <x:v>OPEN</x:v>
      </x:c>
    </x:row>
    <x:row r="922">
      <x:c r="B922" t="str">
        <x:v>PH-EX-036</x:v>
      </x:c>
      <x:c r="C922" t="str">
        <x:v>PHYSICAL</x:v>
      </x:c>
      <x:c r="D922" t="str">
        <x:v>event execution</x:v>
      </x:c>
      <x:c r="E922" t="str">
        <x:v>PH-EX-036</x:v>
      </x:c>
      <x:c r="F922" t="n">
        <x:f>IF('Event Register'!R42&lt;&gt;"",1,0)</x:f>
        <x:v>0</x:v>
      </x:c>
      <x:c r="G922" t="n">
        <x:v>1</x:v>
      </x:c>
      <x:c r="H922" t="str">
        <x:v>independent physical acceptance</x:v>
      </x:c>
      <x:c r="I922" t="str">
        <x:f>IF(F922=1,"PASS","OPEN")</x:f>
        <x:v>OPEN</x:v>
      </x:c>
    </x:row>
    <x:row r="923">
      <x:c r="B923" t="str">
        <x:v>PH-EV-036</x:v>
      </x:c>
      <x:c r="C923" t="str">
        <x:v>PHYSICAL</x:v>
      </x:c>
      <x:c r="D923" t="str">
        <x:v>event evidence</x:v>
      </x:c>
      <x:c r="E923" t="str">
        <x:v>PH-EV-036</x:v>
      </x:c>
      <x:c r="F923" t="n">
        <x:f>IF('Event Register'!S42&lt;&gt;"",1,0)</x:f>
        <x:v>0</x:v>
      </x:c>
      <x:c r="G923" t="n">
        <x:v>1</x:v>
      </x:c>
      <x:c r="H923" t="str">
        <x:v>independent physical acceptance</x:v>
      </x:c>
      <x:c r="I923" t="str">
        <x:f>IF(F923=1,"PASS","OPEN")</x:f>
        <x:v>OPEN</x:v>
      </x:c>
    </x:row>
    <x:row r="924">
      <x:c r="B924" t="str">
        <x:v>PH-VA-036</x:v>
      </x:c>
      <x:c r="C924" t="str">
        <x:v>PHYSICAL</x:v>
      </x:c>
      <x:c r="D924" t="str">
        <x:v>event validity</x:v>
      </x:c>
      <x:c r="E924" t="str">
        <x:v>PH-VA-036</x:v>
      </x:c>
      <x:c r="F924" t="n">
        <x:f>IF('Event Register'!T42&lt;&gt;"",1,0)</x:f>
        <x:v>0</x:v>
      </x:c>
      <x:c r="G924" t="n">
        <x:v>1</x:v>
      </x:c>
      <x:c r="H924" t="str">
        <x:v>independent physical acceptance</x:v>
      </x:c>
      <x:c r="I924" t="str">
        <x:f>IF(F924=1,"PASS","OPEN")</x:f>
        <x:v>OPEN</x:v>
      </x:c>
    </x:row>
    <x:row r="925">
      <x:c r="B925" t="str">
        <x:v>PH-OU-036</x:v>
      </x:c>
      <x:c r="C925" t="str">
        <x:v>PHYSICAL</x:v>
      </x:c>
      <x:c r="D925" t="str">
        <x:v>event outcome</x:v>
      </x:c>
      <x:c r="E925" t="str">
        <x:v>PH-OU-036</x:v>
      </x:c>
      <x:c r="F925" t="n">
        <x:f>IF('Event Register'!U42&lt;&gt;"",1,0)</x:f>
        <x:v>0</x:v>
      </x:c>
      <x:c r="G925" t="n">
        <x:v>1</x:v>
      </x:c>
      <x:c r="H925" t="str">
        <x:v>independent physical acceptance</x:v>
      </x:c>
      <x:c r="I925" t="str">
        <x:f>IF(F925=1,"PASS","OPEN")</x:f>
        <x:v>OPEN</x:v>
      </x:c>
    </x:row>
    <x:row r="926">
      <x:c r="B926" t="str">
        <x:v>PH-EX-037</x:v>
      </x:c>
      <x:c r="C926" t="str">
        <x:v>PHYSICAL</x:v>
      </x:c>
      <x:c r="D926" t="str">
        <x:v>event execution</x:v>
      </x:c>
      <x:c r="E926" t="str">
        <x:v>PH-EX-037</x:v>
      </x:c>
      <x:c r="F926" t="n">
        <x:f>IF('Event Register'!R43&lt;&gt;"",1,0)</x:f>
        <x:v>0</x:v>
      </x:c>
      <x:c r="G926" t="n">
        <x:v>1</x:v>
      </x:c>
      <x:c r="H926" t="str">
        <x:v>independent physical acceptance</x:v>
      </x:c>
      <x:c r="I926" t="str">
        <x:f>IF(F926=1,"PASS","OPEN")</x:f>
        <x:v>OPEN</x:v>
      </x:c>
    </x:row>
    <x:row r="927">
      <x:c r="B927" t="str">
        <x:v>PH-EV-037</x:v>
      </x:c>
      <x:c r="C927" t="str">
        <x:v>PHYSICAL</x:v>
      </x:c>
      <x:c r="D927" t="str">
        <x:v>event evidence</x:v>
      </x:c>
      <x:c r="E927" t="str">
        <x:v>PH-EV-037</x:v>
      </x:c>
      <x:c r="F927" t="n">
        <x:f>IF('Event Register'!S43&lt;&gt;"",1,0)</x:f>
        <x:v>0</x:v>
      </x:c>
      <x:c r="G927" t="n">
        <x:v>1</x:v>
      </x:c>
      <x:c r="H927" t="str">
        <x:v>independent physical acceptance</x:v>
      </x:c>
      <x:c r="I927" t="str">
        <x:f>IF(F927=1,"PASS","OPEN")</x:f>
        <x:v>OPEN</x:v>
      </x:c>
    </x:row>
    <x:row r="928">
      <x:c r="B928" t="str">
        <x:v>PH-VA-037</x:v>
      </x:c>
      <x:c r="C928" t="str">
        <x:v>PHYSICAL</x:v>
      </x:c>
      <x:c r="D928" t="str">
        <x:v>event validity</x:v>
      </x:c>
      <x:c r="E928" t="str">
        <x:v>PH-VA-037</x:v>
      </x:c>
      <x:c r="F928" t="n">
        <x:f>IF('Event Register'!T43&lt;&gt;"",1,0)</x:f>
        <x:v>0</x:v>
      </x:c>
      <x:c r="G928" t="n">
        <x:v>1</x:v>
      </x:c>
      <x:c r="H928" t="str">
        <x:v>independent physical acceptance</x:v>
      </x:c>
      <x:c r="I928" t="str">
        <x:f>IF(F928=1,"PASS","OPEN")</x:f>
        <x:v>OPEN</x:v>
      </x:c>
    </x:row>
    <x:row r="929">
      <x:c r="B929" t="str">
        <x:v>PH-OU-037</x:v>
      </x:c>
      <x:c r="C929" t="str">
        <x:v>PHYSICAL</x:v>
      </x:c>
      <x:c r="D929" t="str">
        <x:v>event outcome</x:v>
      </x:c>
      <x:c r="E929" t="str">
        <x:v>PH-OU-037</x:v>
      </x:c>
      <x:c r="F929" t="n">
        <x:f>IF('Event Register'!U43&lt;&gt;"",1,0)</x:f>
        <x:v>0</x:v>
      </x:c>
      <x:c r="G929" t="n">
        <x:v>1</x:v>
      </x:c>
      <x:c r="H929" t="str">
        <x:v>independent physical acceptance</x:v>
      </x:c>
      <x:c r="I929" t="str">
        <x:f>IF(F929=1,"PASS","OPEN")</x:f>
        <x:v>OPEN</x:v>
      </x:c>
    </x:row>
    <x:row r="930">
      <x:c r="B930" t="str">
        <x:v>PH-EX-038</x:v>
      </x:c>
      <x:c r="C930" t="str">
        <x:v>PHYSICAL</x:v>
      </x:c>
      <x:c r="D930" t="str">
        <x:v>event execution</x:v>
      </x:c>
      <x:c r="E930" t="str">
        <x:v>PH-EX-038</x:v>
      </x:c>
      <x:c r="F930" t="n">
        <x:f>IF('Event Register'!R44&lt;&gt;"",1,0)</x:f>
        <x:v>0</x:v>
      </x:c>
      <x:c r="G930" t="n">
        <x:v>1</x:v>
      </x:c>
      <x:c r="H930" t="str">
        <x:v>independent physical acceptance</x:v>
      </x:c>
      <x:c r="I930" t="str">
        <x:f>IF(F930=1,"PASS","OPEN")</x:f>
        <x:v>OPEN</x:v>
      </x:c>
    </x:row>
    <x:row r="931">
      <x:c r="B931" t="str">
        <x:v>PH-EV-038</x:v>
      </x:c>
      <x:c r="C931" t="str">
        <x:v>PHYSICAL</x:v>
      </x:c>
      <x:c r="D931" t="str">
        <x:v>event evidence</x:v>
      </x:c>
      <x:c r="E931" t="str">
        <x:v>PH-EV-038</x:v>
      </x:c>
      <x:c r="F931" t="n">
        <x:f>IF('Event Register'!S44&lt;&gt;"",1,0)</x:f>
        <x:v>0</x:v>
      </x:c>
      <x:c r="G931" t="n">
        <x:v>1</x:v>
      </x:c>
      <x:c r="H931" t="str">
        <x:v>independent physical acceptance</x:v>
      </x:c>
      <x:c r="I931" t="str">
        <x:f>IF(F931=1,"PASS","OPEN")</x:f>
        <x:v>OPEN</x:v>
      </x:c>
    </x:row>
    <x:row r="932">
      <x:c r="B932" t="str">
        <x:v>PH-VA-038</x:v>
      </x:c>
      <x:c r="C932" t="str">
        <x:v>PHYSICAL</x:v>
      </x:c>
      <x:c r="D932" t="str">
        <x:v>event validity</x:v>
      </x:c>
      <x:c r="E932" t="str">
        <x:v>PH-VA-038</x:v>
      </x:c>
      <x:c r="F932" t="n">
        <x:f>IF('Event Register'!T44&lt;&gt;"",1,0)</x:f>
        <x:v>0</x:v>
      </x:c>
      <x:c r="G932" t="n">
        <x:v>1</x:v>
      </x:c>
      <x:c r="H932" t="str">
        <x:v>independent physical acceptance</x:v>
      </x:c>
      <x:c r="I932" t="str">
        <x:f>IF(F932=1,"PASS","OPEN")</x:f>
        <x:v>OPEN</x:v>
      </x:c>
    </x:row>
    <x:row r="933">
      <x:c r="B933" t="str">
        <x:v>PH-OU-038</x:v>
      </x:c>
      <x:c r="C933" t="str">
        <x:v>PHYSICAL</x:v>
      </x:c>
      <x:c r="D933" t="str">
        <x:v>event outcome</x:v>
      </x:c>
      <x:c r="E933" t="str">
        <x:v>PH-OU-038</x:v>
      </x:c>
      <x:c r="F933" t="n">
        <x:f>IF('Event Register'!U44&lt;&gt;"",1,0)</x:f>
        <x:v>0</x:v>
      </x:c>
      <x:c r="G933" t="n">
        <x:v>1</x:v>
      </x:c>
      <x:c r="H933" t="str">
        <x:v>independent physical acceptance</x:v>
      </x:c>
      <x:c r="I933" t="str">
        <x:f>IF(F933=1,"PASS","OPEN")</x:f>
        <x:v>OPEN</x:v>
      </x:c>
    </x:row>
    <x:row r="934">
      <x:c r="B934" t="str">
        <x:v>PH-EX-039</x:v>
      </x:c>
      <x:c r="C934" t="str">
        <x:v>PHYSICAL</x:v>
      </x:c>
      <x:c r="D934" t="str">
        <x:v>event execution</x:v>
      </x:c>
      <x:c r="E934" t="str">
        <x:v>PH-EX-039</x:v>
      </x:c>
      <x:c r="F934" t="n">
        <x:f>IF('Event Register'!R45&lt;&gt;"",1,0)</x:f>
        <x:v>0</x:v>
      </x:c>
      <x:c r="G934" t="n">
        <x:v>1</x:v>
      </x:c>
      <x:c r="H934" t="str">
        <x:v>independent physical acceptance</x:v>
      </x:c>
      <x:c r="I934" t="str">
        <x:f>IF(F934=1,"PASS","OPEN")</x:f>
        <x:v>OPEN</x:v>
      </x:c>
    </x:row>
    <x:row r="935">
      <x:c r="B935" t="str">
        <x:v>PH-EV-039</x:v>
      </x:c>
      <x:c r="C935" t="str">
        <x:v>PHYSICAL</x:v>
      </x:c>
      <x:c r="D935" t="str">
        <x:v>event evidence</x:v>
      </x:c>
      <x:c r="E935" t="str">
        <x:v>PH-EV-039</x:v>
      </x:c>
      <x:c r="F935" t="n">
        <x:f>IF('Event Register'!S45&lt;&gt;"",1,0)</x:f>
        <x:v>0</x:v>
      </x:c>
      <x:c r="G935" t="n">
        <x:v>1</x:v>
      </x:c>
      <x:c r="H935" t="str">
        <x:v>independent physical acceptance</x:v>
      </x:c>
      <x:c r="I935" t="str">
        <x:f>IF(F935=1,"PASS","OPEN")</x:f>
        <x:v>OPEN</x:v>
      </x:c>
    </x:row>
    <x:row r="936">
      <x:c r="B936" t="str">
        <x:v>PH-VA-039</x:v>
      </x:c>
      <x:c r="C936" t="str">
        <x:v>PHYSICAL</x:v>
      </x:c>
      <x:c r="D936" t="str">
        <x:v>event validity</x:v>
      </x:c>
      <x:c r="E936" t="str">
        <x:v>PH-VA-039</x:v>
      </x:c>
      <x:c r="F936" t="n">
        <x:f>IF('Event Register'!T45&lt;&gt;"",1,0)</x:f>
        <x:v>0</x:v>
      </x:c>
      <x:c r="G936" t="n">
        <x:v>1</x:v>
      </x:c>
      <x:c r="H936" t="str">
        <x:v>independent physical acceptance</x:v>
      </x:c>
      <x:c r="I936" t="str">
        <x:f>IF(F936=1,"PASS","OPEN")</x:f>
        <x:v>OPEN</x:v>
      </x:c>
    </x:row>
    <x:row r="937">
      <x:c r="B937" t="str">
        <x:v>PH-OU-039</x:v>
      </x:c>
      <x:c r="C937" t="str">
        <x:v>PHYSICAL</x:v>
      </x:c>
      <x:c r="D937" t="str">
        <x:v>event outcome</x:v>
      </x:c>
      <x:c r="E937" t="str">
        <x:v>PH-OU-039</x:v>
      </x:c>
      <x:c r="F937" t="n">
        <x:f>IF('Event Register'!U45&lt;&gt;"",1,0)</x:f>
        <x:v>0</x:v>
      </x:c>
      <x:c r="G937" t="n">
        <x:v>1</x:v>
      </x:c>
      <x:c r="H937" t="str">
        <x:v>independent physical acceptance</x:v>
      </x:c>
      <x:c r="I937" t="str">
        <x:f>IF(F937=1,"PASS","OPEN")</x:f>
        <x:v>OPEN</x:v>
      </x:c>
    </x:row>
    <x:row r="938">
      <x:c r="B938" t="str">
        <x:v>PH-EX-040</x:v>
      </x:c>
      <x:c r="C938" t="str">
        <x:v>PHYSICAL</x:v>
      </x:c>
      <x:c r="D938" t="str">
        <x:v>event execution</x:v>
      </x:c>
      <x:c r="E938" t="str">
        <x:v>PH-EX-040</x:v>
      </x:c>
      <x:c r="F938" t="n">
        <x:f>IF('Event Register'!R46&lt;&gt;"",1,0)</x:f>
        <x:v>0</x:v>
      </x:c>
      <x:c r="G938" t="n">
        <x:v>1</x:v>
      </x:c>
      <x:c r="H938" t="str">
        <x:v>independent physical acceptance</x:v>
      </x:c>
      <x:c r="I938" t="str">
        <x:f>IF(F938=1,"PASS","OPEN")</x:f>
        <x:v>OPEN</x:v>
      </x:c>
    </x:row>
    <x:row r="939">
      <x:c r="B939" t="str">
        <x:v>PH-EV-040</x:v>
      </x:c>
      <x:c r="C939" t="str">
        <x:v>PHYSICAL</x:v>
      </x:c>
      <x:c r="D939" t="str">
        <x:v>event evidence</x:v>
      </x:c>
      <x:c r="E939" t="str">
        <x:v>PH-EV-040</x:v>
      </x:c>
      <x:c r="F939" t="n">
        <x:f>IF('Event Register'!S46&lt;&gt;"",1,0)</x:f>
        <x:v>0</x:v>
      </x:c>
      <x:c r="G939" t="n">
        <x:v>1</x:v>
      </x:c>
      <x:c r="H939" t="str">
        <x:v>independent physical acceptance</x:v>
      </x:c>
      <x:c r="I939" t="str">
        <x:f>IF(F939=1,"PASS","OPEN")</x:f>
        <x:v>OPEN</x:v>
      </x:c>
    </x:row>
    <x:row r="940">
      <x:c r="B940" t="str">
        <x:v>PH-VA-040</x:v>
      </x:c>
      <x:c r="C940" t="str">
        <x:v>PHYSICAL</x:v>
      </x:c>
      <x:c r="D940" t="str">
        <x:v>event validity</x:v>
      </x:c>
      <x:c r="E940" t="str">
        <x:v>PH-VA-040</x:v>
      </x:c>
      <x:c r="F940" t="n">
        <x:f>IF('Event Register'!T46&lt;&gt;"",1,0)</x:f>
        <x:v>0</x:v>
      </x:c>
      <x:c r="G940" t="n">
        <x:v>1</x:v>
      </x:c>
      <x:c r="H940" t="str">
        <x:v>independent physical acceptance</x:v>
      </x:c>
      <x:c r="I940" t="str">
        <x:f>IF(F940=1,"PASS","OPEN")</x:f>
        <x:v>OPEN</x:v>
      </x:c>
    </x:row>
    <x:row r="941">
      <x:c r="B941" t="str">
        <x:v>PH-OU-040</x:v>
      </x:c>
      <x:c r="C941" t="str">
        <x:v>PHYSICAL</x:v>
      </x:c>
      <x:c r="D941" t="str">
        <x:v>event outcome</x:v>
      </x:c>
      <x:c r="E941" t="str">
        <x:v>PH-OU-040</x:v>
      </x:c>
      <x:c r="F941" t="n">
        <x:f>IF('Event Register'!U46&lt;&gt;"",1,0)</x:f>
        <x:v>0</x:v>
      </x:c>
      <x:c r="G941" t="n">
        <x:v>1</x:v>
      </x:c>
      <x:c r="H941" t="str">
        <x:v>independent physical acceptance</x:v>
      </x:c>
      <x:c r="I941" t="str">
        <x:f>IF(F941=1,"PASS","OPEN")</x:f>
        <x:v>OPEN</x:v>
      </x:c>
    </x:row>
    <x:row r="942">
      <x:c r="B942" t="str">
        <x:v>PH-EX-041</x:v>
      </x:c>
      <x:c r="C942" t="str">
        <x:v>PHYSICAL</x:v>
      </x:c>
      <x:c r="D942" t="str">
        <x:v>event execution</x:v>
      </x:c>
      <x:c r="E942" t="str">
        <x:v>PH-EX-041</x:v>
      </x:c>
      <x:c r="F942" t="n">
        <x:f>IF('Event Register'!R47&lt;&gt;"",1,0)</x:f>
        <x:v>0</x:v>
      </x:c>
      <x:c r="G942" t="n">
        <x:v>1</x:v>
      </x:c>
      <x:c r="H942" t="str">
        <x:v>independent physical acceptance</x:v>
      </x:c>
      <x:c r="I942" t="str">
        <x:f>IF(F942=1,"PASS","OPEN")</x:f>
        <x:v>OPEN</x:v>
      </x:c>
    </x:row>
    <x:row r="943">
      <x:c r="B943" t="str">
        <x:v>PH-EV-041</x:v>
      </x:c>
      <x:c r="C943" t="str">
        <x:v>PHYSICAL</x:v>
      </x:c>
      <x:c r="D943" t="str">
        <x:v>event evidence</x:v>
      </x:c>
      <x:c r="E943" t="str">
        <x:v>PH-EV-041</x:v>
      </x:c>
      <x:c r="F943" t="n">
        <x:f>IF('Event Register'!S47&lt;&gt;"",1,0)</x:f>
        <x:v>0</x:v>
      </x:c>
      <x:c r="G943" t="n">
        <x:v>1</x:v>
      </x:c>
      <x:c r="H943" t="str">
        <x:v>independent physical acceptance</x:v>
      </x:c>
      <x:c r="I943" t="str">
        <x:f>IF(F943=1,"PASS","OPEN")</x:f>
        <x:v>OPEN</x:v>
      </x:c>
    </x:row>
    <x:row r="944">
      <x:c r="B944" t="str">
        <x:v>PH-VA-041</x:v>
      </x:c>
      <x:c r="C944" t="str">
        <x:v>PHYSICAL</x:v>
      </x:c>
      <x:c r="D944" t="str">
        <x:v>event validity</x:v>
      </x:c>
      <x:c r="E944" t="str">
        <x:v>PH-VA-041</x:v>
      </x:c>
      <x:c r="F944" t="n">
        <x:f>IF('Event Register'!T47&lt;&gt;"",1,0)</x:f>
        <x:v>0</x:v>
      </x:c>
      <x:c r="G944" t="n">
        <x:v>1</x:v>
      </x:c>
      <x:c r="H944" t="str">
        <x:v>independent physical acceptance</x:v>
      </x:c>
      <x:c r="I944" t="str">
        <x:f>IF(F944=1,"PASS","OPEN")</x:f>
        <x:v>OPEN</x:v>
      </x:c>
    </x:row>
    <x:row r="945">
      <x:c r="B945" t="str">
        <x:v>PH-OU-041</x:v>
      </x:c>
      <x:c r="C945" t="str">
        <x:v>PHYSICAL</x:v>
      </x:c>
      <x:c r="D945" t="str">
        <x:v>event outcome</x:v>
      </x:c>
      <x:c r="E945" t="str">
        <x:v>PH-OU-041</x:v>
      </x:c>
      <x:c r="F945" t="n">
        <x:f>IF('Event Register'!U47&lt;&gt;"",1,0)</x:f>
        <x:v>0</x:v>
      </x:c>
      <x:c r="G945" t="n">
        <x:v>1</x:v>
      </x:c>
      <x:c r="H945" t="str">
        <x:v>independent physical acceptance</x:v>
      </x:c>
      <x:c r="I945" t="str">
        <x:f>IF(F945=1,"PASS","OPEN")</x:f>
        <x:v>OPEN</x:v>
      </x:c>
    </x:row>
    <x:row r="946">
      <x:c r="B946" t="str">
        <x:v>PH-EX-042</x:v>
      </x:c>
      <x:c r="C946" t="str">
        <x:v>PHYSICAL</x:v>
      </x:c>
      <x:c r="D946" t="str">
        <x:v>event execution</x:v>
      </x:c>
      <x:c r="E946" t="str">
        <x:v>PH-EX-042</x:v>
      </x:c>
      <x:c r="F946" t="n">
        <x:f>IF('Event Register'!R48&lt;&gt;"",1,0)</x:f>
        <x:v>0</x:v>
      </x:c>
      <x:c r="G946" t="n">
        <x:v>1</x:v>
      </x:c>
      <x:c r="H946" t="str">
        <x:v>independent physical acceptance</x:v>
      </x:c>
      <x:c r="I946" t="str">
        <x:f>IF(F946=1,"PASS","OPEN")</x:f>
        <x:v>OPEN</x:v>
      </x:c>
    </x:row>
    <x:row r="947">
      <x:c r="B947" t="str">
        <x:v>PH-EV-042</x:v>
      </x:c>
      <x:c r="C947" t="str">
        <x:v>PHYSICAL</x:v>
      </x:c>
      <x:c r="D947" t="str">
        <x:v>event evidence</x:v>
      </x:c>
      <x:c r="E947" t="str">
        <x:v>PH-EV-042</x:v>
      </x:c>
      <x:c r="F947" t="n">
        <x:f>IF('Event Register'!S48&lt;&gt;"",1,0)</x:f>
        <x:v>0</x:v>
      </x:c>
      <x:c r="G947" t="n">
        <x:v>1</x:v>
      </x:c>
      <x:c r="H947" t="str">
        <x:v>independent physical acceptance</x:v>
      </x:c>
      <x:c r="I947" t="str">
        <x:f>IF(F947=1,"PASS","OPEN")</x:f>
        <x:v>OPEN</x:v>
      </x:c>
    </x:row>
    <x:row r="948">
      <x:c r="B948" t="str">
        <x:v>PH-VA-042</x:v>
      </x:c>
      <x:c r="C948" t="str">
        <x:v>PHYSICAL</x:v>
      </x:c>
      <x:c r="D948" t="str">
        <x:v>event validity</x:v>
      </x:c>
      <x:c r="E948" t="str">
        <x:v>PH-VA-042</x:v>
      </x:c>
      <x:c r="F948" t="n">
        <x:f>IF('Event Register'!T48&lt;&gt;"",1,0)</x:f>
        <x:v>0</x:v>
      </x:c>
      <x:c r="G948" t="n">
        <x:v>1</x:v>
      </x:c>
      <x:c r="H948" t="str">
        <x:v>independent physical acceptance</x:v>
      </x:c>
      <x:c r="I948" t="str">
        <x:f>IF(F948=1,"PASS","OPEN")</x:f>
        <x:v>OPEN</x:v>
      </x:c>
    </x:row>
    <x:row r="949">
      <x:c r="B949" t="str">
        <x:v>PH-OU-042</x:v>
      </x:c>
      <x:c r="C949" t="str">
        <x:v>PHYSICAL</x:v>
      </x:c>
      <x:c r="D949" t="str">
        <x:v>event outcome</x:v>
      </x:c>
      <x:c r="E949" t="str">
        <x:v>PH-OU-042</x:v>
      </x:c>
      <x:c r="F949" t="n">
        <x:f>IF('Event Register'!U48&lt;&gt;"",1,0)</x:f>
        <x:v>0</x:v>
      </x:c>
      <x:c r="G949" t="n">
        <x:v>1</x:v>
      </x:c>
      <x:c r="H949" t="str">
        <x:v>independent physical acceptance</x:v>
      </x:c>
      <x:c r="I949" t="str">
        <x:f>IF(F949=1,"PASS","OPEN")</x:f>
        <x:v>OPEN</x:v>
      </x:c>
    </x:row>
    <x:row r="950">
      <x:c r="B950" t="str">
        <x:v>PH-EX-043</x:v>
      </x:c>
      <x:c r="C950" t="str">
        <x:v>PHYSICAL</x:v>
      </x:c>
      <x:c r="D950" t="str">
        <x:v>event execution</x:v>
      </x:c>
      <x:c r="E950" t="str">
        <x:v>PH-EX-043</x:v>
      </x:c>
      <x:c r="F950" t="n">
        <x:f>IF('Event Register'!R49&lt;&gt;"",1,0)</x:f>
        <x:v>0</x:v>
      </x:c>
      <x:c r="G950" t="n">
        <x:v>1</x:v>
      </x:c>
      <x:c r="H950" t="str">
        <x:v>independent physical acceptance</x:v>
      </x:c>
      <x:c r="I950" t="str">
        <x:f>IF(F950=1,"PASS","OPEN")</x:f>
        <x:v>OPEN</x:v>
      </x:c>
    </x:row>
    <x:row r="951">
      <x:c r="B951" t="str">
        <x:v>PH-EV-043</x:v>
      </x:c>
      <x:c r="C951" t="str">
        <x:v>PHYSICAL</x:v>
      </x:c>
      <x:c r="D951" t="str">
        <x:v>event evidence</x:v>
      </x:c>
      <x:c r="E951" t="str">
        <x:v>PH-EV-043</x:v>
      </x:c>
      <x:c r="F951" t="n">
        <x:f>IF('Event Register'!S49&lt;&gt;"",1,0)</x:f>
        <x:v>0</x:v>
      </x:c>
      <x:c r="G951" t="n">
        <x:v>1</x:v>
      </x:c>
      <x:c r="H951" t="str">
        <x:v>independent physical acceptance</x:v>
      </x:c>
      <x:c r="I951" t="str">
        <x:f>IF(F951=1,"PASS","OPEN")</x:f>
        <x:v>OPEN</x:v>
      </x:c>
    </x:row>
    <x:row r="952">
      <x:c r="B952" t="str">
        <x:v>PH-VA-043</x:v>
      </x:c>
      <x:c r="C952" t="str">
        <x:v>PHYSICAL</x:v>
      </x:c>
      <x:c r="D952" t="str">
        <x:v>event validity</x:v>
      </x:c>
      <x:c r="E952" t="str">
        <x:v>PH-VA-043</x:v>
      </x:c>
      <x:c r="F952" t="n">
        <x:f>IF('Event Register'!T49&lt;&gt;"",1,0)</x:f>
        <x:v>0</x:v>
      </x:c>
      <x:c r="G952" t="n">
        <x:v>1</x:v>
      </x:c>
      <x:c r="H952" t="str">
        <x:v>independent physical acceptance</x:v>
      </x:c>
      <x:c r="I952" t="str">
        <x:f>IF(F952=1,"PASS","OPEN")</x:f>
        <x:v>OPEN</x:v>
      </x:c>
    </x:row>
    <x:row r="953">
      <x:c r="B953" t="str">
        <x:v>PH-OU-043</x:v>
      </x:c>
      <x:c r="C953" t="str">
        <x:v>PHYSICAL</x:v>
      </x:c>
      <x:c r="D953" t="str">
        <x:v>event outcome</x:v>
      </x:c>
      <x:c r="E953" t="str">
        <x:v>PH-OU-043</x:v>
      </x:c>
      <x:c r="F953" t="n">
        <x:f>IF('Event Register'!U49&lt;&gt;"",1,0)</x:f>
        <x:v>0</x:v>
      </x:c>
      <x:c r="G953" t="n">
        <x:v>1</x:v>
      </x:c>
      <x:c r="H953" t="str">
        <x:v>independent physical acceptance</x:v>
      </x:c>
      <x:c r="I953" t="str">
        <x:f>IF(F953=1,"PASS","OPEN")</x:f>
        <x:v>OPEN</x:v>
      </x:c>
    </x:row>
    <x:row r="954">
      <x:c r="B954" t="str">
        <x:v>PH-EX-044</x:v>
      </x:c>
      <x:c r="C954" t="str">
        <x:v>PHYSICAL</x:v>
      </x:c>
      <x:c r="D954" t="str">
        <x:v>event execution</x:v>
      </x:c>
      <x:c r="E954" t="str">
        <x:v>PH-EX-044</x:v>
      </x:c>
      <x:c r="F954" t="n">
        <x:f>IF('Event Register'!R50&lt;&gt;"",1,0)</x:f>
        <x:v>0</x:v>
      </x:c>
      <x:c r="G954" t="n">
        <x:v>1</x:v>
      </x:c>
      <x:c r="H954" t="str">
        <x:v>independent physical acceptance</x:v>
      </x:c>
      <x:c r="I954" t="str">
        <x:f>IF(F954=1,"PASS","OPEN")</x:f>
        <x:v>OPEN</x:v>
      </x:c>
    </x:row>
    <x:row r="955">
      <x:c r="B955" t="str">
        <x:v>PH-EV-044</x:v>
      </x:c>
      <x:c r="C955" t="str">
        <x:v>PHYSICAL</x:v>
      </x:c>
      <x:c r="D955" t="str">
        <x:v>event evidence</x:v>
      </x:c>
      <x:c r="E955" t="str">
        <x:v>PH-EV-044</x:v>
      </x:c>
      <x:c r="F955" t="n">
        <x:f>IF('Event Register'!S50&lt;&gt;"",1,0)</x:f>
        <x:v>0</x:v>
      </x:c>
      <x:c r="G955" t="n">
        <x:v>1</x:v>
      </x:c>
      <x:c r="H955" t="str">
        <x:v>independent physical acceptance</x:v>
      </x:c>
      <x:c r="I955" t="str">
        <x:f>IF(F955=1,"PASS","OPEN")</x:f>
        <x:v>OPEN</x:v>
      </x:c>
    </x:row>
    <x:row r="956">
      <x:c r="B956" t="str">
        <x:v>PH-VA-044</x:v>
      </x:c>
      <x:c r="C956" t="str">
        <x:v>PHYSICAL</x:v>
      </x:c>
      <x:c r="D956" t="str">
        <x:v>event validity</x:v>
      </x:c>
      <x:c r="E956" t="str">
        <x:v>PH-VA-044</x:v>
      </x:c>
      <x:c r="F956" t="n">
        <x:f>IF('Event Register'!T50&lt;&gt;"",1,0)</x:f>
        <x:v>0</x:v>
      </x:c>
      <x:c r="G956" t="n">
        <x:v>1</x:v>
      </x:c>
      <x:c r="H956" t="str">
        <x:v>independent physical acceptance</x:v>
      </x:c>
      <x:c r="I956" t="str">
        <x:f>IF(F956=1,"PASS","OPEN")</x:f>
        <x:v>OPEN</x:v>
      </x:c>
    </x:row>
    <x:row r="957">
      <x:c r="B957" t="str">
        <x:v>PH-OU-044</x:v>
      </x:c>
      <x:c r="C957" t="str">
        <x:v>PHYSICAL</x:v>
      </x:c>
      <x:c r="D957" t="str">
        <x:v>event outcome</x:v>
      </x:c>
      <x:c r="E957" t="str">
        <x:v>PH-OU-044</x:v>
      </x:c>
      <x:c r="F957" t="n">
        <x:f>IF('Event Register'!U50&lt;&gt;"",1,0)</x:f>
        <x:v>0</x:v>
      </x:c>
      <x:c r="G957" t="n">
        <x:v>1</x:v>
      </x:c>
      <x:c r="H957" t="str">
        <x:v>independent physical acceptance</x:v>
      </x:c>
      <x:c r="I957" t="str">
        <x:f>IF(F957=1,"PASS","OPEN")</x:f>
        <x:v>OPEN</x:v>
      </x:c>
    </x:row>
    <x:row r="958">
      <x:c r="B958" t="str">
        <x:v>PH-EX-045</x:v>
      </x:c>
      <x:c r="C958" t="str">
        <x:v>PHYSICAL</x:v>
      </x:c>
      <x:c r="D958" t="str">
        <x:v>event execution</x:v>
      </x:c>
      <x:c r="E958" t="str">
        <x:v>PH-EX-045</x:v>
      </x:c>
      <x:c r="F958" t="n">
        <x:f>IF('Event Register'!R51&lt;&gt;"",1,0)</x:f>
        <x:v>0</x:v>
      </x:c>
      <x:c r="G958" t="n">
        <x:v>1</x:v>
      </x:c>
      <x:c r="H958" t="str">
        <x:v>independent physical acceptance</x:v>
      </x:c>
      <x:c r="I958" t="str">
        <x:f>IF(F958=1,"PASS","OPEN")</x:f>
        <x:v>OPEN</x:v>
      </x:c>
    </x:row>
    <x:row r="959">
      <x:c r="B959" t="str">
        <x:v>PH-EV-045</x:v>
      </x:c>
      <x:c r="C959" t="str">
        <x:v>PHYSICAL</x:v>
      </x:c>
      <x:c r="D959" t="str">
        <x:v>event evidence</x:v>
      </x:c>
      <x:c r="E959" t="str">
        <x:v>PH-EV-045</x:v>
      </x:c>
      <x:c r="F959" t="n">
        <x:f>IF('Event Register'!S51&lt;&gt;"",1,0)</x:f>
        <x:v>0</x:v>
      </x:c>
      <x:c r="G959" t="n">
        <x:v>1</x:v>
      </x:c>
      <x:c r="H959" t="str">
        <x:v>independent physical acceptance</x:v>
      </x:c>
      <x:c r="I959" t="str">
        <x:f>IF(F959=1,"PASS","OPEN")</x:f>
        <x:v>OPEN</x:v>
      </x:c>
    </x:row>
    <x:row r="960">
      <x:c r="B960" t="str">
        <x:v>PH-VA-045</x:v>
      </x:c>
      <x:c r="C960" t="str">
        <x:v>PHYSICAL</x:v>
      </x:c>
      <x:c r="D960" t="str">
        <x:v>event validity</x:v>
      </x:c>
      <x:c r="E960" t="str">
        <x:v>PH-VA-045</x:v>
      </x:c>
      <x:c r="F960" t="n">
        <x:f>IF('Event Register'!T51&lt;&gt;"",1,0)</x:f>
        <x:v>0</x:v>
      </x:c>
      <x:c r="G960" t="n">
        <x:v>1</x:v>
      </x:c>
      <x:c r="H960" t="str">
        <x:v>independent physical acceptance</x:v>
      </x:c>
      <x:c r="I960" t="str">
        <x:f>IF(F960=1,"PASS","OPEN")</x:f>
        <x:v>OPEN</x:v>
      </x:c>
    </x:row>
    <x:row r="961">
      <x:c r="B961" t="str">
        <x:v>PH-OU-045</x:v>
      </x:c>
      <x:c r="C961" t="str">
        <x:v>PHYSICAL</x:v>
      </x:c>
      <x:c r="D961" t="str">
        <x:v>event outcome</x:v>
      </x:c>
      <x:c r="E961" t="str">
        <x:v>PH-OU-045</x:v>
      </x:c>
      <x:c r="F961" t="n">
        <x:f>IF('Event Register'!U51&lt;&gt;"",1,0)</x:f>
        <x:v>0</x:v>
      </x:c>
      <x:c r="G961" t="n">
        <x:v>1</x:v>
      </x:c>
      <x:c r="H961" t="str">
        <x:v>independent physical acceptance</x:v>
      </x:c>
      <x:c r="I961" t="str">
        <x:f>IF(F961=1,"PASS","OPEN")</x:f>
        <x:v>OPEN</x:v>
      </x:c>
    </x:row>
    <x:row r="962">
      <x:c r="B962" t="str">
        <x:v>PH-EX-046</x:v>
      </x:c>
      <x:c r="C962" t="str">
        <x:v>PHYSICAL</x:v>
      </x:c>
      <x:c r="D962" t="str">
        <x:v>event execution</x:v>
      </x:c>
      <x:c r="E962" t="str">
        <x:v>PH-EX-046</x:v>
      </x:c>
      <x:c r="F962" t="n">
        <x:f>IF('Event Register'!R52&lt;&gt;"",1,0)</x:f>
        <x:v>0</x:v>
      </x:c>
      <x:c r="G962" t="n">
        <x:v>1</x:v>
      </x:c>
      <x:c r="H962" t="str">
        <x:v>independent physical acceptance</x:v>
      </x:c>
      <x:c r="I962" t="str">
        <x:f>IF(F962=1,"PASS","OPEN")</x:f>
        <x:v>OPEN</x:v>
      </x:c>
    </x:row>
    <x:row r="963">
      <x:c r="B963" t="str">
        <x:v>PH-EV-046</x:v>
      </x:c>
      <x:c r="C963" t="str">
        <x:v>PHYSICAL</x:v>
      </x:c>
      <x:c r="D963" t="str">
        <x:v>event evidence</x:v>
      </x:c>
      <x:c r="E963" t="str">
        <x:v>PH-EV-046</x:v>
      </x:c>
      <x:c r="F963" t="n">
        <x:f>IF('Event Register'!S52&lt;&gt;"",1,0)</x:f>
        <x:v>0</x:v>
      </x:c>
      <x:c r="G963" t="n">
        <x:v>1</x:v>
      </x:c>
      <x:c r="H963" t="str">
        <x:v>independent physical acceptance</x:v>
      </x:c>
      <x:c r="I963" t="str">
        <x:f>IF(F963=1,"PASS","OPEN")</x:f>
        <x:v>OPEN</x:v>
      </x:c>
    </x:row>
    <x:row r="964">
      <x:c r="B964" t="str">
        <x:v>PH-VA-046</x:v>
      </x:c>
      <x:c r="C964" t="str">
        <x:v>PHYSICAL</x:v>
      </x:c>
      <x:c r="D964" t="str">
        <x:v>event validity</x:v>
      </x:c>
      <x:c r="E964" t="str">
        <x:v>PH-VA-046</x:v>
      </x:c>
      <x:c r="F964" t="n">
        <x:f>IF('Event Register'!T52&lt;&gt;"",1,0)</x:f>
        <x:v>0</x:v>
      </x:c>
      <x:c r="G964" t="n">
        <x:v>1</x:v>
      </x:c>
      <x:c r="H964" t="str">
        <x:v>independent physical acceptance</x:v>
      </x:c>
      <x:c r="I964" t="str">
        <x:f>IF(F964=1,"PASS","OPEN")</x:f>
        <x:v>OPEN</x:v>
      </x:c>
    </x:row>
    <x:row r="965">
      <x:c r="B965" t="str">
        <x:v>PH-OU-046</x:v>
      </x:c>
      <x:c r="C965" t="str">
        <x:v>PHYSICAL</x:v>
      </x:c>
      <x:c r="D965" t="str">
        <x:v>event outcome</x:v>
      </x:c>
      <x:c r="E965" t="str">
        <x:v>PH-OU-046</x:v>
      </x:c>
      <x:c r="F965" t="n">
        <x:f>IF('Event Register'!U52&lt;&gt;"",1,0)</x:f>
        <x:v>0</x:v>
      </x:c>
      <x:c r="G965" t="n">
        <x:v>1</x:v>
      </x:c>
      <x:c r="H965" t="str">
        <x:v>independent physical acceptance</x:v>
      </x:c>
      <x:c r="I965" t="str">
        <x:f>IF(F965=1,"PASS","OPEN")</x:f>
        <x:v>OPEN</x:v>
      </x:c>
    </x:row>
    <x:row r="966">
      <x:c r="B966" t="str">
        <x:v>PH-EX-047</x:v>
      </x:c>
      <x:c r="C966" t="str">
        <x:v>PHYSICAL</x:v>
      </x:c>
      <x:c r="D966" t="str">
        <x:v>event execution</x:v>
      </x:c>
      <x:c r="E966" t="str">
        <x:v>PH-EX-047</x:v>
      </x:c>
      <x:c r="F966" t="n">
        <x:f>IF('Event Register'!R53&lt;&gt;"",1,0)</x:f>
        <x:v>0</x:v>
      </x:c>
      <x:c r="G966" t="n">
        <x:v>1</x:v>
      </x:c>
      <x:c r="H966" t="str">
        <x:v>independent physical acceptance</x:v>
      </x:c>
      <x:c r="I966" t="str">
        <x:f>IF(F966=1,"PASS","OPEN")</x:f>
        <x:v>OPEN</x:v>
      </x:c>
    </x:row>
    <x:row r="967">
      <x:c r="B967" t="str">
        <x:v>PH-EV-047</x:v>
      </x:c>
      <x:c r="C967" t="str">
        <x:v>PHYSICAL</x:v>
      </x:c>
      <x:c r="D967" t="str">
        <x:v>event evidence</x:v>
      </x:c>
      <x:c r="E967" t="str">
        <x:v>PH-EV-047</x:v>
      </x:c>
      <x:c r="F967" t="n">
        <x:f>IF('Event Register'!S53&lt;&gt;"",1,0)</x:f>
        <x:v>0</x:v>
      </x:c>
      <x:c r="G967" t="n">
        <x:v>1</x:v>
      </x:c>
      <x:c r="H967" t="str">
        <x:v>independent physical acceptance</x:v>
      </x:c>
      <x:c r="I967" t="str">
        <x:f>IF(F967=1,"PASS","OPEN")</x:f>
        <x:v>OPEN</x:v>
      </x:c>
    </x:row>
    <x:row r="968">
      <x:c r="B968" t="str">
        <x:v>PH-VA-047</x:v>
      </x:c>
      <x:c r="C968" t="str">
        <x:v>PHYSICAL</x:v>
      </x:c>
      <x:c r="D968" t="str">
        <x:v>event validity</x:v>
      </x:c>
      <x:c r="E968" t="str">
        <x:v>PH-VA-047</x:v>
      </x:c>
      <x:c r="F968" t="n">
        <x:f>IF('Event Register'!T53&lt;&gt;"",1,0)</x:f>
        <x:v>0</x:v>
      </x:c>
      <x:c r="G968" t="n">
        <x:v>1</x:v>
      </x:c>
      <x:c r="H968" t="str">
        <x:v>independent physical acceptance</x:v>
      </x:c>
      <x:c r="I968" t="str">
        <x:f>IF(F968=1,"PASS","OPEN")</x:f>
        <x:v>OPEN</x:v>
      </x:c>
    </x:row>
    <x:row r="969">
      <x:c r="B969" t="str">
        <x:v>PH-OU-047</x:v>
      </x:c>
      <x:c r="C969" t="str">
        <x:v>PHYSICAL</x:v>
      </x:c>
      <x:c r="D969" t="str">
        <x:v>event outcome</x:v>
      </x:c>
      <x:c r="E969" t="str">
        <x:v>PH-OU-047</x:v>
      </x:c>
      <x:c r="F969" t="n">
        <x:f>IF('Event Register'!U53&lt;&gt;"",1,0)</x:f>
        <x:v>0</x:v>
      </x:c>
      <x:c r="G969" t="n">
        <x:v>1</x:v>
      </x:c>
      <x:c r="H969" t="str">
        <x:v>independent physical acceptance</x:v>
      </x:c>
      <x:c r="I969" t="str">
        <x:f>IF(F969=1,"PASS","OPEN")</x:f>
        <x:v>OPEN</x:v>
      </x:c>
    </x:row>
    <x:row r="970">
      <x:c r="B970" t="str">
        <x:v>PH-EX-048</x:v>
      </x:c>
      <x:c r="C970" t="str">
        <x:v>PHYSICAL</x:v>
      </x:c>
      <x:c r="D970" t="str">
        <x:v>event execution</x:v>
      </x:c>
      <x:c r="E970" t="str">
        <x:v>PH-EX-048</x:v>
      </x:c>
      <x:c r="F970" t="n">
        <x:f>IF('Event Register'!R54&lt;&gt;"",1,0)</x:f>
        <x:v>0</x:v>
      </x:c>
      <x:c r="G970" t="n">
        <x:v>1</x:v>
      </x:c>
      <x:c r="H970" t="str">
        <x:v>independent physical acceptance</x:v>
      </x:c>
      <x:c r="I970" t="str">
        <x:f>IF(F970=1,"PASS","OPEN")</x:f>
        <x:v>OPEN</x:v>
      </x:c>
    </x:row>
    <x:row r="971">
      <x:c r="B971" t="str">
        <x:v>PH-EV-048</x:v>
      </x:c>
      <x:c r="C971" t="str">
        <x:v>PHYSICAL</x:v>
      </x:c>
      <x:c r="D971" t="str">
        <x:v>event evidence</x:v>
      </x:c>
      <x:c r="E971" t="str">
        <x:v>PH-EV-048</x:v>
      </x:c>
      <x:c r="F971" t="n">
        <x:f>IF('Event Register'!S54&lt;&gt;"",1,0)</x:f>
        <x:v>0</x:v>
      </x:c>
      <x:c r="G971" t="n">
        <x:v>1</x:v>
      </x:c>
      <x:c r="H971" t="str">
        <x:v>independent physical acceptance</x:v>
      </x:c>
      <x:c r="I971" t="str">
        <x:f>IF(F971=1,"PASS","OPEN")</x:f>
        <x:v>OPEN</x:v>
      </x:c>
    </x:row>
    <x:row r="972">
      <x:c r="B972" t="str">
        <x:v>PH-VA-048</x:v>
      </x:c>
      <x:c r="C972" t="str">
        <x:v>PHYSICAL</x:v>
      </x:c>
      <x:c r="D972" t="str">
        <x:v>event validity</x:v>
      </x:c>
      <x:c r="E972" t="str">
        <x:v>PH-VA-048</x:v>
      </x:c>
      <x:c r="F972" t="n">
        <x:f>IF('Event Register'!T54&lt;&gt;"",1,0)</x:f>
        <x:v>0</x:v>
      </x:c>
      <x:c r="G972" t="n">
        <x:v>1</x:v>
      </x:c>
      <x:c r="H972" t="str">
        <x:v>independent physical acceptance</x:v>
      </x:c>
      <x:c r="I972" t="str">
        <x:f>IF(F972=1,"PASS","OPEN")</x:f>
        <x:v>OPEN</x:v>
      </x:c>
    </x:row>
    <x:row r="973">
      <x:c r="B973" t="str">
        <x:v>PH-OU-048</x:v>
      </x:c>
      <x:c r="C973" t="str">
        <x:v>PHYSICAL</x:v>
      </x:c>
      <x:c r="D973" t="str">
        <x:v>event outcome</x:v>
      </x:c>
      <x:c r="E973" t="str">
        <x:v>PH-OU-048</x:v>
      </x:c>
      <x:c r="F973" t="n">
        <x:f>IF('Event Register'!U54&lt;&gt;"",1,0)</x:f>
        <x:v>0</x:v>
      </x:c>
      <x:c r="G973" t="n">
        <x:v>1</x:v>
      </x:c>
      <x:c r="H973" t="str">
        <x:v>independent physical acceptance</x:v>
      </x:c>
      <x:c r="I973" t="str">
        <x:f>IF(F973=1,"PASS","OPEN")</x:f>
        <x:v>OPEN</x:v>
      </x:c>
    </x:row>
    <x:row r="974">
      <x:c r="B974" t="str">
        <x:v>PH-EX-049</x:v>
      </x:c>
      <x:c r="C974" t="str">
        <x:v>PHYSICAL</x:v>
      </x:c>
      <x:c r="D974" t="str">
        <x:v>event execution</x:v>
      </x:c>
      <x:c r="E974" t="str">
        <x:v>PH-EX-049</x:v>
      </x:c>
      <x:c r="F974" t="n">
        <x:f>IF('Event Register'!R55&lt;&gt;"",1,0)</x:f>
        <x:v>0</x:v>
      </x:c>
      <x:c r="G974" t="n">
        <x:v>1</x:v>
      </x:c>
      <x:c r="H974" t="str">
        <x:v>independent physical acceptance</x:v>
      </x:c>
      <x:c r="I974" t="str">
        <x:f>IF(F974=1,"PASS","OPEN")</x:f>
        <x:v>OPEN</x:v>
      </x:c>
    </x:row>
    <x:row r="975">
      <x:c r="B975" t="str">
        <x:v>PH-EV-049</x:v>
      </x:c>
      <x:c r="C975" t="str">
        <x:v>PHYSICAL</x:v>
      </x:c>
      <x:c r="D975" t="str">
        <x:v>event evidence</x:v>
      </x:c>
      <x:c r="E975" t="str">
        <x:v>PH-EV-049</x:v>
      </x:c>
      <x:c r="F975" t="n">
        <x:f>IF('Event Register'!S55&lt;&gt;"",1,0)</x:f>
        <x:v>0</x:v>
      </x:c>
      <x:c r="G975" t="n">
        <x:v>1</x:v>
      </x:c>
      <x:c r="H975" t="str">
        <x:v>independent physical acceptance</x:v>
      </x:c>
      <x:c r="I975" t="str">
        <x:f>IF(F975=1,"PASS","OPEN")</x:f>
        <x:v>OPEN</x:v>
      </x:c>
    </x:row>
    <x:row r="976">
      <x:c r="B976" t="str">
        <x:v>PH-VA-049</x:v>
      </x:c>
      <x:c r="C976" t="str">
        <x:v>PHYSICAL</x:v>
      </x:c>
      <x:c r="D976" t="str">
        <x:v>event validity</x:v>
      </x:c>
      <x:c r="E976" t="str">
        <x:v>PH-VA-049</x:v>
      </x:c>
      <x:c r="F976" t="n">
        <x:f>IF('Event Register'!T55&lt;&gt;"",1,0)</x:f>
        <x:v>0</x:v>
      </x:c>
      <x:c r="G976" t="n">
        <x:v>1</x:v>
      </x:c>
      <x:c r="H976" t="str">
        <x:v>independent physical acceptance</x:v>
      </x:c>
      <x:c r="I976" t="str">
        <x:f>IF(F976=1,"PASS","OPEN")</x:f>
        <x:v>OPEN</x:v>
      </x:c>
    </x:row>
    <x:row r="977">
      <x:c r="B977" t="str">
        <x:v>PH-OU-049</x:v>
      </x:c>
      <x:c r="C977" t="str">
        <x:v>PHYSICAL</x:v>
      </x:c>
      <x:c r="D977" t="str">
        <x:v>event outcome</x:v>
      </x:c>
      <x:c r="E977" t="str">
        <x:v>PH-OU-049</x:v>
      </x:c>
      <x:c r="F977" t="n">
        <x:f>IF('Event Register'!U55&lt;&gt;"",1,0)</x:f>
        <x:v>0</x:v>
      </x:c>
      <x:c r="G977" t="n">
        <x:v>1</x:v>
      </x:c>
      <x:c r="H977" t="str">
        <x:v>independent physical acceptance</x:v>
      </x:c>
      <x:c r="I977" t="str">
        <x:f>IF(F977=1,"PASS","OPEN")</x:f>
        <x:v>OPEN</x:v>
      </x:c>
    </x:row>
    <x:row r="978">
      <x:c r="B978" t="str">
        <x:v>PH-EX-050</x:v>
      </x:c>
      <x:c r="C978" t="str">
        <x:v>PHYSICAL</x:v>
      </x:c>
      <x:c r="D978" t="str">
        <x:v>event execution</x:v>
      </x:c>
      <x:c r="E978" t="str">
        <x:v>PH-EX-050</x:v>
      </x:c>
      <x:c r="F978" t="n">
        <x:f>IF('Event Register'!R56&lt;&gt;"",1,0)</x:f>
        <x:v>0</x:v>
      </x:c>
      <x:c r="G978" t="n">
        <x:v>1</x:v>
      </x:c>
      <x:c r="H978" t="str">
        <x:v>independent physical acceptance</x:v>
      </x:c>
      <x:c r="I978" t="str">
        <x:f>IF(F978=1,"PASS","OPEN")</x:f>
        <x:v>OPEN</x:v>
      </x:c>
    </x:row>
    <x:row r="979">
      <x:c r="B979" t="str">
        <x:v>PH-EV-050</x:v>
      </x:c>
      <x:c r="C979" t="str">
        <x:v>PHYSICAL</x:v>
      </x:c>
      <x:c r="D979" t="str">
        <x:v>event evidence</x:v>
      </x:c>
      <x:c r="E979" t="str">
        <x:v>PH-EV-050</x:v>
      </x:c>
      <x:c r="F979" t="n">
        <x:f>IF('Event Register'!S56&lt;&gt;"",1,0)</x:f>
        <x:v>0</x:v>
      </x:c>
      <x:c r="G979" t="n">
        <x:v>1</x:v>
      </x:c>
      <x:c r="H979" t="str">
        <x:v>independent physical acceptance</x:v>
      </x:c>
      <x:c r="I979" t="str">
        <x:f>IF(F979=1,"PASS","OPEN")</x:f>
        <x:v>OPEN</x:v>
      </x:c>
    </x:row>
    <x:row r="980">
      <x:c r="B980" t="str">
        <x:v>PH-VA-050</x:v>
      </x:c>
      <x:c r="C980" t="str">
        <x:v>PHYSICAL</x:v>
      </x:c>
      <x:c r="D980" t="str">
        <x:v>event validity</x:v>
      </x:c>
      <x:c r="E980" t="str">
        <x:v>PH-VA-050</x:v>
      </x:c>
      <x:c r="F980" t="n">
        <x:f>IF('Event Register'!T56&lt;&gt;"",1,0)</x:f>
        <x:v>0</x:v>
      </x:c>
      <x:c r="G980" t="n">
        <x:v>1</x:v>
      </x:c>
      <x:c r="H980" t="str">
        <x:v>independent physical acceptance</x:v>
      </x:c>
      <x:c r="I980" t="str">
        <x:f>IF(F980=1,"PASS","OPEN")</x:f>
        <x:v>OPEN</x:v>
      </x:c>
    </x:row>
    <x:row r="981">
      <x:c r="B981" t="str">
        <x:v>PH-OU-050</x:v>
      </x:c>
      <x:c r="C981" t="str">
        <x:v>PHYSICAL</x:v>
      </x:c>
      <x:c r="D981" t="str">
        <x:v>event outcome</x:v>
      </x:c>
      <x:c r="E981" t="str">
        <x:v>PH-OU-050</x:v>
      </x:c>
      <x:c r="F981" t="n">
        <x:f>IF('Event Register'!U56&lt;&gt;"",1,0)</x:f>
        <x:v>0</x:v>
      </x:c>
      <x:c r="G981" t="n">
        <x:v>1</x:v>
      </x:c>
      <x:c r="H981" t="str">
        <x:v>independent physical acceptance</x:v>
      </x:c>
      <x:c r="I981" t="str">
        <x:f>IF(F981=1,"PASS","OPEN")</x:f>
        <x:v>OPEN</x:v>
      </x:c>
    </x:row>
    <x:row r="982">
      <x:c r="B982" t="str">
        <x:v>PH-EX-051</x:v>
      </x:c>
      <x:c r="C982" t="str">
        <x:v>PHYSICAL</x:v>
      </x:c>
      <x:c r="D982" t="str">
        <x:v>event execution</x:v>
      </x:c>
      <x:c r="E982" t="str">
        <x:v>PH-EX-051</x:v>
      </x:c>
      <x:c r="F982" t="n">
        <x:f>IF('Event Register'!R57&lt;&gt;"",1,0)</x:f>
        <x:v>0</x:v>
      </x:c>
      <x:c r="G982" t="n">
        <x:v>1</x:v>
      </x:c>
      <x:c r="H982" t="str">
        <x:v>independent physical acceptance</x:v>
      </x:c>
      <x:c r="I982" t="str">
        <x:f>IF(F982=1,"PASS","OPEN")</x:f>
        <x:v>OPEN</x:v>
      </x:c>
    </x:row>
    <x:row r="983">
      <x:c r="B983" t="str">
        <x:v>PH-EV-051</x:v>
      </x:c>
      <x:c r="C983" t="str">
        <x:v>PHYSICAL</x:v>
      </x:c>
      <x:c r="D983" t="str">
        <x:v>event evidence</x:v>
      </x:c>
      <x:c r="E983" t="str">
        <x:v>PH-EV-051</x:v>
      </x:c>
      <x:c r="F983" t="n">
        <x:f>IF('Event Register'!S57&lt;&gt;"",1,0)</x:f>
        <x:v>0</x:v>
      </x:c>
      <x:c r="G983" t="n">
        <x:v>1</x:v>
      </x:c>
      <x:c r="H983" t="str">
        <x:v>independent physical acceptance</x:v>
      </x:c>
      <x:c r="I983" t="str">
        <x:f>IF(F983=1,"PASS","OPEN")</x:f>
        <x:v>OPEN</x:v>
      </x:c>
    </x:row>
    <x:row r="984">
      <x:c r="B984" t="str">
        <x:v>PH-VA-051</x:v>
      </x:c>
      <x:c r="C984" t="str">
        <x:v>PHYSICAL</x:v>
      </x:c>
      <x:c r="D984" t="str">
        <x:v>event validity</x:v>
      </x:c>
      <x:c r="E984" t="str">
        <x:v>PH-VA-051</x:v>
      </x:c>
      <x:c r="F984" t="n">
        <x:f>IF('Event Register'!T57&lt;&gt;"",1,0)</x:f>
        <x:v>0</x:v>
      </x:c>
      <x:c r="G984" t="n">
        <x:v>1</x:v>
      </x:c>
      <x:c r="H984" t="str">
        <x:v>independent physical acceptance</x:v>
      </x:c>
      <x:c r="I984" t="str">
        <x:f>IF(F984=1,"PASS","OPEN")</x:f>
        <x:v>OPEN</x:v>
      </x:c>
    </x:row>
    <x:row r="985">
      <x:c r="B985" t="str">
        <x:v>PH-OU-051</x:v>
      </x:c>
      <x:c r="C985" t="str">
        <x:v>PHYSICAL</x:v>
      </x:c>
      <x:c r="D985" t="str">
        <x:v>event outcome</x:v>
      </x:c>
      <x:c r="E985" t="str">
        <x:v>PH-OU-051</x:v>
      </x:c>
      <x:c r="F985" t="n">
        <x:f>IF('Event Register'!U57&lt;&gt;"",1,0)</x:f>
        <x:v>0</x:v>
      </x:c>
      <x:c r="G985" t="n">
        <x:v>1</x:v>
      </x:c>
      <x:c r="H985" t="str">
        <x:v>independent physical acceptance</x:v>
      </x:c>
      <x:c r="I985" t="str">
        <x:f>IF(F985=1,"PASS","OPEN")</x:f>
        <x:v>OPEN</x:v>
      </x:c>
    </x:row>
    <x:row r="986">
      <x:c r="B986" t="str">
        <x:v>PH-EX-052</x:v>
      </x:c>
      <x:c r="C986" t="str">
        <x:v>PHYSICAL</x:v>
      </x:c>
      <x:c r="D986" t="str">
        <x:v>event execution</x:v>
      </x:c>
      <x:c r="E986" t="str">
        <x:v>PH-EX-052</x:v>
      </x:c>
      <x:c r="F986" t="n">
        <x:f>IF('Event Register'!R58&lt;&gt;"",1,0)</x:f>
        <x:v>0</x:v>
      </x:c>
      <x:c r="G986" t="n">
        <x:v>1</x:v>
      </x:c>
      <x:c r="H986" t="str">
        <x:v>independent physical acceptance</x:v>
      </x:c>
      <x:c r="I986" t="str">
        <x:f>IF(F986=1,"PASS","OPEN")</x:f>
        <x:v>OPEN</x:v>
      </x:c>
    </x:row>
    <x:row r="987">
      <x:c r="B987" t="str">
        <x:v>PH-EV-052</x:v>
      </x:c>
      <x:c r="C987" t="str">
        <x:v>PHYSICAL</x:v>
      </x:c>
      <x:c r="D987" t="str">
        <x:v>event evidence</x:v>
      </x:c>
      <x:c r="E987" t="str">
        <x:v>PH-EV-052</x:v>
      </x:c>
      <x:c r="F987" t="n">
        <x:f>IF('Event Register'!S58&lt;&gt;"",1,0)</x:f>
        <x:v>0</x:v>
      </x:c>
      <x:c r="G987" t="n">
        <x:v>1</x:v>
      </x:c>
      <x:c r="H987" t="str">
        <x:v>independent physical acceptance</x:v>
      </x:c>
      <x:c r="I987" t="str">
        <x:f>IF(F987=1,"PASS","OPEN")</x:f>
        <x:v>OPEN</x:v>
      </x:c>
    </x:row>
    <x:row r="988">
      <x:c r="B988" t="str">
        <x:v>PH-VA-052</x:v>
      </x:c>
      <x:c r="C988" t="str">
        <x:v>PHYSICAL</x:v>
      </x:c>
      <x:c r="D988" t="str">
        <x:v>event validity</x:v>
      </x:c>
      <x:c r="E988" t="str">
        <x:v>PH-VA-052</x:v>
      </x:c>
      <x:c r="F988" t="n">
        <x:f>IF('Event Register'!T58&lt;&gt;"",1,0)</x:f>
        <x:v>0</x:v>
      </x:c>
      <x:c r="G988" t="n">
        <x:v>1</x:v>
      </x:c>
      <x:c r="H988" t="str">
        <x:v>independent physical acceptance</x:v>
      </x:c>
      <x:c r="I988" t="str">
        <x:f>IF(F988=1,"PASS","OPEN")</x:f>
        <x:v>OPEN</x:v>
      </x:c>
    </x:row>
    <x:row r="989">
      <x:c r="B989" t="str">
        <x:v>PH-OU-052</x:v>
      </x:c>
      <x:c r="C989" t="str">
        <x:v>PHYSICAL</x:v>
      </x:c>
      <x:c r="D989" t="str">
        <x:v>event outcome</x:v>
      </x:c>
      <x:c r="E989" t="str">
        <x:v>PH-OU-052</x:v>
      </x:c>
      <x:c r="F989" t="n">
        <x:f>IF('Event Register'!U58&lt;&gt;"",1,0)</x:f>
        <x:v>0</x:v>
      </x:c>
      <x:c r="G989" t="n">
        <x:v>1</x:v>
      </x:c>
      <x:c r="H989" t="str">
        <x:v>independent physical acceptance</x:v>
      </x:c>
      <x:c r="I989" t="str">
        <x:f>IF(F989=1,"PASS","OPEN")</x:f>
        <x:v>OPEN</x:v>
      </x:c>
    </x:row>
    <x:row r="990">
      <x:c r="B990" t="str">
        <x:v>PH-EX-053</x:v>
      </x:c>
      <x:c r="C990" t="str">
        <x:v>PHYSICAL</x:v>
      </x:c>
      <x:c r="D990" t="str">
        <x:v>event execution</x:v>
      </x:c>
      <x:c r="E990" t="str">
        <x:v>PH-EX-053</x:v>
      </x:c>
      <x:c r="F990" t="n">
        <x:f>IF('Event Register'!R59&lt;&gt;"",1,0)</x:f>
        <x:v>0</x:v>
      </x:c>
      <x:c r="G990" t="n">
        <x:v>1</x:v>
      </x:c>
      <x:c r="H990" t="str">
        <x:v>independent physical acceptance</x:v>
      </x:c>
      <x:c r="I990" t="str">
        <x:f>IF(F990=1,"PASS","OPEN")</x:f>
        <x:v>OPEN</x:v>
      </x:c>
    </x:row>
    <x:row r="991">
      <x:c r="B991" t="str">
        <x:v>PH-EV-053</x:v>
      </x:c>
      <x:c r="C991" t="str">
        <x:v>PHYSICAL</x:v>
      </x:c>
      <x:c r="D991" t="str">
        <x:v>event evidence</x:v>
      </x:c>
      <x:c r="E991" t="str">
        <x:v>PH-EV-053</x:v>
      </x:c>
      <x:c r="F991" t="n">
        <x:f>IF('Event Register'!S59&lt;&gt;"",1,0)</x:f>
        <x:v>0</x:v>
      </x:c>
      <x:c r="G991" t="n">
        <x:v>1</x:v>
      </x:c>
      <x:c r="H991" t="str">
        <x:v>independent physical acceptance</x:v>
      </x:c>
      <x:c r="I991" t="str">
        <x:f>IF(F991=1,"PASS","OPEN")</x:f>
        <x:v>OPEN</x:v>
      </x:c>
    </x:row>
    <x:row r="992">
      <x:c r="B992" t="str">
        <x:v>PH-VA-053</x:v>
      </x:c>
      <x:c r="C992" t="str">
        <x:v>PHYSICAL</x:v>
      </x:c>
      <x:c r="D992" t="str">
        <x:v>event validity</x:v>
      </x:c>
      <x:c r="E992" t="str">
        <x:v>PH-VA-053</x:v>
      </x:c>
      <x:c r="F992" t="n">
        <x:f>IF('Event Register'!T59&lt;&gt;"",1,0)</x:f>
        <x:v>0</x:v>
      </x:c>
      <x:c r="G992" t="n">
        <x:v>1</x:v>
      </x:c>
      <x:c r="H992" t="str">
        <x:v>independent physical acceptance</x:v>
      </x:c>
      <x:c r="I992" t="str">
        <x:f>IF(F992=1,"PASS","OPEN")</x:f>
        <x:v>OPEN</x:v>
      </x:c>
    </x:row>
    <x:row r="993">
      <x:c r="B993" t="str">
        <x:v>PH-OU-053</x:v>
      </x:c>
      <x:c r="C993" t="str">
        <x:v>PHYSICAL</x:v>
      </x:c>
      <x:c r="D993" t="str">
        <x:v>event outcome</x:v>
      </x:c>
      <x:c r="E993" t="str">
        <x:v>PH-OU-053</x:v>
      </x:c>
      <x:c r="F993" t="n">
        <x:f>IF('Event Register'!U59&lt;&gt;"",1,0)</x:f>
        <x:v>0</x:v>
      </x:c>
      <x:c r="G993" t="n">
        <x:v>1</x:v>
      </x:c>
      <x:c r="H993" t="str">
        <x:v>independent physical acceptance</x:v>
      </x:c>
      <x:c r="I993" t="str">
        <x:f>IF(F993=1,"PASS","OPEN")</x:f>
        <x:v>OPEN</x:v>
      </x:c>
    </x:row>
    <x:row r="994">
      <x:c r="B994" t="str">
        <x:v>PH-EX-054</x:v>
      </x:c>
      <x:c r="C994" t="str">
        <x:v>PHYSICAL</x:v>
      </x:c>
      <x:c r="D994" t="str">
        <x:v>event execution</x:v>
      </x:c>
      <x:c r="E994" t="str">
        <x:v>PH-EX-054</x:v>
      </x:c>
      <x:c r="F994" t="n">
        <x:f>IF('Event Register'!R60&lt;&gt;"",1,0)</x:f>
        <x:v>0</x:v>
      </x:c>
      <x:c r="G994" t="n">
        <x:v>1</x:v>
      </x:c>
      <x:c r="H994" t="str">
        <x:v>independent physical acceptance</x:v>
      </x:c>
      <x:c r="I994" t="str">
        <x:f>IF(F994=1,"PASS","OPEN")</x:f>
        <x:v>OPEN</x:v>
      </x:c>
    </x:row>
    <x:row r="995">
      <x:c r="B995" t="str">
        <x:v>PH-EV-054</x:v>
      </x:c>
      <x:c r="C995" t="str">
        <x:v>PHYSICAL</x:v>
      </x:c>
      <x:c r="D995" t="str">
        <x:v>event evidence</x:v>
      </x:c>
      <x:c r="E995" t="str">
        <x:v>PH-EV-054</x:v>
      </x:c>
      <x:c r="F995" t="n">
        <x:f>IF('Event Register'!S60&lt;&gt;"",1,0)</x:f>
        <x:v>0</x:v>
      </x:c>
      <x:c r="G995" t="n">
        <x:v>1</x:v>
      </x:c>
      <x:c r="H995" t="str">
        <x:v>independent physical acceptance</x:v>
      </x:c>
      <x:c r="I995" t="str">
        <x:f>IF(F995=1,"PASS","OPEN")</x:f>
        <x:v>OPEN</x:v>
      </x:c>
    </x:row>
    <x:row r="996">
      <x:c r="B996" t="str">
        <x:v>PH-VA-054</x:v>
      </x:c>
      <x:c r="C996" t="str">
        <x:v>PHYSICAL</x:v>
      </x:c>
      <x:c r="D996" t="str">
        <x:v>event validity</x:v>
      </x:c>
      <x:c r="E996" t="str">
        <x:v>PH-VA-054</x:v>
      </x:c>
      <x:c r="F996" t="n">
        <x:f>IF('Event Register'!T60&lt;&gt;"",1,0)</x:f>
        <x:v>0</x:v>
      </x:c>
      <x:c r="G996" t="n">
        <x:v>1</x:v>
      </x:c>
      <x:c r="H996" t="str">
        <x:v>independent physical acceptance</x:v>
      </x:c>
      <x:c r="I996" t="str">
        <x:f>IF(F996=1,"PASS","OPEN")</x:f>
        <x:v>OPEN</x:v>
      </x:c>
    </x:row>
    <x:row r="997">
      <x:c r="B997" t="str">
        <x:v>PH-OU-054</x:v>
      </x:c>
      <x:c r="C997" t="str">
        <x:v>PHYSICAL</x:v>
      </x:c>
      <x:c r="D997" t="str">
        <x:v>event outcome</x:v>
      </x:c>
      <x:c r="E997" t="str">
        <x:v>PH-OU-054</x:v>
      </x:c>
      <x:c r="F997" t="n">
        <x:f>IF('Event Register'!U60&lt;&gt;"",1,0)</x:f>
        <x:v>0</x:v>
      </x:c>
      <x:c r="G997" t="n">
        <x:v>1</x:v>
      </x:c>
      <x:c r="H997" t="str">
        <x:v>independent physical acceptance</x:v>
      </x:c>
      <x:c r="I997" t="str">
        <x:f>IF(F997=1,"PASS","OPEN")</x:f>
        <x:v>OPEN</x:v>
      </x:c>
    </x:row>
    <x:row r="998">
      <x:c r="B998" t="str">
        <x:v>PH-EX-055</x:v>
      </x:c>
      <x:c r="C998" t="str">
        <x:v>PHYSICAL</x:v>
      </x:c>
      <x:c r="D998" t="str">
        <x:v>event execution</x:v>
      </x:c>
      <x:c r="E998" t="str">
        <x:v>PH-EX-055</x:v>
      </x:c>
      <x:c r="F998" t="n">
        <x:f>IF('Event Register'!R61&lt;&gt;"",1,0)</x:f>
        <x:v>0</x:v>
      </x:c>
      <x:c r="G998" t="n">
        <x:v>1</x:v>
      </x:c>
      <x:c r="H998" t="str">
        <x:v>independent physical acceptance</x:v>
      </x:c>
      <x:c r="I998" t="str">
        <x:f>IF(F998=1,"PASS","OPEN")</x:f>
        <x:v>OPEN</x:v>
      </x:c>
    </x:row>
    <x:row r="999">
      <x:c r="B999" t="str">
        <x:v>PH-EV-055</x:v>
      </x:c>
      <x:c r="C999" t="str">
        <x:v>PHYSICAL</x:v>
      </x:c>
      <x:c r="D999" t="str">
        <x:v>event evidence</x:v>
      </x:c>
      <x:c r="E999" t="str">
        <x:v>PH-EV-055</x:v>
      </x:c>
      <x:c r="F999" t="n">
        <x:f>IF('Event Register'!S61&lt;&gt;"",1,0)</x:f>
        <x:v>0</x:v>
      </x:c>
      <x:c r="G999" t="n">
        <x:v>1</x:v>
      </x:c>
      <x:c r="H999" t="str">
        <x:v>independent physical acceptance</x:v>
      </x:c>
      <x:c r="I999" t="str">
        <x:f>IF(F999=1,"PASS","OPEN")</x:f>
        <x:v>OPEN</x:v>
      </x:c>
    </x:row>
    <x:row r="1000">
      <x:c r="B1000" t="str">
        <x:v>PH-VA-055</x:v>
      </x:c>
      <x:c r="C1000" t="str">
        <x:v>PHYSICAL</x:v>
      </x:c>
      <x:c r="D1000" t="str">
        <x:v>event validity</x:v>
      </x:c>
      <x:c r="E1000" t="str">
        <x:v>PH-VA-055</x:v>
      </x:c>
      <x:c r="F1000" t="n">
        <x:f>IF('Event Register'!T61&lt;&gt;"",1,0)</x:f>
        <x:v>0</x:v>
      </x:c>
      <x:c r="G1000" t="n">
        <x:v>1</x:v>
      </x:c>
      <x:c r="H1000" t="str">
        <x:v>independent physical acceptance</x:v>
      </x:c>
      <x:c r="I1000" t="str">
        <x:f>IF(F1000=1,"PASS","OPEN")</x:f>
        <x:v>OPEN</x:v>
      </x:c>
    </x:row>
    <x:row r="1001">
      <x:c r="B1001" t="str">
        <x:v>PH-OU-055</x:v>
      </x:c>
      <x:c r="C1001" t="str">
        <x:v>PHYSICAL</x:v>
      </x:c>
      <x:c r="D1001" t="str">
        <x:v>event outcome</x:v>
      </x:c>
      <x:c r="E1001" t="str">
        <x:v>PH-OU-055</x:v>
      </x:c>
      <x:c r="F1001" t="n">
        <x:f>IF('Event Register'!U61&lt;&gt;"",1,0)</x:f>
        <x:v>0</x:v>
      </x:c>
      <x:c r="G1001" t="n">
        <x:v>1</x:v>
      </x:c>
      <x:c r="H1001" t="str">
        <x:v>independent physical acceptance</x:v>
      </x:c>
      <x:c r="I1001" t="str">
        <x:f>IF(F1001=1,"PASS","OPEN")</x:f>
        <x:v>OPEN</x:v>
      </x:c>
    </x:row>
    <x:row r="1002">
      <x:c r="B1002" t="str">
        <x:v>PH-EX-056</x:v>
      </x:c>
      <x:c r="C1002" t="str">
        <x:v>PHYSICAL</x:v>
      </x:c>
      <x:c r="D1002" t="str">
        <x:v>event execution</x:v>
      </x:c>
      <x:c r="E1002" t="str">
        <x:v>PH-EX-056</x:v>
      </x:c>
      <x:c r="F1002" t="n">
        <x:f>IF('Event Register'!R62&lt;&gt;"",1,0)</x:f>
        <x:v>0</x:v>
      </x:c>
      <x:c r="G1002" t="n">
        <x:v>1</x:v>
      </x:c>
      <x:c r="H1002" t="str">
        <x:v>independent physical acceptance</x:v>
      </x:c>
      <x:c r="I1002" t="str">
        <x:f>IF(F1002=1,"PASS","OPEN")</x:f>
        <x:v>OPEN</x:v>
      </x:c>
    </x:row>
    <x:row r="1003">
      <x:c r="B1003" t="str">
        <x:v>PH-EV-056</x:v>
      </x:c>
      <x:c r="C1003" t="str">
        <x:v>PHYSICAL</x:v>
      </x:c>
      <x:c r="D1003" t="str">
        <x:v>event evidence</x:v>
      </x:c>
      <x:c r="E1003" t="str">
        <x:v>PH-EV-056</x:v>
      </x:c>
      <x:c r="F1003" t="n">
        <x:f>IF('Event Register'!S62&lt;&gt;"",1,0)</x:f>
        <x:v>0</x:v>
      </x:c>
      <x:c r="G1003" t="n">
        <x:v>1</x:v>
      </x:c>
      <x:c r="H1003" t="str">
        <x:v>independent physical acceptance</x:v>
      </x:c>
      <x:c r="I1003" t="str">
        <x:f>IF(F1003=1,"PASS","OPEN")</x:f>
        <x:v>OPEN</x:v>
      </x:c>
    </x:row>
    <x:row r="1004">
      <x:c r="B1004" t="str">
        <x:v>PH-VA-056</x:v>
      </x:c>
      <x:c r="C1004" t="str">
        <x:v>PHYSICAL</x:v>
      </x:c>
      <x:c r="D1004" t="str">
        <x:v>event validity</x:v>
      </x:c>
      <x:c r="E1004" t="str">
        <x:v>PH-VA-056</x:v>
      </x:c>
      <x:c r="F1004" t="n">
        <x:f>IF('Event Register'!T62&lt;&gt;"",1,0)</x:f>
        <x:v>0</x:v>
      </x:c>
      <x:c r="G1004" t="n">
        <x:v>1</x:v>
      </x:c>
      <x:c r="H1004" t="str">
        <x:v>independent physical acceptance</x:v>
      </x:c>
      <x:c r="I1004" t="str">
        <x:f>IF(F1004=1,"PASS","OPEN")</x:f>
        <x:v>OPEN</x:v>
      </x:c>
    </x:row>
    <x:row r="1005">
      <x:c r="B1005" t="str">
        <x:v>PH-OU-056</x:v>
      </x:c>
      <x:c r="C1005" t="str">
        <x:v>PHYSICAL</x:v>
      </x:c>
      <x:c r="D1005" t="str">
        <x:v>event outcome</x:v>
      </x:c>
      <x:c r="E1005" t="str">
        <x:v>PH-OU-056</x:v>
      </x:c>
      <x:c r="F1005" t="n">
        <x:f>IF('Event Register'!U62&lt;&gt;"",1,0)</x:f>
        <x:v>0</x:v>
      </x:c>
      <x:c r="G1005" t="n">
        <x:v>1</x:v>
      </x:c>
      <x:c r="H1005" t="str">
        <x:v>independent physical acceptance</x:v>
      </x:c>
      <x:c r="I1005" t="str">
        <x:f>IF(F1005=1,"PASS","OPEN")</x:f>
        <x:v>OPEN</x:v>
      </x:c>
    </x:row>
    <x:row r="1006">
      <x:c r="B1006" t="str">
        <x:v>PH-EX-057</x:v>
      </x:c>
      <x:c r="C1006" t="str">
        <x:v>PHYSICAL</x:v>
      </x:c>
      <x:c r="D1006" t="str">
        <x:v>event execution</x:v>
      </x:c>
      <x:c r="E1006" t="str">
        <x:v>PH-EX-057</x:v>
      </x:c>
      <x:c r="F1006" t="n">
        <x:f>IF('Event Register'!R63&lt;&gt;"",1,0)</x:f>
        <x:v>0</x:v>
      </x:c>
      <x:c r="G1006" t="n">
        <x:v>1</x:v>
      </x:c>
      <x:c r="H1006" t="str">
        <x:v>independent physical acceptance</x:v>
      </x:c>
      <x:c r="I1006" t="str">
        <x:f>IF(F1006=1,"PASS","OPEN")</x:f>
        <x:v>OPEN</x:v>
      </x:c>
    </x:row>
    <x:row r="1007">
      <x:c r="B1007" t="str">
        <x:v>PH-EV-057</x:v>
      </x:c>
      <x:c r="C1007" t="str">
        <x:v>PHYSICAL</x:v>
      </x:c>
      <x:c r="D1007" t="str">
        <x:v>event evidence</x:v>
      </x:c>
      <x:c r="E1007" t="str">
        <x:v>PH-EV-057</x:v>
      </x:c>
      <x:c r="F1007" t="n">
        <x:f>IF('Event Register'!S63&lt;&gt;"",1,0)</x:f>
        <x:v>0</x:v>
      </x:c>
      <x:c r="G1007" t="n">
        <x:v>1</x:v>
      </x:c>
      <x:c r="H1007" t="str">
        <x:v>independent physical acceptance</x:v>
      </x:c>
      <x:c r="I1007" t="str">
        <x:f>IF(F1007=1,"PASS","OPEN")</x:f>
        <x:v>OPEN</x:v>
      </x:c>
    </x:row>
    <x:row r="1008">
      <x:c r="B1008" t="str">
        <x:v>PH-VA-057</x:v>
      </x:c>
      <x:c r="C1008" t="str">
        <x:v>PHYSICAL</x:v>
      </x:c>
      <x:c r="D1008" t="str">
        <x:v>event validity</x:v>
      </x:c>
      <x:c r="E1008" t="str">
        <x:v>PH-VA-057</x:v>
      </x:c>
      <x:c r="F1008" t="n">
        <x:f>IF('Event Register'!T63&lt;&gt;"",1,0)</x:f>
        <x:v>0</x:v>
      </x:c>
      <x:c r="G1008" t="n">
        <x:v>1</x:v>
      </x:c>
      <x:c r="H1008" t="str">
        <x:v>independent physical acceptance</x:v>
      </x:c>
      <x:c r="I1008" t="str">
        <x:f>IF(F1008=1,"PASS","OPEN")</x:f>
        <x:v>OPEN</x:v>
      </x:c>
    </x:row>
    <x:row r="1009">
      <x:c r="B1009" t="str">
        <x:v>PH-OU-057</x:v>
      </x:c>
      <x:c r="C1009" t="str">
        <x:v>PHYSICAL</x:v>
      </x:c>
      <x:c r="D1009" t="str">
        <x:v>event outcome</x:v>
      </x:c>
      <x:c r="E1009" t="str">
        <x:v>PH-OU-057</x:v>
      </x:c>
      <x:c r="F1009" t="n">
        <x:f>IF('Event Register'!U63&lt;&gt;"",1,0)</x:f>
        <x:v>0</x:v>
      </x:c>
      <x:c r="G1009" t="n">
        <x:v>1</x:v>
      </x:c>
      <x:c r="H1009" t="str">
        <x:v>independent physical acceptance</x:v>
      </x:c>
      <x:c r="I1009" t="str">
        <x:f>IF(F1009=1,"PASS","OPEN")</x:f>
        <x:v>OPEN</x:v>
      </x:c>
    </x:row>
    <x:row r="1010">
      <x:c r="B1010" t="str">
        <x:v>PH-EX-058</x:v>
      </x:c>
      <x:c r="C1010" t="str">
        <x:v>PHYSICAL</x:v>
      </x:c>
      <x:c r="D1010" t="str">
        <x:v>event execution</x:v>
      </x:c>
      <x:c r="E1010" t="str">
        <x:v>PH-EX-058</x:v>
      </x:c>
      <x:c r="F1010" t="n">
        <x:f>IF('Event Register'!R64&lt;&gt;"",1,0)</x:f>
        <x:v>0</x:v>
      </x:c>
      <x:c r="G1010" t="n">
        <x:v>1</x:v>
      </x:c>
      <x:c r="H1010" t="str">
        <x:v>independent physical acceptance</x:v>
      </x:c>
      <x:c r="I1010" t="str">
        <x:f>IF(F1010=1,"PASS","OPEN")</x:f>
        <x:v>OPEN</x:v>
      </x:c>
    </x:row>
    <x:row r="1011">
      <x:c r="B1011" t="str">
        <x:v>PH-EV-058</x:v>
      </x:c>
      <x:c r="C1011" t="str">
        <x:v>PHYSICAL</x:v>
      </x:c>
      <x:c r="D1011" t="str">
        <x:v>event evidence</x:v>
      </x:c>
      <x:c r="E1011" t="str">
        <x:v>PH-EV-058</x:v>
      </x:c>
      <x:c r="F1011" t="n">
        <x:f>IF('Event Register'!S64&lt;&gt;"",1,0)</x:f>
        <x:v>0</x:v>
      </x:c>
      <x:c r="G1011" t="n">
        <x:v>1</x:v>
      </x:c>
      <x:c r="H1011" t="str">
        <x:v>independent physical acceptance</x:v>
      </x:c>
      <x:c r="I1011" t="str">
        <x:f>IF(F1011=1,"PASS","OPEN")</x:f>
        <x:v>OPEN</x:v>
      </x:c>
    </x:row>
    <x:row r="1012">
      <x:c r="B1012" t="str">
        <x:v>PH-VA-058</x:v>
      </x:c>
      <x:c r="C1012" t="str">
        <x:v>PHYSICAL</x:v>
      </x:c>
      <x:c r="D1012" t="str">
        <x:v>event validity</x:v>
      </x:c>
      <x:c r="E1012" t="str">
        <x:v>PH-VA-058</x:v>
      </x:c>
      <x:c r="F1012" t="n">
        <x:f>IF('Event Register'!T64&lt;&gt;"",1,0)</x:f>
        <x:v>0</x:v>
      </x:c>
      <x:c r="G1012" t="n">
        <x:v>1</x:v>
      </x:c>
      <x:c r="H1012" t="str">
        <x:v>independent physical acceptance</x:v>
      </x:c>
      <x:c r="I1012" t="str">
        <x:f>IF(F1012=1,"PASS","OPEN")</x:f>
        <x:v>OPEN</x:v>
      </x:c>
    </x:row>
    <x:row r="1013">
      <x:c r="B1013" t="str">
        <x:v>PH-OU-058</x:v>
      </x:c>
      <x:c r="C1013" t="str">
        <x:v>PHYSICAL</x:v>
      </x:c>
      <x:c r="D1013" t="str">
        <x:v>event outcome</x:v>
      </x:c>
      <x:c r="E1013" t="str">
        <x:v>PH-OU-058</x:v>
      </x:c>
      <x:c r="F1013" t="n">
        <x:f>IF('Event Register'!U64&lt;&gt;"",1,0)</x:f>
        <x:v>0</x:v>
      </x:c>
      <x:c r="G1013" t="n">
        <x:v>1</x:v>
      </x:c>
      <x:c r="H1013" t="str">
        <x:v>independent physical acceptance</x:v>
      </x:c>
      <x:c r="I1013" t="str">
        <x:f>IF(F1013=1,"PASS","OPEN")</x:f>
        <x:v>OPEN</x:v>
      </x:c>
    </x:row>
    <x:row r="1014">
      <x:c r="B1014" t="str">
        <x:v>PH-EX-059</x:v>
      </x:c>
      <x:c r="C1014" t="str">
        <x:v>PHYSICAL</x:v>
      </x:c>
      <x:c r="D1014" t="str">
        <x:v>event execution</x:v>
      </x:c>
      <x:c r="E1014" t="str">
        <x:v>PH-EX-059</x:v>
      </x:c>
      <x:c r="F1014" t="n">
        <x:f>IF('Event Register'!R65&lt;&gt;"",1,0)</x:f>
        <x:v>0</x:v>
      </x:c>
      <x:c r="G1014" t="n">
        <x:v>1</x:v>
      </x:c>
      <x:c r="H1014" t="str">
        <x:v>independent physical acceptance</x:v>
      </x:c>
      <x:c r="I1014" t="str">
        <x:f>IF(F1014=1,"PASS","OPEN")</x:f>
        <x:v>OPEN</x:v>
      </x:c>
    </x:row>
    <x:row r="1015">
      <x:c r="B1015" t="str">
        <x:v>PH-EV-059</x:v>
      </x:c>
      <x:c r="C1015" t="str">
        <x:v>PHYSICAL</x:v>
      </x:c>
      <x:c r="D1015" t="str">
        <x:v>event evidence</x:v>
      </x:c>
      <x:c r="E1015" t="str">
        <x:v>PH-EV-059</x:v>
      </x:c>
      <x:c r="F1015" t="n">
        <x:f>IF('Event Register'!S65&lt;&gt;"",1,0)</x:f>
        <x:v>0</x:v>
      </x:c>
      <x:c r="G1015" t="n">
        <x:v>1</x:v>
      </x:c>
      <x:c r="H1015" t="str">
        <x:v>independent physical acceptance</x:v>
      </x:c>
      <x:c r="I1015" t="str">
        <x:f>IF(F1015=1,"PASS","OPEN")</x:f>
        <x:v>OPEN</x:v>
      </x:c>
    </x:row>
    <x:row r="1016">
      <x:c r="B1016" t="str">
        <x:v>PH-VA-059</x:v>
      </x:c>
      <x:c r="C1016" t="str">
        <x:v>PHYSICAL</x:v>
      </x:c>
      <x:c r="D1016" t="str">
        <x:v>event validity</x:v>
      </x:c>
      <x:c r="E1016" t="str">
        <x:v>PH-VA-059</x:v>
      </x:c>
      <x:c r="F1016" t="n">
        <x:f>IF('Event Register'!T65&lt;&gt;"",1,0)</x:f>
        <x:v>0</x:v>
      </x:c>
      <x:c r="G1016" t="n">
        <x:v>1</x:v>
      </x:c>
      <x:c r="H1016" t="str">
        <x:v>independent physical acceptance</x:v>
      </x:c>
      <x:c r="I1016" t="str">
        <x:f>IF(F1016=1,"PASS","OPEN")</x:f>
        <x:v>OPEN</x:v>
      </x:c>
    </x:row>
    <x:row r="1017">
      <x:c r="B1017" t="str">
        <x:v>PH-OU-059</x:v>
      </x:c>
      <x:c r="C1017" t="str">
        <x:v>PHYSICAL</x:v>
      </x:c>
      <x:c r="D1017" t="str">
        <x:v>event outcome</x:v>
      </x:c>
      <x:c r="E1017" t="str">
        <x:v>PH-OU-059</x:v>
      </x:c>
      <x:c r="F1017" t="n">
        <x:f>IF('Event Register'!U65&lt;&gt;"",1,0)</x:f>
        <x:v>0</x:v>
      </x:c>
      <x:c r="G1017" t="n">
        <x:v>1</x:v>
      </x:c>
      <x:c r="H1017" t="str">
        <x:v>independent physical acceptance</x:v>
      </x:c>
      <x:c r="I1017" t="str">
        <x:f>IF(F1017=1,"PASS","OPEN")</x:f>
        <x:v>OPEN</x:v>
      </x:c>
    </x:row>
    <x:row r="1018">
      <x:c r="B1018" t="str">
        <x:v>PH-EX-060</x:v>
      </x:c>
      <x:c r="C1018" t="str">
        <x:v>PHYSICAL</x:v>
      </x:c>
      <x:c r="D1018" t="str">
        <x:v>event execution</x:v>
      </x:c>
      <x:c r="E1018" t="str">
        <x:v>PH-EX-060</x:v>
      </x:c>
      <x:c r="F1018" t="n">
        <x:f>IF('Event Register'!R66&lt;&gt;"",1,0)</x:f>
        <x:v>0</x:v>
      </x:c>
      <x:c r="G1018" t="n">
        <x:v>1</x:v>
      </x:c>
      <x:c r="H1018" t="str">
        <x:v>independent physical acceptance</x:v>
      </x:c>
      <x:c r="I1018" t="str">
        <x:f>IF(F1018=1,"PASS","OPEN")</x:f>
        <x:v>OPEN</x:v>
      </x:c>
    </x:row>
    <x:row r="1019">
      <x:c r="B1019" t="str">
        <x:v>PH-EV-060</x:v>
      </x:c>
      <x:c r="C1019" t="str">
        <x:v>PHYSICAL</x:v>
      </x:c>
      <x:c r="D1019" t="str">
        <x:v>event evidence</x:v>
      </x:c>
      <x:c r="E1019" t="str">
        <x:v>PH-EV-060</x:v>
      </x:c>
      <x:c r="F1019" t="n">
        <x:f>IF('Event Register'!S66&lt;&gt;"",1,0)</x:f>
        <x:v>0</x:v>
      </x:c>
      <x:c r="G1019" t="n">
        <x:v>1</x:v>
      </x:c>
      <x:c r="H1019" t="str">
        <x:v>independent physical acceptance</x:v>
      </x:c>
      <x:c r="I1019" t="str">
        <x:f>IF(F1019=1,"PASS","OPEN")</x:f>
        <x:v>OPEN</x:v>
      </x:c>
    </x:row>
    <x:row r="1020">
      <x:c r="B1020" t="str">
        <x:v>PH-VA-060</x:v>
      </x:c>
      <x:c r="C1020" t="str">
        <x:v>PHYSICAL</x:v>
      </x:c>
      <x:c r="D1020" t="str">
        <x:v>event validity</x:v>
      </x:c>
      <x:c r="E1020" t="str">
        <x:v>PH-VA-060</x:v>
      </x:c>
      <x:c r="F1020" t="n">
        <x:f>IF('Event Register'!T66&lt;&gt;"",1,0)</x:f>
        <x:v>0</x:v>
      </x:c>
      <x:c r="G1020" t="n">
        <x:v>1</x:v>
      </x:c>
      <x:c r="H1020" t="str">
        <x:v>independent physical acceptance</x:v>
      </x:c>
      <x:c r="I1020" t="str">
        <x:f>IF(F1020=1,"PASS","OPEN")</x:f>
        <x:v>OPEN</x:v>
      </x:c>
    </x:row>
    <x:row r="1021">
      <x:c r="B1021" t="str">
        <x:v>PH-OU-060</x:v>
      </x:c>
      <x:c r="C1021" t="str">
        <x:v>PHYSICAL</x:v>
      </x:c>
      <x:c r="D1021" t="str">
        <x:v>event outcome</x:v>
      </x:c>
      <x:c r="E1021" t="str">
        <x:v>PH-OU-060</x:v>
      </x:c>
      <x:c r="F1021" t="n">
        <x:f>IF('Event Register'!U66&lt;&gt;"",1,0)</x:f>
        <x:v>0</x:v>
      </x:c>
      <x:c r="G1021" t="n">
        <x:v>1</x:v>
      </x:c>
      <x:c r="H1021" t="str">
        <x:v>independent physical acceptance</x:v>
      </x:c>
      <x:c r="I1021" t="str">
        <x:f>IF(F1021=1,"PASS","OPEN")</x:f>
        <x:v>OPEN</x:v>
      </x:c>
    </x:row>
    <x:row r="1022">
      <x:c r="B1022" t="str">
        <x:v>PH-EX-061</x:v>
      </x:c>
      <x:c r="C1022" t="str">
        <x:v>PHYSICAL</x:v>
      </x:c>
      <x:c r="D1022" t="str">
        <x:v>event execution</x:v>
      </x:c>
      <x:c r="E1022" t="str">
        <x:v>PH-EX-061</x:v>
      </x:c>
      <x:c r="F1022" t="n">
        <x:f>IF('Event Register'!R67&lt;&gt;"",1,0)</x:f>
        <x:v>0</x:v>
      </x:c>
      <x:c r="G1022" t="n">
        <x:v>1</x:v>
      </x:c>
      <x:c r="H1022" t="str">
        <x:v>independent physical acceptance</x:v>
      </x:c>
      <x:c r="I1022" t="str">
        <x:f>IF(F1022=1,"PASS","OPEN")</x:f>
        <x:v>OPEN</x:v>
      </x:c>
    </x:row>
    <x:row r="1023">
      <x:c r="B1023" t="str">
        <x:v>PH-EV-061</x:v>
      </x:c>
      <x:c r="C1023" t="str">
        <x:v>PHYSICAL</x:v>
      </x:c>
      <x:c r="D1023" t="str">
        <x:v>event evidence</x:v>
      </x:c>
      <x:c r="E1023" t="str">
        <x:v>PH-EV-061</x:v>
      </x:c>
      <x:c r="F1023" t="n">
        <x:f>IF('Event Register'!S67&lt;&gt;"",1,0)</x:f>
        <x:v>0</x:v>
      </x:c>
      <x:c r="G1023" t="n">
        <x:v>1</x:v>
      </x:c>
      <x:c r="H1023" t="str">
        <x:v>independent physical acceptance</x:v>
      </x:c>
      <x:c r="I1023" t="str">
        <x:f>IF(F1023=1,"PASS","OPEN")</x:f>
        <x:v>OPEN</x:v>
      </x:c>
    </x:row>
    <x:row r="1024">
      <x:c r="B1024" t="str">
        <x:v>PH-VA-061</x:v>
      </x:c>
      <x:c r="C1024" t="str">
        <x:v>PHYSICAL</x:v>
      </x:c>
      <x:c r="D1024" t="str">
        <x:v>event validity</x:v>
      </x:c>
      <x:c r="E1024" t="str">
        <x:v>PH-VA-061</x:v>
      </x:c>
      <x:c r="F1024" t="n">
        <x:f>IF('Event Register'!T67&lt;&gt;"",1,0)</x:f>
        <x:v>0</x:v>
      </x:c>
      <x:c r="G1024" t="n">
        <x:v>1</x:v>
      </x:c>
      <x:c r="H1024" t="str">
        <x:v>independent physical acceptance</x:v>
      </x:c>
      <x:c r="I1024" t="str">
        <x:f>IF(F1024=1,"PASS","OPEN")</x:f>
        <x:v>OPEN</x:v>
      </x:c>
    </x:row>
    <x:row r="1025">
      <x:c r="B1025" t="str">
        <x:v>PH-OU-061</x:v>
      </x:c>
      <x:c r="C1025" t="str">
        <x:v>PHYSICAL</x:v>
      </x:c>
      <x:c r="D1025" t="str">
        <x:v>event outcome</x:v>
      </x:c>
      <x:c r="E1025" t="str">
        <x:v>PH-OU-061</x:v>
      </x:c>
      <x:c r="F1025" t="n">
        <x:f>IF('Event Register'!U67&lt;&gt;"",1,0)</x:f>
        <x:v>0</x:v>
      </x:c>
      <x:c r="G1025" t="n">
        <x:v>1</x:v>
      </x:c>
      <x:c r="H1025" t="str">
        <x:v>independent physical acceptance</x:v>
      </x:c>
      <x:c r="I1025" t="str">
        <x:f>IF(F1025=1,"PASS","OPEN")</x:f>
        <x:v>OPEN</x:v>
      </x:c>
    </x:row>
    <x:row r="1026">
      <x:c r="B1026" t="str">
        <x:v>PH-EX-062</x:v>
      </x:c>
      <x:c r="C1026" t="str">
        <x:v>PHYSICAL</x:v>
      </x:c>
      <x:c r="D1026" t="str">
        <x:v>event execution</x:v>
      </x:c>
      <x:c r="E1026" t="str">
        <x:v>PH-EX-062</x:v>
      </x:c>
      <x:c r="F1026" t="n">
        <x:f>IF('Event Register'!R68&lt;&gt;"",1,0)</x:f>
        <x:v>0</x:v>
      </x:c>
      <x:c r="G1026" t="n">
        <x:v>1</x:v>
      </x:c>
      <x:c r="H1026" t="str">
        <x:v>independent physical acceptance</x:v>
      </x:c>
      <x:c r="I1026" t="str">
        <x:f>IF(F1026=1,"PASS","OPEN")</x:f>
        <x:v>OPEN</x:v>
      </x:c>
    </x:row>
    <x:row r="1027">
      <x:c r="B1027" t="str">
        <x:v>PH-EV-062</x:v>
      </x:c>
      <x:c r="C1027" t="str">
        <x:v>PHYSICAL</x:v>
      </x:c>
      <x:c r="D1027" t="str">
        <x:v>event evidence</x:v>
      </x:c>
      <x:c r="E1027" t="str">
        <x:v>PH-EV-062</x:v>
      </x:c>
      <x:c r="F1027" t="n">
        <x:f>IF('Event Register'!S68&lt;&gt;"",1,0)</x:f>
        <x:v>0</x:v>
      </x:c>
      <x:c r="G1027" t="n">
        <x:v>1</x:v>
      </x:c>
      <x:c r="H1027" t="str">
        <x:v>independent physical acceptance</x:v>
      </x:c>
      <x:c r="I1027" t="str">
        <x:f>IF(F1027=1,"PASS","OPEN")</x:f>
        <x:v>OPEN</x:v>
      </x:c>
    </x:row>
    <x:row r="1028">
      <x:c r="B1028" t="str">
        <x:v>PH-VA-062</x:v>
      </x:c>
      <x:c r="C1028" t="str">
        <x:v>PHYSICAL</x:v>
      </x:c>
      <x:c r="D1028" t="str">
        <x:v>event validity</x:v>
      </x:c>
      <x:c r="E1028" t="str">
        <x:v>PH-VA-062</x:v>
      </x:c>
      <x:c r="F1028" t="n">
        <x:f>IF('Event Register'!T68&lt;&gt;"",1,0)</x:f>
        <x:v>0</x:v>
      </x:c>
      <x:c r="G1028" t="n">
        <x:v>1</x:v>
      </x:c>
      <x:c r="H1028" t="str">
        <x:v>independent physical acceptance</x:v>
      </x:c>
      <x:c r="I1028" t="str">
        <x:f>IF(F1028=1,"PASS","OPEN")</x:f>
        <x:v>OPEN</x:v>
      </x:c>
    </x:row>
    <x:row r="1029">
      <x:c r="B1029" t="str">
        <x:v>PH-OU-062</x:v>
      </x:c>
      <x:c r="C1029" t="str">
        <x:v>PHYSICAL</x:v>
      </x:c>
      <x:c r="D1029" t="str">
        <x:v>event outcome</x:v>
      </x:c>
      <x:c r="E1029" t="str">
        <x:v>PH-OU-062</x:v>
      </x:c>
      <x:c r="F1029" t="n">
        <x:f>IF('Event Register'!U68&lt;&gt;"",1,0)</x:f>
        <x:v>0</x:v>
      </x:c>
      <x:c r="G1029" t="n">
        <x:v>1</x:v>
      </x:c>
      <x:c r="H1029" t="str">
        <x:v>independent physical acceptance</x:v>
      </x:c>
      <x:c r="I1029" t="str">
        <x:f>IF(F1029=1,"PASS","OPEN")</x:f>
        <x:v>OPEN</x:v>
      </x:c>
    </x:row>
    <x:row r="1030">
      <x:c r="B1030" t="str">
        <x:v>PH-EX-063</x:v>
      </x:c>
      <x:c r="C1030" t="str">
        <x:v>PHYSICAL</x:v>
      </x:c>
      <x:c r="D1030" t="str">
        <x:v>event execution</x:v>
      </x:c>
      <x:c r="E1030" t="str">
        <x:v>PH-EX-063</x:v>
      </x:c>
      <x:c r="F1030" t="n">
        <x:f>IF('Event Register'!R69&lt;&gt;"",1,0)</x:f>
        <x:v>0</x:v>
      </x:c>
      <x:c r="G1030" t="n">
        <x:v>1</x:v>
      </x:c>
      <x:c r="H1030" t="str">
        <x:v>independent physical acceptance</x:v>
      </x:c>
      <x:c r="I1030" t="str">
        <x:f>IF(F1030=1,"PASS","OPEN")</x:f>
        <x:v>OPEN</x:v>
      </x:c>
    </x:row>
    <x:row r="1031">
      <x:c r="B1031" t="str">
        <x:v>PH-EV-063</x:v>
      </x:c>
      <x:c r="C1031" t="str">
        <x:v>PHYSICAL</x:v>
      </x:c>
      <x:c r="D1031" t="str">
        <x:v>event evidence</x:v>
      </x:c>
      <x:c r="E1031" t="str">
        <x:v>PH-EV-063</x:v>
      </x:c>
      <x:c r="F1031" t="n">
        <x:f>IF('Event Register'!S69&lt;&gt;"",1,0)</x:f>
        <x:v>0</x:v>
      </x:c>
      <x:c r="G1031" t="n">
        <x:v>1</x:v>
      </x:c>
      <x:c r="H1031" t="str">
        <x:v>independent physical acceptance</x:v>
      </x:c>
      <x:c r="I1031" t="str">
        <x:f>IF(F1031=1,"PASS","OPEN")</x:f>
        <x:v>OPEN</x:v>
      </x:c>
    </x:row>
    <x:row r="1032">
      <x:c r="B1032" t="str">
        <x:v>PH-VA-063</x:v>
      </x:c>
      <x:c r="C1032" t="str">
        <x:v>PHYSICAL</x:v>
      </x:c>
      <x:c r="D1032" t="str">
        <x:v>event validity</x:v>
      </x:c>
      <x:c r="E1032" t="str">
        <x:v>PH-VA-063</x:v>
      </x:c>
      <x:c r="F1032" t="n">
        <x:f>IF('Event Register'!T69&lt;&gt;"",1,0)</x:f>
        <x:v>0</x:v>
      </x:c>
      <x:c r="G1032" t="n">
        <x:v>1</x:v>
      </x:c>
      <x:c r="H1032" t="str">
        <x:v>independent physical acceptance</x:v>
      </x:c>
      <x:c r="I1032" t="str">
        <x:f>IF(F1032=1,"PASS","OPEN")</x:f>
        <x:v>OPEN</x:v>
      </x:c>
    </x:row>
    <x:row r="1033">
      <x:c r="B1033" t="str">
        <x:v>PH-OU-063</x:v>
      </x:c>
      <x:c r="C1033" t="str">
        <x:v>PHYSICAL</x:v>
      </x:c>
      <x:c r="D1033" t="str">
        <x:v>event outcome</x:v>
      </x:c>
      <x:c r="E1033" t="str">
        <x:v>PH-OU-063</x:v>
      </x:c>
      <x:c r="F1033" t="n">
        <x:f>IF('Event Register'!U69&lt;&gt;"",1,0)</x:f>
        <x:v>0</x:v>
      </x:c>
      <x:c r="G1033" t="n">
        <x:v>1</x:v>
      </x:c>
      <x:c r="H1033" t="str">
        <x:v>independent physical acceptance</x:v>
      </x:c>
      <x:c r="I1033" t="str">
        <x:f>IF(F1033=1,"PASS","OPEN")</x:f>
        <x:v>OPEN</x:v>
      </x:c>
    </x:row>
    <x:row r="1034">
      <x:c r="B1034" t="str">
        <x:v>PH-EX-064</x:v>
      </x:c>
      <x:c r="C1034" t="str">
        <x:v>PHYSICAL</x:v>
      </x:c>
      <x:c r="D1034" t="str">
        <x:v>event execution</x:v>
      </x:c>
      <x:c r="E1034" t="str">
        <x:v>PH-EX-064</x:v>
      </x:c>
      <x:c r="F1034" t="n">
        <x:f>IF('Event Register'!R70&lt;&gt;"",1,0)</x:f>
        <x:v>0</x:v>
      </x:c>
      <x:c r="G1034" t="n">
        <x:v>1</x:v>
      </x:c>
      <x:c r="H1034" t="str">
        <x:v>independent physical acceptance</x:v>
      </x:c>
      <x:c r="I1034" t="str">
        <x:f>IF(F1034=1,"PASS","OPEN")</x:f>
        <x:v>OPEN</x:v>
      </x:c>
    </x:row>
    <x:row r="1035">
      <x:c r="B1035" t="str">
        <x:v>PH-EV-064</x:v>
      </x:c>
      <x:c r="C1035" t="str">
        <x:v>PHYSICAL</x:v>
      </x:c>
      <x:c r="D1035" t="str">
        <x:v>event evidence</x:v>
      </x:c>
      <x:c r="E1035" t="str">
        <x:v>PH-EV-064</x:v>
      </x:c>
      <x:c r="F1035" t="n">
        <x:f>IF('Event Register'!S70&lt;&gt;"",1,0)</x:f>
        <x:v>0</x:v>
      </x:c>
      <x:c r="G1035" t="n">
        <x:v>1</x:v>
      </x:c>
      <x:c r="H1035" t="str">
        <x:v>independent physical acceptance</x:v>
      </x:c>
      <x:c r="I1035" t="str">
        <x:f>IF(F1035=1,"PASS","OPEN")</x:f>
        <x:v>OPEN</x:v>
      </x:c>
    </x:row>
    <x:row r="1036">
      <x:c r="B1036" t="str">
        <x:v>PH-VA-064</x:v>
      </x:c>
      <x:c r="C1036" t="str">
        <x:v>PHYSICAL</x:v>
      </x:c>
      <x:c r="D1036" t="str">
        <x:v>event validity</x:v>
      </x:c>
      <x:c r="E1036" t="str">
        <x:v>PH-VA-064</x:v>
      </x:c>
      <x:c r="F1036" t="n">
        <x:f>IF('Event Register'!T70&lt;&gt;"",1,0)</x:f>
        <x:v>0</x:v>
      </x:c>
      <x:c r="G1036" t="n">
        <x:v>1</x:v>
      </x:c>
      <x:c r="H1036" t="str">
        <x:v>independent physical acceptance</x:v>
      </x:c>
      <x:c r="I1036" t="str">
        <x:f>IF(F1036=1,"PASS","OPEN")</x:f>
        <x:v>OPEN</x:v>
      </x:c>
    </x:row>
    <x:row r="1037">
      <x:c r="B1037" t="str">
        <x:v>PH-OU-064</x:v>
      </x:c>
      <x:c r="C1037" t="str">
        <x:v>PHYSICAL</x:v>
      </x:c>
      <x:c r="D1037" t="str">
        <x:v>event outcome</x:v>
      </x:c>
      <x:c r="E1037" t="str">
        <x:v>PH-OU-064</x:v>
      </x:c>
      <x:c r="F1037" t="n">
        <x:f>IF('Event Register'!U70&lt;&gt;"",1,0)</x:f>
        <x:v>0</x:v>
      </x:c>
      <x:c r="G1037" t="n">
        <x:v>1</x:v>
      </x:c>
      <x:c r="H1037" t="str">
        <x:v>independent physical acceptance</x:v>
      </x:c>
      <x:c r="I1037" t="str">
        <x:f>IF(F1037=1,"PASS","OPEN")</x:f>
        <x:v>OPEN</x:v>
      </x:c>
    </x:row>
    <x:row r="1038">
      <x:c r="B1038" t="str">
        <x:v>PH-EX-065</x:v>
      </x:c>
      <x:c r="C1038" t="str">
        <x:v>PHYSICAL</x:v>
      </x:c>
      <x:c r="D1038" t="str">
        <x:v>event execution</x:v>
      </x:c>
      <x:c r="E1038" t="str">
        <x:v>PH-EX-065</x:v>
      </x:c>
      <x:c r="F1038" t="n">
        <x:f>IF('Event Register'!R71&lt;&gt;"",1,0)</x:f>
        <x:v>0</x:v>
      </x:c>
      <x:c r="G1038" t="n">
        <x:v>1</x:v>
      </x:c>
      <x:c r="H1038" t="str">
        <x:v>independent physical acceptance</x:v>
      </x:c>
      <x:c r="I1038" t="str">
        <x:f>IF(F1038=1,"PASS","OPEN")</x:f>
        <x:v>OPEN</x:v>
      </x:c>
    </x:row>
    <x:row r="1039">
      <x:c r="B1039" t="str">
        <x:v>PH-EV-065</x:v>
      </x:c>
      <x:c r="C1039" t="str">
        <x:v>PHYSICAL</x:v>
      </x:c>
      <x:c r="D1039" t="str">
        <x:v>event evidence</x:v>
      </x:c>
      <x:c r="E1039" t="str">
        <x:v>PH-EV-065</x:v>
      </x:c>
      <x:c r="F1039" t="n">
        <x:f>IF('Event Register'!S71&lt;&gt;"",1,0)</x:f>
        <x:v>0</x:v>
      </x:c>
      <x:c r="G1039" t="n">
        <x:v>1</x:v>
      </x:c>
      <x:c r="H1039" t="str">
        <x:v>independent physical acceptance</x:v>
      </x:c>
      <x:c r="I1039" t="str">
        <x:f>IF(F1039=1,"PASS","OPEN")</x:f>
        <x:v>OPEN</x:v>
      </x:c>
    </x:row>
    <x:row r="1040">
      <x:c r="B1040" t="str">
        <x:v>PH-VA-065</x:v>
      </x:c>
      <x:c r="C1040" t="str">
        <x:v>PHYSICAL</x:v>
      </x:c>
      <x:c r="D1040" t="str">
        <x:v>event validity</x:v>
      </x:c>
      <x:c r="E1040" t="str">
        <x:v>PH-VA-065</x:v>
      </x:c>
      <x:c r="F1040" t="n">
        <x:f>IF('Event Register'!T71&lt;&gt;"",1,0)</x:f>
        <x:v>0</x:v>
      </x:c>
      <x:c r="G1040" t="n">
        <x:v>1</x:v>
      </x:c>
      <x:c r="H1040" t="str">
        <x:v>independent physical acceptance</x:v>
      </x:c>
      <x:c r="I1040" t="str">
        <x:f>IF(F1040=1,"PASS","OPEN")</x:f>
        <x:v>OPEN</x:v>
      </x:c>
    </x:row>
    <x:row r="1041">
      <x:c r="B1041" t="str">
        <x:v>PH-OU-065</x:v>
      </x:c>
      <x:c r="C1041" t="str">
        <x:v>PHYSICAL</x:v>
      </x:c>
      <x:c r="D1041" t="str">
        <x:v>event outcome</x:v>
      </x:c>
      <x:c r="E1041" t="str">
        <x:v>PH-OU-065</x:v>
      </x:c>
      <x:c r="F1041" t="n">
        <x:f>IF('Event Register'!U71&lt;&gt;"",1,0)</x:f>
        <x:v>0</x:v>
      </x:c>
      <x:c r="G1041" t="n">
        <x:v>1</x:v>
      </x:c>
      <x:c r="H1041" t="str">
        <x:v>independent physical acceptance</x:v>
      </x:c>
      <x:c r="I1041" t="str">
        <x:f>IF(F1041=1,"PASS","OPEN")</x:f>
        <x:v>OPEN</x:v>
      </x:c>
    </x:row>
    <x:row r="1042">
      <x:c r="B1042" t="str">
        <x:v>PH-EX-066</x:v>
      </x:c>
      <x:c r="C1042" t="str">
        <x:v>PHYSICAL</x:v>
      </x:c>
      <x:c r="D1042" t="str">
        <x:v>event execution</x:v>
      </x:c>
      <x:c r="E1042" t="str">
        <x:v>PH-EX-066</x:v>
      </x:c>
      <x:c r="F1042" t="n">
        <x:f>IF('Event Register'!R72&lt;&gt;"",1,0)</x:f>
        <x:v>0</x:v>
      </x:c>
      <x:c r="G1042" t="n">
        <x:v>1</x:v>
      </x:c>
      <x:c r="H1042" t="str">
        <x:v>independent physical acceptance</x:v>
      </x:c>
      <x:c r="I1042" t="str">
        <x:f>IF(F1042=1,"PASS","OPEN")</x:f>
        <x:v>OPEN</x:v>
      </x:c>
    </x:row>
    <x:row r="1043">
      <x:c r="B1043" t="str">
        <x:v>PH-EV-066</x:v>
      </x:c>
      <x:c r="C1043" t="str">
        <x:v>PHYSICAL</x:v>
      </x:c>
      <x:c r="D1043" t="str">
        <x:v>event evidence</x:v>
      </x:c>
      <x:c r="E1043" t="str">
        <x:v>PH-EV-066</x:v>
      </x:c>
      <x:c r="F1043" t="n">
        <x:f>IF('Event Register'!S72&lt;&gt;"",1,0)</x:f>
        <x:v>0</x:v>
      </x:c>
      <x:c r="G1043" t="n">
        <x:v>1</x:v>
      </x:c>
      <x:c r="H1043" t="str">
        <x:v>independent physical acceptance</x:v>
      </x:c>
      <x:c r="I1043" t="str">
        <x:f>IF(F1043=1,"PASS","OPEN")</x:f>
        <x:v>OPEN</x:v>
      </x:c>
    </x:row>
    <x:row r="1044">
      <x:c r="B1044" t="str">
        <x:v>PH-VA-066</x:v>
      </x:c>
      <x:c r="C1044" t="str">
        <x:v>PHYSICAL</x:v>
      </x:c>
      <x:c r="D1044" t="str">
        <x:v>event validity</x:v>
      </x:c>
      <x:c r="E1044" t="str">
        <x:v>PH-VA-066</x:v>
      </x:c>
      <x:c r="F1044" t="n">
        <x:f>IF('Event Register'!T72&lt;&gt;"",1,0)</x:f>
        <x:v>0</x:v>
      </x:c>
      <x:c r="G1044" t="n">
        <x:v>1</x:v>
      </x:c>
      <x:c r="H1044" t="str">
        <x:v>independent physical acceptance</x:v>
      </x:c>
      <x:c r="I1044" t="str">
        <x:f>IF(F1044=1,"PASS","OPEN")</x:f>
        <x:v>OPEN</x:v>
      </x:c>
    </x:row>
    <x:row r="1045">
      <x:c r="B1045" t="str">
        <x:v>PH-OU-066</x:v>
      </x:c>
      <x:c r="C1045" t="str">
        <x:v>PHYSICAL</x:v>
      </x:c>
      <x:c r="D1045" t="str">
        <x:v>event outcome</x:v>
      </x:c>
      <x:c r="E1045" t="str">
        <x:v>PH-OU-066</x:v>
      </x:c>
      <x:c r="F1045" t="n">
        <x:f>IF('Event Register'!U72&lt;&gt;"",1,0)</x:f>
        <x:v>0</x:v>
      </x:c>
      <x:c r="G1045" t="n">
        <x:v>1</x:v>
      </x:c>
      <x:c r="H1045" t="str">
        <x:v>independent physical acceptance</x:v>
      </x:c>
      <x:c r="I1045" t="str">
        <x:f>IF(F1045=1,"PASS","OPEN")</x:f>
        <x:v>OPEN</x:v>
      </x:c>
    </x:row>
    <x:row r="1046">
      <x:c r="B1046" t="str">
        <x:v>PH-EX-067</x:v>
      </x:c>
      <x:c r="C1046" t="str">
        <x:v>PHYSICAL</x:v>
      </x:c>
      <x:c r="D1046" t="str">
        <x:v>event execution</x:v>
      </x:c>
      <x:c r="E1046" t="str">
        <x:v>PH-EX-067</x:v>
      </x:c>
      <x:c r="F1046" t="n">
        <x:f>IF('Event Register'!R73&lt;&gt;"",1,0)</x:f>
        <x:v>0</x:v>
      </x:c>
      <x:c r="G1046" t="n">
        <x:v>1</x:v>
      </x:c>
      <x:c r="H1046" t="str">
        <x:v>independent physical acceptance</x:v>
      </x:c>
      <x:c r="I1046" t="str">
        <x:f>IF(F1046=1,"PASS","OPEN")</x:f>
        <x:v>OPEN</x:v>
      </x:c>
    </x:row>
    <x:row r="1047">
      <x:c r="B1047" t="str">
        <x:v>PH-EV-067</x:v>
      </x:c>
      <x:c r="C1047" t="str">
        <x:v>PHYSICAL</x:v>
      </x:c>
      <x:c r="D1047" t="str">
        <x:v>event evidence</x:v>
      </x:c>
      <x:c r="E1047" t="str">
        <x:v>PH-EV-067</x:v>
      </x:c>
      <x:c r="F1047" t="n">
        <x:f>IF('Event Register'!S73&lt;&gt;"",1,0)</x:f>
        <x:v>0</x:v>
      </x:c>
      <x:c r="G1047" t="n">
        <x:v>1</x:v>
      </x:c>
      <x:c r="H1047" t="str">
        <x:v>independent physical acceptance</x:v>
      </x:c>
      <x:c r="I1047" t="str">
        <x:f>IF(F1047=1,"PASS","OPEN")</x:f>
        <x:v>OPEN</x:v>
      </x:c>
    </x:row>
    <x:row r="1048">
      <x:c r="B1048" t="str">
        <x:v>PH-VA-067</x:v>
      </x:c>
      <x:c r="C1048" t="str">
        <x:v>PHYSICAL</x:v>
      </x:c>
      <x:c r="D1048" t="str">
        <x:v>event validity</x:v>
      </x:c>
      <x:c r="E1048" t="str">
        <x:v>PH-VA-067</x:v>
      </x:c>
      <x:c r="F1048" t="n">
        <x:f>IF('Event Register'!T73&lt;&gt;"",1,0)</x:f>
        <x:v>0</x:v>
      </x:c>
      <x:c r="G1048" t="n">
        <x:v>1</x:v>
      </x:c>
      <x:c r="H1048" t="str">
        <x:v>independent physical acceptance</x:v>
      </x:c>
      <x:c r="I1048" t="str">
        <x:f>IF(F1048=1,"PASS","OPEN")</x:f>
        <x:v>OPEN</x:v>
      </x:c>
    </x:row>
    <x:row r="1049">
      <x:c r="B1049" t="str">
        <x:v>PH-OU-067</x:v>
      </x:c>
      <x:c r="C1049" t="str">
        <x:v>PHYSICAL</x:v>
      </x:c>
      <x:c r="D1049" t="str">
        <x:v>event outcome</x:v>
      </x:c>
      <x:c r="E1049" t="str">
        <x:v>PH-OU-067</x:v>
      </x:c>
      <x:c r="F1049" t="n">
        <x:f>IF('Event Register'!U73&lt;&gt;"",1,0)</x:f>
        <x:v>0</x:v>
      </x:c>
      <x:c r="G1049" t="n">
        <x:v>1</x:v>
      </x:c>
      <x:c r="H1049" t="str">
        <x:v>independent physical acceptance</x:v>
      </x:c>
      <x:c r="I1049" t="str">
        <x:f>IF(F1049=1,"PASS","OPEN")</x:f>
        <x:v>OPEN</x:v>
      </x:c>
    </x:row>
    <x:row r="1050">
      <x:c r="B1050" t="str">
        <x:v>PH-EX-068</x:v>
      </x:c>
      <x:c r="C1050" t="str">
        <x:v>PHYSICAL</x:v>
      </x:c>
      <x:c r="D1050" t="str">
        <x:v>event execution</x:v>
      </x:c>
      <x:c r="E1050" t="str">
        <x:v>PH-EX-068</x:v>
      </x:c>
      <x:c r="F1050" t="n">
        <x:f>IF('Event Register'!R74&lt;&gt;"",1,0)</x:f>
        <x:v>0</x:v>
      </x:c>
      <x:c r="G1050" t="n">
        <x:v>1</x:v>
      </x:c>
      <x:c r="H1050" t="str">
        <x:v>independent physical acceptance</x:v>
      </x:c>
      <x:c r="I1050" t="str">
        <x:f>IF(F1050=1,"PASS","OPEN")</x:f>
        <x:v>OPEN</x:v>
      </x:c>
    </x:row>
    <x:row r="1051">
      <x:c r="B1051" t="str">
        <x:v>PH-EV-068</x:v>
      </x:c>
      <x:c r="C1051" t="str">
        <x:v>PHYSICAL</x:v>
      </x:c>
      <x:c r="D1051" t="str">
        <x:v>event evidence</x:v>
      </x:c>
      <x:c r="E1051" t="str">
        <x:v>PH-EV-068</x:v>
      </x:c>
      <x:c r="F1051" t="n">
        <x:f>IF('Event Register'!S74&lt;&gt;"",1,0)</x:f>
        <x:v>0</x:v>
      </x:c>
      <x:c r="G1051" t="n">
        <x:v>1</x:v>
      </x:c>
      <x:c r="H1051" t="str">
        <x:v>independent physical acceptance</x:v>
      </x:c>
      <x:c r="I1051" t="str">
        <x:f>IF(F1051=1,"PASS","OPEN")</x:f>
        <x:v>OPEN</x:v>
      </x:c>
    </x:row>
    <x:row r="1052">
      <x:c r="B1052" t="str">
        <x:v>PH-VA-068</x:v>
      </x:c>
      <x:c r="C1052" t="str">
        <x:v>PHYSICAL</x:v>
      </x:c>
      <x:c r="D1052" t="str">
        <x:v>event validity</x:v>
      </x:c>
      <x:c r="E1052" t="str">
        <x:v>PH-VA-068</x:v>
      </x:c>
      <x:c r="F1052" t="n">
        <x:f>IF('Event Register'!T74&lt;&gt;"",1,0)</x:f>
        <x:v>0</x:v>
      </x:c>
      <x:c r="G1052" t="n">
        <x:v>1</x:v>
      </x:c>
      <x:c r="H1052" t="str">
        <x:v>independent physical acceptance</x:v>
      </x:c>
      <x:c r="I1052" t="str">
        <x:f>IF(F1052=1,"PASS","OPEN")</x:f>
        <x:v>OPEN</x:v>
      </x:c>
    </x:row>
    <x:row r="1053">
      <x:c r="B1053" t="str">
        <x:v>PH-OU-068</x:v>
      </x:c>
      <x:c r="C1053" t="str">
        <x:v>PHYSICAL</x:v>
      </x:c>
      <x:c r="D1053" t="str">
        <x:v>event outcome</x:v>
      </x:c>
      <x:c r="E1053" t="str">
        <x:v>PH-OU-068</x:v>
      </x:c>
      <x:c r="F1053" t="n">
        <x:f>IF('Event Register'!U74&lt;&gt;"",1,0)</x:f>
        <x:v>0</x:v>
      </x:c>
      <x:c r="G1053" t="n">
        <x:v>1</x:v>
      </x:c>
      <x:c r="H1053" t="str">
        <x:v>independent physical acceptance</x:v>
      </x:c>
      <x:c r="I1053" t="str">
        <x:f>IF(F1053=1,"PASS","OPEN")</x:f>
        <x:v>OPEN</x:v>
      </x:c>
    </x:row>
    <x:row r="1054">
      <x:c r="B1054" t="str">
        <x:v>PH-EX-069</x:v>
      </x:c>
      <x:c r="C1054" t="str">
        <x:v>PHYSICAL</x:v>
      </x:c>
      <x:c r="D1054" t="str">
        <x:v>event execution</x:v>
      </x:c>
      <x:c r="E1054" t="str">
        <x:v>PH-EX-069</x:v>
      </x:c>
      <x:c r="F1054" t="n">
        <x:f>IF('Event Register'!R75&lt;&gt;"",1,0)</x:f>
        <x:v>0</x:v>
      </x:c>
      <x:c r="G1054" t="n">
        <x:v>1</x:v>
      </x:c>
      <x:c r="H1054" t="str">
        <x:v>independent physical acceptance</x:v>
      </x:c>
      <x:c r="I1054" t="str">
        <x:f>IF(F1054=1,"PASS","OPEN")</x:f>
        <x:v>OPEN</x:v>
      </x:c>
    </x:row>
    <x:row r="1055">
      <x:c r="B1055" t="str">
        <x:v>PH-EV-069</x:v>
      </x:c>
      <x:c r="C1055" t="str">
        <x:v>PHYSICAL</x:v>
      </x:c>
      <x:c r="D1055" t="str">
        <x:v>event evidence</x:v>
      </x:c>
      <x:c r="E1055" t="str">
        <x:v>PH-EV-069</x:v>
      </x:c>
      <x:c r="F1055" t="n">
        <x:f>IF('Event Register'!S75&lt;&gt;"",1,0)</x:f>
        <x:v>0</x:v>
      </x:c>
      <x:c r="G1055" t="n">
        <x:v>1</x:v>
      </x:c>
      <x:c r="H1055" t="str">
        <x:v>independent physical acceptance</x:v>
      </x:c>
      <x:c r="I1055" t="str">
        <x:f>IF(F1055=1,"PASS","OPEN")</x:f>
        <x:v>OPEN</x:v>
      </x:c>
    </x:row>
    <x:row r="1056">
      <x:c r="B1056" t="str">
        <x:v>PH-VA-069</x:v>
      </x:c>
      <x:c r="C1056" t="str">
        <x:v>PHYSICAL</x:v>
      </x:c>
      <x:c r="D1056" t="str">
        <x:v>event validity</x:v>
      </x:c>
      <x:c r="E1056" t="str">
        <x:v>PH-VA-069</x:v>
      </x:c>
      <x:c r="F1056" t="n">
        <x:f>IF('Event Register'!T75&lt;&gt;"",1,0)</x:f>
        <x:v>0</x:v>
      </x:c>
      <x:c r="G1056" t="n">
        <x:v>1</x:v>
      </x:c>
      <x:c r="H1056" t="str">
        <x:v>independent physical acceptance</x:v>
      </x:c>
      <x:c r="I1056" t="str">
        <x:f>IF(F1056=1,"PASS","OPEN")</x:f>
        <x:v>OPEN</x:v>
      </x:c>
    </x:row>
    <x:row r="1057">
      <x:c r="B1057" t="str">
        <x:v>PH-OU-069</x:v>
      </x:c>
      <x:c r="C1057" t="str">
        <x:v>PHYSICAL</x:v>
      </x:c>
      <x:c r="D1057" t="str">
        <x:v>event outcome</x:v>
      </x:c>
      <x:c r="E1057" t="str">
        <x:v>PH-OU-069</x:v>
      </x:c>
      <x:c r="F1057" t="n">
        <x:f>IF('Event Register'!U75&lt;&gt;"",1,0)</x:f>
        <x:v>0</x:v>
      </x:c>
      <x:c r="G1057" t="n">
        <x:v>1</x:v>
      </x:c>
      <x:c r="H1057" t="str">
        <x:v>independent physical acceptance</x:v>
      </x:c>
      <x:c r="I1057" t="str">
        <x:f>IF(F1057=1,"PASS","OPEN")</x:f>
        <x:v>OPEN</x:v>
      </x:c>
    </x:row>
    <x:row r="1058">
      <x:c r="B1058" t="str">
        <x:v>PH-EX-070</x:v>
      </x:c>
      <x:c r="C1058" t="str">
        <x:v>PHYSICAL</x:v>
      </x:c>
      <x:c r="D1058" t="str">
        <x:v>event execution</x:v>
      </x:c>
      <x:c r="E1058" t="str">
        <x:v>PH-EX-070</x:v>
      </x:c>
      <x:c r="F1058" t="n">
        <x:f>IF('Event Register'!R76&lt;&gt;"",1,0)</x:f>
        <x:v>0</x:v>
      </x:c>
      <x:c r="G1058" t="n">
        <x:v>1</x:v>
      </x:c>
      <x:c r="H1058" t="str">
        <x:v>independent physical acceptance</x:v>
      </x:c>
      <x:c r="I1058" t="str">
        <x:f>IF(F1058=1,"PASS","OPEN")</x:f>
        <x:v>OPEN</x:v>
      </x:c>
    </x:row>
    <x:row r="1059">
      <x:c r="B1059" t="str">
        <x:v>PH-EV-070</x:v>
      </x:c>
      <x:c r="C1059" t="str">
        <x:v>PHYSICAL</x:v>
      </x:c>
      <x:c r="D1059" t="str">
        <x:v>event evidence</x:v>
      </x:c>
      <x:c r="E1059" t="str">
        <x:v>PH-EV-070</x:v>
      </x:c>
      <x:c r="F1059" t="n">
        <x:f>IF('Event Register'!S76&lt;&gt;"",1,0)</x:f>
        <x:v>0</x:v>
      </x:c>
      <x:c r="G1059" t="n">
        <x:v>1</x:v>
      </x:c>
      <x:c r="H1059" t="str">
        <x:v>independent physical acceptance</x:v>
      </x:c>
      <x:c r="I1059" t="str">
        <x:f>IF(F1059=1,"PASS","OPEN")</x:f>
        <x:v>OPEN</x:v>
      </x:c>
    </x:row>
    <x:row r="1060">
      <x:c r="B1060" t="str">
        <x:v>PH-VA-070</x:v>
      </x:c>
      <x:c r="C1060" t="str">
        <x:v>PHYSICAL</x:v>
      </x:c>
      <x:c r="D1060" t="str">
        <x:v>event validity</x:v>
      </x:c>
      <x:c r="E1060" t="str">
        <x:v>PH-VA-070</x:v>
      </x:c>
      <x:c r="F1060" t="n">
        <x:f>IF('Event Register'!T76&lt;&gt;"",1,0)</x:f>
        <x:v>0</x:v>
      </x:c>
      <x:c r="G1060" t="n">
        <x:v>1</x:v>
      </x:c>
      <x:c r="H1060" t="str">
        <x:v>independent physical acceptance</x:v>
      </x:c>
      <x:c r="I1060" t="str">
        <x:f>IF(F1060=1,"PASS","OPEN")</x:f>
        <x:v>OPEN</x:v>
      </x:c>
    </x:row>
    <x:row r="1061">
      <x:c r="B1061" t="str">
        <x:v>PH-OU-070</x:v>
      </x:c>
      <x:c r="C1061" t="str">
        <x:v>PHYSICAL</x:v>
      </x:c>
      <x:c r="D1061" t="str">
        <x:v>event outcome</x:v>
      </x:c>
      <x:c r="E1061" t="str">
        <x:v>PH-OU-070</x:v>
      </x:c>
      <x:c r="F1061" t="n">
        <x:f>IF('Event Register'!U76&lt;&gt;"",1,0)</x:f>
        <x:v>0</x:v>
      </x:c>
      <x:c r="G1061" t="n">
        <x:v>1</x:v>
      </x:c>
      <x:c r="H1061" t="str">
        <x:v>independent physical acceptance</x:v>
      </x:c>
      <x:c r="I1061" t="str">
        <x:f>IF(F1061=1,"PASS","OPEN")</x:f>
        <x:v>OPEN</x:v>
      </x:c>
    </x:row>
    <x:row r="1062">
      <x:c r="B1062" t="str">
        <x:v>PH-EX-071</x:v>
      </x:c>
      <x:c r="C1062" t="str">
        <x:v>PHYSICAL</x:v>
      </x:c>
      <x:c r="D1062" t="str">
        <x:v>event execution</x:v>
      </x:c>
      <x:c r="E1062" t="str">
        <x:v>PH-EX-071</x:v>
      </x:c>
      <x:c r="F1062" t="n">
        <x:f>IF('Event Register'!R77&lt;&gt;"",1,0)</x:f>
        <x:v>0</x:v>
      </x:c>
      <x:c r="G1062" t="n">
        <x:v>1</x:v>
      </x:c>
      <x:c r="H1062" t="str">
        <x:v>independent physical acceptance</x:v>
      </x:c>
      <x:c r="I1062" t="str">
        <x:f>IF(F1062=1,"PASS","OPEN")</x:f>
        <x:v>OPEN</x:v>
      </x:c>
    </x:row>
    <x:row r="1063">
      <x:c r="B1063" t="str">
        <x:v>PH-EV-071</x:v>
      </x:c>
      <x:c r="C1063" t="str">
        <x:v>PHYSICAL</x:v>
      </x:c>
      <x:c r="D1063" t="str">
        <x:v>event evidence</x:v>
      </x:c>
      <x:c r="E1063" t="str">
        <x:v>PH-EV-071</x:v>
      </x:c>
      <x:c r="F1063" t="n">
        <x:f>IF('Event Register'!S77&lt;&gt;"",1,0)</x:f>
        <x:v>0</x:v>
      </x:c>
      <x:c r="G1063" t="n">
        <x:v>1</x:v>
      </x:c>
      <x:c r="H1063" t="str">
        <x:v>independent physical acceptance</x:v>
      </x:c>
      <x:c r="I1063" t="str">
        <x:f>IF(F1063=1,"PASS","OPEN")</x:f>
        <x:v>OPEN</x:v>
      </x:c>
    </x:row>
    <x:row r="1064">
      <x:c r="B1064" t="str">
        <x:v>PH-VA-071</x:v>
      </x:c>
      <x:c r="C1064" t="str">
        <x:v>PHYSICAL</x:v>
      </x:c>
      <x:c r="D1064" t="str">
        <x:v>event validity</x:v>
      </x:c>
      <x:c r="E1064" t="str">
        <x:v>PH-VA-071</x:v>
      </x:c>
      <x:c r="F1064" t="n">
        <x:f>IF('Event Register'!T77&lt;&gt;"",1,0)</x:f>
        <x:v>0</x:v>
      </x:c>
      <x:c r="G1064" t="n">
        <x:v>1</x:v>
      </x:c>
      <x:c r="H1064" t="str">
        <x:v>independent physical acceptance</x:v>
      </x:c>
      <x:c r="I1064" t="str">
        <x:f>IF(F1064=1,"PASS","OPEN")</x:f>
        <x:v>OPEN</x:v>
      </x:c>
    </x:row>
    <x:row r="1065">
      <x:c r="B1065" t="str">
        <x:v>PH-OU-071</x:v>
      </x:c>
      <x:c r="C1065" t="str">
        <x:v>PHYSICAL</x:v>
      </x:c>
      <x:c r="D1065" t="str">
        <x:v>event outcome</x:v>
      </x:c>
      <x:c r="E1065" t="str">
        <x:v>PH-OU-071</x:v>
      </x:c>
      <x:c r="F1065" t="n">
        <x:f>IF('Event Register'!U77&lt;&gt;"",1,0)</x:f>
        <x:v>0</x:v>
      </x:c>
      <x:c r="G1065" t="n">
        <x:v>1</x:v>
      </x:c>
      <x:c r="H1065" t="str">
        <x:v>independent physical acceptance</x:v>
      </x:c>
      <x:c r="I1065" t="str">
        <x:f>IF(F1065=1,"PASS","OPEN")</x:f>
        <x:v>OPEN</x:v>
      </x:c>
    </x:row>
    <x:row r="1066">
      <x:c r="B1066" t="str">
        <x:v>PH-EX-072</x:v>
      </x:c>
      <x:c r="C1066" t="str">
        <x:v>PHYSICAL</x:v>
      </x:c>
      <x:c r="D1066" t="str">
        <x:v>event execution</x:v>
      </x:c>
      <x:c r="E1066" t="str">
        <x:v>PH-EX-072</x:v>
      </x:c>
      <x:c r="F1066" t="n">
        <x:f>IF('Event Register'!R78&lt;&gt;"",1,0)</x:f>
        <x:v>0</x:v>
      </x:c>
      <x:c r="G1066" t="n">
        <x:v>1</x:v>
      </x:c>
      <x:c r="H1066" t="str">
        <x:v>independent physical acceptance</x:v>
      </x:c>
      <x:c r="I1066" t="str">
        <x:f>IF(F1066=1,"PASS","OPEN")</x:f>
        <x:v>OPEN</x:v>
      </x:c>
    </x:row>
    <x:row r="1067">
      <x:c r="B1067" t="str">
        <x:v>PH-EV-072</x:v>
      </x:c>
      <x:c r="C1067" t="str">
        <x:v>PHYSICAL</x:v>
      </x:c>
      <x:c r="D1067" t="str">
        <x:v>event evidence</x:v>
      </x:c>
      <x:c r="E1067" t="str">
        <x:v>PH-EV-072</x:v>
      </x:c>
      <x:c r="F1067" t="n">
        <x:f>IF('Event Register'!S78&lt;&gt;"",1,0)</x:f>
        <x:v>0</x:v>
      </x:c>
      <x:c r="G1067" t="n">
        <x:v>1</x:v>
      </x:c>
      <x:c r="H1067" t="str">
        <x:v>independent physical acceptance</x:v>
      </x:c>
      <x:c r="I1067" t="str">
        <x:f>IF(F1067=1,"PASS","OPEN")</x:f>
        <x:v>OPEN</x:v>
      </x:c>
    </x:row>
    <x:row r="1068">
      <x:c r="B1068" t="str">
        <x:v>PH-VA-072</x:v>
      </x:c>
      <x:c r="C1068" t="str">
        <x:v>PHYSICAL</x:v>
      </x:c>
      <x:c r="D1068" t="str">
        <x:v>event validity</x:v>
      </x:c>
      <x:c r="E1068" t="str">
        <x:v>PH-VA-072</x:v>
      </x:c>
      <x:c r="F1068" t="n">
        <x:f>IF('Event Register'!T78&lt;&gt;"",1,0)</x:f>
        <x:v>0</x:v>
      </x:c>
      <x:c r="G1068" t="n">
        <x:v>1</x:v>
      </x:c>
      <x:c r="H1068" t="str">
        <x:v>independent physical acceptance</x:v>
      </x:c>
      <x:c r="I1068" t="str">
        <x:f>IF(F1068=1,"PASS","OPEN")</x:f>
        <x:v>OPEN</x:v>
      </x:c>
    </x:row>
    <x:row r="1069">
      <x:c r="B1069" t="str">
        <x:v>PH-OU-072</x:v>
      </x:c>
      <x:c r="C1069" t="str">
        <x:v>PHYSICAL</x:v>
      </x:c>
      <x:c r="D1069" t="str">
        <x:v>event outcome</x:v>
      </x:c>
      <x:c r="E1069" t="str">
        <x:v>PH-OU-072</x:v>
      </x:c>
      <x:c r="F1069" t="n">
        <x:f>IF('Event Register'!U78&lt;&gt;"",1,0)</x:f>
        <x:v>0</x:v>
      </x:c>
      <x:c r="G1069" t="n">
        <x:v>1</x:v>
      </x:c>
      <x:c r="H1069" t="str">
        <x:v>independent physical acceptance</x:v>
      </x:c>
      <x:c r="I1069" t="str">
        <x:f>IF(F1069=1,"PASS","OPEN")</x:f>
        <x:v>OPEN</x:v>
      </x:c>
    </x:row>
    <x:row r="1070">
      <x:c r="B1070" t="str">
        <x:v>PH-EX-073</x:v>
      </x:c>
      <x:c r="C1070" t="str">
        <x:v>PHYSICAL</x:v>
      </x:c>
      <x:c r="D1070" t="str">
        <x:v>event execution</x:v>
      </x:c>
      <x:c r="E1070" t="str">
        <x:v>PH-EX-073</x:v>
      </x:c>
      <x:c r="F1070" t="n">
        <x:f>IF('Event Register'!R79&lt;&gt;"",1,0)</x:f>
        <x:v>0</x:v>
      </x:c>
      <x:c r="G1070" t="n">
        <x:v>1</x:v>
      </x:c>
      <x:c r="H1070" t="str">
        <x:v>independent physical acceptance</x:v>
      </x:c>
      <x:c r="I1070" t="str">
        <x:f>IF(F1070=1,"PASS","OPEN")</x:f>
        <x:v>OPEN</x:v>
      </x:c>
    </x:row>
    <x:row r="1071">
      <x:c r="B1071" t="str">
        <x:v>PH-EV-073</x:v>
      </x:c>
      <x:c r="C1071" t="str">
        <x:v>PHYSICAL</x:v>
      </x:c>
      <x:c r="D1071" t="str">
        <x:v>event evidence</x:v>
      </x:c>
      <x:c r="E1071" t="str">
        <x:v>PH-EV-073</x:v>
      </x:c>
      <x:c r="F1071" t="n">
        <x:f>IF('Event Register'!S79&lt;&gt;"",1,0)</x:f>
        <x:v>0</x:v>
      </x:c>
      <x:c r="G1071" t="n">
        <x:v>1</x:v>
      </x:c>
      <x:c r="H1071" t="str">
        <x:v>independent physical acceptance</x:v>
      </x:c>
      <x:c r="I1071" t="str">
        <x:f>IF(F1071=1,"PASS","OPEN")</x:f>
        <x:v>OPEN</x:v>
      </x:c>
    </x:row>
    <x:row r="1072">
      <x:c r="B1072" t="str">
        <x:v>PH-VA-073</x:v>
      </x:c>
      <x:c r="C1072" t="str">
        <x:v>PHYSICAL</x:v>
      </x:c>
      <x:c r="D1072" t="str">
        <x:v>event validity</x:v>
      </x:c>
      <x:c r="E1072" t="str">
        <x:v>PH-VA-073</x:v>
      </x:c>
      <x:c r="F1072" t="n">
        <x:f>IF('Event Register'!T79&lt;&gt;"",1,0)</x:f>
        <x:v>0</x:v>
      </x:c>
      <x:c r="G1072" t="n">
        <x:v>1</x:v>
      </x:c>
      <x:c r="H1072" t="str">
        <x:v>independent physical acceptance</x:v>
      </x:c>
      <x:c r="I1072" t="str">
        <x:f>IF(F1072=1,"PASS","OPEN")</x:f>
        <x:v>OPEN</x:v>
      </x:c>
    </x:row>
    <x:row r="1073">
      <x:c r="B1073" t="str">
        <x:v>PH-OU-073</x:v>
      </x:c>
      <x:c r="C1073" t="str">
        <x:v>PHYSICAL</x:v>
      </x:c>
      <x:c r="D1073" t="str">
        <x:v>event outcome</x:v>
      </x:c>
      <x:c r="E1073" t="str">
        <x:v>PH-OU-073</x:v>
      </x:c>
      <x:c r="F1073" t="n">
        <x:f>IF('Event Register'!U79&lt;&gt;"",1,0)</x:f>
        <x:v>0</x:v>
      </x:c>
      <x:c r="G1073" t="n">
        <x:v>1</x:v>
      </x:c>
      <x:c r="H1073" t="str">
        <x:v>independent physical acceptance</x:v>
      </x:c>
      <x:c r="I1073" t="str">
        <x:f>IF(F1073=1,"PASS","OPEN")</x:f>
        <x:v>OPEN</x:v>
      </x:c>
    </x:row>
    <x:row r="1074">
      <x:c r="B1074" t="str">
        <x:v>PH-EX-074</x:v>
      </x:c>
      <x:c r="C1074" t="str">
        <x:v>PHYSICAL</x:v>
      </x:c>
      <x:c r="D1074" t="str">
        <x:v>event execution</x:v>
      </x:c>
      <x:c r="E1074" t="str">
        <x:v>PH-EX-074</x:v>
      </x:c>
      <x:c r="F1074" t="n">
        <x:f>IF('Event Register'!R80&lt;&gt;"",1,0)</x:f>
        <x:v>0</x:v>
      </x:c>
      <x:c r="G1074" t="n">
        <x:v>1</x:v>
      </x:c>
      <x:c r="H1074" t="str">
        <x:v>independent physical acceptance</x:v>
      </x:c>
      <x:c r="I1074" t="str">
        <x:f>IF(F1074=1,"PASS","OPEN")</x:f>
        <x:v>OPEN</x:v>
      </x:c>
    </x:row>
    <x:row r="1075">
      <x:c r="B1075" t="str">
        <x:v>PH-EV-074</x:v>
      </x:c>
      <x:c r="C1075" t="str">
        <x:v>PHYSICAL</x:v>
      </x:c>
      <x:c r="D1075" t="str">
        <x:v>event evidence</x:v>
      </x:c>
      <x:c r="E1075" t="str">
        <x:v>PH-EV-074</x:v>
      </x:c>
      <x:c r="F1075" t="n">
        <x:f>IF('Event Register'!S80&lt;&gt;"",1,0)</x:f>
        <x:v>0</x:v>
      </x:c>
      <x:c r="G1075" t="n">
        <x:v>1</x:v>
      </x:c>
      <x:c r="H1075" t="str">
        <x:v>independent physical acceptance</x:v>
      </x:c>
      <x:c r="I1075" t="str">
        <x:f>IF(F1075=1,"PASS","OPEN")</x:f>
        <x:v>OPEN</x:v>
      </x:c>
    </x:row>
    <x:row r="1076">
      <x:c r="B1076" t="str">
        <x:v>PH-VA-074</x:v>
      </x:c>
      <x:c r="C1076" t="str">
        <x:v>PHYSICAL</x:v>
      </x:c>
      <x:c r="D1076" t="str">
        <x:v>event validity</x:v>
      </x:c>
      <x:c r="E1076" t="str">
        <x:v>PH-VA-074</x:v>
      </x:c>
      <x:c r="F1076" t="n">
        <x:f>IF('Event Register'!T80&lt;&gt;"",1,0)</x:f>
        <x:v>0</x:v>
      </x:c>
      <x:c r="G1076" t="n">
        <x:v>1</x:v>
      </x:c>
      <x:c r="H1076" t="str">
        <x:v>independent physical acceptance</x:v>
      </x:c>
      <x:c r="I1076" t="str">
        <x:f>IF(F1076=1,"PASS","OPEN")</x:f>
        <x:v>OPEN</x:v>
      </x:c>
    </x:row>
    <x:row r="1077">
      <x:c r="B1077" t="str">
        <x:v>PH-OU-074</x:v>
      </x:c>
      <x:c r="C1077" t="str">
        <x:v>PHYSICAL</x:v>
      </x:c>
      <x:c r="D1077" t="str">
        <x:v>event outcome</x:v>
      </x:c>
      <x:c r="E1077" t="str">
        <x:v>PH-OU-074</x:v>
      </x:c>
      <x:c r="F1077" t="n">
        <x:f>IF('Event Register'!U80&lt;&gt;"",1,0)</x:f>
        <x:v>0</x:v>
      </x:c>
      <x:c r="G1077" t="n">
        <x:v>1</x:v>
      </x:c>
      <x:c r="H1077" t="str">
        <x:v>independent physical acceptance</x:v>
      </x:c>
      <x:c r="I1077" t="str">
        <x:f>IF(F1077=1,"PASS","OPEN")</x:f>
        <x:v>OPEN</x:v>
      </x:c>
    </x:row>
    <x:row r="1078">
      <x:c r="B1078" t="str">
        <x:v>PH-EX-075</x:v>
      </x:c>
      <x:c r="C1078" t="str">
        <x:v>PHYSICAL</x:v>
      </x:c>
      <x:c r="D1078" t="str">
        <x:v>event execution</x:v>
      </x:c>
      <x:c r="E1078" t="str">
        <x:v>PH-EX-075</x:v>
      </x:c>
      <x:c r="F1078" t="n">
        <x:f>IF('Event Register'!R81&lt;&gt;"",1,0)</x:f>
        <x:v>0</x:v>
      </x:c>
      <x:c r="G1078" t="n">
        <x:v>1</x:v>
      </x:c>
      <x:c r="H1078" t="str">
        <x:v>independent physical acceptance</x:v>
      </x:c>
      <x:c r="I1078" t="str">
        <x:f>IF(F1078=1,"PASS","OPEN")</x:f>
        <x:v>OPEN</x:v>
      </x:c>
    </x:row>
    <x:row r="1079">
      <x:c r="B1079" t="str">
        <x:v>PH-EV-075</x:v>
      </x:c>
      <x:c r="C1079" t="str">
        <x:v>PHYSICAL</x:v>
      </x:c>
      <x:c r="D1079" t="str">
        <x:v>event evidence</x:v>
      </x:c>
      <x:c r="E1079" t="str">
        <x:v>PH-EV-075</x:v>
      </x:c>
      <x:c r="F1079" t="n">
        <x:f>IF('Event Register'!S81&lt;&gt;"",1,0)</x:f>
        <x:v>0</x:v>
      </x:c>
      <x:c r="G1079" t="n">
        <x:v>1</x:v>
      </x:c>
      <x:c r="H1079" t="str">
        <x:v>independent physical acceptance</x:v>
      </x:c>
      <x:c r="I1079" t="str">
        <x:f>IF(F1079=1,"PASS","OPEN")</x:f>
        <x:v>OPEN</x:v>
      </x:c>
    </x:row>
    <x:row r="1080">
      <x:c r="B1080" t="str">
        <x:v>PH-VA-075</x:v>
      </x:c>
      <x:c r="C1080" t="str">
        <x:v>PHYSICAL</x:v>
      </x:c>
      <x:c r="D1080" t="str">
        <x:v>event validity</x:v>
      </x:c>
      <x:c r="E1080" t="str">
        <x:v>PH-VA-075</x:v>
      </x:c>
      <x:c r="F1080" t="n">
        <x:f>IF('Event Register'!T81&lt;&gt;"",1,0)</x:f>
        <x:v>0</x:v>
      </x:c>
      <x:c r="G1080" t="n">
        <x:v>1</x:v>
      </x:c>
      <x:c r="H1080" t="str">
        <x:v>independent physical acceptance</x:v>
      </x:c>
      <x:c r="I1080" t="str">
        <x:f>IF(F1080=1,"PASS","OPEN")</x:f>
        <x:v>OPEN</x:v>
      </x:c>
    </x:row>
    <x:row r="1081">
      <x:c r="B1081" t="str">
        <x:v>PH-OU-075</x:v>
      </x:c>
      <x:c r="C1081" t="str">
        <x:v>PHYSICAL</x:v>
      </x:c>
      <x:c r="D1081" t="str">
        <x:v>event outcome</x:v>
      </x:c>
      <x:c r="E1081" t="str">
        <x:v>PH-OU-075</x:v>
      </x:c>
      <x:c r="F1081" t="n">
        <x:f>IF('Event Register'!U81&lt;&gt;"",1,0)</x:f>
        <x:v>0</x:v>
      </x:c>
      <x:c r="G1081" t="n">
        <x:v>1</x:v>
      </x:c>
      <x:c r="H1081" t="str">
        <x:v>independent physical acceptance</x:v>
      </x:c>
      <x:c r="I1081" t="str">
        <x:f>IF(F1081=1,"PASS","OPEN")</x:f>
        <x:v>OPEN</x:v>
      </x:c>
    </x:row>
    <x:row r="1082">
      <x:c r="B1082" t="str">
        <x:v>PH-EX-076</x:v>
      </x:c>
      <x:c r="C1082" t="str">
        <x:v>PHYSICAL</x:v>
      </x:c>
      <x:c r="D1082" t="str">
        <x:v>event execution</x:v>
      </x:c>
      <x:c r="E1082" t="str">
        <x:v>PH-EX-076</x:v>
      </x:c>
      <x:c r="F1082" t="n">
        <x:f>IF('Event Register'!R82&lt;&gt;"",1,0)</x:f>
        <x:v>0</x:v>
      </x:c>
      <x:c r="G1082" t="n">
        <x:v>1</x:v>
      </x:c>
      <x:c r="H1082" t="str">
        <x:v>independent physical acceptance</x:v>
      </x:c>
      <x:c r="I1082" t="str">
        <x:f>IF(F1082=1,"PASS","OPEN")</x:f>
        <x:v>OPEN</x:v>
      </x:c>
    </x:row>
    <x:row r="1083">
      <x:c r="B1083" t="str">
        <x:v>PH-EV-076</x:v>
      </x:c>
      <x:c r="C1083" t="str">
        <x:v>PHYSICAL</x:v>
      </x:c>
      <x:c r="D1083" t="str">
        <x:v>event evidence</x:v>
      </x:c>
      <x:c r="E1083" t="str">
        <x:v>PH-EV-076</x:v>
      </x:c>
      <x:c r="F1083" t="n">
        <x:f>IF('Event Register'!S82&lt;&gt;"",1,0)</x:f>
        <x:v>0</x:v>
      </x:c>
      <x:c r="G1083" t="n">
        <x:v>1</x:v>
      </x:c>
      <x:c r="H1083" t="str">
        <x:v>independent physical acceptance</x:v>
      </x:c>
      <x:c r="I1083" t="str">
        <x:f>IF(F1083=1,"PASS","OPEN")</x:f>
        <x:v>OPEN</x:v>
      </x:c>
    </x:row>
    <x:row r="1084">
      <x:c r="B1084" t="str">
        <x:v>PH-VA-076</x:v>
      </x:c>
      <x:c r="C1084" t="str">
        <x:v>PHYSICAL</x:v>
      </x:c>
      <x:c r="D1084" t="str">
        <x:v>event validity</x:v>
      </x:c>
      <x:c r="E1084" t="str">
        <x:v>PH-VA-076</x:v>
      </x:c>
      <x:c r="F1084" t="n">
        <x:f>IF('Event Register'!T82&lt;&gt;"",1,0)</x:f>
        <x:v>0</x:v>
      </x:c>
      <x:c r="G1084" t="n">
        <x:v>1</x:v>
      </x:c>
      <x:c r="H1084" t="str">
        <x:v>independent physical acceptance</x:v>
      </x:c>
      <x:c r="I1084" t="str">
        <x:f>IF(F1084=1,"PASS","OPEN")</x:f>
        <x:v>OPEN</x:v>
      </x:c>
    </x:row>
    <x:row r="1085">
      <x:c r="B1085" t="str">
        <x:v>PH-OU-076</x:v>
      </x:c>
      <x:c r="C1085" t="str">
        <x:v>PHYSICAL</x:v>
      </x:c>
      <x:c r="D1085" t="str">
        <x:v>event outcome</x:v>
      </x:c>
      <x:c r="E1085" t="str">
        <x:v>PH-OU-076</x:v>
      </x:c>
      <x:c r="F1085" t="n">
        <x:f>IF('Event Register'!U82&lt;&gt;"",1,0)</x:f>
        <x:v>0</x:v>
      </x:c>
      <x:c r="G1085" t="n">
        <x:v>1</x:v>
      </x:c>
      <x:c r="H1085" t="str">
        <x:v>independent physical acceptance</x:v>
      </x:c>
      <x:c r="I1085" t="str">
        <x:f>IF(F1085=1,"PASS","OPEN")</x:f>
        <x:v>OPEN</x:v>
      </x:c>
    </x:row>
    <x:row r="1086">
      <x:c r="B1086" t="str">
        <x:v>PH-EX-077</x:v>
      </x:c>
      <x:c r="C1086" t="str">
        <x:v>PHYSICAL</x:v>
      </x:c>
      <x:c r="D1086" t="str">
        <x:v>event execution</x:v>
      </x:c>
      <x:c r="E1086" t="str">
        <x:v>PH-EX-077</x:v>
      </x:c>
      <x:c r="F1086" t="n">
        <x:f>IF('Event Register'!R83&lt;&gt;"",1,0)</x:f>
        <x:v>0</x:v>
      </x:c>
      <x:c r="G1086" t="n">
        <x:v>1</x:v>
      </x:c>
      <x:c r="H1086" t="str">
        <x:v>independent physical acceptance</x:v>
      </x:c>
      <x:c r="I1086" t="str">
        <x:f>IF(F1086=1,"PASS","OPEN")</x:f>
        <x:v>OPEN</x:v>
      </x:c>
    </x:row>
    <x:row r="1087">
      <x:c r="B1087" t="str">
        <x:v>PH-EV-077</x:v>
      </x:c>
      <x:c r="C1087" t="str">
        <x:v>PHYSICAL</x:v>
      </x:c>
      <x:c r="D1087" t="str">
        <x:v>event evidence</x:v>
      </x:c>
      <x:c r="E1087" t="str">
        <x:v>PH-EV-077</x:v>
      </x:c>
      <x:c r="F1087" t="n">
        <x:f>IF('Event Register'!S83&lt;&gt;"",1,0)</x:f>
        <x:v>0</x:v>
      </x:c>
      <x:c r="G1087" t="n">
        <x:v>1</x:v>
      </x:c>
      <x:c r="H1087" t="str">
        <x:v>independent physical acceptance</x:v>
      </x:c>
      <x:c r="I1087" t="str">
        <x:f>IF(F1087=1,"PASS","OPEN")</x:f>
        <x:v>OPEN</x:v>
      </x:c>
    </x:row>
    <x:row r="1088">
      <x:c r="B1088" t="str">
        <x:v>PH-VA-077</x:v>
      </x:c>
      <x:c r="C1088" t="str">
        <x:v>PHYSICAL</x:v>
      </x:c>
      <x:c r="D1088" t="str">
        <x:v>event validity</x:v>
      </x:c>
      <x:c r="E1088" t="str">
        <x:v>PH-VA-077</x:v>
      </x:c>
      <x:c r="F1088" t="n">
        <x:f>IF('Event Register'!T83&lt;&gt;"",1,0)</x:f>
        <x:v>0</x:v>
      </x:c>
      <x:c r="G1088" t="n">
        <x:v>1</x:v>
      </x:c>
      <x:c r="H1088" t="str">
        <x:v>independent physical acceptance</x:v>
      </x:c>
      <x:c r="I1088" t="str">
        <x:f>IF(F1088=1,"PASS","OPEN")</x:f>
        <x:v>OPEN</x:v>
      </x:c>
    </x:row>
    <x:row r="1089">
      <x:c r="B1089" t="str">
        <x:v>PH-OU-077</x:v>
      </x:c>
      <x:c r="C1089" t="str">
        <x:v>PHYSICAL</x:v>
      </x:c>
      <x:c r="D1089" t="str">
        <x:v>event outcome</x:v>
      </x:c>
      <x:c r="E1089" t="str">
        <x:v>PH-OU-077</x:v>
      </x:c>
      <x:c r="F1089" t="n">
        <x:f>IF('Event Register'!U83&lt;&gt;"",1,0)</x:f>
        <x:v>0</x:v>
      </x:c>
      <x:c r="G1089" t="n">
        <x:v>1</x:v>
      </x:c>
      <x:c r="H1089" t="str">
        <x:v>independent physical acceptance</x:v>
      </x:c>
      <x:c r="I1089" t="str">
        <x:f>IF(F1089=1,"PASS","OPEN")</x:f>
        <x:v>OPEN</x:v>
      </x:c>
    </x:row>
    <x:row r="1090">
      <x:c r="B1090" t="str">
        <x:v>PH-EX-078</x:v>
      </x:c>
      <x:c r="C1090" t="str">
        <x:v>PHYSICAL</x:v>
      </x:c>
      <x:c r="D1090" t="str">
        <x:v>event execution</x:v>
      </x:c>
      <x:c r="E1090" t="str">
        <x:v>PH-EX-078</x:v>
      </x:c>
      <x:c r="F1090" t="n">
        <x:f>IF('Event Register'!R84&lt;&gt;"",1,0)</x:f>
        <x:v>0</x:v>
      </x:c>
      <x:c r="G1090" t="n">
        <x:v>1</x:v>
      </x:c>
      <x:c r="H1090" t="str">
        <x:v>independent physical acceptance</x:v>
      </x:c>
      <x:c r="I1090" t="str">
        <x:f>IF(F1090=1,"PASS","OPEN")</x:f>
        <x:v>OPEN</x:v>
      </x:c>
    </x:row>
    <x:row r="1091">
      <x:c r="B1091" t="str">
        <x:v>PH-EV-078</x:v>
      </x:c>
      <x:c r="C1091" t="str">
        <x:v>PHYSICAL</x:v>
      </x:c>
      <x:c r="D1091" t="str">
        <x:v>event evidence</x:v>
      </x:c>
      <x:c r="E1091" t="str">
        <x:v>PH-EV-078</x:v>
      </x:c>
      <x:c r="F1091" t="n">
        <x:f>IF('Event Register'!S84&lt;&gt;"",1,0)</x:f>
        <x:v>0</x:v>
      </x:c>
      <x:c r="G1091" t="n">
        <x:v>1</x:v>
      </x:c>
      <x:c r="H1091" t="str">
        <x:v>independent physical acceptance</x:v>
      </x:c>
      <x:c r="I1091" t="str">
        <x:f>IF(F1091=1,"PASS","OPEN")</x:f>
        <x:v>OPEN</x:v>
      </x:c>
    </x:row>
    <x:row r="1092">
      <x:c r="B1092" t="str">
        <x:v>PH-VA-078</x:v>
      </x:c>
      <x:c r="C1092" t="str">
        <x:v>PHYSICAL</x:v>
      </x:c>
      <x:c r="D1092" t="str">
        <x:v>event validity</x:v>
      </x:c>
      <x:c r="E1092" t="str">
        <x:v>PH-VA-078</x:v>
      </x:c>
      <x:c r="F1092" t="n">
        <x:f>IF('Event Register'!T84&lt;&gt;"",1,0)</x:f>
        <x:v>0</x:v>
      </x:c>
      <x:c r="G1092" t="n">
        <x:v>1</x:v>
      </x:c>
      <x:c r="H1092" t="str">
        <x:v>independent physical acceptance</x:v>
      </x:c>
      <x:c r="I1092" t="str">
        <x:f>IF(F1092=1,"PASS","OPEN")</x:f>
        <x:v>OPEN</x:v>
      </x:c>
    </x:row>
    <x:row r="1093">
      <x:c r="B1093" t="str">
        <x:v>PH-OU-078</x:v>
      </x:c>
      <x:c r="C1093" t="str">
        <x:v>PHYSICAL</x:v>
      </x:c>
      <x:c r="D1093" t="str">
        <x:v>event outcome</x:v>
      </x:c>
      <x:c r="E1093" t="str">
        <x:v>PH-OU-078</x:v>
      </x:c>
      <x:c r="F1093" t="n">
        <x:f>IF('Event Register'!U84&lt;&gt;"",1,0)</x:f>
        <x:v>0</x:v>
      </x:c>
      <x:c r="G1093" t="n">
        <x:v>1</x:v>
      </x:c>
      <x:c r="H1093" t="str">
        <x:v>independent physical acceptance</x:v>
      </x:c>
      <x:c r="I1093" t="str">
        <x:f>IF(F1093=1,"PASS","OPEN")</x:f>
        <x:v>OPEN</x:v>
      </x:c>
    </x:row>
    <x:row r="1094">
      <x:c r="B1094" t="str">
        <x:v>PH-EX-079</x:v>
      </x:c>
      <x:c r="C1094" t="str">
        <x:v>PHYSICAL</x:v>
      </x:c>
      <x:c r="D1094" t="str">
        <x:v>event execution</x:v>
      </x:c>
      <x:c r="E1094" t="str">
        <x:v>PH-EX-079</x:v>
      </x:c>
      <x:c r="F1094" t="n">
        <x:f>IF('Event Register'!R85&lt;&gt;"",1,0)</x:f>
        <x:v>0</x:v>
      </x:c>
      <x:c r="G1094" t="n">
        <x:v>1</x:v>
      </x:c>
      <x:c r="H1094" t="str">
        <x:v>independent physical acceptance</x:v>
      </x:c>
      <x:c r="I1094" t="str">
        <x:f>IF(F1094=1,"PASS","OPEN")</x:f>
        <x:v>OPEN</x:v>
      </x:c>
    </x:row>
    <x:row r="1095">
      <x:c r="B1095" t="str">
        <x:v>PH-EV-079</x:v>
      </x:c>
      <x:c r="C1095" t="str">
        <x:v>PHYSICAL</x:v>
      </x:c>
      <x:c r="D1095" t="str">
        <x:v>event evidence</x:v>
      </x:c>
      <x:c r="E1095" t="str">
        <x:v>PH-EV-079</x:v>
      </x:c>
      <x:c r="F1095" t="n">
        <x:f>IF('Event Register'!S85&lt;&gt;"",1,0)</x:f>
        <x:v>0</x:v>
      </x:c>
      <x:c r="G1095" t="n">
        <x:v>1</x:v>
      </x:c>
      <x:c r="H1095" t="str">
        <x:v>independent physical acceptance</x:v>
      </x:c>
      <x:c r="I1095" t="str">
        <x:f>IF(F1095=1,"PASS","OPEN")</x:f>
        <x:v>OPEN</x:v>
      </x:c>
    </x:row>
    <x:row r="1096">
      <x:c r="B1096" t="str">
        <x:v>PH-VA-079</x:v>
      </x:c>
      <x:c r="C1096" t="str">
        <x:v>PHYSICAL</x:v>
      </x:c>
      <x:c r="D1096" t="str">
        <x:v>event validity</x:v>
      </x:c>
      <x:c r="E1096" t="str">
        <x:v>PH-VA-079</x:v>
      </x:c>
      <x:c r="F1096" t="n">
        <x:f>IF('Event Register'!T85&lt;&gt;"",1,0)</x:f>
        <x:v>0</x:v>
      </x:c>
      <x:c r="G1096" t="n">
        <x:v>1</x:v>
      </x:c>
      <x:c r="H1096" t="str">
        <x:v>independent physical acceptance</x:v>
      </x:c>
      <x:c r="I1096" t="str">
        <x:f>IF(F1096=1,"PASS","OPEN")</x:f>
        <x:v>OPEN</x:v>
      </x:c>
    </x:row>
    <x:row r="1097">
      <x:c r="B1097" t="str">
        <x:v>PH-OU-079</x:v>
      </x:c>
      <x:c r="C1097" t="str">
        <x:v>PHYSICAL</x:v>
      </x:c>
      <x:c r="D1097" t="str">
        <x:v>event outcome</x:v>
      </x:c>
      <x:c r="E1097" t="str">
        <x:v>PH-OU-079</x:v>
      </x:c>
      <x:c r="F1097" t="n">
        <x:f>IF('Event Register'!U85&lt;&gt;"",1,0)</x:f>
        <x:v>0</x:v>
      </x:c>
      <x:c r="G1097" t="n">
        <x:v>1</x:v>
      </x:c>
      <x:c r="H1097" t="str">
        <x:v>independent physical acceptance</x:v>
      </x:c>
      <x:c r="I1097" t="str">
        <x:f>IF(F1097=1,"PASS","OPEN")</x:f>
        <x:v>OPEN</x:v>
      </x:c>
    </x:row>
    <x:row r="1098">
      <x:c r="B1098" t="str">
        <x:v>PH-EX-080</x:v>
      </x:c>
      <x:c r="C1098" t="str">
        <x:v>PHYSICAL</x:v>
      </x:c>
      <x:c r="D1098" t="str">
        <x:v>event execution</x:v>
      </x:c>
      <x:c r="E1098" t="str">
        <x:v>PH-EX-080</x:v>
      </x:c>
      <x:c r="F1098" t="n">
        <x:f>IF('Event Register'!R86&lt;&gt;"",1,0)</x:f>
        <x:v>0</x:v>
      </x:c>
      <x:c r="G1098" t="n">
        <x:v>1</x:v>
      </x:c>
      <x:c r="H1098" t="str">
        <x:v>independent physical acceptance</x:v>
      </x:c>
      <x:c r="I1098" t="str">
        <x:f>IF(F1098=1,"PASS","OPEN")</x:f>
        <x:v>OPEN</x:v>
      </x:c>
    </x:row>
    <x:row r="1099">
      <x:c r="B1099" t="str">
        <x:v>PH-EV-080</x:v>
      </x:c>
      <x:c r="C1099" t="str">
        <x:v>PHYSICAL</x:v>
      </x:c>
      <x:c r="D1099" t="str">
        <x:v>event evidence</x:v>
      </x:c>
      <x:c r="E1099" t="str">
        <x:v>PH-EV-080</x:v>
      </x:c>
      <x:c r="F1099" t="n">
        <x:f>IF('Event Register'!S86&lt;&gt;"",1,0)</x:f>
        <x:v>0</x:v>
      </x:c>
      <x:c r="G1099" t="n">
        <x:v>1</x:v>
      </x:c>
      <x:c r="H1099" t="str">
        <x:v>independent physical acceptance</x:v>
      </x:c>
      <x:c r="I1099" t="str">
        <x:f>IF(F1099=1,"PASS","OPEN")</x:f>
        <x:v>OPEN</x:v>
      </x:c>
    </x:row>
    <x:row r="1100">
      <x:c r="B1100" t="str">
        <x:v>PH-VA-080</x:v>
      </x:c>
      <x:c r="C1100" t="str">
        <x:v>PHYSICAL</x:v>
      </x:c>
      <x:c r="D1100" t="str">
        <x:v>event validity</x:v>
      </x:c>
      <x:c r="E1100" t="str">
        <x:v>PH-VA-080</x:v>
      </x:c>
      <x:c r="F1100" t="n">
        <x:f>IF('Event Register'!T86&lt;&gt;"",1,0)</x:f>
        <x:v>0</x:v>
      </x:c>
      <x:c r="G1100" t="n">
        <x:v>1</x:v>
      </x:c>
      <x:c r="H1100" t="str">
        <x:v>independent physical acceptance</x:v>
      </x:c>
      <x:c r="I1100" t="str">
        <x:f>IF(F1100=1,"PASS","OPEN")</x:f>
        <x:v>OPEN</x:v>
      </x:c>
    </x:row>
    <x:row r="1101">
      <x:c r="B1101" t="str">
        <x:v>PH-OU-080</x:v>
      </x:c>
      <x:c r="C1101" t="str">
        <x:v>PHYSICAL</x:v>
      </x:c>
      <x:c r="D1101" t="str">
        <x:v>event outcome</x:v>
      </x:c>
      <x:c r="E1101" t="str">
        <x:v>PH-OU-080</x:v>
      </x:c>
      <x:c r="F1101" t="n">
        <x:f>IF('Event Register'!U86&lt;&gt;"",1,0)</x:f>
        <x:v>0</x:v>
      </x:c>
      <x:c r="G1101" t="n">
        <x:v>1</x:v>
      </x:c>
      <x:c r="H1101" t="str">
        <x:v>independent physical acceptance</x:v>
      </x:c>
      <x:c r="I1101" t="str">
        <x:f>IF(F1101=1,"PASS","OPEN")</x:f>
        <x:v>OPEN</x:v>
      </x:c>
    </x:row>
    <x:row r="1102">
      <x:c r="B1102" t="str">
        <x:v>PH-EX-081</x:v>
      </x:c>
      <x:c r="C1102" t="str">
        <x:v>PHYSICAL</x:v>
      </x:c>
      <x:c r="D1102" t="str">
        <x:v>event execution</x:v>
      </x:c>
      <x:c r="E1102" t="str">
        <x:v>PH-EX-081</x:v>
      </x:c>
      <x:c r="F1102" t="n">
        <x:f>IF('Event Register'!R87&lt;&gt;"",1,0)</x:f>
        <x:v>0</x:v>
      </x:c>
      <x:c r="G1102" t="n">
        <x:v>1</x:v>
      </x:c>
      <x:c r="H1102" t="str">
        <x:v>independent physical acceptance</x:v>
      </x:c>
      <x:c r="I1102" t="str">
        <x:f>IF(F1102=1,"PASS","OPEN")</x:f>
        <x:v>OPEN</x:v>
      </x:c>
    </x:row>
    <x:row r="1103">
      <x:c r="B1103" t="str">
        <x:v>PH-EV-081</x:v>
      </x:c>
      <x:c r="C1103" t="str">
        <x:v>PHYSICAL</x:v>
      </x:c>
      <x:c r="D1103" t="str">
        <x:v>event evidence</x:v>
      </x:c>
      <x:c r="E1103" t="str">
        <x:v>PH-EV-081</x:v>
      </x:c>
      <x:c r="F1103" t="n">
        <x:f>IF('Event Register'!S87&lt;&gt;"",1,0)</x:f>
        <x:v>0</x:v>
      </x:c>
      <x:c r="G1103" t="n">
        <x:v>1</x:v>
      </x:c>
      <x:c r="H1103" t="str">
        <x:v>independent physical acceptance</x:v>
      </x:c>
      <x:c r="I1103" t="str">
        <x:f>IF(F1103=1,"PASS","OPEN")</x:f>
        <x:v>OPEN</x:v>
      </x:c>
    </x:row>
    <x:row r="1104">
      <x:c r="B1104" t="str">
        <x:v>PH-VA-081</x:v>
      </x:c>
      <x:c r="C1104" t="str">
        <x:v>PHYSICAL</x:v>
      </x:c>
      <x:c r="D1104" t="str">
        <x:v>event validity</x:v>
      </x:c>
      <x:c r="E1104" t="str">
        <x:v>PH-VA-081</x:v>
      </x:c>
      <x:c r="F1104" t="n">
        <x:f>IF('Event Register'!T87&lt;&gt;"",1,0)</x:f>
        <x:v>0</x:v>
      </x:c>
      <x:c r="G1104" t="n">
        <x:v>1</x:v>
      </x:c>
      <x:c r="H1104" t="str">
        <x:v>independent physical acceptance</x:v>
      </x:c>
      <x:c r="I1104" t="str">
        <x:f>IF(F1104=1,"PASS","OPEN")</x:f>
        <x:v>OPEN</x:v>
      </x:c>
    </x:row>
    <x:row r="1105">
      <x:c r="B1105" t="str">
        <x:v>PH-OU-081</x:v>
      </x:c>
      <x:c r="C1105" t="str">
        <x:v>PHYSICAL</x:v>
      </x:c>
      <x:c r="D1105" t="str">
        <x:v>event outcome</x:v>
      </x:c>
      <x:c r="E1105" t="str">
        <x:v>PH-OU-081</x:v>
      </x:c>
      <x:c r="F1105" t="n">
        <x:f>IF('Event Register'!U87&lt;&gt;"",1,0)</x:f>
        <x:v>0</x:v>
      </x:c>
      <x:c r="G1105" t="n">
        <x:v>1</x:v>
      </x:c>
      <x:c r="H1105" t="str">
        <x:v>independent physical acceptance</x:v>
      </x:c>
      <x:c r="I1105" t="str">
        <x:f>IF(F1105=1,"PASS","OPEN")</x:f>
        <x:v>OPEN</x:v>
      </x:c>
    </x:row>
    <x:row r="1106">
      <x:c r="B1106" t="str">
        <x:v>PH-EX-082</x:v>
      </x:c>
      <x:c r="C1106" t="str">
        <x:v>PHYSICAL</x:v>
      </x:c>
      <x:c r="D1106" t="str">
        <x:v>event execution</x:v>
      </x:c>
      <x:c r="E1106" t="str">
        <x:v>PH-EX-082</x:v>
      </x:c>
      <x:c r="F1106" t="n">
        <x:f>IF('Event Register'!R88&lt;&gt;"",1,0)</x:f>
        <x:v>0</x:v>
      </x:c>
      <x:c r="G1106" t="n">
        <x:v>1</x:v>
      </x:c>
      <x:c r="H1106" t="str">
        <x:v>independent physical acceptance</x:v>
      </x:c>
      <x:c r="I1106" t="str">
        <x:f>IF(F1106=1,"PASS","OPEN")</x:f>
        <x:v>OPEN</x:v>
      </x:c>
    </x:row>
    <x:row r="1107">
      <x:c r="B1107" t="str">
        <x:v>PH-EV-082</x:v>
      </x:c>
      <x:c r="C1107" t="str">
        <x:v>PHYSICAL</x:v>
      </x:c>
      <x:c r="D1107" t="str">
        <x:v>event evidence</x:v>
      </x:c>
      <x:c r="E1107" t="str">
        <x:v>PH-EV-082</x:v>
      </x:c>
      <x:c r="F1107" t="n">
        <x:f>IF('Event Register'!S88&lt;&gt;"",1,0)</x:f>
        <x:v>0</x:v>
      </x:c>
      <x:c r="G1107" t="n">
        <x:v>1</x:v>
      </x:c>
      <x:c r="H1107" t="str">
        <x:v>independent physical acceptance</x:v>
      </x:c>
      <x:c r="I1107" t="str">
        <x:f>IF(F1107=1,"PASS","OPEN")</x:f>
        <x:v>OPEN</x:v>
      </x:c>
    </x:row>
    <x:row r="1108">
      <x:c r="B1108" t="str">
        <x:v>PH-VA-082</x:v>
      </x:c>
      <x:c r="C1108" t="str">
        <x:v>PHYSICAL</x:v>
      </x:c>
      <x:c r="D1108" t="str">
        <x:v>event validity</x:v>
      </x:c>
      <x:c r="E1108" t="str">
        <x:v>PH-VA-082</x:v>
      </x:c>
      <x:c r="F1108" t="n">
        <x:f>IF('Event Register'!T88&lt;&gt;"",1,0)</x:f>
        <x:v>0</x:v>
      </x:c>
      <x:c r="G1108" t="n">
        <x:v>1</x:v>
      </x:c>
      <x:c r="H1108" t="str">
        <x:v>independent physical acceptance</x:v>
      </x:c>
      <x:c r="I1108" t="str">
        <x:f>IF(F1108=1,"PASS","OPEN")</x:f>
        <x:v>OPEN</x:v>
      </x:c>
    </x:row>
    <x:row r="1109">
      <x:c r="B1109" t="str">
        <x:v>PH-OU-082</x:v>
      </x:c>
      <x:c r="C1109" t="str">
        <x:v>PHYSICAL</x:v>
      </x:c>
      <x:c r="D1109" t="str">
        <x:v>event outcome</x:v>
      </x:c>
      <x:c r="E1109" t="str">
        <x:v>PH-OU-082</x:v>
      </x:c>
      <x:c r="F1109" t="n">
        <x:f>IF('Event Register'!U88&lt;&gt;"",1,0)</x:f>
        <x:v>0</x:v>
      </x:c>
      <x:c r="G1109" t="n">
        <x:v>1</x:v>
      </x:c>
      <x:c r="H1109" t="str">
        <x:v>independent physical acceptance</x:v>
      </x:c>
      <x:c r="I1109" t="str">
        <x:f>IF(F1109=1,"PASS","OPEN")</x:f>
        <x:v>OPEN</x:v>
      </x:c>
    </x:row>
    <x:row r="1110">
      <x:c r="B1110" t="str">
        <x:v>PH-EX-083</x:v>
      </x:c>
      <x:c r="C1110" t="str">
        <x:v>PHYSICAL</x:v>
      </x:c>
      <x:c r="D1110" t="str">
        <x:v>event execution</x:v>
      </x:c>
      <x:c r="E1110" t="str">
        <x:v>PH-EX-083</x:v>
      </x:c>
      <x:c r="F1110" t="n">
        <x:f>IF('Event Register'!R89&lt;&gt;"",1,0)</x:f>
        <x:v>0</x:v>
      </x:c>
      <x:c r="G1110" t="n">
        <x:v>1</x:v>
      </x:c>
      <x:c r="H1110" t="str">
        <x:v>independent physical acceptance</x:v>
      </x:c>
      <x:c r="I1110" t="str">
        <x:f>IF(F1110=1,"PASS","OPEN")</x:f>
        <x:v>OPEN</x:v>
      </x:c>
    </x:row>
    <x:row r="1111">
      <x:c r="B1111" t="str">
        <x:v>PH-EV-083</x:v>
      </x:c>
      <x:c r="C1111" t="str">
        <x:v>PHYSICAL</x:v>
      </x:c>
      <x:c r="D1111" t="str">
        <x:v>event evidence</x:v>
      </x:c>
      <x:c r="E1111" t="str">
        <x:v>PH-EV-083</x:v>
      </x:c>
      <x:c r="F1111" t="n">
        <x:f>IF('Event Register'!S89&lt;&gt;"",1,0)</x:f>
        <x:v>0</x:v>
      </x:c>
      <x:c r="G1111" t="n">
        <x:v>1</x:v>
      </x:c>
      <x:c r="H1111" t="str">
        <x:v>independent physical acceptance</x:v>
      </x:c>
      <x:c r="I1111" t="str">
        <x:f>IF(F1111=1,"PASS","OPEN")</x:f>
        <x:v>OPEN</x:v>
      </x:c>
    </x:row>
    <x:row r="1112">
      <x:c r="B1112" t="str">
        <x:v>PH-VA-083</x:v>
      </x:c>
      <x:c r="C1112" t="str">
        <x:v>PHYSICAL</x:v>
      </x:c>
      <x:c r="D1112" t="str">
        <x:v>event validity</x:v>
      </x:c>
      <x:c r="E1112" t="str">
        <x:v>PH-VA-083</x:v>
      </x:c>
      <x:c r="F1112" t="n">
        <x:f>IF('Event Register'!T89&lt;&gt;"",1,0)</x:f>
        <x:v>0</x:v>
      </x:c>
      <x:c r="G1112" t="n">
        <x:v>1</x:v>
      </x:c>
      <x:c r="H1112" t="str">
        <x:v>independent physical acceptance</x:v>
      </x:c>
      <x:c r="I1112" t="str">
        <x:f>IF(F1112=1,"PASS","OPEN")</x:f>
        <x:v>OPEN</x:v>
      </x:c>
    </x:row>
    <x:row r="1113">
      <x:c r="B1113" t="str">
        <x:v>PH-OU-083</x:v>
      </x:c>
      <x:c r="C1113" t="str">
        <x:v>PHYSICAL</x:v>
      </x:c>
      <x:c r="D1113" t="str">
        <x:v>event outcome</x:v>
      </x:c>
      <x:c r="E1113" t="str">
        <x:v>PH-OU-083</x:v>
      </x:c>
      <x:c r="F1113" t="n">
        <x:f>IF('Event Register'!U89&lt;&gt;"",1,0)</x:f>
        <x:v>0</x:v>
      </x:c>
      <x:c r="G1113" t="n">
        <x:v>1</x:v>
      </x:c>
      <x:c r="H1113" t="str">
        <x:v>independent physical acceptance</x:v>
      </x:c>
      <x:c r="I1113" t="str">
        <x:f>IF(F1113=1,"PASS","OPEN")</x:f>
        <x:v>OPEN</x:v>
      </x:c>
    </x:row>
    <x:row r="1114">
      <x:c r="B1114" t="str">
        <x:v>PH-EX-084</x:v>
      </x:c>
      <x:c r="C1114" t="str">
        <x:v>PHYSICAL</x:v>
      </x:c>
      <x:c r="D1114" t="str">
        <x:v>event execution</x:v>
      </x:c>
      <x:c r="E1114" t="str">
        <x:v>PH-EX-084</x:v>
      </x:c>
      <x:c r="F1114" t="n">
        <x:f>IF('Event Register'!R90&lt;&gt;"",1,0)</x:f>
        <x:v>0</x:v>
      </x:c>
      <x:c r="G1114" t="n">
        <x:v>1</x:v>
      </x:c>
      <x:c r="H1114" t="str">
        <x:v>independent physical acceptance</x:v>
      </x:c>
      <x:c r="I1114" t="str">
        <x:f>IF(F1114=1,"PASS","OPEN")</x:f>
        <x:v>OPEN</x:v>
      </x:c>
    </x:row>
    <x:row r="1115">
      <x:c r="B1115" t="str">
        <x:v>PH-EV-084</x:v>
      </x:c>
      <x:c r="C1115" t="str">
        <x:v>PHYSICAL</x:v>
      </x:c>
      <x:c r="D1115" t="str">
        <x:v>event evidence</x:v>
      </x:c>
      <x:c r="E1115" t="str">
        <x:v>PH-EV-084</x:v>
      </x:c>
      <x:c r="F1115" t="n">
        <x:f>IF('Event Register'!S90&lt;&gt;"",1,0)</x:f>
        <x:v>0</x:v>
      </x:c>
      <x:c r="G1115" t="n">
        <x:v>1</x:v>
      </x:c>
      <x:c r="H1115" t="str">
        <x:v>independent physical acceptance</x:v>
      </x:c>
      <x:c r="I1115" t="str">
        <x:f>IF(F1115=1,"PASS","OPEN")</x:f>
        <x:v>OPEN</x:v>
      </x:c>
    </x:row>
    <x:row r="1116">
      <x:c r="B1116" t="str">
        <x:v>PH-VA-084</x:v>
      </x:c>
      <x:c r="C1116" t="str">
        <x:v>PHYSICAL</x:v>
      </x:c>
      <x:c r="D1116" t="str">
        <x:v>event validity</x:v>
      </x:c>
      <x:c r="E1116" t="str">
        <x:v>PH-VA-084</x:v>
      </x:c>
      <x:c r="F1116" t="n">
        <x:f>IF('Event Register'!T90&lt;&gt;"",1,0)</x:f>
        <x:v>0</x:v>
      </x:c>
      <x:c r="G1116" t="n">
        <x:v>1</x:v>
      </x:c>
      <x:c r="H1116" t="str">
        <x:v>independent physical acceptance</x:v>
      </x:c>
      <x:c r="I1116" t="str">
        <x:f>IF(F1116=1,"PASS","OPEN")</x:f>
        <x:v>OPEN</x:v>
      </x:c>
    </x:row>
    <x:row r="1117">
      <x:c r="B1117" t="str">
        <x:v>PH-OU-084</x:v>
      </x:c>
      <x:c r="C1117" t="str">
        <x:v>PHYSICAL</x:v>
      </x:c>
      <x:c r="D1117" t="str">
        <x:v>event outcome</x:v>
      </x:c>
      <x:c r="E1117" t="str">
        <x:v>PH-OU-084</x:v>
      </x:c>
      <x:c r="F1117" t="n">
        <x:f>IF('Event Register'!U90&lt;&gt;"",1,0)</x:f>
        <x:v>0</x:v>
      </x:c>
      <x:c r="G1117" t="n">
        <x:v>1</x:v>
      </x:c>
      <x:c r="H1117" t="str">
        <x:v>independent physical acceptance</x:v>
      </x:c>
      <x:c r="I1117" t="str">
        <x:f>IF(F1117=1,"PASS","OPEN")</x:f>
        <x:v>OPEN</x:v>
      </x:c>
    </x:row>
    <x:row r="1118">
      <x:c r="B1118" t="str">
        <x:v>PH-EX-085</x:v>
      </x:c>
      <x:c r="C1118" t="str">
        <x:v>PHYSICAL</x:v>
      </x:c>
      <x:c r="D1118" t="str">
        <x:v>event execution</x:v>
      </x:c>
      <x:c r="E1118" t="str">
        <x:v>PH-EX-085</x:v>
      </x:c>
      <x:c r="F1118" t="n">
        <x:f>IF('Event Register'!R91&lt;&gt;"",1,0)</x:f>
        <x:v>0</x:v>
      </x:c>
      <x:c r="G1118" t="n">
        <x:v>1</x:v>
      </x:c>
      <x:c r="H1118" t="str">
        <x:v>independent physical acceptance</x:v>
      </x:c>
      <x:c r="I1118" t="str">
        <x:f>IF(F1118=1,"PASS","OPEN")</x:f>
        <x:v>OPEN</x:v>
      </x:c>
    </x:row>
    <x:row r="1119">
      <x:c r="B1119" t="str">
        <x:v>PH-EV-085</x:v>
      </x:c>
      <x:c r="C1119" t="str">
        <x:v>PHYSICAL</x:v>
      </x:c>
      <x:c r="D1119" t="str">
        <x:v>event evidence</x:v>
      </x:c>
      <x:c r="E1119" t="str">
        <x:v>PH-EV-085</x:v>
      </x:c>
      <x:c r="F1119" t="n">
        <x:f>IF('Event Register'!S91&lt;&gt;"",1,0)</x:f>
        <x:v>0</x:v>
      </x:c>
      <x:c r="G1119" t="n">
        <x:v>1</x:v>
      </x:c>
      <x:c r="H1119" t="str">
        <x:v>independent physical acceptance</x:v>
      </x:c>
      <x:c r="I1119" t="str">
        <x:f>IF(F1119=1,"PASS","OPEN")</x:f>
        <x:v>OPEN</x:v>
      </x:c>
    </x:row>
    <x:row r="1120">
      <x:c r="B1120" t="str">
        <x:v>PH-VA-085</x:v>
      </x:c>
      <x:c r="C1120" t="str">
        <x:v>PHYSICAL</x:v>
      </x:c>
      <x:c r="D1120" t="str">
        <x:v>event validity</x:v>
      </x:c>
      <x:c r="E1120" t="str">
        <x:v>PH-VA-085</x:v>
      </x:c>
      <x:c r="F1120" t="n">
        <x:f>IF('Event Register'!T91&lt;&gt;"",1,0)</x:f>
        <x:v>0</x:v>
      </x:c>
      <x:c r="G1120" t="n">
        <x:v>1</x:v>
      </x:c>
      <x:c r="H1120" t="str">
        <x:v>independent physical acceptance</x:v>
      </x:c>
      <x:c r="I1120" t="str">
        <x:f>IF(F1120=1,"PASS","OPEN")</x:f>
        <x:v>OPEN</x:v>
      </x:c>
    </x:row>
    <x:row r="1121">
      <x:c r="B1121" t="str">
        <x:v>PH-OU-085</x:v>
      </x:c>
      <x:c r="C1121" t="str">
        <x:v>PHYSICAL</x:v>
      </x:c>
      <x:c r="D1121" t="str">
        <x:v>event outcome</x:v>
      </x:c>
      <x:c r="E1121" t="str">
        <x:v>PH-OU-085</x:v>
      </x:c>
      <x:c r="F1121" t="n">
        <x:f>IF('Event Register'!U91&lt;&gt;"",1,0)</x:f>
        <x:v>0</x:v>
      </x:c>
      <x:c r="G1121" t="n">
        <x:v>1</x:v>
      </x:c>
      <x:c r="H1121" t="str">
        <x:v>independent physical acceptance</x:v>
      </x:c>
      <x:c r="I1121" t="str">
        <x:f>IF(F1121=1,"PASS","OPEN")</x:f>
        <x:v>OPEN</x:v>
      </x:c>
    </x:row>
    <x:row r="1122">
      <x:c r="B1122" t="str">
        <x:v>PH-EX-086</x:v>
      </x:c>
      <x:c r="C1122" t="str">
        <x:v>PHYSICAL</x:v>
      </x:c>
      <x:c r="D1122" t="str">
        <x:v>event execution</x:v>
      </x:c>
      <x:c r="E1122" t="str">
        <x:v>PH-EX-086</x:v>
      </x:c>
      <x:c r="F1122" t="n">
        <x:f>IF('Event Register'!R92&lt;&gt;"",1,0)</x:f>
        <x:v>0</x:v>
      </x:c>
      <x:c r="G1122" t="n">
        <x:v>1</x:v>
      </x:c>
      <x:c r="H1122" t="str">
        <x:v>independent physical acceptance</x:v>
      </x:c>
      <x:c r="I1122" t="str">
        <x:f>IF(F1122=1,"PASS","OPEN")</x:f>
        <x:v>OPEN</x:v>
      </x:c>
    </x:row>
    <x:row r="1123">
      <x:c r="B1123" t="str">
        <x:v>PH-EV-086</x:v>
      </x:c>
      <x:c r="C1123" t="str">
        <x:v>PHYSICAL</x:v>
      </x:c>
      <x:c r="D1123" t="str">
        <x:v>event evidence</x:v>
      </x:c>
      <x:c r="E1123" t="str">
        <x:v>PH-EV-086</x:v>
      </x:c>
      <x:c r="F1123" t="n">
        <x:f>IF('Event Register'!S92&lt;&gt;"",1,0)</x:f>
        <x:v>0</x:v>
      </x:c>
      <x:c r="G1123" t="n">
        <x:v>1</x:v>
      </x:c>
      <x:c r="H1123" t="str">
        <x:v>independent physical acceptance</x:v>
      </x:c>
      <x:c r="I1123" t="str">
        <x:f>IF(F1123=1,"PASS","OPEN")</x:f>
        <x:v>OPEN</x:v>
      </x:c>
    </x:row>
    <x:row r="1124">
      <x:c r="B1124" t="str">
        <x:v>PH-VA-086</x:v>
      </x:c>
      <x:c r="C1124" t="str">
        <x:v>PHYSICAL</x:v>
      </x:c>
      <x:c r="D1124" t="str">
        <x:v>event validity</x:v>
      </x:c>
      <x:c r="E1124" t="str">
        <x:v>PH-VA-086</x:v>
      </x:c>
      <x:c r="F1124" t="n">
        <x:f>IF('Event Register'!T92&lt;&gt;"",1,0)</x:f>
        <x:v>0</x:v>
      </x:c>
      <x:c r="G1124" t="n">
        <x:v>1</x:v>
      </x:c>
      <x:c r="H1124" t="str">
        <x:v>independent physical acceptance</x:v>
      </x:c>
      <x:c r="I1124" t="str">
        <x:f>IF(F1124=1,"PASS","OPEN")</x:f>
        <x:v>OPEN</x:v>
      </x:c>
    </x:row>
    <x:row r="1125">
      <x:c r="B1125" t="str">
        <x:v>PH-OU-086</x:v>
      </x:c>
      <x:c r="C1125" t="str">
        <x:v>PHYSICAL</x:v>
      </x:c>
      <x:c r="D1125" t="str">
        <x:v>event outcome</x:v>
      </x:c>
      <x:c r="E1125" t="str">
        <x:v>PH-OU-086</x:v>
      </x:c>
      <x:c r="F1125" t="n">
        <x:f>IF('Event Register'!U92&lt;&gt;"",1,0)</x:f>
        <x:v>0</x:v>
      </x:c>
      <x:c r="G1125" t="n">
        <x:v>1</x:v>
      </x:c>
      <x:c r="H1125" t="str">
        <x:v>independent physical acceptance</x:v>
      </x:c>
      <x:c r="I1125" t="str">
        <x:f>IF(F1125=1,"PASS","OPEN")</x:f>
        <x:v>OPEN</x:v>
      </x:c>
    </x:row>
    <x:row r="1126">
      <x:c r="B1126" t="str">
        <x:v>PH-EX-087</x:v>
      </x:c>
      <x:c r="C1126" t="str">
        <x:v>PHYSICAL</x:v>
      </x:c>
      <x:c r="D1126" t="str">
        <x:v>event execution</x:v>
      </x:c>
      <x:c r="E1126" t="str">
        <x:v>PH-EX-087</x:v>
      </x:c>
      <x:c r="F1126" t="n">
        <x:f>IF('Event Register'!R93&lt;&gt;"",1,0)</x:f>
        <x:v>0</x:v>
      </x:c>
      <x:c r="G1126" t="n">
        <x:v>1</x:v>
      </x:c>
      <x:c r="H1126" t="str">
        <x:v>independent physical acceptance</x:v>
      </x:c>
      <x:c r="I1126" t="str">
        <x:f>IF(F1126=1,"PASS","OPEN")</x:f>
        <x:v>OPEN</x:v>
      </x:c>
    </x:row>
    <x:row r="1127">
      <x:c r="B1127" t="str">
        <x:v>PH-EV-087</x:v>
      </x:c>
      <x:c r="C1127" t="str">
        <x:v>PHYSICAL</x:v>
      </x:c>
      <x:c r="D1127" t="str">
        <x:v>event evidence</x:v>
      </x:c>
      <x:c r="E1127" t="str">
        <x:v>PH-EV-087</x:v>
      </x:c>
      <x:c r="F1127" t="n">
        <x:f>IF('Event Register'!S93&lt;&gt;"",1,0)</x:f>
        <x:v>0</x:v>
      </x:c>
      <x:c r="G1127" t="n">
        <x:v>1</x:v>
      </x:c>
      <x:c r="H1127" t="str">
        <x:v>independent physical acceptance</x:v>
      </x:c>
      <x:c r="I1127" t="str">
        <x:f>IF(F1127=1,"PASS","OPEN")</x:f>
        <x:v>OPEN</x:v>
      </x:c>
    </x:row>
    <x:row r="1128">
      <x:c r="B1128" t="str">
        <x:v>PH-VA-087</x:v>
      </x:c>
      <x:c r="C1128" t="str">
        <x:v>PHYSICAL</x:v>
      </x:c>
      <x:c r="D1128" t="str">
        <x:v>event validity</x:v>
      </x:c>
      <x:c r="E1128" t="str">
        <x:v>PH-VA-087</x:v>
      </x:c>
      <x:c r="F1128" t="n">
        <x:f>IF('Event Register'!T93&lt;&gt;"",1,0)</x:f>
        <x:v>0</x:v>
      </x:c>
      <x:c r="G1128" t="n">
        <x:v>1</x:v>
      </x:c>
      <x:c r="H1128" t="str">
        <x:v>independent physical acceptance</x:v>
      </x:c>
      <x:c r="I1128" t="str">
        <x:f>IF(F1128=1,"PASS","OPEN")</x:f>
        <x:v>OPEN</x:v>
      </x:c>
    </x:row>
    <x:row r="1129">
      <x:c r="B1129" t="str">
        <x:v>PH-OU-087</x:v>
      </x:c>
      <x:c r="C1129" t="str">
        <x:v>PHYSICAL</x:v>
      </x:c>
      <x:c r="D1129" t="str">
        <x:v>event outcome</x:v>
      </x:c>
      <x:c r="E1129" t="str">
        <x:v>PH-OU-087</x:v>
      </x:c>
      <x:c r="F1129" t="n">
        <x:f>IF('Event Register'!U93&lt;&gt;"",1,0)</x:f>
        <x:v>0</x:v>
      </x:c>
      <x:c r="G1129" t="n">
        <x:v>1</x:v>
      </x:c>
      <x:c r="H1129" t="str">
        <x:v>independent physical acceptance</x:v>
      </x:c>
      <x:c r="I1129" t="str">
        <x:f>IF(F1129=1,"PASS","OPEN")</x:f>
        <x:v>OPEN</x:v>
      </x:c>
    </x:row>
    <x:row r="1130">
      <x:c r="B1130" t="str">
        <x:v>PH-EX-088</x:v>
      </x:c>
      <x:c r="C1130" t="str">
        <x:v>PHYSICAL</x:v>
      </x:c>
      <x:c r="D1130" t="str">
        <x:v>event execution</x:v>
      </x:c>
      <x:c r="E1130" t="str">
        <x:v>PH-EX-088</x:v>
      </x:c>
      <x:c r="F1130" t="n">
        <x:f>IF('Event Register'!R94&lt;&gt;"",1,0)</x:f>
        <x:v>0</x:v>
      </x:c>
      <x:c r="G1130" t="n">
        <x:v>1</x:v>
      </x:c>
      <x:c r="H1130" t="str">
        <x:v>independent physical acceptance</x:v>
      </x:c>
      <x:c r="I1130" t="str">
        <x:f>IF(F1130=1,"PASS","OPEN")</x:f>
        <x:v>OPEN</x:v>
      </x:c>
    </x:row>
    <x:row r="1131">
      <x:c r="B1131" t="str">
        <x:v>PH-EV-088</x:v>
      </x:c>
      <x:c r="C1131" t="str">
        <x:v>PHYSICAL</x:v>
      </x:c>
      <x:c r="D1131" t="str">
        <x:v>event evidence</x:v>
      </x:c>
      <x:c r="E1131" t="str">
        <x:v>PH-EV-088</x:v>
      </x:c>
      <x:c r="F1131" t="n">
        <x:f>IF('Event Register'!S94&lt;&gt;"",1,0)</x:f>
        <x:v>0</x:v>
      </x:c>
      <x:c r="G1131" t="n">
        <x:v>1</x:v>
      </x:c>
      <x:c r="H1131" t="str">
        <x:v>independent physical acceptance</x:v>
      </x:c>
      <x:c r="I1131" t="str">
        <x:f>IF(F1131=1,"PASS","OPEN")</x:f>
        <x:v>OPEN</x:v>
      </x:c>
    </x:row>
    <x:row r="1132">
      <x:c r="B1132" t="str">
        <x:v>PH-VA-088</x:v>
      </x:c>
      <x:c r="C1132" t="str">
        <x:v>PHYSICAL</x:v>
      </x:c>
      <x:c r="D1132" t="str">
        <x:v>event validity</x:v>
      </x:c>
      <x:c r="E1132" t="str">
        <x:v>PH-VA-088</x:v>
      </x:c>
      <x:c r="F1132" t="n">
        <x:f>IF('Event Register'!T94&lt;&gt;"",1,0)</x:f>
        <x:v>0</x:v>
      </x:c>
      <x:c r="G1132" t="n">
        <x:v>1</x:v>
      </x:c>
      <x:c r="H1132" t="str">
        <x:v>independent physical acceptance</x:v>
      </x:c>
      <x:c r="I1132" t="str">
        <x:f>IF(F1132=1,"PASS","OPEN")</x:f>
        <x:v>OPEN</x:v>
      </x:c>
    </x:row>
    <x:row r="1133">
      <x:c r="B1133" t="str">
        <x:v>PH-OU-088</x:v>
      </x:c>
      <x:c r="C1133" t="str">
        <x:v>PHYSICAL</x:v>
      </x:c>
      <x:c r="D1133" t="str">
        <x:v>event outcome</x:v>
      </x:c>
      <x:c r="E1133" t="str">
        <x:v>PH-OU-088</x:v>
      </x:c>
      <x:c r="F1133" t="n">
        <x:f>IF('Event Register'!U94&lt;&gt;"",1,0)</x:f>
        <x:v>0</x:v>
      </x:c>
      <x:c r="G1133" t="n">
        <x:v>1</x:v>
      </x:c>
      <x:c r="H1133" t="str">
        <x:v>independent physical acceptance</x:v>
      </x:c>
      <x:c r="I1133" t="str">
        <x:f>IF(F1133=1,"PASS","OPEN")</x:f>
        <x:v>OPEN</x:v>
      </x:c>
    </x:row>
    <x:row r="1134">
      <x:c r="B1134" t="str">
        <x:v>PH-EX-089</x:v>
      </x:c>
      <x:c r="C1134" t="str">
        <x:v>PHYSICAL</x:v>
      </x:c>
      <x:c r="D1134" t="str">
        <x:v>event execution</x:v>
      </x:c>
      <x:c r="E1134" t="str">
        <x:v>PH-EX-089</x:v>
      </x:c>
      <x:c r="F1134" t="n">
        <x:f>IF('Event Register'!R95&lt;&gt;"",1,0)</x:f>
        <x:v>0</x:v>
      </x:c>
      <x:c r="G1134" t="n">
        <x:v>1</x:v>
      </x:c>
      <x:c r="H1134" t="str">
        <x:v>independent physical acceptance</x:v>
      </x:c>
      <x:c r="I1134" t="str">
        <x:f>IF(F1134=1,"PASS","OPEN")</x:f>
        <x:v>OPEN</x:v>
      </x:c>
    </x:row>
    <x:row r="1135">
      <x:c r="B1135" t="str">
        <x:v>PH-EV-089</x:v>
      </x:c>
      <x:c r="C1135" t="str">
        <x:v>PHYSICAL</x:v>
      </x:c>
      <x:c r="D1135" t="str">
        <x:v>event evidence</x:v>
      </x:c>
      <x:c r="E1135" t="str">
        <x:v>PH-EV-089</x:v>
      </x:c>
      <x:c r="F1135" t="n">
        <x:f>IF('Event Register'!S95&lt;&gt;"",1,0)</x:f>
        <x:v>0</x:v>
      </x:c>
      <x:c r="G1135" t="n">
        <x:v>1</x:v>
      </x:c>
      <x:c r="H1135" t="str">
        <x:v>independent physical acceptance</x:v>
      </x:c>
      <x:c r="I1135" t="str">
        <x:f>IF(F1135=1,"PASS","OPEN")</x:f>
        <x:v>OPEN</x:v>
      </x:c>
    </x:row>
    <x:row r="1136">
      <x:c r="B1136" t="str">
        <x:v>PH-VA-089</x:v>
      </x:c>
      <x:c r="C1136" t="str">
        <x:v>PHYSICAL</x:v>
      </x:c>
      <x:c r="D1136" t="str">
        <x:v>event validity</x:v>
      </x:c>
      <x:c r="E1136" t="str">
        <x:v>PH-VA-089</x:v>
      </x:c>
      <x:c r="F1136" t="n">
        <x:f>IF('Event Register'!T95&lt;&gt;"",1,0)</x:f>
        <x:v>0</x:v>
      </x:c>
      <x:c r="G1136" t="n">
        <x:v>1</x:v>
      </x:c>
      <x:c r="H1136" t="str">
        <x:v>independent physical acceptance</x:v>
      </x:c>
      <x:c r="I1136" t="str">
        <x:f>IF(F1136=1,"PASS","OPEN")</x:f>
        <x:v>OPEN</x:v>
      </x:c>
    </x:row>
    <x:row r="1137">
      <x:c r="B1137" t="str">
        <x:v>PH-OU-089</x:v>
      </x:c>
      <x:c r="C1137" t="str">
        <x:v>PHYSICAL</x:v>
      </x:c>
      <x:c r="D1137" t="str">
        <x:v>event outcome</x:v>
      </x:c>
      <x:c r="E1137" t="str">
        <x:v>PH-OU-089</x:v>
      </x:c>
      <x:c r="F1137" t="n">
        <x:f>IF('Event Register'!U95&lt;&gt;"",1,0)</x:f>
        <x:v>0</x:v>
      </x:c>
      <x:c r="G1137" t="n">
        <x:v>1</x:v>
      </x:c>
      <x:c r="H1137" t="str">
        <x:v>independent physical acceptance</x:v>
      </x:c>
      <x:c r="I1137" t="str">
        <x:f>IF(F1137=1,"PASS","OPEN")</x:f>
        <x:v>OPEN</x:v>
      </x:c>
    </x:row>
    <x:row r="1138">
      <x:c r="B1138" t="str">
        <x:v>PH-EX-090</x:v>
      </x:c>
      <x:c r="C1138" t="str">
        <x:v>PHYSICAL</x:v>
      </x:c>
      <x:c r="D1138" t="str">
        <x:v>event execution</x:v>
      </x:c>
      <x:c r="E1138" t="str">
        <x:v>PH-EX-090</x:v>
      </x:c>
      <x:c r="F1138" t="n">
        <x:f>IF('Event Register'!R96&lt;&gt;"",1,0)</x:f>
        <x:v>0</x:v>
      </x:c>
      <x:c r="G1138" t="n">
        <x:v>1</x:v>
      </x:c>
      <x:c r="H1138" t="str">
        <x:v>independent physical acceptance</x:v>
      </x:c>
      <x:c r="I1138" t="str">
        <x:f>IF(F1138=1,"PASS","OPEN")</x:f>
        <x:v>OPEN</x:v>
      </x:c>
    </x:row>
    <x:row r="1139">
      <x:c r="B1139" t="str">
        <x:v>PH-EV-090</x:v>
      </x:c>
      <x:c r="C1139" t="str">
        <x:v>PHYSICAL</x:v>
      </x:c>
      <x:c r="D1139" t="str">
        <x:v>event evidence</x:v>
      </x:c>
      <x:c r="E1139" t="str">
        <x:v>PH-EV-090</x:v>
      </x:c>
      <x:c r="F1139" t="n">
        <x:f>IF('Event Register'!S96&lt;&gt;"",1,0)</x:f>
        <x:v>0</x:v>
      </x:c>
      <x:c r="G1139" t="n">
        <x:v>1</x:v>
      </x:c>
      <x:c r="H1139" t="str">
        <x:v>independent physical acceptance</x:v>
      </x:c>
      <x:c r="I1139" t="str">
        <x:f>IF(F1139=1,"PASS","OPEN")</x:f>
        <x:v>OPEN</x:v>
      </x:c>
    </x:row>
    <x:row r="1140">
      <x:c r="B1140" t="str">
        <x:v>PH-VA-090</x:v>
      </x:c>
      <x:c r="C1140" t="str">
        <x:v>PHYSICAL</x:v>
      </x:c>
      <x:c r="D1140" t="str">
        <x:v>event validity</x:v>
      </x:c>
      <x:c r="E1140" t="str">
        <x:v>PH-VA-090</x:v>
      </x:c>
      <x:c r="F1140" t="n">
        <x:f>IF('Event Register'!T96&lt;&gt;"",1,0)</x:f>
        <x:v>0</x:v>
      </x:c>
      <x:c r="G1140" t="n">
        <x:v>1</x:v>
      </x:c>
      <x:c r="H1140" t="str">
        <x:v>independent physical acceptance</x:v>
      </x:c>
      <x:c r="I1140" t="str">
        <x:f>IF(F1140=1,"PASS","OPEN")</x:f>
        <x:v>OPEN</x:v>
      </x:c>
    </x:row>
    <x:row r="1141">
      <x:c r="B1141" t="str">
        <x:v>PH-OU-090</x:v>
      </x:c>
      <x:c r="C1141" t="str">
        <x:v>PHYSICAL</x:v>
      </x:c>
      <x:c r="D1141" t="str">
        <x:v>event outcome</x:v>
      </x:c>
      <x:c r="E1141" t="str">
        <x:v>PH-OU-090</x:v>
      </x:c>
      <x:c r="F1141" t="n">
        <x:f>IF('Event Register'!U96&lt;&gt;"",1,0)</x:f>
        <x:v>0</x:v>
      </x:c>
      <x:c r="G1141" t="n">
        <x:v>1</x:v>
      </x:c>
      <x:c r="H1141" t="str">
        <x:v>independent physical acceptance</x:v>
      </x:c>
      <x:c r="I1141" t="str">
        <x:f>IF(F1141=1,"PASS","OPEN")</x:f>
        <x:v>OPEN</x:v>
      </x:c>
    </x:row>
    <x:row r="1142">
      <x:c r="B1142" t="str">
        <x:v>PH-EX-091</x:v>
      </x:c>
      <x:c r="C1142" t="str">
        <x:v>PHYSICAL</x:v>
      </x:c>
      <x:c r="D1142" t="str">
        <x:v>event execution</x:v>
      </x:c>
      <x:c r="E1142" t="str">
        <x:v>PH-EX-091</x:v>
      </x:c>
      <x:c r="F1142" t="n">
        <x:f>IF('Event Register'!R97&lt;&gt;"",1,0)</x:f>
        <x:v>0</x:v>
      </x:c>
      <x:c r="G1142" t="n">
        <x:v>1</x:v>
      </x:c>
      <x:c r="H1142" t="str">
        <x:v>independent physical acceptance</x:v>
      </x:c>
      <x:c r="I1142" t="str">
        <x:f>IF(F1142=1,"PASS","OPEN")</x:f>
        <x:v>OPEN</x:v>
      </x:c>
    </x:row>
    <x:row r="1143">
      <x:c r="B1143" t="str">
        <x:v>PH-EV-091</x:v>
      </x:c>
      <x:c r="C1143" t="str">
        <x:v>PHYSICAL</x:v>
      </x:c>
      <x:c r="D1143" t="str">
        <x:v>event evidence</x:v>
      </x:c>
      <x:c r="E1143" t="str">
        <x:v>PH-EV-091</x:v>
      </x:c>
      <x:c r="F1143" t="n">
        <x:f>IF('Event Register'!S97&lt;&gt;"",1,0)</x:f>
        <x:v>0</x:v>
      </x:c>
      <x:c r="G1143" t="n">
        <x:v>1</x:v>
      </x:c>
      <x:c r="H1143" t="str">
        <x:v>independent physical acceptance</x:v>
      </x:c>
      <x:c r="I1143" t="str">
        <x:f>IF(F1143=1,"PASS","OPEN")</x:f>
        <x:v>OPEN</x:v>
      </x:c>
    </x:row>
    <x:row r="1144">
      <x:c r="B1144" t="str">
        <x:v>PH-VA-091</x:v>
      </x:c>
      <x:c r="C1144" t="str">
        <x:v>PHYSICAL</x:v>
      </x:c>
      <x:c r="D1144" t="str">
        <x:v>event validity</x:v>
      </x:c>
      <x:c r="E1144" t="str">
        <x:v>PH-VA-091</x:v>
      </x:c>
      <x:c r="F1144" t="n">
        <x:f>IF('Event Register'!T97&lt;&gt;"",1,0)</x:f>
        <x:v>0</x:v>
      </x:c>
      <x:c r="G1144" t="n">
        <x:v>1</x:v>
      </x:c>
      <x:c r="H1144" t="str">
        <x:v>independent physical acceptance</x:v>
      </x:c>
      <x:c r="I1144" t="str">
        <x:f>IF(F1144=1,"PASS","OPEN")</x:f>
        <x:v>OPEN</x:v>
      </x:c>
    </x:row>
    <x:row r="1145">
      <x:c r="B1145" t="str">
        <x:v>PH-OU-091</x:v>
      </x:c>
      <x:c r="C1145" t="str">
        <x:v>PHYSICAL</x:v>
      </x:c>
      <x:c r="D1145" t="str">
        <x:v>event outcome</x:v>
      </x:c>
      <x:c r="E1145" t="str">
        <x:v>PH-OU-091</x:v>
      </x:c>
      <x:c r="F1145" t="n">
        <x:f>IF('Event Register'!U97&lt;&gt;"",1,0)</x:f>
        <x:v>0</x:v>
      </x:c>
      <x:c r="G1145" t="n">
        <x:v>1</x:v>
      </x:c>
      <x:c r="H1145" t="str">
        <x:v>independent physical acceptance</x:v>
      </x:c>
      <x:c r="I1145" t="str">
        <x:f>IF(F1145=1,"PASS","OPEN")</x:f>
        <x:v>OPEN</x:v>
      </x:c>
    </x:row>
    <x:row r="1146">
      <x:c r="B1146" t="str">
        <x:v>PH-EX-092</x:v>
      </x:c>
      <x:c r="C1146" t="str">
        <x:v>PHYSICAL</x:v>
      </x:c>
      <x:c r="D1146" t="str">
        <x:v>event execution</x:v>
      </x:c>
      <x:c r="E1146" t="str">
        <x:v>PH-EX-092</x:v>
      </x:c>
      <x:c r="F1146" t="n">
        <x:f>IF('Event Register'!R98&lt;&gt;"",1,0)</x:f>
        <x:v>0</x:v>
      </x:c>
      <x:c r="G1146" t="n">
        <x:v>1</x:v>
      </x:c>
      <x:c r="H1146" t="str">
        <x:v>independent physical acceptance</x:v>
      </x:c>
      <x:c r="I1146" t="str">
        <x:f>IF(F1146=1,"PASS","OPEN")</x:f>
        <x:v>OPEN</x:v>
      </x:c>
    </x:row>
    <x:row r="1147">
      <x:c r="B1147" t="str">
        <x:v>PH-EV-092</x:v>
      </x:c>
      <x:c r="C1147" t="str">
        <x:v>PHYSICAL</x:v>
      </x:c>
      <x:c r="D1147" t="str">
        <x:v>event evidence</x:v>
      </x:c>
      <x:c r="E1147" t="str">
        <x:v>PH-EV-092</x:v>
      </x:c>
      <x:c r="F1147" t="n">
        <x:f>IF('Event Register'!S98&lt;&gt;"",1,0)</x:f>
        <x:v>0</x:v>
      </x:c>
      <x:c r="G1147" t="n">
        <x:v>1</x:v>
      </x:c>
      <x:c r="H1147" t="str">
        <x:v>independent physical acceptance</x:v>
      </x:c>
      <x:c r="I1147" t="str">
        <x:f>IF(F1147=1,"PASS","OPEN")</x:f>
        <x:v>OPEN</x:v>
      </x:c>
    </x:row>
    <x:row r="1148">
      <x:c r="B1148" t="str">
        <x:v>PH-VA-092</x:v>
      </x:c>
      <x:c r="C1148" t="str">
        <x:v>PHYSICAL</x:v>
      </x:c>
      <x:c r="D1148" t="str">
        <x:v>event validity</x:v>
      </x:c>
      <x:c r="E1148" t="str">
        <x:v>PH-VA-092</x:v>
      </x:c>
      <x:c r="F1148" t="n">
        <x:f>IF('Event Register'!T98&lt;&gt;"",1,0)</x:f>
        <x:v>0</x:v>
      </x:c>
      <x:c r="G1148" t="n">
        <x:v>1</x:v>
      </x:c>
      <x:c r="H1148" t="str">
        <x:v>independent physical acceptance</x:v>
      </x:c>
      <x:c r="I1148" t="str">
        <x:f>IF(F1148=1,"PASS","OPEN")</x:f>
        <x:v>OPEN</x:v>
      </x:c>
    </x:row>
    <x:row r="1149">
      <x:c r="B1149" t="str">
        <x:v>PH-OU-092</x:v>
      </x:c>
      <x:c r="C1149" t="str">
        <x:v>PHYSICAL</x:v>
      </x:c>
      <x:c r="D1149" t="str">
        <x:v>event outcome</x:v>
      </x:c>
      <x:c r="E1149" t="str">
        <x:v>PH-OU-092</x:v>
      </x:c>
      <x:c r="F1149" t="n">
        <x:f>IF('Event Register'!U98&lt;&gt;"",1,0)</x:f>
        <x:v>0</x:v>
      </x:c>
      <x:c r="G1149" t="n">
        <x:v>1</x:v>
      </x:c>
      <x:c r="H1149" t="str">
        <x:v>independent physical acceptance</x:v>
      </x:c>
      <x:c r="I1149" t="str">
        <x:f>IF(F1149=1,"PASS","OPEN")</x:f>
        <x:v>OPEN</x:v>
      </x:c>
    </x:row>
    <x:row r="1150">
      <x:c r="B1150" t="str">
        <x:v>PH-EX-093</x:v>
      </x:c>
      <x:c r="C1150" t="str">
        <x:v>PHYSICAL</x:v>
      </x:c>
      <x:c r="D1150" t="str">
        <x:v>event execution</x:v>
      </x:c>
      <x:c r="E1150" t="str">
        <x:v>PH-EX-093</x:v>
      </x:c>
      <x:c r="F1150" t="n">
        <x:f>IF('Event Register'!R99&lt;&gt;"",1,0)</x:f>
        <x:v>0</x:v>
      </x:c>
      <x:c r="G1150" t="n">
        <x:v>1</x:v>
      </x:c>
      <x:c r="H1150" t="str">
        <x:v>independent physical acceptance</x:v>
      </x:c>
      <x:c r="I1150" t="str">
        <x:f>IF(F1150=1,"PASS","OPEN")</x:f>
        <x:v>OPEN</x:v>
      </x:c>
    </x:row>
    <x:row r="1151">
      <x:c r="B1151" t="str">
        <x:v>PH-EV-093</x:v>
      </x:c>
      <x:c r="C1151" t="str">
        <x:v>PHYSICAL</x:v>
      </x:c>
      <x:c r="D1151" t="str">
        <x:v>event evidence</x:v>
      </x:c>
      <x:c r="E1151" t="str">
        <x:v>PH-EV-093</x:v>
      </x:c>
      <x:c r="F1151" t="n">
        <x:f>IF('Event Register'!S99&lt;&gt;"",1,0)</x:f>
        <x:v>0</x:v>
      </x:c>
      <x:c r="G1151" t="n">
        <x:v>1</x:v>
      </x:c>
      <x:c r="H1151" t="str">
        <x:v>independent physical acceptance</x:v>
      </x:c>
      <x:c r="I1151" t="str">
        <x:f>IF(F1151=1,"PASS","OPEN")</x:f>
        <x:v>OPEN</x:v>
      </x:c>
    </x:row>
    <x:row r="1152">
      <x:c r="B1152" t="str">
        <x:v>PH-VA-093</x:v>
      </x:c>
      <x:c r="C1152" t="str">
        <x:v>PHYSICAL</x:v>
      </x:c>
      <x:c r="D1152" t="str">
        <x:v>event validity</x:v>
      </x:c>
      <x:c r="E1152" t="str">
        <x:v>PH-VA-093</x:v>
      </x:c>
      <x:c r="F1152" t="n">
        <x:f>IF('Event Register'!T99&lt;&gt;"",1,0)</x:f>
        <x:v>0</x:v>
      </x:c>
      <x:c r="G1152" t="n">
        <x:v>1</x:v>
      </x:c>
      <x:c r="H1152" t="str">
        <x:v>independent physical acceptance</x:v>
      </x:c>
      <x:c r="I1152" t="str">
        <x:f>IF(F1152=1,"PASS","OPEN")</x:f>
        <x:v>OPEN</x:v>
      </x:c>
    </x:row>
    <x:row r="1153">
      <x:c r="B1153" t="str">
        <x:v>PH-OU-093</x:v>
      </x:c>
      <x:c r="C1153" t="str">
        <x:v>PHYSICAL</x:v>
      </x:c>
      <x:c r="D1153" t="str">
        <x:v>event outcome</x:v>
      </x:c>
      <x:c r="E1153" t="str">
        <x:v>PH-OU-093</x:v>
      </x:c>
      <x:c r="F1153" t="n">
        <x:f>IF('Event Register'!U99&lt;&gt;"",1,0)</x:f>
        <x:v>0</x:v>
      </x:c>
      <x:c r="G1153" t="n">
        <x:v>1</x:v>
      </x:c>
      <x:c r="H1153" t="str">
        <x:v>independent physical acceptance</x:v>
      </x:c>
      <x:c r="I1153" t="str">
        <x:f>IF(F1153=1,"PASS","OPEN")</x:f>
        <x:v>OPEN</x:v>
      </x:c>
    </x:row>
    <x:row r="1154">
      <x:c r="B1154" t="str">
        <x:v>PH-EX-094</x:v>
      </x:c>
      <x:c r="C1154" t="str">
        <x:v>PHYSICAL</x:v>
      </x:c>
      <x:c r="D1154" t="str">
        <x:v>event execution</x:v>
      </x:c>
      <x:c r="E1154" t="str">
        <x:v>PH-EX-094</x:v>
      </x:c>
      <x:c r="F1154" t="n">
        <x:f>IF('Event Register'!R100&lt;&gt;"",1,0)</x:f>
        <x:v>0</x:v>
      </x:c>
      <x:c r="G1154" t="n">
        <x:v>1</x:v>
      </x:c>
      <x:c r="H1154" t="str">
        <x:v>independent physical acceptance</x:v>
      </x:c>
      <x:c r="I1154" t="str">
        <x:f>IF(F1154=1,"PASS","OPEN")</x:f>
        <x:v>OPEN</x:v>
      </x:c>
    </x:row>
    <x:row r="1155">
      <x:c r="B1155" t="str">
        <x:v>PH-EV-094</x:v>
      </x:c>
      <x:c r="C1155" t="str">
        <x:v>PHYSICAL</x:v>
      </x:c>
      <x:c r="D1155" t="str">
        <x:v>event evidence</x:v>
      </x:c>
      <x:c r="E1155" t="str">
        <x:v>PH-EV-094</x:v>
      </x:c>
      <x:c r="F1155" t="n">
        <x:f>IF('Event Register'!S100&lt;&gt;"",1,0)</x:f>
        <x:v>0</x:v>
      </x:c>
      <x:c r="G1155" t="n">
        <x:v>1</x:v>
      </x:c>
      <x:c r="H1155" t="str">
        <x:v>independent physical acceptance</x:v>
      </x:c>
      <x:c r="I1155" t="str">
        <x:f>IF(F1155=1,"PASS","OPEN")</x:f>
        <x:v>OPEN</x:v>
      </x:c>
    </x:row>
    <x:row r="1156">
      <x:c r="B1156" t="str">
        <x:v>PH-VA-094</x:v>
      </x:c>
      <x:c r="C1156" t="str">
        <x:v>PHYSICAL</x:v>
      </x:c>
      <x:c r="D1156" t="str">
        <x:v>event validity</x:v>
      </x:c>
      <x:c r="E1156" t="str">
        <x:v>PH-VA-094</x:v>
      </x:c>
      <x:c r="F1156" t="n">
        <x:f>IF('Event Register'!T100&lt;&gt;"",1,0)</x:f>
        <x:v>0</x:v>
      </x:c>
      <x:c r="G1156" t="n">
        <x:v>1</x:v>
      </x:c>
      <x:c r="H1156" t="str">
        <x:v>independent physical acceptance</x:v>
      </x:c>
      <x:c r="I1156" t="str">
        <x:f>IF(F1156=1,"PASS","OPEN")</x:f>
        <x:v>OPEN</x:v>
      </x:c>
    </x:row>
    <x:row r="1157">
      <x:c r="B1157" t="str">
        <x:v>PH-OU-094</x:v>
      </x:c>
      <x:c r="C1157" t="str">
        <x:v>PHYSICAL</x:v>
      </x:c>
      <x:c r="D1157" t="str">
        <x:v>event outcome</x:v>
      </x:c>
      <x:c r="E1157" t="str">
        <x:v>PH-OU-094</x:v>
      </x:c>
      <x:c r="F1157" t="n">
        <x:f>IF('Event Register'!U100&lt;&gt;"",1,0)</x:f>
        <x:v>0</x:v>
      </x:c>
      <x:c r="G1157" t="n">
        <x:v>1</x:v>
      </x:c>
      <x:c r="H1157" t="str">
        <x:v>independent physical acceptance</x:v>
      </x:c>
      <x:c r="I1157" t="str">
        <x:f>IF(F1157=1,"PASS","OPEN")</x:f>
        <x:v>OPEN</x:v>
      </x:c>
    </x:row>
    <x:row r="1158">
      <x:c r="B1158" t="str">
        <x:v>PH-EX-095</x:v>
      </x:c>
      <x:c r="C1158" t="str">
        <x:v>PHYSICAL</x:v>
      </x:c>
      <x:c r="D1158" t="str">
        <x:v>event execution</x:v>
      </x:c>
      <x:c r="E1158" t="str">
        <x:v>PH-EX-095</x:v>
      </x:c>
      <x:c r="F1158" t="n">
        <x:f>IF('Event Register'!R101&lt;&gt;"",1,0)</x:f>
        <x:v>0</x:v>
      </x:c>
      <x:c r="G1158" t="n">
        <x:v>1</x:v>
      </x:c>
      <x:c r="H1158" t="str">
        <x:v>independent physical acceptance</x:v>
      </x:c>
      <x:c r="I1158" t="str">
        <x:f>IF(F1158=1,"PASS","OPEN")</x:f>
        <x:v>OPEN</x:v>
      </x:c>
    </x:row>
    <x:row r="1159">
      <x:c r="B1159" t="str">
        <x:v>PH-EV-095</x:v>
      </x:c>
      <x:c r="C1159" t="str">
        <x:v>PHYSICAL</x:v>
      </x:c>
      <x:c r="D1159" t="str">
        <x:v>event evidence</x:v>
      </x:c>
      <x:c r="E1159" t="str">
        <x:v>PH-EV-095</x:v>
      </x:c>
      <x:c r="F1159" t="n">
        <x:f>IF('Event Register'!S101&lt;&gt;"",1,0)</x:f>
        <x:v>0</x:v>
      </x:c>
      <x:c r="G1159" t="n">
        <x:v>1</x:v>
      </x:c>
      <x:c r="H1159" t="str">
        <x:v>independent physical acceptance</x:v>
      </x:c>
      <x:c r="I1159" t="str">
        <x:f>IF(F1159=1,"PASS","OPEN")</x:f>
        <x:v>OPEN</x:v>
      </x:c>
    </x:row>
    <x:row r="1160">
      <x:c r="B1160" t="str">
        <x:v>PH-VA-095</x:v>
      </x:c>
      <x:c r="C1160" t="str">
        <x:v>PHYSICAL</x:v>
      </x:c>
      <x:c r="D1160" t="str">
        <x:v>event validity</x:v>
      </x:c>
      <x:c r="E1160" t="str">
        <x:v>PH-VA-095</x:v>
      </x:c>
      <x:c r="F1160" t="n">
        <x:f>IF('Event Register'!T101&lt;&gt;"",1,0)</x:f>
        <x:v>0</x:v>
      </x:c>
      <x:c r="G1160" t="n">
        <x:v>1</x:v>
      </x:c>
      <x:c r="H1160" t="str">
        <x:v>independent physical acceptance</x:v>
      </x:c>
      <x:c r="I1160" t="str">
        <x:f>IF(F1160=1,"PASS","OPEN")</x:f>
        <x:v>OPEN</x:v>
      </x:c>
    </x:row>
    <x:row r="1161">
      <x:c r="B1161" t="str">
        <x:v>PH-OU-095</x:v>
      </x:c>
      <x:c r="C1161" t="str">
        <x:v>PHYSICAL</x:v>
      </x:c>
      <x:c r="D1161" t="str">
        <x:v>event outcome</x:v>
      </x:c>
      <x:c r="E1161" t="str">
        <x:v>PH-OU-095</x:v>
      </x:c>
      <x:c r="F1161" t="n">
        <x:f>IF('Event Register'!U101&lt;&gt;"",1,0)</x:f>
        <x:v>0</x:v>
      </x:c>
      <x:c r="G1161" t="n">
        <x:v>1</x:v>
      </x:c>
      <x:c r="H1161" t="str">
        <x:v>independent physical acceptance</x:v>
      </x:c>
      <x:c r="I1161" t="str">
        <x:f>IF(F1161=1,"PASS","OPEN")</x:f>
        <x:v>OPEN</x:v>
      </x:c>
    </x:row>
    <x:row r="1162">
      <x:c r="B1162" t="str">
        <x:v>PH-EX-096</x:v>
      </x:c>
      <x:c r="C1162" t="str">
        <x:v>PHYSICAL</x:v>
      </x:c>
      <x:c r="D1162" t="str">
        <x:v>event execution</x:v>
      </x:c>
      <x:c r="E1162" t="str">
        <x:v>PH-EX-096</x:v>
      </x:c>
      <x:c r="F1162" t="n">
        <x:f>IF('Event Register'!R102&lt;&gt;"",1,0)</x:f>
        <x:v>0</x:v>
      </x:c>
      <x:c r="G1162" t="n">
        <x:v>1</x:v>
      </x:c>
      <x:c r="H1162" t="str">
        <x:v>independent physical acceptance</x:v>
      </x:c>
      <x:c r="I1162" t="str">
        <x:f>IF(F1162=1,"PASS","OPEN")</x:f>
        <x:v>OPEN</x:v>
      </x:c>
    </x:row>
    <x:row r="1163">
      <x:c r="B1163" t="str">
        <x:v>PH-EV-096</x:v>
      </x:c>
      <x:c r="C1163" t="str">
        <x:v>PHYSICAL</x:v>
      </x:c>
      <x:c r="D1163" t="str">
        <x:v>event evidence</x:v>
      </x:c>
      <x:c r="E1163" t="str">
        <x:v>PH-EV-096</x:v>
      </x:c>
      <x:c r="F1163" t="n">
        <x:f>IF('Event Register'!S102&lt;&gt;"",1,0)</x:f>
        <x:v>0</x:v>
      </x:c>
      <x:c r="G1163" t="n">
        <x:v>1</x:v>
      </x:c>
      <x:c r="H1163" t="str">
        <x:v>independent physical acceptance</x:v>
      </x:c>
      <x:c r="I1163" t="str">
        <x:f>IF(F1163=1,"PASS","OPEN")</x:f>
        <x:v>OPEN</x:v>
      </x:c>
    </x:row>
    <x:row r="1164">
      <x:c r="B1164" t="str">
        <x:v>PH-VA-096</x:v>
      </x:c>
      <x:c r="C1164" t="str">
        <x:v>PHYSICAL</x:v>
      </x:c>
      <x:c r="D1164" t="str">
        <x:v>event validity</x:v>
      </x:c>
      <x:c r="E1164" t="str">
        <x:v>PH-VA-096</x:v>
      </x:c>
      <x:c r="F1164" t="n">
        <x:f>IF('Event Register'!T102&lt;&gt;"",1,0)</x:f>
        <x:v>0</x:v>
      </x:c>
      <x:c r="G1164" t="n">
        <x:v>1</x:v>
      </x:c>
      <x:c r="H1164" t="str">
        <x:v>independent physical acceptance</x:v>
      </x:c>
      <x:c r="I1164" t="str">
        <x:f>IF(F1164=1,"PASS","OPEN")</x:f>
        <x:v>OPEN</x:v>
      </x:c>
    </x:row>
    <x:row r="1165">
      <x:c r="B1165" t="str">
        <x:v>PH-OU-096</x:v>
      </x:c>
      <x:c r="C1165" t="str">
        <x:v>PHYSICAL</x:v>
      </x:c>
      <x:c r="D1165" t="str">
        <x:v>event outcome</x:v>
      </x:c>
      <x:c r="E1165" t="str">
        <x:v>PH-OU-096</x:v>
      </x:c>
      <x:c r="F1165" t="n">
        <x:f>IF('Event Register'!U102&lt;&gt;"",1,0)</x:f>
        <x:v>0</x:v>
      </x:c>
      <x:c r="G1165" t="n">
        <x:v>1</x:v>
      </x:c>
      <x:c r="H1165" t="str">
        <x:v>independent physical acceptance</x:v>
      </x:c>
      <x:c r="I1165" t="str">
        <x:f>IF(F1165=1,"PASS","OPEN")</x:f>
        <x:v>OPEN</x:v>
      </x:c>
    </x:row>
    <x:row r="1166">
      <x:c r="B1166" t="str">
        <x:v>PH-EX-097</x:v>
      </x:c>
      <x:c r="C1166" t="str">
        <x:v>PHYSICAL</x:v>
      </x:c>
      <x:c r="D1166" t="str">
        <x:v>event execution</x:v>
      </x:c>
      <x:c r="E1166" t="str">
        <x:v>PH-EX-097</x:v>
      </x:c>
      <x:c r="F1166" t="n">
        <x:f>IF('Event Register'!R103&lt;&gt;"",1,0)</x:f>
        <x:v>0</x:v>
      </x:c>
      <x:c r="G1166" t="n">
        <x:v>1</x:v>
      </x:c>
      <x:c r="H1166" t="str">
        <x:v>independent physical acceptance</x:v>
      </x:c>
      <x:c r="I1166" t="str">
        <x:f>IF(F1166=1,"PASS","OPEN")</x:f>
        <x:v>OPEN</x:v>
      </x:c>
    </x:row>
    <x:row r="1167">
      <x:c r="B1167" t="str">
        <x:v>PH-EV-097</x:v>
      </x:c>
      <x:c r="C1167" t="str">
        <x:v>PHYSICAL</x:v>
      </x:c>
      <x:c r="D1167" t="str">
        <x:v>event evidence</x:v>
      </x:c>
      <x:c r="E1167" t="str">
        <x:v>PH-EV-097</x:v>
      </x:c>
      <x:c r="F1167" t="n">
        <x:f>IF('Event Register'!S103&lt;&gt;"",1,0)</x:f>
        <x:v>0</x:v>
      </x:c>
      <x:c r="G1167" t="n">
        <x:v>1</x:v>
      </x:c>
      <x:c r="H1167" t="str">
        <x:v>independent physical acceptance</x:v>
      </x:c>
      <x:c r="I1167" t="str">
        <x:f>IF(F1167=1,"PASS","OPEN")</x:f>
        <x:v>OPEN</x:v>
      </x:c>
    </x:row>
    <x:row r="1168">
      <x:c r="B1168" t="str">
        <x:v>PH-VA-097</x:v>
      </x:c>
      <x:c r="C1168" t="str">
        <x:v>PHYSICAL</x:v>
      </x:c>
      <x:c r="D1168" t="str">
        <x:v>event validity</x:v>
      </x:c>
      <x:c r="E1168" t="str">
        <x:v>PH-VA-097</x:v>
      </x:c>
      <x:c r="F1168" t="n">
        <x:f>IF('Event Register'!T103&lt;&gt;"",1,0)</x:f>
        <x:v>0</x:v>
      </x:c>
      <x:c r="G1168" t="n">
        <x:v>1</x:v>
      </x:c>
      <x:c r="H1168" t="str">
        <x:v>independent physical acceptance</x:v>
      </x:c>
      <x:c r="I1168" t="str">
        <x:f>IF(F1168=1,"PASS","OPEN")</x:f>
        <x:v>OPEN</x:v>
      </x:c>
    </x:row>
    <x:row r="1169">
      <x:c r="B1169" t="str">
        <x:v>PH-OU-097</x:v>
      </x:c>
      <x:c r="C1169" t="str">
        <x:v>PHYSICAL</x:v>
      </x:c>
      <x:c r="D1169" t="str">
        <x:v>event outcome</x:v>
      </x:c>
      <x:c r="E1169" t="str">
        <x:v>PH-OU-097</x:v>
      </x:c>
      <x:c r="F1169" t="n">
        <x:f>IF('Event Register'!U103&lt;&gt;"",1,0)</x:f>
        <x:v>0</x:v>
      </x:c>
      <x:c r="G1169" t="n">
        <x:v>1</x:v>
      </x:c>
      <x:c r="H1169" t="str">
        <x:v>independent physical acceptance</x:v>
      </x:c>
      <x:c r="I1169" t="str">
        <x:f>IF(F1169=1,"PASS","OPEN")</x:f>
        <x:v>OPEN</x:v>
      </x:c>
    </x:row>
    <x:row r="1170">
      <x:c r="B1170" t="str">
        <x:v>PH-EX-098</x:v>
      </x:c>
      <x:c r="C1170" t="str">
        <x:v>PHYSICAL</x:v>
      </x:c>
      <x:c r="D1170" t="str">
        <x:v>event execution</x:v>
      </x:c>
      <x:c r="E1170" t="str">
        <x:v>PH-EX-098</x:v>
      </x:c>
      <x:c r="F1170" t="n">
        <x:f>IF('Event Register'!R104&lt;&gt;"",1,0)</x:f>
        <x:v>0</x:v>
      </x:c>
      <x:c r="G1170" t="n">
        <x:v>1</x:v>
      </x:c>
      <x:c r="H1170" t="str">
        <x:v>independent physical acceptance</x:v>
      </x:c>
      <x:c r="I1170" t="str">
        <x:f>IF(F1170=1,"PASS","OPEN")</x:f>
        <x:v>OPEN</x:v>
      </x:c>
    </x:row>
    <x:row r="1171">
      <x:c r="B1171" t="str">
        <x:v>PH-EV-098</x:v>
      </x:c>
      <x:c r="C1171" t="str">
        <x:v>PHYSICAL</x:v>
      </x:c>
      <x:c r="D1171" t="str">
        <x:v>event evidence</x:v>
      </x:c>
      <x:c r="E1171" t="str">
        <x:v>PH-EV-098</x:v>
      </x:c>
      <x:c r="F1171" t="n">
        <x:f>IF('Event Register'!S104&lt;&gt;"",1,0)</x:f>
        <x:v>0</x:v>
      </x:c>
      <x:c r="G1171" t="n">
        <x:v>1</x:v>
      </x:c>
      <x:c r="H1171" t="str">
        <x:v>independent physical acceptance</x:v>
      </x:c>
      <x:c r="I1171" t="str">
        <x:f>IF(F1171=1,"PASS","OPEN")</x:f>
        <x:v>OPEN</x:v>
      </x:c>
    </x:row>
    <x:row r="1172">
      <x:c r="B1172" t="str">
        <x:v>PH-VA-098</x:v>
      </x:c>
      <x:c r="C1172" t="str">
        <x:v>PHYSICAL</x:v>
      </x:c>
      <x:c r="D1172" t="str">
        <x:v>event validity</x:v>
      </x:c>
      <x:c r="E1172" t="str">
        <x:v>PH-VA-098</x:v>
      </x:c>
      <x:c r="F1172" t="n">
        <x:f>IF('Event Register'!T104&lt;&gt;"",1,0)</x:f>
        <x:v>0</x:v>
      </x:c>
      <x:c r="G1172" t="n">
        <x:v>1</x:v>
      </x:c>
      <x:c r="H1172" t="str">
        <x:v>independent physical acceptance</x:v>
      </x:c>
      <x:c r="I1172" t="str">
        <x:f>IF(F1172=1,"PASS","OPEN")</x:f>
        <x:v>OPEN</x:v>
      </x:c>
    </x:row>
    <x:row r="1173">
      <x:c r="B1173" t="str">
        <x:v>PH-OU-098</x:v>
      </x:c>
      <x:c r="C1173" t="str">
        <x:v>PHYSICAL</x:v>
      </x:c>
      <x:c r="D1173" t="str">
        <x:v>event outcome</x:v>
      </x:c>
      <x:c r="E1173" t="str">
        <x:v>PH-OU-098</x:v>
      </x:c>
      <x:c r="F1173" t="n">
        <x:f>IF('Event Register'!U104&lt;&gt;"",1,0)</x:f>
        <x:v>0</x:v>
      </x:c>
      <x:c r="G1173" t="n">
        <x:v>1</x:v>
      </x:c>
      <x:c r="H1173" t="str">
        <x:v>independent physical acceptance</x:v>
      </x:c>
      <x:c r="I1173" t="str">
        <x:f>IF(F1173=1,"PASS","OPEN")</x:f>
        <x:v>OPEN</x:v>
      </x:c>
    </x:row>
    <x:row r="1174">
      <x:c r="B1174" t="str">
        <x:v>PH-EX-099</x:v>
      </x:c>
      <x:c r="C1174" t="str">
        <x:v>PHYSICAL</x:v>
      </x:c>
      <x:c r="D1174" t="str">
        <x:v>event execution</x:v>
      </x:c>
      <x:c r="E1174" t="str">
        <x:v>PH-EX-099</x:v>
      </x:c>
      <x:c r="F1174" t="n">
        <x:f>IF('Event Register'!R105&lt;&gt;"",1,0)</x:f>
        <x:v>0</x:v>
      </x:c>
      <x:c r="G1174" t="n">
        <x:v>1</x:v>
      </x:c>
      <x:c r="H1174" t="str">
        <x:v>independent physical acceptance</x:v>
      </x:c>
      <x:c r="I1174" t="str">
        <x:f>IF(F1174=1,"PASS","OPEN")</x:f>
        <x:v>OPEN</x:v>
      </x:c>
    </x:row>
    <x:row r="1175">
      <x:c r="B1175" t="str">
        <x:v>PH-EV-099</x:v>
      </x:c>
      <x:c r="C1175" t="str">
        <x:v>PHYSICAL</x:v>
      </x:c>
      <x:c r="D1175" t="str">
        <x:v>event evidence</x:v>
      </x:c>
      <x:c r="E1175" t="str">
        <x:v>PH-EV-099</x:v>
      </x:c>
      <x:c r="F1175" t="n">
        <x:f>IF('Event Register'!S105&lt;&gt;"",1,0)</x:f>
        <x:v>0</x:v>
      </x:c>
      <x:c r="G1175" t="n">
        <x:v>1</x:v>
      </x:c>
      <x:c r="H1175" t="str">
        <x:v>independent physical acceptance</x:v>
      </x:c>
      <x:c r="I1175" t="str">
        <x:f>IF(F1175=1,"PASS","OPEN")</x:f>
        <x:v>OPEN</x:v>
      </x:c>
    </x:row>
    <x:row r="1176">
      <x:c r="B1176" t="str">
        <x:v>PH-VA-099</x:v>
      </x:c>
      <x:c r="C1176" t="str">
        <x:v>PHYSICAL</x:v>
      </x:c>
      <x:c r="D1176" t="str">
        <x:v>event validity</x:v>
      </x:c>
      <x:c r="E1176" t="str">
        <x:v>PH-VA-099</x:v>
      </x:c>
      <x:c r="F1176" t="n">
        <x:f>IF('Event Register'!T105&lt;&gt;"",1,0)</x:f>
        <x:v>0</x:v>
      </x:c>
      <x:c r="G1176" t="n">
        <x:v>1</x:v>
      </x:c>
      <x:c r="H1176" t="str">
        <x:v>independent physical acceptance</x:v>
      </x:c>
      <x:c r="I1176" t="str">
        <x:f>IF(F1176=1,"PASS","OPEN")</x:f>
        <x:v>OPEN</x:v>
      </x:c>
    </x:row>
    <x:row r="1177">
      <x:c r="B1177" t="str">
        <x:v>PH-OU-099</x:v>
      </x:c>
      <x:c r="C1177" t="str">
        <x:v>PHYSICAL</x:v>
      </x:c>
      <x:c r="D1177" t="str">
        <x:v>event outcome</x:v>
      </x:c>
      <x:c r="E1177" t="str">
        <x:v>PH-OU-099</x:v>
      </x:c>
      <x:c r="F1177" t="n">
        <x:f>IF('Event Register'!U105&lt;&gt;"",1,0)</x:f>
        <x:v>0</x:v>
      </x:c>
      <x:c r="G1177" t="n">
        <x:v>1</x:v>
      </x:c>
      <x:c r="H1177" t="str">
        <x:v>independent physical acceptance</x:v>
      </x:c>
      <x:c r="I1177" t="str">
        <x:f>IF(F1177=1,"PASS","OPEN")</x:f>
        <x:v>OPEN</x:v>
      </x:c>
    </x:row>
    <x:row r="1178">
      <x:c r="B1178" t="str">
        <x:v>PH-EX-100</x:v>
      </x:c>
      <x:c r="C1178" t="str">
        <x:v>PHYSICAL</x:v>
      </x:c>
      <x:c r="D1178" t="str">
        <x:v>event execution</x:v>
      </x:c>
      <x:c r="E1178" t="str">
        <x:v>PH-EX-100</x:v>
      </x:c>
      <x:c r="F1178" t="n">
        <x:f>IF('Event Register'!R106&lt;&gt;"",1,0)</x:f>
        <x:v>0</x:v>
      </x:c>
      <x:c r="G1178" t="n">
        <x:v>1</x:v>
      </x:c>
      <x:c r="H1178" t="str">
        <x:v>independent physical acceptance</x:v>
      </x:c>
      <x:c r="I1178" t="str">
        <x:f>IF(F1178=1,"PASS","OPEN")</x:f>
        <x:v>OPEN</x:v>
      </x:c>
    </x:row>
    <x:row r="1179">
      <x:c r="B1179" t="str">
        <x:v>PH-EV-100</x:v>
      </x:c>
      <x:c r="C1179" t="str">
        <x:v>PHYSICAL</x:v>
      </x:c>
      <x:c r="D1179" t="str">
        <x:v>event evidence</x:v>
      </x:c>
      <x:c r="E1179" t="str">
        <x:v>PH-EV-100</x:v>
      </x:c>
      <x:c r="F1179" t="n">
        <x:f>IF('Event Register'!S106&lt;&gt;"",1,0)</x:f>
        <x:v>0</x:v>
      </x:c>
      <x:c r="G1179" t="n">
        <x:v>1</x:v>
      </x:c>
      <x:c r="H1179" t="str">
        <x:v>independent physical acceptance</x:v>
      </x:c>
      <x:c r="I1179" t="str">
        <x:f>IF(F1179=1,"PASS","OPEN")</x:f>
        <x:v>OPEN</x:v>
      </x:c>
    </x:row>
    <x:row r="1180">
      <x:c r="B1180" t="str">
        <x:v>PH-VA-100</x:v>
      </x:c>
      <x:c r="C1180" t="str">
        <x:v>PHYSICAL</x:v>
      </x:c>
      <x:c r="D1180" t="str">
        <x:v>event validity</x:v>
      </x:c>
      <x:c r="E1180" t="str">
        <x:v>PH-VA-100</x:v>
      </x:c>
      <x:c r="F1180" t="n">
        <x:f>IF('Event Register'!T106&lt;&gt;"",1,0)</x:f>
        <x:v>0</x:v>
      </x:c>
      <x:c r="G1180" t="n">
        <x:v>1</x:v>
      </x:c>
      <x:c r="H1180" t="str">
        <x:v>independent physical acceptance</x:v>
      </x:c>
      <x:c r="I1180" t="str">
        <x:f>IF(F1180=1,"PASS","OPEN")</x:f>
        <x:v>OPEN</x:v>
      </x:c>
    </x:row>
    <x:row r="1181">
      <x:c r="B1181" t="str">
        <x:v>PH-OU-100</x:v>
      </x:c>
      <x:c r="C1181" t="str">
        <x:v>PHYSICAL</x:v>
      </x:c>
      <x:c r="D1181" t="str">
        <x:v>event outcome</x:v>
      </x:c>
      <x:c r="E1181" t="str">
        <x:v>PH-OU-100</x:v>
      </x:c>
      <x:c r="F1181" t="n">
        <x:f>IF('Event Register'!U106&lt;&gt;"",1,0)</x:f>
        <x:v>0</x:v>
      </x:c>
      <x:c r="G1181" t="n">
        <x:v>1</x:v>
      </x:c>
      <x:c r="H1181" t="str">
        <x:v>independent physical acceptance</x:v>
      </x:c>
      <x:c r="I1181" t="str">
        <x:f>IF(F1181=1,"PASS","OPEN")</x:f>
        <x:v>OPEN</x:v>
      </x:c>
    </x:row>
    <x:row r="1182">
      <x:c r="B1182" t="str">
        <x:v>PH-EX-101</x:v>
      </x:c>
      <x:c r="C1182" t="str">
        <x:v>PHYSICAL</x:v>
      </x:c>
      <x:c r="D1182" t="str">
        <x:v>event execution</x:v>
      </x:c>
      <x:c r="E1182" t="str">
        <x:v>PH-EX-101</x:v>
      </x:c>
      <x:c r="F1182" t="n">
        <x:f>IF('Event Register'!R107&lt;&gt;"",1,0)</x:f>
        <x:v>0</x:v>
      </x:c>
      <x:c r="G1182" t="n">
        <x:v>1</x:v>
      </x:c>
      <x:c r="H1182" t="str">
        <x:v>independent physical acceptance</x:v>
      </x:c>
      <x:c r="I1182" t="str">
        <x:f>IF(F1182=1,"PASS","OPEN")</x:f>
        <x:v>OPEN</x:v>
      </x:c>
    </x:row>
    <x:row r="1183">
      <x:c r="B1183" t="str">
        <x:v>PH-EV-101</x:v>
      </x:c>
      <x:c r="C1183" t="str">
        <x:v>PHYSICAL</x:v>
      </x:c>
      <x:c r="D1183" t="str">
        <x:v>event evidence</x:v>
      </x:c>
      <x:c r="E1183" t="str">
        <x:v>PH-EV-101</x:v>
      </x:c>
      <x:c r="F1183" t="n">
        <x:f>IF('Event Register'!S107&lt;&gt;"",1,0)</x:f>
        <x:v>0</x:v>
      </x:c>
      <x:c r="G1183" t="n">
        <x:v>1</x:v>
      </x:c>
      <x:c r="H1183" t="str">
        <x:v>independent physical acceptance</x:v>
      </x:c>
      <x:c r="I1183" t="str">
        <x:f>IF(F1183=1,"PASS","OPEN")</x:f>
        <x:v>OPEN</x:v>
      </x:c>
    </x:row>
    <x:row r="1184">
      <x:c r="B1184" t="str">
        <x:v>PH-VA-101</x:v>
      </x:c>
      <x:c r="C1184" t="str">
        <x:v>PHYSICAL</x:v>
      </x:c>
      <x:c r="D1184" t="str">
        <x:v>event validity</x:v>
      </x:c>
      <x:c r="E1184" t="str">
        <x:v>PH-VA-101</x:v>
      </x:c>
      <x:c r="F1184" t="n">
        <x:f>IF('Event Register'!T107&lt;&gt;"",1,0)</x:f>
        <x:v>0</x:v>
      </x:c>
      <x:c r="G1184" t="n">
        <x:v>1</x:v>
      </x:c>
      <x:c r="H1184" t="str">
        <x:v>independent physical acceptance</x:v>
      </x:c>
      <x:c r="I1184" t="str">
        <x:f>IF(F1184=1,"PASS","OPEN")</x:f>
        <x:v>OPEN</x:v>
      </x:c>
    </x:row>
    <x:row r="1185">
      <x:c r="B1185" t="str">
        <x:v>PH-OU-101</x:v>
      </x:c>
      <x:c r="C1185" t="str">
        <x:v>PHYSICAL</x:v>
      </x:c>
      <x:c r="D1185" t="str">
        <x:v>event outcome</x:v>
      </x:c>
      <x:c r="E1185" t="str">
        <x:v>PH-OU-101</x:v>
      </x:c>
      <x:c r="F1185" t="n">
        <x:f>IF('Event Register'!U107&lt;&gt;"",1,0)</x:f>
        <x:v>0</x:v>
      </x:c>
      <x:c r="G1185" t="n">
        <x:v>1</x:v>
      </x:c>
      <x:c r="H1185" t="str">
        <x:v>independent physical acceptance</x:v>
      </x:c>
      <x:c r="I1185" t="str">
        <x:f>IF(F1185=1,"PASS","OPEN")</x:f>
        <x:v>OPEN</x:v>
      </x:c>
    </x:row>
    <x:row r="1186">
      <x:c r="B1186" t="str">
        <x:v>PH-EX-102</x:v>
      </x:c>
      <x:c r="C1186" t="str">
        <x:v>PHYSICAL</x:v>
      </x:c>
      <x:c r="D1186" t="str">
        <x:v>event execution</x:v>
      </x:c>
      <x:c r="E1186" t="str">
        <x:v>PH-EX-102</x:v>
      </x:c>
      <x:c r="F1186" t="n">
        <x:f>IF('Event Register'!R108&lt;&gt;"",1,0)</x:f>
        <x:v>0</x:v>
      </x:c>
      <x:c r="G1186" t="n">
        <x:v>1</x:v>
      </x:c>
      <x:c r="H1186" t="str">
        <x:v>independent physical acceptance</x:v>
      </x:c>
      <x:c r="I1186" t="str">
        <x:f>IF(F1186=1,"PASS","OPEN")</x:f>
        <x:v>OPEN</x:v>
      </x:c>
    </x:row>
    <x:row r="1187">
      <x:c r="B1187" t="str">
        <x:v>PH-EV-102</x:v>
      </x:c>
      <x:c r="C1187" t="str">
        <x:v>PHYSICAL</x:v>
      </x:c>
      <x:c r="D1187" t="str">
        <x:v>event evidence</x:v>
      </x:c>
      <x:c r="E1187" t="str">
        <x:v>PH-EV-102</x:v>
      </x:c>
      <x:c r="F1187" t="n">
        <x:f>IF('Event Register'!S108&lt;&gt;"",1,0)</x:f>
        <x:v>0</x:v>
      </x:c>
      <x:c r="G1187" t="n">
        <x:v>1</x:v>
      </x:c>
      <x:c r="H1187" t="str">
        <x:v>independent physical acceptance</x:v>
      </x:c>
      <x:c r="I1187" t="str">
        <x:f>IF(F1187=1,"PASS","OPEN")</x:f>
        <x:v>OPEN</x:v>
      </x:c>
    </x:row>
    <x:row r="1188">
      <x:c r="B1188" t="str">
        <x:v>PH-VA-102</x:v>
      </x:c>
      <x:c r="C1188" t="str">
        <x:v>PHYSICAL</x:v>
      </x:c>
      <x:c r="D1188" t="str">
        <x:v>event validity</x:v>
      </x:c>
      <x:c r="E1188" t="str">
        <x:v>PH-VA-102</x:v>
      </x:c>
      <x:c r="F1188" t="n">
        <x:f>IF('Event Register'!T108&lt;&gt;"",1,0)</x:f>
        <x:v>0</x:v>
      </x:c>
      <x:c r="G1188" t="n">
        <x:v>1</x:v>
      </x:c>
      <x:c r="H1188" t="str">
        <x:v>independent physical acceptance</x:v>
      </x:c>
      <x:c r="I1188" t="str">
        <x:f>IF(F1188=1,"PASS","OPEN")</x:f>
        <x:v>OPEN</x:v>
      </x:c>
    </x:row>
    <x:row r="1189">
      <x:c r="B1189" t="str">
        <x:v>PH-OU-102</x:v>
      </x:c>
      <x:c r="C1189" t="str">
        <x:v>PHYSICAL</x:v>
      </x:c>
      <x:c r="D1189" t="str">
        <x:v>event outcome</x:v>
      </x:c>
      <x:c r="E1189" t="str">
        <x:v>PH-OU-102</x:v>
      </x:c>
      <x:c r="F1189" t="n">
        <x:f>IF('Event Register'!U108&lt;&gt;"",1,0)</x:f>
        <x:v>0</x:v>
      </x:c>
      <x:c r="G1189" t="n">
        <x:v>1</x:v>
      </x:c>
      <x:c r="H1189" t="str">
        <x:v>independent physical acceptance</x:v>
      </x:c>
      <x:c r="I1189" t="str">
        <x:f>IF(F1189=1,"PASS","OPEN")</x:f>
        <x:v>OPEN</x:v>
      </x:c>
    </x:row>
    <x:row r="1190">
      <x:c r="B1190" t="str">
        <x:v>PH-EX-103</x:v>
      </x:c>
      <x:c r="C1190" t="str">
        <x:v>PHYSICAL</x:v>
      </x:c>
      <x:c r="D1190" t="str">
        <x:v>event execution</x:v>
      </x:c>
      <x:c r="E1190" t="str">
        <x:v>PH-EX-103</x:v>
      </x:c>
      <x:c r="F1190" t="n">
        <x:f>IF('Event Register'!R109&lt;&gt;"",1,0)</x:f>
        <x:v>0</x:v>
      </x:c>
      <x:c r="G1190" t="n">
        <x:v>1</x:v>
      </x:c>
      <x:c r="H1190" t="str">
        <x:v>independent physical acceptance</x:v>
      </x:c>
      <x:c r="I1190" t="str">
        <x:f>IF(F1190=1,"PASS","OPEN")</x:f>
        <x:v>OPEN</x:v>
      </x:c>
    </x:row>
    <x:row r="1191">
      <x:c r="B1191" t="str">
        <x:v>PH-EV-103</x:v>
      </x:c>
      <x:c r="C1191" t="str">
        <x:v>PHYSICAL</x:v>
      </x:c>
      <x:c r="D1191" t="str">
        <x:v>event evidence</x:v>
      </x:c>
      <x:c r="E1191" t="str">
        <x:v>PH-EV-103</x:v>
      </x:c>
      <x:c r="F1191" t="n">
        <x:f>IF('Event Register'!S109&lt;&gt;"",1,0)</x:f>
        <x:v>0</x:v>
      </x:c>
      <x:c r="G1191" t="n">
        <x:v>1</x:v>
      </x:c>
      <x:c r="H1191" t="str">
        <x:v>independent physical acceptance</x:v>
      </x:c>
      <x:c r="I1191" t="str">
        <x:f>IF(F1191=1,"PASS","OPEN")</x:f>
        <x:v>OPEN</x:v>
      </x:c>
    </x:row>
    <x:row r="1192">
      <x:c r="B1192" t="str">
        <x:v>PH-VA-103</x:v>
      </x:c>
      <x:c r="C1192" t="str">
        <x:v>PHYSICAL</x:v>
      </x:c>
      <x:c r="D1192" t="str">
        <x:v>event validity</x:v>
      </x:c>
      <x:c r="E1192" t="str">
        <x:v>PH-VA-103</x:v>
      </x:c>
      <x:c r="F1192" t="n">
        <x:f>IF('Event Register'!T109&lt;&gt;"",1,0)</x:f>
        <x:v>0</x:v>
      </x:c>
      <x:c r="G1192" t="n">
        <x:v>1</x:v>
      </x:c>
      <x:c r="H1192" t="str">
        <x:v>independent physical acceptance</x:v>
      </x:c>
      <x:c r="I1192" t="str">
        <x:f>IF(F1192=1,"PASS","OPEN")</x:f>
        <x:v>OPEN</x:v>
      </x:c>
    </x:row>
    <x:row r="1193">
      <x:c r="B1193" t="str">
        <x:v>PH-OU-103</x:v>
      </x:c>
      <x:c r="C1193" t="str">
        <x:v>PHYSICAL</x:v>
      </x:c>
      <x:c r="D1193" t="str">
        <x:v>event outcome</x:v>
      </x:c>
      <x:c r="E1193" t="str">
        <x:v>PH-OU-103</x:v>
      </x:c>
      <x:c r="F1193" t="n">
        <x:f>IF('Event Register'!U109&lt;&gt;"",1,0)</x:f>
        <x:v>0</x:v>
      </x:c>
      <x:c r="G1193" t="n">
        <x:v>1</x:v>
      </x:c>
      <x:c r="H1193" t="str">
        <x:v>independent physical acceptance</x:v>
      </x:c>
      <x:c r="I1193" t="str">
        <x:f>IF(F1193=1,"PASS","OPEN")</x:f>
        <x:v>OPEN</x:v>
      </x:c>
    </x:row>
    <x:row r="1194">
      <x:c r="B1194" t="str">
        <x:v>PH-EX-104</x:v>
      </x:c>
      <x:c r="C1194" t="str">
        <x:v>PHYSICAL</x:v>
      </x:c>
      <x:c r="D1194" t="str">
        <x:v>event execution</x:v>
      </x:c>
      <x:c r="E1194" t="str">
        <x:v>PH-EX-104</x:v>
      </x:c>
      <x:c r="F1194" t="n">
        <x:f>IF('Event Register'!R110&lt;&gt;"",1,0)</x:f>
        <x:v>0</x:v>
      </x:c>
      <x:c r="G1194" t="n">
        <x:v>1</x:v>
      </x:c>
      <x:c r="H1194" t="str">
        <x:v>independent physical acceptance</x:v>
      </x:c>
      <x:c r="I1194" t="str">
        <x:f>IF(F1194=1,"PASS","OPEN")</x:f>
        <x:v>OPEN</x:v>
      </x:c>
    </x:row>
    <x:row r="1195">
      <x:c r="B1195" t="str">
        <x:v>PH-EV-104</x:v>
      </x:c>
      <x:c r="C1195" t="str">
        <x:v>PHYSICAL</x:v>
      </x:c>
      <x:c r="D1195" t="str">
        <x:v>event evidence</x:v>
      </x:c>
      <x:c r="E1195" t="str">
        <x:v>PH-EV-104</x:v>
      </x:c>
      <x:c r="F1195" t="n">
        <x:f>IF('Event Register'!S110&lt;&gt;"",1,0)</x:f>
        <x:v>0</x:v>
      </x:c>
      <x:c r="G1195" t="n">
        <x:v>1</x:v>
      </x:c>
      <x:c r="H1195" t="str">
        <x:v>independent physical acceptance</x:v>
      </x:c>
      <x:c r="I1195" t="str">
        <x:f>IF(F1195=1,"PASS","OPEN")</x:f>
        <x:v>OPEN</x:v>
      </x:c>
    </x:row>
    <x:row r="1196">
      <x:c r="B1196" t="str">
        <x:v>PH-VA-104</x:v>
      </x:c>
      <x:c r="C1196" t="str">
        <x:v>PHYSICAL</x:v>
      </x:c>
      <x:c r="D1196" t="str">
        <x:v>event validity</x:v>
      </x:c>
      <x:c r="E1196" t="str">
        <x:v>PH-VA-104</x:v>
      </x:c>
      <x:c r="F1196" t="n">
        <x:f>IF('Event Register'!T110&lt;&gt;"",1,0)</x:f>
        <x:v>0</x:v>
      </x:c>
      <x:c r="G1196" t="n">
        <x:v>1</x:v>
      </x:c>
      <x:c r="H1196" t="str">
        <x:v>independent physical acceptance</x:v>
      </x:c>
      <x:c r="I1196" t="str">
        <x:f>IF(F1196=1,"PASS","OPEN")</x:f>
        <x:v>OPEN</x:v>
      </x:c>
    </x:row>
    <x:row r="1197">
      <x:c r="B1197" t="str">
        <x:v>PH-OU-104</x:v>
      </x:c>
      <x:c r="C1197" t="str">
        <x:v>PHYSICAL</x:v>
      </x:c>
      <x:c r="D1197" t="str">
        <x:v>event outcome</x:v>
      </x:c>
      <x:c r="E1197" t="str">
        <x:v>PH-OU-104</x:v>
      </x:c>
      <x:c r="F1197" t="n">
        <x:f>IF('Event Register'!U110&lt;&gt;"",1,0)</x:f>
        <x:v>0</x:v>
      </x:c>
      <x:c r="G1197" t="n">
        <x:v>1</x:v>
      </x:c>
      <x:c r="H1197" t="str">
        <x:v>independent physical acceptance</x:v>
      </x:c>
      <x:c r="I1197" t="str">
        <x:f>IF(F1197=1,"PASS","OPEN")</x:f>
        <x:v>OPEN</x:v>
      </x:c>
    </x:row>
    <x:row r="1198">
      <x:c r="B1198" t="str">
        <x:v>PH-EX-105</x:v>
      </x:c>
      <x:c r="C1198" t="str">
        <x:v>PHYSICAL</x:v>
      </x:c>
      <x:c r="D1198" t="str">
        <x:v>event execution</x:v>
      </x:c>
      <x:c r="E1198" t="str">
        <x:v>PH-EX-105</x:v>
      </x:c>
      <x:c r="F1198" t="n">
        <x:f>IF('Event Register'!R111&lt;&gt;"",1,0)</x:f>
        <x:v>0</x:v>
      </x:c>
      <x:c r="G1198" t="n">
        <x:v>1</x:v>
      </x:c>
      <x:c r="H1198" t="str">
        <x:v>independent physical acceptance</x:v>
      </x:c>
      <x:c r="I1198" t="str">
        <x:f>IF(F1198=1,"PASS","OPEN")</x:f>
        <x:v>OPEN</x:v>
      </x:c>
    </x:row>
    <x:row r="1199">
      <x:c r="B1199" t="str">
        <x:v>PH-EV-105</x:v>
      </x:c>
      <x:c r="C1199" t="str">
        <x:v>PHYSICAL</x:v>
      </x:c>
      <x:c r="D1199" t="str">
        <x:v>event evidence</x:v>
      </x:c>
      <x:c r="E1199" t="str">
        <x:v>PH-EV-105</x:v>
      </x:c>
      <x:c r="F1199" t="n">
        <x:f>IF('Event Register'!S111&lt;&gt;"",1,0)</x:f>
        <x:v>0</x:v>
      </x:c>
      <x:c r="G1199" t="n">
        <x:v>1</x:v>
      </x:c>
      <x:c r="H1199" t="str">
        <x:v>independent physical acceptance</x:v>
      </x:c>
      <x:c r="I1199" t="str">
        <x:f>IF(F1199=1,"PASS","OPEN")</x:f>
        <x:v>OPEN</x:v>
      </x:c>
    </x:row>
    <x:row r="1200">
      <x:c r="B1200" t="str">
        <x:v>PH-VA-105</x:v>
      </x:c>
      <x:c r="C1200" t="str">
        <x:v>PHYSICAL</x:v>
      </x:c>
      <x:c r="D1200" t="str">
        <x:v>event validity</x:v>
      </x:c>
      <x:c r="E1200" t="str">
        <x:v>PH-VA-105</x:v>
      </x:c>
      <x:c r="F1200" t="n">
        <x:f>IF('Event Register'!T111&lt;&gt;"",1,0)</x:f>
        <x:v>0</x:v>
      </x:c>
      <x:c r="G1200" t="n">
        <x:v>1</x:v>
      </x:c>
      <x:c r="H1200" t="str">
        <x:v>independent physical acceptance</x:v>
      </x:c>
      <x:c r="I1200" t="str">
        <x:f>IF(F1200=1,"PASS","OPEN")</x:f>
        <x:v>OPEN</x:v>
      </x:c>
    </x:row>
    <x:row r="1201">
      <x:c r="B1201" t="str">
        <x:v>PH-OU-105</x:v>
      </x:c>
      <x:c r="C1201" t="str">
        <x:v>PHYSICAL</x:v>
      </x:c>
      <x:c r="D1201" t="str">
        <x:v>event outcome</x:v>
      </x:c>
      <x:c r="E1201" t="str">
        <x:v>PH-OU-105</x:v>
      </x:c>
      <x:c r="F1201" t="n">
        <x:f>IF('Event Register'!U111&lt;&gt;"",1,0)</x:f>
        <x:v>0</x:v>
      </x:c>
      <x:c r="G1201" t="n">
        <x:v>1</x:v>
      </x:c>
      <x:c r="H1201" t="str">
        <x:v>independent physical acceptance</x:v>
      </x:c>
      <x:c r="I1201" t="str">
        <x:f>IF(F1201=1,"PASS","OPEN")</x:f>
        <x:v>OPEN</x:v>
      </x:c>
    </x:row>
    <x:row r="1202">
      <x:c r="B1202" t="str">
        <x:v>PH-EX-106</x:v>
      </x:c>
      <x:c r="C1202" t="str">
        <x:v>PHYSICAL</x:v>
      </x:c>
      <x:c r="D1202" t="str">
        <x:v>event execution</x:v>
      </x:c>
      <x:c r="E1202" t="str">
        <x:v>PH-EX-106</x:v>
      </x:c>
      <x:c r="F1202" t="n">
        <x:f>IF('Event Register'!R112&lt;&gt;"",1,0)</x:f>
        <x:v>0</x:v>
      </x:c>
      <x:c r="G1202" t="n">
        <x:v>1</x:v>
      </x:c>
      <x:c r="H1202" t="str">
        <x:v>independent physical acceptance</x:v>
      </x:c>
      <x:c r="I1202" t="str">
        <x:f>IF(F1202=1,"PASS","OPEN")</x:f>
        <x:v>OPEN</x:v>
      </x:c>
    </x:row>
    <x:row r="1203">
      <x:c r="B1203" t="str">
        <x:v>PH-EV-106</x:v>
      </x:c>
      <x:c r="C1203" t="str">
        <x:v>PHYSICAL</x:v>
      </x:c>
      <x:c r="D1203" t="str">
        <x:v>event evidence</x:v>
      </x:c>
      <x:c r="E1203" t="str">
        <x:v>PH-EV-106</x:v>
      </x:c>
      <x:c r="F1203" t="n">
        <x:f>IF('Event Register'!S112&lt;&gt;"",1,0)</x:f>
        <x:v>0</x:v>
      </x:c>
      <x:c r="G1203" t="n">
        <x:v>1</x:v>
      </x:c>
      <x:c r="H1203" t="str">
        <x:v>independent physical acceptance</x:v>
      </x:c>
      <x:c r="I1203" t="str">
        <x:f>IF(F1203=1,"PASS","OPEN")</x:f>
        <x:v>OPEN</x:v>
      </x:c>
    </x:row>
    <x:row r="1204">
      <x:c r="B1204" t="str">
        <x:v>PH-VA-106</x:v>
      </x:c>
      <x:c r="C1204" t="str">
        <x:v>PHYSICAL</x:v>
      </x:c>
      <x:c r="D1204" t="str">
        <x:v>event validity</x:v>
      </x:c>
      <x:c r="E1204" t="str">
        <x:v>PH-VA-106</x:v>
      </x:c>
      <x:c r="F1204" t="n">
        <x:f>IF('Event Register'!T112&lt;&gt;"",1,0)</x:f>
        <x:v>0</x:v>
      </x:c>
      <x:c r="G1204" t="n">
        <x:v>1</x:v>
      </x:c>
      <x:c r="H1204" t="str">
        <x:v>independent physical acceptance</x:v>
      </x:c>
      <x:c r="I1204" t="str">
        <x:f>IF(F1204=1,"PASS","OPEN")</x:f>
        <x:v>OPEN</x:v>
      </x:c>
    </x:row>
    <x:row r="1205">
      <x:c r="B1205" t="str">
        <x:v>PH-OU-106</x:v>
      </x:c>
      <x:c r="C1205" t="str">
        <x:v>PHYSICAL</x:v>
      </x:c>
      <x:c r="D1205" t="str">
        <x:v>event outcome</x:v>
      </x:c>
      <x:c r="E1205" t="str">
        <x:v>PH-OU-106</x:v>
      </x:c>
      <x:c r="F1205" t="n">
        <x:f>IF('Event Register'!U112&lt;&gt;"",1,0)</x:f>
        <x:v>0</x:v>
      </x:c>
      <x:c r="G1205" t="n">
        <x:v>1</x:v>
      </x:c>
      <x:c r="H1205" t="str">
        <x:v>independent physical acceptance</x:v>
      </x:c>
      <x:c r="I1205" t="str">
        <x:f>IF(F1205=1,"PASS","OPEN")</x:f>
        <x:v>OPEN</x:v>
      </x:c>
    </x:row>
    <x:row r="1206">
      <x:c r="B1206" t="str">
        <x:v>PH-EX-107</x:v>
      </x:c>
      <x:c r="C1206" t="str">
        <x:v>PHYSICAL</x:v>
      </x:c>
      <x:c r="D1206" t="str">
        <x:v>event execution</x:v>
      </x:c>
      <x:c r="E1206" t="str">
        <x:v>PH-EX-107</x:v>
      </x:c>
      <x:c r="F1206" t="n">
        <x:f>IF('Event Register'!R113&lt;&gt;"",1,0)</x:f>
        <x:v>0</x:v>
      </x:c>
      <x:c r="G1206" t="n">
        <x:v>1</x:v>
      </x:c>
      <x:c r="H1206" t="str">
        <x:v>independent physical acceptance</x:v>
      </x:c>
      <x:c r="I1206" t="str">
        <x:f>IF(F1206=1,"PASS","OPEN")</x:f>
        <x:v>OPEN</x:v>
      </x:c>
    </x:row>
    <x:row r="1207">
      <x:c r="B1207" t="str">
        <x:v>PH-EV-107</x:v>
      </x:c>
      <x:c r="C1207" t="str">
        <x:v>PHYSICAL</x:v>
      </x:c>
      <x:c r="D1207" t="str">
        <x:v>event evidence</x:v>
      </x:c>
      <x:c r="E1207" t="str">
        <x:v>PH-EV-107</x:v>
      </x:c>
      <x:c r="F1207" t="n">
        <x:f>IF('Event Register'!S113&lt;&gt;"",1,0)</x:f>
        <x:v>0</x:v>
      </x:c>
      <x:c r="G1207" t="n">
        <x:v>1</x:v>
      </x:c>
      <x:c r="H1207" t="str">
        <x:v>independent physical acceptance</x:v>
      </x:c>
      <x:c r="I1207" t="str">
        <x:f>IF(F1207=1,"PASS","OPEN")</x:f>
        <x:v>OPEN</x:v>
      </x:c>
    </x:row>
    <x:row r="1208">
      <x:c r="B1208" t="str">
        <x:v>PH-VA-107</x:v>
      </x:c>
      <x:c r="C1208" t="str">
        <x:v>PHYSICAL</x:v>
      </x:c>
      <x:c r="D1208" t="str">
        <x:v>event validity</x:v>
      </x:c>
      <x:c r="E1208" t="str">
        <x:v>PH-VA-107</x:v>
      </x:c>
      <x:c r="F1208" t="n">
        <x:f>IF('Event Register'!T113&lt;&gt;"",1,0)</x:f>
        <x:v>0</x:v>
      </x:c>
      <x:c r="G1208" t="n">
        <x:v>1</x:v>
      </x:c>
      <x:c r="H1208" t="str">
        <x:v>independent physical acceptance</x:v>
      </x:c>
      <x:c r="I1208" t="str">
        <x:f>IF(F1208=1,"PASS","OPEN")</x:f>
        <x:v>OPEN</x:v>
      </x:c>
    </x:row>
    <x:row r="1209">
      <x:c r="B1209" t="str">
        <x:v>PH-OU-107</x:v>
      </x:c>
      <x:c r="C1209" t="str">
        <x:v>PHYSICAL</x:v>
      </x:c>
      <x:c r="D1209" t="str">
        <x:v>event outcome</x:v>
      </x:c>
      <x:c r="E1209" t="str">
        <x:v>PH-OU-107</x:v>
      </x:c>
      <x:c r="F1209" t="n">
        <x:f>IF('Event Register'!U113&lt;&gt;"",1,0)</x:f>
        <x:v>0</x:v>
      </x:c>
      <x:c r="G1209" t="n">
        <x:v>1</x:v>
      </x:c>
      <x:c r="H1209" t="str">
        <x:v>independent physical acceptance</x:v>
      </x:c>
      <x:c r="I1209" t="str">
        <x:f>IF(F1209=1,"PASS","OPEN")</x:f>
        <x:v>OPEN</x:v>
      </x:c>
    </x:row>
    <x:row r="1210">
      <x:c r="B1210" t="str">
        <x:v>PH-EX-108</x:v>
      </x:c>
      <x:c r="C1210" t="str">
        <x:v>PHYSICAL</x:v>
      </x:c>
      <x:c r="D1210" t="str">
        <x:v>event execution</x:v>
      </x:c>
      <x:c r="E1210" t="str">
        <x:v>PH-EX-108</x:v>
      </x:c>
      <x:c r="F1210" t="n">
        <x:f>IF('Event Register'!R114&lt;&gt;"",1,0)</x:f>
        <x:v>0</x:v>
      </x:c>
      <x:c r="G1210" t="n">
        <x:v>1</x:v>
      </x:c>
      <x:c r="H1210" t="str">
        <x:v>independent physical acceptance</x:v>
      </x:c>
      <x:c r="I1210" t="str">
        <x:f>IF(F1210=1,"PASS","OPEN")</x:f>
        <x:v>OPEN</x:v>
      </x:c>
    </x:row>
    <x:row r="1211">
      <x:c r="B1211" t="str">
        <x:v>PH-EV-108</x:v>
      </x:c>
      <x:c r="C1211" t="str">
        <x:v>PHYSICAL</x:v>
      </x:c>
      <x:c r="D1211" t="str">
        <x:v>event evidence</x:v>
      </x:c>
      <x:c r="E1211" t="str">
        <x:v>PH-EV-108</x:v>
      </x:c>
      <x:c r="F1211" t="n">
        <x:f>IF('Event Register'!S114&lt;&gt;"",1,0)</x:f>
        <x:v>0</x:v>
      </x:c>
      <x:c r="G1211" t="n">
        <x:v>1</x:v>
      </x:c>
      <x:c r="H1211" t="str">
        <x:v>independent physical acceptance</x:v>
      </x:c>
      <x:c r="I1211" t="str">
        <x:f>IF(F1211=1,"PASS","OPEN")</x:f>
        <x:v>OPEN</x:v>
      </x:c>
    </x:row>
    <x:row r="1212">
      <x:c r="B1212" t="str">
        <x:v>PH-VA-108</x:v>
      </x:c>
      <x:c r="C1212" t="str">
        <x:v>PHYSICAL</x:v>
      </x:c>
      <x:c r="D1212" t="str">
        <x:v>event validity</x:v>
      </x:c>
      <x:c r="E1212" t="str">
        <x:v>PH-VA-108</x:v>
      </x:c>
      <x:c r="F1212" t="n">
        <x:f>IF('Event Register'!T114&lt;&gt;"",1,0)</x:f>
        <x:v>0</x:v>
      </x:c>
      <x:c r="G1212" t="n">
        <x:v>1</x:v>
      </x:c>
      <x:c r="H1212" t="str">
        <x:v>independent physical acceptance</x:v>
      </x:c>
      <x:c r="I1212" t="str">
        <x:f>IF(F1212=1,"PASS","OPEN")</x:f>
        <x:v>OPEN</x:v>
      </x:c>
    </x:row>
    <x:row r="1213">
      <x:c r="B1213" t="str">
        <x:v>PH-OU-108</x:v>
      </x:c>
      <x:c r="C1213" t="str">
        <x:v>PHYSICAL</x:v>
      </x:c>
      <x:c r="D1213" t="str">
        <x:v>event outcome</x:v>
      </x:c>
      <x:c r="E1213" t="str">
        <x:v>PH-OU-108</x:v>
      </x:c>
      <x:c r="F1213" t="n">
        <x:f>IF('Event Register'!U114&lt;&gt;"",1,0)</x:f>
        <x:v>0</x:v>
      </x:c>
      <x:c r="G1213" t="n">
        <x:v>1</x:v>
      </x:c>
      <x:c r="H1213" t="str">
        <x:v>independent physical acceptance</x:v>
      </x:c>
      <x:c r="I1213" t="str">
        <x:f>IF(F1213=1,"PASS","OPEN")</x:f>
        <x:v>OPEN</x:v>
      </x:c>
    </x:row>
    <x:row r="1214">
      <x:c r="B1214" t="str">
        <x:v>PH-EX-109</x:v>
      </x:c>
      <x:c r="C1214" t="str">
        <x:v>PHYSICAL</x:v>
      </x:c>
      <x:c r="D1214" t="str">
        <x:v>event execution</x:v>
      </x:c>
      <x:c r="E1214" t="str">
        <x:v>PH-EX-109</x:v>
      </x:c>
      <x:c r="F1214" t="n">
        <x:f>IF('Event Register'!R115&lt;&gt;"",1,0)</x:f>
        <x:v>0</x:v>
      </x:c>
      <x:c r="G1214" t="n">
        <x:v>1</x:v>
      </x:c>
      <x:c r="H1214" t="str">
        <x:v>independent physical acceptance</x:v>
      </x:c>
      <x:c r="I1214" t="str">
        <x:f>IF(F1214=1,"PASS","OPEN")</x:f>
        <x:v>OPEN</x:v>
      </x:c>
    </x:row>
    <x:row r="1215">
      <x:c r="B1215" t="str">
        <x:v>PH-EV-109</x:v>
      </x:c>
      <x:c r="C1215" t="str">
        <x:v>PHYSICAL</x:v>
      </x:c>
      <x:c r="D1215" t="str">
        <x:v>event evidence</x:v>
      </x:c>
      <x:c r="E1215" t="str">
        <x:v>PH-EV-109</x:v>
      </x:c>
      <x:c r="F1215" t="n">
        <x:f>IF('Event Register'!S115&lt;&gt;"",1,0)</x:f>
        <x:v>0</x:v>
      </x:c>
      <x:c r="G1215" t="n">
        <x:v>1</x:v>
      </x:c>
      <x:c r="H1215" t="str">
        <x:v>independent physical acceptance</x:v>
      </x:c>
      <x:c r="I1215" t="str">
        <x:f>IF(F1215=1,"PASS","OPEN")</x:f>
        <x:v>OPEN</x:v>
      </x:c>
    </x:row>
    <x:row r="1216">
      <x:c r="B1216" t="str">
        <x:v>PH-VA-109</x:v>
      </x:c>
      <x:c r="C1216" t="str">
        <x:v>PHYSICAL</x:v>
      </x:c>
      <x:c r="D1216" t="str">
        <x:v>event validity</x:v>
      </x:c>
      <x:c r="E1216" t="str">
        <x:v>PH-VA-109</x:v>
      </x:c>
      <x:c r="F1216" t="n">
        <x:f>IF('Event Register'!T115&lt;&gt;"",1,0)</x:f>
        <x:v>0</x:v>
      </x:c>
      <x:c r="G1216" t="n">
        <x:v>1</x:v>
      </x:c>
      <x:c r="H1216" t="str">
        <x:v>independent physical acceptance</x:v>
      </x:c>
      <x:c r="I1216" t="str">
        <x:f>IF(F1216=1,"PASS","OPEN")</x:f>
        <x:v>OPEN</x:v>
      </x:c>
    </x:row>
    <x:row r="1217">
      <x:c r="B1217" t="str">
        <x:v>PH-OU-109</x:v>
      </x:c>
      <x:c r="C1217" t="str">
        <x:v>PHYSICAL</x:v>
      </x:c>
      <x:c r="D1217" t="str">
        <x:v>event outcome</x:v>
      </x:c>
      <x:c r="E1217" t="str">
        <x:v>PH-OU-109</x:v>
      </x:c>
      <x:c r="F1217" t="n">
        <x:f>IF('Event Register'!U115&lt;&gt;"",1,0)</x:f>
        <x:v>0</x:v>
      </x:c>
      <x:c r="G1217" t="n">
        <x:v>1</x:v>
      </x:c>
      <x:c r="H1217" t="str">
        <x:v>independent physical acceptance</x:v>
      </x:c>
      <x:c r="I1217" t="str">
        <x:f>IF(F1217=1,"PASS","OPEN")</x:f>
        <x:v>OPEN</x:v>
      </x:c>
    </x:row>
    <x:row r="1218">
      <x:c r="B1218" t="str">
        <x:v>PH-EX-110</x:v>
      </x:c>
      <x:c r="C1218" t="str">
        <x:v>PHYSICAL</x:v>
      </x:c>
      <x:c r="D1218" t="str">
        <x:v>event execution</x:v>
      </x:c>
      <x:c r="E1218" t="str">
        <x:v>PH-EX-110</x:v>
      </x:c>
      <x:c r="F1218" t="n">
        <x:f>IF('Event Register'!R116&lt;&gt;"",1,0)</x:f>
        <x:v>0</x:v>
      </x:c>
      <x:c r="G1218" t="n">
        <x:v>1</x:v>
      </x:c>
      <x:c r="H1218" t="str">
        <x:v>independent physical acceptance</x:v>
      </x:c>
      <x:c r="I1218" t="str">
        <x:f>IF(F1218=1,"PASS","OPEN")</x:f>
        <x:v>OPEN</x:v>
      </x:c>
    </x:row>
    <x:row r="1219">
      <x:c r="B1219" t="str">
        <x:v>PH-EV-110</x:v>
      </x:c>
      <x:c r="C1219" t="str">
        <x:v>PHYSICAL</x:v>
      </x:c>
      <x:c r="D1219" t="str">
        <x:v>event evidence</x:v>
      </x:c>
      <x:c r="E1219" t="str">
        <x:v>PH-EV-110</x:v>
      </x:c>
      <x:c r="F1219" t="n">
        <x:f>IF('Event Register'!S116&lt;&gt;"",1,0)</x:f>
        <x:v>0</x:v>
      </x:c>
      <x:c r="G1219" t="n">
        <x:v>1</x:v>
      </x:c>
      <x:c r="H1219" t="str">
        <x:v>independent physical acceptance</x:v>
      </x:c>
      <x:c r="I1219" t="str">
        <x:f>IF(F1219=1,"PASS","OPEN")</x:f>
        <x:v>OPEN</x:v>
      </x:c>
    </x:row>
    <x:row r="1220">
      <x:c r="B1220" t="str">
        <x:v>PH-VA-110</x:v>
      </x:c>
      <x:c r="C1220" t="str">
        <x:v>PHYSICAL</x:v>
      </x:c>
      <x:c r="D1220" t="str">
        <x:v>event validity</x:v>
      </x:c>
      <x:c r="E1220" t="str">
        <x:v>PH-VA-110</x:v>
      </x:c>
      <x:c r="F1220" t="n">
        <x:f>IF('Event Register'!T116&lt;&gt;"",1,0)</x:f>
        <x:v>0</x:v>
      </x:c>
      <x:c r="G1220" t="n">
        <x:v>1</x:v>
      </x:c>
      <x:c r="H1220" t="str">
        <x:v>independent physical acceptance</x:v>
      </x:c>
      <x:c r="I1220" t="str">
        <x:f>IF(F1220=1,"PASS","OPEN")</x:f>
        <x:v>OPEN</x:v>
      </x:c>
    </x:row>
    <x:row r="1221">
      <x:c r="B1221" t="str">
        <x:v>PH-OU-110</x:v>
      </x:c>
      <x:c r="C1221" t="str">
        <x:v>PHYSICAL</x:v>
      </x:c>
      <x:c r="D1221" t="str">
        <x:v>event outcome</x:v>
      </x:c>
      <x:c r="E1221" t="str">
        <x:v>PH-OU-110</x:v>
      </x:c>
      <x:c r="F1221" t="n">
        <x:f>IF('Event Register'!U116&lt;&gt;"",1,0)</x:f>
        <x:v>0</x:v>
      </x:c>
      <x:c r="G1221" t="n">
        <x:v>1</x:v>
      </x:c>
      <x:c r="H1221" t="str">
        <x:v>independent physical acceptance</x:v>
      </x:c>
      <x:c r="I1221" t="str">
        <x:f>IF(F1221=1,"PASS","OPEN")</x:f>
        <x:v>OPEN</x:v>
      </x:c>
    </x:row>
    <x:row r="1222">
      <x:c r="B1222" t="str">
        <x:v>PH-EX-111</x:v>
      </x:c>
      <x:c r="C1222" t="str">
        <x:v>PHYSICAL</x:v>
      </x:c>
      <x:c r="D1222" t="str">
        <x:v>event execution</x:v>
      </x:c>
      <x:c r="E1222" t="str">
        <x:v>PH-EX-111</x:v>
      </x:c>
      <x:c r="F1222" t="n">
        <x:f>IF('Event Register'!R117&lt;&gt;"",1,0)</x:f>
        <x:v>0</x:v>
      </x:c>
      <x:c r="G1222" t="n">
        <x:v>1</x:v>
      </x:c>
      <x:c r="H1222" t="str">
        <x:v>independent physical acceptance</x:v>
      </x:c>
      <x:c r="I1222" t="str">
        <x:f>IF(F1222=1,"PASS","OPEN")</x:f>
        <x:v>OPEN</x:v>
      </x:c>
    </x:row>
    <x:row r="1223">
      <x:c r="B1223" t="str">
        <x:v>PH-EV-111</x:v>
      </x:c>
      <x:c r="C1223" t="str">
        <x:v>PHYSICAL</x:v>
      </x:c>
      <x:c r="D1223" t="str">
        <x:v>event evidence</x:v>
      </x:c>
      <x:c r="E1223" t="str">
        <x:v>PH-EV-111</x:v>
      </x:c>
      <x:c r="F1223" t="n">
        <x:f>IF('Event Register'!S117&lt;&gt;"",1,0)</x:f>
        <x:v>0</x:v>
      </x:c>
      <x:c r="G1223" t="n">
        <x:v>1</x:v>
      </x:c>
      <x:c r="H1223" t="str">
        <x:v>independent physical acceptance</x:v>
      </x:c>
      <x:c r="I1223" t="str">
        <x:f>IF(F1223=1,"PASS","OPEN")</x:f>
        <x:v>OPEN</x:v>
      </x:c>
    </x:row>
    <x:row r="1224">
      <x:c r="B1224" t="str">
        <x:v>PH-VA-111</x:v>
      </x:c>
      <x:c r="C1224" t="str">
        <x:v>PHYSICAL</x:v>
      </x:c>
      <x:c r="D1224" t="str">
        <x:v>event validity</x:v>
      </x:c>
      <x:c r="E1224" t="str">
        <x:v>PH-VA-111</x:v>
      </x:c>
      <x:c r="F1224" t="n">
        <x:f>IF('Event Register'!T117&lt;&gt;"",1,0)</x:f>
        <x:v>0</x:v>
      </x:c>
      <x:c r="G1224" t="n">
        <x:v>1</x:v>
      </x:c>
      <x:c r="H1224" t="str">
        <x:v>independent physical acceptance</x:v>
      </x:c>
      <x:c r="I1224" t="str">
        <x:f>IF(F1224=1,"PASS","OPEN")</x:f>
        <x:v>OPEN</x:v>
      </x:c>
    </x:row>
    <x:row r="1225">
      <x:c r="B1225" t="str">
        <x:v>PH-OU-111</x:v>
      </x:c>
      <x:c r="C1225" t="str">
        <x:v>PHYSICAL</x:v>
      </x:c>
      <x:c r="D1225" t="str">
        <x:v>event outcome</x:v>
      </x:c>
      <x:c r="E1225" t="str">
        <x:v>PH-OU-111</x:v>
      </x:c>
      <x:c r="F1225" t="n">
        <x:f>IF('Event Register'!U117&lt;&gt;"",1,0)</x:f>
        <x:v>0</x:v>
      </x:c>
      <x:c r="G1225" t="n">
        <x:v>1</x:v>
      </x:c>
      <x:c r="H1225" t="str">
        <x:v>independent physical acceptance</x:v>
      </x:c>
      <x:c r="I1225" t="str">
        <x:f>IF(F1225=1,"PASS","OPEN")</x:f>
        <x:v>OPEN</x:v>
      </x:c>
    </x:row>
    <x:row r="1226">
      <x:c r="B1226" t="str">
        <x:v>PH-EX-112</x:v>
      </x:c>
      <x:c r="C1226" t="str">
        <x:v>PHYSICAL</x:v>
      </x:c>
      <x:c r="D1226" t="str">
        <x:v>event execution</x:v>
      </x:c>
      <x:c r="E1226" t="str">
        <x:v>PH-EX-112</x:v>
      </x:c>
      <x:c r="F1226" t="n">
        <x:f>IF('Event Register'!R118&lt;&gt;"",1,0)</x:f>
        <x:v>0</x:v>
      </x:c>
      <x:c r="G1226" t="n">
        <x:v>1</x:v>
      </x:c>
      <x:c r="H1226" t="str">
        <x:v>independent physical acceptance</x:v>
      </x:c>
      <x:c r="I1226" t="str">
        <x:f>IF(F1226=1,"PASS","OPEN")</x:f>
        <x:v>OPEN</x:v>
      </x:c>
    </x:row>
    <x:row r="1227">
      <x:c r="B1227" t="str">
        <x:v>PH-EV-112</x:v>
      </x:c>
      <x:c r="C1227" t="str">
        <x:v>PHYSICAL</x:v>
      </x:c>
      <x:c r="D1227" t="str">
        <x:v>event evidence</x:v>
      </x:c>
      <x:c r="E1227" t="str">
        <x:v>PH-EV-112</x:v>
      </x:c>
      <x:c r="F1227" t="n">
        <x:f>IF('Event Register'!S118&lt;&gt;"",1,0)</x:f>
        <x:v>0</x:v>
      </x:c>
      <x:c r="G1227" t="n">
        <x:v>1</x:v>
      </x:c>
      <x:c r="H1227" t="str">
        <x:v>independent physical acceptance</x:v>
      </x:c>
      <x:c r="I1227" t="str">
        <x:f>IF(F1227=1,"PASS","OPEN")</x:f>
        <x:v>OPEN</x:v>
      </x:c>
    </x:row>
    <x:row r="1228">
      <x:c r="B1228" t="str">
        <x:v>PH-VA-112</x:v>
      </x:c>
      <x:c r="C1228" t="str">
        <x:v>PHYSICAL</x:v>
      </x:c>
      <x:c r="D1228" t="str">
        <x:v>event validity</x:v>
      </x:c>
      <x:c r="E1228" t="str">
        <x:v>PH-VA-112</x:v>
      </x:c>
      <x:c r="F1228" t="n">
        <x:f>IF('Event Register'!T118&lt;&gt;"",1,0)</x:f>
        <x:v>0</x:v>
      </x:c>
      <x:c r="G1228" t="n">
        <x:v>1</x:v>
      </x:c>
      <x:c r="H1228" t="str">
        <x:v>independent physical acceptance</x:v>
      </x:c>
      <x:c r="I1228" t="str">
        <x:f>IF(F1228=1,"PASS","OPEN")</x:f>
        <x:v>OPEN</x:v>
      </x:c>
    </x:row>
    <x:row r="1229">
      <x:c r="B1229" t="str">
        <x:v>PH-OU-112</x:v>
      </x:c>
      <x:c r="C1229" t="str">
        <x:v>PHYSICAL</x:v>
      </x:c>
      <x:c r="D1229" t="str">
        <x:v>event outcome</x:v>
      </x:c>
      <x:c r="E1229" t="str">
        <x:v>PH-OU-112</x:v>
      </x:c>
      <x:c r="F1229" t="n">
        <x:f>IF('Event Register'!U118&lt;&gt;"",1,0)</x:f>
        <x:v>0</x:v>
      </x:c>
      <x:c r="G1229" t="n">
        <x:v>1</x:v>
      </x:c>
      <x:c r="H1229" t="str">
        <x:v>independent physical acceptance</x:v>
      </x:c>
      <x:c r="I1229" t="str">
        <x:f>IF(F1229=1,"PASS","OPEN")</x:f>
        <x:v>OPEN</x:v>
      </x:c>
    </x:row>
    <x:row r="1230">
      <x:c r="B1230" t="str">
        <x:v>PH-EX-113</x:v>
      </x:c>
      <x:c r="C1230" t="str">
        <x:v>PHYSICAL</x:v>
      </x:c>
      <x:c r="D1230" t="str">
        <x:v>event execution</x:v>
      </x:c>
      <x:c r="E1230" t="str">
        <x:v>PH-EX-113</x:v>
      </x:c>
      <x:c r="F1230" t="n">
        <x:f>IF('Event Register'!R119&lt;&gt;"",1,0)</x:f>
        <x:v>0</x:v>
      </x:c>
      <x:c r="G1230" t="n">
        <x:v>1</x:v>
      </x:c>
      <x:c r="H1230" t="str">
        <x:v>independent physical acceptance</x:v>
      </x:c>
      <x:c r="I1230" t="str">
        <x:f>IF(F1230=1,"PASS","OPEN")</x:f>
        <x:v>OPEN</x:v>
      </x:c>
    </x:row>
    <x:row r="1231">
      <x:c r="B1231" t="str">
        <x:v>PH-EV-113</x:v>
      </x:c>
      <x:c r="C1231" t="str">
        <x:v>PHYSICAL</x:v>
      </x:c>
      <x:c r="D1231" t="str">
        <x:v>event evidence</x:v>
      </x:c>
      <x:c r="E1231" t="str">
        <x:v>PH-EV-113</x:v>
      </x:c>
      <x:c r="F1231" t="n">
        <x:f>IF('Event Register'!S119&lt;&gt;"",1,0)</x:f>
        <x:v>0</x:v>
      </x:c>
      <x:c r="G1231" t="n">
        <x:v>1</x:v>
      </x:c>
      <x:c r="H1231" t="str">
        <x:v>independent physical acceptance</x:v>
      </x:c>
      <x:c r="I1231" t="str">
        <x:f>IF(F1231=1,"PASS","OPEN")</x:f>
        <x:v>OPEN</x:v>
      </x:c>
    </x:row>
    <x:row r="1232">
      <x:c r="B1232" t="str">
        <x:v>PH-VA-113</x:v>
      </x:c>
      <x:c r="C1232" t="str">
        <x:v>PHYSICAL</x:v>
      </x:c>
      <x:c r="D1232" t="str">
        <x:v>event validity</x:v>
      </x:c>
      <x:c r="E1232" t="str">
        <x:v>PH-VA-113</x:v>
      </x:c>
      <x:c r="F1232" t="n">
        <x:f>IF('Event Register'!T119&lt;&gt;"",1,0)</x:f>
        <x:v>0</x:v>
      </x:c>
      <x:c r="G1232" t="n">
        <x:v>1</x:v>
      </x:c>
      <x:c r="H1232" t="str">
        <x:v>independent physical acceptance</x:v>
      </x:c>
      <x:c r="I1232" t="str">
        <x:f>IF(F1232=1,"PASS","OPEN")</x:f>
        <x:v>OPEN</x:v>
      </x:c>
    </x:row>
    <x:row r="1233">
      <x:c r="B1233" t="str">
        <x:v>PH-OU-113</x:v>
      </x:c>
      <x:c r="C1233" t="str">
        <x:v>PHYSICAL</x:v>
      </x:c>
      <x:c r="D1233" t="str">
        <x:v>event outcome</x:v>
      </x:c>
      <x:c r="E1233" t="str">
        <x:v>PH-OU-113</x:v>
      </x:c>
      <x:c r="F1233" t="n">
        <x:f>IF('Event Register'!U119&lt;&gt;"",1,0)</x:f>
        <x:v>0</x:v>
      </x:c>
      <x:c r="G1233" t="n">
        <x:v>1</x:v>
      </x:c>
      <x:c r="H1233" t="str">
        <x:v>independent physical acceptance</x:v>
      </x:c>
      <x:c r="I1233" t="str">
        <x:f>IF(F1233=1,"PASS","OPEN")</x:f>
        <x:v>OPEN</x:v>
      </x:c>
    </x:row>
    <x:row r="1234">
      <x:c r="B1234" t="str">
        <x:v>PH-EX-114</x:v>
      </x:c>
      <x:c r="C1234" t="str">
        <x:v>PHYSICAL</x:v>
      </x:c>
      <x:c r="D1234" t="str">
        <x:v>event execution</x:v>
      </x:c>
      <x:c r="E1234" t="str">
        <x:v>PH-EX-114</x:v>
      </x:c>
      <x:c r="F1234" t="n">
        <x:f>IF('Event Register'!R120&lt;&gt;"",1,0)</x:f>
        <x:v>0</x:v>
      </x:c>
      <x:c r="G1234" t="n">
        <x:v>1</x:v>
      </x:c>
      <x:c r="H1234" t="str">
        <x:v>independent physical acceptance</x:v>
      </x:c>
      <x:c r="I1234" t="str">
        <x:f>IF(F1234=1,"PASS","OPEN")</x:f>
        <x:v>OPEN</x:v>
      </x:c>
    </x:row>
    <x:row r="1235">
      <x:c r="B1235" t="str">
        <x:v>PH-EV-114</x:v>
      </x:c>
      <x:c r="C1235" t="str">
        <x:v>PHYSICAL</x:v>
      </x:c>
      <x:c r="D1235" t="str">
        <x:v>event evidence</x:v>
      </x:c>
      <x:c r="E1235" t="str">
        <x:v>PH-EV-114</x:v>
      </x:c>
      <x:c r="F1235" t="n">
        <x:f>IF('Event Register'!S120&lt;&gt;"",1,0)</x:f>
        <x:v>0</x:v>
      </x:c>
      <x:c r="G1235" t="n">
        <x:v>1</x:v>
      </x:c>
      <x:c r="H1235" t="str">
        <x:v>independent physical acceptance</x:v>
      </x:c>
      <x:c r="I1235" t="str">
        <x:f>IF(F1235=1,"PASS","OPEN")</x:f>
        <x:v>OPEN</x:v>
      </x:c>
    </x:row>
    <x:row r="1236">
      <x:c r="B1236" t="str">
        <x:v>PH-VA-114</x:v>
      </x:c>
      <x:c r="C1236" t="str">
        <x:v>PHYSICAL</x:v>
      </x:c>
      <x:c r="D1236" t="str">
        <x:v>event validity</x:v>
      </x:c>
      <x:c r="E1236" t="str">
        <x:v>PH-VA-114</x:v>
      </x:c>
      <x:c r="F1236" t="n">
        <x:f>IF('Event Register'!T120&lt;&gt;"",1,0)</x:f>
        <x:v>0</x:v>
      </x:c>
      <x:c r="G1236" t="n">
        <x:v>1</x:v>
      </x:c>
      <x:c r="H1236" t="str">
        <x:v>independent physical acceptance</x:v>
      </x:c>
      <x:c r="I1236" t="str">
        <x:f>IF(F1236=1,"PASS","OPEN")</x:f>
        <x:v>OPEN</x:v>
      </x:c>
    </x:row>
    <x:row r="1237">
      <x:c r="B1237" t="str">
        <x:v>PH-OU-114</x:v>
      </x:c>
      <x:c r="C1237" t="str">
        <x:v>PHYSICAL</x:v>
      </x:c>
      <x:c r="D1237" t="str">
        <x:v>event outcome</x:v>
      </x:c>
      <x:c r="E1237" t="str">
        <x:v>PH-OU-114</x:v>
      </x:c>
      <x:c r="F1237" t="n">
        <x:f>IF('Event Register'!U120&lt;&gt;"",1,0)</x:f>
        <x:v>0</x:v>
      </x:c>
      <x:c r="G1237" t="n">
        <x:v>1</x:v>
      </x:c>
      <x:c r="H1237" t="str">
        <x:v>independent physical acceptance</x:v>
      </x:c>
      <x:c r="I1237" t="str">
        <x:f>IF(F1237=1,"PASS","OPEN")</x:f>
        <x:v>OPEN</x:v>
      </x:c>
    </x:row>
    <x:row r="1238">
      <x:c r="B1238" t="str">
        <x:v>PH-EX-115</x:v>
      </x:c>
      <x:c r="C1238" t="str">
        <x:v>PHYSICAL</x:v>
      </x:c>
      <x:c r="D1238" t="str">
        <x:v>event execution</x:v>
      </x:c>
      <x:c r="E1238" t="str">
        <x:v>PH-EX-115</x:v>
      </x:c>
      <x:c r="F1238" t="n">
        <x:f>IF('Event Register'!R121&lt;&gt;"",1,0)</x:f>
        <x:v>0</x:v>
      </x:c>
      <x:c r="G1238" t="n">
        <x:v>1</x:v>
      </x:c>
      <x:c r="H1238" t="str">
        <x:v>independent physical acceptance</x:v>
      </x:c>
      <x:c r="I1238" t="str">
        <x:f>IF(F1238=1,"PASS","OPEN")</x:f>
        <x:v>OPEN</x:v>
      </x:c>
    </x:row>
    <x:row r="1239">
      <x:c r="B1239" t="str">
        <x:v>PH-EV-115</x:v>
      </x:c>
      <x:c r="C1239" t="str">
        <x:v>PHYSICAL</x:v>
      </x:c>
      <x:c r="D1239" t="str">
        <x:v>event evidence</x:v>
      </x:c>
      <x:c r="E1239" t="str">
        <x:v>PH-EV-115</x:v>
      </x:c>
      <x:c r="F1239" t="n">
        <x:f>IF('Event Register'!S121&lt;&gt;"",1,0)</x:f>
        <x:v>0</x:v>
      </x:c>
      <x:c r="G1239" t="n">
        <x:v>1</x:v>
      </x:c>
      <x:c r="H1239" t="str">
        <x:v>independent physical acceptance</x:v>
      </x:c>
      <x:c r="I1239" t="str">
        <x:f>IF(F1239=1,"PASS","OPEN")</x:f>
        <x:v>OPEN</x:v>
      </x:c>
    </x:row>
    <x:row r="1240">
      <x:c r="B1240" t="str">
        <x:v>PH-VA-115</x:v>
      </x:c>
      <x:c r="C1240" t="str">
        <x:v>PHYSICAL</x:v>
      </x:c>
      <x:c r="D1240" t="str">
        <x:v>event validity</x:v>
      </x:c>
      <x:c r="E1240" t="str">
        <x:v>PH-VA-115</x:v>
      </x:c>
      <x:c r="F1240" t="n">
        <x:f>IF('Event Register'!T121&lt;&gt;"",1,0)</x:f>
        <x:v>0</x:v>
      </x:c>
      <x:c r="G1240" t="n">
        <x:v>1</x:v>
      </x:c>
      <x:c r="H1240" t="str">
        <x:v>independent physical acceptance</x:v>
      </x:c>
      <x:c r="I1240" t="str">
        <x:f>IF(F1240=1,"PASS","OPEN")</x:f>
        <x:v>OPEN</x:v>
      </x:c>
    </x:row>
    <x:row r="1241">
      <x:c r="B1241" t="str">
        <x:v>PH-OU-115</x:v>
      </x:c>
      <x:c r="C1241" t="str">
        <x:v>PHYSICAL</x:v>
      </x:c>
      <x:c r="D1241" t="str">
        <x:v>event outcome</x:v>
      </x:c>
      <x:c r="E1241" t="str">
        <x:v>PH-OU-115</x:v>
      </x:c>
      <x:c r="F1241" t="n">
        <x:f>IF('Event Register'!U121&lt;&gt;"",1,0)</x:f>
        <x:v>0</x:v>
      </x:c>
      <x:c r="G1241" t="n">
        <x:v>1</x:v>
      </x:c>
      <x:c r="H1241" t="str">
        <x:v>independent physical acceptance</x:v>
      </x:c>
      <x:c r="I1241" t="str">
        <x:f>IF(F1241=1,"PASS","OPEN")</x:f>
        <x:v>OPEN</x:v>
      </x:c>
    </x:row>
    <x:row r="1242">
      <x:c r="B1242" t="str">
        <x:v>PH-EX-116</x:v>
      </x:c>
      <x:c r="C1242" t="str">
        <x:v>PHYSICAL</x:v>
      </x:c>
      <x:c r="D1242" t="str">
        <x:v>event execution</x:v>
      </x:c>
      <x:c r="E1242" t="str">
        <x:v>PH-EX-116</x:v>
      </x:c>
      <x:c r="F1242" t="n">
        <x:f>IF('Event Register'!R122&lt;&gt;"",1,0)</x:f>
        <x:v>0</x:v>
      </x:c>
      <x:c r="G1242" t="n">
        <x:v>1</x:v>
      </x:c>
      <x:c r="H1242" t="str">
        <x:v>independent physical acceptance</x:v>
      </x:c>
      <x:c r="I1242" t="str">
        <x:f>IF(F1242=1,"PASS","OPEN")</x:f>
        <x:v>OPEN</x:v>
      </x:c>
    </x:row>
    <x:row r="1243">
      <x:c r="B1243" t="str">
        <x:v>PH-EV-116</x:v>
      </x:c>
      <x:c r="C1243" t="str">
        <x:v>PHYSICAL</x:v>
      </x:c>
      <x:c r="D1243" t="str">
        <x:v>event evidence</x:v>
      </x:c>
      <x:c r="E1243" t="str">
        <x:v>PH-EV-116</x:v>
      </x:c>
      <x:c r="F1243" t="n">
        <x:f>IF('Event Register'!S122&lt;&gt;"",1,0)</x:f>
        <x:v>0</x:v>
      </x:c>
      <x:c r="G1243" t="n">
        <x:v>1</x:v>
      </x:c>
      <x:c r="H1243" t="str">
        <x:v>independent physical acceptance</x:v>
      </x:c>
      <x:c r="I1243" t="str">
        <x:f>IF(F1243=1,"PASS","OPEN")</x:f>
        <x:v>OPEN</x:v>
      </x:c>
    </x:row>
    <x:row r="1244">
      <x:c r="B1244" t="str">
        <x:v>PH-VA-116</x:v>
      </x:c>
      <x:c r="C1244" t="str">
        <x:v>PHYSICAL</x:v>
      </x:c>
      <x:c r="D1244" t="str">
        <x:v>event validity</x:v>
      </x:c>
      <x:c r="E1244" t="str">
        <x:v>PH-VA-116</x:v>
      </x:c>
      <x:c r="F1244" t="n">
        <x:f>IF('Event Register'!T122&lt;&gt;"",1,0)</x:f>
        <x:v>0</x:v>
      </x:c>
      <x:c r="G1244" t="n">
        <x:v>1</x:v>
      </x:c>
      <x:c r="H1244" t="str">
        <x:v>independent physical acceptance</x:v>
      </x:c>
      <x:c r="I1244" t="str">
        <x:f>IF(F1244=1,"PASS","OPEN")</x:f>
        <x:v>OPEN</x:v>
      </x:c>
    </x:row>
    <x:row r="1245">
      <x:c r="B1245" t="str">
        <x:v>PH-OU-116</x:v>
      </x:c>
      <x:c r="C1245" t="str">
        <x:v>PHYSICAL</x:v>
      </x:c>
      <x:c r="D1245" t="str">
        <x:v>event outcome</x:v>
      </x:c>
      <x:c r="E1245" t="str">
        <x:v>PH-OU-116</x:v>
      </x:c>
      <x:c r="F1245" t="n">
        <x:f>IF('Event Register'!U122&lt;&gt;"",1,0)</x:f>
        <x:v>0</x:v>
      </x:c>
      <x:c r="G1245" t="n">
        <x:v>1</x:v>
      </x:c>
      <x:c r="H1245" t="str">
        <x:v>independent physical acceptance</x:v>
      </x:c>
      <x:c r="I1245" t="str">
        <x:f>IF(F1245=1,"PASS","OPEN")</x:f>
        <x:v>OPEN</x:v>
      </x:c>
    </x:row>
    <x:row r="1246">
      <x:c r="B1246" t="str">
        <x:v>PH-EX-117</x:v>
      </x:c>
      <x:c r="C1246" t="str">
        <x:v>PHYSICAL</x:v>
      </x:c>
      <x:c r="D1246" t="str">
        <x:v>event execution</x:v>
      </x:c>
      <x:c r="E1246" t="str">
        <x:v>PH-EX-117</x:v>
      </x:c>
      <x:c r="F1246" t="n">
        <x:f>IF('Event Register'!R123&lt;&gt;"",1,0)</x:f>
        <x:v>0</x:v>
      </x:c>
      <x:c r="G1246" t="n">
        <x:v>1</x:v>
      </x:c>
      <x:c r="H1246" t="str">
        <x:v>independent physical acceptance</x:v>
      </x:c>
      <x:c r="I1246" t="str">
        <x:f>IF(F1246=1,"PASS","OPEN")</x:f>
        <x:v>OPEN</x:v>
      </x:c>
    </x:row>
    <x:row r="1247">
      <x:c r="B1247" t="str">
        <x:v>PH-EV-117</x:v>
      </x:c>
      <x:c r="C1247" t="str">
        <x:v>PHYSICAL</x:v>
      </x:c>
      <x:c r="D1247" t="str">
        <x:v>event evidence</x:v>
      </x:c>
      <x:c r="E1247" t="str">
        <x:v>PH-EV-117</x:v>
      </x:c>
      <x:c r="F1247" t="n">
        <x:f>IF('Event Register'!S123&lt;&gt;"",1,0)</x:f>
        <x:v>0</x:v>
      </x:c>
      <x:c r="G1247" t="n">
        <x:v>1</x:v>
      </x:c>
      <x:c r="H1247" t="str">
        <x:v>independent physical acceptance</x:v>
      </x:c>
      <x:c r="I1247" t="str">
        <x:f>IF(F1247=1,"PASS","OPEN")</x:f>
        <x:v>OPEN</x:v>
      </x:c>
    </x:row>
    <x:row r="1248">
      <x:c r="B1248" t="str">
        <x:v>PH-VA-117</x:v>
      </x:c>
      <x:c r="C1248" t="str">
        <x:v>PHYSICAL</x:v>
      </x:c>
      <x:c r="D1248" t="str">
        <x:v>event validity</x:v>
      </x:c>
      <x:c r="E1248" t="str">
        <x:v>PH-VA-117</x:v>
      </x:c>
      <x:c r="F1248" t="n">
        <x:f>IF('Event Register'!T123&lt;&gt;"",1,0)</x:f>
        <x:v>0</x:v>
      </x:c>
      <x:c r="G1248" t="n">
        <x:v>1</x:v>
      </x:c>
      <x:c r="H1248" t="str">
        <x:v>independent physical acceptance</x:v>
      </x:c>
      <x:c r="I1248" t="str">
        <x:f>IF(F1248=1,"PASS","OPEN")</x:f>
        <x:v>OPEN</x:v>
      </x:c>
    </x:row>
    <x:row r="1249">
      <x:c r="B1249" t="str">
        <x:v>PH-OU-117</x:v>
      </x:c>
      <x:c r="C1249" t="str">
        <x:v>PHYSICAL</x:v>
      </x:c>
      <x:c r="D1249" t="str">
        <x:v>event outcome</x:v>
      </x:c>
      <x:c r="E1249" t="str">
        <x:v>PH-OU-117</x:v>
      </x:c>
      <x:c r="F1249" t="n">
        <x:f>IF('Event Register'!U123&lt;&gt;"",1,0)</x:f>
        <x:v>0</x:v>
      </x:c>
      <x:c r="G1249" t="n">
        <x:v>1</x:v>
      </x:c>
      <x:c r="H1249" t="str">
        <x:v>independent physical acceptance</x:v>
      </x:c>
      <x:c r="I1249" t="str">
        <x:f>IF(F1249=1,"PASS","OPEN")</x:f>
        <x:v>OPEN</x:v>
      </x:c>
    </x:row>
    <x:row r="1250">
      <x:c r="B1250" t="str">
        <x:v>PH-EX-118</x:v>
      </x:c>
      <x:c r="C1250" t="str">
        <x:v>PHYSICAL</x:v>
      </x:c>
      <x:c r="D1250" t="str">
        <x:v>event execution</x:v>
      </x:c>
      <x:c r="E1250" t="str">
        <x:v>PH-EX-118</x:v>
      </x:c>
      <x:c r="F1250" t="n">
        <x:f>IF('Event Register'!R124&lt;&gt;"",1,0)</x:f>
        <x:v>0</x:v>
      </x:c>
      <x:c r="G1250" t="n">
        <x:v>1</x:v>
      </x:c>
      <x:c r="H1250" t="str">
        <x:v>independent physical acceptance</x:v>
      </x:c>
      <x:c r="I1250" t="str">
        <x:f>IF(F1250=1,"PASS","OPEN")</x:f>
        <x:v>OPEN</x:v>
      </x:c>
    </x:row>
    <x:row r="1251">
      <x:c r="B1251" t="str">
        <x:v>PH-EV-118</x:v>
      </x:c>
      <x:c r="C1251" t="str">
        <x:v>PHYSICAL</x:v>
      </x:c>
      <x:c r="D1251" t="str">
        <x:v>event evidence</x:v>
      </x:c>
      <x:c r="E1251" t="str">
        <x:v>PH-EV-118</x:v>
      </x:c>
      <x:c r="F1251" t="n">
        <x:f>IF('Event Register'!S124&lt;&gt;"",1,0)</x:f>
        <x:v>0</x:v>
      </x:c>
      <x:c r="G1251" t="n">
        <x:v>1</x:v>
      </x:c>
      <x:c r="H1251" t="str">
        <x:v>independent physical acceptance</x:v>
      </x:c>
      <x:c r="I1251" t="str">
        <x:f>IF(F1251=1,"PASS","OPEN")</x:f>
        <x:v>OPEN</x:v>
      </x:c>
    </x:row>
    <x:row r="1252">
      <x:c r="B1252" t="str">
        <x:v>PH-VA-118</x:v>
      </x:c>
      <x:c r="C1252" t="str">
        <x:v>PHYSICAL</x:v>
      </x:c>
      <x:c r="D1252" t="str">
        <x:v>event validity</x:v>
      </x:c>
      <x:c r="E1252" t="str">
        <x:v>PH-VA-118</x:v>
      </x:c>
      <x:c r="F1252" t="n">
        <x:f>IF('Event Register'!T124&lt;&gt;"",1,0)</x:f>
        <x:v>0</x:v>
      </x:c>
      <x:c r="G1252" t="n">
        <x:v>1</x:v>
      </x:c>
      <x:c r="H1252" t="str">
        <x:v>independent physical acceptance</x:v>
      </x:c>
      <x:c r="I1252" t="str">
        <x:f>IF(F1252=1,"PASS","OPEN")</x:f>
        <x:v>OPEN</x:v>
      </x:c>
    </x:row>
    <x:row r="1253">
      <x:c r="B1253" t="str">
        <x:v>PH-OU-118</x:v>
      </x:c>
      <x:c r="C1253" t="str">
        <x:v>PHYSICAL</x:v>
      </x:c>
      <x:c r="D1253" t="str">
        <x:v>event outcome</x:v>
      </x:c>
      <x:c r="E1253" t="str">
        <x:v>PH-OU-118</x:v>
      </x:c>
      <x:c r="F1253" t="n">
        <x:f>IF('Event Register'!U124&lt;&gt;"",1,0)</x:f>
        <x:v>0</x:v>
      </x:c>
      <x:c r="G1253" t="n">
        <x:v>1</x:v>
      </x:c>
      <x:c r="H1253" t="str">
        <x:v>independent physical acceptance</x:v>
      </x:c>
      <x:c r="I1253" t="str">
        <x:f>IF(F1253=1,"PASS","OPEN")</x:f>
        <x:v>OPEN</x:v>
      </x:c>
    </x:row>
    <x:row r="1254">
      <x:c r="B1254" t="str">
        <x:v>PH-EX-119</x:v>
      </x:c>
      <x:c r="C1254" t="str">
        <x:v>PHYSICAL</x:v>
      </x:c>
      <x:c r="D1254" t="str">
        <x:v>event execution</x:v>
      </x:c>
      <x:c r="E1254" t="str">
        <x:v>PH-EX-119</x:v>
      </x:c>
      <x:c r="F1254" t="n">
        <x:f>IF('Event Register'!R125&lt;&gt;"",1,0)</x:f>
        <x:v>0</x:v>
      </x:c>
      <x:c r="G1254" t="n">
        <x:v>1</x:v>
      </x:c>
      <x:c r="H1254" t="str">
        <x:v>independent physical acceptance</x:v>
      </x:c>
      <x:c r="I1254" t="str">
        <x:f>IF(F1254=1,"PASS","OPEN")</x:f>
        <x:v>OPEN</x:v>
      </x:c>
    </x:row>
    <x:row r="1255">
      <x:c r="B1255" t="str">
        <x:v>PH-EV-119</x:v>
      </x:c>
      <x:c r="C1255" t="str">
        <x:v>PHYSICAL</x:v>
      </x:c>
      <x:c r="D1255" t="str">
        <x:v>event evidence</x:v>
      </x:c>
      <x:c r="E1255" t="str">
        <x:v>PH-EV-119</x:v>
      </x:c>
      <x:c r="F1255" t="n">
        <x:f>IF('Event Register'!S125&lt;&gt;"",1,0)</x:f>
        <x:v>0</x:v>
      </x:c>
      <x:c r="G1255" t="n">
        <x:v>1</x:v>
      </x:c>
      <x:c r="H1255" t="str">
        <x:v>independent physical acceptance</x:v>
      </x:c>
      <x:c r="I1255" t="str">
        <x:f>IF(F1255=1,"PASS","OPEN")</x:f>
        <x:v>OPEN</x:v>
      </x:c>
    </x:row>
    <x:row r="1256">
      <x:c r="B1256" t="str">
        <x:v>PH-VA-119</x:v>
      </x:c>
      <x:c r="C1256" t="str">
        <x:v>PHYSICAL</x:v>
      </x:c>
      <x:c r="D1256" t="str">
        <x:v>event validity</x:v>
      </x:c>
      <x:c r="E1256" t="str">
        <x:v>PH-VA-119</x:v>
      </x:c>
      <x:c r="F1256" t="n">
        <x:f>IF('Event Register'!T125&lt;&gt;"",1,0)</x:f>
        <x:v>0</x:v>
      </x:c>
      <x:c r="G1256" t="n">
        <x:v>1</x:v>
      </x:c>
      <x:c r="H1256" t="str">
        <x:v>independent physical acceptance</x:v>
      </x:c>
      <x:c r="I1256" t="str">
        <x:f>IF(F1256=1,"PASS","OPEN")</x:f>
        <x:v>OPEN</x:v>
      </x:c>
    </x:row>
    <x:row r="1257">
      <x:c r="B1257" t="str">
        <x:v>PH-OU-119</x:v>
      </x:c>
      <x:c r="C1257" t="str">
        <x:v>PHYSICAL</x:v>
      </x:c>
      <x:c r="D1257" t="str">
        <x:v>event outcome</x:v>
      </x:c>
      <x:c r="E1257" t="str">
        <x:v>PH-OU-119</x:v>
      </x:c>
      <x:c r="F1257" t="n">
        <x:f>IF('Event Register'!U125&lt;&gt;"",1,0)</x:f>
        <x:v>0</x:v>
      </x:c>
      <x:c r="G1257" t="n">
        <x:v>1</x:v>
      </x:c>
      <x:c r="H1257" t="str">
        <x:v>independent physical acceptance</x:v>
      </x:c>
      <x:c r="I1257" t="str">
        <x:f>IF(F1257=1,"PASS","OPEN")</x:f>
        <x:v>OPEN</x:v>
      </x:c>
    </x:row>
    <x:row r="1258">
      <x:c r="B1258" t="str">
        <x:v>PH-EX-120</x:v>
      </x:c>
      <x:c r="C1258" t="str">
        <x:v>PHYSICAL</x:v>
      </x:c>
      <x:c r="D1258" t="str">
        <x:v>event execution</x:v>
      </x:c>
      <x:c r="E1258" t="str">
        <x:v>PH-EX-120</x:v>
      </x:c>
      <x:c r="F1258" t="n">
        <x:f>IF('Event Register'!R126&lt;&gt;"",1,0)</x:f>
        <x:v>0</x:v>
      </x:c>
      <x:c r="G1258" t="n">
        <x:v>1</x:v>
      </x:c>
      <x:c r="H1258" t="str">
        <x:v>independent physical acceptance</x:v>
      </x:c>
      <x:c r="I1258" t="str">
        <x:f>IF(F1258=1,"PASS","OPEN")</x:f>
        <x:v>OPEN</x:v>
      </x:c>
    </x:row>
    <x:row r="1259">
      <x:c r="B1259" t="str">
        <x:v>PH-EV-120</x:v>
      </x:c>
      <x:c r="C1259" t="str">
        <x:v>PHYSICAL</x:v>
      </x:c>
      <x:c r="D1259" t="str">
        <x:v>event evidence</x:v>
      </x:c>
      <x:c r="E1259" t="str">
        <x:v>PH-EV-120</x:v>
      </x:c>
      <x:c r="F1259" t="n">
        <x:f>IF('Event Register'!S126&lt;&gt;"",1,0)</x:f>
        <x:v>0</x:v>
      </x:c>
      <x:c r="G1259" t="n">
        <x:v>1</x:v>
      </x:c>
      <x:c r="H1259" t="str">
        <x:v>independent physical acceptance</x:v>
      </x:c>
      <x:c r="I1259" t="str">
        <x:f>IF(F1259=1,"PASS","OPEN")</x:f>
        <x:v>OPEN</x:v>
      </x:c>
    </x:row>
    <x:row r="1260">
      <x:c r="B1260" t="str">
        <x:v>PH-VA-120</x:v>
      </x:c>
      <x:c r="C1260" t="str">
        <x:v>PHYSICAL</x:v>
      </x:c>
      <x:c r="D1260" t="str">
        <x:v>event validity</x:v>
      </x:c>
      <x:c r="E1260" t="str">
        <x:v>PH-VA-120</x:v>
      </x:c>
      <x:c r="F1260" t="n">
        <x:f>IF('Event Register'!T126&lt;&gt;"",1,0)</x:f>
        <x:v>0</x:v>
      </x:c>
      <x:c r="G1260" t="n">
        <x:v>1</x:v>
      </x:c>
      <x:c r="H1260" t="str">
        <x:v>independent physical acceptance</x:v>
      </x:c>
      <x:c r="I1260" t="str">
        <x:f>IF(F1260=1,"PASS","OPEN")</x:f>
        <x:v>OPEN</x:v>
      </x:c>
    </x:row>
    <x:row r="1261">
      <x:c r="B1261" t="str">
        <x:v>PH-OU-120</x:v>
      </x:c>
      <x:c r="C1261" t="str">
        <x:v>PHYSICAL</x:v>
      </x:c>
      <x:c r="D1261" t="str">
        <x:v>event outcome</x:v>
      </x:c>
      <x:c r="E1261" t="str">
        <x:v>PH-OU-120</x:v>
      </x:c>
      <x:c r="F1261" t="n">
        <x:f>IF('Event Register'!U126&lt;&gt;"",1,0)</x:f>
        <x:v>0</x:v>
      </x:c>
      <x:c r="G1261" t="n">
        <x:v>1</x:v>
      </x:c>
      <x:c r="H1261" t="str">
        <x:v>independent physical acceptance</x:v>
      </x:c>
      <x:c r="I1261" t="str">
        <x:f>IF(F1261=1,"PASS","OPEN")</x:f>
        <x:v>OPEN</x:v>
      </x:c>
    </x:row>
    <x:row r="1262">
      <x:c r="B1262" t="str">
        <x:v>PH-EX-121</x:v>
      </x:c>
      <x:c r="C1262" t="str">
        <x:v>PHYSICAL</x:v>
      </x:c>
      <x:c r="D1262" t="str">
        <x:v>event execution</x:v>
      </x:c>
      <x:c r="E1262" t="str">
        <x:v>PH-EX-121</x:v>
      </x:c>
      <x:c r="F1262" t="n">
        <x:f>IF('Event Register'!R127&lt;&gt;"",1,0)</x:f>
        <x:v>0</x:v>
      </x:c>
      <x:c r="G1262" t="n">
        <x:v>1</x:v>
      </x:c>
      <x:c r="H1262" t="str">
        <x:v>independent physical acceptance</x:v>
      </x:c>
      <x:c r="I1262" t="str">
        <x:f>IF(F1262=1,"PASS","OPEN")</x:f>
        <x:v>OPEN</x:v>
      </x:c>
    </x:row>
    <x:row r="1263">
      <x:c r="B1263" t="str">
        <x:v>PH-EV-121</x:v>
      </x:c>
      <x:c r="C1263" t="str">
        <x:v>PHYSICAL</x:v>
      </x:c>
      <x:c r="D1263" t="str">
        <x:v>event evidence</x:v>
      </x:c>
      <x:c r="E1263" t="str">
        <x:v>PH-EV-121</x:v>
      </x:c>
      <x:c r="F1263" t="n">
        <x:f>IF('Event Register'!S127&lt;&gt;"",1,0)</x:f>
        <x:v>0</x:v>
      </x:c>
      <x:c r="G1263" t="n">
        <x:v>1</x:v>
      </x:c>
      <x:c r="H1263" t="str">
        <x:v>independent physical acceptance</x:v>
      </x:c>
      <x:c r="I1263" t="str">
        <x:f>IF(F1263=1,"PASS","OPEN")</x:f>
        <x:v>OPEN</x:v>
      </x:c>
    </x:row>
    <x:row r="1264">
      <x:c r="B1264" t="str">
        <x:v>PH-VA-121</x:v>
      </x:c>
      <x:c r="C1264" t="str">
        <x:v>PHYSICAL</x:v>
      </x:c>
      <x:c r="D1264" t="str">
        <x:v>event validity</x:v>
      </x:c>
      <x:c r="E1264" t="str">
        <x:v>PH-VA-121</x:v>
      </x:c>
      <x:c r="F1264" t="n">
        <x:f>IF('Event Register'!T127&lt;&gt;"",1,0)</x:f>
        <x:v>0</x:v>
      </x:c>
      <x:c r="G1264" t="n">
        <x:v>1</x:v>
      </x:c>
      <x:c r="H1264" t="str">
        <x:v>independent physical acceptance</x:v>
      </x:c>
      <x:c r="I1264" t="str">
        <x:f>IF(F1264=1,"PASS","OPEN")</x:f>
        <x:v>OPEN</x:v>
      </x:c>
    </x:row>
    <x:row r="1265">
      <x:c r="B1265" t="str">
        <x:v>PH-OU-121</x:v>
      </x:c>
      <x:c r="C1265" t="str">
        <x:v>PHYSICAL</x:v>
      </x:c>
      <x:c r="D1265" t="str">
        <x:v>event outcome</x:v>
      </x:c>
      <x:c r="E1265" t="str">
        <x:v>PH-OU-121</x:v>
      </x:c>
      <x:c r="F1265" t="n">
        <x:f>IF('Event Register'!U127&lt;&gt;"",1,0)</x:f>
        <x:v>0</x:v>
      </x:c>
      <x:c r="G1265" t="n">
        <x:v>1</x:v>
      </x:c>
      <x:c r="H1265" t="str">
        <x:v>independent physical acceptance</x:v>
      </x:c>
      <x:c r="I1265" t="str">
        <x:f>IF(F1265=1,"PASS","OPEN")</x:f>
        <x:v>OPEN</x:v>
      </x:c>
    </x:row>
    <x:row r="1266">
      <x:c r="B1266" t="str">
        <x:v>PH-EX-122</x:v>
      </x:c>
      <x:c r="C1266" t="str">
        <x:v>PHYSICAL</x:v>
      </x:c>
      <x:c r="D1266" t="str">
        <x:v>event execution</x:v>
      </x:c>
      <x:c r="E1266" t="str">
        <x:v>PH-EX-122</x:v>
      </x:c>
      <x:c r="F1266" t="n">
        <x:f>IF('Event Register'!R128&lt;&gt;"",1,0)</x:f>
        <x:v>0</x:v>
      </x:c>
      <x:c r="G1266" t="n">
        <x:v>1</x:v>
      </x:c>
      <x:c r="H1266" t="str">
        <x:v>independent physical acceptance</x:v>
      </x:c>
      <x:c r="I1266" t="str">
        <x:f>IF(F1266=1,"PASS","OPEN")</x:f>
        <x:v>OPEN</x:v>
      </x:c>
    </x:row>
    <x:row r="1267">
      <x:c r="B1267" t="str">
        <x:v>PH-EV-122</x:v>
      </x:c>
      <x:c r="C1267" t="str">
        <x:v>PHYSICAL</x:v>
      </x:c>
      <x:c r="D1267" t="str">
        <x:v>event evidence</x:v>
      </x:c>
      <x:c r="E1267" t="str">
        <x:v>PH-EV-122</x:v>
      </x:c>
      <x:c r="F1267" t="n">
        <x:f>IF('Event Register'!S128&lt;&gt;"",1,0)</x:f>
        <x:v>0</x:v>
      </x:c>
      <x:c r="G1267" t="n">
        <x:v>1</x:v>
      </x:c>
      <x:c r="H1267" t="str">
        <x:v>independent physical acceptance</x:v>
      </x:c>
      <x:c r="I1267" t="str">
        <x:f>IF(F1267=1,"PASS","OPEN")</x:f>
        <x:v>OPEN</x:v>
      </x:c>
    </x:row>
    <x:row r="1268">
      <x:c r="B1268" t="str">
        <x:v>PH-VA-122</x:v>
      </x:c>
      <x:c r="C1268" t="str">
        <x:v>PHYSICAL</x:v>
      </x:c>
      <x:c r="D1268" t="str">
        <x:v>event validity</x:v>
      </x:c>
      <x:c r="E1268" t="str">
        <x:v>PH-VA-122</x:v>
      </x:c>
      <x:c r="F1268" t="n">
        <x:f>IF('Event Register'!T128&lt;&gt;"",1,0)</x:f>
        <x:v>0</x:v>
      </x:c>
      <x:c r="G1268" t="n">
        <x:v>1</x:v>
      </x:c>
      <x:c r="H1268" t="str">
        <x:v>independent physical acceptance</x:v>
      </x:c>
      <x:c r="I1268" t="str">
        <x:f>IF(F1268=1,"PASS","OPEN")</x:f>
        <x:v>OPEN</x:v>
      </x:c>
    </x:row>
    <x:row r="1269">
      <x:c r="B1269" t="str">
        <x:v>PH-OU-122</x:v>
      </x:c>
      <x:c r="C1269" t="str">
        <x:v>PHYSICAL</x:v>
      </x:c>
      <x:c r="D1269" t="str">
        <x:v>event outcome</x:v>
      </x:c>
      <x:c r="E1269" t="str">
        <x:v>PH-OU-122</x:v>
      </x:c>
      <x:c r="F1269" t="n">
        <x:f>IF('Event Register'!U128&lt;&gt;"",1,0)</x:f>
        <x:v>0</x:v>
      </x:c>
      <x:c r="G1269" t="n">
        <x:v>1</x:v>
      </x:c>
      <x:c r="H1269" t="str">
        <x:v>independent physical acceptance</x:v>
      </x:c>
      <x:c r="I1269" t="str">
        <x:f>IF(F1269=1,"PASS","OPEN")</x:f>
        <x:v>OPEN</x:v>
      </x:c>
    </x:row>
    <x:row r="1270">
      <x:c r="B1270" t="str">
        <x:v>PH-EX-123</x:v>
      </x:c>
      <x:c r="C1270" t="str">
        <x:v>PHYSICAL</x:v>
      </x:c>
      <x:c r="D1270" t="str">
        <x:v>event execution</x:v>
      </x:c>
      <x:c r="E1270" t="str">
        <x:v>PH-EX-123</x:v>
      </x:c>
      <x:c r="F1270" t="n">
        <x:f>IF('Event Register'!R129&lt;&gt;"",1,0)</x:f>
        <x:v>0</x:v>
      </x:c>
      <x:c r="G1270" t="n">
        <x:v>1</x:v>
      </x:c>
      <x:c r="H1270" t="str">
        <x:v>independent physical acceptance</x:v>
      </x:c>
      <x:c r="I1270" t="str">
        <x:f>IF(F1270=1,"PASS","OPEN")</x:f>
        <x:v>OPEN</x:v>
      </x:c>
    </x:row>
    <x:row r="1271">
      <x:c r="B1271" t="str">
        <x:v>PH-EV-123</x:v>
      </x:c>
      <x:c r="C1271" t="str">
        <x:v>PHYSICAL</x:v>
      </x:c>
      <x:c r="D1271" t="str">
        <x:v>event evidence</x:v>
      </x:c>
      <x:c r="E1271" t="str">
        <x:v>PH-EV-123</x:v>
      </x:c>
      <x:c r="F1271" t="n">
        <x:f>IF('Event Register'!S129&lt;&gt;"",1,0)</x:f>
        <x:v>0</x:v>
      </x:c>
      <x:c r="G1271" t="n">
        <x:v>1</x:v>
      </x:c>
      <x:c r="H1271" t="str">
        <x:v>independent physical acceptance</x:v>
      </x:c>
      <x:c r="I1271" t="str">
        <x:f>IF(F1271=1,"PASS","OPEN")</x:f>
        <x:v>OPEN</x:v>
      </x:c>
    </x:row>
    <x:row r="1272">
      <x:c r="B1272" t="str">
        <x:v>PH-VA-123</x:v>
      </x:c>
      <x:c r="C1272" t="str">
        <x:v>PHYSICAL</x:v>
      </x:c>
      <x:c r="D1272" t="str">
        <x:v>event validity</x:v>
      </x:c>
      <x:c r="E1272" t="str">
        <x:v>PH-VA-123</x:v>
      </x:c>
      <x:c r="F1272" t="n">
        <x:f>IF('Event Register'!T129&lt;&gt;"",1,0)</x:f>
        <x:v>0</x:v>
      </x:c>
      <x:c r="G1272" t="n">
        <x:v>1</x:v>
      </x:c>
      <x:c r="H1272" t="str">
        <x:v>independent physical acceptance</x:v>
      </x:c>
      <x:c r="I1272" t="str">
        <x:f>IF(F1272=1,"PASS","OPEN")</x:f>
        <x:v>OPEN</x:v>
      </x:c>
    </x:row>
    <x:row r="1273">
      <x:c r="B1273" t="str">
        <x:v>PH-OU-123</x:v>
      </x:c>
      <x:c r="C1273" t="str">
        <x:v>PHYSICAL</x:v>
      </x:c>
      <x:c r="D1273" t="str">
        <x:v>event outcome</x:v>
      </x:c>
      <x:c r="E1273" t="str">
        <x:v>PH-OU-123</x:v>
      </x:c>
      <x:c r="F1273" t="n">
        <x:f>IF('Event Register'!U129&lt;&gt;"",1,0)</x:f>
        <x:v>0</x:v>
      </x:c>
      <x:c r="G1273" t="n">
        <x:v>1</x:v>
      </x:c>
      <x:c r="H1273" t="str">
        <x:v>independent physical acceptance</x:v>
      </x:c>
      <x:c r="I1273" t="str">
        <x:f>IF(F1273=1,"PASS","OPEN")</x:f>
        <x:v>OPEN</x:v>
      </x:c>
    </x:row>
    <x:row r="1274">
      <x:c r="B1274" t="str">
        <x:v>PH-EX-124</x:v>
      </x:c>
      <x:c r="C1274" t="str">
        <x:v>PHYSICAL</x:v>
      </x:c>
      <x:c r="D1274" t="str">
        <x:v>event execution</x:v>
      </x:c>
      <x:c r="E1274" t="str">
        <x:v>PH-EX-124</x:v>
      </x:c>
      <x:c r="F1274" t="n">
        <x:f>IF('Event Register'!R130&lt;&gt;"",1,0)</x:f>
        <x:v>0</x:v>
      </x:c>
      <x:c r="G1274" t="n">
        <x:v>1</x:v>
      </x:c>
      <x:c r="H1274" t="str">
        <x:v>independent physical acceptance</x:v>
      </x:c>
      <x:c r="I1274" t="str">
        <x:f>IF(F1274=1,"PASS","OPEN")</x:f>
        <x:v>OPEN</x:v>
      </x:c>
    </x:row>
    <x:row r="1275">
      <x:c r="B1275" t="str">
        <x:v>PH-EV-124</x:v>
      </x:c>
      <x:c r="C1275" t="str">
        <x:v>PHYSICAL</x:v>
      </x:c>
      <x:c r="D1275" t="str">
        <x:v>event evidence</x:v>
      </x:c>
      <x:c r="E1275" t="str">
        <x:v>PH-EV-124</x:v>
      </x:c>
      <x:c r="F1275" t="n">
        <x:f>IF('Event Register'!S130&lt;&gt;"",1,0)</x:f>
        <x:v>0</x:v>
      </x:c>
      <x:c r="G1275" t="n">
        <x:v>1</x:v>
      </x:c>
      <x:c r="H1275" t="str">
        <x:v>independent physical acceptance</x:v>
      </x:c>
      <x:c r="I1275" t="str">
        <x:f>IF(F1275=1,"PASS","OPEN")</x:f>
        <x:v>OPEN</x:v>
      </x:c>
    </x:row>
    <x:row r="1276">
      <x:c r="B1276" t="str">
        <x:v>PH-VA-124</x:v>
      </x:c>
      <x:c r="C1276" t="str">
        <x:v>PHYSICAL</x:v>
      </x:c>
      <x:c r="D1276" t="str">
        <x:v>event validity</x:v>
      </x:c>
      <x:c r="E1276" t="str">
        <x:v>PH-VA-124</x:v>
      </x:c>
      <x:c r="F1276" t="n">
        <x:f>IF('Event Register'!T130&lt;&gt;"",1,0)</x:f>
        <x:v>0</x:v>
      </x:c>
      <x:c r="G1276" t="n">
        <x:v>1</x:v>
      </x:c>
      <x:c r="H1276" t="str">
        <x:v>independent physical acceptance</x:v>
      </x:c>
      <x:c r="I1276" t="str">
        <x:f>IF(F1276=1,"PASS","OPEN")</x:f>
        <x:v>OPEN</x:v>
      </x:c>
    </x:row>
    <x:row r="1277">
      <x:c r="B1277" t="str">
        <x:v>PH-OU-124</x:v>
      </x:c>
      <x:c r="C1277" t="str">
        <x:v>PHYSICAL</x:v>
      </x:c>
      <x:c r="D1277" t="str">
        <x:v>event outcome</x:v>
      </x:c>
      <x:c r="E1277" t="str">
        <x:v>PH-OU-124</x:v>
      </x:c>
      <x:c r="F1277" t="n">
        <x:f>IF('Event Register'!U130&lt;&gt;"",1,0)</x:f>
        <x:v>0</x:v>
      </x:c>
      <x:c r="G1277" t="n">
        <x:v>1</x:v>
      </x:c>
      <x:c r="H1277" t="str">
        <x:v>independent physical acceptance</x:v>
      </x:c>
      <x:c r="I1277" t="str">
        <x:f>IF(F1277=1,"PASS","OPEN")</x:f>
        <x:v>OPEN</x:v>
      </x:c>
    </x:row>
    <x:row r="1278">
      <x:c r="B1278" t="str">
        <x:v>PH-EX-125</x:v>
      </x:c>
      <x:c r="C1278" t="str">
        <x:v>PHYSICAL</x:v>
      </x:c>
      <x:c r="D1278" t="str">
        <x:v>event execution</x:v>
      </x:c>
      <x:c r="E1278" t="str">
        <x:v>PH-EX-125</x:v>
      </x:c>
      <x:c r="F1278" t="n">
        <x:f>IF('Event Register'!R131&lt;&gt;"",1,0)</x:f>
        <x:v>0</x:v>
      </x:c>
      <x:c r="G1278" t="n">
        <x:v>1</x:v>
      </x:c>
      <x:c r="H1278" t="str">
        <x:v>independent physical acceptance</x:v>
      </x:c>
      <x:c r="I1278" t="str">
        <x:f>IF(F1278=1,"PASS","OPEN")</x:f>
        <x:v>OPEN</x:v>
      </x:c>
    </x:row>
    <x:row r="1279">
      <x:c r="B1279" t="str">
        <x:v>PH-EV-125</x:v>
      </x:c>
      <x:c r="C1279" t="str">
        <x:v>PHYSICAL</x:v>
      </x:c>
      <x:c r="D1279" t="str">
        <x:v>event evidence</x:v>
      </x:c>
      <x:c r="E1279" t="str">
        <x:v>PH-EV-125</x:v>
      </x:c>
      <x:c r="F1279" t="n">
        <x:f>IF('Event Register'!S131&lt;&gt;"",1,0)</x:f>
        <x:v>0</x:v>
      </x:c>
      <x:c r="G1279" t="n">
        <x:v>1</x:v>
      </x:c>
      <x:c r="H1279" t="str">
        <x:v>independent physical acceptance</x:v>
      </x:c>
      <x:c r="I1279" t="str">
        <x:f>IF(F1279=1,"PASS","OPEN")</x:f>
        <x:v>OPEN</x:v>
      </x:c>
    </x:row>
    <x:row r="1280">
      <x:c r="B1280" t="str">
        <x:v>PH-VA-125</x:v>
      </x:c>
      <x:c r="C1280" t="str">
        <x:v>PHYSICAL</x:v>
      </x:c>
      <x:c r="D1280" t="str">
        <x:v>event validity</x:v>
      </x:c>
      <x:c r="E1280" t="str">
        <x:v>PH-VA-125</x:v>
      </x:c>
      <x:c r="F1280" t="n">
        <x:f>IF('Event Register'!T131&lt;&gt;"",1,0)</x:f>
        <x:v>0</x:v>
      </x:c>
      <x:c r="G1280" t="n">
        <x:v>1</x:v>
      </x:c>
      <x:c r="H1280" t="str">
        <x:v>independent physical acceptance</x:v>
      </x:c>
      <x:c r="I1280" t="str">
        <x:f>IF(F1280=1,"PASS","OPEN")</x:f>
        <x:v>OPEN</x:v>
      </x:c>
    </x:row>
    <x:row r="1281">
      <x:c r="B1281" t="str">
        <x:v>PH-OU-125</x:v>
      </x:c>
      <x:c r="C1281" t="str">
        <x:v>PHYSICAL</x:v>
      </x:c>
      <x:c r="D1281" t="str">
        <x:v>event outcome</x:v>
      </x:c>
      <x:c r="E1281" t="str">
        <x:v>PH-OU-125</x:v>
      </x:c>
      <x:c r="F1281" t="n">
        <x:f>IF('Event Register'!U131&lt;&gt;"",1,0)</x:f>
        <x:v>0</x:v>
      </x:c>
      <x:c r="G1281" t="n">
        <x:v>1</x:v>
      </x:c>
      <x:c r="H1281" t="str">
        <x:v>independent physical acceptance</x:v>
      </x:c>
      <x:c r="I1281" t="str">
        <x:f>IF(F1281=1,"PASS","OPEN")</x:f>
        <x:v>OPEN</x:v>
      </x:c>
    </x:row>
    <x:row r="1282">
      <x:c r="B1282" t="str">
        <x:v>PH-EX-126</x:v>
      </x:c>
      <x:c r="C1282" t="str">
        <x:v>PHYSICAL</x:v>
      </x:c>
      <x:c r="D1282" t="str">
        <x:v>event execution</x:v>
      </x:c>
      <x:c r="E1282" t="str">
        <x:v>PH-EX-126</x:v>
      </x:c>
      <x:c r="F1282" t="n">
        <x:f>IF('Event Register'!R132&lt;&gt;"",1,0)</x:f>
        <x:v>0</x:v>
      </x:c>
      <x:c r="G1282" t="n">
        <x:v>1</x:v>
      </x:c>
      <x:c r="H1282" t="str">
        <x:v>independent physical acceptance</x:v>
      </x:c>
      <x:c r="I1282" t="str">
        <x:f>IF(F1282=1,"PASS","OPEN")</x:f>
        <x:v>OPEN</x:v>
      </x:c>
    </x:row>
    <x:row r="1283">
      <x:c r="B1283" t="str">
        <x:v>PH-EV-126</x:v>
      </x:c>
      <x:c r="C1283" t="str">
        <x:v>PHYSICAL</x:v>
      </x:c>
      <x:c r="D1283" t="str">
        <x:v>event evidence</x:v>
      </x:c>
      <x:c r="E1283" t="str">
        <x:v>PH-EV-126</x:v>
      </x:c>
      <x:c r="F1283" t="n">
        <x:f>IF('Event Register'!S132&lt;&gt;"",1,0)</x:f>
        <x:v>0</x:v>
      </x:c>
      <x:c r="G1283" t="n">
        <x:v>1</x:v>
      </x:c>
      <x:c r="H1283" t="str">
        <x:v>independent physical acceptance</x:v>
      </x:c>
      <x:c r="I1283" t="str">
        <x:f>IF(F1283=1,"PASS","OPEN")</x:f>
        <x:v>OPEN</x:v>
      </x:c>
    </x:row>
    <x:row r="1284">
      <x:c r="B1284" t="str">
        <x:v>PH-VA-126</x:v>
      </x:c>
      <x:c r="C1284" t="str">
        <x:v>PHYSICAL</x:v>
      </x:c>
      <x:c r="D1284" t="str">
        <x:v>event validity</x:v>
      </x:c>
      <x:c r="E1284" t="str">
        <x:v>PH-VA-126</x:v>
      </x:c>
      <x:c r="F1284" t="n">
        <x:f>IF('Event Register'!T132&lt;&gt;"",1,0)</x:f>
        <x:v>0</x:v>
      </x:c>
      <x:c r="G1284" t="n">
        <x:v>1</x:v>
      </x:c>
      <x:c r="H1284" t="str">
        <x:v>independent physical acceptance</x:v>
      </x:c>
      <x:c r="I1284" t="str">
        <x:f>IF(F1284=1,"PASS","OPEN")</x:f>
        <x:v>OPEN</x:v>
      </x:c>
    </x:row>
    <x:row r="1285">
      <x:c r="B1285" t="str">
        <x:v>PH-OU-126</x:v>
      </x:c>
      <x:c r="C1285" t="str">
        <x:v>PHYSICAL</x:v>
      </x:c>
      <x:c r="D1285" t="str">
        <x:v>event outcome</x:v>
      </x:c>
      <x:c r="E1285" t="str">
        <x:v>PH-OU-126</x:v>
      </x:c>
      <x:c r="F1285" t="n">
        <x:f>IF('Event Register'!U132&lt;&gt;"",1,0)</x:f>
        <x:v>0</x:v>
      </x:c>
      <x:c r="G1285" t="n">
        <x:v>1</x:v>
      </x:c>
      <x:c r="H1285" t="str">
        <x:v>independent physical acceptance</x:v>
      </x:c>
      <x:c r="I1285" t="str">
        <x:f>IF(F1285=1,"PASS","OPEN")</x:f>
        <x:v>OPEN</x:v>
      </x:c>
    </x:row>
    <x:row r="1286">
      <x:c r="B1286" t="str">
        <x:v>PH-EX-127</x:v>
      </x:c>
      <x:c r="C1286" t="str">
        <x:v>PHYSICAL</x:v>
      </x:c>
      <x:c r="D1286" t="str">
        <x:v>event execution</x:v>
      </x:c>
      <x:c r="E1286" t="str">
        <x:v>PH-EX-127</x:v>
      </x:c>
      <x:c r="F1286" t="n">
        <x:f>IF('Event Register'!R133&lt;&gt;"",1,0)</x:f>
        <x:v>0</x:v>
      </x:c>
      <x:c r="G1286" t="n">
        <x:v>1</x:v>
      </x:c>
      <x:c r="H1286" t="str">
        <x:v>independent physical acceptance</x:v>
      </x:c>
      <x:c r="I1286" t="str">
        <x:f>IF(F1286=1,"PASS","OPEN")</x:f>
        <x:v>OPEN</x:v>
      </x:c>
    </x:row>
    <x:row r="1287">
      <x:c r="B1287" t="str">
        <x:v>PH-EV-127</x:v>
      </x:c>
      <x:c r="C1287" t="str">
        <x:v>PHYSICAL</x:v>
      </x:c>
      <x:c r="D1287" t="str">
        <x:v>event evidence</x:v>
      </x:c>
      <x:c r="E1287" t="str">
        <x:v>PH-EV-127</x:v>
      </x:c>
      <x:c r="F1287" t="n">
        <x:f>IF('Event Register'!S133&lt;&gt;"",1,0)</x:f>
        <x:v>0</x:v>
      </x:c>
      <x:c r="G1287" t="n">
        <x:v>1</x:v>
      </x:c>
      <x:c r="H1287" t="str">
        <x:v>independent physical acceptance</x:v>
      </x:c>
      <x:c r="I1287" t="str">
        <x:f>IF(F1287=1,"PASS","OPEN")</x:f>
        <x:v>OPEN</x:v>
      </x:c>
    </x:row>
    <x:row r="1288">
      <x:c r="B1288" t="str">
        <x:v>PH-VA-127</x:v>
      </x:c>
      <x:c r="C1288" t="str">
        <x:v>PHYSICAL</x:v>
      </x:c>
      <x:c r="D1288" t="str">
        <x:v>event validity</x:v>
      </x:c>
      <x:c r="E1288" t="str">
        <x:v>PH-VA-127</x:v>
      </x:c>
      <x:c r="F1288" t="n">
        <x:f>IF('Event Register'!T133&lt;&gt;"",1,0)</x:f>
        <x:v>0</x:v>
      </x:c>
      <x:c r="G1288" t="n">
        <x:v>1</x:v>
      </x:c>
      <x:c r="H1288" t="str">
        <x:v>independent physical acceptance</x:v>
      </x:c>
      <x:c r="I1288" t="str">
        <x:f>IF(F1288=1,"PASS","OPEN")</x:f>
        <x:v>OPEN</x:v>
      </x:c>
    </x:row>
    <x:row r="1289">
      <x:c r="B1289" t="str">
        <x:v>PH-OU-127</x:v>
      </x:c>
      <x:c r="C1289" t="str">
        <x:v>PHYSICAL</x:v>
      </x:c>
      <x:c r="D1289" t="str">
        <x:v>event outcome</x:v>
      </x:c>
      <x:c r="E1289" t="str">
        <x:v>PH-OU-127</x:v>
      </x:c>
      <x:c r="F1289" t="n">
        <x:f>IF('Event Register'!U133&lt;&gt;"",1,0)</x:f>
        <x:v>0</x:v>
      </x:c>
      <x:c r="G1289" t="n">
        <x:v>1</x:v>
      </x:c>
      <x:c r="H1289" t="str">
        <x:v>independent physical acceptance</x:v>
      </x:c>
      <x:c r="I1289" t="str">
        <x:f>IF(F1289=1,"PASS","OPEN")</x:f>
        <x:v>OPEN</x:v>
      </x:c>
    </x:row>
    <x:row r="1290">
      <x:c r="B1290" t="str">
        <x:v>PH-EX-128</x:v>
      </x:c>
      <x:c r="C1290" t="str">
        <x:v>PHYSICAL</x:v>
      </x:c>
      <x:c r="D1290" t="str">
        <x:v>event execution</x:v>
      </x:c>
      <x:c r="E1290" t="str">
        <x:v>PH-EX-128</x:v>
      </x:c>
      <x:c r="F1290" t="n">
        <x:f>IF('Event Register'!R134&lt;&gt;"",1,0)</x:f>
        <x:v>0</x:v>
      </x:c>
      <x:c r="G1290" t="n">
        <x:v>1</x:v>
      </x:c>
      <x:c r="H1290" t="str">
        <x:v>independent physical acceptance</x:v>
      </x:c>
      <x:c r="I1290" t="str">
        <x:f>IF(F1290=1,"PASS","OPEN")</x:f>
        <x:v>OPEN</x:v>
      </x:c>
    </x:row>
    <x:row r="1291">
      <x:c r="B1291" t="str">
        <x:v>PH-EV-128</x:v>
      </x:c>
      <x:c r="C1291" t="str">
        <x:v>PHYSICAL</x:v>
      </x:c>
      <x:c r="D1291" t="str">
        <x:v>event evidence</x:v>
      </x:c>
      <x:c r="E1291" t="str">
        <x:v>PH-EV-128</x:v>
      </x:c>
      <x:c r="F1291" t="n">
        <x:f>IF('Event Register'!S134&lt;&gt;"",1,0)</x:f>
        <x:v>0</x:v>
      </x:c>
      <x:c r="G1291" t="n">
        <x:v>1</x:v>
      </x:c>
      <x:c r="H1291" t="str">
        <x:v>independent physical acceptance</x:v>
      </x:c>
      <x:c r="I1291" t="str">
        <x:f>IF(F1291=1,"PASS","OPEN")</x:f>
        <x:v>OPEN</x:v>
      </x:c>
    </x:row>
    <x:row r="1292">
      <x:c r="B1292" t="str">
        <x:v>PH-VA-128</x:v>
      </x:c>
      <x:c r="C1292" t="str">
        <x:v>PHYSICAL</x:v>
      </x:c>
      <x:c r="D1292" t="str">
        <x:v>event validity</x:v>
      </x:c>
      <x:c r="E1292" t="str">
        <x:v>PH-VA-128</x:v>
      </x:c>
      <x:c r="F1292" t="n">
        <x:f>IF('Event Register'!T134&lt;&gt;"",1,0)</x:f>
        <x:v>0</x:v>
      </x:c>
      <x:c r="G1292" t="n">
        <x:v>1</x:v>
      </x:c>
      <x:c r="H1292" t="str">
        <x:v>independent physical acceptance</x:v>
      </x:c>
      <x:c r="I1292" t="str">
        <x:f>IF(F1292=1,"PASS","OPEN")</x:f>
        <x:v>OPEN</x:v>
      </x:c>
    </x:row>
    <x:row r="1293">
      <x:c r="B1293" t="str">
        <x:v>PH-OU-128</x:v>
      </x:c>
      <x:c r="C1293" t="str">
        <x:v>PHYSICAL</x:v>
      </x:c>
      <x:c r="D1293" t="str">
        <x:v>event outcome</x:v>
      </x:c>
      <x:c r="E1293" t="str">
        <x:v>PH-OU-128</x:v>
      </x:c>
      <x:c r="F1293" t="n">
        <x:f>IF('Event Register'!U134&lt;&gt;"",1,0)</x:f>
        <x:v>0</x:v>
      </x:c>
      <x:c r="G1293" t="n">
        <x:v>1</x:v>
      </x:c>
      <x:c r="H1293" t="str">
        <x:v>independent physical acceptance</x:v>
      </x:c>
      <x:c r="I1293" t="str">
        <x:f>IF(F1293=1,"PASS","OPEN")</x:f>
        <x:v>OPEN</x:v>
      </x:c>
    </x:row>
    <x:row r="1294">
      <x:c r="B1294" t="str">
        <x:v>PH-EX-129</x:v>
      </x:c>
      <x:c r="C1294" t="str">
        <x:v>PHYSICAL</x:v>
      </x:c>
      <x:c r="D1294" t="str">
        <x:v>event execution</x:v>
      </x:c>
      <x:c r="E1294" t="str">
        <x:v>PH-EX-129</x:v>
      </x:c>
      <x:c r="F1294" t="n">
        <x:f>IF('Event Register'!R135&lt;&gt;"",1,0)</x:f>
        <x:v>0</x:v>
      </x:c>
      <x:c r="G1294" t="n">
        <x:v>1</x:v>
      </x:c>
      <x:c r="H1294" t="str">
        <x:v>independent physical acceptance</x:v>
      </x:c>
      <x:c r="I1294" t="str">
        <x:f>IF(F1294=1,"PASS","OPEN")</x:f>
        <x:v>OPEN</x:v>
      </x:c>
    </x:row>
    <x:row r="1295">
      <x:c r="B1295" t="str">
        <x:v>PH-EV-129</x:v>
      </x:c>
      <x:c r="C1295" t="str">
        <x:v>PHYSICAL</x:v>
      </x:c>
      <x:c r="D1295" t="str">
        <x:v>event evidence</x:v>
      </x:c>
      <x:c r="E1295" t="str">
        <x:v>PH-EV-129</x:v>
      </x:c>
      <x:c r="F1295" t="n">
        <x:f>IF('Event Register'!S135&lt;&gt;"",1,0)</x:f>
        <x:v>0</x:v>
      </x:c>
      <x:c r="G1295" t="n">
        <x:v>1</x:v>
      </x:c>
      <x:c r="H1295" t="str">
        <x:v>independent physical acceptance</x:v>
      </x:c>
      <x:c r="I1295" t="str">
        <x:f>IF(F1295=1,"PASS","OPEN")</x:f>
        <x:v>OPEN</x:v>
      </x:c>
    </x:row>
    <x:row r="1296">
      <x:c r="B1296" t="str">
        <x:v>PH-VA-129</x:v>
      </x:c>
      <x:c r="C1296" t="str">
        <x:v>PHYSICAL</x:v>
      </x:c>
      <x:c r="D1296" t="str">
        <x:v>event validity</x:v>
      </x:c>
      <x:c r="E1296" t="str">
        <x:v>PH-VA-129</x:v>
      </x:c>
      <x:c r="F1296" t="n">
        <x:f>IF('Event Register'!T135&lt;&gt;"",1,0)</x:f>
        <x:v>0</x:v>
      </x:c>
      <x:c r="G1296" t="n">
        <x:v>1</x:v>
      </x:c>
      <x:c r="H1296" t="str">
        <x:v>independent physical acceptance</x:v>
      </x:c>
      <x:c r="I1296" t="str">
        <x:f>IF(F1296=1,"PASS","OPEN")</x:f>
        <x:v>OPEN</x:v>
      </x:c>
    </x:row>
    <x:row r="1297">
      <x:c r="B1297" t="str">
        <x:v>PH-OU-129</x:v>
      </x:c>
      <x:c r="C1297" t="str">
        <x:v>PHYSICAL</x:v>
      </x:c>
      <x:c r="D1297" t="str">
        <x:v>event outcome</x:v>
      </x:c>
      <x:c r="E1297" t="str">
        <x:v>PH-OU-129</x:v>
      </x:c>
      <x:c r="F1297" t="n">
        <x:f>IF('Event Register'!U135&lt;&gt;"",1,0)</x:f>
        <x:v>0</x:v>
      </x:c>
      <x:c r="G1297" t="n">
        <x:v>1</x:v>
      </x:c>
      <x:c r="H1297" t="str">
        <x:v>independent physical acceptance</x:v>
      </x:c>
      <x:c r="I1297" t="str">
        <x:f>IF(F1297=1,"PASS","OPEN")</x:f>
        <x:v>OPEN</x:v>
      </x:c>
    </x:row>
    <x:row r="1298">
      <x:c r="B1298" t="str">
        <x:v>PH-EX-130</x:v>
      </x:c>
      <x:c r="C1298" t="str">
        <x:v>PHYSICAL</x:v>
      </x:c>
      <x:c r="D1298" t="str">
        <x:v>event execution</x:v>
      </x:c>
      <x:c r="E1298" t="str">
        <x:v>PH-EX-130</x:v>
      </x:c>
      <x:c r="F1298" t="n">
        <x:f>IF('Event Register'!R136&lt;&gt;"",1,0)</x:f>
        <x:v>0</x:v>
      </x:c>
      <x:c r="G1298" t="n">
        <x:v>1</x:v>
      </x:c>
      <x:c r="H1298" t="str">
        <x:v>independent physical acceptance</x:v>
      </x:c>
      <x:c r="I1298" t="str">
        <x:f>IF(F1298=1,"PASS","OPEN")</x:f>
        <x:v>OPEN</x:v>
      </x:c>
    </x:row>
    <x:row r="1299">
      <x:c r="B1299" t="str">
        <x:v>PH-EV-130</x:v>
      </x:c>
      <x:c r="C1299" t="str">
        <x:v>PHYSICAL</x:v>
      </x:c>
      <x:c r="D1299" t="str">
        <x:v>event evidence</x:v>
      </x:c>
      <x:c r="E1299" t="str">
        <x:v>PH-EV-130</x:v>
      </x:c>
      <x:c r="F1299" t="n">
        <x:f>IF('Event Register'!S136&lt;&gt;"",1,0)</x:f>
        <x:v>0</x:v>
      </x:c>
      <x:c r="G1299" t="n">
        <x:v>1</x:v>
      </x:c>
      <x:c r="H1299" t="str">
        <x:v>independent physical acceptance</x:v>
      </x:c>
      <x:c r="I1299" t="str">
        <x:f>IF(F1299=1,"PASS","OPEN")</x:f>
        <x:v>OPEN</x:v>
      </x:c>
    </x:row>
    <x:row r="1300">
      <x:c r="B1300" t="str">
        <x:v>PH-VA-130</x:v>
      </x:c>
      <x:c r="C1300" t="str">
        <x:v>PHYSICAL</x:v>
      </x:c>
      <x:c r="D1300" t="str">
        <x:v>event validity</x:v>
      </x:c>
      <x:c r="E1300" t="str">
        <x:v>PH-VA-130</x:v>
      </x:c>
      <x:c r="F1300" t="n">
        <x:f>IF('Event Register'!T136&lt;&gt;"",1,0)</x:f>
        <x:v>0</x:v>
      </x:c>
      <x:c r="G1300" t="n">
        <x:v>1</x:v>
      </x:c>
      <x:c r="H1300" t="str">
        <x:v>independent physical acceptance</x:v>
      </x:c>
      <x:c r="I1300" t="str">
        <x:f>IF(F1300=1,"PASS","OPEN")</x:f>
        <x:v>OPEN</x:v>
      </x:c>
    </x:row>
    <x:row r="1301">
      <x:c r="B1301" t="str">
        <x:v>PH-OU-130</x:v>
      </x:c>
      <x:c r="C1301" t="str">
        <x:v>PHYSICAL</x:v>
      </x:c>
      <x:c r="D1301" t="str">
        <x:v>event outcome</x:v>
      </x:c>
      <x:c r="E1301" t="str">
        <x:v>PH-OU-130</x:v>
      </x:c>
      <x:c r="F1301" t="n">
        <x:f>IF('Event Register'!U136&lt;&gt;"",1,0)</x:f>
        <x:v>0</x:v>
      </x:c>
      <x:c r="G1301" t="n">
        <x:v>1</x:v>
      </x:c>
      <x:c r="H1301" t="str">
        <x:v>independent physical acceptance</x:v>
      </x:c>
      <x:c r="I1301" t="str">
        <x:f>IF(F1301=1,"PASS","OPEN")</x:f>
        <x:v>OPEN</x:v>
      </x:c>
    </x:row>
    <x:row r="1302">
      <x:c r="B1302" t="str">
        <x:v>PH-EX-131</x:v>
      </x:c>
      <x:c r="C1302" t="str">
        <x:v>PHYSICAL</x:v>
      </x:c>
      <x:c r="D1302" t="str">
        <x:v>event execution</x:v>
      </x:c>
      <x:c r="E1302" t="str">
        <x:v>PH-EX-131</x:v>
      </x:c>
      <x:c r="F1302" t="n">
        <x:f>IF('Event Register'!R137&lt;&gt;"",1,0)</x:f>
        <x:v>0</x:v>
      </x:c>
      <x:c r="G1302" t="n">
        <x:v>1</x:v>
      </x:c>
      <x:c r="H1302" t="str">
        <x:v>independent physical acceptance</x:v>
      </x:c>
      <x:c r="I1302" t="str">
        <x:f>IF(F1302=1,"PASS","OPEN")</x:f>
        <x:v>OPEN</x:v>
      </x:c>
    </x:row>
    <x:row r="1303">
      <x:c r="B1303" t="str">
        <x:v>PH-EV-131</x:v>
      </x:c>
      <x:c r="C1303" t="str">
        <x:v>PHYSICAL</x:v>
      </x:c>
      <x:c r="D1303" t="str">
        <x:v>event evidence</x:v>
      </x:c>
      <x:c r="E1303" t="str">
        <x:v>PH-EV-131</x:v>
      </x:c>
      <x:c r="F1303" t="n">
        <x:f>IF('Event Register'!S137&lt;&gt;"",1,0)</x:f>
        <x:v>0</x:v>
      </x:c>
      <x:c r="G1303" t="n">
        <x:v>1</x:v>
      </x:c>
      <x:c r="H1303" t="str">
        <x:v>independent physical acceptance</x:v>
      </x:c>
      <x:c r="I1303" t="str">
        <x:f>IF(F1303=1,"PASS","OPEN")</x:f>
        <x:v>OPEN</x:v>
      </x:c>
    </x:row>
    <x:row r="1304">
      <x:c r="B1304" t="str">
        <x:v>PH-VA-131</x:v>
      </x:c>
      <x:c r="C1304" t="str">
        <x:v>PHYSICAL</x:v>
      </x:c>
      <x:c r="D1304" t="str">
        <x:v>event validity</x:v>
      </x:c>
      <x:c r="E1304" t="str">
        <x:v>PH-VA-131</x:v>
      </x:c>
      <x:c r="F1304" t="n">
        <x:f>IF('Event Register'!T137&lt;&gt;"",1,0)</x:f>
        <x:v>0</x:v>
      </x:c>
      <x:c r="G1304" t="n">
        <x:v>1</x:v>
      </x:c>
      <x:c r="H1304" t="str">
        <x:v>independent physical acceptance</x:v>
      </x:c>
      <x:c r="I1304" t="str">
        <x:f>IF(F1304=1,"PASS","OPEN")</x:f>
        <x:v>OPEN</x:v>
      </x:c>
    </x:row>
    <x:row r="1305">
      <x:c r="B1305" t="str">
        <x:v>PH-OU-131</x:v>
      </x:c>
      <x:c r="C1305" t="str">
        <x:v>PHYSICAL</x:v>
      </x:c>
      <x:c r="D1305" t="str">
        <x:v>event outcome</x:v>
      </x:c>
      <x:c r="E1305" t="str">
        <x:v>PH-OU-131</x:v>
      </x:c>
      <x:c r="F1305" t="n">
        <x:f>IF('Event Register'!U137&lt;&gt;"",1,0)</x:f>
        <x:v>0</x:v>
      </x:c>
      <x:c r="G1305" t="n">
        <x:v>1</x:v>
      </x:c>
      <x:c r="H1305" t="str">
        <x:v>independent physical acceptance</x:v>
      </x:c>
      <x:c r="I1305" t="str">
        <x:f>IF(F1305=1,"PASS","OPEN")</x:f>
        <x:v>OPEN</x:v>
      </x:c>
    </x:row>
    <x:row r="1306">
      <x:c r="B1306" t="str">
        <x:v>PH-EX-132</x:v>
      </x:c>
      <x:c r="C1306" t="str">
        <x:v>PHYSICAL</x:v>
      </x:c>
      <x:c r="D1306" t="str">
        <x:v>event execution</x:v>
      </x:c>
      <x:c r="E1306" t="str">
        <x:v>PH-EX-132</x:v>
      </x:c>
      <x:c r="F1306" t="n">
        <x:f>IF('Event Register'!R138&lt;&gt;"",1,0)</x:f>
        <x:v>0</x:v>
      </x:c>
      <x:c r="G1306" t="n">
        <x:v>1</x:v>
      </x:c>
      <x:c r="H1306" t="str">
        <x:v>independent physical acceptance</x:v>
      </x:c>
      <x:c r="I1306" t="str">
        <x:f>IF(F1306=1,"PASS","OPEN")</x:f>
        <x:v>OPEN</x:v>
      </x:c>
    </x:row>
    <x:row r="1307">
      <x:c r="B1307" t="str">
        <x:v>PH-EV-132</x:v>
      </x:c>
      <x:c r="C1307" t="str">
        <x:v>PHYSICAL</x:v>
      </x:c>
      <x:c r="D1307" t="str">
        <x:v>event evidence</x:v>
      </x:c>
      <x:c r="E1307" t="str">
        <x:v>PH-EV-132</x:v>
      </x:c>
      <x:c r="F1307" t="n">
        <x:f>IF('Event Register'!S138&lt;&gt;"",1,0)</x:f>
        <x:v>0</x:v>
      </x:c>
      <x:c r="G1307" t="n">
        <x:v>1</x:v>
      </x:c>
      <x:c r="H1307" t="str">
        <x:v>independent physical acceptance</x:v>
      </x:c>
      <x:c r="I1307" t="str">
        <x:f>IF(F1307=1,"PASS","OPEN")</x:f>
        <x:v>OPEN</x:v>
      </x:c>
    </x:row>
    <x:row r="1308">
      <x:c r="B1308" t="str">
        <x:v>PH-VA-132</x:v>
      </x:c>
      <x:c r="C1308" t="str">
        <x:v>PHYSICAL</x:v>
      </x:c>
      <x:c r="D1308" t="str">
        <x:v>event validity</x:v>
      </x:c>
      <x:c r="E1308" t="str">
        <x:v>PH-VA-132</x:v>
      </x:c>
      <x:c r="F1308" t="n">
        <x:f>IF('Event Register'!T138&lt;&gt;"",1,0)</x:f>
        <x:v>0</x:v>
      </x:c>
      <x:c r="G1308" t="n">
        <x:v>1</x:v>
      </x:c>
      <x:c r="H1308" t="str">
        <x:v>independent physical acceptance</x:v>
      </x:c>
      <x:c r="I1308" t="str">
        <x:f>IF(F1308=1,"PASS","OPEN")</x:f>
        <x:v>OPEN</x:v>
      </x:c>
    </x:row>
    <x:row r="1309">
      <x:c r="B1309" t="str">
        <x:v>PH-OU-132</x:v>
      </x:c>
      <x:c r="C1309" t="str">
        <x:v>PHYSICAL</x:v>
      </x:c>
      <x:c r="D1309" t="str">
        <x:v>event outcome</x:v>
      </x:c>
      <x:c r="E1309" t="str">
        <x:v>PH-OU-132</x:v>
      </x:c>
      <x:c r="F1309" t="n">
        <x:f>IF('Event Register'!U138&lt;&gt;"",1,0)</x:f>
        <x:v>0</x:v>
      </x:c>
      <x:c r="G1309" t="n">
        <x:v>1</x:v>
      </x:c>
      <x:c r="H1309" t="str">
        <x:v>independent physical acceptance</x:v>
      </x:c>
      <x:c r="I1309" t="str">
        <x:f>IF(F1309=1,"PASS","OPEN")</x:f>
        <x:v>OPEN</x:v>
      </x:c>
    </x:row>
    <x:row r="1310">
      <x:c r="B1310" t="str">
        <x:v>PH-EX-133</x:v>
      </x:c>
      <x:c r="C1310" t="str">
        <x:v>PHYSICAL</x:v>
      </x:c>
      <x:c r="D1310" t="str">
        <x:v>event execution</x:v>
      </x:c>
      <x:c r="E1310" t="str">
        <x:v>PH-EX-133</x:v>
      </x:c>
      <x:c r="F1310" t="n">
        <x:f>IF('Event Register'!R139&lt;&gt;"",1,0)</x:f>
        <x:v>0</x:v>
      </x:c>
      <x:c r="G1310" t="n">
        <x:v>1</x:v>
      </x:c>
      <x:c r="H1310" t="str">
        <x:v>independent physical acceptance</x:v>
      </x:c>
      <x:c r="I1310" t="str">
        <x:f>IF(F1310=1,"PASS","OPEN")</x:f>
        <x:v>OPEN</x:v>
      </x:c>
    </x:row>
    <x:row r="1311">
      <x:c r="B1311" t="str">
        <x:v>PH-EV-133</x:v>
      </x:c>
      <x:c r="C1311" t="str">
        <x:v>PHYSICAL</x:v>
      </x:c>
      <x:c r="D1311" t="str">
        <x:v>event evidence</x:v>
      </x:c>
      <x:c r="E1311" t="str">
        <x:v>PH-EV-133</x:v>
      </x:c>
      <x:c r="F1311" t="n">
        <x:f>IF('Event Register'!S139&lt;&gt;"",1,0)</x:f>
        <x:v>0</x:v>
      </x:c>
      <x:c r="G1311" t="n">
        <x:v>1</x:v>
      </x:c>
      <x:c r="H1311" t="str">
        <x:v>independent physical acceptance</x:v>
      </x:c>
      <x:c r="I1311" t="str">
        <x:f>IF(F1311=1,"PASS","OPEN")</x:f>
        <x:v>OPEN</x:v>
      </x:c>
    </x:row>
    <x:row r="1312">
      <x:c r="B1312" t="str">
        <x:v>PH-VA-133</x:v>
      </x:c>
      <x:c r="C1312" t="str">
        <x:v>PHYSICAL</x:v>
      </x:c>
      <x:c r="D1312" t="str">
        <x:v>event validity</x:v>
      </x:c>
      <x:c r="E1312" t="str">
        <x:v>PH-VA-133</x:v>
      </x:c>
      <x:c r="F1312" t="n">
        <x:f>IF('Event Register'!T139&lt;&gt;"",1,0)</x:f>
        <x:v>0</x:v>
      </x:c>
      <x:c r="G1312" t="n">
        <x:v>1</x:v>
      </x:c>
      <x:c r="H1312" t="str">
        <x:v>independent physical acceptance</x:v>
      </x:c>
      <x:c r="I1312" t="str">
        <x:f>IF(F1312=1,"PASS","OPEN")</x:f>
        <x:v>OPEN</x:v>
      </x:c>
    </x:row>
    <x:row r="1313">
      <x:c r="B1313" t="str">
        <x:v>PH-OU-133</x:v>
      </x:c>
      <x:c r="C1313" t="str">
        <x:v>PHYSICAL</x:v>
      </x:c>
      <x:c r="D1313" t="str">
        <x:v>event outcome</x:v>
      </x:c>
      <x:c r="E1313" t="str">
        <x:v>PH-OU-133</x:v>
      </x:c>
      <x:c r="F1313" t="n">
        <x:f>IF('Event Register'!U139&lt;&gt;"",1,0)</x:f>
        <x:v>0</x:v>
      </x:c>
      <x:c r="G1313" t="n">
        <x:v>1</x:v>
      </x:c>
      <x:c r="H1313" t="str">
        <x:v>independent physical acceptance</x:v>
      </x:c>
      <x:c r="I1313" t="str">
        <x:f>IF(F1313=1,"PASS","OPEN")</x:f>
        <x:v>OPEN</x:v>
      </x:c>
    </x:row>
    <x:row r="1314">
      <x:c r="B1314" t="str">
        <x:v>PH-EX-134</x:v>
      </x:c>
      <x:c r="C1314" t="str">
        <x:v>PHYSICAL</x:v>
      </x:c>
      <x:c r="D1314" t="str">
        <x:v>event execution</x:v>
      </x:c>
      <x:c r="E1314" t="str">
        <x:v>PH-EX-134</x:v>
      </x:c>
      <x:c r="F1314" t="n">
        <x:f>IF('Event Register'!R140&lt;&gt;"",1,0)</x:f>
        <x:v>0</x:v>
      </x:c>
      <x:c r="G1314" t="n">
        <x:v>1</x:v>
      </x:c>
      <x:c r="H1314" t="str">
        <x:v>independent physical acceptance</x:v>
      </x:c>
      <x:c r="I1314" t="str">
        <x:f>IF(F1314=1,"PASS","OPEN")</x:f>
        <x:v>OPEN</x:v>
      </x:c>
    </x:row>
    <x:row r="1315">
      <x:c r="B1315" t="str">
        <x:v>PH-EV-134</x:v>
      </x:c>
      <x:c r="C1315" t="str">
        <x:v>PHYSICAL</x:v>
      </x:c>
      <x:c r="D1315" t="str">
        <x:v>event evidence</x:v>
      </x:c>
      <x:c r="E1315" t="str">
        <x:v>PH-EV-134</x:v>
      </x:c>
      <x:c r="F1315" t="n">
        <x:f>IF('Event Register'!S140&lt;&gt;"",1,0)</x:f>
        <x:v>0</x:v>
      </x:c>
      <x:c r="G1315" t="n">
        <x:v>1</x:v>
      </x:c>
      <x:c r="H1315" t="str">
        <x:v>independent physical acceptance</x:v>
      </x:c>
      <x:c r="I1315" t="str">
        <x:f>IF(F1315=1,"PASS","OPEN")</x:f>
        <x:v>OPEN</x:v>
      </x:c>
    </x:row>
    <x:row r="1316">
      <x:c r="B1316" t="str">
        <x:v>PH-VA-134</x:v>
      </x:c>
      <x:c r="C1316" t="str">
        <x:v>PHYSICAL</x:v>
      </x:c>
      <x:c r="D1316" t="str">
        <x:v>event validity</x:v>
      </x:c>
      <x:c r="E1316" t="str">
        <x:v>PH-VA-134</x:v>
      </x:c>
      <x:c r="F1316" t="n">
        <x:f>IF('Event Register'!T140&lt;&gt;"",1,0)</x:f>
        <x:v>0</x:v>
      </x:c>
      <x:c r="G1316" t="n">
        <x:v>1</x:v>
      </x:c>
      <x:c r="H1316" t="str">
        <x:v>independent physical acceptance</x:v>
      </x:c>
      <x:c r="I1316" t="str">
        <x:f>IF(F1316=1,"PASS","OPEN")</x:f>
        <x:v>OPEN</x:v>
      </x:c>
    </x:row>
    <x:row r="1317">
      <x:c r="B1317" t="str">
        <x:v>PH-OU-134</x:v>
      </x:c>
      <x:c r="C1317" t="str">
        <x:v>PHYSICAL</x:v>
      </x:c>
      <x:c r="D1317" t="str">
        <x:v>event outcome</x:v>
      </x:c>
      <x:c r="E1317" t="str">
        <x:v>PH-OU-134</x:v>
      </x:c>
      <x:c r="F1317" t="n">
        <x:f>IF('Event Register'!U140&lt;&gt;"",1,0)</x:f>
        <x:v>0</x:v>
      </x:c>
      <x:c r="G1317" t="n">
        <x:v>1</x:v>
      </x:c>
      <x:c r="H1317" t="str">
        <x:v>independent physical acceptance</x:v>
      </x:c>
      <x:c r="I1317" t="str">
        <x:f>IF(F1317=1,"PASS","OPEN")</x:f>
        <x:v>OPEN</x:v>
      </x:c>
    </x:row>
    <x:row r="1318">
      <x:c r="B1318" t="str">
        <x:v>PH-EX-135</x:v>
      </x:c>
      <x:c r="C1318" t="str">
        <x:v>PHYSICAL</x:v>
      </x:c>
      <x:c r="D1318" t="str">
        <x:v>event execution</x:v>
      </x:c>
      <x:c r="E1318" t="str">
        <x:v>PH-EX-135</x:v>
      </x:c>
      <x:c r="F1318" t="n">
        <x:f>IF('Event Register'!R141&lt;&gt;"",1,0)</x:f>
        <x:v>0</x:v>
      </x:c>
      <x:c r="G1318" t="n">
        <x:v>1</x:v>
      </x:c>
      <x:c r="H1318" t="str">
        <x:v>independent physical acceptance</x:v>
      </x:c>
      <x:c r="I1318" t="str">
        <x:f>IF(F1318=1,"PASS","OPEN")</x:f>
        <x:v>OPEN</x:v>
      </x:c>
    </x:row>
    <x:row r="1319">
      <x:c r="B1319" t="str">
        <x:v>PH-EV-135</x:v>
      </x:c>
      <x:c r="C1319" t="str">
        <x:v>PHYSICAL</x:v>
      </x:c>
      <x:c r="D1319" t="str">
        <x:v>event evidence</x:v>
      </x:c>
      <x:c r="E1319" t="str">
        <x:v>PH-EV-135</x:v>
      </x:c>
      <x:c r="F1319" t="n">
        <x:f>IF('Event Register'!S141&lt;&gt;"",1,0)</x:f>
        <x:v>0</x:v>
      </x:c>
      <x:c r="G1319" t="n">
        <x:v>1</x:v>
      </x:c>
      <x:c r="H1319" t="str">
        <x:v>independent physical acceptance</x:v>
      </x:c>
      <x:c r="I1319" t="str">
        <x:f>IF(F1319=1,"PASS","OPEN")</x:f>
        <x:v>OPEN</x:v>
      </x:c>
    </x:row>
    <x:row r="1320">
      <x:c r="B1320" t="str">
        <x:v>PH-VA-135</x:v>
      </x:c>
      <x:c r="C1320" t="str">
        <x:v>PHYSICAL</x:v>
      </x:c>
      <x:c r="D1320" t="str">
        <x:v>event validity</x:v>
      </x:c>
      <x:c r="E1320" t="str">
        <x:v>PH-VA-135</x:v>
      </x:c>
      <x:c r="F1320" t="n">
        <x:f>IF('Event Register'!T141&lt;&gt;"",1,0)</x:f>
        <x:v>0</x:v>
      </x:c>
      <x:c r="G1320" t="n">
        <x:v>1</x:v>
      </x:c>
      <x:c r="H1320" t="str">
        <x:v>independent physical acceptance</x:v>
      </x:c>
      <x:c r="I1320" t="str">
        <x:f>IF(F1320=1,"PASS","OPEN")</x:f>
        <x:v>OPEN</x:v>
      </x:c>
    </x:row>
    <x:row r="1321">
      <x:c r="B1321" t="str">
        <x:v>PH-OU-135</x:v>
      </x:c>
      <x:c r="C1321" t="str">
        <x:v>PHYSICAL</x:v>
      </x:c>
      <x:c r="D1321" t="str">
        <x:v>event outcome</x:v>
      </x:c>
      <x:c r="E1321" t="str">
        <x:v>PH-OU-135</x:v>
      </x:c>
      <x:c r="F1321" t="n">
        <x:f>IF('Event Register'!U141&lt;&gt;"",1,0)</x:f>
        <x:v>0</x:v>
      </x:c>
      <x:c r="G1321" t="n">
        <x:v>1</x:v>
      </x:c>
      <x:c r="H1321" t="str">
        <x:v>independent physical acceptance</x:v>
      </x:c>
      <x:c r="I1321" t="str">
        <x:f>IF(F1321=1,"PASS","OPEN")</x:f>
        <x:v>OPEN</x:v>
      </x:c>
    </x:row>
    <x:row r="1322">
      <x:c r="B1322" t="str">
        <x:v>PH-EX-136</x:v>
      </x:c>
      <x:c r="C1322" t="str">
        <x:v>PHYSICAL</x:v>
      </x:c>
      <x:c r="D1322" t="str">
        <x:v>event execution</x:v>
      </x:c>
      <x:c r="E1322" t="str">
        <x:v>PH-EX-136</x:v>
      </x:c>
      <x:c r="F1322" t="n">
        <x:f>IF('Event Register'!R142&lt;&gt;"",1,0)</x:f>
        <x:v>0</x:v>
      </x:c>
      <x:c r="G1322" t="n">
        <x:v>1</x:v>
      </x:c>
      <x:c r="H1322" t="str">
        <x:v>independent physical acceptance</x:v>
      </x:c>
      <x:c r="I1322" t="str">
        <x:f>IF(F1322=1,"PASS","OPEN")</x:f>
        <x:v>OPEN</x:v>
      </x:c>
    </x:row>
    <x:row r="1323">
      <x:c r="B1323" t="str">
        <x:v>PH-EV-136</x:v>
      </x:c>
      <x:c r="C1323" t="str">
        <x:v>PHYSICAL</x:v>
      </x:c>
      <x:c r="D1323" t="str">
        <x:v>event evidence</x:v>
      </x:c>
      <x:c r="E1323" t="str">
        <x:v>PH-EV-136</x:v>
      </x:c>
      <x:c r="F1323" t="n">
        <x:f>IF('Event Register'!S142&lt;&gt;"",1,0)</x:f>
        <x:v>0</x:v>
      </x:c>
      <x:c r="G1323" t="n">
        <x:v>1</x:v>
      </x:c>
      <x:c r="H1323" t="str">
        <x:v>independent physical acceptance</x:v>
      </x:c>
      <x:c r="I1323" t="str">
        <x:f>IF(F1323=1,"PASS","OPEN")</x:f>
        <x:v>OPEN</x:v>
      </x:c>
    </x:row>
    <x:row r="1324">
      <x:c r="B1324" t="str">
        <x:v>PH-VA-136</x:v>
      </x:c>
      <x:c r="C1324" t="str">
        <x:v>PHYSICAL</x:v>
      </x:c>
      <x:c r="D1324" t="str">
        <x:v>event validity</x:v>
      </x:c>
      <x:c r="E1324" t="str">
        <x:v>PH-VA-136</x:v>
      </x:c>
      <x:c r="F1324" t="n">
        <x:f>IF('Event Register'!T142&lt;&gt;"",1,0)</x:f>
        <x:v>0</x:v>
      </x:c>
      <x:c r="G1324" t="n">
        <x:v>1</x:v>
      </x:c>
      <x:c r="H1324" t="str">
        <x:v>independent physical acceptance</x:v>
      </x:c>
      <x:c r="I1324" t="str">
        <x:f>IF(F1324=1,"PASS","OPEN")</x:f>
        <x:v>OPEN</x:v>
      </x:c>
    </x:row>
    <x:row r="1325">
      <x:c r="B1325" t="str">
        <x:v>PH-OU-136</x:v>
      </x:c>
      <x:c r="C1325" t="str">
        <x:v>PHYSICAL</x:v>
      </x:c>
      <x:c r="D1325" t="str">
        <x:v>event outcome</x:v>
      </x:c>
      <x:c r="E1325" t="str">
        <x:v>PH-OU-136</x:v>
      </x:c>
      <x:c r="F1325" t="n">
        <x:f>IF('Event Register'!U142&lt;&gt;"",1,0)</x:f>
        <x:v>0</x:v>
      </x:c>
      <x:c r="G1325" t="n">
        <x:v>1</x:v>
      </x:c>
      <x:c r="H1325" t="str">
        <x:v>independent physical acceptance</x:v>
      </x:c>
      <x:c r="I1325" t="str">
        <x:f>IF(F1325=1,"PASS","OPEN")</x:f>
        <x:v>OPEN</x:v>
      </x:c>
    </x:row>
    <x:row r="1326">
      <x:c r="B1326" t="str">
        <x:v>PH-EX-137</x:v>
      </x:c>
      <x:c r="C1326" t="str">
        <x:v>PHYSICAL</x:v>
      </x:c>
      <x:c r="D1326" t="str">
        <x:v>event execution</x:v>
      </x:c>
      <x:c r="E1326" t="str">
        <x:v>PH-EX-137</x:v>
      </x:c>
      <x:c r="F1326" t="n">
        <x:f>IF('Event Register'!R143&lt;&gt;"",1,0)</x:f>
        <x:v>0</x:v>
      </x:c>
      <x:c r="G1326" t="n">
        <x:v>1</x:v>
      </x:c>
      <x:c r="H1326" t="str">
        <x:v>independent physical acceptance</x:v>
      </x:c>
      <x:c r="I1326" t="str">
        <x:f>IF(F1326=1,"PASS","OPEN")</x:f>
        <x:v>OPEN</x:v>
      </x:c>
    </x:row>
    <x:row r="1327">
      <x:c r="B1327" t="str">
        <x:v>PH-EV-137</x:v>
      </x:c>
      <x:c r="C1327" t="str">
        <x:v>PHYSICAL</x:v>
      </x:c>
      <x:c r="D1327" t="str">
        <x:v>event evidence</x:v>
      </x:c>
      <x:c r="E1327" t="str">
        <x:v>PH-EV-137</x:v>
      </x:c>
      <x:c r="F1327" t="n">
        <x:f>IF('Event Register'!S143&lt;&gt;"",1,0)</x:f>
        <x:v>0</x:v>
      </x:c>
      <x:c r="G1327" t="n">
        <x:v>1</x:v>
      </x:c>
      <x:c r="H1327" t="str">
        <x:v>independent physical acceptance</x:v>
      </x:c>
      <x:c r="I1327" t="str">
        <x:f>IF(F1327=1,"PASS","OPEN")</x:f>
        <x:v>OPEN</x:v>
      </x:c>
    </x:row>
    <x:row r="1328">
      <x:c r="B1328" t="str">
        <x:v>PH-VA-137</x:v>
      </x:c>
      <x:c r="C1328" t="str">
        <x:v>PHYSICAL</x:v>
      </x:c>
      <x:c r="D1328" t="str">
        <x:v>event validity</x:v>
      </x:c>
      <x:c r="E1328" t="str">
        <x:v>PH-VA-137</x:v>
      </x:c>
      <x:c r="F1328" t="n">
        <x:f>IF('Event Register'!T143&lt;&gt;"",1,0)</x:f>
        <x:v>0</x:v>
      </x:c>
      <x:c r="G1328" t="n">
        <x:v>1</x:v>
      </x:c>
      <x:c r="H1328" t="str">
        <x:v>independent physical acceptance</x:v>
      </x:c>
      <x:c r="I1328" t="str">
        <x:f>IF(F1328=1,"PASS","OPEN")</x:f>
        <x:v>OPEN</x:v>
      </x:c>
    </x:row>
    <x:row r="1329">
      <x:c r="B1329" t="str">
        <x:v>PH-OU-137</x:v>
      </x:c>
      <x:c r="C1329" t="str">
        <x:v>PHYSICAL</x:v>
      </x:c>
      <x:c r="D1329" t="str">
        <x:v>event outcome</x:v>
      </x:c>
      <x:c r="E1329" t="str">
        <x:v>PH-OU-137</x:v>
      </x:c>
      <x:c r="F1329" t="n">
        <x:f>IF('Event Register'!U143&lt;&gt;"",1,0)</x:f>
        <x:v>0</x:v>
      </x:c>
      <x:c r="G1329" t="n">
        <x:v>1</x:v>
      </x:c>
      <x:c r="H1329" t="str">
        <x:v>independent physical acceptance</x:v>
      </x:c>
      <x:c r="I1329" t="str">
        <x:f>IF(F1329=1,"PASS","OPEN")</x:f>
        <x:v>OPEN</x:v>
      </x:c>
    </x:row>
    <x:row r="1330">
      <x:c r="B1330" t="str">
        <x:v>PH-EX-138</x:v>
      </x:c>
      <x:c r="C1330" t="str">
        <x:v>PHYSICAL</x:v>
      </x:c>
      <x:c r="D1330" t="str">
        <x:v>event execution</x:v>
      </x:c>
      <x:c r="E1330" t="str">
        <x:v>PH-EX-138</x:v>
      </x:c>
      <x:c r="F1330" t="n">
        <x:f>IF('Event Register'!R144&lt;&gt;"",1,0)</x:f>
        <x:v>0</x:v>
      </x:c>
      <x:c r="G1330" t="n">
        <x:v>1</x:v>
      </x:c>
      <x:c r="H1330" t="str">
        <x:v>independent physical acceptance</x:v>
      </x:c>
      <x:c r="I1330" t="str">
        <x:f>IF(F1330=1,"PASS","OPEN")</x:f>
        <x:v>OPEN</x:v>
      </x:c>
    </x:row>
    <x:row r="1331">
      <x:c r="B1331" t="str">
        <x:v>PH-EV-138</x:v>
      </x:c>
      <x:c r="C1331" t="str">
        <x:v>PHYSICAL</x:v>
      </x:c>
      <x:c r="D1331" t="str">
        <x:v>event evidence</x:v>
      </x:c>
      <x:c r="E1331" t="str">
        <x:v>PH-EV-138</x:v>
      </x:c>
      <x:c r="F1331" t="n">
        <x:f>IF('Event Register'!S144&lt;&gt;"",1,0)</x:f>
        <x:v>0</x:v>
      </x:c>
      <x:c r="G1331" t="n">
        <x:v>1</x:v>
      </x:c>
      <x:c r="H1331" t="str">
        <x:v>independent physical acceptance</x:v>
      </x:c>
      <x:c r="I1331" t="str">
        <x:f>IF(F1331=1,"PASS","OPEN")</x:f>
        <x:v>OPEN</x:v>
      </x:c>
    </x:row>
    <x:row r="1332">
      <x:c r="B1332" t="str">
        <x:v>PH-VA-138</x:v>
      </x:c>
      <x:c r="C1332" t="str">
        <x:v>PHYSICAL</x:v>
      </x:c>
      <x:c r="D1332" t="str">
        <x:v>event validity</x:v>
      </x:c>
      <x:c r="E1332" t="str">
        <x:v>PH-VA-138</x:v>
      </x:c>
      <x:c r="F1332" t="n">
        <x:f>IF('Event Register'!T144&lt;&gt;"",1,0)</x:f>
        <x:v>0</x:v>
      </x:c>
      <x:c r="G1332" t="n">
        <x:v>1</x:v>
      </x:c>
      <x:c r="H1332" t="str">
        <x:v>independent physical acceptance</x:v>
      </x:c>
      <x:c r="I1332" t="str">
        <x:f>IF(F1332=1,"PASS","OPEN")</x:f>
        <x:v>OPEN</x:v>
      </x:c>
    </x:row>
    <x:row r="1333">
      <x:c r="B1333" t="str">
        <x:v>PH-OU-138</x:v>
      </x:c>
      <x:c r="C1333" t="str">
        <x:v>PHYSICAL</x:v>
      </x:c>
      <x:c r="D1333" t="str">
        <x:v>event outcome</x:v>
      </x:c>
      <x:c r="E1333" t="str">
        <x:v>PH-OU-138</x:v>
      </x:c>
      <x:c r="F1333" t="n">
        <x:f>IF('Event Register'!U144&lt;&gt;"",1,0)</x:f>
        <x:v>0</x:v>
      </x:c>
      <x:c r="G1333" t="n">
        <x:v>1</x:v>
      </x:c>
      <x:c r="H1333" t="str">
        <x:v>independent physical acceptance</x:v>
      </x:c>
      <x:c r="I1333" t="str">
        <x:f>IF(F1333=1,"PASS","OPEN")</x:f>
        <x:v>OPEN</x:v>
      </x:c>
    </x:row>
    <x:row r="1334">
      <x:c r="B1334" t="str">
        <x:v>PH-EX-139</x:v>
      </x:c>
      <x:c r="C1334" t="str">
        <x:v>PHYSICAL</x:v>
      </x:c>
      <x:c r="D1334" t="str">
        <x:v>event execution</x:v>
      </x:c>
      <x:c r="E1334" t="str">
        <x:v>PH-EX-139</x:v>
      </x:c>
      <x:c r="F1334" t="n">
        <x:f>IF('Event Register'!R145&lt;&gt;"",1,0)</x:f>
        <x:v>0</x:v>
      </x:c>
      <x:c r="G1334" t="n">
        <x:v>1</x:v>
      </x:c>
      <x:c r="H1334" t="str">
        <x:v>independent physical acceptance</x:v>
      </x:c>
      <x:c r="I1334" t="str">
        <x:f>IF(F1334=1,"PASS","OPEN")</x:f>
        <x:v>OPEN</x:v>
      </x:c>
    </x:row>
    <x:row r="1335">
      <x:c r="B1335" t="str">
        <x:v>PH-EV-139</x:v>
      </x:c>
      <x:c r="C1335" t="str">
        <x:v>PHYSICAL</x:v>
      </x:c>
      <x:c r="D1335" t="str">
        <x:v>event evidence</x:v>
      </x:c>
      <x:c r="E1335" t="str">
        <x:v>PH-EV-139</x:v>
      </x:c>
      <x:c r="F1335" t="n">
        <x:f>IF('Event Register'!S145&lt;&gt;"",1,0)</x:f>
        <x:v>0</x:v>
      </x:c>
      <x:c r="G1335" t="n">
        <x:v>1</x:v>
      </x:c>
      <x:c r="H1335" t="str">
        <x:v>independent physical acceptance</x:v>
      </x:c>
      <x:c r="I1335" t="str">
        <x:f>IF(F1335=1,"PASS","OPEN")</x:f>
        <x:v>OPEN</x:v>
      </x:c>
    </x:row>
    <x:row r="1336">
      <x:c r="B1336" t="str">
        <x:v>PH-VA-139</x:v>
      </x:c>
      <x:c r="C1336" t="str">
        <x:v>PHYSICAL</x:v>
      </x:c>
      <x:c r="D1336" t="str">
        <x:v>event validity</x:v>
      </x:c>
      <x:c r="E1336" t="str">
        <x:v>PH-VA-139</x:v>
      </x:c>
      <x:c r="F1336" t="n">
        <x:f>IF('Event Register'!T145&lt;&gt;"",1,0)</x:f>
        <x:v>0</x:v>
      </x:c>
      <x:c r="G1336" t="n">
        <x:v>1</x:v>
      </x:c>
      <x:c r="H1336" t="str">
        <x:v>independent physical acceptance</x:v>
      </x:c>
      <x:c r="I1336" t="str">
        <x:f>IF(F1336=1,"PASS","OPEN")</x:f>
        <x:v>OPEN</x:v>
      </x:c>
    </x:row>
    <x:row r="1337">
      <x:c r="B1337" t="str">
        <x:v>PH-OU-139</x:v>
      </x:c>
      <x:c r="C1337" t="str">
        <x:v>PHYSICAL</x:v>
      </x:c>
      <x:c r="D1337" t="str">
        <x:v>event outcome</x:v>
      </x:c>
      <x:c r="E1337" t="str">
        <x:v>PH-OU-139</x:v>
      </x:c>
      <x:c r="F1337" t="n">
        <x:f>IF('Event Register'!U145&lt;&gt;"",1,0)</x:f>
        <x:v>0</x:v>
      </x:c>
      <x:c r="G1337" t="n">
        <x:v>1</x:v>
      </x:c>
      <x:c r="H1337" t="str">
        <x:v>independent physical acceptance</x:v>
      </x:c>
      <x:c r="I1337" t="str">
        <x:f>IF(F1337=1,"PASS","OPEN")</x:f>
        <x:v>OPEN</x:v>
      </x:c>
    </x:row>
    <x:row r="1338">
      <x:c r="B1338" t="str">
        <x:v>PH-EX-140</x:v>
      </x:c>
      <x:c r="C1338" t="str">
        <x:v>PHYSICAL</x:v>
      </x:c>
      <x:c r="D1338" t="str">
        <x:v>event execution</x:v>
      </x:c>
      <x:c r="E1338" t="str">
        <x:v>PH-EX-140</x:v>
      </x:c>
      <x:c r="F1338" t="n">
        <x:f>IF('Event Register'!R146&lt;&gt;"",1,0)</x:f>
        <x:v>0</x:v>
      </x:c>
      <x:c r="G1338" t="n">
        <x:v>1</x:v>
      </x:c>
      <x:c r="H1338" t="str">
        <x:v>independent physical acceptance</x:v>
      </x:c>
      <x:c r="I1338" t="str">
        <x:f>IF(F1338=1,"PASS","OPEN")</x:f>
        <x:v>OPEN</x:v>
      </x:c>
    </x:row>
    <x:row r="1339">
      <x:c r="B1339" t="str">
        <x:v>PH-EV-140</x:v>
      </x:c>
      <x:c r="C1339" t="str">
        <x:v>PHYSICAL</x:v>
      </x:c>
      <x:c r="D1339" t="str">
        <x:v>event evidence</x:v>
      </x:c>
      <x:c r="E1339" t="str">
        <x:v>PH-EV-140</x:v>
      </x:c>
      <x:c r="F1339" t="n">
        <x:f>IF('Event Register'!S146&lt;&gt;"",1,0)</x:f>
        <x:v>0</x:v>
      </x:c>
      <x:c r="G1339" t="n">
        <x:v>1</x:v>
      </x:c>
      <x:c r="H1339" t="str">
        <x:v>independent physical acceptance</x:v>
      </x:c>
      <x:c r="I1339" t="str">
        <x:f>IF(F1339=1,"PASS","OPEN")</x:f>
        <x:v>OPEN</x:v>
      </x:c>
    </x:row>
    <x:row r="1340">
      <x:c r="B1340" t="str">
        <x:v>PH-VA-140</x:v>
      </x:c>
      <x:c r="C1340" t="str">
        <x:v>PHYSICAL</x:v>
      </x:c>
      <x:c r="D1340" t="str">
        <x:v>event validity</x:v>
      </x:c>
      <x:c r="E1340" t="str">
        <x:v>PH-VA-140</x:v>
      </x:c>
      <x:c r="F1340" t="n">
        <x:f>IF('Event Register'!T146&lt;&gt;"",1,0)</x:f>
        <x:v>0</x:v>
      </x:c>
      <x:c r="G1340" t="n">
        <x:v>1</x:v>
      </x:c>
      <x:c r="H1340" t="str">
        <x:v>independent physical acceptance</x:v>
      </x:c>
      <x:c r="I1340" t="str">
        <x:f>IF(F1340=1,"PASS","OPEN")</x:f>
        <x:v>OPEN</x:v>
      </x:c>
    </x:row>
    <x:row r="1341">
      <x:c r="B1341" t="str">
        <x:v>PH-OU-140</x:v>
      </x:c>
      <x:c r="C1341" t="str">
        <x:v>PHYSICAL</x:v>
      </x:c>
      <x:c r="D1341" t="str">
        <x:v>event outcome</x:v>
      </x:c>
      <x:c r="E1341" t="str">
        <x:v>PH-OU-140</x:v>
      </x:c>
      <x:c r="F1341" t="n">
        <x:f>IF('Event Register'!U146&lt;&gt;"",1,0)</x:f>
        <x:v>0</x:v>
      </x:c>
      <x:c r="G1341" t="n">
        <x:v>1</x:v>
      </x:c>
      <x:c r="H1341" t="str">
        <x:v>independent physical acceptance</x:v>
      </x:c>
      <x:c r="I1341" t="str">
        <x:f>IF(F1341=1,"PASS","OPEN")</x:f>
        <x:v>OPEN</x:v>
      </x:c>
    </x:row>
    <x:row r="1342">
      <x:c r="B1342" t="str">
        <x:v>PH-EX-141</x:v>
      </x:c>
      <x:c r="C1342" t="str">
        <x:v>PHYSICAL</x:v>
      </x:c>
      <x:c r="D1342" t="str">
        <x:v>event execution</x:v>
      </x:c>
      <x:c r="E1342" t="str">
        <x:v>PH-EX-141</x:v>
      </x:c>
      <x:c r="F1342" t="n">
        <x:f>IF('Event Register'!R147&lt;&gt;"",1,0)</x:f>
        <x:v>0</x:v>
      </x:c>
      <x:c r="G1342" t="n">
        <x:v>1</x:v>
      </x:c>
      <x:c r="H1342" t="str">
        <x:v>independent physical acceptance</x:v>
      </x:c>
      <x:c r="I1342" t="str">
        <x:f>IF(F1342=1,"PASS","OPEN")</x:f>
        <x:v>OPEN</x:v>
      </x:c>
    </x:row>
    <x:row r="1343">
      <x:c r="B1343" t="str">
        <x:v>PH-EV-141</x:v>
      </x:c>
      <x:c r="C1343" t="str">
        <x:v>PHYSICAL</x:v>
      </x:c>
      <x:c r="D1343" t="str">
        <x:v>event evidence</x:v>
      </x:c>
      <x:c r="E1343" t="str">
        <x:v>PH-EV-141</x:v>
      </x:c>
      <x:c r="F1343" t="n">
        <x:f>IF('Event Register'!S147&lt;&gt;"",1,0)</x:f>
        <x:v>0</x:v>
      </x:c>
      <x:c r="G1343" t="n">
        <x:v>1</x:v>
      </x:c>
      <x:c r="H1343" t="str">
        <x:v>independent physical acceptance</x:v>
      </x:c>
      <x:c r="I1343" t="str">
        <x:f>IF(F1343=1,"PASS","OPEN")</x:f>
        <x:v>OPEN</x:v>
      </x:c>
    </x:row>
    <x:row r="1344">
      <x:c r="B1344" t="str">
        <x:v>PH-VA-141</x:v>
      </x:c>
      <x:c r="C1344" t="str">
        <x:v>PHYSICAL</x:v>
      </x:c>
      <x:c r="D1344" t="str">
        <x:v>event validity</x:v>
      </x:c>
      <x:c r="E1344" t="str">
        <x:v>PH-VA-141</x:v>
      </x:c>
      <x:c r="F1344" t="n">
        <x:f>IF('Event Register'!T147&lt;&gt;"",1,0)</x:f>
        <x:v>0</x:v>
      </x:c>
      <x:c r="G1344" t="n">
        <x:v>1</x:v>
      </x:c>
      <x:c r="H1344" t="str">
        <x:v>independent physical acceptance</x:v>
      </x:c>
      <x:c r="I1344" t="str">
        <x:f>IF(F1344=1,"PASS","OPEN")</x:f>
        <x:v>OPEN</x:v>
      </x:c>
    </x:row>
    <x:row r="1345">
      <x:c r="B1345" t="str">
        <x:v>PH-OU-141</x:v>
      </x:c>
      <x:c r="C1345" t="str">
        <x:v>PHYSICAL</x:v>
      </x:c>
      <x:c r="D1345" t="str">
        <x:v>event outcome</x:v>
      </x:c>
      <x:c r="E1345" t="str">
        <x:v>PH-OU-141</x:v>
      </x:c>
      <x:c r="F1345" t="n">
        <x:f>IF('Event Register'!U147&lt;&gt;"",1,0)</x:f>
        <x:v>0</x:v>
      </x:c>
      <x:c r="G1345" t="n">
        <x:v>1</x:v>
      </x:c>
      <x:c r="H1345" t="str">
        <x:v>independent physical acceptance</x:v>
      </x:c>
      <x:c r="I1345" t="str">
        <x:f>IF(F1345=1,"PASS","OPEN")</x:f>
        <x:v>OPEN</x:v>
      </x:c>
    </x:row>
    <x:row r="1346">
      <x:c r="B1346" t="str">
        <x:v>PH-EX-142</x:v>
      </x:c>
      <x:c r="C1346" t="str">
        <x:v>PHYSICAL</x:v>
      </x:c>
      <x:c r="D1346" t="str">
        <x:v>event execution</x:v>
      </x:c>
      <x:c r="E1346" t="str">
        <x:v>PH-EX-142</x:v>
      </x:c>
      <x:c r="F1346" t="n">
        <x:f>IF('Event Register'!R148&lt;&gt;"",1,0)</x:f>
        <x:v>0</x:v>
      </x:c>
      <x:c r="G1346" t="n">
        <x:v>1</x:v>
      </x:c>
      <x:c r="H1346" t="str">
        <x:v>independent physical acceptance</x:v>
      </x:c>
      <x:c r="I1346" t="str">
        <x:f>IF(F1346=1,"PASS","OPEN")</x:f>
        <x:v>OPEN</x:v>
      </x:c>
    </x:row>
    <x:row r="1347">
      <x:c r="B1347" t="str">
        <x:v>PH-EV-142</x:v>
      </x:c>
      <x:c r="C1347" t="str">
        <x:v>PHYSICAL</x:v>
      </x:c>
      <x:c r="D1347" t="str">
        <x:v>event evidence</x:v>
      </x:c>
      <x:c r="E1347" t="str">
        <x:v>PH-EV-142</x:v>
      </x:c>
      <x:c r="F1347" t="n">
        <x:f>IF('Event Register'!S148&lt;&gt;"",1,0)</x:f>
        <x:v>0</x:v>
      </x:c>
      <x:c r="G1347" t="n">
        <x:v>1</x:v>
      </x:c>
      <x:c r="H1347" t="str">
        <x:v>independent physical acceptance</x:v>
      </x:c>
      <x:c r="I1347" t="str">
        <x:f>IF(F1347=1,"PASS","OPEN")</x:f>
        <x:v>OPEN</x:v>
      </x:c>
    </x:row>
    <x:row r="1348">
      <x:c r="B1348" t="str">
        <x:v>PH-VA-142</x:v>
      </x:c>
      <x:c r="C1348" t="str">
        <x:v>PHYSICAL</x:v>
      </x:c>
      <x:c r="D1348" t="str">
        <x:v>event validity</x:v>
      </x:c>
      <x:c r="E1348" t="str">
        <x:v>PH-VA-142</x:v>
      </x:c>
      <x:c r="F1348" t="n">
        <x:f>IF('Event Register'!T148&lt;&gt;"",1,0)</x:f>
        <x:v>0</x:v>
      </x:c>
      <x:c r="G1348" t="n">
        <x:v>1</x:v>
      </x:c>
      <x:c r="H1348" t="str">
        <x:v>independent physical acceptance</x:v>
      </x:c>
      <x:c r="I1348" t="str">
        <x:f>IF(F1348=1,"PASS","OPEN")</x:f>
        <x:v>OPEN</x:v>
      </x:c>
    </x:row>
    <x:row r="1349">
      <x:c r="B1349" t="str">
        <x:v>PH-OU-142</x:v>
      </x:c>
      <x:c r="C1349" t="str">
        <x:v>PHYSICAL</x:v>
      </x:c>
      <x:c r="D1349" t="str">
        <x:v>event outcome</x:v>
      </x:c>
      <x:c r="E1349" t="str">
        <x:v>PH-OU-142</x:v>
      </x:c>
      <x:c r="F1349" t="n">
        <x:f>IF('Event Register'!U148&lt;&gt;"",1,0)</x:f>
        <x:v>0</x:v>
      </x:c>
      <x:c r="G1349" t="n">
        <x:v>1</x:v>
      </x:c>
      <x:c r="H1349" t="str">
        <x:v>independent physical acceptance</x:v>
      </x:c>
      <x:c r="I1349" t="str">
        <x:f>IF(F1349=1,"PASS","OPEN")</x:f>
        <x:v>OPEN</x:v>
      </x:c>
    </x:row>
    <x:row r="1350">
      <x:c r="B1350" t="str">
        <x:v>PH-EX-143</x:v>
      </x:c>
      <x:c r="C1350" t="str">
        <x:v>PHYSICAL</x:v>
      </x:c>
      <x:c r="D1350" t="str">
        <x:v>event execution</x:v>
      </x:c>
      <x:c r="E1350" t="str">
        <x:v>PH-EX-143</x:v>
      </x:c>
      <x:c r="F1350" t="n">
        <x:f>IF('Event Register'!R149&lt;&gt;"",1,0)</x:f>
        <x:v>0</x:v>
      </x:c>
      <x:c r="G1350" t="n">
        <x:v>1</x:v>
      </x:c>
      <x:c r="H1350" t="str">
        <x:v>independent physical acceptance</x:v>
      </x:c>
      <x:c r="I1350" t="str">
        <x:f>IF(F1350=1,"PASS","OPEN")</x:f>
        <x:v>OPEN</x:v>
      </x:c>
    </x:row>
    <x:row r="1351">
      <x:c r="B1351" t="str">
        <x:v>PH-EV-143</x:v>
      </x:c>
      <x:c r="C1351" t="str">
        <x:v>PHYSICAL</x:v>
      </x:c>
      <x:c r="D1351" t="str">
        <x:v>event evidence</x:v>
      </x:c>
      <x:c r="E1351" t="str">
        <x:v>PH-EV-143</x:v>
      </x:c>
      <x:c r="F1351" t="n">
        <x:f>IF('Event Register'!S149&lt;&gt;"",1,0)</x:f>
        <x:v>0</x:v>
      </x:c>
      <x:c r="G1351" t="n">
        <x:v>1</x:v>
      </x:c>
      <x:c r="H1351" t="str">
        <x:v>independent physical acceptance</x:v>
      </x:c>
      <x:c r="I1351" t="str">
        <x:f>IF(F1351=1,"PASS","OPEN")</x:f>
        <x:v>OPEN</x:v>
      </x:c>
    </x:row>
    <x:row r="1352">
      <x:c r="B1352" t="str">
        <x:v>PH-VA-143</x:v>
      </x:c>
      <x:c r="C1352" t="str">
        <x:v>PHYSICAL</x:v>
      </x:c>
      <x:c r="D1352" t="str">
        <x:v>event validity</x:v>
      </x:c>
      <x:c r="E1352" t="str">
        <x:v>PH-VA-143</x:v>
      </x:c>
      <x:c r="F1352" t="n">
        <x:f>IF('Event Register'!T149&lt;&gt;"",1,0)</x:f>
        <x:v>0</x:v>
      </x:c>
      <x:c r="G1352" t="n">
        <x:v>1</x:v>
      </x:c>
      <x:c r="H1352" t="str">
        <x:v>independent physical acceptance</x:v>
      </x:c>
      <x:c r="I1352" t="str">
        <x:f>IF(F1352=1,"PASS","OPEN")</x:f>
        <x:v>OPEN</x:v>
      </x:c>
    </x:row>
    <x:row r="1353">
      <x:c r="B1353" t="str">
        <x:v>PH-OU-143</x:v>
      </x:c>
      <x:c r="C1353" t="str">
        <x:v>PHYSICAL</x:v>
      </x:c>
      <x:c r="D1353" t="str">
        <x:v>event outcome</x:v>
      </x:c>
      <x:c r="E1353" t="str">
        <x:v>PH-OU-143</x:v>
      </x:c>
      <x:c r="F1353" t="n">
        <x:f>IF('Event Register'!U149&lt;&gt;"",1,0)</x:f>
        <x:v>0</x:v>
      </x:c>
      <x:c r="G1353" t="n">
        <x:v>1</x:v>
      </x:c>
      <x:c r="H1353" t="str">
        <x:v>independent physical acceptance</x:v>
      </x:c>
      <x:c r="I1353" t="str">
        <x:f>IF(F1353=1,"PASS","OPEN")</x:f>
        <x:v>OPEN</x:v>
      </x:c>
    </x:row>
    <x:row r="1354">
      <x:c r="B1354" t="str">
        <x:v>PH-EX-144</x:v>
      </x:c>
      <x:c r="C1354" t="str">
        <x:v>PHYSICAL</x:v>
      </x:c>
      <x:c r="D1354" t="str">
        <x:v>event execution</x:v>
      </x:c>
      <x:c r="E1354" t="str">
        <x:v>PH-EX-144</x:v>
      </x:c>
      <x:c r="F1354" t="n">
        <x:f>IF('Event Register'!R150&lt;&gt;"",1,0)</x:f>
        <x:v>0</x:v>
      </x:c>
      <x:c r="G1354" t="n">
        <x:v>1</x:v>
      </x:c>
      <x:c r="H1354" t="str">
        <x:v>independent physical acceptance</x:v>
      </x:c>
      <x:c r="I1354" t="str">
        <x:f>IF(F1354=1,"PASS","OPEN")</x:f>
        <x:v>OPEN</x:v>
      </x:c>
    </x:row>
    <x:row r="1355">
      <x:c r="B1355" t="str">
        <x:v>PH-EV-144</x:v>
      </x:c>
      <x:c r="C1355" t="str">
        <x:v>PHYSICAL</x:v>
      </x:c>
      <x:c r="D1355" t="str">
        <x:v>event evidence</x:v>
      </x:c>
      <x:c r="E1355" t="str">
        <x:v>PH-EV-144</x:v>
      </x:c>
      <x:c r="F1355" t="n">
        <x:f>IF('Event Register'!S150&lt;&gt;"",1,0)</x:f>
        <x:v>0</x:v>
      </x:c>
      <x:c r="G1355" t="n">
        <x:v>1</x:v>
      </x:c>
      <x:c r="H1355" t="str">
        <x:v>independent physical acceptance</x:v>
      </x:c>
      <x:c r="I1355" t="str">
        <x:f>IF(F1355=1,"PASS","OPEN")</x:f>
        <x:v>OPEN</x:v>
      </x:c>
    </x:row>
    <x:row r="1356">
      <x:c r="B1356" t="str">
        <x:v>PH-VA-144</x:v>
      </x:c>
      <x:c r="C1356" t="str">
        <x:v>PHYSICAL</x:v>
      </x:c>
      <x:c r="D1356" t="str">
        <x:v>event validity</x:v>
      </x:c>
      <x:c r="E1356" t="str">
        <x:v>PH-VA-144</x:v>
      </x:c>
      <x:c r="F1356" t="n">
        <x:f>IF('Event Register'!T150&lt;&gt;"",1,0)</x:f>
        <x:v>0</x:v>
      </x:c>
      <x:c r="G1356" t="n">
        <x:v>1</x:v>
      </x:c>
      <x:c r="H1356" t="str">
        <x:v>independent physical acceptance</x:v>
      </x:c>
      <x:c r="I1356" t="str">
        <x:f>IF(F1356=1,"PASS","OPEN")</x:f>
        <x:v>OPEN</x:v>
      </x:c>
    </x:row>
    <x:row r="1357">
      <x:c r="B1357" t="str">
        <x:v>PH-OU-144</x:v>
      </x:c>
      <x:c r="C1357" t="str">
        <x:v>PHYSICAL</x:v>
      </x:c>
      <x:c r="D1357" t="str">
        <x:v>event outcome</x:v>
      </x:c>
      <x:c r="E1357" t="str">
        <x:v>PH-OU-144</x:v>
      </x:c>
      <x:c r="F1357" t="n">
        <x:f>IF('Event Register'!U150&lt;&gt;"",1,0)</x:f>
        <x:v>0</x:v>
      </x:c>
      <x:c r="G1357" t="n">
        <x:v>1</x:v>
      </x:c>
      <x:c r="H1357" t="str">
        <x:v>independent physical acceptance</x:v>
      </x:c>
      <x:c r="I1357" t="str">
        <x:f>IF(F1357=1,"PASS","OPEN")</x:f>
        <x:v>OPEN</x:v>
      </x:c>
    </x:row>
    <x:row r="1358">
      <x:c r="B1358" t="str">
        <x:v>PH-EX-145</x:v>
      </x:c>
      <x:c r="C1358" t="str">
        <x:v>PHYSICAL</x:v>
      </x:c>
      <x:c r="D1358" t="str">
        <x:v>event execution</x:v>
      </x:c>
      <x:c r="E1358" t="str">
        <x:v>PH-EX-145</x:v>
      </x:c>
      <x:c r="F1358" t="n">
        <x:f>IF('Event Register'!R151&lt;&gt;"",1,0)</x:f>
        <x:v>0</x:v>
      </x:c>
      <x:c r="G1358" t="n">
        <x:v>1</x:v>
      </x:c>
      <x:c r="H1358" t="str">
        <x:v>independent physical acceptance</x:v>
      </x:c>
      <x:c r="I1358" t="str">
        <x:f>IF(F1358=1,"PASS","OPEN")</x:f>
        <x:v>OPEN</x:v>
      </x:c>
    </x:row>
    <x:row r="1359">
      <x:c r="B1359" t="str">
        <x:v>PH-EV-145</x:v>
      </x:c>
      <x:c r="C1359" t="str">
        <x:v>PHYSICAL</x:v>
      </x:c>
      <x:c r="D1359" t="str">
        <x:v>event evidence</x:v>
      </x:c>
      <x:c r="E1359" t="str">
        <x:v>PH-EV-145</x:v>
      </x:c>
      <x:c r="F1359" t="n">
        <x:f>IF('Event Register'!S151&lt;&gt;"",1,0)</x:f>
        <x:v>0</x:v>
      </x:c>
      <x:c r="G1359" t="n">
        <x:v>1</x:v>
      </x:c>
      <x:c r="H1359" t="str">
        <x:v>independent physical acceptance</x:v>
      </x:c>
      <x:c r="I1359" t="str">
        <x:f>IF(F1359=1,"PASS","OPEN")</x:f>
        <x:v>OPEN</x:v>
      </x:c>
    </x:row>
    <x:row r="1360">
      <x:c r="B1360" t="str">
        <x:v>PH-VA-145</x:v>
      </x:c>
      <x:c r="C1360" t="str">
        <x:v>PHYSICAL</x:v>
      </x:c>
      <x:c r="D1360" t="str">
        <x:v>event validity</x:v>
      </x:c>
      <x:c r="E1360" t="str">
        <x:v>PH-VA-145</x:v>
      </x:c>
      <x:c r="F1360" t="n">
        <x:f>IF('Event Register'!T151&lt;&gt;"",1,0)</x:f>
        <x:v>0</x:v>
      </x:c>
      <x:c r="G1360" t="n">
        <x:v>1</x:v>
      </x:c>
      <x:c r="H1360" t="str">
        <x:v>independent physical acceptance</x:v>
      </x:c>
      <x:c r="I1360" t="str">
        <x:f>IF(F1360=1,"PASS","OPEN")</x:f>
        <x:v>OPEN</x:v>
      </x:c>
    </x:row>
    <x:row r="1361">
      <x:c r="B1361" t="str">
        <x:v>PH-OU-145</x:v>
      </x:c>
      <x:c r="C1361" t="str">
        <x:v>PHYSICAL</x:v>
      </x:c>
      <x:c r="D1361" t="str">
        <x:v>event outcome</x:v>
      </x:c>
      <x:c r="E1361" t="str">
        <x:v>PH-OU-145</x:v>
      </x:c>
      <x:c r="F1361" t="n">
        <x:f>IF('Event Register'!U151&lt;&gt;"",1,0)</x:f>
        <x:v>0</x:v>
      </x:c>
      <x:c r="G1361" t="n">
        <x:v>1</x:v>
      </x:c>
      <x:c r="H1361" t="str">
        <x:v>independent physical acceptance</x:v>
      </x:c>
      <x:c r="I1361" t="str">
        <x:f>IF(F1361=1,"PASS","OPEN")</x:f>
        <x:v>OPEN</x:v>
      </x:c>
    </x:row>
    <x:row r="1362">
      <x:c r="B1362" t="str">
        <x:v>PH-EX-146</x:v>
      </x:c>
      <x:c r="C1362" t="str">
        <x:v>PHYSICAL</x:v>
      </x:c>
      <x:c r="D1362" t="str">
        <x:v>event execution</x:v>
      </x:c>
      <x:c r="E1362" t="str">
        <x:v>PH-EX-146</x:v>
      </x:c>
      <x:c r="F1362" t="n">
        <x:f>IF('Event Register'!R152&lt;&gt;"",1,0)</x:f>
        <x:v>0</x:v>
      </x:c>
      <x:c r="G1362" t="n">
        <x:v>1</x:v>
      </x:c>
      <x:c r="H1362" t="str">
        <x:v>independent physical acceptance</x:v>
      </x:c>
      <x:c r="I1362" t="str">
        <x:f>IF(F1362=1,"PASS","OPEN")</x:f>
        <x:v>OPEN</x:v>
      </x:c>
    </x:row>
    <x:row r="1363">
      <x:c r="B1363" t="str">
        <x:v>PH-EV-146</x:v>
      </x:c>
      <x:c r="C1363" t="str">
        <x:v>PHYSICAL</x:v>
      </x:c>
      <x:c r="D1363" t="str">
        <x:v>event evidence</x:v>
      </x:c>
      <x:c r="E1363" t="str">
        <x:v>PH-EV-146</x:v>
      </x:c>
      <x:c r="F1363" t="n">
        <x:f>IF('Event Register'!S152&lt;&gt;"",1,0)</x:f>
        <x:v>0</x:v>
      </x:c>
      <x:c r="G1363" t="n">
        <x:v>1</x:v>
      </x:c>
      <x:c r="H1363" t="str">
        <x:v>independent physical acceptance</x:v>
      </x:c>
      <x:c r="I1363" t="str">
        <x:f>IF(F1363=1,"PASS","OPEN")</x:f>
        <x:v>OPEN</x:v>
      </x:c>
    </x:row>
    <x:row r="1364">
      <x:c r="B1364" t="str">
        <x:v>PH-VA-146</x:v>
      </x:c>
      <x:c r="C1364" t="str">
        <x:v>PHYSICAL</x:v>
      </x:c>
      <x:c r="D1364" t="str">
        <x:v>event validity</x:v>
      </x:c>
      <x:c r="E1364" t="str">
        <x:v>PH-VA-146</x:v>
      </x:c>
      <x:c r="F1364" t="n">
        <x:f>IF('Event Register'!T152&lt;&gt;"",1,0)</x:f>
        <x:v>0</x:v>
      </x:c>
      <x:c r="G1364" t="n">
        <x:v>1</x:v>
      </x:c>
      <x:c r="H1364" t="str">
        <x:v>independent physical acceptance</x:v>
      </x:c>
      <x:c r="I1364" t="str">
        <x:f>IF(F1364=1,"PASS","OPEN")</x:f>
        <x:v>OPEN</x:v>
      </x:c>
    </x:row>
    <x:row r="1365">
      <x:c r="B1365" t="str">
        <x:v>PH-OU-146</x:v>
      </x:c>
      <x:c r="C1365" t="str">
        <x:v>PHYSICAL</x:v>
      </x:c>
      <x:c r="D1365" t="str">
        <x:v>event outcome</x:v>
      </x:c>
      <x:c r="E1365" t="str">
        <x:v>PH-OU-146</x:v>
      </x:c>
      <x:c r="F1365" t="n">
        <x:f>IF('Event Register'!U152&lt;&gt;"",1,0)</x:f>
        <x:v>0</x:v>
      </x:c>
      <x:c r="G1365" t="n">
        <x:v>1</x:v>
      </x:c>
      <x:c r="H1365" t="str">
        <x:v>independent physical acceptance</x:v>
      </x:c>
      <x:c r="I1365" t="str">
        <x:f>IF(F1365=1,"PASS","OPEN")</x:f>
        <x:v>OPEN</x:v>
      </x:c>
    </x:row>
    <x:row r="1366">
      <x:c r="B1366" t="str">
        <x:v>PH-EX-147</x:v>
      </x:c>
      <x:c r="C1366" t="str">
        <x:v>PHYSICAL</x:v>
      </x:c>
      <x:c r="D1366" t="str">
        <x:v>event execution</x:v>
      </x:c>
      <x:c r="E1366" t="str">
        <x:v>PH-EX-147</x:v>
      </x:c>
      <x:c r="F1366" t="n">
        <x:f>IF('Event Register'!R153&lt;&gt;"",1,0)</x:f>
        <x:v>0</x:v>
      </x:c>
      <x:c r="G1366" t="n">
        <x:v>1</x:v>
      </x:c>
      <x:c r="H1366" t="str">
        <x:v>independent physical acceptance</x:v>
      </x:c>
      <x:c r="I1366" t="str">
        <x:f>IF(F1366=1,"PASS","OPEN")</x:f>
        <x:v>OPEN</x:v>
      </x:c>
    </x:row>
    <x:row r="1367">
      <x:c r="B1367" t="str">
        <x:v>PH-EV-147</x:v>
      </x:c>
      <x:c r="C1367" t="str">
        <x:v>PHYSICAL</x:v>
      </x:c>
      <x:c r="D1367" t="str">
        <x:v>event evidence</x:v>
      </x:c>
      <x:c r="E1367" t="str">
        <x:v>PH-EV-147</x:v>
      </x:c>
      <x:c r="F1367" t="n">
        <x:f>IF('Event Register'!S153&lt;&gt;"",1,0)</x:f>
        <x:v>0</x:v>
      </x:c>
      <x:c r="G1367" t="n">
        <x:v>1</x:v>
      </x:c>
      <x:c r="H1367" t="str">
        <x:v>independent physical acceptance</x:v>
      </x:c>
      <x:c r="I1367" t="str">
        <x:f>IF(F1367=1,"PASS","OPEN")</x:f>
        <x:v>OPEN</x:v>
      </x:c>
    </x:row>
    <x:row r="1368">
      <x:c r="B1368" t="str">
        <x:v>PH-VA-147</x:v>
      </x:c>
      <x:c r="C1368" t="str">
        <x:v>PHYSICAL</x:v>
      </x:c>
      <x:c r="D1368" t="str">
        <x:v>event validity</x:v>
      </x:c>
      <x:c r="E1368" t="str">
        <x:v>PH-VA-147</x:v>
      </x:c>
      <x:c r="F1368" t="n">
        <x:f>IF('Event Register'!T153&lt;&gt;"",1,0)</x:f>
        <x:v>0</x:v>
      </x:c>
      <x:c r="G1368" t="n">
        <x:v>1</x:v>
      </x:c>
      <x:c r="H1368" t="str">
        <x:v>independent physical acceptance</x:v>
      </x:c>
      <x:c r="I1368" t="str">
        <x:f>IF(F1368=1,"PASS","OPEN")</x:f>
        <x:v>OPEN</x:v>
      </x:c>
    </x:row>
    <x:row r="1369">
      <x:c r="B1369" t="str">
        <x:v>PH-OU-147</x:v>
      </x:c>
      <x:c r="C1369" t="str">
        <x:v>PHYSICAL</x:v>
      </x:c>
      <x:c r="D1369" t="str">
        <x:v>event outcome</x:v>
      </x:c>
      <x:c r="E1369" t="str">
        <x:v>PH-OU-147</x:v>
      </x:c>
      <x:c r="F1369" t="n">
        <x:f>IF('Event Register'!U153&lt;&gt;"",1,0)</x:f>
        <x:v>0</x:v>
      </x:c>
      <x:c r="G1369" t="n">
        <x:v>1</x:v>
      </x:c>
      <x:c r="H1369" t="str">
        <x:v>independent physical acceptance</x:v>
      </x:c>
      <x:c r="I1369" t="str">
        <x:f>IF(F1369=1,"PASS","OPEN")</x:f>
        <x:v>OPEN</x:v>
      </x:c>
    </x:row>
    <x:row r="1370">
      <x:c r="B1370" t="str">
        <x:v>PH-EX-148</x:v>
      </x:c>
      <x:c r="C1370" t="str">
        <x:v>PHYSICAL</x:v>
      </x:c>
      <x:c r="D1370" t="str">
        <x:v>event execution</x:v>
      </x:c>
      <x:c r="E1370" t="str">
        <x:v>PH-EX-148</x:v>
      </x:c>
      <x:c r="F1370" t="n">
        <x:f>IF('Event Register'!R154&lt;&gt;"",1,0)</x:f>
        <x:v>0</x:v>
      </x:c>
      <x:c r="G1370" t="n">
        <x:v>1</x:v>
      </x:c>
      <x:c r="H1370" t="str">
        <x:v>independent physical acceptance</x:v>
      </x:c>
      <x:c r="I1370" t="str">
        <x:f>IF(F1370=1,"PASS","OPEN")</x:f>
        <x:v>OPEN</x:v>
      </x:c>
    </x:row>
    <x:row r="1371">
      <x:c r="B1371" t="str">
        <x:v>PH-EV-148</x:v>
      </x:c>
      <x:c r="C1371" t="str">
        <x:v>PHYSICAL</x:v>
      </x:c>
      <x:c r="D1371" t="str">
        <x:v>event evidence</x:v>
      </x:c>
      <x:c r="E1371" t="str">
        <x:v>PH-EV-148</x:v>
      </x:c>
      <x:c r="F1371" t="n">
        <x:f>IF('Event Register'!S154&lt;&gt;"",1,0)</x:f>
        <x:v>0</x:v>
      </x:c>
      <x:c r="G1371" t="n">
        <x:v>1</x:v>
      </x:c>
      <x:c r="H1371" t="str">
        <x:v>independent physical acceptance</x:v>
      </x:c>
      <x:c r="I1371" t="str">
        <x:f>IF(F1371=1,"PASS","OPEN")</x:f>
        <x:v>OPEN</x:v>
      </x:c>
    </x:row>
    <x:row r="1372">
      <x:c r="B1372" t="str">
        <x:v>PH-VA-148</x:v>
      </x:c>
      <x:c r="C1372" t="str">
        <x:v>PHYSICAL</x:v>
      </x:c>
      <x:c r="D1372" t="str">
        <x:v>event validity</x:v>
      </x:c>
      <x:c r="E1372" t="str">
        <x:v>PH-VA-148</x:v>
      </x:c>
      <x:c r="F1372" t="n">
        <x:f>IF('Event Register'!T154&lt;&gt;"",1,0)</x:f>
        <x:v>0</x:v>
      </x:c>
      <x:c r="G1372" t="n">
        <x:v>1</x:v>
      </x:c>
      <x:c r="H1372" t="str">
        <x:v>independent physical acceptance</x:v>
      </x:c>
      <x:c r="I1372" t="str">
        <x:f>IF(F1372=1,"PASS","OPEN")</x:f>
        <x:v>OPEN</x:v>
      </x:c>
    </x:row>
    <x:row r="1373">
      <x:c r="B1373" t="str">
        <x:v>PH-OU-148</x:v>
      </x:c>
      <x:c r="C1373" t="str">
        <x:v>PHYSICAL</x:v>
      </x:c>
      <x:c r="D1373" t="str">
        <x:v>event outcome</x:v>
      </x:c>
      <x:c r="E1373" t="str">
        <x:v>PH-OU-148</x:v>
      </x:c>
      <x:c r="F1373" t="n">
        <x:f>IF('Event Register'!U154&lt;&gt;"",1,0)</x:f>
        <x:v>0</x:v>
      </x:c>
      <x:c r="G1373" t="n">
        <x:v>1</x:v>
      </x:c>
      <x:c r="H1373" t="str">
        <x:v>independent physical acceptance</x:v>
      </x:c>
      <x:c r="I1373" t="str">
        <x:f>IF(F1373=1,"PASS","OPEN")</x:f>
        <x:v>OPEN</x:v>
      </x:c>
    </x:row>
    <x:row r="1374">
      <x:c r="B1374" t="str">
        <x:v>PH-EX-149</x:v>
      </x:c>
      <x:c r="C1374" t="str">
        <x:v>PHYSICAL</x:v>
      </x:c>
      <x:c r="D1374" t="str">
        <x:v>event execution</x:v>
      </x:c>
      <x:c r="E1374" t="str">
        <x:v>PH-EX-149</x:v>
      </x:c>
      <x:c r="F1374" t="n">
        <x:f>IF('Event Register'!R155&lt;&gt;"",1,0)</x:f>
        <x:v>0</x:v>
      </x:c>
      <x:c r="G1374" t="n">
        <x:v>1</x:v>
      </x:c>
      <x:c r="H1374" t="str">
        <x:v>independent physical acceptance</x:v>
      </x:c>
      <x:c r="I1374" t="str">
        <x:f>IF(F1374=1,"PASS","OPEN")</x:f>
        <x:v>OPEN</x:v>
      </x:c>
    </x:row>
    <x:row r="1375">
      <x:c r="B1375" t="str">
        <x:v>PH-EV-149</x:v>
      </x:c>
      <x:c r="C1375" t="str">
        <x:v>PHYSICAL</x:v>
      </x:c>
      <x:c r="D1375" t="str">
        <x:v>event evidence</x:v>
      </x:c>
      <x:c r="E1375" t="str">
        <x:v>PH-EV-149</x:v>
      </x:c>
      <x:c r="F1375" t="n">
        <x:f>IF('Event Register'!S155&lt;&gt;"",1,0)</x:f>
        <x:v>0</x:v>
      </x:c>
      <x:c r="G1375" t="n">
        <x:v>1</x:v>
      </x:c>
      <x:c r="H1375" t="str">
        <x:v>independent physical acceptance</x:v>
      </x:c>
      <x:c r="I1375" t="str">
        <x:f>IF(F1375=1,"PASS","OPEN")</x:f>
        <x:v>OPEN</x:v>
      </x:c>
    </x:row>
    <x:row r="1376">
      <x:c r="B1376" t="str">
        <x:v>PH-VA-149</x:v>
      </x:c>
      <x:c r="C1376" t="str">
        <x:v>PHYSICAL</x:v>
      </x:c>
      <x:c r="D1376" t="str">
        <x:v>event validity</x:v>
      </x:c>
      <x:c r="E1376" t="str">
        <x:v>PH-VA-149</x:v>
      </x:c>
      <x:c r="F1376" t="n">
        <x:f>IF('Event Register'!T155&lt;&gt;"",1,0)</x:f>
        <x:v>0</x:v>
      </x:c>
      <x:c r="G1376" t="n">
        <x:v>1</x:v>
      </x:c>
      <x:c r="H1376" t="str">
        <x:v>independent physical acceptance</x:v>
      </x:c>
      <x:c r="I1376" t="str">
        <x:f>IF(F1376=1,"PASS","OPEN")</x:f>
        <x:v>OPEN</x:v>
      </x:c>
    </x:row>
    <x:row r="1377">
      <x:c r="B1377" t="str">
        <x:v>PH-OU-149</x:v>
      </x:c>
      <x:c r="C1377" t="str">
        <x:v>PHYSICAL</x:v>
      </x:c>
      <x:c r="D1377" t="str">
        <x:v>event outcome</x:v>
      </x:c>
      <x:c r="E1377" t="str">
        <x:v>PH-OU-149</x:v>
      </x:c>
      <x:c r="F1377" t="n">
        <x:f>IF('Event Register'!U155&lt;&gt;"",1,0)</x:f>
        <x:v>0</x:v>
      </x:c>
      <x:c r="G1377" t="n">
        <x:v>1</x:v>
      </x:c>
      <x:c r="H1377" t="str">
        <x:v>independent physical acceptance</x:v>
      </x:c>
      <x:c r="I1377" t="str">
        <x:f>IF(F1377=1,"PASS","OPEN")</x:f>
        <x:v>OPEN</x:v>
      </x:c>
    </x:row>
    <x:row r="1378">
      <x:c r="B1378" t="str">
        <x:v>PH-EX-150</x:v>
      </x:c>
      <x:c r="C1378" t="str">
        <x:v>PHYSICAL</x:v>
      </x:c>
      <x:c r="D1378" t="str">
        <x:v>event execution</x:v>
      </x:c>
      <x:c r="E1378" t="str">
        <x:v>PH-EX-150</x:v>
      </x:c>
      <x:c r="F1378" t="n">
        <x:f>IF('Event Register'!R156&lt;&gt;"",1,0)</x:f>
        <x:v>0</x:v>
      </x:c>
      <x:c r="G1378" t="n">
        <x:v>1</x:v>
      </x:c>
      <x:c r="H1378" t="str">
        <x:v>independent physical acceptance</x:v>
      </x:c>
      <x:c r="I1378" t="str">
        <x:f>IF(F1378=1,"PASS","OPEN")</x:f>
        <x:v>OPEN</x:v>
      </x:c>
    </x:row>
    <x:row r="1379">
      <x:c r="B1379" t="str">
        <x:v>PH-EV-150</x:v>
      </x:c>
      <x:c r="C1379" t="str">
        <x:v>PHYSICAL</x:v>
      </x:c>
      <x:c r="D1379" t="str">
        <x:v>event evidence</x:v>
      </x:c>
      <x:c r="E1379" t="str">
        <x:v>PH-EV-150</x:v>
      </x:c>
      <x:c r="F1379" t="n">
        <x:f>IF('Event Register'!S156&lt;&gt;"",1,0)</x:f>
        <x:v>0</x:v>
      </x:c>
      <x:c r="G1379" t="n">
        <x:v>1</x:v>
      </x:c>
      <x:c r="H1379" t="str">
        <x:v>independent physical acceptance</x:v>
      </x:c>
      <x:c r="I1379" t="str">
        <x:f>IF(F1379=1,"PASS","OPEN")</x:f>
        <x:v>OPEN</x:v>
      </x:c>
    </x:row>
    <x:row r="1380">
      <x:c r="B1380" t="str">
        <x:v>PH-VA-150</x:v>
      </x:c>
      <x:c r="C1380" t="str">
        <x:v>PHYSICAL</x:v>
      </x:c>
      <x:c r="D1380" t="str">
        <x:v>event validity</x:v>
      </x:c>
      <x:c r="E1380" t="str">
        <x:v>PH-VA-150</x:v>
      </x:c>
      <x:c r="F1380" t="n">
        <x:f>IF('Event Register'!T156&lt;&gt;"",1,0)</x:f>
        <x:v>0</x:v>
      </x:c>
      <x:c r="G1380" t="n">
        <x:v>1</x:v>
      </x:c>
      <x:c r="H1380" t="str">
        <x:v>independent physical acceptance</x:v>
      </x:c>
      <x:c r="I1380" t="str">
        <x:f>IF(F1380=1,"PASS","OPEN")</x:f>
        <x:v>OPEN</x:v>
      </x:c>
    </x:row>
    <x:row r="1381">
      <x:c r="B1381" t="str">
        <x:v>PH-OU-150</x:v>
      </x:c>
      <x:c r="C1381" t="str">
        <x:v>PHYSICAL</x:v>
      </x:c>
      <x:c r="D1381" t="str">
        <x:v>event outcome</x:v>
      </x:c>
      <x:c r="E1381" t="str">
        <x:v>PH-OU-150</x:v>
      </x:c>
      <x:c r="F1381" t="n">
        <x:f>IF('Event Register'!U156&lt;&gt;"",1,0)</x:f>
        <x:v>0</x:v>
      </x:c>
      <x:c r="G1381" t="n">
        <x:v>1</x:v>
      </x:c>
      <x:c r="H1381" t="str">
        <x:v>independent physical acceptance</x:v>
      </x:c>
      <x:c r="I1381" t="str">
        <x:f>IF(F1381=1,"PASS","OPEN")</x:f>
        <x:v>OPEN</x:v>
      </x:c>
    </x:row>
    <x:row r="1382">
      <x:c r="B1382" t="str">
        <x:v>PH-EX-151</x:v>
      </x:c>
      <x:c r="C1382" t="str">
        <x:v>PHYSICAL</x:v>
      </x:c>
      <x:c r="D1382" t="str">
        <x:v>event execution</x:v>
      </x:c>
      <x:c r="E1382" t="str">
        <x:v>PH-EX-151</x:v>
      </x:c>
      <x:c r="F1382" t="n">
        <x:f>IF('Event Register'!R157&lt;&gt;"",1,0)</x:f>
        <x:v>0</x:v>
      </x:c>
      <x:c r="G1382" t="n">
        <x:v>1</x:v>
      </x:c>
      <x:c r="H1382" t="str">
        <x:v>independent physical acceptance</x:v>
      </x:c>
      <x:c r="I1382" t="str">
        <x:f>IF(F1382=1,"PASS","OPEN")</x:f>
        <x:v>OPEN</x:v>
      </x:c>
    </x:row>
    <x:row r="1383">
      <x:c r="B1383" t="str">
        <x:v>PH-EV-151</x:v>
      </x:c>
      <x:c r="C1383" t="str">
        <x:v>PHYSICAL</x:v>
      </x:c>
      <x:c r="D1383" t="str">
        <x:v>event evidence</x:v>
      </x:c>
      <x:c r="E1383" t="str">
        <x:v>PH-EV-151</x:v>
      </x:c>
      <x:c r="F1383" t="n">
        <x:f>IF('Event Register'!S157&lt;&gt;"",1,0)</x:f>
        <x:v>0</x:v>
      </x:c>
      <x:c r="G1383" t="n">
        <x:v>1</x:v>
      </x:c>
      <x:c r="H1383" t="str">
        <x:v>independent physical acceptance</x:v>
      </x:c>
      <x:c r="I1383" t="str">
        <x:f>IF(F1383=1,"PASS","OPEN")</x:f>
        <x:v>OPEN</x:v>
      </x:c>
    </x:row>
    <x:row r="1384">
      <x:c r="B1384" t="str">
        <x:v>PH-VA-151</x:v>
      </x:c>
      <x:c r="C1384" t="str">
        <x:v>PHYSICAL</x:v>
      </x:c>
      <x:c r="D1384" t="str">
        <x:v>event validity</x:v>
      </x:c>
      <x:c r="E1384" t="str">
        <x:v>PH-VA-151</x:v>
      </x:c>
      <x:c r="F1384" t="n">
        <x:f>IF('Event Register'!T157&lt;&gt;"",1,0)</x:f>
        <x:v>0</x:v>
      </x:c>
      <x:c r="G1384" t="n">
        <x:v>1</x:v>
      </x:c>
      <x:c r="H1384" t="str">
        <x:v>independent physical acceptance</x:v>
      </x:c>
      <x:c r="I1384" t="str">
        <x:f>IF(F1384=1,"PASS","OPEN")</x:f>
        <x:v>OPEN</x:v>
      </x:c>
    </x:row>
    <x:row r="1385">
      <x:c r="B1385" t="str">
        <x:v>PH-OU-151</x:v>
      </x:c>
      <x:c r="C1385" t="str">
        <x:v>PHYSICAL</x:v>
      </x:c>
      <x:c r="D1385" t="str">
        <x:v>event outcome</x:v>
      </x:c>
      <x:c r="E1385" t="str">
        <x:v>PH-OU-151</x:v>
      </x:c>
      <x:c r="F1385" t="n">
        <x:f>IF('Event Register'!U157&lt;&gt;"",1,0)</x:f>
        <x:v>0</x:v>
      </x:c>
      <x:c r="G1385" t="n">
        <x:v>1</x:v>
      </x:c>
      <x:c r="H1385" t="str">
        <x:v>independent physical acceptance</x:v>
      </x:c>
      <x:c r="I1385" t="str">
        <x:f>IF(F1385=1,"PASS","OPEN")</x:f>
        <x:v>OPEN</x:v>
      </x:c>
    </x:row>
    <x:row r="1386">
      <x:c r="B1386" t="str">
        <x:v>PH-EX-152</x:v>
      </x:c>
      <x:c r="C1386" t="str">
        <x:v>PHYSICAL</x:v>
      </x:c>
      <x:c r="D1386" t="str">
        <x:v>event execution</x:v>
      </x:c>
      <x:c r="E1386" t="str">
        <x:v>PH-EX-152</x:v>
      </x:c>
      <x:c r="F1386" t="n">
        <x:f>IF('Event Register'!R158&lt;&gt;"",1,0)</x:f>
        <x:v>0</x:v>
      </x:c>
      <x:c r="G1386" t="n">
        <x:v>1</x:v>
      </x:c>
      <x:c r="H1386" t="str">
        <x:v>independent physical acceptance</x:v>
      </x:c>
      <x:c r="I1386" t="str">
        <x:f>IF(F1386=1,"PASS","OPEN")</x:f>
        <x:v>OPEN</x:v>
      </x:c>
    </x:row>
    <x:row r="1387">
      <x:c r="B1387" t="str">
        <x:v>PH-EV-152</x:v>
      </x:c>
      <x:c r="C1387" t="str">
        <x:v>PHYSICAL</x:v>
      </x:c>
      <x:c r="D1387" t="str">
        <x:v>event evidence</x:v>
      </x:c>
      <x:c r="E1387" t="str">
        <x:v>PH-EV-152</x:v>
      </x:c>
      <x:c r="F1387" t="n">
        <x:f>IF('Event Register'!S158&lt;&gt;"",1,0)</x:f>
        <x:v>0</x:v>
      </x:c>
      <x:c r="G1387" t="n">
        <x:v>1</x:v>
      </x:c>
      <x:c r="H1387" t="str">
        <x:v>independent physical acceptance</x:v>
      </x:c>
      <x:c r="I1387" t="str">
        <x:f>IF(F1387=1,"PASS","OPEN")</x:f>
        <x:v>OPEN</x:v>
      </x:c>
    </x:row>
    <x:row r="1388">
      <x:c r="B1388" t="str">
        <x:v>PH-VA-152</x:v>
      </x:c>
      <x:c r="C1388" t="str">
        <x:v>PHYSICAL</x:v>
      </x:c>
      <x:c r="D1388" t="str">
        <x:v>event validity</x:v>
      </x:c>
      <x:c r="E1388" t="str">
        <x:v>PH-VA-152</x:v>
      </x:c>
      <x:c r="F1388" t="n">
        <x:f>IF('Event Register'!T158&lt;&gt;"",1,0)</x:f>
        <x:v>0</x:v>
      </x:c>
      <x:c r="G1388" t="n">
        <x:v>1</x:v>
      </x:c>
      <x:c r="H1388" t="str">
        <x:v>independent physical acceptance</x:v>
      </x:c>
      <x:c r="I1388" t="str">
        <x:f>IF(F1388=1,"PASS","OPEN")</x:f>
        <x:v>OPEN</x:v>
      </x:c>
    </x:row>
    <x:row r="1389">
      <x:c r="B1389" t="str">
        <x:v>PH-OU-152</x:v>
      </x:c>
      <x:c r="C1389" t="str">
        <x:v>PHYSICAL</x:v>
      </x:c>
      <x:c r="D1389" t="str">
        <x:v>event outcome</x:v>
      </x:c>
      <x:c r="E1389" t="str">
        <x:v>PH-OU-152</x:v>
      </x:c>
      <x:c r="F1389" t="n">
        <x:f>IF('Event Register'!U158&lt;&gt;"",1,0)</x:f>
        <x:v>0</x:v>
      </x:c>
      <x:c r="G1389" t="n">
        <x:v>1</x:v>
      </x:c>
      <x:c r="H1389" t="str">
        <x:v>independent physical acceptance</x:v>
      </x:c>
      <x:c r="I1389" t="str">
        <x:f>IF(F1389=1,"PASS","OPEN")</x:f>
        <x:v>OPEN</x:v>
      </x:c>
    </x:row>
    <x:row r="1390">
      <x:c r="B1390" t="str">
        <x:v>PH-EX-153</x:v>
      </x:c>
      <x:c r="C1390" t="str">
        <x:v>PHYSICAL</x:v>
      </x:c>
      <x:c r="D1390" t="str">
        <x:v>event execution</x:v>
      </x:c>
      <x:c r="E1390" t="str">
        <x:v>PH-EX-153</x:v>
      </x:c>
      <x:c r="F1390" t="n">
        <x:f>IF('Event Register'!R159&lt;&gt;"",1,0)</x:f>
        <x:v>0</x:v>
      </x:c>
      <x:c r="G1390" t="n">
        <x:v>1</x:v>
      </x:c>
      <x:c r="H1390" t="str">
        <x:v>independent physical acceptance</x:v>
      </x:c>
      <x:c r="I1390" t="str">
        <x:f>IF(F1390=1,"PASS","OPEN")</x:f>
        <x:v>OPEN</x:v>
      </x:c>
    </x:row>
    <x:row r="1391">
      <x:c r="B1391" t="str">
        <x:v>PH-EV-153</x:v>
      </x:c>
      <x:c r="C1391" t="str">
        <x:v>PHYSICAL</x:v>
      </x:c>
      <x:c r="D1391" t="str">
        <x:v>event evidence</x:v>
      </x:c>
      <x:c r="E1391" t="str">
        <x:v>PH-EV-153</x:v>
      </x:c>
      <x:c r="F1391" t="n">
        <x:f>IF('Event Register'!S159&lt;&gt;"",1,0)</x:f>
        <x:v>0</x:v>
      </x:c>
      <x:c r="G1391" t="n">
        <x:v>1</x:v>
      </x:c>
      <x:c r="H1391" t="str">
        <x:v>independent physical acceptance</x:v>
      </x:c>
      <x:c r="I1391" t="str">
        <x:f>IF(F1391=1,"PASS","OPEN")</x:f>
        <x:v>OPEN</x:v>
      </x:c>
    </x:row>
    <x:row r="1392">
      <x:c r="B1392" t="str">
        <x:v>PH-VA-153</x:v>
      </x:c>
      <x:c r="C1392" t="str">
        <x:v>PHYSICAL</x:v>
      </x:c>
      <x:c r="D1392" t="str">
        <x:v>event validity</x:v>
      </x:c>
      <x:c r="E1392" t="str">
        <x:v>PH-VA-153</x:v>
      </x:c>
      <x:c r="F1392" t="n">
        <x:f>IF('Event Register'!T159&lt;&gt;"",1,0)</x:f>
        <x:v>0</x:v>
      </x:c>
      <x:c r="G1392" t="n">
        <x:v>1</x:v>
      </x:c>
      <x:c r="H1392" t="str">
        <x:v>independent physical acceptance</x:v>
      </x:c>
      <x:c r="I1392" t="str">
        <x:f>IF(F1392=1,"PASS","OPEN")</x:f>
        <x:v>OPEN</x:v>
      </x:c>
    </x:row>
    <x:row r="1393">
      <x:c r="B1393" t="str">
        <x:v>PH-OU-153</x:v>
      </x:c>
      <x:c r="C1393" t="str">
        <x:v>PHYSICAL</x:v>
      </x:c>
      <x:c r="D1393" t="str">
        <x:v>event outcome</x:v>
      </x:c>
      <x:c r="E1393" t="str">
        <x:v>PH-OU-153</x:v>
      </x:c>
      <x:c r="F1393" t="n">
        <x:f>IF('Event Register'!U159&lt;&gt;"",1,0)</x:f>
        <x:v>0</x:v>
      </x:c>
      <x:c r="G1393" t="n">
        <x:v>1</x:v>
      </x:c>
      <x:c r="H1393" t="str">
        <x:v>independent physical acceptance</x:v>
      </x:c>
      <x:c r="I1393" t="str">
        <x:f>IF(F1393=1,"PASS","OPEN")</x:f>
        <x:v>OPEN</x:v>
      </x:c>
    </x:row>
    <x:row r="1394">
      <x:c r="B1394" t="str">
        <x:v>PH-EX-154</x:v>
      </x:c>
      <x:c r="C1394" t="str">
        <x:v>PHYSICAL</x:v>
      </x:c>
      <x:c r="D1394" t="str">
        <x:v>event execution</x:v>
      </x:c>
      <x:c r="E1394" t="str">
        <x:v>PH-EX-154</x:v>
      </x:c>
      <x:c r="F1394" t="n">
        <x:f>IF('Event Register'!R160&lt;&gt;"",1,0)</x:f>
        <x:v>0</x:v>
      </x:c>
      <x:c r="G1394" t="n">
        <x:v>1</x:v>
      </x:c>
      <x:c r="H1394" t="str">
        <x:v>independent physical acceptance</x:v>
      </x:c>
      <x:c r="I1394" t="str">
        <x:f>IF(F1394=1,"PASS","OPEN")</x:f>
        <x:v>OPEN</x:v>
      </x:c>
    </x:row>
    <x:row r="1395">
      <x:c r="B1395" t="str">
        <x:v>PH-EV-154</x:v>
      </x:c>
      <x:c r="C1395" t="str">
        <x:v>PHYSICAL</x:v>
      </x:c>
      <x:c r="D1395" t="str">
        <x:v>event evidence</x:v>
      </x:c>
      <x:c r="E1395" t="str">
        <x:v>PH-EV-154</x:v>
      </x:c>
      <x:c r="F1395" t="n">
        <x:f>IF('Event Register'!S160&lt;&gt;"",1,0)</x:f>
        <x:v>0</x:v>
      </x:c>
      <x:c r="G1395" t="n">
        <x:v>1</x:v>
      </x:c>
      <x:c r="H1395" t="str">
        <x:v>independent physical acceptance</x:v>
      </x:c>
      <x:c r="I1395" t="str">
        <x:f>IF(F1395=1,"PASS","OPEN")</x:f>
        <x:v>OPEN</x:v>
      </x:c>
    </x:row>
    <x:row r="1396">
      <x:c r="B1396" t="str">
        <x:v>PH-VA-154</x:v>
      </x:c>
      <x:c r="C1396" t="str">
        <x:v>PHYSICAL</x:v>
      </x:c>
      <x:c r="D1396" t="str">
        <x:v>event validity</x:v>
      </x:c>
      <x:c r="E1396" t="str">
        <x:v>PH-VA-154</x:v>
      </x:c>
      <x:c r="F1396" t="n">
        <x:f>IF('Event Register'!T160&lt;&gt;"",1,0)</x:f>
        <x:v>0</x:v>
      </x:c>
      <x:c r="G1396" t="n">
        <x:v>1</x:v>
      </x:c>
      <x:c r="H1396" t="str">
        <x:v>independent physical acceptance</x:v>
      </x:c>
      <x:c r="I1396" t="str">
        <x:f>IF(F1396=1,"PASS","OPEN")</x:f>
        <x:v>OPEN</x:v>
      </x:c>
    </x:row>
    <x:row r="1397">
      <x:c r="B1397" t="str">
        <x:v>PH-OU-154</x:v>
      </x:c>
      <x:c r="C1397" t="str">
        <x:v>PHYSICAL</x:v>
      </x:c>
      <x:c r="D1397" t="str">
        <x:v>event outcome</x:v>
      </x:c>
      <x:c r="E1397" t="str">
        <x:v>PH-OU-154</x:v>
      </x:c>
      <x:c r="F1397" t="n">
        <x:f>IF('Event Register'!U160&lt;&gt;"",1,0)</x:f>
        <x:v>0</x:v>
      </x:c>
      <x:c r="G1397" t="n">
        <x:v>1</x:v>
      </x:c>
      <x:c r="H1397" t="str">
        <x:v>independent physical acceptance</x:v>
      </x:c>
      <x:c r="I1397" t="str">
        <x:f>IF(F1397=1,"PASS","OPEN")</x:f>
        <x:v>OPEN</x:v>
      </x:c>
    </x:row>
    <x:row r="1398">
      <x:c r="B1398" t="str">
        <x:v>PH-EX-155</x:v>
      </x:c>
      <x:c r="C1398" t="str">
        <x:v>PHYSICAL</x:v>
      </x:c>
      <x:c r="D1398" t="str">
        <x:v>event execution</x:v>
      </x:c>
      <x:c r="E1398" t="str">
        <x:v>PH-EX-155</x:v>
      </x:c>
      <x:c r="F1398" t="n">
        <x:f>IF('Event Register'!R161&lt;&gt;"",1,0)</x:f>
        <x:v>0</x:v>
      </x:c>
      <x:c r="G1398" t="n">
        <x:v>1</x:v>
      </x:c>
      <x:c r="H1398" t="str">
        <x:v>independent physical acceptance</x:v>
      </x:c>
      <x:c r="I1398" t="str">
        <x:f>IF(F1398=1,"PASS","OPEN")</x:f>
        <x:v>OPEN</x:v>
      </x:c>
    </x:row>
    <x:row r="1399">
      <x:c r="B1399" t="str">
        <x:v>PH-EV-155</x:v>
      </x:c>
      <x:c r="C1399" t="str">
        <x:v>PHYSICAL</x:v>
      </x:c>
      <x:c r="D1399" t="str">
        <x:v>event evidence</x:v>
      </x:c>
      <x:c r="E1399" t="str">
        <x:v>PH-EV-155</x:v>
      </x:c>
      <x:c r="F1399" t="n">
        <x:f>IF('Event Register'!S161&lt;&gt;"",1,0)</x:f>
        <x:v>0</x:v>
      </x:c>
      <x:c r="G1399" t="n">
        <x:v>1</x:v>
      </x:c>
      <x:c r="H1399" t="str">
        <x:v>independent physical acceptance</x:v>
      </x:c>
      <x:c r="I1399" t="str">
        <x:f>IF(F1399=1,"PASS","OPEN")</x:f>
        <x:v>OPEN</x:v>
      </x:c>
    </x:row>
    <x:row r="1400">
      <x:c r="B1400" t="str">
        <x:v>PH-VA-155</x:v>
      </x:c>
      <x:c r="C1400" t="str">
        <x:v>PHYSICAL</x:v>
      </x:c>
      <x:c r="D1400" t="str">
        <x:v>event validity</x:v>
      </x:c>
      <x:c r="E1400" t="str">
        <x:v>PH-VA-155</x:v>
      </x:c>
      <x:c r="F1400" t="n">
        <x:f>IF('Event Register'!T161&lt;&gt;"",1,0)</x:f>
        <x:v>0</x:v>
      </x:c>
      <x:c r="G1400" t="n">
        <x:v>1</x:v>
      </x:c>
      <x:c r="H1400" t="str">
        <x:v>independent physical acceptance</x:v>
      </x:c>
      <x:c r="I1400" t="str">
        <x:f>IF(F1400=1,"PASS","OPEN")</x:f>
        <x:v>OPEN</x:v>
      </x:c>
    </x:row>
    <x:row r="1401">
      <x:c r="B1401" t="str">
        <x:v>PH-OU-155</x:v>
      </x:c>
      <x:c r="C1401" t="str">
        <x:v>PHYSICAL</x:v>
      </x:c>
      <x:c r="D1401" t="str">
        <x:v>event outcome</x:v>
      </x:c>
      <x:c r="E1401" t="str">
        <x:v>PH-OU-155</x:v>
      </x:c>
      <x:c r="F1401" t="n">
        <x:f>IF('Event Register'!U161&lt;&gt;"",1,0)</x:f>
        <x:v>0</x:v>
      </x:c>
      <x:c r="G1401" t="n">
        <x:v>1</x:v>
      </x:c>
      <x:c r="H1401" t="str">
        <x:v>independent physical acceptance</x:v>
      </x:c>
      <x:c r="I1401" t="str">
        <x:f>IF(F1401=1,"PASS","OPEN")</x:f>
        <x:v>OPEN</x:v>
      </x:c>
    </x:row>
    <x:row r="1402">
      <x:c r="B1402" t="str">
        <x:v>PH-EX-156</x:v>
      </x:c>
      <x:c r="C1402" t="str">
        <x:v>PHYSICAL</x:v>
      </x:c>
      <x:c r="D1402" t="str">
        <x:v>event execution</x:v>
      </x:c>
      <x:c r="E1402" t="str">
        <x:v>PH-EX-156</x:v>
      </x:c>
      <x:c r="F1402" t="n">
        <x:f>IF('Event Register'!R162&lt;&gt;"",1,0)</x:f>
        <x:v>0</x:v>
      </x:c>
      <x:c r="G1402" t="n">
        <x:v>1</x:v>
      </x:c>
      <x:c r="H1402" t="str">
        <x:v>independent physical acceptance</x:v>
      </x:c>
      <x:c r="I1402" t="str">
        <x:f>IF(F1402=1,"PASS","OPEN")</x:f>
        <x:v>OPEN</x:v>
      </x:c>
    </x:row>
    <x:row r="1403">
      <x:c r="B1403" t="str">
        <x:v>PH-EV-156</x:v>
      </x:c>
      <x:c r="C1403" t="str">
        <x:v>PHYSICAL</x:v>
      </x:c>
      <x:c r="D1403" t="str">
        <x:v>event evidence</x:v>
      </x:c>
      <x:c r="E1403" t="str">
        <x:v>PH-EV-156</x:v>
      </x:c>
      <x:c r="F1403" t="n">
        <x:f>IF('Event Register'!S162&lt;&gt;"",1,0)</x:f>
        <x:v>0</x:v>
      </x:c>
      <x:c r="G1403" t="n">
        <x:v>1</x:v>
      </x:c>
      <x:c r="H1403" t="str">
        <x:v>independent physical acceptance</x:v>
      </x:c>
      <x:c r="I1403" t="str">
        <x:f>IF(F1403=1,"PASS","OPEN")</x:f>
        <x:v>OPEN</x:v>
      </x:c>
    </x:row>
    <x:row r="1404">
      <x:c r="B1404" t="str">
        <x:v>PH-VA-156</x:v>
      </x:c>
      <x:c r="C1404" t="str">
        <x:v>PHYSICAL</x:v>
      </x:c>
      <x:c r="D1404" t="str">
        <x:v>event validity</x:v>
      </x:c>
      <x:c r="E1404" t="str">
        <x:v>PH-VA-156</x:v>
      </x:c>
      <x:c r="F1404" t="n">
        <x:f>IF('Event Register'!T162&lt;&gt;"",1,0)</x:f>
        <x:v>0</x:v>
      </x:c>
      <x:c r="G1404" t="n">
        <x:v>1</x:v>
      </x:c>
      <x:c r="H1404" t="str">
        <x:v>independent physical acceptance</x:v>
      </x:c>
      <x:c r="I1404" t="str">
        <x:f>IF(F1404=1,"PASS","OPEN")</x:f>
        <x:v>OPEN</x:v>
      </x:c>
    </x:row>
    <x:row r="1405">
      <x:c r="B1405" t="str">
        <x:v>PH-OU-156</x:v>
      </x:c>
      <x:c r="C1405" t="str">
        <x:v>PHYSICAL</x:v>
      </x:c>
      <x:c r="D1405" t="str">
        <x:v>event outcome</x:v>
      </x:c>
      <x:c r="E1405" t="str">
        <x:v>PH-OU-156</x:v>
      </x:c>
      <x:c r="F1405" t="n">
        <x:f>IF('Event Register'!U162&lt;&gt;"",1,0)</x:f>
        <x:v>0</x:v>
      </x:c>
      <x:c r="G1405" t="n">
        <x:v>1</x:v>
      </x:c>
      <x:c r="H1405" t="str">
        <x:v>independent physical acceptance</x:v>
      </x:c>
      <x:c r="I1405" t="str">
        <x:f>IF(F1405=1,"PASS","OPEN")</x:f>
        <x:v>OPEN</x:v>
      </x:c>
    </x:row>
    <x:row r="1406">
      <x:c r="B1406" t="str">
        <x:v>PH-EX-157</x:v>
      </x:c>
      <x:c r="C1406" t="str">
        <x:v>PHYSICAL</x:v>
      </x:c>
      <x:c r="D1406" t="str">
        <x:v>event execution</x:v>
      </x:c>
      <x:c r="E1406" t="str">
        <x:v>PH-EX-157</x:v>
      </x:c>
      <x:c r="F1406" t="n">
        <x:f>IF('Event Register'!R163&lt;&gt;"",1,0)</x:f>
        <x:v>0</x:v>
      </x:c>
      <x:c r="G1406" t="n">
        <x:v>1</x:v>
      </x:c>
      <x:c r="H1406" t="str">
        <x:v>independent physical acceptance</x:v>
      </x:c>
      <x:c r="I1406" t="str">
        <x:f>IF(F1406=1,"PASS","OPEN")</x:f>
        <x:v>OPEN</x:v>
      </x:c>
    </x:row>
    <x:row r="1407">
      <x:c r="B1407" t="str">
        <x:v>PH-EV-157</x:v>
      </x:c>
      <x:c r="C1407" t="str">
        <x:v>PHYSICAL</x:v>
      </x:c>
      <x:c r="D1407" t="str">
        <x:v>event evidence</x:v>
      </x:c>
      <x:c r="E1407" t="str">
        <x:v>PH-EV-157</x:v>
      </x:c>
      <x:c r="F1407" t="n">
        <x:f>IF('Event Register'!S163&lt;&gt;"",1,0)</x:f>
        <x:v>0</x:v>
      </x:c>
      <x:c r="G1407" t="n">
        <x:v>1</x:v>
      </x:c>
      <x:c r="H1407" t="str">
        <x:v>independent physical acceptance</x:v>
      </x:c>
      <x:c r="I1407" t="str">
        <x:f>IF(F1407=1,"PASS","OPEN")</x:f>
        <x:v>OPEN</x:v>
      </x:c>
    </x:row>
    <x:row r="1408">
      <x:c r="B1408" t="str">
        <x:v>PH-VA-157</x:v>
      </x:c>
      <x:c r="C1408" t="str">
        <x:v>PHYSICAL</x:v>
      </x:c>
      <x:c r="D1408" t="str">
        <x:v>event validity</x:v>
      </x:c>
      <x:c r="E1408" t="str">
        <x:v>PH-VA-157</x:v>
      </x:c>
      <x:c r="F1408" t="n">
        <x:f>IF('Event Register'!T163&lt;&gt;"",1,0)</x:f>
        <x:v>0</x:v>
      </x:c>
      <x:c r="G1408" t="n">
        <x:v>1</x:v>
      </x:c>
      <x:c r="H1408" t="str">
        <x:v>independent physical acceptance</x:v>
      </x:c>
      <x:c r="I1408" t="str">
        <x:f>IF(F1408=1,"PASS","OPEN")</x:f>
        <x:v>OPEN</x:v>
      </x:c>
    </x:row>
    <x:row r="1409">
      <x:c r="B1409" t="str">
        <x:v>PH-OU-157</x:v>
      </x:c>
      <x:c r="C1409" t="str">
        <x:v>PHYSICAL</x:v>
      </x:c>
      <x:c r="D1409" t="str">
        <x:v>event outcome</x:v>
      </x:c>
      <x:c r="E1409" t="str">
        <x:v>PH-OU-157</x:v>
      </x:c>
      <x:c r="F1409" t="n">
        <x:f>IF('Event Register'!U163&lt;&gt;"",1,0)</x:f>
        <x:v>0</x:v>
      </x:c>
      <x:c r="G1409" t="n">
        <x:v>1</x:v>
      </x:c>
      <x:c r="H1409" t="str">
        <x:v>independent physical acceptance</x:v>
      </x:c>
      <x:c r="I1409" t="str">
        <x:f>IF(F1409=1,"PASS","OPEN")</x:f>
        <x:v>OPEN</x:v>
      </x:c>
    </x:row>
    <x:row r="1410">
      <x:c r="B1410" t="str">
        <x:v>PH-EX-158</x:v>
      </x:c>
      <x:c r="C1410" t="str">
        <x:v>PHYSICAL</x:v>
      </x:c>
      <x:c r="D1410" t="str">
        <x:v>event execution</x:v>
      </x:c>
      <x:c r="E1410" t="str">
        <x:v>PH-EX-158</x:v>
      </x:c>
      <x:c r="F1410" t="n">
        <x:f>IF('Event Register'!R164&lt;&gt;"",1,0)</x:f>
        <x:v>0</x:v>
      </x:c>
      <x:c r="G1410" t="n">
        <x:v>1</x:v>
      </x:c>
      <x:c r="H1410" t="str">
        <x:v>independent physical acceptance</x:v>
      </x:c>
      <x:c r="I1410" t="str">
        <x:f>IF(F1410=1,"PASS","OPEN")</x:f>
        <x:v>OPEN</x:v>
      </x:c>
    </x:row>
    <x:row r="1411">
      <x:c r="B1411" t="str">
        <x:v>PH-EV-158</x:v>
      </x:c>
      <x:c r="C1411" t="str">
        <x:v>PHYSICAL</x:v>
      </x:c>
      <x:c r="D1411" t="str">
        <x:v>event evidence</x:v>
      </x:c>
      <x:c r="E1411" t="str">
        <x:v>PH-EV-158</x:v>
      </x:c>
      <x:c r="F1411" t="n">
        <x:f>IF('Event Register'!S164&lt;&gt;"",1,0)</x:f>
        <x:v>0</x:v>
      </x:c>
      <x:c r="G1411" t="n">
        <x:v>1</x:v>
      </x:c>
      <x:c r="H1411" t="str">
        <x:v>independent physical acceptance</x:v>
      </x:c>
      <x:c r="I1411" t="str">
        <x:f>IF(F1411=1,"PASS","OPEN")</x:f>
        <x:v>OPEN</x:v>
      </x:c>
    </x:row>
    <x:row r="1412">
      <x:c r="B1412" t="str">
        <x:v>PH-VA-158</x:v>
      </x:c>
      <x:c r="C1412" t="str">
        <x:v>PHYSICAL</x:v>
      </x:c>
      <x:c r="D1412" t="str">
        <x:v>event validity</x:v>
      </x:c>
      <x:c r="E1412" t="str">
        <x:v>PH-VA-158</x:v>
      </x:c>
      <x:c r="F1412" t="n">
        <x:f>IF('Event Register'!T164&lt;&gt;"",1,0)</x:f>
        <x:v>0</x:v>
      </x:c>
      <x:c r="G1412" t="n">
        <x:v>1</x:v>
      </x:c>
      <x:c r="H1412" t="str">
        <x:v>independent physical acceptance</x:v>
      </x:c>
      <x:c r="I1412" t="str">
        <x:f>IF(F1412=1,"PASS","OPEN")</x:f>
        <x:v>OPEN</x:v>
      </x:c>
    </x:row>
    <x:row r="1413">
      <x:c r="B1413" t="str">
        <x:v>PH-OU-158</x:v>
      </x:c>
      <x:c r="C1413" t="str">
        <x:v>PHYSICAL</x:v>
      </x:c>
      <x:c r="D1413" t="str">
        <x:v>event outcome</x:v>
      </x:c>
      <x:c r="E1413" t="str">
        <x:v>PH-OU-158</x:v>
      </x:c>
      <x:c r="F1413" t="n">
        <x:f>IF('Event Register'!U164&lt;&gt;"",1,0)</x:f>
        <x:v>0</x:v>
      </x:c>
      <x:c r="G1413" t="n">
        <x:v>1</x:v>
      </x:c>
      <x:c r="H1413" t="str">
        <x:v>independent physical acceptance</x:v>
      </x:c>
      <x:c r="I1413" t="str">
        <x:f>IF(F1413=1,"PASS","OPEN")</x:f>
        <x:v>OPEN</x:v>
      </x:c>
    </x:row>
    <x:row r="1414">
      <x:c r="B1414" t="str">
        <x:v>PH-EX-159</x:v>
      </x:c>
      <x:c r="C1414" t="str">
        <x:v>PHYSICAL</x:v>
      </x:c>
      <x:c r="D1414" t="str">
        <x:v>event execution</x:v>
      </x:c>
      <x:c r="E1414" t="str">
        <x:v>PH-EX-159</x:v>
      </x:c>
      <x:c r="F1414" t="n">
        <x:f>IF('Event Register'!R165&lt;&gt;"",1,0)</x:f>
        <x:v>0</x:v>
      </x:c>
      <x:c r="G1414" t="n">
        <x:v>1</x:v>
      </x:c>
      <x:c r="H1414" t="str">
        <x:v>independent physical acceptance</x:v>
      </x:c>
      <x:c r="I1414" t="str">
        <x:f>IF(F1414=1,"PASS","OPEN")</x:f>
        <x:v>OPEN</x:v>
      </x:c>
    </x:row>
    <x:row r="1415">
      <x:c r="B1415" t="str">
        <x:v>PH-EV-159</x:v>
      </x:c>
      <x:c r="C1415" t="str">
        <x:v>PHYSICAL</x:v>
      </x:c>
      <x:c r="D1415" t="str">
        <x:v>event evidence</x:v>
      </x:c>
      <x:c r="E1415" t="str">
        <x:v>PH-EV-159</x:v>
      </x:c>
      <x:c r="F1415" t="n">
        <x:f>IF('Event Register'!S165&lt;&gt;"",1,0)</x:f>
        <x:v>0</x:v>
      </x:c>
      <x:c r="G1415" t="n">
        <x:v>1</x:v>
      </x:c>
      <x:c r="H1415" t="str">
        <x:v>independent physical acceptance</x:v>
      </x:c>
      <x:c r="I1415" t="str">
        <x:f>IF(F1415=1,"PASS","OPEN")</x:f>
        <x:v>OPEN</x:v>
      </x:c>
    </x:row>
    <x:row r="1416">
      <x:c r="B1416" t="str">
        <x:v>PH-VA-159</x:v>
      </x:c>
      <x:c r="C1416" t="str">
        <x:v>PHYSICAL</x:v>
      </x:c>
      <x:c r="D1416" t="str">
        <x:v>event validity</x:v>
      </x:c>
      <x:c r="E1416" t="str">
        <x:v>PH-VA-159</x:v>
      </x:c>
      <x:c r="F1416" t="n">
        <x:f>IF('Event Register'!T165&lt;&gt;"",1,0)</x:f>
        <x:v>0</x:v>
      </x:c>
      <x:c r="G1416" t="n">
        <x:v>1</x:v>
      </x:c>
      <x:c r="H1416" t="str">
        <x:v>independent physical acceptance</x:v>
      </x:c>
      <x:c r="I1416" t="str">
        <x:f>IF(F1416=1,"PASS","OPEN")</x:f>
        <x:v>OPEN</x:v>
      </x:c>
    </x:row>
    <x:row r="1417">
      <x:c r="B1417" t="str">
        <x:v>PH-OU-159</x:v>
      </x:c>
      <x:c r="C1417" t="str">
        <x:v>PHYSICAL</x:v>
      </x:c>
      <x:c r="D1417" t="str">
        <x:v>event outcome</x:v>
      </x:c>
      <x:c r="E1417" t="str">
        <x:v>PH-OU-159</x:v>
      </x:c>
      <x:c r="F1417" t="n">
        <x:f>IF('Event Register'!U165&lt;&gt;"",1,0)</x:f>
        <x:v>0</x:v>
      </x:c>
      <x:c r="G1417" t="n">
        <x:v>1</x:v>
      </x:c>
      <x:c r="H1417" t="str">
        <x:v>independent physical acceptance</x:v>
      </x:c>
      <x:c r="I1417" t="str">
        <x:f>IF(F1417=1,"PASS","OPEN")</x:f>
        <x:v>OPEN</x:v>
      </x:c>
    </x:row>
    <x:row r="1418">
      <x:c r="B1418" t="str">
        <x:v>PH-EX-160</x:v>
      </x:c>
      <x:c r="C1418" t="str">
        <x:v>PHYSICAL</x:v>
      </x:c>
      <x:c r="D1418" t="str">
        <x:v>event execution</x:v>
      </x:c>
      <x:c r="E1418" t="str">
        <x:v>PH-EX-160</x:v>
      </x:c>
      <x:c r="F1418" t="n">
        <x:f>IF('Event Register'!R166&lt;&gt;"",1,0)</x:f>
        <x:v>0</x:v>
      </x:c>
      <x:c r="G1418" t="n">
        <x:v>1</x:v>
      </x:c>
      <x:c r="H1418" t="str">
        <x:v>independent physical acceptance</x:v>
      </x:c>
      <x:c r="I1418" t="str">
        <x:f>IF(F1418=1,"PASS","OPEN")</x:f>
        <x:v>OPEN</x:v>
      </x:c>
    </x:row>
    <x:row r="1419">
      <x:c r="B1419" t="str">
        <x:v>PH-EV-160</x:v>
      </x:c>
      <x:c r="C1419" t="str">
        <x:v>PHYSICAL</x:v>
      </x:c>
      <x:c r="D1419" t="str">
        <x:v>event evidence</x:v>
      </x:c>
      <x:c r="E1419" t="str">
        <x:v>PH-EV-160</x:v>
      </x:c>
      <x:c r="F1419" t="n">
        <x:f>IF('Event Register'!S166&lt;&gt;"",1,0)</x:f>
        <x:v>0</x:v>
      </x:c>
      <x:c r="G1419" t="n">
        <x:v>1</x:v>
      </x:c>
      <x:c r="H1419" t="str">
        <x:v>independent physical acceptance</x:v>
      </x:c>
      <x:c r="I1419" t="str">
        <x:f>IF(F1419=1,"PASS","OPEN")</x:f>
        <x:v>OPEN</x:v>
      </x:c>
    </x:row>
    <x:row r="1420">
      <x:c r="B1420" t="str">
        <x:v>PH-VA-160</x:v>
      </x:c>
      <x:c r="C1420" t="str">
        <x:v>PHYSICAL</x:v>
      </x:c>
      <x:c r="D1420" t="str">
        <x:v>event validity</x:v>
      </x:c>
      <x:c r="E1420" t="str">
        <x:v>PH-VA-160</x:v>
      </x:c>
      <x:c r="F1420" t="n">
        <x:f>IF('Event Register'!T166&lt;&gt;"",1,0)</x:f>
        <x:v>0</x:v>
      </x:c>
      <x:c r="G1420" t="n">
        <x:v>1</x:v>
      </x:c>
      <x:c r="H1420" t="str">
        <x:v>independent physical acceptance</x:v>
      </x:c>
      <x:c r="I1420" t="str">
        <x:f>IF(F1420=1,"PASS","OPEN")</x:f>
        <x:v>OPEN</x:v>
      </x:c>
    </x:row>
    <x:row r="1421">
      <x:c r="B1421" t="str">
        <x:v>PH-OU-160</x:v>
      </x:c>
      <x:c r="C1421" t="str">
        <x:v>PHYSICAL</x:v>
      </x:c>
      <x:c r="D1421" t="str">
        <x:v>event outcome</x:v>
      </x:c>
      <x:c r="E1421" t="str">
        <x:v>PH-OU-160</x:v>
      </x:c>
      <x:c r="F1421" t="n">
        <x:f>IF('Event Register'!U166&lt;&gt;"",1,0)</x:f>
        <x:v>0</x:v>
      </x:c>
      <x:c r="G1421" t="n">
        <x:v>1</x:v>
      </x:c>
      <x:c r="H1421" t="str">
        <x:v>independent physical acceptance</x:v>
      </x:c>
      <x:c r="I1421" t="str">
        <x:f>IF(F1421=1,"PASS","OPEN")</x:f>
        <x:v>OPEN</x:v>
      </x:c>
    </x:row>
    <x:row r="1422">
      <x:c r="B1422" t="str">
        <x:v>PH-EX-161</x:v>
      </x:c>
      <x:c r="C1422" t="str">
        <x:v>PHYSICAL</x:v>
      </x:c>
      <x:c r="D1422" t="str">
        <x:v>event execution</x:v>
      </x:c>
      <x:c r="E1422" t="str">
        <x:v>PH-EX-161</x:v>
      </x:c>
      <x:c r="F1422" t="n">
        <x:f>IF('Event Register'!R167&lt;&gt;"",1,0)</x:f>
        <x:v>0</x:v>
      </x:c>
      <x:c r="G1422" t="n">
        <x:v>1</x:v>
      </x:c>
      <x:c r="H1422" t="str">
        <x:v>independent physical acceptance</x:v>
      </x:c>
      <x:c r="I1422" t="str">
        <x:f>IF(F1422=1,"PASS","OPEN")</x:f>
        <x:v>OPEN</x:v>
      </x:c>
    </x:row>
    <x:row r="1423">
      <x:c r="B1423" t="str">
        <x:v>PH-EV-161</x:v>
      </x:c>
      <x:c r="C1423" t="str">
        <x:v>PHYSICAL</x:v>
      </x:c>
      <x:c r="D1423" t="str">
        <x:v>event evidence</x:v>
      </x:c>
      <x:c r="E1423" t="str">
        <x:v>PH-EV-161</x:v>
      </x:c>
      <x:c r="F1423" t="n">
        <x:f>IF('Event Register'!S167&lt;&gt;"",1,0)</x:f>
        <x:v>0</x:v>
      </x:c>
      <x:c r="G1423" t="n">
        <x:v>1</x:v>
      </x:c>
      <x:c r="H1423" t="str">
        <x:v>independent physical acceptance</x:v>
      </x:c>
      <x:c r="I1423" t="str">
        <x:f>IF(F1423=1,"PASS","OPEN")</x:f>
        <x:v>OPEN</x:v>
      </x:c>
    </x:row>
    <x:row r="1424">
      <x:c r="B1424" t="str">
        <x:v>PH-VA-161</x:v>
      </x:c>
      <x:c r="C1424" t="str">
        <x:v>PHYSICAL</x:v>
      </x:c>
      <x:c r="D1424" t="str">
        <x:v>event validity</x:v>
      </x:c>
      <x:c r="E1424" t="str">
        <x:v>PH-VA-161</x:v>
      </x:c>
      <x:c r="F1424" t="n">
        <x:f>IF('Event Register'!T167&lt;&gt;"",1,0)</x:f>
        <x:v>0</x:v>
      </x:c>
      <x:c r="G1424" t="n">
        <x:v>1</x:v>
      </x:c>
      <x:c r="H1424" t="str">
        <x:v>independent physical acceptance</x:v>
      </x:c>
      <x:c r="I1424" t="str">
        <x:f>IF(F1424=1,"PASS","OPEN")</x:f>
        <x:v>OPEN</x:v>
      </x:c>
    </x:row>
    <x:row r="1425">
      <x:c r="B1425" t="str">
        <x:v>PH-OU-161</x:v>
      </x:c>
      <x:c r="C1425" t="str">
        <x:v>PHYSICAL</x:v>
      </x:c>
      <x:c r="D1425" t="str">
        <x:v>event outcome</x:v>
      </x:c>
      <x:c r="E1425" t="str">
        <x:v>PH-OU-161</x:v>
      </x:c>
      <x:c r="F1425" t="n">
        <x:f>IF('Event Register'!U167&lt;&gt;"",1,0)</x:f>
        <x:v>0</x:v>
      </x:c>
      <x:c r="G1425" t="n">
        <x:v>1</x:v>
      </x:c>
      <x:c r="H1425" t="str">
        <x:v>independent physical acceptance</x:v>
      </x:c>
      <x:c r="I1425" t="str">
        <x:f>IF(F1425=1,"PASS","OPEN")</x:f>
        <x:v>OPEN</x:v>
      </x:c>
    </x:row>
    <x:row r="1426">
      <x:c r="B1426" t="str">
        <x:v>PH-EX-162</x:v>
      </x:c>
      <x:c r="C1426" t="str">
        <x:v>PHYSICAL</x:v>
      </x:c>
      <x:c r="D1426" t="str">
        <x:v>event execution</x:v>
      </x:c>
      <x:c r="E1426" t="str">
        <x:v>PH-EX-162</x:v>
      </x:c>
      <x:c r="F1426" t="n">
        <x:f>IF('Event Register'!R168&lt;&gt;"",1,0)</x:f>
        <x:v>0</x:v>
      </x:c>
      <x:c r="G1426" t="n">
        <x:v>1</x:v>
      </x:c>
      <x:c r="H1426" t="str">
        <x:v>independent physical acceptance</x:v>
      </x:c>
      <x:c r="I1426" t="str">
        <x:f>IF(F1426=1,"PASS","OPEN")</x:f>
        <x:v>OPEN</x:v>
      </x:c>
    </x:row>
    <x:row r="1427">
      <x:c r="B1427" t="str">
        <x:v>PH-EV-162</x:v>
      </x:c>
      <x:c r="C1427" t="str">
        <x:v>PHYSICAL</x:v>
      </x:c>
      <x:c r="D1427" t="str">
        <x:v>event evidence</x:v>
      </x:c>
      <x:c r="E1427" t="str">
        <x:v>PH-EV-162</x:v>
      </x:c>
      <x:c r="F1427" t="n">
        <x:f>IF('Event Register'!S168&lt;&gt;"",1,0)</x:f>
        <x:v>0</x:v>
      </x:c>
      <x:c r="G1427" t="n">
        <x:v>1</x:v>
      </x:c>
      <x:c r="H1427" t="str">
        <x:v>independent physical acceptance</x:v>
      </x:c>
      <x:c r="I1427" t="str">
        <x:f>IF(F1427=1,"PASS","OPEN")</x:f>
        <x:v>OPEN</x:v>
      </x:c>
    </x:row>
    <x:row r="1428">
      <x:c r="B1428" t="str">
        <x:v>PH-VA-162</x:v>
      </x:c>
      <x:c r="C1428" t="str">
        <x:v>PHYSICAL</x:v>
      </x:c>
      <x:c r="D1428" t="str">
        <x:v>event validity</x:v>
      </x:c>
      <x:c r="E1428" t="str">
        <x:v>PH-VA-162</x:v>
      </x:c>
      <x:c r="F1428" t="n">
        <x:f>IF('Event Register'!T168&lt;&gt;"",1,0)</x:f>
        <x:v>0</x:v>
      </x:c>
      <x:c r="G1428" t="n">
        <x:v>1</x:v>
      </x:c>
      <x:c r="H1428" t="str">
        <x:v>independent physical acceptance</x:v>
      </x:c>
      <x:c r="I1428" t="str">
        <x:f>IF(F1428=1,"PASS","OPEN")</x:f>
        <x:v>OPEN</x:v>
      </x:c>
    </x:row>
    <x:row r="1429">
      <x:c r="B1429" t="str">
        <x:v>PH-OU-162</x:v>
      </x:c>
      <x:c r="C1429" t="str">
        <x:v>PHYSICAL</x:v>
      </x:c>
      <x:c r="D1429" t="str">
        <x:v>event outcome</x:v>
      </x:c>
      <x:c r="E1429" t="str">
        <x:v>PH-OU-162</x:v>
      </x:c>
      <x:c r="F1429" t="n">
        <x:f>IF('Event Register'!U168&lt;&gt;"",1,0)</x:f>
        <x:v>0</x:v>
      </x:c>
      <x:c r="G1429" t="n">
        <x:v>1</x:v>
      </x:c>
      <x:c r="H1429" t="str">
        <x:v>independent physical acceptance</x:v>
      </x:c>
      <x:c r="I1429" t="str">
        <x:f>IF(F1429=1,"PASS","OPEN")</x:f>
        <x:v>OPEN</x:v>
      </x:c>
    </x:row>
    <x:row r="1430">
      <x:c r="B1430" t="str">
        <x:v>PH-EX-163</x:v>
      </x:c>
      <x:c r="C1430" t="str">
        <x:v>PHYSICAL</x:v>
      </x:c>
      <x:c r="D1430" t="str">
        <x:v>event execution</x:v>
      </x:c>
      <x:c r="E1430" t="str">
        <x:v>PH-EX-163</x:v>
      </x:c>
      <x:c r="F1430" t="n">
        <x:f>IF('Event Register'!R169&lt;&gt;"",1,0)</x:f>
        <x:v>0</x:v>
      </x:c>
      <x:c r="G1430" t="n">
        <x:v>1</x:v>
      </x:c>
      <x:c r="H1430" t="str">
        <x:v>independent physical acceptance</x:v>
      </x:c>
      <x:c r="I1430" t="str">
        <x:f>IF(F1430=1,"PASS","OPEN")</x:f>
        <x:v>OPEN</x:v>
      </x:c>
    </x:row>
    <x:row r="1431">
      <x:c r="B1431" t="str">
        <x:v>PH-EV-163</x:v>
      </x:c>
      <x:c r="C1431" t="str">
        <x:v>PHYSICAL</x:v>
      </x:c>
      <x:c r="D1431" t="str">
        <x:v>event evidence</x:v>
      </x:c>
      <x:c r="E1431" t="str">
        <x:v>PH-EV-163</x:v>
      </x:c>
      <x:c r="F1431" t="n">
        <x:f>IF('Event Register'!S169&lt;&gt;"",1,0)</x:f>
        <x:v>0</x:v>
      </x:c>
      <x:c r="G1431" t="n">
        <x:v>1</x:v>
      </x:c>
      <x:c r="H1431" t="str">
        <x:v>independent physical acceptance</x:v>
      </x:c>
      <x:c r="I1431" t="str">
        <x:f>IF(F1431=1,"PASS","OPEN")</x:f>
        <x:v>OPEN</x:v>
      </x:c>
    </x:row>
    <x:row r="1432">
      <x:c r="B1432" t="str">
        <x:v>PH-VA-163</x:v>
      </x:c>
      <x:c r="C1432" t="str">
        <x:v>PHYSICAL</x:v>
      </x:c>
      <x:c r="D1432" t="str">
        <x:v>event validity</x:v>
      </x:c>
      <x:c r="E1432" t="str">
        <x:v>PH-VA-163</x:v>
      </x:c>
      <x:c r="F1432" t="n">
        <x:f>IF('Event Register'!T169&lt;&gt;"",1,0)</x:f>
        <x:v>0</x:v>
      </x:c>
      <x:c r="G1432" t="n">
        <x:v>1</x:v>
      </x:c>
      <x:c r="H1432" t="str">
        <x:v>independent physical acceptance</x:v>
      </x:c>
      <x:c r="I1432" t="str">
        <x:f>IF(F1432=1,"PASS","OPEN")</x:f>
        <x:v>OPEN</x:v>
      </x:c>
    </x:row>
    <x:row r="1433">
      <x:c r="B1433" t="str">
        <x:v>PH-OU-163</x:v>
      </x:c>
      <x:c r="C1433" t="str">
        <x:v>PHYSICAL</x:v>
      </x:c>
      <x:c r="D1433" t="str">
        <x:v>event outcome</x:v>
      </x:c>
      <x:c r="E1433" t="str">
        <x:v>PH-OU-163</x:v>
      </x:c>
      <x:c r="F1433" t="n">
        <x:f>IF('Event Register'!U169&lt;&gt;"",1,0)</x:f>
        <x:v>0</x:v>
      </x:c>
      <x:c r="G1433" t="n">
        <x:v>1</x:v>
      </x:c>
      <x:c r="H1433" t="str">
        <x:v>independent physical acceptance</x:v>
      </x:c>
      <x:c r="I1433" t="str">
        <x:f>IF(F1433=1,"PASS","OPEN")</x:f>
        <x:v>OPEN</x:v>
      </x:c>
    </x:row>
    <x:row r="1434">
      <x:c r="B1434" t="str">
        <x:v>PH-EX-164</x:v>
      </x:c>
      <x:c r="C1434" t="str">
        <x:v>PHYSICAL</x:v>
      </x:c>
      <x:c r="D1434" t="str">
        <x:v>event execution</x:v>
      </x:c>
      <x:c r="E1434" t="str">
        <x:v>PH-EX-164</x:v>
      </x:c>
      <x:c r="F1434" t="n">
        <x:f>IF('Event Register'!R170&lt;&gt;"",1,0)</x:f>
        <x:v>0</x:v>
      </x:c>
      <x:c r="G1434" t="n">
        <x:v>1</x:v>
      </x:c>
      <x:c r="H1434" t="str">
        <x:v>independent physical acceptance</x:v>
      </x:c>
      <x:c r="I1434" t="str">
        <x:f>IF(F1434=1,"PASS","OPEN")</x:f>
        <x:v>OPEN</x:v>
      </x:c>
    </x:row>
    <x:row r="1435">
      <x:c r="B1435" t="str">
        <x:v>PH-EV-164</x:v>
      </x:c>
      <x:c r="C1435" t="str">
        <x:v>PHYSICAL</x:v>
      </x:c>
      <x:c r="D1435" t="str">
        <x:v>event evidence</x:v>
      </x:c>
      <x:c r="E1435" t="str">
        <x:v>PH-EV-164</x:v>
      </x:c>
      <x:c r="F1435" t="n">
        <x:f>IF('Event Register'!S170&lt;&gt;"",1,0)</x:f>
        <x:v>0</x:v>
      </x:c>
      <x:c r="G1435" t="n">
        <x:v>1</x:v>
      </x:c>
      <x:c r="H1435" t="str">
        <x:v>independent physical acceptance</x:v>
      </x:c>
      <x:c r="I1435" t="str">
        <x:f>IF(F1435=1,"PASS","OPEN")</x:f>
        <x:v>OPEN</x:v>
      </x:c>
    </x:row>
    <x:row r="1436">
      <x:c r="B1436" t="str">
        <x:v>PH-VA-164</x:v>
      </x:c>
      <x:c r="C1436" t="str">
        <x:v>PHYSICAL</x:v>
      </x:c>
      <x:c r="D1436" t="str">
        <x:v>event validity</x:v>
      </x:c>
      <x:c r="E1436" t="str">
        <x:v>PH-VA-164</x:v>
      </x:c>
      <x:c r="F1436" t="n">
        <x:f>IF('Event Register'!T170&lt;&gt;"",1,0)</x:f>
        <x:v>0</x:v>
      </x:c>
      <x:c r="G1436" t="n">
        <x:v>1</x:v>
      </x:c>
      <x:c r="H1436" t="str">
        <x:v>independent physical acceptance</x:v>
      </x:c>
      <x:c r="I1436" t="str">
        <x:f>IF(F1436=1,"PASS","OPEN")</x:f>
        <x:v>OPEN</x:v>
      </x:c>
    </x:row>
    <x:row r="1437">
      <x:c r="B1437" t="str">
        <x:v>PH-OU-164</x:v>
      </x:c>
      <x:c r="C1437" t="str">
        <x:v>PHYSICAL</x:v>
      </x:c>
      <x:c r="D1437" t="str">
        <x:v>event outcome</x:v>
      </x:c>
      <x:c r="E1437" t="str">
        <x:v>PH-OU-164</x:v>
      </x:c>
      <x:c r="F1437" t="n">
        <x:f>IF('Event Register'!U170&lt;&gt;"",1,0)</x:f>
        <x:v>0</x:v>
      </x:c>
      <x:c r="G1437" t="n">
        <x:v>1</x:v>
      </x:c>
      <x:c r="H1437" t="str">
        <x:v>independent physical acceptance</x:v>
      </x:c>
      <x:c r="I1437" t="str">
        <x:f>IF(F1437=1,"PASS","OPEN")</x:f>
        <x:v>OPEN</x:v>
      </x:c>
    </x:row>
    <x:row r="1438">
      <x:c r="B1438" t="str">
        <x:v>PH-EX-165</x:v>
      </x:c>
      <x:c r="C1438" t="str">
        <x:v>PHYSICAL</x:v>
      </x:c>
      <x:c r="D1438" t="str">
        <x:v>event execution</x:v>
      </x:c>
      <x:c r="E1438" t="str">
        <x:v>PH-EX-165</x:v>
      </x:c>
      <x:c r="F1438" t="n">
        <x:f>IF('Event Register'!R171&lt;&gt;"",1,0)</x:f>
        <x:v>0</x:v>
      </x:c>
      <x:c r="G1438" t="n">
        <x:v>1</x:v>
      </x:c>
      <x:c r="H1438" t="str">
        <x:v>independent physical acceptance</x:v>
      </x:c>
      <x:c r="I1438" t="str">
        <x:f>IF(F1438=1,"PASS","OPEN")</x:f>
        <x:v>OPEN</x:v>
      </x:c>
    </x:row>
    <x:row r="1439">
      <x:c r="B1439" t="str">
        <x:v>PH-EV-165</x:v>
      </x:c>
      <x:c r="C1439" t="str">
        <x:v>PHYSICAL</x:v>
      </x:c>
      <x:c r="D1439" t="str">
        <x:v>event evidence</x:v>
      </x:c>
      <x:c r="E1439" t="str">
        <x:v>PH-EV-165</x:v>
      </x:c>
      <x:c r="F1439" t="n">
        <x:f>IF('Event Register'!S171&lt;&gt;"",1,0)</x:f>
        <x:v>0</x:v>
      </x:c>
      <x:c r="G1439" t="n">
        <x:v>1</x:v>
      </x:c>
      <x:c r="H1439" t="str">
        <x:v>independent physical acceptance</x:v>
      </x:c>
      <x:c r="I1439" t="str">
        <x:f>IF(F1439=1,"PASS","OPEN")</x:f>
        <x:v>OPEN</x:v>
      </x:c>
    </x:row>
    <x:row r="1440">
      <x:c r="B1440" t="str">
        <x:v>PH-VA-165</x:v>
      </x:c>
      <x:c r="C1440" t="str">
        <x:v>PHYSICAL</x:v>
      </x:c>
      <x:c r="D1440" t="str">
        <x:v>event validity</x:v>
      </x:c>
      <x:c r="E1440" t="str">
        <x:v>PH-VA-165</x:v>
      </x:c>
      <x:c r="F1440" t="n">
        <x:f>IF('Event Register'!T171&lt;&gt;"",1,0)</x:f>
        <x:v>0</x:v>
      </x:c>
      <x:c r="G1440" t="n">
        <x:v>1</x:v>
      </x:c>
      <x:c r="H1440" t="str">
        <x:v>independent physical acceptance</x:v>
      </x:c>
      <x:c r="I1440" t="str">
        <x:f>IF(F1440=1,"PASS","OPEN")</x:f>
        <x:v>OPEN</x:v>
      </x:c>
    </x:row>
    <x:row r="1441">
      <x:c r="B1441" t="str">
        <x:v>PH-OU-165</x:v>
      </x:c>
      <x:c r="C1441" t="str">
        <x:v>PHYSICAL</x:v>
      </x:c>
      <x:c r="D1441" t="str">
        <x:v>event outcome</x:v>
      </x:c>
      <x:c r="E1441" t="str">
        <x:v>PH-OU-165</x:v>
      </x:c>
      <x:c r="F1441" t="n">
        <x:f>IF('Event Register'!U171&lt;&gt;"",1,0)</x:f>
        <x:v>0</x:v>
      </x:c>
      <x:c r="G1441" t="n">
        <x:v>1</x:v>
      </x:c>
      <x:c r="H1441" t="str">
        <x:v>independent physical acceptance</x:v>
      </x:c>
      <x:c r="I1441" t="str">
        <x:f>IF(F1441=1,"PASS","OPEN")</x:f>
        <x:v>OPEN</x:v>
      </x:c>
    </x:row>
    <x:row r="1442">
      <x:c r="B1442" t="str">
        <x:v>PH-EX-166</x:v>
      </x:c>
      <x:c r="C1442" t="str">
        <x:v>PHYSICAL</x:v>
      </x:c>
      <x:c r="D1442" t="str">
        <x:v>event execution</x:v>
      </x:c>
      <x:c r="E1442" t="str">
        <x:v>PH-EX-166</x:v>
      </x:c>
      <x:c r="F1442" t="n">
        <x:f>IF('Event Register'!R172&lt;&gt;"",1,0)</x:f>
        <x:v>0</x:v>
      </x:c>
      <x:c r="G1442" t="n">
        <x:v>1</x:v>
      </x:c>
      <x:c r="H1442" t="str">
        <x:v>independent physical acceptance</x:v>
      </x:c>
      <x:c r="I1442" t="str">
        <x:f>IF(F1442=1,"PASS","OPEN")</x:f>
        <x:v>OPEN</x:v>
      </x:c>
    </x:row>
    <x:row r="1443">
      <x:c r="B1443" t="str">
        <x:v>PH-EV-166</x:v>
      </x:c>
      <x:c r="C1443" t="str">
        <x:v>PHYSICAL</x:v>
      </x:c>
      <x:c r="D1443" t="str">
        <x:v>event evidence</x:v>
      </x:c>
      <x:c r="E1443" t="str">
        <x:v>PH-EV-166</x:v>
      </x:c>
      <x:c r="F1443" t="n">
        <x:f>IF('Event Register'!S172&lt;&gt;"",1,0)</x:f>
        <x:v>0</x:v>
      </x:c>
      <x:c r="G1443" t="n">
        <x:v>1</x:v>
      </x:c>
      <x:c r="H1443" t="str">
        <x:v>independent physical acceptance</x:v>
      </x:c>
      <x:c r="I1443" t="str">
        <x:f>IF(F1443=1,"PASS","OPEN")</x:f>
        <x:v>OPEN</x:v>
      </x:c>
    </x:row>
    <x:row r="1444">
      <x:c r="B1444" t="str">
        <x:v>PH-VA-166</x:v>
      </x:c>
      <x:c r="C1444" t="str">
        <x:v>PHYSICAL</x:v>
      </x:c>
      <x:c r="D1444" t="str">
        <x:v>event validity</x:v>
      </x:c>
      <x:c r="E1444" t="str">
        <x:v>PH-VA-166</x:v>
      </x:c>
      <x:c r="F1444" t="n">
        <x:f>IF('Event Register'!T172&lt;&gt;"",1,0)</x:f>
        <x:v>0</x:v>
      </x:c>
      <x:c r="G1444" t="n">
        <x:v>1</x:v>
      </x:c>
      <x:c r="H1444" t="str">
        <x:v>independent physical acceptance</x:v>
      </x:c>
      <x:c r="I1444" t="str">
        <x:f>IF(F1444=1,"PASS","OPEN")</x:f>
        <x:v>OPEN</x:v>
      </x:c>
    </x:row>
    <x:row r="1445">
      <x:c r="B1445" t="str">
        <x:v>PH-OU-166</x:v>
      </x:c>
      <x:c r="C1445" t="str">
        <x:v>PHYSICAL</x:v>
      </x:c>
      <x:c r="D1445" t="str">
        <x:v>event outcome</x:v>
      </x:c>
      <x:c r="E1445" t="str">
        <x:v>PH-OU-166</x:v>
      </x:c>
      <x:c r="F1445" t="n">
        <x:f>IF('Event Register'!U172&lt;&gt;"",1,0)</x:f>
        <x:v>0</x:v>
      </x:c>
      <x:c r="G1445" t="n">
        <x:v>1</x:v>
      </x:c>
      <x:c r="H1445" t="str">
        <x:v>independent physical acceptance</x:v>
      </x:c>
      <x:c r="I1445" t="str">
        <x:f>IF(F1445=1,"PASS","OPEN")</x:f>
        <x:v>OPEN</x:v>
      </x:c>
    </x:row>
    <x:row r="1446">
      <x:c r="B1446" t="str">
        <x:v>PH-EX-167</x:v>
      </x:c>
      <x:c r="C1446" t="str">
        <x:v>PHYSICAL</x:v>
      </x:c>
      <x:c r="D1446" t="str">
        <x:v>event execution</x:v>
      </x:c>
      <x:c r="E1446" t="str">
        <x:v>PH-EX-167</x:v>
      </x:c>
      <x:c r="F1446" t="n">
        <x:f>IF('Event Register'!R173&lt;&gt;"",1,0)</x:f>
        <x:v>0</x:v>
      </x:c>
      <x:c r="G1446" t="n">
        <x:v>1</x:v>
      </x:c>
      <x:c r="H1446" t="str">
        <x:v>independent physical acceptance</x:v>
      </x:c>
      <x:c r="I1446" t="str">
        <x:f>IF(F1446=1,"PASS","OPEN")</x:f>
        <x:v>OPEN</x:v>
      </x:c>
    </x:row>
    <x:row r="1447">
      <x:c r="B1447" t="str">
        <x:v>PH-EV-167</x:v>
      </x:c>
      <x:c r="C1447" t="str">
        <x:v>PHYSICAL</x:v>
      </x:c>
      <x:c r="D1447" t="str">
        <x:v>event evidence</x:v>
      </x:c>
      <x:c r="E1447" t="str">
        <x:v>PH-EV-167</x:v>
      </x:c>
      <x:c r="F1447" t="n">
        <x:f>IF('Event Register'!S173&lt;&gt;"",1,0)</x:f>
        <x:v>0</x:v>
      </x:c>
      <x:c r="G1447" t="n">
        <x:v>1</x:v>
      </x:c>
      <x:c r="H1447" t="str">
        <x:v>independent physical acceptance</x:v>
      </x:c>
      <x:c r="I1447" t="str">
        <x:f>IF(F1447=1,"PASS","OPEN")</x:f>
        <x:v>OPEN</x:v>
      </x:c>
    </x:row>
    <x:row r="1448">
      <x:c r="B1448" t="str">
        <x:v>PH-VA-167</x:v>
      </x:c>
      <x:c r="C1448" t="str">
        <x:v>PHYSICAL</x:v>
      </x:c>
      <x:c r="D1448" t="str">
        <x:v>event validity</x:v>
      </x:c>
      <x:c r="E1448" t="str">
        <x:v>PH-VA-167</x:v>
      </x:c>
      <x:c r="F1448" t="n">
        <x:f>IF('Event Register'!T173&lt;&gt;"",1,0)</x:f>
        <x:v>0</x:v>
      </x:c>
      <x:c r="G1448" t="n">
        <x:v>1</x:v>
      </x:c>
      <x:c r="H1448" t="str">
        <x:v>independent physical acceptance</x:v>
      </x:c>
      <x:c r="I1448" t="str">
        <x:f>IF(F1448=1,"PASS","OPEN")</x:f>
        <x:v>OPEN</x:v>
      </x:c>
    </x:row>
    <x:row r="1449">
      <x:c r="B1449" t="str">
        <x:v>PH-OU-167</x:v>
      </x:c>
      <x:c r="C1449" t="str">
        <x:v>PHYSICAL</x:v>
      </x:c>
      <x:c r="D1449" t="str">
        <x:v>event outcome</x:v>
      </x:c>
      <x:c r="E1449" t="str">
        <x:v>PH-OU-167</x:v>
      </x:c>
      <x:c r="F1449" t="n">
        <x:f>IF('Event Register'!U173&lt;&gt;"",1,0)</x:f>
        <x:v>0</x:v>
      </x:c>
      <x:c r="G1449" t="n">
        <x:v>1</x:v>
      </x:c>
      <x:c r="H1449" t="str">
        <x:v>independent physical acceptance</x:v>
      </x:c>
      <x:c r="I1449" t="str">
        <x:f>IF(F1449=1,"PASS","OPEN")</x:f>
        <x:v>OPEN</x:v>
      </x:c>
    </x:row>
    <x:row r="1450">
      <x:c r="B1450" t="str">
        <x:v>PH-EX-168</x:v>
      </x:c>
      <x:c r="C1450" t="str">
        <x:v>PHYSICAL</x:v>
      </x:c>
      <x:c r="D1450" t="str">
        <x:v>event execution</x:v>
      </x:c>
      <x:c r="E1450" t="str">
        <x:v>PH-EX-168</x:v>
      </x:c>
      <x:c r="F1450" t="n">
        <x:f>IF('Event Register'!R174&lt;&gt;"",1,0)</x:f>
        <x:v>0</x:v>
      </x:c>
      <x:c r="G1450" t="n">
        <x:v>1</x:v>
      </x:c>
      <x:c r="H1450" t="str">
        <x:v>independent physical acceptance</x:v>
      </x:c>
      <x:c r="I1450" t="str">
        <x:f>IF(F1450=1,"PASS","OPEN")</x:f>
        <x:v>OPEN</x:v>
      </x:c>
    </x:row>
    <x:row r="1451">
      <x:c r="B1451" t="str">
        <x:v>PH-EV-168</x:v>
      </x:c>
      <x:c r="C1451" t="str">
        <x:v>PHYSICAL</x:v>
      </x:c>
      <x:c r="D1451" t="str">
        <x:v>event evidence</x:v>
      </x:c>
      <x:c r="E1451" t="str">
        <x:v>PH-EV-168</x:v>
      </x:c>
      <x:c r="F1451" t="n">
        <x:f>IF('Event Register'!S174&lt;&gt;"",1,0)</x:f>
        <x:v>0</x:v>
      </x:c>
      <x:c r="G1451" t="n">
        <x:v>1</x:v>
      </x:c>
      <x:c r="H1451" t="str">
        <x:v>independent physical acceptance</x:v>
      </x:c>
      <x:c r="I1451" t="str">
        <x:f>IF(F1451=1,"PASS","OPEN")</x:f>
        <x:v>OPEN</x:v>
      </x:c>
    </x:row>
    <x:row r="1452">
      <x:c r="B1452" t="str">
        <x:v>PH-VA-168</x:v>
      </x:c>
      <x:c r="C1452" t="str">
        <x:v>PHYSICAL</x:v>
      </x:c>
      <x:c r="D1452" t="str">
        <x:v>event validity</x:v>
      </x:c>
      <x:c r="E1452" t="str">
        <x:v>PH-VA-168</x:v>
      </x:c>
      <x:c r="F1452" t="n">
        <x:f>IF('Event Register'!T174&lt;&gt;"",1,0)</x:f>
        <x:v>0</x:v>
      </x:c>
      <x:c r="G1452" t="n">
        <x:v>1</x:v>
      </x:c>
      <x:c r="H1452" t="str">
        <x:v>independent physical acceptance</x:v>
      </x:c>
      <x:c r="I1452" t="str">
        <x:f>IF(F1452=1,"PASS","OPEN")</x:f>
        <x:v>OPEN</x:v>
      </x:c>
    </x:row>
    <x:row r="1453">
      <x:c r="B1453" t="str">
        <x:v>PH-OU-168</x:v>
      </x:c>
      <x:c r="C1453" t="str">
        <x:v>PHYSICAL</x:v>
      </x:c>
      <x:c r="D1453" t="str">
        <x:v>event outcome</x:v>
      </x:c>
      <x:c r="E1453" t="str">
        <x:v>PH-OU-168</x:v>
      </x:c>
      <x:c r="F1453" t="n">
        <x:f>IF('Event Register'!U174&lt;&gt;"",1,0)</x:f>
        <x:v>0</x:v>
      </x:c>
      <x:c r="G1453" t="n">
        <x:v>1</x:v>
      </x:c>
      <x:c r="H1453" t="str">
        <x:v>independent physical acceptance</x:v>
      </x:c>
      <x:c r="I1453" t="str">
        <x:f>IF(F1453=1,"PASS","OPEN")</x:f>
        <x:v>OPEN</x:v>
      </x:c>
    </x:row>
    <x:row r="1454">
      <x:c r="B1454" t="str">
        <x:v>PH-EX-169</x:v>
      </x:c>
      <x:c r="C1454" t="str">
        <x:v>PHYSICAL</x:v>
      </x:c>
      <x:c r="D1454" t="str">
        <x:v>event execution</x:v>
      </x:c>
      <x:c r="E1454" t="str">
        <x:v>PH-EX-169</x:v>
      </x:c>
      <x:c r="F1454" t="n">
        <x:f>IF('Event Register'!R175&lt;&gt;"",1,0)</x:f>
        <x:v>0</x:v>
      </x:c>
      <x:c r="G1454" t="n">
        <x:v>1</x:v>
      </x:c>
      <x:c r="H1454" t="str">
        <x:v>independent physical acceptance</x:v>
      </x:c>
      <x:c r="I1454" t="str">
        <x:f>IF(F1454=1,"PASS","OPEN")</x:f>
        <x:v>OPEN</x:v>
      </x:c>
    </x:row>
    <x:row r="1455">
      <x:c r="B1455" t="str">
        <x:v>PH-EV-169</x:v>
      </x:c>
      <x:c r="C1455" t="str">
        <x:v>PHYSICAL</x:v>
      </x:c>
      <x:c r="D1455" t="str">
        <x:v>event evidence</x:v>
      </x:c>
      <x:c r="E1455" t="str">
        <x:v>PH-EV-169</x:v>
      </x:c>
      <x:c r="F1455" t="n">
        <x:f>IF('Event Register'!S175&lt;&gt;"",1,0)</x:f>
        <x:v>0</x:v>
      </x:c>
      <x:c r="G1455" t="n">
        <x:v>1</x:v>
      </x:c>
      <x:c r="H1455" t="str">
        <x:v>independent physical acceptance</x:v>
      </x:c>
      <x:c r="I1455" t="str">
        <x:f>IF(F1455=1,"PASS","OPEN")</x:f>
        <x:v>OPEN</x:v>
      </x:c>
    </x:row>
    <x:row r="1456">
      <x:c r="B1456" t="str">
        <x:v>PH-VA-169</x:v>
      </x:c>
      <x:c r="C1456" t="str">
        <x:v>PHYSICAL</x:v>
      </x:c>
      <x:c r="D1456" t="str">
        <x:v>event validity</x:v>
      </x:c>
      <x:c r="E1456" t="str">
        <x:v>PH-VA-169</x:v>
      </x:c>
      <x:c r="F1456" t="n">
        <x:f>IF('Event Register'!T175&lt;&gt;"",1,0)</x:f>
        <x:v>0</x:v>
      </x:c>
      <x:c r="G1456" t="n">
        <x:v>1</x:v>
      </x:c>
      <x:c r="H1456" t="str">
        <x:v>independent physical acceptance</x:v>
      </x:c>
      <x:c r="I1456" t="str">
        <x:f>IF(F1456=1,"PASS","OPEN")</x:f>
        <x:v>OPEN</x:v>
      </x:c>
    </x:row>
    <x:row r="1457">
      <x:c r="B1457" t="str">
        <x:v>PH-OU-169</x:v>
      </x:c>
      <x:c r="C1457" t="str">
        <x:v>PHYSICAL</x:v>
      </x:c>
      <x:c r="D1457" t="str">
        <x:v>event outcome</x:v>
      </x:c>
      <x:c r="E1457" t="str">
        <x:v>PH-OU-169</x:v>
      </x:c>
      <x:c r="F1457" t="n">
        <x:f>IF('Event Register'!U175&lt;&gt;"",1,0)</x:f>
        <x:v>0</x:v>
      </x:c>
      <x:c r="G1457" t="n">
        <x:v>1</x:v>
      </x:c>
      <x:c r="H1457" t="str">
        <x:v>independent physical acceptance</x:v>
      </x:c>
      <x:c r="I1457" t="str">
        <x:f>IF(F1457=1,"PASS","OPEN")</x:f>
        <x:v>OPEN</x:v>
      </x:c>
    </x:row>
    <x:row r="1458">
      <x:c r="B1458" t="str">
        <x:v>PH-EX-170</x:v>
      </x:c>
      <x:c r="C1458" t="str">
        <x:v>PHYSICAL</x:v>
      </x:c>
      <x:c r="D1458" t="str">
        <x:v>event execution</x:v>
      </x:c>
      <x:c r="E1458" t="str">
        <x:v>PH-EX-170</x:v>
      </x:c>
      <x:c r="F1458" t="n">
        <x:f>IF('Event Register'!R176&lt;&gt;"",1,0)</x:f>
        <x:v>0</x:v>
      </x:c>
      <x:c r="G1458" t="n">
        <x:v>1</x:v>
      </x:c>
      <x:c r="H1458" t="str">
        <x:v>independent physical acceptance</x:v>
      </x:c>
      <x:c r="I1458" t="str">
        <x:f>IF(F1458=1,"PASS","OPEN")</x:f>
        <x:v>OPEN</x:v>
      </x:c>
    </x:row>
    <x:row r="1459">
      <x:c r="B1459" t="str">
        <x:v>PH-EV-170</x:v>
      </x:c>
      <x:c r="C1459" t="str">
        <x:v>PHYSICAL</x:v>
      </x:c>
      <x:c r="D1459" t="str">
        <x:v>event evidence</x:v>
      </x:c>
      <x:c r="E1459" t="str">
        <x:v>PH-EV-170</x:v>
      </x:c>
      <x:c r="F1459" t="n">
        <x:f>IF('Event Register'!S176&lt;&gt;"",1,0)</x:f>
        <x:v>0</x:v>
      </x:c>
      <x:c r="G1459" t="n">
        <x:v>1</x:v>
      </x:c>
      <x:c r="H1459" t="str">
        <x:v>independent physical acceptance</x:v>
      </x:c>
      <x:c r="I1459" t="str">
        <x:f>IF(F1459=1,"PASS","OPEN")</x:f>
        <x:v>OPEN</x:v>
      </x:c>
    </x:row>
    <x:row r="1460">
      <x:c r="B1460" t="str">
        <x:v>PH-VA-170</x:v>
      </x:c>
      <x:c r="C1460" t="str">
        <x:v>PHYSICAL</x:v>
      </x:c>
      <x:c r="D1460" t="str">
        <x:v>event validity</x:v>
      </x:c>
      <x:c r="E1460" t="str">
        <x:v>PH-VA-170</x:v>
      </x:c>
      <x:c r="F1460" t="n">
        <x:f>IF('Event Register'!T176&lt;&gt;"",1,0)</x:f>
        <x:v>0</x:v>
      </x:c>
      <x:c r="G1460" t="n">
        <x:v>1</x:v>
      </x:c>
      <x:c r="H1460" t="str">
        <x:v>independent physical acceptance</x:v>
      </x:c>
      <x:c r="I1460" t="str">
        <x:f>IF(F1460=1,"PASS","OPEN")</x:f>
        <x:v>OPEN</x:v>
      </x:c>
    </x:row>
    <x:row r="1461">
      <x:c r="B1461" t="str">
        <x:v>PH-OU-170</x:v>
      </x:c>
      <x:c r="C1461" t="str">
        <x:v>PHYSICAL</x:v>
      </x:c>
      <x:c r="D1461" t="str">
        <x:v>event outcome</x:v>
      </x:c>
      <x:c r="E1461" t="str">
        <x:v>PH-OU-170</x:v>
      </x:c>
      <x:c r="F1461" t="n">
        <x:f>IF('Event Register'!U176&lt;&gt;"",1,0)</x:f>
        <x:v>0</x:v>
      </x:c>
      <x:c r="G1461" t="n">
        <x:v>1</x:v>
      </x:c>
      <x:c r="H1461" t="str">
        <x:v>independent physical acceptance</x:v>
      </x:c>
      <x:c r="I1461" t="str">
        <x:f>IF(F1461=1,"PASS","OPEN")</x:f>
        <x:v>OPEN</x:v>
      </x:c>
    </x:row>
    <x:row r="1462">
      <x:c r="B1462" t="str">
        <x:v>PH-EX-171</x:v>
      </x:c>
      <x:c r="C1462" t="str">
        <x:v>PHYSICAL</x:v>
      </x:c>
      <x:c r="D1462" t="str">
        <x:v>event execution</x:v>
      </x:c>
      <x:c r="E1462" t="str">
        <x:v>PH-EX-171</x:v>
      </x:c>
      <x:c r="F1462" t="n">
        <x:f>IF('Event Register'!R177&lt;&gt;"",1,0)</x:f>
        <x:v>0</x:v>
      </x:c>
      <x:c r="G1462" t="n">
        <x:v>1</x:v>
      </x:c>
      <x:c r="H1462" t="str">
        <x:v>independent physical acceptance</x:v>
      </x:c>
      <x:c r="I1462" t="str">
        <x:f>IF(F1462=1,"PASS","OPEN")</x:f>
        <x:v>OPEN</x:v>
      </x:c>
    </x:row>
    <x:row r="1463">
      <x:c r="B1463" t="str">
        <x:v>PH-EV-171</x:v>
      </x:c>
      <x:c r="C1463" t="str">
        <x:v>PHYSICAL</x:v>
      </x:c>
      <x:c r="D1463" t="str">
        <x:v>event evidence</x:v>
      </x:c>
      <x:c r="E1463" t="str">
        <x:v>PH-EV-171</x:v>
      </x:c>
      <x:c r="F1463" t="n">
        <x:f>IF('Event Register'!S177&lt;&gt;"",1,0)</x:f>
        <x:v>0</x:v>
      </x:c>
      <x:c r="G1463" t="n">
        <x:v>1</x:v>
      </x:c>
      <x:c r="H1463" t="str">
        <x:v>independent physical acceptance</x:v>
      </x:c>
      <x:c r="I1463" t="str">
        <x:f>IF(F1463=1,"PASS","OPEN")</x:f>
        <x:v>OPEN</x:v>
      </x:c>
    </x:row>
    <x:row r="1464">
      <x:c r="B1464" t="str">
        <x:v>PH-VA-171</x:v>
      </x:c>
      <x:c r="C1464" t="str">
        <x:v>PHYSICAL</x:v>
      </x:c>
      <x:c r="D1464" t="str">
        <x:v>event validity</x:v>
      </x:c>
      <x:c r="E1464" t="str">
        <x:v>PH-VA-171</x:v>
      </x:c>
      <x:c r="F1464" t="n">
        <x:f>IF('Event Register'!T177&lt;&gt;"",1,0)</x:f>
        <x:v>0</x:v>
      </x:c>
      <x:c r="G1464" t="n">
        <x:v>1</x:v>
      </x:c>
      <x:c r="H1464" t="str">
        <x:v>independent physical acceptance</x:v>
      </x:c>
      <x:c r="I1464" t="str">
        <x:f>IF(F1464=1,"PASS","OPEN")</x:f>
        <x:v>OPEN</x:v>
      </x:c>
    </x:row>
    <x:row r="1465">
      <x:c r="B1465" t="str">
        <x:v>PH-OU-171</x:v>
      </x:c>
      <x:c r="C1465" t="str">
        <x:v>PHYSICAL</x:v>
      </x:c>
      <x:c r="D1465" t="str">
        <x:v>event outcome</x:v>
      </x:c>
      <x:c r="E1465" t="str">
        <x:v>PH-OU-171</x:v>
      </x:c>
      <x:c r="F1465" t="n">
        <x:f>IF('Event Register'!U177&lt;&gt;"",1,0)</x:f>
        <x:v>0</x:v>
      </x:c>
      <x:c r="G1465" t="n">
        <x:v>1</x:v>
      </x:c>
      <x:c r="H1465" t="str">
        <x:v>independent physical acceptance</x:v>
      </x:c>
      <x:c r="I1465" t="str">
        <x:f>IF(F1465=1,"PASS","OPEN")</x:f>
        <x:v>OPEN</x:v>
      </x:c>
    </x:row>
    <x:row r="1466">
      <x:c r="B1466" t="str">
        <x:v>PH-EX-172</x:v>
      </x:c>
      <x:c r="C1466" t="str">
        <x:v>PHYSICAL</x:v>
      </x:c>
      <x:c r="D1466" t="str">
        <x:v>event execution</x:v>
      </x:c>
      <x:c r="E1466" t="str">
        <x:v>PH-EX-172</x:v>
      </x:c>
      <x:c r="F1466" t="n">
        <x:f>IF('Event Register'!R178&lt;&gt;"",1,0)</x:f>
        <x:v>0</x:v>
      </x:c>
      <x:c r="G1466" t="n">
        <x:v>1</x:v>
      </x:c>
      <x:c r="H1466" t="str">
        <x:v>independent physical acceptance</x:v>
      </x:c>
      <x:c r="I1466" t="str">
        <x:f>IF(F1466=1,"PASS","OPEN")</x:f>
        <x:v>OPEN</x:v>
      </x:c>
    </x:row>
    <x:row r="1467">
      <x:c r="B1467" t="str">
        <x:v>PH-EV-172</x:v>
      </x:c>
      <x:c r="C1467" t="str">
        <x:v>PHYSICAL</x:v>
      </x:c>
      <x:c r="D1467" t="str">
        <x:v>event evidence</x:v>
      </x:c>
      <x:c r="E1467" t="str">
        <x:v>PH-EV-172</x:v>
      </x:c>
      <x:c r="F1467" t="n">
        <x:f>IF('Event Register'!S178&lt;&gt;"",1,0)</x:f>
        <x:v>0</x:v>
      </x:c>
      <x:c r="G1467" t="n">
        <x:v>1</x:v>
      </x:c>
      <x:c r="H1467" t="str">
        <x:v>independent physical acceptance</x:v>
      </x:c>
      <x:c r="I1467" t="str">
        <x:f>IF(F1467=1,"PASS","OPEN")</x:f>
        <x:v>OPEN</x:v>
      </x:c>
    </x:row>
    <x:row r="1468">
      <x:c r="B1468" t="str">
        <x:v>PH-VA-172</x:v>
      </x:c>
      <x:c r="C1468" t="str">
        <x:v>PHYSICAL</x:v>
      </x:c>
      <x:c r="D1468" t="str">
        <x:v>event validity</x:v>
      </x:c>
      <x:c r="E1468" t="str">
        <x:v>PH-VA-172</x:v>
      </x:c>
      <x:c r="F1468" t="n">
        <x:f>IF('Event Register'!T178&lt;&gt;"",1,0)</x:f>
        <x:v>0</x:v>
      </x:c>
      <x:c r="G1468" t="n">
        <x:v>1</x:v>
      </x:c>
      <x:c r="H1468" t="str">
        <x:v>independent physical acceptance</x:v>
      </x:c>
      <x:c r="I1468" t="str">
        <x:f>IF(F1468=1,"PASS","OPEN")</x:f>
        <x:v>OPEN</x:v>
      </x:c>
    </x:row>
    <x:row r="1469">
      <x:c r="B1469" t="str">
        <x:v>PH-OU-172</x:v>
      </x:c>
      <x:c r="C1469" t="str">
        <x:v>PHYSICAL</x:v>
      </x:c>
      <x:c r="D1469" t="str">
        <x:v>event outcome</x:v>
      </x:c>
      <x:c r="E1469" t="str">
        <x:v>PH-OU-172</x:v>
      </x:c>
      <x:c r="F1469" t="n">
        <x:f>IF('Event Register'!U178&lt;&gt;"",1,0)</x:f>
        <x:v>0</x:v>
      </x:c>
      <x:c r="G1469" t="n">
        <x:v>1</x:v>
      </x:c>
      <x:c r="H1469" t="str">
        <x:v>independent physical acceptance</x:v>
      </x:c>
      <x:c r="I1469" t="str">
        <x:f>IF(F1469=1,"PASS","OPEN")</x:f>
        <x:v>OPEN</x:v>
      </x:c>
    </x:row>
    <x:row r="1470">
      <x:c r="B1470" t="str">
        <x:v>PH-EX-173</x:v>
      </x:c>
      <x:c r="C1470" t="str">
        <x:v>PHYSICAL</x:v>
      </x:c>
      <x:c r="D1470" t="str">
        <x:v>event execution</x:v>
      </x:c>
      <x:c r="E1470" t="str">
        <x:v>PH-EX-173</x:v>
      </x:c>
      <x:c r="F1470" t="n">
        <x:f>IF('Event Register'!R179&lt;&gt;"",1,0)</x:f>
        <x:v>0</x:v>
      </x:c>
      <x:c r="G1470" t="n">
        <x:v>1</x:v>
      </x:c>
      <x:c r="H1470" t="str">
        <x:v>independent physical acceptance</x:v>
      </x:c>
      <x:c r="I1470" t="str">
        <x:f>IF(F1470=1,"PASS","OPEN")</x:f>
        <x:v>OPEN</x:v>
      </x:c>
    </x:row>
    <x:row r="1471">
      <x:c r="B1471" t="str">
        <x:v>PH-EV-173</x:v>
      </x:c>
      <x:c r="C1471" t="str">
        <x:v>PHYSICAL</x:v>
      </x:c>
      <x:c r="D1471" t="str">
        <x:v>event evidence</x:v>
      </x:c>
      <x:c r="E1471" t="str">
        <x:v>PH-EV-173</x:v>
      </x:c>
      <x:c r="F1471" t="n">
        <x:f>IF('Event Register'!S179&lt;&gt;"",1,0)</x:f>
        <x:v>0</x:v>
      </x:c>
      <x:c r="G1471" t="n">
        <x:v>1</x:v>
      </x:c>
      <x:c r="H1471" t="str">
        <x:v>independent physical acceptance</x:v>
      </x:c>
      <x:c r="I1471" t="str">
        <x:f>IF(F1471=1,"PASS","OPEN")</x:f>
        <x:v>OPEN</x:v>
      </x:c>
    </x:row>
    <x:row r="1472">
      <x:c r="B1472" t="str">
        <x:v>PH-VA-173</x:v>
      </x:c>
      <x:c r="C1472" t="str">
        <x:v>PHYSICAL</x:v>
      </x:c>
      <x:c r="D1472" t="str">
        <x:v>event validity</x:v>
      </x:c>
      <x:c r="E1472" t="str">
        <x:v>PH-VA-173</x:v>
      </x:c>
      <x:c r="F1472" t="n">
        <x:f>IF('Event Register'!T179&lt;&gt;"",1,0)</x:f>
        <x:v>0</x:v>
      </x:c>
      <x:c r="G1472" t="n">
        <x:v>1</x:v>
      </x:c>
      <x:c r="H1472" t="str">
        <x:v>independent physical acceptance</x:v>
      </x:c>
      <x:c r="I1472" t="str">
        <x:f>IF(F1472=1,"PASS","OPEN")</x:f>
        <x:v>OPEN</x:v>
      </x:c>
    </x:row>
    <x:row r="1473">
      <x:c r="B1473" t="str">
        <x:v>PH-OU-173</x:v>
      </x:c>
      <x:c r="C1473" t="str">
        <x:v>PHYSICAL</x:v>
      </x:c>
      <x:c r="D1473" t="str">
        <x:v>event outcome</x:v>
      </x:c>
      <x:c r="E1473" t="str">
        <x:v>PH-OU-173</x:v>
      </x:c>
      <x:c r="F1473" t="n">
        <x:f>IF('Event Register'!U179&lt;&gt;"",1,0)</x:f>
        <x:v>0</x:v>
      </x:c>
      <x:c r="G1473" t="n">
        <x:v>1</x:v>
      </x:c>
      <x:c r="H1473" t="str">
        <x:v>independent physical acceptance</x:v>
      </x:c>
      <x:c r="I1473" t="str">
        <x:f>IF(F1473=1,"PASS","OPEN")</x:f>
        <x:v>OPEN</x:v>
      </x:c>
    </x:row>
    <x:row r="1474">
      <x:c r="B1474" t="str">
        <x:v>PH-EX-174</x:v>
      </x:c>
      <x:c r="C1474" t="str">
        <x:v>PHYSICAL</x:v>
      </x:c>
      <x:c r="D1474" t="str">
        <x:v>event execution</x:v>
      </x:c>
      <x:c r="E1474" t="str">
        <x:v>PH-EX-174</x:v>
      </x:c>
      <x:c r="F1474" t="n">
        <x:f>IF('Event Register'!R180&lt;&gt;"",1,0)</x:f>
        <x:v>0</x:v>
      </x:c>
      <x:c r="G1474" t="n">
        <x:v>1</x:v>
      </x:c>
      <x:c r="H1474" t="str">
        <x:v>independent physical acceptance</x:v>
      </x:c>
      <x:c r="I1474" t="str">
        <x:f>IF(F1474=1,"PASS","OPEN")</x:f>
        <x:v>OPEN</x:v>
      </x:c>
    </x:row>
    <x:row r="1475">
      <x:c r="B1475" t="str">
        <x:v>PH-EV-174</x:v>
      </x:c>
      <x:c r="C1475" t="str">
        <x:v>PHYSICAL</x:v>
      </x:c>
      <x:c r="D1475" t="str">
        <x:v>event evidence</x:v>
      </x:c>
      <x:c r="E1475" t="str">
        <x:v>PH-EV-174</x:v>
      </x:c>
      <x:c r="F1475" t="n">
        <x:f>IF('Event Register'!S180&lt;&gt;"",1,0)</x:f>
        <x:v>0</x:v>
      </x:c>
      <x:c r="G1475" t="n">
        <x:v>1</x:v>
      </x:c>
      <x:c r="H1475" t="str">
        <x:v>independent physical acceptance</x:v>
      </x:c>
      <x:c r="I1475" t="str">
        <x:f>IF(F1475=1,"PASS","OPEN")</x:f>
        <x:v>OPEN</x:v>
      </x:c>
    </x:row>
    <x:row r="1476">
      <x:c r="B1476" t="str">
        <x:v>PH-VA-174</x:v>
      </x:c>
      <x:c r="C1476" t="str">
        <x:v>PHYSICAL</x:v>
      </x:c>
      <x:c r="D1476" t="str">
        <x:v>event validity</x:v>
      </x:c>
      <x:c r="E1476" t="str">
        <x:v>PH-VA-174</x:v>
      </x:c>
      <x:c r="F1476" t="n">
        <x:f>IF('Event Register'!T180&lt;&gt;"",1,0)</x:f>
        <x:v>0</x:v>
      </x:c>
      <x:c r="G1476" t="n">
        <x:v>1</x:v>
      </x:c>
      <x:c r="H1476" t="str">
        <x:v>independent physical acceptance</x:v>
      </x:c>
      <x:c r="I1476" t="str">
        <x:f>IF(F1476=1,"PASS","OPEN")</x:f>
        <x:v>OPEN</x:v>
      </x:c>
    </x:row>
    <x:row r="1477">
      <x:c r="B1477" t="str">
        <x:v>PH-OU-174</x:v>
      </x:c>
      <x:c r="C1477" t="str">
        <x:v>PHYSICAL</x:v>
      </x:c>
      <x:c r="D1477" t="str">
        <x:v>event outcome</x:v>
      </x:c>
      <x:c r="E1477" t="str">
        <x:v>PH-OU-174</x:v>
      </x:c>
      <x:c r="F1477" t="n">
        <x:f>IF('Event Register'!U180&lt;&gt;"",1,0)</x:f>
        <x:v>0</x:v>
      </x:c>
      <x:c r="G1477" t="n">
        <x:v>1</x:v>
      </x:c>
      <x:c r="H1477" t="str">
        <x:v>independent physical acceptance</x:v>
      </x:c>
      <x:c r="I1477" t="str">
        <x:f>IF(F1477=1,"PASS","OPEN")</x:f>
        <x:v>OPEN</x:v>
      </x:c>
    </x:row>
    <x:row r="1478">
      <x:c r="B1478" t="str">
        <x:v>PH-EX-175</x:v>
      </x:c>
      <x:c r="C1478" t="str">
        <x:v>PHYSICAL</x:v>
      </x:c>
      <x:c r="D1478" t="str">
        <x:v>event execution</x:v>
      </x:c>
      <x:c r="E1478" t="str">
        <x:v>PH-EX-175</x:v>
      </x:c>
      <x:c r="F1478" t="n">
        <x:f>IF('Event Register'!R181&lt;&gt;"",1,0)</x:f>
        <x:v>0</x:v>
      </x:c>
      <x:c r="G1478" t="n">
        <x:v>1</x:v>
      </x:c>
      <x:c r="H1478" t="str">
        <x:v>independent physical acceptance</x:v>
      </x:c>
      <x:c r="I1478" t="str">
        <x:f>IF(F1478=1,"PASS","OPEN")</x:f>
        <x:v>OPEN</x:v>
      </x:c>
    </x:row>
    <x:row r="1479">
      <x:c r="B1479" t="str">
        <x:v>PH-EV-175</x:v>
      </x:c>
      <x:c r="C1479" t="str">
        <x:v>PHYSICAL</x:v>
      </x:c>
      <x:c r="D1479" t="str">
        <x:v>event evidence</x:v>
      </x:c>
      <x:c r="E1479" t="str">
        <x:v>PH-EV-175</x:v>
      </x:c>
      <x:c r="F1479" t="n">
        <x:f>IF('Event Register'!S181&lt;&gt;"",1,0)</x:f>
        <x:v>0</x:v>
      </x:c>
      <x:c r="G1479" t="n">
        <x:v>1</x:v>
      </x:c>
      <x:c r="H1479" t="str">
        <x:v>independent physical acceptance</x:v>
      </x:c>
      <x:c r="I1479" t="str">
        <x:f>IF(F1479=1,"PASS","OPEN")</x:f>
        <x:v>OPEN</x:v>
      </x:c>
    </x:row>
    <x:row r="1480">
      <x:c r="B1480" t="str">
        <x:v>PH-VA-175</x:v>
      </x:c>
      <x:c r="C1480" t="str">
        <x:v>PHYSICAL</x:v>
      </x:c>
      <x:c r="D1480" t="str">
        <x:v>event validity</x:v>
      </x:c>
      <x:c r="E1480" t="str">
        <x:v>PH-VA-175</x:v>
      </x:c>
      <x:c r="F1480" t="n">
        <x:f>IF('Event Register'!T181&lt;&gt;"",1,0)</x:f>
        <x:v>0</x:v>
      </x:c>
      <x:c r="G1480" t="n">
        <x:v>1</x:v>
      </x:c>
      <x:c r="H1480" t="str">
        <x:v>independent physical acceptance</x:v>
      </x:c>
      <x:c r="I1480" t="str">
        <x:f>IF(F1480=1,"PASS","OPEN")</x:f>
        <x:v>OPEN</x:v>
      </x:c>
    </x:row>
    <x:row r="1481">
      <x:c r="B1481" t="str">
        <x:v>PH-OU-175</x:v>
      </x:c>
      <x:c r="C1481" t="str">
        <x:v>PHYSICAL</x:v>
      </x:c>
      <x:c r="D1481" t="str">
        <x:v>event outcome</x:v>
      </x:c>
      <x:c r="E1481" t="str">
        <x:v>PH-OU-175</x:v>
      </x:c>
      <x:c r="F1481" t="n">
        <x:f>IF('Event Register'!U181&lt;&gt;"",1,0)</x:f>
        <x:v>0</x:v>
      </x:c>
      <x:c r="G1481" t="n">
        <x:v>1</x:v>
      </x:c>
      <x:c r="H1481" t="str">
        <x:v>independent physical acceptance</x:v>
      </x:c>
      <x:c r="I1481" t="str">
        <x:f>IF(F1481=1,"PASS","OPEN")</x:f>
        <x:v>OPEN</x:v>
      </x:c>
    </x:row>
    <x:row r="1482">
      <x:c r="B1482" t="str">
        <x:v>PH-EX-176</x:v>
      </x:c>
      <x:c r="C1482" t="str">
        <x:v>PHYSICAL</x:v>
      </x:c>
      <x:c r="D1482" t="str">
        <x:v>event execution</x:v>
      </x:c>
      <x:c r="E1482" t="str">
        <x:v>PH-EX-176</x:v>
      </x:c>
      <x:c r="F1482" t="n">
        <x:f>IF('Event Register'!R182&lt;&gt;"",1,0)</x:f>
        <x:v>0</x:v>
      </x:c>
      <x:c r="G1482" t="n">
        <x:v>1</x:v>
      </x:c>
      <x:c r="H1482" t="str">
        <x:v>independent physical acceptance</x:v>
      </x:c>
      <x:c r="I1482" t="str">
        <x:f>IF(F1482=1,"PASS","OPEN")</x:f>
        <x:v>OPEN</x:v>
      </x:c>
    </x:row>
    <x:row r="1483">
      <x:c r="B1483" t="str">
        <x:v>PH-EV-176</x:v>
      </x:c>
      <x:c r="C1483" t="str">
        <x:v>PHYSICAL</x:v>
      </x:c>
      <x:c r="D1483" t="str">
        <x:v>event evidence</x:v>
      </x:c>
      <x:c r="E1483" t="str">
        <x:v>PH-EV-176</x:v>
      </x:c>
      <x:c r="F1483" t="n">
        <x:f>IF('Event Register'!S182&lt;&gt;"",1,0)</x:f>
        <x:v>0</x:v>
      </x:c>
      <x:c r="G1483" t="n">
        <x:v>1</x:v>
      </x:c>
      <x:c r="H1483" t="str">
        <x:v>independent physical acceptance</x:v>
      </x:c>
      <x:c r="I1483" t="str">
        <x:f>IF(F1483=1,"PASS","OPEN")</x:f>
        <x:v>OPEN</x:v>
      </x:c>
    </x:row>
    <x:row r="1484">
      <x:c r="B1484" t="str">
        <x:v>PH-VA-176</x:v>
      </x:c>
      <x:c r="C1484" t="str">
        <x:v>PHYSICAL</x:v>
      </x:c>
      <x:c r="D1484" t="str">
        <x:v>event validity</x:v>
      </x:c>
      <x:c r="E1484" t="str">
        <x:v>PH-VA-176</x:v>
      </x:c>
      <x:c r="F1484" t="n">
        <x:f>IF('Event Register'!T182&lt;&gt;"",1,0)</x:f>
        <x:v>0</x:v>
      </x:c>
      <x:c r="G1484" t="n">
        <x:v>1</x:v>
      </x:c>
      <x:c r="H1484" t="str">
        <x:v>independent physical acceptance</x:v>
      </x:c>
      <x:c r="I1484" t="str">
        <x:f>IF(F1484=1,"PASS","OPEN")</x:f>
        <x:v>OPEN</x:v>
      </x:c>
    </x:row>
    <x:row r="1485">
      <x:c r="B1485" t="str">
        <x:v>PH-OU-176</x:v>
      </x:c>
      <x:c r="C1485" t="str">
        <x:v>PHYSICAL</x:v>
      </x:c>
      <x:c r="D1485" t="str">
        <x:v>event outcome</x:v>
      </x:c>
      <x:c r="E1485" t="str">
        <x:v>PH-OU-176</x:v>
      </x:c>
      <x:c r="F1485" t="n">
        <x:f>IF('Event Register'!U182&lt;&gt;"",1,0)</x:f>
        <x:v>0</x:v>
      </x:c>
      <x:c r="G1485" t="n">
        <x:v>1</x:v>
      </x:c>
      <x:c r="H1485" t="str">
        <x:v>independent physical acceptance</x:v>
      </x:c>
      <x:c r="I1485" t="str">
        <x:f>IF(F1485=1,"PASS","OPEN")</x:f>
        <x:v>OPEN</x:v>
      </x:c>
    </x:row>
    <x:row r="1486">
      <x:c r="B1486" t="str">
        <x:v>PH-EX-177</x:v>
      </x:c>
      <x:c r="C1486" t="str">
        <x:v>PHYSICAL</x:v>
      </x:c>
      <x:c r="D1486" t="str">
        <x:v>event execution</x:v>
      </x:c>
      <x:c r="E1486" t="str">
        <x:v>PH-EX-177</x:v>
      </x:c>
      <x:c r="F1486" t="n">
        <x:f>IF('Event Register'!R183&lt;&gt;"",1,0)</x:f>
        <x:v>0</x:v>
      </x:c>
      <x:c r="G1486" t="n">
        <x:v>1</x:v>
      </x:c>
      <x:c r="H1486" t="str">
        <x:v>independent physical acceptance</x:v>
      </x:c>
      <x:c r="I1486" t="str">
        <x:f>IF(F1486=1,"PASS","OPEN")</x:f>
        <x:v>OPEN</x:v>
      </x:c>
    </x:row>
    <x:row r="1487">
      <x:c r="B1487" t="str">
        <x:v>PH-EV-177</x:v>
      </x:c>
      <x:c r="C1487" t="str">
        <x:v>PHYSICAL</x:v>
      </x:c>
      <x:c r="D1487" t="str">
        <x:v>event evidence</x:v>
      </x:c>
      <x:c r="E1487" t="str">
        <x:v>PH-EV-177</x:v>
      </x:c>
      <x:c r="F1487" t="n">
        <x:f>IF('Event Register'!S183&lt;&gt;"",1,0)</x:f>
        <x:v>0</x:v>
      </x:c>
      <x:c r="G1487" t="n">
        <x:v>1</x:v>
      </x:c>
      <x:c r="H1487" t="str">
        <x:v>independent physical acceptance</x:v>
      </x:c>
      <x:c r="I1487" t="str">
        <x:f>IF(F1487=1,"PASS","OPEN")</x:f>
        <x:v>OPEN</x:v>
      </x:c>
    </x:row>
    <x:row r="1488">
      <x:c r="B1488" t="str">
        <x:v>PH-VA-177</x:v>
      </x:c>
      <x:c r="C1488" t="str">
        <x:v>PHYSICAL</x:v>
      </x:c>
      <x:c r="D1488" t="str">
        <x:v>event validity</x:v>
      </x:c>
      <x:c r="E1488" t="str">
        <x:v>PH-VA-177</x:v>
      </x:c>
      <x:c r="F1488" t="n">
        <x:f>IF('Event Register'!T183&lt;&gt;"",1,0)</x:f>
        <x:v>0</x:v>
      </x:c>
      <x:c r="G1488" t="n">
        <x:v>1</x:v>
      </x:c>
      <x:c r="H1488" t="str">
        <x:v>independent physical acceptance</x:v>
      </x:c>
      <x:c r="I1488" t="str">
        <x:f>IF(F1488=1,"PASS","OPEN")</x:f>
        <x:v>OPEN</x:v>
      </x:c>
    </x:row>
    <x:row r="1489">
      <x:c r="B1489" t="str">
        <x:v>PH-OU-177</x:v>
      </x:c>
      <x:c r="C1489" t="str">
        <x:v>PHYSICAL</x:v>
      </x:c>
      <x:c r="D1489" t="str">
        <x:v>event outcome</x:v>
      </x:c>
      <x:c r="E1489" t="str">
        <x:v>PH-OU-177</x:v>
      </x:c>
      <x:c r="F1489" t="n">
        <x:f>IF('Event Register'!U183&lt;&gt;"",1,0)</x:f>
        <x:v>0</x:v>
      </x:c>
      <x:c r="G1489" t="n">
        <x:v>1</x:v>
      </x:c>
      <x:c r="H1489" t="str">
        <x:v>independent physical acceptance</x:v>
      </x:c>
      <x:c r="I1489" t="str">
        <x:f>IF(F1489=1,"PASS","OPEN")</x:f>
        <x:v>OPEN</x:v>
      </x:c>
    </x:row>
    <x:row r="1490">
      <x:c r="B1490" t="str">
        <x:v>PH-EX-178</x:v>
      </x:c>
      <x:c r="C1490" t="str">
        <x:v>PHYSICAL</x:v>
      </x:c>
      <x:c r="D1490" t="str">
        <x:v>event execution</x:v>
      </x:c>
      <x:c r="E1490" t="str">
        <x:v>PH-EX-178</x:v>
      </x:c>
      <x:c r="F1490" t="n">
        <x:f>IF('Event Register'!R184&lt;&gt;"",1,0)</x:f>
        <x:v>0</x:v>
      </x:c>
      <x:c r="G1490" t="n">
        <x:v>1</x:v>
      </x:c>
      <x:c r="H1490" t="str">
        <x:v>independent physical acceptance</x:v>
      </x:c>
      <x:c r="I1490" t="str">
        <x:f>IF(F1490=1,"PASS","OPEN")</x:f>
        <x:v>OPEN</x:v>
      </x:c>
    </x:row>
    <x:row r="1491">
      <x:c r="B1491" t="str">
        <x:v>PH-EV-178</x:v>
      </x:c>
      <x:c r="C1491" t="str">
        <x:v>PHYSICAL</x:v>
      </x:c>
      <x:c r="D1491" t="str">
        <x:v>event evidence</x:v>
      </x:c>
      <x:c r="E1491" t="str">
        <x:v>PH-EV-178</x:v>
      </x:c>
      <x:c r="F1491" t="n">
        <x:f>IF('Event Register'!S184&lt;&gt;"",1,0)</x:f>
        <x:v>0</x:v>
      </x:c>
      <x:c r="G1491" t="n">
        <x:v>1</x:v>
      </x:c>
      <x:c r="H1491" t="str">
        <x:v>independent physical acceptance</x:v>
      </x:c>
      <x:c r="I1491" t="str">
        <x:f>IF(F1491=1,"PASS","OPEN")</x:f>
        <x:v>OPEN</x:v>
      </x:c>
    </x:row>
    <x:row r="1492">
      <x:c r="B1492" t="str">
        <x:v>PH-VA-178</x:v>
      </x:c>
      <x:c r="C1492" t="str">
        <x:v>PHYSICAL</x:v>
      </x:c>
      <x:c r="D1492" t="str">
        <x:v>event validity</x:v>
      </x:c>
      <x:c r="E1492" t="str">
        <x:v>PH-VA-178</x:v>
      </x:c>
      <x:c r="F1492" t="n">
        <x:f>IF('Event Register'!T184&lt;&gt;"",1,0)</x:f>
        <x:v>0</x:v>
      </x:c>
      <x:c r="G1492" t="n">
        <x:v>1</x:v>
      </x:c>
      <x:c r="H1492" t="str">
        <x:v>independent physical acceptance</x:v>
      </x:c>
      <x:c r="I1492" t="str">
        <x:f>IF(F1492=1,"PASS","OPEN")</x:f>
        <x:v>OPEN</x:v>
      </x:c>
    </x:row>
    <x:row r="1493">
      <x:c r="B1493" t="str">
        <x:v>PH-OU-178</x:v>
      </x:c>
      <x:c r="C1493" t="str">
        <x:v>PHYSICAL</x:v>
      </x:c>
      <x:c r="D1493" t="str">
        <x:v>event outcome</x:v>
      </x:c>
      <x:c r="E1493" t="str">
        <x:v>PH-OU-178</x:v>
      </x:c>
      <x:c r="F1493" t="n">
        <x:f>IF('Event Register'!U184&lt;&gt;"",1,0)</x:f>
        <x:v>0</x:v>
      </x:c>
      <x:c r="G1493" t="n">
        <x:v>1</x:v>
      </x:c>
      <x:c r="H1493" t="str">
        <x:v>independent physical acceptance</x:v>
      </x:c>
      <x:c r="I1493" t="str">
        <x:f>IF(F1493=1,"PASS","OPEN")</x:f>
        <x:v>OPEN</x:v>
      </x:c>
    </x:row>
    <x:row r="1494">
      <x:c r="B1494" t="str">
        <x:v>PH-EX-179</x:v>
      </x:c>
      <x:c r="C1494" t="str">
        <x:v>PHYSICAL</x:v>
      </x:c>
      <x:c r="D1494" t="str">
        <x:v>event execution</x:v>
      </x:c>
      <x:c r="E1494" t="str">
        <x:v>PH-EX-179</x:v>
      </x:c>
      <x:c r="F1494" t="n">
        <x:f>IF('Event Register'!R185&lt;&gt;"",1,0)</x:f>
        <x:v>0</x:v>
      </x:c>
      <x:c r="G1494" t="n">
        <x:v>1</x:v>
      </x:c>
      <x:c r="H1494" t="str">
        <x:v>independent physical acceptance</x:v>
      </x:c>
      <x:c r="I1494" t="str">
        <x:f>IF(F1494=1,"PASS","OPEN")</x:f>
        <x:v>OPEN</x:v>
      </x:c>
    </x:row>
    <x:row r="1495">
      <x:c r="B1495" t="str">
        <x:v>PH-EV-179</x:v>
      </x:c>
      <x:c r="C1495" t="str">
        <x:v>PHYSICAL</x:v>
      </x:c>
      <x:c r="D1495" t="str">
        <x:v>event evidence</x:v>
      </x:c>
      <x:c r="E1495" t="str">
        <x:v>PH-EV-179</x:v>
      </x:c>
      <x:c r="F1495" t="n">
        <x:f>IF('Event Register'!S185&lt;&gt;"",1,0)</x:f>
        <x:v>0</x:v>
      </x:c>
      <x:c r="G1495" t="n">
        <x:v>1</x:v>
      </x:c>
      <x:c r="H1495" t="str">
        <x:v>independent physical acceptance</x:v>
      </x:c>
      <x:c r="I1495" t="str">
        <x:f>IF(F1495=1,"PASS","OPEN")</x:f>
        <x:v>OPEN</x:v>
      </x:c>
    </x:row>
    <x:row r="1496">
      <x:c r="B1496" t="str">
        <x:v>PH-VA-179</x:v>
      </x:c>
      <x:c r="C1496" t="str">
        <x:v>PHYSICAL</x:v>
      </x:c>
      <x:c r="D1496" t="str">
        <x:v>event validity</x:v>
      </x:c>
      <x:c r="E1496" t="str">
        <x:v>PH-VA-179</x:v>
      </x:c>
      <x:c r="F1496" t="n">
        <x:f>IF('Event Register'!T185&lt;&gt;"",1,0)</x:f>
        <x:v>0</x:v>
      </x:c>
      <x:c r="G1496" t="n">
        <x:v>1</x:v>
      </x:c>
      <x:c r="H1496" t="str">
        <x:v>independent physical acceptance</x:v>
      </x:c>
      <x:c r="I1496" t="str">
        <x:f>IF(F1496=1,"PASS","OPEN")</x:f>
        <x:v>OPEN</x:v>
      </x:c>
    </x:row>
    <x:row r="1497">
      <x:c r="B1497" t="str">
        <x:v>PH-OU-179</x:v>
      </x:c>
      <x:c r="C1497" t="str">
        <x:v>PHYSICAL</x:v>
      </x:c>
      <x:c r="D1497" t="str">
        <x:v>event outcome</x:v>
      </x:c>
      <x:c r="E1497" t="str">
        <x:v>PH-OU-179</x:v>
      </x:c>
      <x:c r="F1497" t="n">
        <x:f>IF('Event Register'!U185&lt;&gt;"",1,0)</x:f>
        <x:v>0</x:v>
      </x:c>
      <x:c r="G1497" t="n">
        <x:v>1</x:v>
      </x:c>
      <x:c r="H1497" t="str">
        <x:v>independent physical acceptance</x:v>
      </x:c>
      <x:c r="I1497" t="str">
        <x:f>IF(F1497=1,"PASS","OPEN")</x:f>
        <x:v>OPEN</x:v>
      </x:c>
    </x:row>
    <x:row r="1498">
      <x:c r="B1498" t="str">
        <x:v>PH-EX-180</x:v>
      </x:c>
      <x:c r="C1498" t="str">
        <x:v>PHYSICAL</x:v>
      </x:c>
      <x:c r="D1498" t="str">
        <x:v>event execution</x:v>
      </x:c>
      <x:c r="E1498" t="str">
        <x:v>PH-EX-180</x:v>
      </x:c>
      <x:c r="F1498" t="n">
        <x:f>IF('Event Register'!R186&lt;&gt;"",1,0)</x:f>
        <x:v>0</x:v>
      </x:c>
      <x:c r="G1498" t="n">
        <x:v>1</x:v>
      </x:c>
      <x:c r="H1498" t="str">
        <x:v>independent physical acceptance</x:v>
      </x:c>
      <x:c r="I1498" t="str">
        <x:f>IF(F1498=1,"PASS","OPEN")</x:f>
        <x:v>OPEN</x:v>
      </x:c>
    </x:row>
    <x:row r="1499">
      <x:c r="B1499" t="str">
        <x:v>PH-EV-180</x:v>
      </x:c>
      <x:c r="C1499" t="str">
        <x:v>PHYSICAL</x:v>
      </x:c>
      <x:c r="D1499" t="str">
        <x:v>event evidence</x:v>
      </x:c>
      <x:c r="E1499" t="str">
        <x:v>PH-EV-180</x:v>
      </x:c>
      <x:c r="F1499" t="n">
        <x:f>IF('Event Register'!S186&lt;&gt;"",1,0)</x:f>
        <x:v>0</x:v>
      </x:c>
      <x:c r="G1499" t="n">
        <x:v>1</x:v>
      </x:c>
      <x:c r="H1499" t="str">
        <x:v>independent physical acceptance</x:v>
      </x:c>
      <x:c r="I1499" t="str">
        <x:f>IF(F1499=1,"PASS","OPEN")</x:f>
        <x:v>OPEN</x:v>
      </x:c>
    </x:row>
    <x:row r="1500">
      <x:c r="B1500" t="str">
        <x:v>PH-VA-180</x:v>
      </x:c>
      <x:c r="C1500" t="str">
        <x:v>PHYSICAL</x:v>
      </x:c>
      <x:c r="D1500" t="str">
        <x:v>event validity</x:v>
      </x:c>
      <x:c r="E1500" t="str">
        <x:v>PH-VA-180</x:v>
      </x:c>
      <x:c r="F1500" t="n">
        <x:f>IF('Event Register'!T186&lt;&gt;"",1,0)</x:f>
        <x:v>0</x:v>
      </x:c>
      <x:c r="G1500" t="n">
        <x:v>1</x:v>
      </x:c>
      <x:c r="H1500" t="str">
        <x:v>independent physical acceptance</x:v>
      </x:c>
      <x:c r="I1500" t="str">
        <x:f>IF(F1500=1,"PASS","OPEN")</x:f>
        <x:v>OPEN</x:v>
      </x:c>
    </x:row>
    <x:row r="1501">
      <x:c r="B1501" t="str">
        <x:v>PH-OU-180</x:v>
      </x:c>
      <x:c r="C1501" t="str">
        <x:v>PHYSICAL</x:v>
      </x:c>
      <x:c r="D1501" t="str">
        <x:v>event outcome</x:v>
      </x:c>
      <x:c r="E1501" t="str">
        <x:v>PH-OU-180</x:v>
      </x:c>
      <x:c r="F1501" t="n">
        <x:f>IF('Event Register'!U186&lt;&gt;"",1,0)</x:f>
        <x:v>0</x:v>
      </x:c>
      <x:c r="G1501" t="n">
        <x:v>1</x:v>
      </x:c>
      <x:c r="H1501" t="str">
        <x:v>independent physical acceptance</x:v>
      </x:c>
      <x:c r="I1501" t="str">
        <x:f>IF(F1501=1,"PASS","OPEN")</x:f>
        <x:v>OPEN</x:v>
      </x:c>
    </x:row>
    <x:row r="1502">
      <x:c r="B1502" t="str">
        <x:v>PH-EX-181</x:v>
      </x:c>
      <x:c r="C1502" t="str">
        <x:v>PHYSICAL</x:v>
      </x:c>
      <x:c r="D1502" t="str">
        <x:v>event execution</x:v>
      </x:c>
      <x:c r="E1502" t="str">
        <x:v>PH-EX-181</x:v>
      </x:c>
      <x:c r="F1502" t="n">
        <x:f>IF('Event Register'!R187&lt;&gt;"",1,0)</x:f>
        <x:v>0</x:v>
      </x:c>
      <x:c r="G1502" t="n">
        <x:v>1</x:v>
      </x:c>
      <x:c r="H1502" t="str">
        <x:v>independent physical acceptance</x:v>
      </x:c>
      <x:c r="I1502" t="str">
        <x:f>IF(F1502=1,"PASS","OPEN")</x:f>
        <x:v>OPEN</x:v>
      </x:c>
    </x:row>
    <x:row r="1503">
      <x:c r="B1503" t="str">
        <x:v>PH-EV-181</x:v>
      </x:c>
      <x:c r="C1503" t="str">
        <x:v>PHYSICAL</x:v>
      </x:c>
      <x:c r="D1503" t="str">
        <x:v>event evidence</x:v>
      </x:c>
      <x:c r="E1503" t="str">
        <x:v>PH-EV-181</x:v>
      </x:c>
      <x:c r="F1503" t="n">
        <x:f>IF('Event Register'!S187&lt;&gt;"",1,0)</x:f>
        <x:v>0</x:v>
      </x:c>
      <x:c r="G1503" t="n">
        <x:v>1</x:v>
      </x:c>
      <x:c r="H1503" t="str">
        <x:v>independent physical acceptance</x:v>
      </x:c>
      <x:c r="I1503" t="str">
        <x:f>IF(F1503=1,"PASS","OPEN")</x:f>
        <x:v>OPEN</x:v>
      </x:c>
    </x:row>
    <x:row r="1504">
      <x:c r="B1504" t="str">
        <x:v>PH-VA-181</x:v>
      </x:c>
      <x:c r="C1504" t="str">
        <x:v>PHYSICAL</x:v>
      </x:c>
      <x:c r="D1504" t="str">
        <x:v>event validity</x:v>
      </x:c>
      <x:c r="E1504" t="str">
        <x:v>PH-VA-181</x:v>
      </x:c>
      <x:c r="F1504" t="n">
        <x:f>IF('Event Register'!T187&lt;&gt;"",1,0)</x:f>
        <x:v>0</x:v>
      </x:c>
      <x:c r="G1504" t="n">
        <x:v>1</x:v>
      </x:c>
      <x:c r="H1504" t="str">
        <x:v>independent physical acceptance</x:v>
      </x:c>
      <x:c r="I1504" t="str">
        <x:f>IF(F1504=1,"PASS","OPEN")</x:f>
        <x:v>OPEN</x:v>
      </x:c>
    </x:row>
    <x:row r="1505">
      <x:c r="B1505" t="str">
        <x:v>PH-OU-181</x:v>
      </x:c>
      <x:c r="C1505" t="str">
        <x:v>PHYSICAL</x:v>
      </x:c>
      <x:c r="D1505" t="str">
        <x:v>event outcome</x:v>
      </x:c>
      <x:c r="E1505" t="str">
        <x:v>PH-OU-181</x:v>
      </x:c>
      <x:c r="F1505" t="n">
        <x:f>IF('Event Register'!U187&lt;&gt;"",1,0)</x:f>
        <x:v>0</x:v>
      </x:c>
      <x:c r="G1505" t="n">
        <x:v>1</x:v>
      </x:c>
      <x:c r="H1505" t="str">
        <x:v>independent physical acceptance</x:v>
      </x:c>
      <x:c r="I1505" t="str">
        <x:f>IF(F1505=1,"PASS","OPEN")</x:f>
        <x:v>OPEN</x:v>
      </x:c>
    </x:row>
    <x:row r="1506">
      <x:c r="B1506" t="str">
        <x:v>PH-EX-182</x:v>
      </x:c>
      <x:c r="C1506" t="str">
        <x:v>PHYSICAL</x:v>
      </x:c>
      <x:c r="D1506" t="str">
        <x:v>event execution</x:v>
      </x:c>
      <x:c r="E1506" t="str">
        <x:v>PH-EX-182</x:v>
      </x:c>
      <x:c r="F1506" t="n">
        <x:f>IF('Event Register'!R188&lt;&gt;"",1,0)</x:f>
        <x:v>0</x:v>
      </x:c>
      <x:c r="G1506" t="n">
        <x:v>1</x:v>
      </x:c>
      <x:c r="H1506" t="str">
        <x:v>independent physical acceptance</x:v>
      </x:c>
      <x:c r="I1506" t="str">
        <x:f>IF(F1506=1,"PASS","OPEN")</x:f>
        <x:v>OPEN</x:v>
      </x:c>
    </x:row>
    <x:row r="1507">
      <x:c r="B1507" t="str">
        <x:v>PH-EV-182</x:v>
      </x:c>
      <x:c r="C1507" t="str">
        <x:v>PHYSICAL</x:v>
      </x:c>
      <x:c r="D1507" t="str">
        <x:v>event evidence</x:v>
      </x:c>
      <x:c r="E1507" t="str">
        <x:v>PH-EV-182</x:v>
      </x:c>
      <x:c r="F1507" t="n">
        <x:f>IF('Event Register'!S188&lt;&gt;"",1,0)</x:f>
        <x:v>0</x:v>
      </x:c>
      <x:c r="G1507" t="n">
        <x:v>1</x:v>
      </x:c>
      <x:c r="H1507" t="str">
        <x:v>independent physical acceptance</x:v>
      </x:c>
      <x:c r="I1507" t="str">
        <x:f>IF(F1507=1,"PASS","OPEN")</x:f>
        <x:v>OPEN</x:v>
      </x:c>
    </x:row>
    <x:row r="1508">
      <x:c r="B1508" t="str">
        <x:v>PH-VA-182</x:v>
      </x:c>
      <x:c r="C1508" t="str">
        <x:v>PHYSICAL</x:v>
      </x:c>
      <x:c r="D1508" t="str">
        <x:v>event validity</x:v>
      </x:c>
      <x:c r="E1508" t="str">
        <x:v>PH-VA-182</x:v>
      </x:c>
      <x:c r="F1508" t="n">
        <x:f>IF('Event Register'!T188&lt;&gt;"",1,0)</x:f>
        <x:v>0</x:v>
      </x:c>
      <x:c r="G1508" t="n">
        <x:v>1</x:v>
      </x:c>
      <x:c r="H1508" t="str">
        <x:v>independent physical acceptance</x:v>
      </x:c>
      <x:c r="I1508" t="str">
        <x:f>IF(F1508=1,"PASS","OPEN")</x:f>
        <x:v>OPEN</x:v>
      </x:c>
    </x:row>
    <x:row r="1509">
      <x:c r="B1509" t="str">
        <x:v>PH-OU-182</x:v>
      </x:c>
      <x:c r="C1509" t="str">
        <x:v>PHYSICAL</x:v>
      </x:c>
      <x:c r="D1509" t="str">
        <x:v>event outcome</x:v>
      </x:c>
      <x:c r="E1509" t="str">
        <x:v>PH-OU-182</x:v>
      </x:c>
      <x:c r="F1509" t="n">
        <x:f>IF('Event Register'!U188&lt;&gt;"",1,0)</x:f>
        <x:v>0</x:v>
      </x:c>
      <x:c r="G1509" t="n">
        <x:v>1</x:v>
      </x:c>
      <x:c r="H1509" t="str">
        <x:v>independent physical acceptance</x:v>
      </x:c>
      <x:c r="I1509" t="str">
        <x:f>IF(F1509=1,"PASS","OPEN")</x:f>
        <x:v>OPEN</x:v>
      </x:c>
    </x:row>
    <x:row r="1510">
      <x:c r="B1510" t="str">
        <x:v>PH-EX-183</x:v>
      </x:c>
      <x:c r="C1510" t="str">
        <x:v>PHYSICAL</x:v>
      </x:c>
      <x:c r="D1510" t="str">
        <x:v>event execution</x:v>
      </x:c>
      <x:c r="E1510" t="str">
        <x:v>PH-EX-183</x:v>
      </x:c>
      <x:c r="F1510" t="n">
        <x:f>IF('Event Register'!R189&lt;&gt;"",1,0)</x:f>
        <x:v>0</x:v>
      </x:c>
      <x:c r="G1510" t="n">
        <x:v>1</x:v>
      </x:c>
      <x:c r="H1510" t="str">
        <x:v>independent physical acceptance</x:v>
      </x:c>
      <x:c r="I1510" t="str">
        <x:f>IF(F1510=1,"PASS","OPEN")</x:f>
        <x:v>OPEN</x:v>
      </x:c>
    </x:row>
    <x:row r="1511">
      <x:c r="B1511" t="str">
        <x:v>PH-EV-183</x:v>
      </x:c>
      <x:c r="C1511" t="str">
        <x:v>PHYSICAL</x:v>
      </x:c>
      <x:c r="D1511" t="str">
        <x:v>event evidence</x:v>
      </x:c>
      <x:c r="E1511" t="str">
        <x:v>PH-EV-183</x:v>
      </x:c>
      <x:c r="F1511" t="n">
        <x:f>IF('Event Register'!S189&lt;&gt;"",1,0)</x:f>
        <x:v>0</x:v>
      </x:c>
      <x:c r="G1511" t="n">
        <x:v>1</x:v>
      </x:c>
      <x:c r="H1511" t="str">
        <x:v>independent physical acceptance</x:v>
      </x:c>
      <x:c r="I1511" t="str">
        <x:f>IF(F1511=1,"PASS","OPEN")</x:f>
        <x:v>OPEN</x:v>
      </x:c>
    </x:row>
    <x:row r="1512">
      <x:c r="B1512" t="str">
        <x:v>PH-VA-183</x:v>
      </x:c>
      <x:c r="C1512" t="str">
        <x:v>PHYSICAL</x:v>
      </x:c>
      <x:c r="D1512" t="str">
        <x:v>event validity</x:v>
      </x:c>
      <x:c r="E1512" t="str">
        <x:v>PH-VA-183</x:v>
      </x:c>
      <x:c r="F1512" t="n">
        <x:f>IF('Event Register'!T189&lt;&gt;"",1,0)</x:f>
        <x:v>0</x:v>
      </x:c>
      <x:c r="G1512" t="n">
        <x:v>1</x:v>
      </x:c>
      <x:c r="H1512" t="str">
        <x:v>independent physical acceptance</x:v>
      </x:c>
      <x:c r="I1512" t="str">
        <x:f>IF(F1512=1,"PASS","OPEN")</x:f>
        <x:v>OPEN</x:v>
      </x:c>
    </x:row>
    <x:row r="1513">
      <x:c r="B1513" t="str">
        <x:v>PH-OU-183</x:v>
      </x:c>
      <x:c r="C1513" t="str">
        <x:v>PHYSICAL</x:v>
      </x:c>
      <x:c r="D1513" t="str">
        <x:v>event outcome</x:v>
      </x:c>
      <x:c r="E1513" t="str">
        <x:v>PH-OU-183</x:v>
      </x:c>
      <x:c r="F1513" t="n">
        <x:f>IF('Event Register'!U189&lt;&gt;"",1,0)</x:f>
        <x:v>0</x:v>
      </x:c>
      <x:c r="G1513" t="n">
        <x:v>1</x:v>
      </x:c>
      <x:c r="H1513" t="str">
        <x:v>independent physical acceptance</x:v>
      </x:c>
      <x:c r="I1513" t="str">
        <x:f>IF(F1513=1,"PASS","OPEN")</x:f>
        <x:v>OPEN</x:v>
      </x:c>
    </x:row>
    <x:row r="1514">
      <x:c r="B1514" t="str">
        <x:v>PH-EX-184</x:v>
      </x:c>
      <x:c r="C1514" t="str">
        <x:v>PHYSICAL</x:v>
      </x:c>
      <x:c r="D1514" t="str">
        <x:v>event execution</x:v>
      </x:c>
      <x:c r="E1514" t="str">
        <x:v>PH-EX-184</x:v>
      </x:c>
      <x:c r="F1514" t="n">
        <x:f>IF('Event Register'!R190&lt;&gt;"",1,0)</x:f>
        <x:v>0</x:v>
      </x:c>
      <x:c r="G1514" t="n">
        <x:v>1</x:v>
      </x:c>
      <x:c r="H1514" t="str">
        <x:v>independent physical acceptance</x:v>
      </x:c>
      <x:c r="I1514" t="str">
        <x:f>IF(F1514=1,"PASS","OPEN")</x:f>
        <x:v>OPEN</x:v>
      </x:c>
    </x:row>
    <x:row r="1515">
      <x:c r="B1515" t="str">
        <x:v>PH-EV-184</x:v>
      </x:c>
      <x:c r="C1515" t="str">
        <x:v>PHYSICAL</x:v>
      </x:c>
      <x:c r="D1515" t="str">
        <x:v>event evidence</x:v>
      </x:c>
      <x:c r="E1515" t="str">
        <x:v>PH-EV-184</x:v>
      </x:c>
      <x:c r="F1515" t="n">
        <x:f>IF('Event Register'!S190&lt;&gt;"",1,0)</x:f>
        <x:v>0</x:v>
      </x:c>
      <x:c r="G1515" t="n">
        <x:v>1</x:v>
      </x:c>
      <x:c r="H1515" t="str">
        <x:v>independent physical acceptance</x:v>
      </x:c>
      <x:c r="I1515" t="str">
        <x:f>IF(F1515=1,"PASS","OPEN")</x:f>
        <x:v>OPEN</x:v>
      </x:c>
    </x:row>
    <x:row r="1516">
      <x:c r="B1516" t="str">
        <x:v>PH-VA-184</x:v>
      </x:c>
      <x:c r="C1516" t="str">
        <x:v>PHYSICAL</x:v>
      </x:c>
      <x:c r="D1516" t="str">
        <x:v>event validity</x:v>
      </x:c>
      <x:c r="E1516" t="str">
        <x:v>PH-VA-184</x:v>
      </x:c>
      <x:c r="F1516" t="n">
        <x:f>IF('Event Register'!T190&lt;&gt;"",1,0)</x:f>
        <x:v>0</x:v>
      </x:c>
      <x:c r="G1516" t="n">
        <x:v>1</x:v>
      </x:c>
      <x:c r="H1516" t="str">
        <x:v>independent physical acceptance</x:v>
      </x:c>
      <x:c r="I1516" t="str">
        <x:f>IF(F1516=1,"PASS","OPEN")</x:f>
        <x:v>OPEN</x:v>
      </x:c>
    </x:row>
    <x:row r="1517">
      <x:c r="B1517" t="str">
        <x:v>PH-OU-184</x:v>
      </x:c>
      <x:c r="C1517" t="str">
        <x:v>PHYSICAL</x:v>
      </x:c>
      <x:c r="D1517" t="str">
        <x:v>event outcome</x:v>
      </x:c>
      <x:c r="E1517" t="str">
        <x:v>PH-OU-184</x:v>
      </x:c>
      <x:c r="F1517" t="n">
        <x:f>IF('Event Register'!U190&lt;&gt;"",1,0)</x:f>
        <x:v>0</x:v>
      </x:c>
      <x:c r="G1517" t="n">
        <x:v>1</x:v>
      </x:c>
      <x:c r="H1517" t="str">
        <x:v>independent physical acceptance</x:v>
      </x:c>
      <x:c r="I1517" t="str">
        <x:f>IF(F1517=1,"PASS","OPEN")</x:f>
        <x:v>OPEN</x:v>
      </x:c>
    </x:row>
    <x:row r="1518">
      <x:c r="B1518" t="str">
        <x:v>PH-EX-185</x:v>
      </x:c>
      <x:c r="C1518" t="str">
        <x:v>PHYSICAL</x:v>
      </x:c>
      <x:c r="D1518" t="str">
        <x:v>event execution</x:v>
      </x:c>
      <x:c r="E1518" t="str">
        <x:v>PH-EX-185</x:v>
      </x:c>
      <x:c r="F1518" t="n">
        <x:f>IF('Event Register'!R191&lt;&gt;"",1,0)</x:f>
        <x:v>0</x:v>
      </x:c>
      <x:c r="G1518" t="n">
        <x:v>1</x:v>
      </x:c>
      <x:c r="H1518" t="str">
        <x:v>independent physical acceptance</x:v>
      </x:c>
      <x:c r="I1518" t="str">
        <x:f>IF(F1518=1,"PASS","OPEN")</x:f>
        <x:v>OPEN</x:v>
      </x:c>
    </x:row>
    <x:row r="1519">
      <x:c r="B1519" t="str">
        <x:v>PH-EV-185</x:v>
      </x:c>
      <x:c r="C1519" t="str">
        <x:v>PHYSICAL</x:v>
      </x:c>
      <x:c r="D1519" t="str">
        <x:v>event evidence</x:v>
      </x:c>
      <x:c r="E1519" t="str">
        <x:v>PH-EV-185</x:v>
      </x:c>
      <x:c r="F1519" t="n">
        <x:f>IF('Event Register'!S191&lt;&gt;"",1,0)</x:f>
        <x:v>0</x:v>
      </x:c>
      <x:c r="G1519" t="n">
        <x:v>1</x:v>
      </x:c>
      <x:c r="H1519" t="str">
        <x:v>independent physical acceptance</x:v>
      </x:c>
      <x:c r="I1519" t="str">
        <x:f>IF(F1519=1,"PASS","OPEN")</x:f>
        <x:v>OPEN</x:v>
      </x:c>
    </x:row>
    <x:row r="1520">
      <x:c r="B1520" t="str">
        <x:v>PH-VA-185</x:v>
      </x:c>
      <x:c r="C1520" t="str">
        <x:v>PHYSICAL</x:v>
      </x:c>
      <x:c r="D1520" t="str">
        <x:v>event validity</x:v>
      </x:c>
      <x:c r="E1520" t="str">
        <x:v>PH-VA-185</x:v>
      </x:c>
      <x:c r="F1520" t="n">
        <x:f>IF('Event Register'!T191&lt;&gt;"",1,0)</x:f>
        <x:v>0</x:v>
      </x:c>
      <x:c r="G1520" t="n">
        <x:v>1</x:v>
      </x:c>
      <x:c r="H1520" t="str">
        <x:v>independent physical acceptance</x:v>
      </x:c>
      <x:c r="I1520" t="str">
        <x:f>IF(F1520=1,"PASS","OPEN")</x:f>
        <x:v>OPEN</x:v>
      </x:c>
    </x:row>
    <x:row r="1521">
      <x:c r="B1521" t="str">
        <x:v>PH-OU-185</x:v>
      </x:c>
      <x:c r="C1521" t="str">
        <x:v>PHYSICAL</x:v>
      </x:c>
      <x:c r="D1521" t="str">
        <x:v>event outcome</x:v>
      </x:c>
      <x:c r="E1521" t="str">
        <x:v>PH-OU-185</x:v>
      </x:c>
      <x:c r="F1521" t="n">
        <x:f>IF('Event Register'!U191&lt;&gt;"",1,0)</x:f>
        <x:v>0</x:v>
      </x:c>
      <x:c r="G1521" t="n">
        <x:v>1</x:v>
      </x:c>
      <x:c r="H1521" t="str">
        <x:v>independent physical acceptance</x:v>
      </x:c>
      <x:c r="I1521" t="str">
        <x:f>IF(F1521=1,"PASS","OPEN")</x:f>
        <x:v>OPEN</x:v>
      </x:c>
    </x:row>
    <x:row r="1522">
      <x:c r="B1522" t="str">
        <x:v>PH-EX-186</x:v>
      </x:c>
      <x:c r="C1522" t="str">
        <x:v>PHYSICAL</x:v>
      </x:c>
      <x:c r="D1522" t="str">
        <x:v>event execution</x:v>
      </x:c>
      <x:c r="E1522" t="str">
        <x:v>PH-EX-186</x:v>
      </x:c>
      <x:c r="F1522" t="n">
        <x:f>IF('Event Register'!R192&lt;&gt;"",1,0)</x:f>
        <x:v>0</x:v>
      </x:c>
      <x:c r="G1522" t="n">
        <x:v>1</x:v>
      </x:c>
      <x:c r="H1522" t="str">
        <x:v>independent physical acceptance</x:v>
      </x:c>
      <x:c r="I1522" t="str">
        <x:f>IF(F1522=1,"PASS","OPEN")</x:f>
        <x:v>OPEN</x:v>
      </x:c>
    </x:row>
    <x:row r="1523">
      <x:c r="B1523" t="str">
        <x:v>PH-EV-186</x:v>
      </x:c>
      <x:c r="C1523" t="str">
        <x:v>PHYSICAL</x:v>
      </x:c>
      <x:c r="D1523" t="str">
        <x:v>event evidence</x:v>
      </x:c>
      <x:c r="E1523" t="str">
        <x:v>PH-EV-186</x:v>
      </x:c>
      <x:c r="F1523" t="n">
        <x:f>IF('Event Register'!S192&lt;&gt;"",1,0)</x:f>
        <x:v>0</x:v>
      </x:c>
      <x:c r="G1523" t="n">
        <x:v>1</x:v>
      </x:c>
      <x:c r="H1523" t="str">
        <x:v>independent physical acceptance</x:v>
      </x:c>
      <x:c r="I1523" t="str">
        <x:f>IF(F1523=1,"PASS","OPEN")</x:f>
        <x:v>OPEN</x:v>
      </x:c>
    </x:row>
    <x:row r="1524">
      <x:c r="B1524" t="str">
        <x:v>PH-VA-186</x:v>
      </x:c>
      <x:c r="C1524" t="str">
        <x:v>PHYSICAL</x:v>
      </x:c>
      <x:c r="D1524" t="str">
        <x:v>event validity</x:v>
      </x:c>
      <x:c r="E1524" t="str">
        <x:v>PH-VA-186</x:v>
      </x:c>
      <x:c r="F1524" t="n">
        <x:f>IF('Event Register'!T192&lt;&gt;"",1,0)</x:f>
        <x:v>0</x:v>
      </x:c>
      <x:c r="G1524" t="n">
        <x:v>1</x:v>
      </x:c>
      <x:c r="H1524" t="str">
        <x:v>independent physical acceptance</x:v>
      </x:c>
      <x:c r="I1524" t="str">
        <x:f>IF(F1524=1,"PASS","OPEN")</x:f>
        <x:v>OPEN</x:v>
      </x:c>
    </x:row>
    <x:row r="1525">
      <x:c r="B1525" t="str">
        <x:v>PH-OU-186</x:v>
      </x:c>
      <x:c r="C1525" t="str">
        <x:v>PHYSICAL</x:v>
      </x:c>
      <x:c r="D1525" t="str">
        <x:v>event outcome</x:v>
      </x:c>
      <x:c r="E1525" t="str">
        <x:v>PH-OU-186</x:v>
      </x:c>
      <x:c r="F1525" t="n">
        <x:f>IF('Event Register'!U192&lt;&gt;"",1,0)</x:f>
        <x:v>0</x:v>
      </x:c>
      <x:c r="G1525" t="n">
        <x:v>1</x:v>
      </x:c>
      <x:c r="H1525" t="str">
        <x:v>independent physical acceptance</x:v>
      </x:c>
      <x:c r="I1525" t="str">
        <x:f>IF(F1525=1,"PASS","OPEN")</x:f>
        <x:v>OPEN</x:v>
      </x:c>
    </x:row>
    <x:row r="1526">
      <x:c r="B1526" t="str">
        <x:v>PH-EX-187</x:v>
      </x:c>
      <x:c r="C1526" t="str">
        <x:v>PHYSICAL</x:v>
      </x:c>
      <x:c r="D1526" t="str">
        <x:v>event execution</x:v>
      </x:c>
      <x:c r="E1526" t="str">
        <x:v>PH-EX-187</x:v>
      </x:c>
      <x:c r="F1526" t="n">
        <x:f>IF('Event Register'!R193&lt;&gt;"",1,0)</x:f>
        <x:v>0</x:v>
      </x:c>
      <x:c r="G1526" t="n">
        <x:v>1</x:v>
      </x:c>
      <x:c r="H1526" t="str">
        <x:v>independent physical acceptance</x:v>
      </x:c>
      <x:c r="I1526" t="str">
        <x:f>IF(F1526=1,"PASS","OPEN")</x:f>
        <x:v>OPEN</x:v>
      </x:c>
    </x:row>
    <x:row r="1527">
      <x:c r="B1527" t="str">
        <x:v>PH-EV-187</x:v>
      </x:c>
      <x:c r="C1527" t="str">
        <x:v>PHYSICAL</x:v>
      </x:c>
      <x:c r="D1527" t="str">
        <x:v>event evidence</x:v>
      </x:c>
      <x:c r="E1527" t="str">
        <x:v>PH-EV-187</x:v>
      </x:c>
      <x:c r="F1527" t="n">
        <x:f>IF('Event Register'!S193&lt;&gt;"",1,0)</x:f>
        <x:v>0</x:v>
      </x:c>
      <x:c r="G1527" t="n">
        <x:v>1</x:v>
      </x:c>
      <x:c r="H1527" t="str">
        <x:v>independent physical acceptance</x:v>
      </x:c>
      <x:c r="I1527" t="str">
        <x:f>IF(F1527=1,"PASS","OPEN")</x:f>
        <x:v>OPEN</x:v>
      </x:c>
    </x:row>
    <x:row r="1528">
      <x:c r="B1528" t="str">
        <x:v>PH-VA-187</x:v>
      </x:c>
      <x:c r="C1528" t="str">
        <x:v>PHYSICAL</x:v>
      </x:c>
      <x:c r="D1528" t="str">
        <x:v>event validity</x:v>
      </x:c>
      <x:c r="E1528" t="str">
        <x:v>PH-VA-187</x:v>
      </x:c>
      <x:c r="F1528" t="n">
        <x:f>IF('Event Register'!T193&lt;&gt;"",1,0)</x:f>
        <x:v>0</x:v>
      </x:c>
      <x:c r="G1528" t="n">
        <x:v>1</x:v>
      </x:c>
      <x:c r="H1528" t="str">
        <x:v>independent physical acceptance</x:v>
      </x:c>
      <x:c r="I1528" t="str">
        <x:f>IF(F1528=1,"PASS","OPEN")</x:f>
        <x:v>OPEN</x:v>
      </x:c>
    </x:row>
    <x:row r="1529">
      <x:c r="B1529" t="str">
        <x:v>PH-OU-187</x:v>
      </x:c>
      <x:c r="C1529" t="str">
        <x:v>PHYSICAL</x:v>
      </x:c>
      <x:c r="D1529" t="str">
        <x:v>event outcome</x:v>
      </x:c>
      <x:c r="E1529" t="str">
        <x:v>PH-OU-187</x:v>
      </x:c>
      <x:c r="F1529" t="n">
        <x:f>IF('Event Register'!U193&lt;&gt;"",1,0)</x:f>
        <x:v>0</x:v>
      </x:c>
      <x:c r="G1529" t="n">
        <x:v>1</x:v>
      </x:c>
      <x:c r="H1529" t="str">
        <x:v>independent physical acceptance</x:v>
      </x:c>
      <x:c r="I1529" t="str">
        <x:f>IF(F1529=1,"PASS","OPEN")</x:f>
        <x:v>OPEN</x:v>
      </x:c>
    </x:row>
    <x:row r="1530">
      <x:c r="B1530" t="str">
        <x:v>PH-EX-188</x:v>
      </x:c>
      <x:c r="C1530" t="str">
        <x:v>PHYSICAL</x:v>
      </x:c>
      <x:c r="D1530" t="str">
        <x:v>event execution</x:v>
      </x:c>
      <x:c r="E1530" t="str">
        <x:v>PH-EX-188</x:v>
      </x:c>
      <x:c r="F1530" t="n">
        <x:f>IF('Event Register'!R194&lt;&gt;"",1,0)</x:f>
        <x:v>0</x:v>
      </x:c>
      <x:c r="G1530" t="n">
        <x:v>1</x:v>
      </x:c>
      <x:c r="H1530" t="str">
        <x:v>independent physical acceptance</x:v>
      </x:c>
      <x:c r="I1530" t="str">
        <x:f>IF(F1530=1,"PASS","OPEN")</x:f>
        <x:v>OPEN</x:v>
      </x:c>
    </x:row>
    <x:row r="1531">
      <x:c r="B1531" t="str">
        <x:v>PH-EV-188</x:v>
      </x:c>
      <x:c r="C1531" t="str">
        <x:v>PHYSICAL</x:v>
      </x:c>
      <x:c r="D1531" t="str">
        <x:v>event evidence</x:v>
      </x:c>
      <x:c r="E1531" t="str">
        <x:v>PH-EV-188</x:v>
      </x:c>
      <x:c r="F1531" t="n">
        <x:f>IF('Event Register'!S194&lt;&gt;"",1,0)</x:f>
        <x:v>0</x:v>
      </x:c>
      <x:c r="G1531" t="n">
        <x:v>1</x:v>
      </x:c>
      <x:c r="H1531" t="str">
        <x:v>independent physical acceptance</x:v>
      </x:c>
      <x:c r="I1531" t="str">
        <x:f>IF(F1531=1,"PASS","OPEN")</x:f>
        <x:v>OPEN</x:v>
      </x:c>
    </x:row>
    <x:row r="1532">
      <x:c r="B1532" t="str">
        <x:v>PH-VA-188</x:v>
      </x:c>
      <x:c r="C1532" t="str">
        <x:v>PHYSICAL</x:v>
      </x:c>
      <x:c r="D1532" t="str">
        <x:v>event validity</x:v>
      </x:c>
      <x:c r="E1532" t="str">
        <x:v>PH-VA-188</x:v>
      </x:c>
      <x:c r="F1532" t="n">
        <x:f>IF('Event Register'!T194&lt;&gt;"",1,0)</x:f>
        <x:v>0</x:v>
      </x:c>
      <x:c r="G1532" t="n">
        <x:v>1</x:v>
      </x:c>
      <x:c r="H1532" t="str">
        <x:v>independent physical acceptance</x:v>
      </x:c>
      <x:c r="I1532" t="str">
        <x:f>IF(F1532=1,"PASS","OPEN")</x:f>
        <x:v>OPEN</x:v>
      </x:c>
    </x:row>
    <x:row r="1533">
      <x:c r="B1533" t="str">
        <x:v>PH-OU-188</x:v>
      </x:c>
      <x:c r="C1533" t="str">
        <x:v>PHYSICAL</x:v>
      </x:c>
      <x:c r="D1533" t="str">
        <x:v>event outcome</x:v>
      </x:c>
      <x:c r="E1533" t="str">
        <x:v>PH-OU-188</x:v>
      </x:c>
      <x:c r="F1533" t="n">
        <x:f>IF('Event Register'!U194&lt;&gt;"",1,0)</x:f>
        <x:v>0</x:v>
      </x:c>
      <x:c r="G1533" t="n">
        <x:v>1</x:v>
      </x:c>
      <x:c r="H1533" t="str">
        <x:v>independent physical acceptance</x:v>
      </x:c>
      <x:c r="I1533" t="str">
        <x:f>IF(F1533=1,"PASS","OPEN")</x:f>
        <x:v>OPEN</x:v>
      </x:c>
    </x:row>
    <x:row r="1534">
      <x:c r="B1534" t="str">
        <x:v>PH-EX-189</x:v>
      </x:c>
      <x:c r="C1534" t="str">
        <x:v>PHYSICAL</x:v>
      </x:c>
      <x:c r="D1534" t="str">
        <x:v>event execution</x:v>
      </x:c>
      <x:c r="E1534" t="str">
        <x:v>PH-EX-189</x:v>
      </x:c>
      <x:c r="F1534" t="n">
        <x:f>IF('Event Register'!R195&lt;&gt;"",1,0)</x:f>
        <x:v>0</x:v>
      </x:c>
      <x:c r="G1534" t="n">
        <x:v>1</x:v>
      </x:c>
      <x:c r="H1534" t="str">
        <x:v>independent physical acceptance</x:v>
      </x:c>
      <x:c r="I1534" t="str">
        <x:f>IF(F1534=1,"PASS","OPEN")</x:f>
        <x:v>OPEN</x:v>
      </x:c>
    </x:row>
    <x:row r="1535">
      <x:c r="B1535" t="str">
        <x:v>PH-EV-189</x:v>
      </x:c>
      <x:c r="C1535" t="str">
        <x:v>PHYSICAL</x:v>
      </x:c>
      <x:c r="D1535" t="str">
        <x:v>event evidence</x:v>
      </x:c>
      <x:c r="E1535" t="str">
        <x:v>PH-EV-189</x:v>
      </x:c>
      <x:c r="F1535" t="n">
        <x:f>IF('Event Register'!S195&lt;&gt;"",1,0)</x:f>
        <x:v>0</x:v>
      </x:c>
      <x:c r="G1535" t="n">
        <x:v>1</x:v>
      </x:c>
      <x:c r="H1535" t="str">
        <x:v>independent physical acceptance</x:v>
      </x:c>
      <x:c r="I1535" t="str">
        <x:f>IF(F1535=1,"PASS","OPEN")</x:f>
        <x:v>OPEN</x:v>
      </x:c>
    </x:row>
    <x:row r="1536">
      <x:c r="B1536" t="str">
        <x:v>PH-VA-189</x:v>
      </x:c>
      <x:c r="C1536" t="str">
        <x:v>PHYSICAL</x:v>
      </x:c>
      <x:c r="D1536" t="str">
        <x:v>event validity</x:v>
      </x:c>
      <x:c r="E1536" t="str">
        <x:v>PH-VA-189</x:v>
      </x:c>
      <x:c r="F1536" t="n">
        <x:f>IF('Event Register'!T195&lt;&gt;"",1,0)</x:f>
        <x:v>0</x:v>
      </x:c>
      <x:c r="G1536" t="n">
        <x:v>1</x:v>
      </x:c>
      <x:c r="H1536" t="str">
        <x:v>independent physical acceptance</x:v>
      </x:c>
      <x:c r="I1536" t="str">
        <x:f>IF(F1536=1,"PASS","OPEN")</x:f>
        <x:v>OPEN</x:v>
      </x:c>
    </x:row>
    <x:row r="1537">
      <x:c r="B1537" t="str">
        <x:v>PH-OU-189</x:v>
      </x:c>
      <x:c r="C1537" t="str">
        <x:v>PHYSICAL</x:v>
      </x:c>
      <x:c r="D1537" t="str">
        <x:v>event outcome</x:v>
      </x:c>
      <x:c r="E1537" t="str">
        <x:v>PH-OU-189</x:v>
      </x:c>
      <x:c r="F1537" t="n">
        <x:f>IF('Event Register'!U195&lt;&gt;"",1,0)</x:f>
        <x:v>0</x:v>
      </x:c>
      <x:c r="G1537" t="n">
        <x:v>1</x:v>
      </x:c>
      <x:c r="H1537" t="str">
        <x:v>independent physical acceptance</x:v>
      </x:c>
      <x:c r="I1537" t="str">
        <x:f>IF(F1537=1,"PASS","OPEN")</x:f>
        <x:v>OPEN</x:v>
      </x:c>
    </x:row>
    <x:row r="1538">
      <x:c r="B1538" t="str">
        <x:v>PH-EX-190</x:v>
      </x:c>
      <x:c r="C1538" t="str">
        <x:v>PHYSICAL</x:v>
      </x:c>
      <x:c r="D1538" t="str">
        <x:v>event execution</x:v>
      </x:c>
      <x:c r="E1538" t="str">
        <x:v>PH-EX-190</x:v>
      </x:c>
      <x:c r="F1538" t="n">
        <x:f>IF('Event Register'!R196&lt;&gt;"",1,0)</x:f>
        <x:v>0</x:v>
      </x:c>
      <x:c r="G1538" t="n">
        <x:v>1</x:v>
      </x:c>
      <x:c r="H1538" t="str">
        <x:v>independent physical acceptance</x:v>
      </x:c>
      <x:c r="I1538" t="str">
        <x:f>IF(F1538=1,"PASS","OPEN")</x:f>
        <x:v>OPEN</x:v>
      </x:c>
    </x:row>
    <x:row r="1539">
      <x:c r="B1539" t="str">
        <x:v>PH-EV-190</x:v>
      </x:c>
      <x:c r="C1539" t="str">
        <x:v>PHYSICAL</x:v>
      </x:c>
      <x:c r="D1539" t="str">
        <x:v>event evidence</x:v>
      </x:c>
      <x:c r="E1539" t="str">
        <x:v>PH-EV-190</x:v>
      </x:c>
      <x:c r="F1539" t="n">
        <x:f>IF('Event Register'!S196&lt;&gt;"",1,0)</x:f>
        <x:v>0</x:v>
      </x:c>
      <x:c r="G1539" t="n">
        <x:v>1</x:v>
      </x:c>
      <x:c r="H1539" t="str">
        <x:v>independent physical acceptance</x:v>
      </x:c>
      <x:c r="I1539" t="str">
        <x:f>IF(F1539=1,"PASS","OPEN")</x:f>
        <x:v>OPEN</x:v>
      </x:c>
    </x:row>
    <x:row r="1540">
      <x:c r="B1540" t="str">
        <x:v>PH-VA-190</x:v>
      </x:c>
      <x:c r="C1540" t="str">
        <x:v>PHYSICAL</x:v>
      </x:c>
      <x:c r="D1540" t="str">
        <x:v>event validity</x:v>
      </x:c>
      <x:c r="E1540" t="str">
        <x:v>PH-VA-190</x:v>
      </x:c>
      <x:c r="F1540" t="n">
        <x:f>IF('Event Register'!T196&lt;&gt;"",1,0)</x:f>
        <x:v>0</x:v>
      </x:c>
      <x:c r="G1540" t="n">
        <x:v>1</x:v>
      </x:c>
      <x:c r="H1540" t="str">
        <x:v>independent physical acceptance</x:v>
      </x:c>
      <x:c r="I1540" t="str">
        <x:f>IF(F1540=1,"PASS","OPEN")</x:f>
        <x:v>OPEN</x:v>
      </x:c>
    </x:row>
    <x:row r="1541">
      <x:c r="B1541" t="str">
        <x:v>PH-OU-190</x:v>
      </x:c>
      <x:c r="C1541" t="str">
        <x:v>PHYSICAL</x:v>
      </x:c>
      <x:c r="D1541" t="str">
        <x:v>event outcome</x:v>
      </x:c>
      <x:c r="E1541" t="str">
        <x:v>PH-OU-190</x:v>
      </x:c>
      <x:c r="F1541" t="n">
        <x:f>IF('Event Register'!U196&lt;&gt;"",1,0)</x:f>
        <x:v>0</x:v>
      </x:c>
      <x:c r="G1541" t="n">
        <x:v>1</x:v>
      </x:c>
      <x:c r="H1541" t="str">
        <x:v>independent physical acceptance</x:v>
      </x:c>
      <x:c r="I1541" t="str">
        <x:f>IF(F1541=1,"PASS","OPEN")</x:f>
        <x:v>OPEN</x:v>
      </x:c>
    </x:row>
    <x:row r="1542">
      <x:c r="B1542" t="str">
        <x:v>PH-EX-191</x:v>
      </x:c>
      <x:c r="C1542" t="str">
        <x:v>PHYSICAL</x:v>
      </x:c>
      <x:c r="D1542" t="str">
        <x:v>event execution</x:v>
      </x:c>
      <x:c r="E1542" t="str">
        <x:v>PH-EX-191</x:v>
      </x:c>
      <x:c r="F1542" t="n">
        <x:f>IF('Event Register'!R197&lt;&gt;"",1,0)</x:f>
        <x:v>0</x:v>
      </x:c>
      <x:c r="G1542" t="n">
        <x:v>1</x:v>
      </x:c>
      <x:c r="H1542" t="str">
        <x:v>independent physical acceptance</x:v>
      </x:c>
      <x:c r="I1542" t="str">
        <x:f>IF(F1542=1,"PASS","OPEN")</x:f>
        <x:v>OPEN</x:v>
      </x:c>
    </x:row>
    <x:row r="1543">
      <x:c r="B1543" t="str">
        <x:v>PH-EV-191</x:v>
      </x:c>
      <x:c r="C1543" t="str">
        <x:v>PHYSICAL</x:v>
      </x:c>
      <x:c r="D1543" t="str">
        <x:v>event evidence</x:v>
      </x:c>
      <x:c r="E1543" t="str">
        <x:v>PH-EV-191</x:v>
      </x:c>
      <x:c r="F1543" t="n">
        <x:f>IF('Event Register'!S197&lt;&gt;"",1,0)</x:f>
        <x:v>0</x:v>
      </x:c>
      <x:c r="G1543" t="n">
        <x:v>1</x:v>
      </x:c>
      <x:c r="H1543" t="str">
        <x:v>independent physical acceptance</x:v>
      </x:c>
      <x:c r="I1543" t="str">
        <x:f>IF(F1543=1,"PASS","OPEN")</x:f>
        <x:v>OPEN</x:v>
      </x:c>
    </x:row>
    <x:row r="1544">
      <x:c r="B1544" t="str">
        <x:v>PH-VA-191</x:v>
      </x:c>
      <x:c r="C1544" t="str">
        <x:v>PHYSICAL</x:v>
      </x:c>
      <x:c r="D1544" t="str">
        <x:v>event validity</x:v>
      </x:c>
      <x:c r="E1544" t="str">
        <x:v>PH-VA-191</x:v>
      </x:c>
      <x:c r="F1544" t="n">
        <x:f>IF('Event Register'!T197&lt;&gt;"",1,0)</x:f>
        <x:v>0</x:v>
      </x:c>
      <x:c r="G1544" t="n">
        <x:v>1</x:v>
      </x:c>
      <x:c r="H1544" t="str">
        <x:v>independent physical acceptance</x:v>
      </x:c>
      <x:c r="I1544" t="str">
        <x:f>IF(F1544=1,"PASS","OPEN")</x:f>
        <x:v>OPEN</x:v>
      </x:c>
    </x:row>
    <x:row r="1545">
      <x:c r="B1545" t="str">
        <x:v>PH-OU-191</x:v>
      </x:c>
      <x:c r="C1545" t="str">
        <x:v>PHYSICAL</x:v>
      </x:c>
      <x:c r="D1545" t="str">
        <x:v>event outcome</x:v>
      </x:c>
      <x:c r="E1545" t="str">
        <x:v>PH-OU-191</x:v>
      </x:c>
      <x:c r="F1545" t="n">
        <x:f>IF('Event Register'!U197&lt;&gt;"",1,0)</x:f>
        <x:v>0</x:v>
      </x:c>
      <x:c r="G1545" t="n">
        <x:v>1</x:v>
      </x:c>
      <x:c r="H1545" t="str">
        <x:v>independent physical acceptance</x:v>
      </x:c>
      <x:c r="I1545" t="str">
        <x:f>IF(F1545=1,"PASS","OPEN")</x:f>
        <x:v>OPEN</x:v>
      </x:c>
    </x:row>
    <x:row r="1546">
      <x:c r="B1546" t="str">
        <x:v>PH-EX-192</x:v>
      </x:c>
      <x:c r="C1546" t="str">
        <x:v>PHYSICAL</x:v>
      </x:c>
      <x:c r="D1546" t="str">
        <x:v>event execution</x:v>
      </x:c>
      <x:c r="E1546" t="str">
        <x:v>PH-EX-192</x:v>
      </x:c>
      <x:c r="F1546" t="n">
        <x:f>IF('Event Register'!R198&lt;&gt;"",1,0)</x:f>
        <x:v>0</x:v>
      </x:c>
      <x:c r="G1546" t="n">
        <x:v>1</x:v>
      </x:c>
      <x:c r="H1546" t="str">
        <x:v>independent physical acceptance</x:v>
      </x:c>
      <x:c r="I1546" t="str">
        <x:f>IF(F1546=1,"PASS","OPEN")</x:f>
        <x:v>OPEN</x:v>
      </x:c>
    </x:row>
    <x:row r="1547">
      <x:c r="B1547" t="str">
        <x:v>PH-EV-192</x:v>
      </x:c>
      <x:c r="C1547" t="str">
        <x:v>PHYSICAL</x:v>
      </x:c>
      <x:c r="D1547" t="str">
        <x:v>event evidence</x:v>
      </x:c>
      <x:c r="E1547" t="str">
        <x:v>PH-EV-192</x:v>
      </x:c>
      <x:c r="F1547" t="n">
        <x:f>IF('Event Register'!S198&lt;&gt;"",1,0)</x:f>
        <x:v>0</x:v>
      </x:c>
      <x:c r="G1547" t="n">
        <x:v>1</x:v>
      </x:c>
      <x:c r="H1547" t="str">
        <x:v>independent physical acceptance</x:v>
      </x:c>
      <x:c r="I1547" t="str">
        <x:f>IF(F1547=1,"PASS","OPEN")</x:f>
        <x:v>OPEN</x:v>
      </x:c>
    </x:row>
    <x:row r="1548">
      <x:c r="B1548" t="str">
        <x:v>PH-VA-192</x:v>
      </x:c>
      <x:c r="C1548" t="str">
        <x:v>PHYSICAL</x:v>
      </x:c>
      <x:c r="D1548" t="str">
        <x:v>event validity</x:v>
      </x:c>
      <x:c r="E1548" t="str">
        <x:v>PH-VA-192</x:v>
      </x:c>
      <x:c r="F1548" t="n">
        <x:f>IF('Event Register'!T198&lt;&gt;"",1,0)</x:f>
        <x:v>0</x:v>
      </x:c>
      <x:c r="G1548" t="n">
        <x:v>1</x:v>
      </x:c>
      <x:c r="H1548" t="str">
        <x:v>independent physical acceptance</x:v>
      </x:c>
      <x:c r="I1548" t="str">
        <x:f>IF(F1548=1,"PASS","OPEN")</x:f>
        <x:v>OPEN</x:v>
      </x:c>
    </x:row>
    <x:row r="1549">
      <x:c r="B1549" t="str">
        <x:v>PH-OU-192</x:v>
      </x:c>
      <x:c r="C1549" t="str">
        <x:v>PHYSICAL</x:v>
      </x:c>
      <x:c r="D1549" t="str">
        <x:v>event outcome</x:v>
      </x:c>
      <x:c r="E1549" t="str">
        <x:v>PH-OU-192</x:v>
      </x:c>
      <x:c r="F1549" t="n">
        <x:f>IF('Event Register'!U198&lt;&gt;"",1,0)</x:f>
        <x:v>0</x:v>
      </x:c>
      <x:c r="G1549" t="n">
        <x:v>1</x:v>
      </x:c>
      <x:c r="H1549" t="str">
        <x:v>independent physical acceptance</x:v>
      </x:c>
      <x:c r="I1549" t="str">
        <x:f>IF(F1549=1,"PASS","OPEN")</x:f>
        <x:v>OPEN</x:v>
      </x:c>
    </x:row>
    <x:row r="1550">
      <x:c r="B1550" t="str">
        <x:v>PH-EX-193</x:v>
      </x:c>
      <x:c r="C1550" t="str">
        <x:v>PHYSICAL</x:v>
      </x:c>
      <x:c r="D1550" t="str">
        <x:v>event execution</x:v>
      </x:c>
      <x:c r="E1550" t="str">
        <x:v>PH-EX-193</x:v>
      </x:c>
      <x:c r="F1550" t="n">
        <x:f>IF('Event Register'!R199&lt;&gt;"",1,0)</x:f>
        <x:v>0</x:v>
      </x:c>
      <x:c r="G1550" t="n">
        <x:v>1</x:v>
      </x:c>
      <x:c r="H1550" t="str">
        <x:v>independent physical acceptance</x:v>
      </x:c>
      <x:c r="I1550" t="str">
        <x:f>IF(F1550=1,"PASS","OPEN")</x:f>
        <x:v>OPEN</x:v>
      </x:c>
    </x:row>
    <x:row r="1551">
      <x:c r="B1551" t="str">
        <x:v>PH-EV-193</x:v>
      </x:c>
      <x:c r="C1551" t="str">
        <x:v>PHYSICAL</x:v>
      </x:c>
      <x:c r="D1551" t="str">
        <x:v>event evidence</x:v>
      </x:c>
      <x:c r="E1551" t="str">
        <x:v>PH-EV-193</x:v>
      </x:c>
      <x:c r="F1551" t="n">
        <x:f>IF('Event Register'!S199&lt;&gt;"",1,0)</x:f>
        <x:v>0</x:v>
      </x:c>
      <x:c r="G1551" t="n">
        <x:v>1</x:v>
      </x:c>
      <x:c r="H1551" t="str">
        <x:v>independent physical acceptance</x:v>
      </x:c>
      <x:c r="I1551" t="str">
        <x:f>IF(F1551=1,"PASS","OPEN")</x:f>
        <x:v>OPEN</x:v>
      </x:c>
    </x:row>
    <x:row r="1552">
      <x:c r="B1552" t="str">
        <x:v>PH-VA-193</x:v>
      </x:c>
      <x:c r="C1552" t="str">
        <x:v>PHYSICAL</x:v>
      </x:c>
      <x:c r="D1552" t="str">
        <x:v>event validity</x:v>
      </x:c>
      <x:c r="E1552" t="str">
        <x:v>PH-VA-193</x:v>
      </x:c>
      <x:c r="F1552" t="n">
        <x:f>IF('Event Register'!T199&lt;&gt;"",1,0)</x:f>
        <x:v>0</x:v>
      </x:c>
      <x:c r="G1552" t="n">
        <x:v>1</x:v>
      </x:c>
      <x:c r="H1552" t="str">
        <x:v>independent physical acceptance</x:v>
      </x:c>
      <x:c r="I1552" t="str">
        <x:f>IF(F1552=1,"PASS","OPEN")</x:f>
        <x:v>OPEN</x:v>
      </x:c>
    </x:row>
    <x:row r="1553">
      <x:c r="B1553" t="str">
        <x:v>PH-OU-193</x:v>
      </x:c>
      <x:c r="C1553" t="str">
        <x:v>PHYSICAL</x:v>
      </x:c>
      <x:c r="D1553" t="str">
        <x:v>event outcome</x:v>
      </x:c>
      <x:c r="E1553" t="str">
        <x:v>PH-OU-193</x:v>
      </x:c>
      <x:c r="F1553" t="n">
        <x:f>IF('Event Register'!U199&lt;&gt;"",1,0)</x:f>
        <x:v>0</x:v>
      </x:c>
      <x:c r="G1553" t="n">
        <x:v>1</x:v>
      </x:c>
      <x:c r="H1553" t="str">
        <x:v>independent physical acceptance</x:v>
      </x:c>
      <x:c r="I1553" t="str">
        <x:f>IF(F1553=1,"PASS","OPEN")</x:f>
        <x:v>OPEN</x:v>
      </x:c>
    </x:row>
    <x:row r="1554">
      <x:c r="B1554" t="str">
        <x:v>PH-EX-194</x:v>
      </x:c>
      <x:c r="C1554" t="str">
        <x:v>PHYSICAL</x:v>
      </x:c>
      <x:c r="D1554" t="str">
        <x:v>event execution</x:v>
      </x:c>
      <x:c r="E1554" t="str">
        <x:v>PH-EX-194</x:v>
      </x:c>
      <x:c r="F1554" t="n">
        <x:f>IF('Event Register'!R200&lt;&gt;"",1,0)</x:f>
        <x:v>0</x:v>
      </x:c>
      <x:c r="G1554" t="n">
        <x:v>1</x:v>
      </x:c>
      <x:c r="H1554" t="str">
        <x:v>independent physical acceptance</x:v>
      </x:c>
      <x:c r="I1554" t="str">
        <x:f>IF(F1554=1,"PASS","OPEN")</x:f>
        <x:v>OPEN</x:v>
      </x:c>
    </x:row>
    <x:row r="1555">
      <x:c r="B1555" t="str">
        <x:v>PH-EV-194</x:v>
      </x:c>
      <x:c r="C1555" t="str">
        <x:v>PHYSICAL</x:v>
      </x:c>
      <x:c r="D1555" t="str">
        <x:v>event evidence</x:v>
      </x:c>
      <x:c r="E1555" t="str">
        <x:v>PH-EV-194</x:v>
      </x:c>
      <x:c r="F1555" t="n">
        <x:f>IF('Event Register'!S200&lt;&gt;"",1,0)</x:f>
        <x:v>0</x:v>
      </x:c>
      <x:c r="G1555" t="n">
        <x:v>1</x:v>
      </x:c>
      <x:c r="H1555" t="str">
        <x:v>independent physical acceptance</x:v>
      </x:c>
      <x:c r="I1555" t="str">
        <x:f>IF(F1555=1,"PASS","OPEN")</x:f>
        <x:v>OPEN</x:v>
      </x:c>
    </x:row>
    <x:row r="1556">
      <x:c r="B1556" t="str">
        <x:v>PH-VA-194</x:v>
      </x:c>
      <x:c r="C1556" t="str">
        <x:v>PHYSICAL</x:v>
      </x:c>
      <x:c r="D1556" t="str">
        <x:v>event validity</x:v>
      </x:c>
      <x:c r="E1556" t="str">
        <x:v>PH-VA-194</x:v>
      </x:c>
      <x:c r="F1556" t="n">
        <x:f>IF('Event Register'!T200&lt;&gt;"",1,0)</x:f>
        <x:v>0</x:v>
      </x:c>
      <x:c r="G1556" t="n">
        <x:v>1</x:v>
      </x:c>
      <x:c r="H1556" t="str">
        <x:v>independent physical acceptance</x:v>
      </x:c>
      <x:c r="I1556" t="str">
        <x:f>IF(F1556=1,"PASS","OPEN")</x:f>
        <x:v>OPEN</x:v>
      </x:c>
    </x:row>
    <x:row r="1557">
      <x:c r="B1557" t="str">
        <x:v>PH-OU-194</x:v>
      </x:c>
      <x:c r="C1557" t="str">
        <x:v>PHYSICAL</x:v>
      </x:c>
      <x:c r="D1557" t="str">
        <x:v>event outcome</x:v>
      </x:c>
      <x:c r="E1557" t="str">
        <x:v>PH-OU-194</x:v>
      </x:c>
      <x:c r="F1557" t="n">
        <x:f>IF('Event Register'!U200&lt;&gt;"",1,0)</x:f>
        <x:v>0</x:v>
      </x:c>
      <x:c r="G1557" t="n">
        <x:v>1</x:v>
      </x:c>
      <x:c r="H1557" t="str">
        <x:v>independent physical acceptance</x:v>
      </x:c>
      <x:c r="I1557" t="str">
        <x:f>IF(F1557=1,"PASS","OPEN")</x:f>
        <x:v>OPEN</x:v>
      </x:c>
    </x:row>
    <x:row r="1558">
      <x:c r="B1558" t="str">
        <x:v>PH-EX-195</x:v>
      </x:c>
      <x:c r="C1558" t="str">
        <x:v>PHYSICAL</x:v>
      </x:c>
      <x:c r="D1558" t="str">
        <x:v>event execution</x:v>
      </x:c>
      <x:c r="E1558" t="str">
        <x:v>PH-EX-195</x:v>
      </x:c>
      <x:c r="F1558" t="n">
        <x:f>IF('Event Register'!R201&lt;&gt;"",1,0)</x:f>
        <x:v>0</x:v>
      </x:c>
      <x:c r="G1558" t="n">
        <x:v>1</x:v>
      </x:c>
      <x:c r="H1558" t="str">
        <x:v>independent physical acceptance</x:v>
      </x:c>
      <x:c r="I1558" t="str">
        <x:f>IF(F1558=1,"PASS","OPEN")</x:f>
        <x:v>OPEN</x:v>
      </x:c>
    </x:row>
    <x:row r="1559">
      <x:c r="B1559" t="str">
        <x:v>PH-EV-195</x:v>
      </x:c>
      <x:c r="C1559" t="str">
        <x:v>PHYSICAL</x:v>
      </x:c>
      <x:c r="D1559" t="str">
        <x:v>event evidence</x:v>
      </x:c>
      <x:c r="E1559" t="str">
        <x:v>PH-EV-195</x:v>
      </x:c>
      <x:c r="F1559" t="n">
        <x:f>IF('Event Register'!S201&lt;&gt;"",1,0)</x:f>
        <x:v>0</x:v>
      </x:c>
      <x:c r="G1559" t="n">
        <x:v>1</x:v>
      </x:c>
      <x:c r="H1559" t="str">
        <x:v>independent physical acceptance</x:v>
      </x:c>
      <x:c r="I1559" t="str">
        <x:f>IF(F1559=1,"PASS","OPEN")</x:f>
        <x:v>OPEN</x:v>
      </x:c>
    </x:row>
    <x:row r="1560">
      <x:c r="B1560" t="str">
        <x:v>PH-VA-195</x:v>
      </x:c>
      <x:c r="C1560" t="str">
        <x:v>PHYSICAL</x:v>
      </x:c>
      <x:c r="D1560" t="str">
        <x:v>event validity</x:v>
      </x:c>
      <x:c r="E1560" t="str">
        <x:v>PH-VA-195</x:v>
      </x:c>
      <x:c r="F1560" t="n">
        <x:f>IF('Event Register'!T201&lt;&gt;"",1,0)</x:f>
        <x:v>0</x:v>
      </x:c>
      <x:c r="G1560" t="n">
        <x:v>1</x:v>
      </x:c>
      <x:c r="H1560" t="str">
        <x:v>independent physical acceptance</x:v>
      </x:c>
      <x:c r="I1560" t="str">
        <x:f>IF(F1560=1,"PASS","OPEN")</x:f>
        <x:v>OPEN</x:v>
      </x:c>
    </x:row>
    <x:row r="1561">
      <x:c r="B1561" t="str">
        <x:v>PH-OU-195</x:v>
      </x:c>
      <x:c r="C1561" t="str">
        <x:v>PHYSICAL</x:v>
      </x:c>
      <x:c r="D1561" t="str">
        <x:v>event outcome</x:v>
      </x:c>
      <x:c r="E1561" t="str">
        <x:v>PH-OU-195</x:v>
      </x:c>
      <x:c r="F1561" t="n">
        <x:f>IF('Event Register'!U201&lt;&gt;"",1,0)</x:f>
        <x:v>0</x:v>
      </x:c>
      <x:c r="G1561" t="n">
        <x:v>1</x:v>
      </x:c>
      <x:c r="H1561" t="str">
        <x:v>independent physical acceptance</x:v>
      </x:c>
      <x:c r="I1561" t="str">
        <x:f>IF(F1561=1,"PASS","OPEN")</x:f>
        <x:v>OPEN</x:v>
      </x:c>
    </x:row>
    <x:row r="1562">
      <x:c r="B1562" t="str">
        <x:v>PH-EX-196</x:v>
      </x:c>
      <x:c r="C1562" t="str">
        <x:v>PHYSICAL</x:v>
      </x:c>
      <x:c r="D1562" t="str">
        <x:v>event execution</x:v>
      </x:c>
      <x:c r="E1562" t="str">
        <x:v>PH-EX-196</x:v>
      </x:c>
      <x:c r="F1562" t="n">
        <x:f>IF('Event Register'!R202&lt;&gt;"",1,0)</x:f>
        <x:v>0</x:v>
      </x:c>
      <x:c r="G1562" t="n">
        <x:v>1</x:v>
      </x:c>
      <x:c r="H1562" t="str">
        <x:v>independent physical acceptance</x:v>
      </x:c>
      <x:c r="I1562" t="str">
        <x:f>IF(F1562=1,"PASS","OPEN")</x:f>
        <x:v>OPEN</x:v>
      </x:c>
    </x:row>
    <x:row r="1563">
      <x:c r="B1563" t="str">
        <x:v>PH-EV-196</x:v>
      </x:c>
      <x:c r="C1563" t="str">
        <x:v>PHYSICAL</x:v>
      </x:c>
      <x:c r="D1563" t="str">
        <x:v>event evidence</x:v>
      </x:c>
      <x:c r="E1563" t="str">
        <x:v>PH-EV-196</x:v>
      </x:c>
      <x:c r="F1563" t="n">
        <x:f>IF('Event Register'!S202&lt;&gt;"",1,0)</x:f>
        <x:v>0</x:v>
      </x:c>
      <x:c r="G1563" t="n">
        <x:v>1</x:v>
      </x:c>
      <x:c r="H1563" t="str">
        <x:v>independent physical acceptance</x:v>
      </x:c>
      <x:c r="I1563" t="str">
        <x:f>IF(F1563=1,"PASS","OPEN")</x:f>
        <x:v>OPEN</x:v>
      </x:c>
    </x:row>
    <x:row r="1564">
      <x:c r="B1564" t="str">
        <x:v>PH-VA-196</x:v>
      </x:c>
      <x:c r="C1564" t="str">
        <x:v>PHYSICAL</x:v>
      </x:c>
      <x:c r="D1564" t="str">
        <x:v>event validity</x:v>
      </x:c>
      <x:c r="E1564" t="str">
        <x:v>PH-VA-196</x:v>
      </x:c>
      <x:c r="F1564" t="n">
        <x:f>IF('Event Register'!T202&lt;&gt;"",1,0)</x:f>
        <x:v>0</x:v>
      </x:c>
      <x:c r="G1564" t="n">
        <x:v>1</x:v>
      </x:c>
      <x:c r="H1564" t="str">
        <x:v>independent physical acceptance</x:v>
      </x:c>
      <x:c r="I1564" t="str">
        <x:f>IF(F1564=1,"PASS","OPEN")</x:f>
        <x:v>OPEN</x:v>
      </x:c>
    </x:row>
    <x:row r="1565">
      <x:c r="B1565" t="str">
        <x:v>PH-OU-196</x:v>
      </x:c>
      <x:c r="C1565" t="str">
        <x:v>PHYSICAL</x:v>
      </x:c>
      <x:c r="D1565" t="str">
        <x:v>event outcome</x:v>
      </x:c>
      <x:c r="E1565" t="str">
        <x:v>PH-OU-196</x:v>
      </x:c>
      <x:c r="F1565" t="n">
        <x:f>IF('Event Register'!U202&lt;&gt;"",1,0)</x:f>
        <x:v>0</x:v>
      </x:c>
      <x:c r="G1565" t="n">
        <x:v>1</x:v>
      </x:c>
      <x:c r="H1565" t="str">
        <x:v>independent physical acceptance</x:v>
      </x:c>
      <x:c r="I1565" t="str">
        <x:f>IF(F1565=1,"PASS","OPEN")</x:f>
        <x:v>OPEN</x:v>
      </x:c>
    </x:row>
    <x:row r="1566">
      <x:c r="B1566" t="str">
        <x:v>PH-EX-197</x:v>
      </x:c>
      <x:c r="C1566" t="str">
        <x:v>PHYSICAL</x:v>
      </x:c>
      <x:c r="D1566" t="str">
        <x:v>event execution</x:v>
      </x:c>
      <x:c r="E1566" t="str">
        <x:v>PH-EX-197</x:v>
      </x:c>
      <x:c r="F1566" t="n">
        <x:f>IF('Event Register'!R203&lt;&gt;"",1,0)</x:f>
        <x:v>0</x:v>
      </x:c>
      <x:c r="G1566" t="n">
        <x:v>1</x:v>
      </x:c>
      <x:c r="H1566" t="str">
        <x:v>independent physical acceptance</x:v>
      </x:c>
      <x:c r="I1566" t="str">
        <x:f>IF(F1566=1,"PASS","OPEN")</x:f>
        <x:v>OPEN</x:v>
      </x:c>
    </x:row>
    <x:row r="1567">
      <x:c r="B1567" t="str">
        <x:v>PH-EV-197</x:v>
      </x:c>
      <x:c r="C1567" t="str">
        <x:v>PHYSICAL</x:v>
      </x:c>
      <x:c r="D1567" t="str">
        <x:v>event evidence</x:v>
      </x:c>
      <x:c r="E1567" t="str">
        <x:v>PH-EV-197</x:v>
      </x:c>
      <x:c r="F1567" t="n">
        <x:f>IF('Event Register'!S203&lt;&gt;"",1,0)</x:f>
        <x:v>0</x:v>
      </x:c>
      <x:c r="G1567" t="n">
        <x:v>1</x:v>
      </x:c>
      <x:c r="H1567" t="str">
        <x:v>independent physical acceptance</x:v>
      </x:c>
      <x:c r="I1567" t="str">
        <x:f>IF(F1567=1,"PASS","OPEN")</x:f>
        <x:v>OPEN</x:v>
      </x:c>
    </x:row>
    <x:row r="1568">
      <x:c r="B1568" t="str">
        <x:v>PH-VA-197</x:v>
      </x:c>
      <x:c r="C1568" t="str">
        <x:v>PHYSICAL</x:v>
      </x:c>
      <x:c r="D1568" t="str">
        <x:v>event validity</x:v>
      </x:c>
      <x:c r="E1568" t="str">
        <x:v>PH-VA-197</x:v>
      </x:c>
      <x:c r="F1568" t="n">
        <x:f>IF('Event Register'!T203&lt;&gt;"",1,0)</x:f>
        <x:v>0</x:v>
      </x:c>
      <x:c r="G1568" t="n">
        <x:v>1</x:v>
      </x:c>
      <x:c r="H1568" t="str">
        <x:v>independent physical acceptance</x:v>
      </x:c>
      <x:c r="I1568" t="str">
        <x:f>IF(F1568=1,"PASS","OPEN")</x:f>
        <x:v>OPEN</x:v>
      </x:c>
    </x:row>
    <x:row r="1569">
      <x:c r="B1569" t="str">
        <x:v>PH-OU-197</x:v>
      </x:c>
      <x:c r="C1569" t="str">
        <x:v>PHYSICAL</x:v>
      </x:c>
      <x:c r="D1569" t="str">
        <x:v>event outcome</x:v>
      </x:c>
      <x:c r="E1569" t="str">
        <x:v>PH-OU-197</x:v>
      </x:c>
      <x:c r="F1569" t="n">
        <x:f>IF('Event Register'!U203&lt;&gt;"",1,0)</x:f>
        <x:v>0</x:v>
      </x:c>
      <x:c r="G1569" t="n">
        <x:v>1</x:v>
      </x:c>
      <x:c r="H1569" t="str">
        <x:v>independent physical acceptance</x:v>
      </x:c>
      <x:c r="I1569" t="str">
        <x:f>IF(F1569=1,"PASS","OPEN")</x:f>
        <x:v>OPEN</x:v>
      </x:c>
    </x:row>
    <x:row r="1570">
      <x:c r="B1570" t="str">
        <x:v>PH-EX-198</x:v>
      </x:c>
      <x:c r="C1570" t="str">
        <x:v>PHYSICAL</x:v>
      </x:c>
      <x:c r="D1570" t="str">
        <x:v>event execution</x:v>
      </x:c>
      <x:c r="E1570" t="str">
        <x:v>PH-EX-198</x:v>
      </x:c>
      <x:c r="F1570" t="n">
        <x:f>IF('Event Register'!R204&lt;&gt;"",1,0)</x:f>
        <x:v>0</x:v>
      </x:c>
      <x:c r="G1570" t="n">
        <x:v>1</x:v>
      </x:c>
      <x:c r="H1570" t="str">
        <x:v>independent physical acceptance</x:v>
      </x:c>
      <x:c r="I1570" t="str">
        <x:f>IF(F1570=1,"PASS","OPEN")</x:f>
        <x:v>OPEN</x:v>
      </x:c>
    </x:row>
    <x:row r="1571">
      <x:c r="B1571" t="str">
        <x:v>PH-EV-198</x:v>
      </x:c>
      <x:c r="C1571" t="str">
        <x:v>PHYSICAL</x:v>
      </x:c>
      <x:c r="D1571" t="str">
        <x:v>event evidence</x:v>
      </x:c>
      <x:c r="E1571" t="str">
        <x:v>PH-EV-198</x:v>
      </x:c>
      <x:c r="F1571" t="n">
        <x:f>IF('Event Register'!S204&lt;&gt;"",1,0)</x:f>
        <x:v>0</x:v>
      </x:c>
      <x:c r="G1571" t="n">
        <x:v>1</x:v>
      </x:c>
      <x:c r="H1571" t="str">
        <x:v>independent physical acceptance</x:v>
      </x:c>
      <x:c r="I1571" t="str">
        <x:f>IF(F1571=1,"PASS","OPEN")</x:f>
        <x:v>OPEN</x:v>
      </x:c>
    </x:row>
    <x:row r="1572">
      <x:c r="B1572" t="str">
        <x:v>PH-VA-198</x:v>
      </x:c>
      <x:c r="C1572" t="str">
        <x:v>PHYSICAL</x:v>
      </x:c>
      <x:c r="D1572" t="str">
        <x:v>event validity</x:v>
      </x:c>
      <x:c r="E1572" t="str">
        <x:v>PH-VA-198</x:v>
      </x:c>
      <x:c r="F1572" t="n">
        <x:f>IF('Event Register'!T204&lt;&gt;"",1,0)</x:f>
        <x:v>0</x:v>
      </x:c>
      <x:c r="G1572" t="n">
        <x:v>1</x:v>
      </x:c>
      <x:c r="H1572" t="str">
        <x:v>independent physical acceptance</x:v>
      </x:c>
      <x:c r="I1572" t="str">
        <x:f>IF(F1572=1,"PASS","OPEN")</x:f>
        <x:v>OPEN</x:v>
      </x:c>
    </x:row>
    <x:row r="1573">
      <x:c r="B1573" t="str">
        <x:v>PH-OU-198</x:v>
      </x:c>
      <x:c r="C1573" t="str">
        <x:v>PHYSICAL</x:v>
      </x:c>
      <x:c r="D1573" t="str">
        <x:v>event outcome</x:v>
      </x:c>
      <x:c r="E1573" t="str">
        <x:v>PH-OU-198</x:v>
      </x:c>
      <x:c r="F1573" t="n">
        <x:f>IF('Event Register'!U204&lt;&gt;"",1,0)</x:f>
        <x:v>0</x:v>
      </x:c>
      <x:c r="G1573" t="n">
        <x:v>1</x:v>
      </x:c>
      <x:c r="H1573" t="str">
        <x:v>independent physical acceptance</x:v>
      </x:c>
      <x:c r="I1573" t="str">
        <x:f>IF(F1573=1,"PASS","OPEN")</x:f>
        <x:v>OPEN</x:v>
      </x:c>
    </x:row>
    <x:row r="1574">
      <x:c r="B1574" t="str">
        <x:v>PH-EX-199</x:v>
      </x:c>
      <x:c r="C1574" t="str">
        <x:v>PHYSICAL</x:v>
      </x:c>
      <x:c r="D1574" t="str">
        <x:v>event execution</x:v>
      </x:c>
      <x:c r="E1574" t="str">
        <x:v>PH-EX-199</x:v>
      </x:c>
      <x:c r="F1574" t="n">
        <x:f>IF('Event Register'!R205&lt;&gt;"",1,0)</x:f>
        <x:v>0</x:v>
      </x:c>
      <x:c r="G1574" t="n">
        <x:v>1</x:v>
      </x:c>
      <x:c r="H1574" t="str">
        <x:v>independent physical acceptance</x:v>
      </x:c>
      <x:c r="I1574" t="str">
        <x:f>IF(F1574=1,"PASS","OPEN")</x:f>
        <x:v>OPEN</x:v>
      </x:c>
    </x:row>
    <x:row r="1575">
      <x:c r="B1575" t="str">
        <x:v>PH-EV-199</x:v>
      </x:c>
      <x:c r="C1575" t="str">
        <x:v>PHYSICAL</x:v>
      </x:c>
      <x:c r="D1575" t="str">
        <x:v>event evidence</x:v>
      </x:c>
      <x:c r="E1575" t="str">
        <x:v>PH-EV-199</x:v>
      </x:c>
      <x:c r="F1575" t="n">
        <x:f>IF('Event Register'!S205&lt;&gt;"",1,0)</x:f>
        <x:v>0</x:v>
      </x:c>
      <x:c r="G1575" t="n">
        <x:v>1</x:v>
      </x:c>
      <x:c r="H1575" t="str">
        <x:v>independent physical acceptance</x:v>
      </x:c>
      <x:c r="I1575" t="str">
        <x:f>IF(F1575=1,"PASS","OPEN")</x:f>
        <x:v>OPEN</x:v>
      </x:c>
    </x:row>
    <x:row r="1576">
      <x:c r="B1576" t="str">
        <x:v>PH-VA-199</x:v>
      </x:c>
      <x:c r="C1576" t="str">
        <x:v>PHYSICAL</x:v>
      </x:c>
      <x:c r="D1576" t="str">
        <x:v>event validity</x:v>
      </x:c>
      <x:c r="E1576" t="str">
        <x:v>PH-VA-199</x:v>
      </x:c>
      <x:c r="F1576" t="n">
        <x:f>IF('Event Register'!T205&lt;&gt;"",1,0)</x:f>
        <x:v>0</x:v>
      </x:c>
      <x:c r="G1576" t="n">
        <x:v>1</x:v>
      </x:c>
      <x:c r="H1576" t="str">
        <x:v>independent physical acceptance</x:v>
      </x:c>
      <x:c r="I1576" t="str">
        <x:f>IF(F1576=1,"PASS","OPEN")</x:f>
        <x:v>OPEN</x:v>
      </x:c>
    </x:row>
    <x:row r="1577">
      <x:c r="B1577" t="str">
        <x:v>PH-OU-199</x:v>
      </x:c>
      <x:c r="C1577" t="str">
        <x:v>PHYSICAL</x:v>
      </x:c>
      <x:c r="D1577" t="str">
        <x:v>event outcome</x:v>
      </x:c>
      <x:c r="E1577" t="str">
        <x:v>PH-OU-199</x:v>
      </x:c>
      <x:c r="F1577" t="n">
        <x:f>IF('Event Register'!U205&lt;&gt;"",1,0)</x:f>
        <x:v>0</x:v>
      </x:c>
      <x:c r="G1577" t="n">
        <x:v>1</x:v>
      </x:c>
      <x:c r="H1577" t="str">
        <x:v>independent physical acceptance</x:v>
      </x:c>
      <x:c r="I1577" t="str">
        <x:f>IF(F1577=1,"PASS","OPEN")</x:f>
        <x:v>OPEN</x:v>
      </x:c>
    </x:row>
    <x:row r="1578">
      <x:c r="B1578" t="str">
        <x:v>PH-EX-200</x:v>
      </x:c>
      <x:c r="C1578" t="str">
        <x:v>PHYSICAL</x:v>
      </x:c>
      <x:c r="D1578" t="str">
        <x:v>event execution</x:v>
      </x:c>
      <x:c r="E1578" t="str">
        <x:v>PH-EX-200</x:v>
      </x:c>
      <x:c r="F1578" t="n">
        <x:f>IF('Event Register'!R206&lt;&gt;"",1,0)</x:f>
        <x:v>0</x:v>
      </x:c>
      <x:c r="G1578" t="n">
        <x:v>1</x:v>
      </x:c>
      <x:c r="H1578" t="str">
        <x:v>independent physical acceptance</x:v>
      </x:c>
      <x:c r="I1578" t="str">
        <x:f>IF(F1578=1,"PASS","OPEN")</x:f>
        <x:v>OPEN</x:v>
      </x:c>
    </x:row>
    <x:row r="1579">
      <x:c r="B1579" t="str">
        <x:v>PH-EV-200</x:v>
      </x:c>
      <x:c r="C1579" t="str">
        <x:v>PHYSICAL</x:v>
      </x:c>
      <x:c r="D1579" t="str">
        <x:v>event evidence</x:v>
      </x:c>
      <x:c r="E1579" t="str">
        <x:v>PH-EV-200</x:v>
      </x:c>
      <x:c r="F1579" t="n">
        <x:f>IF('Event Register'!S206&lt;&gt;"",1,0)</x:f>
        <x:v>0</x:v>
      </x:c>
      <x:c r="G1579" t="n">
        <x:v>1</x:v>
      </x:c>
      <x:c r="H1579" t="str">
        <x:v>independent physical acceptance</x:v>
      </x:c>
      <x:c r="I1579" t="str">
        <x:f>IF(F1579=1,"PASS","OPEN")</x:f>
        <x:v>OPEN</x:v>
      </x:c>
    </x:row>
    <x:row r="1580">
      <x:c r="B1580" t="str">
        <x:v>PH-VA-200</x:v>
      </x:c>
      <x:c r="C1580" t="str">
        <x:v>PHYSICAL</x:v>
      </x:c>
      <x:c r="D1580" t="str">
        <x:v>event validity</x:v>
      </x:c>
      <x:c r="E1580" t="str">
        <x:v>PH-VA-200</x:v>
      </x:c>
      <x:c r="F1580" t="n">
        <x:f>IF('Event Register'!T206&lt;&gt;"",1,0)</x:f>
        <x:v>0</x:v>
      </x:c>
      <x:c r="G1580" t="n">
        <x:v>1</x:v>
      </x:c>
      <x:c r="H1580" t="str">
        <x:v>independent physical acceptance</x:v>
      </x:c>
      <x:c r="I1580" t="str">
        <x:f>IF(F1580=1,"PASS","OPEN")</x:f>
        <x:v>OPEN</x:v>
      </x:c>
    </x:row>
    <x:row r="1581">
      <x:c r="B1581" t="str">
        <x:v>PH-OU-200</x:v>
      </x:c>
      <x:c r="C1581" t="str">
        <x:v>PHYSICAL</x:v>
      </x:c>
      <x:c r="D1581" t="str">
        <x:v>event outcome</x:v>
      </x:c>
      <x:c r="E1581" t="str">
        <x:v>PH-OU-200</x:v>
      </x:c>
      <x:c r="F1581" t="n">
        <x:f>IF('Event Register'!U206&lt;&gt;"",1,0)</x:f>
        <x:v>0</x:v>
      </x:c>
      <x:c r="G1581" t="n">
        <x:v>1</x:v>
      </x:c>
      <x:c r="H1581" t="str">
        <x:v>independent physical acceptance</x:v>
      </x:c>
      <x:c r="I1581" t="str">
        <x:f>IF(F1581=1,"PASS","OPEN")</x:f>
        <x:v>OPEN</x:v>
      </x:c>
    </x:row>
    <x:row r="1582">
      <x:c r="B1582" t="str">
        <x:v>PH-EX-201</x:v>
      </x:c>
      <x:c r="C1582" t="str">
        <x:v>PHYSICAL</x:v>
      </x:c>
      <x:c r="D1582" t="str">
        <x:v>event execution</x:v>
      </x:c>
      <x:c r="E1582" t="str">
        <x:v>PH-EX-201</x:v>
      </x:c>
      <x:c r="F1582" t="n">
        <x:f>IF('Event Register'!R207&lt;&gt;"",1,0)</x:f>
        <x:v>0</x:v>
      </x:c>
      <x:c r="G1582" t="n">
        <x:v>1</x:v>
      </x:c>
      <x:c r="H1582" t="str">
        <x:v>independent physical acceptance</x:v>
      </x:c>
      <x:c r="I1582" t="str">
        <x:f>IF(F1582=1,"PASS","OPEN")</x:f>
        <x:v>OPEN</x:v>
      </x:c>
    </x:row>
    <x:row r="1583">
      <x:c r="B1583" t="str">
        <x:v>PH-EV-201</x:v>
      </x:c>
      <x:c r="C1583" t="str">
        <x:v>PHYSICAL</x:v>
      </x:c>
      <x:c r="D1583" t="str">
        <x:v>event evidence</x:v>
      </x:c>
      <x:c r="E1583" t="str">
        <x:v>PH-EV-201</x:v>
      </x:c>
      <x:c r="F1583" t="n">
        <x:f>IF('Event Register'!S207&lt;&gt;"",1,0)</x:f>
        <x:v>0</x:v>
      </x:c>
      <x:c r="G1583" t="n">
        <x:v>1</x:v>
      </x:c>
      <x:c r="H1583" t="str">
        <x:v>independent physical acceptance</x:v>
      </x:c>
      <x:c r="I1583" t="str">
        <x:f>IF(F1583=1,"PASS","OPEN")</x:f>
        <x:v>OPEN</x:v>
      </x:c>
    </x:row>
    <x:row r="1584">
      <x:c r="B1584" t="str">
        <x:v>PH-VA-201</x:v>
      </x:c>
      <x:c r="C1584" t="str">
        <x:v>PHYSICAL</x:v>
      </x:c>
      <x:c r="D1584" t="str">
        <x:v>event validity</x:v>
      </x:c>
      <x:c r="E1584" t="str">
        <x:v>PH-VA-201</x:v>
      </x:c>
      <x:c r="F1584" t="n">
        <x:f>IF('Event Register'!T207&lt;&gt;"",1,0)</x:f>
        <x:v>0</x:v>
      </x:c>
      <x:c r="G1584" t="n">
        <x:v>1</x:v>
      </x:c>
      <x:c r="H1584" t="str">
        <x:v>independent physical acceptance</x:v>
      </x:c>
      <x:c r="I1584" t="str">
        <x:f>IF(F1584=1,"PASS","OPEN")</x:f>
        <x:v>OPEN</x:v>
      </x:c>
    </x:row>
    <x:row r="1585">
      <x:c r="B1585" t="str">
        <x:v>PH-OU-201</x:v>
      </x:c>
      <x:c r="C1585" t="str">
        <x:v>PHYSICAL</x:v>
      </x:c>
      <x:c r="D1585" t="str">
        <x:v>event outcome</x:v>
      </x:c>
      <x:c r="E1585" t="str">
        <x:v>PH-OU-201</x:v>
      </x:c>
      <x:c r="F1585" t="n">
        <x:f>IF('Event Register'!U207&lt;&gt;"",1,0)</x:f>
        <x:v>0</x:v>
      </x:c>
      <x:c r="G1585" t="n">
        <x:v>1</x:v>
      </x:c>
      <x:c r="H1585" t="str">
        <x:v>independent physical acceptance</x:v>
      </x:c>
      <x:c r="I1585" t="str">
        <x:f>IF(F1585=1,"PASS","OPEN")</x:f>
        <x:v>OPEN</x:v>
      </x:c>
    </x:row>
    <x:row r="1586">
      <x:c r="B1586" t="str">
        <x:v>PH-EX-202</x:v>
      </x:c>
      <x:c r="C1586" t="str">
        <x:v>PHYSICAL</x:v>
      </x:c>
      <x:c r="D1586" t="str">
        <x:v>event execution</x:v>
      </x:c>
      <x:c r="E1586" t="str">
        <x:v>PH-EX-202</x:v>
      </x:c>
      <x:c r="F1586" t="n">
        <x:f>IF('Event Register'!R208&lt;&gt;"",1,0)</x:f>
        <x:v>0</x:v>
      </x:c>
      <x:c r="G1586" t="n">
        <x:v>1</x:v>
      </x:c>
      <x:c r="H1586" t="str">
        <x:v>independent physical acceptance</x:v>
      </x:c>
      <x:c r="I1586" t="str">
        <x:f>IF(F1586=1,"PASS","OPEN")</x:f>
        <x:v>OPEN</x:v>
      </x:c>
    </x:row>
    <x:row r="1587">
      <x:c r="B1587" t="str">
        <x:v>PH-EV-202</x:v>
      </x:c>
      <x:c r="C1587" t="str">
        <x:v>PHYSICAL</x:v>
      </x:c>
      <x:c r="D1587" t="str">
        <x:v>event evidence</x:v>
      </x:c>
      <x:c r="E1587" t="str">
        <x:v>PH-EV-202</x:v>
      </x:c>
      <x:c r="F1587" t="n">
        <x:f>IF('Event Register'!S208&lt;&gt;"",1,0)</x:f>
        <x:v>0</x:v>
      </x:c>
      <x:c r="G1587" t="n">
        <x:v>1</x:v>
      </x:c>
      <x:c r="H1587" t="str">
        <x:v>independent physical acceptance</x:v>
      </x:c>
      <x:c r="I1587" t="str">
        <x:f>IF(F1587=1,"PASS","OPEN")</x:f>
        <x:v>OPEN</x:v>
      </x:c>
    </x:row>
    <x:row r="1588">
      <x:c r="B1588" t="str">
        <x:v>PH-VA-202</x:v>
      </x:c>
      <x:c r="C1588" t="str">
        <x:v>PHYSICAL</x:v>
      </x:c>
      <x:c r="D1588" t="str">
        <x:v>event validity</x:v>
      </x:c>
      <x:c r="E1588" t="str">
        <x:v>PH-VA-202</x:v>
      </x:c>
      <x:c r="F1588" t="n">
        <x:f>IF('Event Register'!T208&lt;&gt;"",1,0)</x:f>
        <x:v>0</x:v>
      </x:c>
      <x:c r="G1588" t="n">
        <x:v>1</x:v>
      </x:c>
      <x:c r="H1588" t="str">
        <x:v>independent physical acceptance</x:v>
      </x:c>
      <x:c r="I1588" t="str">
        <x:f>IF(F1588=1,"PASS","OPEN")</x:f>
        <x:v>OPEN</x:v>
      </x:c>
    </x:row>
    <x:row r="1589">
      <x:c r="B1589" t="str">
        <x:v>PH-OU-202</x:v>
      </x:c>
      <x:c r="C1589" t="str">
        <x:v>PHYSICAL</x:v>
      </x:c>
      <x:c r="D1589" t="str">
        <x:v>event outcome</x:v>
      </x:c>
      <x:c r="E1589" t="str">
        <x:v>PH-OU-202</x:v>
      </x:c>
      <x:c r="F1589" t="n">
        <x:f>IF('Event Register'!U208&lt;&gt;"",1,0)</x:f>
        <x:v>0</x:v>
      </x:c>
      <x:c r="G1589" t="n">
        <x:v>1</x:v>
      </x:c>
      <x:c r="H1589" t="str">
        <x:v>independent physical acceptance</x:v>
      </x:c>
      <x:c r="I1589" t="str">
        <x:f>IF(F1589=1,"PASS","OPEN")</x:f>
        <x:v>OPEN</x:v>
      </x:c>
    </x:row>
    <x:row r="1590">
      <x:c r="B1590" t="str">
        <x:v>PH-EX-203</x:v>
      </x:c>
      <x:c r="C1590" t="str">
        <x:v>PHYSICAL</x:v>
      </x:c>
      <x:c r="D1590" t="str">
        <x:v>event execution</x:v>
      </x:c>
      <x:c r="E1590" t="str">
        <x:v>PH-EX-203</x:v>
      </x:c>
      <x:c r="F1590" t="n">
        <x:f>IF('Event Register'!R209&lt;&gt;"",1,0)</x:f>
        <x:v>0</x:v>
      </x:c>
      <x:c r="G1590" t="n">
        <x:v>1</x:v>
      </x:c>
      <x:c r="H1590" t="str">
        <x:v>independent physical acceptance</x:v>
      </x:c>
      <x:c r="I1590" t="str">
        <x:f>IF(F1590=1,"PASS","OPEN")</x:f>
        <x:v>OPEN</x:v>
      </x:c>
    </x:row>
    <x:row r="1591">
      <x:c r="B1591" t="str">
        <x:v>PH-EV-203</x:v>
      </x:c>
      <x:c r="C1591" t="str">
        <x:v>PHYSICAL</x:v>
      </x:c>
      <x:c r="D1591" t="str">
        <x:v>event evidence</x:v>
      </x:c>
      <x:c r="E1591" t="str">
        <x:v>PH-EV-203</x:v>
      </x:c>
      <x:c r="F1591" t="n">
        <x:f>IF('Event Register'!S209&lt;&gt;"",1,0)</x:f>
        <x:v>0</x:v>
      </x:c>
      <x:c r="G1591" t="n">
        <x:v>1</x:v>
      </x:c>
      <x:c r="H1591" t="str">
        <x:v>independent physical acceptance</x:v>
      </x:c>
      <x:c r="I1591" t="str">
        <x:f>IF(F1591=1,"PASS","OPEN")</x:f>
        <x:v>OPEN</x:v>
      </x:c>
    </x:row>
    <x:row r="1592">
      <x:c r="B1592" t="str">
        <x:v>PH-VA-203</x:v>
      </x:c>
      <x:c r="C1592" t="str">
        <x:v>PHYSICAL</x:v>
      </x:c>
      <x:c r="D1592" t="str">
        <x:v>event validity</x:v>
      </x:c>
      <x:c r="E1592" t="str">
        <x:v>PH-VA-203</x:v>
      </x:c>
      <x:c r="F1592" t="n">
        <x:f>IF('Event Register'!T209&lt;&gt;"",1,0)</x:f>
        <x:v>0</x:v>
      </x:c>
      <x:c r="G1592" t="n">
        <x:v>1</x:v>
      </x:c>
      <x:c r="H1592" t="str">
        <x:v>independent physical acceptance</x:v>
      </x:c>
      <x:c r="I1592" t="str">
        <x:f>IF(F1592=1,"PASS","OPEN")</x:f>
        <x:v>OPEN</x:v>
      </x:c>
    </x:row>
    <x:row r="1593">
      <x:c r="B1593" t="str">
        <x:v>PH-OU-203</x:v>
      </x:c>
      <x:c r="C1593" t="str">
        <x:v>PHYSICAL</x:v>
      </x:c>
      <x:c r="D1593" t="str">
        <x:v>event outcome</x:v>
      </x:c>
      <x:c r="E1593" t="str">
        <x:v>PH-OU-203</x:v>
      </x:c>
      <x:c r="F1593" t="n">
        <x:f>IF('Event Register'!U209&lt;&gt;"",1,0)</x:f>
        <x:v>0</x:v>
      </x:c>
      <x:c r="G1593" t="n">
        <x:v>1</x:v>
      </x:c>
      <x:c r="H1593" t="str">
        <x:v>independent physical acceptance</x:v>
      </x:c>
      <x:c r="I1593" t="str">
        <x:f>IF(F1593=1,"PASS","OPEN")</x:f>
        <x:v>OPEN</x:v>
      </x:c>
    </x:row>
    <x:row r="1594">
      <x:c r="B1594" t="str">
        <x:v>PH-EX-204</x:v>
      </x:c>
      <x:c r="C1594" t="str">
        <x:v>PHYSICAL</x:v>
      </x:c>
      <x:c r="D1594" t="str">
        <x:v>event execution</x:v>
      </x:c>
      <x:c r="E1594" t="str">
        <x:v>PH-EX-204</x:v>
      </x:c>
      <x:c r="F1594" t="n">
        <x:f>IF('Event Register'!R210&lt;&gt;"",1,0)</x:f>
        <x:v>0</x:v>
      </x:c>
      <x:c r="G1594" t="n">
        <x:v>1</x:v>
      </x:c>
      <x:c r="H1594" t="str">
        <x:v>independent physical acceptance</x:v>
      </x:c>
      <x:c r="I1594" t="str">
        <x:f>IF(F1594=1,"PASS","OPEN")</x:f>
        <x:v>OPEN</x:v>
      </x:c>
    </x:row>
    <x:row r="1595">
      <x:c r="B1595" t="str">
        <x:v>PH-EV-204</x:v>
      </x:c>
      <x:c r="C1595" t="str">
        <x:v>PHYSICAL</x:v>
      </x:c>
      <x:c r="D1595" t="str">
        <x:v>event evidence</x:v>
      </x:c>
      <x:c r="E1595" t="str">
        <x:v>PH-EV-204</x:v>
      </x:c>
      <x:c r="F1595" t="n">
        <x:f>IF('Event Register'!S210&lt;&gt;"",1,0)</x:f>
        <x:v>0</x:v>
      </x:c>
      <x:c r="G1595" t="n">
        <x:v>1</x:v>
      </x:c>
      <x:c r="H1595" t="str">
        <x:v>independent physical acceptance</x:v>
      </x:c>
      <x:c r="I1595" t="str">
        <x:f>IF(F1595=1,"PASS","OPEN")</x:f>
        <x:v>OPEN</x:v>
      </x:c>
    </x:row>
    <x:row r="1596">
      <x:c r="B1596" t="str">
        <x:v>PH-VA-204</x:v>
      </x:c>
      <x:c r="C1596" t="str">
        <x:v>PHYSICAL</x:v>
      </x:c>
      <x:c r="D1596" t="str">
        <x:v>event validity</x:v>
      </x:c>
      <x:c r="E1596" t="str">
        <x:v>PH-VA-204</x:v>
      </x:c>
      <x:c r="F1596" t="n">
        <x:f>IF('Event Register'!T210&lt;&gt;"",1,0)</x:f>
        <x:v>0</x:v>
      </x:c>
      <x:c r="G1596" t="n">
        <x:v>1</x:v>
      </x:c>
      <x:c r="H1596" t="str">
        <x:v>independent physical acceptance</x:v>
      </x:c>
      <x:c r="I1596" t="str">
        <x:f>IF(F1596=1,"PASS","OPEN")</x:f>
        <x:v>OPEN</x:v>
      </x:c>
    </x:row>
    <x:row r="1597">
      <x:c r="B1597" t="str">
        <x:v>PH-OU-204</x:v>
      </x:c>
      <x:c r="C1597" t="str">
        <x:v>PHYSICAL</x:v>
      </x:c>
      <x:c r="D1597" t="str">
        <x:v>event outcome</x:v>
      </x:c>
      <x:c r="E1597" t="str">
        <x:v>PH-OU-204</x:v>
      </x:c>
      <x:c r="F1597" t="n">
        <x:f>IF('Event Register'!U210&lt;&gt;"",1,0)</x:f>
        <x:v>0</x:v>
      </x:c>
      <x:c r="G1597" t="n">
        <x:v>1</x:v>
      </x:c>
      <x:c r="H1597" t="str">
        <x:v>independent physical acceptance</x:v>
      </x:c>
      <x:c r="I1597" t="str">
        <x:f>IF(F1597=1,"PASS","OPEN")</x:f>
        <x:v>OPEN</x:v>
      </x:c>
    </x:row>
    <x:row r="1598">
      <x:c r="B1598" t="str">
        <x:v>PH-EX-205</x:v>
      </x:c>
      <x:c r="C1598" t="str">
        <x:v>PHYSICAL</x:v>
      </x:c>
      <x:c r="D1598" t="str">
        <x:v>event execution</x:v>
      </x:c>
      <x:c r="E1598" t="str">
        <x:v>PH-EX-205</x:v>
      </x:c>
      <x:c r="F1598" t="n">
        <x:f>IF('Event Register'!R211&lt;&gt;"",1,0)</x:f>
        <x:v>0</x:v>
      </x:c>
      <x:c r="G1598" t="n">
        <x:v>1</x:v>
      </x:c>
      <x:c r="H1598" t="str">
        <x:v>independent physical acceptance</x:v>
      </x:c>
      <x:c r="I1598" t="str">
        <x:f>IF(F1598=1,"PASS","OPEN")</x:f>
        <x:v>OPEN</x:v>
      </x:c>
    </x:row>
    <x:row r="1599">
      <x:c r="B1599" t="str">
        <x:v>PH-EV-205</x:v>
      </x:c>
      <x:c r="C1599" t="str">
        <x:v>PHYSICAL</x:v>
      </x:c>
      <x:c r="D1599" t="str">
        <x:v>event evidence</x:v>
      </x:c>
      <x:c r="E1599" t="str">
        <x:v>PH-EV-205</x:v>
      </x:c>
      <x:c r="F1599" t="n">
        <x:f>IF('Event Register'!S211&lt;&gt;"",1,0)</x:f>
        <x:v>0</x:v>
      </x:c>
      <x:c r="G1599" t="n">
        <x:v>1</x:v>
      </x:c>
      <x:c r="H1599" t="str">
        <x:v>independent physical acceptance</x:v>
      </x:c>
      <x:c r="I1599" t="str">
        <x:f>IF(F1599=1,"PASS","OPEN")</x:f>
        <x:v>OPEN</x:v>
      </x:c>
    </x:row>
    <x:row r="1600">
      <x:c r="B1600" t="str">
        <x:v>PH-VA-205</x:v>
      </x:c>
      <x:c r="C1600" t="str">
        <x:v>PHYSICAL</x:v>
      </x:c>
      <x:c r="D1600" t="str">
        <x:v>event validity</x:v>
      </x:c>
      <x:c r="E1600" t="str">
        <x:v>PH-VA-205</x:v>
      </x:c>
      <x:c r="F1600" t="n">
        <x:f>IF('Event Register'!T211&lt;&gt;"",1,0)</x:f>
        <x:v>0</x:v>
      </x:c>
      <x:c r="G1600" t="n">
        <x:v>1</x:v>
      </x:c>
      <x:c r="H1600" t="str">
        <x:v>independent physical acceptance</x:v>
      </x:c>
      <x:c r="I1600" t="str">
        <x:f>IF(F1600=1,"PASS","OPEN")</x:f>
        <x:v>OPEN</x:v>
      </x:c>
    </x:row>
    <x:row r="1601">
      <x:c r="B1601" t="str">
        <x:v>PH-OU-205</x:v>
      </x:c>
      <x:c r="C1601" t="str">
        <x:v>PHYSICAL</x:v>
      </x:c>
      <x:c r="D1601" t="str">
        <x:v>event outcome</x:v>
      </x:c>
      <x:c r="E1601" t="str">
        <x:v>PH-OU-205</x:v>
      </x:c>
      <x:c r="F1601" t="n">
        <x:f>IF('Event Register'!U211&lt;&gt;"",1,0)</x:f>
        <x:v>0</x:v>
      </x:c>
      <x:c r="G1601" t="n">
        <x:v>1</x:v>
      </x:c>
      <x:c r="H1601" t="str">
        <x:v>independent physical acceptance</x:v>
      </x:c>
      <x:c r="I1601" t="str">
        <x:f>IF(F1601=1,"PASS","OPEN")</x:f>
        <x:v>OPEN</x:v>
      </x:c>
    </x:row>
    <x:row r="1602">
      <x:c r="B1602" t="str">
        <x:v>PH-EX-206</x:v>
      </x:c>
      <x:c r="C1602" t="str">
        <x:v>PHYSICAL</x:v>
      </x:c>
      <x:c r="D1602" t="str">
        <x:v>event execution</x:v>
      </x:c>
      <x:c r="E1602" t="str">
        <x:v>PH-EX-206</x:v>
      </x:c>
      <x:c r="F1602" t="n">
        <x:f>IF('Event Register'!R212&lt;&gt;"",1,0)</x:f>
        <x:v>0</x:v>
      </x:c>
      <x:c r="G1602" t="n">
        <x:v>1</x:v>
      </x:c>
      <x:c r="H1602" t="str">
        <x:v>independent physical acceptance</x:v>
      </x:c>
      <x:c r="I1602" t="str">
        <x:f>IF(F1602=1,"PASS","OPEN")</x:f>
        <x:v>OPEN</x:v>
      </x:c>
    </x:row>
    <x:row r="1603">
      <x:c r="B1603" t="str">
        <x:v>PH-EV-206</x:v>
      </x:c>
      <x:c r="C1603" t="str">
        <x:v>PHYSICAL</x:v>
      </x:c>
      <x:c r="D1603" t="str">
        <x:v>event evidence</x:v>
      </x:c>
      <x:c r="E1603" t="str">
        <x:v>PH-EV-206</x:v>
      </x:c>
      <x:c r="F1603" t="n">
        <x:f>IF('Event Register'!S212&lt;&gt;"",1,0)</x:f>
        <x:v>0</x:v>
      </x:c>
      <x:c r="G1603" t="n">
        <x:v>1</x:v>
      </x:c>
      <x:c r="H1603" t="str">
        <x:v>independent physical acceptance</x:v>
      </x:c>
      <x:c r="I1603" t="str">
        <x:f>IF(F1603=1,"PASS","OPEN")</x:f>
        <x:v>OPEN</x:v>
      </x:c>
    </x:row>
    <x:row r="1604">
      <x:c r="B1604" t="str">
        <x:v>PH-VA-206</x:v>
      </x:c>
      <x:c r="C1604" t="str">
        <x:v>PHYSICAL</x:v>
      </x:c>
      <x:c r="D1604" t="str">
        <x:v>event validity</x:v>
      </x:c>
      <x:c r="E1604" t="str">
        <x:v>PH-VA-206</x:v>
      </x:c>
      <x:c r="F1604" t="n">
        <x:f>IF('Event Register'!T212&lt;&gt;"",1,0)</x:f>
        <x:v>0</x:v>
      </x:c>
      <x:c r="G1604" t="n">
        <x:v>1</x:v>
      </x:c>
      <x:c r="H1604" t="str">
        <x:v>independent physical acceptance</x:v>
      </x:c>
      <x:c r="I1604" t="str">
        <x:f>IF(F1604=1,"PASS","OPEN")</x:f>
        <x:v>OPEN</x:v>
      </x:c>
    </x:row>
    <x:row r="1605">
      <x:c r="B1605" t="str">
        <x:v>PH-OU-206</x:v>
      </x:c>
      <x:c r="C1605" t="str">
        <x:v>PHYSICAL</x:v>
      </x:c>
      <x:c r="D1605" t="str">
        <x:v>event outcome</x:v>
      </x:c>
      <x:c r="E1605" t="str">
        <x:v>PH-OU-206</x:v>
      </x:c>
      <x:c r="F1605" t="n">
        <x:f>IF('Event Register'!U212&lt;&gt;"",1,0)</x:f>
        <x:v>0</x:v>
      </x:c>
      <x:c r="G1605" t="n">
        <x:v>1</x:v>
      </x:c>
      <x:c r="H1605" t="str">
        <x:v>independent physical acceptance</x:v>
      </x:c>
      <x:c r="I1605" t="str">
        <x:f>IF(F1605=1,"PASS","OPEN")</x:f>
        <x:v>OPEN</x:v>
      </x:c>
    </x:row>
    <x:row r="1606">
      <x:c r="B1606" t="str">
        <x:v>PH-EX-207</x:v>
      </x:c>
      <x:c r="C1606" t="str">
        <x:v>PHYSICAL</x:v>
      </x:c>
      <x:c r="D1606" t="str">
        <x:v>event execution</x:v>
      </x:c>
      <x:c r="E1606" t="str">
        <x:v>PH-EX-207</x:v>
      </x:c>
      <x:c r="F1606" t="n">
        <x:f>IF('Event Register'!R213&lt;&gt;"",1,0)</x:f>
        <x:v>0</x:v>
      </x:c>
      <x:c r="G1606" t="n">
        <x:v>1</x:v>
      </x:c>
      <x:c r="H1606" t="str">
        <x:v>independent physical acceptance</x:v>
      </x:c>
      <x:c r="I1606" t="str">
        <x:f>IF(F1606=1,"PASS","OPEN")</x:f>
        <x:v>OPEN</x:v>
      </x:c>
    </x:row>
    <x:row r="1607">
      <x:c r="B1607" t="str">
        <x:v>PH-EV-207</x:v>
      </x:c>
      <x:c r="C1607" t="str">
        <x:v>PHYSICAL</x:v>
      </x:c>
      <x:c r="D1607" t="str">
        <x:v>event evidence</x:v>
      </x:c>
      <x:c r="E1607" t="str">
        <x:v>PH-EV-207</x:v>
      </x:c>
      <x:c r="F1607" t="n">
        <x:f>IF('Event Register'!S213&lt;&gt;"",1,0)</x:f>
        <x:v>0</x:v>
      </x:c>
      <x:c r="G1607" t="n">
        <x:v>1</x:v>
      </x:c>
      <x:c r="H1607" t="str">
        <x:v>independent physical acceptance</x:v>
      </x:c>
      <x:c r="I1607" t="str">
        <x:f>IF(F1607=1,"PASS","OPEN")</x:f>
        <x:v>OPEN</x:v>
      </x:c>
    </x:row>
    <x:row r="1608">
      <x:c r="B1608" t="str">
        <x:v>PH-VA-207</x:v>
      </x:c>
      <x:c r="C1608" t="str">
        <x:v>PHYSICAL</x:v>
      </x:c>
      <x:c r="D1608" t="str">
        <x:v>event validity</x:v>
      </x:c>
      <x:c r="E1608" t="str">
        <x:v>PH-VA-207</x:v>
      </x:c>
      <x:c r="F1608" t="n">
        <x:f>IF('Event Register'!T213&lt;&gt;"",1,0)</x:f>
        <x:v>0</x:v>
      </x:c>
      <x:c r="G1608" t="n">
        <x:v>1</x:v>
      </x:c>
      <x:c r="H1608" t="str">
        <x:v>independent physical acceptance</x:v>
      </x:c>
      <x:c r="I1608" t="str">
        <x:f>IF(F1608=1,"PASS","OPEN")</x:f>
        <x:v>OPEN</x:v>
      </x:c>
    </x:row>
    <x:row r="1609">
      <x:c r="B1609" t="str">
        <x:v>PH-OU-207</x:v>
      </x:c>
      <x:c r="C1609" t="str">
        <x:v>PHYSICAL</x:v>
      </x:c>
      <x:c r="D1609" t="str">
        <x:v>event outcome</x:v>
      </x:c>
      <x:c r="E1609" t="str">
        <x:v>PH-OU-207</x:v>
      </x:c>
      <x:c r="F1609" t="n">
        <x:f>IF('Event Register'!U213&lt;&gt;"",1,0)</x:f>
        <x:v>0</x:v>
      </x:c>
      <x:c r="G1609" t="n">
        <x:v>1</x:v>
      </x:c>
      <x:c r="H1609" t="str">
        <x:v>independent physical acceptance</x:v>
      </x:c>
      <x:c r="I1609" t="str">
        <x:f>IF(F1609=1,"PASS","OPEN")</x:f>
        <x:v>OPEN</x:v>
      </x:c>
    </x:row>
    <x:row r="1610">
      <x:c r="B1610" t="str">
        <x:v>PH-EX-208</x:v>
      </x:c>
      <x:c r="C1610" t="str">
        <x:v>PHYSICAL</x:v>
      </x:c>
      <x:c r="D1610" t="str">
        <x:v>event execution</x:v>
      </x:c>
      <x:c r="E1610" t="str">
        <x:v>PH-EX-208</x:v>
      </x:c>
      <x:c r="F1610" t="n">
        <x:f>IF('Event Register'!R214&lt;&gt;"",1,0)</x:f>
        <x:v>0</x:v>
      </x:c>
      <x:c r="G1610" t="n">
        <x:v>1</x:v>
      </x:c>
      <x:c r="H1610" t="str">
        <x:v>independent physical acceptance</x:v>
      </x:c>
      <x:c r="I1610" t="str">
        <x:f>IF(F1610=1,"PASS","OPEN")</x:f>
        <x:v>OPEN</x:v>
      </x:c>
    </x:row>
    <x:row r="1611">
      <x:c r="B1611" t="str">
        <x:v>PH-EV-208</x:v>
      </x:c>
      <x:c r="C1611" t="str">
        <x:v>PHYSICAL</x:v>
      </x:c>
      <x:c r="D1611" t="str">
        <x:v>event evidence</x:v>
      </x:c>
      <x:c r="E1611" t="str">
        <x:v>PH-EV-208</x:v>
      </x:c>
      <x:c r="F1611" t="n">
        <x:f>IF('Event Register'!S214&lt;&gt;"",1,0)</x:f>
        <x:v>0</x:v>
      </x:c>
      <x:c r="G1611" t="n">
        <x:v>1</x:v>
      </x:c>
      <x:c r="H1611" t="str">
        <x:v>independent physical acceptance</x:v>
      </x:c>
      <x:c r="I1611" t="str">
        <x:f>IF(F1611=1,"PASS","OPEN")</x:f>
        <x:v>OPEN</x:v>
      </x:c>
    </x:row>
    <x:row r="1612">
      <x:c r="B1612" t="str">
        <x:v>PH-VA-208</x:v>
      </x:c>
      <x:c r="C1612" t="str">
        <x:v>PHYSICAL</x:v>
      </x:c>
      <x:c r="D1612" t="str">
        <x:v>event validity</x:v>
      </x:c>
      <x:c r="E1612" t="str">
        <x:v>PH-VA-208</x:v>
      </x:c>
      <x:c r="F1612" t="n">
        <x:f>IF('Event Register'!T214&lt;&gt;"",1,0)</x:f>
        <x:v>0</x:v>
      </x:c>
      <x:c r="G1612" t="n">
        <x:v>1</x:v>
      </x:c>
      <x:c r="H1612" t="str">
        <x:v>independent physical acceptance</x:v>
      </x:c>
      <x:c r="I1612" t="str">
        <x:f>IF(F1612=1,"PASS","OPEN")</x:f>
        <x:v>OPEN</x:v>
      </x:c>
    </x:row>
    <x:row r="1613">
      <x:c r="B1613" t="str">
        <x:v>PH-OU-208</x:v>
      </x:c>
      <x:c r="C1613" t="str">
        <x:v>PHYSICAL</x:v>
      </x:c>
      <x:c r="D1613" t="str">
        <x:v>event outcome</x:v>
      </x:c>
      <x:c r="E1613" t="str">
        <x:v>PH-OU-208</x:v>
      </x:c>
      <x:c r="F1613" t="n">
        <x:f>IF('Event Register'!U214&lt;&gt;"",1,0)</x:f>
        <x:v>0</x:v>
      </x:c>
      <x:c r="G1613" t="n">
        <x:v>1</x:v>
      </x:c>
      <x:c r="H1613" t="str">
        <x:v>independent physical acceptance</x:v>
      </x:c>
      <x:c r="I1613" t="str">
        <x:f>IF(F1613=1,"PASS","OPEN")</x:f>
        <x:v>OPEN</x:v>
      </x:c>
    </x:row>
    <x:row r="1614">
      <x:c r="B1614" t="str">
        <x:v>PH-EX-209</x:v>
      </x:c>
      <x:c r="C1614" t="str">
        <x:v>PHYSICAL</x:v>
      </x:c>
      <x:c r="D1614" t="str">
        <x:v>event execution</x:v>
      </x:c>
      <x:c r="E1614" t="str">
        <x:v>PH-EX-209</x:v>
      </x:c>
      <x:c r="F1614" t="n">
        <x:f>IF('Event Register'!R215&lt;&gt;"",1,0)</x:f>
        <x:v>0</x:v>
      </x:c>
      <x:c r="G1614" t="n">
        <x:v>1</x:v>
      </x:c>
      <x:c r="H1614" t="str">
        <x:v>independent physical acceptance</x:v>
      </x:c>
      <x:c r="I1614" t="str">
        <x:f>IF(F1614=1,"PASS","OPEN")</x:f>
        <x:v>OPEN</x:v>
      </x:c>
    </x:row>
    <x:row r="1615">
      <x:c r="B1615" t="str">
        <x:v>PH-EV-209</x:v>
      </x:c>
      <x:c r="C1615" t="str">
        <x:v>PHYSICAL</x:v>
      </x:c>
      <x:c r="D1615" t="str">
        <x:v>event evidence</x:v>
      </x:c>
      <x:c r="E1615" t="str">
        <x:v>PH-EV-209</x:v>
      </x:c>
      <x:c r="F1615" t="n">
        <x:f>IF('Event Register'!S215&lt;&gt;"",1,0)</x:f>
        <x:v>0</x:v>
      </x:c>
      <x:c r="G1615" t="n">
        <x:v>1</x:v>
      </x:c>
      <x:c r="H1615" t="str">
        <x:v>independent physical acceptance</x:v>
      </x:c>
      <x:c r="I1615" t="str">
        <x:f>IF(F1615=1,"PASS","OPEN")</x:f>
        <x:v>OPEN</x:v>
      </x:c>
    </x:row>
    <x:row r="1616">
      <x:c r="B1616" t="str">
        <x:v>PH-VA-209</x:v>
      </x:c>
      <x:c r="C1616" t="str">
        <x:v>PHYSICAL</x:v>
      </x:c>
      <x:c r="D1616" t="str">
        <x:v>event validity</x:v>
      </x:c>
      <x:c r="E1616" t="str">
        <x:v>PH-VA-209</x:v>
      </x:c>
      <x:c r="F1616" t="n">
        <x:f>IF('Event Register'!T215&lt;&gt;"",1,0)</x:f>
        <x:v>0</x:v>
      </x:c>
      <x:c r="G1616" t="n">
        <x:v>1</x:v>
      </x:c>
      <x:c r="H1616" t="str">
        <x:v>independent physical acceptance</x:v>
      </x:c>
      <x:c r="I1616" t="str">
        <x:f>IF(F1616=1,"PASS","OPEN")</x:f>
        <x:v>OPEN</x:v>
      </x:c>
    </x:row>
    <x:row r="1617">
      <x:c r="B1617" t="str">
        <x:v>PH-OU-209</x:v>
      </x:c>
      <x:c r="C1617" t="str">
        <x:v>PHYSICAL</x:v>
      </x:c>
      <x:c r="D1617" t="str">
        <x:v>event outcome</x:v>
      </x:c>
      <x:c r="E1617" t="str">
        <x:v>PH-OU-209</x:v>
      </x:c>
      <x:c r="F1617" t="n">
        <x:f>IF('Event Register'!U215&lt;&gt;"",1,0)</x:f>
        <x:v>0</x:v>
      </x:c>
      <x:c r="G1617" t="n">
        <x:v>1</x:v>
      </x:c>
      <x:c r="H1617" t="str">
        <x:v>independent physical acceptance</x:v>
      </x:c>
      <x:c r="I1617" t="str">
        <x:f>IF(F1617=1,"PASS","OPEN")</x:f>
        <x:v>OPEN</x:v>
      </x:c>
    </x:row>
    <x:row r="1618">
      <x:c r="B1618" t="str">
        <x:v>PH-EX-210</x:v>
      </x:c>
      <x:c r="C1618" t="str">
        <x:v>PHYSICAL</x:v>
      </x:c>
      <x:c r="D1618" t="str">
        <x:v>event execution</x:v>
      </x:c>
      <x:c r="E1618" t="str">
        <x:v>PH-EX-210</x:v>
      </x:c>
      <x:c r="F1618" t="n">
        <x:f>IF('Event Register'!R216&lt;&gt;"",1,0)</x:f>
        <x:v>0</x:v>
      </x:c>
      <x:c r="G1618" t="n">
        <x:v>1</x:v>
      </x:c>
      <x:c r="H1618" t="str">
        <x:v>independent physical acceptance</x:v>
      </x:c>
      <x:c r="I1618" t="str">
        <x:f>IF(F1618=1,"PASS","OPEN")</x:f>
        <x:v>OPEN</x:v>
      </x:c>
    </x:row>
    <x:row r="1619">
      <x:c r="B1619" t="str">
        <x:v>PH-EV-210</x:v>
      </x:c>
      <x:c r="C1619" t="str">
        <x:v>PHYSICAL</x:v>
      </x:c>
      <x:c r="D1619" t="str">
        <x:v>event evidence</x:v>
      </x:c>
      <x:c r="E1619" t="str">
        <x:v>PH-EV-210</x:v>
      </x:c>
      <x:c r="F1619" t="n">
        <x:f>IF('Event Register'!S216&lt;&gt;"",1,0)</x:f>
        <x:v>0</x:v>
      </x:c>
      <x:c r="G1619" t="n">
        <x:v>1</x:v>
      </x:c>
      <x:c r="H1619" t="str">
        <x:v>independent physical acceptance</x:v>
      </x:c>
      <x:c r="I1619" t="str">
        <x:f>IF(F1619=1,"PASS","OPEN")</x:f>
        <x:v>OPEN</x:v>
      </x:c>
    </x:row>
    <x:row r="1620">
      <x:c r="B1620" t="str">
        <x:v>PH-VA-210</x:v>
      </x:c>
      <x:c r="C1620" t="str">
        <x:v>PHYSICAL</x:v>
      </x:c>
      <x:c r="D1620" t="str">
        <x:v>event validity</x:v>
      </x:c>
      <x:c r="E1620" t="str">
        <x:v>PH-VA-210</x:v>
      </x:c>
      <x:c r="F1620" t="n">
        <x:f>IF('Event Register'!T216&lt;&gt;"",1,0)</x:f>
        <x:v>0</x:v>
      </x:c>
      <x:c r="G1620" t="n">
        <x:v>1</x:v>
      </x:c>
      <x:c r="H1620" t="str">
        <x:v>independent physical acceptance</x:v>
      </x:c>
      <x:c r="I1620" t="str">
        <x:f>IF(F1620=1,"PASS","OPEN")</x:f>
        <x:v>OPEN</x:v>
      </x:c>
    </x:row>
    <x:row r="1621">
      <x:c r="B1621" t="str">
        <x:v>PH-OU-210</x:v>
      </x:c>
      <x:c r="C1621" t="str">
        <x:v>PHYSICAL</x:v>
      </x:c>
      <x:c r="D1621" t="str">
        <x:v>event outcome</x:v>
      </x:c>
      <x:c r="E1621" t="str">
        <x:v>PH-OU-210</x:v>
      </x:c>
      <x:c r="F1621" t="n">
        <x:f>IF('Event Register'!U216&lt;&gt;"",1,0)</x:f>
        <x:v>0</x:v>
      </x:c>
      <x:c r="G1621" t="n">
        <x:v>1</x:v>
      </x:c>
      <x:c r="H1621" t="str">
        <x:v>independent physical acceptance</x:v>
      </x:c>
      <x:c r="I1621" t="str">
        <x:f>IF(F1621=1,"PASS","OPEN")</x:f>
        <x:v>OPEN</x:v>
      </x:c>
    </x:row>
    <x:row r="1622">
      <x:c r="B1622" t="str">
        <x:v>PH-EX-211</x:v>
      </x:c>
      <x:c r="C1622" t="str">
        <x:v>PHYSICAL</x:v>
      </x:c>
      <x:c r="D1622" t="str">
        <x:v>event execution</x:v>
      </x:c>
      <x:c r="E1622" t="str">
        <x:v>PH-EX-211</x:v>
      </x:c>
      <x:c r="F1622" t="n">
        <x:f>IF('Event Register'!R217&lt;&gt;"",1,0)</x:f>
        <x:v>0</x:v>
      </x:c>
      <x:c r="G1622" t="n">
        <x:v>1</x:v>
      </x:c>
      <x:c r="H1622" t="str">
        <x:v>independent physical acceptance</x:v>
      </x:c>
      <x:c r="I1622" t="str">
        <x:f>IF(F1622=1,"PASS","OPEN")</x:f>
        <x:v>OPEN</x:v>
      </x:c>
    </x:row>
    <x:row r="1623">
      <x:c r="B1623" t="str">
        <x:v>PH-EV-211</x:v>
      </x:c>
      <x:c r="C1623" t="str">
        <x:v>PHYSICAL</x:v>
      </x:c>
      <x:c r="D1623" t="str">
        <x:v>event evidence</x:v>
      </x:c>
      <x:c r="E1623" t="str">
        <x:v>PH-EV-211</x:v>
      </x:c>
      <x:c r="F1623" t="n">
        <x:f>IF('Event Register'!S217&lt;&gt;"",1,0)</x:f>
        <x:v>0</x:v>
      </x:c>
      <x:c r="G1623" t="n">
        <x:v>1</x:v>
      </x:c>
      <x:c r="H1623" t="str">
        <x:v>independent physical acceptance</x:v>
      </x:c>
      <x:c r="I1623" t="str">
        <x:f>IF(F1623=1,"PASS","OPEN")</x:f>
        <x:v>OPEN</x:v>
      </x:c>
    </x:row>
    <x:row r="1624">
      <x:c r="B1624" t="str">
        <x:v>PH-VA-211</x:v>
      </x:c>
      <x:c r="C1624" t="str">
        <x:v>PHYSICAL</x:v>
      </x:c>
      <x:c r="D1624" t="str">
        <x:v>event validity</x:v>
      </x:c>
      <x:c r="E1624" t="str">
        <x:v>PH-VA-211</x:v>
      </x:c>
      <x:c r="F1624" t="n">
        <x:f>IF('Event Register'!T217&lt;&gt;"",1,0)</x:f>
        <x:v>0</x:v>
      </x:c>
      <x:c r="G1624" t="n">
        <x:v>1</x:v>
      </x:c>
      <x:c r="H1624" t="str">
        <x:v>independent physical acceptance</x:v>
      </x:c>
      <x:c r="I1624" t="str">
        <x:f>IF(F1624=1,"PASS","OPEN")</x:f>
        <x:v>OPEN</x:v>
      </x:c>
    </x:row>
    <x:row r="1625">
      <x:c r="B1625" t="str">
        <x:v>PH-OU-211</x:v>
      </x:c>
      <x:c r="C1625" t="str">
        <x:v>PHYSICAL</x:v>
      </x:c>
      <x:c r="D1625" t="str">
        <x:v>event outcome</x:v>
      </x:c>
      <x:c r="E1625" t="str">
        <x:v>PH-OU-211</x:v>
      </x:c>
      <x:c r="F1625" t="n">
        <x:f>IF('Event Register'!U217&lt;&gt;"",1,0)</x:f>
        <x:v>0</x:v>
      </x:c>
      <x:c r="G1625" t="n">
        <x:v>1</x:v>
      </x:c>
      <x:c r="H1625" t="str">
        <x:v>independent physical acceptance</x:v>
      </x:c>
      <x:c r="I1625" t="str">
        <x:f>IF(F1625=1,"PASS","OPEN")</x:f>
        <x:v>OPEN</x:v>
      </x:c>
    </x:row>
    <x:row r="1626">
      <x:c r="B1626" t="str">
        <x:v>PH-EX-212</x:v>
      </x:c>
      <x:c r="C1626" t="str">
        <x:v>PHYSICAL</x:v>
      </x:c>
      <x:c r="D1626" t="str">
        <x:v>event execution</x:v>
      </x:c>
      <x:c r="E1626" t="str">
        <x:v>PH-EX-212</x:v>
      </x:c>
      <x:c r="F1626" t="n">
        <x:f>IF('Event Register'!R218&lt;&gt;"",1,0)</x:f>
        <x:v>0</x:v>
      </x:c>
      <x:c r="G1626" t="n">
        <x:v>1</x:v>
      </x:c>
      <x:c r="H1626" t="str">
        <x:v>independent physical acceptance</x:v>
      </x:c>
      <x:c r="I1626" t="str">
        <x:f>IF(F1626=1,"PASS","OPEN")</x:f>
        <x:v>OPEN</x:v>
      </x:c>
    </x:row>
    <x:row r="1627">
      <x:c r="B1627" t="str">
        <x:v>PH-EV-212</x:v>
      </x:c>
      <x:c r="C1627" t="str">
        <x:v>PHYSICAL</x:v>
      </x:c>
      <x:c r="D1627" t="str">
        <x:v>event evidence</x:v>
      </x:c>
      <x:c r="E1627" t="str">
        <x:v>PH-EV-212</x:v>
      </x:c>
      <x:c r="F1627" t="n">
        <x:f>IF('Event Register'!S218&lt;&gt;"",1,0)</x:f>
        <x:v>0</x:v>
      </x:c>
      <x:c r="G1627" t="n">
        <x:v>1</x:v>
      </x:c>
      <x:c r="H1627" t="str">
        <x:v>independent physical acceptance</x:v>
      </x:c>
      <x:c r="I1627" t="str">
        <x:f>IF(F1627=1,"PASS","OPEN")</x:f>
        <x:v>OPEN</x:v>
      </x:c>
    </x:row>
    <x:row r="1628">
      <x:c r="B1628" t="str">
        <x:v>PH-VA-212</x:v>
      </x:c>
      <x:c r="C1628" t="str">
        <x:v>PHYSICAL</x:v>
      </x:c>
      <x:c r="D1628" t="str">
        <x:v>event validity</x:v>
      </x:c>
      <x:c r="E1628" t="str">
        <x:v>PH-VA-212</x:v>
      </x:c>
      <x:c r="F1628" t="n">
        <x:f>IF('Event Register'!T218&lt;&gt;"",1,0)</x:f>
        <x:v>0</x:v>
      </x:c>
      <x:c r="G1628" t="n">
        <x:v>1</x:v>
      </x:c>
      <x:c r="H1628" t="str">
        <x:v>independent physical acceptance</x:v>
      </x:c>
      <x:c r="I1628" t="str">
        <x:f>IF(F1628=1,"PASS","OPEN")</x:f>
        <x:v>OPEN</x:v>
      </x:c>
    </x:row>
    <x:row r="1629">
      <x:c r="B1629" t="str">
        <x:v>PH-OU-212</x:v>
      </x:c>
      <x:c r="C1629" t="str">
        <x:v>PHYSICAL</x:v>
      </x:c>
      <x:c r="D1629" t="str">
        <x:v>event outcome</x:v>
      </x:c>
      <x:c r="E1629" t="str">
        <x:v>PH-OU-212</x:v>
      </x:c>
      <x:c r="F1629" t="n">
        <x:f>IF('Event Register'!U218&lt;&gt;"",1,0)</x:f>
        <x:v>0</x:v>
      </x:c>
      <x:c r="G1629" t="n">
        <x:v>1</x:v>
      </x:c>
      <x:c r="H1629" t="str">
        <x:v>independent physical acceptance</x:v>
      </x:c>
      <x:c r="I1629" t="str">
        <x:f>IF(F1629=1,"PASS","OPEN")</x:f>
        <x:v>OPEN</x:v>
      </x:c>
    </x:row>
    <x:row r="1630">
      <x:c r="B1630" t="str">
        <x:v>PH-EX-213</x:v>
      </x:c>
      <x:c r="C1630" t="str">
        <x:v>PHYSICAL</x:v>
      </x:c>
      <x:c r="D1630" t="str">
        <x:v>event execution</x:v>
      </x:c>
      <x:c r="E1630" t="str">
        <x:v>PH-EX-213</x:v>
      </x:c>
      <x:c r="F1630" t="n">
        <x:f>IF('Event Register'!R219&lt;&gt;"",1,0)</x:f>
        <x:v>0</x:v>
      </x:c>
      <x:c r="G1630" t="n">
        <x:v>1</x:v>
      </x:c>
      <x:c r="H1630" t="str">
        <x:v>independent physical acceptance</x:v>
      </x:c>
      <x:c r="I1630" t="str">
        <x:f>IF(F1630=1,"PASS","OPEN")</x:f>
        <x:v>OPEN</x:v>
      </x:c>
    </x:row>
    <x:row r="1631">
      <x:c r="B1631" t="str">
        <x:v>PH-EV-213</x:v>
      </x:c>
      <x:c r="C1631" t="str">
        <x:v>PHYSICAL</x:v>
      </x:c>
      <x:c r="D1631" t="str">
        <x:v>event evidence</x:v>
      </x:c>
      <x:c r="E1631" t="str">
        <x:v>PH-EV-213</x:v>
      </x:c>
      <x:c r="F1631" t="n">
        <x:f>IF('Event Register'!S219&lt;&gt;"",1,0)</x:f>
        <x:v>0</x:v>
      </x:c>
      <x:c r="G1631" t="n">
        <x:v>1</x:v>
      </x:c>
      <x:c r="H1631" t="str">
        <x:v>independent physical acceptance</x:v>
      </x:c>
      <x:c r="I1631" t="str">
        <x:f>IF(F1631=1,"PASS","OPEN")</x:f>
        <x:v>OPEN</x:v>
      </x:c>
    </x:row>
    <x:row r="1632">
      <x:c r="B1632" t="str">
        <x:v>PH-VA-213</x:v>
      </x:c>
      <x:c r="C1632" t="str">
        <x:v>PHYSICAL</x:v>
      </x:c>
      <x:c r="D1632" t="str">
        <x:v>event validity</x:v>
      </x:c>
      <x:c r="E1632" t="str">
        <x:v>PH-VA-213</x:v>
      </x:c>
      <x:c r="F1632" t="n">
        <x:f>IF('Event Register'!T219&lt;&gt;"",1,0)</x:f>
        <x:v>0</x:v>
      </x:c>
      <x:c r="G1632" t="n">
        <x:v>1</x:v>
      </x:c>
      <x:c r="H1632" t="str">
        <x:v>independent physical acceptance</x:v>
      </x:c>
      <x:c r="I1632" t="str">
        <x:f>IF(F1632=1,"PASS","OPEN")</x:f>
        <x:v>OPEN</x:v>
      </x:c>
    </x:row>
    <x:row r="1633">
      <x:c r="B1633" t="str">
        <x:v>PH-OU-213</x:v>
      </x:c>
      <x:c r="C1633" t="str">
        <x:v>PHYSICAL</x:v>
      </x:c>
      <x:c r="D1633" t="str">
        <x:v>event outcome</x:v>
      </x:c>
      <x:c r="E1633" t="str">
        <x:v>PH-OU-213</x:v>
      </x:c>
      <x:c r="F1633" t="n">
        <x:f>IF('Event Register'!U219&lt;&gt;"",1,0)</x:f>
        <x:v>0</x:v>
      </x:c>
      <x:c r="G1633" t="n">
        <x:v>1</x:v>
      </x:c>
      <x:c r="H1633" t="str">
        <x:v>independent physical acceptance</x:v>
      </x:c>
      <x:c r="I1633" t="str">
        <x:f>IF(F1633=1,"PASS","OPEN")</x:f>
        <x:v>OPEN</x:v>
      </x:c>
    </x:row>
    <x:row r="1634">
      <x:c r="B1634" t="str">
        <x:v>PH-EX-214</x:v>
      </x:c>
      <x:c r="C1634" t="str">
        <x:v>PHYSICAL</x:v>
      </x:c>
      <x:c r="D1634" t="str">
        <x:v>event execution</x:v>
      </x:c>
      <x:c r="E1634" t="str">
        <x:v>PH-EX-214</x:v>
      </x:c>
      <x:c r="F1634" t="n">
        <x:f>IF('Event Register'!R220&lt;&gt;"",1,0)</x:f>
        <x:v>0</x:v>
      </x:c>
      <x:c r="G1634" t="n">
        <x:v>1</x:v>
      </x:c>
      <x:c r="H1634" t="str">
        <x:v>independent physical acceptance</x:v>
      </x:c>
      <x:c r="I1634" t="str">
        <x:f>IF(F1634=1,"PASS","OPEN")</x:f>
        <x:v>OPEN</x:v>
      </x:c>
    </x:row>
    <x:row r="1635">
      <x:c r="B1635" t="str">
        <x:v>PH-EV-214</x:v>
      </x:c>
      <x:c r="C1635" t="str">
        <x:v>PHYSICAL</x:v>
      </x:c>
      <x:c r="D1635" t="str">
        <x:v>event evidence</x:v>
      </x:c>
      <x:c r="E1635" t="str">
        <x:v>PH-EV-214</x:v>
      </x:c>
      <x:c r="F1635" t="n">
        <x:f>IF('Event Register'!S220&lt;&gt;"",1,0)</x:f>
        <x:v>0</x:v>
      </x:c>
      <x:c r="G1635" t="n">
        <x:v>1</x:v>
      </x:c>
      <x:c r="H1635" t="str">
        <x:v>independent physical acceptance</x:v>
      </x:c>
      <x:c r="I1635" t="str">
        <x:f>IF(F1635=1,"PASS","OPEN")</x:f>
        <x:v>OPEN</x:v>
      </x:c>
    </x:row>
    <x:row r="1636">
      <x:c r="B1636" t="str">
        <x:v>PH-VA-214</x:v>
      </x:c>
      <x:c r="C1636" t="str">
        <x:v>PHYSICAL</x:v>
      </x:c>
      <x:c r="D1636" t="str">
        <x:v>event validity</x:v>
      </x:c>
      <x:c r="E1636" t="str">
        <x:v>PH-VA-214</x:v>
      </x:c>
      <x:c r="F1636" t="n">
        <x:f>IF('Event Register'!T220&lt;&gt;"",1,0)</x:f>
        <x:v>0</x:v>
      </x:c>
      <x:c r="G1636" t="n">
        <x:v>1</x:v>
      </x:c>
      <x:c r="H1636" t="str">
        <x:v>independent physical acceptance</x:v>
      </x:c>
      <x:c r="I1636" t="str">
        <x:f>IF(F1636=1,"PASS","OPEN")</x:f>
        <x:v>OPEN</x:v>
      </x:c>
    </x:row>
    <x:row r="1637">
      <x:c r="B1637" t="str">
        <x:v>PH-OU-214</x:v>
      </x:c>
      <x:c r="C1637" t="str">
        <x:v>PHYSICAL</x:v>
      </x:c>
      <x:c r="D1637" t="str">
        <x:v>event outcome</x:v>
      </x:c>
      <x:c r="E1637" t="str">
        <x:v>PH-OU-214</x:v>
      </x:c>
      <x:c r="F1637" t="n">
        <x:f>IF('Event Register'!U220&lt;&gt;"",1,0)</x:f>
        <x:v>0</x:v>
      </x:c>
      <x:c r="G1637" t="n">
        <x:v>1</x:v>
      </x:c>
      <x:c r="H1637" t="str">
        <x:v>independent physical acceptance</x:v>
      </x:c>
      <x:c r="I1637" t="str">
        <x:f>IF(F1637=1,"PASS","OPEN")</x:f>
        <x:v>OPEN</x:v>
      </x:c>
    </x:row>
    <x:row r="1638">
      <x:c r="B1638" t="str">
        <x:v>PH-EX-215</x:v>
      </x:c>
      <x:c r="C1638" t="str">
        <x:v>PHYSICAL</x:v>
      </x:c>
      <x:c r="D1638" t="str">
        <x:v>event execution</x:v>
      </x:c>
      <x:c r="E1638" t="str">
        <x:v>PH-EX-215</x:v>
      </x:c>
      <x:c r="F1638" t="n">
        <x:f>IF('Event Register'!R221&lt;&gt;"",1,0)</x:f>
        <x:v>0</x:v>
      </x:c>
      <x:c r="G1638" t="n">
        <x:v>1</x:v>
      </x:c>
      <x:c r="H1638" t="str">
        <x:v>independent physical acceptance</x:v>
      </x:c>
      <x:c r="I1638" t="str">
        <x:f>IF(F1638=1,"PASS","OPEN")</x:f>
        <x:v>OPEN</x:v>
      </x:c>
    </x:row>
    <x:row r="1639">
      <x:c r="B1639" t="str">
        <x:v>PH-EV-215</x:v>
      </x:c>
      <x:c r="C1639" t="str">
        <x:v>PHYSICAL</x:v>
      </x:c>
      <x:c r="D1639" t="str">
        <x:v>event evidence</x:v>
      </x:c>
      <x:c r="E1639" t="str">
        <x:v>PH-EV-215</x:v>
      </x:c>
      <x:c r="F1639" t="n">
        <x:f>IF('Event Register'!S221&lt;&gt;"",1,0)</x:f>
        <x:v>0</x:v>
      </x:c>
      <x:c r="G1639" t="n">
        <x:v>1</x:v>
      </x:c>
      <x:c r="H1639" t="str">
        <x:v>independent physical acceptance</x:v>
      </x:c>
      <x:c r="I1639" t="str">
        <x:f>IF(F1639=1,"PASS","OPEN")</x:f>
        <x:v>OPEN</x:v>
      </x:c>
    </x:row>
    <x:row r="1640">
      <x:c r="B1640" t="str">
        <x:v>PH-VA-215</x:v>
      </x:c>
      <x:c r="C1640" t="str">
        <x:v>PHYSICAL</x:v>
      </x:c>
      <x:c r="D1640" t="str">
        <x:v>event validity</x:v>
      </x:c>
      <x:c r="E1640" t="str">
        <x:v>PH-VA-215</x:v>
      </x:c>
      <x:c r="F1640" t="n">
        <x:f>IF('Event Register'!T221&lt;&gt;"",1,0)</x:f>
        <x:v>0</x:v>
      </x:c>
      <x:c r="G1640" t="n">
        <x:v>1</x:v>
      </x:c>
      <x:c r="H1640" t="str">
        <x:v>independent physical acceptance</x:v>
      </x:c>
      <x:c r="I1640" t="str">
        <x:f>IF(F1640=1,"PASS","OPEN")</x:f>
        <x:v>OPEN</x:v>
      </x:c>
    </x:row>
    <x:row r="1641">
      <x:c r="B1641" t="str">
        <x:v>PH-OU-215</x:v>
      </x:c>
      <x:c r="C1641" t="str">
        <x:v>PHYSICAL</x:v>
      </x:c>
      <x:c r="D1641" t="str">
        <x:v>event outcome</x:v>
      </x:c>
      <x:c r="E1641" t="str">
        <x:v>PH-OU-215</x:v>
      </x:c>
      <x:c r="F1641" t="n">
        <x:f>IF('Event Register'!U221&lt;&gt;"",1,0)</x:f>
        <x:v>0</x:v>
      </x:c>
      <x:c r="G1641" t="n">
        <x:v>1</x:v>
      </x:c>
      <x:c r="H1641" t="str">
        <x:v>independent physical acceptance</x:v>
      </x:c>
      <x:c r="I1641" t="str">
        <x:f>IF(F1641=1,"PASS","OPEN")</x:f>
        <x:v>OPEN</x:v>
      </x:c>
    </x:row>
    <x:row r="1642">
      <x:c r="B1642" t="str">
        <x:v>PH-EX-216</x:v>
      </x:c>
      <x:c r="C1642" t="str">
        <x:v>PHYSICAL</x:v>
      </x:c>
      <x:c r="D1642" t="str">
        <x:v>event execution</x:v>
      </x:c>
      <x:c r="E1642" t="str">
        <x:v>PH-EX-216</x:v>
      </x:c>
      <x:c r="F1642" t="n">
        <x:f>IF('Event Register'!R222&lt;&gt;"",1,0)</x:f>
        <x:v>0</x:v>
      </x:c>
      <x:c r="G1642" t="n">
        <x:v>1</x:v>
      </x:c>
      <x:c r="H1642" t="str">
        <x:v>independent physical acceptance</x:v>
      </x:c>
      <x:c r="I1642" t="str">
        <x:f>IF(F1642=1,"PASS","OPEN")</x:f>
        <x:v>OPEN</x:v>
      </x:c>
    </x:row>
    <x:row r="1643">
      <x:c r="B1643" t="str">
        <x:v>PH-EV-216</x:v>
      </x:c>
      <x:c r="C1643" t="str">
        <x:v>PHYSICAL</x:v>
      </x:c>
      <x:c r="D1643" t="str">
        <x:v>event evidence</x:v>
      </x:c>
      <x:c r="E1643" t="str">
        <x:v>PH-EV-216</x:v>
      </x:c>
      <x:c r="F1643" t="n">
        <x:f>IF('Event Register'!S222&lt;&gt;"",1,0)</x:f>
        <x:v>0</x:v>
      </x:c>
      <x:c r="G1643" t="n">
        <x:v>1</x:v>
      </x:c>
      <x:c r="H1643" t="str">
        <x:v>independent physical acceptance</x:v>
      </x:c>
      <x:c r="I1643" t="str">
        <x:f>IF(F1643=1,"PASS","OPEN")</x:f>
        <x:v>OPEN</x:v>
      </x:c>
    </x:row>
    <x:row r="1644">
      <x:c r="B1644" t="str">
        <x:v>PH-VA-216</x:v>
      </x:c>
      <x:c r="C1644" t="str">
        <x:v>PHYSICAL</x:v>
      </x:c>
      <x:c r="D1644" t="str">
        <x:v>event validity</x:v>
      </x:c>
      <x:c r="E1644" t="str">
        <x:v>PH-VA-216</x:v>
      </x:c>
      <x:c r="F1644" t="n">
        <x:f>IF('Event Register'!T222&lt;&gt;"",1,0)</x:f>
        <x:v>0</x:v>
      </x:c>
      <x:c r="G1644" t="n">
        <x:v>1</x:v>
      </x:c>
      <x:c r="H1644" t="str">
        <x:v>independent physical acceptance</x:v>
      </x:c>
      <x:c r="I1644" t="str">
        <x:f>IF(F1644=1,"PASS","OPEN")</x:f>
        <x:v>OPEN</x:v>
      </x:c>
    </x:row>
    <x:row r="1645">
      <x:c r="B1645" t="str">
        <x:v>PH-OU-216</x:v>
      </x:c>
      <x:c r="C1645" t="str">
        <x:v>PHYSICAL</x:v>
      </x:c>
      <x:c r="D1645" t="str">
        <x:v>event outcome</x:v>
      </x:c>
      <x:c r="E1645" t="str">
        <x:v>PH-OU-216</x:v>
      </x:c>
      <x:c r="F1645" t="n">
        <x:f>IF('Event Register'!U222&lt;&gt;"",1,0)</x:f>
        <x:v>0</x:v>
      </x:c>
      <x:c r="G1645" t="n">
        <x:v>1</x:v>
      </x:c>
      <x:c r="H1645" t="str">
        <x:v>independent physical acceptance</x:v>
      </x:c>
      <x:c r="I1645" t="str">
        <x:f>IF(F1645=1,"PASS","OPEN")</x:f>
        <x:v>OPEN</x:v>
      </x:c>
    </x:row>
    <x:row r="1646">
      <x:c r="B1646" t="str">
        <x:v>PH-EX-217</x:v>
      </x:c>
      <x:c r="C1646" t="str">
        <x:v>PHYSICAL</x:v>
      </x:c>
      <x:c r="D1646" t="str">
        <x:v>event execution</x:v>
      </x:c>
      <x:c r="E1646" t="str">
        <x:v>PH-EX-217</x:v>
      </x:c>
      <x:c r="F1646" t="n">
        <x:f>IF('Event Register'!R223&lt;&gt;"",1,0)</x:f>
        <x:v>0</x:v>
      </x:c>
      <x:c r="G1646" t="n">
        <x:v>1</x:v>
      </x:c>
      <x:c r="H1646" t="str">
        <x:v>independent physical acceptance</x:v>
      </x:c>
      <x:c r="I1646" t="str">
        <x:f>IF(F1646=1,"PASS","OPEN")</x:f>
        <x:v>OPEN</x:v>
      </x:c>
    </x:row>
    <x:row r="1647">
      <x:c r="B1647" t="str">
        <x:v>PH-EV-217</x:v>
      </x:c>
      <x:c r="C1647" t="str">
        <x:v>PHYSICAL</x:v>
      </x:c>
      <x:c r="D1647" t="str">
        <x:v>event evidence</x:v>
      </x:c>
      <x:c r="E1647" t="str">
        <x:v>PH-EV-217</x:v>
      </x:c>
      <x:c r="F1647" t="n">
        <x:f>IF('Event Register'!S223&lt;&gt;"",1,0)</x:f>
        <x:v>0</x:v>
      </x:c>
      <x:c r="G1647" t="n">
        <x:v>1</x:v>
      </x:c>
      <x:c r="H1647" t="str">
        <x:v>independent physical acceptance</x:v>
      </x:c>
      <x:c r="I1647" t="str">
        <x:f>IF(F1647=1,"PASS","OPEN")</x:f>
        <x:v>OPEN</x:v>
      </x:c>
    </x:row>
    <x:row r="1648">
      <x:c r="B1648" t="str">
        <x:v>PH-VA-217</x:v>
      </x:c>
      <x:c r="C1648" t="str">
        <x:v>PHYSICAL</x:v>
      </x:c>
      <x:c r="D1648" t="str">
        <x:v>event validity</x:v>
      </x:c>
      <x:c r="E1648" t="str">
        <x:v>PH-VA-217</x:v>
      </x:c>
      <x:c r="F1648" t="n">
        <x:f>IF('Event Register'!T223&lt;&gt;"",1,0)</x:f>
        <x:v>0</x:v>
      </x:c>
      <x:c r="G1648" t="n">
        <x:v>1</x:v>
      </x:c>
      <x:c r="H1648" t="str">
        <x:v>independent physical acceptance</x:v>
      </x:c>
      <x:c r="I1648" t="str">
        <x:f>IF(F1648=1,"PASS","OPEN")</x:f>
        <x:v>OPEN</x:v>
      </x:c>
    </x:row>
    <x:row r="1649">
      <x:c r="B1649" t="str">
        <x:v>PH-OU-217</x:v>
      </x:c>
      <x:c r="C1649" t="str">
        <x:v>PHYSICAL</x:v>
      </x:c>
      <x:c r="D1649" t="str">
        <x:v>event outcome</x:v>
      </x:c>
      <x:c r="E1649" t="str">
        <x:v>PH-OU-217</x:v>
      </x:c>
      <x:c r="F1649" t="n">
        <x:f>IF('Event Register'!U223&lt;&gt;"",1,0)</x:f>
        <x:v>0</x:v>
      </x:c>
      <x:c r="G1649" t="n">
        <x:v>1</x:v>
      </x:c>
      <x:c r="H1649" t="str">
        <x:v>independent physical acceptance</x:v>
      </x:c>
      <x:c r="I1649" t="str">
        <x:f>IF(F1649=1,"PASS","OPEN")</x:f>
        <x:v>OPEN</x:v>
      </x:c>
    </x:row>
    <x:row r="1650">
      <x:c r="B1650" t="str">
        <x:v>PH-EX-218</x:v>
      </x:c>
      <x:c r="C1650" t="str">
        <x:v>PHYSICAL</x:v>
      </x:c>
      <x:c r="D1650" t="str">
        <x:v>event execution</x:v>
      </x:c>
      <x:c r="E1650" t="str">
        <x:v>PH-EX-218</x:v>
      </x:c>
      <x:c r="F1650" t="n">
        <x:f>IF('Event Register'!R224&lt;&gt;"",1,0)</x:f>
        <x:v>0</x:v>
      </x:c>
      <x:c r="G1650" t="n">
        <x:v>1</x:v>
      </x:c>
      <x:c r="H1650" t="str">
        <x:v>independent physical acceptance</x:v>
      </x:c>
      <x:c r="I1650" t="str">
        <x:f>IF(F1650=1,"PASS","OPEN")</x:f>
        <x:v>OPEN</x:v>
      </x:c>
    </x:row>
    <x:row r="1651">
      <x:c r="B1651" t="str">
        <x:v>PH-EV-218</x:v>
      </x:c>
      <x:c r="C1651" t="str">
        <x:v>PHYSICAL</x:v>
      </x:c>
      <x:c r="D1651" t="str">
        <x:v>event evidence</x:v>
      </x:c>
      <x:c r="E1651" t="str">
        <x:v>PH-EV-218</x:v>
      </x:c>
      <x:c r="F1651" t="n">
        <x:f>IF('Event Register'!S224&lt;&gt;"",1,0)</x:f>
        <x:v>0</x:v>
      </x:c>
      <x:c r="G1651" t="n">
        <x:v>1</x:v>
      </x:c>
      <x:c r="H1651" t="str">
        <x:v>independent physical acceptance</x:v>
      </x:c>
      <x:c r="I1651" t="str">
        <x:f>IF(F1651=1,"PASS","OPEN")</x:f>
        <x:v>OPEN</x:v>
      </x:c>
    </x:row>
    <x:row r="1652">
      <x:c r="B1652" t="str">
        <x:v>PH-VA-218</x:v>
      </x:c>
      <x:c r="C1652" t="str">
        <x:v>PHYSICAL</x:v>
      </x:c>
      <x:c r="D1652" t="str">
        <x:v>event validity</x:v>
      </x:c>
      <x:c r="E1652" t="str">
        <x:v>PH-VA-218</x:v>
      </x:c>
      <x:c r="F1652" t="n">
        <x:f>IF('Event Register'!T224&lt;&gt;"",1,0)</x:f>
        <x:v>0</x:v>
      </x:c>
      <x:c r="G1652" t="n">
        <x:v>1</x:v>
      </x:c>
      <x:c r="H1652" t="str">
        <x:v>independent physical acceptance</x:v>
      </x:c>
      <x:c r="I1652" t="str">
        <x:f>IF(F1652=1,"PASS","OPEN")</x:f>
        <x:v>OPEN</x:v>
      </x:c>
    </x:row>
    <x:row r="1653">
      <x:c r="B1653" t="str">
        <x:v>PH-OU-218</x:v>
      </x:c>
      <x:c r="C1653" t="str">
        <x:v>PHYSICAL</x:v>
      </x:c>
      <x:c r="D1653" t="str">
        <x:v>event outcome</x:v>
      </x:c>
      <x:c r="E1653" t="str">
        <x:v>PH-OU-218</x:v>
      </x:c>
      <x:c r="F1653" t="n">
        <x:f>IF('Event Register'!U224&lt;&gt;"",1,0)</x:f>
        <x:v>0</x:v>
      </x:c>
      <x:c r="G1653" t="n">
        <x:v>1</x:v>
      </x:c>
      <x:c r="H1653" t="str">
        <x:v>independent physical acceptance</x:v>
      </x:c>
      <x:c r="I1653" t="str">
        <x:f>IF(F1653=1,"PASS","OPEN")</x:f>
        <x:v>OPEN</x:v>
      </x:c>
    </x:row>
    <x:row r="1654">
      <x:c r="B1654" t="str">
        <x:v>PH-EX-219</x:v>
      </x:c>
      <x:c r="C1654" t="str">
        <x:v>PHYSICAL</x:v>
      </x:c>
      <x:c r="D1654" t="str">
        <x:v>event execution</x:v>
      </x:c>
      <x:c r="E1654" t="str">
        <x:v>PH-EX-219</x:v>
      </x:c>
      <x:c r="F1654" t="n">
        <x:f>IF('Event Register'!R225&lt;&gt;"",1,0)</x:f>
        <x:v>0</x:v>
      </x:c>
      <x:c r="G1654" t="n">
        <x:v>1</x:v>
      </x:c>
      <x:c r="H1654" t="str">
        <x:v>independent physical acceptance</x:v>
      </x:c>
      <x:c r="I1654" t="str">
        <x:f>IF(F1654=1,"PASS","OPEN")</x:f>
        <x:v>OPEN</x:v>
      </x:c>
    </x:row>
    <x:row r="1655">
      <x:c r="B1655" t="str">
        <x:v>PH-EV-219</x:v>
      </x:c>
      <x:c r="C1655" t="str">
        <x:v>PHYSICAL</x:v>
      </x:c>
      <x:c r="D1655" t="str">
        <x:v>event evidence</x:v>
      </x:c>
      <x:c r="E1655" t="str">
        <x:v>PH-EV-219</x:v>
      </x:c>
      <x:c r="F1655" t="n">
        <x:f>IF('Event Register'!S225&lt;&gt;"",1,0)</x:f>
        <x:v>0</x:v>
      </x:c>
      <x:c r="G1655" t="n">
        <x:v>1</x:v>
      </x:c>
      <x:c r="H1655" t="str">
        <x:v>independent physical acceptance</x:v>
      </x:c>
      <x:c r="I1655" t="str">
        <x:f>IF(F1655=1,"PASS","OPEN")</x:f>
        <x:v>OPEN</x:v>
      </x:c>
    </x:row>
    <x:row r="1656">
      <x:c r="B1656" t="str">
        <x:v>PH-VA-219</x:v>
      </x:c>
      <x:c r="C1656" t="str">
        <x:v>PHYSICAL</x:v>
      </x:c>
      <x:c r="D1656" t="str">
        <x:v>event validity</x:v>
      </x:c>
      <x:c r="E1656" t="str">
        <x:v>PH-VA-219</x:v>
      </x:c>
      <x:c r="F1656" t="n">
        <x:f>IF('Event Register'!T225&lt;&gt;"",1,0)</x:f>
        <x:v>0</x:v>
      </x:c>
      <x:c r="G1656" t="n">
        <x:v>1</x:v>
      </x:c>
      <x:c r="H1656" t="str">
        <x:v>independent physical acceptance</x:v>
      </x:c>
      <x:c r="I1656" t="str">
        <x:f>IF(F1656=1,"PASS","OPEN")</x:f>
        <x:v>OPEN</x:v>
      </x:c>
    </x:row>
    <x:row r="1657">
      <x:c r="B1657" t="str">
        <x:v>PH-OU-219</x:v>
      </x:c>
      <x:c r="C1657" t="str">
        <x:v>PHYSICAL</x:v>
      </x:c>
      <x:c r="D1657" t="str">
        <x:v>event outcome</x:v>
      </x:c>
      <x:c r="E1657" t="str">
        <x:v>PH-OU-219</x:v>
      </x:c>
      <x:c r="F1657" t="n">
        <x:f>IF('Event Register'!U225&lt;&gt;"",1,0)</x:f>
        <x:v>0</x:v>
      </x:c>
      <x:c r="G1657" t="n">
        <x:v>1</x:v>
      </x:c>
      <x:c r="H1657" t="str">
        <x:v>independent physical acceptance</x:v>
      </x:c>
      <x:c r="I1657" t="str">
        <x:f>IF(F1657=1,"PASS","OPEN")</x:f>
        <x:v>OPEN</x:v>
      </x:c>
    </x:row>
    <x:row r="1658">
      <x:c r="B1658" t="str">
        <x:v>PH-EX-220</x:v>
      </x:c>
      <x:c r="C1658" t="str">
        <x:v>PHYSICAL</x:v>
      </x:c>
      <x:c r="D1658" t="str">
        <x:v>event execution</x:v>
      </x:c>
      <x:c r="E1658" t="str">
        <x:v>PH-EX-220</x:v>
      </x:c>
      <x:c r="F1658" t="n">
        <x:f>IF('Event Register'!R226&lt;&gt;"",1,0)</x:f>
        <x:v>0</x:v>
      </x:c>
      <x:c r="G1658" t="n">
        <x:v>1</x:v>
      </x:c>
      <x:c r="H1658" t="str">
        <x:v>independent physical acceptance</x:v>
      </x:c>
      <x:c r="I1658" t="str">
        <x:f>IF(F1658=1,"PASS","OPEN")</x:f>
        <x:v>OPEN</x:v>
      </x:c>
    </x:row>
    <x:row r="1659">
      <x:c r="B1659" t="str">
        <x:v>PH-EV-220</x:v>
      </x:c>
      <x:c r="C1659" t="str">
        <x:v>PHYSICAL</x:v>
      </x:c>
      <x:c r="D1659" t="str">
        <x:v>event evidence</x:v>
      </x:c>
      <x:c r="E1659" t="str">
        <x:v>PH-EV-220</x:v>
      </x:c>
      <x:c r="F1659" t="n">
        <x:f>IF('Event Register'!S226&lt;&gt;"",1,0)</x:f>
        <x:v>0</x:v>
      </x:c>
      <x:c r="G1659" t="n">
        <x:v>1</x:v>
      </x:c>
      <x:c r="H1659" t="str">
        <x:v>independent physical acceptance</x:v>
      </x:c>
      <x:c r="I1659" t="str">
        <x:f>IF(F1659=1,"PASS","OPEN")</x:f>
        <x:v>OPEN</x:v>
      </x:c>
    </x:row>
    <x:row r="1660">
      <x:c r="B1660" t="str">
        <x:v>PH-VA-220</x:v>
      </x:c>
      <x:c r="C1660" t="str">
        <x:v>PHYSICAL</x:v>
      </x:c>
      <x:c r="D1660" t="str">
        <x:v>event validity</x:v>
      </x:c>
      <x:c r="E1660" t="str">
        <x:v>PH-VA-220</x:v>
      </x:c>
      <x:c r="F1660" t="n">
        <x:f>IF('Event Register'!T226&lt;&gt;"",1,0)</x:f>
        <x:v>0</x:v>
      </x:c>
      <x:c r="G1660" t="n">
        <x:v>1</x:v>
      </x:c>
      <x:c r="H1660" t="str">
        <x:v>independent physical acceptance</x:v>
      </x:c>
      <x:c r="I1660" t="str">
        <x:f>IF(F1660=1,"PASS","OPEN")</x:f>
        <x:v>OPEN</x:v>
      </x:c>
    </x:row>
    <x:row r="1661">
      <x:c r="B1661" t="str">
        <x:v>PH-OU-220</x:v>
      </x:c>
      <x:c r="C1661" t="str">
        <x:v>PHYSICAL</x:v>
      </x:c>
      <x:c r="D1661" t="str">
        <x:v>event outcome</x:v>
      </x:c>
      <x:c r="E1661" t="str">
        <x:v>PH-OU-220</x:v>
      </x:c>
      <x:c r="F1661" t="n">
        <x:f>IF('Event Register'!U226&lt;&gt;"",1,0)</x:f>
        <x:v>0</x:v>
      </x:c>
      <x:c r="G1661" t="n">
        <x:v>1</x:v>
      </x:c>
      <x:c r="H1661" t="str">
        <x:v>independent physical acceptance</x:v>
      </x:c>
      <x:c r="I1661" t="str">
        <x:f>IF(F1661=1,"PASS","OPEN")</x:f>
        <x:v>OPEN</x:v>
      </x:c>
    </x:row>
    <x:row r="1662">
      <x:c r="B1662" t="str">
        <x:v>PH-EX-221</x:v>
      </x:c>
      <x:c r="C1662" t="str">
        <x:v>PHYSICAL</x:v>
      </x:c>
      <x:c r="D1662" t="str">
        <x:v>event execution</x:v>
      </x:c>
      <x:c r="E1662" t="str">
        <x:v>PH-EX-221</x:v>
      </x:c>
      <x:c r="F1662" t="n">
        <x:f>IF('Event Register'!R227&lt;&gt;"",1,0)</x:f>
        <x:v>0</x:v>
      </x:c>
      <x:c r="G1662" t="n">
        <x:v>1</x:v>
      </x:c>
      <x:c r="H1662" t="str">
        <x:v>independent physical acceptance</x:v>
      </x:c>
      <x:c r="I1662" t="str">
        <x:f>IF(F1662=1,"PASS","OPEN")</x:f>
        <x:v>OPEN</x:v>
      </x:c>
    </x:row>
    <x:row r="1663">
      <x:c r="B1663" t="str">
        <x:v>PH-EV-221</x:v>
      </x:c>
      <x:c r="C1663" t="str">
        <x:v>PHYSICAL</x:v>
      </x:c>
      <x:c r="D1663" t="str">
        <x:v>event evidence</x:v>
      </x:c>
      <x:c r="E1663" t="str">
        <x:v>PH-EV-221</x:v>
      </x:c>
      <x:c r="F1663" t="n">
        <x:f>IF('Event Register'!S227&lt;&gt;"",1,0)</x:f>
        <x:v>0</x:v>
      </x:c>
      <x:c r="G1663" t="n">
        <x:v>1</x:v>
      </x:c>
      <x:c r="H1663" t="str">
        <x:v>independent physical acceptance</x:v>
      </x:c>
      <x:c r="I1663" t="str">
        <x:f>IF(F1663=1,"PASS","OPEN")</x:f>
        <x:v>OPEN</x:v>
      </x:c>
    </x:row>
    <x:row r="1664">
      <x:c r="B1664" t="str">
        <x:v>PH-VA-221</x:v>
      </x:c>
      <x:c r="C1664" t="str">
        <x:v>PHYSICAL</x:v>
      </x:c>
      <x:c r="D1664" t="str">
        <x:v>event validity</x:v>
      </x:c>
      <x:c r="E1664" t="str">
        <x:v>PH-VA-221</x:v>
      </x:c>
      <x:c r="F1664" t="n">
        <x:f>IF('Event Register'!T227&lt;&gt;"",1,0)</x:f>
        <x:v>0</x:v>
      </x:c>
      <x:c r="G1664" t="n">
        <x:v>1</x:v>
      </x:c>
      <x:c r="H1664" t="str">
        <x:v>independent physical acceptance</x:v>
      </x:c>
      <x:c r="I1664" t="str">
        <x:f>IF(F1664=1,"PASS","OPEN")</x:f>
        <x:v>OPEN</x:v>
      </x:c>
    </x:row>
    <x:row r="1665">
      <x:c r="B1665" t="str">
        <x:v>PH-OU-221</x:v>
      </x:c>
      <x:c r="C1665" t="str">
        <x:v>PHYSICAL</x:v>
      </x:c>
      <x:c r="D1665" t="str">
        <x:v>event outcome</x:v>
      </x:c>
      <x:c r="E1665" t="str">
        <x:v>PH-OU-221</x:v>
      </x:c>
      <x:c r="F1665" t="n">
        <x:f>IF('Event Register'!U227&lt;&gt;"",1,0)</x:f>
        <x:v>0</x:v>
      </x:c>
      <x:c r="G1665" t="n">
        <x:v>1</x:v>
      </x:c>
      <x:c r="H1665" t="str">
        <x:v>independent physical acceptance</x:v>
      </x:c>
      <x:c r="I1665" t="str">
        <x:f>IF(F1665=1,"PASS","OPEN")</x:f>
        <x:v>OPEN</x:v>
      </x:c>
    </x:row>
    <x:row r="1666">
      <x:c r="B1666" t="str">
        <x:v>PH-EX-222</x:v>
      </x:c>
      <x:c r="C1666" t="str">
        <x:v>PHYSICAL</x:v>
      </x:c>
      <x:c r="D1666" t="str">
        <x:v>event execution</x:v>
      </x:c>
      <x:c r="E1666" t="str">
        <x:v>PH-EX-222</x:v>
      </x:c>
      <x:c r="F1666" t="n">
        <x:f>IF('Event Register'!R228&lt;&gt;"",1,0)</x:f>
        <x:v>0</x:v>
      </x:c>
      <x:c r="G1666" t="n">
        <x:v>1</x:v>
      </x:c>
      <x:c r="H1666" t="str">
        <x:v>independent physical acceptance</x:v>
      </x:c>
      <x:c r="I1666" t="str">
        <x:f>IF(F1666=1,"PASS","OPEN")</x:f>
        <x:v>OPEN</x:v>
      </x:c>
    </x:row>
    <x:row r="1667">
      <x:c r="B1667" t="str">
        <x:v>PH-EV-222</x:v>
      </x:c>
      <x:c r="C1667" t="str">
        <x:v>PHYSICAL</x:v>
      </x:c>
      <x:c r="D1667" t="str">
        <x:v>event evidence</x:v>
      </x:c>
      <x:c r="E1667" t="str">
        <x:v>PH-EV-222</x:v>
      </x:c>
      <x:c r="F1667" t="n">
        <x:f>IF('Event Register'!S228&lt;&gt;"",1,0)</x:f>
        <x:v>0</x:v>
      </x:c>
      <x:c r="G1667" t="n">
        <x:v>1</x:v>
      </x:c>
      <x:c r="H1667" t="str">
        <x:v>independent physical acceptance</x:v>
      </x:c>
      <x:c r="I1667" t="str">
        <x:f>IF(F1667=1,"PASS","OPEN")</x:f>
        <x:v>OPEN</x:v>
      </x:c>
    </x:row>
    <x:row r="1668">
      <x:c r="B1668" t="str">
        <x:v>PH-VA-222</x:v>
      </x:c>
      <x:c r="C1668" t="str">
        <x:v>PHYSICAL</x:v>
      </x:c>
      <x:c r="D1668" t="str">
        <x:v>event validity</x:v>
      </x:c>
      <x:c r="E1668" t="str">
        <x:v>PH-VA-222</x:v>
      </x:c>
      <x:c r="F1668" t="n">
        <x:f>IF('Event Register'!T228&lt;&gt;"",1,0)</x:f>
        <x:v>0</x:v>
      </x:c>
      <x:c r="G1668" t="n">
        <x:v>1</x:v>
      </x:c>
      <x:c r="H1668" t="str">
        <x:v>independent physical acceptance</x:v>
      </x:c>
      <x:c r="I1668" t="str">
        <x:f>IF(F1668=1,"PASS","OPEN")</x:f>
        <x:v>OPEN</x:v>
      </x:c>
    </x:row>
    <x:row r="1669">
      <x:c r="B1669" t="str">
        <x:v>PH-OU-222</x:v>
      </x:c>
      <x:c r="C1669" t="str">
        <x:v>PHYSICAL</x:v>
      </x:c>
      <x:c r="D1669" t="str">
        <x:v>event outcome</x:v>
      </x:c>
      <x:c r="E1669" t="str">
        <x:v>PH-OU-222</x:v>
      </x:c>
      <x:c r="F1669" t="n">
        <x:f>IF('Event Register'!U228&lt;&gt;"",1,0)</x:f>
        <x:v>0</x:v>
      </x:c>
      <x:c r="G1669" t="n">
        <x:v>1</x:v>
      </x:c>
      <x:c r="H1669" t="str">
        <x:v>independent physical acceptance</x:v>
      </x:c>
      <x:c r="I1669" t="str">
        <x:f>IF(F1669=1,"PASS","OPEN")</x:f>
        <x:v>OPEN</x:v>
      </x:c>
    </x:row>
    <x:row r="1670">
      <x:c r="B1670" t="str">
        <x:v>PH-EX-223</x:v>
      </x:c>
      <x:c r="C1670" t="str">
        <x:v>PHYSICAL</x:v>
      </x:c>
      <x:c r="D1670" t="str">
        <x:v>event execution</x:v>
      </x:c>
      <x:c r="E1670" t="str">
        <x:v>PH-EX-223</x:v>
      </x:c>
      <x:c r="F1670" t="n">
        <x:f>IF('Event Register'!R229&lt;&gt;"",1,0)</x:f>
        <x:v>0</x:v>
      </x:c>
      <x:c r="G1670" t="n">
        <x:v>1</x:v>
      </x:c>
      <x:c r="H1670" t="str">
        <x:v>independent physical acceptance</x:v>
      </x:c>
      <x:c r="I1670" t="str">
        <x:f>IF(F1670=1,"PASS","OPEN")</x:f>
        <x:v>OPEN</x:v>
      </x:c>
    </x:row>
    <x:row r="1671">
      <x:c r="B1671" t="str">
        <x:v>PH-EV-223</x:v>
      </x:c>
      <x:c r="C1671" t="str">
        <x:v>PHYSICAL</x:v>
      </x:c>
      <x:c r="D1671" t="str">
        <x:v>event evidence</x:v>
      </x:c>
      <x:c r="E1671" t="str">
        <x:v>PH-EV-223</x:v>
      </x:c>
      <x:c r="F1671" t="n">
        <x:f>IF('Event Register'!S229&lt;&gt;"",1,0)</x:f>
        <x:v>0</x:v>
      </x:c>
      <x:c r="G1671" t="n">
        <x:v>1</x:v>
      </x:c>
      <x:c r="H1671" t="str">
        <x:v>independent physical acceptance</x:v>
      </x:c>
      <x:c r="I1671" t="str">
        <x:f>IF(F1671=1,"PASS","OPEN")</x:f>
        <x:v>OPEN</x:v>
      </x:c>
    </x:row>
    <x:row r="1672">
      <x:c r="B1672" t="str">
        <x:v>PH-VA-223</x:v>
      </x:c>
      <x:c r="C1672" t="str">
        <x:v>PHYSICAL</x:v>
      </x:c>
      <x:c r="D1672" t="str">
        <x:v>event validity</x:v>
      </x:c>
      <x:c r="E1672" t="str">
        <x:v>PH-VA-223</x:v>
      </x:c>
      <x:c r="F1672" t="n">
        <x:f>IF('Event Register'!T229&lt;&gt;"",1,0)</x:f>
        <x:v>0</x:v>
      </x:c>
      <x:c r="G1672" t="n">
        <x:v>1</x:v>
      </x:c>
      <x:c r="H1672" t="str">
        <x:v>independent physical acceptance</x:v>
      </x:c>
      <x:c r="I1672" t="str">
        <x:f>IF(F1672=1,"PASS","OPEN")</x:f>
        <x:v>OPEN</x:v>
      </x:c>
    </x:row>
    <x:row r="1673">
      <x:c r="B1673" t="str">
        <x:v>PH-OU-223</x:v>
      </x:c>
      <x:c r="C1673" t="str">
        <x:v>PHYSICAL</x:v>
      </x:c>
      <x:c r="D1673" t="str">
        <x:v>event outcome</x:v>
      </x:c>
      <x:c r="E1673" t="str">
        <x:v>PH-OU-223</x:v>
      </x:c>
      <x:c r="F1673" t="n">
        <x:f>IF('Event Register'!U229&lt;&gt;"",1,0)</x:f>
        <x:v>0</x:v>
      </x:c>
      <x:c r="G1673" t="n">
        <x:v>1</x:v>
      </x:c>
      <x:c r="H1673" t="str">
        <x:v>independent physical acceptance</x:v>
      </x:c>
      <x:c r="I1673" t="str">
        <x:f>IF(F1673=1,"PASS","OPEN")</x:f>
        <x:v>OPEN</x:v>
      </x:c>
    </x:row>
    <x:row r="1674">
      <x:c r="B1674" t="str">
        <x:v>PH-EX-224</x:v>
      </x:c>
      <x:c r="C1674" t="str">
        <x:v>PHYSICAL</x:v>
      </x:c>
      <x:c r="D1674" t="str">
        <x:v>event execution</x:v>
      </x:c>
      <x:c r="E1674" t="str">
        <x:v>PH-EX-224</x:v>
      </x:c>
      <x:c r="F1674" t="n">
        <x:f>IF('Event Register'!R230&lt;&gt;"",1,0)</x:f>
        <x:v>0</x:v>
      </x:c>
      <x:c r="G1674" t="n">
        <x:v>1</x:v>
      </x:c>
      <x:c r="H1674" t="str">
        <x:v>independent physical acceptance</x:v>
      </x:c>
      <x:c r="I1674" t="str">
        <x:f>IF(F1674=1,"PASS","OPEN")</x:f>
        <x:v>OPEN</x:v>
      </x:c>
    </x:row>
    <x:row r="1675">
      <x:c r="B1675" t="str">
        <x:v>PH-EV-224</x:v>
      </x:c>
      <x:c r="C1675" t="str">
        <x:v>PHYSICAL</x:v>
      </x:c>
      <x:c r="D1675" t="str">
        <x:v>event evidence</x:v>
      </x:c>
      <x:c r="E1675" t="str">
        <x:v>PH-EV-224</x:v>
      </x:c>
      <x:c r="F1675" t="n">
        <x:f>IF('Event Register'!S230&lt;&gt;"",1,0)</x:f>
        <x:v>0</x:v>
      </x:c>
      <x:c r="G1675" t="n">
        <x:v>1</x:v>
      </x:c>
      <x:c r="H1675" t="str">
        <x:v>independent physical acceptance</x:v>
      </x:c>
      <x:c r="I1675" t="str">
        <x:f>IF(F1675=1,"PASS","OPEN")</x:f>
        <x:v>OPEN</x:v>
      </x:c>
    </x:row>
    <x:row r="1676">
      <x:c r="B1676" t="str">
        <x:v>PH-VA-224</x:v>
      </x:c>
      <x:c r="C1676" t="str">
        <x:v>PHYSICAL</x:v>
      </x:c>
      <x:c r="D1676" t="str">
        <x:v>event validity</x:v>
      </x:c>
      <x:c r="E1676" t="str">
        <x:v>PH-VA-224</x:v>
      </x:c>
      <x:c r="F1676" t="n">
        <x:f>IF('Event Register'!T230&lt;&gt;"",1,0)</x:f>
        <x:v>0</x:v>
      </x:c>
      <x:c r="G1676" t="n">
        <x:v>1</x:v>
      </x:c>
      <x:c r="H1676" t="str">
        <x:v>independent physical acceptance</x:v>
      </x:c>
      <x:c r="I1676" t="str">
        <x:f>IF(F1676=1,"PASS","OPEN")</x:f>
        <x:v>OPEN</x:v>
      </x:c>
    </x:row>
    <x:row r="1677">
      <x:c r="B1677" t="str">
        <x:v>PH-OU-224</x:v>
      </x:c>
      <x:c r="C1677" t="str">
        <x:v>PHYSICAL</x:v>
      </x:c>
      <x:c r="D1677" t="str">
        <x:v>event outcome</x:v>
      </x:c>
      <x:c r="E1677" t="str">
        <x:v>PH-OU-224</x:v>
      </x:c>
      <x:c r="F1677" t="n">
        <x:f>IF('Event Register'!U230&lt;&gt;"",1,0)</x:f>
        <x:v>0</x:v>
      </x:c>
      <x:c r="G1677" t="n">
        <x:v>1</x:v>
      </x:c>
      <x:c r="H1677" t="str">
        <x:v>independent physical acceptance</x:v>
      </x:c>
      <x:c r="I1677" t="str">
        <x:f>IF(F1677=1,"PASS","OPEN")</x:f>
        <x:v>OPEN</x:v>
      </x:c>
    </x:row>
    <x:row r="1678">
      <x:c r="B1678" t="str">
        <x:v>PH-EX-225</x:v>
      </x:c>
      <x:c r="C1678" t="str">
        <x:v>PHYSICAL</x:v>
      </x:c>
      <x:c r="D1678" t="str">
        <x:v>event execution</x:v>
      </x:c>
      <x:c r="E1678" t="str">
        <x:v>PH-EX-225</x:v>
      </x:c>
      <x:c r="F1678" t="n">
        <x:f>IF('Event Register'!R231&lt;&gt;"",1,0)</x:f>
        <x:v>0</x:v>
      </x:c>
      <x:c r="G1678" t="n">
        <x:v>1</x:v>
      </x:c>
      <x:c r="H1678" t="str">
        <x:v>independent physical acceptance</x:v>
      </x:c>
      <x:c r="I1678" t="str">
        <x:f>IF(F1678=1,"PASS","OPEN")</x:f>
        <x:v>OPEN</x:v>
      </x:c>
    </x:row>
    <x:row r="1679">
      <x:c r="B1679" t="str">
        <x:v>PH-EV-225</x:v>
      </x:c>
      <x:c r="C1679" t="str">
        <x:v>PHYSICAL</x:v>
      </x:c>
      <x:c r="D1679" t="str">
        <x:v>event evidence</x:v>
      </x:c>
      <x:c r="E1679" t="str">
        <x:v>PH-EV-225</x:v>
      </x:c>
      <x:c r="F1679" t="n">
        <x:f>IF('Event Register'!S231&lt;&gt;"",1,0)</x:f>
        <x:v>0</x:v>
      </x:c>
      <x:c r="G1679" t="n">
        <x:v>1</x:v>
      </x:c>
      <x:c r="H1679" t="str">
        <x:v>independent physical acceptance</x:v>
      </x:c>
      <x:c r="I1679" t="str">
        <x:f>IF(F1679=1,"PASS","OPEN")</x:f>
        <x:v>OPEN</x:v>
      </x:c>
    </x:row>
    <x:row r="1680">
      <x:c r="B1680" t="str">
        <x:v>PH-VA-225</x:v>
      </x:c>
      <x:c r="C1680" t="str">
        <x:v>PHYSICAL</x:v>
      </x:c>
      <x:c r="D1680" t="str">
        <x:v>event validity</x:v>
      </x:c>
      <x:c r="E1680" t="str">
        <x:v>PH-VA-225</x:v>
      </x:c>
      <x:c r="F1680" t="n">
        <x:f>IF('Event Register'!T231&lt;&gt;"",1,0)</x:f>
        <x:v>0</x:v>
      </x:c>
      <x:c r="G1680" t="n">
        <x:v>1</x:v>
      </x:c>
      <x:c r="H1680" t="str">
        <x:v>independent physical acceptance</x:v>
      </x:c>
      <x:c r="I1680" t="str">
        <x:f>IF(F1680=1,"PASS","OPEN")</x:f>
        <x:v>OPEN</x:v>
      </x:c>
    </x:row>
    <x:row r="1681">
      <x:c r="B1681" t="str">
        <x:v>PH-OU-225</x:v>
      </x:c>
      <x:c r="C1681" t="str">
        <x:v>PHYSICAL</x:v>
      </x:c>
      <x:c r="D1681" t="str">
        <x:v>event outcome</x:v>
      </x:c>
      <x:c r="E1681" t="str">
        <x:v>PH-OU-225</x:v>
      </x:c>
      <x:c r="F1681" t="n">
        <x:f>IF('Event Register'!U231&lt;&gt;"",1,0)</x:f>
        <x:v>0</x:v>
      </x:c>
      <x:c r="G1681" t="n">
        <x:v>1</x:v>
      </x:c>
      <x:c r="H1681" t="str">
        <x:v>independent physical acceptance</x:v>
      </x:c>
      <x:c r="I1681" t="str">
        <x:f>IF(F1681=1,"PASS","OPEN")</x:f>
        <x:v>OPEN</x:v>
      </x:c>
    </x:row>
    <x:row r="1682">
      <x:c r="B1682" t="str">
        <x:v>PH-EX-226</x:v>
      </x:c>
      <x:c r="C1682" t="str">
        <x:v>PHYSICAL</x:v>
      </x:c>
      <x:c r="D1682" t="str">
        <x:v>event execution</x:v>
      </x:c>
      <x:c r="E1682" t="str">
        <x:v>PH-EX-226</x:v>
      </x:c>
      <x:c r="F1682" t="n">
        <x:f>IF('Event Register'!R232&lt;&gt;"",1,0)</x:f>
        <x:v>0</x:v>
      </x:c>
      <x:c r="G1682" t="n">
        <x:v>1</x:v>
      </x:c>
      <x:c r="H1682" t="str">
        <x:v>independent physical acceptance</x:v>
      </x:c>
      <x:c r="I1682" t="str">
        <x:f>IF(F1682=1,"PASS","OPEN")</x:f>
        <x:v>OPEN</x:v>
      </x:c>
    </x:row>
    <x:row r="1683">
      <x:c r="B1683" t="str">
        <x:v>PH-EV-226</x:v>
      </x:c>
      <x:c r="C1683" t="str">
        <x:v>PHYSICAL</x:v>
      </x:c>
      <x:c r="D1683" t="str">
        <x:v>event evidence</x:v>
      </x:c>
      <x:c r="E1683" t="str">
        <x:v>PH-EV-226</x:v>
      </x:c>
      <x:c r="F1683" t="n">
        <x:f>IF('Event Register'!S232&lt;&gt;"",1,0)</x:f>
        <x:v>0</x:v>
      </x:c>
      <x:c r="G1683" t="n">
        <x:v>1</x:v>
      </x:c>
      <x:c r="H1683" t="str">
        <x:v>independent physical acceptance</x:v>
      </x:c>
      <x:c r="I1683" t="str">
        <x:f>IF(F1683=1,"PASS","OPEN")</x:f>
        <x:v>OPEN</x:v>
      </x:c>
    </x:row>
    <x:row r="1684">
      <x:c r="B1684" t="str">
        <x:v>PH-VA-226</x:v>
      </x:c>
      <x:c r="C1684" t="str">
        <x:v>PHYSICAL</x:v>
      </x:c>
      <x:c r="D1684" t="str">
        <x:v>event validity</x:v>
      </x:c>
      <x:c r="E1684" t="str">
        <x:v>PH-VA-226</x:v>
      </x:c>
      <x:c r="F1684" t="n">
        <x:f>IF('Event Register'!T232&lt;&gt;"",1,0)</x:f>
        <x:v>0</x:v>
      </x:c>
      <x:c r="G1684" t="n">
        <x:v>1</x:v>
      </x:c>
      <x:c r="H1684" t="str">
        <x:v>independent physical acceptance</x:v>
      </x:c>
      <x:c r="I1684" t="str">
        <x:f>IF(F1684=1,"PASS","OPEN")</x:f>
        <x:v>OPEN</x:v>
      </x:c>
    </x:row>
    <x:row r="1685">
      <x:c r="B1685" t="str">
        <x:v>PH-OU-226</x:v>
      </x:c>
      <x:c r="C1685" t="str">
        <x:v>PHYSICAL</x:v>
      </x:c>
      <x:c r="D1685" t="str">
        <x:v>event outcome</x:v>
      </x:c>
      <x:c r="E1685" t="str">
        <x:v>PH-OU-226</x:v>
      </x:c>
      <x:c r="F1685" t="n">
        <x:f>IF('Event Register'!U232&lt;&gt;"",1,0)</x:f>
        <x:v>0</x:v>
      </x:c>
      <x:c r="G1685" t="n">
        <x:v>1</x:v>
      </x:c>
      <x:c r="H1685" t="str">
        <x:v>independent physical acceptance</x:v>
      </x:c>
      <x:c r="I1685" t="str">
        <x:f>IF(F1685=1,"PASS","OPEN")</x:f>
        <x:v>OPEN</x:v>
      </x:c>
    </x:row>
    <x:row r="1686">
      <x:c r="B1686" t="str">
        <x:v>PH-EX-227</x:v>
      </x:c>
      <x:c r="C1686" t="str">
        <x:v>PHYSICAL</x:v>
      </x:c>
      <x:c r="D1686" t="str">
        <x:v>event execution</x:v>
      </x:c>
      <x:c r="E1686" t="str">
        <x:v>PH-EX-227</x:v>
      </x:c>
      <x:c r="F1686" t="n">
        <x:f>IF('Event Register'!R233&lt;&gt;"",1,0)</x:f>
        <x:v>0</x:v>
      </x:c>
      <x:c r="G1686" t="n">
        <x:v>1</x:v>
      </x:c>
      <x:c r="H1686" t="str">
        <x:v>independent physical acceptance</x:v>
      </x:c>
      <x:c r="I1686" t="str">
        <x:f>IF(F1686=1,"PASS","OPEN")</x:f>
        <x:v>OPEN</x:v>
      </x:c>
    </x:row>
    <x:row r="1687">
      <x:c r="B1687" t="str">
        <x:v>PH-EV-227</x:v>
      </x:c>
      <x:c r="C1687" t="str">
        <x:v>PHYSICAL</x:v>
      </x:c>
      <x:c r="D1687" t="str">
        <x:v>event evidence</x:v>
      </x:c>
      <x:c r="E1687" t="str">
        <x:v>PH-EV-227</x:v>
      </x:c>
      <x:c r="F1687" t="n">
        <x:f>IF('Event Register'!S233&lt;&gt;"",1,0)</x:f>
        <x:v>0</x:v>
      </x:c>
      <x:c r="G1687" t="n">
        <x:v>1</x:v>
      </x:c>
      <x:c r="H1687" t="str">
        <x:v>independent physical acceptance</x:v>
      </x:c>
      <x:c r="I1687" t="str">
        <x:f>IF(F1687=1,"PASS","OPEN")</x:f>
        <x:v>OPEN</x:v>
      </x:c>
    </x:row>
    <x:row r="1688">
      <x:c r="B1688" t="str">
        <x:v>PH-VA-227</x:v>
      </x:c>
      <x:c r="C1688" t="str">
        <x:v>PHYSICAL</x:v>
      </x:c>
      <x:c r="D1688" t="str">
        <x:v>event validity</x:v>
      </x:c>
      <x:c r="E1688" t="str">
        <x:v>PH-VA-227</x:v>
      </x:c>
      <x:c r="F1688" t="n">
        <x:f>IF('Event Register'!T233&lt;&gt;"",1,0)</x:f>
        <x:v>0</x:v>
      </x:c>
      <x:c r="G1688" t="n">
        <x:v>1</x:v>
      </x:c>
      <x:c r="H1688" t="str">
        <x:v>independent physical acceptance</x:v>
      </x:c>
      <x:c r="I1688" t="str">
        <x:f>IF(F1688=1,"PASS","OPEN")</x:f>
        <x:v>OPEN</x:v>
      </x:c>
    </x:row>
    <x:row r="1689">
      <x:c r="B1689" t="str">
        <x:v>PH-OU-227</x:v>
      </x:c>
      <x:c r="C1689" t="str">
        <x:v>PHYSICAL</x:v>
      </x:c>
      <x:c r="D1689" t="str">
        <x:v>event outcome</x:v>
      </x:c>
      <x:c r="E1689" t="str">
        <x:v>PH-OU-227</x:v>
      </x:c>
      <x:c r="F1689" t="n">
        <x:f>IF('Event Register'!U233&lt;&gt;"",1,0)</x:f>
        <x:v>0</x:v>
      </x:c>
      <x:c r="G1689" t="n">
        <x:v>1</x:v>
      </x:c>
      <x:c r="H1689" t="str">
        <x:v>independent physical acceptance</x:v>
      </x:c>
      <x:c r="I1689" t="str">
        <x:f>IF(F1689=1,"PASS","OPEN")</x:f>
        <x:v>OPEN</x:v>
      </x:c>
    </x:row>
    <x:row r="1690">
      <x:c r="B1690" t="str">
        <x:v>PH-EX-228</x:v>
      </x:c>
      <x:c r="C1690" t="str">
        <x:v>PHYSICAL</x:v>
      </x:c>
      <x:c r="D1690" t="str">
        <x:v>event execution</x:v>
      </x:c>
      <x:c r="E1690" t="str">
        <x:v>PH-EX-228</x:v>
      </x:c>
      <x:c r="F1690" t="n">
        <x:f>IF('Event Register'!R234&lt;&gt;"",1,0)</x:f>
        <x:v>0</x:v>
      </x:c>
      <x:c r="G1690" t="n">
        <x:v>1</x:v>
      </x:c>
      <x:c r="H1690" t="str">
        <x:v>independent physical acceptance</x:v>
      </x:c>
      <x:c r="I1690" t="str">
        <x:f>IF(F1690=1,"PASS","OPEN")</x:f>
        <x:v>OPEN</x:v>
      </x:c>
    </x:row>
    <x:row r="1691">
      <x:c r="B1691" t="str">
        <x:v>PH-EV-228</x:v>
      </x:c>
      <x:c r="C1691" t="str">
        <x:v>PHYSICAL</x:v>
      </x:c>
      <x:c r="D1691" t="str">
        <x:v>event evidence</x:v>
      </x:c>
      <x:c r="E1691" t="str">
        <x:v>PH-EV-228</x:v>
      </x:c>
      <x:c r="F1691" t="n">
        <x:f>IF('Event Register'!S234&lt;&gt;"",1,0)</x:f>
        <x:v>0</x:v>
      </x:c>
      <x:c r="G1691" t="n">
        <x:v>1</x:v>
      </x:c>
      <x:c r="H1691" t="str">
        <x:v>independent physical acceptance</x:v>
      </x:c>
      <x:c r="I1691" t="str">
        <x:f>IF(F1691=1,"PASS","OPEN")</x:f>
        <x:v>OPEN</x:v>
      </x:c>
    </x:row>
    <x:row r="1692">
      <x:c r="B1692" t="str">
        <x:v>PH-VA-228</x:v>
      </x:c>
      <x:c r="C1692" t="str">
        <x:v>PHYSICAL</x:v>
      </x:c>
      <x:c r="D1692" t="str">
        <x:v>event validity</x:v>
      </x:c>
      <x:c r="E1692" t="str">
        <x:v>PH-VA-228</x:v>
      </x:c>
      <x:c r="F1692" t="n">
        <x:f>IF('Event Register'!T234&lt;&gt;"",1,0)</x:f>
        <x:v>0</x:v>
      </x:c>
      <x:c r="G1692" t="n">
        <x:v>1</x:v>
      </x:c>
      <x:c r="H1692" t="str">
        <x:v>independent physical acceptance</x:v>
      </x:c>
      <x:c r="I1692" t="str">
        <x:f>IF(F1692=1,"PASS","OPEN")</x:f>
        <x:v>OPEN</x:v>
      </x:c>
    </x:row>
    <x:row r="1693">
      <x:c r="B1693" t="str">
        <x:v>PH-OU-228</x:v>
      </x:c>
      <x:c r="C1693" t="str">
        <x:v>PHYSICAL</x:v>
      </x:c>
      <x:c r="D1693" t="str">
        <x:v>event outcome</x:v>
      </x:c>
      <x:c r="E1693" t="str">
        <x:v>PH-OU-228</x:v>
      </x:c>
      <x:c r="F1693" t="n">
        <x:f>IF('Event Register'!U234&lt;&gt;"",1,0)</x:f>
        <x:v>0</x:v>
      </x:c>
      <x:c r="G1693" t="n">
        <x:v>1</x:v>
      </x:c>
      <x:c r="H1693" t="str">
        <x:v>independent physical acceptance</x:v>
      </x:c>
      <x:c r="I1693" t="str">
        <x:f>IF(F1693=1,"PASS","OPEN")</x:f>
        <x:v>OPEN</x:v>
      </x:c>
    </x:row>
    <x:row r="1694">
      <x:c r="B1694" t="str">
        <x:v>PH-EX-229</x:v>
      </x:c>
      <x:c r="C1694" t="str">
        <x:v>PHYSICAL</x:v>
      </x:c>
      <x:c r="D1694" t="str">
        <x:v>event execution</x:v>
      </x:c>
      <x:c r="E1694" t="str">
        <x:v>PH-EX-229</x:v>
      </x:c>
      <x:c r="F1694" t="n">
        <x:f>IF('Event Register'!R235&lt;&gt;"",1,0)</x:f>
        <x:v>0</x:v>
      </x:c>
      <x:c r="G1694" t="n">
        <x:v>1</x:v>
      </x:c>
      <x:c r="H1694" t="str">
        <x:v>independent physical acceptance</x:v>
      </x:c>
      <x:c r="I1694" t="str">
        <x:f>IF(F1694=1,"PASS","OPEN")</x:f>
        <x:v>OPEN</x:v>
      </x:c>
    </x:row>
    <x:row r="1695">
      <x:c r="B1695" t="str">
        <x:v>PH-EV-229</x:v>
      </x:c>
      <x:c r="C1695" t="str">
        <x:v>PHYSICAL</x:v>
      </x:c>
      <x:c r="D1695" t="str">
        <x:v>event evidence</x:v>
      </x:c>
      <x:c r="E1695" t="str">
        <x:v>PH-EV-229</x:v>
      </x:c>
      <x:c r="F1695" t="n">
        <x:f>IF('Event Register'!S235&lt;&gt;"",1,0)</x:f>
        <x:v>0</x:v>
      </x:c>
      <x:c r="G1695" t="n">
        <x:v>1</x:v>
      </x:c>
      <x:c r="H1695" t="str">
        <x:v>independent physical acceptance</x:v>
      </x:c>
      <x:c r="I1695" t="str">
        <x:f>IF(F1695=1,"PASS","OPEN")</x:f>
        <x:v>OPEN</x:v>
      </x:c>
    </x:row>
    <x:row r="1696">
      <x:c r="B1696" t="str">
        <x:v>PH-VA-229</x:v>
      </x:c>
      <x:c r="C1696" t="str">
        <x:v>PHYSICAL</x:v>
      </x:c>
      <x:c r="D1696" t="str">
        <x:v>event validity</x:v>
      </x:c>
      <x:c r="E1696" t="str">
        <x:v>PH-VA-229</x:v>
      </x:c>
      <x:c r="F1696" t="n">
        <x:f>IF('Event Register'!T235&lt;&gt;"",1,0)</x:f>
        <x:v>0</x:v>
      </x:c>
      <x:c r="G1696" t="n">
        <x:v>1</x:v>
      </x:c>
      <x:c r="H1696" t="str">
        <x:v>independent physical acceptance</x:v>
      </x:c>
      <x:c r="I1696" t="str">
        <x:f>IF(F1696=1,"PASS","OPEN")</x:f>
        <x:v>OPEN</x:v>
      </x:c>
    </x:row>
    <x:row r="1697">
      <x:c r="B1697" t="str">
        <x:v>PH-OU-229</x:v>
      </x:c>
      <x:c r="C1697" t="str">
        <x:v>PHYSICAL</x:v>
      </x:c>
      <x:c r="D1697" t="str">
        <x:v>event outcome</x:v>
      </x:c>
      <x:c r="E1697" t="str">
        <x:v>PH-OU-229</x:v>
      </x:c>
      <x:c r="F1697" t="n">
        <x:f>IF('Event Register'!U235&lt;&gt;"",1,0)</x:f>
        <x:v>0</x:v>
      </x:c>
      <x:c r="G1697" t="n">
        <x:v>1</x:v>
      </x:c>
      <x:c r="H1697" t="str">
        <x:v>independent physical acceptance</x:v>
      </x:c>
      <x:c r="I1697" t="str">
        <x:f>IF(F1697=1,"PASS","OPEN")</x:f>
        <x:v>OPEN</x:v>
      </x:c>
    </x:row>
    <x:row r="1698">
      <x:c r="B1698" t="str">
        <x:v>PH-EX-230</x:v>
      </x:c>
      <x:c r="C1698" t="str">
        <x:v>PHYSICAL</x:v>
      </x:c>
      <x:c r="D1698" t="str">
        <x:v>event execution</x:v>
      </x:c>
      <x:c r="E1698" t="str">
        <x:v>PH-EX-230</x:v>
      </x:c>
      <x:c r="F1698" t="n">
        <x:f>IF('Event Register'!R236&lt;&gt;"",1,0)</x:f>
        <x:v>0</x:v>
      </x:c>
      <x:c r="G1698" t="n">
        <x:v>1</x:v>
      </x:c>
      <x:c r="H1698" t="str">
        <x:v>independent physical acceptance</x:v>
      </x:c>
      <x:c r="I1698" t="str">
        <x:f>IF(F1698=1,"PASS","OPEN")</x:f>
        <x:v>OPEN</x:v>
      </x:c>
    </x:row>
    <x:row r="1699">
      <x:c r="B1699" t="str">
        <x:v>PH-EV-230</x:v>
      </x:c>
      <x:c r="C1699" t="str">
        <x:v>PHYSICAL</x:v>
      </x:c>
      <x:c r="D1699" t="str">
        <x:v>event evidence</x:v>
      </x:c>
      <x:c r="E1699" t="str">
        <x:v>PH-EV-230</x:v>
      </x:c>
      <x:c r="F1699" t="n">
        <x:f>IF('Event Register'!S236&lt;&gt;"",1,0)</x:f>
        <x:v>0</x:v>
      </x:c>
      <x:c r="G1699" t="n">
        <x:v>1</x:v>
      </x:c>
      <x:c r="H1699" t="str">
        <x:v>independent physical acceptance</x:v>
      </x:c>
      <x:c r="I1699" t="str">
        <x:f>IF(F1699=1,"PASS","OPEN")</x:f>
        <x:v>OPEN</x:v>
      </x:c>
    </x:row>
    <x:row r="1700">
      <x:c r="B1700" t="str">
        <x:v>PH-VA-230</x:v>
      </x:c>
      <x:c r="C1700" t="str">
        <x:v>PHYSICAL</x:v>
      </x:c>
      <x:c r="D1700" t="str">
        <x:v>event validity</x:v>
      </x:c>
      <x:c r="E1700" t="str">
        <x:v>PH-VA-230</x:v>
      </x:c>
      <x:c r="F1700" t="n">
        <x:f>IF('Event Register'!T236&lt;&gt;"",1,0)</x:f>
        <x:v>0</x:v>
      </x:c>
      <x:c r="G1700" t="n">
        <x:v>1</x:v>
      </x:c>
      <x:c r="H1700" t="str">
        <x:v>independent physical acceptance</x:v>
      </x:c>
      <x:c r="I1700" t="str">
        <x:f>IF(F1700=1,"PASS","OPEN")</x:f>
        <x:v>OPEN</x:v>
      </x:c>
    </x:row>
    <x:row r="1701">
      <x:c r="B1701" t="str">
        <x:v>PH-OU-230</x:v>
      </x:c>
      <x:c r="C1701" t="str">
        <x:v>PHYSICAL</x:v>
      </x:c>
      <x:c r="D1701" t="str">
        <x:v>event outcome</x:v>
      </x:c>
      <x:c r="E1701" t="str">
        <x:v>PH-OU-230</x:v>
      </x:c>
      <x:c r="F1701" t="n">
        <x:f>IF('Event Register'!U236&lt;&gt;"",1,0)</x:f>
        <x:v>0</x:v>
      </x:c>
      <x:c r="G1701" t="n">
        <x:v>1</x:v>
      </x:c>
      <x:c r="H1701" t="str">
        <x:v>independent physical acceptance</x:v>
      </x:c>
      <x:c r="I1701" t="str">
        <x:f>IF(F1701=1,"PASS","OPEN")</x:f>
        <x:v>OPEN</x:v>
      </x:c>
    </x:row>
    <x:row r="1702">
      <x:c r="B1702" t="str">
        <x:v>PH-EX-231</x:v>
      </x:c>
      <x:c r="C1702" t="str">
        <x:v>PHYSICAL</x:v>
      </x:c>
      <x:c r="D1702" t="str">
        <x:v>event execution</x:v>
      </x:c>
      <x:c r="E1702" t="str">
        <x:v>PH-EX-231</x:v>
      </x:c>
      <x:c r="F1702" t="n">
        <x:f>IF('Event Register'!R237&lt;&gt;"",1,0)</x:f>
        <x:v>0</x:v>
      </x:c>
      <x:c r="G1702" t="n">
        <x:v>1</x:v>
      </x:c>
      <x:c r="H1702" t="str">
        <x:v>independent physical acceptance</x:v>
      </x:c>
      <x:c r="I1702" t="str">
        <x:f>IF(F1702=1,"PASS","OPEN")</x:f>
        <x:v>OPEN</x:v>
      </x:c>
    </x:row>
    <x:row r="1703">
      <x:c r="B1703" t="str">
        <x:v>PH-EV-231</x:v>
      </x:c>
      <x:c r="C1703" t="str">
        <x:v>PHYSICAL</x:v>
      </x:c>
      <x:c r="D1703" t="str">
        <x:v>event evidence</x:v>
      </x:c>
      <x:c r="E1703" t="str">
        <x:v>PH-EV-231</x:v>
      </x:c>
      <x:c r="F1703" t="n">
        <x:f>IF('Event Register'!S237&lt;&gt;"",1,0)</x:f>
        <x:v>0</x:v>
      </x:c>
      <x:c r="G1703" t="n">
        <x:v>1</x:v>
      </x:c>
      <x:c r="H1703" t="str">
        <x:v>independent physical acceptance</x:v>
      </x:c>
      <x:c r="I1703" t="str">
        <x:f>IF(F1703=1,"PASS","OPEN")</x:f>
        <x:v>OPEN</x:v>
      </x:c>
    </x:row>
    <x:row r="1704">
      <x:c r="B1704" t="str">
        <x:v>PH-VA-231</x:v>
      </x:c>
      <x:c r="C1704" t="str">
        <x:v>PHYSICAL</x:v>
      </x:c>
      <x:c r="D1704" t="str">
        <x:v>event validity</x:v>
      </x:c>
      <x:c r="E1704" t="str">
        <x:v>PH-VA-231</x:v>
      </x:c>
      <x:c r="F1704" t="n">
        <x:f>IF('Event Register'!T237&lt;&gt;"",1,0)</x:f>
        <x:v>0</x:v>
      </x:c>
      <x:c r="G1704" t="n">
        <x:v>1</x:v>
      </x:c>
      <x:c r="H1704" t="str">
        <x:v>independent physical acceptance</x:v>
      </x:c>
      <x:c r="I1704" t="str">
        <x:f>IF(F1704=1,"PASS","OPEN")</x:f>
        <x:v>OPEN</x:v>
      </x:c>
    </x:row>
    <x:row r="1705">
      <x:c r="B1705" t="str">
        <x:v>PH-OU-231</x:v>
      </x:c>
      <x:c r="C1705" t="str">
        <x:v>PHYSICAL</x:v>
      </x:c>
      <x:c r="D1705" t="str">
        <x:v>event outcome</x:v>
      </x:c>
      <x:c r="E1705" t="str">
        <x:v>PH-OU-231</x:v>
      </x:c>
      <x:c r="F1705" t="n">
        <x:f>IF('Event Register'!U237&lt;&gt;"",1,0)</x:f>
        <x:v>0</x:v>
      </x:c>
      <x:c r="G1705" t="n">
        <x:v>1</x:v>
      </x:c>
      <x:c r="H1705" t="str">
        <x:v>independent physical acceptance</x:v>
      </x:c>
      <x:c r="I1705" t="str">
        <x:f>IF(F1705=1,"PASS","OPEN")</x:f>
        <x:v>OPEN</x:v>
      </x:c>
    </x:row>
    <x:row r="1706">
      <x:c r="B1706" t="str">
        <x:v>PH-EX-232</x:v>
      </x:c>
      <x:c r="C1706" t="str">
        <x:v>PHYSICAL</x:v>
      </x:c>
      <x:c r="D1706" t="str">
        <x:v>event execution</x:v>
      </x:c>
      <x:c r="E1706" t="str">
        <x:v>PH-EX-232</x:v>
      </x:c>
      <x:c r="F1706" t="n">
        <x:f>IF('Event Register'!R238&lt;&gt;"",1,0)</x:f>
        <x:v>0</x:v>
      </x:c>
      <x:c r="G1706" t="n">
        <x:v>1</x:v>
      </x:c>
      <x:c r="H1706" t="str">
        <x:v>independent physical acceptance</x:v>
      </x:c>
      <x:c r="I1706" t="str">
        <x:f>IF(F1706=1,"PASS","OPEN")</x:f>
        <x:v>OPEN</x:v>
      </x:c>
    </x:row>
    <x:row r="1707">
      <x:c r="B1707" t="str">
        <x:v>PH-EV-232</x:v>
      </x:c>
      <x:c r="C1707" t="str">
        <x:v>PHYSICAL</x:v>
      </x:c>
      <x:c r="D1707" t="str">
        <x:v>event evidence</x:v>
      </x:c>
      <x:c r="E1707" t="str">
        <x:v>PH-EV-232</x:v>
      </x:c>
      <x:c r="F1707" t="n">
        <x:f>IF('Event Register'!S238&lt;&gt;"",1,0)</x:f>
        <x:v>0</x:v>
      </x:c>
      <x:c r="G1707" t="n">
        <x:v>1</x:v>
      </x:c>
      <x:c r="H1707" t="str">
        <x:v>independent physical acceptance</x:v>
      </x:c>
      <x:c r="I1707" t="str">
        <x:f>IF(F1707=1,"PASS","OPEN")</x:f>
        <x:v>OPEN</x:v>
      </x:c>
    </x:row>
    <x:row r="1708">
      <x:c r="B1708" t="str">
        <x:v>PH-VA-232</x:v>
      </x:c>
      <x:c r="C1708" t="str">
        <x:v>PHYSICAL</x:v>
      </x:c>
      <x:c r="D1708" t="str">
        <x:v>event validity</x:v>
      </x:c>
      <x:c r="E1708" t="str">
        <x:v>PH-VA-232</x:v>
      </x:c>
      <x:c r="F1708" t="n">
        <x:f>IF('Event Register'!T238&lt;&gt;"",1,0)</x:f>
        <x:v>0</x:v>
      </x:c>
      <x:c r="G1708" t="n">
        <x:v>1</x:v>
      </x:c>
      <x:c r="H1708" t="str">
        <x:v>independent physical acceptance</x:v>
      </x:c>
      <x:c r="I1708" t="str">
        <x:f>IF(F1708=1,"PASS","OPEN")</x:f>
        <x:v>OPEN</x:v>
      </x:c>
    </x:row>
    <x:row r="1709">
      <x:c r="B1709" t="str">
        <x:v>PH-OU-232</x:v>
      </x:c>
      <x:c r="C1709" t="str">
        <x:v>PHYSICAL</x:v>
      </x:c>
      <x:c r="D1709" t="str">
        <x:v>event outcome</x:v>
      </x:c>
      <x:c r="E1709" t="str">
        <x:v>PH-OU-232</x:v>
      </x:c>
      <x:c r="F1709" t="n">
        <x:f>IF('Event Register'!U238&lt;&gt;"",1,0)</x:f>
        <x:v>0</x:v>
      </x:c>
      <x:c r="G1709" t="n">
        <x:v>1</x:v>
      </x:c>
      <x:c r="H1709" t="str">
        <x:v>independent physical acceptance</x:v>
      </x:c>
      <x:c r="I1709" t="str">
        <x:f>IF(F1709=1,"PASS","OPEN")</x:f>
        <x:v>OPEN</x:v>
      </x:c>
    </x:row>
    <x:row r="1710">
      <x:c r="B1710" t="str">
        <x:v>PH-EX-233</x:v>
      </x:c>
      <x:c r="C1710" t="str">
        <x:v>PHYSICAL</x:v>
      </x:c>
      <x:c r="D1710" t="str">
        <x:v>event execution</x:v>
      </x:c>
      <x:c r="E1710" t="str">
        <x:v>PH-EX-233</x:v>
      </x:c>
      <x:c r="F1710" t="n">
        <x:f>IF('Event Register'!R239&lt;&gt;"",1,0)</x:f>
        <x:v>0</x:v>
      </x:c>
      <x:c r="G1710" t="n">
        <x:v>1</x:v>
      </x:c>
      <x:c r="H1710" t="str">
        <x:v>independent physical acceptance</x:v>
      </x:c>
      <x:c r="I1710" t="str">
        <x:f>IF(F1710=1,"PASS","OPEN")</x:f>
        <x:v>OPEN</x:v>
      </x:c>
    </x:row>
    <x:row r="1711">
      <x:c r="B1711" t="str">
        <x:v>PH-EV-233</x:v>
      </x:c>
      <x:c r="C1711" t="str">
        <x:v>PHYSICAL</x:v>
      </x:c>
      <x:c r="D1711" t="str">
        <x:v>event evidence</x:v>
      </x:c>
      <x:c r="E1711" t="str">
        <x:v>PH-EV-233</x:v>
      </x:c>
      <x:c r="F1711" t="n">
        <x:f>IF('Event Register'!S239&lt;&gt;"",1,0)</x:f>
        <x:v>0</x:v>
      </x:c>
      <x:c r="G1711" t="n">
        <x:v>1</x:v>
      </x:c>
      <x:c r="H1711" t="str">
        <x:v>independent physical acceptance</x:v>
      </x:c>
      <x:c r="I1711" t="str">
        <x:f>IF(F1711=1,"PASS","OPEN")</x:f>
        <x:v>OPEN</x:v>
      </x:c>
    </x:row>
    <x:row r="1712">
      <x:c r="B1712" t="str">
        <x:v>PH-VA-233</x:v>
      </x:c>
      <x:c r="C1712" t="str">
        <x:v>PHYSICAL</x:v>
      </x:c>
      <x:c r="D1712" t="str">
        <x:v>event validity</x:v>
      </x:c>
      <x:c r="E1712" t="str">
        <x:v>PH-VA-233</x:v>
      </x:c>
      <x:c r="F1712" t="n">
        <x:f>IF('Event Register'!T239&lt;&gt;"",1,0)</x:f>
        <x:v>0</x:v>
      </x:c>
      <x:c r="G1712" t="n">
        <x:v>1</x:v>
      </x:c>
      <x:c r="H1712" t="str">
        <x:v>independent physical acceptance</x:v>
      </x:c>
      <x:c r="I1712" t="str">
        <x:f>IF(F1712=1,"PASS","OPEN")</x:f>
        <x:v>OPEN</x:v>
      </x:c>
    </x:row>
    <x:row r="1713">
      <x:c r="B1713" t="str">
        <x:v>PH-OU-233</x:v>
      </x:c>
      <x:c r="C1713" t="str">
        <x:v>PHYSICAL</x:v>
      </x:c>
      <x:c r="D1713" t="str">
        <x:v>event outcome</x:v>
      </x:c>
      <x:c r="E1713" t="str">
        <x:v>PH-OU-233</x:v>
      </x:c>
      <x:c r="F1713" t="n">
        <x:f>IF('Event Register'!U239&lt;&gt;"",1,0)</x:f>
        <x:v>0</x:v>
      </x:c>
      <x:c r="G1713" t="n">
        <x:v>1</x:v>
      </x:c>
      <x:c r="H1713" t="str">
        <x:v>independent physical acceptance</x:v>
      </x:c>
      <x:c r="I1713" t="str">
        <x:f>IF(F1713=1,"PASS","OPEN")</x:f>
        <x:v>OPEN</x:v>
      </x:c>
    </x:row>
    <x:row r="1714">
      <x:c r="B1714" t="str">
        <x:v>PH-EX-234</x:v>
      </x:c>
      <x:c r="C1714" t="str">
        <x:v>PHYSICAL</x:v>
      </x:c>
      <x:c r="D1714" t="str">
        <x:v>event execution</x:v>
      </x:c>
      <x:c r="E1714" t="str">
        <x:v>PH-EX-234</x:v>
      </x:c>
      <x:c r="F1714" t="n">
        <x:f>IF('Event Register'!R240&lt;&gt;"",1,0)</x:f>
        <x:v>0</x:v>
      </x:c>
      <x:c r="G1714" t="n">
        <x:v>1</x:v>
      </x:c>
      <x:c r="H1714" t="str">
        <x:v>independent physical acceptance</x:v>
      </x:c>
      <x:c r="I1714" t="str">
        <x:f>IF(F1714=1,"PASS","OPEN")</x:f>
        <x:v>OPEN</x:v>
      </x:c>
    </x:row>
    <x:row r="1715">
      <x:c r="B1715" t="str">
        <x:v>PH-EV-234</x:v>
      </x:c>
      <x:c r="C1715" t="str">
        <x:v>PHYSICAL</x:v>
      </x:c>
      <x:c r="D1715" t="str">
        <x:v>event evidence</x:v>
      </x:c>
      <x:c r="E1715" t="str">
        <x:v>PH-EV-234</x:v>
      </x:c>
      <x:c r="F1715" t="n">
        <x:f>IF('Event Register'!S240&lt;&gt;"",1,0)</x:f>
        <x:v>0</x:v>
      </x:c>
      <x:c r="G1715" t="n">
        <x:v>1</x:v>
      </x:c>
      <x:c r="H1715" t="str">
        <x:v>independent physical acceptance</x:v>
      </x:c>
      <x:c r="I1715" t="str">
        <x:f>IF(F1715=1,"PASS","OPEN")</x:f>
        <x:v>OPEN</x:v>
      </x:c>
    </x:row>
    <x:row r="1716">
      <x:c r="B1716" t="str">
        <x:v>PH-VA-234</x:v>
      </x:c>
      <x:c r="C1716" t="str">
        <x:v>PHYSICAL</x:v>
      </x:c>
      <x:c r="D1716" t="str">
        <x:v>event validity</x:v>
      </x:c>
      <x:c r="E1716" t="str">
        <x:v>PH-VA-234</x:v>
      </x:c>
      <x:c r="F1716" t="n">
        <x:f>IF('Event Register'!T240&lt;&gt;"",1,0)</x:f>
        <x:v>0</x:v>
      </x:c>
      <x:c r="G1716" t="n">
        <x:v>1</x:v>
      </x:c>
      <x:c r="H1716" t="str">
        <x:v>independent physical acceptance</x:v>
      </x:c>
      <x:c r="I1716" t="str">
        <x:f>IF(F1716=1,"PASS","OPEN")</x:f>
        <x:v>OPEN</x:v>
      </x:c>
    </x:row>
    <x:row r="1717">
      <x:c r="B1717" t="str">
        <x:v>PH-OU-234</x:v>
      </x:c>
      <x:c r="C1717" t="str">
        <x:v>PHYSICAL</x:v>
      </x:c>
      <x:c r="D1717" t="str">
        <x:v>event outcome</x:v>
      </x:c>
      <x:c r="E1717" t="str">
        <x:v>PH-OU-234</x:v>
      </x:c>
      <x:c r="F1717" t="n">
        <x:f>IF('Event Register'!U240&lt;&gt;"",1,0)</x:f>
        <x:v>0</x:v>
      </x:c>
      <x:c r="G1717" t="n">
        <x:v>1</x:v>
      </x:c>
      <x:c r="H1717" t="str">
        <x:v>independent physical acceptance</x:v>
      </x:c>
      <x:c r="I1717" t="str">
        <x:f>IF(F1717=1,"PASS","OPEN")</x:f>
        <x:v>OPEN</x:v>
      </x:c>
    </x:row>
    <x:row r="1718">
      <x:c r="B1718" t="str">
        <x:v>PH-EX-235</x:v>
      </x:c>
      <x:c r="C1718" t="str">
        <x:v>PHYSICAL</x:v>
      </x:c>
      <x:c r="D1718" t="str">
        <x:v>event execution</x:v>
      </x:c>
      <x:c r="E1718" t="str">
        <x:v>PH-EX-235</x:v>
      </x:c>
      <x:c r="F1718" t="n">
        <x:f>IF('Event Register'!R241&lt;&gt;"",1,0)</x:f>
        <x:v>0</x:v>
      </x:c>
      <x:c r="G1718" t="n">
        <x:v>1</x:v>
      </x:c>
      <x:c r="H1718" t="str">
        <x:v>independent physical acceptance</x:v>
      </x:c>
      <x:c r="I1718" t="str">
        <x:f>IF(F1718=1,"PASS","OPEN")</x:f>
        <x:v>OPEN</x:v>
      </x:c>
    </x:row>
    <x:row r="1719">
      <x:c r="B1719" t="str">
        <x:v>PH-EV-235</x:v>
      </x:c>
      <x:c r="C1719" t="str">
        <x:v>PHYSICAL</x:v>
      </x:c>
      <x:c r="D1719" t="str">
        <x:v>event evidence</x:v>
      </x:c>
      <x:c r="E1719" t="str">
        <x:v>PH-EV-235</x:v>
      </x:c>
      <x:c r="F1719" t="n">
        <x:f>IF('Event Register'!S241&lt;&gt;"",1,0)</x:f>
        <x:v>0</x:v>
      </x:c>
      <x:c r="G1719" t="n">
        <x:v>1</x:v>
      </x:c>
      <x:c r="H1719" t="str">
        <x:v>independent physical acceptance</x:v>
      </x:c>
      <x:c r="I1719" t="str">
        <x:f>IF(F1719=1,"PASS","OPEN")</x:f>
        <x:v>OPEN</x:v>
      </x:c>
    </x:row>
    <x:row r="1720">
      <x:c r="B1720" t="str">
        <x:v>PH-VA-235</x:v>
      </x:c>
      <x:c r="C1720" t="str">
        <x:v>PHYSICAL</x:v>
      </x:c>
      <x:c r="D1720" t="str">
        <x:v>event validity</x:v>
      </x:c>
      <x:c r="E1720" t="str">
        <x:v>PH-VA-235</x:v>
      </x:c>
      <x:c r="F1720" t="n">
        <x:f>IF('Event Register'!T241&lt;&gt;"",1,0)</x:f>
        <x:v>0</x:v>
      </x:c>
      <x:c r="G1720" t="n">
        <x:v>1</x:v>
      </x:c>
      <x:c r="H1720" t="str">
        <x:v>independent physical acceptance</x:v>
      </x:c>
      <x:c r="I1720" t="str">
        <x:f>IF(F1720=1,"PASS","OPEN")</x:f>
        <x:v>OPEN</x:v>
      </x:c>
    </x:row>
    <x:row r="1721">
      <x:c r="B1721" t="str">
        <x:v>PH-OU-235</x:v>
      </x:c>
      <x:c r="C1721" t="str">
        <x:v>PHYSICAL</x:v>
      </x:c>
      <x:c r="D1721" t="str">
        <x:v>event outcome</x:v>
      </x:c>
      <x:c r="E1721" t="str">
        <x:v>PH-OU-235</x:v>
      </x:c>
      <x:c r="F1721" t="n">
        <x:f>IF('Event Register'!U241&lt;&gt;"",1,0)</x:f>
        <x:v>0</x:v>
      </x:c>
      <x:c r="G1721" t="n">
        <x:v>1</x:v>
      </x:c>
      <x:c r="H1721" t="str">
        <x:v>independent physical acceptance</x:v>
      </x:c>
      <x:c r="I1721" t="str">
        <x:f>IF(F1721=1,"PASS","OPEN")</x:f>
        <x:v>OPEN</x:v>
      </x:c>
    </x:row>
    <x:row r="1722">
      <x:c r="B1722" t="str">
        <x:v>PH-EX-236</x:v>
      </x:c>
      <x:c r="C1722" t="str">
        <x:v>PHYSICAL</x:v>
      </x:c>
      <x:c r="D1722" t="str">
        <x:v>event execution</x:v>
      </x:c>
      <x:c r="E1722" t="str">
        <x:v>PH-EX-236</x:v>
      </x:c>
      <x:c r="F1722" t="n">
        <x:f>IF('Event Register'!R242&lt;&gt;"",1,0)</x:f>
        <x:v>0</x:v>
      </x:c>
      <x:c r="G1722" t="n">
        <x:v>1</x:v>
      </x:c>
      <x:c r="H1722" t="str">
        <x:v>independent physical acceptance</x:v>
      </x:c>
      <x:c r="I1722" t="str">
        <x:f>IF(F1722=1,"PASS","OPEN")</x:f>
        <x:v>OPEN</x:v>
      </x:c>
    </x:row>
    <x:row r="1723">
      <x:c r="B1723" t="str">
        <x:v>PH-EV-236</x:v>
      </x:c>
      <x:c r="C1723" t="str">
        <x:v>PHYSICAL</x:v>
      </x:c>
      <x:c r="D1723" t="str">
        <x:v>event evidence</x:v>
      </x:c>
      <x:c r="E1723" t="str">
        <x:v>PH-EV-236</x:v>
      </x:c>
      <x:c r="F1723" t="n">
        <x:f>IF('Event Register'!S242&lt;&gt;"",1,0)</x:f>
        <x:v>0</x:v>
      </x:c>
      <x:c r="G1723" t="n">
        <x:v>1</x:v>
      </x:c>
      <x:c r="H1723" t="str">
        <x:v>independent physical acceptance</x:v>
      </x:c>
      <x:c r="I1723" t="str">
        <x:f>IF(F1723=1,"PASS","OPEN")</x:f>
        <x:v>OPEN</x:v>
      </x:c>
    </x:row>
    <x:row r="1724">
      <x:c r="B1724" t="str">
        <x:v>PH-VA-236</x:v>
      </x:c>
      <x:c r="C1724" t="str">
        <x:v>PHYSICAL</x:v>
      </x:c>
      <x:c r="D1724" t="str">
        <x:v>event validity</x:v>
      </x:c>
      <x:c r="E1724" t="str">
        <x:v>PH-VA-236</x:v>
      </x:c>
      <x:c r="F1724" t="n">
        <x:f>IF('Event Register'!T242&lt;&gt;"",1,0)</x:f>
        <x:v>0</x:v>
      </x:c>
      <x:c r="G1724" t="n">
        <x:v>1</x:v>
      </x:c>
      <x:c r="H1724" t="str">
        <x:v>independent physical acceptance</x:v>
      </x:c>
      <x:c r="I1724" t="str">
        <x:f>IF(F1724=1,"PASS","OPEN")</x:f>
        <x:v>OPEN</x:v>
      </x:c>
    </x:row>
    <x:row r="1725">
      <x:c r="B1725" t="str">
        <x:v>PH-OU-236</x:v>
      </x:c>
      <x:c r="C1725" t="str">
        <x:v>PHYSICAL</x:v>
      </x:c>
      <x:c r="D1725" t="str">
        <x:v>event outcome</x:v>
      </x:c>
      <x:c r="E1725" t="str">
        <x:v>PH-OU-236</x:v>
      </x:c>
      <x:c r="F1725" t="n">
        <x:f>IF('Event Register'!U242&lt;&gt;"",1,0)</x:f>
        <x:v>0</x:v>
      </x:c>
      <x:c r="G1725" t="n">
        <x:v>1</x:v>
      </x:c>
      <x:c r="H1725" t="str">
        <x:v>independent physical acceptance</x:v>
      </x:c>
      <x:c r="I1725" t="str">
        <x:f>IF(F1725=1,"PASS","OPEN")</x:f>
        <x:v>OPEN</x:v>
      </x:c>
    </x:row>
    <x:row r="1726">
      <x:c r="B1726" t="str">
        <x:v>PH-EX-237</x:v>
      </x:c>
      <x:c r="C1726" t="str">
        <x:v>PHYSICAL</x:v>
      </x:c>
      <x:c r="D1726" t="str">
        <x:v>event execution</x:v>
      </x:c>
      <x:c r="E1726" t="str">
        <x:v>PH-EX-237</x:v>
      </x:c>
      <x:c r="F1726" t="n">
        <x:f>IF('Event Register'!R243&lt;&gt;"",1,0)</x:f>
        <x:v>0</x:v>
      </x:c>
      <x:c r="G1726" t="n">
        <x:v>1</x:v>
      </x:c>
      <x:c r="H1726" t="str">
        <x:v>independent physical acceptance</x:v>
      </x:c>
      <x:c r="I1726" t="str">
        <x:f>IF(F1726=1,"PASS","OPEN")</x:f>
        <x:v>OPEN</x:v>
      </x:c>
    </x:row>
    <x:row r="1727">
      <x:c r="B1727" t="str">
        <x:v>PH-EV-237</x:v>
      </x:c>
      <x:c r="C1727" t="str">
        <x:v>PHYSICAL</x:v>
      </x:c>
      <x:c r="D1727" t="str">
        <x:v>event evidence</x:v>
      </x:c>
      <x:c r="E1727" t="str">
        <x:v>PH-EV-237</x:v>
      </x:c>
      <x:c r="F1727" t="n">
        <x:f>IF('Event Register'!S243&lt;&gt;"",1,0)</x:f>
        <x:v>0</x:v>
      </x:c>
      <x:c r="G1727" t="n">
        <x:v>1</x:v>
      </x:c>
      <x:c r="H1727" t="str">
        <x:v>independent physical acceptance</x:v>
      </x:c>
      <x:c r="I1727" t="str">
        <x:f>IF(F1727=1,"PASS","OPEN")</x:f>
        <x:v>OPEN</x:v>
      </x:c>
    </x:row>
    <x:row r="1728">
      <x:c r="B1728" t="str">
        <x:v>PH-VA-237</x:v>
      </x:c>
      <x:c r="C1728" t="str">
        <x:v>PHYSICAL</x:v>
      </x:c>
      <x:c r="D1728" t="str">
        <x:v>event validity</x:v>
      </x:c>
      <x:c r="E1728" t="str">
        <x:v>PH-VA-237</x:v>
      </x:c>
      <x:c r="F1728" t="n">
        <x:f>IF('Event Register'!T243&lt;&gt;"",1,0)</x:f>
        <x:v>0</x:v>
      </x:c>
      <x:c r="G1728" t="n">
        <x:v>1</x:v>
      </x:c>
      <x:c r="H1728" t="str">
        <x:v>independent physical acceptance</x:v>
      </x:c>
      <x:c r="I1728" t="str">
        <x:f>IF(F1728=1,"PASS","OPEN")</x:f>
        <x:v>OPEN</x:v>
      </x:c>
    </x:row>
    <x:row r="1729">
      <x:c r="B1729" t="str">
        <x:v>PH-OU-237</x:v>
      </x:c>
      <x:c r="C1729" t="str">
        <x:v>PHYSICAL</x:v>
      </x:c>
      <x:c r="D1729" t="str">
        <x:v>event outcome</x:v>
      </x:c>
      <x:c r="E1729" t="str">
        <x:v>PH-OU-237</x:v>
      </x:c>
      <x:c r="F1729" t="n">
        <x:f>IF('Event Register'!U243&lt;&gt;"",1,0)</x:f>
        <x:v>0</x:v>
      </x:c>
      <x:c r="G1729" t="n">
        <x:v>1</x:v>
      </x:c>
      <x:c r="H1729" t="str">
        <x:v>independent physical acceptance</x:v>
      </x:c>
      <x:c r="I1729" t="str">
        <x:f>IF(F1729=1,"PASS","OPEN")</x:f>
        <x:v>OPEN</x:v>
      </x:c>
    </x:row>
    <x:row r="1730">
      <x:c r="B1730" t="str">
        <x:v>PH-EX-238</x:v>
      </x:c>
      <x:c r="C1730" t="str">
        <x:v>PHYSICAL</x:v>
      </x:c>
      <x:c r="D1730" t="str">
        <x:v>event execution</x:v>
      </x:c>
      <x:c r="E1730" t="str">
        <x:v>PH-EX-238</x:v>
      </x:c>
      <x:c r="F1730" t="n">
        <x:f>IF('Event Register'!R244&lt;&gt;"",1,0)</x:f>
        <x:v>0</x:v>
      </x:c>
      <x:c r="G1730" t="n">
        <x:v>1</x:v>
      </x:c>
      <x:c r="H1730" t="str">
        <x:v>independent physical acceptance</x:v>
      </x:c>
      <x:c r="I1730" t="str">
        <x:f>IF(F1730=1,"PASS","OPEN")</x:f>
        <x:v>OPEN</x:v>
      </x:c>
    </x:row>
    <x:row r="1731">
      <x:c r="B1731" t="str">
        <x:v>PH-EV-238</x:v>
      </x:c>
      <x:c r="C1731" t="str">
        <x:v>PHYSICAL</x:v>
      </x:c>
      <x:c r="D1731" t="str">
        <x:v>event evidence</x:v>
      </x:c>
      <x:c r="E1731" t="str">
        <x:v>PH-EV-238</x:v>
      </x:c>
      <x:c r="F1731" t="n">
        <x:f>IF('Event Register'!S244&lt;&gt;"",1,0)</x:f>
        <x:v>0</x:v>
      </x:c>
      <x:c r="G1731" t="n">
        <x:v>1</x:v>
      </x:c>
      <x:c r="H1731" t="str">
        <x:v>independent physical acceptance</x:v>
      </x:c>
      <x:c r="I1731" t="str">
        <x:f>IF(F1731=1,"PASS","OPEN")</x:f>
        <x:v>OPEN</x:v>
      </x:c>
    </x:row>
    <x:row r="1732">
      <x:c r="B1732" t="str">
        <x:v>PH-VA-238</x:v>
      </x:c>
      <x:c r="C1732" t="str">
        <x:v>PHYSICAL</x:v>
      </x:c>
      <x:c r="D1732" t="str">
        <x:v>event validity</x:v>
      </x:c>
      <x:c r="E1732" t="str">
        <x:v>PH-VA-238</x:v>
      </x:c>
      <x:c r="F1732" t="n">
        <x:f>IF('Event Register'!T244&lt;&gt;"",1,0)</x:f>
        <x:v>0</x:v>
      </x:c>
      <x:c r="G1732" t="n">
        <x:v>1</x:v>
      </x:c>
      <x:c r="H1732" t="str">
        <x:v>independent physical acceptance</x:v>
      </x:c>
      <x:c r="I1732" t="str">
        <x:f>IF(F1732=1,"PASS","OPEN")</x:f>
        <x:v>OPEN</x:v>
      </x:c>
    </x:row>
    <x:row r="1733">
      <x:c r="B1733" t="str">
        <x:v>PH-OU-238</x:v>
      </x:c>
      <x:c r="C1733" t="str">
        <x:v>PHYSICAL</x:v>
      </x:c>
      <x:c r="D1733" t="str">
        <x:v>event outcome</x:v>
      </x:c>
      <x:c r="E1733" t="str">
        <x:v>PH-OU-238</x:v>
      </x:c>
      <x:c r="F1733" t="n">
        <x:f>IF('Event Register'!U244&lt;&gt;"",1,0)</x:f>
        <x:v>0</x:v>
      </x:c>
      <x:c r="G1733" t="n">
        <x:v>1</x:v>
      </x:c>
      <x:c r="H1733" t="str">
        <x:v>independent physical acceptance</x:v>
      </x:c>
      <x:c r="I1733" t="str">
        <x:f>IF(F1733=1,"PASS","OPEN")</x:f>
        <x:v>OPEN</x:v>
      </x:c>
    </x:row>
    <x:row r="1734">
      <x:c r="B1734" t="str">
        <x:v>PH-EX-239</x:v>
      </x:c>
      <x:c r="C1734" t="str">
        <x:v>PHYSICAL</x:v>
      </x:c>
      <x:c r="D1734" t="str">
        <x:v>event execution</x:v>
      </x:c>
      <x:c r="E1734" t="str">
        <x:v>PH-EX-239</x:v>
      </x:c>
      <x:c r="F1734" t="n">
        <x:f>IF('Event Register'!R245&lt;&gt;"",1,0)</x:f>
        <x:v>0</x:v>
      </x:c>
      <x:c r="G1734" t="n">
        <x:v>1</x:v>
      </x:c>
      <x:c r="H1734" t="str">
        <x:v>independent physical acceptance</x:v>
      </x:c>
      <x:c r="I1734" t="str">
        <x:f>IF(F1734=1,"PASS","OPEN")</x:f>
        <x:v>OPEN</x:v>
      </x:c>
    </x:row>
    <x:row r="1735">
      <x:c r="B1735" t="str">
        <x:v>PH-EV-239</x:v>
      </x:c>
      <x:c r="C1735" t="str">
        <x:v>PHYSICAL</x:v>
      </x:c>
      <x:c r="D1735" t="str">
        <x:v>event evidence</x:v>
      </x:c>
      <x:c r="E1735" t="str">
        <x:v>PH-EV-239</x:v>
      </x:c>
      <x:c r="F1735" t="n">
        <x:f>IF('Event Register'!S245&lt;&gt;"",1,0)</x:f>
        <x:v>0</x:v>
      </x:c>
      <x:c r="G1735" t="n">
        <x:v>1</x:v>
      </x:c>
      <x:c r="H1735" t="str">
        <x:v>independent physical acceptance</x:v>
      </x:c>
      <x:c r="I1735" t="str">
        <x:f>IF(F1735=1,"PASS","OPEN")</x:f>
        <x:v>OPEN</x:v>
      </x:c>
    </x:row>
    <x:row r="1736">
      <x:c r="B1736" t="str">
        <x:v>PH-VA-239</x:v>
      </x:c>
      <x:c r="C1736" t="str">
        <x:v>PHYSICAL</x:v>
      </x:c>
      <x:c r="D1736" t="str">
        <x:v>event validity</x:v>
      </x:c>
      <x:c r="E1736" t="str">
        <x:v>PH-VA-239</x:v>
      </x:c>
      <x:c r="F1736" t="n">
        <x:f>IF('Event Register'!T245&lt;&gt;"",1,0)</x:f>
        <x:v>0</x:v>
      </x:c>
      <x:c r="G1736" t="n">
        <x:v>1</x:v>
      </x:c>
      <x:c r="H1736" t="str">
        <x:v>independent physical acceptance</x:v>
      </x:c>
      <x:c r="I1736" t="str">
        <x:f>IF(F1736=1,"PASS","OPEN")</x:f>
        <x:v>OPEN</x:v>
      </x:c>
    </x:row>
    <x:row r="1737">
      <x:c r="B1737" t="str">
        <x:v>PH-OU-239</x:v>
      </x:c>
      <x:c r="C1737" t="str">
        <x:v>PHYSICAL</x:v>
      </x:c>
      <x:c r="D1737" t="str">
        <x:v>event outcome</x:v>
      </x:c>
      <x:c r="E1737" t="str">
        <x:v>PH-OU-239</x:v>
      </x:c>
      <x:c r="F1737" t="n">
        <x:f>IF('Event Register'!U245&lt;&gt;"",1,0)</x:f>
        <x:v>0</x:v>
      </x:c>
      <x:c r="G1737" t="n">
        <x:v>1</x:v>
      </x:c>
      <x:c r="H1737" t="str">
        <x:v>independent physical acceptance</x:v>
      </x:c>
      <x:c r="I1737" t="str">
        <x:f>IF(F1737=1,"PASS","OPEN")</x:f>
        <x:v>OPEN</x:v>
      </x:c>
    </x:row>
    <x:row r="1738">
      <x:c r="B1738" t="str">
        <x:v>PH-EX-240</x:v>
      </x:c>
      <x:c r="C1738" t="str">
        <x:v>PHYSICAL</x:v>
      </x:c>
      <x:c r="D1738" t="str">
        <x:v>event execution</x:v>
      </x:c>
      <x:c r="E1738" t="str">
        <x:v>PH-EX-240</x:v>
      </x:c>
      <x:c r="F1738" t="n">
        <x:f>IF('Event Register'!R246&lt;&gt;"",1,0)</x:f>
        <x:v>0</x:v>
      </x:c>
      <x:c r="G1738" t="n">
        <x:v>1</x:v>
      </x:c>
      <x:c r="H1738" t="str">
        <x:v>independent physical acceptance</x:v>
      </x:c>
      <x:c r="I1738" t="str">
        <x:f>IF(F1738=1,"PASS","OPEN")</x:f>
        <x:v>OPEN</x:v>
      </x:c>
    </x:row>
    <x:row r="1739">
      <x:c r="B1739" t="str">
        <x:v>PH-EV-240</x:v>
      </x:c>
      <x:c r="C1739" t="str">
        <x:v>PHYSICAL</x:v>
      </x:c>
      <x:c r="D1739" t="str">
        <x:v>event evidence</x:v>
      </x:c>
      <x:c r="E1739" t="str">
        <x:v>PH-EV-240</x:v>
      </x:c>
      <x:c r="F1739" t="n">
        <x:f>IF('Event Register'!S246&lt;&gt;"",1,0)</x:f>
        <x:v>0</x:v>
      </x:c>
      <x:c r="G1739" t="n">
        <x:v>1</x:v>
      </x:c>
      <x:c r="H1739" t="str">
        <x:v>independent physical acceptance</x:v>
      </x:c>
      <x:c r="I1739" t="str">
        <x:f>IF(F1739=1,"PASS","OPEN")</x:f>
        <x:v>OPEN</x:v>
      </x:c>
    </x:row>
    <x:row r="1740">
      <x:c r="B1740" t="str">
        <x:v>PH-VA-240</x:v>
      </x:c>
      <x:c r="C1740" t="str">
        <x:v>PHYSICAL</x:v>
      </x:c>
      <x:c r="D1740" t="str">
        <x:v>event validity</x:v>
      </x:c>
      <x:c r="E1740" t="str">
        <x:v>PH-VA-240</x:v>
      </x:c>
      <x:c r="F1740" t="n">
        <x:f>IF('Event Register'!T246&lt;&gt;"",1,0)</x:f>
        <x:v>0</x:v>
      </x:c>
      <x:c r="G1740" t="n">
        <x:v>1</x:v>
      </x:c>
      <x:c r="H1740" t="str">
        <x:v>independent physical acceptance</x:v>
      </x:c>
      <x:c r="I1740" t="str">
        <x:f>IF(F1740=1,"PASS","OPEN")</x:f>
        <x:v>OPEN</x:v>
      </x:c>
    </x:row>
    <x:row r="1741">
      <x:c r="B1741" t="str">
        <x:v>PH-OU-240</x:v>
      </x:c>
      <x:c r="C1741" t="str">
        <x:v>PHYSICAL</x:v>
      </x:c>
      <x:c r="D1741" t="str">
        <x:v>event outcome</x:v>
      </x:c>
      <x:c r="E1741" t="str">
        <x:v>PH-OU-240</x:v>
      </x:c>
      <x:c r="F1741" t="n">
        <x:f>IF('Event Register'!U246&lt;&gt;"",1,0)</x:f>
        <x:v>0</x:v>
      </x:c>
      <x:c r="G1741" t="n">
        <x:v>1</x:v>
      </x:c>
      <x:c r="H1741" t="str">
        <x:v>independent physical acceptance</x:v>
      </x:c>
      <x:c r="I1741" t="str">
        <x:f>IF(F1741=1,"PASS","OPEN")</x:f>
        <x:v>OPEN</x:v>
      </x:c>
    </x:row>
    <x:row r="1742">
      <x:c r="B1742" t="str">
        <x:v>PH-EX-241</x:v>
      </x:c>
      <x:c r="C1742" t="str">
        <x:v>PHYSICAL</x:v>
      </x:c>
      <x:c r="D1742" t="str">
        <x:v>event execution</x:v>
      </x:c>
      <x:c r="E1742" t="str">
        <x:v>PH-EX-241</x:v>
      </x:c>
      <x:c r="F1742" t="n">
        <x:f>IF('Event Register'!R247&lt;&gt;"",1,0)</x:f>
        <x:v>0</x:v>
      </x:c>
      <x:c r="G1742" t="n">
        <x:v>1</x:v>
      </x:c>
      <x:c r="H1742" t="str">
        <x:v>independent physical acceptance</x:v>
      </x:c>
      <x:c r="I1742" t="str">
        <x:f>IF(F1742=1,"PASS","OPEN")</x:f>
        <x:v>OPEN</x:v>
      </x:c>
    </x:row>
    <x:row r="1743">
      <x:c r="B1743" t="str">
        <x:v>PH-EV-241</x:v>
      </x:c>
      <x:c r="C1743" t="str">
        <x:v>PHYSICAL</x:v>
      </x:c>
      <x:c r="D1743" t="str">
        <x:v>event evidence</x:v>
      </x:c>
      <x:c r="E1743" t="str">
        <x:v>PH-EV-241</x:v>
      </x:c>
      <x:c r="F1743" t="n">
        <x:f>IF('Event Register'!S247&lt;&gt;"",1,0)</x:f>
        <x:v>0</x:v>
      </x:c>
      <x:c r="G1743" t="n">
        <x:v>1</x:v>
      </x:c>
      <x:c r="H1743" t="str">
        <x:v>independent physical acceptance</x:v>
      </x:c>
      <x:c r="I1743" t="str">
        <x:f>IF(F1743=1,"PASS","OPEN")</x:f>
        <x:v>OPEN</x:v>
      </x:c>
    </x:row>
    <x:row r="1744">
      <x:c r="B1744" t="str">
        <x:v>PH-VA-241</x:v>
      </x:c>
      <x:c r="C1744" t="str">
        <x:v>PHYSICAL</x:v>
      </x:c>
      <x:c r="D1744" t="str">
        <x:v>event validity</x:v>
      </x:c>
      <x:c r="E1744" t="str">
        <x:v>PH-VA-241</x:v>
      </x:c>
      <x:c r="F1744" t="n">
        <x:f>IF('Event Register'!T247&lt;&gt;"",1,0)</x:f>
        <x:v>0</x:v>
      </x:c>
      <x:c r="G1744" t="n">
        <x:v>1</x:v>
      </x:c>
      <x:c r="H1744" t="str">
        <x:v>independent physical acceptance</x:v>
      </x:c>
      <x:c r="I1744" t="str">
        <x:f>IF(F1744=1,"PASS","OPEN")</x:f>
        <x:v>OPEN</x:v>
      </x:c>
    </x:row>
    <x:row r="1745">
      <x:c r="B1745" t="str">
        <x:v>PH-OU-241</x:v>
      </x:c>
      <x:c r="C1745" t="str">
        <x:v>PHYSICAL</x:v>
      </x:c>
      <x:c r="D1745" t="str">
        <x:v>event outcome</x:v>
      </x:c>
      <x:c r="E1745" t="str">
        <x:v>PH-OU-241</x:v>
      </x:c>
      <x:c r="F1745" t="n">
        <x:f>IF('Event Register'!U247&lt;&gt;"",1,0)</x:f>
        <x:v>0</x:v>
      </x:c>
      <x:c r="G1745" t="n">
        <x:v>1</x:v>
      </x:c>
      <x:c r="H1745" t="str">
        <x:v>independent physical acceptance</x:v>
      </x:c>
      <x:c r="I1745" t="str">
        <x:f>IF(F1745=1,"PASS","OPEN")</x:f>
        <x:v>OPEN</x:v>
      </x:c>
    </x:row>
    <x:row r="1746">
      <x:c r="B1746" t="str">
        <x:v>PH-EX-242</x:v>
      </x:c>
      <x:c r="C1746" t="str">
        <x:v>PHYSICAL</x:v>
      </x:c>
      <x:c r="D1746" t="str">
        <x:v>event execution</x:v>
      </x:c>
      <x:c r="E1746" t="str">
        <x:v>PH-EX-242</x:v>
      </x:c>
      <x:c r="F1746" t="n">
        <x:f>IF('Event Register'!R248&lt;&gt;"",1,0)</x:f>
        <x:v>0</x:v>
      </x:c>
      <x:c r="G1746" t="n">
        <x:v>1</x:v>
      </x:c>
      <x:c r="H1746" t="str">
        <x:v>independent physical acceptance</x:v>
      </x:c>
      <x:c r="I1746" t="str">
        <x:f>IF(F1746=1,"PASS","OPEN")</x:f>
        <x:v>OPEN</x:v>
      </x:c>
    </x:row>
    <x:row r="1747">
      <x:c r="B1747" t="str">
        <x:v>PH-EV-242</x:v>
      </x:c>
      <x:c r="C1747" t="str">
        <x:v>PHYSICAL</x:v>
      </x:c>
      <x:c r="D1747" t="str">
        <x:v>event evidence</x:v>
      </x:c>
      <x:c r="E1747" t="str">
        <x:v>PH-EV-242</x:v>
      </x:c>
      <x:c r="F1747" t="n">
        <x:f>IF('Event Register'!S248&lt;&gt;"",1,0)</x:f>
        <x:v>0</x:v>
      </x:c>
      <x:c r="G1747" t="n">
        <x:v>1</x:v>
      </x:c>
      <x:c r="H1747" t="str">
        <x:v>independent physical acceptance</x:v>
      </x:c>
      <x:c r="I1747" t="str">
        <x:f>IF(F1747=1,"PASS","OPEN")</x:f>
        <x:v>OPEN</x:v>
      </x:c>
    </x:row>
    <x:row r="1748">
      <x:c r="B1748" t="str">
        <x:v>PH-VA-242</x:v>
      </x:c>
      <x:c r="C1748" t="str">
        <x:v>PHYSICAL</x:v>
      </x:c>
      <x:c r="D1748" t="str">
        <x:v>event validity</x:v>
      </x:c>
      <x:c r="E1748" t="str">
        <x:v>PH-VA-242</x:v>
      </x:c>
      <x:c r="F1748" t="n">
        <x:f>IF('Event Register'!T248&lt;&gt;"",1,0)</x:f>
        <x:v>0</x:v>
      </x:c>
      <x:c r="G1748" t="n">
        <x:v>1</x:v>
      </x:c>
      <x:c r="H1748" t="str">
        <x:v>independent physical acceptance</x:v>
      </x:c>
      <x:c r="I1748" t="str">
        <x:f>IF(F1748=1,"PASS","OPEN")</x:f>
        <x:v>OPEN</x:v>
      </x:c>
    </x:row>
    <x:row r="1749">
      <x:c r="B1749" t="str">
        <x:v>PH-OU-242</x:v>
      </x:c>
      <x:c r="C1749" t="str">
        <x:v>PHYSICAL</x:v>
      </x:c>
      <x:c r="D1749" t="str">
        <x:v>event outcome</x:v>
      </x:c>
      <x:c r="E1749" t="str">
        <x:v>PH-OU-242</x:v>
      </x:c>
      <x:c r="F1749" t="n">
        <x:f>IF('Event Register'!U248&lt;&gt;"",1,0)</x:f>
        <x:v>0</x:v>
      </x:c>
      <x:c r="G1749" t="n">
        <x:v>1</x:v>
      </x:c>
      <x:c r="H1749" t="str">
        <x:v>independent physical acceptance</x:v>
      </x:c>
      <x:c r="I1749" t="str">
        <x:f>IF(F1749=1,"PASS","OPEN")</x:f>
        <x:v>OPEN</x:v>
      </x:c>
    </x:row>
    <x:row r="1750">
      <x:c r="B1750" t="str">
        <x:v>PH-EX-243</x:v>
      </x:c>
      <x:c r="C1750" t="str">
        <x:v>PHYSICAL</x:v>
      </x:c>
      <x:c r="D1750" t="str">
        <x:v>event execution</x:v>
      </x:c>
      <x:c r="E1750" t="str">
        <x:v>PH-EX-243</x:v>
      </x:c>
      <x:c r="F1750" t="n">
        <x:f>IF('Event Register'!R249&lt;&gt;"",1,0)</x:f>
        <x:v>0</x:v>
      </x:c>
      <x:c r="G1750" t="n">
        <x:v>1</x:v>
      </x:c>
      <x:c r="H1750" t="str">
        <x:v>independent physical acceptance</x:v>
      </x:c>
      <x:c r="I1750" t="str">
        <x:f>IF(F1750=1,"PASS","OPEN")</x:f>
        <x:v>OPEN</x:v>
      </x:c>
    </x:row>
    <x:row r="1751">
      <x:c r="B1751" t="str">
        <x:v>PH-EV-243</x:v>
      </x:c>
      <x:c r="C1751" t="str">
        <x:v>PHYSICAL</x:v>
      </x:c>
      <x:c r="D1751" t="str">
        <x:v>event evidence</x:v>
      </x:c>
      <x:c r="E1751" t="str">
        <x:v>PH-EV-243</x:v>
      </x:c>
      <x:c r="F1751" t="n">
        <x:f>IF('Event Register'!S249&lt;&gt;"",1,0)</x:f>
        <x:v>0</x:v>
      </x:c>
      <x:c r="G1751" t="n">
        <x:v>1</x:v>
      </x:c>
      <x:c r="H1751" t="str">
        <x:v>independent physical acceptance</x:v>
      </x:c>
      <x:c r="I1751" t="str">
        <x:f>IF(F1751=1,"PASS","OPEN")</x:f>
        <x:v>OPEN</x:v>
      </x:c>
    </x:row>
    <x:row r="1752">
      <x:c r="B1752" t="str">
        <x:v>PH-VA-243</x:v>
      </x:c>
      <x:c r="C1752" t="str">
        <x:v>PHYSICAL</x:v>
      </x:c>
      <x:c r="D1752" t="str">
        <x:v>event validity</x:v>
      </x:c>
      <x:c r="E1752" t="str">
        <x:v>PH-VA-243</x:v>
      </x:c>
      <x:c r="F1752" t="n">
        <x:f>IF('Event Register'!T249&lt;&gt;"",1,0)</x:f>
        <x:v>0</x:v>
      </x:c>
      <x:c r="G1752" t="n">
        <x:v>1</x:v>
      </x:c>
      <x:c r="H1752" t="str">
        <x:v>independent physical acceptance</x:v>
      </x:c>
      <x:c r="I1752" t="str">
        <x:f>IF(F1752=1,"PASS","OPEN")</x:f>
        <x:v>OPEN</x:v>
      </x:c>
    </x:row>
    <x:row r="1753">
      <x:c r="B1753" t="str">
        <x:v>PH-OU-243</x:v>
      </x:c>
      <x:c r="C1753" t="str">
        <x:v>PHYSICAL</x:v>
      </x:c>
      <x:c r="D1753" t="str">
        <x:v>event outcome</x:v>
      </x:c>
      <x:c r="E1753" t="str">
        <x:v>PH-OU-243</x:v>
      </x:c>
      <x:c r="F1753" t="n">
        <x:f>IF('Event Register'!U249&lt;&gt;"",1,0)</x:f>
        <x:v>0</x:v>
      </x:c>
      <x:c r="G1753" t="n">
        <x:v>1</x:v>
      </x:c>
      <x:c r="H1753" t="str">
        <x:v>independent physical acceptance</x:v>
      </x:c>
      <x:c r="I1753" t="str">
        <x:f>IF(F1753=1,"PASS","OPEN")</x:f>
        <x:v>OPEN</x:v>
      </x:c>
    </x:row>
    <x:row r="1754">
      <x:c r="B1754" t="str">
        <x:v>PH-EX-244</x:v>
      </x:c>
      <x:c r="C1754" t="str">
        <x:v>PHYSICAL</x:v>
      </x:c>
      <x:c r="D1754" t="str">
        <x:v>event execution</x:v>
      </x:c>
      <x:c r="E1754" t="str">
        <x:v>PH-EX-244</x:v>
      </x:c>
      <x:c r="F1754" t="n">
        <x:f>IF('Event Register'!R250&lt;&gt;"",1,0)</x:f>
        <x:v>0</x:v>
      </x:c>
      <x:c r="G1754" t="n">
        <x:v>1</x:v>
      </x:c>
      <x:c r="H1754" t="str">
        <x:v>independent physical acceptance</x:v>
      </x:c>
      <x:c r="I1754" t="str">
        <x:f>IF(F1754=1,"PASS","OPEN")</x:f>
        <x:v>OPEN</x:v>
      </x:c>
    </x:row>
    <x:row r="1755">
      <x:c r="B1755" t="str">
        <x:v>PH-EV-244</x:v>
      </x:c>
      <x:c r="C1755" t="str">
        <x:v>PHYSICAL</x:v>
      </x:c>
      <x:c r="D1755" t="str">
        <x:v>event evidence</x:v>
      </x:c>
      <x:c r="E1755" t="str">
        <x:v>PH-EV-244</x:v>
      </x:c>
      <x:c r="F1755" t="n">
        <x:f>IF('Event Register'!S250&lt;&gt;"",1,0)</x:f>
        <x:v>0</x:v>
      </x:c>
      <x:c r="G1755" t="n">
        <x:v>1</x:v>
      </x:c>
      <x:c r="H1755" t="str">
        <x:v>independent physical acceptance</x:v>
      </x:c>
      <x:c r="I1755" t="str">
        <x:f>IF(F1755=1,"PASS","OPEN")</x:f>
        <x:v>OPEN</x:v>
      </x:c>
    </x:row>
    <x:row r="1756">
      <x:c r="B1756" t="str">
        <x:v>PH-VA-244</x:v>
      </x:c>
      <x:c r="C1756" t="str">
        <x:v>PHYSICAL</x:v>
      </x:c>
      <x:c r="D1756" t="str">
        <x:v>event validity</x:v>
      </x:c>
      <x:c r="E1756" t="str">
        <x:v>PH-VA-244</x:v>
      </x:c>
      <x:c r="F1756" t="n">
        <x:f>IF('Event Register'!T250&lt;&gt;"",1,0)</x:f>
        <x:v>0</x:v>
      </x:c>
      <x:c r="G1756" t="n">
        <x:v>1</x:v>
      </x:c>
      <x:c r="H1756" t="str">
        <x:v>independent physical acceptance</x:v>
      </x:c>
      <x:c r="I1756" t="str">
        <x:f>IF(F1756=1,"PASS","OPEN")</x:f>
        <x:v>OPEN</x:v>
      </x:c>
    </x:row>
    <x:row r="1757">
      <x:c r="B1757" t="str">
        <x:v>PH-OU-244</x:v>
      </x:c>
      <x:c r="C1757" t="str">
        <x:v>PHYSICAL</x:v>
      </x:c>
      <x:c r="D1757" t="str">
        <x:v>event outcome</x:v>
      </x:c>
      <x:c r="E1757" t="str">
        <x:v>PH-OU-244</x:v>
      </x:c>
      <x:c r="F1757" t="n">
        <x:f>IF('Event Register'!U250&lt;&gt;"",1,0)</x:f>
        <x:v>0</x:v>
      </x:c>
      <x:c r="G1757" t="n">
        <x:v>1</x:v>
      </x:c>
      <x:c r="H1757" t="str">
        <x:v>independent physical acceptance</x:v>
      </x:c>
      <x:c r="I1757" t="str">
        <x:f>IF(F1757=1,"PASS","OPEN")</x:f>
        <x:v>OPEN</x:v>
      </x:c>
    </x:row>
    <x:row r="1758">
      <x:c r="B1758" t="str">
        <x:v>PH-EX-245</x:v>
      </x:c>
      <x:c r="C1758" t="str">
        <x:v>PHYSICAL</x:v>
      </x:c>
      <x:c r="D1758" t="str">
        <x:v>event execution</x:v>
      </x:c>
      <x:c r="E1758" t="str">
        <x:v>PH-EX-245</x:v>
      </x:c>
      <x:c r="F1758" t="n">
        <x:f>IF('Event Register'!R251&lt;&gt;"",1,0)</x:f>
        <x:v>0</x:v>
      </x:c>
      <x:c r="G1758" t="n">
        <x:v>1</x:v>
      </x:c>
      <x:c r="H1758" t="str">
        <x:v>independent physical acceptance</x:v>
      </x:c>
      <x:c r="I1758" t="str">
        <x:f>IF(F1758=1,"PASS","OPEN")</x:f>
        <x:v>OPEN</x:v>
      </x:c>
    </x:row>
    <x:row r="1759">
      <x:c r="B1759" t="str">
        <x:v>PH-EV-245</x:v>
      </x:c>
      <x:c r="C1759" t="str">
        <x:v>PHYSICAL</x:v>
      </x:c>
      <x:c r="D1759" t="str">
        <x:v>event evidence</x:v>
      </x:c>
      <x:c r="E1759" t="str">
        <x:v>PH-EV-245</x:v>
      </x:c>
      <x:c r="F1759" t="n">
        <x:f>IF('Event Register'!S251&lt;&gt;"",1,0)</x:f>
        <x:v>0</x:v>
      </x:c>
      <x:c r="G1759" t="n">
        <x:v>1</x:v>
      </x:c>
      <x:c r="H1759" t="str">
        <x:v>independent physical acceptance</x:v>
      </x:c>
      <x:c r="I1759" t="str">
        <x:f>IF(F1759=1,"PASS","OPEN")</x:f>
        <x:v>OPEN</x:v>
      </x:c>
    </x:row>
    <x:row r="1760">
      <x:c r="B1760" t="str">
        <x:v>PH-VA-245</x:v>
      </x:c>
      <x:c r="C1760" t="str">
        <x:v>PHYSICAL</x:v>
      </x:c>
      <x:c r="D1760" t="str">
        <x:v>event validity</x:v>
      </x:c>
      <x:c r="E1760" t="str">
        <x:v>PH-VA-245</x:v>
      </x:c>
      <x:c r="F1760" t="n">
        <x:f>IF('Event Register'!T251&lt;&gt;"",1,0)</x:f>
        <x:v>0</x:v>
      </x:c>
      <x:c r="G1760" t="n">
        <x:v>1</x:v>
      </x:c>
      <x:c r="H1760" t="str">
        <x:v>independent physical acceptance</x:v>
      </x:c>
      <x:c r="I1760" t="str">
        <x:f>IF(F1760=1,"PASS","OPEN")</x:f>
        <x:v>OPEN</x:v>
      </x:c>
    </x:row>
    <x:row r="1761">
      <x:c r="B1761" t="str">
        <x:v>PH-OU-245</x:v>
      </x:c>
      <x:c r="C1761" t="str">
        <x:v>PHYSICAL</x:v>
      </x:c>
      <x:c r="D1761" t="str">
        <x:v>event outcome</x:v>
      </x:c>
      <x:c r="E1761" t="str">
        <x:v>PH-OU-245</x:v>
      </x:c>
      <x:c r="F1761" t="n">
        <x:f>IF('Event Register'!U251&lt;&gt;"",1,0)</x:f>
        <x:v>0</x:v>
      </x:c>
      <x:c r="G1761" t="n">
        <x:v>1</x:v>
      </x:c>
      <x:c r="H1761" t="str">
        <x:v>independent physical acceptance</x:v>
      </x:c>
      <x:c r="I1761" t="str">
        <x:f>IF(F1761=1,"PASS","OPEN")</x:f>
        <x:v>OPEN</x:v>
      </x:c>
    </x:row>
    <x:row r="1762">
      <x:c r="B1762" t="str">
        <x:v>PH-EX-246</x:v>
      </x:c>
      <x:c r="C1762" t="str">
        <x:v>PHYSICAL</x:v>
      </x:c>
      <x:c r="D1762" t="str">
        <x:v>event execution</x:v>
      </x:c>
      <x:c r="E1762" t="str">
        <x:v>PH-EX-246</x:v>
      </x:c>
      <x:c r="F1762" t="n">
        <x:f>IF('Event Register'!R252&lt;&gt;"",1,0)</x:f>
        <x:v>0</x:v>
      </x:c>
      <x:c r="G1762" t="n">
        <x:v>1</x:v>
      </x:c>
      <x:c r="H1762" t="str">
        <x:v>independent physical acceptance</x:v>
      </x:c>
      <x:c r="I1762" t="str">
        <x:f>IF(F1762=1,"PASS","OPEN")</x:f>
        <x:v>OPEN</x:v>
      </x:c>
    </x:row>
    <x:row r="1763">
      <x:c r="B1763" t="str">
        <x:v>PH-EV-246</x:v>
      </x:c>
      <x:c r="C1763" t="str">
        <x:v>PHYSICAL</x:v>
      </x:c>
      <x:c r="D1763" t="str">
        <x:v>event evidence</x:v>
      </x:c>
      <x:c r="E1763" t="str">
        <x:v>PH-EV-246</x:v>
      </x:c>
      <x:c r="F1763" t="n">
        <x:f>IF('Event Register'!S252&lt;&gt;"",1,0)</x:f>
        <x:v>0</x:v>
      </x:c>
      <x:c r="G1763" t="n">
        <x:v>1</x:v>
      </x:c>
      <x:c r="H1763" t="str">
        <x:v>independent physical acceptance</x:v>
      </x:c>
      <x:c r="I1763" t="str">
        <x:f>IF(F1763=1,"PASS","OPEN")</x:f>
        <x:v>OPEN</x:v>
      </x:c>
    </x:row>
    <x:row r="1764">
      <x:c r="B1764" t="str">
        <x:v>PH-VA-246</x:v>
      </x:c>
      <x:c r="C1764" t="str">
        <x:v>PHYSICAL</x:v>
      </x:c>
      <x:c r="D1764" t="str">
        <x:v>event validity</x:v>
      </x:c>
      <x:c r="E1764" t="str">
        <x:v>PH-VA-246</x:v>
      </x:c>
      <x:c r="F1764" t="n">
        <x:f>IF('Event Register'!T252&lt;&gt;"",1,0)</x:f>
        <x:v>0</x:v>
      </x:c>
      <x:c r="G1764" t="n">
        <x:v>1</x:v>
      </x:c>
      <x:c r="H1764" t="str">
        <x:v>independent physical acceptance</x:v>
      </x:c>
      <x:c r="I1764" t="str">
        <x:f>IF(F1764=1,"PASS","OPEN")</x:f>
        <x:v>OPEN</x:v>
      </x:c>
    </x:row>
    <x:row r="1765">
      <x:c r="B1765" t="str">
        <x:v>PH-OU-246</x:v>
      </x:c>
      <x:c r="C1765" t="str">
        <x:v>PHYSICAL</x:v>
      </x:c>
      <x:c r="D1765" t="str">
        <x:v>event outcome</x:v>
      </x:c>
      <x:c r="E1765" t="str">
        <x:v>PH-OU-246</x:v>
      </x:c>
      <x:c r="F1765" t="n">
        <x:f>IF('Event Register'!U252&lt;&gt;"",1,0)</x:f>
        <x:v>0</x:v>
      </x:c>
      <x:c r="G1765" t="n">
        <x:v>1</x:v>
      </x:c>
      <x:c r="H1765" t="str">
        <x:v>independent physical acceptance</x:v>
      </x:c>
      <x:c r="I1765" t="str">
        <x:f>IF(F1765=1,"PASS","OPEN")</x:f>
        <x:v>OPEN</x:v>
      </x:c>
    </x:row>
    <x:row r="1766">
      <x:c r="B1766" t="str">
        <x:v>PH-EX-247</x:v>
      </x:c>
      <x:c r="C1766" t="str">
        <x:v>PHYSICAL</x:v>
      </x:c>
      <x:c r="D1766" t="str">
        <x:v>event execution</x:v>
      </x:c>
      <x:c r="E1766" t="str">
        <x:v>PH-EX-247</x:v>
      </x:c>
      <x:c r="F1766" t="n">
        <x:f>IF('Event Register'!R253&lt;&gt;"",1,0)</x:f>
        <x:v>0</x:v>
      </x:c>
      <x:c r="G1766" t="n">
        <x:v>1</x:v>
      </x:c>
      <x:c r="H1766" t="str">
        <x:v>independent physical acceptance</x:v>
      </x:c>
      <x:c r="I1766" t="str">
        <x:f>IF(F1766=1,"PASS","OPEN")</x:f>
        <x:v>OPEN</x:v>
      </x:c>
    </x:row>
    <x:row r="1767">
      <x:c r="B1767" t="str">
        <x:v>PH-EV-247</x:v>
      </x:c>
      <x:c r="C1767" t="str">
        <x:v>PHYSICAL</x:v>
      </x:c>
      <x:c r="D1767" t="str">
        <x:v>event evidence</x:v>
      </x:c>
      <x:c r="E1767" t="str">
        <x:v>PH-EV-247</x:v>
      </x:c>
      <x:c r="F1767" t="n">
        <x:f>IF('Event Register'!S253&lt;&gt;"",1,0)</x:f>
        <x:v>0</x:v>
      </x:c>
      <x:c r="G1767" t="n">
        <x:v>1</x:v>
      </x:c>
      <x:c r="H1767" t="str">
        <x:v>independent physical acceptance</x:v>
      </x:c>
      <x:c r="I1767" t="str">
        <x:f>IF(F1767=1,"PASS","OPEN")</x:f>
        <x:v>OPEN</x:v>
      </x:c>
    </x:row>
    <x:row r="1768">
      <x:c r="B1768" t="str">
        <x:v>PH-VA-247</x:v>
      </x:c>
      <x:c r="C1768" t="str">
        <x:v>PHYSICAL</x:v>
      </x:c>
      <x:c r="D1768" t="str">
        <x:v>event validity</x:v>
      </x:c>
      <x:c r="E1768" t="str">
        <x:v>PH-VA-247</x:v>
      </x:c>
      <x:c r="F1768" t="n">
        <x:f>IF('Event Register'!T253&lt;&gt;"",1,0)</x:f>
        <x:v>0</x:v>
      </x:c>
      <x:c r="G1768" t="n">
        <x:v>1</x:v>
      </x:c>
      <x:c r="H1768" t="str">
        <x:v>independent physical acceptance</x:v>
      </x:c>
      <x:c r="I1768" t="str">
        <x:f>IF(F1768=1,"PASS","OPEN")</x:f>
        <x:v>OPEN</x:v>
      </x:c>
    </x:row>
    <x:row r="1769">
      <x:c r="B1769" t="str">
        <x:v>PH-OU-247</x:v>
      </x:c>
      <x:c r="C1769" t="str">
        <x:v>PHYSICAL</x:v>
      </x:c>
      <x:c r="D1769" t="str">
        <x:v>event outcome</x:v>
      </x:c>
      <x:c r="E1769" t="str">
        <x:v>PH-OU-247</x:v>
      </x:c>
      <x:c r="F1769" t="n">
        <x:f>IF('Event Register'!U253&lt;&gt;"",1,0)</x:f>
        <x:v>0</x:v>
      </x:c>
      <x:c r="G1769" t="n">
        <x:v>1</x:v>
      </x:c>
      <x:c r="H1769" t="str">
        <x:v>independent physical acceptance</x:v>
      </x:c>
      <x:c r="I1769" t="str">
        <x:f>IF(F1769=1,"PASS","OPEN")</x:f>
        <x:v>OPEN</x:v>
      </x:c>
    </x:row>
    <x:row r="1770">
      <x:c r="B1770" t="str">
        <x:v>PH-EX-248</x:v>
      </x:c>
      <x:c r="C1770" t="str">
        <x:v>PHYSICAL</x:v>
      </x:c>
      <x:c r="D1770" t="str">
        <x:v>event execution</x:v>
      </x:c>
      <x:c r="E1770" t="str">
        <x:v>PH-EX-248</x:v>
      </x:c>
      <x:c r="F1770" t="n">
        <x:f>IF('Event Register'!R254&lt;&gt;"",1,0)</x:f>
        <x:v>0</x:v>
      </x:c>
      <x:c r="G1770" t="n">
        <x:v>1</x:v>
      </x:c>
      <x:c r="H1770" t="str">
        <x:v>independent physical acceptance</x:v>
      </x:c>
      <x:c r="I1770" t="str">
        <x:f>IF(F1770=1,"PASS","OPEN")</x:f>
        <x:v>OPEN</x:v>
      </x:c>
    </x:row>
    <x:row r="1771">
      <x:c r="B1771" t="str">
        <x:v>PH-EV-248</x:v>
      </x:c>
      <x:c r="C1771" t="str">
        <x:v>PHYSICAL</x:v>
      </x:c>
      <x:c r="D1771" t="str">
        <x:v>event evidence</x:v>
      </x:c>
      <x:c r="E1771" t="str">
        <x:v>PH-EV-248</x:v>
      </x:c>
      <x:c r="F1771" t="n">
        <x:f>IF('Event Register'!S254&lt;&gt;"",1,0)</x:f>
        <x:v>0</x:v>
      </x:c>
      <x:c r="G1771" t="n">
        <x:v>1</x:v>
      </x:c>
      <x:c r="H1771" t="str">
        <x:v>independent physical acceptance</x:v>
      </x:c>
      <x:c r="I1771" t="str">
        <x:f>IF(F1771=1,"PASS","OPEN")</x:f>
        <x:v>OPEN</x:v>
      </x:c>
    </x:row>
    <x:row r="1772">
      <x:c r="B1772" t="str">
        <x:v>PH-VA-248</x:v>
      </x:c>
      <x:c r="C1772" t="str">
        <x:v>PHYSICAL</x:v>
      </x:c>
      <x:c r="D1772" t="str">
        <x:v>event validity</x:v>
      </x:c>
      <x:c r="E1772" t="str">
        <x:v>PH-VA-248</x:v>
      </x:c>
      <x:c r="F1772" t="n">
        <x:f>IF('Event Register'!T254&lt;&gt;"",1,0)</x:f>
        <x:v>0</x:v>
      </x:c>
      <x:c r="G1772" t="n">
        <x:v>1</x:v>
      </x:c>
      <x:c r="H1772" t="str">
        <x:v>independent physical acceptance</x:v>
      </x:c>
      <x:c r="I1772" t="str">
        <x:f>IF(F1772=1,"PASS","OPEN")</x:f>
        <x:v>OPEN</x:v>
      </x:c>
    </x:row>
    <x:row r="1773">
      <x:c r="B1773" t="str">
        <x:v>PH-OU-248</x:v>
      </x:c>
      <x:c r="C1773" t="str">
        <x:v>PHYSICAL</x:v>
      </x:c>
      <x:c r="D1773" t="str">
        <x:v>event outcome</x:v>
      </x:c>
      <x:c r="E1773" t="str">
        <x:v>PH-OU-248</x:v>
      </x:c>
      <x:c r="F1773" t="n">
        <x:f>IF('Event Register'!U254&lt;&gt;"",1,0)</x:f>
        <x:v>0</x:v>
      </x:c>
      <x:c r="G1773" t="n">
        <x:v>1</x:v>
      </x:c>
      <x:c r="H1773" t="str">
        <x:v>independent physical acceptance</x:v>
      </x:c>
      <x:c r="I1773" t="str">
        <x:f>IF(F1773=1,"PASS","OPEN")</x:f>
        <x:v>OPEN</x:v>
      </x:c>
    </x:row>
    <x:row r="1774">
      <x:c r="B1774" t="str">
        <x:v>PH-EX-249</x:v>
      </x:c>
      <x:c r="C1774" t="str">
        <x:v>PHYSICAL</x:v>
      </x:c>
      <x:c r="D1774" t="str">
        <x:v>event execution</x:v>
      </x:c>
      <x:c r="E1774" t="str">
        <x:v>PH-EX-249</x:v>
      </x:c>
      <x:c r="F1774" t="n">
        <x:f>IF('Event Register'!R255&lt;&gt;"",1,0)</x:f>
        <x:v>0</x:v>
      </x:c>
      <x:c r="G1774" t="n">
        <x:v>1</x:v>
      </x:c>
      <x:c r="H1774" t="str">
        <x:v>independent physical acceptance</x:v>
      </x:c>
      <x:c r="I1774" t="str">
        <x:f>IF(F1774=1,"PASS","OPEN")</x:f>
        <x:v>OPEN</x:v>
      </x:c>
    </x:row>
    <x:row r="1775">
      <x:c r="B1775" t="str">
        <x:v>PH-EV-249</x:v>
      </x:c>
      <x:c r="C1775" t="str">
        <x:v>PHYSICAL</x:v>
      </x:c>
      <x:c r="D1775" t="str">
        <x:v>event evidence</x:v>
      </x:c>
      <x:c r="E1775" t="str">
        <x:v>PH-EV-249</x:v>
      </x:c>
      <x:c r="F1775" t="n">
        <x:f>IF('Event Register'!S255&lt;&gt;"",1,0)</x:f>
        <x:v>0</x:v>
      </x:c>
      <x:c r="G1775" t="n">
        <x:v>1</x:v>
      </x:c>
      <x:c r="H1775" t="str">
        <x:v>independent physical acceptance</x:v>
      </x:c>
      <x:c r="I1775" t="str">
        <x:f>IF(F1775=1,"PASS","OPEN")</x:f>
        <x:v>OPEN</x:v>
      </x:c>
    </x:row>
    <x:row r="1776">
      <x:c r="B1776" t="str">
        <x:v>PH-VA-249</x:v>
      </x:c>
      <x:c r="C1776" t="str">
        <x:v>PHYSICAL</x:v>
      </x:c>
      <x:c r="D1776" t="str">
        <x:v>event validity</x:v>
      </x:c>
      <x:c r="E1776" t="str">
        <x:v>PH-VA-249</x:v>
      </x:c>
      <x:c r="F1776" t="n">
        <x:f>IF('Event Register'!T255&lt;&gt;"",1,0)</x:f>
        <x:v>0</x:v>
      </x:c>
      <x:c r="G1776" t="n">
        <x:v>1</x:v>
      </x:c>
      <x:c r="H1776" t="str">
        <x:v>independent physical acceptance</x:v>
      </x:c>
      <x:c r="I1776" t="str">
        <x:f>IF(F1776=1,"PASS","OPEN")</x:f>
        <x:v>OPEN</x:v>
      </x:c>
    </x:row>
    <x:row r="1777">
      <x:c r="B1777" t="str">
        <x:v>PH-OU-249</x:v>
      </x:c>
      <x:c r="C1777" t="str">
        <x:v>PHYSICAL</x:v>
      </x:c>
      <x:c r="D1777" t="str">
        <x:v>event outcome</x:v>
      </x:c>
      <x:c r="E1777" t="str">
        <x:v>PH-OU-249</x:v>
      </x:c>
      <x:c r="F1777" t="n">
        <x:f>IF('Event Register'!U255&lt;&gt;"",1,0)</x:f>
        <x:v>0</x:v>
      </x:c>
      <x:c r="G1777" t="n">
        <x:v>1</x:v>
      </x:c>
      <x:c r="H1777" t="str">
        <x:v>independent physical acceptance</x:v>
      </x:c>
      <x:c r="I1777" t="str">
        <x:f>IF(F1777=1,"PASS","OPEN")</x:f>
        <x:v>OPEN</x:v>
      </x:c>
    </x:row>
    <x:row r="1778">
      <x:c r="B1778" t="str">
        <x:v>PH-EX-250</x:v>
      </x:c>
      <x:c r="C1778" t="str">
        <x:v>PHYSICAL</x:v>
      </x:c>
      <x:c r="D1778" t="str">
        <x:v>event execution</x:v>
      </x:c>
      <x:c r="E1778" t="str">
        <x:v>PH-EX-250</x:v>
      </x:c>
      <x:c r="F1778" t="n">
        <x:f>IF('Event Register'!R256&lt;&gt;"",1,0)</x:f>
        <x:v>0</x:v>
      </x:c>
      <x:c r="G1778" t="n">
        <x:v>1</x:v>
      </x:c>
      <x:c r="H1778" t="str">
        <x:v>independent physical acceptance</x:v>
      </x:c>
      <x:c r="I1778" t="str">
        <x:f>IF(F1778=1,"PASS","OPEN")</x:f>
        <x:v>OPEN</x:v>
      </x:c>
    </x:row>
    <x:row r="1779">
      <x:c r="B1779" t="str">
        <x:v>PH-EV-250</x:v>
      </x:c>
      <x:c r="C1779" t="str">
        <x:v>PHYSICAL</x:v>
      </x:c>
      <x:c r="D1779" t="str">
        <x:v>event evidence</x:v>
      </x:c>
      <x:c r="E1779" t="str">
        <x:v>PH-EV-250</x:v>
      </x:c>
      <x:c r="F1779" t="n">
        <x:f>IF('Event Register'!S256&lt;&gt;"",1,0)</x:f>
        <x:v>0</x:v>
      </x:c>
      <x:c r="G1779" t="n">
        <x:v>1</x:v>
      </x:c>
      <x:c r="H1779" t="str">
        <x:v>independent physical acceptance</x:v>
      </x:c>
      <x:c r="I1779" t="str">
        <x:f>IF(F1779=1,"PASS","OPEN")</x:f>
        <x:v>OPEN</x:v>
      </x:c>
    </x:row>
    <x:row r="1780">
      <x:c r="B1780" t="str">
        <x:v>PH-VA-250</x:v>
      </x:c>
      <x:c r="C1780" t="str">
        <x:v>PHYSICAL</x:v>
      </x:c>
      <x:c r="D1780" t="str">
        <x:v>event validity</x:v>
      </x:c>
      <x:c r="E1780" t="str">
        <x:v>PH-VA-250</x:v>
      </x:c>
      <x:c r="F1780" t="n">
        <x:f>IF('Event Register'!T256&lt;&gt;"",1,0)</x:f>
        <x:v>0</x:v>
      </x:c>
      <x:c r="G1780" t="n">
        <x:v>1</x:v>
      </x:c>
      <x:c r="H1780" t="str">
        <x:v>independent physical acceptance</x:v>
      </x:c>
      <x:c r="I1780" t="str">
        <x:f>IF(F1780=1,"PASS","OPEN")</x:f>
        <x:v>OPEN</x:v>
      </x:c>
    </x:row>
    <x:row r="1781">
      <x:c r="B1781" t="str">
        <x:v>PH-OU-250</x:v>
      </x:c>
      <x:c r="C1781" t="str">
        <x:v>PHYSICAL</x:v>
      </x:c>
      <x:c r="D1781" t="str">
        <x:v>event outcome</x:v>
      </x:c>
      <x:c r="E1781" t="str">
        <x:v>PH-OU-250</x:v>
      </x:c>
      <x:c r="F1781" t="n">
        <x:f>IF('Event Register'!U256&lt;&gt;"",1,0)</x:f>
        <x:v>0</x:v>
      </x:c>
      <x:c r="G1781" t="n">
        <x:v>1</x:v>
      </x:c>
      <x:c r="H1781" t="str">
        <x:v>independent physical acceptance</x:v>
      </x:c>
      <x:c r="I1781" t="str">
        <x:f>IF(F1781=1,"PASS","OPEN")</x:f>
        <x:v>OPEN</x:v>
      </x:c>
    </x:row>
    <x:row r="1782">
      <x:c r="B1782" t="str">
        <x:v>PH-EX-251</x:v>
      </x:c>
      <x:c r="C1782" t="str">
        <x:v>PHYSICAL</x:v>
      </x:c>
      <x:c r="D1782" t="str">
        <x:v>event execution</x:v>
      </x:c>
      <x:c r="E1782" t="str">
        <x:v>PH-EX-251</x:v>
      </x:c>
      <x:c r="F1782" t="n">
        <x:f>IF('Event Register'!R257&lt;&gt;"",1,0)</x:f>
        <x:v>0</x:v>
      </x:c>
      <x:c r="G1782" t="n">
        <x:v>1</x:v>
      </x:c>
      <x:c r="H1782" t="str">
        <x:v>independent physical acceptance</x:v>
      </x:c>
      <x:c r="I1782" t="str">
        <x:f>IF(F1782=1,"PASS","OPEN")</x:f>
        <x:v>OPEN</x:v>
      </x:c>
    </x:row>
    <x:row r="1783">
      <x:c r="B1783" t="str">
        <x:v>PH-EV-251</x:v>
      </x:c>
      <x:c r="C1783" t="str">
        <x:v>PHYSICAL</x:v>
      </x:c>
      <x:c r="D1783" t="str">
        <x:v>event evidence</x:v>
      </x:c>
      <x:c r="E1783" t="str">
        <x:v>PH-EV-251</x:v>
      </x:c>
      <x:c r="F1783" t="n">
        <x:f>IF('Event Register'!S257&lt;&gt;"",1,0)</x:f>
        <x:v>0</x:v>
      </x:c>
      <x:c r="G1783" t="n">
        <x:v>1</x:v>
      </x:c>
      <x:c r="H1783" t="str">
        <x:v>independent physical acceptance</x:v>
      </x:c>
      <x:c r="I1783" t="str">
        <x:f>IF(F1783=1,"PASS","OPEN")</x:f>
        <x:v>OPEN</x:v>
      </x:c>
    </x:row>
    <x:row r="1784">
      <x:c r="B1784" t="str">
        <x:v>PH-VA-251</x:v>
      </x:c>
      <x:c r="C1784" t="str">
        <x:v>PHYSICAL</x:v>
      </x:c>
      <x:c r="D1784" t="str">
        <x:v>event validity</x:v>
      </x:c>
      <x:c r="E1784" t="str">
        <x:v>PH-VA-251</x:v>
      </x:c>
      <x:c r="F1784" t="n">
        <x:f>IF('Event Register'!T257&lt;&gt;"",1,0)</x:f>
        <x:v>0</x:v>
      </x:c>
      <x:c r="G1784" t="n">
        <x:v>1</x:v>
      </x:c>
      <x:c r="H1784" t="str">
        <x:v>independent physical acceptance</x:v>
      </x:c>
      <x:c r="I1784" t="str">
        <x:f>IF(F1784=1,"PASS","OPEN")</x:f>
        <x:v>OPEN</x:v>
      </x:c>
    </x:row>
    <x:row r="1785">
      <x:c r="B1785" t="str">
        <x:v>PH-OU-251</x:v>
      </x:c>
      <x:c r="C1785" t="str">
        <x:v>PHYSICAL</x:v>
      </x:c>
      <x:c r="D1785" t="str">
        <x:v>event outcome</x:v>
      </x:c>
      <x:c r="E1785" t="str">
        <x:v>PH-OU-251</x:v>
      </x:c>
      <x:c r="F1785" t="n">
        <x:f>IF('Event Register'!U257&lt;&gt;"",1,0)</x:f>
        <x:v>0</x:v>
      </x:c>
      <x:c r="G1785" t="n">
        <x:v>1</x:v>
      </x:c>
      <x:c r="H1785" t="str">
        <x:v>independent physical acceptance</x:v>
      </x:c>
      <x:c r="I1785" t="str">
        <x:f>IF(F1785=1,"PASS","OPEN")</x:f>
        <x:v>OPEN</x:v>
      </x:c>
    </x:row>
    <x:row r="1786">
      <x:c r="B1786" t="str">
        <x:v>PH-EX-252</x:v>
      </x:c>
      <x:c r="C1786" t="str">
        <x:v>PHYSICAL</x:v>
      </x:c>
      <x:c r="D1786" t="str">
        <x:v>event execution</x:v>
      </x:c>
      <x:c r="E1786" t="str">
        <x:v>PH-EX-252</x:v>
      </x:c>
      <x:c r="F1786" t="n">
        <x:f>IF('Event Register'!R258&lt;&gt;"",1,0)</x:f>
        <x:v>0</x:v>
      </x:c>
      <x:c r="G1786" t="n">
        <x:v>1</x:v>
      </x:c>
      <x:c r="H1786" t="str">
        <x:v>independent physical acceptance</x:v>
      </x:c>
      <x:c r="I1786" t="str">
        <x:f>IF(F1786=1,"PASS","OPEN")</x:f>
        <x:v>OPEN</x:v>
      </x:c>
    </x:row>
    <x:row r="1787">
      <x:c r="B1787" t="str">
        <x:v>PH-EV-252</x:v>
      </x:c>
      <x:c r="C1787" t="str">
        <x:v>PHYSICAL</x:v>
      </x:c>
      <x:c r="D1787" t="str">
        <x:v>event evidence</x:v>
      </x:c>
      <x:c r="E1787" t="str">
        <x:v>PH-EV-252</x:v>
      </x:c>
      <x:c r="F1787" t="n">
        <x:f>IF('Event Register'!S258&lt;&gt;"",1,0)</x:f>
        <x:v>0</x:v>
      </x:c>
      <x:c r="G1787" t="n">
        <x:v>1</x:v>
      </x:c>
      <x:c r="H1787" t="str">
        <x:v>independent physical acceptance</x:v>
      </x:c>
      <x:c r="I1787" t="str">
        <x:f>IF(F1787=1,"PASS","OPEN")</x:f>
        <x:v>OPEN</x:v>
      </x:c>
    </x:row>
    <x:row r="1788">
      <x:c r="B1788" t="str">
        <x:v>PH-VA-252</x:v>
      </x:c>
      <x:c r="C1788" t="str">
        <x:v>PHYSICAL</x:v>
      </x:c>
      <x:c r="D1788" t="str">
        <x:v>event validity</x:v>
      </x:c>
      <x:c r="E1788" t="str">
        <x:v>PH-VA-252</x:v>
      </x:c>
      <x:c r="F1788" t="n">
        <x:f>IF('Event Register'!T258&lt;&gt;"",1,0)</x:f>
        <x:v>0</x:v>
      </x:c>
      <x:c r="G1788" t="n">
        <x:v>1</x:v>
      </x:c>
      <x:c r="H1788" t="str">
        <x:v>independent physical acceptance</x:v>
      </x:c>
      <x:c r="I1788" t="str">
        <x:f>IF(F1788=1,"PASS","OPEN")</x:f>
        <x:v>OPEN</x:v>
      </x:c>
    </x:row>
    <x:row r="1789">
      <x:c r="B1789" t="str">
        <x:v>PH-OU-252</x:v>
      </x:c>
      <x:c r="C1789" t="str">
        <x:v>PHYSICAL</x:v>
      </x:c>
      <x:c r="D1789" t="str">
        <x:v>event outcome</x:v>
      </x:c>
      <x:c r="E1789" t="str">
        <x:v>PH-OU-252</x:v>
      </x:c>
      <x:c r="F1789" t="n">
        <x:f>IF('Event Register'!U258&lt;&gt;"",1,0)</x:f>
        <x:v>0</x:v>
      </x:c>
      <x:c r="G1789" t="n">
        <x:v>1</x:v>
      </x:c>
      <x:c r="H1789" t="str">
        <x:v>independent physical acceptance</x:v>
      </x:c>
      <x:c r="I1789" t="str">
        <x:f>IF(F1789=1,"PASS","OPEN")</x:f>
        <x:v>OPEN</x:v>
      </x:c>
    </x:row>
    <x:row r="1790">
      <x:c r="B1790" t="str">
        <x:v>PH-EX-253</x:v>
      </x:c>
      <x:c r="C1790" t="str">
        <x:v>PHYSICAL</x:v>
      </x:c>
      <x:c r="D1790" t="str">
        <x:v>event execution</x:v>
      </x:c>
      <x:c r="E1790" t="str">
        <x:v>PH-EX-253</x:v>
      </x:c>
      <x:c r="F1790" t="n">
        <x:f>IF('Event Register'!R259&lt;&gt;"",1,0)</x:f>
        <x:v>0</x:v>
      </x:c>
      <x:c r="G1790" t="n">
        <x:v>1</x:v>
      </x:c>
      <x:c r="H1790" t="str">
        <x:v>independent physical acceptance</x:v>
      </x:c>
      <x:c r="I1790" t="str">
        <x:f>IF(F1790=1,"PASS","OPEN")</x:f>
        <x:v>OPEN</x:v>
      </x:c>
    </x:row>
    <x:row r="1791">
      <x:c r="B1791" t="str">
        <x:v>PH-EV-253</x:v>
      </x:c>
      <x:c r="C1791" t="str">
        <x:v>PHYSICAL</x:v>
      </x:c>
      <x:c r="D1791" t="str">
        <x:v>event evidence</x:v>
      </x:c>
      <x:c r="E1791" t="str">
        <x:v>PH-EV-253</x:v>
      </x:c>
      <x:c r="F1791" t="n">
        <x:f>IF('Event Register'!S259&lt;&gt;"",1,0)</x:f>
        <x:v>0</x:v>
      </x:c>
      <x:c r="G1791" t="n">
        <x:v>1</x:v>
      </x:c>
      <x:c r="H1791" t="str">
        <x:v>independent physical acceptance</x:v>
      </x:c>
      <x:c r="I1791" t="str">
        <x:f>IF(F1791=1,"PASS","OPEN")</x:f>
        <x:v>OPEN</x:v>
      </x:c>
    </x:row>
    <x:row r="1792">
      <x:c r="B1792" t="str">
        <x:v>PH-VA-253</x:v>
      </x:c>
      <x:c r="C1792" t="str">
        <x:v>PHYSICAL</x:v>
      </x:c>
      <x:c r="D1792" t="str">
        <x:v>event validity</x:v>
      </x:c>
      <x:c r="E1792" t="str">
        <x:v>PH-VA-253</x:v>
      </x:c>
      <x:c r="F1792" t="n">
        <x:f>IF('Event Register'!T259&lt;&gt;"",1,0)</x:f>
        <x:v>0</x:v>
      </x:c>
      <x:c r="G1792" t="n">
        <x:v>1</x:v>
      </x:c>
      <x:c r="H1792" t="str">
        <x:v>independent physical acceptance</x:v>
      </x:c>
      <x:c r="I1792" t="str">
        <x:f>IF(F1792=1,"PASS","OPEN")</x:f>
        <x:v>OPEN</x:v>
      </x:c>
    </x:row>
    <x:row r="1793">
      <x:c r="B1793" t="str">
        <x:v>PH-OU-253</x:v>
      </x:c>
      <x:c r="C1793" t="str">
        <x:v>PHYSICAL</x:v>
      </x:c>
      <x:c r="D1793" t="str">
        <x:v>event outcome</x:v>
      </x:c>
      <x:c r="E1793" t="str">
        <x:v>PH-OU-253</x:v>
      </x:c>
      <x:c r="F1793" t="n">
        <x:f>IF('Event Register'!U259&lt;&gt;"",1,0)</x:f>
        <x:v>0</x:v>
      </x:c>
      <x:c r="G1793" t="n">
        <x:v>1</x:v>
      </x:c>
      <x:c r="H1793" t="str">
        <x:v>independent physical acceptance</x:v>
      </x:c>
      <x:c r="I1793" t="str">
        <x:f>IF(F1793=1,"PASS","OPEN")</x:f>
        <x:v>OPEN</x:v>
      </x:c>
    </x:row>
    <x:row r="1794">
      <x:c r="B1794" t="str">
        <x:v>PH-EX-254</x:v>
      </x:c>
      <x:c r="C1794" t="str">
        <x:v>PHYSICAL</x:v>
      </x:c>
      <x:c r="D1794" t="str">
        <x:v>event execution</x:v>
      </x:c>
      <x:c r="E1794" t="str">
        <x:v>PH-EX-254</x:v>
      </x:c>
      <x:c r="F1794" t="n">
        <x:f>IF('Event Register'!R260&lt;&gt;"",1,0)</x:f>
        <x:v>0</x:v>
      </x:c>
      <x:c r="G1794" t="n">
        <x:v>1</x:v>
      </x:c>
      <x:c r="H1794" t="str">
        <x:v>independent physical acceptance</x:v>
      </x:c>
      <x:c r="I1794" t="str">
        <x:f>IF(F1794=1,"PASS","OPEN")</x:f>
        <x:v>OPEN</x:v>
      </x:c>
    </x:row>
    <x:row r="1795">
      <x:c r="B1795" t="str">
        <x:v>PH-EV-254</x:v>
      </x:c>
      <x:c r="C1795" t="str">
        <x:v>PHYSICAL</x:v>
      </x:c>
      <x:c r="D1795" t="str">
        <x:v>event evidence</x:v>
      </x:c>
      <x:c r="E1795" t="str">
        <x:v>PH-EV-254</x:v>
      </x:c>
      <x:c r="F1795" t="n">
        <x:f>IF('Event Register'!S260&lt;&gt;"",1,0)</x:f>
        <x:v>0</x:v>
      </x:c>
      <x:c r="G1795" t="n">
        <x:v>1</x:v>
      </x:c>
      <x:c r="H1795" t="str">
        <x:v>independent physical acceptance</x:v>
      </x:c>
      <x:c r="I1795" t="str">
        <x:f>IF(F1795=1,"PASS","OPEN")</x:f>
        <x:v>OPEN</x:v>
      </x:c>
    </x:row>
    <x:row r="1796">
      <x:c r="B1796" t="str">
        <x:v>PH-VA-254</x:v>
      </x:c>
      <x:c r="C1796" t="str">
        <x:v>PHYSICAL</x:v>
      </x:c>
      <x:c r="D1796" t="str">
        <x:v>event validity</x:v>
      </x:c>
      <x:c r="E1796" t="str">
        <x:v>PH-VA-254</x:v>
      </x:c>
      <x:c r="F1796" t="n">
        <x:f>IF('Event Register'!T260&lt;&gt;"",1,0)</x:f>
        <x:v>0</x:v>
      </x:c>
      <x:c r="G1796" t="n">
        <x:v>1</x:v>
      </x:c>
      <x:c r="H1796" t="str">
        <x:v>independent physical acceptance</x:v>
      </x:c>
      <x:c r="I1796" t="str">
        <x:f>IF(F1796=1,"PASS","OPEN")</x:f>
        <x:v>OPEN</x:v>
      </x:c>
    </x:row>
    <x:row r="1797">
      <x:c r="B1797" t="str">
        <x:v>PH-OU-254</x:v>
      </x:c>
      <x:c r="C1797" t="str">
        <x:v>PHYSICAL</x:v>
      </x:c>
      <x:c r="D1797" t="str">
        <x:v>event outcome</x:v>
      </x:c>
      <x:c r="E1797" t="str">
        <x:v>PH-OU-254</x:v>
      </x:c>
      <x:c r="F1797" t="n">
        <x:f>IF('Event Register'!U260&lt;&gt;"",1,0)</x:f>
        <x:v>0</x:v>
      </x:c>
      <x:c r="G1797" t="n">
        <x:v>1</x:v>
      </x:c>
      <x:c r="H1797" t="str">
        <x:v>independent physical acceptance</x:v>
      </x:c>
      <x:c r="I1797" t="str">
        <x:f>IF(F1797=1,"PASS","OPEN")</x:f>
        <x:v>OPEN</x:v>
      </x:c>
    </x:row>
    <x:row r="1798">
      <x:c r="B1798" t="str">
        <x:v>PH-EX-255</x:v>
      </x:c>
      <x:c r="C1798" t="str">
        <x:v>PHYSICAL</x:v>
      </x:c>
      <x:c r="D1798" t="str">
        <x:v>event execution</x:v>
      </x:c>
      <x:c r="E1798" t="str">
        <x:v>PH-EX-255</x:v>
      </x:c>
      <x:c r="F1798" t="n">
        <x:f>IF('Event Register'!R261&lt;&gt;"",1,0)</x:f>
        <x:v>0</x:v>
      </x:c>
      <x:c r="G1798" t="n">
        <x:v>1</x:v>
      </x:c>
      <x:c r="H1798" t="str">
        <x:v>independent physical acceptance</x:v>
      </x:c>
      <x:c r="I1798" t="str">
        <x:f>IF(F1798=1,"PASS","OPEN")</x:f>
        <x:v>OPEN</x:v>
      </x:c>
    </x:row>
    <x:row r="1799">
      <x:c r="B1799" t="str">
        <x:v>PH-EV-255</x:v>
      </x:c>
      <x:c r="C1799" t="str">
        <x:v>PHYSICAL</x:v>
      </x:c>
      <x:c r="D1799" t="str">
        <x:v>event evidence</x:v>
      </x:c>
      <x:c r="E1799" t="str">
        <x:v>PH-EV-255</x:v>
      </x:c>
      <x:c r="F1799" t="n">
        <x:f>IF('Event Register'!S261&lt;&gt;"",1,0)</x:f>
        <x:v>0</x:v>
      </x:c>
      <x:c r="G1799" t="n">
        <x:v>1</x:v>
      </x:c>
      <x:c r="H1799" t="str">
        <x:v>independent physical acceptance</x:v>
      </x:c>
      <x:c r="I1799" t="str">
        <x:f>IF(F1799=1,"PASS","OPEN")</x:f>
        <x:v>OPEN</x:v>
      </x:c>
    </x:row>
    <x:row r="1800">
      <x:c r="B1800" t="str">
        <x:v>PH-VA-255</x:v>
      </x:c>
      <x:c r="C1800" t="str">
        <x:v>PHYSICAL</x:v>
      </x:c>
      <x:c r="D1800" t="str">
        <x:v>event validity</x:v>
      </x:c>
      <x:c r="E1800" t="str">
        <x:v>PH-VA-255</x:v>
      </x:c>
      <x:c r="F1800" t="n">
        <x:f>IF('Event Register'!T261&lt;&gt;"",1,0)</x:f>
        <x:v>0</x:v>
      </x:c>
      <x:c r="G1800" t="n">
        <x:v>1</x:v>
      </x:c>
      <x:c r="H1800" t="str">
        <x:v>independent physical acceptance</x:v>
      </x:c>
      <x:c r="I1800" t="str">
        <x:f>IF(F1800=1,"PASS","OPEN")</x:f>
        <x:v>OPEN</x:v>
      </x:c>
    </x:row>
    <x:row r="1801">
      <x:c r="B1801" t="str">
        <x:v>PH-OU-255</x:v>
      </x:c>
      <x:c r="C1801" t="str">
        <x:v>PHYSICAL</x:v>
      </x:c>
      <x:c r="D1801" t="str">
        <x:v>event outcome</x:v>
      </x:c>
      <x:c r="E1801" t="str">
        <x:v>PH-OU-255</x:v>
      </x:c>
      <x:c r="F1801" t="n">
        <x:f>IF('Event Register'!U261&lt;&gt;"",1,0)</x:f>
        <x:v>0</x:v>
      </x:c>
      <x:c r="G1801" t="n">
        <x:v>1</x:v>
      </x:c>
      <x:c r="H1801" t="str">
        <x:v>independent physical acceptance</x:v>
      </x:c>
      <x:c r="I1801" t="str">
        <x:f>IF(F1801=1,"PASS","OPEN")</x:f>
        <x:v>OPEN</x:v>
      </x:c>
    </x:row>
    <x:row r="1802">
      <x:c r="B1802" t="str">
        <x:v>PH-EX-256</x:v>
      </x:c>
      <x:c r="C1802" t="str">
        <x:v>PHYSICAL</x:v>
      </x:c>
      <x:c r="D1802" t="str">
        <x:v>event execution</x:v>
      </x:c>
      <x:c r="E1802" t="str">
        <x:v>PH-EX-256</x:v>
      </x:c>
      <x:c r="F1802" t="n">
        <x:f>IF('Event Register'!R262&lt;&gt;"",1,0)</x:f>
        <x:v>0</x:v>
      </x:c>
      <x:c r="G1802" t="n">
        <x:v>1</x:v>
      </x:c>
      <x:c r="H1802" t="str">
        <x:v>independent physical acceptance</x:v>
      </x:c>
      <x:c r="I1802" t="str">
        <x:f>IF(F1802=1,"PASS","OPEN")</x:f>
        <x:v>OPEN</x:v>
      </x:c>
    </x:row>
    <x:row r="1803">
      <x:c r="B1803" t="str">
        <x:v>PH-EV-256</x:v>
      </x:c>
      <x:c r="C1803" t="str">
        <x:v>PHYSICAL</x:v>
      </x:c>
      <x:c r="D1803" t="str">
        <x:v>event evidence</x:v>
      </x:c>
      <x:c r="E1803" t="str">
        <x:v>PH-EV-256</x:v>
      </x:c>
      <x:c r="F1803" t="n">
        <x:f>IF('Event Register'!S262&lt;&gt;"",1,0)</x:f>
        <x:v>0</x:v>
      </x:c>
      <x:c r="G1803" t="n">
        <x:v>1</x:v>
      </x:c>
      <x:c r="H1803" t="str">
        <x:v>independent physical acceptance</x:v>
      </x:c>
      <x:c r="I1803" t="str">
        <x:f>IF(F1803=1,"PASS","OPEN")</x:f>
        <x:v>OPEN</x:v>
      </x:c>
    </x:row>
    <x:row r="1804">
      <x:c r="B1804" t="str">
        <x:v>PH-VA-256</x:v>
      </x:c>
      <x:c r="C1804" t="str">
        <x:v>PHYSICAL</x:v>
      </x:c>
      <x:c r="D1804" t="str">
        <x:v>event validity</x:v>
      </x:c>
      <x:c r="E1804" t="str">
        <x:v>PH-VA-256</x:v>
      </x:c>
      <x:c r="F1804" t="n">
        <x:f>IF('Event Register'!T262&lt;&gt;"",1,0)</x:f>
        <x:v>0</x:v>
      </x:c>
      <x:c r="G1804" t="n">
        <x:v>1</x:v>
      </x:c>
      <x:c r="H1804" t="str">
        <x:v>independent physical acceptance</x:v>
      </x:c>
      <x:c r="I1804" t="str">
        <x:f>IF(F1804=1,"PASS","OPEN")</x:f>
        <x:v>OPEN</x:v>
      </x:c>
    </x:row>
    <x:row r="1805">
      <x:c r="B1805" t="str">
        <x:v>PH-OU-256</x:v>
      </x:c>
      <x:c r="C1805" t="str">
        <x:v>PHYSICAL</x:v>
      </x:c>
      <x:c r="D1805" t="str">
        <x:v>event outcome</x:v>
      </x:c>
      <x:c r="E1805" t="str">
        <x:v>PH-OU-256</x:v>
      </x:c>
      <x:c r="F1805" t="n">
        <x:f>IF('Event Register'!U262&lt;&gt;"",1,0)</x:f>
        <x:v>0</x:v>
      </x:c>
      <x:c r="G1805" t="n">
        <x:v>1</x:v>
      </x:c>
      <x:c r="H1805" t="str">
        <x:v>independent physical acceptance</x:v>
      </x:c>
      <x:c r="I1805" t="str">
        <x:f>IF(F1805=1,"PASS","OPEN")</x:f>
        <x:v>OPEN</x:v>
      </x:c>
    </x:row>
    <x:row r="1806">
      <x:c r="B1806" t="str">
        <x:v>PH-EX-257</x:v>
      </x:c>
      <x:c r="C1806" t="str">
        <x:v>PHYSICAL</x:v>
      </x:c>
      <x:c r="D1806" t="str">
        <x:v>event execution</x:v>
      </x:c>
      <x:c r="E1806" t="str">
        <x:v>PH-EX-257</x:v>
      </x:c>
      <x:c r="F1806" t="n">
        <x:f>IF('Event Register'!R263&lt;&gt;"",1,0)</x:f>
        <x:v>0</x:v>
      </x:c>
      <x:c r="G1806" t="n">
        <x:v>1</x:v>
      </x:c>
      <x:c r="H1806" t="str">
        <x:v>independent physical acceptance</x:v>
      </x:c>
      <x:c r="I1806" t="str">
        <x:f>IF(F1806=1,"PASS","OPEN")</x:f>
        <x:v>OPEN</x:v>
      </x:c>
    </x:row>
    <x:row r="1807">
      <x:c r="B1807" t="str">
        <x:v>PH-EV-257</x:v>
      </x:c>
      <x:c r="C1807" t="str">
        <x:v>PHYSICAL</x:v>
      </x:c>
      <x:c r="D1807" t="str">
        <x:v>event evidence</x:v>
      </x:c>
      <x:c r="E1807" t="str">
        <x:v>PH-EV-257</x:v>
      </x:c>
      <x:c r="F1807" t="n">
        <x:f>IF('Event Register'!S263&lt;&gt;"",1,0)</x:f>
        <x:v>0</x:v>
      </x:c>
      <x:c r="G1807" t="n">
        <x:v>1</x:v>
      </x:c>
      <x:c r="H1807" t="str">
        <x:v>independent physical acceptance</x:v>
      </x:c>
      <x:c r="I1807" t="str">
        <x:f>IF(F1807=1,"PASS","OPEN")</x:f>
        <x:v>OPEN</x:v>
      </x:c>
    </x:row>
    <x:row r="1808">
      <x:c r="B1808" t="str">
        <x:v>PH-VA-257</x:v>
      </x:c>
      <x:c r="C1808" t="str">
        <x:v>PHYSICAL</x:v>
      </x:c>
      <x:c r="D1808" t="str">
        <x:v>event validity</x:v>
      </x:c>
      <x:c r="E1808" t="str">
        <x:v>PH-VA-257</x:v>
      </x:c>
      <x:c r="F1808" t="n">
        <x:f>IF('Event Register'!T263&lt;&gt;"",1,0)</x:f>
        <x:v>0</x:v>
      </x:c>
      <x:c r="G1808" t="n">
        <x:v>1</x:v>
      </x:c>
      <x:c r="H1808" t="str">
        <x:v>independent physical acceptance</x:v>
      </x:c>
      <x:c r="I1808" t="str">
        <x:f>IF(F1808=1,"PASS","OPEN")</x:f>
        <x:v>OPEN</x:v>
      </x:c>
    </x:row>
    <x:row r="1809">
      <x:c r="B1809" t="str">
        <x:v>PH-OU-257</x:v>
      </x:c>
      <x:c r="C1809" t="str">
        <x:v>PHYSICAL</x:v>
      </x:c>
      <x:c r="D1809" t="str">
        <x:v>event outcome</x:v>
      </x:c>
      <x:c r="E1809" t="str">
        <x:v>PH-OU-257</x:v>
      </x:c>
      <x:c r="F1809" t="n">
        <x:f>IF('Event Register'!U263&lt;&gt;"",1,0)</x:f>
        <x:v>0</x:v>
      </x:c>
      <x:c r="G1809" t="n">
        <x:v>1</x:v>
      </x:c>
      <x:c r="H1809" t="str">
        <x:v>independent physical acceptance</x:v>
      </x:c>
      <x:c r="I1809" t="str">
        <x:f>IF(F1809=1,"PASS","OPEN")</x:f>
        <x:v>OPEN</x:v>
      </x:c>
    </x:row>
    <x:row r="1810">
      <x:c r="B1810" t="str">
        <x:v>PH-EX-258</x:v>
      </x:c>
      <x:c r="C1810" t="str">
        <x:v>PHYSICAL</x:v>
      </x:c>
      <x:c r="D1810" t="str">
        <x:v>event execution</x:v>
      </x:c>
      <x:c r="E1810" t="str">
        <x:v>PH-EX-258</x:v>
      </x:c>
      <x:c r="F1810" t="n">
        <x:f>IF('Event Register'!R264&lt;&gt;"",1,0)</x:f>
        <x:v>0</x:v>
      </x:c>
      <x:c r="G1810" t="n">
        <x:v>1</x:v>
      </x:c>
      <x:c r="H1810" t="str">
        <x:v>independent physical acceptance</x:v>
      </x:c>
      <x:c r="I1810" t="str">
        <x:f>IF(F1810=1,"PASS","OPEN")</x:f>
        <x:v>OPEN</x:v>
      </x:c>
    </x:row>
    <x:row r="1811">
      <x:c r="B1811" t="str">
        <x:v>PH-EV-258</x:v>
      </x:c>
      <x:c r="C1811" t="str">
        <x:v>PHYSICAL</x:v>
      </x:c>
      <x:c r="D1811" t="str">
        <x:v>event evidence</x:v>
      </x:c>
      <x:c r="E1811" t="str">
        <x:v>PH-EV-258</x:v>
      </x:c>
      <x:c r="F1811" t="n">
        <x:f>IF('Event Register'!S264&lt;&gt;"",1,0)</x:f>
        <x:v>0</x:v>
      </x:c>
      <x:c r="G1811" t="n">
        <x:v>1</x:v>
      </x:c>
      <x:c r="H1811" t="str">
        <x:v>independent physical acceptance</x:v>
      </x:c>
      <x:c r="I1811" t="str">
        <x:f>IF(F1811=1,"PASS","OPEN")</x:f>
        <x:v>OPEN</x:v>
      </x:c>
    </x:row>
    <x:row r="1812">
      <x:c r="B1812" t="str">
        <x:v>PH-VA-258</x:v>
      </x:c>
      <x:c r="C1812" t="str">
        <x:v>PHYSICAL</x:v>
      </x:c>
      <x:c r="D1812" t="str">
        <x:v>event validity</x:v>
      </x:c>
      <x:c r="E1812" t="str">
        <x:v>PH-VA-258</x:v>
      </x:c>
      <x:c r="F1812" t="n">
        <x:f>IF('Event Register'!T264&lt;&gt;"",1,0)</x:f>
        <x:v>0</x:v>
      </x:c>
      <x:c r="G1812" t="n">
        <x:v>1</x:v>
      </x:c>
      <x:c r="H1812" t="str">
        <x:v>independent physical acceptance</x:v>
      </x:c>
      <x:c r="I1812" t="str">
        <x:f>IF(F1812=1,"PASS","OPEN")</x:f>
        <x:v>OPEN</x:v>
      </x:c>
    </x:row>
    <x:row r="1813">
      <x:c r="B1813" t="str">
        <x:v>PH-OU-258</x:v>
      </x:c>
      <x:c r="C1813" t="str">
        <x:v>PHYSICAL</x:v>
      </x:c>
      <x:c r="D1813" t="str">
        <x:v>event outcome</x:v>
      </x:c>
      <x:c r="E1813" t="str">
        <x:v>PH-OU-258</x:v>
      </x:c>
      <x:c r="F1813" t="n">
        <x:f>IF('Event Register'!U264&lt;&gt;"",1,0)</x:f>
        <x:v>0</x:v>
      </x:c>
      <x:c r="G1813" t="n">
        <x:v>1</x:v>
      </x:c>
      <x:c r="H1813" t="str">
        <x:v>independent physical acceptance</x:v>
      </x:c>
      <x:c r="I1813" t="str">
        <x:f>IF(F1813=1,"PASS","OPEN")</x:f>
        <x:v>OPEN</x:v>
      </x:c>
    </x:row>
    <x:row r="1814">
      <x:c r="B1814" t="str">
        <x:v>PH-EX-259</x:v>
      </x:c>
      <x:c r="C1814" t="str">
        <x:v>PHYSICAL</x:v>
      </x:c>
      <x:c r="D1814" t="str">
        <x:v>event execution</x:v>
      </x:c>
      <x:c r="E1814" t="str">
        <x:v>PH-EX-259</x:v>
      </x:c>
      <x:c r="F1814" t="n">
        <x:f>IF('Event Register'!R265&lt;&gt;"",1,0)</x:f>
        <x:v>0</x:v>
      </x:c>
      <x:c r="G1814" t="n">
        <x:v>1</x:v>
      </x:c>
      <x:c r="H1814" t="str">
        <x:v>independent physical acceptance</x:v>
      </x:c>
      <x:c r="I1814" t="str">
        <x:f>IF(F1814=1,"PASS","OPEN")</x:f>
        <x:v>OPEN</x:v>
      </x:c>
    </x:row>
    <x:row r="1815">
      <x:c r="B1815" t="str">
        <x:v>PH-EV-259</x:v>
      </x:c>
      <x:c r="C1815" t="str">
        <x:v>PHYSICAL</x:v>
      </x:c>
      <x:c r="D1815" t="str">
        <x:v>event evidence</x:v>
      </x:c>
      <x:c r="E1815" t="str">
        <x:v>PH-EV-259</x:v>
      </x:c>
      <x:c r="F1815" t="n">
        <x:f>IF('Event Register'!S265&lt;&gt;"",1,0)</x:f>
        <x:v>0</x:v>
      </x:c>
      <x:c r="G1815" t="n">
        <x:v>1</x:v>
      </x:c>
      <x:c r="H1815" t="str">
        <x:v>independent physical acceptance</x:v>
      </x:c>
      <x:c r="I1815" t="str">
        <x:f>IF(F1815=1,"PASS","OPEN")</x:f>
        <x:v>OPEN</x:v>
      </x:c>
    </x:row>
    <x:row r="1816">
      <x:c r="B1816" t="str">
        <x:v>PH-VA-259</x:v>
      </x:c>
      <x:c r="C1816" t="str">
        <x:v>PHYSICAL</x:v>
      </x:c>
      <x:c r="D1816" t="str">
        <x:v>event validity</x:v>
      </x:c>
      <x:c r="E1816" t="str">
        <x:v>PH-VA-259</x:v>
      </x:c>
      <x:c r="F1816" t="n">
        <x:f>IF('Event Register'!T265&lt;&gt;"",1,0)</x:f>
        <x:v>0</x:v>
      </x:c>
      <x:c r="G1816" t="n">
        <x:v>1</x:v>
      </x:c>
      <x:c r="H1816" t="str">
        <x:v>independent physical acceptance</x:v>
      </x:c>
      <x:c r="I1816" t="str">
        <x:f>IF(F1816=1,"PASS","OPEN")</x:f>
        <x:v>OPEN</x:v>
      </x:c>
    </x:row>
    <x:row r="1817">
      <x:c r="B1817" t="str">
        <x:v>PH-OU-259</x:v>
      </x:c>
      <x:c r="C1817" t="str">
        <x:v>PHYSICAL</x:v>
      </x:c>
      <x:c r="D1817" t="str">
        <x:v>event outcome</x:v>
      </x:c>
      <x:c r="E1817" t="str">
        <x:v>PH-OU-259</x:v>
      </x:c>
      <x:c r="F1817" t="n">
        <x:f>IF('Event Register'!U265&lt;&gt;"",1,0)</x:f>
        <x:v>0</x:v>
      </x:c>
      <x:c r="G1817" t="n">
        <x:v>1</x:v>
      </x:c>
      <x:c r="H1817" t="str">
        <x:v>independent physical acceptance</x:v>
      </x:c>
      <x:c r="I1817" t="str">
        <x:f>IF(F1817=1,"PASS","OPEN")</x:f>
        <x:v>OPEN</x:v>
      </x:c>
    </x:row>
    <x:row r="1818">
      <x:c r="B1818" t="str">
        <x:v>PH-EX-260</x:v>
      </x:c>
      <x:c r="C1818" t="str">
        <x:v>PHYSICAL</x:v>
      </x:c>
      <x:c r="D1818" t="str">
        <x:v>event execution</x:v>
      </x:c>
      <x:c r="E1818" t="str">
        <x:v>PH-EX-260</x:v>
      </x:c>
      <x:c r="F1818" t="n">
        <x:f>IF('Event Register'!R266&lt;&gt;"",1,0)</x:f>
        <x:v>0</x:v>
      </x:c>
      <x:c r="G1818" t="n">
        <x:v>1</x:v>
      </x:c>
      <x:c r="H1818" t="str">
        <x:v>independent physical acceptance</x:v>
      </x:c>
      <x:c r="I1818" t="str">
        <x:f>IF(F1818=1,"PASS","OPEN")</x:f>
        <x:v>OPEN</x:v>
      </x:c>
    </x:row>
    <x:row r="1819">
      <x:c r="B1819" t="str">
        <x:v>PH-EV-260</x:v>
      </x:c>
      <x:c r="C1819" t="str">
        <x:v>PHYSICAL</x:v>
      </x:c>
      <x:c r="D1819" t="str">
        <x:v>event evidence</x:v>
      </x:c>
      <x:c r="E1819" t="str">
        <x:v>PH-EV-260</x:v>
      </x:c>
      <x:c r="F1819" t="n">
        <x:f>IF('Event Register'!S266&lt;&gt;"",1,0)</x:f>
        <x:v>0</x:v>
      </x:c>
      <x:c r="G1819" t="n">
        <x:v>1</x:v>
      </x:c>
      <x:c r="H1819" t="str">
        <x:v>independent physical acceptance</x:v>
      </x:c>
      <x:c r="I1819" t="str">
        <x:f>IF(F1819=1,"PASS","OPEN")</x:f>
        <x:v>OPEN</x:v>
      </x:c>
    </x:row>
    <x:row r="1820">
      <x:c r="B1820" t="str">
        <x:v>PH-VA-260</x:v>
      </x:c>
      <x:c r="C1820" t="str">
        <x:v>PHYSICAL</x:v>
      </x:c>
      <x:c r="D1820" t="str">
        <x:v>event validity</x:v>
      </x:c>
      <x:c r="E1820" t="str">
        <x:v>PH-VA-260</x:v>
      </x:c>
      <x:c r="F1820" t="n">
        <x:f>IF('Event Register'!T266&lt;&gt;"",1,0)</x:f>
        <x:v>0</x:v>
      </x:c>
      <x:c r="G1820" t="n">
        <x:v>1</x:v>
      </x:c>
      <x:c r="H1820" t="str">
        <x:v>independent physical acceptance</x:v>
      </x:c>
      <x:c r="I1820" t="str">
        <x:f>IF(F1820=1,"PASS","OPEN")</x:f>
        <x:v>OPEN</x:v>
      </x:c>
    </x:row>
    <x:row r="1821">
      <x:c r="B1821" t="str">
        <x:v>PH-OU-260</x:v>
      </x:c>
      <x:c r="C1821" t="str">
        <x:v>PHYSICAL</x:v>
      </x:c>
      <x:c r="D1821" t="str">
        <x:v>event outcome</x:v>
      </x:c>
      <x:c r="E1821" t="str">
        <x:v>PH-OU-260</x:v>
      </x:c>
      <x:c r="F1821" t="n">
        <x:f>IF('Event Register'!U266&lt;&gt;"",1,0)</x:f>
        <x:v>0</x:v>
      </x:c>
      <x:c r="G1821" t="n">
        <x:v>1</x:v>
      </x:c>
      <x:c r="H1821" t="str">
        <x:v>independent physical acceptance</x:v>
      </x:c>
      <x:c r="I1821" t="str">
        <x:f>IF(F1821=1,"PASS","OPEN")</x:f>
        <x:v>OPEN</x:v>
      </x:c>
    </x:row>
    <x:row r="1822">
      <x:c r="B1822" t="str">
        <x:v>PH-EX-261</x:v>
      </x:c>
      <x:c r="C1822" t="str">
        <x:v>PHYSICAL</x:v>
      </x:c>
      <x:c r="D1822" t="str">
        <x:v>event execution</x:v>
      </x:c>
      <x:c r="E1822" t="str">
        <x:v>PH-EX-261</x:v>
      </x:c>
      <x:c r="F1822" t="n">
        <x:f>IF('Event Register'!R267&lt;&gt;"",1,0)</x:f>
        <x:v>0</x:v>
      </x:c>
      <x:c r="G1822" t="n">
        <x:v>1</x:v>
      </x:c>
      <x:c r="H1822" t="str">
        <x:v>independent physical acceptance</x:v>
      </x:c>
      <x:c r="I1822" t="str">
        <x:f>IF(F1822=1,"PASS","OPEN")</x:f>
        <x:v>OPEN</x:v>
      </x:c>
    </x:row>
    <x:row r="1823">
      <x:c r="B1823" t="str">
        <x:v>PH-EV-261</x:v>
      </x:c>
      <x:c r="C1823" t="str">
        <x:v>PHYSICAL</x:v>
      </x:c>
      <x:c r="D1823" t="str">
        <x:v>event evidence</x:v>
      </x:c>
      <x:c r="E1823" t="str">
        <x:v>PH-EV-261</x:v>
      </x:c>
      <x:c r="F1823" t="n">
        <x:f>IF('Event Register'!S267&lt;&gt;"",1,0)</x:f>
        <x:v>0</x:v>
      </x:c>
      <x:c r="G1823" t="n">
        <x:v>1</x:v>
      </x:c>
      <x:c r="H1823" t="str">
        <x:v>independent physical acceptance</x:v>
      </x:c>
      <x:c r="I1823" t="str">
        <x:f>IF(F1823=1,"PASS","OPEN")</x:f>
        <x:v>OPEN</x:v>
      </x:c>
    </x:row>
    <x:row r="1824">
      <x:c r="B1824" t="str">
        <x:v>PH-VA-261</x:v>
      </x:c>
      <x:c r="C1824" t="str">
        <x:v>PHYSICAL</x:v>
      </x:c>
      <x:c r="D1824" t="str">
        <x:v>event validity</x:v>
      </x:c>
      <x:c r="E1824" t="str">
        <x:v>PH-VA-261</x:v>
      </x:c>
      <x:c r="F1824" t="n">
        <x:f>IF('Event Register'!T267&lt;&gt;"",1,0)</x:f>
        <x:v>0</x:v>
      </x:c>
      <x:c r="G1824" t="n">
        <x:v>1</x:v>
      </x:c>
      <x:c r="H1824" t="str">
        <x:v>independent physical acceptance</x:v>
      </x:c>
      <x:c r="I1824" t="str">
        <x:f>IF(F1824=1,"PASS","OPEN")</x:f>
        <x:v>OPEN</x:v>
      </x:c>
    </x:row>
    <x:row r="1825">
      <x:c r="B1825" t="str">
        <x:v>PH-OU-261</x:v>
      </x:c>
      <x:c r="C1825" t="str">
        <x:v>PHYSICAL</x:v>
      </x:c>
      <x:c r="D1825" t="str">
        <x:v>event outcome</x:v>
      </x:c>
      <x:c r="E1825" t="str">
        <x:v>PH-OU-261</x:v>
      </x:c>
      <x:c r="F1825" t="n">
        <x:f>IF('Event Register'!U267&lt;&gt;"",1,0)</x:f>
        <x:v>0</x:v>
      </x:c>
      <x:c r="G1825" t="n">
        <x:v>1</x:v>
      </x:c>
      <x:c r="H1825" t="str">
        <x:v>independent physical acceptance</x:v>
      </x:c>
      <x:c r="I1825" t="str">
        <x:f>IF(F1825=1,"PASS","OPEN")</x:f>
        <x:v>OPEN</x:v>
      </x:c>
    </x:row>
    <x:row r="1826">
      <x:c r="B1826" t="str">
        <x:v>PH-EX-262</x:v>
      </x:c>
      <x:c r="C1826" t="str">
        <x:v>PHYSICAL</x:v>
      </x:c>
      <x:c r="D1826" t="str">
        <x:v>event execution</x:v>
      </x:c>
      <x:c r="E1826" t="str">
        <x:v>PH-EX-262</x:v>
      </x:c>
      <x:c r="F1826" t="n">
        <x:f>IF('Event Register'!R268&lt;&gt;"",1,0)</x:f>
        <x:v>0</x:v>
      </x:c>
      <x:c r="G1826" t="n">
        <x:v>1</x:v>
      </x:c>
      <x:c r="H1826" t="str">
        <x:v>independent physical acceptance</x:v>
      </x:c>
      <x:c r="I1826" t="str">
        <x:f>IF(F1826=1,"PASS","OPEN")</x:f>
        <x:v>OPEN</x:v>
      </x:c>
    </x:row>
    <x:row r="1827">
      <x:c r="B1827" t="str">
        <x:v>PH-EV-262</x:v>
      </x:c>
      <x:c r="C1827" t="str">
        <x:v>PHYSICAL</x:v>
      </x:c>
      <x:c r="D1827" t="str">
        <x:v>event evidence</x:v>
      </x:c>
      <x:c r="E1827" t="str">
        <x:v>PH-EV-262</x:v>
      </x:c>
      <x:c r="F1827" t="n">
        <x:f>IF('Event Register'!S268&lt;&gt;"",1,0)</x:f>
        <x:v>0</x:v>
      </x:c>
      <x:c r="G1827" t="n">
        <x:v>1</x:v>
      </x:c>
      <x:c r="H1827" t="str">
        <x:v>independent physical acceptance</x:v>
      </x:c>
      <x:c r="I1827" t="str">
        <x:f>IF(F1827=1,"PASS","OPEN")</x:f>
        <x:v>OPEN</x:v>
      </x:c>
    </x:row>
    <x:row r="1828">
      <x:c r="B1828" t="str">
        <x:v>PH-VA-262</x:v>
      </x:c>
      <x:c r="C1828" t="str">
        <x:v>PHYSICAL</x:v>
      </x:c>
      <x:c r="D1828" t="str">
        <x:v>event validity</x:v>
      </x:c>
      <x:c r="E1828" t="str">
        <x:v>PH-VA-262</x:v>
      </x:c>
      <x:c r="F1828" t="n">
        <x:f>IF('Event Register'!T268&lt;&gt;"",1,0)</x:f>
        <x:v>0</x:v>
      </x:c>
      <x:c r="G1828" t="n">
        <x:v>1</x:v>
      </x:c>
      <x:c r="H1828" t="str">
        <x:v>independent physical acceptance</x:v>
      </x:c>
      <x:c r="I1828" t="str">
        <x:f>IF(F1828=1,"PASS","OPEN")</x:f>
        <x:v>OPEN</x:v>
      </x:c>
    </x:row>
    <x:row r="1829">
      <x:c r="B1829" t="str">
        <x:v>PH-OU-262</x:v>
      </x:c>
      <x:c r="C1829" t="str">
        <x:v>PHYSICAL</x:v>
      </x:c>
      <x:c r="D1829" t="str">
        <x:v>event outcome</x:v>
      </x:c>
      <x:c r="E1829" t="str">
        <x:v>PH-OU-262</x:v>
      </x:c>
      <x:c r="F1829" t="n">
        <x:f>IF('Event Register'!U268&lt;&gt;"",1,0)</x:f>
        <x:v>0</x:v>
      </x:c>
      <x:c r="G1829" t="n">
        <x:v>1</x:v>
      </x:c>
      <x:c r="H1829" t="str">
        <x:v>independent physical acceptance</x:v>
      </x:c>
      <x:c r="I1829" t="str">
        <x:f>IF(F1829=1,"PASS","OPEN")</x:f>
        <x:v>OPEN</x:v>
      </x:c>
    </x:row>
    <x:row r="1830">
      <x:c r="B1830" t="str">
        <x:v>PH-EX-263</x:v>
      </x:c>
      <x:c r="C1830" t="str">
        <x:v>PHYSICAL</x:v>
      </x:c>
      <x:c r="D1830" t="str">
        <x:v>event execution</x:v>
      </x:c>
      <x:c r="E1830" t="str">
        <x:v>PH-EX-263</x:v>
      </x:c>
      <x:c r="F1830" t="n">
        <x:f>IF('Event Register'!R269&lt;&gt;"",1,0)</x:f>
        <x:v>0</x:v>
      </x:c>
      <x:c r="G1830" t="n">
        <x:v>1</x:v>
      </x:c>
      <x:c r="H1830" t="str">
        <x:v>independent physical acceptance</x:v>
      </x:c>
      <x:c r="I1830" t="str">
        <x:f>IF(F1830=1,"PASS","OPEN")</x:f>
        <x:v>OPEN</x:v>
      </x:c>
    </x:row>
    <x:row r="1831">
      <x:c r="B1831" t="str">
        <x:v>PH-EV-263</x:v>
      </x:c>
      <x:c r="C1831" t="str">
        <x:v>PHYSICAL</x:v>
      </x:c>
      <x:c r="D1831" t="str">
        <x:v>event evidence</x:v>
      </x:c>
      <x:c r="E1831" t="str">
        <x:v>PH-EV-263</x:v>
      </x:c>
      <x:c r="F1831" t="n">
        <x:f>IF('Event Register'!S269&lt;&gt;"",1,0)</x:f>
        <x:v>0</x:v>
      </x:c>
      <x:c r="G1831" t="n">
        <x:v>1</x:v>
      </x:c>
      <x:c r="H1831" t="str">
        <x:v>independent physical acceptance</x:v>
      </x:c>
      <x:c r="I1831" t="str">
        <x:f>IF(F1831=1,"PASS","OPEN")</x:f>
        <x:v>OPEN</x:v>
      </x:c>
    </x:row>
    <x:row r="1832">
      <x:c r="B1832" t="str">
        <x:v>PH-VA-263</x:v>
      </x:c>
      <x:c r="C1832" t="str">
        <x:v>PHYSICAL</x:v>
      </x:c>
      <x:c r="D1832" t="str">
        <x:v>event validity</x:v>
      </x:c>
      <x:c r="E1832" t="str">
        <x:v>PH-VA-263</x:v>
      </x:c>
      <x:c r="F1832" t="n">
        <x:f>IF('Event Register'!T269&lt;&gt;"",1,0)</x:f>
        <x:v>0</x:v>
      </x:c>
      <x:c r="G1832" t="n">
        <x:v>1</x:v>
      </x:c>
      <x:c r="H1832" t="str">
        <x:v>independent physical acceptance</x:v>
      </x:c>
      <x:c r="I1832" t="str">
        <x:f>IF(F1832=1,"PASS","OPEN")</x:f>
        <x:v>OPEN</x:v>
      </x:c>
    </x:row>
    <x:row r="1833">
      <x:c r="B1833" t="str">
        <x:v>PH-OU-263</x:v>
      </x:c>
      <x:c r="C1833" t="str">
        <x:v>PHYSICAL</x:v>
      </x:c>
      <x:c r="D1833" t="str">
        <x:v>event outcome</x:v>
      </x:c>
      <x:c r="E1833" t="str">
        <x:v>PH-OU-263</x:v>
      </x:c>
      <x:c r="F1833" t="n">
        <x:f>IF('Event Register'!U269&lt;&gt;"",1,0)</x:f>
        <x:v>0</x:v>
      </x:c>
      <x:c r="G1833" t="n">
        <x:v>1</x:v>
      </x:c>
      <x:c r="H1833" t="str">
        <x:v>independent physical acceptance</x:v>
      </x:c>
      <x:c r="I1833" t="str">
        <x:f>IF(F1833=1,"PASS","OPEN")</x:f>
        <x:v>OPEN</x:v>
      </x:c>
    </x:row>
    <x:row r="1834">
      <x:c r="B1834" t="str">
        <x:v>PH-EX-264</x:v>
      </x:c>
      <x:c r="C1834" t="str">
        <x:v>PHYSICAL</x:v>
      </x:c>
      <x:c r="D1834" t="str">
        <x:v>event execution</x:v>
      </x:c>
      <x:c r="E1834" t="str">
        <x:v>PH-EX-264</x:v>
      </x:c>
      <x:c r="F1834" t="n">
        <x:f>IF('Event Register'!R270&lt;&gt;"",1,0)</x:f>
        <x:v>0</x:v>
      </x:c>
      <x:c r="G1834" t="n">
        <x:v>1</x:v>
      </x:c>
      <x:c r="H1834" t="str">
        <x:v>independent physical acceptance</x:v>
      </x:c>
      <x:c r="I1834" t="str">
        <x:f>IF(F1834=1,"PASS","OPEN")</x:f>
        <x:v>OPEN</x:v>
      </x:c>
    </x:row>
    <x:row r="1835">
      <x:c r="B1835" t="str">
        <x:v>PH-EV-264</x:v>
      </x:c>
      <x:c r="C1835" t="str">
        <x:v>PHYSICAL</x:v>
      </x:c>
      <x:c r="D1835" t="str">
        <x:v>event evidence</x:v>
      </x:c>
      <x:c r="E1835" t="str">
        <x:v>PH-EV-264</x:v>
      </x:c>
      <x:c r="F1835" t="n">
        <x:f>IF('Event Register'!S270&lt;&gt;"",1,0)</x:f>
        <x:v>0</x:v>
      </x:c>
      <x:c r="G1835" t="n">
        <x:v>1</x:v>
      </x:c>
      <x:c r="H1835" t="str">
        <x:v>independent physical acceptance</x:v>
      </x:c>
      <x:c r="I1835" t="str">
        <x:f>IF(F1835=1,"PASS","OPEN")</x:f>
        <x:v>OPEN</x:v>
      </x:c>
    </x:row>
    <x:row r="1836">
      <x:c r="B1836" t="str">
        <x:v>PH-VA-264</x:v>
      </x:c>
      <x:c r="C1836" t="str">
        <x:v>PHYSICAL</x:v>
      </x:c>
      <x:c r="D1836" t="str">
        <x:v>event validity</x:v>
      </x:c>
      <x:c r="E1836" t="str">
        <x:v>PH-VA-264</x:v>
      </x:c>
      <x:c r="F1836" t="n">
        <x:f>IF('Event Register'!T270&lt;&gt;"",1,0)</x:f>
        <x:v>0</x:v>
      </x:c>
      <x:c r="G1836" t="n">
        <x:v>1</x:v>
      </x:c>
      <x:c r="H1836" t="str">
        <x:v>independent physical acceptance</x:v>
      </x:c>
      <x:c r="I1836" t="str">
        <x:f>IF(F1836=1,"PASS","OPEN")</x:f>
        <x:v>OPEN</x:v>
      </x:c>
    </x:row>
    <x:row r="1837">
      <x:c r="B1837" t="str">
        <x:v>PH-OU-264</x:v>
      </x:c>
      <x:c r="C1837" t="str">
        <x:v>PHYSICAL</x:v>
      </x:c>
      <x:c r="D1837" t="str">
        <x:v>event outcome</x:v>
      </x:c>
      <x:c r="E1837" t="str">
        <x:v>PH-OU-264</x:v>
      </x:c>
      <x:c r="F1837" t="n">
        <x:f>IF('Event Register'!U270&lt;&gt;"",1,0)</x:f>
        <x:v>0</x:v>
      </x:c>
      <x:c r="G1837" t="n">
        <x:v>1</x:v>
      </x:c>
      <x:c r="H1837" t="str">
        <x:v>independent physical acceptance</x:v>
      </x:c>
      <x:c r="I1837" t="str">
        <x:f>IF(F1837=1,"PASS","OPEN")</x:f>
        <x:v>OPEN</x:v>
      </x:c>
    </x:row>
    <x:row r="1838">
      <x:c r="B1838" t="str">
        <x:v>PH-EX-265</x:v>
      </x:c>
      <x:c r="C1838" t="str">
        <x:v>PHYSICAL</x:v>
      </x:c>
      <x:c r="D1838" t="str">
        <x:v>event execution</x:v>
      </x:c>
      <x:c r="E1838" t="str">
        <x:v>PH-EX-265</x:v>
      </x:c>
      <x:c r="F1838" t="n">
        <x:f>IF('Event Register'!R271&lt;&gt;"",1,0)</x:f>
        <x:v>0</x:v>
      </x:c>
      <x:c r="G1838" t="n">
        <x:v>1</x:v>
      </x:c>
      <x:c r="H1838" t="str">
        <x:v>independent physical acceptance</x:v>
      </x:c>
      <x:c r="I1838" t="str">
        <x:f>IF(F1838=1,"PASS","OPEN")</x:f>
        <x:v>OPEN</x:v>
      </x:c>
    </x:row>
    <x:row r="1839">
      <x:c r="B1839" t="str">
        <x:v>PH-EV-265</x:v>
      </x:c>
      <x:c r="C1839" t="str">
        <x:v>PHYSICAL</x:v>
      </x:c>
      <x:c r="D1839" t="str">
        <x:v>event evidence</x:v>
      </x:c>
      <x:c r="E1839" t="str">
        <x:v>PH-EV-265</x:v>
      </x:c>
      <x:c r="F1839" t="n">
        <x:f>IF('Event Register'!S271&lt;&gt;"",1,0)</x:f>
        <x:v>0</x:v>
      </x:c>
      <x:c r="G1839" t="n">
        <x:v>1</x:v>
      </x:c>
      <x:c r="H1839" t="str">
        <x:v>independent physical acceptance</x:v>
      </x:c>
      <x:c r="I1839" t="str">
        <x:f>IF(F1839=1,"PASS","OPEN")</x:f>
        <x:v>OPEN</x:v>
      </x:c>
    </x:row>
    <x:row r="1840">
      <x:c r="B1840" t="str">
        <x:v>PH-VA-265</x:v>
      </x:c>
      <x:c r="C1840" t="str">
        <x:v>PHYSICAL</x:v>
      </x:c>
      <x:c r="D1840" t="str">
        <x:v>event validity</x:v>
      </x:c>
      <x:c r="E1840" t="str">
        <x:v>PH-VA-265</x:v>
      </x:c>
      <x:c r="F1840" t="n">
        <x:f>IF('Event Register'!T271&lt;&gt;"",1,0)</x:f>
        <x:v>0</x:v>
      </x:c>
      <x:c r="G1840" t="n">
        <x:v>1</x:v>
      </x:c>
      <x:c r="H1840" t="str">
        <x:v>independent physical acceptance</x:v>
      </x:c>
      <x:c r="I1840" t="str">
        <x:f>IF(F1840=1,"PASS","OPEN")</x:f>
        <x:v>OPEN</x:v>
      </x:c>
    </x:row>
    <x:row r="1841">
      <x:c r="B1841" t="str">
        <x:v>PH-OU-265</x:v>
      </x:c>
      <x:c r="C1841" t="str">
        <x:v>PHYSICAL</x:v>
      </x:c>
      <x:c r="D1841" t="str">
        <x:v>event outcome</x:v>
      </x:c>
      <x:c r="E1841" t="str">
        <x:v>PH-OU-265</x:v>
      </x:c>
      <x:c r="F1841" t="n">
        <x:f>IF('Event Register'!U271&lt;&gt;"",1,0)</x:f>
        <x:v>0</x:v>
      </x:c>
      <x:c r="G1841" t="n">
        <x:v>1</x:v>
      </x:c>
      <x:c r="H1841" t="str">
        <x:v>independent physical acceptance</x:v>
      </x:c>
      <x:c r="I1841" t="str">
        <x:f>IF(F1841=1,"PASS","OPEN")</x:f>
        <x:v>OPEN</x:v>
      </x:c>
    </x:row>
    <x:row r="1842">
      <x:c r="B1842" t="str">
        <x:v>PH-EX-266</x:v>
      </x:c>
      <x:c r="C1842" t="str">
        <x:v>PHYSICAL</x:v>
      </x:c>
      <x:c r="D1842" t="str">
        <x:v>event execution</x:v>
      </x:c>
      <x:c r="E1842" t="str">
        <x:v>PH-EX-266</x:v>
      </x:c>
      <x:c r="F1842" t="n">
        <x:f>IF('Event Register'!R272&lt;&gt;"",1,0)</x:f>
        <x:v>0</x:v>
      </x:c>
      <x:c r="G1842" t="n">
        <x:v>1</x:v>
      </x:c>
      <x:c r="H1842" t="str">
        <x:v>independent physical acceptance</x:v>
      </x:c>
      <x:c r="I1842" t="str">
        <x:f>IF(F1842=1,"PASS","OPEN")</x:f>
        <x:v>OPEN</x:v>
      </x:c>
    </x:row>
    <x:row r="1843">
      <x:c r="B1843" t="str">
        <x:v>PH-EV-266</x:v>
      </x:c>
      <x:c r="C1843" t="str">
        <x:v>PHYSICAL</x:v>
      </x:c>
      <x:c r="D1843" t="str">
        <x:v>event evidence</x:v>
      </x:c>
      <x:c r="E1843" t="str">
        <x:v>PH-EV-266</x:v>
      </x:c>
      <x:c r="F1843" t="n">
        <x:f>IF('Event Register'!S272&lt;&gt;"",1,0)</x:f>
        <x:v>0</x:v>
      </x:c>
      <x:c r="G1843" t="n">
        <x:v>1</x:v>
      </x:c>
      <x:c r="H1843" t="str">
        <x:v>independent physical acceptance</x:v>
      </x:c>
      <x:c r="I1843" t="str">
        <x:f>IF(F1843=1,"PASS","OPEN")</x:f>
        <x:v>OPEN</x:v>
      </x:c>
    </x:row>
    <x:row r="1844">
      <x:c r="B1844" t="str">
        <x:v>PH-VA-266</x:v>
      </x:c>
      <x:c r="C1844" t="str">
        <x:v>PHYSICAL</x:v>
      </x:c>
      <x:c r="D1844" t="str">
        <x:v>event validity</x:v>
      </x:c>
      <x:c r="E1844" t="str">
        <x:v>PH-VA-266</x:v>
      </x:c>
      <x:c r="F1844" t="n">
        <x:f>IF('Event Register'!T272&lt;&gt;"",1,0)</x:f>
        <x:v>0</x:v>
      </x:c>
      <x:c r="G1844" t="n">
        <x:v>1</x:v>
      </x:c>
      <x:c r="H1844" t="str">
        <x:v>independent physical acceptance</x:v>
      </x:c>
      <x:c r="I1844" t="str">
        <x:f>IF(F1844=1,"PASS","OPEN")</x:f>
        <x:v>OPEN</x:v>
      </x:c>
    </x:row>
    <x:row r="1845">
      <x:c r="B1845" t="str">
        <x:v>PH-OU-266</x:v>
      </x:c>
      <x:c r="C1845" t="str">
        <x:v>PHYSICAL</x:v>
      </x:c>
      <x:c r="D1845" t="str">
        <x:v>event outcome</x:v>
      </x:c>
      <x:c r="E1845" t="str">
        <x:v>PH-OU-266</x:v>
      </x:c>
      <x:c r="F1845" t="n">
        <x:f>IF('Event Register'!U272&lt;&gt;"",1,0)</x:f>
        <x:v>0</x:v>
      </x:c>
      <x:c r="G1845" t="n">
        <x:v>1</x:v>
      </x:c>
      <x:c r="H1845" t="str">
        <x:v>independent physical acceptance</x:v>
      </x:c>
      <x:c r="I1845" t="str">
        <x:f>IF(F1845=1,"PASS","OPEN")</x:f>
        <x:v>OPEN</x:v>
      </x:c>
    </x:row>
    <x:row r="1846">
      <x:c r="B1846" t="str">
        <x:v>PH-EX-267</x:v>
      </x:c>
      <x:c r="C1846" t="str">
        <x:v>PHYSICAL</x:v>
      </x:c>
      <x:c r="D1846" t="str">
        <x:v>event execution</x:v>
      </x:c>
      <x:c r="E1846" t="str">
        <x:v>PH-EX-267</x:v>
      </x:c>
      <x:c r="F1846" t="n">
        <x:f>IF('Event Register'!R273&lt;&gt;"",1,0)</x:f>
        <x:v>0</x:v>
      </x:c>
      <x:c r="G1846" t="n">
        <x:v>1</x:v>
      </x:c>
      <x:c r="H1846" t="str">
        <x:v>independent physical acceptance</x:v>
      </x:c>
      <x:c r="I1846" t="str">
        <x:f>IF(F1846=1,"PASS","OPEN")</x:f>
        <x:v>OPEN</x:v>
      </x:c>
    </x:row>
    <x:row r="1847">
      <x:c r="B1847" t="str">
        <x:v>PH-EV-267</x:v>
      </x:c>
      <x:c r="C1847" t="str">
        <x:v>PHYSICAL</x:v>
      </x:c>
      <x:c r="D1847" t="str">
        <x:v>event evidence</x:v>
      </x:c>
      <x:c r="E1847" t="str">
        <x:v>PH-EV-267</x:v>
      </x:c>
      <x:c r="F1847" t="n">
        <x:f>IF('Event Register'!S273&lt;&gt;"",1,0)</x:f>
        <x:v>0</x:v>
      </x:c>
      <x:c r="G1847" t="n">
        <x:v>1</x:v>
      </x:c>
      <x:c r="H1847" t="str">
        <x:v>independent physical acceptance</x:v>
      </x:c>
      <x:c r="I1847" t="str">
        <x:f>IF(F1847=1,"PASS","OPEN")</x:f>
        <x:v>OPEN</x:v>
      </x:c>
    </x:row>
    <x:row r="1848">
      <x:c r="B1848" t="str">
        <x:v>PH-VA-267</x:v>
      </x:c>
      <x:c r="C1848" t="str">
        <x:v>PHYSICAL</x:v>
      </x:c>
      <x:c r="D1848" t="str">
        <x:v>event validity</x:v>
      </x:c>
      <x:c r="E1848" t="str">
        <x:v>PH-VA-267</x:v>
      </x:c>
      <x:c r="F1848" t="n">
        <x:f>IF('Event Register'!T273&lt;&gt;"",1,0)</x:f>
        <x:v>0</x:v>
      </x:c>
      <x:c r="G1848" t="n">
        <x:v>1</x:v>
      </x:c>
      <x:c r="H1848" t="str">
        <x:v>independent physical acceptance</x:v>
      </x:c>
      <x:c r="I1848" t="str">
        <x:f>IF(F1848=1,"PASS","OPEN")</x:f>
        <x:v>OPEN</x:v>
      </x:c>
    </x:row>
    <x:row r="1849">
      <x:c r="B1849" t="str">
        <x:v>PH-OU-267</x:v>
      </x:c>
      <x:c r="C1849" t="str">
        <x:v>PHYSICAL</x:v>
      </x:c>
      <x:c r="D1849" t="str">
        <x:v>event outcome</x:v>
      </x:c>
      <x:c r="E1849" t="str">
        <x:v>PH-OU-267</x:v>
      </x:c>
      <x:c r="F1849" t="n">
        <x:f>IF('Event Register'!U273&lt;&gt;"",1,0)</x:f>
        <x:v>0</x:v>
      </x:c>
      <x:c r="G1849" t="n">
        <x:v>1</x:v>
      </x:c>
      <x:c r="H1849" t="str">
        <x:v>independent physical acceptance</x:v>
      </x:c>
      <x:c r="I1849" t="str">
        <x:f>IF(F1849=1,"PASS","OPEN")</x:f>
        <x:v>OPEN</x:v>
      </x:c>
    </x:row>
    <x:row r="1850">
      <x:c r="B1850" t="str">
        <x:v>PH-EX-268</x:v>
      </x:c>
      <x:c r="C1850" t="str">
        <x:v>PHYSICAL</x:v>
      </x:c>
      <x:c r="D1850" t="str">
        <x:v>event execution</x:v>
      </x:c>
      <x:c r="E1850" t="str">
        <x:v>PH-EX-268</x:v>
      </x:c>
      <x:c r="F1850" t="n">
        <x:f>IF('Event Register'!R274&lt;&gt;"",1,0)</x:f>
        <x:v>0</x:v>
      </x:c>
      <x:c r="G1850" t="n">
        <x:v>1</x:v>
      </x:c>
      <x:c r="H1850" t="str">
        <x:v>independent physical acceptance</x:v>
      </x:c>
      <x:c r="I1850" t="str">
        <x:f>IF(F1850=1,"PASS","OPEN")</x:f>
        <x:v>OPEN</x:v>
      </x:c>
    </x:row>
    <x:row r="1851">
      <x:c r="B1851" t="str">
        <x:v>PH-EV-268</x:v>
      </x:c>
      <x:c r="C1851" t="str">
        <x:v>PHYSICAL</x:v>
      </x:c>
      <x:c r="D1851" t="str">
        <x:v>event evidence</x:v>
      </x:c>
      <x:c r="E1851" t="str">
        <x:v>PH-EV-268</x:v>
      </x:c>
      <x:c r="F1851" t="n">
        <x:f>IF('Event Register'!S274&lt;&gt;"",1,0)</x:f>
        <x:v>0</x:v>
      </x:c>
      <x:c r="G1851" t="n">
        <x:v>1</x:v>
      </x:c>
      <x:c r="H1851" t="str">
        <x:v>independent physical acceptance</x:v>
      </x:c>
      <x:c r="I1851" t="str">
        <x:f>IF(F1851=1,"PASS","OPEN")</x:f>
        <x:v>OPEN</x:v>
      </x:c>
    </x:row>
    <x:row r="1852">
      <x:c r="B1852" t="str">
        <x:v>PH-VA-268</x:v>
      </x:c>
      <x:c r="C1852" t="str">
        <x:v>PHYSICAL</x:v>
      </x:c>
      <x:c r="D1852" t="str">
        <x:v>event validity</x:v>
      </x:c>
      <x:c r="E1852" t="str">
        <x:v>PH-VA-268</x:v>
      </x:c>
      <x:c r="F1852" t="n">
        <x:f>IF('Event Register'!T274&lt;&gt;"",1,0)</x:f>
        <x:v>0</x:v>
      </x:c>
      <x:c r="G1852" t="n">
        <x:v>1</x:v>
      </x:c>
      <x:c r="H1852" t="str">
        <x:v>independent physical acceptance</x:v>
      </x:c>
      <x:c r="I1852" t="str">
        <x:f>IF(F1852=1,"PASS","OPEN")</x:f>
        <x:v>OPEN</x:v>
      </x:c>
    </x:row>
    <x:row r="1853">
      <x:c r="B1853" t="str">
        <x:v>PH-OU-268</x:v>
      </x:c>
      <x:c r="C1853" t="str">
        <x:v>PHYSICAL</x:v>
      </x:c>
      <x:c r="D1853" t="str">
        <x:v>event outcome</x:v>
      </x:c>
      <x:c r="E1853" t="str">
        <x:v>PH-OU-268</x:v>
      </x:c>
      <x:c r="F1853" t="n">
        <x:f>IF('Event Register'!U274&lt;&gt;"",1,0)</x:f>
        <x:v>0</x:v>
      </x:c>
      <x:c r="G1853" t="n">
        <x:v>1</x:v>
      </x:c>
      <x:c r="H1853" t="str">
        <x:v>independent physical acceptance</x:v>
      </x:c>
      <x:c r="I1853" t="str">
        <x:f>IF(F1853=1,"PASS","OPEN")</x:f>
        <x:v>OPEN</x:v>
      </x:c>
    </x:row>
    <x:row r="1854">
      <x:c r="B1854" t="str">
        <x:v>PH-EX-269</x:v>
      </x:c>
      <x:c r="C1854" t="str">
        <x:v>PHYSICAL</x:v>
      </x:c>
      <x:c r="D1854" t="str">
        <x:v>event execution</x:v>
      </x:c>
      <x:c r="E1854" t="str">
        <x:v>PH-EX-269</x:v>
      </x:c>
      <x:c r="F1854" t="n">
        <x:f>IF('Event Register'!R275&lt;&gt;"",1,0)</x:f>
        <x:v>0</x:v>
      </x:c>
      <x:c r="G1854" t="n">
        <x:v>1</x:v>
      </x:c>
      <x:c r="H1854" t="str">
        <x:v>independent physical acceptance</x:v>
      </x:c>
      <x:c r="I1854" t="str">
        <x:f>IF(F1854=1,"PASS","OPEN")</x:f>
        <x:v>OPEN</x:v>
      </x:c>
    </x:row>
    <x:row r="1855">
      <x:c r="B1855" t="str">
        <x:v>PH-EV-269</x:v>
      </x:c>
      <x:c r="C1855" t="str">
        <x:v>PHYSICAL</x:v>
      </x:c>
      <x:c r="D1855" t="str">
        <x:v>event evidence</x:v>
      </x:c>
      <x:c r="E1855" t="str">
        <x:v>PH-EV-269</x:v>
      </x:c>
      <x:c r="F1855" t="n">
        <x:f>IF('Event Register'!S275&lt;&gt;"",1,0)</x:f>
        <x:v>0</x:v>
      </x:c>
      <x:c r="G1855" t="n">
        <x:v>1</x:v>
      </x:c>
      <x:c r="H1855" t="str">
        <x:v>independent physical acceptance</x:v>
      </x:c>
      <x:c r="I1855" t="str">
        <x:f>IF(F1855=1,"PASS","OPEN")</x:f>
        <x:v>OPEN</x:v>
      </x:c>
    </x:row>
    <x:row r="1856">
      <x:c r="B1856" t="str">
        <x:v>PH-VA-269</x:v>
      </x:c>
      <x:c r="C1856" t="str">
        <x:v>PHYSICAL</x:v>
      </x:c>
      <x:c r="D1856" t="str">
        <x:v>event validity</x:v>
      </x:c>
      <x:c r="E1856" t="str">
        <x:v>PH-VA-269</x:v>
      </x:c>
      <x:c r="F1856" t="n">
        <x:f>IF('Event Register'!T275&lt;&gt;"",1,0)</x:f>
        <x:v>0</x:v>
      </x:c>
      <x:c r="G1856" t="n">
        <x:v>1</x:v>
      </x:c>
      <x:c r="H1856" t="str">
        <x:v>independent physical acceptance</x:v>
      </x:c>
      <x:c r="I1856" t="str">
        <x:f>IF(F1856=1,"PASS","OPEN")</x:f>
        <x:v>OPEN</x:v>
      </x:c>
    </x:row>
    <x:row r="1857">
      <x:c r="B1857" t="str">
        <x:v>PH-OU-269</x:v>
      </x:c>
      <x:c r="C1857" t="str">
        <x:v>PHYSICAL</x:v>
      </x:c>
      <x:c r="D1857" t="str">
        <x:v>event outcome</x:v>
      </x:c>
      <x:c r="E1857" t="str">
        <x:v>PH-OU-269</x:v>
      </x:c>
      <x:c r="F1857" t="n">
        <x:f>IF('Event Register'!U275&lt;&gt;"",1,0)</x:f>
        <x:v>0</x:v>
      </x:c>
      <x:c r="G1857" t="n">
        <x:v>1</x:v>
      </x:c>
      <x:c r="H1857" t="str">
        <x:v>independent physical acceptance</x:v>
      </x:c>
      <x:c r="I1857" t="str">
        <x:f>IF(F1857=1,"PASS","OPEN")</x:f>
        <x:v>OPEN</x:v>
      </x:c>
    </x:row>
    <x:row r="1858">
      <x:c r="B1858" t="str">
        <x:v>PH-EX-270</x:v>
      </x:c>
      <x:c r="C1858" t="str">
        <x:v>PHYSICAL</x:v>
      </x:c>
      <x:c r="D1858" t="str">
        <x:v>event execution</x:v>
      </x:c>
      <x:c r="E1858" t="str">
        <x:v>PH-EX-270</x:v>
      </x:c>
      <x:c r="F1858" t="n">
        <x:f>IF('Event Register'!R276&lt;&gt;"",1,0)</x:f>
        <x:v>0</x:v>
      </x:c>
      <x:c r="G1858" t="n">
        <x:v>1</x:v>
      </x:c>
      <x:c r="H1858" t="str">
        <x:v>independent physical acceptance</x:v>
      </x:c>
      <x:c r="I1858" t="str">
        <x:f>IF(F1858=1,"PASS","OPEN")</x:f>
        <x:v>OPEN</x:v>
      </x:c>
    </x:row>
    <x:row r="1859">
      <x:c r="B1859" t="str">
        <x:v>PH-EV-270</x:v>
      </x:c>
      <x:c r="C1859" t="str">
        <x:v>PHYSICAL</x:v>
      </x:c>
      <x:c r="D1859" t="str">
        <x:v>event evidence</x:v>
      </x:c>
      <x:c r="E1859" t="str">
        <x:v>PH-EV-270</x:v>
      </x:c>
      <x:c r="F1859" t="n">
        <x:f>IF('Event Register'!S276&lt;&gt;"",1,0)</x:f>
        <x:v>0</x:v>
      </x:c>
      <x:c r="G1859" t="n">
        <x:v>1</x:v>
      </x:c>
      <x:c r="H1859" t="str">
        <x:v>independent physical acceptance</x:v>
      </x:c>
      <x:c r="I1859" t="str">
        <x:f>IF(F1859=1,"PASS","OPEN")</x:f>
        <x:v>OPEN</x:v>
      </x:c>
    </x:row>
    <x:row r="1860">
      <x:c r="B1860" t="str">
        <x:v>PH-VA-270</x:v>
      </x:c>
      <x:c r="C1860" t="str">
        <x:v>PHYSICAL</x:v>
      </x:c>
      <x:c r="D1860" t="str">
        <x:v>event validity</x:v>
      </x:c>
      <x:c r="E1860" t="str">
        <x:v>PH-VA-270</x:v>
      </x:c>
      <x:c r="F1860" t="n">
        <x:f>IF('Event Register'!T276&lt;&gt;"",1,0)</x:f>
        <x:v>0</x:v>
      </x:c>
      <x:c r="G1860" t="n">
        <x:v>1</x:v>
      </x:c>
      <x:c r="H1860" t="str">
        <x:v>independent physical acceptance</x:v>
      </x:c>
      <x:c r="I1860" t="str">
        <x:f>IF(F1860=1,"PASS","OPEN")</x:f>
        <x:v>OPEN</x:v>
      </x:c>
    </x:row>
    <x:row r="1861">
      <x:c r="B1861" t="str">
        <x:v>PH-OU-270</x:v>
      </x:c>
      <x:c r="C1861" t="str">
        <x:v>PHYSICAL</x:v>
      </x:c>
      <x:c r="D1861" t="str">
        <x:v>event outcome</x:v>
      </x:c>
      <x:c r="E1861" t="str">
        <x:v>PH-OU-270</x:v>
      </x:c>
      <x:c r="F1861" t="n">
        <x:f>IF('Event Register'!U276&lt;&gt;"",1,0)</x:f>
        <x:v>0</x:v>
      </x:c>
      <x:c r="G1861" t="n">
        <x:v>1</x:v>
      </x:c>
      <x:c r="H1861" t="str">
        <x:v>independent physical acceptance</x:v>
      </x:c>
      <x:c r="I1861" t="str">
        <x:f>IF(F1861=1,"PASS","OPEN")</x:f>
        <x:v>OPEN</x:v>
      </x:c>
    </x:row>
    <x:row r="1862">
      <x:c r="B1862" t="str">
        <x:v>PH-EX-271</x:v>
      </x:c>
      <x:c r="C1862" t="str">
        <x:v>PHYSICAL</x:v>
      </x:c>
      <x:c r="D1862" t="str">
        <x:v>event execution</x:v>
      </x:c>
      <x:c r="E1862" t="str">
        <x:v>PH-EX-271</x:v>
      </x:c>
      <x:c r="F1862" t="n">
        <x:f>IF('Event Register'!R277&lt;&gt;"",1,0)</x:f>
        <x:v>0</x:v>
      </x:c>
      <x:c r="G1862" t="n">
        <x:v>1</x:v>
      </x:c>
      <x:c r="H1862" t="str">
        <x:v>independent physical acceptance</x:v>
      </x:c>
      <x:c r="I1862" t="str">
        <x:f>IF(F1862=1,"PASS","OPEN")</x:f>
        <x:v>OPEN</x:v>
      </x:c>
    </x:row>
    <x:row r="1863">
      <x:c r="B1863" t="str">
        <x:v>PH-EV-271</x:v>
      </x:c>
      <x:c r="C1863" t="str">
        <x:v>PHYSICAL</x:v>
      </x:c>
      <x:c r="D1863" t="str">
        <x:v>event evidence</x:v>
      </x:c>
      <x:c r="E1863" t="str">
        <x:v>PH-EV-271</x:v>
      </x:c>
      <x:c r="F1863" t="n">
        <x:f>IF('Event Register'!S277&lt;&gt;"",1,0)</x:f>
        <x:v>0</x:v>
      </x:c>
      <x:c r="G1863" t="n">
        <x:v>1</x:v>
      </x:c>
      <x:c r="H1863" t="str">
        <x:v>independent physical acceptance</x:v>
      </x:c>
      <x:c r="I1863" t="str">
        <x:f>IF(F1863=1,"PASS","OPEN")</x:f>
        <x:v>OPEN</x:v>
      </x:c>
    </x:row>
    <x:row r="1864">
      <x:c r="B1864" t="str">
        <x:v>PH-VA-271</x:v>
      </x:c>
      <x:c r="C1864" t="str">
        <x:v>PHYSICAL</x:v>
      </x:c>
      <x:c r="D1864" t="str">
        <x:v>event validity</x:v>
      </x:c>
      <x:c r="E1864" t="str">
        <x:v>PH-VA-271</x:v>
      </x:c>
      <x:c r="F1864" t="n">
        <x:f>IF('Event Register'!T277&lt;&gt;"",1,0)</x:f>
        <x:v>0</x:v>
      </x:c>
      <x:c r="G1864" t="n">
        <x:v>1</x:v>
      </x:c>
      <x:c r="H1864" t="str">
        <x:v>independent physical acceptance</x:v>
      </x:c>
      <x:c r="I1864" t="str">
        <x:f>IF(F1864=1,"PASS","OPEN")</x:f>
        <x:v>OPEN</x:v>
      </x:c>
    </x:row>
    <x:row r="1865">
      <x:c r="B1865" t="str">
        <x:v>PH-OU-271</x:v>
      </x:c>
      <x:c r="C1865" t="str">
        <x:v>PHYSICAL</x:v>
      </x:c>
      <x:c r="D1865" t="str">
        <x:v>event outcome</x:v>
      </x:c>
      <x:c r="E1865" t="str">
        <x:v>PH-OU-271</x:v>
      </x:c>
      <x:c r="F1865" t="n">
        <x:f>IF('Event Register'!U277&lt;&gt;"",1,0)</x:f>
        <x:v>0</x:v>
      </x:c>
      <x:c r="G1865" t="n">
        <x:v>1</x:v>
      </x:c>
      <x:c r="H1865" t="str">
        <x:v>independent physical acceptance</x:v>
      </x:c>
      <x:c r="I1865" t="str">
        <x:f>IF(F1865=1,"PASS","OPEN")</x:f>
        <x:v>OPEN</x:v>
      </x:c>
    </x:row>
    <x:row r="1866">
      <x:c r="B1866" t="str">
        <x:v>PH-EX-272</x:v>
      </x:c>
      <x:c r="C1866" t="str">
        <x:v>PHYSICAL</x:v>
      </x:c>
      <x:c r="D1866" t="str">
        <x:v>event execution</x:v>
      </x:c>
      <x:c r="E1866" t="str">
        <x:v>PH-EX-272</x:v>
      </x:c>
      <x:c r="F1866" t="n">
        <x:f>IF('Event Register'!R278&lt;&gt;"",1,0)</x:f>
        <x:v>0</x:v>
      </x:c>
      <x:c r="G1866" t="n">
        <x:v>1</x:v>
      </x:c>
      <x:c r="H1866" t="str">
        <x:v>independent physical acceptance</x:v>
      </x:c>
      <x:c r="I1866" t="str">
        <x:f>IF(F1866=1,"PASS","OPEN")</x:f>
        <x:v>OPEN</x:v>
      </x:c>
    </x:row>
    <x:row r="1867">
      <x:c r="B1867" t="str">
        <x:v>PH-EV-272</x:v>
      </x:c>
      <x:c r="C1867" t="str">
        <x:v>PHYSICAL</x:v>
      </x:c>
      <x:c r="D1867" t="str">
        <x:v>event evidence</x:v>
      </x:c>
      <x:c r="E1867" t="str">
        <x:v>PH-EV-272</x:v>
      </x:c>
      <x:c r="F1867" t="n">
        <x:f>IF('Event Register'!S278&lt;&gt;"",1,0)</x:f>
        <x:v>0</x:v>
      </x:c>
      <x:c r="G1867" t="n">
        <x:v>1</x:v>
      </x:c>
      <x:c r="H1867" t="str">
        <x:v>independent physical acceptance</x:v>
      </x:c>
      <x:c r="I1867" t="str">
        <x:f>IF(F1867=1,"PASS","OPEN")</x:f>
        <x:v>OPEN</x:v>
      </x:c>
    </x:row>
    <x:row r="1868">
      <x:c r="B1868" t="str">
        <x:v>PH-VA-272</x:v>
      </x:c>
      <x:c r="C1868" t="str">
        <x:v>PHYSICAL</x:v>
      </x:c>
      <x:c r="D1868" t="str">
        <x:v>event validity</x:v>
      </x:c>
      <x:c r="E1868" t="str">
        <x:v>PH-VA-272</x:v>
      </x:c>
      <x:c r="F1868" t="n">
        <x:f>IF('Event Register'!T278&lt;&gt;"",1,0)</x:f>
        <x:v>0</x:v>
      </x:c>
      <x:c r="G1868" t="n">
        <x:v>1</x:v>
      </x:c>
      <x:c r="H1868" t="str">
        <x:v>independent physical acceptance</x:v>
      </x:c>
      <x:c r="I1868" t="str">
        <x:f>IF(F1868=1,"PASS","OPEN")</x:f>
        <x:v>OPEN</x:v>
      </x:c>
    </x:row>
    <x:row r="1869">
      <x:c r="B1869" t="str">
        <x:v>PH-OU-272</x:v>
      </x:c>
      <x:c r="C1869" t="str">
        <x:v>PHYSICAL</x:v>
      </x:c>
      <x:c r="D1869" t="str">
        <x:v>event outcome</x:v>
      </x:c>
      <x:c r="E1869" t="str">
        <x:v>PH-OU-272</x:v>
      </x:c>
      <x:c r="F1869" t="n">
        <x:f>IF('Event Register'!U278&lt;&gt;"",1,0)</x:f>
        <x:v>0</x:v>
      </x:c>
      <x:c r="G1869" t="n">
        <x:v>1</x:v>
      </x:c>
      <x:c r="H1869" t="str">
        <x:v>independent physical acceptance</x:v>
      </x:c>
      <x:c r="I1869" t="str">
        <x:f>IF(F1869=1,"PASS","OPEN")</x:f>
        <x:v>OPEN</x:v>
      </x:c>
    </x:row>
    <x:row r="1870">
      <x:c r="B1870" t="str">
        <x:v>PH-EX-273</x:v>
      </x:c>
      <x:c r="C1870" t="str">
        <x:v>PHYSICAL</x:v>
      </x:c>
      <x:c r="D1870" t="str">
        <x:v>event execution</x:v>
      </x:c>
      <x:c r="E1870" t="str">
        <x:v>PH-EX-273</x:v>
      </x:c>
      <x:c r="F1870" t="n">
        <x:f>IF('Event Register'!R279&lt;&gt;"",1,0)</x:f>
        <x:v>0</x:v>
      </x:c>
      <x:c r="G1870" t="n">
        <x:v>1</x:v>
      </x:c>
      <x:c r="H1870" t="str">
        <x:v>independent physical acceptance</x:v>
      </x:c>
      <x:c r="I1870" t="str">
        <x:f>IF(F1870=1,"PASS","OPEN")</x:f>
        <x:v>OPEN</x:v>
      </x:c>
    </x:row>
    <x:row r="1871">
      <x:c r="B1871" t="str">
        <x:v>PH-EV-273</x:v>
      </x:c>
      <x:c r="C1871" t="str">
        <x:v>PHYSICAL</x:v>
      </x:c>
      <x:c r="D1871" t="str">
        <x:v>event evidence</x:v>
      </x:c>
      <x:c r="E1871" t="str">
        <x:v>PH-EV-273</x:v>
      </x:c>
      <x:c r="F1871" t="n">
        <x:f>IF('Event Register'!S279&lt;&gt;"",1,0)</x:f>
        <x:v>0</x:v>
      </x:c>
      <x:c r="G1871" t="n">
        <x:v>1</x:v>
      </x:c>
      <x:c r="H1871" t="str">
        <x:v>independent physical acceptance</x:v>
      </x:c>
      <x:c r="I1871" t="str">
        <x:f>IF(F1871=1,"PASS","OPEN")</x:f>
        <x:v>OPEN</x:v>
      </x:c>
    </x:row>
    <x:row r="1872">
      <x:c r="B1872" t="str">
        <x:v>PH-VA-273</x:v>
      </x:c>
      <x:c r="C1872" t="str">
        <x:v>PHYSICAL</x:v>
      </x:c>
      <x:c r="D1872" t="str">
        <x:v>event validity</x:v>
      </x:c>
      <x:c r="E1872" t="str">
        <x:v>PH-VA-273</x:v>
      </x:c>
      <x:c r="F1872" t="n">
        <x:f>IF('Event Register'!T279&lt;&gt;"",1,0)</x:f>
        <x:v>0</x:v>
      </x:c>
      <x:c r="G1872" t="n">
        <x:v>1</x:v>
      </x:c>
      <x:c r="H1872" t="str">
        <x:v>independent physical acceptance</x:v>
      </x:c>
      <x:c r="I1872" t="str">
        <x:f>IF(F1872=1,"PASS","OPEN")</x:f>
        <x:v>OPEN</x:v>
      </x:c>
    </x:row>
    <x:row r="1873">
      <x:c r="B1873" t="str">
        <x:v>PH-OU-273</x:v>
      </x:c>
      <x:c r="C1873" t="str">
        <x:v>PHYSICAL</x:v>
      </x:c>
      <x:c r="D1873" t="str">
        <x:v>event outcome</x:v>
      </x:c>
      <x:c r="E1873" t="str">
        <x:v>PH-OU-273</x:v>
      </x:c>
      <x:c r="F1873" t="n">
        <x:f>IF('Event Register'!U279&lt;&gt;"",1,0)</x:f>
        <x:v>0</x:v>
      </x:c>
      <x:c r="G1873" t="n">
        <x:v>1</x:v>
      </x:c>
      <x:c r="H1873" t="str">
        <x:v>independent physical acceptance</x:v>
      </x:c>
      <x:c r="I1873" t="str">
        <x:f>IF(F1873=1,"PASS","OPEN")</x:f>
        <x:v>OPEN</x:v>
      </x:c>
    </x:row>
    <x:row r="1874">
      <x:c r="B1874" t="str">
        <x:v>PH-EX-274</x:v>
      </x:c>
      <x:c r="C1874" t="str">
        <x:v>PHYSICAL</x:v>
      </x:c>
      <x:c r="D1874" t="str">
        <x:v>event execution</x:v>
      </x:c>
      <x:c r="E1874" t="str">
        <x:v>PH-EX-274</x:v>
      </x:c>
      <x:c r="F1874" t="n">
        <x:f>IF('Event Register'!R280&lt;&gt;"",1,0)</x:f>
        <x:v>0</x:v>
      </x:c>
      <x:c r="G1874" t="n">
        <x:v>1</x:v>
      </x:c>
      <x:c r="H1874" t="str">
        <x:v>independent physical acceptance</x:v>
      </x:c>
      <x:c r="I1874" t="str">
        <x:f>IF(F1874=1,"PASS","OPEN")</x:f>
        <x:v>OPEN</x:v>
      </x:c>
    </x:row>
    <x:row r="1875">
      <x:c r="B1875" t="str">
        <x:v>PH-EV-274</x:v>
      </x:c>
      <x:c r="C1875" t="str">
        <x:v>PHYSICAL</x:v>
      </x:c>
      <x:c r="D1875" t="str">
        <x:v>event evidence</x:v>
      </x:c>
      <x:c r="E1875" t="str">
        <x:v>PH-EV-274</x:v>
      </x:c>
      <x:c r="F1875" t="n">
        <x:f>IF('Event Register'!S280&lt;&gt;"",1,0)</x:f>
        <x:v>0</x:v>
      </x:c>
      <x:c r="G1875" t="n">
        <x:v>1</x:v>
      </x:c>
      <x:c r="H1875" t="str">
        <x:v>independent physical acceptance</x:v>
      </x:c>
      <x:c r="I1875" t="str">
        <x:f>IF(F1875=1,"PASS","OPEN")</x:f>
        <x:v>OPEN</x:v>
      </x:c>
    </x:row>
    <x:row r="1876">
      <x:c r="B1876" t="str">
        <x:v>PH-VA-274</x:v>
      </x:c>
      <x:c r="C1876" t="str">
        <x:v>PHYSICAL</x:v>
      </x:c>
      <x:c r="D1876" t="str">
        <x:v>event validity</x:v>
      </x:c>
      <x:c r="E1876" t="str">
        <x:v>PH-VA-274</x:v>
      </x:c>
      <x:c r="F1876" t="n">
        <x:f>IF('Event Register'!T280&lt;&gt;"",1,0)</x:f>
        <x:v>0</x:v>
      </x:c>
      <x:c r="G1876" t="n">
        <x:v>1</x:v>
      </x:c>
      <x:c r="H1876" t="str">
        <x:v>independent physical acceptance</x:v>
      </x:c>
      <x:c r="I1876" t="str">
        <x:f>IF(F1876=1,"PASS","OPEN")</x:f>
        <x:v>OPEN</x:v>
      </x:c>
    </x:row>
    <x:row r="1877">
      <x:c r="B1877" t="str">
        <x:v>PH-OU-274</x:v>
      </x:c>
      <x:c r="C1877" t="str">
        <x:v>PHYSICAL</x:v>
      </x:c>
      <x:c r="D1877" t="str">
        <x:v>event outcome</x:v>
      </x:c>
      <x:c r="E1877" t="str">
        <x:v>PH-OU-274</x:v>
      </x:c>
      <x:c r="F1877" t="n">
        <x:f>IF('Event Register'!U280&lt;&gt;"",1,0)</x:f>
        <x:v>0</x:v>
      </x:c>
      <x:c r="G1877" t="n">
        <x:v>1</x:v>
      </x:c>
      <x:c r="H1877" t="str">
        <x:v>independent physical acceptance</x:v>
      </x:c>
      <x:c r="I1877" t="str">
        <x:f>IF(F1877=1,"PASS","OPEN")</x:f>
        <x:v>OPEN</x:v>
      </x:c>
    </x:row>
    <x:row r="1878">
      <x:c r="B1878" t="str">
        <x:v>PH-EX-275</x:v>
      </x:c>
      <x:c r="C1878" t="str">
        <x:v>PHYSICAL</x:v>
      </x:c>
      <x:c r="D1878" t="str">
        <x:v>event execution</x:v>
      </x:c>
      <x:c r="E1878" t="str">
        <x:v>PH-EX-275</x:v>
      </x:c>
      <x:c r="F1878" t="n">
        <x:f>IF('Event Register'!R281&lt;&gt;"",1,0)</x:f>
        <x:v>0</x:v>
      </x:c>
      <x:c r="G1878" t="n">
        <x:v>1</x:v>
      </x:c>
      <x:c r="H1878" t="str">
        <x:v>independent physical acceptance</x:v>
      </x:c>
      <x:c r="I1878" t="str">
        <x:f>IF(F1878=1,"PASS","OPEN")</x:f>
        <x:v>OPEN</x:v>
      </x:c>
    </x:row>
    <x:row r="1879">
      <x:c r="B1879" t="str">
        <x:v>PH-EV-275</x:v>
      </x:c>
      <x:c r="C1879" t="str">
        <x:v>PHYSICAL</x:v>
      </x:c>
      <x:c r="D1879" t="str">
        <x:v>event evidence</x:v>
      </x:c>
      <x:c r="E1879" t="str">
        <x:v>PH-EV-275</x:v>
      </x:c>
      <x:c r="F1879" t="n">
        <x:f>IF('Event Register'!S281&lt;&gt;"",1,0)</x:f>
        <x:v>0</x:v>
      </x:c>
      <x:c r="G1879" t="n">
        <x:v>1</x:v>
      </x:c>
      <x:c r="H1879" t="str">
        <x:v>independent physical acceptance</x:v>
      </x:c>
      <x:c r="I1879" t="str">
        <x:f>IF(F1879=1,"PASS","OPEN")</x:f>
        <x:v>OPEN</x:v>
      </x:c>
    </x:row>
    <x:row r="1880">
      <x:c r="B1880" t="str">
        <x:v>PH-VA-275</x:v>
      </x:c>
      <x:c r="C1880" t="str">
        <x:v>PHYSICAL</x:v>
      </x:c>
      <x:c r="D1880" t="str">
        <x:v>event validity</x:v>
      </x:c>
      <x:c r="E1880" t="str">
        <x:v>PH-VA-275</x:v>
      </x:c>
      <x:c r="F1880" t="n">
        <x:f>IF('Event Register'!T281&lt;&gt;"",1,0)</x:f>
        <x:v>0</x:v>
      </x:c>
      <x:c r="G1880" t="n">
        <x:v>1</x:v>
      </x:c>
      <x:c r="H1880" t="str">
        <x:v>independent physical acceptance</x:v>
      </x:c>
      <x:c r="I1880" t="str">
        <x:f>IF(F1880=1,"PASS","OPEN")</x:f>
        <x:v>OPEN</x:v>
      </x:c>
    </x:row>
    <x:row r="1881">
      <x:c r="B1881" t="str">
        <x:v>PH-OU-275</x:v>
      </x:c>
      <x:c r="C1881" t="str">
        <x:v>PHYSICAL</x:v>
      </x:c>
      <x:c r="D1881" t="str">
        <x:v>event outcome</x:v>
      </x:c>
      <x:c r="E1881" t="str">
        <x:v>PH-OU-275</x:v>
      </x:c>
      <x:c r="F1881" t="n">
        <x:f>IF('Event Register'!U281&lt;&gt;"",1,0)</x:f>
        <x:v>0</x:v>
      </x:c>
      <x:c r="G1881" t="n">
        <x:v>1</x:v>
      </x:c>
      <x:c r="H1881" t="str">
        <x:v>independent physical acceptance</x:v>
      </x:c>
      <x:c r="I1881" t="str">
        <x:f>IF(F1881=1,"PASS","OPEN")</x:f>
        <x:v>OPEN</x:v>
      </x:c>
    </x:row>
    <x:row r="1882">
      <x:c r="B1882" t="str">
        <x:v>PH-EX-276</x:v>
      </x:c>
      <x:c r="C1882" t="str">
        <x:v>PHYSICAL</x:v>
      </x:c>
      <x:c r="D1882" t="str">
        <x:v>event execution</x:v>
      </x:c>
      <x:c r="E1882" t="str">
        <x:v>PH-EX-276</x:v>
      </x:c>
      <x:c r="F1882" t="n">
        <x:f>IF('Event Register'!R282&lt;&gt;"",1,0)</x:f>
        <x:v>0</x:v>
      </x:c>
      <x:c r="G1882" t="n">
        <x:v>1</x:v>
      </x:c>
      <x:c r="H1882" t="str">
        <x:v>independent physical acceptance</x:v>
      </x:c>
      <x:c r="I1882" t="str">
        <x:f>IF(F1882=1,"PASS","OPEN")</x:f>
        <x:v>OPEN</x:v>
      </x:c>
    </x:row>
    <x:row r="1883">
      <x:c r="B1883" t="str">
        <x:v>PH-EV-276</x:v>
      </x:c>
      <x:c r="C1883" t="str">
        <x:v>PHYSICAL</x:v>
      </x:c>
      <x:c r="D1883" t="str">
        <x:v>event evidence</x:v>
      </x:c>
      <x:c r="E1883" t="str">
        <x:v>PH-EV-276</x:v>
      </x:c>
      <x:c r="F1883" t="n">
        <x:f>IF('Event Register'!S282&lt;&gt;"",1,0)</x:f>
        <x:v>0</x:v>
      </x:c>
      <x:c r="G1883" t="n">
        <x:v>1</x:v>
      </x:c>
      <x:c r="H1883" t="str">
        <x:v>independent physical acceptance</x:v>
      </x:c>
      <x:c r="I1883" t="str">
        <x:f>IF(F1883=1,"PASS","OPEN")</x:f>
        <x:v>OPEN</x:v>
      </x:c>
    </x:row>
    <x:row r="1884">
      <x:c r="B1884" t="str">
        <x:v>PH-VA-276</x:v>
      </x:c>
      <x:c r="C1884" t="str">
        <x:v>PHYSICAL</x:v>
      </x:c>
      <x:c r="D1884" t="str">
        <x:v>event validity</x:v>
      </x:c>
      <x:c r="E1884" t="str">
        <x:v>PH-VA-276</x:v>
      </x:c>
      <x:c r="F1884" t="n">
        <x:f>IF('Event Register'!T282&lt;&gt;"",1,0)</x:f>
        <x:v>0</x:v>
      </x:c>
      <x:c r="G1884" t="n">
        <x:v>1</x:v>
      </x:c>
      <x:c r="H1884" t="str">
        <x:v>independent physical acceptance</x:v>
      </x:c>
      <x:c r="I1884" t="str">
        <x:f>IF(F1884=1,"PASS","OPEN")</x:f>
        <x:v>OPEN</x:v>
      </x:c>
    </x:row>
    <x:row r="1885">
      <x:c r="B1885" t="str">
        <x:v>PH-OU-276</x:v>
      </x:c>
      <x:c r="C1885" t="str">
        <x:v>PHYSICAL</x:v>
      </x:c>
      <x:c r="D1885" t="str">
        <x:v>event outcome</x:v>
      </x:c>
      <x:c r="E1885" t="str">
        <x:v>PH-OU-276</x:v>
      </x:c>
      <x:c r="F1885" t="n">
        <x:f>IF('Event Register'!U282&lt;&gt;"",1,0)</x:f>
        <x:v>0</x:v>
      </x:c>
      <x:c r="G1885" t="n">
        <x:v>1</x:v>
      </x:c>
      <x:c r="H1885" t="str">
        <x:v>independent physical acceptance</x:v>
      </x:c>
      <x:c r="I1885" t="str">
        <x:f>IF(F1885=1,"PASS","OPEN")</x:f>
        <x:v>OPEN</x:v>
      </x:c>
    </x:row>
    <x:row r="1886">
      <x:c r="B1886" t="str">
        <x:v>PH-EX-277</x:v>
      </x:c>
      <x:c r="C1886" t="str">
        <x:v>PHYSICAL</x:v>
      </x:c>
      <x:c r="D1886" t="str">
        <x:v>event execution</x:v>
      </x:c>
      <x:c r="E1886" t="str">
        <x:v>PH-EX-277</x:v>
      </x:c>
      <x:c r="F1886" t="n">
        <x:f>IF('Event Register'!R283&lt;&gt;"",1,0)</x:f>
        <x:v>0</x:v>
      </x:c>
      <x:c r="G1886" t="n">
        <x:v>1</x:v>
      </x:c>
      <x:c r="H1886" t="str">
        <x:v>independent physical acceptance</x:v>
      </x:c>
      <x:c r="I1886" t="str">
        <x:f>IF(F1886=1,"PASS","OPEN")</x:f>
        <x:v>OPEN</x:v>
      </x:c>
    </x:row>
    <x:row r="1887">
      <x:c r="B1887" t="str">
        <x:v>PH-EV-277</x:v>
      </x:c>
      <x:c r="C1887" t="str">
        <x:v>PHYSICAL</x:v>
      </x:c>
      <x:c r="D1887" t="str">
        <x:v>event evidence</x:v>
      </x:c>
      <x:c r="E1887" t="str">
        <x:v>PH-EV-277</x:v>
      </x:c>
      <x:c r="F1887" t="n">
        <x:f>IF('Event Register'!S283&lt;&gt;"",1,0)</x:f>
        <x:v>0</x:v>
      </x:c>
      <x:c r="G1887" t="n">
        <x:v>1</x:v>
      </x:c>
      <x:c r="H1887" t="str">
        <x:v>independent physical acceptance</x:v>
      </x:c>
      <x:c r="I1887" t="str">
        <x:f>IF(F1887=1,"PASS","OPEN")</x:f>
        <x:v>OPEN</x:v>
      </x:c>
    </x:row>
    <x:row r="1888">
      <x:c r="B1888" t="str">
        <x:v>PH-VA-277</x:v>
      </x:c>
      <x:c r="C1888" t="str">
        <x:v>PHYSICAL</x:v>
      </x:c>
      <x:c r="D1888" t="str">
        <x:v>event validity</x:v>
      </x:c>
      <x:c r="E1888" t="str">
        <x:v>PH-VA-277</x:v>
      </x:c>
      <x:c r="F1888" t="n">
        <x:f>IF('Event Register'!T283&lt;&gt;"",1,0)</x:f>
        <x:v>0</x:v>
      </x:c>
      <x:c r="G1888" t="n">
        <x:v>1</x:v>
      </x:c>
      <x:c r="H1888" t="str">
        <x:v>independent physical acceptance</x:v>
      </x:c>
      <x:c r="I1888" t="str">
        <x:f>IF(F1888=1,"PASS","OPEN")</x:f>
        <x:v>OPEN</x:v>
      </x:c>
    </x:row>
    <x:row r="1889">
      <x:c r="B1889" t="str">
        <x:v>PH-OU-277</x:v>
      </x:c>
      <x:c r="C1889" t="str">
        <x:v>PHYSICAL</x:v>
      </x:c>
      <x:c r="D1889" t="str">
        <x:v>event outcome</x:v>
      </x:c>
      <x:c r="E1889" t="str">
        <x:v>PH-OU-277</x:v>
      </x:c>
      <x:c r="F1889" t="n">
        <x:f>IF('Event Register'!U283&lt;&gt;"",1,0)</x:f>
        <x:v>0</x:v>
      </x:c>
      <x:c r="G1889" t="n">
        <x:v>1</x:v>
      </x:c>
      <x:c r="H1889" t="str">
        <x:v>independent physical acceptance</x:v>
      </x:c>
      <x:c r="I1889" t="str">
        <x:f>IF(F1889=1,"PASS","OPEN")</x:f>
        <x:v>OPEN</x:v>
      </x:c>
    </x:row>
    <x:row r="1890">
      <x:c r="B1890" t="str">
        <x:v>PH-EX-278</x:v>
      </x:c>
      <x:c r="C1890" t="str">
        <x:v>PHYSICAL</x:v>
      </x:c>
      <x:c r="D1890" t="str">
        <x:v>event execution</x:v>
      </x:c>
      <x:c r="E1890" t="str">
        <x:v>PH-EX-278</x:v>
      </x:c>
      <x:c r="F1890" t="n">
        <x:f>IF('Event Register'!R284&lt;&gt;"",1,0)</x:f>
        <x:v>0</x:v>
      </x:c>
      <x:c r="G1890" t="n">
        <x:v>1</x:v>
      </x:c>
      <x:c r="H1890" t="str">
        <x:v>independent physical acceptance</x:v>
      </x:c>
      <x:c r="I1890" t="str">
        <x:f>IF(F1890=1,"PASS","OPEN")</x:f>
        <x:v>OPEN</x:v>
      </x:c>
    </x:row>
    <x:row r="1891">
      <x:c r="B1891" t="str">
        <x:v>PH-EV-278</x:v>
      </x:c>
      <x:c r="C1891" t="str">
        <x:v>PHYSICAL</x:v>
      </x:c>
      <x:c r="D1891" t="str">
        <x:v>event evidence</x:v>
      </x:c>
      <x:c r="E1891" t="str">
        <x:v>PH-EV-278</x:v>
      </x:c>
      <x:c r="F1891" t="n">
        <x:f>IF('Event Register'!S284&lt;&gt;"",1,0)</x:f>
        <x:v>0</x:v>
      </x:c>
      <x:c r="G1891" t="n">
        <x:v>1</x:v>
      </x:c>
      <x:c r="H1891" t="str">
        <x:v>independent physical acceptance</x:v>
      </x:c>
      <x:c r="I1891" t="str">
        <x:f>IF(F1891=1,"PASS","OPEN")</x:f>
        <x:v>OPEN</x:v>
      </x:c>
    </x:row>
    <x:row r="1892">
      <x:c r="B1892" t="str">
        <x:v>PH-VA-278</x:v>
      </x:c>
      <x:c r="C1892" t="str">
        <x:v>PHYSICAL</x:v>
      </x:c>
      <x:c r="D1892" t="str">
        <x:v>event validity</x:v>
      </x:c>
      <x:c r="E1892" t="str">
        <x:v>PH-VA-278</x:v>
      </x:c>
      <x:c r="F1892" t="n">
        <x:f>IF('Event Register'!T284&lt;&gt;"",1,0)</x:f>
        <x:v>0</x:v>
      </x:c>
      <x:c r="G1892" t="n">
        <x:v>1</x:v>
      </x:c>
      <x:c r="H1892" t="str">
        <x:v>independent physical acceptance</x:v>
      </x:c>
      <x:c r="I1892" t="str">
        <x:f>IF(F1892=1,"PASS","OPEN")</x:f>
        <x:v>OPEN</x:v>
      </x:c>
    </x:row>
    <x:row r="1893">
      <x:c r="B1893" t="str">
        <x:v>PH-OU-278</x:v>
      </x:c>
      <x:c r="C1893" t="str">
        <x:v>PHYSICAL</x:v>
      </x:c>
      <x:c r="D1893" t="str">
        <x:v>event outcome</x:v>
      </x:c>
      <x:c r="E1893" t="str">
        <x:v>PH-OU-278</x:v>
      </x:c>
      <x:c r="F1893" t="n">
        <x:f>IF('Event Register'!U284&lt;&gt;"",1,0)</x:f>
        <x:v>0</x:v>
      </x:c>
      <x:c r="G1893" t="n">
        <x:v>1</x:v>
      </x:c>
      <x:c r="H1893" t="str">
        <x:v>independent physical acceptance</x:v>
      </x:c>
      <x:c r="I1893" t="str">
        <x:f>IF(F1893=1,"PASS","OPEN")</x:f>
        <x:v>OPEN</x:v>
      </x:c>
    </x:row>
    <x:row r="1894">
      <x:c r="B1894" t="str">
        <x:v>PH-EX-279</x:v>
      </x:c>
      <x:c r="C1894" t="str">
        <x:v>PHYSICAL</x:v>
      </x:c>
      <x:c r="D1894" t="str">
        <x:v>event execution</x:v>
      </x:c>
      <x:c r="E1894" t="str">
        <x:v>PH-EX-279</x:v>
      </x:c>
      <x:c r="F1894" t="n">
        <x:f>IF('Event Register'!R285&lt;&gt;"",1,0)</x:f>
        <x:v>0</x:v>
      </x:c>
      <x:c r="G1894" t="n">
        <x:v>1</x:v>
      </x:c>
      <x:c r="H1894" t="str">
        <x:v>independent physical acceptance</x:v>
      </x:c>
      <x:c r="I1894" t="str">
        <x:f>IF(F1894=1,"PASS","OPEN")</x:f>
        <x:v>OPEN</x:v>
      </x:c>
    </x:row>
    <x:row r="1895">
      <x:c r="B1895" t="str">
        <x:v>PH-EV-279</x:v>
      </x:c>
      <x:c r="C1895" t="str">
        <x:v>PHYSICAL</x:v>
      </x:c>
      <x:c r="D1895" t="str">
        <x:v>event evidence</x:v>
      </x:c>
      <x:c r="E1895" t="str">
        <x:v>PH-EV-279</x:v>
      </x:c>
      <x:c r="F1895" t="n">
        <x:f>IF('Event Register'!S285&lt;&gt;"",1,0)</x:f>
        <x:v>0</x:v>
      </x:c>
      <x:c r="G1895" t="n">
        <x:v>1</x:v>
      </x:c>
      <x:c r="H1895" t="str">
        <x:v>independent physical acceptance</x:v>
      </x:c>
      <x:c r="I1895" t="str">
        <x:f>IF(F1895=1,"PASS","OPEN")</x:f>
        <x:v>OPEN</x:v>
      </x:c>
    </x:row>
    <x:row r="1896">
      <x:c r="B1896" t="str">
        <x:v>PH-VA-279</x:v>
      </x:c>
      <x:c r="C1896" t="str">
        <x:v>PHYSICAL</x:v>
      </x:c>
      <x:c r="D1896" t="str">
        <x:v>event validity</x:v>
      </x:c>
      <x:c r="E1896" t="str">
        <x:v>PH-VA-279</x:v>
      </x:c>
      <x:c r="F1896" t="n">
        <x:f>IF('Event Register'!T285&lt;&gt;"",1,0)</x:f>
        <x:v>0</x:v>
      </x:c>
      <x:c r="G1896" t="n">
        <x:v>1</x:v>
      </x:c>
      <x:c r="H1896" t="str">
        <x:v>independent physical acceptance</x:v>
      </x:c>
      <x:c r="I1896" t="str">
        <x:f>IF(F1896=1,"PASS","OPEN")</x:f>
        <x:v>OPEN</x:v>
      </x:c>
    </x:row>
    <x:row r="1897">
      <x:c r="B1897" t="str">
        <x:v>PH-OU-279</x:v>
      </x:c>
      <x:c r="C1897" t="str">
        <x:v>PHYSICAL</x:v>
      </x:c>
      <x:c r="D1897" t="str">
        <x:v>event outcome</x:v>
      </x:c>
      <x:c r="E1897" t="str">
        <x:v>PH-OU-279</x:v>
      </x:c>
      <x:c r="F1897" t="n">
        <x:f>IF('Event Register'!U285&lt;&gt;"",1,0)</x:f>
        <x:v>0</x:v>
      </x:c>
      <x:c r="G1897" t="n">
        <x:v>1</x:v>
      </x:c>
      <x:c r="H1897" t="str">
        <x:v>independent physical acceptance</x:v>
      </x:c>
      <x:c r="I1897" t="str">
        <x:f>IF(F1897=1,"PASS","OPEN")</x:f>
        <x:v>OPEN</x:v>
      </x:c>
    </x:row>
    <x:row r="1898">
      <x:c r="B1898" t="str">
        <x:v>PH-EX-280</x:v>
      </x:c>
      <x:c r="C1898" t="str">
        <x:v>PHYSICAL</x:v>
      </x:c>
      <x:c r="D1898" t="str">
        <x:v>event execution</x:v>
      </x:c>
      <x:c r="E1898" t="str">
        <x:v>PH-EX-280</x:v>
      </x:c>
      <x:c r="F1898" t="n">
        <x:f>IF('Event Register'!R286&lt;&gt;"",1,0)</x:f>
        <x:v>0</x:v>
      </x:c>
      <x:c r="G1898" t="n">
        <x:v>1</x:v>
      </x:c>
      <x:c r="H1898" t="str">
        <x:v>independent physical acceptance</x:v>
      </x:c>
      <x:c r="I1898" t="str">
        <x:f>IF(F1898=1,"PASS","OPEN")</x:f>
        <x:v>OPEN</x:v>
      </x:c>
    </x:row>
    <x:row r="1899">
      <x:c r="B1899" t="str">
        <x:v>PH-EV-280</x:v>
      </x:c>
      <x:c r="C1899" t="str">
        <x:v>PHYSICAL</x:v>
      </x:c>
      <x:c r="D1899" t="str">
        <x:v>event evidence</x:v>
      </x:c>
      <x:c r="E1899" t="str">
        <x:v>PH-EV-280</x:v>
      </x:c>
      <x:c r="F1899" t="n">
        <x:f>IF('Event Register'!S286&lt;&gt;"",1,0)</x:f>
        <x:v>0</x:v>
      </x:c>
      <x:c r="G1899" t="n">
        <x:v>1</x:v>
      </x:c>
      <x:c r="H1899" t="str">
        <x:v>independent physical acceptance</x:v>
      </x:c>
      <x:c r="I1899" t="str">
        <x:f>IF(F1899=1,"PASS","OPEN")</x:f>
        <x:v>OPEN</x:v>
      </x:c>
    </x:row>
    <x:row r="1900">
      <x:c r="B1900" t="str">
        <x:v>PH-VA-280</x:v>
      </x:c>
      <x:c r="C1900" t="str">
        <x:v>PHYSICAL</x:v>
      </x:c>
      <x:c r="D1900" t="str">
        <x:v>event validity</x:v>
      </x:c>
      <x:c r="E1900" t="str">
        <x:v>PH-VA-280</x:v>
      </x:c>
      <x:c r="F1900" t="n">
        <x:f>IF('Event Register'!T286&lt;&gt;"",1,0)</x:f>
        <x:v>0</x:v>
      </x:c>
      <x:c r="G1900" t="n">
        <x:v>1</x:v>
      </x:c>
      <x:c r="H1900" t="str">
        <x:v>independent physical acceptance</x:v>
      </x:c>
      <x:c r="I1900" t="str">
        <x:f>IF(F1900=1,"PASS","OPEN")</x:f>
        <x:v>OPEN</x:v>
      </x:c>
    </x:row>
    <x:row r="1901">
      <x:c r="B1901" t="str">
        <x:v>PH-OU-280</x:v>
      </x:c>
      <x:c r="C1901" t="str">
        <x:v>PHYSICAL</x:v>
      </x:c>
      <x:c r="D1901" t="str">
        <x:v>event outcome</x:v>
      </x:c>
      <x:c r="E1901" t="str">
        <x:v>PH-OU-280</x:v>
      </x:c>
      <x:c r="F1901" t="n">
        <x:f>IF('Event Register'!U286&lt;&gt;"",1,0)</x:f>
        <x:v>0</x:v>
      </x:c>
      <x:c r="G1901" t="n">
        <x:v>1</x:v>
      </x:c>
      <x:c r="H1901" t="str">
        <x:v>independent physical acceptance</x:v>
      </x:c>
      <x:c r="I1901" t="str">
        <x:f>IF(F1901=1,"PASS","OPEN")</x:f>
        <x:v>OPEN</x:v>
      </x:c>
    </x:row>
    <x:row r="1902">
      <x:c r="B1902" t="str">
        <x:v>PH-EX-281</x:v>
      </x:c>
      <x:c r="C1902" t="str">
        <x:v>PHYSICAL</x:v>
      </x:c>
      <x:c r="D1902" t="str">
        <x:v>event execution</x:v>
      </x:c>
      <x:c r="E1902" t="str">
        <x:v>PH-EX-281</x:v>
      </x:c>
      <x:c r="F1902" t="n">
        <x:f>IF('Event Register'!R287&lt;&gt;"",1,0)</x:f>
        <x:v>0</x:v>
      </x:c>
      <x:c r="G1902" t="n">
        <x:v>1</x:v>
      </x:c>
      <x:c r="H1902" t="str">
        <x:v>independent physical acceptance</x:v>
      </x:c>
      <x:c r="I1902" t="str">
        <x:f>IF(F1902=1,"PASS","OPEN")</x:f>
        <x:v>OPEN</x:v>
      </x:c>
    </x:row>
    <x:row r="1903">
      <x:c r="B1903" t="str">
        <x:v>PH-EV-281</x:v>
      </x:c>
      <x:c r="C1903" t="str">
        <x:v>PHYSICAL</x:v>
      </x:c>
      <x:c r="D1903" t="str">
        <x:v>event evidence</x:v>
      </x:c>
      <x:c r="E1903" t="str">
        <x:v>PH-EV-281</x:v>
      </x:c>
      <x:c r="F1903" t="n">
        <x:f>IF('Event Register'!S287&lt;&gt;"",1,0)</x:f>
        <x:v>0</x:v>
      </x:c>
      <x:c r="G1903" t="n">
        <x:v>1</x:v>
      </x:c>
      <x:c r="H1903" t="str">
        <x:v>independent physical acceptance</x:v>
      </x:c>
      <x:c r="I1903" t="str">
        <x:f>IF(F1903=1,"PASS","OPEN")</x:f>
        <x:v>OPEN</x:v>
      </x:c>
    </x:row>
    <x:row r="1904">
      <x:c r="B1904" t="str">
        <x:v>PH-VA-281</x:v>
      </x:c>
      <x:c r="C1904" t="str">
        <x:v>PHYSICAL</x:v>
      </x:c>
      <x:c r="D1904" t="str">
        <x:v>event validity</x:v>
      </x:c>
      <x:c r="E1904" t="str">
        <x:v>PH-VA-281</x:v>
      </x:c>
      <x:c r="F1904" t="n">
        <x:f>IF('Event Register'!T287&lt;&gt;"",1,0)</x:f>
        <x:v>0</x:v>
      </x:c>
      <x:c r="G1904" t="n">
        <x:v>1</x:v>
      </x:c>
      <x:c r="H1904" t="str">
        <x:v>independent physical acceptance</x:v>
      </x:c>
      <x:c r="I1904" t="str">
        <x:f>IF(F1904=1,"PASS","OPEN")</x:f>
        <x:v>OPEN</x:v>
      </x:c>
    </x:row>
    <x:row r="1905">
      <x:c r="B1905" t="str">
        <x:v>PH-OU-281</x:v>
      </x:c>
      <x:c r="C1905" t="str">
        <x:v>PHYSICAL</x:v>
      </x:c>
      <x:c r="D1905" t="str">
        <x:v>event outcome</x:v>
      </x:c>
      <x:c r="E1905" t="str">
        <x:v>PH-OU-281</x:v>
      </x:c>
      <x:c r="F1905" t="n">
        <x:f>IF('Event Register'!U287&lt;&gt;"",1,0)</x:f>
        <x:v>0</x:v>
      </x:c>
      <x:c r="G1905" t="n">
        <x:v>1</x:v>
      </x:c>
      <x:c r="H1905" t="str">
        <x:v>independent physical acceptance</x:v>
      </x:c>
      <x:c r="I1905" t="str">
        <x:f>IF(F1905=1,"PASS","OPEN")</x:f>
        <x:v>OPEN</x:v>
      </x:c>
    </x:row>
    <x:row r="1906">
      <x:c r="B1906" t="str">
        <x:v>PH-EX-282</x:v>
      </x:c>
      <x:c r="C1906" t="str">
        <x:v>PHYSICAL</x:v>
      </x:c>
      <x:c r="D1906" t="str">
        <x:v>event execution</x:v>
      </x:c>
      <x:c r="E1906" t="str">
        <x:v>PH-EX-282</x:v>
      </x:c>
      <x:c r="F1906" t="n">
        <x:f>IF('Event Register'!R288&lt;&gt;"",1,0)</x:f>
        <x:v>0</x:v>
      </x:c>
      <x:c r="G1906" t="n">
        <x:v>1</x:v>
      </x:c>
      <x:c r="H1906" t="str">
        <x:v>independent physical acceptance</x:v>
      </x:c>
      <x:c r="I1906" t="str">
        <x:f>IF(F1906=1,"PASS","OPEN")</x:f>
        <x:v>OPEN</x:v>
      </x:c>
    </x:row>
    <x:row r="1907">
      <x:c r="B1907" t="str">
        <x:v>PH-EV-282</x:v>
      </x:c>
      <x:c r="C1907" t="str">
        <x:v>PHYSICAL</x:v>
      </x:c>
      <x:c r="D1907" t="str">
        <x:v>event evidence</x:v>
      </x:c>
      <x:c r="E1907" t="str">
        <x:v>PH-EV-282</x:v>
      </x:c>
      <x:c r="F1907" t="n">
        <x:f>IF('Event Register'!S288&lt;&gt;"",1,0)</x:f>
        <x:v>0</x:v>
      </x:c>
      <x:c r="G1907" t="n">
        <x:v>1</x:v>
      </x:c>
      <x:c r="H1907" t="str">
        <x:v>independent physical acceptance</x:v>
      </x:c>
      <x:c r="I1907" t="str">
        <x:f>IF(F1907=1,"PASS","OPEN")</x:f>
        <x:v>OPEN</x:v>
      </x:c>
    </x:row>
    <x:row r="1908">
      <x:c r="B1908" t="str">
        <x:v>PH-VA-282</x:v>
      </x:c>
      <x:c r="C1908" t="str">
        <x:v>PHYSICAL</x:v>
      </x:c>
      <x:c r="D1908" t="str">
        <x:v>event validity</x:v>
      </x:c>
      <x:c r="E1908" t="str">
        <x:v>PH-VA-282</x:v>
      </x:c>
      <x:c r="F1908" t="n">
        <x:f>IF('Event Register'!T288&lt;&gt;"",1,0)</x:f>
        <x:v>0</x:v>
      </x:c>
      <x:c r="G1908" t="n">
        <x:v>1</x:v>
      </x:c>
      <x:c r="H1908" t="str">
        <x:v>independent physical acceptance</x:v>
      </x:c>
      <x:c r="I1908" t="str">
        <x:f>IF(F1908=1,"PASS","OPEN")</x:f>
        <x:v>OPEN</x:v>
      </x:c>
    </x:row>
    <x:row r="1909">
      <x:c r="B1909" t="str">
        <x:v>PH-OU-282</x:v>
      </x:c>
      <x:c r="C1909" t="str">
        <x:v>PHYSICAL</x:v>
      </x:c>
      <x:c r="D1909" t="str">
        <x:v>event outcome</x:v>
      </x:c>
      <x:c r="E1909" t="str">
        <x:v>PH-OU-282</x:v>
      </x:c>
      <x:c r="F1909" t="n">
        <x:f>IF('Event Register'!U288&lt;&gt;"",1,0)</x:f>
        <x:v>0</x:v>
      </x:c>
      <x:c r="G1909" t="n">
        <x:v>1</x:v>
      </x:c>
      <x:c r="H1909" t="str">
        <x:v>independent physical acceptance</x:v>
      </x:c>
      <x:c r="I1909" t="str">
        <x:f>IF(F1909=1,"PASS","OPEN")</x:f>
        <x:v>OPEN</x:v>
      </x:c>
    </x:row>
    <x:row r="1910">
      <x:c r="B1910" t="str">
        <x:v>PH-EX-283</x:v>
      </x:c>
      <x:c r="C1910" t="str">
        <x:v>PHYSICAL</x:v>
      </x:c>
      <x:c r="D1910" t="str">
        <x:v>event execution</x:v>
      </x:c>
      <x:c r="E1910" t="str">
        <x:v>PH-EX-283</x:v>
      </x:c>
      <x:c r="F1910" t="n">
        <x:f>IF('Event Register'!R289&lt;&gt;"",1,0)</x:f>
        <x:v>0</x:v>
      </x:c>
      <x:c r="G1910" t="n">
        <x:v>1</x:v>
      </x:c>
      <x:c r="H1910" t="str">
        <x:v>independent physical acceptance</x:v>
      </x:c>
      <x:c r="I1910" t="str">
        <x:f>IF(F1910=1,"PASS","OPEN")</x:f>
        <x:v>OPEN</x:v>
      </x:c>
    </x:row>
    <x:row r="1911">
      <x:c r="B1911" t="str">
        <x:v>PH-EV-283</x:v>
      </x:c>
      <x:c r="C1911" t="str">
        <x:v>PHYSICAL</x:v>
      </x:c>
      <x:c r="D1911" t="str">
        <x:v>event evidence</x:v>
      </x:c>
      <x:c r="E1911" t="str">
        <x:v>PH-EV-283</x:v>
      </x:c>
      <x:c r="F1911" t="n">
        <x:f>IF('Event Register'!S289&lt;&gt;"",1,0)</x:f>
        <x:v>0</x:v>
      </x:c>
      <x:c r="G1911" t="n">
        <x:v>1</x:v>
      </x:c>
      <x:c r="H1911" t="str">
        <x:v>independent physical acceptance</x:v>
      </x:c>
      <x:c r="I1911" t="str">
        <x:f>IF(F1911=1,"PASS","OPEN")</x:f>
        <x:v>OPEN</x:v>
      </x:c>
    </x:row>
    <x:row r="1912">
      <x:c r="B1912" t="str">
        <x:v>PH-VA-283</x:v>
      </x:c>
      <x:c r="C1912" t="str">
        <x:v>PHYSICAL</x:v>
      </x:c>
      <x:c r="D1912" t="str">
        <x:v>event validity</x:v>
      </x:c>
      <x:c r="E1912" t="str">
        <x:v>PH-VA-283</x:v>
      </x:c>
      <x:c r="F1912" t="n">
        <x:f>IF('Event Register'!T289&lt;&gt;"",1,0)</x:f>
        <x:v>0</x:v>
      </x:c>
      <x:c r="G1912" t="n">
        <x:v>1</x:v>
      </x:c>
      <x:c r="H1912" t="str">
        <x:v>independent physical acceptance</x:v>
      </x:c>
      <x:c r="I1912" t="str">
        <x:f>IF(F1912=1,"PASS","OPEN")</x:f>
        <x:v>OPEN</x:v>
      </x:c>
    </x:row>
    <x:row r="1913">
      <x:c r="B1913" t="str">
        <x:v>PH-OU-283</x:v>
      </x:c>
      <x:c r="C1913" t="str">
        <x:v>PHYSICAL</x:v>
      </x:c>
      <x:c r="D1913" t="str">
        <x:v>event outcome</x:v>
      </x:c>
      <x:c r="E1913" t="str">
        <x:v>PH-OU-283</x:v>
      </x:c>
      <x:c r="F1913" t="n">
        <x:f>IF('Event Register'!U289&lt;&gt;"",1,0)</x:f>
        <x:v>0</x:v>
      </x:c>
      <x:c r="G1913" t="n">
        <x:v>1</x:v>
      </x:c>
      <x:c r="H1913" t="str">
        <x:v>independent physical acceptance</x:v>
      </x:c>
      <x:c r="I1913" t="str">
        <x:f>IF(F1913=1,"PASS","OPEN")</x:f>
        <x:v>OPEN</x:v>
      </x:c>
    </x:row>
    <x:row r="1914">
      <x:c r="B1914" t="str">
        <x:v>PH-EX-284</x:v>
      </x:c>
      <x:c r="C1914" t="str">
        <x:v>PHYSICAL</x:v>
      </x:c>
      <x:c r="D1914" t="str">
        <x:v>event execution</x:v>
      </x:c>
      <x:c r="E1914" t="str">
        <x:v>PH-EX-284</x:v>
      </x:c>
      <x:c r="F1914" t="n">
        <x:f>IF('Event Register'!R290&lt;&gt;"",1,0)</x:f>
        <x:v>0</x:v>
      </x:c>
      <x:c r="G1914" t="n">
        <x:v>1</x:v>
      </x:c>
      <x:c r="H1914" t="str">
        <x:v>independent physical acceptance</x:v>
      </x:c>
      <x:c r="I1914" t="str">
        <x:f>IF(F1914=1,"PASS","OPEN")</x:f>
        <x:v>OPEN</x:v>
      </x:c>
    </x:row>
    <x:row r="1915">
      <x:c r="B1915" t="str">
        <x:v>PH-EV-284</x:v>
      </x:c>
      <x:c r="C1915" t="str">
        <x:v>PHYSICAL</x:v>
      </x:c>
      <x:c r="D1915" t="str">
        <x:v>event evidence</x:v>
      </x:c>
      <x:c r="E1915" t="str">
        <x:v>PH-EV-284</x:v>
      </x:c>
      <x:c r="F1915" t="n">
        <x:f>IF('Event Register'!S290&lt;&gt;"",1,0)</x:f>
        <x:v>0</x:v>
      </x:c>
      <x:c r="G1915" t="n">
        <x:v>1</x:v>
      </x:c>
      <x:c r="H1915" t="str">
        <x:v>independent physical acceptance</x:v>
      </x:c>
      <x:c r="I1915" t="str">
        <x:f>IF(F1915=1,"PASS","OPEN")</x:f>
        <x:v>OPEN</x:v>
      </x:c>
    </x:row>
    <x:row r="1916">
      <x:c r="B1916" t="str">
        <x:v>PH-VA-284</x:v>
      </x:c>
      <x:c r="C1916" t="str">
        <x:v>PHYSICAL</x:v>
      </x:c>
      <x:c r="D1916" t="str">
        <x:v>event validity</x:v>
      </x:c>
      <x:c r="E1916" t="str">
        <x:v>PH-VA-284</x:v>
      </x:c>
      <x:c r="F1916" t="n">
        <x:f>IF('Event Register'!T290&lt;&gt;"",1,0)</x:f>
        <x:v>0</x:v>
      </x:c>
      <x:c r="G1916" t="n">
        <x:v>1</x:v>
      </x:c>
      <x:c r="H1916" t="str">
        <x:v>independent physical acceptance</x:v>
      </x:c>
      <x:c r="I1916" t="str">
        <x:f>IF(F1916=1,"PASS","OPEN")</x:f>
        <x:v>OPEN</x:v>
      </x:c>
    </x:row>
    <x:row r="1917">
      <x:c r="B1917" t="str">
        <x:v>PH-OU-284</x:v>
      </x:c>
      <x:c r="C1917" t="str">
        <x:v>PHYSICAL</x:v>
      </x:c>
      <x:c r="D1917" t="str">
        <x:v>event outcome</x:v>
      </x:c>
      <x:c r="E1917" t="str">
        <x:v>PH-OU-284</x:v>
      </x:c>
      <x:c r="F1917" t="n">
        <x:f>IF('Event Register'!U290&lt;&gt;"",1,0)</x:f>
        <x:v>0</x:v>
      </x:c>
      <x:c r="G1917" t="n">
        <x:v>1</x:v>
      </x:c>
      <x:c r="H1917" t="str">
        <x:v>independent physical acceptance</x:v>
      </x:c>
      <x:c r="I1917" t="str">
        <x:f>IF(F1917=1,"PASS","OPEN")</x:f>
        <x:v>OPEN</x:v>
      </x:c>
    </x:row>
    <x:row r="1918">
      <x:c r="B1918" t="str">
        <x:v>PH-EX-285</x:v>
      </x:c>
      <x:c r="C1918" t="str">
        <x:v>PHYSICAL</x:v>
      </x:c>
      <x:c r="D1918" t="str">
        <x:v>event execution</x:v>
      </x:c>
      <x:c r="E1918" t="str">
        <x:v>PH-EX-285</x:v>
      </x:c>
      <x:c r="F1918" t="n">
        <x:f>IF('Event Register'!R291&lt;&gt;"",1,0)</x:f>
        <x:v>0</x:v>
      </x:c>
      <x:c r="G1918" t="n">
        <x:v>1</x:v>
      </x:c>
      <x:c r="H1918" t="str">
        <x:v>independent physical acceptance</x:v>
      </x:c>
      <x:c r="I1918" t="str">
        <x:f>IF(F1918=1,"PASS","OPEN")</x:f>
        <x:v>OPEN</x:v>
      </x:c>
    </x:row>
    <x:row r="1919">
      <x:c r="B1919" t="str">
        <x:v>PH-EV-285</x:v>
      </x:c>
      <x:c r="C1919" t="str">
        <x:v>PHYSICAL</x:v>
      </x:c>
      <x:c r="D1919" t="str">
        <x:v>event evidence</x:v>
      </x:c>
      <x:c r="E1919" t="str">
        <x:v>PH-EV-285</x:v>
      </x:c>
      <x:c r="F1919" t="n">
        <x:f>IF('Event Register'!S291&lt;&gt;"",1,0)</x:f>
        <x:v>0</x:v>
      </x:c>
      <x:c r="G1919" t="n">
        <x:v>1</x:v>
      </x:c>
      <x:c r="H1919" t="str">
        <x:v>independent physical acceptance</x:v>
      </x:c>
      <x:c r="I1919" t="str">
        <x:f>IF(F1919=1,"PASS","OPEN")</x:f>
        <x:v>OPEN</x:v>
      </x:c>
    </x:row>
    <x:row r="1920">
      <x:c r="B1920" t="str">
        <x:v>PH-VA-285</x:v>
      </x:c>
      <x:c r="C1920" t="str">
        <x:v>PHYSICAL</x:v>
      </x:c>
      <x:c r="D1920" t="str">
        <x:v>event validity</x:v>
      </x:c>
      <x:c r="E1920" t="str">
        <x:v>PH-VA-285</x:v>
      </x:c>
      <x:c r="F1920" t="n">
        <x:f>IF('Event Register'!T291&lt;&gt;"",1,0)</x:f>
        <x:v>0</x:v>
      </x:c>
      <x:c r="G1920" t="n">
        <x:v>1</x:v>
      </x:c>
      <x:c r="H1920" t="str">
        <x:v>independent physical acceptance</x:v>
      </x:c>
      <x:c r="I1920" t="str">
        <x:f>IF(F1920=1,"PASS","OPEN")</x:f>
        <x:v>OPEN</x:v>
      </x:c>
    </x:row>
    <x:row r="1921">
      <x:c r="B1921" t="str">
        <x:v>PH-OU-285</x:v>
      </x:c>
      <x:c r="C1921" t="str">
        <x:v>PHYSICAL</x:v>
      </x:c>
      <x:c r="D1921" t="str">
        <x:v>event outcome</x:v>
      </x:c>
      <x:c r="E1921" t="str">
        <x:v>PH-OU-285</x:v>
      </x:c>
      <x:c r="F1921" t="n">
        <x:f>IF('Event Register'!U291&lt;&gt;"",1,0)</x:f>
        <x:v>0</x:v>
      </x:c>
      <x:c r="G1921" t="n">
        <x:v>1</x:v>
      </x:c>
      <x:c r="H1921" t="str">
        <x:v>independent physical acceptance</x:v>
      </x:c>
      <x:c r="I1921" t="str">
        <x:f>IF(F1921=1,"PASS","OPEN")</x:f>
        <x:v>OPEN</x:v>
      </x:c>
    </x:row>
    <x:row r="1922">
      <x:c r="B1922" t="str">
        <x:v>PH-EX-286</x:v>
      </x:c>
      <x:c r="C1922" t="str">
        <x:v>PHYSICAL</x:v>
      </x:c>
      <x:c r="D1922" t="str">
        <x:v>event execution</x:v>
      </x:c>
      <x:c r="E1922" t="str">
        <x:v>PH-EX-286</x:v>
      </x:c>
      <x:c r="F1922" t="n">
        <x:f>IF('Event Register'!R292&lt;&gt;"",1,0)</x:f>
        <x:v>0</x:v>
      </x:c>
      <x:c r="G1922" t="n">
        <x:v>1</x:v>
      </x:c>
      <x:c r="H1922" t="str">
        <x:v>independent physical acceptance</x:v>
      </x:c>
      <x:c r="I1922" t="str">
        <x:f>IF(F1922=1,"PASS","OPEN")</x:f>
        <x:v>OPEN</x:v>
      </x:c>
    </x:row>
    <x:row r="1923">
      <x:c r="B1923" t="str">
        <x:v>PH-EV-286</x:v>
      </x:c>
      <x:c r="C1923" t="str">
        <x:v>PHYSICAL</x:v>
      </x:c>
      <x:c r="D1923" t="str">
        <x:v>event evidence</x:v>
      </x:c>
      <x:c r="E1923" t="str">
        <x:v>PH-EV-286</x:v>
      </x:c>
      <x:c r="F1923" t="n">
        <x:f>IF('Event Register'!S292&lt;&gt;"",1,0)</x:f>
        <x:v>0</x:v>
      </x:c>
      <x:c r="G1923" t="n">
        <x:v>1</x:v>
      </x:c>
      <x:c r="H1923" t="str">
        <x:v>independent physical acceptance</x:v>
      </x:c>
      <x:c r="I1923" t="str">
        <x:f>IF(F1923=1,"PASS","OPEN")</x:f>
        <x:v>OPEN</x:v>
      </x:c>
    </x:row>
    <x:row r="1924">
      <x:c r="B1924" t="str">
        <x:v>PH-VA-286</x:v>
      </x:c>
      <x:c r="C1924" t="str">
        <x:v>PHYSICAL</x:v>
      </x:c>
      <x:c r="D1924" t="str">
        <x:v>event validity</x:v>
      </x:c>
      <x:c r="E1924" t="str">
        <x:v>PH-VA-286</x:v>
      </x:c>
      <x:c r="F1924" t="n">
        <x:f>IF('Event Register'!T292&lt;&gt;"",1,0)</x:f>
        <x:v>0</x:v>
      </x:c>
      <x:c r="G1924" t="n">
        <x:v>1</x:v>
      </x:c>
      <x:c r="H1924" t="str">
        <x:v>independent physical acceptance</x:v>
      </x:c>
      <x:c r="I1924" t="str">
        <x:f>IF(F1924=1,"PASS","OPEN")</x:f>
        <x:v>OPEN</x:v>
      </x:c>
    </x:row>
    <x:row r="1925">
      <x:c r="B1925" t="str">
        <x:v>PH-OU-286</x:v>
      </x:c>
      <x:c r="C1925" t="str">
        <x:v>PHYSICAL</x:v>
      </x:c>
      <x:c r="D1925" t="str">
        <x:v>event outcome</x:v>
      </x:c>
      <x:c r="E1925" t="str">
        <x:v>PH-OU-286</x:v>
      </x:c>
      <x:c r="F1925" t="n">
        <x:f>IF('Event Register'!U292&lt;&gt;"",1,0)</x:f>
        <x:v>0</x:v>
      </x:c>
      <x:c r="G1925" t="n">
        <x:v>1</x:v>
      </x:c>
      <x:c r="H1925" t="str">
        <x:v>independent physical acceptance</x:v>
      </x:c>
      <x:c r="I1925" t="str">
        <x:f>IF(F1925=1,"PASS","OPEN")</x:f>
        <x:v>OPEN</x:v>
      </x:c>
    </x:row>
    <x:row r="1926">
      <x:c r="B1926" t="str">
        <x:v>PH-EX-287</x:v>
      </x:c>
      <x:c r="C1926" t="str">
        <x:v>PHYSICAL</x:v>
      </x:c>
      <x:c r="D1926" t="str">
        <x:v>event execution</x:v>
      </x:c>
      <x:c r="E1926" t="str">
        <x:v>PH-EX-287</x:v>
      </x:c>
      <x:c r="F1926" t="n">
        <x:f>IF('Event Register'!R293&lt;&gt;"",1,0)</x:f>
        <x:v>0</x:v>
      </x:c>
      <x:c r="G1926" t="n">
        <x:v>1</x:v>
      </x:c>
      <x:c r="H1926" t="str">
        <x:v>independent physical acceptance</x:v>
      </x:c>
      <x:c r="I1926" t="str">
        <x:f>IF(F1926=1,"PASS","OPEN")</x:f>
        <x:v>OPEN</x:v>
      </x:c>
    </x:row>
    <x:row r="1927">
      <x:c r="B1927" t="str">
        <x:v>PH-EV-287</x:v>
      </x:c>
      <x:c r="C1927" t="str">
        <x:v>PHYSICAL</x:v>
      </x:c>
      <x:c r="D1927" t="str">
        <x:v>event evidence</x:v>
      </x:c>
      <x:c r="E1927" t="str">
        <x:v>PH-EV-287</x:v>
      </x:c>
      <x:c r="F1927" t="n">
        <x:f>IF('Event Register'!S293&lt;&gt;"",1,0)</x:f>
        <x:v>0</x:v>
      </x:c>
      <x:c r="G1927" t="n">
        <x:v>1</x:v>
      </x:c>
      <x:c r="H1927" t="str">
        <x:v>independent physical acceptance</x:v>
      </x:c>
      <x:c r="I1927" t="str">
        <x:f>IF(F1927=1,"PASS","OPEN")</x:f>
        <x:v>OPEN</x:v>
      </x:c>
    </x:row>
    <x:row r="1928">
      <x:c r="B1928" t="str">
        <x:v>PH-VA-287</x:v>
      </x:c>
      <x:c r="C1928" t="str">
        <x:v>PHYSICAL</x:v>
      </x:c>
      <x:c r="D1928" t="str">
        <x:v>event validity</x:v>
      </x:c>
      <x:c r="E1928" t="str">
        <x:v>PH-VA-287</x:v>
      </x:c>
      <x:c r="F1928" t="n">
        <x:f>IF('Event Register'!T293&lt;&gt;"",1,0)</x:f>
        <x:v>0</x:v>
      </x:c>
      <x:c r="G1928" t="n">
        <x:v>1</x:v>
      </x:c>
      <x:c r="H1928" t="str">
        <x:v>independent physical acceptance</x:v>
      </x:c>
      <x:c r="I1928" t="str">
        <x:f>IF(F1928=1,"PASS","OPEN")</x:f>
        <x:v>OPEN</x:v>
      </x:c>
    </x:row>
    <x:row r="1929">
      <x:c r="B1929" t="str">
        <x:v>PH-OU-287</x:v>
      </x:c>
      <x:c r="C1929" t="str">
        <x:v>PHYSICAL</x:v>
      </x:c>
      <x:c r="D1929" t="str">
        <x:v>event outcome</x:v>
      </x:c>
      <x:c r="E1929" t="str">
        <x:v>PH-OU-287</x:v>
      </x:c>
      <x:c r="F1929" t="n">
        <x:f>IF('Event Register'!U293&lt;&gt;"",1,0)</x:f>
        <x:v>0</x:v>
      </x:c>
      <x:c r="G1929" t="n">
        <x:v>1</x:v>
      </x:c>
      <x:c r="H1929" t="str">
        <x:v>independent physical acceptance</x:v>
      </x:c>
      <x:c r="I1929" t="str">
        <x:f>IF(F1929=1,"PASS","OPEN")</x:f>
        <x:v>OPEN</x:v>
      </x:c>
    </x:row>
    <x:row r="1930">
      <x:c r="B1930" t="str">
        <x:v>PH-EX-288</x:v>
      </x:c>
      <x:c r="C1930" t="str">
        <x:v>PHYSICAL</x:v>
      </x:c>
      <x:c r="D1930" t="str">
        <x:v>event execution</x:v>
      </x:c>
      <x:c r="E1930" t="str">
        <x:v>PH-EX-288</x:v>
      </x:c>
      <x:c r="F1930" t="n">
        <x:f>IF('Event Register'!R294&lt;&gt;"",1,0)</x:f>
        <x:v>0</x:v>
      </x:c>
      <x:c r="G1930" t="n">
        <x:v>1</x:v>
      </x:c>
      <x:c r="H1930" t="str">
        <x:v>independent physical acceptance</x:v>
      </x:c>
      <x:c r="I1930" t="str">
        <x:f>IF(F1930=1,"PASS","OPEN")</x:f>
        <x:v>OPEN</x:v>
      </x:c>
    </x:row>
    <x:row r="1931">
      <x:c r="B1931" t="str">
        <x:v>PH-EV-288</x:v>
      </x:c>
      <x:c r="C1931" t="str">
        <x:v>PHYSICAL</x:v>
      </x:c>
      <x:c r="D1931" t="str">
        <x:v>event evidence</x:v>
      </x:c>
      <x:c r="E1931" t="str">
        <x:v>PH-EV-288</x:v>
      </x:c>
      <x:c r="F1931" t="n">
        <x:f>IF('Event Register'!S294&lt;&gt;"",1,0)</x:f>
        <x:v>0</x:v>
      </x:c>
      <x:c r="G1931" t="n">
        <x:v>1</x:v>
      </x:c>
      <x:c r="H1931" t="str">
        <x:v>independent physical acceptance</x:v>
      </x:c>
      <x:c r="I1931" t="str">
        <x:f>IF(F1931=1,"PASS","OPEN")</x:f>
        <x:v>OPEN</x:v>
      </x:c>
    </x:row>
    <x:row r="1932">
      <x:c r="B1932" t="str">
        <x:v>PH-VA-288</x:v>
      </x:c>
      <x:c r="C1932" t="str">
        <x:v>PHYSICAL</x:v>
      </x:c>
      <x:c r="D1932" t="str">
        <x:v>event validity</x:v>
      </x:c>
      <x:c r="E1932" t="str">
        <x:v>PH-VA-288</x:v>
      </x:c>
      <x:c r="F1932" t="n">
        <x:f>IF('Event Register'!T294&lt;&gt;"",1,0)</x:f>
        <x:v>0</x:v>
      </x:c>
      <x:c r="G1932" t="n">
        <x:v>1</x:v>
      </x:c>
      <x:c r="H1932" t="str">
        <x:v>independent physical acceptance</x:v>
      </x:c>
      <x:c r="I1932" t="str">
        <x:f>IF(F1932=1,"PASS","OPEN")</x:f>
        <x:v>OPEN</x:v>
      </x:c>
    </x:row>
    <x:row r="1933">
      <x:c r="B1933" t="str">
        <x:v>PH-OU-288</x:v>
      </x:c>
      <x:c r="C1933" t="str">
        <x:v>PHYSICAL</x:v>
      </x:c>
      <x:c r="D1933" t="str">
        <x:v>event outcome</x:v>
      </x:c>
      <x:c r="E1933" t="str">
        <x:v>PH-OU-288</x:v>
      </x:c>
      <x:c r="F1933" t="n">
        <x:f>IF('Event Register'!U294&lt;&gt;"",1,0)</x:f>
        <x:v>0</x:v>
      </x:c>
      <x:c r="G1933" t="n">
        <x:v>1</x:v>
      </x:c>
      <x:c r="H1933" t="str">
        <x:v>independent physical acceptance</x:v>
      </x:c>
      <x:c r="I1933" t="str">
        <x:f>IF(F1933=1,"PASS","OPEN")</x:f>
        <x:v>OPEN</x:v>
      </x:c>
    </x:row>
    <x:row r="1934">
      <x:c r="B1934" t="str">
        <x:v>PH-EX-289</x:v>
      </x:c>
      <x:c r="C1934" t="str">
        <x:v>PHYSICAL</x:v>
      </x:c>
      <x:c r="D1934" t="str">
        <x:v>event execution</x:v>
      </x:c>
      <x:c r="E1934" t="str">
        <x:v>PH-EX-289</x:v>
      </x:c>
      <x:c r="F1934" t="n">
        <x:f>IF('Event Register'!R295&lt;&gt;"",1,0)</x:f>
        <x:v>0</x:v>
      </x:c>
      <x:c r="G1934" t="n">
        <x:v>1</x:v>
      </x:c>
      <x:c r="H1934" t="str">
        <x:v>independent physical acceptance</x:v>
      </x:c>
      <x:c r="I1934" t="str">
        <x:f>IF(F1934=1,"PASS","OPEN")</x:f>
        <x:v>OPEN</x:v>
      </x:c>
    </x:row>
    <x:row r="1935">
      <x:c r="B1935" t="str">
        <x:v>PH-EV-289</x:v>
      </x:c>
      <x:c r="C1935" t="str">
        <x:v>PHYSICAL</x:v>
      </x:c>
      <x:c r="D1935" t="str">
        <x:v>event evidence</x:v>
      </x:c>
      <x:c r="E1935" t="str">
        <x:v>PH-EV-289</x:v>
      </x:c>
      <x:c r="F1935" t="n">
        <x:f>IF('Event Register'!S295&lt;&gt;"",1,0)</x:f>
        <x:v>0</x:v>
      </x:c>
      <x:c r="G1935" t="n">
        <x:v>1</x:v>
      </x:c>
      <x:c r="H1935" t="str">
        <x:v>independent physical acceptance</x:v>
      </x:c>
      <x:c r="I1935" t="str">
        <x:f>IF(F1935=1,"PASS","OPEN")</x:f>
        <x:v>OPEN</x:v>
      </x:c>
    </x:row>
    <x:row r="1936">
      <x:c r="B1936" t="str">
        <x:v>PH-VA-289</x:v>
      </x:c>
      <x:c r="C1936" t="str">
        <x:v>PHYSICAL</x:v>
      </x:c>
      <x:c r="D1936" t="str">
        <x:v>event validity</x:v>
      </x:c>
      <x:c r="E1936" t="str">
        <x:v>PH-VA-289</x:v>
      </x:c>
      <x:c r="F1936" t="n">
        <x:f>IF('Event Register'!T295&lt;&gt;"",1,0)</x:f>
        <x:v>0</x:v>
      </x:c>
      <x:c r="G1936" t="n">
        <x:v>1</x:v>
      </x:c>
      <x:c r="H1936" t="str">
        <x:v>independent physical acceptance</x:v>
      </x:c>
      <x:c r="I1936" t="str">
        <x:f>IF(F1936=1,"PASS","OPEN")</x:f>
        <x:v>OPEN</x:v>
      </x:c>
    </x:row>
    <x:row r="1937">
      <x:c r="B1937" t="str">
        <x:v>PH-OU-289</x:v>
      </x:c>
      <x:c r="C1937" t="str">
        <x:v>PHYSICAL</x:v>
      </x:c>
      <x:c r="D1937" t="str">
        <x:v>event outcome</x:v>
      </x:c>
      <x:c r="E1937" t="str">
        <x:v>PH-OU-289</x:v>
      </x:c>
      <x:c r="F1937" t="n">
        <x:f>IF('Event Register'!U295&lt;&gt;"",1,0)</x:f>
        <x:v>0</x:v>
      </x:c>
      <x:c r="G1937" t="n">
        <x:v>1</x:v>
      </x:c>
      <x:c r="H1937" t="str">
        <x:v>independent physical acceptance</x:v>
      </x:c>
      <x:c r="I1937" t="str">
        <x:f>IF(F1937=1,"PASS","OPEN")</x:f>
        <x:v>OPEN</x:v>
      </x:c>
    </x:row>
    <x:row r="1938">
      <x:c r="B1938" t="str">
        <x:v>PH-EX-290</x:v>
      </x:c>
      <x:c r="C1938" t="str">
        <x:v>PHYSICAL</x:v>
      </x:c>
      <x:c r="D1938" t="str">
        <x:v>event execution</x:v>
      </x:c>
      <x:c r="E1938" t="str">
        <x:v>PH-EX-290</x:v>
      </x:c>
      <x:c r="F1938" t="n">
        <x:f>IF('Event Register'!R296&lt;&gt;"",1,0)</x:f>
        <x:v>0</x:v>
      </x:c>
      <x:c r="G1938" t="n">
        <x:v>1</x:v>
      </x:c>
      <x:c r="H1938" t="str">
        <x:v>independent physical acceptance</x:v>
      </x:c>
      <x:c r="I1938" t="str">
        <x:f>IF(F1938=1,"PASS","OPEN")</x:f>
        <x:v>OPEN</x:v>
      </x:c>
    </x:row>
    <x:row r="1939">
      <x:c r="B1939" t="str">
        <x:v>PH-EV-290</x:v>
      </x:c>
      <x:c r="C1939" t="str">
        <x:v>PHYSICAL</x:v>
      </x:c>
      <x:c r="D1939" t="str">
        <x:v>event evidence</x:v>
      </x:c>
      <x:c r="E1939" t="str">
        <x:v>PH-EV-290</x:v>
      </x:c>
      <x:c r="F1939" t="n">
        <x:f>IF('Event Register'!S296&lt;&gt;"",1,0)</x:f>
        <x:v>0</x:v>
      </x:c>
      <x:c r="G1939" t="n">
        <x:v>1</x:v>
      </x:c>
      <x:c r="H1939" t="str">
        <x:v>independent physical acceptance</x:v>
      </x:c>
      <x:c r="I1939" t="str">
        <x:f>IF(F1939=1,"PASS","OPEN")</x:f>
        <x:v>OPEN</x:v>
      </x:c>
    </x:row>
    <x:row r="1940">
      <x:c r="B1940" t="str">
        <x:v>PH-VA-290</x:v>
      </x:c>
      <x:c r="C1940" t="str">
        <x:v>PHYSICAL</x:v>
      </x:c>
      <x:c r="D1940" t="str">
        <x:v>event validity</x:v>
      </x:c>
      <x:c r="E1940" t="str">
        <x:v>PH-VA-290</x:v>
      </x:c>
      <x:c r="F1940" t="n">
        <x:f>IF('Event Register'!T296&lt;&gt;"",1,0)</x:f>
        <x:v>0</x:v>
      </x:c>
      <x:c r="G1940" t="n">
        <x:v>1</x:v>
      </x:c>
      <x:c r="H1940" t="str">
        <x:v>independent physical acceptance</x:v>
      </x:c>
      <x:c r="I1940" t="str">
        <x:f>IF(F1940=1,"PASS","OPEN")</x:f>
        <x:v>OPEN</x:v>
      </x:c>
    </x:row>
    <x:row r="1941">
      <x:c r="B1941" t="str">
        <x:v>PH-OU-290</x:v>
      </x:c>
      <x:c r="C1941" t="str">
        <x:v>PHYSICAL</x:v>
      </x:c>
      <x:c r="D1941" t="str">
        <x:v>event outcome</x:v>
      </x:c>
      <x:c r="E1941" t="str">
        <x:v>PH-OU-290</x:v>
      </x:c>
      <x:c r="F1941" t="n">
        <x:f>IF('Event Register'!U296&lt;&gt;"",1,0)</x:f>
        <x:v>0</x:v>
      </x:c>
      <x:c r="G1941" t="n">
        <x:v>1</x:v>
      </x:c>
      <x:c r="H1941" t="str">
        <x:v>independent physical acceptance</x:v>
      </x:c>
      <x:c r="I1941" t="str">
        <x:f>IF(F1941=1,"PASS","OPEN")</x:f>
        <x:v>OPEN</x:v>
      </x:c>
    </x:row>
    <x:row r="1942">
      <x:c r="B1942" t="str">
        <x:v>PH-EX-291</x:v>
      </x:c>
      <x:c r="C1942" t="str">
        <x:v>PHYSICAL</x:v>
      </x:c>
      <x:c r="D1942" t="str">
        <x:v>event execution</x:v>
      </x:c>
      <x:c r="E1942" t="str">
        <x:v>PH-EX-291</x:v>
      </x:c>
      <x:c r="F1942" t="n">
        <x:f>IF('Event Register'!R297&lt;&gt;"",1,0)</x:f>
        <x:v>0</x:v>
      </x:c>
      <x:c r="G1942" t="n">
        <x:v>1</x:v>
      </x:c>
      <x:c r="H1942" t="str">
        <x:v>independent physical acceptance</x:v>
      </x:c>
      <x:c r="I1942" t="str">
        <x:f>IF(F1942=1,"PASS","OPEN")</x:f>
        <x:v>OPEN</x:v>
      </x:c>
    </x:row>
    <x:row r="1943">
      <x:c r="B1943" t="str">
        <x:v>PH-EV-291</x:v>
      </x:c>
      <x:c r="C1943" t="str">
        <x:v>PHYSICAL</x:v>
      </x:c>
      <x:c r="D1943" t="str">
        <x:v>event evidence</x:v>
      </x:c>
      <x:c r="E1943" t="str">
        <x:v>PH-EV-291</x:v>
      </x:c>
      <x:c r="F1943" t="n">
        <x:f>IF('Event Register'!S297&lt;&gt;"",1,0)</x:f>
        <x:v>0</x:v>
      </x:c>
      <x:c r="G1943" t="n">
        <x:v>1</x:v>
      </x:c>
      <x:c r="H1943" t="str">
        <x:v>independent physical acceptance</x:v>
      </x:c>
      <x:c r="I1943" t="str">
        <x:f>IF(F1943=1,"PASS","OPEN")</x:f>
        <x:v>OPEN</x:v>
      </x:c>
    </x:row>
    <x:row r="1944">
      <x:c r="B1944" t="str">
        <x:v>PH-VA-291</x:v>
      </x:c>
      <x:c r="C1944" t="str">
        <x:v>PHYSICAL</x:v>
      </x:c>
      <x:c r="D1944" t="str">
        <x:v>event validity</x:v>
      </x:c>
      <x:c r="E1944" t="str">
        <x:v>PH-VA-291</x:v>
      </x:c>
      <x:c r="F1944" t="n">
        <x:f>IF('Event Register'!T297&lt;&gt;"",1,0)</x:f>
        <x:v>0</x:v>
      </x:c>
      <x:c r="G1944" t="n">
        <x:v>1</x:v>
      </x:c>
      <x:c r="H1944" t="str">
        <x:v>independent physical acceptance</x:v>
      </x:c>
      <x:c r="I1944" t="str">
        <x:f>IF(F1944=1,"PASS","OPEN")</x:f>
        <x:v>OPEN</x:v>
      </x:c>
    </x:row>
    <x:row r="1945">
      <x:c r="B1945" t="str">
        <x:v>PH-OU-291</x:v>
      </x:c>
      <x:c r="C1945" t="str">
        <x:v>PHYSICAL</x:v>
      </x:c>
      <x:c r="D1945" t="str">
        <x:v>event outcome</x:v>
      </x:c>
      <x:c r="E1945" t="str">
        <x:v>PH-OU-291</x:v>
      </x:c>
      <x:c r="F1945" t="n">
        <x:f>IF('Event Register'!U297&lt;&gt;"",1,0)</x:f>
        <x:v>0</x:v>
      </x:c>
      <x:c r="G1945" t="n">
        <x:v>1</x:v>
      </x:c>
      <x:c r="H1945" t="str">
        <x:v>independent physical acceptance</x:v>
      </x:c>
      <x:c r="I1945" t="str">
        <x:f>IF(F1945=1,"PASS","OPEN")</x:f>
        <x:v>OPEN</x:v>
      </x:c>
    </x:row>
    <x:row r="1946">
      <x:c r="B1946" t="str">
        <x:v>PH-EX-292</x:v>
      </x:c>
      <x:c r="C1946" t="str">
        <x:v>PHYSICAL</x:v>
      </x:c>
      <x:c r="D1946" t="str">
        <x:v>event execution</x:v>
      </x:c>
      <x:c r="E1946" t="str">
        <x:v>PH-EX-292</x:v>
      </x:c>
      <x:c r="F1946" t="n">
        <x:f>IF('Event Register'!R298&lt;&gt;"",1,0)</x:f>
        <x:v>0</x:v>
      </x:c>
      <x:c r="G1946" t="n">
        <x:v>1</x:v>
      </x:c>
      <x:c r="H1946" t="str">
        <x:v>independent physical acceptance</x:v>
      </x:c>
      <x:c r="I1946" t="str">
        <x:f>IF(F1946=1,"PASS","OPEN")</x:f>
        <x:v>OPEN</x:v>
      </x:c>
    </x:row>
    <x:row r="1947">
      <x:c r="B1947" t="str">
        <x:v>PH-EV-292</x:v>
      </x:c>
      <x:c r="C1947" t="str">
        <x:v>PHYSICAL</x:v>
      </x:c>
      <x:c r="D1947" t="str">
        <x:v>event evidence</x:v>
      </x:c>
      <x:c r="E1947" t="str">
        <x:v>PH-EV-292</x:v>
      </x:c>
      <x:c r="F1947" t="n">
        <x:f>IF('Event Register'!S298&lt;&gt;"",1,0)</x:f>
        <x:v>0</x:v>
      </x:c>
      <x:c r="G1947" t="n">
        <x:v>1</x:v>
      </x:c>
      <x:c r="H1947" t="str">
        <x:v>independent physical acceptance</x:v>
      </x:c>
      <x:c r="I1947" t="str">
        <x:f>IF(F1947=1,"PASS","OPEN")</x:f>
        <x:v>OPEN</x:v>
      </x:c>
    </x:row>
    <x:row r="1948">
      <x:c r="B1948" t="str">
        <x:v>PH-VA-292</x:v>
      </x:c>
      <x:c r="C1948" t="str">
        <x:v>PHYSICAL</x:v>
      </x:c>
      <x:c r="D1948" t="str">
        <x:v>event validity</x:v>
      </x:c>
      <x:c r="E1948" t="str">
        <x:v>PH-VA-292</x:v>
      </x:c>
      <x:c r="F1948" t="n">
        <x:f>IF('Event Register'!T298&lt;&gt;"",1,0)</x:f>
        <x:v>0</x:v>
      </x:c>
      <x:c r="G1948" t="n">
        <x:v>1</x:v>
      </x:c>
      <x:c r="H1948" t="str">
        <x:v>independent physical acceptance</x:v>
      </x:c>
      <x:c r="I1948" t="str">
        <x:f>IF(F1948=1,"PASS","OPEN")</x:f>
        <x:v>OPEN</x:v>
      </x:c>
    </x:row>
    <x:row r="1949">
      <x:c r="B1949" t="str">
        <x:v>PH-OU-292</x:v>
      </x:c>
      <x:c r="C1949" t="str">
        <x:v>PHYSICAL</x:v>
      </x:c>
      <x:c r="D1949" t="str">
        <x:v>event outcome</x:v>
      </x:c>
      <x:c r="E1949" t="str">
        <x:v>PH-OU-292</x:v>
      </x:c>
      <x:c r="F1949" t="n">
        <x:f>IF('Event Register'!U298&lt;&gt;"",1,0)</x:f>
        <x:v>0</x:v>
      </x:c>
      <x:c r="G1949" t="n">
        <x:v>1</x:v>
      </x:c>
      <x:c r="H1949" t="str">
        <x:v>independent physical acceptance</x:v>
      </x:c>
      <x:c r="I1949" t="str">
        <x:f>IF(F1949=1,"PASS","OPEN")</x:f>
        <x:v>OPEN</x:v>
      </x:c>
    </x:row>
    <x:row r="1950">
      <x:c r="B1950" t="str">
        <x:v>PH-EX-293</x:v>
      </x:c>
      <x:c r="C1950" t="str">
        <x:v>PHYSICAL</x:v>
      </x:c>
      <x:c r="D1950" t="str">
        <x:v>event execution</x:v>
      </x:c>
      <x:c r="E1950" t="str">
        <x:v>PH-EX-293</x:v>
      </x:c>
      <x:c r="F1950" t="n">
        <x:f>IF('Event Register'!R299&lt;&gt;"",1,0)</x:f>
        <x:v>0</x:v>
      </x:c>
      <x:c r="G1950" t="n">
        <x:v>1</x:v>
      </x:c>
      <x:c r="H1950" t="str">
        <x:v>independent physical acceptance</x:v>
      </x:c>
      <x:c r="I1950" t="str">
        <x:f>IF(F1950=1,"PASS","OPEN")</x:f>
        <x:v>OPEN</x:v>
      </x:c>
    </x:row>
    <x:row r="1951">
      <x:c r="B1951" t="str">
        <x:v>PH-EV-293</x:v>
      </x:c>
      <x:c r="C1951" t="str">
        <x:v>PHYSICAL</x:v>
      </x:c>
      <x:c r="D1951" t="str">
        <x:v>event evidence</x:v>
      </x:c>
      <x:c r="E1951" t="str">
        <x:v>PH-EV-293</x:v>
      </x:c>
      <x:c r="F1951" t="n">
        <x:f>IF('Event Register'!S299&lt;&gt;"",1,0)</x:f>
        <x:v>0</x:v>
      </x:c>
      <x:c r="G1951" t="n">
        <x:v>1</x:v>
      </x:c>
      <x:c r="H1951" t="str">
        <x:v>independent physical acceptance</x:v>
      </x:c>
      <x:c r="I1951" t="str">
        <x:f>IF(F1951=1,"PASS","OPEN")</x:f>
        <x:v>OPEN</x:v>
      </x:c>
    </x:row>
    <x:row r="1952">
      <x:c r="B1952" t="str">
        <x:v>PH-VA-293</x:v>
      </x:c>
      <x:c r="C1952" t="str">
        <x:v>PHYSICAL</x:v>
      </x:c>
      <x:c r="D1952" t="str">
        <x:v>event validity</x:v>
      </x:c>
      <x:c r="E1952" t="str">
        <x:v>PH-VA-293</x:v>
      </x:c>
      <x:c r="F1952" t="n">
        <x:f>IF('Event Register'!T299&lt;&gt;"",1,0)</x:f>
        <x:v>0</x:v>
      </x:c>
      <x:c r="G1952" t="n">
        <x:v>1</x:v>
      </x:c>
      <x:c r="H1952" t="str">
        <x:v>independent physical acceptance</x:v>
      </x:c>
      <x:c r="I1952" t="str">
        <x:f>IF(F1952=1,"PASS","OPEN")</x:f>
        <x:v>OPEN</x:v>
      </x:c>
    </x:row>
    <x:row r="1953">
      <x:c r="B1953" t="str">
        <x:v>PH-OU-293</x:v>
      </x:c>
      <x:c r="C1953" t="str">
        <x:v>PHYSICAL</x:v>
      </x:c>
      <x:c r="D1953" t="str">
        <x:v>event outcome</x:v>
      </x:c>
      <x:c r="E1953" t="str">
        <x:v>PH-OU-293</x:v>
      </x:c>
      <x:c r="F1953" t="n">
        <x:f>IF('Event Register'!U299&lt;&gt;"",1,0)</x:f>
        <x:v>0</x:v>
      </x:c>
      <x:c r="G1953" t="n">
        <x:v>1</x:v>
      </x:c>
      <x:c r="H1953" t="str">
        <x:v>independent physical acceptance</x:v>
      </x:c>
      <x:c r="I1953" t="str">
        <x:f>IF(F1953=1,"PASS","OPEN")</x:f>
        <x:v>OPEN</x:v>
      </x:c>
    </x:row>
    <x:row r="1954">
      <x:c r="B1954" t="str">
        <x:v>PH-EX-294</x:v>
      </x:c>
      <x:c r="C1954" t="str">
        <x:v>PHYSICAL</x:v>
      </x:c>
      <x:c r="D1954" t="str">
        <x:v>event execution</x:v>
      </x:c>
      <x:c r="E1954" t="str">
        <x:v>PH-EX-294</x:v>
      </x:c>
      <x:c r="F1954" t="n">
        <x:f>IF('Event Register'!R300&lt;&gt;"",1,0)</x:f>
        <x:v>0</x:v>
      </x:c>
      <x:c r="G1954" t="n">
        <x:v>1</x:v>
      </x:c>
      <x:c r="H1954" t="str">
        <x:v>independent physical acceptance</x:v>
      </x:c>
      <x:c r="I1954" t="str">
        <x:f>IF(F1954=1,"PASS","OPEN")</x:f>
        <x:v>OPEN</x:v>
      </x:c>
    </x:row>
    <x:row r="1955">
      <x:c r="B1955" t="str">
        <x:v>PH-EV-294</x:v>
      </x:c>
      <x:c r="C1955" t="str">
        <x:v>PHYSICAL</x:v>
      </x:c>
      <x:c r="D1955" t="str">
        <x:v>event evidence</x:v>
      </x:c>
      <x:c r="E1955" t="str">
        <x:v>PH-EV-294</x:v>
      </x:c>
      <x:c r="F1955" t="n">
        <x:f>IF('Event Register'!S300&lt;&gt;"",1,0)</x:f>
        <x:v>0</x:v>
      </x:c>
      <x:c r="G1955" t="n">
        <x:v>1</x:v>
      </x:c>
      <x:c r="H1955" t="str">
        <x:v>independent physical acceptance</x:v>
      </x:c>
      <x:c r="I1955" t="str">
        <x:f>IF(F1955=1,"PASS","OPEN")</x:f>
        <x:v>OPEN</x:v>
      </x:c>
    </x:row>
    <x:row r="1956">
      <x:c r="B1956" t="str">
        <x:v>PH-VA-294</x:v>
      </x:c>
      <x:c r="C1956" t="str">
        <x:v>PHYSICAL</x:v>
      </x:c>
      <x:c r="D1956" t="str">
        <x:v>event validity</x:v>
      </x:c>
      <x:c r="E1956" t="str">
        <x:v>PH-VA-294</x:v>
      </x:c>
      <x:c r="F1956" t="n">
        <x:f>IF('Event Register'!T300&lt;&gt;"",1,0)</x:f>
        <x:v>0</x:v>
      </x:c>
      <x:c r="G1956" t="n">
        <x:v>1</x:v>
      </x:c>
      <x:c r="H1956" t="str">
        <x:v>independent physical acceptance</x:v>
      </x:c>
      <x:c r="I1956" t="str">
        <x:f>IF(F1956=1,"PASS","OPEN")</x:f>
        <x:v>OPEN</x:v>
      </x:c>
    </x:row>
    <x:row r="1957">
      <x:c r="B1957" t="str">
        <x:v>PH-OU-294</x:v>
      </x:c>
      <x:c r="C1957" t="str">
        <x:v>PHYSICAL</x:v>
      </x:c>
      <x:c r="D1957" t="str">
        <x:v>event outcome</x:v>
      </x:c>
      <x:c r="E1957" t="str">
        <x:v>PH-OU-294</x:v>
      </x:c>
      <x:c r="F1957" t="n">
        <x:f>IF('Event Register'!U300&lt;&gt;"",1,0)</x:f>
        <x:v>0</x:v>
      </x:c>
      <x:c r="G1957" t="n">
        <x:v>1</x:v>
      </x:c>
      <x:c r="H1957" t="str">
        <x:v>independent physical acceptance</x:v>
      </x:c>
      <x:c r="I1957" t="str">
        <x:f>IF(F1957=1,"PASS","OPEN")</x:f>
        <x:v>OPEN</x:v>
      </x:c>
    </x:row>
    <x:row r="1958">
      <x:c r="B1958" t="str">
        <x:v>PH-EX-295</x:v>
      </x:c>
      <x:c r="C1958" t="str">
        <x:v>PHYSICAL</x:v>
      </x:c>
      <x:c r="D1958" t="str">
        <x:v>event execution</x:v>
      </x:c>
      <x:c r="E1958" t="str">
        <x:v>PH-EX-295</x:v>
      </x:c>
      <x:c r="F1958" t="n">
        <x:f>IF('Event Register'!R301&lt;&gt;"",1,0)</x:f>
        <x:v>0</x:v>
      </x:c>
      <x:c r="G1958" t="n">
        <x:v>1</x:v>
      </x:c>
      <x:c r="H1958" t="str">
        <x:v>independent physical acceptance</x:v>
      </x:c>
      <x:c r="I1958" t="str">
        <x:f>IF(F1958=1,"PASS","OPEN")</x:f>
        <x:v>OPEN</x:v>
      </x:c>
    </x:row>
    <x:row r="1959">
      <x:c r="B1959" t="str">
        <x:v>PH-EV-295</x:v>
      </x:c>
      <x:c r="C1959" t="str">
        <x:v>PHYSICAL</x:v>
      </x:c>
      <x:c r="D1959" t="str">
        <x:v>event evidence</x:v>
      </x:c>
      <x:c r="E1959" t="str">
        <x:v>PH-EV-295</x:v>
      </x:c>
      <x:c r="F1959" t="n">
        <x:f>IF('Event Register'!S301&lt;&gt;"",1,0)</x:f>
        <x:v>0</x:v>
      </x:c>
      <x:c r="G1959" t="n">
        <x:v>1</x:v>
      </x:c>
      <x:c r="H1959" t="str">
        <x:v>independent physical acceptance</x:v>
      </x:c>
      <x:c r="I1959" t="str">
        <x:f>IF(F1959=1,"PASS","OPEN")</x:f>
        <x:v>OPEN</x:v>
      </x:c>
    </x:row>
    <x:row r="1960">
      <x:c r="B1960" t="str">
        <x:v>PH-VA-295</x:v>
      </x:c>
      <x:c r="C1960" t="str">
        <x:v>PHYSICAL</x:v>
      </x:c>
      <x:c r="D1960" t="str">
        <x:v>event validity</x:v>
      </x:c>
      <x:c r="E1960" t="str">
        <x:v>PH-VA-295</x:v>
      </x:c>
      <x:c r="F1960" t="n">
        <x:f>IF('Event Register'!T301&lt;&gt;"",1,0)</x:f>
        <x:v>0</x:v>
      </x:c>
      <x:c r="G1960" t="n">
        <x:v>1</x:v>
      </x:c>
      <x:c r="H1960" t="str">
        <x:v>independent physical acceptance</x:v>
      </x:c>
      <x:c r="I1960" t="str">
        <x:f>IF(F1960=1,"PASS","OPEN")</x:f>
        <x:v>OPEN</x:v>
      </x:c>
    </x:row>
    <x:row r="1961">
      <x:c r="B1961" t="str">
        <x:v>PH-OU-295</x:v>
      </x:c>
      <x:c r="C1961" t="str">
        <x:v>PHYSICAL</x:v>
      </x:c>
      <x:c r="D1961" t="str">
        <x:v>event outcome</x:v>
      </x:c>
      <x:c r="E1961" t="str">
        <x:v>PH-OU-295</x:v>
      </x:c>
      <x:c r="F1961" t="n">
        <x:f>IF('Event Register'!U301&lt;&gt;"",1,0)</x:f>
        <x:v>0</x:v>
      </x:c>
      <x:c r="G1961" t="n">
        <x:v>1</x:v>
      </x:c>
      <x:c r="H1961" t="str">
        <x:v>independent physical acceptance</x:v>
      </x:c>
      <x:c r="I1961" t="str">
        <x:f>IF(F1961=1,"PASS","OPEN")</x:f>
        <x:v>OPEN</x:v>
      </x:c>
    </x:row>
    <x:row r="1962">
      <x:c r="B1962" t="str">
        <x:v>PH-EX-296</x:v>
      </x:c>
      <x:c r="C1962" t="str">
        <x:v>PHYSICAL</x:v>
      </x:c>
      <x:c r="D1962" t="str">
        <x:v>event execution</x:v>
      </x:c>
      <x:c r="E1962" t="str">
        <x:v>PH-EX-296</x:v>
      </x:c>
      <x:c r="F1962" t="n">
        <x:f>IF('Event Register'!R302&lt;&gt;"",1,0)</x:f>
        <x:v>0</x:v>
      </x:c>
      <x:c r="G1962" t="n">
        <x:v>1</x:v>
      </x:c>
      <x:c r="H1962" t="str">
        <x:v>independent physical acceptance</x:v>
      </x:c>
      <x:c r="I1962" t="str">
        <x:f>IF(F1962=1,"PASS","OPEN")</x:f>
        <x:v>OPEN</x:v>
      </x:c>
    </x:row>
    <x:row r="1963">
      <x:c r="B1963" t="str">
        <x:v>PH-EV-296</x:v>
      </x:c>
      <x:c r="C1963" t="str">
        <x:v>PHYSICAL</x:v>
      </x:c>
      <x:c r="D1963" t="str">
        <x:v>event evidence</x:v>
      </x:c>
      <x:c r="E1963" t="str">
        <x:v>PH-EV-296</x:v>
      </x:c>
      <x:c r="F1963" t="n">
        <x:f>IF('Event Register'!S302&lt;&gt;"",1,0)</x:f>
        <x:v>0</x:v>
      </x:c>
      <x:c r="G1963" t="n">
        <x:v>1</x:v>
      </x:c>
      <x:c r="H1963" t="str">
        <x:v>independent physical acceptance</x:v>
      </x:c>
      <x:c r="I1963" t="str">
        <x:f>IF(F1963=1,"PASS","OPEN")</x:f>
        <x:v>OPEN</x:v>
      </x:c>
    </x:row>
    <x:row r="1964">
      <x:c r="B1964" t="str">
        <x:v>PH-VA-296</x:v>
      </x:c>
      <x:c r="C1964" t="str">
        <x:v>PHYSICAL</x:v>
      </x:c>
      <x:c r="D1964" t="str">
        <x:v>event validity</x:v>
      </x:c>
      <x:c r="E1964" t="str">
        <x:v>PH-VA-296</x:v>
      </x:c>
      <x:c r="F1964" t="n">
        <x:f>IF('Event Register'!T302&lt;&gt;"",1,0)</x:f>
        <x:v>0</x:v>
      </x:c>
      <x:c r="G1964" t="n">
        <x:v>1</x:v>
      </x:c>
      <x:c r="H1964" t="str">
        <x:v>independent physical acceptance</x:v>
      </x:c>
      <x:c r="I1964" t="str">
        <x:f>IF(F1964=1,"PASS","OPEN")</x:f>
        <x:v>OPEN</x:v>
      </x:c>
    </x:row>
    <x:row r="1965">
      <x:c r="B1965" t="str">
        <x:v>PH-OU-296</x:v>
      </x:c>
      <x:c r="C1965" t="str">
        <x:v>PHYSICAL</x:v>
      </x:c>
      <x:c r="D1965" t="str">
        <x:v>event outcome</x:v>
      </x:c>
      <x:c r="E1965" t="str">
        <x:v>PH-OU-296</x:v>
      </x:c>
      <x:c r="F1965" t="n">
        <x:f>IF('Event Register'!U302&lt;&gt;"",1,0)</x:f>
        <x:v>0</x:v>
      </x:c>
      <x:c r="G1965" t="n">
        <x:v>1</x:v>
      </x:c>
      <x:c r="H1965" t="str">
        <x:v>independent physical acceptance</x:v>
      </x:c>
      <x:c r="I1965" t="str">
        <x:f>IF(F1965=1,"PASS","OPEN")</x:f>
        <x:v>OPEN</x:v>
      </x:c>
    </x:row>
    <x:row r="1966">
      <x:c r="B1966" t="str">
        <x:v>PH-EX-297</x:v>
      </x:c>
      <x:c r="C1966" t="str">
        <x:v>PHYSICAL</x:v>
      </x:c>
      <x:c r="D1966" t="str">
        <x:v>event execution</x:v>
      </x:c>
      <x:c r="E1966" t="str">
        <x:v>PH-EX-297</x:v>
      </x:c>
      <x:c r="F1966" t="n">
        <x:f>IF('Event Register'!R303&lt;&gt;"",1,0)</x:f>
        <x:v>0</x:v>
      </x:c>
      <x:c r="G1966" t="n">
        <x:v>1</x:v>
      </x:c>
      <x:c r="H1966" t="str">
        <x:v>independent physical acceptance</x:v>
      </x:c>
      <x:c r="I1966" t="str">
        <x:f>IF(F1966=1,"PASS","OPEN")</x:f>
        <x:v>OPEN</x:v>
      </x:c>
    </x:row>
    <x:row r="1967">
      <x:c r="B1967" t="str">
        <x:v>PH-EV-297</x:v>
      </x:c>
      <x:c r="C1967" t="str">
        <x:v>PHYSICAL</x:v>
      </x:c>
      <x:c r="D1967" t="str">
        <x:v>event evidence</x:v>
      </x:c>
      <x:c r="E1967" t="str">
        <x:v>PH-EV-297</x:v>
      </x:c>
      <x:c r="F1967" t="n">
        <x:f>IF('Event Register'!S303&lt;&gt;"",1,0)</x:f>
        <x:v>0</x:v>
      </x:c>
      <x:c r="G1967" t="n">
        <x:v>1</x:v>
      </x:c>
      <x:c r="H1967" t="str">
        <x:v>independent physical acceptance</x:v>
      </x:c>
      <x:c r="I1967" t="str">
        <x:f>IF(F1967=1,"PASS","OPEN")</x:f>
        <x:v>OPEN</x:v>
      </x:c>
    </x:row>
    <x:row r="1968">
      <x:c r="B1968" t="str">
        <x:v>PH-VA-297</x:v>
      </x:c>
      <x:c r="C1968" t="str">
        <x:v>PHYSICAL</x:v>
      </x:c>
      <x:c r="D1968" t="str">
        <x:v>event validity</x:v>
      </x:c>
      <x:c r="E1968" t="str">
        <x:v>PH-VA-297</x:v>
      </x:c>
      <x:c r="F1968" t="n">
        <x:f>IF('Event Register'!T303&lt;&gt;"",1,0)</x:f>
        <x:v>0</x:v>
      </x:c>
      <x:c r="G1968" t="n">
        <x:v>1</x:v>
      </x:c>
      <x:c r="H1968" t="str">
        <x:v>independent physical acceptance</x:v>
      </x:c>
      <x:c r="I1968" t="str">
        <x:f>IF(F1968=1,"PASS","OPEN")</x:f>
        <x:v>OPEN</x:v>
      </x:c>
    </x:row>
    <x:row r="1969">
      <x:c r="B1969" t="str">
        <x:v>PH-OU-297</x:v>
      </x:c>
      <x:c r="C1969" t="str">
        <x:v>PHYSICAL</x:v>
      </x:c>
      <x:c r="D1969" t="str">
        <x:v>event outcome</x:v>
      </x:c>
      <x:c r="E1969" t="str">
        <x:v>PH-OU-297</x:v>
      </x:c>
      <x:c r="F1969" t="n">
        <x:f>IF('Event Register'!U303&lt;&gt;"",1,0)</x:f>
        <x:v>0</x:v>
      </x:c>
      <x:c r="G1969" t="n">
        <x:v>1</x:v>
      </x:c>
      <x:c r="H1969" t="str">
        <x:v>independent physical acceptance</x:v>
      </x:c>
      <x:c r="I1969" t="str">
        <x:f>IF(F1969=1,"PASS","OPEN")</x:f>
        <x:v>OPEN</x:v>
      </x:c>
    </x:row>
    <x:row r="1970">
      <x:c r="B1970" t="str">
        <x:v>PH-EX-298</x:v>
      </x:c>
      <x:c r="C1970" t="str">
        <x:v>PHYSICAL</x:v>
      </x:c>
      <x:c r="D1970" t="str">
        <x:v>event execution</x:v>
      </x:c>
      <x:c r="E1970" t="str">
        <x:v>PH-EX-298</x:v>
      </x:c>
      <x:c r="F1970" t="n">
        <x:f>IF('Event Register'!R304&lt;&gt;"",1,0)</x:f>
        <x:v>0</x:v>
      </x:c>
      <x:c r="G1970" t="n">
        <x:v>1</x:v>
      </x:c>
      <x:c r="H1970" t="str">
        <x:v>independent physical acceptance</x:v>
      </x:c>
      <x:c r="I1970" t="str">
        <x:f>IF(F1970=1,"PASS","OPEN")</x:f>
        <x:v>OPEN</x:v>
      </x:c>
    </x:row>
    <x:row r="1971">
      <x:c r="B1971" t="str">
        <x:v>PH-EV-298</x:v>
      </x:c>
      <x:c r="C1971" t="str">
        <x:v>PHYSICAL</x:v>
      </x:c>
      <x:c r="D1971" t="str">
        <x:v>event evidence</x:v>
      </x:c>
      <x:c r="E1971" t="str">
        <x:v>PH-EV-298</x:v>
      </x:c>
      <x:c r="F1971" t="n">
        <x:f>IF('Event Register'!S304&lt;&gt;"",1,0)</x:f>
        <x:v>0</x:v>
      </x:c>
      <x:c r="G1971" t="n">
        <x:v>1</x:v>
      </x:c>
      <x:c r="H1971" t="str">
        <x:v>independent physical acceptance</x:v>
      </x:c>
      <x:c r="I1971" t="str">
        <x:f>IF(F1971=1,"PASS","OPEN")</x:f>
        <x:v>OPEN</x:v>
      </x:c>
    </x:row>
    <x:row r="1972">
      <x:c r="B1972" t="str">
        <x:v>PH-VA-298</x:v>
      </x:c>
      <x:c r="C1972" t="str">
        <x:v>PHYSICAL</x:v>
      </x:c>
      <x:c r="D1972" t="str">
        <x:v>event validity</x:v>
      </x:c>
      <x:c r="E1972" t="str">
        <x:v>PH-VA-298</x:v>
      </x:c>
      <x:c r="F1972" t="n">
        <x:f>IF('Event Register'!T304&lt;&gt;"",1,0)</x:f>
        <x:v>0</x:v>
      </x:c>
      <x:c r="G1972" t="n">
        <x:v>1</x:v>
      </x:c>
      <x:c r="H1972" t="str">
        <x:v>independent physical acceptance</x:v>
      </x:c>
      <x:c r="I1972" t="str">
        <x:f>IF(F1972=1,"PASS","OPEN")</x:f>
        <x:v>OPEN</x:v>
      </x:c>
    </x:row>
    <x:row r="1973">
      <x:c r="B1973" t="str">
        <x:v>PH-OU-298</x:v>
      </x:c>
      <x:c r="C1973" t="str">
        <x:v>PHYSICAL</x:v>
      </x:c>
      <x:c r="D1973" t="str">
        <x:v>event outcome</x:v>
      </x:c>
      <x:c r="E1973" t="str">
        <x:v>PH-OU-298</x:v>
      </x:c>
      <x:c r="F1973" t="n">
        <x:f>IF('Event Register'!U304&lt;&gt;"",1,0)</x:f>
        <x:v>0</x:v>
      </x:c>
      <x:c r="G1973" t="n">
        <x:v>1</x:v>
      </x:c>
      <x:c r="H1973" t="str">
        <x:v>independent physical acceptance</x:v>
      </x:c>
      <x:c r="I1973" t="str">
        <x:f>IF(F1973=1,"PASS","OPEN")</x:f>
        <x:v>OPEN</x:v>
      </x:c>
    </x:row>
    <x:row r="1974">
      <x:c r="B1974" t="str">
        <x:v>PH-EX-299</x:v>
      </x:c>
      <x:c r="C1974" t="str">
        <x:v>PHYSICAL</x:v>
      </x:c>
      <x:c r="D1974" t="str">
        <x:v>event execution</x:v>
      </x:c>
      <x:c r="E1974" t="str">
        <x:v>PH-EX-299</x:v>
      </x:c>
      <x:c r="F1974" t="n">
        <x:f>IF('Event Register'!R305&lt;&gt;"",1,0)</x:f>
        <x:v>0</x:v>
      </x:c>
      <x:c r="G1974" t="n">
        <x:v>1</x:v>
      </x:c>
      <x:c r="H1974" t="str">
        <x:v>independent physical acceptance</x:v>
      </x:c>
      <x:c r="I1974" t="str">
        <x:f>IF(F1974=1,"PASS","OPEN")</x:f>
        <x:v>OPEN</x:v>
      </x:c>
    </x:row>
    <x:row r="1975">
      <x:c r="B1975" t="str">
        <x:v>PH-EV-299</x:v>
      </x:c>
      <x:c r="C1975" t="str">
        <x:v>PHYSICAL</x:v>
      </x:c>
      <x:c r="D1975" t="str">
        <x:v>event evidence</x:v>
      </x:c>
      <x:c r="E1975" t="str">
        <x:v>PH-EV-299</x:v>
      </x:c>
      <x:c r="F1975" t="n">
        <x:f>IF('Event Register'!S305&lt;&gt;"",1,0)</x:f>
        <x:v>0</x:v>
      </x:c>
      <x:c r="G1975" t="n">
        <x:v>1</x:v>
      </x:c>
      <x:c r="H1975" t="str">
        <x:v>independent physical acceptance</x:v>
      </x:c>
      <x:c r="I1975" t="str">
        <x:f>IF(F1975=1,"PASS","OPEN")</x:f>
        <x:v>OPEN</x:v>
      </x:c>
    </x:row>
    <x:row r="1976">
      <x:c r="B1976" t="str">
        <x:v>PH-VA-299</x:v>
      </x:c>
      <x:c r="C1976" t="str">
        <x:v>PHYSICAL</x:v>
      </x:c>
      <x:c r="D1976" t="str">
        <x:v>event validity</x:v>
      </x:c>
      <x:c r="E1976" t="str">
        <x:v>PH-VA-299</x:v>
      </x:c>
      <x:c r="F1976" t="n">
        <x:f>IF('Event Register'!T305&lt;&gt;"",1,0)</x:f>
        <x:v>0</x:v>
      </x:c>
      <x:c r="G1976" t="n">
        <x:v>1</x:v>
      </x:c>
      <x:c r="H1976" t="str">
        <x:v>independent physical acceptance</x:v>
      </x:c>
      <x:c r="I1976" t="str">
        <x:f>IF(F1976=1,"PASS","OPEN")</x:f>
        <x:v>OPEN</x:v>
      </x:c>
    </x:row>
    <x:row r="1977">
      <x:c r="B1977" t="str">
        <x:v>PH-OU-299</x:v>
      </x:c>
      <x:c r="C1977" t="str">
        <x:v>PHYSICAL</x:v>
      </x:c>
      <x:c r="D1977" t="str">
        <x:v>event outcome</x:v>
      </x:c>
      <x:c r="E1977" t="str">
        <x:v>PH-OU-299</x:v>
      </x:c>
      <x:c r="F1977" t="n">
        <x:f>IF('Event Register'!U305&lt;&gt;"",1,0)</x:f>
        <x:v>0</x:v>
      </x:c>
      <x:c r="G1977" t="n">
        <x:v>1</x:v>
      </x:c>
      <x:c r="H1977" t="str">
        <x:v>independent physical acceptance</x:v>
      </x:c>
      <x:c r="I1977" t="str">
        <x:f>IF(F1977=1,"PASS","OPEN")</x:f>
        <x:v>OPEN</x:v>
      </x:c>
    </x:row>
    <x:row r="1978">
      <x:c r="B1978" t="str">
        <x:v>PH-EX-300</x:v>
      </x:c>
      <x:c r="C1978" t="str">
        <x:v>PHYSICAL</x:v>
      </x:c>
      <x:c r="D1978" t="str">
        <x:v>event execution</x:v>
      </x:c>
      <x:c r="E1978" t="str">
        <x:v>PH-EX-300</x:v>
      </x:c>
      <x:c r="F1978" t="n">
        <x:f>IF('Event Register'!R306&lt;&gt;"",1,0)</x:f>
        <x:v>0</x:v>
      </x:c>
      <x:c r="G1978" t="n">
        <x:v>1</x:v>
      </x:c>
      <x:c r="H1978" t="str">
        <x:v>independent physical acceptance</x:v>
      </x:c>
      <x:c r="I1978" t="str">
        <x:f>IF(F1978=1,"PASS","OPEN")</x:f>
        <x:v>OPEN</x:v>
      </x:c>
    </x:row>
    <x:row r="1979">
      <x:c r="B1979" t="str">
        <x:v>PH-EV-300</x:v>
      </x:c>
      <x:c r="C1979" t="str">
        <x:v>PHYSICAL</x:v>
      </x:c>
      <x:c r="D1979" t="str">
        <x:v>event evidence</x:v>
      </x:c>
      <x:c r="E1979" t="str">
        <x:v>PH-EV-300</x:v>
      </x:c>
      <x:c r="F1979" t="n">
        <x:f>IF('Event Register'!S306&lt;&gt;"",1,0)</x:f>
        <x:v>0</x:v>
      </x:c>
      <x:c r="G1979" t="n">
        <x:v>1</x:v>
      </x:c>
      <x:c r="H1979" t="str">
        <x:v>independent physical acceptance</x:v>
      </x:c>
      <x:c r="I1979" t="str">
        <x:f>IF(F1979=1,"PASS","OPEN")</x:f>
        <x:v>OPEN</x:v>
      </x:c>
    </x:row>
    <x:row r="1980">
      <x:c r="B1980" t="str">
        <x:v>PH-VA-300</x:v>
      </x:c>
      <x:c r="C1980" t="str">
        <x:v>PHYSICAL</x:v>
      </x:c>
      <x:c r="D1980" t="str">
        <x:v>event validity</x:v>
      </x:c>
      <x:c r="E1980" t="str">
        <x:v>PH-VA-300</x:v>
      </x:c>
      <x:c r="F1980" t="n">
        <x:f>IF('Event Register'!T306&lt;&gt;"",1,0)</x:f>
        <x:v>0</x:v>
      </x:c>
      <x:c r="G1980" t="n">
        <x:v>1</x:v>
      </x:c>
      <x:c r="H1980" t="str">
        <x:v>independent physical acceptance</x:v>
      </x:c>
      <x:c r="I1980" t="str">
        <x:f>IF(F1980=1,"PASS","OPEN")</x:f>
        <x:v>OPEN</x:v>
      </x:c>
    </x:row>
    <x:row r="1981">
      <x:c r="B1981" t="str">
        <x:v>PH-OU-300</x:v>
      </x:c>
      <x:c r="C1981" t="str">
        <x:v>PHYSICAL</x:v>
      </x:c>
      <x:c r="D1981" t="str">
        <x:v>event outcome</x:v>
      </x:c>
      <x:c r="E1981" t="str">
        <x:v>PH-OU-300</x:v>
      </x:c>
      <x:c r="F1981" t="n">
        <x:f>IF('Event Register'!U306&lt;&gt;"",1,0)</x:f>
        <x:v>0</x:v>
      </x:c>
      <x:c r="G1981" t="n">
        <x:v>1</x:v>
      </x:c>
      <x:c r="H1981" t="str">
        <x:v>independent physical acceptance</x:v>
      </x:c>
      <x:c r="I1981" t="str">
        <x:f>IF(F1981=1,"PASS","OPEN")</x:f>
        <x:v>OPEN</x:v>
      </x:c>
    </x:row>
    <x:row r="1982">
      <x:c r="B1982" t="str">
        <x:v>PH-EX-301</x:v>
      </x:c>
      <x:c r="C1982" t="str">
        <x:v>PHYSICAL</x:v>
      </x:c>
      <x:c r="D1982" t="str">
        <x:v>event execution</x:v>
      </x:c>
      <x:c r="E1982" t="str">
        <x:v>PH-EX-301</x:v>
      </x:c>
      <x:c r="F1982" t="n">
        <x:f>IF('Event Register'!R307&lt;&gt;"",1,0)</x:f>
        <x:v>0</x:v>
      </x:c>
      <x:c r="G1982" t="n">
        <x:v>1</x:v>
      </x:c>
      <x:c r="H1982" t="str">
        <x:v>independent physical acceptance</x:v>
      </x:c>
      <x:c r="I1982" t="str">
        <x:f>IF(F1982=1,"PASS","OPEN")</x:f>
        <x:v>OPEN</x:v>
      </x:c>
    </x:row>
    <x:row r="1983">
      <x:c r="B1983" t="str">
        <x:v>PH-EV-301</x:v>
      </x:c>
      <x:c r="C1983" t="str">
        <x:v>PHYSICAL</x:v>
      </x:c>
      <x:c r="D1983" t="str">
        <x:v>event evidence</x:v>
      </x:c>
      <x:c r="E1983" t="str">
        <x:v>PH-EV-301</x:v>
      </x:c>
      <x:c r="F1983" t="n">
        <x:f>IF('Event Register'!S307&lt;&gt;"",1,0)</x:f>
        <x:v>0</x:v>
      </x:c>
      <x:c r="G1983" t="n">
        <x:v>1</x:v>
      </x:c>
      <x:c r="H1983" t="str">
        <x:v>independent physical acceptance</x:v>
      </x:c>
      <x:c r="I1983" t="str">
        <x:f>IF(F1983=1,"PASS","OPEN")</x:f>
        <x:v>OPEN</x:v>
      </x:c>
    </x:row>
    <x:row r="1984">
      <x:c r="B1984" t="str">
        <x:v>PH-VA-301</x:v>
      </x:c>
      <x:c r="C1984" t="str">
        <x:v>PHYSICAL</x:v>
      </x:c>
      <x:c r="D1984" t="str">
        <x:v>event validity</x:v>
      </x:c>
      <x:c r="E1984" t="str">
        <x:v>PH-VA-301</x:v>
      </x:c>
      <x:c r="F1984" t="n">
        <x:f>IF('Event Register'!T307&lt;&gt;"",1,0)</x:f>
        <x:v>0</x:v>
      </x:c>
      <x:c r="G1984" t="n">
        <x:v>1</x:v>
      </x:c>
      <x:c r="H1984" t="str">
        <x:v>independent physical acceptance</x:v>
      </x:c>
      <x:c r="I1984" t="str">
        <x:f>IF(F1984=1,"PASS","OPEN")</x:f>
        <x:v>OPEN</x:v>
      </x:c>
    </x:row>
    <x:row r="1985">
      <x:c r="B1985" t="str">
        <x:v>PH-OU-301</x:v>
      </x:c>
      <x:c r="C1985" t="str">
        <x:v>PHYSICAL</x:v>
      </x:c>
      <x:c r="D1985" t="str">
        <x:v>event outcome</x:v>
      </x:c>
      <x:c r="E1985" t="str">
        <x:v>PH-OU-301</x:v>
      </x:c>
      <x:c r="F1985" t="n">
        <x:f>IF('Event Register'!U307&lt;&gt;"",1,0)</x:f>
        <x:v>0</x:v>
      </x:c>
      <x:c r="G1985" t="n">
        <x:v>1</x:v>
      </x:c>
      <x:c r="H1985" t="str">
        <x:v>independent physical acceptance</x:v>
      </x:c>
      <x:c r="I1985" t="str">
        <x:f>IF(F1985=1,"PASS","OPEN")</x:f>
        <x:v>OPEN</x:v>
      </x:c>
    </x:row>
    <x:row r="1986">
      <x:c r="B1986" t="str">
        <x:v>PH-EX-302</x:v>
      </x:c>
      <x:c r="C1986" t="str">
        <x:v>PHYSICAL</x:v>
      </x:c>
      <x:c r="D1986" t="str">
        <x:v>event execution</x:v>
      </x:c>
      <x:c r="E1986" t="str">
        <x:v>PH-EX-302</x:v>
      </x:c>
      <x:c r="F1986" t="n">
        <x:f>IF('Event Register'!R308&lt;&gt;"",1,0)</x:f>
        <x:v>0</x:v>
      </x:c>
      <x:c r="G1986" t="n">
        <x:v>1</x:v>
      </x:c>
      <x:c r="H1986" t="str">
        <x:v>independent physical acceptance</x:v>
      </x:c>
      <x:c r="I1986" t="str">
        <x:f>IF(F1986=1,"PASS","OPEN")</x:f>
        <x:v>OPEN</x:v>
      </x:c>
    </x:row>
    <x:row r="1987">
      <x:c r="B1987" t="str">
        <x:v>PH-EV-302</x:v>
      </x:c>
      <x:c r="C1987" t="str">
        <x:v>PHYSICAL</x:v>
      </x:c>
      <x:c r="D1987" t="str">
        <x:v>event evidence</x:v>
      </x:c>
      <x:c r="E1987" t="str">
        <x:v>PH-EV-302</x:v>
      </x:c>
      <x:c r="F1987" t="n">
        <x:f>IF('Event Register'!S308&lt;&gt;"",1,0)</x:f>
        <x:v>0</x:v>
      </x:c>
      <x:c r="G1987" t="n">
        <x:v>1</x:v>
      </x:c>
      <x:c r="H1987" t="str">
        <x:v>independent physical acceptance</x:v>
      </x:c>
      <x:c r="I1987" t="str">
        <x:f>IF(F1987=1,"PASS","OPEN")</x:f>
        <x:v>OPEN</x:v>
      </x:c>
    </x:row>
    <x:row r="1988">
      <x:c r="B1988" t="str">
        <x:v>PH-VA-302</x:v>
      </x:c>
      <x:c r="C1988" t="str">
        <x:v>PHYSICAL</x:v>
      </x:c>
      <x:c r="D1988" t="str">
        <x:v>event validity</x:v>
      </x:c>
      <x:c r="E1988" t="str">
        <x:v>PH-VA-302</x:v>
      </x:c>
      <x:c r="F1988" t="n">
        <x:f>IF('Event Register'!T308&lt;&gt;"",1,0)</x:f>
        <x:v>0</x:v>
      </x:c>
      <x:c r="G1988" t="n">
        <x:v>1</x:v>
      </x:c>
      <x:c r="H1988" t="str">
        <x:v>independent physical acceptance</x:v>
      </x:c>
      <x:c r="I1988" t="str">
        <x:f>IF(F1988=1,"PASS","OPEN")</x:f>
        <x:v>OPEN</x:v>
      </x:c>
    </x:row>
    <x:row r="1989">
      <x:c r="B1989" t="str">
        <x:v>PH-OU-302</x:v>
      </x:c>
      <x:c r="C1989" t="str">
        <x:v>PHYSICAL</x:v>
      </x:c>
      <x:c r="D1989" t="str">
        <x:v>event outcome</x:v>
      </x:c>
      <x:c r="E1989" t="str">
        <x:v>PH-OU-302</x:v>
      </x:c>
      <x:c r="F1989" t="n">
        <x:f>IF('Event Register'!U308&lt;&gt;"",1,0)</x:f>
        <x:v>0</x:v>
      </x:c>
      <x:c r="G1989" t="n">
        <x:v>1</x:v>
      </x:c>
      <x:c r="H1989" t="str">
        <x:v>independent physical acceptance</x:v>
      </x:c>
      <x:c r="I1989" t="str">
        <x:f>IF(F1989=1,"PASS","OPEN")</x:f>
        <x:v>OPEN</x:v>
      </x:c>
    </x:row>
    <x:row r="1990">
      <x:c r="B1990" t="str">
        <x:v>PH-EX-303</x:v>
      </x:c>
      <x:c r="C1990" t="str">
        <x:v>PHYSICAL</x:v>
      </x:c>
      <x:c r="D1990" t="str">
        <x:v>event execution</x:v>
      </x:c>
      <x:c r="E1990" t="str">
        <x:v>PH-EX-303</x:v>
      </x:c>
      <x:c r="F1990" t="n">
        <x:f>IF('Event Register'!R309&lt;&gt;"",1,0)</x:f>
        <x:v>0</x:v>
      </x:c>
      <x:c r="G1990" t="n">
        <x:v>1</x:v>
      </x:c>
      <x:c r="H1990" t="str">
        <x:v>independent physical acceptance</x:v>
      </x:c>
      <x:c r="I1990" t="str">
        <x:f>IF(F1990=1,"PASS","OPEN")</x:f>
        <x:v>OPEN</x:v>
      </x:c>
    </x:row>
    <x:row r="1991">
      <x:c r="B1991" t="str">
        <x:v>PH-EV-303</x:v>
      </x:c>
      <x:c r="C1991" t="str">
        <x:v>PHYSICAL</x:v>
      </x:c>
      <x:c r="D1991" t="str">
        <x:v>event evidence</x:v>
      </x:c>
      <x:c r="E1991" t="str">
        <x:v>PH-EV-303</x:v>
      </x:c>
      <x:c r="F1991" t="n">
        <x:f>IF('Event Register'!S309&lt;&gt;"",1,0)</x:f>
        <x:v>0</x:v>
      </x:c>
      <x:c r="G1991" t="n">
        <x:v>1</x:v>
      </x:c>
      <x:c r="H1991" t="str">
        <x:v>independent physical acceptance</x:v>
      </x:c>
      <x:c r="I1991" t="str">
        <x:f>IF(F1991=1,"PASS","OPEN")</x:f>
        <x:v>OPEN</x:v>
      </x:c>
    </x:row>
    <x:row r="1992">
      <x:c r="B1992" t="str">
        <x:v>PH-VA-303</x:v>
      </x:c>
      <x:c r="C1992" t="str">
        <x:v>PHYSICAL</x:v>
      </x:c>
      <x:c r="D1992" t="str">
        <x:v>event validity</x:v>
      </x:c>
      <x:c r="E1992" t="str">
        <x:v>PH-VA-303</x:v>
      </x:c>
      <x:c r="F1992" t="n">
        <x:f>IF('Event Register'!T309&lt;&gt;"",1,0)</x:f>
        <x:v>0</x:v>
      </x:c>
      <x:c r="G1992" t="n">
        <x:v>1</x:v>
      </x:c>
      <x:c r="H1992" t="str">
        <x:v>independent physical acceptance</x:v>
      </x:c>
      <x:c r="I1992" t="str">
        <x:f>IF(F1992=1,"PASS","OPEN")</x:f>
        <x:v>OPEN</x:v>
      </x:c>
    </x:row>
    <x:row r="1993">
      <x:c r="B1993" t="str">
        <x:v>PH-OU-303</x:v>
      </x:c>
      <x:c r="C1993" t="str">
        <x:v>PHYSICAL</x:v>
      </x:c>
      <x:c r="D1993" t="str">
        <x:v>event outcome</x:v>
      </x:c>
      <x:c r="E1993" t="str">
        <x:v>PH-OU-303</x:v>
      </x:c>
      <x:c r="F1993" t="n">
        <x:f>IF('Event Register'!U309&lt;&gt;"",1,0)</x:f>
        <x:v>0</x:v>
      </x:c>
      <x:c r="G1993" t="n">
        <x:v>1</x:v>
      </x:c>
      <x:c r="H1993" t="str">
        <x:v>independent physical acceptance</x:v>
      </x:c>
      <x:c r="I1993" t="str">
        <x:f>IF(F1993=1,"PASS","OPEN")</x:f>
        <x:v>OPEN</x:v>
      </x:c>
    </x:row>
    <x:row r="1994">
      <x:c r="B1994" t="str">
        <x:v>PH-EX-304</x:v>
      </x:c>
      <x:c r="C1994" t="str">
        <x:v>PHYSICAL</x:v>
      </x:c>
      <x:c r="D1994" t="str">
        <x:v>event execution</x:v>
      </x:c>
      <x:c r="E1994" t="str">
        <x:v>PH-EX-304</x:v>
      </x:c>
      <x:c r="F1994" t="n">
        <x:f>IF('Event Register'!R310&lt;&gt;"",1,0)</x:f>
        <x:v>0</x:v>
      </x:c>
      <x:c r="G1994" t="n">
        <x:v>1</x:v>
      </x:c>
      <x:c r="H1994" t="str">
        <x:v>independent physical acceptance</x:v>
      </x:c>
      <x:c r="I1994" t="str">
        <x:f>IF(F1994=1,"PASS","OPEN")</x:f>
        <x:v>OPEN</x:v>
      </x:c>
    </x:row>
    <x:row r="1995">
      <x:c r="B1995" t="str">
        <x:v>PH-EV-304</x:v>
      </x:c>
      <x:c r="C1995" t="str">
        <x:v>PHYSICAL</x:v>
      </x:c>
      <x:c r="D1995" t="str">
        <x:v>event evidence</x:v>
      </x:c>
      <x:c r="E1995" t="str">
        <x:v>PH-EV-304</x:v>
      </x:c>
      <x:c r="F1995" t="n">
        <x:f>IF('Event Register'!S310&lt;&gt;"",1,0)</x:f>
        <x:v>0</x:v>
      </x:c>
      <x:c r="G1995" t="n">
        <x:v>1</x:v>
      </x:c>
      <x:c r="H1995" t="str">
        <x:v>independent physical acceptance</x:v>
      </x:c>
      <x:c r="I1995" t="str">
        <x:f>IF(F1995=1,"PASS","OPEN")</x:f>
        <x:v>OPEN</x:v>
      </x:c>
    </x:row>
    <x:row r="1996">
      <x:c r="B1996" t="str">
        <x:v>PH-VA-304</x:v>
      </x:c>
      <x:c r="C1996" t="str">
        <x:v>PHYSICAL</x:v>
      </x:c>
      <x:c r="D1996" t="str">
        <x:v>event validity</x:v>
      </x:c>
      <x:c r="E1996" t="str">
        <x:v>PH-VA-304</x:v>
      </x:c>
      <x:c r="F1996" t="n">
        <x:f>IF('Event Register'!T310&lt;&gt;"",1,0)</x:f>
        <x:v>0</x:v>
      </x:c>
      <x:c r="G1996" t="n">
        <x:v>1</x:v>
      </x:c>
      <x:c r="H1996" t="str">
        <x:v>independent physical acceptance</x:v>
      </x:c>
      <x:c r="I1996" t="str">
        <x:f>IF(F1996=1,"PASS","OPEN")</x:f>
        <x:v>OPEN</x:v>
      </x:c>
    </x:row>
    <x:row r="1997">
      <x:c r="B1997" t="str">
        <x:v>PH-OU-304</x:v>
      </x:c>
      <x:c r="C1997" t="str">
        <x:v>PHYSICAL</x:v>
      </x:c>
      <x:c r="D1997" t="str">
        <x:v>event outcome</x:v>
      </x:c>
      <x:c r="E1997" t="str">
        <x:v>PH-OU-304</x:v>
      </x:c>
      <x:c r="F1997" t="n">
        <x:f>IF('Event Register'!U310&lt;&gt;"",1,0)</x:f>
        <x:v>0</x:v>
      </x:c>
      <x:c r="G1997" t="n">
        <x:v>1</x:v>
      </x:c>
      <x:c r="H1997" t="str">
        <x:v>independent physical acceptance</x:v>
      </x:c>
      <x:c r="I1997" t="str">
        <x:f>IF(F1997=1,"PASS","OPEN")</x:f>
        <x:v>OPEN</x:v>
      </x:c>
    </x:row>
    <x:row r="1998">
      <x:c r="B1998" t="str">
        <x:v>PH-EX-305</x:v>
      </x:c>
      <x:c r="C1998" t="str">
        <x:v>PHYSICAL</x:v>
      </x:c>
      <x:c r="D1998" t="str">
        <x:v>event execution</x:v>
      </x:c>
      <x:c r="E1998" t="str">
        <x:v>PH-EX-305</x:v>
      </x:c>
      <x:c r="F1998" t="n">
        <x:f>IF('Event Register'!R311&lt;&gt;"",1,0)</x:f>
        <x:v>0</x:v>
      </x:c>
      <x:c r="G1998" t="n">
        <x:v>1</x:v>
      </x:c>
      <x:c r="H1998" t="str">
        <x:v>independent physical acceptance</x:v>
      </x:c>
      <x:c r="I1998" t="str">
        <x:f>IF(F1998=1,"PASS","OPEN")</x:f>
        <x:v>OPEN</x:v>
      </x:c>
    </x:row>
    <x:row r="1999">
      <x:c r="B1999" t="str">
        <x:v>PH-EV-305</x:v>
      </x:c>
      <x:c r="C1999" t="str">
        <x:v>PHYSICAL</x:v>
      </x:c>
      <x:c r="D1999" t="str">
        <x:v>event evidence</x:v>
      </x:c>
      <x:c r="E1999" t="str">
        <x:v>PH-EV-305</x:v>
      </x:c>
      <x:c r="F1999" t="n">
        <x:f>IF('Event Register'!S311&lt;&gt;"",1,0)</x:f>
        <x:v>0</x:v>
      </x:c>
      <x:c r="G1999" t="n">
        <x:v>1</x:v>
      </x:c>
      <x:c r="H1999" t="str">
        <x:v>independent physical acceptance</x:v>
      </x:c>
      <x:c r="I1999" t="str">
        <x:f>IF(F1999=1,"PASS","OPEN")</x:f>
        <x:v>OPEN</x:v>
      </x:c>
    </x:row>
    <x:row r="2000">
      <x:c r="B2000" t="str">
        <x:v>PH-VA-305</x:v>
      </x:c>
      <x:c r="C2000" t="str">
        <x:v>PHYSICAL</x:v>
      </x:c>
      <x:c r="D2000" t="str">
        <x:v>event validity</x:v>
      </x:c>
      <x:c r="E2000" t="str">
        <x:v>PH-VA-305</x:v>
      </x:c>
      <x:c r="F2000" t="n">
        <x:f>IF('Event Register'!T311&lt;&gt;"",1,0)</x:f>
        <x:v>0</x:v>
      </x:c>
      <x:c r="G2000" t="n">
        <x:v>1</x:v>
      </x:c>
      <x:c r="H2000" t="str">
        <x:v>independent physical acceptance</x:v>
      </x:c>
      <x:c r="I2000" t="str">
        <x:f>IF(F2000=1,"PASS","OPEN")</x:f>
        <x:v>OPEN</x:v>
      </x:c>
    </x:row>
    <x:row r="2001">
      <x:c r="B2001" t="str">
        <x:v>PH-OU-305</x:v>
      </x:c>
      <x:c r="C2001" t="str">
        <x:v>PHYSICAL</x:v>
      </x:c>
      <x:c r="D2001" t="str">
        <x:v>event outcome</x:v>
      </x:c>
      <x:c r="E2001" t="str">
        <x:v>PH-OU-305</x:v>
      </x:c>
      <x:c r="F2001" t="n">
        <x:f>IF('Event Register'!U311&lt;&gt;"",1,0)</x:f>
        <x:v>0</x:v>
      </x:c>
      <x:c r="G2001" t="n">
        <x:v>1</x:v>
      </x:c>
      <x:c r="H2001" t="str">
        <x:v>independent physical acceptance</x:v>
      </x:c>
      <x:c r="I2001" t="str">
        <x:f>IF(F2001=1,"PASS","OPEN")</x:f>
        <x:v>OPEN</x:v>
      </x:c>
    </x:row>
    <x:row r="2002">
      <x:c r="B2002" t="str">
        <x:v>PH-EX-306</x:v>
      </x:c>
      <x:c r="C2002" t="str">
        <x:v>PHYSICAL</x:v>
      </x:c>
      <x:c r="D2002" t="str">
        <x:v>event execution</x:v>
      </x:c>
      <x:c r="E2002" t="str">
        <x:v>PH-EX-306</x:v>
      </x:c>
      <x:c r="F2002" t="n">
        <x:f>IF('Event Register'!R312&lt;&gt;"",1,0)</x:f>
        <x:v>0</x:v>
      </x:c>
      <x:c r="G2002" t="n">
        <x:v>1</x:v>
      </x:c>
      <x:c r="H2002" t="str">
        <x:v>independent physical acceptance</x:v>
      </x:c>
      <x:c r="I2002" t="str">
        <x:f>IF(F2002=1,"PASS","OPEN")</x:f>
        <x:v>OPEN</x:v>
      </x:c>
    </x:row>
    <x:row r="2003">
      <x:c r="B2003" t="str">
        <x:v>PH-EV-306</x:v>
      </x:c>
      <x:c r="C2003" t="str">
        <x:v>PHYSICAL</x:v>
      </x:c>
      <x:c r="D2003" t="str">
        <x:v>event evidence</x:v>
      </x:c>
      <x:c r="E2003" t="str">
        <x:v>PH-EV-306</x:v>
      </x:c>
      <x:c r="F2003" t="n">
        <x:f>IF('Event Register'!S312&lt;&gt;"",1,0)</x:f>
        <x:v>0</x:v>
      </x:c>
      <x:c r="G2003" t="n">
        <x:v>1</x:v>
      </x:c>
      <x:c r="H2003" t="str">
        <x:v>independent physical acceptance</x:v>
      </x:c>
      <x:c r="I2003" t="str">
        <x:f>IF(F2003=1,"PASS","OPEN")</x:f>
        <x:v>OPEN</x:v>
      </x:c>
    </x:row>
    <x:row r="2004">
      <x:c r="B2004" t="str">
        <x:v>PH-VA-306</x:v>
      </x:c>
      <x:c r="C2004" t="str">
        <x:v>PHYSICAL</x:v>
      </x:c>
      <x:c r="D2004" t="str">
        <x:v>event validity</x:v>
      </x:c>
      <x:c r="E2004" t="str">
        <x:v>PH-VA-306</x:v>
      </x:c>
      <x:c r="F2004" t="n">
        <x:f>IF('Event Register'!T312&lt;&gt;"",1,0)</x:f>
        <x:v>0</x:v>
      </x:c>
      <x:c r="G2004" t="n">
        <x:v>1</x:v>
      </x:c>
      <x:c r="H2004" t="str">
        <x:v>independent physical acceptance</x:v>
      </x:c>
      <x:c r="I2004" t="str">
        <x:f>IF(F2004=1,"PASS","OPEN")</x:f>
        <x:v>OPEN</x:v>
      </x:c>
    </x:row>
    <x:row r="2005">
      <x:c r="B2005" t="str">
        <x:v>PH-OU-306</x:v>
      </x:c>
      <x:c r="C2005" t="str">
        <x:v>PHYSICAL</x:v>
      </x:c>
      <x:c r="D2005" t="str">
        <x:v>event outcome</x:v>
      </x:c>
      <x:c r="E2005" t="str">
        <x:v>PH-OU-306</x:v>
      </x:c>
      <x:c r="F2005" t="n">
        <x:f>IF('Event Register'!U312&lt;&gt;"",1,0)</x:f>
        <x:v>0</x:v>
      </x:c>
      <x:c r="G2005" t="n">
        <x:v>1</x:v>
      </x:c>
      <x:c r="H2005" t="str">
        <x:v>independent physical acceptance</x:v>
      </x:c>
      <x:c r="I2005" t="str">
        <x:f>IF(F2005=1,"PASS","OPEN")</x:f>
        <x:v>OPEN</x:v>
      </x:c>
    </x:row>
    <x:row r="2006">
      <x:c r="B2006" t="str">
        <x:v>PH-PR-001</x:v>
      </x:c>
      <x:c r="C2006" t="str">
        <x:v>PHYSICAL</x:v>
      </x:c>
      <x:c r="D2006" t="str">
        <x:v>pair disposition</x:v>
      </x:c>
      <x:c r="E2006" t="str">
        <x:v>PH-PR-001</x:v>
      </x:c>
      <x:c r="F2006" t="str">
        <x:f>'Pairing Ledger'!K7</x:f>
      </x:c>
      <x:c r="G2006" t="n">
        <x:v>1</x:v>
      </x:c>
      <x:c r="H2006" t="str">
        <x:v>independent physical acceptance</x:v>
      </x:c>
      <x:c r="I2006" t="str">
        <x:f>IF(F2006=1,"PASS","OPEN")</x:f>
        <x:v>OPEN</x:v>
      </x:c>
    </x:row>
    <x:row r="2007">
      <x:c r="B2007" t="str">
        <x:v>PH-PR-002</x:v>
      </x:c>
      <x:c r="C2007" t="str">
        <x:v>PHYSICAL</x:v>
      </x:c>
      <x:c r="D2007" t="str">
        <x:v>pair disposition</x:v>
      </x:c>
      <x:c r="E2007" t="str">
        <x:v>PH-PR-002</x:v>
      </x:c>
      <x:c r="F2007" t="str">
        <x:f>'Pairing Ledger'!K8</x:f>
      </x:c>
      <x:c r="G2007" t="n">
        <x:v>1</x:v>
      </x:c>
      <x:c r="H2007" t="str">
        <x:v>independent physical acceptance</x:v>
      </x:c>
      <x:c r="I2007" t="str">
        <x:f>IF(F2007=1,"PASS","OPEN")</x:f>
        <x:v>OPEN</x:v>
      </x:c>
    </x:row>
    <x:row r="2008">
      <x:c r="B2008" t="str">
        <x:v>PH-PR-003</x:v>
      </x:c>
      <x:c r="C2008" t="str">
        <x:v>PHYSICAL</x:v>
      </x:c>
      <x:c r="D2008" t="str">
        <x:v>pair disposition</x:v>
      </x:c>
      <x:c r="E2008" t="str">
        <x:v>PH-PR-003</x:v>
      </x:c>
      <x:c r="F2008" t="str">
        <x:f>'Pairing Ledger'!K9</x:f>
      </x:c>
      <x:c r="G2008" t="n">
        <x:v>1</x:v>
      </x:c>
      <x:c r="H2008" t="str">
        <x:v>independent physical acceptance</x:v>
      </x:c>
      <x:c r="I2008" t="str">
        <x:f>IF(F2008=1,"PASS","OPEN")</x:f>
        <x:v>OPEN</x:v>
      </x:c>
    </x:row>
    <x:row r="2009">
      <x:c r="B2009" t="str">
        <x:v>PH-PR-004</x:v>
      </x:c>
      <x:c r="C2009" t="str">
        <x:v>PHYSICAL</x:v>
      </x:c>
      <x:c r="D2009" t="str">
        <x:v>pair disposition</x:v>
      </x:c>
      <x:c r="E2009" t="str">
        <x:v>PH-PR-004</x:v>
      </x:c>
      <x:c r="F2009" t="str">
        <x:f>'Pairing Ledger'!K10</x:f>
      </x:c>
      <x:c r="G2009" t="n">
        <x:v>1</x:v>
      </x:c>
      <x:c r="H2009" t="str">
        <x:v>independent physical acceptance</x:v>
      </x:c>
      <x:c r="I2009" t="str">
        <x:f>IF(F2009=1,"PASS","OPEN")</x:f>
        <x:v>OPEN</x:v>
      </x:c>
    </x:row>
    <x:row r="2010">
      <x:c r="B2010" t="str">
        <x:v>PH-PR-005</x:v>
      </x:c>
      <x:c r="C2010" t="str">
        <x:v>PHYSICAL</x:v>
      </x:c>
      <x:c r="D2010" t="str">
        <x:v>pair disposition</x:v>
      </x:c>
      <x:c r="E2010" t="str">
        <x:v>PH-PR-005</x:v>
      </x:c>
      <x:c r="F2010" t="str">
        <x:f>'Pairing Ledger'!K11</x:f>
      </x:c>
      <x:c r="G2010" t="n">
        <x:v>1</x:v>
      </x:c>
      <x:c r="H2010" t="str">
        <x:v>independent physical acceptance</x:v>
      </x:c>
      <x:c r="I2010" t="str">
        <x:f>IF(F2010=1,"PASS","OPEN")</x:f>
        <x:v>OPEN</x:v>
      </x:c>
    </x:row>
    <x:row r="2011">
      <x:c r="B2011" t="str">
        <x:v>PH-PR-006</x:v>
      </x:c>
      <x:c r="C2011" t="str">
        <x:v>PHYSICAL</x:v>
      </x:c>
      <x:c r="D2011" t="str">
        <x:v>pair disposition</x:v>
      </x:c>
      <x:c r="E2011" t="str">
        <x:v>PH-PR-006</x:v>
      </x:c>
      <x:c r="F2011" t="str">
        <x:f>'Pairing Ledger'!K12</x:f>
      </x:c>
      <x:c r="G2011" t="n">
        <x:v>1</x:v>
      </x:c>
      <x:c r="H2011" t="str">
        <x:v>independent physical acceptance</x:v>
      </x:c>
      <x:c r="I2011" t="str">
        <x:f>IF(F2011=1,"PASS","OPEN")</x:f>
        <x:v>OPEN</x:v>
      </x:c>
    </x:row>
    <x:row r="2012">
      <x:c r="B2012" t="str">
        <x:v>PH-PR-007</x:v>
      </x:c>
      <x:c r="C2012" t="str">
        <x:v>PHYSICAL</x:v>
      </x:c>
      <x:c r="D2012" t="str">
        <x:v>pair disposition</x:v>
      </x:c>
      <x:c r="E2012" t="str">
        <x:v>PH-PR-007</x:v>
      </x:c>
      <x:c r="F2012" t="str">
        <x:f>'Pairing Ledger'!K13</x:f>
      </x:c>
      <x:c r="G2012" t="n">
        <x:v>1</x:v>
      </x:c>
      <x:c r="H2012" t="str">
        <x:v>independent physical acceptance</x:v>
      </x:c>
      <x:c r="I2012" t="str">
        <x:f>IF(F2012=1,"PASS","OPEN")</x:f>
        <x:v>OPEN</x:v>
      </x:c>
    </x:row>
    <x:row r="2013">
      <x:c r="B2013" t="str">
        <x:v>PH-PR-008</x:v>
      </x:c>
      <x:c r="C2013" t="str">
        <x:v>PHYSICAL</x:v>
      </x:c>
      <x:c r="D2013" t="str">
        <x:v>pair disposition</x:v>
      </x:c>
      <x:c r="E2013" t="str">
        <x:v>PH-PR-008</x:v>
      </x:c>
      <x:c r="F2013" t="str">
        <x:f>'Pairing Ledger'!K14</x:f>
      </x:c>
      <x:c r="G2013" t="n">
        <x:v>1</x:v>
      </x:c>
      <x:c r="H2013" t="str">
        <x:v>independent physical acceptance</x:v>
      </x:c>
      <x:c r="I2013" t="str">
        <x:f>IF(F2013=1,"PASS","OPEN")</x:f>
        <x:v>OPEN</x:v>
      </x:c>
    </x:row>
    <x:row r="2014">
      <x:c r="B2014" t="str">
        <x:v>PH-PR-009</x:v>
      </x:c>
      <x:c r="C2014" t="str">
        <x:v>PHYSICAL</x:v>
      </x:c>
      <x:c r="D2014" t="str">
        <x:v>pair disposition</x:v>
      </x:c>
      <x:c r="E2014" t="str">
        <x:v>PH-PR-009</x:v>
      </x:c>
      <x:c r="F2014" t="str">
        <x:f>'Pairing Ledger'!K15</x:f>
      </x:c>
      <x:c r="G2014" t="n">
        <x:v>1</x:v>
      </x:c>
      <x:c r="H2014" t="str">
        <x:v>independent physical acceptance</x:v>
      </x:c>
      <x:c r="I2014" t="str">
        <x:f>IF(F2014=1,"PASS","OPEN")</x:f>
        <x:v>OPEN</x:v>
      </x:c>
    </x:row>
    <x:row r="2015">
      <x:c r="B2015" t="str">
        <x:v>PH-PR-010</x:v>
      </x:c>
      <x:c r="C2015" t="str">
        <x:v>PHYSICAL</x:v>
      </x:c>
      <x:c r="D2015" t="str">
        <x:v>pair disposition</x:v>
      </x:c>
      <x:c r="E2015" t="str">
        <x:v>PH-PR-010</x:v>
      </x:c>
      <x:c r="F2015" t="str">
        <x:f>'Pairing Ledger'!K16</x:f>
      </x:c>
      <x:c r="G2015" t="n">
        <x:v>1</x:v>
      </x:c>
      <x:c r="H2015" t="str">
        <x:v>independent physical acceptance</x:v>
      </x:c>
      <x:c r="I2015" t="str">
        <x:f>IF(F2015=1,"PASS","OPEN")</x:f>
        <x:v>OPEN</x:v>
      </x:c>
    </x:row>
    <x:row r="2016">
      <x:c r="B2016" t="str">
        <x:v>PH-PR-011</x:v>
      </x:c>
      <x:c r="C2016" t="str">
        <x:v>PHYSICAL</x:v>
      </x:c>
      <x:c r="D2016" t="str">
        <x:v>pair disposition</x:v>
      </x:c>
      <x:c r="E2016" t="str">
        <x:v>PH-PR-011</x:v>
      </x:c>
      <x:c r="F2016" t="str">
        <x:f>'Pairing Ledger'!K17</x:f>
      </x:c>
      <x:c r="G2016" t="n">
        <x:v>1</x:v>
      </x:c>
      <x:c r="H2016" t="str">
        <x:v>independent physical acceptance</x:v>
      </x:c>
      <x:c r="I2016" t="str">
        <x:f>IF(F2016=1,"PASS","OPEN")</x:f>
        <x:v>OPEN</x:v>
      </x:c>
    </x:row>
    <x:row r="2017">
      <x:c r="B2017" t="str">
        <x:v>PH-PR-012</x:v>
      </x:c>
      <x:c r="C2017" t="str">
        <x:v>PHYSICAL</x:v>
      </x:c>
      <x:c r="D2017" t="str">
        <x:v>pair disposition</x:v>
      </x:c>
      <x:c r="E2017" t="str">
        <x:v>PH-PR-012</x:v>
      </x:c>
      <x:c r="F2017" t="str">
        <x:f>'Pairing Ledger'!K18</x:f>
      </x:c>
      <x:c r="G2017" t="n">
        <x:v>1</x:v>
      </x:c>
      <x:c r="H2017" t="str">
        <x:v>independent physical acceptance</x:v>
      </x:c>
      <x:c r="I2017" t="str">
        <x:f>IF(F2017=1,"PASS","OPEN")</x:f>
        <x:v>OPEN</x:v>
      </x:c>
    </x:row>
    <x:row r="2018">
      <x:c r="B2018" t="str">
        <x:v>PH-PR-013</x:v>
      </x:c>
      <x:c r="C2018" t="str">
        <x:v>PHYSICAL</x:v>
      </x:c>
      <x:c r="D2018" t="str">
        <x:v>pair disposition</x:v>
      </x:c>
      <x:c r="E2018" t="str">
        <x:v>PH-PR-013</x:v>
      </x:c>
      <x:c r="F2018" t="str">
        <x:f>'Pairing Ledger'!K19</x:f>
      </x:c>
      <x:c r="G2018" t="n">
        <x:v>1</x:v>
      </x:c>
      <x:c r="H2018" t="str">
        <x:v>independent physical acceptance</x:v>
      </x:c>
      <x:c r="I2018" t="str">
        <x:f>IF(F2018=1,"PASS","OPEN")</x:f>
        <x:v>OPEN</x:v>
      </x:c>
    </x:row>
    <x:row r="2019">
      <x:c r="B2019" t="str">
        <x:v>PH-PR-014</x:v>
      </x:c>
      <x:c r="C2019" t="str">
        <x:v>PHYSICAL</x:v>
      </x:c>
      <x:c r="D2019" t="str">
        <x:v>pair disposition</x:v>
      </x:c>
      <x:c r="E2019" t="str">
        <x:v>PH-PR-014</x:v>
      </x:c>
      <x:c r="F2019" t="str">
        <x:f>'Pairing Ledger'!K20</x:f>
      </x:c>
      <x:c r="G2019" t="n">
        <x:v>1</x:v>
      </x:c>
      <x:c r="H2019" t="str">
        <x:v>independent physical acceptance</x:v>
      </x:c>
      <x:c r="I2019" t="str">
        <x:f>IF(F2019=1,"PASS","OPEN")</x:f>
        <x:v>OPEN</x:v>
      </x:c>
    </x:row>
    <x:row r="2020">
      <x:c r="B2020" t="str">
        <x:v>PH-PR-015</x:v>
      </x:c>
      <x:c r="C2020" t="str">
        <x:v>PHYSICAL</x:v>
      </x:c>
      <x:c r="D2020" t="str">
        <x:v>pair disposition</x:v>
      </x:c>
      <x:c r="E2020" t="str">
        <x:v>PH-PR-015</x:v>
      </x:c>
      <x:c r="F2020" t="str">
        <x:f>'Pairing Ledger'!K21</x:f>
      </x:c>
      <x:c r="G2020" t="n">
        <x:v>1</x:v>
      </x:c>
      <x:c r="H2020" t="str">
        <x:v>independent physical acceptance</x:v>
      </x:c>
      <x:c r="I2020" t="str">
        <x:f>IF(F2020=1,"PASS","OPEN")</x:f>
        <x:v>OPEN</x:v>
      </x:c>
    </x:row>
    <x:row r="2021">
      <x:c r="B2021" t="str">
        <x:v>PH-PR-016</x:v>
      </x:c>
      <x:c r="C2021" t="str">
        <x:v>PHYSICAL</x:v>
      </x:c>
      <x:c r="D2021" t="str">
        <x:v>pair disposition</x:v>
      </x:c>
      <x:c r="E2021" t="str">
        <x:v>PH-PR-016</x:v>
      </x:c>
      <x:c r="F2021" t="str">
        <x:f>'Pairing Ledger'!K22</x:f>
      </x:c>
      <x:c r="G2021" t="n">
        <x:v>1</x:v>
      </x:c>
      <x:c r="H2021" t="str">
        <x:v>independent physical acceptance</x:v>
      </x:c>
      <x:c r="I2021" t="str">
        <x:f>IF(F2021=1,"PASS","OPEN")</x:f>
        <x:v>OPEN</x:v>
      </x:c>
    </x:row>
    <x:row r="2022">
      <x:c r="B2022" t="str">
        <x:v>PH-PR-017</x:v>
      </x:c>
      <x:c r="C2022" t="str">
        <x:v>PHYSICAL</x:v>
      </x:c>
      <x:c r="D2022" t="str">
        <x:v>pair disposition</x:v>
      </x:c>
      <x:c r="E2022" t="str">
        <x:v>PH-PR-017</x:v>
      </x:c>
      <x:c r="F2022" t="str">
        <x:f>'Pairing Ledger'!K23</x:f>
      </x:c>
      <x:c r="G2022" t="n">
        <x:v>1</x:v>
      </x:c>
      <x:c r="H2022" t="str">
        <x:v>independent physical acceptance</x:v>
      </x:c>
      <x:c r="I2022" t="str">
        <x:f>IF(F2022=1,"PASS","OPEN")</x:f>
        <x:v>OPEN</x:v>
      </x:c>
    </x:row>
    <x:row r="2023">
      <x:c r="B2023" t="str">
        <x:v>PH-PR-018</x:v>
      </x:c>
      <x:c r="C2023" t="str">
        <x:v>PHYSICAL</x:v>
      </x:c>
      <x:c r="D2023" t="str">
        <x:v>pair disposition</x:v>
      </x:c>
      <x:c r="E2023" t="str">
        <x:v>PH-PR-018</x:v>
      </x:c>
      <x:c r="F2023" t="str">
        <x:f>'Pairing Ledger'!K24</x:f>
      </x:c>
      <x:c r="G2023" t="n">
        <x:v>1</x:v>
      </x:c>
      <x:c r="H2023" t="str">
        <x:v>independent physical acceptance</x:v>
      </x:c>
      <x:c r="I2023" t="str">
        <x:f>IF(F2023=1,"PASS","OPEN")</x:f>
        <x:v>OPEN</x:v>
      </x:c>
    </x:row>
    <x:row r="2024">
      <x:c r="B2024" t="str">
        <x:v>PH-PR-019</x:v>
      </x:c>
      <x:c r="C2024" t="str">
        <x:v>PHYSICAL</x:v>
      </x:c>
      <x:c r="D2024" t="str">
        <x:v>pair disposition</x:v>
      </x:c>
      <x:c r="E2024" t="str">
        <x:v>PH-PR-019</x:v>
      </x:c>
      <x:c r="F2024" t="str">
        <x:f>'Pairing Ledger'!K25</x:f>
      </x:c>
      <x:c r="G2024" t="n">
        <x:v>1</x:v>
      </x:c>
      <x:c r="H2024" t="str">
        <x:v>independent physical acceptance</x:v>
      </x:c>
      <x:c r="I2024" t="str">
        <x:f>IF(F2024=1,"PASS","OPEN")</x:f>
        <x:v>OPEN</x:v>
      </x:c>
    </x:row>
    <x:row r="2025">
      <x:c r="B2025" t="str">
        <x:v>PH-PR-020</x:v>
      </x:c>
      <x:c r="C2025" t="str">
        <x:v>PHYSICAL</x:v>
      </x:c>
      <x:c r="D2025" t="str">
        <x:v>pair disposition</x:v>
      </x:c>
      <x:c r="E2025" t="str">
        <x:v>PH-PR-020</x:v>
      </x:c>
      <x:c r="F2025" t="str">
        <x:f>'Pairing Ledger'!K26</x:f>
      </x:c>
      <x:c r="G2025" t="n">
        <x:v>1</x:v>
      </x:c>
      <x:c r="H2025" t="str">
        <x:v>independent physical acceptance</x:v>
      </x:c>
      <x:c r="I2025" t="str">
        <x:f>IF(F2025=1,"PASS","OPEN")</x:f>
        <x:v>OPEN</x:v>
      </x:c>
    </x:row>
    <x:row r="2026">
      <x:c r="B2026" t="str">
        <x:v>PH-PR-021</x:v>
      </x:c>
      <x:c r="C2026" t="str">
        <x:v>PHYSICAL</x:v>
      </x:c>
      <x:c r="D2026" t="str">
        <x:v>pair disposition</x:v>
      </x:c>
      <x:c r="E2026" t="str">
        <x:v>PH-PR-021</x:v>
      </x:c>
      <x:c r="F2026" t="str">
        <x:f>'Pairing Ledger'!K27</x:f>
      </x:c>
      <x:c r="G2026" t="n">
        <x:v>1</x:v>
      </x:c>
      <x:c r="H2026" t="str">
        <x:v>independent physical acceptance</x:v>
      </x:c>
      <x:c r="I2026" t="str">
        <x:f>IF(F2026=1,"PASS","OPEN")</x:f>
        <x:v>OPEN</x:v>
      </x:c>
    </x:row>
    <x:row r="2027">
      <x:c r="B2027" t="str">
        <x:v>PH-PR-022</x:v>
      </x:c>
      <x:c r="C2027" t="str">
        <x:v>PHYSICAL</x:v>
      </x:c>
      <x:c r="D2027" t="str">
        <x:v>pair disposition</x:v>
      </x:c>
      <x:c r="E2027" t="str">
        <x:v>PH-PR-022</x:v>
      </x:c>
      <x:c r="F2027" t="str">
        <x:f>'Pairing Ledger'!K28</x:f>
      </x:c>
      <x:c r="G2027" t="n">
        <x:v>1</x:v>
      </x:c>
      <x:c r="H2027" t="str">
        <x:v>independent physical acceptance</x:v>
      </x:c>
      <x:c r="I2027" t="str">
        <x:f>IF(F2027=1,"PASS","OPEN")</x:f>
        <x:v>OPEN</x:v>
      </x:c>
    </x:row>
    <x:row r="2028">
      <x:c r="B2028" t="str">
        <x:v>PH-PR-023</x:v>
      </x:c>
      <x:c r="C2028" t="str">
        <x:v>PHYSICAL</x:v>
      </x:c>
      <x:c r="D2028" t="str">
        <x:v>pair disposition</x:v>
      </x:c>
      <x:c r="E2028" t="str">
        <x:v>PH-PR-023</x:v>
      </x:c>
      <x:c r="F2028" t="str">
        <x:f>'Pairing Ledger'!K29</x:f>
      </x:c>
      <x:c r="G2028" t="n">
        <x:v>1</x:v>
      </x:c>
      <x:c r="H2028" t="str">
        <x:v>independent physical acceptance</x:v>
      </x:c>
      <x:c r="I2028" t="str">
        <x:f>IF(F2028=1,"PASS","OPEN")</x:f>
        <x:v>OPEN</x:v>
      </x:c>
    </x:row>
    <x:row r="2029">
      <x:c r="B2029" t="str">
        <x:v>PH-PR-024</x:v>
      </x:c>
      <x:c r="C2029" t="str">
        <x:v>PHYSICAL</x:v>
      </x:c>
      <x:c r="D2029" t="str">
        <x:v>pair disposition</x:v>
      </x:c>
      <x:c r="E2029" t="str">
        <x:v>PH-PR-024</x:v>
      </x:c>
      <x:c r="F2029" t="str">
        <x:f>'Pairing Ledger'!K30</x:f>
      </x:c>
      <x:c r="G2029" t="n">
        <x:v>1</x:v>
      </x:c>
      <x:c r="H2029" t="str">
        <x:v>independent physical acceptance</x:v>
      </x:c>
      <x:c r="I2029" t="str">
        <x:f>IF(F2029=1,"PASS","OPEN")</x:f>
        <x:v>OPEN</x:v>
      </x:c>
    </x:row>
    <x:row r="2030">
      <x:c r="B2030" t="str">
        <x:v>PH-PR-025</x:v>
      </x:c>
      <x:c r="C2030" t="str">
        <x:v>PHYSICAL</x:v>
      </x:c>
      <x:c r="D2030" t="str">
        <x:v>pair disposition</x:v>
      </x:c>
      <x:c r="E2030" t="str">
        <x:v>PH-PR-025</x:v>
      </x:c>
      <x:c r="F2030" t="str">
        <x:f>'Pairing Ledger'!K31</x:f>
      </x:c>
      <x:c r="G2030" t="n">
        <x:v>1</x:v>
      </x:c>
      <x:c r="H2030" t="str">
        <x:v>independent physical acceptance</x:v>
      </x:c>
      <x:c r="I2030" t="str">
        <x:f>IF(F2030=1,"PASS","OPEN")</x:f>
        <x:v>OPEN</x:v>
      </x:c>
    </x:row>
    <x:row r="2031">
      <x:c r="B2031" t="str">
        <x:v>PH-PR-026</x:v>
      </x:c>
      <x:c r="C2031" t="str">
        <x:v>PHYSICAL</x:v>
      </x:c>
      <x:c r="D2031" t="str">
        <x:v>pair disposition</x:v>
      </x:c>
      <x:c r="E2031" t="str">
        <x:v>PH-PR-026</x:v>
      </x:c>
      <x:c r="F2031" t="str">
        <x:f>'Pairing Ledger'!K32</x:f>
      </x:c>
      <x:c r="G2031" t="n">
        <x:v>1</x:v>
      </x:c>
      <x:c r="H2031" t="str">
        <x:v>independent physical acceptance</x:v>
      </x:c>
      <x:c r="I2031" t="str">
        <x:f>IF(F2031=1,"PASS","OPEN")</x:f>
        <x:v>OPEN</x:v>
      </x:c>
    </x:row>
    <x:row r="2032">
      <x:c r="B2032" t="str">
        <x:v>PH-PR-027</x:v>
      </x:c>
      <x:c r="C2032" t="str">
        <x:v>PHYSICAL</x:v>
      </x:c>
      <x:c r="D2032" t="str">
        <x:v>pair disposition</x:v>
      </x:c>
      <x:c r="E2032" t="str">
        <x:v>PH-PR-027</x:v>
      </x:c>
      <x:c r="F2032" t="str">
        <x:f>'Pairing Ledger'!K33</x:f>
      </x:c>
      <x:c r="G2032" t="n">
        <x:v>1</x:v>
      </x:c>
      <x:c r="H2032" t="str">
        <x:v>independent physical acceptance</x:v>
      </x:c>
      <x:c r="I2032" t="str">
        <x:f>IF(F2032=1,"PASS","OPEN")</x:f>
        <x:v>OPEN</x:v>
      </x:c>
    </x:row>
    <x:row r="2033">
      <x:c r="B2033" t="str">
        <x:v>PH-PR-028</x:v>
      </x:c>
      <x:c r="C2033" t="str">
        <x:v>PHYSICAL</x:v>
      </x:c>
      <x:c r="D2033" t="str">
        <x:v>pair disposition</x:v>
      </x:c>
      <x:c r="E2033" t="str">
        <x:v>PH-PR-028</x:v>
      </x:c>
      <x:c r="F2033" t="str">
        <x:f>'Pairing Ledger'!K34</x:f>
      </x:c>
      <x:c r="G2033" t="n">
        <x:v>1</x:v>
      </x:c>
      <x:c r="H2033" t="str">
        <x:v>independent physical acceptance</x:v>
      </x:c>
      <x:c r="I2033" t="str">
        <x:f>IF(F2033=1,"PASS","OPEN")</x:f>
        <x:v>OPEN</x:v>
      </x:c>
    </x:row>
    <x:row r="2034">
      <x:c r="B2034" t="str">
        <x:v>PH-PR-029</x:v>
      </x:c>
      <x:c r="C2034" t="str">
        <x:v>PHYSICAL</x:v>
      </x:c>
      <x:c r="D2034" t="str">
        <x:v>pair disposition</x:v>
      </x:c>
      <x:c r="E2034" t="str">
        <x:v>PH-PR-029</x:v>
      </x:c>
      <x:c r="F2034" t="str">
        <x:f>'Pairing Ledger'!K35</x:f>
      </x:c>
      <x:c r="G2034" t="n">
        <x:v>1</x:v>
      </x:c>
      <x:c r="H2034" t="str">
        <x:v>independent physical acceptance</x:v>
      </x:c>
      <x:c r="I2034" t="str">
        <x:f>IF(F2034=1,"PASS","OPEN")</x:f>
        <x:v>OPEN</x:v>
      </x:c>
    </x:row>
    <x:row r="2035">
      <x:c r="B2035" t="str">
        <x:v>PH-PR-030</x:v>
      </x:c>
      <x:c r="C2035" t="str">
        <x:v>PHYSICAL</x:v>
      </x:c>
      <x:c r="D2035" t="str">
        <x:v>pair disposition</x:v>
      </x:c>
      <x:c r="E2035" t="str">
        <x:v>PH-PR-030</x:v>
      </x:c>
      <x:c r="F2035" t="str">
        <x:f>'Pairing Ledger'!K36</x:f>
      </x:c>
      <x:c r="G2035" t="n">
        <x:v>1</x:v>
      </x:c>
      <x:c r="H2035" t="str">
        <x:v>independent physical acceptance</x:v>
      </x:c>
      <x:c r="I2035" t="str">
        <x:f>IF(F2035=1,"PASS","OPEN")</x:f>
        <x:v>OPEN</x:v>
      </x:c>
    </x:row>
    <x:row r="2036">
      <x:c r="B2036" t="str">
        <x:v>PH-PR-031</x:v>
      </x:c>
      <x:c r="C2036" t="str">
        <x:v>PHYSICAL</x:v>
      </x:c>
      <x:c r="D2036" t="str">
        <x:v>pair disposition</x:v>
      </x:c>
      <x:c r="E2036" t="str">
        <x:v>PH-PR-031</x:v>
      </x:c>
      <x:c r="F2036" t="str">
        <x:f>'Pairing Ledger'!K37</x:f>
      </x:c>
      <x:c r="G2036" t="n">
        <x:v>1</x:v>
      </x:c>
      <x:c r="H2036" t="str">
        <x:v>independent physical acceptance</x:v>
      </x:c>
      <x:c r="I2036" t="str">
        <x:f>IF(F2036=1,"PASS","OPEN")</x:f>
        <x:v>OPEN</x:v>
      </x:c>
    </x:row>
    <x:row r="2037">
      <x:c r="B2037" t="str">
        <x:v>PH-PR-032</x:v>
      </x:c>
      <x:c r="C2037" t="str">
        <x:v>PHYSICAL</x:v>
      </x:c>
      <x:c r="D2037" t="str">
        <x:v>pair disposition</x:v>
      </x:c>
      <x:c r="E2037" t="str">
        <x:v>PH-PR-032</x:v>
      </x:c>
      <x:c r="F2037" t="str">
        <x:f>'Pairing Ledger'!K38</x:f>
      </x:c>
      <x:c r="G2037" t="n">
        <x:v>1</x:v>
      </x:c>
      <x:c r="H2037" t="str">
        <x:v>independent physical acceptance</x:v>
      </x:c>
      <x:c r="I2037" t="str">
        <x:f>IF(F2037=1,"PASS","OPEN")</x:f>
        <x:v>OPEN</x:v>
      </x:c>
    </x:row>
    <x:row r="2038">
      <x:c r="B2038" t="str">
        <x:v>PH-PR-033</x:v>
      </x:c>
      <x:c r="C2038" t="str">
        <x:v>PHYSICAL</x:v>
      </x:c>
      <x:c r="D2038" t="str">
        <x:v>pair disposition</x:v>
      </x:c>
      <x:c r="E2038" t="str">
        <x:v>PH-PR-033</x:v>
      </x:c>
      <x:c r="F2038" t="str">
        <x:f>'Pairing Ledger'!K39</x:f>
      </x:c>
      <x:c r="G2038" t="n">
        <x:v>1</x:v>
      </x:c>
      <x:c r="H2038" t="str">
        <x:v>independent physical acceptance</x:v>
      </x:c>
      <x:c r="I2038" t="str">
        <x:f>IF(F2038=1,"PASS","OPEN")</x:f>
        <x:v>OPEN</x:v>
      </x:c>
    </x:row>
    <x:row r="2039">
      <x:c r="B2039" t="str">
        <x:v>PH-PR-034</x:v>
      </x:c>
      <x:c r="C2039" t="str">
        <x:v>PHYSICAL</x:v>
      </x:c>
      <x:c r="D2039" t="str">
        <x:v>pair disposition</x:v>
      </x:c>
      <x:c r="E2039" t="str">
        <x:v>PH-PR-034</x:v>
      </x:c>
      <x:c r="F2039" t="str">
        <x:f>'Pairing Ledger'!K40</x:f>
      </x:c>
      <x:c r="G2039" t="n">
        <x:v>1</x:v>
      </x:c>
      <x:c r="H2039" t="str">
        <x:v>independent physical acceptance</x:v>
      </x:c>
      <x:c r="I2039" t="str">
        <x:f>IF(F2039=1,"PASS","OPEN")</x:f>
        <x:v>OPEN</x:v>
      </x:c>
    </x:row>
    <x:row r="2040">
      <x:c r="B2040" t="str">
        <x:v>PH-PR-035</x:v>
      </x:c>
      <x:c r="C2040" t="str">
        <x:v>PHYSICAL</x:v>
      </x:c>
      <x:c r="D2040" t="str">
        <x:v>pair disposition</x:v>
      </x:c>
      <x:c r="E2040" t="str">
        <x:v>PH-PR-035</x:v>
      </x:c>
      <x:c r="F2040" t="str">
        <x:f>'Pairing Ledger'!K41</x:f>
      </x:c>
      <x:c r="G2040" t="n">
        <x:v>1</x:v>
      </x:c>
      <x:c r="H2040" t="str">
        <x:v>independent physical acceptance</x:v>
      </x:c>
      <x:c r="I2040" t="str">
        <x:f>IF(F2040=1,"PASS","OPEN")</x:f>
        <x:v>OPEN</x:v>
      </x:c>
    </x:row>
    <x:row r="2041">
      <x:c r="B2041" t="str">
        <x:v>PH-PR-036</x:v>
      </x:c>
      <x:c r="C2041" t="str">
        <x:v>PHYSICAL</x:v>
      </x:c>
      <x:c r="D2041" t="str">
        <x:v>pair disposition</x:v>
      </x:c>
      <x:c r="E2041" t="str">
        <x:v>PH-PR-036</x:v>
      </x:c>
      <x:c r="F2041" t="str">
        <x:f>'Pairing Ledger'!K42</x:f>
      </x:c>
      <x:c r="G2041" t="n">
        <x:v>1</x:v>
      </x:c>
      <x:c r="H2041" t="str">
        <x:v>independent physical acceptance</x:v>
      </x:c>
      <x:c r="I2041" t="str">
        <x:f>IF(F2041=1,"PASS","OPEN")</x:f>
        <x:v>OPEN</x:v>
      </x:c>
    </x:row>
    <x:row r="2042">
      <x:c r="B2042" t="str">
        <x:v>PH-PR-037</x:v>
      </x:c>
      <x:c r="C2042" t="str">
        <x:v>PHYSICAL</x:v>
      </x:c>
      <x:c r="D2042" t="str">
        <x:v>pair disposition</x:v>
      </x:c>
      <x:c r="E2042" t="str">
        <x:v>PH-PR-037</x:v>
      </x:c>
      <x:c r="F2042" t="str">
        <x:f>'Pairing Ledger'!K43</x:f>
      </x:c>
      <x:c r="G2042" t="n">
        <x:v>1</x:v>
      </x:c>
      <x:c r="H2042" t="str">
        <x:v>independent physical acceptance</x:v>
      </x:c>
      <x:c r="I2042" t="str">
        <x:f>IF(F2042=1,"PASS","OPEN")</x:f>
        <x:v>OPEN</x:v>
      </x:c>
    </x:row>
    <x:row r="2043">
      <x:c r="B2043" t="str">
        <x:v>PH-PR-038</x:v>
      </x:c>
      <x:c r="C2043" t="str">
        <x:v>PHYSICAL</x:v>
      </x:c>
      <x:c r="D2043" t="str">
        <x:v>pair disposition</x:v>
      </x:c>
      <x:c r="E2043" t="str">
        <x:v>PH-PR-038</x:v>
      </x:c>
      <x:c r="F2043" t="str">
        <x:f>'Pairing Ledger'!K44</x:f>
      </x:c>
      <x:c r="G2043" t="n">
        <x:v>1</x:v>
      </x:c>
      <x:c r="H2043" t="str">
        <x:v>independent physical acceptance</x:v>
      </x:c>
      <x:c r="I2043" t="str">
        <x:f>IF(F2043=1,"PASS","OPEN")</x:f>
        <x:v>OPEN</x:v>
      </x:c>
    </x:row>
    <x:row r="2044">
      <x:c r="B2044" t="str">
        <x:v>PH-PR-039</x:v>
      </x:c>
      <x:c r="C2044" t="str">
        <x:v>PHYSICAL</x:v>
      </x:c>
      <x:c r="D2044" t="str">
        <x:v>pair disposition</x:v>
      </x:c>
      <x:c r="E2044" t="str">
        <x:v>PH-PR-039</x:v>
      </x:c>
      <x:c r="F2044" t="str">
        <x:f>'Pairing Ledger'!K45</x:f>
      </x:c>
      <x:c r="G2044" t="n">
        <x:v>1</x:v>
      </x:c>
      <x:c r="H2044" t="str">
        <x:v>independent physical acceptance</x:v>
      </x:c>
      <x:c r="I2044" t="str">
        <x:f>IF(F2044=1,"PASS","OPEN")</x:f>
        <x:v>OPEN</x:v>
      </x:c>
    </x:row>
    <x:row r="2045">
      <x:c r="B2045" t="str">
        <x:v>PH-PR-040</x:v>
      </x:c>
      <x:c r="C2045" t="str">
        <x:v>PHYSICAL</x:v>
      </x:c>
      <x:c r="D2045" t="str">
        <x:v>pair disposition</x:v>
      </x:c>
      <x:c r="E2045" t="str">
        <x:v>PH-PR-040</x:v>
      </x:c>
      <x:c r="F2045" t="str">
        <x:f>'Pairing Ledger'!K46</x:f>
      </x:c>
      <x:c r="G2045" t="n">
        <x:v>1</x:v>
      </x:c>
      <x:c r="H2045" t="str">
        <x:v>independent physical acceptance</x:v>
      </x:c>
      <x:c r="I2045" t="str">
        <x:f>IF(F2045=1,"PASS","OPEN")</x:f>
        <x:v>OPEN</x:v>
      </x:c>
    </x:row>
    <x:row r="2046">
      <x:c r="B2046" t="str">
        <x:v>PH-PR-041</x:v>
      </x:c>
      <x:c r="C2046" t="str">
        <x:v>PHYSICAL</x:v>
      </x:c>
      <x:c r="D2046" t="str">
        <x:v>pair disposition</x:v>
      </x:c>
      <x:c r="E2046" t="str">
        <x:v>PH-PR-041</x:v>
      </x:c>
      <x:c r="F2046" t="str">
        <x:f>'Pairing Ledger'!K47</x:f>
      </x:c>
      <x:c r="G2046" t="n">
        <x:v>1</x:v>
      </x:c>
      <x:c r="H2046" t="str">
        <x:v>independent physical acceptance</x:v>
      </x:c>
      <x:c r="I2046" t="str">
        <x:f>IF(F2046=1,"PASS","OPEN")</x:f>
        <x:v>OPEN</x:v>
      </x:c>
    </x:row>
    <x:row r="2047">
      <x:c r="B2047" t="str">
        <x:v>PH-PR-042</x:v>
      </x:c>
      <x:c r="C2047" t="str">
        <x:v>PHYSICAL</x:v>
      </x:c>
      <x:c r="D2047" t="str">
        <x:v>pair disposition</x:v>
      </x:c>
      <x:c r="E2047" t="str">
        <x:v>PH-PR-042</x:v>
      </x:c>
      <x:c r="F2047" t="str">
        <x:f>'Pairing Ledger'!K48</x:f>
      </x:c>
      <x:c r="G2047" t="n">
        <x:v>1</x:v>
      </x:c>
      <x:c r="H2047" t="str">
        <x:v>independent physical acceptance</x:v>
      </x:c>
      <x:c r="I2047" t="str">
        <x:f>IF(F2047=1,"PASS","OPEN")</x:f>
        <x:v>OPEN</x:v>
      </x:c>
    </x:row>
    <x:row r="2048">
      <x:c r="B2048" t="str">
        <x:v>PH-PR-043</x:v>
      </x:c>
      <x:c r="C2048" t="str">
        <x:v>PHYSICAL</x:v>
      </x:c>
      <x:c r="D2048" t="str">
        <x:v>pair disposition</x:v>
      </x:c>
      <x:c r="E2048" t="str">
        <x:v>PH-PR-043</x:v>
      </x:c>
      <x:c r="F2048" t="str">
        <x:f>'Pairing Ledger'!K49</x:f>
      </x:c>
      <x:c r="G2048" t="n">
        <x:v>1</x:v>
      </x:c>
      <x:c r="H2048" t="str">
        <x:v>independent physical acceptance</x:v>
      </x:c>
      <x:c r="I2048" t="str">
        <x:f>IF(F2048=1,"PASS","OPEN")</x:f>
        <x:v>OPEN</x:v>
      </x:c>
    </x:row>
    <x:row r="2049">
      <x:c r="B2049" t="str">
        <x:v>PH-PR-044</x:v>
      </x:c>
      <x:c r="C2049" t="str">
        <x:v>PHYSICAL</x:v>
      </x:c>
      <x:c r="D2049" t="str">
        <x:v>pair disposition</x:v>
      </x:c>
      <x:c r="E2049" t="str">
        <x:v>PH-PR-044</x:v>
      </x:c>
      <x:c r="F2049" t="str">
        <x:f>'Pairing Ledger'!K50</x:f>
      </x:c>
      <x:c r="G2049" t="n">
        <x:v>1</x:v>
      </x:c>
      <x:c r="H2049" t="str">
        <x:v>independent physical acceptance</x:v>
      </x:c>
      <x:c r="I2049" t="str">
        <x:f>IF(F2049=1,"PASS","OPEN")</x:f>
        <x:v>OPEN</x:v>
      </x:c>
    </x:row>
    <x:row r="2050">
      <x:c r="B2050" t="str">
        <x:v>PH-PR-045</x:v>
      </x:c>
      <x:c r="C2050" t="str">
        <x:v>PHYSICAL</x:v>
      </x:c>
      <x:c r="D2050" t="str">
        <x:v>pair disposition</x:v>
      </x:c>
      <x:c r="E2050" t="str">
        <x:v>PH-PR-045</x:v>
      </x:c>
      <x:c r="F2050" t="str">
        <x:f>'Pairing Ledger'!K51</x:f>
      </x:c>
      <x:c r="G2050" t="n">
        <x:v>1</x:v>
      </x:c>
      <x:c r="H2050" t="str">
        <x:v>independent physical acceptance</x:v>
      </x:c>
      <x:c r="I2050" t="str">
        <x:f>IF(F2050=1,"PASS","OPEN")</x:f>
        <x:v>OPEN</x:v>
      </x:c>
    </x:row>
    <x:row r="2051">
      <x:c r="B2051" t="str">
        <x:v>PH-PR-046</x:v>
      </x:c>
      <x:c r="C2051" t="str">
        <x:v>PHYSICAL</x:v>
      </x:c>
      <x:c r="D2051" t="str">
        <x:v>pair disposition</x:v>
      </x:c>
      <x:c r="E2051" t="str">
        <x:v>PH-PR-046</x:v>
      </x:c>
      <x:c r="F2051" t="str">
        <x:f>'Pairing Ledger'!K52</x:f>
      </x:c>
      <x:c r="G2051" t="n">
        <x:v>1</x:v>
      </x:c>
      <x:c r="H2051" t="str">
        <x:v>independent physical acceptance</x:v>
      </x:c>
      <x:c r="I2051" t="str">
        <x:f>IF(F2051=1,"PASS","OPEN")</x:f>
        <x:v>OPEN</x:v>
      </x:c>
    </x:row>
    <x:row r="2052">
      <x:c r="B2052" t="str">
        <x:v>PH-PR-047</x:v>
      </x:c>
      <x:c r="C2052" t="str">
        <x:v>PHYSICAL</x:v>
      </x:c>
      <x:c r="D2052" t="str">
        <x:v>pair disposition</x:v>
      </x:c>
      <x:c r="E2052" t="str">
        <x:v>PH-PR-047</x:v>
      </x:c>
      <x:c r="F2052" t="str">
        <x:f>'Pairing Ledger'!K53</x:f>
      </x:c>
      <x:c r="G2052" t="n">
        <x:v>1</x:v>
      </x:c>
      <x:c r="H2052" t="str">
        <x:v>independent physical acceptance</x:v>
      </x:c>
      <x:c r="I2052" t="str">
        <x:f>IF(F2052=1,"PASS","OPEN")</x:f>
        <x:v>OPEN</x:v>
      </x:c>
    </x:row>
    <x:row r="2053">
      <x:c r="B2053" t="str">
        <x:v>PH-PR-048</x:v>
      </x:c>
      <x:c r="C2053" t="str">
        <x:v>PHYSICAL</x:v>
      </x:c>
      <x:c r="D2053" t="str">
        <x:v>pair disposition</x:v>
      </x:c>
      <x:c r="E2053" t="str">
        <x:v>PH-PR-048</x:v>
      </x:c>
      <x:c r="F2053" t="str">
        <x:f>'Pairing Ledger'!K54</x:f>
      </x:c>
      <x:c r="G2053" t="n">
        <x:v>1</x:v>
      </x:c>
      <x:c r="H2053" t="str">
        <x:v>independent physical acceptance</x:v>
      </x:c>
      <x:c r="I2053" t="str">
        <x:f>IF(F2053=1,"PASS","OPEN")</x:f>
        <x:v>OPEN</x:v>
      </x:c>
    </x:row>
    <x:row r="2054">
      <x:c r="B2054" t="str">
        <x:v>PH-PR-049</x:v>
      </x:c>
      <x:c r="C2054" t="str">
        <x:v>PHYSICAL</x:v>
      </x:c>
      <x:c r="D2054" t="str">
        <x:v>pair disposition</x:v>
      </x:c>
      <x:c r="E2054" t="str">
        <x:v>PH-PR-049</x:v>
      </x:c>
      <x:c r="F2054" t="str">
        <x:f>'Pairing Ledger'!K55</x:f>
      </x:c>
      <x:c r="G2054" t="n">
        <x:v>1</x:v>
      </x:c>
      <x:c r="H2054" t="str">
        <x:v>independent physical acceptance</x:v>
      </x:c>
      <x:c r="I2054" t="str">
        <x:f>IF(F2054=1,"PASS","OPEN")</x:f>
        <x:v>OPEN</x:v>
      </x:c>
    </x:row>
    <x:row r="2055">
      <x:c r="B2055" t="str">
        <x:v>PH-PR-050</x:v>
      </x:c>
      <x:c r="C2055" t="str">
        <x:v>PHYSICAL</x:v>
      </x:c>
      <x:c r="D2055" t="str">
        <x:v>pair disposition</x:v>
      </x:c>
      <x:c r="E2055" t="str">
        <x:v>PH-PR-050</x:v>
      </x:c>
      <x:c r="F2055" t="str">
        <x:f>'Pairing Ledger'!K56</x:f>
      </x:c>
      <x:c r="G2055" t="n">
        <x:v>1</x:v>
      </x:c>
      <x:c r="H2055" t="str">
        <x:v>independent physical acceptance</x:v>
      </x:c>
      <x:c r="I2055" t="str">
        <x:f>IF(F2055=1,"PASS","OPEN")</x:f>
        <x:v>OPEN</x:v>
      </x:c>
    </x:row>
    <x:row r="2056">
      <x:c r="B2056" t="str">
        <x:v>PH-PR-051</x:v>
      </x:c>
      <x:c r="C2056" t="str">
        <x:v>PHYSICAL</x:v>
      </x:c>
      <x:c r="D2056" t="str">
        <x:v>pair disposition</x:v>
      </x:c>
      <x:c r="E2056" t="str">
        <x:v>PH-PR-051</x:v>
      </x:c>
      <x:c r="F2056" t="str">
        <x:f>'Pairing Ledger'!K57</x:f>
      </x:c>
      <x:c r="G2056" t="n">
        <x:v>1</x:v>
      </x:c>
      <x:c r="H2056" t="str">
        <x:v>independent physical acceptance</x:v>
      </x:c>
      <x:c r="I2056" t="str">
        <x:f>IF(F2056=1,"PASS","OPEN")</x:f>
        <x:v>OPEN</x:v>
      </x:c>
    </x:row>
    <x:row r="2057">
      <x:c r="B2057" t="str">
        <x:v>PH-PR-052</x:v>
      </x:c>
      <x:c r="C2057" t="str">
        <x:v>PHYSICAL</x:v>
      </x:c>
      <x:c r="D2057" t="str">
        <x:v>pair disposition</x:v>
      </x:c>
      <x:c r="E2057" t="str">
        <x:v>PH-PR-052</x:v>
      </x:c>
      <x:c r="F2057" t="str">
        <x:f>'Pairing Ledger'!K58</x:f>
      </x:c>
      <x:c r="G2057" t="n">
        <x:v>1</x:v>
      </x:c>
      <x:c r="H2057" t="str">
        <x:v>independent physical acceptance</x:v>
      </x:c>
      <x:c r="I2057" t="str">
        <x:f>IF(F2057=1,"PASS","OPEN")</x:f>
        <x:v>OPEN</x:v>
      </x:c>
    </x:row>
    <x:row r="2058">
      <x:c r="B2058" t="str">
        <x:v>PH-PR-053</x:v>
      </x:c>
      <x:c r="C2058" t="str">
        <x:v>PHYSICAL</x:v>
      </x:c>
      <x:c r="D2058" t="str">
        <x:v>pair disposition</x:v>
      </x:c>
      <x:c r="E2058" t="str">
        <x:v>PH-PR-053</x:v>
      </x:c>
      <x:c r="F2058" t="str">
        <x:f>'Pairing Ledger'!K59</x:f>
      </x:c>
      <x:c r="G2058" t="n">
        <x:v>1</x:v>
      </x:c>
      <x:c r="H2058" t="str">
        <x:v>independent physical acceptance</x:v>
      </x:c>
      <x:c r="I2058" t="str">
        <x:f>IF(F2058=1,"PASS","OPEN")</x:f>
        <x:v>OPEN</x:v>
      </x:c>
    </x:row>
    <x:row r="2059">
      <x:c r="B2059" t="str">
        <x:v>PH-PR-054</x:v>
      </x:c>
      <x:c r="C2059" t="str">
        <x:v>PHYSICAL</x:v>
      </x:c>
      <x:c r="D2059" t="str">
        <x:v>pair disposition</x:v>
      </x:c>
      <x:c r="E2059" t="str">
        <x:v>PH-PR-054</x:v>
      </x:c>
      <x:c r="F2059" t="str">
        <x:f>'Pairing Ledger'!K60</x:f>
      </x:c>
      <x:c r="G2059" t="n">
        <x:v>1</x:v>
      </x:c>
      <x:c r="H2059" t="str">
        <x:v>independent physical acceptance</x:v>
      </x:c>
      <x:c r="I2059" t="str">
        <x:f>IF(F2059=1,"PASS","OPEN")</x:f>
        <x:v>OPEN</x:v>
      </x:c>
    </x:row>
    <x:row r="2060">
      <x:c r="B2060" t="str">
        <x:v>PH-PR-055</x:v>
      </x:c>
      <x:c r="C2060" t="str">
        <x:v>PHYSICAL</x:v>
      </x:c>
      <x:c r="D2060" t="str">
        <x:v>pair disposition</x:v>
      </x:c>
      <x:c r="E2060" t="str">
        <x:v>PH-PR-055</x:v>
      </x:c>
      <x:c r="F2060" t="str">
        <x:f>'Pairing Ledger'!K61</x:f>
      </x:c>
      <x:c r="G2060" t="n">
        <x:v>1</x:v>
      </x:c>
      <x:c r="H2060" t="str">
        <x:v>independent physical acceptance</x:v>
      </x:c>
      <x:c r="I2060" t="str">
        <x:f>IF(F2060=1,"PASS","OPEN")</x:f>
        <x:v>OPEN</x:v>
      </x:c>
    </x:row>
    <x:row r="2061">
      <x:c r="B2061" t="str">
        <x:v>PH-PR-056</x:v>
      </x:c>
      <x:c r="C2061" t="str">
        <x:v>PHYSICAL</x:v>
      </x:c>
      <x:c r="D2061" t="str">
        <x:v>pair disposition</x:v>
      </x:c>
      <x:c r="E2061" t="str">
        <x:v>PH-PR-056</x:v>
      </x:c>
      <x:c r="F2061" t="str">
        <x:f>'Pairing Ledger'!K62</x:f>
      </x:c>
      <x:c r="G2061" t="n">
        <x:v>1</x:v>
      </x:c>
      <x:c r="H2061" t="str">
        <x:v>independent physical acceptance</x:v>
      </x:c>
      <x:c r="I2061" t="str">
        <x:f>IF(F2061=1,"PASS","OPEN")</x:f>
        <x:v>OPEN</x:v>
      </x:c>
    </x:row>
    <x:row r="2062">
      <x:c r="B2062" t="str">
        <x:v>PH-PR-057</x:v>
      </x:c>
      <x:c r="C2062" t="str">
        <x:v>PHYSICAL</x:v>
      </x:c>
      <x:c r="D2062" t="str">
        <x:v>pair disposition</x:v>
      </x:c>
      <x:c r="E2062" t="str">
        <x:v>PH-PR-057</x:v>
      </x:c>
      <x:c r="F2062" t="str">
        <x:f>'Pairing Ledger'!K63</x:f>
      </x:c>
      <x:c r="G2062" t="n">
        <x:v>1</x:v>
      </x:c>
      <x:c r="H2062" t="str">
        <x:v>independent physical acceptance</x:v>
      </x:c>
      <x:c r="I2062" t="str">
        <x:f>IF(F2062=1,"PASS","OPEN")</x:f>
        <x:v>OPEN</x:v>
      </x:c>
    </x:row>
    <x:row r="2063">
      <x:c r="B2063" t="str">
        <x:v>PH-PR-058</x:v>
      </x:c>
      <x:c r="C2063" t="str">
        <x:v>PHYSICAL</x:v>
      </x:c>
      <x:c r="D2063" t="str">
        <x:v>pair disposition</x:v>
      </x:c>
      <x:c r="E2063" t="str">
        <x:v>PH-PR-058</x:v>
      </x:c>
      <x:c r="F2063" t="str">
        <x:f>'Pairing Ledger'!K64</x:f>
      </x:c>
      <x:c r="G2063" t="n">
        <x:v>1</x:v>
      </x:c>
      <x:c r="H2063" t="str">
        <x:v>independent physical acceptance</x:v>
      </x:c>
      <x:c r="I2063" t="str">
        <x:f>IF(F2063=1,"PASS","OPEN")</x:f>
        <x:v>OPEN</x:v>
      </x:c>
    </x:row>
    <x:row r="2064">
      <x:c r="B2064" t="str">
        <x:v>PH-PR-059</x:v>
      </x:c>
      <x:c r="C2064" t="str">
        <x:v>PHYSICAL</x:v>
      </x:c>
      <x:c r="D2064" t="str">
        <x:v>pair disposition</x:v>
      </x:c>
      <x:c r="E2064" t="str">
        <x:v>PH-PR-059</x:v>
      </x:c>
      <x:c r="F2064" t="str">
        <x:f>'Pairing Ledger'!K65</x:f>
      </x:c>
      <x:c r="G2064" t="n">
        <x:v>1</x:v>
      </x:c>
      <x:c r="H2064" t="str">
        <x:v>independent physical acceptance</x:v>
      </x:c>
      <x:c r="I2064" t="str">
        <x:f>IF(F2064=1,"PASS","OPEN")</x:f>
        <x:v>OPEN</x:v>
      </x:c>
    </x:row>
    <x:row r="2065">
      <x:c r="B2065" t="str">
        <x:v>PH-PR-060</x:v>
      </x:c>
      <x:c r="C2065" t="str">
        <x:v>PHYSICAL</x:v>
      </x:c>
      <x:c r="D2065" t="str">
        <x:v>pair disposition</x:v>
      </x:c>
      <x:c r="E2065" t="str">
        <x:v>PH-PR-060</x:v>
      </x:c>
      <x:c r="F2065" t="str">
        <x:f>'Pairing Ledger'!K66</x:f>
      </x:c>
      <x:c r="G2065" t="n">
        <x:v>1</x:v>
      </x:c>
      <x:c r="H2065" t="str">
        <x:v>independent physical acceptance</x:v>
      </x:c>
      <x:c r="I2065" t="str">
        <x:f>IF(F2065=1,"PASS","OPEN")</x:f>
        <x:v>OPEN</x:v>
      </x:c>
    </x:row>
    <x:row r="2066">
      <x:c r="B2066" t="str">
        <x:v>PH-PR-061</x:v>
      </x:c>
      <x:c r="C2066" t="str">
        <x:v>PHYSICAL</x:v>
      </x:c>
      <x:c r="D2066" t="str">
        <x:v>pair disposition</x:v>
      </x:c>
      <x:c r="E2066" t="str">
        <x:v>PH-PR-061</x:v>
      </x:c>
      <x:c r="F2066" t="str">
        <x:f>'Pairing Ledger'!K67</x:f>
      </x:c>
      <x:c r="G2066" t="n">
        <x:v>1</x:v>
      </x:c>
      <x:c r="H2066" t="str">
        <x:v>independent physical acceptance</x:v>
      </x:c>
      <x:c r="I2066" t="str">
        <x:f>IF(F2066=1,"PASS","OPEN")</x:f>
        <x:v>OPEN</x:v>
      </x:c>
    </x:row>
    <x:row r="2067">
      <x:c r="B2067" t="str">
        <x:v>PH-PR-062</x:v>
      </x:c>
      <x:c r="C2067" t="str">
        <x:v>PHYSICAL</x:v>
      </x:c>
      <x:c r="D2067" t="str">
        <x:v>pair disposition</x:v>
      </x:c>
      <x:c r="E2067" t="str">
        <x:v>PH-PR-062</x:v>
      </x:c>
      <x:c r="F2067" t="str">
        <x:f>'Pairing Ledger'!K68</x:f>
      </x:c>
      <x:c r="G2067" t="n">
        <x:v>1</x:v>
      </x:c>
      <x:c r="H2067" t="str">
        <x:v>independent physical acceptance</x:v>
      </x:c>
      <x:c r="I2067" t="str">
        <x:f>IF(F2067=1,"PASS","OPEN")</x:f>
        <x:v>OPEN</x:v>
      </x:c>
    </x:row>
    <x:row r="2068">
      <x:c r="B2068" t="str">
        <x:v>PH-PR-063</x:v>
      </x:c>
      <x:c r="C2068" t="str">
        <x:v>PHYSICAL</x:v>
      </x:c>
      <x:c r="D2068" t="str">
        <x:v>pair disposition</x:v>
      </x:c>
      <x:c r="E2068" t="str">
        <x:v>PH-PR-063</x:v>
      </x:c>
      <x:c r="F2068" t="str">
        <x:f>'Pairing Ledger'!K69</x:f>
      </x:c>
      <x:c r="G2068" t="n">
        <x:v>1</x:v>
      </x:c>
      <x:c r="H2068" t="str">
        <x:v>independent physical acceptance</x:v>
      </x:c>
      <x:c r="I2068" t="str">
        <x:f>IF(F2068=1,"PASS","OPEN")</x:f>
        <x:v>OPEN</x:v>
      </x:c>
    </x:row>
    <x:row r="2069">
      <x:c r="B2069" t="str">
        <x:v>PH-PR-064</x:v>
      </x:c>
      <x:c r="C2069" t="str">
        <x:v>PHYSICAL</x:v>
      </x:c>
      <x:c r="D2069" t="str">
        <x:v>pair disposition</x:v>
      </x:c>
      <x:c r="E2069" t="str">
        <x:v>PH-PR-064</x:v>
      </x:c>
      <x:c r="F2069" t="str">
        <x:f>'Pairing Ledger'!K70</x:f>
      </x:c>
      <x:c r="G2069" t="n">
        <x:v>1</x:v>
      </x:c>
      <x:c r="H2069" t="str">
        <x:v>independent physical acceptance</x:v>
      </x:c>
      <x:c r="I2069" t="str">
        <x:f>IF(F2069=1,"PASS","OPEN")</x:f>
        <x:v>OPEN</x:v>
      </x:c>
    </x:row>
    <x:row r="2070">
      <x:c r="B2070" t="str">
        <x:v>PH-PR-065</x:v>
      </x:c>
      <x:c r="C2070" t="str">
        <x:v>PHYSICAL</x:v>
      </x:c>
      <x:c r="D2070" t="str">
        <x:v>pair disposition</x:v>
      </x:c>
      <x:c r="E2070" t="str">
        <x:v>PH-PR-065</x:v>
      </x:c>
      <x:c r="F2070" t="str">
        <x:f>'Pairing Ledger'!K71</x:f>
      </x:c>
      <x:c r="G2070" t="n">
        <x:v>1</x:v>
      </x:c>
      <x:c r="H2070" t="str">
        <x:v>independent physical acceptance</x:v>
      </x:c>
      <x:c r="I2070" t="str">
        <x:f>IF(F2070=1,"PASS","OPEN")</x:f>
        <x:v>OPEN</x:v>
      </x:c>
    </x:row>
    <x:row r="2071">
      <x:c r="B2071" t="str">
        <x:v>PH-PR-066</x:v>
      </x:c>
      <x:c r="C2071" t="str">
        <x:v>PHYSICAL</x:v>
      </x:c>
      <x:c r="D2071" t="str">
        <x:v>pair disposition</x:v>
      </x:c>
      <x:c r="E2071" t="str">
        <x:v>PH-PR-066</x:v>
      </x:c>
      <x:c r="F2071" t="str">
        <x:f>'Pairing Ledger'!K72</x:f>
      </x:c>
      <x:c r="G2071" t="n">
        <x:v>1</x:v>
      </x:c>
      <x:c r="H2071" t="str">
        <x:v>independent physical acceptance</x:v>
      </x:c>
      <x:c r="I2071" t="str">
        <x:f>IF(F2071=1,"PASS","OPEN")</x:f>
        <x:v>OPEN</x:v>
      </x:c>
    </x:row>
    <x:row r="2072">
      <x:c r="B2072" t="str">
        <x:v>PH-PR-067</x:v>
      </x:c>
      <x:c r="C2072" t="str">
        <x:v>PHYSICAL</x:v>
      </x:c>
      <x:c r="D2072" t="str">
        <x:v>pair disposition</x:v>
      </x:c>
      <x:c r="E2072" t="str">
        <x:v>PH-PR-067</x:v>
      </x:c>
      <x:c r="F2072" t="str">
        <x:f>'Pairing Ledger'!K73</x:f>
      </x:c>
      <x:c r="G2072" t="n">
        <x:v>1</x:v>
      </x:c>
      <x:c r="H2072" t="str">
        <x:v>independent physical acceptance</x:v>
      </x:c>
      <x:c r="I2072" t="str">
        <x:f>IF(F2072=1,"PASS","OPEN")</x:f>
        <x:v>OPEN</x:v>
      </x:c>
    </x:row>
    <x:row r="2073">
      <x:c r="B2073" t="str">
        <x:v>PH-PR-068</x:v>
      </x:c>
      <x:c r="C2073" t="str">
        <x:v>PHYSICAL</x:v>
      </x:c>
      <x:c r="D2073" t="str">
        <x:v>pair disposition</x:v>
      </x:c>
      <x:c r="E2073" t="str">
        <x:v>PH-PR-068</x:v>
      </x:c>
      <x:c r="F2073" t="str">
        <x:f>'Pairing Ledger'!K74</x:f>
      </x:c>
      <x:c r="G2073" t="n">
        <x:v>1</x:v>
      </x:c>
      <x:c r="H2073" t="str">
        <x:v>independent physical acceptance</x:v>
      </x:c>
      <x:c r="I2073" t="str">
        <x:f>IF(F2073=1,"PASS","OPEN")</x:f>
        <x:v>OPEN</x:v>
      </x:c>
    </x:row>
    <x:row r="2074">
      <x:c r="B2074" t="str">
        <x:v>PH-PR-069</x:v>
      </x:c>
      <x:c r="C2074" t="str">
        <x:v>PHYSICAL</x:v>
      </x:c>
      <x:c r="D2074" t="str">
        <x:v>pair disposition</x:v>
      </x:c>
      <x:c r="E2074" t="str">
        <x:v>PH-PR-069</x:v>
      </x:c>
      <x:c r="F2074" t="str">
        <x:f>'Pairing Ledger'!K75</x:f>
      </x:c>
      <x:c r="G2074" t="n">
        <x:v>1</x:v>
      </x:c>
      <x:c r="H2074" t="str">
        <x:v>independent physical acceptance</x:v>
      </x:c>
      <x:c r="I2074" t="str">
        <x:f>IF(F2074=1,"PASS","OPEN")</x:f>
        <x:v>OPEN</x:v>
      </x:c>
    </x:row>
    <x:row r="2075">
      <x:c r="B2075" t="str">
        <x:v>PH-PR-070</x:v>
      </x:c>
      <x:c r="C2075" t="str">
        <x:v>PHYSICAL</x:v>
      </x:c>
      <x:c r="D2075" t="str">
        <x:v>pair disposition</x:v>
      </x:c>
      <x:c r="E2075" t="str">
        <x:v>PH-PR-070</x:v>
      </x:c>
      <x:c r="F2075" t="str">
        <x:f>'Pairing Ledger'!K76</x:f>
      </x:c>
      <x:c r="G2075" t="n">
        <x:v>1</x:v>
      </x:c>
      <x:c r="H2075" t="str">
        <x:v>independent physical acceptance</x:v>
      </x:c>
      <x:c r="I2075" t="str">
        <x:f>IF(F2075=1,"PASS","OPEN")</x:f>
        <x:v>OPEN</x:v>
      </x:c>
    </x:row>
    <x:row r="2076">
      <x:c r="B2076" t="str">
        <x:v>PH-PR-071</x:v>
      </x:c>
      <x:c r="C2076" t="str">
        <x:v>PHYSICAL</x:v>
      </x:c>
      <x:c r="D2076" t="str">
        <x:v>pair disposition</x:v>
      </x:c>
      <x:c r="E2076" t="str">
        <x:v>PH-PR-071</x:v>
      </x:c>
      <x:c r="F2076" t="str">
        <x:f>'Pairing Ledger'!K77</x:f>
      </x:c>
      <x:c r="G2076" t="n">
        <x:v>1</x:v>
      </x:c>
      <x:c r="H2076" t="str">
        <x:v>independent physical acceptance</x:v>
      </x:c>
      <x:c r="I2076" t="str">
        <x:f>IF(F2076=1,"PASS","OPEN")</x:f>
        <x:v>OPEN</x:v>
      </x:c>
    </x:row>
    <x:row r="2077">
      <x:c r="B2077" t="str">
        <x:v>PH-PR-072</x:v>
      </x:c>
      <x:c r="C2077" t="str">
        <x:v>PHYSICAL</x:v>
      </x:c>
      <x:c r="D2077" t="str">
        <x:v>pair disposition</x:v>
      </x:c>
      <x:c r="E2077" t="str">
        <x:v>PH-PR-072</x:v>
      </x:c>
      <x:c r="F2077" t="str">
        <x:f>'Pairing Ledger'!K78</x:f>
      </x:c>
      <x:c r="G2077" t="n">
        <x:v>1</x:v>
      </x:c>
      <x:c r="H2077" t="str">
        <x:v>independent physical acceptance</x:v>
      </x:c>
      <x:c r="I2077" t="str">
        <x:f>IF(F2077=1,"PASS","OPEN")</x:f>
        <x:v>OPEN</x:v>
      </x:c>
    </x:row>
    <x:row r="2078">
      <x:c r="B2078" t="str">
        <x:v>PH-PR-073</x:v>
      </x:c>
      <x:c r="C2078" t="str">
        <x:v>PHYSICAL</x:v>
      </x:c>
      <x:c r="D2078" t="str">
        <x:v>pair disposition</x:v>
      </x:c>
      <x:c r="E2078" t="str">
        <x:v>PH-PR-073</x:v>
      </x:c>
      <x:c r="F2078" t="str">
        <x:f>'Pairing Ledger'!K79</x:f>
      </x:c>
      <x:c r="G2078" t="n">
        <x:v>1</x:v>
      </x:c>
      <x:c r="H2078" t="str">
        <x:v>independent physical acceptance</x:v>
      </x:c>
      <x:c r="I2078" t="str">
        <x:f>IF(F2078=1,"PASS","OPEN")</x:f>
        <x:v>OPEN</x:v>
      </x:c>
    </x:row>
    <x:row r="2079">
      <x:c r="B2079" t="str">
        <x:v>PH-PR-074</x:v>
      </x:c>
      <x:c r="C2079" t="str">
        <x:v>PHYSICAL</x:v>
      </x:c>
      <x:c r="D2079" t="str">
        <x:v>pair disposition</x:v>
      </x:c>
      <x:c r="E2079" t="str">
        <x:v>PH-PR-074</x:v>
      </x:c>
      <x:c r="F2079" t="str">
        <x:f>'Pairing Ledger'!K80</x:f>
      </x:c>
      <x:c r="G2079" t="n">
        <x:v>1</x:v>
      </x:c>
      <x:c r="H2079" t="str">
        <x:v>independent physical acceptance</x:v>
      </x:c>
      <x:c r="I2079" t="str">
        <x:f>IF(F2079=1,"PASS","OPEN")</x:f>
        <x:v>OPEN</x:v>
      </x:c>
    </x:row>
    <x:row r="2080">
      <x:c r="B2080" t="str">
        <x:v>PH-PR-075</x:v>
      </x:c>
      <x:c r="C2080" t="str">
        <x:v>PHYSICAL</x:v>
      </x:c>
      <x:c r="D2080" t="str">
        <x:v>pair disposition</x:v>
      </x:c>
      <x:c r="E2080" t="str">
        <x:v>PH-PR-075</x:v>
      </x:c>
      <x:c r="F2080" t="str">
        <x:f>'Pairing Ledger'!K81</x:f>
      </x:c>
      <x:c r="G2080" t="n">
        <x:v>1</x:v>
      </x:c>
      <x:c r="H2080" t="str">
        <x:v>independent physical acceptance</x:v>
      </x:c>
      <x:c r="I2080" t="str">
        <x:f>IF(F2080=1,"PASS","OPEN")</x:f>
        <x:v>OPEN</x:v>
      </x:c>
    </x:row>
    <x:row r="2081">
      <x:c r="B2081" t="str">
        <x:v>PH-PR-076</x:v>
      </x:c>
      <x:c r="C2081" t="str">
        <x:v>PHYSICAL</x:v>
      </x:c>
      <x:c r="D2081" t="str">
        <x:v>pair disposition</x:v>
      </x:c>
      <x:c r="E2081" t="str">
        <x:v>PH-PR-076</x:v>
      </x:c>
      <x:c r="F2081" t="str">
        <x:f>'Pairing Ledger'!K82</x:f>
      </x:c>
      <x:c r="G2081" t="n">
        <x:v>1</x:v>
      </x:c>
      <x:c r="H2081" t="str">
        <x:v>independent physical acceptance</x:v>
      </x:c>
      <x:c r="I2081" t="str">
        <x:f>IF(F2081=1,"PASS","OPEN")</x:f>
        <x:v>OPEN</x:v>
      </x:c>
    </x:row>
    <x:row r="2082">
      <x:c r="B2082" t="str">
        <x:v>PH-PR-077</x:v>
      </x:c>
      <x:c r="C2082" t="str">
        <x:v>PHYSICAL</x:v>
      </x:c>
      <x:c r="D2082" t="str">
        <x:v>pair disposition</x:v>
      </x:c>
      <x:c r="E2082" t="str">
        <x:v>PH-PR-077</x:v>
      </x:c>
      <x:c r="F2082" t="str">
        <x:f>'Pairing Ledger'!K83</x:f>
      </x:c>
      <x:c r="G2082" t="n">
        <x:v>1</x:v>
      </x:c>
      <x:c r="H2082" t="str">
        <x:v>independent physical acceptance</x:v>
      </x:c>
      <x:c r="I2082" t="str">
        <x:f>IF(F2082=1,"PASS","OPEN")</x:f>
        <x:v>OPEN</x:v>
      </x:c>
    </x:row>
    <x:row r="2083">
      <x:c r="B2083" t="str">
        <x:v>PH-PR-078</x:v>
      </x:c>
      <x:c r="C2083" t="str">
        <x:v>PHYSICAL</x:v>
      </x:c>
      <x:c r="D2083" t="str">
        <x:v>pair disposition</x:v>
      </x:c>
      <x:c r="E2083" t="str">
        <x:v>PH-PR-078</x:v>
      </x:c>
      <x:c r="F2083" t="str">
        <x:f>'Pairing Ledger'!K84</x:f>
      </x:c>
      <x:c r="G2083" t="n">
        <x:v>1</x:v>
      </x:c>
      <x:c r="H2083" t="str">
        <x:v>independent physical acceptance</x:v>
      </x:c>
      <x:c r="I2083" t="str">
        <x:f>IF(F2083=1,"PASS","OPEN")</x:f>
        <x:v>OPEN</x:v>
      </x:c>
    </x:row>
    <x:row r="2084">
      <x:c r="B2084" t="str">
        <x:v>PH-PR-079</x:v>
      </x:c>
      <x:c r="C2084" t="str">
        <x:v>PHYSICAL</x:v>
      </x:c>
      <x:c r="D2084" t="str">
        <x:v>pair disposition</x:v>
      </x:c>
      <x:c r="E2084" t="str">
        <x:v>PH-PR-079</x:v>
      </x:c>
      <x:c r="F2084" t="str">
        <x:f>'Pairing Ledger'!K85</x:f>
      </x:c>
      <x:c r="G2084" t="n">
        <x:v>1</x:v>
      </x:c>
      <x:c r="H2084" t="str">
        <x:v>independent physical acceptance</x:v>
      </x:c>
      <x:c r="I2084" t="str">
        <x:f>IF(F2084=1,"PASS","OPEN")</x:f>
        <x:v>OPEN</x:v>
      </x:c>
    </x:row>
    <x:row r="2085">
      <x:c r="B2085" t="str">
        <x:v>PH-PR-080</x:v>
      </x:c>
      <x:c r="C2085" t="str">
        <x:v>PHYSICAL</x:v>
      </x:c>
      <x:c r="D2085" t="str">
        <x:v>pair disposition</x:v>
      </x:c>
      <x:c r="E2085" t="str">
        <x:v>PH-PR-080</x:v>
      </x:c>
      <x:c r="F2085" t="str">
        <x:f>'Pairing Ledger'!K86</x:f>
      </x:c>
      <x:c r="G2085" t="n">
        <x:v>1</x:v>
      </x:c>
      <x:c r="H2085" t="str">
        <x:v>independent physical acceptance</x:v>
      </x:c>
      <x:c r="I2085" t="str">
        <x:f>IF(F2085=1,"PASS","OPEN")</x:f>
        <x:v>OPEN</x:v>
      </x:c>
    </x:row>
    <x:row r="2086">
      <x:c r="B2086" t="str">
        <x:v>PH-PR-081</x:v>
      </x:c>
      <x:c r="C2086" t="str">
        <x:v>PHYSICAL</x:v>
      </x:c>
      <x:c r="D2086" t="str">
        <x:v>pair disposition</x:v>
      </x:c>
      <x:c r="E2086" t="str">
        <x:v>PH-PR-081</x:v>
      </x:c>
      <x:c r="F2086" t="str">
        <x:f>'Pairing Ledger'!K87</x:f>
      </x:c>
      <x:c r="G2086" t="n">
        <x:v>1</x:v>
      </x:c>
      <x:c r="H2086" t="str">
        <x:v>independent physical acceptance</x:v>
      </x:c>
      <x:c r="I2086" t="str">
        <x:f>IF(F2086=1,"PASS","OPEN")</x:f>
        <x:v>OPEN</x:v>
      </x:c>
    </x:row>
    <x:row r="2087">
      <x:c r="B2087" t="str">
        <x:v>PH-PR-082</x:v>
      </x:c>
      <x:c r="C2087" t="str">
        <x:v>PHYSICAL</x:v>
      </x:c>
      <x:c r="D2087" t="str">
        <x:v>pair disposition</x:v>
      </x:c>
      <x:c r="E2087" t="str">
        <x:v>PH-PR-082</x:v>
      </x:c>
      <x:c r="F2087" t="str">
        <x:f>'Pairing Ledger'!K88</x:f>
      </x:c>
      <x:c r="G2087" t="n">
        <x:v>1</x:v>
      </x:c>
      <x:c r="H2087" t="str">
        <x:v>independent physical acceptance</x:v>
      </x:c>
      <x:c r="I2087" t="str">
        <x:f>IF(F2087=1,"PASS","OPEN")</x:f>
        <x:v>OPEN</x:v>
      </x:c>
    </x:row>
    <x:row r="2088">
      <x:c r="B2088" t="str">
        <x:v>PH-PR-083</x:v>
      </x:c>
      <x:c r="C2088" t="str">
        <x:v>PHYSICAL</x:v>
      </x:c>
      <x:c r="D2088" t="str">
        <x:v>pair disposition</x:v>
      </x:c>
      <x:c r="E2088" t="str">
        <x:v>PH-PR-083</x:v>
      </x:c>
      <x:c r="F2088" t="str">
        <x:f>'Pairing Ledger'!K89</x:f>
      </x:c>
      <x:c r="G2088" t="n">
        <x:v>1</x:v>
      </x:c>
      <x:c r="H2088" t="str">
        <x:v>independent physical acceptance</x:v>
      </x:c>
      <x:c r="I2088" t="str">
        <x:f>IF(F2088=1,"PASS","OPEN")</x:f>
        <x:v>OPEN</x:v>
      </x:c>
    </x:row>
    <x:row r="2089">
      <x:c r="B2089" t="str">
        <x:v>PH-PR-084</x:v>
      </x:c>
      <x:c r="C2089" t="str">
        <x:v>PHYSICAL</x:v>
      </x:c>
      <x:c r="D2089" t="str">
        <x:v>pair disposition</x:v>
      </x:c>
      <x:c r="E2089" t="str">
        <x:v>PH-PR-084</x:v>
      </x:c>
      <x:c r="F2089" t="str">
        <x:f>'Pairing Ledger'!K90</x:f>
      </x:c>
      <x:c r="G2089" t="n">
        <x:v>1</x:v>
      </x:c>
      <x:c r="H2089" t="str">
        <x:v>independent physical acceptance</x:v>
      </x:c>
      <x:c r="I2089" t="str">
        <x:f>IF(F2089=1,"PASS","OPEN")</x:f>
        <x:v>OPEN</x:v>
      </x:c>
    </x:row>
    <x:row r="2090">
      <x:c r="B2090" t="str">
        <x:v>PH-PR-085</x:v>
      </x:c>
      <x:c r="C2090" t="str">
        <x:v>PHYSICAL</x:v>
      </x:c>
      <x:c r="D2090" t="str">
        <x:v>pair disposition</x:v>
      </x:c>
      <x:c r="E2090" t="str">
        <x:v>PH-PR-085</x:v>
      </x:c>
      <x:c r="F2090" t="str">
        <x:f>'Pairing Ledger'!K91</x:f>
      </x:c>
      <x:c r="G2090" t="n">
        <x:v>1</x:v>
      </x:c>
      <x:c r="H2090" t="str">
        <x:v>independent physical acceptance</x:v>
      </x:c>
      <x:c r="I2090" t="str">
        <x:f>IF(F2090=1,"PASS","OPEN")</x:f>
        <x:v>OPEN</x:v>
      </x:c>
    </x:row>
    <x:row r="2091">
      <x:c r="B2091" t="str">
        <x:v>PH-PR-086</x:v>
      </x:c>
      <x:c r="C2091" t="str">
        <x:v>PHYSICAL</x:v>
      </x:c>
      <x:c r="D2091" t="str">
        <x:v>pair disposition</x:v>
      </x:c>
      <x:c r="E2091" t="str">
        <x:v>PH-PR-086</x:v>
      </x:c>
      <x:c r="F2091" t="str">
        <x:f>'Pairing Ledger'!K92</x:f>
      </x:c>
      <x:c r="G2091" t="n">
        <x:v>1</x:v>
      </x:c>
      <x:c r="H2091" t="str">
        <x:v>independent physical acceptance</x:v>
      </x:c>
      <x:c r="I2091" t="str">
        <x:f>IF(F2091=1,"PASS","OPEN")</x:f>
        <x:v>OPEN</x:v>
      </x:c>
    </x:row>
    <x:row r="2092">
      <x:c r="B2092" t="str">
        <x:v>PH-PR-087</x:v>
      </x:c>
      <x:c r="C2092" t="str">
        <x:v>PHYSICAL</x:v>
      </x:c>
      <x:c r="D2092" t="str">
        <x:v>pair disposition</x:v>
      </x:c>
      <x:c r="E2092" t="str">
        <x:v>PH-PR-087</x:v>
      </x:c>
      <x:c r="F2092" t="str">
        <x:f>'Pairing Ledger'!K93</x:f>
      </x:c>
      <x:c r="G2092" t="n">
        <x:v>1</x:v>
      </x:c>
      <x:c r="H2092" t="str">
        <x:v>independent physical acceptance</x:v>
      </x:c>
      <x:c r="I2092" t="str">
        <x:f>IF(F2092=1,"PASS","OPEN")</x:f>
        <x:v>OPEN</x:v>
      </x:c>
    </x:row>
    <x:row r="2093">
      <x:c r="B2093" t="str">
        <x:v>PH-PR-088</x:v>
      </x:c>
      <x:c r="C2093" t="str">
        <x:v>PHYSICAL</x:v>
      </x:c>
      <x:c r="D2093" t="str">
        <x:v>pair disposition</x:v>
      </x:c>
      <x:c r="E2093" t="str">
        <x:v>PH-PR-088</x:v>
      </x:c>
      <x:c r="F2093" t="str">
        <x:f>'Pairing Ledger'!K94</x:f>
      </x:c>
      <x:c r="G2093" t="n">
        <x:v>1</x:v>
      </x:c>
      <x:c r="H2093" t="str">
        <x:v>independent physical acceptance</x:v>
      </x:c>
      <x:c r="I2093" t="str">
        <x:f>IF(F2093=1,"PASS","OPEN")</x:f>
        <x:v>OPEN</x:v>
      </x:c>
    </x:row>
    <x:row r="2094">
      <x:c r="B2094" t="str">
        <x:v>PH-PR-089</x:v>
      </x:c>
      <x:c r="C2094" t="str">
        <x:v>PHYSICAL</x:v>
      </x:c>
      <x:c r="D2094" t="str">
        <x:v>pair disposition</x:v>
      </x:c>
      <x:c r="E2094" t="str">
        <x:v>PH-PR-089</x:v>
      </x:c>
      <x:c r="F2094" t="str">
        <x:f>'Pairing Ledger'!K95</x:f>
      </x:c>
      <x:c r="G2094" t="n">
        <x:v>1</x:v>
      </x:c>
      <x:c r="H2094" t="str">
        <x:v>independent physical acceptance</x:v>
      </x:c>
      <x:c r="I2094" t="str">
        <x:f>IF(F2094=1,"PASS","OPEN")</x:f>
        <x:v>OPEN</x:v>
      </x:c>
    </x:row>
    <x:row r="2095">
      <x:c r="B2095" t="str">
        <x:v>PH-PR-090</x:v>
      </x:c>
      <x:c r="C2095" t="str">
        <x:v>PHYSICAL</x:v>
      </x:c>
      <x:c r="D2095" t="str">
        <x:v>pair disposition</x:v>
      </x:c>
      <x:c r="E2095" t="str">
        <x:v>PH-PR-090</x:v>
      </x:c>
      <x:c r="F2095" t="str">
        <x:f>'Pairing Ledger'!K96</x:f>
      </x:c>
      <x:c r="G2095" t="n">
        <x:v>1</x:v>
      </x:c>
      <x:c r="H2095" t="str">
        <x:v>independent physical acceptance</x:v>
      </x:c>
      <x:c r="I2095" t="str">
        <x:f>IF(F2095=1,"PASS","OPEN")</x:f>
        <x:v>OPEN</x:v>
      </x:c>
    </x:row>
    <x:row r="2096">
      <x:c r="B2096" t="str">
        <x:v>PH-PR-091</x:v>
      </x:c>
      <x:c r="C2096" t="str">
        <x:v>PHYSICAL</x:v>
      </x:c>
      <x:c r="D2096" t="str">
        <x:v>pair disposition</x:v>
      </x:c>
      <x:c r="E2096" t="str">
        <x:v>PH-PR-091</x:v>
      </x:c>
      <x:c r="F2096" t="str">
        <x:f>'Pairing Ledger'!K97</x:f>
      </x:c>
      <x:c r="G2096" t="n">
        <x:v>1</x:v>
      </x:c>
      <x:c r="H2096" t="str">
        <x:v>independent physical acceptance</x:v>
      </x:c>
      <x:c r="I2096" t="str">
        <x:f>IF(F2096=1,"PASS","OPEN")</x:f>
        <x:v>OPEN</x:v>
      </x:c>
    </x:row>
    <x:row r="2097">
      <x:c r="B2097" t="str">
        <x:v>PH-PR-092</x:v>
      </x:c>
      <x:c r="C2097" t="str">
        <x:v>PHYSICAL</x:v>
      </x:c>
      <x:c r="D2097" t="str">
        <x:v>pair disposition</x:v>
      </x:c>
      <x:c r="E2097" t="str">
        <x:v>PH-PR-092</x:v>
      </x:c>
      <x:c r="F2097" t="str">
        <x:f>'Pairing Ledger'!K98</x:f>
      </x:c>
      <x:c r="G2097" t="n">
        <x:v>1</x:v>
      </x:c>
      <x:c r="H2097" t="str">
        <x:v>independent physical acceptance</x:v>
      </x:c>
      <x:c r="I2097" t="str">
        <x:f>IF(F2097=1,"PASS","OPEN")</x:f>
        <x:v>OPEN</x:v>
      </x:c>
    </x:row>
    <x:row r="2098">
      <x:c r="B2098" t="str">
        <x:v>PH-PR-093</x:v>
      </x:c>
      <x:c r="C2098" t="str">
        <x:v>PHYSICAL</x:v>
      </x:c>
      <x:c r="D2098" t="str">
        <x:v>pair disposition</x:v>
      </x:c>
      <x:c r="E2098" t="str">
        <x:v>PH-PR-093</x:v>
      </x:c>
      <x:c r="F2098" t="str">
        <x:f>'Pairing Ledger'!K99</x:f>
      </x:c>
      <x:c r="G2098" t="n">
        <x:v>1</x:v>
      </x:c>
      <x:c r="H2098" t="str">
        <x:v>independent physical acceptance</x:v>
      </x:c>
      <x:c r="I2098" t="str">
        <x:f>IF(F2098=1,"PASS","OPEN")</x:f>
        <x:v>OPEN</x:v>
      </x:c>
    </x:row>
    <x:row r="2099">
      <x:c r="B2099" t="str">
        <x:v>PH-PR-094</x:v>
      </x:c>
      <x:c r="C2099" t="str">
        <x:v>PHYSICAL</x:v>
      </x:c>
      <x:c r="D2099" t="str">
        <x:v>pair disposition</x:v>
      </x:c>
      <x:c r="E2099" t="str">
        <x:v>PH-PR-094</x:v>
      </x:c>
      <x:c r="F2099" t="str">
        <x:f>'Pairing Ledger'!K100</x:f>
      </x:c>
      <x:c r="G2099" t="n">
        <x:v>1</x:v>
      </x:c>
      <x:c r="H2099" t="str">
        <x:v>independent physical acceptance</x:v>
      </x:c>
      <x:c r="I2099" t="str">
        <x:f>IF(F2099=1,"PASS","OPEN")</x:f>
        <x:v>OPEN</x:v>
      </x:c>
    </x:row>
    <x:row r="2100">
      <x:c r="B2100" t="str">
        <x:v>PH-PR-095</x:v>
      </x:c>
      <x:c r="C2100" t="str">
        <x:v>PHYSICAL</x:v>
      </x:c>
      <x:c r="D2100" t="str">
        <x:v>pair disposition</x:v>
      </x:c>
      <x:c r="E2100" t="str">
        <x:v>PH-PR-095</x:v>
      </x:c>
      <x:c r="F2100" t="str">
        <x:f>'Pairing Ledger'!K101</x:f>
      </x:c>
      <x:c r="G2100" t="n">
        <x:v>1</x:v>
      </x:c>
      <x:c r="H2100" t="str">
        <x:v>independent physical acceptance</x:v>
      </x:c>
      <x:c r="I2100" t="str">
        <x:f>IF(F2100=1,"PASS","OPEN")</x:f>
        <x:v>OPEN</x:v>
      </x:c>
    </x:row>
    <x:row r="2101">
      <x:c r="B2101" t="str">
        <x:v>PH-PR-096</x:v>
      </x:c>
      <x:c r="C2101" t="str">
        <x:v>PHYSICAL</x:v>
      </x:c>
      <x:c r="D2101" t="str">
        <x:v>pair disposition</x:v>
      </x:c>
      <x:c r="E2101" t="str">
        <x:v>PH-PR-096</x:v>
      </x:c>
      <x:c r="F2101" t="n">
        <x:f>'Pairing Ledger'!K102</x:f>
        <x:v>0</x:v>
      </x:c>
      <x:c r="G2101" t="n">
        <x:v>1</x:v>
      </x:c>
      <x:c r="H2101" t="str">
        <x:v>independent physical acceptance</x:v>
      </x:c>
      <x:c r="I2101" t="str">
        <x:f>IF(F2101=1,"PASS","OPEN")</x:f>
        <x:v>OPEN</x:v>
      </x:c>
    </x:row>
    <x:row r="2102">
      <x:c r="B2102" t="str">
        <x:v>PH-MF-01</x:v>
      </x:c>
      <x:c r="C2102" t="str">
        <x:v>PHYSICAL</x:v>
      </x:c>
      <x:c r="D2102" t="str">
        <x:v>measurement calibration</x:v>
      </x:c>
      <x:c r="E2102" t="str">
        <x:v>PH-MF-01</x:v>
      </x:c>
      <x:c r="F2102" t="n">
        <x:f>IF('Measurement Criteria'!H7&lt;&gt;"",1,0)</x:f>
        <x:v>0</x:v>
      </x:c>
      <x:c r="G2102" t="n">
        <x:v>1</x:v>
      </x:c>
      <x:c r="H2102" t="str">
        <x:v>independent physical acceptance</x:v>
      </x:c>
      <x:c r="I2102" t="str">
        <x:f>IF(F2102=1,"PASS","OPEN")</x:f>
        <x:v>OPEN</x:v>
      </x:c>
    </x:row>
    <x:row r="2103">
      <x:c r="B2103" t="str">
        <x:v>PH-MF-02</x:v>
      </x:c>
      <x:c r="C2103" t="str">
        <x:v>PHYSICAL</x:v>
      </x:c>
      <x:c r="D2103" t="str">
        <x:v>measurement calibration</x:v>
      </x:c>
      <x:c r="E2103" t="str">
        <x:v>PH-MF-02</x:v>
      </x:c>
      <x:c r="F2103" t="n">
        <x:f>IF('Measurement Criteria'!H8&lt;&gt;"",1,0)</x:f>
        <x:v>0</x:v>
      </x:c>
      <x:c r="G2103" t="n">
        <x:v>1</x:v>
      </x:c>
      <x:c r="H2103" t="str">
        <x:v>independent physical acceptance</x:v>
      </x:c>
      <x:c r="I2103" t="str">
        <x:f>IF(F2103=1,"PASS","OPEN")</x:f>
        <x:v>OPEN</x:v>
      </x:c>
    </x:row>
    <x:row r="2104">
      <x:c r="B2104" t="str">
        <x:v>PH-MF-03</x:v>
      </x:c>
      <x:c r="C2104" t="str">
        <x:v>PHYSICAL</x:v>
      </x:c>
      <x:c r="D2104" t="str">
        <x:v>measurement calibration</x:v>
      </x:c>
      <x:c r="E2104" t="str">
        <x:v>PH-MF-03</x:v>
      </x:c>
      <x:c r="F2104" t="n">
        <x:f>IF('Measurement Criteria'!H9&lt;&gt;"",1,0)</x:f>
        <x:v>0</x:v>
      </x:c>
      <x:c r="G2104" t="n">
        <x:v>1</x:v>
      </x:c>
      <x:c r="H2104" t="str">
        <x:v>independent physical acceptance</x:v>
      </x:c>
      <x:c r="I2104" t="str">
        <x:f>IF(F2104=1,"PASS","OPEN")</x:f>
        <x:v>OPEN</x:v>
      </x:c>
    </x:row>
    <x:row r="2105">
      <x:c r="B2105" t="str">
        <x:v>PH-MF-04</x:v>
      </x:c>
      <x:c r="C2105" t="str">
        <x:v>PHYSICAL</x:v>
      </x:c>
      <x:c r="D2105" t="str">
        <x:v>measurement calibration</x:v>
      </x:c>
      <x:c r="E2105" t="str">
        <x:v>PH-MF-04</x:v>
      </x:c>
      <x:c r="F2105" t="n">
        <x:f>IF('Measurement Criteria'!H10&lt;&gt;"",1,0)</x:f>
        <x:v>0</x:v>
      </x:c>
      <x:c r="G2105" t="n">
        <x:v>1</x:v>
      </x:c>
      <x:c r="H2105" t="str">
        <x:v>independent physical acceptance</x:v>
      </x:c>
      <x:c r="I2105" t="str">
        <x:f>IF(F2105=1,"PASS","OPEN")</x:f>
        <x:v>OPEN</x:v>
      </x:c>
    </x:row>
    <x:row r="2106">
      <x:c r="B2106" t="str">
        <x:v>PH-MF-05</x:v>
      </x:c>
      <x:c r="C2106" t="str">
        <x:v>PHYSICAL</x:v>
      </x:c>
      <x:c r="D2106" t="str">
        <x:v>measurement calibration</x:v>
      </x:c>
      <x:c r="E2106" t="str">
        <x:v>PH-MF-05</x:v>
      </x:c>
      <x:c r="F2106" t="n">
        <x:f>IF('Measurement Criteria'!H11&lt;&gt;"",1,0)</x:f>
        <x:v>0</x:v>
      </x:c>
      <x:c r="G2106" t="n">
        <x:v>1</x:v>
      </x:c>
      <x:c r="H2106" t="str">
        <x:v>independent physical acceptance</x:v>
      </x:c>
      <x:c r="I2106" t="str">
        <x:f>IF(F2106=1,"PASS","OPEN")</x:f>
        <x:v>OPEN</x:v>
      </x:c>
    </x:row>
    <x:row r="2107">
      <x:c r="B2107" t="str">
        <x:v>PH-MF-06</x:v>
      </x:c>
      <x:c r="C2107" t="str">
        <x:v>PHYSICAL</x:v>
      </x:c>
      <x:c r="D2107" t="str">
        <x:v>measurement calibration</x:v>
      </x:c>
      <x:c r="E2107" t="str">
        <x:v>PH-MF-06</x:v>
      </x:c>
      <x:c r="F2107" t="n">
        <x:f>IF('Measurement Criteria'!H12&lt;&gt;"",1,0)</x:f>
        <x:v>0</x:v>
      </x:c>
      <x:c r="G2107" t="n">
        <x:v>1</x:v>
      </x:c>
      <x:c r="H2107" t="str">
        <x:v>independent physical acceptance</x:v>
      </x:c>
      <x:c r="I2107" t="str">
        <x:f>IF(F2107=1,"PASS","OPEN")</x:f>
        <x:v>OPEN</x:v>
      </x:c>
    </x:row>
    <x:row r="2108">
      <x:c r="B2108" t="str">
        <x:v>PH-MF-07</x:v>
      </x:c>
      <x:c r="C2108" t="str">
        <x:v>PHYSICAL</x:v>
      </x:c>
      <x:c r="D2108" t="str">
        <x:v>measurement calibration</x:v>
      </x:c>
      <x:c r="E2108" t="str">
        <x:v>PH-MF-07</x:v>
      </x:c>
      <x:c r="F2108" t="n">
        <x:f>IF('Measurement Criteria'!H13&lt;&gt;"",1,0)</x:f>
        <x:v>0</x:v>
      </x:c>
      <x:c r="G2108" t="n">
        <x:v>1</x:v>
      </x:c>
      <x:c r="H2108" t="str">
        <x:v>independent physical acceptance</x:v>
      </x:c>
      <x:c r="I2108" t="str">
        <x:f>IF(F2108=1,"PASS","OPEN")</x:f>
        <x:v>OPEN</x:v>
      </x:c>
    </x:row>
    <x:row r="2109">
      <x:c r="B2109" t="str">
        <x:v>PH-MF-08</x:v>
      </x:c>
      <x:c r="C2109" t="str">
        <x:v>PHYSICAL</x:v>
      </x:c>
      <x:c r="D2109" t="str">
        <x:v>measurement calibration</x:v>
      </x:c>
      <x:c r="E2109" t="str">
        <x:v>PH-MF-08</x:v>
      </x:c>
      <x:c r="F2109" t="n">
        <x:f>IF('Measurement Criteria'!H14&lt;&gt;"",1,0)</x:f>
        <x:v>0</x:v>
      </x:c>
      <x:c r="G2109" t="n">
        <x:v>1</x:v>
      </x:c>
      <x:c r="H2109" t="str">
        <x:v>independent physical acceptance</x:v>
      </x:c>
      <x:c r="I2109" t="str">
        <x:f>IF(F2109=1,"PASS","OPEN")</x:f>
        <x:v>OPEN</x:v>
      </x:c>
    </x:row>
    <x:row r="2110">
      <x:c r="B2110" t="str">
        <x:v>PH-MF-09</x:v>
      </x:c>
      <x:c r="C2110" t="str">
        <x:v>PHYSICAL</x:v>
      </x:c>
      <x:c r="D2110" t="str">
        <x:v>measurement calibration</x:v>
      </x:c>
      <x:c r="E2110" t="str">
        <x:v>PH-MF-09</x:v>
      </x:c>
      <x:c r="F2110" t="n">
        <x:f>IF('Measurement Criteria'!H15&lt;&gt;"",1,0)</x:f>
        <x:v>0</x:v>
      </x:c>
      <x:c r="G2110" t="n">
        <x:v>1</x:v>
      </x:c>
      <x:c r="H2110" t="str">
        <x:v>independent physical acceptance</x:v>
      </x:c>
      <x:c r="I2110" t="str">
        <x:f>IF(F2110=1,"PASS","OPEN")</x:f>
        <x:v>OPEN</x:v>
      </x:c>
    </x:row>
    <x:row r="2111">
      <x:c r="B2111" t="str">
        <x:v>PH-MF-10</x:v>
      </x:c>
      <x:c r="C2111" t="str">
        <x:v>PHYSICAL</x:v>
      </x:c>
      <x:c r="D2111" t="str">
        <x:v>measurement calibration</x:v>
      </x:c>
      <x:c r="E2111" t="str">
        <x:v>PH-MF-10</x:v>
      </x:c>
      <x:c r="F2111" t="n">
        <x:f>IF('Measurement Criteria'!H16&lt;&gt;"",1,0)</x:f>
        <x:v>0</x:v>
      </x:c>
      <x:c r="G2111" t="n">
        <x:v>1</x:v>
      </x:c>
      <x:c r="H2111" t="str">
        <x:v>independent physical acceptance</x:v>
      </x:c>
      <x:c r="I2111" t="str">
        <x:f>IF(F2111=1,"PASS","OPEN")</x:f>
        <x:v>OPEN</x:v>
      </x:c>
    </x:row>
    <x:row r="2112">
      <x:c r="B2112" t="str">
        <x:v>PH-MF-11</x:v>
      </x:c>
      <x:c r="C2112" t="str">
        <x:v>PHYSICAL</x:v>
      </x:c>
      <x:c r="D2112" t="str">
        <x:v>measurement calibration</x:v>
      </x:c>
      <x:c r="E2112" t="str">
        <x:v>PH-MF-11</x:v>
      </x:c>
      <x:c r="F2112" t="n">
        <x:f>IF('Measurement Criteria'!H17&lt;&gt;"",1,0)</x:f>
        <x:v>0</x:v>
      </x:c>
      <x:c r="G2112" t="n">
        <x:v>1</x:v>
      </x:c>
      <x:c r="H2112" t="str">
        <x:v>independent physical acceptance</x:v>
      </x:c>
      <x:c r="I2112" t="str">
        <x:f>IF(F2112=1,"PASS","OPEN")</x:f>
        <x:v>OPEN</x:v>
      </x:c>
    </x:row>
    <x:row r="2113">
      <x:c r="B2113" t="str">
        <x:v>PH-MF-12</x:v>
      </x:c>
      <x:c r="C2113" t="str">
        <x:v>PHYSICAL</x:v>
      </x:c>
      <x:c r="D2113" t="str">
        <x:v>measurement calibration</x:v>
      </x:c>
      <x:c r="E2113" t="str">
        <x:v>PH-MF-12</x:v>
      </x:c>
      <x:c r="F2113" t="n">
        <x:f>IF('Measurement Criteria'!H18&lt;&gt;"",1,0)</x:f>
        <x:v>0</x:v>
      </x:c>
      <x:c r="G2113" t="n">
        <x:v>1</x:v>
      </x:c>
      <x:c r="H2113" t="str">
        <x:v>independent physical acceptance</x:v>
      </x:c>
      <x:c r="I2113" t="str">
        <x:f>IF(F2113=1,"PASS","OPEN")</x:f>
        <x:v>OPEN</x:v>
      </x:c>
    </x:row>
    <x:row r="2114">
      <x:c r="B2114" t="str">
        <x:v>PH-MF-13</x:v>
      </x:c>
      <x:c r="C2114" t="str">
        <x:v>PHYSICAL</x:v>
      </x:c>
      <x:c r="D2114" t="str">
        <x:v>measurement calibration</x:v>
      </x:c>
      <x:c r="E2114" t="str">
        <x:v>PH-MF-13</x:v>
      </x:c>
      <x:c r="F2114" t="n">
        <x:f>IF('Measurement Criteria'!H19&lt;&gt;"",1,0)</x:f>
        <x:v>0</x:v>
      </x:c>
      <x:c r="G2114" t="n">
        <x:v>1</x:v>
      </x:c>
      <x:c r="H2114" t="str">
        <x:v>independent physical acceptance</x:v>
      </x:c>
      <x:c r="I2114" t="str">
        <x:f>IF(F2114=1,"PASS","OPEN")</x:f>
        <x:v>OPEN</x:v>
      </x:c>
    </x:row>
    <x:row r="2115">
      <x:c r="B2115" t="str">
        <x:v>PH-MF-14</x:v>
      </x:c>
      <x:c r="C2115" t="str">
        <x:v>PHYSICAL</x:v>
      </x:c>
      <x:c r="D2115" t="str">
        <x:v>measurement calibration</x:v>
      </x:c>
      <x:c r="E2115" t="str">
        <x:v>PH-MF-14</x:v>
      </x:c>
      <x:c r="F2115" t="n">
        <x:f>IF('Measurement Criteria'!H20&lt;&gt;"",1,0)</x:f>
        <x:v>0</x:v>
      </x:c>
      <x:c r="G2115" t="n">
        <x:v>1</x:v>
      </x:c>
      <x:c r="H2115" t="str">
        <x:v>independent physical acceptance</x:v>
      </x:c>
      <x:c r="I2115" t="str">
        <x:f>IF(F2115=1,"PASS","OPEN")</x:f>
        <x:v>OPEN</x:v>
      </x:c>
    </x:row>
    <x:row r="2116">
      <x:c r="B2116" t="str">
        <x:v>PH-MF-15</x:v>
      </x:c>
      <x:c r="C2116" t="str">
        <x:v>PHYSICAL</x:v>
      </x:c>
      <x:c r="D2116" t="str">
        <x:v>measurement calibration</x:v>
      </x:c>
      <x:c r="E2116" t="str">
        <x:v>PH-MF-15</x:v>
      </x:c>
      <x:c r="F2116" t="n">
        <x:f>IF('Measurement Criteria'!H21&lt;&gt;"",1,0)</x:f>
        <x:v>0</x:v>
      </x:c>
      <x:c r="G2116" t="n">
        <x:v>1</x:v>
      </x:c>
      <x:c r="H2116" t="str">
        <x:v>independent physical acceptance</x:v>
      </x:c>
      <x:c r="I2116" t="str">
        <x:f>IF(F2116=1,"PASS","OPEN")</x:f>
        <x:v>OPEN</x:v>
      </x:c>
    </x:row>
    <x:row r="2117">
      <x:c r="B2117" t="str">
        <x:v>PH-MF-16</x:v>
      </x:c>
      <x:c r="C2117" t="str">
        <x:v>PHYSICAL</x:v>
      </x:c>
      <x:c r="D2117" t="str">
        <x:v>measurement calibration</x:v>
      </x:c>
      <x:c r="E2117" t="str">
        <x:v>PH-MF-16</x:v>
      </x:c>
      <x:c r="F2117" t="n">
        <x:f>IF('Measurement Criteria'!H22&lt;&gt;"",1,0)</x:f>
        <x:v>0</x:v>
      </x:c>
      <x:c r="G2117" t="n">
        <x:v>1</x:v>
      </x:c>
      <x:c r="H2117" t="str">
        <x:v>independent physical acceptance</x:v>
      </x:c>
      <x:c r="I2117" t="str">
        <x:f>IF(F2117=1,"PASS","OPEN")</x:f>
        <x:v>OPEN</x:v>
      </x:c>
    </x:row>
    <x:row r="2118">
      <x:c r="B2118" t="str">
        <x:v>PH-MF-17</x:v>
      </x:c>
      <x:c r="C2118" t="str">
        <x:v>PHYSICAL</x:v>
      </x:c>
      <x:c r="D2118" t="str">
        <x:v>measurement calibration</x:v>
      </x:c>
      <x:c r="E2118" t="str">
        <x:v>PH-MF-17</x:v>
      </x:c>
      <x:c r="F2118" t="n">
        <x:f>IF('Measurement Criteria'!H23&lt;&gt;"",1,0)</x:f>
        <x:v>0</x:v>
      </x:c>
      <x:c r="G2118" t="n">
        <x:v>1</x:v>
      </x:c>
      <x:c r="H2118" t="str">
        <x:v>independent physical acceptance</x:v>
      </x:c>
      <x:c r="I2118" t="str">
        <x:f>IF(F2118=1,"PASS","OPEN")</x:f>
        <x:v>OPEN</x:v>
      </x:c>
    </x:row>
    <x:row r="2119">
      <x:c r="B2119" t="str">
        <x:v>PH-MF-18</x:v>
      </x:c>
      <x:c r="C2119" t="str">
        <x:v>PHYSICAL</x:v>
      </x:c>
      <x:c r="D2119" t="str">
        <x:v>measurement calibration</x:v>
      </x:c>
      <x:c r="E2119" t="str">
        <x:v>PH-MF-18</x:v>
      </x:c>
      <x:c r="F2119" t="n">
        <x:f>IF('Measurement Criteria'!H24&lt;&gt;"",1,0)</x:f>
        <x:v>0</x:v>
      </x:c>
      <x:c r="G2119" t="n">
        <x:v>1</x:v>
      </x:c>
      <x:c r="H2119" t="str">
        <x:v>independent physical acceptance</x:v>
      </x:c>
      <x:c r="I2119" t="str">
        <x:f>IF(F2119=1,"PASS","OPEN")</x:f>
        <x:v>OPEN</x:v>
      </x:c>
    </x:row>
    <x:row r="2120">
      <x:c r="B2120" t="str">
        <x:v>PH-MF-19</x:v>
      </x:c>
      <x:c r="C2120" t="str">
        <x:v>PHYSICAL</x:v>
      </x:c>
      <x:c r="D2120" t="str">
        <x:v>measurement calibration</x:v>
      </x:c>
      <x:c r="E2120" t="str">
        <x:v>PH-MF-19</x:v>
      </x:c>
      <x:c r="F2120" t="n">
        <x:f>IF('Measurement Criteria'!H25&lt;&gt;"",1,0)</x:f>
        <x:v>0</x:v>
      </x:c>
      <x:c r="G2120" t="n">
        <x:v>1</x:v>
      </x:c>
      <x:c r="H2120" t="str">
        <x:v>independent physical acceptance</x:v>
      </x:c>
      <x:c r="I2120" t="str">
        <x:f>IF(F2120=1,"PASS","OPEN")</x:f>
        <x:v>OPEN</x:v>
      </x:c>
    </x:row>
    <x:row r="2121">
      <x:c r="B2121" t="str">
        <x:v>PH-MF-20</x:v>
      </x:c>
      <x:c r="C2121" t="str">
        <x:v>PHYSICAL</x:v>
      </x:c>
      <x:c r="D2121" t="str">
        <x:v>measurement calibration</x:v>
      </x:c>
      <x:c r="E2121" t="str">
        <x:v>PH-MF-20</x:v>
      </x:c>
      <x:c r="F2121" t="n">
        <x:f>IF('Measurement Criteria'!H26&lt;&gt;"",1,0)</x:f>
        <x:v>0</x:v>
      </x:c>
      <x:c r="G2121" t="n">
        <x:v>1</x:v>
      </x:c>
      <x:c r="H2121" t="str">
        <x:v>independent physical acceptance</x:v>
      </x:c>
      <x:c r="I2121" t="str">
        <x:f>IF(F2121=1,"PASS","OPEN")</x:f>
        <x:v>OPEN</x:v>
      </x:c>
    </x:row>
    <x:row r="2122">
      <x:c r="B2122" t="str">
        <x:v>PH-MF-21</x:v>
      </x:c>
      <x:c r="C2122" t="str">
        <x:v>PHYSICAL</x:v>
      </x:c>
      <x:c r="D2122" t="str">
        <x:v>measurement calibration</x:v>
      </x:c>
      <x:c r="E2122" t="str">
        <x:v>PH-MF-21</x:v>
      </x:c>
      <x:c r="F2122" t="n">
        <x:f>IF('Measurement Criteria'!H27&lt;&gt;"",1,0)</x:f>
        <x:v>0</x:v>
      </x:c>
      <x:c r="G2122" t="n">
        <x:v>1</x:v>
      </x:c>
      <x:c r="H2122" t="str">
        <x:v>independent physical acceptance</x:v>
      </x:c>
      <x:c r="I2122" t="str">
        <x:f>IF(F2122=1,"PASS","OPEN")</x:f>
        <x:v>OPEN</x:v>
      </x:c>
    </x:row>
    <x:row r="2123">
      <x:c r="B2123" t="str">
        <x:v>PH-MF-22</x:v>
      </x:c>
      <x:c r="C2123" t="str">
        <x:v>PHYSICAL</x:v>
      </x:c>
      <x:c r="D2123" t="str">
        <x:v>measurement calibration</x:v>
      </x:c>
      <x:c r="E2123" t="str">
        <x:v>PH-MF-22</x:v>
      </x:c>
      <x:c r="F2123" t="n">
        <x:f>IF('Measurement Criteria'!H28&lt;&gt;"",1,0)</x:f>
        <x:v>0</x:v>
      </x:c>
      <x:c r="G2123" t="n">
        <x:v>1</x:v>
      </x:c>
      <x:c r="H2123" t="str">
        <x:v>independent physical acceptance</x:v>
      </x:c>
      <x:c r="I2123" t="str">
        <x:f>IF(F2123=1,"PASS","OPEN")</x:f>
        <x:v>OPEN</x:v>
      </x:c>
    </x:row>
    <x:row r="2124">
      <x:c r="B2124" t="str">
        <x:v>PH-MF-23</x:v>
      </x:c>
      <x:c r="C2124" t="str">
        <x:v>PHYSICAL</x:v>
      </x:c>
      <x:c r="D2124" t="str">
        <x:v>measurement calibration</x:v>
      </x:c>
      <x:c r="E2124" t="str">
        <x:v>PH-MF-23</x:v>
      </x:c>
      <x:c r="F2124" t="n">
        <x:f>IF('Measurement Criteria'!H29&lt;&gt;"",1,0)</x:f>
        <x:v>0</x:v>
      </x:c>
      <x:c r="G2124" t="n">
        <x:v>1</x:v>
      </x:c>
      <x:c r="H2124" t="str">
        <x:v>independent physical acceptance</x:v>
      </x:c>
      <x:c r="I2124" t="str">
        <x:f>IF(F2124=1,"PASS","OPEN")</x:f>
        <x:v>OPEN</x:v>
      </x:c>
    </x:row>
    <x:row r="2125">
      <x:c r="B2125" t="str">
        <x:v>PH-MF-24</x:v>
      </x:c>
      <x:c r="C2125" t="str">
        <x:v>PHYSICAL</x:v>
      </x:c>
      <x:c r="D2125" t="str">
        <x:v>measurement calibration</x:v>
      </x:c>
      <x:c r="E2125" t="str">
        <x:v>PH-MF-24</x:v>
      </x:c>
      <x:c r="F2125" t="n">
        <x:f>IF('Measurement Criteria'!H30&lt;&gt;"",1,0)</x:f>
        <x:v>0</x:v>
      </x:c>
      <x:c r="G2125" t="n">
        <x:v>1</x:v>
      </x:c>
      <x:c r="H2125" t="str">
        <x:v>independent physical acceptance</x:v>
      </x:c>
      <x:c r="I2125" t="str">
        <x:f>IF(F2125=1,"PASS","OPEN")</x:f>
        <x:v>OPEN</x:v>
      </x:c>
    </x:row>
    <x:row r="2126">
      <x:c r="B2126" t="str">
        <x:v>PH-ST-01</x:v>
      </x:c>
      <x:c r="C2126" t="str">
        <x:v>PHYSICAL</x:v>
      </x:c>
      <x:c r="D2126" t="str">
        <x:v>execution-class acceptance</x:v>
      </x:c>
      <x:c r="E2126" t="str">
        <x:v>PH-ST-01</x:v>
      </x:c>
      <x:c r="F2126" t="n">
        <x:f>IF('Stage Matrix'!M7&lt;&gt;"",1,0)</x:f>
        <x:v>0</x:v>
      </x:c>
      <x:c r="G2126" t="n">
        <x:v>1</x:v>
      </x:c>
      <x:c r="H2126" t="str">
        <x:v>independent physical acceptance</x:v>
      </x:c>
      <x:c r="I2126" t="str">
        <x:f>IF(F2126=1,"PASS","OPEN")</x:f>
        <x:v>OPEN</x:v>
      </x:c>
    </x:row>
    <x:row r="2127">
      <x:c r="B2127" t="str">
        <x:v>PH-ST-02</x:v>
      </x:c>
      <x:c r="C2127" t="str">
        <x:v>PHYSICAL</x:v>
      </x:c>
      <x:c r="D2127" t="str">
        <x:v>execution-class acceptance</x:v>
      </x:c>
      <x:c r="E2127" t="str">
        <x:v>PH-ST-02</x:v>
      </x:c>
      <x:c r="F2127" t="n">
        <x:f>IF('Stage Matrix'!M8&lt;&gt;"",1,0)</x:f>
        <x:v>0</x:v>
      </x:c>
      <x:c r="G2127" t="n">
        <x:v>1</x:v>
      </x:c>
      <x:c r="H2127" t="str">
        <x:v>independent physical acceptance</x:v>
      </x:c>
      <x:c r="I2127" t="str">
        <x:f>IF(F2127=1,"PASS","OPEN")</x:f>
        <x:v>OPEN</x:v>
      </x:c>
    </x:row>
    <x:row r="2128">
      <x:c r="B2128" t="str">
        <x:v>PH-ST-03</x:v>
      </x:c>
      <x:c r="C2128" t="str">
        <x:v>PHYSICAL</x:v>
      </x:c>
      <x:c r="D2128" t="str">
        <x:v>execution-class acceptance</x:v>
      </x:c>
      <x:c r="E2128" t="str">
        <x:v>PH-ST-03</x:v>
      </x:c>
      <x:c r="F2128" t="n">
        <x:f>IF('Stage Matrix'!M9&lt;&gt;"",1,0)</x:f>
        <x:v>0</x:v>
      </x:c>
      <x:c r="G2128" t="n">
        <x:v>1</x:v>
      </x:c>
      <x:c r="H2128" t="str">
        <x:v>independent physical acceptance</x:v>
      </x:c>
      <x:c r="I2128" t="str">
        <x:f>IF(F2128=1,"PASS","OPEN")</x:f>
        <x:v>OPEN</x:v>
      </x:c>
    </x:row>
    <x:row r="2129">
      <x:c r="B2129" t="str">
        <x:v>PH-ST-04</x:v>
      </x:c>
      <x:c r="C2129" t="str">
        <x:v>PHYSICAL</x:v>
      </x:c>
      <x:c r="D2129" t="str">
        <x:v>execution-class acceptance</x:v>
      </x:c>
      <x:c r="E2129" t="str">
        <x:v>PH-ST-04</x:v>
      </x:c>
      <x:c r="F2129" t="n">
        <x:f>IF('Stage Matrix'!M10&lt;&gt;"",1,0)</x:f>
        <x:v>0</x:v>
      </x:c>
      <x:c r="G2129" t="n">
        <x:v>1</x:v>
      </x:c>
      <x:c r="H2129" t="str">
        <x:v>independent physical acceptance</x:v>
      </x:c>
      <x:c r="I2129" t="str">
        <x:f>IF(F2129=1,"PASS","OPEN")</x:f>
        <x:v>OPEN</x:v>
      </x:c>
    </x:row>
    <x:row r="2130">
      <x:c r="B2130" t="str">
        <x:v>PH-ST-05</x:v>
      </x:c>
      <x:c r="C2130" t="str">
        <x:v>PHYSICAL</x:v>
      </x:c>
      <x:c r="D2130" t="str">
        <x:v>execution-class acceptance</x:v>
      </x:c>
      <x:c r="E2130" t="str">
        <x:v>PH-ST-05</x:v>
      </x:c>
      <x:c r="F2130" t="n">
        <x:f>IF('Stage Matrix'!M11&lt;&gt;"",1,0)</x:f>
        <x:v>0</x:v>
      </x:c>
      <x:c r="G2130" t="n">
        <x:v>1</x:v>
      </x:c>
      <x:c r="H2130" t="str">
        <x:v>independent physical acceptance</x:v>
      </x:c>
      <x:c r="I2130" t="str">
        <x:f>IF(F2130=1,"PASS","OPEN")</x:f>
        <x:v>OPEN</x:v>
      </x:c>
    </x:row>
    <x:row r="2131">
      <x:c r="B2131" t="str">
        <x:v>PH-ST-06</x:v>
      </x:c>
      <x:c r="C2131" t="str">
        <x:v>PHYSICAL</x:v>
      </x:c>
      <x:c r="D2131" t="str">
        <x:v>execution-class acceptance</x:v>
      </x:c>
      <x:c r="E2131" t="str">
        <x:v>PH-ST-06</x:v>
      </x:c>
      <x:c r="F2131" t="n">
        <x:f>IF('Stage Matrix'!M12&lt;&gt;"",1,0)</x:f>
        <x:v>0</x:v>
      </x:c>
      <x:c r="G2131" t="n">
        <x:v>1</x:v>
      </x:c>
      <x:c r="H2131" t="str">
        <x:v>independent physical acceptance</x:v>
      </x:c>
      <x:c r="I2131" t="str">
        <x:f>IF(F2131=1,"PASS","OPEN")</x:f>
        <x:v>OPEN</x:v>
      </x:c>
    </x:row>
    <x:row r="2132">
      <x:c r="B2132" t="str">
        <x:v>PH-ST-07</x:v>
      </x:c>
      <x:c r="C2132" t="str">
        <x:v>PHYSICAL</x:v>
      </x:c>
      <x:c r="D2132" t="str">
        <x:v>execution-class acceptance</x:v>
      </x:c>
      <x:c r="E2132" t="str">
        <x:v>PH-ST-07</x:v>
      </x:c>
      <x:c r="F2132" t="n">
        <x:f>IF('Stage Matrix'!M13&lt;&gt;"",1,0)</x:f>
        <x:v>0</x:v>
      </x:c>
      <x:c r="G2132" t="n">
        <x:v>1</x:v>
      </x:c>
      <x:c r="H2132" t="str">
        <x:v>independent physical acceptance</x:v>
      </x:c>
      <x:c r="I2132" t="str">
        <x:f>IF(F2132=1,"PASS","OPEN")</x:f>
        <x:v>OPEN</x:v>
      </x:c>
    </x:row>
    <x:row r="2133">
      <x:c r="B2133" t="str">
        <x:v>PH-RS-01</x:v>
      </x:c>
      <x:c r="C2133" t="str">
        <x:v>PHYSICAL</x:v>
      </x:c>
      <x:c r="D2133" t="str">
        <x:v>reset acceptance</x:v>
      </x:c>
      <x:c r="E2133" t="str">
        <x:v>PH-RS-01</x:v>
      </x:c>
      <x:c r="F2133" t="str">
        <x:f>'Reset Clocks'!I7</x:f>
      </x:c>
      <x:c r="G2133" t="n">
        <x:v>1</x:v>
      </x:c>
      <x:c r="H2133" t="str">
        <x:v>independent physical acceptance</x:v>
      </x:c>
      <x:c r="I2133" t="str">
        <x:f>IF(F2133=1,"PASS","OPEN")</x:f>
        <x:v>OPEN</x:v>
      </x:c>
    </x:row>
    <x:row r="2134">
      <x:c r="B2134" t="str">
        <x:v>PH-RS-02</x:v>
      </x:c>
      <x:c r="C2134" t="str">
        <x:v>PHYSICAL</x:v>
      </x:c>
      <x:c r="D2134" t="str">
        <x:v>reset acceptance</x:v>
      </x:c>
      <x:c r="E2134" t="str">
        <x:v>PH-RS-02</x:v>
      </x:c>
      <x:c r="F2134" t="str">
        <x:f>'Reset Clocks'!I8</x:f>
      </x:c>
      <x:c r="G2134" t="n">
        <x:v>1</x:v>
      </x:c>
      <x:c r="H2134" t="str">
        <x:v>independent physical acceptance</x:v>
      </x:c>
      <x:c r="I2134" t="str">
        <x:f>IF(F2134=1,"PASS","OPEN")</x:f>
        <x:v>OPEN</x:v>
      </x:c>
    </x:row>
    <x:row r="2135">
      <x:c r="B2135" t="str">
        <x:v>PH-RS-03</x:v>
      </x:c>
      <x:c r="C2135" t="str">
        <x:v>PHYSICAL</x:v>
      </x:c>
      <x:c r="D2135" t="str">
        <x:v>reset acceptance</x:v>
      </x:c>
      <x:c r="E2135" t="str">
        <x:v>PH-RS-03</x:v>
      </x:c>
      <x:c r="F2135" t="str">
        <x:f>'Reset Clocks'!I9</x:f>
      </x:c>
      <x:c r="G2135" t="n">
        <x:v>1</x:v>
      </x:c>
      <x:c r="H2135" t="str">
        <x:v>independent physical acceptance</x:v>
      </x:c>
      <x:c r="I2135" t="str">
        <x:f>IF(F2135=1,"PASS","OPEN")</x:f>
        <x:v>OPEN</x:v>
      </x:c>
    </x:row>
    <x:row r="2136">
      <x:c r="B2136" t="str">
        <x:v>PH-RS-04</x:v>
      </x:c>
      <x:c r="C2136" t="str">
        <x:v>PHYSICAL</x:v>
      </x:c>
      <x:c r="D2136" t="str">
        <x:v>reset acceptance</x:v>
      </x:c>
      <x:c r="E2136" t="str">
        <x:v>PH-RS-04</x:v>
      </x:c>
      <x:c r="F2136" t="str">
        <x:f>'Reset Clocks'!I10</x:f>
      </x:c>
      <x:c r="G2136" t="n">
        <x:v>1</x:v>
      </x:c>
      <x:c r="H2136" t="str">
        <x:v>independent physical acceptance</x:v>
      </x:c>
      <x:c r="I2136" t="str">
        <x:f>IF(F2136=1,"PASS","OPEN")</x:f>
        <x:v>OPEN</x:v>
      </x:c>
    </x:row>
    <x:row r="2137">
      <x:c r="B2137" t="str">
        <x:v>PH-RS-05</x:v>
      </x:c>
      <x:c r="C2137" t="str">
        <x:v>PHYSICAL</x:v>
      </x:c>
      <x:c r="D2137" t="str">
        <x:v>reset acceptance</x:v>
      </x:c>
      <x:c r="E2137" t="str">
        <x:v>PH-RS-05</x:v>
      </x:c>
      <x:c r="F2137" t="str">
        <x:f>'Reset Clocks'!I11</x:f>
      </x:c>
      <x:c r="G2137" t="n">
        <x:v>1</x:v>
      </x:c>
      <x:c r="H2137" t="str">
        <x:v>independent physical acceptance</x:v>
      </x:c>
      <x:c r="I2137" t="str">
        <x:f>IF(F2137=1,"PASS","OPEN")</x:f>
        <x:v>OPEN</x:v>
      </x:c>
    </x:row>
    <x:row r="2138">
      <x:c r="B2138" t="str">
        <x:v>PH-RS-06</x:v>
      </x:c>
      <x:c r="C2138" t="str">
        <x:v>PHYSICAL</x:v>
      </x:c>
      <x:c r="D2138" t="str">
        <x:v>reset acceptance</x:v>
      </x:c>
      <x:c r="E2138" t="str">
        <x:v>PH-RS-06</x:v>
      </x:c>
      <x:c r="F2138" t="str">
        <x:f>'Reset Clocks'!I12</x:f>
      </x:c>
      <x:c r="G2138" t="n">
        <x:v>1</x:v>
      </x:c>
      <x:c r="H2138" t="str">
        <x:v>independent physical acceptance</x:v>
      </x:c>
      <x:c r="I2138" t="str">
        <x:f>IF(F2138=1,"PASS","OPEN")</x:f>
        <x:v>OPEN</x:v>
      </x:c>
    </x:row>
    <x:row r="2139">
      <x:c r="B2139" t="str">
        <x:v>PH-RS-07</x:v>
      </x:c>
      <x:c r="C2139" t="str">
        <x:v>PHYSICAL</x:v>
      </x:c>
      <x:c r="D2139" t="str">
        <x:v>reset acceptance</x:v>
      </x:c>
      <x:c r="E2139" t="str">
        <x:v>PH-RS-07</x:v>
      </x:c>
      <x:c r="F2139" t="str">
        <x:f>'Reset Clocks'!I13</x:f>
      </x:c>
      <x:c r="G2139" t="n">
        <x:v>1</x:v>
      </x:c>
      <x:c r="H2139" t="str">
        <x:v>independent physical acceptance</x:v>
      </x:c>
      <x:c r="I2139" t="str">
        <x:f>IF(F2139=1,"PASS","OPEN")</x:f>
        <x:v>OPEN</x:v>
      </x:c>
    </x:row>
    <x:row r="2140">
      <x:c r="B2140" t="str">
        <x:v>PH-RS-08</x:v>
      </x:c>
      <x:c r="C2140" t="str">
        <x:v>PHYSICAL</x:v>
      </x:c>
      <x:c r="D2140" t="str">
        <x:v>reset acceptance</x:v>
      </x:c>
      <x:c r="E2140" t="str">
        <x:v>PH-RS-08</x:v>
      </x:c>
      <x:c r="F2140" t="str">
        <x:f>'Reset Clocks'!I14</x:f>
      </x:c>
      <x:c r="G2140" t="n">
        <x:v>1</x:v>
      </x:c>
      <x:c r="H2140" t="str">
        <x:v>independent physical acceptance</x:v>
      </x:c>
      <x:c r="I2140" t="str">
        <x:f>IF(F2140=1,"PASS","OPEN")</x:f>
        <x:v>OPEN</x:v>
      </x:c>
    </x:row>
    <x:row r="2141">
      <x:c r="B2141" t="str">
        <x:v>PH-RS-09</x:v>
      </x:c>
      <x:c r="C2141" t="str">
        <x:v>PHYSICAL</x:v>
      </x:c>
      <x:c r="D2141" t="str">
        <x:v>reset acceptance</x:v>
      </x:c>
      <x:c r="E2141" t="str">
        <x:v>PH-RS-09</x:v>
      </x:c>
      <x:c r="F2141" t="str">
        <x:f>'Reset Clocks'!I15</x:f>
      </x:c>
      <x:c r="G2141" t="n">
        <x:v>1</x:v>
      </x:c>
      <x:c r="H2141" t="str">
        <x:v>independent physical acceptance</x:v>
      </x:c>
      <x:c r="I2141" t="str">
        <x:f>IF(F2141=1,"PASS","OPEN")</x:f>
        <x:v>OPEN</x:v>
      </x:c>
    </x:row>
    <x:row r="2142">
      <x:c r="B2142" t="str">
        <x:v>PH-RS-10</x:v>
      </x:c>
      <x:c r="C2142" t="str">
        <x:v>PHYSICAL</x:v>
      </x:c>
      <x:c r="D2142" t="str">
        <x:v>reset acceptance</x:v>
      </x:c>
      <x:c r="E2142" t="str">
        <x:v>PH-RS-10</x:v>
      </x:c>
      <x:c r="F2142" t="str">
        <x:f>'Reset Clocks'!I16</x:f>
      </x:c>
      <x:c r="G2142" t="n">
        <x:v>1</x:v>
      </x:c>
      <x:c r="H2142" t="str">
        <x:v>independent physical acceptance</x:v>
      </x:c>
      <x:c r="I2142" t="str">
        <x:f>IF(F2142=1,"PASS","OPEN")</x:f>
        <x:v>OPEN</x:v>
      </x:c>
    </x:row>
    <x:row r="2143">
      <x:c r="B2143" t="str">
        <x:v>PH-RS-11</x:v>
      </x:c>
      <x:c r="C2143" t="str">
        <x:v>PHYSICAL</x:v>
      </x:c>
      <x:c r="D2143" t="str">
        <x:v>reset acceptance</x:v>
      </x:c>
      <x:c r="E2143" t="str">
        <x:v>PH-RS-11</x:v>
      </x:c>
      <x:c r="F2143" t="str">
        <x:f>'Reset Clocks'!I17</x:f>
      </x:c>
      <x:c r="G2143" t="n">
        <x:v>1</x:v>
      </x:c>
      <x:c r="H2143" t="str">
        <x:v>independent physical acceptance</x:v>
      </x:c>
      <x:c r="I2143" t="str">
        <x:f>IF(F2143=1,"PASS","OPEN")</x:f>
        <x:v>OPEN</x:v>
      </x:c>
    </x:row>
    <x:row r="2144">
      <x:c r="B2144" t="str">
        <x:v>PH-RS-12</x:v>
      </x:c>
      <x:c r="C2144" t="str">
        <x:v>PHYSICAL</x:v>
      </x:c>
      <x:c r="D2144" t="str">
        <x:v>reset acceptance</x:v>
      </x:c>
      <x:c r="E2144" t="str">
        <x:v>PH-RS-12</x:v>
      </x:c>
      <x:c r="F2144" t="n">
        <x:f>'Reset Clocks'!I18</x:f>
        <x:v>0</x:v>
      </x:c>
      <x:c r="G2144" t="n">
        <x:v>1</x:v>
      </x:c>
      <x:c r="H2144" t="str">
        <x:v>independent physical acceptance</x:v>
      </x:c>
      <x:c r="I2144" t="str">
        <x:f>IF(F2144=1,"PASS","OPEN")</x:f>
        <x:v>OPEN</x:v>
      </x:c>
    </x:row>
    <x:row r="2145">
      <x:c r="B2145" t="str">
        <x:v>PH-XR-01</x:v>
      </x:c>
      <x:c r="C2145" t="str">
        <x:v>PHYSICAL</x:v>
      </x:c>
      <x:c r="D2145" t="str">
        <x:v>replay acceptance</x:v>
      </x:c>
      <x:c r="E2145" t="str">
        <x:v>PH-XR-01</x:v>
      </x:c>
      <x:c r="F2145" t="str">
        <x:f>'Cross Site Replay'!H7</x:f>
      </x:c>
      <x:c r="G2145" t="n">
        <x:v>1</x:v>
      </x:c>
      <x:c r="H2145" t="str">
        <x:v>independent physical acceptance</x:v>
      </x:c>
      <x:c r="I2145" t="str">
        <x:f>IF(F2145=1,"PASS","OPEN")</x:f>
        <x:v>OPEN</x:v>
      </x:c>
    </x:row>
    <x:row r="2146">
      <x:c r="B2146" t="str">
        <x:v>PH-XR-02</x:v>
      </x:c>
      <x:c r="C2146" t="str">
        <x:v>PHYSICAL</x:v>
      </x:c>
      <x:c r="D2146" t="str">
        <x:v>replay acceptance</x:v>
      </x:c>
      <x:c r="E2146" t="str">
        <x:v>PH-XR-02</x:v>
      </x:c>
      <x:c r="F2146" t="str">
        <x:f>'Cross Site Replay'!H8</x:f>
      </x:c>
      <x:c r="G2146" t="n">
        <x:v>1</x:v>
      </x:c>
      <x:c r="H2146" t="str">
        <x:v>independent physical acceptance</x:v>
      </x:c>
      <x:c r="I2146" t="str">
        <x:f>IF(F2146=1,"PASS","OPEN")</x:f>
        <x:v>OPEN</x:v>
      </x:c>
    </x:row>
    <x:row r="2147">
      <x:c r="B2147" t="str">
        <x:v>PH-XR-03</x:v>
      </x:c>
      <x:c r="C2147" t="str">
        <x:v>PHYSICAL</x:v>
      </x:c>
      <x:c r="D2147" t="str">
        <x:v>replay acceptance</x:v>
      </x:c>
      <x:c r="E2147" t="str">
        <x:v>PH-XR-03</x:v>
      </x:c>
      <x:c r="F2147" t="str">
        <x:f>'Cross Site Replay'!H9</x:f>
      </x:c>
      <x:c r="G2147" t="n">
        <x:v>1</x:v>
      </x:c>
      <x:c r="H2147" t="str">
        <x:v>independent physical acceptance</x:v>
      </x:c>
      <x:c r="I2147" t="str">
        <x:f>IF(F2147=1,"PASS","OPEN")</x:f>
        <x:v>OPEN</x:v>
      </x:c>
    </x:row>
    <x:row r="2148">
      <x:c r="B2148" t="str">
        <x:v>PH-XR-04</x:v>
      </x:c>
      <x:c r="C2148" t="str">
        <x:v>PHYSICAL</x:v>
      </x:c>
      <x:c r="D2148" t="str">
        <x:v>replay acceptance</x:v>
      </x:c>
      <x:c r="E2148" t="str">
        <x:v>PH-XR-04</x:v>
      </x:c>
      <x:c r="F2148" t="str">
        <x:f>'Cross Site Replay'!H10</x:f>
      </x:c>
      <x:c r="G2148" t="n">
        <x:v>1</x:v>
      </x:c>
      <x:c r="H2148" t="str">
        <x:v>independent physical acceptance</x:v>
      </x:c>
      <x:c r="I2148" t="str">
        <x:f>IF(F2148=1,"PASS","OPEN")</x:f>
        <x:v>OPEN</x:v>
      </x:c>
    </x:row>
    <x:row r="2149">
      <x:c r="B2149" t="str">
        <x:v>PH-XR-05</x:v>
      </x:c>
      <x:c r="C2149" t="str">
        <x:v>PHYSICAL</x:v>
      </x:c>
      <x:c r="D2149" t="str">
        <x:v>replay acceptance</x:v>
      </x:c>
      <x:c r="E2149" t="str">
        <x:v>PH-XR-05</x:v>
      </x:c>
      <x:c r="F2149" t="str">
        <x:f>'Cross Site Replay'!H11</x:f>
      </x:c>
      <x:c r="G2149" t="n">
        <x:v>1</x:v>
      </x:c>
      <x:c r="H2149" t="str">
        <x:v>independent physical acceptance</x:v>
      </x:c>
      <x:c r="I2149" t="str">
        <x:f>IF(F2149=1,"PASS","OPEN")</x:f>
        <x:v>OPEN</x:v>
      </x:c>
    </x:row>
    <x:row r="2150">
      <x:c r="B2150" t="str">
        <x:v>PH-XR-06</x:v>
      </x:c>
      <x:c r="C2150" t="str">
        <x:v>PHYSICAL</x:v>
      </x:c>
      <x:c r="D2150" t="str">
        <x:v>replay acceptance</x:v>
      </x:c>
      <x:c r="E2150" t="str">
        <x:v>PH-XR-06</x:v>
      </x:c>
      <x:c r="F2150" t="n">
        <x:f>'Cross Site Replay'!H12</x:f>
        <x:v>0</x:v>
      </x:c>
      <x:c r="G2150" t="n">
        <x:v>1</x:v>
      </x:c>
      <x:c r="H2150" t="str">
        <x:v>independent physical acceptance</x:v>
      </x:c>
      <x:c r="I2150" t="str">
        <x:f>IF(F2150=1,"PASS","OPEN")</x:f>
        <x:v>OPEN</x:v>
      </x:c>
    </x:row>
    <x:row r="2151">
      <x:c r="B2151" t="str">
        <x:v>PH-RC-01</x:v>
      </x:c>
      <x:c r="C2151" t="str">
        <x:v>PHYSICAL</x:v>
      </x:c>
      <x:c r="D2151" t="str">
        <x:v>recovery state</x:v>
      </x:c>
      <x:c r="E2151" t="str">
        <x:v>PH-RC-01</x:v>
      </x:c>
      <x:c r="F2151" t="n">
        <x:f>'Recovery States'!E7</x:f>
        <x:v>0</x:v>
      </x:c>
      <x:c r="G2151" t="n">
        <x:v>1</x:v>
      </x:c>
      <x:c r="H2151" t="str">
        <x:v>independent physical acceptance</x:v>
      </x:c>
      <x:c r="I2151" t="str">
        <x:f>IF(F2151=1,"PASS","OPEN")</x:f>
        <x:v>OPEN</x:v>
      </x:c>
    </x:row>
    <x:row r="2152">
      <x:c r="B2152" t="str">
        <x:v>PH-RC-02</x:v>
      </x:c>
      <x:c r="C2152" t="str">
        <x:v>PHYSICAL</x:v>
      </x:c>
      <x:c r="D2152" t="str">
        <x:v>recovery state</x:v>
      </x:c>
      <x:c r="E2152" t="str">
        <x:v>PH-RC-02</x:v>
      </x:c>
      <x:c r="F2152" t="n">
        <x:f>'Recovery States'!E8</x:f>
        <x:v>0</x:v>
      </x:c>
      <x:c r="G2152" t="n">
        <x:v>1</x:v>
      </x:c>
      <x:c r="H2152" t="str">
        <x:v>independent physical acceptance</x:v>
      </x:c>
      <x:c r="I2152" t="str">
        <x:f>IF(F2152=1,"PASS","OPEN")</x:f>
        <x:v>OPEN</x:v>
      </x:c>
    </x:row>
    <x:row r="2153">
      <x:c r="B2153" t="str">
        <x:v>PH-RC-03</x:v>
      </x:c>
      <x:c r="C2153" t="str">
        <x:v>PHYSICAL</x:v>
      </x:c>
      <x:c r="D2153" t="str">
        <x:v>recovery state</x:v>
      </x:c>
      <x:c r="E2153" t="str">
        <x:v>PH-RC-03</x:v>
      </x:c>
      <x:c r="F2153" t="n">
        <x:f>'Recovery States'!E9</x:f>
        <x:v>0</x:v>
      </x:c>
      <x:c r="G2153" t="n">
        <x:v>1</x:v>
      </x:c>
      <x:c r="H2153" t="str">
        <x:v>independent physical acceptance</x:v>
      </x:c>
      <x:c r="I2153" t="str">
        <x:f>IF(F2153=1,"PASS","OPEN")</x:f>
        <x:v>OPEN</x:v>
      </x:c>
    </x:row>
    <x:row r="2154">
      <x:c r="B2154" t="str">
        <x:v>PH-RC-04</x:v>
      </x:c>
      <x:c r="C2154" t="str">
        <x:v>PHYSICAL</x:v>
      </x:c>
      <x:c r="D2154" t="str">
        <x:v>recovery state</x:v>
      </x:c>
      <x:c r="E2154" t="str">
        <x:v>PH-RC-04</x:v>
      </x:c>
      <x:c r="F2154" t="n">
        <x:f>'Recovery States'!E10</x:f>
        <x:v>0</x:v>
      </x:c>
      <x:c r="G2154" t="n">
        <x:v>1</x:v>
      </x:c>
      <x:c r="H2154" t="str">
        <x:v>independent physical acceptance</x:v>
      </x:c>
      <x:c r="I2154" t="str">
        <x:f>IF(F2154=1,"PASS","OPEN")</x:f>
        <x:v>OPEN</x:v>
      </x:c>
    </x:row>
    <x:row r="2155">
      <x:c r="B2155" t="str">
        <x:v>PH-RC-05</x:v>
      </x:c>
      <x:c r="C2155" t="str">
        <x:v>PHYSICAL</x:v>
      </x:c>
      <x:c r="D2155" t="str">
        <x:v>recovery state</x:v>
      </x:c>
      <x:c r="E2155" t="str">
        <x:v>PH-RC-05</x:v>
      </x:c>
      <x:c r="F2155" t="n">
        <x:f>'Recovery States'!E11</x:f>
        <x:v>0</x:v>
      </x:c>
      <x:c r="G2155" t="n">
        <x:v>1</x:v>
      </x:c>
      <x:c r="H2155" t="str">
        <x:v>independent physical acceptance</x:v>
      </x:c>
      <x:c r="I2155" t="str">
        <x:f>IF(F2155=1,"PASS","OPEN")</x:f>
        <x:v>OPEN</x:v>
      </x:c>
    </x:row>
    <x:row r="2156">
      <x:c r="B2156" t="str">
        <x:v>PH-RC-06</x:v>
      </x:c>
      <x:c r="C2156" t="str">
        <x:v>PHYSICAL</x:v>
      </x:c>
      <x:c r="D2156" t="str">
        <x:v>recovery state</x:v>
      </x:c>
      <x:c r="E2156" t="str">
        <x:v>PH-RC-06</x:v>
      </x:c>
      <x:c r="F2156" t="n">
        <x:f>'Recovery States'!E12</x:f>
        <x:v>0</x:v>
      </x:c>
      <x:c r="G2156" t="n">
        <x:v>1</x:v>
      </x:c>
      <x:c r="H2156" t="str">
        <x:v>independent physical acceptance</x:v>
      </x:c>
      <x:c r="I2156" t="str">
        <x:f>IF(F2156=1,"PASS","OPEN")</x:f>
        <x:v>OPEN</x:v>
      </x:c>
    </x:row>
    <x:row r="2157">
      <x:c r="B2157" t="str">
        <x:v>PH-RC-07</x:v>
      </x:c>
      <x:c r="C2157" t="str">
        <x:v>PHYSICAL</x:v>
      </x:c>
      <x:c r="D2157" t="str">
        <x:v>recovery state</x:v>
      </x:c>
      <x:c r="E2157" t="str">
        <x:v>PH-RC-07</x:v>
      </x:c>
      <x:c r="F2157" t="n">
        <x:f>'Recovery States'!E13</x:f>
        <x:v>0</x:v>
      </x:c>
      <x:c r="G2157" t="n">
        <x:v>1</x:v>
      </x:c>
      <x:c r="H2157" t="str">
        <x:v>independent physical acceptance</x:v>
      </x:c>
      <x:c r="I2157" t="str">
        <x:f>IF(F2157=1,"PASS","OPEN")</x:f>
        <x:v>OPEN</x:v>
      </x:c>
    </x:row>
    <x:row r="2158">
      <x:c r="B2158" t="str">
        <x:v>PH-RC-08</x:v>
      </x:c>
      <x:c r="C2158" t="str">
        <x:v>PHYSICAL</x:v>
      </x:c>
      <x:c r="D2158" t="str">
        <x:v>recovery state</x:v>
      </x:c>
      <x:c r="E2158" t="str">
        <x:v>PH-RC-08</x:v>
      </x:c>
      <x:c r="F2158" t="n">
        <x:f>'Recovery States'!E14</x:f>
        <x:v>0</x:v>
      </x:c>
      <x:c r="G2158" t="n">
        <x:v>1</x:v>
      </x:c>
      <x:c r="H2158" t="str">
        <x:v>independent physical acceptance</x:v>
      </x:c>
      <x:c r="I2158" t="str">
        <x:f>IF(F2158=1,"PASS","OPEN")</x:f>
        <x:v>OPEN</x:v>
      </x:c>
    </x:row>
    <x:row r="2159">
      <x:c r="B2159" t="str">
        <x:v>PH-RC-09</x:v>
      </x:c>
      <x:c r="C2159" t="str">
        <x:v>PHYSICAL</x:v>
      </x:c>
      <x:c r="D2159" t="str">
        <x:v>recovery state</x:v>
      </x:c>
      <x:c r="E2159" t="str">
        <x:v>PH-RC-09</x:v>
      </x:c>
      <x:c r="F2159" t="n">
        <x:f>'Recovery States'!E15</x:f>
        <x:v>0</x:v>
      </x:c>
      <x:c r="G2159" t="n">
        <x:v>1</x:v>
      </x:c>
      <x:c r="H2159" t="str">
        <x:v>independent physical acceptance</x:v>
      </x:c>
      <x:c r="I2159" t="str">
        <x:f>IF(F2159=1,"PASS","OPEN")</x:f>
        <x:v>OPEN</x:v>
      </x:c>
    </x:row>
    <x:row r="2160">
      <x:c r="B2160" t="str">
        <x:v>PH-RC-10</x:v>
      </x:c>
      <x:c r="C2160" t="str">
        <x:v>PHYSICAL</x:v>
      </x:c>
      <x:c r="D2160" t="str">
        <x:v>recovery state</x:v>
      </x:c>
      <x:c r="E2160" t="str">
        <x:v>PH-RC-10</x:v>
      </x:c>
      <x:c r="F2160" t="n">
        <x:f>'Recovery States'!E16</x:f>
        <x:v>0</x:v>
      </x:c>
      <x:c r="G2160" t="n">
        <x:v>1</x:v>
      </x:c>
      <x:c r="H2160" t="str">
        <x:v>independent physical acceptance</x:v>
      </x:c>
      <x:c r="I2160" t="str">
        <x:f>IF(F2160=1,"PASS","OPEN")</x:f>
        <x:v>OPEN</x:v>
      </x:c>
    </x:row>
    <x:row r="2161">
      <x:c r="B2161" t="str">
        <x:v>PH-PI-01</x:v>
      </x:c>
      <x:c r="C2161" t="str">
        <x:v>PHYSICAL</x:v>
      </x:c>
      <x:c r="D2161" t="str">
        <x:v>intervention path</x:v>
      </x:c>
      <x:c r="E2161" t="str">
        <x:v>PH-PI-01</x:v>
      </x:c>
      <x:c r="F2161" t="n">
        <x:f>IF('Public Interventions'!G7&lt;&gt;"",1,0)</x:f>
        <x:v>0</x:v>
      </x:c>
      <x:c r="G2161" t="n">
        <x:v>1</x:v>
      </x:c>
      <x:c r="H2161" t="str">
        <x:v>independent physical acceptance</x:v>
      </x:c>
      <x:c r="I2161" t="str">
        <x:f>IF(F2161=1,"PASS","OPEN")</x:f>
        <x:v>OPEN</x:v>
      </x:c>
    </x:row>
    <x:row r="2162">
      <x:c r="B2162" t="str">
        <x:v>PH-PI-02</x:v>
      </x:c>
      <x:c r="C2162" t="str">
        <x:v>PHYSICAL</x:v>
      </x:c>
      <x:c r="D2162" t="str">
        <x:v>intervention path</x:v>
      </x:c>
      <x:c r="E2162" t="str">
        <x:v>PH-PI-02</x:v>
      </x:c>
      <x:c r="F2162" t="n">
        <x:f>IF('Public Interventions'!G8&lt;&gt;"",1,0)</x:f>
        <x:v>0</x:v>
      </x:c>
      <x:c r="G2162" t="n">
        <x:v>1</x:v>
      </x:c>
      <x:c r="H2162" t="str">
        <x:v>independent physical acceptance</x:v>
      </x:c>
      <x:c r="I2162" t="str">
        <x:f>IF(F2162=1,"PASS","OPEN")</x:f>
        <x:v>OPEN</x:v>
      </x:c>
    </x:row>
    <x:row r="2163">
      <x:c r="B2163" t="str">
        <x:v>PH-PI-03</x:v>
      </x:c>
      <x:c r="C2163" t="str">
        <x:v>PHYSICAL</x:v>
      </x:c>
      <x:c r="D2163" t="str">
        <x:v>intervention path</x:v>
      </x:c>
      <x:c r="E2163" t="str">
        <x:v>PH-PI-03</x:v>
      </x:c>
      <x:c r="F2163" t="n">
        <x:f>IF('Public Interventions'!G9&lt;&gt;"",1,0)</x:f>
        <x:v>0</x:v>
      </x:c>
      <x:c r="G2163" t="n">
        <x:v>1</x:v>
      </x:c>
      <x:c r="H2163" t="str">
        <x:v>independent physical acceptance</x:v>
      </x:c>
      <x:c r="I2163" t="str">
        <x:f>IF(F2163=1,"PASS","OPEN")</x:f>
        <x:v>OPEN</x:v>
      </x:c>
    </x:row>
    <x:row r="2164">
      <x:c r="B2164" t="str">
        <x:v>PH-PI-04</x:v>
      </x:c>
      <x:c r="C2164" t="str">
        <x:v>PHYSICAL</x:v>
      </x:c>
      <x:c r="D2164" t="str">
        <x:v>intervention path</x:v>
      </x:c>
      <x:c r="E2164" t="str">
        <x:v>PH-PI-04</x:v>
      </x:c>
      <x:c r="F2164" t="n">
        <x:f>IF('Public Interventions'!G10&lt;&gt;"",1,0)</x:f>
        <x:v>0</x:v>
      </x:c>
      <x:c r="G2164" t="n">
        <x:v>1</x:v>
      </x:c>
      <x:c r="H2164" t="str">
        <x:v>independent physical acceptance</x:v>
      </x:c>
      <x:c r="I2164" t="str">
        <x:f>IF(F2164=1,"PASS","OPEN")</x:f>
        <x:v>OPEN</x:v>
      </x:c>
    </x:row>
    <x:row r="2165">
      <x:c r="B2165" t="str">
        <x:v>PH-PI-05</x:v>
      </x:c>
      <x:c r="C2165" t="str">
        <x:v>PHYSICAL</x:v>
      </x:c>
      <x:c r="D2165" t="str">
        <x:v>intervention path</x:v>
      </x:c>
      <x:c r="E2165" t="str">
        <x:v>PH-PI-05</x:v>
      </x:c>
      <x:c r="F2165" t="n">
        <x:f>IF('Public Interventions'!G11&lt;&gt;"",1,0)</x:f>
        <x:v>0</x:v>
      </x:c>
      <x:c r="G2165" t="n">
        <x:v>1</x:v>
      </x:c>
      <x:c r="H2165" t="str">
        <x:v>independent physical acceptance</x:v>
      </x:c>
      <x:c r="I2165" t="str">
        <x:f>IF(F2165=1,"PASS","OPEN")</x:f>
        <x:v>OPEN</x:v>
      </x:c>
    </x:row>
    <x:row r="2166">
      <x:c r="B2166" t="str">
        <x:v>PH-PI-06</x:v>
      </x:c>
      <x:c r="C2166" t="str">
        <x:v>PHYSICAL</x:v>
      </x:c>
      <x:c r="D2166" t="str">
        <x:v>intervention path</x:v>
      </x:c>
      <x:c r="E2166" t="str">
        <x:v>PH-PI-06</x:v>
      </x:c>
      <x:c r="F2166" t="n">
        <x:f>IF('Public Interventions'!G12&lt;&gt;"",1,0)</x:f>
        <x:v>0</x:v>
      </x:c>
      <x:c r="G2166" t="n">
        <x:v>1</x:v>
      </x:c>
      <x:c r="H2166" t="str">
        <x:v>independent physical acceptance</x:v>
      </x:c>
      <x:c r="I2166" t="str">
        <x:f>IF(F2166=1,"PASS","OPEN")</x:f>
        <x:v>OPEN</x:v>
      </x:c>
    </x:row>
    <x:row r="2167">
      <x:c r="B2167" t="str">
        <x:v>PH-PI-07</x:v>
      </x:c>
      <x:c r="C2167" t="str">
        <x:v>PHYSICAL</x:v>
      </x:c>
      <x:c r="D2167" t="str">
        <x:v>intervention path</x:v>
      </x:c>
      <x:c r="E2167" t="str">
        <x:v>PH-PI-07</x:v>
      </x:c>
      <x:c r="F2167" t="n">
        <x:f>IF('Public Interventions'!G13&lt;&gt;"",1,0)</x:f>
        <x:v>0</x:v>
      </x:c>
      <x:c r="G2167" t="n">
        <x:v>1</x:v>
      </x:c>
      <x:c r="H2167" t="str">
        <x:v>independent physical acceptance</x:v>
      </x:c>
      <x:c r="I2167" t="str">
        <x:f>IF(F2167=1,"PASS","OPEN")</x:f>
        <x:v>OPEN</x:v>
      </x:c>
    </x:row>
    <x:row r="2168">
      <x:c r="B2168" t="str">
        <x:v>PH-PI-08</x:v>
      </x:c>
      <x:c r="C2168" t="str">
        <x:v>PHYSICAL</x:v>
      </x:c>
      <x:c r="D2168" t="str">
        <x:v>intervention path</x:v>
      </x:c>
      <x:c r="E2168" t="str">
        <x:v>PH-PI-08</x:v>
      </x:c>
      <x:c r="F2168" t="n">
        <x:f>IF('Public Interventions'!G14&lt;&gt;"",1,0)</x:f>
        <x:v>0</x:v>
      </x:c>
      <x:c r="G2168" t="n">
        <x:v>1</x:v>
      </x:c>
      <x:c r="H2168" t="str">
        <x:v>independent physical acceptance</x:v>
      </x:c>
      <x:c r="I2168" t="str">
        <x:f>IF(F2168=1,"PASS","OPEN")</x:f>
        <x:v>OPEN</x:v>
      </x:c>
    </x:row>
    <x:row r="2169">
      <x:c r="B2169" t="str">
        <x:v>PH-PI-09</x:v>
      </x:c>
      <x:c r="C2169" t="str">
        <x:v>PHYSICAL</x:v>
      </x:c>
      <x:c r="D2169" t="str">
        <x:v>intervention path</x:v>
      </x:c>
      <x:c r="E2169" t="str">
        <x:v>PH-PI-09</x:v>
      </x:c>
      <x:c r="F2169" t="n">
        <x:f>IF('Public Interventions'!G15&lt;&gt;"",1,0)</x:f>
        <x:v>0</x:v>
      </x:c>
      <x:c r="G2169" t="n">
        <x:v>1</x:v>
      </x:c>
      <x:c r="H2169" t="str">
        <x:v>independent physical acceptance</x:v>
      </x:c>
      <x:c r="I2169" t="str">
        <x:f>IF(F2169=1,"PASS","OPEN")</x:f>
        <x:v>OPEN</x:v>
      </x:c>
    </x:row>
    <x:row r="2170">
      <x:c r="B2170" t="str">
        <x:v>PH-PI-10</x:v>
      </x:c>
      <x:c r="C2170" t="str">
        <x:v>PHYSICAL</x:v>
      </x:c>
      <x:c r="D2170" t="str">
        <x:v>intervention path</x:v>
      </x:c>
      <x:c r="E2170" t="str">
        <x:v>PH-PI-10</x:v>
      </x:c>
      <x:c r="F2170" t="n">
        <x:f>IF('Public Interventions'!G16&lt;&gt;"",1,0)</x:f>
        <x:v>0</x:v>
      </x:c>
      <x:c r="G2170" t="n">
        <x:v>1</x:v>
      </x:c>
      <x:c r="H2170" t="str">
        <x:v>independent physical acceptance</x:v>
      </x:c>
      <x:c r="I2170" t="str">
        <x:f>IF(F2170=1,"PASS","OPEN")</x:f>
        <x:v>OPEN</x:v>
      </x:c>
    </x:row>
    <x:row r="2171">
      <x:c r="B2171" t="str">
        <x:v>PH-PI-11</x:v>
      </x:c>
      <x:c r="C2171" t="str">
        <x:v>PHYSICAL</x:v>
      </x:c>
      <x:c r="D2171" t="str">
        <x:v>intervention path</x:v>
      </x:c>
      <x:c r="E2171" t="str">
        <x:v>PH-PI-11</x:v>
      </x:c>
      <x:c r="F2171" t="n">
        <x:f>IF('Public Interventions'!G17&lt;&gt;"",1,0)</x:f>
        <x:v>0</x:v>
      </x:c>
      <x:c r="G2171" t="n">
        <x:v>1</x:v>
      </x:c>
      <x:c r="H2171" t="str">
        <x:v>independent physical acceptance</x:v>
      </x:c>
      <x:c r="I2171" t="str">
        <x:f>IF(F2171=1,"PASS","OPEN")</x:f>
        <x:v>OPEN</x:v>
      </x:c>
    </x:row>
    <x:row r="2172">
      <x:c r="B2172" t="str">
        <x:v>PH-PI-12</x:v>
      </x:c>
      <x:c r="C2172" t="str">
        <x:v>PHYSICAL</x:v>
      </x:c>
      <x:c r="D2172" t="str">
        <x:v>intervention path</x:v>
      </x:c>
      <x:c r="E2172" t="str">
        <x:v>PH-PI-12</x:v>
      </x:c>
      <x:c r="F2172" t="n">
        <x:f>IF('Public Interventions'!G18&lt;&gt;"",1,0)</x:f>
        <x:v>0</x:v>
      </x:c>
      <x:c r="G2172" t="n">
        <x:v>1</x:v>
      </x:c>
      <x:c r="H2172" t="str">
        <x:v>independent physical acceptance</x:v>
      </x:c>
      <x:c r="I2172" t="str">
        <x:f>IF(F2172=1,"PASS","OPEN")</x:f>
        <x:v>OPEN</x:v>
      </x:c>
    </x:row>
    <x:row r="2173">
      <x:c r="B2173" t="str">
        <x:v>PH-AB-01</x:v>
      </x:c>
      <x:c r="C2173" t="str">
        <x:v>PHYSICAL</x:v>
      </x:c>
      <x:c r="D2173" t="str">
        <x:v>abort-channel drill</x:v>
      </x:c>
      <x:c r="E2173" t="str">
        <x:v>PH-AB-01</x:v>
      </x:c>
      <x:c r="F2173" t="n">
        <x:f>IF('Abort Logic'!G7&lt;&gt;"",1,0)</x:f>
        <x:v>0</x:v>
      </x:c>
      <x:c r="G2173" t="n">
        <x:v>1</x:v>
      </x:c>
      <x:c r="H2173" t="str">
        <x:v>independent physical acceptance</x:v>
      </x:c>
      <x:c r="I2173" t="str">
        <x:f>IF(F2173=1,"PASS","OPEN")</x:f>
        <x:v>OPEN</x:v>
      </x:c>
    </x:row>
    <x:row r="2174">
      <x:c r="B2174" t="str">
        <x:v>PH-AB-02</x:v>
      </x:c>
      <x:c r="C2174" t="str">
        <x:v>PHYSICAL</x:v>
      </x:c>
      <x:c r="D2174" t="str">
        <x:v>abort-channel drill</x:v>
      </x:c>
      <x:c r="E2174" t="str">
        <x:v>PH-AB-02</x:v>
      </x:c>
      <x:c r="F2174" t="n">
        <x:f>IF('Abort Logic'!G8&lt;&gt;"",1,0)</x:f>
        <x:v>0</x:v>
      </x:c>
      <x:c r="G2174" t="n">
        <x:v>1</x:v>
      </x:c>
      <x:c r="H2174" t="str">
        <x:v>independent physical acceptance</x:v>
      </x:c>
      <x:c r="I2174" t="str">
        <x:f>IF(F2174=1,"PASS","OPEN")</x:f>
        <x:v>OPEN</x:v>
      </x:c>
    </x:row>
    <x:row r="2175">
      <x:c r="B2175" t="str">
        <x:v>PH-AB-03</x:v>
      </x:c>
      <x:c r="C2175" t="str">
        <x:v>PHYSICAL</x:v>
      </x:c>
      <x:c r="D2175" t="str">
        <x:v>abort-channel drill</x:v>
      </x:c>
      <x:c r="E2175" t="str">
        <x:v>PH-AB-03</x:v>
      </x:c>
      <x:c r="F2175" t="n">
        <x:f>IF('Abort Logic'!G9&lt;&gt;"",1,0)</x:f>
        <x:v>0</x:v>
      </x:c>
      <x:c r="G2175" t="n">
        <x:v>1</x:v>
      </x:c>
      <x:c r="H2175" t="str">
        <x:v>independent physical acceptance</x:v>
      </x:c>
      <x:c r="I2175" t="str">
        <x:f>IF(F2175=1,"PASS","OPEN")</x:f>
        <x:v>OPEN</x:v>
      </x:c>
    </x:row>
    <x:row r="2176">
      <x:c r="B2176" t="str">
        <x:v>PH-AB-04</x:v>
      </x:c>
      <x:c r="C2176" t="str">
        <x:v>PHYSICAL</x:v>
      </x:c>
      <x:c r="D2176" t="str">
        <x:v>abort-channel drill</x:v>
      </x:c>
      <x:c r="E2176" t="str">
        <x:v>PH-AB-04</x:v>
      </x:c>
      <x:c r="F2176" t="n">
        <x:f>IF('Abort Logic'!G10&lt;&gt;"",1,0)</x:f>
        <x:v>0</x:v>
      </x:c>
      <x:c r="G2176" t="n">
        <x:v>1</x:v>
      </x:c>
      <x:c r="H2176" t="str">
        <x:v>independent physical acceptance</x:v>
      </x:c>
      <x:c r="I2176" t="str">
        <x:f>IF(F2176=1,"PASS","OPEN")</x:f>
        <x:v>OPEN</x:v>
      </x:c>
    </x:row>
    <x:row r="2177">
      <x:c r="B2177" t="str">
        <x:v>PH-AB-05</x:v>
      </x:c>
      <x:c r="C2177" t="str">
        <x:v>PHYSICAL</x:v>
      </x:c>
      <x:c r="D2177" t="str">
        <x:v>abort-channel drill</x:v>
      </x:c>
      <x:c r="E2177" t="str">
        <x:v>PH-AB-05</x:v>
      </x:c>
      <x:c r="F2177" t="n">
        <x:f>IF('Abort Logic'!G11&lt;&gt;"",1,0)</x:f>
        <x:v>0</x:v>
      </x:c>
      <x:c r="G2177" t="n">
        <x:v>1</x:v>
      </x:c>
      <x:c r="H2177" t="str">
        <x:v>independent physical acceptance</x:v>
      </x:c>
      <x:c r="I2177" t="str">
        <x:f>IF(F2177=1,"PASS","OPEN")</x:f>
        <x:v>OPEN</x:v>
      </x:c>
    </x:row>
    <x:row r="2178">
      <x:c r="B2178" t="str">
        <x:v>PH-AB-06</x:v>
      </x:c>
      <x:c r="C2178" t="str">
        <x:v>PHYSICAL</x:v>
      </x:c>
      <x:c r="D2178" t="str">
        <x:v>abort-channel drill</x:v>
      </x:c>
      <x:c r="E2178" t="str">
        <x:v>PH-AB-06</x:v>
      </x:c>
      <x:c r="F2178" t="n">
        <x:f>IF('Abort Logic'!G12&lt;&gt;"",1,0)</x:f>
        <x:v>0</x:v>
      </x:c>
      <x:c r="G2178" t="n">
        <x:v>1</x:v>
      </x:c>
      <x:c r="H2178" t="str">
        <x:v>independent physical acceptance</x:v>
      </x:c>
      <x:c r="I2178" t="str">
        <x:f>IF(F2178=1,"PASS","OPEN")</x:f>
        <x:v>OPEN</x:v>
      </x:c>
    </x:row>
    <x:row r="2179">
      <x:c r="B2179" t="str">
        <x:v>PH-AB-07</x:v>
      </x:c>
      <x:c r="C2179" t="str">
        <x:v>PHYSICAL</x:v>
      </x:c>
      <x:c r="D2179" t="str">
        <x:v>abort-channel drill</x:v>
      </x:c>
      <x:c r="E2179" t="str">
        <x:v>PH-AB-07</x:v>
      </x:c>
      <x:c r="F2179" t="n">
        <x:f>IF('Abort Logic'!G13&lt;&gt;"",1,0)</x:f>
        <x:v>0</x:v>
      </x:c>
      <x:c r="G2179" t="n">
        <x:v>1</x:v>
      </x:c>
      <x:c r="H2179" t="str">
        <x:v>independent physical acceptance</x:v>
      </x:c>
      <x:c r="I2179" t="str">
        <x:f>IF(F2179=1,"PASS","OPEN")</x:f>
        <x:v>OPEN</x:v>
      </x:c>
    </x:row>
    <x:row r="2180">
      <x:c r="B2180" t="str">
        <x:v>PH-AB-08</x:v>
      </x:c>
      <x:c r="C2180" t="str">
        <x:v>PHYSICAL</x:v>
      </x:c>
      <x:c r="D2180" t="str">
        <x:v>abort-channel drill</x:v>
      </x:c>
      <x:c r="E2180" t="str">
        <x:v>PH-AB-08</x:v>
      </x:c>
      <x:c r="F2180" t="n">
        <x:f>IF('Abort Logic'!G14&lt;&gt;"",1,0)</x:f>
        <x:v>0</x:v>
      </x:c>
      <x:c r="G2180" t="n">
        <x:v>1</x:v>
      </x:c>
      <x:c r="H2180" t="str">
        <x:v>independent physical acceptance</x:v>
      </x:c>
      <x:c r="I2180" t="str">
        <x:f>IF(F2180=1,"PASS","OPEN")</x:f>
        <x:v>OPEN</x:v>
      </x:c>
    </x:row>
    <x:row r="2181">
      <x:c r="B2181" t="str">
        <x:v>PH-AB-09</x:v>
      </x:c>
      <x:c r="C2181" t="str">
        <x:v>PHYSICAL</x:v>
      </x:c>
      <x:c r="D2181" t="str">
        <x:v>abort-channel drill</x:v>
      </x:c>
      <x:c r="E2181" t="str">
        <x:v>PH-AB-09</x:v>
      </x:c>
      <x:c r="F2181" t="n">
        <x:f>IF('Abort Logic'!G15&lt;&gt;"",1,0)</x:f>
        <x:v>0</x:v>
      </x:c>
      <x:c r="G2181" t="n">
        <x:v>1</x:v>
      </x:c>
      <x:c r="H2181" t="str">
        <x:v>independent physical acceptance</x:v>
      </x:c>
      <x:c r="I2181" t="str">
        <x:f>IF(F2181=1,"PASS","OPEN")</x:f>
        <x:v>OPEN</x:v>
      </x:c>
    </x:row>
    <x:row r="2182">
      <x:c r="B2182" t="str">
        <x:v>PH-AB-10</x:v>
      </x:c>
      <x:c r="C2182" t="str">
        <x:v>PHYSICAL</x:v>
      </x:c>
      <x:c r="D2182" t="str">
        <x:v>abort-channel drill</x:v>
      </x:c>
      <x:c r="E2182" t="str">
        <x:v>PH-AB-10</x:v>
      </x:c>
      <x:c r="F2182" t="n">
        <x:f>IF('Abort Logic'!G16&lt;&gt;"",1,0)</x:f>
        <x:v>0</x:v>
      </x:c>
      <x:c r="G2182" t="n">
        <x:v>1</x:v>
      </x:c>
      <x:c r="H2182" t="str">
        <x:v>independent physical acceptance</x:v>
      </x:c>
      <x:c r="I2182" t="str">
        <x:f>IF(F2182=1,"PASS","OPEN")</x:f>
        <x:v>OPEN</x:v>
      </x:c>
    </x:row>
    <x:row r="2183">
      <x:c r="B2183" t="str">
        <x:v>PH-AB-11</x:v>
      </x:c>
      <x:c r="C2183" t="str">
        <x:v>PHYSICAL</x:v>
      </x:c>
      <x:c r="D2183" t="str">
        <x:v>abort-channel drill</x:v>
      </x:c>
      <x:c r="E2183" t="str">
        <x:v>PH-AB-11</x:v>
      </x:c>
      <x:c r="F2183" t="n">
        <x:f>IF('Abort Logic'!G17&lt;&gt;"",1,0)</x:f>
        <x:v>0</x:v>
      </x:c>
      <x:c r="G2183" t="n">
        <x:v>1</x:v>
      </x:c>
      <x:c r="H2183" t="str">
        <x:v>independent physical acceptance</x:v>
      </x:c>
      <x:c r="I2183" t="str">
        <x:f>IF(F2183=1,"PASS","OPEN")</x:f>
        <x:v>OPEN</x:v>
      </x:c>
    </x:row>
    <x:row r="2184">
      <x:c r="B2184" t="str">
        <x:v>PH-AB-12</x:v>
      </x:c>
      <x:c r="C2184" t="str">
        <x:v>PHYSICAL</x:v>
      </x:c>
      <x:c r="D2184" t="str">
        <x:v>abort-channel drill</x:v>
      </x:c>
      <x:c r="E2184" t="str">
        <x:v>PH-AB-12</x:v>
      </x:c>
      <x:c r="F2184" t="n">
        <x:f>IF('Abort Logic'!G18&lt;&gt;"",1,0)</x:f>
        <x:v>0</x:v>
      </x:c>
      <x:c r="G2184" t="n">
        <x:v>1</x:v>
      </x:c>
      <x:c r="H2184" t="str">
        <x:v>independent physical acceptance</x:v>
      </x:c>
      <x:c r="I2184" t="str">
        <x:f>IF(F2184=1,"PASS","OPEN")</x:f>
        <x:v>OPEN</x:v>
      </x:c>
    </x:row>
    <x:row r="2185">
      <x:c r="B2185" t="str">
        <x:v>PH-AB-13</x:v>
      </x:c>
      <x:c r="C2185" t="str">
        <x:v>PHYSICAL</x:v>
      </x:c>
      <x:c r="D2185" t="str">
        <x:v>abort-channel drill</x:v>
      </x:c>
      <x:c r="E2185" t="str">
        <x:v>PH-AB-13</x:v>
      </x:c>
      <x:c r="F2185" t="n">
        <x:f>IF('Abort Logic'!G19&lt;&gt;"",1,0)</x:f>
        <x:v>0</x:v>
      </x:c>
      <x:c r="G2185" t="n">
        <x:v>1</x:v>
      </x:c>
      <x:c r="H2185" t="str">
        <x:v>independent physical acceptance</x:v>
      </x:c>
      <x:c r="I2185" t="str">
        <x:f>IF(F2185=1,"PASS","OPEN")</x:f>
        <x:v>OPEN</x:v>
      </x:c>
    </x:row>
    <x:row r="2186">
      <x:c r="B2186" t="str">
        <x:v>PH-AB-14</x:v>
      </x:c>
      <x:c r="C2186" t="str">
        <x:v>PHYSICAL</x:v>
      </x:c>
      <x:c r="D2186" t="str">
        <x:v>abort-channel drill</x:v>
      </x:c>
      <x:c r="E2186" t="str">
        <x:v>PH-AB-14</x:v>
      </x:c>
      <x:c r="F2186" t="n">
        <x:f>IF('Abort Logic'!G20&lt;&gt;"",1,0)</x:f>
        <x:v>0</x:v>
      </x:c>
      <x:c r="G2186" t="n">
        <x:v>1</x:v>
      </x:c>
      <x:c r="H2186" t="str">
        <x:v>independent physical acceptance</x:v>
      </x:c>
      <x:c r="I2186" t="str">
        <x:f>IF(F2186=1,"PASS","OPEN")</x:f>
        <x:v>OPEN</x:v>
      </x:c>
    </x:row>
    <x:row r="2187">
      <x:c r="B2187" t="str">
        <x:v>PH-AB-15</x:v>
      </x:c>
      <x:c r="C2187" t="str">
        <x:v>PHYSICAL</x:v>
      </x:c>
      <x:c r="D2187" t="str">
        <x:v>abort-channel drill</x:v>
      </x:c>
      <x:c r="E2187" t="str">
        <x:v>PH-AB-15</x:v>
      </x:c>
      <x:c r="F2187" t="n">
        <x:f>IF('Abort Logic'!G21&lt;&gt;"",1,0)</x:f>
        <x:v>0</x:v>
      </x:c>
      <x:c r="G2187" t="n">
        <x:v>1</x:v>
      </x:c>
      <x:c r="H2187" t="str">
        <x:v>independent physical acceptance</x:v>
      </x:c>
      <x:c r="I2187" t="str">
        <x:f>IF(F2187=1,"PASS","OPEN")</x:f>
        <x:v>OPEN</x:v>
      </x:c>
    </x:row>
    <x:row r="2188">
      <x:c r="B2188" t="str">
        <x:v>PH-AB-16</x:v>
      </x:c>
      <x:c r="C2188" t="str">
        <x:v>PHYSICAL</x:v>
      </x:c>
      <x:c r="D2188" t="str">
        <x:v>abort-channel drill</x:v>
      </x:c>
      <x:c r="E2188" t="str">
        <x:v>PH-AB-16</x:v>
      </x:c>
      <x:c r="F2188" t="n">
        <x:f>IF('Abort Logic'!G22&lt;&gt;"",1,0)</x:f>
        <x:v>0</x:v>
      </x:c>
      <x:c r="G2188" t="n">
        <x:v>1</x:v>
      </x:c>
      <x:c r="H2188" t="str">
        <x:v>independent physical acceptance</x:v>
      </x:c>
      <x:c r="I2188" t="str">
        <x:f>IF(F2188=1,"PASS","OPEN")</x:f>
        <x:v>OPEN</x:v>
      </x:c>
    </x:row>
    <x:row r="2189">
      <x:c r="B2189" t="str">
        <x:v>PH-AB-17</x:v>
      </x:c>
      <x:c r="C2189" t="str">
        <x:v>PHYSICAL</x:v>
      </x:c>
      <x:c r="D2189" t="str">
        <x:v>abort-channel drill</x:v>
      </x:c>
      <x:c r="E2189" t="str">
        <x:v>PH-AB-17</x:v>
      </x:c>
      <x:c r="F2189" t="n">
        <x:f>IF('Abort Logic'!G23&lt;&gt;"",1,0)</x:f>
        <x:v>0</x:v>
      </x:c>
      <x:c r="G2189" t="n">
        <x:v>1</x:v>
      </x:c>
      <x:c r="H2189" t="str">
        <x:v>independent physical acceptance</x:v>
      </x:c>
      <x:c r="I2189" t="str">
        <x:f>IF(F2189=1,"PASS","OPEN")</x:f>
        <x:v>OPEN</x:v>
      </x:c>
    </x:row>
    <x:row r="2190">
      <x:c r="B2190" t="str">
        <x:v>PH-AB-18</x:v>
      </x:c>
      <x:c r="C2190" t="str">
        <x:v>PHYSICAL</x:v>
      </x:c>
      <x:c r="D2190" t="str">
        <x:v>abort-channel drill</x:v>
      </x:c>
      <x:c r="E2190" t="str">
        <x:v>PH-AB-18</x:v>
      </x:c>
      <x:c r="F2190" t="n">
        <x:f>IF('Abort Logic'!G24&lt;&gt;"",1,0)</x:f>
        <x:v>0</x:v>
      </x:c>
      <x:c r="G2190" t="n">
        <x:v>1</x:v>
      </x:c>
      <x:c r="H2190" t="str">
        <x:v>independent physical acceptance</x:v>
      </x:c>
      <x:c r="I2190" t="str">
        <x:f>IF(F2190=1,"PASS","OPEN")</x:f>
        <x:v>OPEN</x:v>
      </x:c>
    </x:row>
    <x:row r="2191">
      <x:c r="B2191" t="str">
        <x:v>PH-AB-19</x:v>
      </x:c>
      <x:c r="C2191" t="str">
        <x:v>PHYSICAL</x:v>
      </x:c>
      <x:c r="D2191" t="str">
        <x:v>abort-channel drill</x:v>
      </x:c>
      <x:c r="E2191" t="str">
        <x:v>PH-AB-19</x:v>
      </x:c>
      <x:c r="F2191" t="n">
        <x:f>IF('Abort Logic'!G25&lt;&gt;"",1,0)</x:f>
        <x:v>0</x:v>
      </x:c>
      <x:c r="G2191" t="n">
        <x:v>1</x:v>
      </x:c>
      <x:c r="H2191" t="str">
        <x:v>independent physical acceptance</x:v>
      </x:c>
      <x:c r="I2191" t="str">
        <x:f>IF(F2191=1,"PASS","OPEN")</x:f>
        <x:v>OPEN</x:v>
      </x:c>
    </x:row>
    <x:row r="2192">
      <x:c r="B2192" t="str">
        <x:v>PH-AB-20</x:v>
      </x:c>
      <x:c r="C2192" t="str">
        <x:v>PHYSICAL</x:v>
      </x:c>
      <x:c r="D2192" t="str">
        <x:v>abort-channel drill</x:v>
      </x:c>
      <x:c r="E2192" t="str">
        <x:v>PH-AB-20</x:v>
      </x:c>
      <x:c r="F2192" t="n">
        <x:f>IF('Abort Logic'!G26&lt;&gt;"",1,0)</x:f>
        <x:v>0</x:v>
      </x:c>
      <x:c r="G2192" t="n">
        <x:v>1</x:v>
      </x:c>
      <x:c r="H2192" t="str">
        <x:v>independent physical acceptance</x:v>
      </x:c>
      <x:c r="I2192" t="str">
        <x:f>IF(F2192=1,"PASS","OPEN")</x:f>
        <x:v>OPEN</x:v>
      </x:c>
    </x:row>
    <x:row r="2193">
      <x:c r="B2193" t="str">
        <x:v>DS-01</x:v>
      </x:c>
      <x:c r="C2193" t="str">
        <x:v>DOWNSTREAM</x:v>
      </x:c>
      <x:c r="D2193" t="str">
        <x:v>rig physical acceptance</x:v>
      </x:c>
      <x:c r="E2193" t="str">
        <x:v>rig physical acceptance</x:v>
      </x:c>
      <x:c r="F2193" t="n">
        <x:f>Controls!$D$63</x:f>
        <x:v>0</x:v>
      </x:c>
      <x:c r="G2193" t="n">
        <x:v>1</x:v>
      </x:c>
      <x:c r="H2193" t="str">
        <x:v>separate authority</x:v>
      </x:c>
      <x:c r="I2193" t="str">
        <x:f>IF(F2193=1,"PASS","BLOCKED")</x:f>
        <x:v>BLOCKED</x:v>
      </x:c>
    </x:row>
    <x:row r="2194">
      <x:c r="B2194" t="str">
        <x:v>DS-02</x:v>
      </x:c>
      <x:c r="C2194" t="str">
        <x:v>DOWNSTREAM</x:v>
      </x:c>
      <x:c r="D2194" t="str">
        <x:v>water/tracer execution</x:v>
      </x:c>
      <x:c r="E2194" t="str">
        <x:v>water/tracer execution</x:v>
      </x:c>
      <x:c r="F2194" t="n">
        <x:f>Controls!$D$64</x:f>
        <x:v>0</x:v>
      </x:c>
      <x:c r="G2194" t="n">
        <x:v>1</x:v>
      </x:c>
      <x:c r="H2194" t="str">
        <x:v>separate authority</x:v>
      </x:c>
      <x:c r="I2194" t="str">
        <x:f>IF(F2194=1,"PASS","BLOCKED")</x:f>
        <x:v>BLOCKED</x:v>
      </x:c>
    </x:row>
    <x:row r="2195">
      <x:c r="B2195" t="str">
        <x:v>DS-03</x:v>
      </x:c>
      <x:c r="C2195" t="str">
        <x:v>DOWNSTREAM</x:v>
      </x:c>
      <x:c r="D2195" t="str">
        <x:v>surrogate execution</x:v>
      </x:c>
      <x:c r="E2195" t="str">
        <x:v>surrogate execution</x:v>
      </x:c>
      <x:c r="F2195" t="n">
        <x:f>Controls!$D$65</x:f>
        <x:v>0</x:v>
      </x:c>
      <x:c r="G2195" t="n">
        <x:v>1</x:v>
      </x:c>
      <x:c r="H2195" t="str">
        <x:v>separate authority</x:v>
      </x:c>
      <x:c r="I2195" t="str">
        <x:f>IF(F2195=1,"PASS","BLOCKED")</x:f>
        <x:v>BLOCKED</x:v>
      </x:c>
    </x:row>
    <x:row r="2196">
      <x:c r="B2196" t="str">
        <x:v>DS-04</x:v>
      </x:c>
      <x:c r="C2196" t="str">
        <x:v>DOWNSTREAM</x:v>
      </x:c>
      <x:c r="D2196" t="str">
        <x:v>quarter-source execution</x:v>
      </x:c>
      <x:c r="E2196" t="str">
        <x:v>quarter-source execution</x:v>
      </x:c>
      <x:c r="F2196" t="n">
        <x:f>Controls!$D$66</x:f>
        <x:v>0</x:v>
      </x:c>
      <x:c r="G2196" t="n">
        <x:v>1</x:v>
      </x:c>
      <x:c r="H2196" t="str">
        <x:v>separate authority</x:v>
      </x:c>
      <x:c r="I2196" t="str">
        <x:f>IF(F2196=1,"PASS","BLOCKED")</x:f>
        <x:v>BLOCKED</x:v>
      </x:c>
    </x:row>
    <x:row r="2197">
      <x:c r="B2197" t="str">
        <x:v>DS-05</x:v>
      </x:c>
      <x:c r="C2197" t="str">
        <x:v>DOWNSTREAM</x:v>
      </x:c>
      <x:c r="D2197" t="str">
        <x:v>full-source fire execution</x:v>
      </x:c>
      <x:c r="E2197" t="str">
        <x:v>full-source fire execution</x:v>
      </x:c>
      <x:c r="F2197" t="n">
        <x:f>Controls!$D$67</x:f>
        <x:v>0</x:v>
      </x:c>
      <x:c r="G2197" t="n">
        <x:v>1</x:v>
      </x:c>
      <x:c r="H2197" t="str">
        <x:v>separate authority</x:v>
      </x:c>
      <x:c r="I2197" t="str">
        <x:f>IF(F2197=1,"PASS","BLOCKED")</x:f>
        <x:v>BLOCKED</x:v>
      </x:c>
    </x:row>
    <x:row r="2198">
      <x:c r="B2198" t="str">
        <x:v>DS-06</x:v>
      </x:c>
      <x:c r="C2198" t="str">
        <x:v>DOWNSTREAM</x:v>
      </x:c>
      <x:c r="D2198" t="str">
        <x:v>destructive execution</x:v>
      </x:c>
      <x:c r="E2198" t="str">
        <x:v>destructive execution</x:v>
      </x:c>
      <x:c r="F2198" t="n">
        <x:f>Controls!$D$68</x:f>
        <x:v>0</x:v>
      </x:c>
      <x:c r="G2198" t="n">
        <x:v>1</x:v>
      </x:c>
      <x:c r="H2198" t="str">
        <x:v>separate authority</x:v>
      </x:c>
      <x:c r="I2198" t="str">
        <x:f>IF(F2198=1,"PASS","BLOCKED")</x:f>
        <x:v>BLOCKED</x:v>
      </x:c>
    </x:row>
    <x:row r="2199">
      <x:c r="B2199" t="str">
        <x:v>DS-07</x:v>
      </x:c>
      <x:c r="C2199" t="str">
        <x:v>DOWNSTREAM</x:v>
      </x:c>
      <x:c r="D2199" t="str">
        <x:v>candidate selection</x:v>
      </x:c>
      <x:c r="E2199" t="str">
        <x:v>candidate selection</x:v>
      </x:c>
      <x:c r="F2199" t="n">
        <x:f>Controls!$D$69</x:f>
        <x:v>0</x:v>
      </x:c>
      <x:c r="G2199" t="n">
        <x:v>1</x:v>
      </x:c>
      <x:c r="H2199" t="str">
        <x:v>separate authority</x:v>
      </x:c>
      <x:c r="I2199" t="str">
        <x:f>IF(F2199=1,"PASS","BLOCKED")</x:f>
        <x:v>BLOCKED</x:v>
      </x:c>
    </x:row>
    <x:row r="2200">
      <x:c r="B2200" t="str">
        <x:v>DS-08</x:v>
      </x:c>
      <x:c r="C2200" t="str">
        <x:v>DOWNSTREAM</x:v>
      </x:c>
      <x:c r="D2200" t="str">
        <x:v>Root A freeze and production</x:v>
      </x:c>
      <x:c r="E2200" t="str">
        <x:v>Root A freeze and production</x:v>
      </x:c>
      <x:c r="F2200" t="n">
        <x:f>Controls!$D$70</x:f>
        <x:v>0</x:v>
      </x:c>
      <x:c r="G2200" t="n">
        <x:v>1</x:v>
      </x:c>
      <x:c r="H2200" t="str">
        <x:v>separate authority</x:v>
      </x:c>
      <x:c r="I2200" t="str">
        <x:f>IF(F2200=1,"PASS","BLOCKED")</x:f>
        <x:v>BLOCKED</x:v>
      </x:c>
    </x:row>
    <x:row r="2201">
      <x:c r="B2201" t="str">
        <x:v>DS-09</x:v>
      </x:c>
      <x:c r="C2201" t="str">
        <x:v>DOWNSTREAM</x:v>
      </x:c>
      <x:c r="D2201" t="str">
        <x:v>exterior rendering</x:v>
      </x:c>
      <x:c r="E2201" t="str">
        <x:v>exterior rendering</x:v>
      </x:c>
      <x:c r="F2201" t="n">
        <x:f>Controls!$D$72</x:f>
        <x:v>0</x:v>
      </x:c>
      <x:c r="G2201" t="n">
        <x:v>1</x:v>
      </x:c>
      <x:c r="H2201" t="str">
        <x:v>separate authority</x:v>
      </x:c>
      <x:c r="I2201" t="str">
        <x:f>IF(F2201=1,"PASS","BLOCKED")</x:f>
        <x:v>BLOCKED</x:v>
      </x:c>
    </x:row>
  </x:sheetData>
  <x:conditionalFormatting sqref="I7:I2201">
    <x:cfRule type="containsText" dxfId="91" priority="1" operator="containsText" text="FAIL"/>
    <x:cfRule type="containsText" dxfId="92" priority="2" operator="containsText" text="INVALID"/>
    <x:cfRule type="containsText" dxfId="93" priority="3" operator="containsText" text="BLOCKED"/>
    <x:cfRule type="containsText" dxfId="94" priority="4" operator="containsText" text="OPEN"/>
    <x:cfRule type="containsText" dxfId="95" priority="5" operator="containsText" text="GAP"/>
    <x:cfRule type="containsText" dxfId="96" priority="6" operator="containsText" text="PASS"/>
    <x:cfRule type="containsText" dxfId="97" priority="7" operator="containsText" text="VALID"/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51" hidden="0" customWidth="1"/>
    <x:col min="5" max="5" width="19" hidden="0" customWidth="1"/>
    <x:col min="6" max="6" width="19" hidden="0" customWidth="1"/>
    <x:col min="7" max="7" width="12" hidden="0" customWidth="1"/>
    <x:col min="8" max="8" width="14" hidden="0" customWidth="1"/>
    <x:col min="11" max="11" width="16" hidden="0" customWidth="1"/>
  </x:cols>
  <x:sheetData>
    <x:row r="2">
      <x:c r="B2" s="1" t="str">
        <x:v>Terminal-observer audit</x:v>
      </x:c>
      <x:c r="K2" t="n">
        <x:v>26</x:v>
      </x:c>
    </x:row>
    <x:row r="3">
      <x:c r="B3" s="2" t="str">
        <x:v>Twenty-six headline invariants and every release state are observed without feeding results back to source rows.</x:v>
      </x:c>
      <x:c r="K3" t="n">
        <x:v>2195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Audit</x:v>
      </x:c>
      <x:c r="C6" s="7" t="str">
        <x:v>Class</x:v>
      </x:c>
      <x:c r="D6" s="7" t="str">
        <x:v>Requirement</x:v>
      </x:c>
      <x:c r="E6" s="7" t="str">
        <x:v>Observed</x:v>
      </x:c>
      <x:c r="F6" s="7" t="str">
        <x:v>Expected</x:v>
      </x:c>
      <x:c r="G6" s="7" t="str">
        <x:v>Comparator</x:v>
      </x:c>
      <x:c r="H6" s="7" t="str">
        <x:v>State</x:v>
      </x:c>
    </x:row>
    <x:row r="7">
      <x:c r="B7" t="str">
        <x:v>H01</x:v>
      </x:c>
      <x:c r="C7" t="str">
        <x:v>HEADLINE</x:v>
      </x:c>
      <x:c r="D7" t="str">
        <x:v>worksheets</x:v>
      </x:c>
      <x:c r="E7" s="14" t="n">
        <x:f>COUNTA(ReadMe!B7:B22)+20</x:f>
        <x:v>36</x:v>
      </x:c>
      <x:c r="F7" s="14" t="n">
        <x:v>36</x:v>
      </x:c>
      <x:c r="G7" t="str">
        <x:v>equals</x:v>
      </x:c>
      <x:c r="H7" t="str">
        <x:f>IF(ABS(E7-F7)&lt;0.01,"PASS","FAIL")</x:f>
        <x:v>PASS</x:v>
      </x:c>
    </x:row>
    <x:row r="8">
      <x:c r="B8" t="str">
        <x:v>H02</x:v>
      </x:c>
      <x:c r="C8" t="str">
        <x:v>HEADLINE</x:v>
      </x:c>
      <x:c r="D8" t="str">
        <x:v>base events</x:v>
      </x:c>
      <x:c r="E8" s="14" t="n">
        <x:f>COUNTA('Event Register'!B7:B312)</x:f>
        <x:v>306</x:v>
      </x:c>
      <x:c r="F8" s="14" t="n">
        <x:v>306</x:v>
      </x:c>
      <x:c r="G8" t="str">
        <x:v>equals</x:v>
      </x:c>
      <x:c r="H8" t="str">
        <x:f>IF(ABS(E8-F8)&lt;0.01,"PASS","FAIL")</x:f>
        <x:v>PASS</x:v>
      </x:c>
    </x:row>
    <x:row r="9">
      <x:c r="B9" t="str">
        <x:v>H03</x:v>
      </x:c>
      <x:c r="C9" t="str">
        <x:v>HEADLINE</x:v>
      </x:c>
      <x:c r="D9" t="str">
        <x:v>pairs</x:v>
      </x:c>
      <x:c r="E9" s="14" t="n">
        <x:f>COUNTA('Pairing Ledger'!B7:B102)</x:f>
        <x:v>96</x:v>
      </x:c>
      <x:c r="F9" s="14" t="n">
        <x:v>96</x:v>
      </x:c>
      <x:c r="G9" t="str">
        <x:v>equals</x:v>
      </x:c>
      <x:c r="H9" t="str">
        <x:f>IF(ABS(E9-F9)&lt;0.01,"PASS","FAIL")</x:f>
        <x:v>PASS</x:v>
      </x:c>
    </x:row>
    <x:row r="10">
      <x:c r="B10" t="str">
        <x:v>H04</x:v>
      </x:c>
      <x:c r="C10" t="str">
        <x:v>HEADLINE</x:v>
      </x:c>
      <x:c r="D10" t="str">
        <x:v>reserve tokens</x:v>
      </x:c>
      <x:c r="E10" s="14" t="n">
        <x:f>COUNTA('Reserve Ledger'!B7:B72)</x:f>
        <x:v>66</x:v>
      </x:c>
      <x:c r="F10" s="14" t="n">
        <x:v>66</x:v>
      </x:c>
      <x:c r="G10" t="str">
        <x:v>equals</x:v>
      </x:c>
      <x:c r="H10" t="str">
        <x:f>IF(ABS(E10-F10)&lt;0.01,"PASS","FAIL")</x:f>
        <x:v>PASS</x:v>
      </x:c>
    </x:row>
    <x:row r="11">
      <x:c r="B11" t="str">
        <x:v>H05</x:v>
      </x:c>
      <x:c r="C11" t="str">
        <x:v>HEADLINE</x:v>
      </x:c>
      <x:c r="D11" t="str">
        <x:v>base source tonnes</x:v>
      </x:c>
      <x:c r="E11" s="14" t="n">
        <x:f>'Source Ledger'!F15</x:f>
        <x:v>294</x:v>
      </x:c>
      <x:c r="F11" s="14" t="n">
        <x:v>294</x:v>
      </x:c>
      <x:c r="G11" t="str">
        <x:v>equals</x:v>
      </x:c>
      <x:c r="H11" t="str">
        <x:f>IF(ABS(E11-F11)&lt;0.01,"PASS","FAIL")</x:f>
        <x:v>PASS</x:v>
      </x:c>
    </x:row>
    <x:row r="12">
      <x:c r="B12" t="str">
        <x:v>H06</x:v>
      </x:c>
      <x:c r="C12" t="str">
        <x:v>HEADLINE</x:v>
      </x:c>
      <x:c r="D12" t="str">
        <x:v>reserve source tonnes</x:v>
      </x:c>
      <x:c r="E12" s="14" t="n">
        <x:f>'Source Ledger'!I15</x:f>
        <x:v>74</x:v>
      </x:c>
      <x:c r="F12" s="14" t="n">
        <x:v>74</x:v>
      </x:c>
      <x:c r="G12" t="str">
        <x:v>equals</x:v>
      </x:c>
      <x:c r="H12" t="str">
        <x:f>IF(ABS(E12-F12)&lt;0.01,"PASS","FAIL")</x:f>
        <x:v>PASS</x:v>
      </x:c>
    </x:row>
    <x:row r="13">
      <x:c r="B13" t="str">
        <x:v>H07</x:v>
      </x:c>
      <x:c r="C13" t="str">
        <x:v>HEADLINE</x:v>
      </x:c>
      <x:c r="D13" t="str">
        <x:v>total source tonnes</x:v>
      </x:c>
      <x:c r="E13" s="14" t="n">
        <x:f>'Source Ledger'!J15</x:f>
        <x:v>368</x:v>
      </x:c>
      <x:c r="F13" s="14" t="n">
        <x:v>368</x:v>
      </x:c>
      <x:c r="G13" t="str">
        <x:v>equals</x:v>
      </x:c>
      <x:c r="H13" t="str">
        <x:f>IF(ABS(E13-F13)&lt;0.01,"PASS","FAIL")</x:f>
        <x:v>PASS</x:v>
      </x:c>
    </x:row>
    <x:row r="14">
      <x:c r="B14" t="str">
        <x:v>H08</x:v>
      </x:c>
      <x:c r="C14" t="str">
        <x:v>HEADLINE</x:v>
      </x:c>
      <x:c r="D14" t="str">
        <x:v>base rig-days</x:v>
      </x:c>
      <x:c r="E14" s="14" t="n">
        <x:f>'Stage Matrix'!H15</x:f>
        <x:v>2064</x:v>
      </x:c>
      <x:c r="F14" s="14" t="n">
        <x:v>2064</x:v>
      </x:c>
      <x:c r="G14" t="str">
        <x:v>equals</x:v>
      </x:c>
      <x:c r="H14" t="str">
        <x:f>IF(ABS(E14-F14)&lt;0.01,"PASS","FAIL")</x:f>
        <x:v>PASS</x:v>
      </x:c>
    </x:row>
    <x:row r="15">
      <x:c r="B15" t="str">
        <x:v>H09</x:v>
      </x:c>
      <x:c r="C15" t="str">
        <x:v>HEADLINE</x:v>
      </x:c>
      <x:c r="D15" t="str">
        <x:v>reserve rig-days</x:v>
      </x:c>
      <x:c r="E15" s="14" t="n">
        <x:f>'Stage Matrix'!I15</x:f>
        <x:v>495</x:v>
      </x:c>
      <x:c r="F15" s="14" t="n">
        <x:v>495</x:v>
      </x:c>
      <x:c r="G15" t="str">
        <x:v>equals</x:v>
      </x:c>
      <x:c r="H15" t="str">
        <x:f>IF(ABS(E15-F15)&lt;0.01,"PASS","FAIL")</x:f>
        <x:v>PASS</x:v>
      </x:c>
    </x:row>
    <x:row r="16">
      <x:c r="B16" t="str">
        <x:v>H10</x:v>
      </x:c>
      <x:c r="C16" t="str">
        <x:v>HEADLINE</x:v>
      </x:c>
      <x:c r="D16" t="str">
        <x:v>total rig-days</x:v>
      </x:c>
      <x:c r="E16" s="14" t="n">
        <x:f>'Rig Capacity'!F19</x:f>
        <x:v>2559</x:v>
      </x:c>
      <x:c r="F16" s="14" t="n">
        <x:v>2559</x:v>
      </x:c>
      <x:c r="G16" t="str">
        <x:v>equals</x:v>
      </x:c>
      <x:c r="H16" t="str">
        <x:f>IF(ABS(E16-F16)&lt;0.01,"PASS","FAIL")</x:f>
        <x:v>PASS</x:v>
      </x:c>
    </x:row>
    <x:row r="17">
      <x:c r="B17" t="str">
        <x:v>H11</x:v>
      </x:c>
      <x:c r="C17" t="str">
        <x:v>HEADLINE</x:v>
      </x:c>
      <x:c r="D17" t="str">
        <x:v>measurement channels</x:v>
      </x:c>
      <x:c r="E17" s="14" t="n">
        <x:f>SUM('Measurement Criteria'!D7:D30)</x:f>
        <x:v>576</x:v>
      </x:c>
      <x:c r="F17" s="14" t="n">
        <x:v>576</x:v>
      </x:c>
      <x:c r="G17" t="str">
        <x:v>equals</x:v>
      </x:c>
      <x:c r="H17" t="str">
        <x:f>IF(ABS(E17-F17)&lt;0.01,"PASS","FAIL")</x:f>
        <x:v>PASS</x:v>
      </x:c>
    </x:row>
    <x:row r="18">
      <x:c r="B18" t="str">
        <x:v>H12</x:v>
      </x:c>
      <x:c r="C18" t="str">
        <x:v>HEADLINE</x:v>
      </x:c>
      <x:c r="D18" t="str">
        <x:v>mass expanded uncertainty</x:v>
      </x:c>
      <x:c r="E18" s="14" t="n">
        <x:f>'Mass Closure'!E14</x:f>
        <x:v>4.813522618623496</x:v>
      </x:c>
      <x:c r="F18" s="14" t="n">
        <x:v>4.8135226186</x:v>
      </x:c>
      <x:c r="G18" t="str">
        <x:v>equals</x:v>
      </x:c>
      <x:c r="H18" t="str">
        <x:f>IF(ABS(E18-F18)&lt;0.01,"PASS","FAIL")</x:f>
        <x:v>PASS</x:v>
      </x:c>
    </x:row>
    <x:row r="19">
      <x:c r="B19" t="str">
        <x:v>H13</x:v>
      </x:c>
      <x:c r="C19" t="str">
        <x:v>HEADLINE</x:v>
      </x:c>
      <x:c r="D19" t="str">
        <x:v>base evidence TB</x:v>
      </x:c>
      <x:c r="E19" s="14" t="n">
        <x:f>'Data Volume'!E14</x:f>
        <x:v>36.003758128128005</x:v>
      </x:c>
      <x:c r="F19" s="14" t="n">
        <x:v>36.003758128</x:v>
      </x:c>
      <x:c r="G19" t="str">
        <x:v>equals</x:v>
      </x:c>
      <x:c r="H19" t="str">
        <x:f>IF(ABS(E19-F19)&lt;0.01,"PASS","FAIL")</x:f>
        <x:v>PASS</x:v>
      </x:c>
    </x:row>
    <x:row r="20">
      <x:c r="B20" t="str">
        <x:v>H14</x:v>
      </x:c>
      <x:c r="C20" t="str">
        <x:v>HEADLINE</x:v>
      </x:c>
      <x:c r="D20" t="str">
        <x:v>total evidence TB</x:v>
      </x:c>
      <x:c r="E20" s="14" t="n">
        <x:f>'Data Volume'!I14</x:f>
        <x:v>52.523129504563194</x:v>
      </x:c>
      <x:c r="F20" s="14" t="n">
        <x:v>52.523129505</x:v>
      </x:c>
      <x:c r="G20" t="str">
        <x:v>equals</x:v>
      </x:c>
      <x:c r="H20" t="str">
        <x:f>IF(ABS(E20-F20)&lt;0.01,"PASS","FAIL")</x:f>
        <x:v>PASS</x:v>
      </x:c>
    </x:row>
    <x:row r="21">
      <x:c r="B21" t="str">
        <x:v>H15</x:v>
      </x:c>
      <x:c r="C21" t="str">
        <x:v>HEADLINE</x:v>
      </x:c>
      <x:c r="D21" t="str">
        <x:v>workforce</x:v>
      </x:c>
      <x:c r="E21" s="14" t="n">
        <x:f>Workforce!C18</x:f>
        <x:v>584</x:v>
      </x:c>
      <x:c r="F21" s="14" t="n">
        <x:v>584</x:v>
      </x:c>
      <x:c r="G21" t="str">
        <x:v>equals</x:v>
      </x:c>
      <x:c r="H21" t="str">
        <x:f>IF(ABS(E21-F21)&lt;0.01,"PASS","FAIL")</x:f>
        <x:v>PASS</x:v>
      </x:c>
    </x:row>
    <x:row r="22">
      <x:c r="B22" t="str">
        <x:v>H16</x:v>
      </x:c>
      <x:c r="C22" t="str">
        <x:v>HEADLINE</x:v>
      </x:c>
      <x:c r="D22" t="str">
        <x:v>capital</x:v>
      </x:c>
      <x:c r="E22" s="14" t="n">
        <x:f>Capital!C20</x:f>
        <x:v>420</x:v>
      </x:c>
      <x:c r="F22" s="14" t="n">
        <x:v>420</x:v>
      </x:c>
      <x:c r="G22" t="str">
        <x:v>equals</x:v>
      </x:c>
      <x:c r="H22" t="str">
        <x:f>IF(ABS(E22-F22)&lt;0.01,"PASS","FAIL")</x:f>
        <x:v>PASS</x:v>
      </x:c>
    </x:row>
    <x:row r="23">
      <x:c r="B23" t="str">
        <x:v>H17</x:v>
      </x:c>
      <x:c r="C23" t="str">
        <x:v>HEADLINE</x:v>
      </x:c>
      <x:c r="D23" t="str">
        <x:v>annual support</x:v>
      </x:c>
      <x:c r="E23" s="14" t="n">
        <x:f>'Annual Support'!C18</x:f>
        <x:v>228</x:v>
      </x:c>
      <x:c r="F23" s="14" t="n">
        <x:v>228</x:v>
      </x:c>
      <x:c r="G23" t="str">
        <x:v>equals</x:v>
      </x:c>
      <x:c r="H23" t="str">
        <x:f>IF(ABS(E23-F23)&lt;0.01,"PASS","FAIL")</x:f>
        <x:v>PASS</x:v>
      </x:c>
    </x:row>
    <x:row r="24">
      <x:c r="B24" t="str">
        <x:v>H18</x:v>
      </x:c>
      <x:c r="C24" t="str">
        <x:v>HEADLINE</x:v>
      </x:c>
      <x:c r="D24" t="str">
        <x:v>program exposure</x:v>
      </x:c>
      <x:c r="E24" s="14" t="n">
        <x:f>'Portfolio Boundary'!C22</x:f>
        <x:v>1332</x:v>
      </x:c>
      <x:c r="F24" s="14" t="n">
        <x:v>1332</x:v>
      </x:c>
      <x:c r="G24" t="str">
        <x:v>equals</x:v>
      </x:c>
      <x:c r="H24" t="str">
        <x:f>IF(ABS(E24-F24)&lt;0.01,"PASS","FAIL")</x:f>
        <x:v>PASS</x:v>
      </x:c>
    </x:row>
    <x:row r="25">
      <x:c r="B25" t="str">
        <x:v>H19</x:v>
      </x:c>
      <x:c r="C25" t="str">
        <x:v>HEADLINE</x:v>
      </x:c>
      <x:c r="D25" t="str">
        <x:v>BRD-11R capital</x:v>
      </x:c>
      <x:c r="E25" s="14" t="n">
        <x:f>'Portfolio Boundary'!C17</x:f>
        <x:v>2325</x:v>
      </x:c>
      <x:c r="F25" s="14" t="n">
        <x:v>2325</x:v>
      </x:c>
      <x:c r="G25" t="str">
        <x:v>equals</x:v>
      </x:c>
      <x:c r="H25" t="str">
        <x:f>IF(ABS(E25-F25)&lt;0.01,"PASS","FAIL")</x:f>
        <x:v>PASS</x:v>
      </x:c>
    </x:row>
    <x:row r="26">
      <x:c r="B26" t="str">
        <x:v>H20</x:v>
      </x:c>
      <x:c r="C26" t="str">
        <x:v>HEADLINE</x:v>
      </x:c>
      <x:c r="D26" t="str">
        <x:v>BRD-11R annual</x:v>
      </x:c>
      <x:c r="E26" s="14" t="n">
        <x:f>'Portfolio Boundary'!D17</x:f>
        <x:v>414</x:v>
      </x:c>
      <x:c r="F26" s="14" t="n">
        <x:v>414</x:v>
      </x:c>
      <x:c r="G26" t="str">
        <x:v>equals</x:v>
      </x:c>
      <x:c r="H26" t="str">
        <x:f>IF(ABS(E26-F26)&lt;0.01,"PASS","FAIL")</x:f>
        <x:v>PASS</x:v>
      </x:c>
    </x:row>
    <x:row r="27">
      <x:c r="B27" t="str">
        <x:v>H21</x:v>
      </x:c>
      <x:c r="C27" t="str">
        <x:v>HEADLINE</x:v>
      </x:c>
      <x:c r="D27" t="str">
        <x:v>BRD-11U capital</x:v>
      </x:c>
      <x:c r="E27" s="14" t="n">
        <x:f>'Portfolio Boundary'!C21</x:f>
        <x:v>2923</x:v>
      </x:c>
      <x:c r="F27" s="14" t="n">
        <x:v>2923</x:v>
      </x:c>
      <x:c r="G27" t="str">
        <x:v>equals</x:v>
      </x:c>
      <x:c r="H27" t="str">
        <x:f>IF(ABS(E27-F27)&lt;0.01,"PASS","FAIL")</x:f>
        <x:v>PASS</x:v>
      </x:c>
    </x:row>
    <x:row r="28">
      <x:c r="B28" t="str">
        <x:v>H22</x:v>
      </x:c>
      <x:c r="C28" t="str">
        <x:v>HEADLINE</x:v>
      </x:c>
      <x:c r="D28" t="str">
        <x:v>BRD-11U annual</x:v>
      </x:c>
      <x:c r="E28" s="14" t="n">
        <x:f>'Portfolio Boundary'!D21</x:f>
        <x:v>559</x:v>
      </x:c>
      <x:c r="F28" s="14" t="n">
        <x:v>559</x:v>
      </x:c>
      <x:c r="G28" t="str">
        <x:v>equals</x:v>
      </x:c>
      <x:c r="H28" t="str">
        <x:f>IF(ABS(E28-F28)&lt;0.01,"PASS","FAIL")</x:f>
        <x:v>PASS</x:v>
      </x:c>
    </x:row>
    <x:row r="29">
      <x:c r="B29" t="str">
        <x:v>H23</x:v>
      </x:c>
      <x:c r="C29" t="str">
        <x:v>HEADLINE</x:v>
      </x:c>
      <x:c r="D29" t="str">
        <x:v>planning gates</x:v>
      </x:c>
      <x:c r="E29" s="14" t="n">
        <x:f>'Release Gates'!K2</x:f>
        <x:v>775</x:v>
      </x:c>
      <x:c r="F29" s="14" t="n">
        <x:v>775</x:v>
      </x:c>
      <x:c r="G29" t="str">
        <x:v>equals</x:v>
      </x:c>
      <x:c r="H29" t="str">
        <x:f>IF(ABS(E29-F29)&lt;0.01,"PASS","FAIL")</x:f>
        <x:v>PASS</x:v>
      </x:c>
    </x:row>
    <x:row r="30">
      <x:c r="B30" t="str">
        <x:v>H24</x:v>
      </x:c>
      <x:c r="C30" t="str">
        <x:v>HEADLINE</x:v>
      </x:c>
      <x:c r="D30" t="str">
        <x:v>physical gates</x:v>
      </x:c>
      <x:c r="E30" s="14" t="n">
        <x:f>'Release Gates'!K3</x:f>
        <x:v>1411</x:v>
      </x:c>
      <x:c r="F30" s="14" t="n">
        <x:v>1411</x:v>
      </x:c>
      <x:c r="G30" t="str">
        <x:v>equals</x:v>
      </x:c>
      <x:c r="H30" t="str">
        <x:f>IF(ABS(E30-F30)&lt;0.01,"PASS","FAIL")</x:f>
        <x:v>PASS</x:v>
      </x:c>
    </x:row>
    <x:row r="31">
      <x:c r="B31" t="str">
        <x:v>H25</x:v>
      </x:c>
      <x:c r="C31" t="str">
        <x:v>HEADLINE</x:v>
      </x:c>
      <x:c r="D31" t="str">
        <x:v>downstream gates</x:v>
      </x:c>
      <x:c r="E31" s="14" t="n">
        <x:f>'Release Gates'!K4</x:f>
        <x:v>9</x:v>
      </x:c>
      <x:c r="F31" s="14" t="n">
        <x:v>9</x:v>
      </x:c>
      <x:c r="G31" t="str">
        <x:v>equals</x:v>
      </x:c>
      <x:c r="H31" t="str">
        <x:f>IF(ABS(E31-F31)&lt;0.01,"PASS","FAIL")</x:f>
        <x:v>PASS</x:v>
      </x:c>
    </x:row>
    <x:row r="32">
      <x:c r="B32" t="str">
        <x:v>H26</x:v>
      </x:c>
      <x:c r="C32" t="str">
        <x:v>HEADLINE</x:v>
      </x:c>
      <x:c r="D32" t="str">
        <x:v>exact event total by rig</x:v>
      </x:c>
      <x:c r="E32" s="14" t="n">
        <x:f>'Rig Capacity'!I15</x:f>
        <x:v>306</x:v>
      </x:c>
      <x:c r="F32" s="14" t="n">
        <x:v>306</x:v>
      </x:c>
      <x:c r="G32" t="str">
        <x:v>equals</x:v>
      </x:c>
      <x:c r="H32" t="str">
        <x:f>IF(ABS(E32-F32)&lt;0.01,"PASS","FAIL")</x:f>
        <x:v>PASS</x:v>
      </x:c>
    </x:row>
    <x:row r="33">
      <x:c r="B33" t="str">
        <x:v>A-00001</x:v>
      </x:c>
      <x:c r="C33" t="str">
        <x:v>GATE</x:v>
      </x:c>
      <x:c r="D33" t="str">
        <x:v>release state mirrors governing ledger</x:v>
      </x:c>
      <x:c r="E33" t="str">
        <x:f>'Release Gates'!I7</x:f>
        <x:v>PASS</x:v>
      </x:c>
      <x:c r="F33" t="str">
        <x:f>IF('Release Gates'!C7="PLANNING","PASS",IF('Release Gates'!C7="PHYSICAL","OPEN","BLOCKED"))</x:f>
        <x:v>PASS</x:v>
      </x:c>
      <x:c r="G33" t="str">
        <x:v>equals</x:v>
      </x:c>
      <x:c r="H33" t="str">
        <x:f>IF(E33=F33,"PASS","FAIL")</x:f>
        <x:v>PASS</x:v>
      </x:c>
    </x:row>
    <x:row r="34">
      <x:c r="B34" t="str">
        <x:v>A-00002</x:v>
      </x:c>
      <x:c r="C34" t="str">
        <x:v>GATE</x:v>
      </x:c>
      <x:c r="D34" t="str">
        <x:v>release state mirrors governing ledger</x:v>
      </x:c>
      <x:c r="E34" t="str">
        <x:f>'Release Gates'!I8</x:f>
        <x:v>PASS</x:v>
      </x:c>
      <x:c r="F34" t="str">
        <x:f>IF('Release Gates'!C8="PLANNING","PASS",IF('Release Gates'!C8="PHYSICAL","OPEN","BLOCKED"))</x:f>
        <x:v>PASS</x:v>
      </x:c>
      <x:c r="G34" t="str">
        <x:v>equals</x:v>
      </x:c>
      <x:c r="H34" t="str">
        <x:f>IF(E34=F34,"PASS","FAIL")</x:f>
        <x:v>PASS</x:v>
      </x:c>
    </x:row>
    <x:row r="35">
      <x:c r="B35" t="str">
        <x:v>A-00003</x:v>
      </x:c>
      <x:c r="C35" t="str">
        <x:v>GATE</x:v>
      </x:c>
      <x:c r="D35" t="str">
        <x:v>release state mirrors governing ledger</x:v>
      </x:c>
      <x:c r="E35" t="str">
        <x:f>'Release Gates'!I9</x:f>
        <x:v>PASS</x:v>
      </x:c>
      <x:c r="F35" t="str">
        <x:f>IF('Release Gates'!C9="PLANNING","PASS",IF('Release Gates'!C9="PHYSICAL","OPEN","BLOCKED"))</x:f>
        <x:v>PASS</x:v>
      </x:c>
      <x:c r="G35" t="str">
        <x:v>equals</x:v>
      </x:c>
      <x:c r="H35" t="str">
        <x:f>IF(E35=F35,"PASS","FAIL")</x:f>
        <x:v>PASS</x:v>
      </x:c>
    </x:row>
    <x:row r="36">
      <x:c r="B36" t="str">
        <x:v>A-00004</x:v>
      </x:c>
      <x:c r="C36" t="str">
        <x:v>GATE</x:v>
      </x:c>
      <x:c r="D36" t="str">
        <x:v>release state mirrors governing ledger</x:v>
      </x:c>
      <x:c r="E36" t="str">
        <x:f>'Release Gates'!I10</x:f>
        <x:v>PASS</x:v>
      </x:c>
      <x:c r="F36" t="str">
        <x:f>IF('Release Gates'!C10="PLANNING","PASS",IF('Release Gates'!C10="PHYSICAL","OPEN","BLOCKED"))</x:f>
        <x:v>PASS</x:v>
      </x:c>
      <x:c r="G36" t="str">
        <x:v>equals</x:v>
      </x:c>
      <x:c r="H36" t="str">
        <x:f>IF(E36=F36,"PASS","FAIL")</x:f>
        <x:v>PASS</x:v>
      </x:c>
    </x:row>
    <x:row r="37">
      <x:c r="B37" t="str">
        <x:v>A-00005</x:v>
      </x:c>
      <x:c r="C37" t="str">
        <x:v>GATE</x:v>
      </x:c>
      <x:c r="D37" t="str">
        <x:v>release state mirrors governing ledger</x:v>
      </x:c>
      <x:c r="E37" t="str">
        <x:f>'Release Gates'!I11</x:f>
        <x:v>PASS</x:v>
      </x:c>
      <x:c r="F37" t="str">
        <x:f>IF('Release Gates'!C11="PLANNING","PASS",IF('Release Gates'!C11="PHYSICAL","OPEN","BLOCKED"))</x:f>
        <x:v>PASS</x:v>
      </x:c>
      <x:c r="G37" t="str">
        <x:v>equals</x:v>
      </x:c>
      <x:c r="H37" t="str">
        <x:f>IF(E37=F37,"PASS","FAIL")</x:f>
        <x:v>PASS</x:v>
      </x:c>
    </x:row>
    <x:row r="38">
      <x:c r="B38" t="str">
        <x:v>A-00006</x:v>
      </x:c>
      <x:c r="C38" t="str">
        <x:v>GATE</x:v>
      </x:c>
      <x:c r="D38" t="str">
        <x:v>release state mirrors governing ledger</x:v>
      </x:c>
      <x:c r="E38" t="str">
        <x:f>'Release Gates'!I12</x:f>
        <x:v>PASS</x:v>
      </x:c>
      <x:c r="F38" t="str">
        <x:f>IF('Release Gates'!C12="PLANNING","PASS",IF('Release Gates'!C12="PHYSICAL","OPEN","BLOCKED"))</x:f>
        <x:v>PASS</x:v>
      </x:c>
      <x:c r="G38" t="str">
        <x:v>equals</x:v>
      </x:c>
      <x:c r="H38" t="str">
        <x:f>IF(E38=F38,"PASS","FAIL")</x:f>
        <x:v>PASS</x:v>
      </x:c>
    </x:row>
    <x:row r="39">
      <x:c r="B39" t="str">
        <x:v>A-00007</x:v>
      </x:c>
      <x:c r="C39" t="str">
        <x:v>GATE</x:v>
      </x:c>
      <x:c r="D39" t="str">
        <x:v>release state mirrors governing ledger</x:v>
      </x:c>
      <x:c r="E39" t="str">
        <x:f>'Release Gates'!I13</x:f>
        <x:v>PASS</x:v>
      </x:c>
      <x:c r="F39" t="str">
        <x:f>IF('Release Gates'!C13="PLANNING","PASS",IF('Release Gates'!C13="PHYSICAL","OPEN","BLOCKED"))</x:f>
        <x:v>PASS</x:v>
      </x:c>
      <x:c r="G39" t="str">
        <x:v>equals</x:v>
      </x:c>
      <x:c r="H39" t="str">
        <x:f>IF(E39=F39,"PASS","FAIL")</x:f>
        <x:v>PASS</x:v>
      </x:c>
    </x:row>
    <x:row r="40">
      <x:c r="B40" t="str">
        <x:v>A-00008</x:v>
      </x:c>
      <x:c r="C40" t="str">
        <x:v>GATE</x:v>
      </x:c>
      <x:c r="D40" t="str">
        <x:v>release state mirrors governing ledger</x:v>
      </x:c>
      <x:c r="E40" t="str">
        <x:f>'Release Gates'!I14</x:f>
        <x:v>PASS</x:v>
      </x:c>
      <x:c r="F40" t="str">
        <x:f>IF('Release Gates'!C14="PLANNING","PASS",IF('Release Gates'!C14="PHYSICAL","OPEN","BLOCKED"))</x:f>
        <x:v>PASS</x:v>
      </x:c>
      <x:c r="G40" t="str">
        <x:v>equals</x:v>
      </x:c>
      <x:c r="H40" t="str">
        <x:f>IF(E40=F40,"PASS","FAIL")</x:f>
        <x:v>PASS</x:v>
      </x:c>
    </x:row>
    <x:row r="41">
      <x:c r="B41" t="str">
        <x:v>A-00009</x:v>
      </x:c>
      <x:c r="C41" t="str">
        <x:v>GATE</x:v>
      </x:c>
      <x:c r="D41" t="str">
        <x:v>release state mirrors governing ledger</x:v>
      </x:c>
      <x:c r="E41" t="str">
        <x:f>'Release Gates'!I15</x:f>
        <x:v>PASS</x:v>
      </x:c>
      <x:c r="F41" t="str">
        <x:f>IF('Release Gates'!C15="PLANNING","PASS",IF('Release Gates'!C15="PHYSICAL","OPEN","BLOCKED"))</x:f>
        <x:v>PASS</x:v>
      </x:c>
      <x:c r="G41" t="str">
        <x:v>equals</x:v>
      </x:c>
      <x:c r="H41" t="str">
        <x:f>IF(E41=F41,"PASS","FAIL")</x:f>
        <x:v>PASS</x:v>
      </x:c>
    </x:row>
    <x:row r="42">
      <x:c r="B42" t="str">
        <x:v>A-00010</x:v>
      </x:c>
      <x:c r="C42" t="str">
        <x:v>GATE</x:v>
      </x:c>
      <x:c r="D42" t="str">
        <x:v>release state mirrors governing ledger</x:v>
      </x:c>
      <x:c r="E42" t="str">
        <x:f>'Release Gates'!I16</x:f>
        <x:v>PASS</x:v>
      </x:c>
      <x:c r="F42" t="str">
        <x:f>IF('Release Gates'!C16="PLANNING","PASS",IF('Release Gates'!C16="PHYSICAL","OPEN","BLOCKED"))</x:f>
        <x:v>PASS</x:v>
      </x:c>
      <x:c r="G42" t="str">
        <x:v>equals</x:v>
      </x:c>
      <x:c r="H42" t="str">
        <x:f>IF(E42=F42,"PASS","FAIL")</x:f>
        <x:v>PASS</x:v>
      </x:c>
    </x:row>
    <x:row r="43">
      <x:c r="B43" t="str">
        <x:v>A-00011</x:v>
      </x:c>
      <x:c r="C43" t="str">
        <x:v>GATE</x:v>
      </x:c>
      <x:c r="D43" t="str">
        <x:v>release state mirrors governing ledger</x:v>
      </x:c>
      <x:c r="E43" t="str">
        <x:f>'Release Gates'!I17</x:f>
        <x:v>PASS</x:v>
      </x:c>
      <x:c r="F43" t="str">
        <x:f>IF('Release Gates'!C17="PLANNING","PASS",IF('Release Gates'!C17="PHYSICAL","OPEN","BLOCKED"))</x:f>
        <x:v>PASS</x:v>
      </x:c>
      <x:c r="G43" t="str">
        <x:v>equals</x:v>
      </x:c>
      <x:c r="H43" t="str">
        <x:f>IF(E43=F43,"PASS","FAIL")</x:f>
        <x:v>PASS</x:v>
      </x:c>
    </x:row>
    <x:row r="44">
      <x:c r="B44" t="str">
        <x:v>A-00012</x:v>
      </x:c>
      <x:c r="C44" t="str">
        <x:v>GATE</x:v>
      </x:c>
      <x:c r="D44" t="str">
        <x:v>release state mirrors governing ledger</x:v>
      </x:c>
      <x:c r="E44" t="str">
        <x:f>'Release Gates'!I18</x:f>
        <x:v>PASS</x:v>
      </x:c>
      <x:c r="F44" t="str">
        <x:f>IF('Release Gates'!C18="PLANNING","PASS",IF('Release Gates'!C18="PHYSICAL","OPEN","BLOCKED"))</x:f>
        <x:v>PASS</x:v>
      </x:c>
      <x:c r="G44" t="str">
        <x:v>equals</x:v>
      </x:c>
      <x:c r="H44" t="str">
        <x:f>IF(E44=F44,"PASS","FAIL")</x:f>
        <x:v>PASS</x:v>
      </x:c>
    </x:row>
    <x:row r="45">
      <x:c r="B45" t="str">
        <x:v>A-00013</x:v>
      </x:c>
      <x:c r="C45" t="str">
        <x:v>GATE</x:v>
      </x:c>
      <x:c r="D45" t="str">
        <x:v>release state mirrors governing ledger</x:v>
      </x:c>
      <x:c r="E45" t="str">
        <x:f>'Release Gates'!I19</x:f>
        <x:v>PASS</x:v>
      </x:c>
      <x:c r="F45" t="str">
        <x:f>IF('Release Gates'!C19="PLANNING","PASS",IF('Release Gates'!C19="PHYSICAL","OPEN","BLOCKED"))</x:f>
        <x:v>PASS</x:v>
      </x:c>
      <x:c r="G45" t="str">
        <x:v>equals</x:v>
      </x:c>
      <x:c r="H45" t="str">
        <x:f>IF(E45=F45,"PASS","FAIL")</x:f>
        <x:v>PASS</x:v>
      </x:c>
    </x:row>
    <x:row r="46">
      <x:c r="B46" t="str">
        <x:v>A-00014</x:v>
      </x:c>
      <x:c r="C46" t="str">
        <x:v>GATE</x:v>
      </x:c>
      <x:c r="D46" t="str">
        <x:v>release state mirrors governing ledger</x:v>
      </x:c>
      <x:c r="E46" t="str">
        <x:f>'Release Gates'!I20</x:f>
        <x:v>PASS</x:v>
      </x:c>
      <x:c r="F46" t="str">
        <x:f>IF('Release Gates'!C20="PLANNING","PASS",IF('Release Gates'!C20="PHYSICAL","OPEN","BLOCKED"))</x:f>
        <x:v>PASS</x:v>
      </x:c>
      <x:c r="G46" t="str">
        <x:v>equals</x:v>
      </x:c>
      <x:c r="H46" t="str">
        <x:f>IF(E46=F46,"PASS","FAIL")</x:f>
        <x:v>PASS</x:v>
      </x:c>
    </x:row>
    <x:row r="47">
      <x:c r="B47" t="str">
        <x:v>A-00015</x:v>
      </x:c>
      <x:c r="C47" t="str">
        <x:v>GATE</x:v>
      </x:c>
      <x:c r="D47" t="str">
        <x:v>release state mirrors governing ledger</x:v>
      </x:c>
      <x:c r="E47" t="str">
        <x:f>'Release Gates'!I21</x:f>
        <x:v>PASS</x:v>
      </x:c>
      <x:c r="F47" t="str">
        <x:f>IF('Release Gates'!C21="PLANNING","PASS",IF('Release Gates'!C21="PHYSICAL","OPEN","BLOCKED"))</x:f>
        <x:v>PASS</x:v>
      </x:c>
      <x:c r="G47" t="str">
        <x:v>equals</x:v>
      </x:c>
      <x:c r="H47" t="str">
        <x:f>IF(E47=F47,"PASS","FAIL")</x:f>
        <x:v>PASS</x:v>
      </x:c>
    </x:row>
    <x:row r="48">
      <x:c r="B48" t="str">
        <x:v>A-00016</x:v>
      </x:c>
      <x:c r="C48" t="str">
        <x:v>GATE</x:v>
      </x:c>
      <x:c r="D48" t="str">
        <x:v>release state mirrors governing ledger</x:v>
      </x:c>
      <x:c r="E48" t="str">
        <x:f>'Release Gates'!I22</x:f>
        <x:v>PASS</x:v>
      </x:c>
      <x:c r="F48" t="str">
        <x:f>IF('Release Gates'!C22="PLANNING","PASS",IF('Release Gates'!C22="PHYSICAL","OPEN","BLOCKED"))</x:f>
        <x:v>PASS</x:v>
      </x:c>
      <x:c r="G48" t="str">
        <x:v>equals</x:v>
      </x:c>
      <x:c r="H48" t="str">
        <x:f>IF(E48=F48,"PASS","FAIL")</x:f>
        <x:v>PASS</x:v>
      </x:c>
    </x:row>
    <x:row r="49">
      <x:c r="B49" t="str">
        <x:v>A-00017</x:v>
      </x:c>
      <x:c r="C49" t="str">
        <x:v>GATE</x:v>
      </x:c>
      <x:c r="D49" t="str">
        <x:v>release state mirrors governing ledger</x:v>
      </x:c>
      <x:c r="E49" t="str">
        <x:f>'Release Gates'!I23</x:f>
        <x:v>PASS</x:v>
      </x:c>
      <x:c r="F49" t="str">
        <x:f>IF('Release Gates'!C23="PLANNING","PASS",IF('Release Gates'!C23="PHYSICAL","OPEN","BLOCKED"))</x:f>
        <x:v>PASS</x:v>
      </x:c>
      <x:c r="G49" t="str">
        <x:v>equals</x:v>
      </x:c>
      <x:c r="H49" t="str">
        <x:f>IF(E49=F49,"PASS","FAIL")</x:f>
        <x:v>PASS</x:v>
      </x:c>
    </x:row>
    <x:row r="50">
      <x:c r="B50" t="str">
        <x:v>A-00018</x:v>
      </x:c>
      <x:c r="C50" t="str">
        <x:v>GATE</x:v>
      </x:c>
      <x:c r="D50" t="str">
        <x:v>release state mirrors governing ledger</x:v>
      </x:c>
      <x:c r="E50" t="str">
        <x:f>'Release Gates'!I24</x:f>
        <x:v>PASS</x:v>
      </x:c>
      <x:c r="F50" t="str">
        <x:f>IF('Release Gates'!C24="PLANNING","PASS",IF('Release Gates'!C24="PHYSICAL","OPEN","BLOCKED"))</x:f>
        <x:v>PASS</x:v>
      </x:c>
      <x:c r="G50" t="str">
        <x:v>equals</x:v>
      </x:c>
      <x:c r="H50" t="str">
        <x:f>IF(E50=F50,"PASS","FAIL")</x:f>
        <x:v>PASS</x:v>
      </x:c>
    </x:row>
    <x:row r="51">
      <x:c r="B51" t="str">
        <x:v>A-00019</x:v>
      </x:c>
      <x:c r="C51" t="str">
        <x:v>GATE</x:v>
      </x:c>
      <x:c r="D51" t="str">
        <x:v>release state mirrors governing ledger</x:v>
      </x:c>
      <x:c r="E51" t="str">
        <x:f>'Release Gates'!I25</x:f>
        <x:v>PASS</x:v>
      </x:c>
      <x:c r="F51" t="str">
        <x:f>IF('Release Gates'!C25="PLANNING","PASS",IF('Release Gates'!C25="PHYSICAL","OPEN","BLOCKED"))</x:f>
        <x:v>PASS</x:v>
      </x:c>
      <x:c r="G51" t="str">
        <x:v>equals</x:v>
      </x:c>
      <x:c r="H51" t="str">
        <x:f>IF(E51=F51,"PASS","FAIL")</x:f>
        <x:v>PASS</x:v>
      </x:c>
    </x:row>
    <x:row r="52">
      <x:c r="B52" t="str">
        <x:v>A-00020</x:v>
      </x:c>
      <x:c r="C52" t="str">
        <x:v>GATE</x:v>
      </x:c>
      <x:c r="D52" t="str">
        <x:v>release state mirrors governing ledger</x:v>
      </x:c>
      <x:c r="E52" t="str">
        <x:f>'Release Gates'!I26</x:f>
        <x:v>PASS</x:v>
      </x:c>
      <x:c r="F52" t="str">
        <x:f>IF('Release Gates'!C26="PLANNING","PASS",IF('Release Gates'!C26="PHYSICAL","OPEN","BLOCKED"))</x:f>
        <x:v>PASS</x:v>
      </x:c>
      <x:c r="G52" t="str">
        <x:v>equals</x:v>
      </x:c>
      <x:c r="H52" t="str">
        <x:f>IF(E52=F52,"PASS","FAIL")</x:f>
        <x:v>PASS</x:v>
      </x:c>
    </x:row>
    <x:row r="53">
      <x:c r="B53" t="str">
        <x:v>A-00021</x:v>
      </x:c>
      <x:c r="C53" t="str">
        <x:v>GATE</x:v>
      </x:c>
      <x:c r="D53" t="str">
        <x:v>release state mirrors governing ledger</x:v>
      </x:c>
      <x:c r="E53" t="str">
        <x:f>'Release Gates'!I27</x:f>
        <x:v>PASS</x:v>
      </x:c>
      <x:c r="F53" t="str">
        <x:f>IF('Release Gates'!C27="PLANNING","PASS",IF('Release Gates'!C27="PHYSICAL","OPEN","BLOCKED"))</x:f>
        <x:v>PASS</x:v>
      </x:c>
      <x:c r="G53" t="str">
        <x:v>equals</x:v>
      </x:c>
      <x:c r="H53" t="str">
        <x:f>IF(E53=F53,"PASS","FAIL")</x:f>
        <x:v>PASS</x:v>
      </x:c>
    </x:row>
    <x:row r="54">
      <x:c r="B54" t="str">
        <x:v>A-00022</x:v>
      </x:c>
      <x:c r="C54" t="str">
        <x:v>GATE</x:v>
      </x:c>
      <x:c r="D54" t="str">
        <x:v>release state mirrors governing ledger</x:v>
      </x:c>
      <x:c r="E54" t="str">
        <x:f>'Release Gates'!I28</x:f>
        <x:v>PASS</x:v>
      </x:c>
      <x:c r="F54" t="str">
        <x:f>IF('Release Gates'!C28="PLANNING","PASS",IF('Release Gates'!C28="PHYSICAL","OPEN","BLOCKED"))</x:f>
        <x:v>PASS</x:v>
      </x:c>
      <x:c r="G54" t="str">
        <x:v>equals</x:v>
      </x:c>
      <x:c r="H54" t="str">
        <x:f>IF(E54=F54,"PASS","FAIL")</x:f>
        <x:v>PASS</x:v>
      </x:c>
    </x:row>
    <x:row r="55">
      <x:c r="B55" t="str">
        <x:v>A-00023</x:v>
      </x:c>
      <x:c r="C55" t="str">
        <x:v>GATE</x:v>
      </x:c>
      <x:c r="D55" t="str">
        <x:v>release state mirrors governing ledger</x:v>
      </x:c>
      <x:c r="E55" t="str">
        <x:f>'Release Gates'!I29</x:f>
        <x:v>PASS</x:v>
      </x:c>
      <x:c r="F55" t="str">
        <x:f>IF('Release Gates'!C29="PLANNING","PASS",IF('Release Gates'!C29="PHYSICAL","OPEN","BLOCKED"))</x:f>
        <x:v>PASS</x:v>
      </x:c>
      <x:c r="G55" t="str">
        <x:v>equals</x:v>
      </x:c>
      <x:c r="H55" t="str">
        <x:f>IF(E55=F55,"PASS","FAIL")</x:f>
        <x:v>PASS</x:v>
      </x:c>
    </x:row>
    <x:row r="56">
      <x:c r="B56" t="str">
        <x:v>A-00024</x:v>
      </x:c>
      <x:c r="C56" t="str">
        <x:v>GATE</x:v>
      </x:c>
      <x:c r="D56" t="str">
        <x:v>release state mirrors governing ledger</x:v>
      </x:c>
      <x:c r="E56" t="str">
        <x:f>'Release Gates'!I30</x:f>
        <x:v>PASS</x:v>
      </x:c>
      <x:c r="F56" t="str">
        <x:f>IF('Release Gates'!C30="PLANNING","PASS",IF('Release Gates'!C30="PHYSICAL","OPEN","BLOCKED"))</x:f>
        <x:v>PASS</x:v>
      </x:c>
      <x:c r="G56" t="str">
        <x:v>equals</x:v>
      </x:c>
      <x:c r="H56" t="str">
        <x:f>IF(E56=F56,"PASS","FAIL")</x:f>
        <x:v>PASS</x:v>
      </x:c>
    </x:row>
    <x:row r="57">
      <x:c r="B57" t="str">
        <x:v>A-00025</x:v>
      </x:c>
      <x:c r="C57" t="str">
        <x:v>GATE</x:v>
      </x:c>
      <x:c r="D57" t="str">
        <x:v>release state mirrors governing ledger</x:v>
      </x:c>
      <x:c r="E57" t="str">
        <x:f>'Release Gates'!I31</x:f>
        <x:v>PASS</x:v>
      </x:c>
      <x:c r="F57" t="str">
        <x:f>IF('Release Gates'!C31="PLANNING","PASS",IF('Release Gates'!C31="PHYSICAL","OPEN","BLOCKED"))</x:f>
        <x:v>PASS</x:v>
      </x:c>
      <x:c r="G57" t="str">
        <x:v>equals</x:v>
      </x:c>
      <x:c r="H57" t="str">
        <x:f>IF(E57=F57,"PASS","FAIL")</x:f>
        <x:v>PASS</x:v>
      </x:c>
    </x:row>
    <x:row r="58">
      <x:c r="B58" t="str">
        <x:v>A-00026</x:v>
      </x:c>
      <x:c r="C58" t="str">
        <x:v>GATE</x:v>
      </x:c>
      <x:c r="D58" t="str">
        <x:v>release state mirrors governing ledger</x:v>
      </x:c>
      <x:c r="E58" t="str">
        <x:f>'Release Gates'!I32</x:f>
        <x:v>PASS</x:v>
      </x:c>
      <x:c r="F58" t="str">
        <x:f>IF('Release Gates'!C32="PLANNING","PASS",IF('Release Gates'!C32="PHYSICAL","OPEN","BLOCKED"))</x:f>
        <x:v>PASS</x:v>
      </x:c>
      <x:c r="G58" t="str">
        <x:v>equals</x:v>
      </x:c>
      <x:c r="H58" t="str">
        <x:f>IF(E58=F58,"PASS","FAIL")</x:f>
        <x:v>PASS</x:v>
      </x:c>
    </x:row>
    <x:row r="59">
      <x:c r="B59" t="str">
        <x:v>A-00027</x:v>
      </x:c>
      <x:c r="C59" t="str">
        <x:v>GATE</x:v>
      </x:c>
      <x:c r="D59" t="str">
        <x:v>release state mirrors governing ledger</x:v>
      </x:c>
      <x:c r="E59" t="str">
        <x:f>'Release Gates'!I33</x:f>
        <x:v>PASS</x:v>
      </x:c>
      <x:c r="F59" t="str">
        <x:f>IF('Release Gates'!C33="PLANNING","PASS",IF('Release Gates'!C33="PHYSICAL","OPEN","BLOCKED"))</x:f>
        <x:v>PASS</x:v>
      </x:c>
      <x:c r="G59" t="str">
        <x:v>equals</x:v>
      </x:c>
      <x:c r="H59" t="str">
        <x:f>IF(E59=F59,"PASS","FAIL")</x:f>
        <x:v>PASS</x:v>
      </x:c>
    </x:row>
    <x:row r="60">
      <x:c r="B60" t="str">
        <x:v>A-00028</x:v>
      </x:c>
      <x:c r="C60" t="str">
        <x:v>GATE</x:v>
      </x:c>
      <x:c r="D60" t="str">
        <x:v>release state mirrors governing ledger</x:v>
      </x:c>
      <x:c r="E60" t="str">
        <x:f>'Release Gates'!I34</x:f>
        <x:v>PASS</x:v>
      </x:c>
      <x:c r="F60" t="str">
        <x:f>IF('Release Gates'!C34="PLANNING","PASS",IF('Release Gates'!C34="PHYSICAL","OPEN","BLOCKED"))</x:f>
        <x:v>PASS</x:v>
      </x:c>
      <x:c r="G60" t="str">
        <x:v>equals</x:v>
      </x:c>
      <x:c r="H60" t="str">
        <x:f>IF(E60=F60,"PASS","FAIL")</x:f>
        <x:v>PASS</x:v>
      </x:c>
    </x:row>
    <x:row r="61">
      <x:c r="B61" t="str">
        <x:v>A-00029</x:v>
      </x:c>
      <x:c r="C61" t="str">
        <x:v>GATE</x:v>
      </x:c>
      <x:c r="D61" t="str">
        <x:v>release state mirrors governing ledger</x:v>
      </x:c>
      <x:c r="E61" t="str">
        <x:f>'Release Gates'!I35</x:f>
        <x:v>PASS</x:v>
      </x:c>
      <x:c r="F61" t="str">
        <x:f>IF('Release Gates'!C35="PLANNING","PASS",IF('Release Gates'!C35="PHYSICAL","OPEN","BLOCKED"))</x:f>
        <x:v>PASS</x:v>
      </x:c>
      <x:c r="G61" t="str">
        <x:v>equals</x:v>
      </x:c>
      <x:c r="H61" t="str">
        <x:f>IF(E61=F61,"PASS","FAIL")</x:f>
        <x:v>PASS</x:v>
      </x:c>
    </x:row>
    <x:row r="62">
      <x:c r="B62" t="str">
        <x:v>A-00030</x:v>
      </x:c>
      <x:c r="C62" t="str">
        <x:v>GATE</x:v>
      </x:c>
      <x:c r="D62" t="str">
        <x:v>release state mirrors governing ledger</x:v>
      </x:c>
      <x:c r="E62" t="str">
        <x:f>'Release Gates'!I36</x:f>
        <x:v>PASS</x:v>
      </x:c>
      <x:c r="F62" t="str">
        <x:f>IF('Release Gates'!C36="PLANNING","PASS",IF('Release Gates'!C36="PHYSICAL","OPEN","BLOCKED"))</x:f>
        <x:v>PASS</x:v>
      </x:c>
      <x:c r="G62" t="str">
        <x:v>equals</x:v>
      </x:c>
      <x:c r="H62" t="str">
        <x:f>IF(E62=F62,"PASS","FAIL")</x:f>
        <x:v>PASS</x:v>
      </x:c>
    </x:row>
    <x:row r="63">
      <x:c r="B63" t="str">
        <x:v>A-00031</x:v>
      </x:c>
      <x:c r="C63" t="str">
        <x:v>GATE</x:v>
      </x:c>
      <x:c r="D63" t="str">
        <x:v>release state mirrors governing ledger</x:v>
      </x:c>
      <x:c r="E63" t="str">
        <x:f>'Release Gates'!I37</x:f>
        <x:v>PASS</x:v>
      </x:c>
      <x:c r="F63" t="str">
        <x:f>IF('Release Gates'!C37="PLANNING","PASS",IF('Release Gates'!C37="PHYSICAL","OPEN","BLOCKED"))</x:f>
        <x:v>PASS</x:v>
      </x:c>
      <x:c r="G63" t="str">
        <x:v>equals</x:v>
      </x:c>
      <x:c r="H63" t="str">
        <x:f>IF(E63=F63,"PASS","FAIL")</x:f>
        <x:v>PASS</x:v>
      </x:c>
    </x:row>
    <x:row r="64">
      <x:c r="B64" t="str">
        <x:v>A-00032</x:v>
      </x:c>
      <x:c r="C64" t="str">
        <x:v>GATE</x:v>
      </x:c>
      <x:c r="D64" t="str">
        <x:v>release state mirrors governing ledger</x:v>
      </x:c>
      <x:c r="E64" t="str">
        <x:f>'Release Gates'!I38</x:f>
        <x:v>PASS</x:v>
      </x:c>
      <x:c r="F64" t="str">
        <x:f>IF('Release Gates'!C38="PLANNING","PASS",IF('Release Gates'!C38="PHYSICAL","OPEN","BLOCKED"))</x:f>
        <x:v>PASS</x:v>
      </x:c>
      <x:c r="G64" t="str">
        <x:v>equals</x:v>
      </x:c>
      <x:c r="H64" t="str">
        <x:f>IF(E64=F64,"PASS","FAIL")</x:f>
        <x:v>PASS</x:v>
      </x:c>
    </x:row>
    <x:row r="65">
      <x:c r="B65" t="str">
        <x:v>A-00033</x:v>
      </x:c>
      <x:c r="C65" t="str">
        <x:v>GATE</x:v>
      </x:c>
      <x:c r="D65" t="str">
        <x:v>release state mirrors governing ledger</x:v>
      </x:c>
      <x:c r="E65" t="str">
        <x:f>'Release Gates'!I39</x:f>
        <x:v>PASS</x:v>
      </x:c>
      <x:c r="F65" t="str">
        <x:f>IF('Release Gates'!C39="PLANNING","PASS",IF('Release Gates'!C39="PHYSICAL","OPEN","BLOCKED"))</x:f>
        <x:v>PASS</x:v>
      </x:c>
      <x:c r="G65" t="str">
        <x:v>equals</x:v>
      </x:c>
      <x:c r="H65" t="str">
        <x:f>IF(E65=F65,"PASS","FAIL")</x:f>
        <x:v>PASS</x:v>
      </x:c>
    </x:row>
    <x:row r="66">
      <x:c r="B66" t="str">
        <x:v>A-00034</x:v>
      </x:c>
      <x:c r="C66" t="str">
        <x:v>GATE</x:v>
      </x:c>
      <x:c r="D66" t="str">
        <x:v>release state mirrors governing ledger</x:v>
      </x:c>
      <x:c r="E66" t="str">
        <x:f>'Release Gates'!I40</x:f>
        <x:v>PASS</x:v>
      </x:c>
      <x:c r="F66" t="str">
        <x:f>IF('Release Gates'!C40="PLANNING","PASS",IF('Release Gates'!C40="PHYSICAL","OPEN","BLOCKED"))</x:f>
        <x:v>PASS</x:v>
      </x:c>
      <x:c r="G66" t="str">
        <x:v>equals</x:v>
      </x:c>
      <x:c r="H66" t="str">
        <x:f>IF(E66=F66,"PASS","FAIL")</x:f>
        <x:v>PASS</x:v>
      </x:c>
    </x:row>
    <x:row r="67">
      <x:c r="B67" t="str">
        <x:v>A-00035</x:v>
      </x:c>
      <x:c r="C67" t="str">
        <x:v>GATE</x:v>
      </x:c>
      <x:c r="D67" t="str">
        <x:v>release state mirrors governing ledger</x:v>
      </x:c>
      <x:c r="E67" t="str">
        <x:f>'Release Gates'!I41</x:f>
        <x:v>PASS</x:v>
      </x:c>
      <x:c r="F67" t="str">
        <x:f>IF('Release Gates'!C41="PLANNING","PASS",IF('Release Gates'!C41="PHYSICAL","OPEN","BLOCKED"))</x:f>
        <x:v>PASS</x:v>
      </x:c>
      <x:c r="G67" t="str">
        <x:v>equals</x:v>
      </x:c>
      <x:c r="H67" t="str">
        <x:f>IF(E67=F67,"PASS","FAIL")</x:f>
        <x:v>PASS</x:v>
      </x:c>
    </x:row>
    <x:row r="68">
      <x:c r="B68" t="str">
        <x:v>A-00036</x:v>
      </x:c>
      <x:c r="C68" t="str">
        <x:v>GATE</x:v>
      </x:c>
      <x:c r="D68" t="str">
        <x:v>release state mirrors governing ledger</x:v>
      </x:c>
      <x:c r="E68" t="str">
        <x:f>'Release Gates'!I42</x:f>
        <x:v>PASS</x:v>
      </x:c>
      <x:c r="F68" t="str">
        <x:f>IF('Release Gates'!C42="PLANNING","PASS",IF('Release Gates'!C42="PHYSICAL","OPEN","BLOCKED"))</x:f>
        <x:v>PASS</x:v>
      </x:c>
      <x:c r="G68" t="str">
        <x:v>equals</x:v>
      </x:c>
      <x:c r="H68" t="str">
        <x:f>IF(E68=F68,"PASS","FAIL")</x:f>
        <x:v>PASS</x:v>
      </x:c>
    </x:row>
    <x:row r="69">
      <x:c r="B69" t="str">
        <x:v>A-00037</x:v>
      </x:c>
      <x:c r="C69" t="str">
        <x:v>GATE</x:v>
      </x:c>
      <x:c r="D69" t="str">
        <x:v>release state mirrors governing ledger</x:v>
      </x:c>
      <x:c r="E69" t="str">
        <x:f>'Release Gates'!I43</x:f>
        <x:v>PASS</x:v>
      </x:c>
      <x:c r="F69" t="str">
        <x:f>IF('Release Gates'!C43="PLANNING","PASS",IF('Release Gates'!C43="PHYSICAL","OPEN","BLOCKED"))</x:f>
        <x:v>PASS</x:v>
      </x:c>
      <x:c r="G69" t="str">
        <x:v>equals</x:v>
      </x:c>
      <x:c r="H69" t="str">
        <x:f>IF(E69=F69,"PASS","FAIL")</x:f>
        <x:v>PASS</x:v>
      </x:c>
    </x:row>
    <x:row r="70">
      <x:c r="B70" t="str">
        <x:v>A-00038</x:v>
      </x:c>
      <x:c r="C70" t="str">
        <x:v>GATE</x:v>
      </x:c>
      <x:c r="D70" t="str">
        <x:v>release state mirrors governing ledger</x:v>
      </x:c>
      <x:c r="E70" t="str">
        <x:f>'Release Gates'!I44</x:f>
        <x:v>PASS</x:v>
      </x:c>
      <x:c r="F70" t="str">
        <x:f>IF('Release Gates'!C44="PLANNING","PASS",IF('Release Gates'!C44="PHYSICAL","OPEN","BLOCKED"))</x:f>
        <x:v>PASS</x:v>
      </x:c>
      <x:c r="G70" t="str">
        <x:v>equals</x:v>
      </x:c>
      <x:c r="H70" t="str">
        <x:f>IF(E70=F70,"PASS","FAIL")</x:f>
        <x:v>PASS</x:v>
      </x:c>
    </x:row>
    <x:row r="71">
      <x:c r="B71" t="str">
        <x:v>A-00039</x:v>
      </x:c>
      <x:c r="C71" t="str">
        <x:v>GATE</x:v>
      </x:c>
      <x:c r="D71" t="str">
        <x:v>release state mirrors governing ledger</x:v>
      </x:c>
      <x:c r="E71" t="str">
        <x:f>'Release Gates'!I45</x:f>
        <x:v>PASS</x:v>
      </x:c>
      <x:c r="F71" t="str">
        <x:f>IF('Release Gates'!C45="PLANNING","PASS",IF('Release Gates'!C45="PHYSICAL","OPEN","BLOCKED"))</x:f>
        <x:v>PASS</x:v>
      </x:c>
      <x:c r="G71" t="str">
        <x:v>equals</x:v>
      </x:c>
      <x:c r="H71" t="str">
        <x:f>IF(E71=F71,"PASS","FAIL")</x:f>
        <x:v>PASS</x:v>
      </x:c>
    </x:row>
    <x:row r="72">
      <x:c r="B72" t="str">
        <x:v>A-00040</x:v>
      </x:c>
      <x:c r="C72" t="str">
        <x:v>GATE</x:v>
      </x:c>
      <x:c r="D72" t="str">
        <x:v>release state mirrors governing ledger</x:v>
      </x:c>
      <x:c r="E72" t="str">
        <x:f>'Release Gates'!I46</x:f>
        <x:v>PASS</x:v>
      </x:c>
      <x:c r="F72" t="str">
        <x:f>IF('Release Gates'!C46="PLANNING","PASS",IF('Release Gates'!C46="PHYSICAL","OPEN","BLOCKED"))</x:f>
        <x:v>PASS</x:v>
      </x:c>
      <x:c r="G72" t="str">
        <x:v>equals</x:v>
      </x:c>
      <x:c r="H72" t="str">
        <x:f>IF(E72=F72,"PASS","FAIL")</x:f>
        <x:v>PASS</x:v>
      </x:c>
    </x:row>
    <x:row r="73">
      <x:c r="B73" t="str">
        <x:v>A-00041</x:v>
      </x:c>
      <x:c r="C73" t="str">
        <x:v>GATE</x:v>
      </x:c>
      <x:c r="D73" t="str">
        <x:v>release state mirrors governing ledger</x:v>
      </x:c>
      <x:c r="E73" t="str">
        <x:f>'Release Gates'!I47</x:f>
        <x:v>PASS</x:v>
      </x:c>
      <x:c r="F73" t="str">
        <x:f>IF('Release Gates'!C47="PLANNING","PASS",IF('Release Gates'!C47="PHYSICAL","OPEN","BLOCKED"))</x:f>
        <x:v>PASS</x:v>
      </x:c>
      <x:c r="G73" t="str">
        <x:v>equals</x:v>
      </x:c>
      <x:c r="H73" t="str">
        <x:f>IF(E73=F73,"PASS","FAIL")</x:f>
        <x:v>PASS</x:v>
      </x:c>
    </x:row>
    <x:row r="74">
      <x:c r="B74" t="str">
        <x:v>A-00042</x:v>
      </x:c>
      <x:c r="C74" t="str">
        <x:v>GATE</x:v>
      </x:c>
      <x:c r="D74" t="str">
        <x:v>release state mirrors governing ledger</x:v>
      </x:c>
      <x:c r="E74" t="str">
        <x:f>'Release Gates'!I48</x:f>
        <x:v>PASS</x:v>
      </x:c>
      <x:c r="F74" t="str">
        <x:f>IF('Release Gates'!C48="PLANNING","PASS",IF('Release Gates'!C48="PHYSICAL","OPEN","BLOCKED"))</x:f>
        <x:v>PASS</x:v>
      </x:c>
      <x:c r="G74" t="str">
        <x:v>equals</x:v>
      </x:c>
      <x:c r="H74" t="str">
        <x:f>IF(E74=F74,"PASS","FAIL")</x:f>
        <x:v>PASS</x:v>
      </x:c>
    </x:row>
    <x:row r="75">
      <x:c r="B75" t="str">
        <x:v>A-00043</x:v>
      </x:c>
      <x:c r="C75" t="str">
        <x:v>GATE</x:v>
      </x:c>
      <x:c r="D75" t="str">
        <x:v>release state mirrors governing ledger</x:v>
      </x:c>
      <x:c r="E75" t="str">
        <x:f>'Release Gates'!I49</x:f>
        <x:v>PASS</x:v>
      </x:c>
      <x:c r="F75" t="str">
        <x:f>IF('Release Gates'!C49="PLANNING","PASS",IF('Release Gates'!C49="PHYSICAL","OPEN","BLOCKED"))</x:f>
        <x:v>PASS</x:v>
      </x:c>
      <x:c r="G75" t="str">
        <x:v>equals</x:v>
      </x:c>
      <x:c r="H75" t="str">
        <x:f>IF(E75=F75,"PASS","FAIL")</x:f>
        <x:v>PASS</x:v>
      </x:c>
    </x:row>
    <x:row r="76">
      <x:c r="B76" t="str">
        <x:v>A-00044</x:v>
      </x:c>
      <x:c r="C76" t="str">
        <x:v>GATE</x:v>
      </x:c>
      <x:c r="D76" t="str">
        <x:v>release state mirrors governing ledger</x:v>
      </x:c>
      <x:c r="E76" t="str">
        <x:f>'Release Gates'!I50</x:f>
        <x:v>PASS</x:v>
      </x:c>
      <x:c r="F76" t="str">
        <x:f>IF('Release Gates'!C50="PLANNING","PASS",IF('Release Gates'!C50="PHYSICAL","OPEN","BLOCKED"))</x:f>
        <x:v>PASS</x:v>
      </x:c>
      <x:c r="G76" t="str">
        <x:v>equals</x:v>
      </x:c>
      <x:c r="H76" t="str">
        <x:f>IF(E76=F76,"PASS","FAIL")</x:f>
        <x:v>PASS</x:v>
      </x:c>
    </x:row>
    <x:row r="77">
      <x:c r="B77" t="str">
        <x:v>A-00045</x:v>
      </x:c>
      <x:c r="C77" t="str">
        <x:v>GATE</x:v>
      </x:c>
      <x:c r="D77" t="str">
        <x:v>release state mirrors governing ledger</x:v>
      </x:c>
      <x:c r="E77" t="str">
        <x:f>'Release Gates'!I51</x:f>
        <x:v>PASS</x:v>
      </x:c>
      <x:c r="F77" t="str">
        <x:f>IF('Release Gates'!C51="PLANNING","PASS",IF('Release Gates'!C51="PHYSICAL","OPEN","BLOCKED"))</x:f>
        <x:v>PASS</x:v>
      </x:c>
      <x:c r="G77" t="str">
        <x:v>equals</x:v>
      </x:c>
      <x:c r="H77" t="str">
        <x:f>IF(E77=F77,"PASS","FAIL")</x:f>
        <x:v>PASS</x:v>
      </x:c>
    </x:row>
    <x:row r="78">
      <x:c r="B78" t="str">
        <x:v>A-00046</x:v>
      </x:c>
      <x:c r="C78" t="str">
        <x:v>GATE</x:v>
      </x:c>
      <x:c r="D78" t="str">
        <x:v>release state mirrors governing ledger</x:v>
      </x:c>
      <x:c r="E78" t="str">
        <x:f>'Release Gates'!I52</x:f>
        <x:v>PASS</x:v>
      </x:c>
      <x:c r="F78" t="str">
        <x:f>IF('Release Gates'!C52="PLANNING","PASS",IF('Release Gates'!C52="PHYSICAL","OPEN","BLOCKED"))</x:f>
        <x:v>PASS</x:v>
      </x:c>
      <x:c r="G78" t="str">
        <x:v>equals</x:v>
      </x:c>
      <x:c r="H78" t="str">
        <x:f>IF(E78=F78,"PASS","FAIL")</x:f>
        <x:v>PASS</x:v>
      </x:c>
    </x:row>
    <x:row r="79">
      <x:c r="B79" t="str">
        <x:v>A-00047</x:v>
      </x:c>
      <x:c r="C79" t="str">
        <x:v>GATE</x:v>
      </x:c>
      <x:c r="D79" t="str">
        <x:v>release state mirrors governing ledger</x:v>
      </x:c>
      <x:c r="E79" t="str">
        <x:f>'Release Gates'!I53</x:f>
        <x:v>PASS</x:v>
      </x:c>
      <x:c r="F79" t="str">
        <x:f>IF('Release Gates'!C53="PLANNING","PASS",IF('Release Gates'!C53="PHYSICAL","OPEN","BLOCKED"))</x:f>
        <x:v>PASS</x:v>
      </x:c>
      <x:c r="G79" t="str">
        <x:v>equals</x:v>
      </x:c>
      <x:c r="H79" t="str">
        <x:f>IF(E79=F79,"PASS","FAIL")</x:f>
        <x:v>PASS</x:v>
      </x:c>
    </x:row>
    <x:row r="80">
      <x:c r="B80" t="str">
        <x:v>A-00048</x:v>
      </x:c>
      <x:c r="C80" t="str">
        <x:v>GATE</x:v>
      </x:c>
      <x:c r="D80" t="str">
        <x:v>release state mirrors governing ledger</x:v>
      </x:c>
      <x:c r="E80" t="str">
        <x:f>'Release Gates'!I54</x:f>
        <x:v>PASS</x:v>
      </x:c>
      <x:c r="F80" t="str">
        <x:f>IF('Release Gates'!C54="PLANNING","PASS",IF('Release Gates'!C54="PHYSICAL","OPEN","BLOCKED"))</x:f>
        <x:v>PASS</x:v>
      </x:c>
      <x:c r="G80" t="str">
        <x:v>equals</x:v>
      </x:c>
      <x:c r="H80" t="str">
        <x:f>IF(E80=F80,"PASS","FAIL")</x:f>
        <x:v>PASS</x:v>
      </x:c>
    </x:row>
    <x:row r="81">
      <x:c r="B81" t="str">
        <x:v>A-00049</x:v>
      </x:c>
      <x:c r="C81" t="str">
        <x:v>GATE</x:v>
      </x:c>
      <x:c r="D81" t="str">
        <x:v>release state mirrors governing ledger</x:v>
      </x:c>
      <x:c r="E81" t="str">
        <x:f>'Release Gates'!I55</x:f>
        <x:v>PASS</x:v>
      </x:c>
      <x:c r="F81" t="str">
        <x:f>IF('Release Gates'!C55="PLANNING","PASS",IF('Release Gates'!C55="PHYSICAL","OPEN","BLOCKED"))</x:f>
        <x:v>PASS</x:v>
      </x:c>
      <x:c r="G81" t="str">
        <x:v>equals</x:v>
      </x:c>
      <x:c r="H81" t="str">
        <x:f>IF(E81=F81,"PASS","FAIL")</x:f>
        <x:v>PASS</x:v>
      </x:c>
    </x:row>
    <x:row r="82">
      <x:c r="B82" t="str">
        <x:v>A-00050</x:v>
      </x:c>
      <x:c r="C82" t="str">
        <x:v>GATE</x:v>
      </x:c>
      <x:c r="D82" t="str">
        <x:v>release state mirrors governing ledger</x:v>
      </x:c>
      <x:c r="E82" t="str">
        <x:f>'Release Gates'!I56</x:f>
        <x:v>PASS</x:v>
      </x:c>
      <x:c r="F82" t="str">
        <x:f>IF('Release Gates'!C56="PLANNING","PASS",IF('Release Gates'!C56="PHYSICAL","OPEN","BLOCKED"))</x:f>
        <x:v>PASS</x:v>
      </x:c>
      <x:c r="G82" t="str">
        <x:v>equals</x:v>
      </x:c>
      <x:c r="H82" t="str">
        <x:f>IF(E82=F82,"PASS","FAIL")</x:f>
        <x:v>PASS</x:v>
      </x:c>
    </x:row>
    <x:row r="83">
      <x:c r="B83" t="str">
        <x:v>A-00051</x:v>
      </x:c>
      <x:c r="C83" t="str">
        <x:v>GATE</x:v>
      </x:c>
      <x:c r="D83" t="str">
        <x:v>release state mirrors governing ledger</x:v>
      </x:c>
      <x:c r="E83" t="str">
        <x:f>'Release Gates'!I57</x:f>
        <x:v>PASS</x:v>
      </x:c>
      <x:c r="F83" t="str">
        <x:f>IF('Release Gates'!C57="PLANNING","PASS",IF('Release Gates'!C57="PHYSICAL","OPEN","BLOCKED"))</x:f>
        <x:v>PASS</x:v>
      </x:c>
      <x:c r="G83" t="str">
        <x:v>equals</x:v>
      </x:c>
      <x:c r="H83" t="str">
        <x:f>IF(E83=F83,"PASS","FAIL")</x:f>
        <x:v>PASS</x:v>
      </x:c>
    </x:row>
    <x:row r="84">
      <x:c r="B84" t="str">
        <x:v>A-00052</x:v>
      </x:c>
      <x:c r="C84" t="str">
        <x:v>GATE</x:v>
      </x:c>
      <x:c r="D84" t="str">
        <x:v>release state mirrors governing ledger</x:v>
      </x:c>
      <x:c r="E84" t="str">
        <x:f>'Release Gates'!I58</x:f>
        <x:v>PASS</x:v>
      </x:c>
      <x:c r="F84" t="str">
        <x:f>IF('Release Gates'!C58="PLANNING","PASS",IF('Release Gates'!C58="PHYSICAL","OPEN","BLOCKED"))</x:f>
        <x:v>PASS</x:v>
      </x:c>
      <x:c r="G84" t="str">
        <x:v>equals</x:v>
      </x:c>
      <x:c r="H84" t="str">
        <x:f>IF(E84=F84,"PASS","FAIL")</x:f>
        <x:v>PASS</x:v>
      </x:c>
    </x:row>
    <x:row r="85">
      <x:c r="B85" t="str">
        <x:v>A-00053</x:v>
      </x:c>
      <x:c r="C85" t="str">
        <x:v>GATE</x:v>
      </x:c>
      <x:c r="D85" t="str">
        <x:v>release state mirrors governing ledger</x:v>
      </x:c>
      <x:c r="E85" t="str">
        <x:f>'Release Gates'!I59</x:f>
        <x:v>PASS</x:v>
      </x:c>
      <x:c r="F85" t="str">
        <x:f>IF('Release Gates'!C59="PLANNING","PASS",IF('Release Gates'!C59="PHYSICAL","OPEN","BLOCKED"))</x:f>
        <x:v>PASS</x:v>
      </x:c>
      <x:c r="G85" t="str">
        <x:v>equals</x:v>
      </x:c>
      <x:c r="H85" t="str">
        <x:f>IF(E85=F85,"PASS","FAIL")</x:f>
        <x:v>PASS</x:v>
      </x:c>
    </x:row>
    <x:row r="86">
      <x:c r="B86" t="str">
        <x:v>A-00054</x:v>
      </x:c>
      <x:c r="C86" t="str">
        <x:v>GATE</x:v>
      </x:c>
      <x:c r="D86" t="str">
        <x:v>release state mirrors governing ledger</x:v>
      </x:c>
      <x:c r="E86" t="str">
        <x:f>'Release Gates'!I60</x:f>
        <x:v>PASS</x:v>
      </x:c>
      <x:c r="F86" t="str">
        <x:f>IF('Release Gates'!C60="PLANNING","PASS",IF('Release Gates'!C60="PHYSICAL","OPEN","BLOCKED"))</x:f>
        <x:v>PASS</x:v>
      </x:c>
      <x:c r="G86" t="str">
        <x:v>equals</x:v>
      </x:c>
      <x:c r="H86" t="str">
        <x:f>IF(E86=F86,"PASS","FAIL")</x:f>
        <x:v>PASS</x:v>
      </x:c>
    </x:row>
    <x:row r="87">
      <x:c r="B87" t="str">
        <x:v>A-00055</x:v>
      </x:c>
      <x:c r="C87" t="str">
        <x:v>GATE</x:v>
      </x:c>
      <x:c r="D87" t="str">
        <x:v>release state mirrors governing ledger</x:v>
      </x:c>
      <x:c r="E87" t="str">
        <x:f>'Release Gates'!I61</x:f>
        <x:v>PASS</x:v>
      </x:c>
      <x:c r="F87" t="str">
        <x:f>IF('Release Gates'!C61="PLANNING","PASS",IF('Release Gates'!C61="PHYSICAL","OPEN","BLOCKED"))</x:f>
        <x:v>PASS</x:v>
      </x:c>
      <x:c r="G87" t="str">
        <x:v>equals</x:v>
      </x:c>
      <x:c r="H87" t="str">
        <x:f>IF(E87=F87,"PASS","FAIL")</x:f>
        <x:v>PASS</x:v>
      </x:c>
    </x:row>
    <x:row r="88">
      <x:c r="B88" t="str">
        <x:v>A-00056</x:v>
      </x:c>
      <x:c r="C88" t="str">
        <x:v>GATE</x:v>
      </x:c>
      <x:c r="D88" t="str">
        <x:v>release state mirrors governing ledger</x:v>
      </x:c>
      <x:c r="E88" t="str">
        <x:f>'Release Gates'!I62</x:f>
        <x:v>PASS</x:v>
      </x:c>
      <x:c r="F88" t="str">
        <x:f>IF('Release Gates'!C62="PLANNING","PASS",IF('Release Gates'!C62="PHYSICAL","OPEN","BLOCKED"))</x:f>
        <x:v>PASS</x:v>
      </x:c>
      <x:c r="G88" t="str">
        <x:v>equals</x:v>
      </x:c>
      <x:c r="H88" t="str">
        <x:f>IF(E88=F88,"PASS","FAIL")</x:f>
        <x:v>PASS</x:v>
      </x:c>
    </x:row>
    <x:row r="89">
      <x:c r="B89" t="str">
        <x:v>A-00057</x:v>
      </x:c>
      <x:c r="C89" t="str">
        <x:v>GATE</x:v>
      </x:c>
      <x:c r="D89" t="str">
        <x:v>release state mirrors governing ledger</x:v>
      </x:c>
      <x:c r="E89" t="str">
        <x:f>'Release Gates'!I63</x:f>
        <x:v>PASS</x:v>
      </x:c>
      <x:c r="F89" t="str">
        <x:f>IF('Release Gates'!C63="PLANNING","PASS",IF('Release Gates'!C63="PHYSICAL","OPEN","BLOCKED"))</x:f>
        <x:v>PASS</x:v>
      </x:c>
      <x:c r="G89" t="str">
        <x:v>equals</x:v>
      </x:c>
      <x:c r="H89" t="str">
        <x:f>IF(E89=F89,"PASS","FAIL")</x:f>
        <x:v>PASS</x:v>
      </x:c>
    </x:row>
    <x:row r="90">
      <x:c r="B90" t="str">
        <x:v>A-00058</x:v>
      </x:c>
      <x:c r="C90" t="str">
        <x:v>GATE</x:v>
      </x:c>
      <x:c r="D90" t="str">
        <x:v>release state mirrors governing ledger</x:v>
      </x:c>
      <x:c r="E90" t="str">
        <x:f>'Release Gates'!I64</x:f>
        <x:v>PASS</x:v>
      </x:c>
      <x:c r="F90" t="str">
        <x:f>IF('Release Gates'!C64="PLANNING","PASS",IF('Release Gates'!C64="PHYSICAL","OPEN","BLOCKED"))</x:f>
        <x:v>PASS</x:v>
      </x:c>
      <x:c r="G90" t="str">
        <x:v>equals</x:v>
      </x:c>
      <x:c r="H90" t="str">
        <x:f>IF(E90=F90,"PASS","FAIL")</x:f>
        <x:v>PASS</x:v>
      </x:c>
    </x:row>
    <x:row r="91">
      <x:c r="B91" t="str">
        <x:v>A-00059</x:v>
      </x:c>
      <x:c r="C91" t="str">
        <x:v>GATE</x:v>
      </x:c>
      <x:c r="D91" t="str">
        <x:v>release state mirrors governing ledger</x:v>
      </x:c>
      <x:c r="E91" t="str">
        <x:f>'Release Gates'!I65</x:f>
        <x:v>PASS</x:v>
      </x:c>
      <x:c r="F91" t="str">
        <x:f>IF('Release Gates'!C65="PLANNING","PASS",IF('Release Gates'!C65="PHYSICAL","OPEN","BLOCKED"))</x:f>
        <x:v>PASS</x:v>
      </x:c>
      <x:c r="G91" t="str">
        <x:v>equals</x:v>
      </x:c>
      <x:c r="H91" t="str">
        <x:f>IF(E91=F91,"PASS","FAIL")</x:f>
        <x:v>PASS</x:v>
      </x:c>
    </x:row>
    <x:row r="92">
      <x:c r="B92" t="str">
        <x:v>A-00060</x:v>
      </x:c>
      <x:c r="C92" t="str">
        <x:v>GATE</x:v>
      </x:c>
      <x:c r="D92" t="str">
        <x:v>release state mirrors governing ledger</x:v>
      </x:c>
      <x:c r="E92" t="str">
        <x:f>'Release Gates'!I66</x:f>
        <x:v>PASS</x:v>
      </x:c>
      <x:c r="F92" t="str">
        <x:f>IF('Release Gates'!C66="PLANNING","PASS",IF('Release Gates'!C66="PHYSICAL","OPEN","BLOCKED"))</x:f>
        <x:v>PASS</x:v>
      </x:c>
      <x:c r="G92" t="str">
        <x:v>equals</x:v>
      </x:c>
      <x:c r="H92" t="str">
        <x:f>IF(E92=F92,"PASS","FAIL")</x:f>
        <x:v>PASS</x:v>
      </x:c>
    </x:row>
    <x:row r="93">
      <x:c r="B93" t="str">
        <x:v>A-00061</x:v>
      </x:c>
      <x:c r="C93" t="str">
        <x:v>GATE</x:v>
      </x:c>
      <x:c r="D93" t="str">
        <x:v>release state mirrors governing ledger</x:v>
      </x:c>
      <x:c r="E93" t="str">
        <x:f>'Release Gates'!I67</x:f>
        <x:v>PASS</x:v>
      </x:c>
      <x:c r="F93" t="str">
        <x:f>IF('Release Gates'!C67="PLANNING","PASS",IF('Release Gates'!C67="PHYSICAL","OPEN","BLOCKED"))</x:f>
        <x:v>PASS</x:v>
      </x:c>
      <x:c r="G93" t="str">
        <x:v>equals</x:v>
      </x:c>
      <x:c r="H93" t="str">
        <x:f>IF(E93=F93,"PASS","FAIL")</x:f>
        <x:v>PASS</x:v>
      </x:c>
    </x:row>
    <x:row r="94">
      <x:c r="B94" t="str">
        <x:v>A-00062</x:v>
      </x:c>
      <x:c r="C94" t="str">
        <x:v>GATE</x:v>
      </x:c>
      <x:c r="D94" t="str">
        <x:v>release state mirrors governing ledger</x:v>
      </x:c>
      <x:c r="E94" t="str">
        <x:f>'Release Gates'!I68</x:f>
        <x:v>PASS</x:v>
      </x:c>
      <x:c r="F94" t="str">
        <x:f>IF('Release Gates'!C68="PLANNING","PASS",IF('Release Gates'!C68="PHYSICAL","OPEN","BLOCKED"))</x:f>
        <x:v>PASS</x:v>
      </x:c>
      <x:c r="G94" t="str">
        <x:v>equals</x:v>
      </x:c>
      <x:c r="H94" t="str">
        <x:f>IF(E94=F94,"PASS","FAIL")</x:f>
        <x:v>PASS</x:v>
      </x:c>
    </x:row>
    <x:row r="95">
      <x:c r="B95" t="str">
        <x:v>A-00063</x:v>
      </x:c>
      <x:c r="C95" t="str">
        <x:v>GATE</x:v>
      </x:c>
      <x:c r="D95" t="str">
        <x:v>release state mirrors governing ledger</x:v>
      </x:c>
      <x:c r="E95" t="str">
        <x:f>'Release Gates'!I69</x:f>
        <x:v>PASS</x:v>
      </x:c>
      <x:c r="F95" t="str">
        <x:f>IF('Release Gates'!C69="PLANNING","PASS",IF('Release Gates'!C69="PHYSICAL","OPEN","BLOCKED"))</x:f>
        <x:v>PASS</x:v>
      </x:c>
      <x:c r="G95" t="str">
        <x:v>equals</x:v>
      </x:c>
      <x:c r="H95" t="str">
        <x:f>IF(E95=F95,"PASS","FAIL")</x:f>
        <x:v>PASS</x:v>
      </x:c>
    </x:row>
    <x:row r="96">
      <x:c r="B96" t="str">
        <x:v>A-00064</x:v>
      </x:c>
      <x:c r="C96" t="str">
        <x:v>GATE</x:v>
      </x:c>
      <x:c r="D96" t="str">
        <x:v>release state mirrors governing ledger</x:v>
      </x:c>
      <x:c r="E96" t="str">
        <x:f>'Release Gates'!I70</x:f>
        <x:v>PASS</x:v>
      </x:c>
      <x:c r="F96" t="str">
        <x:f>IF('Release Gates'!C70="PLANNING","PASS",IF('Release Gates'!C70="PHYSICAL","OPEN","BLOCKED"))</x:f>
        <x:v>PASS</x:v>
      </x:c>
      <x:c r="G96" t="str">
        <x:v>equals</x:v>
      </x:c>
      <x:c r="H96" t="str">
        <x:f>IF(E96=F96,"PASS","FAIL")</x:f>
        <x:v>PASS</x:v>
      </x:c>
    </x:row>
    <x:row r="97">
      <x:c r="B97" t="str">
        <x:v>A-00065</x:v>
      </x:c>
      <x:c r="C97" t="str">
        <x:v>GATE</x:v>
      </x:c>
      <x:c r="D97" t="str">
        <x:v>release state mirrors governing ledger</x:v>
      </x:c>
      <x:c r="E97" t="str">
        <x:f>'Release Gates'!I71</x:f>
        <x:v>PASS</x:v>
      </x:c>
      <x:c r="F97" t="str">
        <x:f>IF('Release Gates'!C71="PLANNING","PASS",IF('Release Gates'!C71="PHYSICAL","OPEN","BLOCKED"))</x:f>
        <x:v>PASS</x:v>
      </x:c>
      <x:c r="G97" t="str">
        <x:v>equals</x:v>
      </x:c>
      <x:c r="H97" t="str">
        <x:f>IF(E97=F97,"PASS","FAIL")</x:f>
        <x:v>PASS</x:v>
      </x:c>
    </x:row>
    <x:row r="98">
      <x:c r="B98" t="str">
        <x:v>A-00066</x:v>
      </x:c>
      <x:c r="C98" t="str">
        <x:v>GATE</x:v>
      </x:c>
      <x:c r="D98" t="str">
        <x:v>release state mirrors governing ledger</x:v>
      </x:c>
      <x:c r="E98" t="str">
        <x:f>'Release Gates'!I72</x:f>
        <x:v>PASS</x:v>
      </x:c>
      <x:c r="F98" t="str">
        <x:f>IF('Release Gates'!C72="PLANNING","PASS",IF('Release Gates'!C72="PHYSICAL","OPEN","BLOCKED"))</x:f>
        <x:v>PASS</x:v>
      </x:c>
      <x:c r="G98" t="str">
        <x:v>equals</x:v>
      </x:c>
      <x:c r="H98" t="str">
        <x:f>IF(E98=F98,"PASS","FAIL")</x:f>
        <x:v>PASS</x:v>
      </x:c>
    </x:row>
    <x:row r="99">
      <x:c r="B99" t="str">
        <x:v>A-00067</x:v>
      </x:c>
      <x:c r="C99" t="str">
        <x:v>GATE</x:v>
      </x:c>
      <x:c r="D99" t="str">
        <x:v>release state mirrors governing ledger</x:v>
      </x:c>
      <x:c r="E99" t="str">
        <x:f>'Release Gates'!I73</x:f>
        <x:v>PASS</x:v>
      </x:c>
      <x:c r="F99" t="str">
        <x:f>IF('Release Gates'!C73="PLANNING","PASS",IF('Release Gates'!C73="PHYSICAL","OPEN","BLOCKED"))</x:f>
        <x:v>PASS</x:v>
      </x:c>
      <x:c r="G99" t="str">
        <x:v>equals</x:v>
      </x:c>
      <x:c r="H99" t="str">
        <x:f>IF(E99=F99,"PASS","FAIL")</x:f>
        <x:v>PASS</x:v>
      </x:c>
    </x:row>
    <x:row r="100">
      <x:c r="B100" t="str">
        <x:v>A-00068</x:v>
      </x:c>
      <x:c r="C100" t="str">
        <x:v>GATE</x:v>
      </x:c>
      <x:c r="D100" t="str">
        <x:v>release state mirrors governing ledger</x:v>
      </x:c>
      <x:c r="E100" t="str">
        <x:f>'Release Gates'!I74</x:f>
        <x:v>PASS</x:v>
      </x:c>
      <x:c r="F100" t="str">
        <x:f>IF('Release Gates'!C74="PLANNING","PASS",IF('Release Gates'!C74="PHYSICAL","OPEN","BLOCKED"))</x:f>
        <x:v>PASS</x:v>
      </x:c>
      <x:c r="G100" t="str">
        <x:v>equals</x:v>
      </x:c>
      <x:c r="H100" t="str">
        <x:f>IF(E100=F100,"PASS","FAIL")</x:f>
        <x:v>PASS</x:v>
      </x:c>
    </x:row>
    <x:row r="101">
      <x:c r="B101" t="str">
        <x:v>A-00069</x:v>
      </x:c>
      <x:c r="C101" t="str">
        <x:v>GATE</x:v>
      </x:c>
      <x:c r="D101" t="str">
        <x:v>release state mirrors governing ledger</x:v>
      </x:c>
      <x:c r="E101" t="str">
        <x:f>'Release Gates'!I75</x:f>
        <x:v>PASS</x:v>
      </x:c>
      <x:c r="F101" t="str">
        <x:f>IF('Release Gates'!C75="PLANNING","PASS",IF('Release Gates'!C75="PHYSICAL","OPEN","BLOCKED"))</x:f>
        <x:v>PASS</x:v>
      </x:c>
      <x:c r="G101" t="str">
        <x:v>equals</x:v>
      </x:c>
      <x:c r="H101" t="str">
        <x:f>IF(E101=F101,"PASS","FAIL")</x:f>
        <x:v>PASS</x:v>
      </x:c>
    </x:row>
    <x:row r="102">
      <x:c r="B102" t="str">
        <x:v>A-00070</x:v>
      </x:c>
      <x:c r="C102" t="str">
        <x:v>GATE</x:v>
      </x:c>
      <x:c r="D102" t="str">
        <x:v>release state mirrors governing ledger</x:v>
      </x:c>
      <x:c r="E102" t="str">
        <x:f>'Release Gates'!I76</x:f>
        <x:v>PASS</x:v>
      </x:c>
      <x:c r="F102" t="str">
        <x:f>IF('Release Gates'!C76="PLANNING","PASS",IF('Release Gates'!C76="PHYSICAL","OPEN","BLOCKED"))</x:f>
        <x:v>PASS</x:v>
      </x:c>
      <x:c r="G102" t="str">
        <x:v>equals</x:v>
      </x:c>
      <x:c r="H102" t="str">
        <x:f>IF(E102=F102,"PASS","FAIL")</x:f>
        <x:v>PASS</x:v>
      </x:c>
    </x:row>
    <x:row r="103">
      <x:c r="B103" t="str">
        <x:v>A-00071</x:v>
      </x:c>
      <x:c r="C103" t="str">
        <x:v>GATE</x:v>
      </x:c>
      <x:c r="D103" t="str">
        <x:v>release state mirrors governing ledger</x:v>
      </x:c>
      <x:c r="E103" t="str">
        <x:f>'Release Gates'!I77</x:f>
        <x:v>PASS</x:v>
      </x:c>
      <x:c r="F103" t="str">
        <x:f>IF('Release Gates'!C77="PLANNING","PASS",IF('Release Gates'!C77="PHYSICAL","OPEN","BLOCKED"))</x:f>
        <x:v>PASS</x:v>
      </x:c>
      <x:c r="G103" t="str">
        <x:v>equals</x:v>
      </x:c>
      <x:c r="H103" t="str">
        <x:f>IF(E103=F103,"PASS","FAIL")</x:f>
        <x:v>PASS</x:v>
      </x:c>
    </x:row>
    <x:row r="104">
      <x:c r="B104" t="str">
        <x:v>A-00072</x:v>
      </x:c>
      <x:c r="C104" t="str">
        <x:v>GATE</x:v>
      </x:c>
      <x:c r="D104" t="str">
        <x:v>release state mirrors governing ledger</x:v>
      </x:c>
      <x:c r="E104" t="str">
        <x:f>'Release Gates'!I78</x:f>
        <x:v>PASS</x:v>
      </x:c>
      <x:c r="F104" t="str">
        <x:f>IF('Release Gates'!C78="PLANNING","PASS",IF('Release Gates'!C78="PHYSICAL","OPEN","BLOCKED"))</x:f>
        <x:v>PASS</x:v>
      </x:c>
      <x:c r="G104" t="str">
        <x:v>equals</x:v>
      </x:c>
      <x:c r="H104" t="str">
        <x:f>IF(E104=F104,"PASS","FAIL")</x:f>
        <x:v>PASS</x:v>
      </x:c>
    </x:row>
    <x:row r="105">
      <x:c r="B105" t="str">
        <x:v>A-00073</x:v>
      </x:c>
      <x:c r="C105" t="str">
        <x:v>GATE</x:v>
      </x:c>
      <x:c r="D105" t="str">
        <x:v>release state mirrors governing ledger</x:v>
      </x:c>
      <x:c r="E105" t="str">
        <x:f>'Release Gates'!I79</x:f>
        <x:v>PASS</x:v>
      </x:c>
      <x:c r="F105" t="str">
        <x:f>IF('Release Gates'!C79="PLANNING","PASS",IF('Release Gates'!C79="PHYSICAL","OPEN","BLOCKED"))</x:f>
        <x:v>PASS</x:v>
      </x:c>
      <x:c r="G105" t="str">
        <x:v>equals</x:v>
      </x:c>
      <x:c r="H105" t="str">
        <x:f>IF(E105=F105,"PASS","FAIL")</x:f>
        <x:v>PASS</x:v>
      </x:c>
    </x:row>
    <x:row r="106">
      <x:c r="B106" t="str">
        <x:v>A-00074</x:v>
      </x:c>
      <x:c r="C106" t="str">
        <x:v>GATE</x:v>
      </x:c>
      <x:c r="D106" t="str">
        <x:v>release state mirrors governing ledger</x:v>
      </x:c>
      <x:c r="E106" t="str">
        <x:f>'Release Gates'!I80</x:f>
        <x:v>PASS</x:v>
      </x:c>
      <x:c r="F106" t="str">
        <x:f>IF('Release Gates'!C80="PLANNING","PASS",IF('Release Gates'!C80="PHYSICAL","OPEN","BLOCKED"))</x:f>
        <x:v>PASS</x:v>
      </x:c>
      <x:c r="G106" t="str">
        <x:v>equals</x:v>
      </x:c>
      <x:c r="H106" t="str">
        <x:f>IF(E106=F106,"PASS","FAIL")</x:f>
        <x:v>PASS</x:v>
      </x:c>
    </x:row>
    <x:row r="107">
      <x:c r="B107" t="str">
        <x:v>A-00075</x:v>
      </x:c>
      <x:c r="C107" t="str">
        <x:v>GATE</x:v>
      </x:c>
      <x:c r="D107" t="str">
        <x:v>release state mirrors governing ledger</x:v>
      </x:c>
      <x:c r="E107" t="str">
        <x:f>'Release Gates'!I81</x:f>
        <x:v>PASS</x:v>
      </x:c>
      <x:c r="F107" t="str">
        <x:f>IF('Release Gates'!C81="PLANNING","PASS",IF('Release Gates'!C81="PHYSICAL","OPEN","BLOCKED"))</x:f>
        <x:v>PASS</x:v>
      </x:c>
      <x:c r="G107" t="str">
        <x:v>equals</x:v>
      </x:c>
      <x:c r="H107" t="str">
        <x:f>IF(E107=F107,"PASS","FAIL")</x:f>
        <x:v>PASS</x:v>
      </x:c>
    </x:row>
    <x:row r="108">
      <x:c r="B108" t="str">
        <x:v>A-00076</x:v>
      </x:c>
      <x:c r="C108" t="str">
        <x:v>GATE</x:v>
      </x:c>
      <x:c r="D108" t="str">
        <x:v>release state mirrors governing ledger</x:v>
      </x:c>
      <x:c r="E108" t="str">
        <x:f>'Release Gates'!I82</x:f>
        <x:v>PASS</x:v>
      </x:c>
      <x:c r="F108" t="str">
        <x:f>IF('Release Gates'!C82="PLANNING","PASS",IF('Release Gates'!C82="PHYSICAL","OPEN","BLOCKED"))</x:f>
        <x:v>PASS</x:v>
      </x:c>
      <x:c r="G108" t="str">
        <x:v>equals</x:v>
      </x:c>
      <x:c r="H108" t="str">
        <x:f>IF(E108=F108,"PASS","FAIL")</x:f>
        <x:v>PASS</x:v>
      </x:c>
    </x:row>
    <x:row r="109">
      <x:c r="B109" t="str">
        <x:v>A-00077</x:v>
      </x:c>
      <x:c r="C109" t="str">
        <x:v>GATE</x:v>
      </x:c>
      <x:c r="D109" t="str">
        <x:v>release state mirrors governing ledger</x:v>
      </x:c>
      <x:c r="E109" t="str">
        <x:f>'Release Gates'!I83</x:f>
        <x:v>PASS</x:v>
      </x:c>
      <x:c r="F109" t="str">
        <x:f>IF('Release Gates'!C83="PLANNING","PASS",IF('Release Gates'!C83="PHYSICAL","OPEN","BLOCKED"))</x:f>
        <x:v>PASS</x:v>
      </x:c>
      <x:c r="G109" t="str">
        <x:v>equals</x:v>
      </x:c>
      <x:c r="H109" t="str">
        <x:f>IF(E109=F109,"PASS","FAIL")</x:f>
        <x:v>PASS</x:v>
      </x:c>
    </x:row>
    <x:row r="110">
      <x:c r="B110" t="str">
        <x:v>A-00078</x:v>
      </x:c>
      <x:c r="C110" t="str">
        <x:v>GATE</x:v>
      </x:c>
      <x:c r="D110" t="str">
        <x:v>release state mirrors governing ledger</x:v>
      </x:c>
      <x:c r="E110" t="str">
        <x:f>'Release Gates'!I84</x:f>
        <x:v>PASS</x:v>
      </x:c>
      <x:c r="F110" t="str">
        <x:f>IF('Release Gates'!C84="PLANNING","PASS",IF('Release Gates'!C84="PHYSICAL","OPEN","BLOCKED"))</x:f>
        <x:v>PASS</x:v>
      </x:c>
      <x:c r="G110" t="str">
        <x:v>equals</x:v>
      </x:c>
      <x:c r="H110" t="str">
        <x:f>IF(E110=F110,"PASS","FAIL")</x:f>
        <x:v>PASS</x:v>
      </x:c>
    </x:row>
    <x:row r="111">
      <x:c r="B111" t="str">
        <x:v>A-00079</x:v>
      </x:c>
      <x:c r="C111" t="str">
        <x:v>GATE</x:v>
      </x:c>
      <x:c r="D111" t="str">
        <x:v>release state mirrors governing ledger</x:v>
      </x:c>
      <x:c r="E111" t="str">
        <x:f>'Release Gates'!I85</x:f>
        <x:v>PASS</x:v>
      </x:c>
      <x:c r="F111" t="str">
        <x:f>IF('Release Gates'!C85="PLANNING","PASS",IF('Release Gates'!C85="PHYSICAL","OPEN","BLOCKED"))</x:f>
        <x:v>PASS</x:v>
      </x:c>
      <x:c r="G111" t="str">
        <x:v>equals</x:v>
      </x:c>
      <x:c r="H111" t="str">
        <x:f>IF(E111=F111,"PASS","FAIL")</x:f>
        <x:v>PASS</x:v>
      </x:c>
    </x:row>
    <x:row r="112">
      <x:c r="B112" t="str">
        <x:v>A-00080</x:v>
      </x:c>
      <x:c r="C112" t="str">
        <x:v>GATE</x:v>
      </x:c>
      <x:c r="D112" t="str">
        <x:v>release state mirrors governing ledger</x:v>
      </x:c>
      <x:c r="E112" t="str">
        <x:f>'Release Gates'!I86</x:f>
        <x:v>PASS</x:v>
      </x:c>
      <x:c r="F112" t="str">
        <x:f>IF('Release Gates'!C86="PLANNING","PASS",IF('Release Gates'!C86="PHYSICAL","OPEN","BLOCKED"))</x:f>
        <x:v>PASS</x:v>
      </x:c>
      <x:c r="G112" t="str">
        <x:v>equals</x:v>
      </x:c>
      <x:c r="H112" t="str">
        <x:f>IF(E112=F112,"PASS","FAIL")</x:f>
        <x:v>PASS</x:v>
      </x:c>
    </x:row>
    <x:row r="113">
      <x:c r="B113" t="str">
        <x:v>A-00081</x:v>
      </x:c>
      <x:c r="C113" t="str">
        <x:v>GATE</x:v>
      </x:c>
      <x:c r="D113" t="str">
        <x:v>release state mirrors governing ledger</x:v>
      </x:c>
      <x:c r="E113" t="str">
        <x:f>'Release Gates'!I87</x:f>
        <x:v>PASS</x:v>
      </x:c>
      <x:c r="F113" t="str">
        <x:f>IF('Release Gates'!C87="PLANNING","PASS",IF('Release Gates'!C87="PHYSICAL","OPEN","BLOCKED"))</x:f>
        <x:v>PASS</x:v>
      </x:c>
      <x:c r="G113" t="str">
        <x:v>equals</x:v>
      </x:c>
      <x:c r="H113" t="str">
        <x:f>IF(E113=F113,"PASS","FAIL")</x:f>
        <x:v>PASS</x:v>
      </x:c>
    </x:row>
    <x:row r="114">
      <x:c r="B114" t="str">
        <x:v>A-00082</x:v>
      </x:c>
      <x:c r="C114" t="str">
        <x:v>GATE</x:v>
      </x:c>
      <x:c r="D114" t="str">
        <x:v>release state mirrors governing ledger</x:v>
      </x:c>
      <x:c r="E114" t="str">
        <x:f>'Release Gates'!I88</x:f>
        <x:v>PASS</x:v>
      </x:c>
      <x:c r="F114" t="str">
        <x:f>IF('Release Gates'!C88="PLANNING","PASS",IF('Release Gates'!C88="PHYSICAL","OPEN","BLOCKED"))</x:f>
        <x:v>PASS</x:v>
      </x:c>
      <x:c r="G114" t="str">
        <x:v>equals</x:v>
      </x:c>
      <x:c r="H114" t="str">
        <x:f>IF(E114=F114,"PASS","FAIL")</x:f>
        <x:v>PASS</x:v>
      </x:c>
    </x:row>
    <x:row r="115">
      <x:c r="B115" t="str">
        <x:v>A-00083</x:v>
      </x:c>
      <x:c r="C115" t="str">
        <x:v>GATE</x:v>
      </x:c>
      <x:c r="D115" t="str">
        <x:v>release state mirrors governing ledger</x:v>
      </x:c>
      <x:c r="E115" t="str">
        <x:f>'Release Gates'!I89</x:f>
        <x:v>PASS</x:v>
      </x:c>
      <x:c r="F115" t="str">
        <x:f>IF('Release Gates'!C89="PLANNING","PASS",IF('Release Gates'!C89="PHYSICAL","OPEN","BLOCKED"))</x:f>
        <x:v>PASS</x:v>
      </x:c>
      <x:c r="G115" t="str">
        <x:v>equals</x:v>
      </x:c>
      <x:c r="H115" t="str">
        <x:f>IF(E115=F115,"PASS","FAIL")</x:f>
        <x:v>PASS</x:v>
      </x:c>
    </x:row>
    <x:row r="116">
      <x:c r="B116" t="str">
        <x:v>A-00084</x:v>
      </x:c>
      <x:c r="C116" t="str">
        <x:v>GATE</x:v>
      </x:c>
      <x:c r="D116" t="str">
        <x:v>release state mirrors governing ledger</x:v>
      </x:c>
      <x:c r="E116" t="str">
        <x:f>'Release Gates'!I90</x:f>
        <x:v>PASS</x:v>
      </x:c>
      <x:c r="F116" t="str">
        <x:f>IF('Release Gates'!C90="PLANNING","PASS",IF('Release Gates'!C90="PHYSICAL","OPEN","BLOCKED"))</x:f>
        <x:v>PASS</x:v>
      </x:c>
      <x:c r="G116" t="str">
        <x:v>equals</x:v>
      </x:c>
      <x:c r="H116" t="str">
        <x:f>IF(E116=F116,"PASS","FAIL")</x:f>
        <x:v>PASS</x:v>
      </x:c>
    </x:row>
    <x:row r="117">
      <x:c r="B117" t="str">
        <x:v>A-00085</x:v>
      </x:c>
      <x:c r="C117" t="str">
        <x:v>GATE</x:v>
      </x:c>
      <x:c r="D117" t="str">
        <x:v>release state mirrors governing ledger</x:v>
      </x:c>
      <x:c r="E117" t="str">
        <x:f>'Release Gates'!I91</x:f>
        <x:v>PASS</x:v>
      </x:c>
      <x:c r="F117" t="str">
        <x:f>IF('Release Gates'!C91="PLANNING","PASS",IF('Release Gates'!C91="PHYSICAL","OPEN","BLOCKED"))</x:f>
        <x:v>PASS</x:v>
      </x:c>
      <x:c r="G117" t="str">
        <x:v>equals</x:v>
      </x:c>
      <x:c r="H117" t="str">
        <x:f>IF(E117=F117,"PASS","FAIL")</x:f>
        <x:v>PASS</x:v>
      </x:c>
    </x:row>
    <x:row r="118">
      <x:c r="B118" t="str">
        <x:v>A-00086</x:v>
      </x:c>
      <x:c r="C118" t="str">
        <x:v>GATE</x:v>
      </x:c>
      <x:c r="D118" t="str">
        <x:v>release state mirrors governing ledger</x:v>
      </x:c>
      <x:c r="E118" t="str">
        <x:f>'Release Gates'!I92</x:f>
        <x:v>PASS</x:v>
      </x:c>
      <x:c r="F118" t="str">
        <x:f>IF('Release Gates'!C92="PLANNING","PASS",IF('Release Gates'!C92="PHYSICAL","OPEN","BLOCKED"))</x:f>
        <x:v>PASS</x:v>
      </x:c>
      <x:c r="G118" t="str">
        <x:v>equals</x:v>
      </x:c>
      <x:c r="H118" t="str">
        <x:f>IF(E118=F118,"PASS","FAIL")</x:f>
        <x:v>PASS</x:v>
      </x:c>
    </x:row>
    <x:row r="119">
      <x:c r="B119" t="str">
        <x:v>A-00087</x:v>
      </x:c>
      <x:c r="C119" t="str">
        <x:v>GATE</x:v>
      </x:c>
      <x:c r="D119" t="str">
        <x:v>release state mirrors governing ledger</x:v>
      </x:c>
      <x:c r="E119" t="str">
        <x:f>'Release Gates'!I93</x:f>
        <x:v>PASS</x:v>
      </x:c>
      <x:c r="F119" t="str">
        <x:f>IF('Release Gates'!C93="PLANNING","PASS",IF('Release Gates'!C93="PHYSICAL","OPEN","BLOCKED"))</x:f>
        <x:v>PASS</x:v>
      </x:c>
      <x:c r="G119" t="str">
        <x:v>equals</x:v>
      </x:c>
      <x:c r="H119" t="str">
        <x:f>IF(E119=F119,"PASS","FAIL")</x:f>
        <x:v>PASS</x:v>
      </x:c>
    </x:row>
    <x:row r="120">
      <x:c r="B120" t="str">
        <x:v>A-00088</x:v>
      </x:c>
      <x:c r="C120" t="str">
        <x:v>GATE</x:v>
      </x:c>
      <x:c r="D120" t="str">
        <x:v>release state mirrors governing ledger</x:v>
      </x:c>
      <x:c r="E120" t="str">
        <x:f>'Release Gates'!I94</x:f>
        <x:v>PASS</x:v>
      </x:c>
      <x:c r="F120" t="str">
        <x:f>IF('Release Gates'!C94="PLANNING","PASS",IF('Release Gates'!C94="PHYSICAL","OPEN","BLOCKED"))</x:f>
        <x:v>PASS</x:v>
      </x:c>
      <x:c r="G120" t="str">
        <x:v>equals</x:v>
      </x:c>
      <x:c r="H120" t="str">
        <x:f>IF(E120=F120,"PASS","FAIL")</x:f>
        <x:v>PASS</x:v>
      </x:c>
    </x:row>
    <x:row r="121">
      <x:c r="B121" t="str">
        <x:v>A-00089</x:v>
      </x:c>
      <x:c r="C121" t="str">
        <x:v>GATE</x:v>
      </x:c>
      <x:c r="D121" t="str">
        <x:v>release state mirrors governing ledger</x:v>
      </x:c>
      <x:c r="E121" t="str">
        <x:f>'Release Gates'!I95</x:f>
        <x:v>PASS</x:v>
      </x:c>
      <x:c r="F121" t="str">
        <x:f>IF('Release Gates'!C95="PLANNING","PASS",IF('Release Gates'!C95="PHYSICAL","OPEN","BLOCKED"))</x:f>
        <x:v>PASS</x:v>
      </x:c>
      <x:c r="G121" t="str">
        <x:v>equals</x:v>
      </x:c>
      <x:c r="H121" t="str">
        <x:f>IF(E121=F121,"PASS","FAIL")</x:f>
        <x:v>PASS</x:v>
      </x:c>
    </x:row>
    <x:row r="122">
      <x:c r="B122" t="str">
        <x:v>A-00090</x:v>
      </x:c>
      <x:c r="C122" t="str">
        <x:v>GATE</x:v>
      </x:c>
      <x:c r="D122" t="str">
        <x:v>release state mirrors governing ledger</x:v>
      </x:c>
      <x:c r="E122" t="str">
        <x:f>'Release Gates'!I96</x:f>
        <x:v>PASS</x:v>
      </x:c>
      <x:c r="F122" t="str">
        <x:f>IF('Release Gates'!C96="PLANNING","PASS",IF('Release Gates'!C96="PHYSICAL","OPEN","BLOCKED"))</x:f>
        <x:v>PASS</x:v>
      </x:c>
      <x:c r="G122" t="str">
        <x:v>equals</x:v>
      </x:c>
      <x:c r="H122" t="str">
        <x:f>IF(E122=F122,"PASS","FAIL")</x:f>
        <x:v>PASS</x:v>
      </x:c>
    </x:row>
    <x:row r="123">
      <x:c r="B123" t="str">
        <x:v>A-00091</x:v>
      </x:c>
      <x:c r="C123" t="str">
        <x:v>GATE</x:v>
      </x:c>
      <x:c r="D123" t="str">
        <x:v>release state mirrors governing ledger</x:v>
      </x:c>
      <x:c r="E123" t="str">
        <x:f>'Release Gates'!I97</x:f>
        <x:v>PASS</x:v>
      </x:c>
      <x:c r="F123" t="str">
        <x:f>IF('Release Gates'!C97="PLANNING","PASS",IF('Release Gates'!C97="PHYSICAL","OPEN","BLOCKED"))</x:f>
        <x:v>PASS</x:v>
      </x:c>
      <x:c r="G123" t="str">
        <x:v>equals</x:v>
      </x:c>
      <x:c r="H123" t="str">
        <x:f>IF(E123=F123,"PASS","FAIL")</x:f>
        <x:v>PASS</x:v>
      </x:c>
    </x:row>
    <x:row r="124">
      <x:c r="B124" t="str">
        <x:v>A-00092</x:v>
      </x:c>
      <x:c r="C124" t="str">
        <x:v>GATE</x:v>
      </x:c>
      <x:c r="D124" t="str">
        <x:v>release state mirrors governing ledger</x:v>
      </x:c>
      <x:c r="E124" t="str">
        <x:f>'Release Gates'!I98</x:f>
        <x:v>PASS</x:v>
      </x:c>
      <x:c r="F124" t="str">
        <x:f>IF('Release Gates'!C98="PLANNING","PASS",IF('Release Gates'!C98="PHYSICAL","OPEN","BLOCKED"))</x:f>
        <x:v>PASS</x:v>
      </x:c>
      <x:c r="G124" t="str">
        <x:v>equals</x:v>
      </x:c>
      <x:c r="H124" t="str">
        <x:f>IF(E124=F124,"PASS","FAIL")</x:f>
        <x:v>PASS</x:v>
      </x:c>
    </x:row>
    <x:row r="125">
      <x:c r="B125" t="str">
        <x:v>A-00093</x:v>
      </x:c>
      <x:c r="C125" t="str">
        <x:v>GATE</x:v>
      </x:c>
      <x:c r="D125" t="str">
        <x:v>release state mirrors governing ledger</x:v>
      </x:c>
      <x:c r="E125" t="str">
        <x:f>'Release Gates'!I99</x:f>
        <x:v>PASS</x:v>
      </x:c>
      <x:c r="F125" t="str">
        <x:f>IF('Release Gates'!C99="PLANNING","PASS",IF('Release Gates'!C99="PHYSICAL","OPEN","BLOCKED"))</x:f>
        <x:v>PASS</x:v>
      </x:c>
      <x:c r="G125" t="str">
        <x:v>equals</x:v>
      </x:c>
      <x:c r="H125" t="str">
        <x:f>IF(E125=F125,"PASS","FAIL")</x:f>
        <x:v>PASS</x:v>
      </x:c>
    </x:row>
    <x:row r="126">
      <x:c r="B126" t="str">
        <x:v>A-00094</x:v>
      </x:c>
      <x:c r="C126" t="str">
        <x:v>GATE</x:v>
      </x:c>
      <x:c r="D126" t="str">
        <x:v>release state mirrors governing ledger</x:v>
      </x:c>
      <x:c r="E126" t="str">
        <x:f>'Release Gates'!I100</x:f>
        <x:v>PASS</x:v>
      </x:c>
      <x:c r="F126" t="str">
        <x:f>IF('Release Gates'!C100="PLANNING","PASS",IF('Release Gates'!C100="PHYSICAL","OPEN","BLOCKED"))</x:f>
        <x:v>PASS</x:v>
      </x:c>
      <x:c r="G126" t="str">
        <x:v>equals</x:v>
      </x:c>
      <x:c r="H126" t="str">
        <x:f>IF(E126=F126,"PASS","FAIL")</x:f>
        <x:v>PASS</x:v>
      </x:c>
    </x:row>
    <x:row r="127">
      <x:c r="B127" t="str">
        <x:v>A-00095</x:v>
      </x:c>
      <x:c r="C127" t="str">
        <x:v>GATE</x:v>
      </x:c>
      <x:c r="D127" t="str">
        <x:v>release state mirrors governing ledger</x:v>
      </x:c>
      <x:c r="E127" t="str">
        <x:f>'Release Gates'!I101</x:f>
        <x:v>PASS</x:v>
      </x:c>
      <x:c r="F127" t="str">
        <x:f>IF('Release Gates'!C101="PLANNING","PASS",IF('Release Gates'!C101="PHYSICAL","OPEN","BLOCKED"))</x:f>
        <x:v>PASS</x:v>
      </x:c>
      <x:c r="G127" t="str">
        <x:v>equals</x:v>
      </x:c>
      <x:c r="H127" t="str">
        <x:f>IF(E127=F127,"PASS","FAIL")</x:f>
        <x:v>PASS</x:v>
      </x:c>
    </x:row>
    <x:row r="128">
      <x:c r="B128" t="str">
        <x:v>A-00096</x:v>
      </x:c>
      <x:c r="C128" t="str">
        <x:v>GATE</x:v>
      </x:c>
      <x:c r="D128" t="str">
        <x:v>release state mirrors governing ledger</x:v>
      </x:c>
      <x:c r="E128" t="str">
        <x:f>'Release Gates'!I102</x:f>
        <x:v>PASS</x:v>
      </x:c>
      <x:c r="F128" t="str">
        <x:f>IF('Release Gates'!C102="PLANNING","PASS",IF('Release Gates'!C102="PHYSICAL","OPEN","BLOCKED"))</x:f>
        <x:v>PASS</x:v>
      </x:c>
      <x:c r="G128" t="str">
        <x:v>equals</x:v>
      </x:c>
      <x:c r="H128" t="str">
        <x:f>IF(E128=F128,"PASS","FAIL")</x:f>
        <x:v>PASS</x:v>
      </x:c>
    </x:row>
    <x:row r="129">
      <x:c r="B129" t="str">
        <x:v>A-00097</x:v>
      </x:c>
      <x:c r="C129" t="str">
        <x:v>GATE</x:v>
      </x:c>
      <x:c r="D129" t="str">
        <x:v>release state mirrors governing ledger</x:v>
      </x:c>
      <x:c r="E129" t="str">
        <x:f>'Release Gates'!I103</x:f>
        <x:v>PASS</x:v>
      </x:c>
      <x:c r="F129" t="str">
        <x:f>IF('Release Gates'!C103="PLANNING","PASS",IF('Release Gates'!C103="PHYSICAL","OPEN","BLOCKED"))</x:f>
        <x:v>PASS</x:v>
      </x:c>
      <x:c r="G129" t="str">
        <x:v>equals</x:v>
      </x:c>
      <x:c r="H129" t="str">
        <x:f>IF(E129=F129,"PASS","FAIL")</x:f>
        <x:v>PASS</x:v>
      </x:c>
    </x:row>
    <x:row r="130">
      <x:c r="B130" t="str">
        <x:v>A-00098</x:v>
      </x:c>
      <x:c r="C130" t="str">
        <x:v>GATE</x:v>
      </x:c>
      <x:c r="D130" t="str">
        <x:v>release state mirrors governing ledger</x:v>
      </x:c>
      <x:c r="E130" t="str">
        <x:f>'Release Gates'!I104</x:f>
        <x:v>PASS</x:v>
      </x:c>
      <x:c r="F130" t="str">
        <x:f>IF('Release Gates'!C104="PLANNING","PASS",IF('Release Gates'!C104="PHYSICAL","OPEN","BLOCKED"))</x:f>
        <x:v>PASS</x:v>
      </x:c>
      <x:c r="G130" t="str">
        <x:v>equals</x:v>
      </x:c>
      <x:c r="H130" t="str">
        <x:f>IF(E130=F130,"PASS","FAIL")</x:f>
        <x:v>PASS</x:v>
      </x:c>
    </x:row>
    <x:row r="131">
      <x:c r="B131" t="str">
        <x:v>A-00099</x:v>
      </x:c>
      <x:c r="C131" t="str">
        <x:v>GATE</x:v>
      </x:c>
      <x:c r="D131" t="str">
        <x:v>release state mirrors governing ledger</x:v>
      </x:c>
      <x:c r="E131" t="str">
        <x:f>'Release Gates'!I105</x:f>
        <x:v>PASS</x:v>
      </x:c>
      <x:c r="F131" t="str">
        <x:f>IF('Release Gates'!C105="PLANNING","PASS",IF('Release Gates'!C105="PHYSICAL","OPEN","BLOCKED"))</x:f>
        <x:v>PASS</x:v>
      </x:c>
      <x:c r="G131" t="str">
        <x:v>equals</x:v>
      </x:c>
      <x:c r="H131" t="str">
        <x:f>IF(E131=F131,"PASS","FAIL")</x:f>
        <x:v>PASS</x:v>
      </x:c>
    </x:row>
    <x:row r="132">
      <x:c r="B132" t="str">
        <x:v>A-00100</x:v>
      </x:c>
      <x:c r="C132" t="str">
        <x:v>GATE</x:v>
      </x:c>
      <x:c r="D132" t="str">
        <x:v>release state mirrors governing ledger</x:v>
      </x:c>
      <x:c r="E132" t="str">
        <x:f>'Release Gates'!I106</x:f>
        <x:v>PASS</x:v>
      </x:c>
      <x:c r="F132" t="str">
        <x:f>IF('Release Gates'!C106="PLANNING","PASS",IF('Release Gates'!C106="PHYSICAL","OPEN","BLOCKED"))</x:f>
        <x:v>PASS</x:v>
      </x:c>
      <x:c r="G132" t="str">
        <x:v>equals</x:v>
      </x:c>
      <x:c r="H132" t="str">
        <x:f>IF(E132=F132,"PASS","FAIL")</x:f>
        <x:v>PASS</x:v>
      </x:c>
    </x:row>
    <x:row r="133">
      <x:c r="B133" t="str">
        <x:v>A-00101</x:v>
      </x:c>
      <x:c r="C133" t="str">
        <x:v>GATE</x:v>
      </x:c>
      <x:c r="D133" t="str">
        <x:v>release state mirrors governing ledger</x:v>
      </x:c>
      <x:c r="E133" t="str">
        <x:f>'Release Gates'!I107</x:f>
        <x:v>PASS</x:v>
      </x:c>
      <x:c r="F133" t="str">
        <x:f>IF('Release Gates'!C107="PLANNING","PASS",IF('Release Gates'!C107="PHYSICAL","OPEN","BLOCKED"))</x:f>
        <x:v>PASS</x:v>
      </x:c>
      <x:c r="G133" t="str">
        <x:v>equals</x:v>
      </x:c>
      <x:c r="H133" t="str">
        <x:f>IF(E133=F133,"PASS","FAIL")</x:f>
        <x:v>PASS</x:v>
      </x:c>
    </x:row>
    <x:row r="134">
      <x:c r="B134" t="str">
        <x:v>A-00102</x:v>
      </x:c>
      <x:c r="C134" t="str">
        <x:v>GATE</x:v>
      </x:c>
      <x:c r="D134" t="str">
        <x:v>release state mirrors governing ledger</x:v>
      </x:c>
      <x:c r="E134" t="str">
        <x:f>'Release Gates'!I108</x:f>
        <x:v>PASS</x:v>
      </x:c>
      <x:c r="F134" t="str">
        <x:f>IF('Release Gates'!C108="PLANNING","PASS",IF('Release Gates'!C108="PHYSICAL","OPEN","BLOCKED"))</x:f>
        <x:v>PASS</x:v>
      </x:c>
      <x:c r="G134" t="str">
        <x:v>equals</x:v>
      </x:c>
      <x:c r="H134" t="str">
        <x:f>IF(E134=F134,"PASS","FAIL")</x:f>
        <x:v>PASS</x:v>
      </x:c>
    </x:row>
    <x:row r="135">
      <x:c r="B135" t="str">
        <x:v>A-00103</x:v>
      </x:c>
      <x:c r="C135" t="str">
        <x:v>GATE</x:v>
      </x:c>
      <x:c r="D135" t="str">
        <x:v>release state mirrors governing ledger</x:v>
      </x:c>
      <x:c r="E135" t="str">
        <x:f>'Release Gates'!I109</x:f>
        <x:v>PASS</x:v>
      </x:c>
      <x:c r="F135" t="str">
        <x:f>IF('Release Gates'!C109="PLANNING","PASS",IF('Release Gates'!C109="PHYSICAL","OPEN","BLOCKED"))</x:f>
        <x:v>PASS</x:v>
      </x:c>
      <x:c r="G135" t="str">
        <x:v>equals</x:v>
      </x:c>
      <x:c r="H135" t="str">
        <x:f>IF(E135=F135,"PASS","FAIL")</x:f>
        <x:v>PASS</x:v>
      </x:c>
    </x:row>
    <x:row r="136">
      <x:c r="B136" t="str">
        <x:v>A-00104</x:v>
      </x:c>
      <x:c r="C136" t="str">
        <x:v>GATE</x:v>
      </x:c>
      <x:c r="D136" t="str">
        <x:v>release state mirrors governing ledger</x:v>
      </x:c>
      <x:c r="E136" t="str">
        <x:f>'Release Gates'!I110</x:f>
        <x:v>PASS</x:v>
      </x:c>
      <x:c r="F136" t="str">
        <x:f>IF('Release Gates'!C110="PLANNING","PASS",IF('Release Gates'!C110="PHYSICAL","OPEN","BLOCKED"))</x:f>
        <x:v>PASS</x:v>
      </x:c>
      <x:c r="G136" t="str">
        <x:v>equals</x:v>
      </x:c>
      <x:c r="H136" t="str">
        <x:f>IF(E136=F136,"PASS","FAIL")</x:f>
        <x:v>PASS</x:v>
      </x:c>
    </x:row>
    <x:row r="137">
      <x:c r="B137" t="str">
        <x:v>A-00105</x:v>
      </x:c>
      <x:c r="C137" t="str">
        <x:v>GATE</x:v>
      </x:c>
      <x:c r="D137" t="str">
        <x:v>release state mirrors governing ledger</x:v>
      </x:c>
      <x:c r="E137" t="str">
        <x:f>'Release Gates'!I111</x:f>
        <x:v>PASS</x:v>
      </x:c>
      <x:c r="F137" t="str">
        <x:f>IF('Release Gates'!C111="PLANNING","PASS",IF('Release Gates'!C111="PHYSICAL","OPEN","BLOCKED"))</x:f>
        <x:v>PASS</x:v>
      </x:c>
      <x:c r="G137" t="str">
        <x:v>equals</x:v>
      </x:c>
      <x:c r="H137" t="str">
        <x:f>IF(E137=F137,"PASS","FAIL")</x:f>
        <x:v>PASS</x:v>
      </x:c>
    </x:row>
    <x:row r="138">
      <x:c r="B138" t="str">
        <x:v>A-00106</x:v>
      </x:c>
      <x:c r="C138" t="str">
        <x:v>GATE</x:v>
      </x:c>
      <x:c r="D138" t="str">
        <x:v>release state mirrors governing ledger</x:v>
      </x:c>
      <x:c r="E138" t="str">
        <x:f>'Release Gates'!I112</x:f>
        <x:v>PASS</x:v>
      </x:c>
      <x:c r="F138" t="str">
        <x:f>IF('Release Gates'!C112="PLANNING","PASS",IF('Release Gates'!C112="PHYSICAL","OPEN","BLOCKED"))</x:f>
        <x:v>PASS</x:v>
      </x:c>
      <x:c r="G138" t="str">
        <x:v>equals</x:v>
      </x:c>
      <x:c r="H138" t="str">
        <x:f>IF(E138=F138,"PASS","FAIL")</x:f>
        <x:v>PASS</x:v>
      </x:c>
    </x:row>
    <x:row r="139">
      <x:c r="B139" t="str">
        <x:v>A-00107</x:v>
      </x:c>
      <x:c r="C139" t="str">
        <x:v>GATE</x:v>
      </x:c>
      <x:c r="D139" t="str">
        <x:v>release state mirrors governing ledger</x:v>
      </x:c>
      <x:c r="E139" t="str">
        <x:f>'Release Gates'!I113</x:f>
        <x:v>PASS</x:v>
      </x:c>
      <x:c r="F139" t="str">
        <x:f>IF('Release Gates'!C113="PLANNING","PASS",IF('Release Gates'!C113="PHYSICAL","OPEN","BLOCKED"))</x:f>
        <x:v>PASS</x:v>
      </x:c>
      <x:c r="G139" t="str">
        <x:v>equals</x:v>
      </x:c>
      <x:c r="H139" t="str">
        <x:f>IF(E139=F139,"PASS","FAIL")</x:f>
        <x:v>PASS</x:v>
      </x:c>
    </x:row>
    <x:row r="140">
      <x:c r="B140" t="str">
        <x:v>A-00108</x:v>
      </x:c>
      <x:c r="C140" t="str">
        <x:v>GATE</x:v>
      </x:c>
      <x:c r="D140" t="str">
        <x:v>release state mirrors governing ledger</x:v>
      </x:c>
      <x:c r="E140" t="str">
        <x:f>'Release Gates'!I114</x:f>
        <x:v>PASS</x:v>
      </x:c>
      <x:c r="F140" t="str">
        <x:f>IF('Release Gates'!C114="PLANNING","PASS",IF('Release Gates'!C114="PHYSICAL","OPEN","BLOCKED"))</x:f>
        <x:v>PASS</x:v>
      </x:c>
      <x:c r="G140" t="str">
        <x:v>equals</x:v>
      </x:c>
      <x:c r="H140" t="str">
        <x:f>IF(E140=F140,"PASS","FAIL")</x:f>
        <x:v>PASS</x:v>
      </x:c>
    </x:row>
    <x:row r="141">
      <x:c r="B141" t="str">
        <x:v>A-00109</x:v>
      </x:c>
      <x:c r="C141" t="str">
        <x:v>GATE</x:v>
      </x:c>
      <x:c r="D141" t="str">
        <x:v>release state mirrors governing ledger</x:v>
      </x:c>
      <x:c r="E141" t="str">
        <x:f>'Release Gates'!I115</x:f>
        <x:v>PASS</x:v>
      </x:c>
      <x:c r="F141" t="str">
        <x:f>IF('Release Gates'!C115="PLANNING","PASS",IF('Release Gates'!C115="PHYSICAL","OPEN","BLOCKED"))</x:f>
        <x:v>PASS</x:v>
      </x:c>
      <x:c r="G141" t="str">
        <x:v>equals</x:v>
      </x:c>
      <x:c r="H141" t="str">
        <x:f>IF(E141=F141,"PASS","FAIL")</x:f>
        <x:v>PASS</x:v>
      </x:c>
    </x:row>
    <x:row r="142">
      <x:c r="B142" t="str">
        <x:v>A-00110</x:v>
      </x:c>
      <x:c r="C142" t="str">
        <x:v>GATE</x:v>
      </x:c>
      <x:c r="D142" t="str">
        <x:v>release state mirrors governing ledger</x:v>
      </x:c>
      <x:c r="E142" t="str">
        <x:f>'Release Gates'!I116</x:f>
        <x:v>PASS</x:v>
      </x:c>
      <x:c r="F142" t="str">
        <x:f>IF('Release Gates'!C116="PLANNING","PASS",IF('Release Gates'!C116="PHYSICAL","OPEN","BLOCKED"))</x:f>
        <x:v>PASS</x:v>
      </x:c>
      <x:c r="G142" t="str">
        <x:v>equals</x:v>
      </x:c>
      <x:c r="H142" t="str">
        <x:f>IF(E142=F142,"PASS","FAIL")</x:f>
        <x:v>PASS</x:v>
      </x:c>
    </x:row>
    <x:row r="143">
      <x:c r="B143" t="str">
        <x:v>A-00111</x:v>
      </x:c>
      <x:c r="C143" t="str">
        <x:v>GATE</x:v>
      </x:c>
      <x:c r="D143" t="str">
        <x:v>release state mirrors governing ledger</x:v>
      </x:c>
      <x:c r="E143" t="str">
        <x:f>'Release Gates'!I117</x:f>
        <x:v>PASS</x:v>
      </x:c>
      <x:c r="F143" t="str">
        <x:f>IF('Release Gates'!C117="PLANNING","PASS",IF('Release Gates'!C117="PHYSICAL","OPEN","BLOCKED"))</x:f>
        <x:v>PASS</x:v>
      </x:c>
      <x:c r="G143" t="str">
        <x:v>equals</x:v>
      </x:c>
      <x:c r="H143" t="str">
        <x:f>IF(E143=F143,"PASS","FAIL")</x:f>
        <x:v>PASS</x:v>
      </x:c>
    </x:row>
    <x:row r="144">
      <x:c r="B144" t="str">
        <x:v>A-00112</x:v>
      </x:c>
      <x:c r="C144" t="str">
        <x:v>GATE</x:v>
      </x:c>
      <x:c r="D144" t="str">
        <x:v>release state mirrors governing ledger</x:v>
      </x:c>
      <x:c r="E144" t="str">
        <x:f>'Release Gates'!I118</x:f>
        <x:v>PASS</x:v>
      </x:c>
      <x:c r="F144" t="str">
        <x:f>IF('Release Gates'!C118="PLANNING","PASS",IF('Release Gates'!C118="PHYSICAL","OPEN","BLOCKED"))</x:f>
        <x:v>PASS</x:v>
      </x:c>
      <x:c r="G144" t="str">
        <x:v>equals</x:v>
      </x:c>
      <x:c r="H144" t="str">
        <x:f>IF(E144=F144,"PASS","FAIL")</x:f>
        <x:v>PASS</x:v>
      </x:c>
    </x:row>
    <x:row r="145">
      <x:c r="B145" t="str">
        <x:v>A-00113</x:v>
      </x:c>
      <x:c r="C145" t="str">
        <x:v>GATE</x:v>
      </x:c>
      <x:c r="D145" t="str">
        <x:v>release state mirrors governing ledger</x:v>
      </x:c>
      <x:c r="E145" t="str">
        <x:f>'Release Gates'!I119</x:f>
        <x:v>PASS</x:v>
      </x:c>
      <x:c r="F145" t="str">
        <x:f>IF('Release Gates'!C119="PLANNING","PASS",IF('Release Gates'!C119="PHYSICAL","OPEN","BLOCKED"))</x:f>
        <x:v>PASS</x:v>
      </x:c>
      <x:c r="G145" t="str">
        <x:v>equals</x:v>
      </x:c>
      <x:c r="H145" t="str">
        <x:f>IF(E145=F145,"PASS","FAIL")</x:f>
        <x:v>PASS</x:v>
      </x:c>
    </x:row>
    <x:row r="146">
      <x:c r="B146" t="str">
        <x:v>A-00114</x:v>
      </x:c>
      <x:c r="C146" t="str">
        <x:v>GATE</x:v>
      </x:c>
      <x:c r="D146" t="str">
        <x:v>release state mirrors governing ledger</x:v>
      </x:c>
      <x:c r="E146" t="str">
        <x:f>'Release Gates'!I120</x:f>
        <x:v>PASS</x:v>
      </x:c>
      <x:c r="F146" t="str">
        <x:f>IF('Release Gates'!C120="PLANNING","PASS",IF('Release Gates'!C120="PHYSICAL","OPEN","BLOCKED"))</x:f>
        <x:v>PASS</x:v>
      </x:c>
      <x:c r="G146" t="str">
        <x:v>equals</x:v>
      </x:c>
      <x:c r="H146" t="str">
        <x:f>IF(E146=F146,"PASS","FAIL")</x:f>
        <x:v>PASS</x:v>
      </x:c>
    </x:row>
    <x:row r="147">
      <x:c r="B147" t="str">
        <x:v>A-00115</x:v>
      </x:c>
      <x:c r="C147" t="str">
        <x:v>GATE</x:v>
      </x:c>
      <x:c r="D147" t="str">
        <x:v>release state mirrors governing ledger</x:v>
      </x:c>
      <x:c r="E147" t="str">
        <x:f>'Release Gates'!I121</x:f>
        <x:v>PASS</x:v>
      </x:c>
      <x:c r="F147" t="str">
        <x:f>IF('Release Gates'!C121="PLANNING","PASS",IF('Release Gates'!C121="PHYSICAL","OPEN","BLOCKED"))</x:f>
        <x:v>PASS</x:v>
      </x:c>
      <x:c r="G147" t="str">
        <x:v>equals</x:v>
      </x:c>
      <x:c r="H147" t="str">
        <x:f>IF(E147=F147,"PASS","FAIL")</x:f>
        <x:v>PASS</x:v>
      </x:c>
    </x:row>
    <x:row r="148">
      <x:c r="B148" t="str">
        <x:v>A-00116</x:v>
      </x:c>
      <x:c r="C148" t="str">
        <x:v>GATE</x:v>
      </x:c>
      <x:c r="D148" t="str">
        <x:v>release state mirrors governing ledger</x:v>
      </x:c>
      <x:c r="E148" t="str">
        <x:f>'Release Gates'!I122</x:f>
        <x:v>PASS</x:v>
      </x:c>
      <x:c r="F148" t="str">
        <x:f>IF('Release Gates'!C122="PLANNING","PASS",IF('Release Gates'!C122="PHYSICAL","OPEN","BLOCKED"))</x:f>
        <x:v>PASS</x:v>
      </x:c>
      <x:c r="G148" t="str">
        <x:v>equals</x:v>
      </x:c>
      <x:c r="H148" t="str">
        <x:f>IF(E148=F148,"PASS","FAIL")</x:f>
        <x:v>PASS</x:v>
      </x:c>
    </x:row>
    <x:row r="149">
      <x:c r="B149" t="str">
        <x:v>A-00117</x:v>
      </x:c>
      <x:c r="C149" t="str">
        <x:v>GATE</x:v>
      </x:c>
      <x:c r="D149" t="str">
        <x:v>release state mirrors governing ledger</x:v>
      </x:c>
      <x:c r="E149" t="str">
        <x:f>'Release Gates'!I123</x:f>
        <x:v>PASS</x:v>
      </x:c>
      <x:c r="F149" t="str">
        <x:f>IF('Release Gates'!C123="PLANNING","PASS",IF('Release Gates'!C123="PHYSICAL","OPEN","BLOCKED"))</x:f>
        <x:v>PASS</x:v>
      </x:c>
      <x:c r="G149" t="str">
        <x:v>equals</x:v>
      </x:c>
      <x:c r="H149" t="str">
        <x:f>IF(E149=F149,"PASS","FAIL")</x:f>
        <x:v>PASS</x:v>
      </x:c>
    </x:row>
    <x:row r="150">
      <x:c r="B150" t="str">
        <x:v>A-00118</x:v>
      </x:c>
      <x:c r="C150" t="str">
        <x:v>GATE</x:v>
      </x:c>
      <x:c r="D150" t="str">
        <x:v>release state mirrors governing ledger</x:v>
      </x:c>
      <x:c r="E150" t="str">
        <x:f>'Release Gates'!I124</x:f>
        <x:v>PASS</x:v>
      </x:c>
      <x:c r="F150" t="str">
        <x:f>IF('Release Gates'!C124="PLANNING","PASS",IF('Release Gates'!C124="PHYSICAL","OPEN","BLOCKED"))</x:f>
        <x:v>PASS</x:v>
      </x:c>
      <x:c r="G150" t="str">
        <x:v>equals</x:v>
      </x:c>
      <x:c r="H150" t="str">
        <x:f>IF(E150=F150,"PASS","FAIL")</x:f>
        <x:v>PASS</x:v>
      </x:c>
    </x:row>
    <x:row r="151">
      <x:c r="B151" t="str">
        <x:v>A-00119</x:v>
      </x:c>
      <x:c r="C151" t="str">
        <x:v>GATE</x:v>
      </x:c>
      <x:c r="D151" t="str">
        <x:v>release state mirrors governing ledger</x:v>
      </x:c>
      <x:c r="E151" t="str">
        <x:f>'Release Gates'!I125</x:f>
        <x:v>PASS</x:v>
      </x:c>
      <x:c r="F151" t="str">
        <x:f>IF('Release Gates'!C125="PLANNING","PASS",IF('Release Gates'!C125="PHYSICAL","OPEN","BLOCKED"))</x:f>
        <x:v>PASS</x:v>
      </x:c>
      <x:c r="G151" t="str">
        <x:v>equals</x:v>
      </x:c>
      <x:c r="H151" t="str">
        <x:f>IF(E151=F151,"PASS","FAIL")</x:f>
        <x:v>PASS</x:v>
      </x:c>
    </x:row>
    <x:row r="152">
      <x:c r="B152" t="str">
        <x:v>A-00120</x:v>
      </x:c>
      <x:c r="C152" t="str">
        <x:v>GATE</x:v>
      </x:c>
      <x:c r="D152" t="str">
        <x:v>release state mirrors governing ledger</x:v>
      </x:c>
      <x:c r="E152" t="str">
        <x:f>'Release Gates'!I126</x:f>
        <x:v>PASS</x:v>
      </x:c>
      <x:c r="F152" t="str">
        <x:f>IF('Release Gates'!C126="PLANNING","PASS",IF('Release Gates'!C126="PHYSICAL","OPEN","BLOCKED"))</x:f>
        <x:v>PASS</x:v>
      </x:c>
      <x:c r="G152" t="str">
        <x:v>equals</x:v>
      </x:c>
      <x:c r="H152" t="str">
        <x:f>IF(E152=F152,"PASS","FAIL")</x:f>
        <x:v>PASS</x:v>
      </x:c>
    </x:row>
    <x:row r="153">
      <x:c r="B153" t="str">
        <x:v>A-00121</x:v>
      </x:c>
      <x:c r="C153" t="str">
        <x:v>GATE</x:v>
      </x:c>
      <x:c r="D153" t="str">
        <x:v>release state mirrors governing ledger</x:v>
      </x:c>
      <x:c r="E153" t="str">
        <x:f>'Release Gates'!I127</x:f>
        <x:v>PASS</x:v>
      </x:c>
      <x:c r="F153" t="str">
        <x:f>IF('Release Gates'!C127="PLANNING","PASS",IF('Release Gates'!C127="PHYSICAL","OPEN","BLOCKED"))</x:f>
        <x:v>PASS</x:v>
      </x:c>
      <x:c r="G153" t="str">
        <x:v>equals</x:v>
      </x:c>
      <x:c r="H153" t="str">
        <x:f>IF(E153=F153,"PASS","FAIL")</x:f>
        <x:v>PASS</x:v>
      </x:c>
    </x:row>
    <x:row r="154">
      <x:c r="B154" t="str">
        <x:v>A-00122</x:v>
      </x:c>
      <x:c r="C154" t="str">
        <x:v>GATE</x:v>
      </x:c>
      <x:c r="D154" t="str">
        <x:v>release state mirrors governing ledger</x:v>
      </x:c>
      <x:c r="E154" t="str">
        <x:f>'Release Gates'!I128</x:f>
        <x:v>PASS</x:v>
      </x:c>
      <x:c r="F154" t="str">
        <x:f>IF('Release Gates'!C128="PLANNING","PASS",IF('Release Gates'!C128="PHYSICAL","OPEN","BLOCKED"))</x:f>
        <x:v>PASS</x:v>
      </x:c>
      <x:c r="G154" t="str">
        <x:v>equals</x:v>
      </x:c>
      <x:c r="H154" t="str">
        <x:f>IF(E154=F154,"PASS","FAIL")</x:f>
        <x:v>PASS</x:v>
      </x:c>
    </x:row>
    <x:row r="155">
      <x:c r="B155" t="str">
        <x:v>A-00123</x:v>
      </x:c>
      <x:c r="C155" t="str">
        <x:v>GATE</x:v>
      </x:c>
      <x:c r="D155" t="str">
        <x:v>release state mirrors governing ledger</x:v>
      </x:c>
      <x:c r="E155" t="str">
        <x:f>'Release Gates'!I129</x:f>
        <x:v>PASS</x:v>
      </x:c>
      <x:c r="F155" t="str">
        <x:f>IF('Release Gates'!C129="PLANNING","PASS",IF('Release Gates'!C129="PHYSICAL","OPEN","BLOCKED"))</x:f>
        <x:v>PASS</x:v>
      </x:c>
      <x:c r="G155" t="str">
        <x:v>equals</x:v>
      </x:c>
      <x:c r="H155" t="str">
        <x:f>IF(E155=F155,"PASS","FAIL")</x:f>
        <x:v>PASS</x:v>
      </x:c>
    </x:row>
    <x:row r="156">
      <x:c r="B156" t="str">
        <x:v>A-00124</x:v>
      </x:c>
      <x:c r="C156" t="str">
        <x:v>GATE</x:v>
      </x:c>
      <x:c r="D156" t="str">
        <x:v>release state mirrors governing ledger</x:v>
      </x:c>
      <x:c r="E156" t="str">
        <x:f>'Release Gates'!I130</x:f>
        <x:v>PASS</x:v>
      </x:c>
      <x:c r="F156" t="str">
        <x:f>IF('Release Gates'!C130="PLANNING","PASS",IF('Release Gates'!C130="PHYSICAL","OPEN","BLOCKED"))</x:f>
        <x:v>PASS</x:v>
      </x:c>
      <x:c r="G156" t="str">
        <x:v>equals</x:v>
      </x:c>
      <x:c r="H156" t="str">
        <x:f>IF(E156=F156,"PASS","FAIL")</x:f>
        <x:v>PASS</x:v>
      </x:c>
    </x:row>
    <x:row r="157">
      <x:c r="B157" t="str">
        <x:v>A-00125</x:v>
      </x:c>
      <x:c r="C157" t="str">
        <x:v>GATE</x:v>
      </x:c>
      <x:c r="D157" t="str">
        <x:v>release state mirrors governing ledger</x:v>
      </x:c>
      <x:c r="E157" t="str">
        <x:f>'Release Gates'!I131</x:f>
        <x:v>PASS</x:v>
      </x:c>
      <x:c r="F157" t="str">
        <x:f>IF('Release Gates'!C131="PLANNING","PASS",IF('Release Gates'!C131="PHYSICAL","OPEN","BLOCKED"))</x:f>
        <x:v>PASS</x:v>
      </x:c>
      <x:c r="G157" t="str">
        <x:v>equals</x:v>
      </x:c>
      <x:c r="H157" t="str">
        <x:f>IF(E157=F157,"PASS","FAIL")</x:f>
        <x:v>PASS</x:v>
      </x:c>
    </x:row>
    <x:row r="158">
      <x:c r="B158" t="str">
        <x:v>A-00126</x:v>
      </x:c>
      <x:c r="C158" t="str">
        <x:v>GATE</x:v>
      </x:c>
      <x:c r="D158" t="str">
        <x:v>release state mirrors governing ledger</x:v>
      </x:c>
      <x:c r="E158" t="str">
        <x:f>'Release Gates'!I132</x:f>
        <x:v>PASS</x:v>
      </x:c>
      <x:c r="F158" t="str">
        <x:f>IF('Release Gates'!C132="PLANNING","PASS",IF('Release Gates'!C132="PHYSICAL","OPEN","BLOCKED"))</x:f>
        <x:v>PASS</x:v>
      </x:c>
      <x:c r="G158" t="str">
        <x:v>equals</x:v>
      </x:c>
      <x:c r="H158" t="str">
        <x:f>IF(E158=F158,"PASS","FAIL")</x:f>
        <x:v>PASS</x:v>
      </x:c>
    </x:row>
    <x:row r="159">
      <x:c r="B159" t="str">
        <x:v>A-00127</x:v>
      </x:c>
      <x:c r="C159" t="str">
        <x:v>GATE</x:v>
      </x:c>
      <x:c r="D159" t="str">
        <x:v>release state mirrors governing ledger</x:v>
      </x:c>
      <x:c r="E159" t="str">
        <x:f>'Release Gates'!I133</x:f>
        <x:v>PASS</x:v>
      </x:c>
      <x:c r="F159" t="str">
        <x:f>IF('Release Gates'!C133="PLANNING","PASS",IF('Release Gates'!C133="PHYSICAL","OPEN","BLOCKED"))</x:f>
        <x:v>PASS</x:v>
      </x:c>
      <x:c r="G159" t="str">
        <x:v>equals</x:v>
      </x:c>
      <x:c r="H159" t="str">
        <x:f>IF(E159=F159,"PASS","FAIL")</x:f>
        <x:v>PASS</x:v>
      </x:c>
    </x:row>
    <x:row r="160">
      <x:c r="B160" t="str">
        <x:v>A-00128</x:v>
      </x:c>
      <x:c r="C160" t="str">
        <x:v>GATE</x:v>
      </x:c>
      <x:c r="D160" t="str">
        <x:v>release state mirrors governing ledger</x:v>
      </x:c>
      <x:c r="E160" t="str">
        <x:f>'Release Gates'!I134</x:f>
        <x:v>PASS</x:v>
      </x:c>
      <x:c r="F160" t="str">
        <x:f>IF('Release Gates'!C134="PLANNING","PASS",IF('Release Gates'!C134="PHYSICAL","OPEN","BLOCKED"))</x:f>
        <x:v>PASS</x:v>
      </x:c>
      <x:c r="G160" t="str">
        <x:v>equals</x:v>
      </x:c>
      <x:c r="H160" t="str">
        <x:f>IF(E160=F160,"PASS","FAIL")</x:f>
        <x:v>PASS</x:v>
      </x:c>
    </x:row>
    <x:row r="161">
      <x:c r="B161" t="str">
        <x:v>A-00129</x:v>
      </x:c>
      <x:c r="C161" t="str">
        <x:v>GATE</x:v>
      </x:c>
      <x:c r="D161" t="str">
        <x:v>release state mirrors governing ledger</x:v>
      </x:c>
      <x:c r="E161" t="str">
        <x:f>'Release Gates'!I135</x:f>
        <x:v>PASS</x:v>
      </x:c>
      <x:c r="F161" t="str">
        <x:f>IF('Release Gates'!C135="PLANNING","PASS",IF('Release Gates'!C135="PHYSICAL","OPEN","BLOCKED"))</x:f>
        <x:v>PASS</x:v>
      </x:c>
      <x:c r="G161" t="str">
        <x:v>equals</x:v>
      </x:c>
      <x:c r="H161" t="str">
        <x:f>IF(E161=F161,"PASS","FAIL")</x:f>
        <x:v>PASS</x:v>
      </x:c>
    </x:row>
    <x:row r="162">
      <x:c r="B162" t="str">
        <x:v>A-00130</x:v>
      </x:c>
      <x:c r="C162" t="str">
        <x:v>GATE</x:v>
      </x:c>
      <x:c r="D162" t="str">
        <x:v>release state mirrors governing ledger</x:v>
      </x:c>
      <x:c r="E162" t="str">
        <x:f>'Release Gates'!I136</x:f>
        <x:v>PASS</x:v>
      </x:c>
      <x:c r="F162" t="str">
        <x:f>IF('Release Gates'!C136="PLANNING","PASS",IF('Release Gates'!C136="PHYSICAL","OPEN","BLOCKED"))</x:f>
        <x:v>PASS</x:v>
      </x:c>
      <x:c r="G162" t="str">
        <x:v>equals</x:v>
      </x:c>
      <x:c r="H162" t="str">
        <x:f>IF(E162=F162,"PASS","FAIL")</x:f>
        <x:v>PASS</x:v>
      </x:c>
    </x:row>
    <x:row r="163">
      <x:c r="B163" t="str">
        <x:v>A-00131</x:v>
      </x:c>
      <x:c r="C163" t="str">
        <x:v>GATE</x:v>
      </x:c>
      <x:c r="D163" t="str">
        <x:v>release state mirrors governing ledger</x:v>
      </x:c>
      <x:c r="E163" t="str">
        <x:f>'Release Gates'!I137</x:f>
        <x:v>PASS</x:v>
      </x:c>
      <x:c r="F163" t="str">
        <x:f>IF('Release Gates'!C137="PLANNING","PASS",IF('Release Gates'!C137="PHYSICAL","OPEN","BLOCKED"))</x:f>
        <x:v>PASS</x:v>
      </x:c>
      <x:c r="G163" t="str">
        <x:v>equals</x:v>
      </x:c>
      <x:c r="H163" t="str">
        <x:f>IF(E163=F163,"PASS","FAIL")</x:f>
        <x:v>PASS</x:v>
      </x:c>
    </x:row>
    <x:row r="164">
      <x:c r="B164" t="str">
        <x:v>A-00132</x:v>
      </x:c>
      <x:c r="C164" t="str">
        <x:v>GATE</x:v>
      </x:c>
      <x:c r="D164" t="str">
        <x:v>release state mirrors governing ledger</x:v>
      </x:c>
      <x:c r="E164" t="str">
        <x:f>'Release Gates'!I138</x:f>
        <x:v>PASS</x:v>
      </x:c>
      <x:c r="F164" t="str">
        <x:f>IF('Release Gates'!C138="PLANNING","PASS",IF('Release Gates'!C138="PHYSICAL","OPEN","BLOCKED"))</x:f>
        <x:v>PASS</x:v>
      </x:c>
      <x:c r="G164" t="str">
        <x:v>equals</x:v>
      </x:c>
      <x:c r="H164" t="str">
        <x:f>IF(E164=F164,"PASS","FAIL")</x:f>
        <x:v>PASS</x:v>
      </x:c>
    </x:row>
    <x:row r="165">
      <x:c r="B165" t="str">
        <x:v>A-00133</x:v>
      </x:c>
      <x:c r="C165" t="str">
        <x:v>GATE</x:v>
      </x:c>
      <x:c r="D165" t="str">
        <x:v>release state mirrors governing ledger</x:v>
      </x:c>
      <x:c r="E165" t="str">
        <x:f>'Release Gates'!I139</x:f>
        <x:v>PASS</x:v>
      </x:c>
      <x:c r="F165" t="str">
        <x:f>IF('Release Gates'!C139="PLANNING","PASS",IF('Release Gates'!C139="PHYSICAL","OPEN","BLOCKED"))</x:f>
        <x:v>PASS</x:v>
      </x:c>
      <x:c r="G165" t="str">
        <x:v>equals</x:v>
      </x:c>
      <x:c r="H165" t="str">
        <x:f>IF(E165=F165,"PASS","FAIL")</x:f>
        <x:v>PASS</x:v>
      </x:c>
    </x:row>
    <x:row r="166">
      <x:c r="B166" t="str">
        <x:v>A-00134</x:v>
      </x:c>
      <x:c r="C166" t="str">
        <x:v>GATE</x:v>
      </x:c>
      <x:c r="D166" t="str">
        <x:v>release state mirrors governing ledger</x:v>
      </x:c>
      <x:c r="E166" t="str">
        <x:f>'Release Gates'!I140</x:f>
        <x:v>PASS</x:v>
      </x:c>
      <x:c r="F166" t="str">
        <x:f>IF('Release Gates'!C140="PLANNING","PASS",IF('Release Gates'!C140="PHYSICAL","OPEN","BLOCKED"))</x:f>
        <x:v>PASS</x:v>
      </x:c>
      <x:c r="G166" t="str">
        <x:v>equals</x:v>
      </x:c>
      <x:c r="H166" t="str">
        <x:f>IF(E166=F166,"PASS","FAIL")</x:f>
        <x:v>PASS</x:v>
      </x:c>
    </x:row>
    <x:row r="167">
      <x:c r="B167" t="str">
        <x:v>A-00135</x:v>
      </x:c>
      <x:c r="C167" t="str">
        <x:v>GATE</x:v>
      </x:c>
      <x:c r="D167" t="str">
        <x:v>release state mirrors governing ledger</x:v>
      </x:c>
      <x:c r="E167" t="str">
        <x:f>'Release Gates'!I141</x:f>
        <x:v>PASS</x:v>
      </x:c>
      <x:c r="F167" t="str">
        <x:f>IF('Release Gates'!C141="PLANNING","PASS",IF('Release Gates'!C141="PHYSICAL","OPEN","BLOCKED"))</x:f>
        <x:v>PASS</x:v>
      </x:c>
      <x:c r="G167" t="str">
        <x:v>equals</x:v>
      </x:c>
      <x:c r="H167" t="str">
        <x:f>IF(E167=F167,"PASS","FAIL")</x:f>
        <x:v>PASS</x:v>
      </x:c>
    </x:row>
    <x:row r="168">
      <x:c r="B168" t="str">
        <x:v>A-00136</x:v>
      </x:c>
      <x:c r="C168" t="str">
        <x:v>GATE</x:v>
      </x:c>
      <x:c r="D168" t="str">
        <x:v>release state mirrors governing ledger</x:v>
      </x:c>
      <x:c r="E168" t="str">
        <x:f>'Release Gates'!I142</x:f>
        <x:v>PASS</x:v>
      </x:c>
      <x:c r="F168" t="str">
        <x:f>IF('Release Gates'!C142="PLANNING","PASS",IF('Release Gates'!C142="PHYSICAL","OPEN","BLOCKED"))</x:f>
        <x:v>PASS</x:v>
      </x:c>
      <x:c r="G168" t="str">
        <x:v>equals</x:v>
      </x:c>
      <x:c r="H168" t="str">
        <x:f>IF(E168=F168,"PASS","FAIL")</x:f>
        <x:v>PASS</x:v>
      </x:c>
    </x:row>
    <x:row r="169">
      <x:c r="B169" t="str">
        <x:v>A-00137</x:v>
      </x:c>
      <x:c r="C169" t="str">
        <x:v>GATE</x:v>
      </x:c>
      <x:c r="D169" t="str">
        <x:v>release state mirrors governing ledger</x:v>
      </x:c>
      <x:c r="E169" t="str">
        <x:f>'Release Gates'!I143</x:f>
        <x:v>PASS</x:v>
      </x:c>
      <x:c r="F169" t="str">
        <x:f>IF('Release Gates'!C143="PLANNING","PASS",IF('Release Gates'!C143="PHYSICAL","OPEN","BLOCKED"))</x:f>
        <x:v>PASS</x:v>
      </x:c>
      <x:c r="G169" t="str">
        <x:v>equals</x:v>
      </x:c>
      <x:c r="H169" t="str">
        <x:f>IF(E169=F169,"PASS","FAIL")</x:f>
        <x:v>PASS</x:v>
      </x:c>
    </x:row>
    <x:row r="170">
      <x:c r="B170" t="str">
        <x:v>A-00138</x:v>
      </x:c>
      <x:c r="C170" t="str">
        <x:v>GATE</x:v>
      </x:c>
      <x:c r="D170" t="str">
        <x:v>release state mirrors governing ledger</x:v>
      </x:c>
      <x:c r="E170" t="str">
        <x:f>'Release Gates'!I144</x:f>
        <x:v>PASS</x:v>
      </x:c>
      <x:c r="F170" t="str">
        <x:f>IF('Release Gates'!C144="PLANNING","PASS",IF('Release Gates'!C144="PHYSICAL","OPEN","BLOCKED"))</x:f>
        <x:v>PASS</x:v>
      </x:c>
      <x:c r="G170" t="str">
        <x:v>equals</x:v>
      </x:c>
      <x:c r="H170" t="str">
        <x:f>IF(E170=F170,"PASS","FAIL")</x:f>
        <x:v>PASS</x:v>
      </x:c>
    </x:row>
    <x:row r="171">
      <x:c r="B171" t="str">
        <x:v>A-00139</x:v>
      </x:c>
      <x:c r="C171" t="str">
        <x:v>GATE</x:v>
      </x:c>
      <x:c r="D171" t="str">
        <x:v>release state mirrors governing ledger</x:v>
      </x:c>
      <x:c r="E171" t="str">
        <x:f>'Release Gates'!I145</x:f>
        <x:v>PASS</x:v>
      </x:c>
      <x:c r="F171" t="str">
        <x:f>IF('Release Gates'!C145="PLANNING","PASS",IF('Release Gates'!C145="PHYSICAL","OPEN","BLOCKED"))</x:f>
        <x:v>PASS</x:v>
      </x:c>
      <x:c r="G171" t="str">
        <x:v>equals</x:v>
      </x:c>
      <x:c r="H171" t="str">
        <x:f>IF(E171=F171,"PASS","FAIL")</x:f>
        <x:v>PASS</x:v>
      </x:c>
    </x:row>
    <x:row r="172">
      <x:c r="B172" t="str">
        <x:v>A-00140</x:v>
      </x:c>
      <x:c r="C172" t="str">
        <x:v>GATE</x:v>
      </x:c>
      <x:c r="D172" t="str">
        <x:v>release state mirrors governing ledger</x:v>
      </x:c>
      <x:c r="E172" t="str">
        <x:f>'Release Gates'!I146</x:f>
        <x:v>PASS</x:v>
      </x:c>
      <x:c r="F172" t="str">
        <x:f>IF('Release Gates'!C146="PLANNING","PASS",IF('Release Gates'!C146="PHYSICAL","OPEN","BLOCKED"))</x:f>
        <x:v>PASS</x:v>
      </x:c>
      <x:c r="G172" t="str">
        <x:v>equals</x:v>
      </x:c>
      <x:c r="H172" t="str">
        <x:f>IF(E172=F172,"PASS","FAIL")</x:f>
        <x:v>PASS</x:v>
      </x:c>
    </x:row>
    <x:row r="173">
      <x:c r="B173" t="str">
        <x:v>A-00141</x:v>
      </x:c>
      <x:c r="C173" t="str">
        <x:v>GATE</x:v>
      </x:c>
      <x:c r="D173" t="str">
        <x:v>release state mirrors governing ledger</x:v>
      </x:c>
      <x:c r="E173" t="str">
        <x:f>'Release Gates'!I147</x:f>
        <x:v>PASS</x:v>
      </x:c>
      <x:c r="F173" t="str">
        <x:f>IF('Release Gates'!C147="PLANNING","PASS",IF('Release Gates'!C147="PHYSICAL","OPEN","BLOCKED"))</x:f>
        <x:v>PASS</x:v>
      </x:c>
      <x:c r="G173" t="str">
        <x:v>equals</x:v>
      </x:c>
      <x:c r="H173" t="str">
        <x:f>IF(E173=F173,"PASS","FAIL")</x:f>
        <x:v>PASS</x:v>
      </x:c>
    </x:row>
    <x:row r="174">
      <x:c r="B174" t="str">
        <x:v>A-00142</x:v>
      </x:c>
      <x:c r="C174" t="str">
        <x:v>GATE</x:v>
      </x:c>
      <x:c r="D174" t="str">
        <x:v>release state mirrors governing ledger</x:v>
      </x:c>
      <x:c r="E174" t="str">
        <x:f>'Release Gates'!I148</x:f>
        <x:v>PASS</x:v>
      </x:c>
      <x:c r="F174" t="str">
        <x:f>IF('Release Gates'!C148="PLANNING","PASS",IF('Release Gates'!C148="PHYSICAL","OPEN","BLOCKED"))</x:f>
        <x:v>PASS</x:v>
      </x:c>
      <x:c r="G174" t="str">
        <x:v>equals</x:v>
      </x:c>
      <x:c r="H174" t="str">
        <x:f>IF(E174=F174,"PASS","FAIL")</x:f>
        <x:v>PASS</x:v>
      </x:c>
    </x:row>
    <x:row r="175">
      <x:c r="B175" t="str">
        <x:v>A-00143</x:v>
      </x:c>
      <x:c r="C175" t="str">
        <x:v>GATE</x:v>
      </x:c>
      <x:c r="D175" t="str">
        <x:v>release state mirrors governing ledger</x:v>
      </x:c>
      <x:c r="E175" t="str">
        <x:f>'Release Gates'!I149</x:f>
        <x:v>PASS</x:v>
      </x:c>
      <x:c r="F175" t="str">
        <x:f>IF('Release Gates'!C149="PLANNING","PASS",IF('Release Gates'!C149="PHYSICAL","OPEN","BLOCKED"))</x:f>
        <x:v>PASS</x:v>
      </x:c>
      <x:c r="G175" t="str">
        <x:v>equals</x:v>
      </x:c>
      <x:c r="H175" t="str">
        <x:f>IF(E175=F175,"PASS","FAIL")</x:f>
        <x:v>PASS</x:v>
      </x:c>
    </x:row>
    <x:row r="176">
      <x:c r="B176" t="str">
        <x:v>A-00144</x:v>
      </x:c>
      <x:c r="C176" t="str">
        <x:v>GATE</x:v>
      </x:c>
      <x:c r="D176" t="str">
        <x:v>release state mirrors governing ledger</x:v>
      </x:c>
      <x:c r="E176" t="str">
        <x:f>'Release Gates'!I150</x:f>
        <x:v>PASS</x:v>
      </x:c>
      <x:c r="F176" t="str">
        <x:f>IF('Release Gates'!C150="PLANNING","PASS",IF('Release Gates'!C150="PHYSICAL","OPEN","BLOCKED"))</x:f>
        <x:v>PASS</x:v>
      </x:c>
      <x:c r="G176" t="str">
        <x:v>equals</x:v>
      </x:c>
      <x:c r="H176" t="str">
        <x:f>IF(E176=F176,"PASS","FAIL")</x:f>
        <x:v>PASS</x:v>
      </x:c>
    </x:row>
    <x:row r="177">
      <x:c r="B177" t="str">
        <x:v>A-00145</x:v>
      </x:c>
      <x:c r="C177" t="str">
        <x:v>GATE</x:v>
      </x:c>
      <x:c r="D177" t="str">
        <x:v>release state mirrors governing ledger</x:v>
      </x:c>
      <x:c r="E177" t="str">
        <x:f>'Release Gates'!I151</x:f>
        <x:v>PASS</x:v>
      </x:c>
      <x:c r="F177" t="str">
        <x:f>IF('Release Gates'!C151="PLANNING","PASS",IF('Release Gates'!C151="PHYSICAL","OPEN","BLOCKED"))</x:f>
        <x:v>PASS</x:v>
      </x:c>
      <x:c r="G177" t="str">
        <x:v>equals</x:v>
      </x:c>
      <x:c r="H177" t="str">
        <x:f>IF(E177=F177,"PASS","FAIL")</x:f>
        <x:v>PASS</x:v>
      </x:c>
    </x:row>
    <x:row r="178">
      <x:c r="B178" t="str">
        <x:v>A-00146</x:v>
      </x:c>
      <x:c r="C178" t="str">
        <x:v>GATE</x:v>
      </x:c>
      <x:c r="D178" t="str">
        <x:v>release state mirrors governing ledger</x:v>
      </x:c>
      <x:c r="E178" t="str">
        <x:f>'Release Gates'!I152</x:f>
        <x:v>PASS</x:v>
      </x:c>
      <x:c r="F178" t="str">
        <x:f>IF('Release Gates'!C152="PLANNING","PASS",IF('Release Gates'!C152="PHYSICAL","OPEN","BLOCKED"))</x:f>
        <x:v>PASS</x:v>
      </x:c>
      <x:c r="G178" t="str">
        <x:v>equals</x:v>
      </x:c>
      <x:c r="H178" t="str">
        <x:f>IF(E178=F178,"PASS","FAIL")</x:f>
        <x:v>PASS</x:v>
      </x:c>
    </x:row>
    <x:row r="179">
      <x:c r="B179" t="str">
        <x:v>A-00147</x:v>
      </x:c>
      <x:c r="C179" t="str">
        <x:v>GATE</x:v>
      </x:c>
      <x:c r="D179" t="str">
        <x:v>release state mirrors governing ledger</x:v>
      </x:c>
      <x:c r="E179" t="str">
        <x:f>'Release Gates'!I153</x:f>
        <x:v>PASS</x:v>
      </x:c>
      <x:c r="F179" t="str">
        <x:f>IF('Release Gates'!C153="PLANNING","PASS",IF('Release Gates'!C153="PHYSICAL","OPEN","BLOCKED"))</x:f>
        <x:v>PASS</x:v>
      </x:c>
      <x:c r="G179" t="str">
        <x:v>equals</x:v>
      </x:c>
      <x:c r="H179" t="str">
        <x:f>IF(E179=F179,"PASS","FAIL")</x:f>
        <x:v>PASS</x:v>
      </x:c>
    </x:row>
    <x:row r="180">
      <x:c r="B180" t="str">
        <x:v>A-00148</x:v>
      </x:c>
      <x:c r="C180" t="str">
        <x:v>GATE</x:v>
      </x:c>
      <x:c r="D180" t="str">
        <x:v>release state mirrors governing ledger</x:v>
      </x:c>
      <x:c r="E180" t="str">
        <x:f>'Release Gates'!I154</x:f>
        <x:v>PASS</x:v>
      </x:c>
      <x:c r="F180" t="str">
        <x:f>IF('Release Gates'!C154="PLANNING","PASS",IF('Release Gates'!C154="PHYSICAL","OPEN","BLOCKED"))</x:f>
        <x:v>PASS</x:v>
      </x:c>
      <x:c r="G180" t="str">
        <x:v>equals</x:v>
      </x:c>
      <x:c r="H180" t="str">
        <x:f>IF(E180=F180,"PASS","FAIL")</x:f>
        <x:v>PASS</x:v>
      </x:c>
    </x:row>
    <x:row r="181">
      <x:c r="B181" t="str">
        <x:v>A-00149</x:v>
      </x:c>
      <x:c r="C181" t="str">
        <x:v>GATE</x:v>
      </x:c>
      <x:c r="D181" t="str">
        <x:v>release state mirrors governing ledger</x:v>
      </x:c>
      <x:c r="E181" t="str">
        <x:f>'Release Gates'!I155</x:f>
        <x:v>PASS</x:v>
      </x:c>
      <x:c r="F181" t="str">
        <x:f>IF('Release Gates'!C155="PLANNING","PASS",IF('Release Gates'!C155="PHYSICAL","OPEN","BLOCKED"))</x:f>
        <x:v>PASS</x:v>
      </x:c>
      <x:c r="G181" t="str">
        <x:v>equals</x:v>
      </x:c>
      <x:c r="H181" t="str">
        <x:f>IF(E181=F181,"PASS","FAIL")</x:f>
        <x:v>PASS</x:v>
      </x:c>
    </x:row>
    <x:row r="182">
      <x:c r="B182" t="str">
        <x:v>A-00150</x:v>
      </x:c>
      <x:c r="C182" t="str">
        <x:v>GATE</x:v>
      </x:c>
      <x:c r="D182" t="str">
        <x:v>release state mirrors governing ledger</x:v>
      </x:c>
      <x:c r="E182" t="str">
        <x:f>'Release Gates'!I156</x:f>
        <x:v>PASS</x:v>
      </x:c>
      <x:c r="F182" t="str">
        <x:f>IF('Release Gates'!C156="PLANNING","PASS",IF('Release Gates'!C156="PHYSICAL","OPEN","BLOCKED"))</x:f>
        <x:v>PASS</x:v>
      </x:c>
      <x:c r="G182" t="str">
        <x:v>equals</x:v>
      </x:c>
      <x:c r="H182" t="str">
        <x:f>IF(E182=F182,"PASS","FAIL")</x:f>
        <x:v>PASS</x:v>
      </x:c>
    </x:row>
    <x:row r="183">
      <x:c r="B183" t="str">
        <x:v>A-00151</x:v>
      </x:c>
      <x:c r="C183" t="str">
        <x:v>GATE</x:v>
      </x:c>
      <x:c r="D183" t="str">
        <x:v>release state mirrors governing ledger</x:v>
      </x:c>
      <x:c r="E183" t="str">
        <x:f>'Release Gates'!I157</x:f>
        <x:v>PASS</x:v>
      </x:c>
      <x:c r="F183" t="str">
        <x:f>IF('Release Gates'!C157="PLANNING","PASS",IF('Release Gates'!C157="PHYSICAL","OPEN","BLOCKED"))</x:f>
        <x:v>PASS</x:v>
      </x:c>
      <x:c r="G183" t="str">
        <x:v>equals</x:v>
      </x:c>
      <x:c r="H183" t="str">
        <x:f>IF(E183=F183,"PASS","FAIL")</x:f>
        <x:v>PASS</x:v>
      </x:c>
    </x:row>
    <x:row r="184">
      <x:c r="B184" t="str">
        <x:v>A-00152</x:v>
      </x:c>
      <x:c r="C184" t="str">
        <x:v>GATE</x:v>
      </x:c>
      <x:c r="D184" t="str">
        <x:v>release state mirrors governing ledger</x:v>
      </x:c>
      <x:c r="E184" t="str">
        <x:f>'Release Gates'!I158</x:f>
        <x:v>PASS</x:v>
      </x:c>
      <x:c r="F184" t="str">
        <x:f>IF('Release Gates'!C158="PLANNING","PASS",IF('Release Gates'!C158="PHYSICAL","OPEN","BLOCKED"))</x:f>
        <x:v>PASS</x:v>
      </x:c>
      <x:c r="G184" t="str">
        <x:v>equals</x:v>
      </x:c>
      <x:c r="H184" t="str">
        <x:f>IF(E184=F184,"PASS","FAIL")</x:f>
        <x:v>PASS</x:v>
      </x:c>
    </x:row>
    <x:row r="185">
      <x:c r="B185" t="str">
        <x:v>A-00153</x:v>
      </x:c>
      <x:c r="C185" t="str">
        <x:v>GATE</x:v>
      </x:c>
      <x:c r="D185" t="str">
        <x:v>release state mirrors governing ledger</x:v>
      </x:c>
      <x:c r="E185" t="str">
        <x:f>'Release Gates'!I159</x:f>
        <x:v>PASS</x:v>
      </x:c>
      <x:c r="F185" t="str">
        <x:f>IF('Release Gates'!C159="PLANNING","PASS",IF('Release Gates'!C159="PHYSICAL","OPEN","BLOCKED"))</x:f>
        <x:v>PASS</x:v>
      </x:c>
      <x:c r="G185" t="str">
        <x:v>equals</x:v>
      </x:c>
      <x:c r="H185" t="str">
        <x:f>IF(E185=F185,"PASS","FAIL")</x:f>
        <x:v>PASS</x:v>
      </x:c>
    </x:row>
    <x:row r="186">
      <x:c r="B186" t="str">
        <x:v>A-00154</x:v>
      </x:c>
      <x:c r="C186" t="str">
        <x:v>GATE</x:v>
      </x:c>
      <x:c r="D186" t="str">
        <x:v>release state mirrors governing ledger</x:v>
      </x:c>
      <x:c r="E186" t="str">
        <x:f>'Release Gates'!I160</x:f>
        <x:v>PASS</x:v>
      </x:c>
      <x:c r="F186" t="str">
        <x:f>IF('Release Gates'!C160="PLANNING","PASS",IF('Release Gates'!C160="PHYSICAL","OPEN","BLOCKED"))</x:f>
        <x:v>PASS</x:v>
      </x:c>
      <x:c r="G186" t="str">
        <x:v>equals</x:v>
      </x:c>
      <x:c r="H186" t="str">
        <x:f>IF(E186=F186,"PASS","FAIL")</x:f>
        <x:v>PASS</x:v>
      </x:c>
    </x:row>
    <x:row r="187">
      <x:c r="B187" t="str">
        <x:v>A-00155</x:v>
      </x:c>
      <x:c r="C187" t="str">
        <x:v>GATE</x:v>
      </x:c>
      <x:c r="D187" t="str">
        <x:v>release state mirrors governing ledger</x:v>
      </x:c>
      <x:c r="E187" t="str">
        <x:f>'Release Gates'!I161</x:f>
        <x:v>PASS</x:v>
      </x:c>
      <x:c r="F187" t="str">
        <x:f>IF('Release Gates'!C161="PLANNING","PASS",IF('Release Gates'!C161="PHYSICAL","OPEN","BLOCKED"))</x:f>
        <x:v>PASS</x:v>
      </x:c>
      <x:c r="G187" t="str">
        <x:v>equals</x:v>
      </x:c>
      <x:c r="H187" t="str">
        <x:f>IF(E187=F187,"PASS","FAIL")</x:f>
        <x:v>PASS</x:v>
      </x:c>
    </x:row>
    <x:row r="188">
      <x:c r="B188" t="str">
        <x:v>A-00156</x:v>
      </x:c>
      <x:c r="C188" t="str">
        <x:v>GATE</x:v>
      </x:c>
      <x:c r="D188" t="str">
        <x:v>release state mirrors governing ledger</x:v>
      </x:c>
      <x:c r="E188" t="str">
        <x:f>'Release Gates'!I162</x:f>
        <x:v>PASS</x:v>
      </x:c>
      <x:c r="F188" t="str">
        <x:f>IF('Release Gates'!C162="PLANNING","PASS",IF('Release Gates'!C162="PHYSICAL","OPEN","BLOCKED"))</x:f>
        <x:v>PASS</x:v>
      </x:c>
      <x:c r="G188" t="str">
        <x:v>equals</x:v>
      </x:c>
      <x:c r="H188" t="str">
        <x:f>IF(E188=F188,"PASS","FAIL")</x:f>
        <x:v>PASS</x:v>
      </x:c>
    </x:row>
    <x:row r="189">
      <x:c r="B189" t="str">
        <x:v>A-00157</x:v>
      </x:c>
      <x:c r="C189" t="str">
        <x:v>GATE</x:v>
      </x:c>
      <x:c r="D189" t="str">
        <x:v>release state mirrors governing ledger</x:v>
      </x:c>
      <x:c r="E189" t="str">
        <x:f>'Release Gates'!I163</x:f>
        <x:v>PASS</x:v>
      </x:c>
      <x:c r="F189" t="str">
        <x:f>IF('Release Gates'!C163="PLANNING","PASS",IF('Release Gates'!C163="PHYSICAL","OPEN","BLOCKED"))</x:f>
        <x:v>PASS</x:v>
      </x:c>
      <x:c r="G189" t="str">
        <x:v>equals</x:v>
      </x:c>
      <x:c r="H189" t="str">
        <x:f>IF(E189=F189,"PASS","FAIL")</x:f>
        <x:v>PASS</x:v>
      </x:c>
    </x:row>
    <x:row r="190">
      <x:c r="B190" t="str">
        <x:v>A-00158</x:v>
      </x:c>
      <x:c r="C190" t="str">
        <x:v>GATE</x:v>
      </x:c>
      <x:c r="D190" t="str">
        <x:v>release state mirrors governing ledger</x:v>
      </x:c>
      <x:c r="E190" t="str">
        <x:f>'Release Gates'!I164</x:f>
        <x:v>PASS</x:v>
      </x:c>
      <x:c r="F190" t="str">
        <x:f>IF('Release Gates'!C164="PLANNING","PASS",IF('Release Gates'!C164="PHYSICAL","OPEN","BLOCKED"))</x:f>
        <x:v>PASS</x:v>
      </x:c>
      <x:c r="G190" t="str">
        <x:v>equals</x:v>
      </x:c>
      <x:c r="H190" t="str">
        <x:f>IF(E190=F190,"PASS","FAIL")</x:f>
        <x:v>PASS</x:v>
      </x:c>
    </x:row>
    <x:row r="191">
      <x:c r="B191" t="str">
        <x:v>A-00159</x:v>
      </x:c>
      <x:c r="C191" t="str">
        <x:v>GATE</x:v>
      </x:c>
      <x:c r="D191" t="str">
        <x:v>release state mirrors governing ledger</x:v>
      </x:c>
      <x:c r="E191" t="str">
        <x:f>'Release Gates'!I165</x:f>
        <x:v>PASS</x:v>
      </x:c>
      <x:c r="F191" t="str">
        <x:f>IF('Release Gates'!C165="PLANNING","PASS",IF('Release Gates'!C165="PHYSICAL","OPEN","BLOCKED"))</x:f>
        <x:v>PASS</x:v>
      </x:c>
      <x:c r="G191" t="str">
        <x:v>equals</x:v>
      </x:c>
      <x:c r="H191" t="str">
        <x:f>IF(E191=F191,"PASS","FAIL")</x:f>
        <x:v>PASS</x:v>
      </x:c>
    </x:row>
    <x:row r="192">
      <x:c r="B192" t="str">
        <x:v>A-00160</x:v>
      </x:c>
      <x:c r="C192" t="str">
        <x:v>GATE</x:v>
      </x:c>
      <x:c r="D192" t="str">
        <x:v>release state mirrors governing ledger</x:v>
      </x:c>
      <x:c r="E192" t="str">
        <x:f>'Release Gates'!I166</x:f>
        <x:v>PASS</x:v>
      </x:c>
      <x:c r="F192" t="str">
        <x:f>IF('Release Gates'!C166="PLANNING","PASS",IF('Release Gates'!C166="PHYSICAL","OPEN","BLOCKED"))</x:f>
        <x:v>PASS</x:v>
      </x:c>
      <x:c r="G192" t="str">
        <x:v>equals</x:v>
      </x:c>
      <x:c r="H192" t="str">
        <x:f>IF(E192=F192,"PASS","FAIL")</x:f>
        <x:v>PASS</x:v>
      </x:c>
    </x:row>
    <x:row r="193">
      <x:c r="B193" t="str">
        <x:v>A-00161</x:v>
      </x:c>
      <x:c r="C193" t="str">
        <x:v>GATE</x:v>
      </x:c>
      <x:c r="D193" t="str">
        <x:v>release state mirrors governing ledger</x:v>
      </x:c>
      <x:c r="E193" t="str">
        <x:f>'Release Gates'!I167</x:f>
        <x:v>PASS</x:v>
      </x:c>
      <x:c r="F193" t="str">
        <x:f>IF('Release Gates'!C167="PLANNING","PASS",IF('Release Gates'!C167="PHYSICAL","OPEN","BLOCKED"))</x:f>
        <x:v>PASS</x:v>
      </x:c>
      <x:c r="G193" t="str">
        <x:v>equals</x:v>
      </x:c>
      <x:c r="H193" t="str">
        <x:f>IF(E193=F193,"PASS","FAIL")</x:f>
        <x:v>PASS</x:v>
      </x:c>
    </x:row>
    <x:row r="194">
      <x:c r="B194" t="str">
        <x:v>A-00162</x:v>
      </x:c>
      <x:c r="C194" t="str">
        <x:v>GATE</x:v>
      </x:c>
      <x:c r="D194" t="str">
        <x:v>release state mirrors governing ledger</x:v>
      </x:c>
      <x:c r="E194" t="str">
        <x:f>'Release Gates'!I168</x:f>
        <x:v>PASS</x:v>
      </x:c>
      <x:c r="F194" t="str">
        <x:f>IF('Release Gates'!C168="PLANNING","PASS",IF('Release Gates'!C168="PHYSICAL","OPEN","BLOCKED"))</x:f>
        <x:v>PASS</x:v>
      </x:c>
      <x:c r="G194" t="str">
        <x:v>equals</x:v>
      </x:c>
      <x:c r="H194" t="str">
        <x:f>IF(E194=F194,"PASS","FAIL")</x:f>
        <x:v>PASS</x:v>
      </x:c>
    </x:row>
    <x:row r="195">
      <x:c r="B195" t="str">
        <x:v>A-00163</x:v>
      </x:c>
      <x:c r="C195" t="str">
        <x:v>GATE</x:v>
      </x:c>
      <x:c r="D195" t="str">
        <x:v>release state mirrors governing ledger</x:v>
      </x:c>
      <x:c r="E195" t="str">
        <x:f>'Release Gates'!I169</x:f>
        <x:v>PASS</x:v>
      </x:c>
      <x:c r="F195" t="str">
        <x:f>IF('Release Gates'!C169="PLANNING","PASS",IF('Release Gates'!C169="PHYSICAL","OPEN","BLOCKED"))</x:f>
        <x:v>PASS</x:v>
      </x:c>
      <x:c r="G195" t="str">
        <x:v>equals</x:v>
      </x:c>
      <x:c r="H195" t="str">
        <x:f>IF(E195=F195,"PASS","FAIL")</x:f>
        <x:v>PASS</x:v>
      </x:c>
    </x:row>
    <x:row r="196">
      <x:c r="B196" t="str">
        <x:v>A-00164</x:v>
      </x:c>
      <x:c r="C196" t="str">
        <x:v>GATE</x:v>
      </x:c>
      <x:c r="D196" t="str">
        <x:v>release state mirrors governing ledger</x:v>
      </x:c>
      <x:c r="E196" t="str">
        <x:f>'Release Gates'!I170</x:f>
        <x:v>PASS</x:v>
      </x:c>
      <x:c r="F196" t="str">
        <x:f>IF('Release Gates'!C170="PLANNING","PASS",IF('Release Gates'!C170="PHYSICAL","OPEN","BLOCKED"))</x:f>
        <x:v>PASS</x:v>
      </x:c>
      <x:c r="G196" t="str">
        <x:v>equals</x:v>
      </x:c>
      <x:c r="H196" t="str">
        <x:f>IF(E196=F196,"PASS","FAIL")</x:f>
        <x:v>PASS</x:v>
      </x:c>
    </x:row>
    <x:row r="197">
      <x:c r="B197" t="str">
        <x:v>A-00165</x:v>
      </x:c>
      <x:c r="C197" t="str">
        <x:v>GATE</x:v>
      </x:c>
      <x:c r="D197" t="str">
        <x:v>release state mirrors governing ledger</x:v>
      </x:c>
      <x:c r="E197" t="str">
        <x:f>'Release Gates'!I171</x:f>
        <x:v>PASS</x:v>
      </x:c>
      <x:c r="F197" t="str">
        <x:f>IF('Release Gates'!C171="PLANNING","PASS",IF('Release Gates'!C171="PHYSICAL","OPEN","BLOCKED"))</x:f>
        <x:v>PASS</x:v>
      </x:c>
      <x:c r="G197" t="str">
        <x:v>equals</x:v>
      </x:c>
      <x:c r="H197" t="str">
        <x:f>IF(E197=F197,"PASS","FAIL")</x:f>
        <x:v>PASS</x:v>
      </x:c>
    </x:row>
    <x:row r="198">
      <x:c r="B198" t="str">
        <x:v>A-00166</x:v>
      </x:c>
      <x:c r="C198" t="str">
        <x:v>GATE</x:v>
      </x:c>
      <x:c r="D198" t="str">
        <x:v>release state mirrors governing ledger</x:v>
      </x:c>
      <x:c r="E198" t="str">
        <x:f>'Release Gates'!I172</x:f>
        <x:v>PASS</x:v>
      </x:c>
      <x:c r="F198" t="str">
        <x:f>IF('Release Gates'!C172="PLANNING","PASS",IF('Release Gates'!C172="PHYSICAL","OPEN","BLOCKED"))</x:f>
        <x:v>PASS</x:v>
      </x:c>
      <x:c r="G198" t="str">
        <x:v>equals</x:v>
      </x:c>
      <x:c r="H198" t="str">
        <x:f>IF(E198=F198,"PASS","FAIL")</x:f>
        <x:v>PASS</x:v>
      </x:c>
    </x:row>
    <x:row r="199">
      <x:c r="B199" t="str">
        <x:v>A-00167</x:v>
      </x:c>
      <x:c r="C199" t="str">
        <x:v>GATE</x:v>
      </x:c>
      <x:c r="D199" t="str">
        <x:v>release state mirrors governing ledger</x:v>
      </x:c>
      <x:c r="E199" t="str">
        <x:f>'Release Gates'!I173</x:f>
        <x:v>PASS</x:v>
      </x:c>
      <x:c r="F199" t="str">
        <x:f>IF('Release Gates'!C173="PLANNING","PASS",IF('Release Gates'!C173="PHYSICAL","OPEN","BLOCKED"))</x:f>
        <x:v>PASS</x:v>
      </x:c>
      <x:c r="G199" t="str">
        <x:v>equals</x:v>
      </x:c>
      <x:c r="H199" t="str">
        <x:f>IF(E199=F199,"PASS","FAIL")</x:f>
        <x:v>PASS</x:v>
      </x:c>
    </x:row>
    <x:row r="200">
      <x:c r="B200" t="str">
        <x:v>A-00168</x:v>
      </x:c>
      <x:c r="C200" t="str">
        <x:v>GATE</x:v>
      </x:c>
      <x:c r="D200" t="str">
        <x:v>release state mirrors governing ledger</x:v>
      </x:c>
      <x:c r="E200" t="str">
        <x:f>'Release Gates'!I174</x:f>
        <x:v>PASS</x:v>
      </x:c>
      <x:c r="F200" t="str">
        <x:f>IF('Release Gates'!C174="PLANNING","PASS",IF('Release Gates'!C174="PHYSICAL","OPEN","BLOCKED"))</x:f>
        <x:v>PASS</x:v>
      </x:c>
      <x:c r="G200" t="str">
        <x:v>equals</x:v>
      </x:c>
      <x:c r="H200" t="str">
        <x:f>IF(E200=F200,"PASS","FAIL")</x:f>
        <x:v>PASS</x:v>
      </x:c>
    </x:row>
    <x:row r="201">
      <x:c r="B201" t="str">
        <x:v>A-00169</x:v>
      </x:c>
      <x:c r="C201" t="str">
        <x:v>GATE</x:v>
      </x:c>
      <x:c r="D201" t="str">
        <x:v>release state mirrors governing ledger</x:v>
      </x:c>
      <x:c r="E201" t="str">
        <x:f>'Release Gates'!I175</x:f>
        <x:v>PASS</x:v>
      </x:c>
      <x:c r="F201" t="str">
        <x:f>IF('Release Gates'!C175="PLANNING","PASS",IF('Release Gates'!C175="PHYSICAL","OPEN","BLOCKED"))</x:f>
        <x:v>PASS</x:v>
      </x:c>
      <x:c r="G201" t="str">
        <x:v>equals</x:v>
      </x:c>
      <x:c r="H201" t="str">
        <x:f>IF(E201=F201,"PASS","FAIL")</x:f>
        <x:v>PASS</x:v>
      </x:c>
    </x:row>
    <x:row r="202">
      <x:c r="B202" t="str">
        <x:v>A-00170</x:v>
      </x:c>
      <x:c r="C202" t="str">
        <x:v>GATE</x:v>
      </x:c>
      <x:c r="D202" t="str">
        <x:v>release state mirrors governing ledger</x:v>
      </x:c>
      <x:c r="E202" t="str">
        <x:f>'Release Gates'!I176</x:f>
        <x:v>PASS</x:v>
      </x:c>
      <x:c r="F202" t="str">
        <x:f>IF('Release Gates'!C176="PLANNING","PASS",IF('Release Gates'!C176="PHYSICAL","OPEN","BLOCKED"))</x:f>
        <x:v>PASS</x:v>
      </x:c>
      <x:c r="G202" t="str">
        <x:v>equals</x:v>
      </x:c>
      <x:c r="H202" t="str">
        <x:f>IF(E202=F202,"PASS","FAIL")</x:f>
        <x:v>PASS</x:v>
      </x:c>
    </x:row>
    <x:row r="203">
      <x:c r="B203" t="str">
        <x:v>A-00171</x:v>
      </x:c>
      <x:c r="C203" t="str">
        <x:v>GATE</x:v>
      </x:c>
      <x:c r="D203" t="str">
        <x:v>release state mirrors governing ledger</x:v>
      </x:c>
      <x:c r="E203" t="str">
        <x:f>'Release Gates'!I177</x:f>
        <x:v>PASS</x:v>
      </x:c>
      <x:c r="F203" t="str">
        <x:f>IF('Release Gates'!C177="PLANNING","PASS",IF('Release Gates'!C177="PHYSICAL","OPEN","BLOCKED"))</x:f>
        <x:v>PASS</x:v>
      </x:c>
      <x:c r="G203" t="str">
        <x:v>equals</x:v>
      </x:c>
      <x:c r="H203" t="str">
        <x:f>IF(E203=F203,"PASS","FAIL")</x:f>
        <x:v>PASS</x:v>
      </x:c>
    </x:row>
    <x:row r="204">
      <x:c r="B204" t="str">
        <x:v>A-00172</x:v>
      </x:c>
      <x:c r="C204" t="str">
        <x:v>GATE</x:v>
      </x:c>
      <x:c r="D204" t="str">
        <x:v>release state mirrors governing ledger</x:v>
      </x:c>
      <x:c r="E204" t="str">
        <x:f>'Release Gates'!I178</x:f>
        <x:v>PASS</x:v>
      </x:c>
      <x:c r="F204" t="str">
        <x:f>IF('Release Gates'!C178="PLANNING","PASS",IF('Release Gates'!C178="PHYSICAL","OPEN","BLOCKED"))</x:f>
        <x:v>PASS</x:v>
      </x:c>
      <x:c r="G204" t="str">
        <x:v>equals</x:v>
      </x:c>
      <x:c r="H204" t="str">
        <x:f>IF(E204=F204,"PASS","FAIL")</x:f>
        <x:v>PASS</x:v>
      </x:c>
    </x:row>
    <x:row r="205">
      <x:c r="B205" t="str">
        <x:v>A-00173</x:v>
      </x:c>
      <x:c r="C205" t="str">
        <x:v>GATE</x:v>
      </x:c>
      <x:c r="D205" t="str">
        <x:v>release state mirrors governing ledger</x:v>
      </x:c>
      <x:c r="E205" t="str">
        <x:f>'Release Gates'!I179</x:f>
        <x:v>PASS</x:v>
      </x:c>
      <x:c r="F205" t="str">
        <x:f>IF('Release Gates'!C179="PLANNING","PASS",IF('Release Gates'!C179="PHYSICAL","OPEN","BLOCKED"))</x:f>
        <x:v>PASS</x:v>
      </x:c>
      <x:c r="G205" t="str">
        <x:v>equals</x:v>
      </x:c>
      <x:c r="H205" t="str">
        <x:f>IF(E205=F205,"PASS","FAIL")</x:f>
        <x:v>PASS</x:v>
      </x:c>
    </x:row>
    <x:row r="206">
      <x:c r="B206" t="str">
        <x:v>A-00174</x:v>
      </x:c>
      <x:c r="C206" t="str">
        <x:v>GATE</x:v>
      </x:c>
      <x:c r="D206" t="str">
        <x:v>release state mirrors governing ledger</x:v>
      </x:c>
      <x:c r="E206" t="str">
        <x:f>'Release Gates'!I180</x:f>
        <x:v>PASS</x:v>
      </x:c>
      <x:c r="F206" t="str">
        <x:f>IF('Release Gates'!C180="PLANNING","PASS",IF('Release Gates'!C180="PHYSICAL","OPEN","BLOCKED"))</x:f>
        <x:v>PASS</x:v>
      </x:c>
      <x:c r="G206" t="str">
        <x:v>equals</x:v>
      </x:c>
      <x:c r="H206" t="str">
        <x:f>IF(E206=F206,"PASS","FAIL")</x:f>
        <x:v>PASS</x:v>
      </x:c>
    </x:row>
    <x:row r="207">
      <x:c r="B207" t="str">
        <x:v>A-00175</x:v>
      </x:c>
      <x:c r="C207" t="str">
        <x:v>GATE</x:v>
      </x:c>
      <x:c r="D207" t="str">
        <x:v>release state mirrors governing ledger</x:v>
      </x:c>
      <x:c r="E207" t="str">
        <x:f>'Release Gates'!I181</x:f>
        <x:v>PASS</x:v>
      </x:c>
      <x:c r="F207" t="str">
        <x:f>IF('Release Gates'!C181="PLANNING","PASS",IF('Release Gates'!C181="PHYSICAL","OPEN","BLOCKED"))</x:f>
        <x:v>PASS</x:v>
      </x:c>
      <x:c r="G207" t="str">
        <x:v>equals</x:v>
      </x:c>
      <x:c r="H207" t="str">
        <x:f>IF(E207=F207,"PASS","FAIL")</x:f>
        <x:v>PASS</x:v>
      </x:c>
    </x:row>
    <x:row r="208">
      <x:c r="B208" t="str">
        <x:v>A-00176</x:v>
      </x:c>
      <x:c r="C208" t="str">
        <x:v>GATE</x:v>
      </x:c>
      <x:c r="D208" t="str">
        <x:v>release state mirrors governing ledger</x:v>
      </x:c>
      <x:c r="E208" t="str">
        <x:f>'Release Gates'!I182</x:f>
        <x:v>PASS</x:v>
      </x:c>
      <x:c r="F208" t="str">
        <x:f>IF('Release Gates'!C182="PLANNING","PASS",IF('Release Gates'!C182="PHYSICAL","OPEN","BLOCKED"))</x:f>
        <x:v>PASS</x:v>
      </x:c>
      <x:c r="G208" t="str">
        <x:v>equals</x:v>
      </x:c>
      <x:c r="H208" t="str">
        <x:f>IF(E208=F208,"PASS","FAIL")</x:f>
        <x:v>PASS</x:v>
      </x:c>
    </x:row>
    <x:row r="209">
      <x:c r="B209" t="str">
        <x:v>A-00177</x:v>
      </x:c>
      <x:c r="C209" t="str">
        <x:v>GATE</x:v>
      </x:c>
      <x:c r="D209" t="str">
        <x:v>release state mirrors governing ledger</x:v>
      </x:c>
      <x:c r="E209" t="str">
        <x:f>'Release Gates'!I183</x:f>
        <x:v>PASS</x:v>
      </x:c>
      <x:c r="F209" t="str">
        <x:f>IF('Release Gates'!C183="PLANNING","PASS",IF('Release Gates'!C183="PHYSICAL","OPEN","BLOCKED"))</x:f>
        <x:v>PASS</x:v>
      </x:c>
      <x:c r="G209" t="str">
        <x:v>equals</x:v>
      </x:c>
      <x:c r="H209" t="str">
        <x:f>IF(E209=F209,"PASS","FAIL")</x:f>
        <x:v>PASS</x:v>
      </x:c>
    </x:row>
    <x:row r="210">
      <x:c r="B210" t="str">
        <x:v>A-00178</x:v>
      </x:c>
      <x:c r="C210" t="str">
        <x:v>GATE</x:v>
      </x:c>
      <x:c r="D210" t="str">
        <x:v>release state mirrors governing ledger</x:v>
      </x:c>
      <x:c r="E210" t="str">
        <x:f>'Release Gates'!I184</x:f>
        <x:v>PASS</x:v>
      </x:c>
      <x:c r="F210" t="str">
        <x:f>IF('Release Gates'!C184="PLANNING","PASS",IF('Release Gates'!C184="PHYSICAL","OPEN","BLOCKED"))</x:f>
        <x:v>PASS</x:v>
      </x:c>
      <x:c r="G210" t="str">
        <x:v>equals</x:v>
      </x:c>
      <x:c r="H210" t="str">
        <x:f>IF(E210=F210,"PASS","FAIL")</x:f>
        <x:v>PASS</x:v>
      </x:c>
    </x:row>
    <x:row r="211">
      <x:c r="B211" t="str">
        <x:v>A-00179</x:v>
      </x:c>
      <x:c r="C211" t="str">
        <x:v>GATE</x:v>
      </x:c>
      <x:c r="D211" t="str">
        <x:v>release state mirrors governing ledger</x:v>
      </x:c>
      <x:c r="E211" t="str">
        <x:f>'Release Gates'!I185</x:f>
        <x:v>PASS</x:v>
      </x:c>
      <x:c r="F211" t="str">
        <x:f>IF('Release Gates'!C185="PLANNING","PASS",IF('Release Gates'!C185="PHYSICAL","OPEN","BLOCKED"))</x:f>
        <x:v>PASS</x:v>
      </x:c>
      <x:c r="G211" t="str">
        <x:v>equals</x:v>
      </x:c>
      <x:c r="H211" t="str">
        <x:f>IF(E211=F211,"PASS","FAIL")</x:f>
        <x:v>PASS</x:v>
      </x:c>
    </x:row>
    <x:row r="212">
      <x:c r="B212" t="str">
        <x:v>A-00180</x:v>
      </x:c>
      <x:c r="C212" t="str">
        <x:v>GATE</x:v>
      </x:c>
      <x:c r="D212" t="str">
        <x:v>release state mirrors governing ledger</x:v>
      </x:c>
      <x:c r="E212" t="str">
        <x:f>'Release Gates'!I186</x:f>
        <x:v>PASS</x:v>
      </x:c>
      <x:c r="F212" t="str">
        <x:f>IF('Release Gates'!C186="PLANNING","PASS",IF('Release Gates'!C186="PHYSICAL","OPEN","BLOCKED"))</x:f>
        <x:v>PASS</x:v>
      </x:c>
      <x:c r="G212" t="str">
        <x:v>equals</x:v>
      </x:c>
      <x:c r="H212" t="str">
        <x:f>IF(E212=F212,"PASS","FAIL")</x:f>
        <x:v>PASS</x:v>
      </x:c>
    </x:row>
    <x:row r="213">
      <x:c r="B213" t="str">
        <x:v>A-00181</x:v>
      </x:c>
      <x:c r="C213" t="str">
        <x:v>GATE</x:v>
      </x:c>
      <x:c r="D213" t="str">
        <x:v>release state mirrors governing ledger</x:v>
      </x:c>
      <x:c r="E213" t="str">
        <x:f>'Release Gates'!I187</x:f>
        <x:v>PASS</x:v>
      </x:c>
      <x:c r="F213" t="str">
        <x:f>IF('Release Gates'!C187="PLANNING","PASS",IF('Release Gates'!C187="PHYSICAL","OPEN","BLOCKED"))</x:f>
        <x:v>PASS</x:v>
      </x:c>
      <x:c r="G213" t="str">
        <x:v>equals</x:v>
      </x:c>
      <x:c r="H213" t="str">
        <x:f>IF(E213=F213,"PASS","FAIL")</x:f>
        <x:v>PASS</x:v>
      </x:c>
    </x:row>
    <x:row r="214">
      <x:c r="B214" t="str">
        <x:v>A-00182</x:v>
      </x:c>
      <x:c r="C214" t="str">
        <x:v>GATE</x:v>
      </x:c>
      <x:c r="D214" t="str">
        <x:v>release state mirrors governing ledger</x:v>
      </x:c>
      <x:c r="E214" t="str">
        <x:f>'Release Gates'!I188</x:f>
        <x:v>PASS</x:v>
      </x:c>
      <x:c r="F214" t="str">
        <x:f>IF('Release Gates'!C188="PLANNING","PASS",IF('Release Gates'!C188="PHYSICAL","OPEN","BLOCKED"))</x:f>
        <x:v>PASS</x:v>
      </x:c>
      <x:c r="G214" t="str">
        <x:v>equals</x:v>
      </x:c>
      <x:c r="H214" t="str">
        <x:f>IF(E214=F214,"PASS","FAIL")</x:f>
        <x:v>PASS</x:v>
      </x:c>
    </x:row>
    <x:row r="215">
      <x:c r="B215" t="str">
        <x:v>A-00183</x:v>
      </x:c>
      <x:c r="C215" t="str">
        <x:v>GATE</x:v>
      </x:c>
      <x:c r="D215" t="str">
        <x:v>release state mirrors governing ledger</x:v>
      </x:c>
      <x:c r="E215" t="str">
        <x:f>'Release Gates'!I189</x:f>
        <x:v>PASS</x:v>
      </x:c>
      <x:c r="F215" t="str">
        <x:f>IF('Release Gates'!C189="PLANNING","PASS",IF('Release Gates'!C189="PHYSICAL","OPEN","BLOCKED"))</x:f>
        <x:v>PASS</x:v>
      </x:c>
      <x:c r="G215" t="str">
        <x:v>equals</x:v>
      </x:c>
      <x:c r="H215" t="str">
        <x:f>IF(E215=F215,"PASS","FAIL")</x:f>
        <x:v>PASS</x:v>
      </x:c>
    </x:row>
    <x:row r="216">
      <x:c r="B216" t="str">
        <x:v>A-00184</x:v>
      </x:c>
      <x:c r="C216" t="str">
        <x:v>GATE</x:v>
      </x:c>
      <x:c r="D216" t="str">
        <x:v>release state mirrors governing ledger</x:v>
      </x:c>
      <x:c r="E216" t="str">
        <x:f>'Release Gates'!I190</x:f>
        <x:v>PASS</x:v>
      </x:c>
      <x:c r="F216" t="str">
        <x:f>IF('Release Gates'!C190="PLANNING","PASS",IF('Release Gates'!C190="PHYSICAL","OPEN","BLOCKED"))</x:f>
        <x:v>PASS</x:v>
      </x:c>
      <x:c r="G216" t="str">
        <x:v>equals</x:v>
      </x:c>
      <x:c r="H216" t="str">
        <x:f>IF(E216=F216,"PASS","FAIL")</x:f>
        <x:v>PASS</x:v>
      </x:c>
    </x:row>
    <x:row r="217">
      <x:c r="B217" t="str">
        <x:v>A-00185</x:v>
      </x:c>
      <x:c r="C217" t="str">
        <x:v>GATE</x:v>
      </x:c>
      <x:c r="D217" t="str">
        <x:v>release state mirrors governing ledger</x:v>
      </x:c>
      <x:c r="E217" t="str">
        <x:f>'Release Gates'!I191</x:f>
        <x:v>PASS</x:v>
      </x:c>
      <x:c r="F217" t="str">
        <x:f>IF('Release Gates'!C191="PLANNING","PASS",IF('Release Gates'!C191="PHYSICAL","OPEN","BLOCKED"))</x:f>
        <x:v>PASS</x:v>
      </x:c>
      <x:c r="G217" t="str">
        <x:v>equals</x:v>
      </x:c>
      <x:c r="H217" t="str">
        <x:f>IF(E217=F217,"PASS","FAIL")</x:f>
        <x:v>PASS</x:v>
      </x:c>
    </x:row>
    <x:row r="218">
      <x:c r="B218" t="str">
        <x:v>A-00186</x:v>
      </x:c>
      <x:c r="C218" t="str">
        <x:v>GATE</x:v>
      </x:c>
      <x:c r="D218" t="str">
        <x:v>release state mirrors governing ledger</x:v>
      </x:c>
      <x:c r="E218" t="str">
        <x:f>'Release Gates'!I192</x:f>
        <x:v>PASS</x:v>
      </x:c>
      <x:c r="F218" t="str">
        <x:f>IF('Release Gates'!C192="PLANNING","PASS",IF('Release Gates'!C192="PHYSICAL","OPEN","BLOCKED"))</x:f>
        <x:v>PASS</x:v>
      </x:c>
      <x:c r="G218" t="str">
        <x:v>equals</x:v>
      </x:c>
      <x:c r="H218" t="str">
        <x:f>IF(E218=F218,"PASS","FAIL")</x:f>
        <x:v>PASS</x:v>
      </x:c>
    </x:row>
    <x:row r="219">
      <x:c r="B219" t="str">
        <x:v>A-00187</x:v>
      </x:c>
      <x:c r="C219" t="str">
        <x:v>GATE</x:v>
      </x:c>
      <x:c r="D219" t="str">
        <x:v>release state mirrors governing ledger</x:v>
      </x:c>
      <x:c r="E219" t="str">
        <x:f>'Release Gates'!I193</x:f>
        <x:v>PASS</x:v>
      </x:c>
      <x:c r="F219" t="str">
        <x:f>IF('Release Gates'!C193="PLANNING","PASS",IF('Release Gates'!C193="PHYSICAL","OPEN","BLOCKED"))</x:f>
        <x:v>PASS</x:v>
      </x:c>
      <x:c r="G219" t="str">
        <x:v>equals</x:v>
      </x:c>
      <x:c r="H219" t="str">
        <x:f>IF(E219=F219,"PASS","FAIL")</x:f>
        <x:v>PASS</x:v>
      </x:c>
    </x:row>
    <x:row r="220">
      <x:c r="B220" t="str">
        <x:v>A-00188</x:v>
      </x:c>
      <x:c r="C220" t="str">
        <x:v>GATE</x:v>
      </x:c>
      <x:c r="D220" t="str">
        <x:v>release state mirrors governing ledger</x:v>
      </x:c>
      <x:c r="E220" t="str">
        <x:f>'Release Gates'!I194</x:f>
        <x:v>PASS</x:v>
      </x:c>
      <x:c r="F220" t="str">
        <x:f>IF('Release Gates'!C194="PLANNING","PASS",IF('Release Gates'!C194="PHYSICAL","OPEN","BLOCKED"))</x:f>
        <x:v>PASS</x:v>
      </x:c>
      <x:c r="G220" t="str">
        <x:v>equals</x:v>
      </x:c>
      <x:c r="H220" t="str">
        <x:f>IF(E220=F220,"PASS","FAIL")</x:f>
        <x:v>PASS</x:v>
      </x:c>
    </x:row>
    <x:row r="221">
      <x:c r="B221" t="str">
        <x:v>A-00189</x:v>
      </x:c>
      <x:c r="C221" t="str">
        <x:v>GATE</x:v>
      </x:c>
      <x:c r="D221" t="str">
        <x:v>release state mirrors governing ledger</x:v>
      </x:c>
      <x:c r="E221" t="str">
        <x:f>'Release Gates'!I195</x:f>
        <x:v>PASS</x:v>
      </x:c>
      <x:c r="F221" t="str">
        <x:f>IF('Release Gates'!C195="PLANNING","PASS",IF('Release Gates'!C195="PHYSICAL","OPEN","BLOCKED"))</x:f>
        <x:v>PASS</x:v>
      </x:c>
      <x:c r="G221" t="str">
        <x:v>equals</x:v>
      </x:c>
      <x:c r="H221" t="str">
        <x:f>IF(E221=F221,"PASS","FAIL")</x:f>
        <x:v>PASS</x:v>
      </x:c>
    </x:row>
    <x:row r="222">
      <x:c r="B222" t="str">
        <x:v>A-00190</x:v>
      </x:c>
      <x:c r="C222" t="str">
        <x:v>GATE</x:v>
      </x:c>
      <x:c r="D222" t="str">
        <x:v>release state mirrors governing ledger</x:v>
      </x:c>
      <x:c r="E222" t="str">
        <x:f>'Release Gates'!I196</x:f>
        <x:v>PASS</x:v>
      </x:c>
      <x:c r="F222" t="str">
        <x:f>IF('Release Gates'!C196="PLANNING","PASS",IF('Release Gates'!C196="PHYSICAL","OPEN","BLOCKED"))</x:f>
        <x:v>PASS</x:v>
      </x:c>
      <x:c r="G222" t="str">
        <x:v>equals</x:v>
      </x:c>
      <x:c r="H222" t="str">
        <x:f>IF(E222=F222,"PASS","FAIL")</x:f>
        <x:v>PASS</x:v>
      </x:c>
    </x:row>
    <x:row r="223">
      <x:c r="B223" t="str">
        <x:v>A-00191</x:v>
      </x:c>
      <x:c r="C223" t="str">
        <x:v>GATE</x:v>
      </x:c>
      <x:c r="D223" t="str">
        <x:v>release state mirrors governing ledger</x:v>
      </x:c>
      <x:c r="E223" t="str">
        <x:f>'Release Gates'!I197</x:f>
        <x:v>PASS</x:v>
      </x:c>
      <x:c r="F223" t="str">
        <x:f>IF('Release Gates'!C197="PLANNING","PASS",IF('Release Gates'!C197="PHYSICAL","OPEN","BLOCKED"))</x:f>
        <x:v>PASS</x:v>
      </x:c>
      <x:c r="G223" t="str">
        <x:v>equals</x:v>
      </x:c>
      <x:c r="H223" t="str">
        <x:f>IF(E223=F223,"PASS","FAIL")</x:f>
        <x:v>PASS</x:v>
      </x:c>
    </x:row>
    <x:row r="224">
      <x:c r="B224" t="str">
        <x:v>A-00192</x:v>
      </x:c>
      <x:c r="C224" t="str">
        <x:v>GATE</x:v>
      </x:c>
      <x:c r="D224" t="str">
        <x:v>release state mirrors governing ledger</x:v>
      </x:c>
      <x:c r="E224" t="str">
        <x:f>'Release Gates'!I198</x:f>
        <x:v>PASS</x:v>
      </x:c>
      <x:c r="F224" t="str">
        <x:f>IF('Release Gates'!C198="PLANNING","PASS",IF('Release Gates'!C198="PHYSICAL","OPEN","BLOCKED"))</x:f>
        <x:v>PASS</x:v>
      </x:c>
      <x:c r="G224" t="str">
        <x:v>equals</x:v>
      </x:c>
      <x:c r="H224" t="str">
        <x:f>IF(E224=F224,"PASS","FAIL")</x:f>
        <x:v>PASS</x:v>
      </x:c>
    </x:row>
    <x:row r="225">
      <x:c r="B225" t="str">
        <x:v>A-00193</x:v>
      </x:c>
      <x:c r="C225" t="str">
        <x:v>GATE</x:v>
      </x:c>
      <x:c r="D225" t="str">
        <x:v>release state mirrors governing ledger</x:v>
      </x:c>
      <x:c r="E225" t="str">
        <x:f>'Release Gates'!I199</x:f>
        <x:v>PASS</x:v>
      </x:c>
      <x:c r="F225" t="str">
        <x:f>IF('Release Gates'!C199="PLANNING","PASS",IF('Release Gates'!C199="PHYSICAL","OPEN","BLOCKED"))</x:f>
        <x:v>PASS</x:v>
      </x:c>
      <x:c r="G225" t="str">
        <x:v>equals</x:v>
      </x:c>
      <x:c r="H225" t="str">
        <x:f>IF(E225=F225,"PASS","FAIL")</x:f>
        <x:v>PASS</x:v>
      </x:c>
    </x:row>
    <x:row r="226">
      <x:c r="B226" t="str">
        <x:v>A-00194</x:v>
      </x:c>
      <x:c r="C226" t="str">
        <x:v>GATE</x:v>
      </x:c>
      <x:c r="D226" t="str">
        <x:v>release state mirrors governing ledger</x:v>
      </x:c>
      <x:c r="E226" t="str">
        <x:f>'Release Gates'!I200</x:f>
        <x:v>PASS</x:v>
      </x:c>
      <x:c r="F226" t="str">
        <x:f>IF('Release Gates'!C200="PLANNING","PASS",IF('Release Gates'!C200="PHYSICAL","OPEN","BLOCKED"))</x:f>
        <x:v>PASS</x:v>
      </x:c>
      <x:c r="G226" t="str">
        <x:v>equals</x:v>
      </x:c>
      <x:c r="H226" t="str">
        <x:f>IF(E226=F226,"PASS","FAIL")</x:f>
        <x:v>PASS</x:v>
      </x:c>
    </x:row>
    <x:row r="227">
      <x:c r="B227" t="str">
        <x:v>A-00195</x:v>
      </x:c>
      <x:c r="C227" t="str">
        <x:v>GATE</x:v>
      </x:c>
      <x:c r="D227" t="str">
        <x:v>release state mirrors governing ledger</x:v>
      </x:c>
      <x:c r="E227" t="str">
        <x:f>'Release Gates'!I201</x:f>
        <x:v>PASS</x:v>
      </x:c>
      <x:c r="F227" t="str">
        <x:f>IF('Release Gates'!C201="PLANNING","PASS",IF('Release Gates'!C201="PHYSICAL","OPEN","BLOCKED"))</x:f>
        <x:v>PASS</x:v>
      </x:c>
      <x:c r="G227" t="str">
        <x:v>equals</x:v>
      </x:c>
      <x:c r="H227" t="str">
        <x:f>IF(E227=F227,"PASS","FAIL")</x:f>
        <x:v>PASS</x:v>
      </x:c>
    </x:row>
    <x:row r="228">
      <x:c r="B228" t="str">
        <x:v>A-00196</x:v>
      </x:c>
      <x:c r="C228" t="str">
        <x:v>GATE</x:v>
      </x:c>
      <x:c r="D228" t="str">
        <x:v>release state mirrors governing ledger</x:v>
      </x:c>
      <x:c r="E228" t="str">
        <x:f>'Release Gates'!I202</x:f>
        <x:v>PASS</x:v>
      </x:c>
      <x:c r="F228" t="str">
        <x:f>IF('Release Gates'!C202="PLANNING","PASS",IF('Release Gates'!C202="PHYSICAL","OPEN","BLOCKED"))</x:f>
        <x:v>PASS</x:v>
      </x:c>
      <x:c r="G228" t="str">
        <x:v>equals</x:v>
      </x:c>
      <x:c r="H228" t="str">
        <x:f>IF(E228=F228,"PASS","FAIL")</x:f>
        <x:v>PASS</x:v>
      </x:c>
    </x:row>
    <x:row r="229">
      <x:c r="B229" t="str">
        <x:v>A-00197</x:v>
      </x:c>
      <x:c r="C229" t="str">
        <x:v>GATE</x:v>
      </x:c>
      <x:c r="D229" t="str">
        <x:v>release state mirrors governing ledger</x:v>
      </x:c>
      <x:c r="E229" t="str">
        <x:f>'Release Gates'!I203</x:f>
        <x:v>PASS</x:v>
      </x:c>
      <x:c r="F229" t="str">
        <x:f>IF('Release Gates'!C203="PLANNING","PASS",IF('Release Gates'!C203="PHYSICAL","OPEN","BLOCKED"))</x:f>
        <x:v>PASS</x:v>
      </x:c>
      <x:c r="G229" t="str">
        <x:v>equals</x:v>
      </x:c>
      <x:c r="H229" t="str">
        <x:f>IF(E229=F229,"PASS","FAIL")</x:f>
        <x:v>PASS</x:v>
      </x:c>
    </x:row>
    <x:row r="230">
      <x:c r="B230" t="str">
        <x:v>A-00198</x:v>
      </x:c>
      <x:c r="C230" t="str">
        <x:v>GATE</x:v>
      </x:c>
      <x:c r="D230" t="str">
        <x:v>release state mirrors governing ledger</x:v>
      </x:c>
      <x:c r="E230" t="str">
        <x:f>'Release Gates'!I204</x:f>
        <x:v>PASS</x:v>
      </x:c>
      <x:c r="F230" t="str">
        <x:f>IF('Release Gates'!C204="PLANNING","PASS",IF('Release Gates'!C204="PHYSICAL","OPEN","BLOCKED"))</x:f>
        <x:v>PASS</x:v>
      </x:c>
      <x:c r="G230" t="str">
        <x:v>equals</x:v>
      </x:c>
      <x:c r="H230" t="str">
        <x:f>IF(E230=F230,"PASS","FAIL")</x:f>
        <x:v>PASS</x:v>
      </x:c>
    </x:row>
    <x:row r="231">
      <x:c r="B231" t="str">
        <x:v>A-00199</x:v>
      </x:c>
      <x:c r="C231" t="str">
        <x:v>GATE</x:v>
      </x:c>
      <x:c r="D231" t="str">
        <x:v>release state mirrors governing ledger</x:v>
      </x:c>
      <x:c r="E231" t="str">
        <x:f>'Release Gates'!I205</x:f>
        <x:v>PASS</x:v>
      </x:c>
      <x:c r="F231" t="str">
        <x:f>IF('Release Gates'!C205="PLANNING","PASS",IF('Release Gates'!C205="PHYSICAL","OPEN","BLOCKED"))</x:f>
        <x:v>PASS</x:v>
      </x:c>
      <x:c r="G231" t="str">
        <x:v>equals</x:v>
      </x:c>
      <x:c r="H231" t="str">
        <x:f>IF(E231=F231,"PASS","FAIL")</x:f>
        <x:v>PASS</x:v>
      </x:c>
    </x:row>
    <x:row r="232">
      <x:c r="B232" t="str">
        <x:v>A-00200</x:v>
      </x:c>
      <x:c r="C232" t="str">
        <x:v>GATE</x:v>
      </x:c>
      <x:c r="D232" t="str">
        <x:v>release state mirrors governing ledger</x:v>
      </x:c>
      <x:c r="E232" t="str">
        <x:f>'Release Gates'!I206</x:f>
        <x:v>PASS</x:v>
      </x:c>
      <x:c r="F232" t="str">
        <x:f>IF('Release Gates'!C206="PLANNING","PASS",IF('Release Gates'!C206="PHYSICAL","OPEN","BLOCKED"))</x:f>
        <x:v>PASS</x:v>
      </x:c>
      <x:c r="G232" t="str">
        <x:v>equals</x:v>
      </x:c>
      <x:c r="H232" t="str">
        <x:f>IF(E232=F232,"PASS","FAIL")</x:f>
        <x:v>PASS</x:v>
      </x:c>
    </x:row>
    <x:row r="233">
      <x:c r="B233" t="str">
        <x:v>A-00201</x:v>
      </x:c>
      <x:c r="C233" t="str">
        <x:v>GATE</x:v>
      </x:c>
      <x:c r="D233" t="str">
        <x:v>release state mirrors governing ledger</x:v>
      </x:c>
      <x:c r="E233" t="str">
        <x:f>'Release Gates'!I207</x:f>
        <x:v>PASS</x:v>
      </x:c>
      <x:c r="F233" t="str">
        <x:f>IF('Release Gates'!C207="PLANNING","PASS",IF('Release Gates'!C207="PHYSICAL","OPEN","BLOCKED"))</x:f>
        <x:v>PASS</x:v>
      </x:c>
      <x:c r="G233" t="str">
        <x:v>equals</x:v>
      </x:c>
      <x:c r="H233" t="str">
        <x:f>IF(E233=F233,"PASS","FAIL")</x:f>
        <x:v>PASS</x:v>
      </x:c>
    </x:row>
    <x:row r="234">
      <x:c r="B234" t="str">
        <x:v>A-00202</x:v>
      </x:c>
      <x:c r="C234" t="str">
        <x:v>GATE</x:v>
      </x:c>
      <x:c r="D234" t="str">
        <x:v>release state mirrors governing ledger</x:v>
      </x:c>
      <x:c r="E234" t="str">
        <x:f>'Release Gates'!I208</x:f>
        <x:v>PASS</x:v>
      </x:c>
      <x:c r="F234" t="str">
        <x:f>IF('Release Gates'!C208="PLANNING","PASS",IF('Release Gates'!C208="PHYSICAL","OPEN","BLOCKED"))</x:f>
        <x:v>PASS</x:v>
      </x:c>
      <x:c r="G234" t="str">
        <x:v>equals</x:v>
      </x:c>
      <x:c r="H234" t="str">
        <x:f>IF(E234=F234,"PASS","FAIL")</x:f>
        <x:v>PASS</x:v>
      </x:c>
    </x:row>
    <x:row r="235">
      <x:c r="B235" t="str">
        <x:v>A-00203</x:v>
      </x:c>
      <x:c r="C235" t="str">
        <x:v>GATE</x:v>
      </x:c>
      <x:c r="D235" t="str">
        <x:v>release state mirrors governing ledger</x:v>
      </x:c>
      <x:c r="E235" t="str">
        <x:f>'Release Gates'!I209</x:f>
        <x:v>PASS</x:v>
      </x:c>
      <x:c r="F235" t="str">
        <x:f>IF('Release Gates'!C209="PLANNING","PASS",IF('Release Gates'!C209="PHYSICAL","OPEN","BLOCKED"))</x:f>
        <x:v>PASS</x:v>
      </x:c>
      <x:c r="G235" t="str">
        <x:v>equals</x:v>
      </x:c>
      <x:c r="H235" t="str">
        <x:f>IF(E235=F235,"PASS","FAIL")</x:f>
        <x:v>PASS</x:v>
      </x:c>
    </x:row>
    <x:row r="236">
      <x:c r="B236" t="str">
        <x:v>A-00204</x:v>
      </x:c>
      <x:c r="C236" t="str">
        <x:v>GATE</x:v>
      </x:c>
      <x:c r="D236" t="str">
        <x:v>release state mirrors governing ledger</x:v>
      </x:c>
      <x:c r="E236" t="str">
        <x:f>'Release Gates'!I210</x:f>
        <x:v>PASS</x:v>
      </x:c>
      <x:c r="F236" t="str">
        <x:f>IF('Release Gates'!C210="PLANNING","PASS",IF('Release Gates'!C210="PHYSICAL","OPEN","BLOCKED"))</x:f>
        <x:v>PASS</x:v>
      </x:c>
      <x:c r="G236" t="str">
        <x:v>equals</x:v>
      </x:c>
      <x:c r="H236" t="str">
        <x:f>IF(E236=F236,"PASS","FAIL")</x:f>
        <x:v>PASS</x:v>
      </x:c>
    </x:row>
    <x:row r="237">
      <x:c r="B237" t="str">
        <x:v>A-00205</x:v>
      </x:c>
      <x:c r="C237" t="str">
        <x:v>GATE</x:v>
      </x:c>
      <x:c r="D237" t="str">
        <x:v>release state mirrors governing ledger</x:v>
      </x:c>
      <x:c r="E237" t="str">
        <x:f>'Release Gates'!I211</x:f>
        <x:v>PASS</x:v>
      </x:c>
      <x:c r="F237" t="str">
        <x:f>IF('Release Gates'!C211="PLANNING","PASS",IF('Release Gates'!C211="PHYSICAL","OPEN","BLOCKED"))</x:f>
        <x:v>PASS</x:v>
      </x:c>
      <x:c r="G237" t="str">
        <x:v>equals</x:v>
      </x:c>
      <x:c r="H237" t="str">
        <x:f>IF(E237=F237,"PASS","FAIL")</x:f>
        <x:v>PASS</x:v>
      </x:c>
    </x:row>
    <x:row r="238">
      <x:c r="B238" t="str">
        <x:v>A-00206</x:v>
      </x:c>
      <x:c r="C238" t="str">
        <x:v>GATE</x:v>
      </x:c>
      <x:c r="D238" t="str">
        <x:v>release state mirrors governing ledger</x:v>
      </x:c>
      <x:c r="E238" t="str">
        <x:f>'Release Gates'!I212</x:f>
        <x:v>PASS</x:v>
      </x:c>
      <x:c r="F238" t="str">
        <x:f>IF('Release Gates'!C212="PLANNING","PASS",IF('Release Gates'!C212="PHYSICAL","OPEN","BLOCKED"))</x:f>
        <x:v>PASS</x:v>
      </x:c>
      <x:c r="G238" t="str">
        <x:v>equals</x:v>
      </x:c>
      <x:c r="H238" t="str">
        <x:f>IF(E238=F238,"PASS","FAIL")</x:f>
        <x:v>PASS</x:v>
      </x:c>
    </x:row>
    <x:row r="239">
      <x:c r="B239" t="str">
        <x:v>A-00207</x:v>
      </x:c>
      <x:c r="C239" t="str">
        <x:v>GATE</x:v>
      </x:c>
      <x:c r="D239" t="str">
        <x:v>release state mirrors governing ledger</x:v>
      </x:c>
      <x:c r="E239" t="str">
        <x:f>'Release Gates'!I213</x:f>
        <x:v>PASS</x:v>
      </x:c>
      <x:c r="F239" t="str">
        <x:f>IF('Release Gates'!C213="PLANNING","PASS",IF('Release Gates'!C213="PHYSICAL","OPEN","BLOCKED"))</x:f>
        <x:v>PASS</x:v>
      </x:c>
      <x:c r="G239" t="str">
        <x:v>equals</x:v>
      </x:c>
      <x:c r="H239" t="str">
        <x:f>IF(E239=F239,"PASS","FAIL")</x:f>
        <x:v>PASS</x:v>
      </x:c>
    </x:row>
    <x:row r="240">
      <x:c r="B240" t="str">
        <x:v>A-00208</x:v>
      </x:c>
      <x:c r="C240" t="str">
        <x:v>GATE</x:v>
      </x:c>
      <x:c r="D240" t="str">
        <x:v>release state mirrors governing ledger</x:v>
      </x:c>
      <x:c r="E240" t="str">
        <x:f>'Release Gates'!I214</x:f>
        <x:v>PASS</x:v>
      </x:c>
      <x:c r="F240" t="str">
        <x:f>IF('Release Gates'!C214="PLANNING","PASS",IF('Release Gates'!C214="PHYSICAL","OPEN","BLOCKED"))</x:f>
        <x:v>PASS</x:v>
      </x:c>
      <x:c r="G240" t="str">
        <x:v>equals</x:v>
      </x:c>
      <x:c r="H240" t="str">
        <x:f>IF(E240=F240,"PASS","FAIL")</x:f>
        <x:v>PASS</x:v>
      </x:c>
    </x:row>
    <x:row r="241">
      <x:c r="B241" t="str">
        <x:v>A-00209</x:v>
      </x:c>
      <x:c r="C241" t="str">
        <x:v>GATE</x:v>
      </x:c>
      <x:c r="D241" t="str">
        <x:v>release state mirrors governing ledger</x:v>
      </x:c>
      <x:c r="E241" t="str">
        <x:f>'Release Gates'!I215</x:f>
        <x:v>PASS</x:v>
      </x:c>
      <x:c r="F241" t="str">
        <x:f>IF('Release Gates'!C215="PLANNING","PASS",IF('Release Gates'!C215="PHYSICAL","OPEN","BLOCKED"))</x:f>
        <x:v>PASS</x:v>
      </x:c>
      <x:c r="G241" t="str">
        <x:v>equals</x:v>
      </x:c>
      <x:c r="H241" t="str">
        <x:f>IF(E241=F241,"PASS","FAIL")</x:f>
        <x:v>PASS</x:v>
      </x:c>
    </x:row>
    <x:row r="242">
      <x:c r="B242" t="str">
        <x:v>A-00210</x:v>
      </x:c>
      <x:c r="C242" t="str">
        <x:v>GATE</x:v>
      </x:c>
      <x:c r="D242" t="str">
        <x:v>release state mirrors governing ledger</x:v>
      </x:c>
      <x:c r="E242" t="str">
        <x:f>'Release Gates'!I216</x:f>
        <x:v>PASS</x:v>
      </x:c>
      <x:c r="F242" t="str">
        <x:f>IF('Release Gates'!C216="PLANNING","PASS",IF('Release Gates'!C216="PHYSICAL","OPEN","BLOCKED"))</x:f>
        <x:v>PASS</x:v>
      </x:c>
      <x:c r="G242" t="str">
        <x:v>equals</x:v>
      </x:c>
      <x:c r="H242" t="str">
        <x:f>IF(E242=F242,"PASS","FAIL")</x:f>
        <x:v>PASS</x:v>
      </x:c>
    </x:row>
    <x:row r="243">
      <x:c r="B243" t="str">
        <x:v>A-00211</x:v>
      </x:c>
      <x:c r="C243" t="str">
        <x:v>GATE</x:v>
      </x:c>
      <x:c r="D243" t="str">
        <x:v>release state mirrors governing ledger</x:v>
      </x:c>
      <x:c r="E243" t="str">
        <x:f>'Release Gates'!I217</x:f>
        <x:v>PASS</x:v>
      </x:c>
      <x:c r="F243" t="str">
        <x:f>IF('Release Gates'!C217="PLANNING","PASS",IF('Release Gates'!C217="PHYSICAL","OPEN","BLOCKED"))</x:f>
        <x:v>PASS</x:v>
      </x:c>
      <x:c r="G243" t="str">
        <x:v>equals</x:v>
      </x:c>
      <x:c r="H243" t="str">
        <x:f>IF(E243=F243,"PASS","FAIL")</x:f>
        <x:v>PASS</x:v>
      </x:c>
    </x:row>
    <x:row r="244">
      <x:c r="B244" t="str">
        <x:v>A-00212</x:v>
      </x:c>
      <x:c r="C244" t="str">
        <x:v>GATE</x:v>
      </x:c>
      <x:c r="D244" t="str">
        <x:v>release state mirrors governing ledger</x:v>
      </x:c>
      <x:c r="E244" t="str">
        <x:f>'Release Gates'!I218</x:f>
        <x:v>PASS</x:v>
      </x:c>
      <x:c r="F244" t="str">
        <x:f>IF('Release Gates'!C218="PLANNING","PASS",IF('Release Gates'!C218="PHYSICAL","OPEN","BLOCKED"))</x:f>
        <x:v>PASS</x:v>
      </x:c>
      <x:c r="G244" t="str">
        <x:v>equals</x:v>
      </x:c>
      <x:c r="H244" t="str">
        <x:f>IF(E244=F244,"PASS","FAIL")</x:f>
        <x:v>PASS</x:v>
      </x:c>
    </x:row>
    <x:row r="245">
      <x:c r="B245" t="str">
        <x:v>A-00213</x:v>
      </x:c>
      <x:c r="C245" t="str">
        <x:v>GATE</x:v>
      </x:c>
      <x:c r="D245" t="str">
        <x:v>release state mirrors governing ledger</x:v>
      </x:c>
      <x:c r="E245" t="str">
        <x:f>'Release Gates'!I219</x:f>
        <x:v>PASS</x:v>
      </x:c>
      <x:c r="F245" t="str">
        <x:f>IF('Release Gates'!C219="PLANNING","PASS",IF('Release Gates'!C219="PHYSICAL","OPEN","BLOCKED"))</x:f>
        <x:v>PASS</x:v>
      </x:c>
      <x:c r="G245" t="str">
        <x:v>equals</x:v>
      </x:c>
      <x:c r="H245" t="str">
        <x:f>IF(E245=F245,"PASS","FAIL")</x:f>
        <x:v>PASS</x:v>
      </x:c>
    </x:row>
    <x:row r="246">
      <x:c r="B246" t="str">
        <x:v>A-00214</x:v>
      </x:c>
      <x:c r="C246" t="str">
        <x:v>GATE</x:v>
      </x:c>
      <x:c r="D246" t="str">
        <x:v>release state mirrors governing ledger</x:v>
      </x:c>
      <x:c r="E246" t="str">
        <x:f>'Release Gates'!I220</x:f>
        <x:v>PASS</x:v>
      </x:c>
      <x:c r="F246" t="str">
        <x:f>IF('Release Gates'!C220="PLANNING","PASS",IF('Release Gates'!C220="PHYSICAL","OPEN","BLOCKED"))</x:f>
        <x:v>PASS</x:v>
      </x:c>
      <x:c r="G246" t="str">
        <x:v>equals</x:v>
      </x:c>
      <x:c r="H246" t="str">
        <x:f>IF(E246=F246,"PASS","FAIL")</x:f>
        <x:v>PASS</x:v>
      </x:c>
    </x:row>
    <x:row r="247">
      <x:c r="B247" t="str">
        <x:v>A-00215</x:v>
      </x:c>
      <x:c r="C247" t="str">
        <x:v>GATE</x:v>
      </x:c>
      <x:c r="D247" t="str">
        <x:v>release state mirrors governing ledger</x:v>
      </x:c>
      <x:c r="E247" t="str">
        <x:f>'Release Gates'!I221</x:f>
        <x:v>PASS</x:v>
      </x:c>
      <x:c r="F247" t="str">
        <x:f>IF('Release Gates'!C221="PLANNING","PASS",IF('Release Gates'!C221="PHYSICAL","OPEN","BLOCKED"))</x:f>
        <x:v>PASS</x:v>
      </x:c>
      <x:c r="G247" t="str">
        <x:v>equals</x:v>
      </x:c>
      <x:c r="H247" t="str">
        <x:f>IF(E247=F247,"PASS","FAIL")</x:f>
        <x:v>PASS</x:v>
      </x:c>
    </x:row>
    <x:row r="248">
      <x:c r="B248" t="str">
        <x:v>A-00216</x:v>
      </x:c>
      <x:c r="C248" t="str">
        <x:v>GATE</x:v>
      </x:c>
      <x:c r="D248" t="str">
        <x:v>release state mirrors governing ledger</x:v>
      </x:c>
      <x:c r="E248" t="str">
        <x:f>'Release Gates'!I222</x:f>
        <x:v>PASS</x:v>
      </x:c>
      <x:c r="F248" t="str">
        <x:f>IF('Release Gates'!C222="PLANNING","PASS",IF('Release Gates'!C222="PHYSICAL","OPEN","BLOCKED"))</x:f>
        <x:v>PASS</x:v>
      </x:c>
      <x:c r="G248" t="str">
        <x:v>equals</x:v>
      </x:c>
      <x:c r="H248" t="str">
        <x:f>IF(E248=F248,"PASS","FAIL")</x:f>
        <x:v>PASS</x:v>
      </x:c>
    </x:row>
    <x:row r="249">
      <x:c r="B249" t="str">
        <x:v>A-00217</x:v>
      </x:c>
      <x:c r="C249" t="str">
        <x:v>GATE</x:v>
      </x:c>
      <x:c r="D249" t="str">
        <x:v>release state mirrors governing ledger</x:v>
      </x:c>
      <x:c r="E249" t="str">
        <x:f>'Release Gates'!I223</x:f>
        <x:v>PASS</x:v>
      </x:c>
      <x:c r="F249" t="str">
        <x:f>IF('Release Gates'!C223="PLANNING","PASS",IF('Release Gates'!C223="PHYSICAL","OPEN","BLOCKED"))</x:f>
        <x:v>PASS</x:v>
      </x:c>
      <x:c r="G249" t="str">
        <x:v>equals</x:v>
      </x:c>
      <x:c r="H249" t="str">
        <x:f>IF(E249=F249,"PASS","FAIL")</x:f>
        <x:v>PASS</x:v>
      </x:c>
    </x:row>
    <x:row r="250">
      <x:c r="B250" t="str">
        <x:v>A-00218</x:v>
      </x:c>
      <x:c r="C250" t="str">
        <x:v>GATE</x:v>
      </x:c>
      <x:c r="D250" t="str">
        <x:v>release state mirrors governing ledger</x:v>
      </x:c>
      <x:c r="E250" t="str">
        <x:f>'Release Gates'!I224</x:f>
        <x:v>PASS</x:v>
      </x:c>
      <x:c r="F250" t="str">
        <x:f>IF('Release Gates'!C224="PLANNING","PASS",IF('Release Gates'!C224="PHYSICAL","OPEN","BLOCKED"))</x:f>
        <x:v>PASS</x:v>
      </x:c>
      <x:c r="G250" t="str">
        <x:v>equals</x:v>
      </x:c>
      <x:c r="H250" t="str">
        <x:f>IF(E250=F250,"PASS","FAIL")</x:f>
        <x:v>PASS</x:v>
      </x:c>
    </x:row>
    <x:row r="251">
      <x:c r="B251" t="str">
        <x:v>A-00219</x:v>
      </x:c>
      <x:c r="C251" t="str">
        <x:v>GATE</x:v>
      </x:c>
      <x:c r="D251" t="str">
        <x:v>release state mirrors governing ledger</x:v>
      </x:c>
      <x:c r="E251" t="str">
        <x:f>'Release Gates'!I225</x:f>
        <x:v>PASS</x:v>
      </x:c>
      <x:c r="F251" t="str">
        <x:f>IF('Release Gates'!C225="PLANNING","PASS",IF('Release Gates'!C225="PHYSICAL","OPEN","BLOCKED"))</x:f>
        <x:v>PASS</x:v>
      </x:c>
      <x:c r="G251" t="str">
        <x:v>equals</x:v>
      </x:c>
      <x:c r="H251" t="str">
        <x:f>IF(E251=F251,"PASS","FAIL")</x:f>
        <x:v>PASS</x:v>
      </x:c>
    </x:row>
    <x:row r="252">
      <x:c r="B252" t="str">
        <x:v>A-00220</x:v>
      </x:c>
      <x:c r="C252" t="str">
        <x:v>GATE</x:v>
      </x:c>
      <x:c r="D252" t="str">
        <x:v>release state mirrors governing ledger</x:v>
      </x:c>
      <x:c r="E252" t="str">
        <x:f>'Release Gates'!I226</x:f>
        <x:v>PASS</x:v>
      </x:c>
      <x:c r="F252" t="str">
        <x:f>IF('Release Gates'!C226="PLANNING","PASS",IF('Release Gates'!C226="PHYSICAL","OPEN","BLOCKED"))</x:f>
        <x:v>PASS</x:v>
      </x:c>
      <x:c r="G252" t="str">
        <x:v>equals</x:v>
      </x:c>
      <x:c r="H252" t="str">
        <x:f>IF(E252=F252,"PASS","FAIL")</x:f>
        <x:v>PASS</x:v>
      </x:c>
    </x:row>
    <x:row r="253">
      <x:c r="B253" t="str">
        <x:v>A-00221</x:v>
      </x:c>
      <x:c r="C253" t="str">
        <x:v>GATE</x:v>
      </x:c>
      <x:c r="D253" t="str">
        <x:v>release state mirrors governing ledger</x:v>
      </x:c>
      <x:c r="E253" t="str">
        <x:f>'Release Gates'!I227</x:f>
        <x:v>PASS</x:v>
      </x:c>
      <x:c r="F253" t="str">
        <x:f>IF('Release Gates'!C227="PLANNING","PASS",IF('Release Gates'!C227="PHYSICAL","OPEN","BLOCKED"))</x:f>
        <x:v>PASS</x:v>
      </x:c>
      <x:c r="G253" t="str">
        <x:v>equals</x:v>
      </x:c>
      <x:c r="H253" t="str">
        <x:f>IF(E253=F253,"PASS","FAIL")</x:f>
        <x:v>PASS</x:v>
      </x:c>
    </x:row>
    <x:row r="254">
      <x:c r="B254" t="str">
        <x:v>A-00222</x:v>
      </x:c>
      <x:c r="C254" t="str">
        <x:v>GATE</x:v>
      </x:c>
      <x:c r="D254" t="str">
        <x:v>release state mirrors governing ledger</x:v>
      </x:c>
      <x:c r="E254" t="str">
        <x:f>'Release Gates'!I228</x:f>
        <x:v>PASS</x:v>
      </x:c>
      <x:c r="F254" t="str">
        <x:f>IF('Release Gates'!C228="PLANNING","PASS",IF('Release Gates'!C228="PHYSICAL","OPEN","BLOCKED"))</x:f>
        <x:v>PASS</x:v>
      </x:c>
      <x:c r="G254" t="str">
        <x:v>equals</x:v>
      </x:c>
      <x:c r="H254" t="str">
        <x:f>IF(E254=F254,"PASS","FAIL")</x:f>
        <x:v>PASS</x:v>
      </x:c>
    </x:row>
    <x:row r="255">
      <x:c r="B255" t="str">
        <x:v>A-00223</x:v>
      </x:c>
      <x:c r="C255" t="str">
        <x:v>GATE</x:v>
      </x:c>
      <x:c r="D255" t="str">
        <x:v>release state mirrors governing ledger</x:v>
      </x:c>
      <x:c r="E255" t="str">
        <x:f>'Release Gates'!I229</x:f>
        <x:v>PASS</x:v>
      </x:c>
      <x:c r="F255" t="str">
        <x:f>IF('Release Gates'!C229="PLANNING","PASS",IF('Release Gates'!C229="PHYSICAL","OPEN","BLOCKED"))</x:f>
        <x:v>PASS</x:v>
      </x:c>
      <x:c r="G255" t="str">
        <x:v>equals</x:v>
      </x:c>
      <x:c r="H255" t="str">
        <x:f>IF(E255=F255,"PASS","FAIL")</x:f>
        <x:v>PASS</x:v>
      </x:c>
    </x:row>
    <x:row r="256">
      <x:c r="B256" t="str">
        <x:v>A-00224</x:v>
      </x:c>
      <x:c r="C256" t="str">
        <x:v>GATE</x:v>
      </x:c>
      <x:c r="D256" t="str">
        <x:v>release state mirrors governing ledger</x:v>
      </x:c>
      <x:c r="E256" t="str">
        <x:f>'Release Gates'!I230</x:f>
        <x:v>PASS</x:v>
      </x:c>
      <x:c r="F256" t="str">
        <x:f>IF('Release Gates'!C230="PLANNING","PASS",IF('Release Gates'!C230="PHYSICAL","OPEN","BLOCKED"))</x:f>
        <x:v>PASS</x:v>
      </x:c>
      <x:c r="G256" t="str">
        <x:v>equals</x:v>
      </x:c>
      <x:c r="H256" t="str">
        <x:f>IF(E256=F256,"PASS","FAIL")</x:f>
        <x:v>PASS</x:v>
      </x:c>
    </x:row>
    <x:row r="257">
      <x:c r="B257" t="str">
        <x:v>A-00225</x:v>
      </x:c>
      <x:c r="C257" t="str">
        <x:v>GATE</x:v>
      </x:c>
      <x:c r="D257" t="str">
        <x:v>release state mirrors governing ledger</x:v>
      </x:c>
      <x:c r="E257" t="str">
        <x:f>'Release Gates'!I231</x:f>
        <x:v>PASS</x:v>
      </x:c>
      <x:c r="F257" t="str">
        <x:f>IF('Release Gates'!C231="PLANNING","PASS",IF('Release Gates'!C231="PHYSICAL","OPEN","BLOCKED"))</x:f>
        <x:v>PASS</x:v>
      </x:c>
      <x:c r="G257" t="str">
        <x:v>equals</x:v>
      </x:c>
      <x:c r="H257" t="str">
        <x:f>IF(E257=F257,"PASS","FAIL")</x:f>
        <x:v>PASS</x:v>
      </x:c>
    </x:row>
    <x:row r="258">
      <x:c r="B258" t="str">
        <x:v>A-00226</x:v>
      </x:c>
      <x:c r="C258" t="str">
        <x:v>GATE</x:v>
      </x:c>
      <x:c r="D258" t="str">
        <x:v>release state mirrors governing ledger</x:v>
      </x:c>
      <x:c r="E258" t="str">
        <x:f>'Release Gates'!I232</x:f>
        <x:v>PASS</x:v>
      </x:c>
      <x:c r="F258" t="str">
        <x:f>IF('Release Gates'!C232="PLANNING","PASS",IF('Release Gates'!C232="PHYSICAL","OPEN","BLOCKED"))</x:f>
        <x:v>PASS</x:v>
      </x:c>
      <x:c r="G258" t="str">
        <x:v>equals</x:v>
      </x:c>
      <x:c r="H258" t="str">
        <x:f>IF(E258=F258,"PASS","FAIL")</x:f>
        <x:v>PASS</x:v>
      </x:c>
    </x:row>
    <x:row r="259">
      <x:c r="B259" t="str">
        <x:v>A-00227</x:v>
      </x:c>
      <x:c r="C259" t="str">
        <x:v>GATE</x:v>
      </x:c>
      <x:c r="D259" t="str">
        <x:v>release state mirrors governing ledger</x:v>
      </x:c>
      <x:c r="E259" t="str">
        <x:f>'Release Gates'!I233</x:f>
        <x:v>PASS</x:v>
      </x:c>
      <x:c r="F259" t="str">
        <x:f>IF('Release Gates'!C233="PLANNING","PASS",IF('Release Gates'!C233="PHYSICAL","OPEN","BLOCKED"))</x:f>
        <x:v>PASS</x:v>
      </x:c>
      <x:c r="G259" t="str">
        <x:v>equals</x:v>
      </x:c>
      <x:c r="H259" t="str">
        <x:f>IF(E259=F259,"PASS","FAIL")</x:f>
        <x:v>PASS</x:v>
      </x:c>
    </x:row>
    <x:row r="260">
      <x:c r="B260" t="str">
        <x:v>A-00228</x:v>
      </x:c>
      <x:c r="C260" t="str">
        <x:v>GATE</x:v>
      </x:c>
      <x:c r="D260" t="str">
        <x:v>release state mirrors governing ledger</x:v>
      </x:c>
      <x:c r="E260" t="str">
        <x:f>'Release Gates'!I234</x:f>
        <x:v>PASS</x:v>
      </x:c>
      <x:c r="F260" t="str">
        <x:f>IF('Release Gates'!C234="PLANNING","PASS",IF('Release Gates'!C234="PHYSICAL","OPEN","BLOCKED"))</x:f>
        <x:v>PASS</x:v>
      </x:c>
      <x:c r="G260" t="str">
        <x:v>equals</x:v>
      </x:c>
      <x:c r="H260" t="str">
        <x:f>IF(E260=F260,"PASS","FAIL")</x:f>
        <x:v>PASS</x:v>
      </x:c>
    </x:row>
    <x:row r="261">
      <x:c r="B261" t="str">
        <x:v>A-00229</x:v>
      </x:c>
      <x:c r="C261" t="str">
        <x:v>GATE</x:v>
      </x:c>
      <x:c r="D261" t="str">
        <x:v>release state mirrors governing ledger</x:v>
      </x:c>
      <x:c r="E261" t="str">
        <x:f>'Release Gates'!I235</x:f>
        <x:v>PASS</x:v>
      </x:c>
      <x:c r="F261" t="str">
        <x:f>IF('Release Gates'!C235="PLANNING","PASS",IF('Release Gates'!C235="PHYSICAL","OPEN","BLOCKED"))</x:f>
        <x:v>PASS</x:v>
      </x:c>
      <x:c r="G261" t="str">
        <x:v>equals</x:v>
      </x:c>
      <x:c r="H261" t="str">
        <x:f>IF(E261=F261,"PASS","FAIL")</x:f>
        <x:v>PASS</x:v>
      </x:c>
    </x:row>
    <x:row r="262">
      <x:c r="B262" t="str">
        <x:v>A-00230</x:v>
      </x:c>
      <x:c r="C262" t="str">
        <x:v>GATE</x:v>
      </x:c>
      <x:c r="D262" t="str">
        <x:v>release state mirrors governing ledger</x:v>
      </x:c>
      <x:c r="E262" t="str">
        <x:f>'Release Gates'!I236</x:f>
        <x:v>PASS</x:v>
      </x:c>
      <x:c r="F262" t="str">
        <x:f>IF('Release Gates'!C236="PLANNING","PASS",IF('Release Gates'!C236="PHYSICAL","OPEN","BLOCKED"))</x:f>
        <x:v>PASS</x:v>
      </x:c>
      <x:c r="G262" t="str">
        <x:v>equals</x:v>
      </x:c>
      <x:c r="H262" t="str">
        <x:f>IF(E262=F262,"PASS","FAIL")</x:f>
        <x:v>PASS</x:v>
      </x:c>
    </x:row>
    <x:row r="263">
      <x:c r="B263" t="str">
        <x:v>A-00231</x:v>
      </x:c>
      <x:c r="C263" t="str">
        <x:v>GATE</x:v>
      </x:c>
      <x:c r="D263" t="str">
        <x:v>release state mirrors governing ledger</x:v>
      </x:c>
      <x:c r="E263" t="str">
        <x:f>'Release Gates'!I237</x:f>
        <x:v>PASS</x:v>
      </x:c>
      <x:c r="F263" t="str">
        <x:f>IF('Release Gates'!C237="PLANNING","PASS",IF('Release Gates'!C237="PHYSICAL","OPEN","BLOCKED"))</x:f>
        <x:v>PASS</x:v>
      </x:c>
      <x:c r="G263" t="str">
        <x:v>equals</x:v>
      </x:c>
      <x:c r="H263" t="str">
        <x:f>IF(E263=F263,"PASS","FAIL")</x:f>
        <x:v>PASS</x:v>
      </x:c>
    </x:row>
    <x:row r="264">
      <x:c r="B264" t="str">
        <x:v>A-00232</x:v>
      </x:c>
      <x:c r="C264" t="str">
        <x:v>GATE</x:v>
      </x:c>
      <x:c r="D264" t="str">
        <x:v>release state mirrors governing ledger</x:v>
      </x:c>
      <x:c r="E264" t="str">
        <x:f>'Release Gates'!I238</x:f>
        <x:v>PASS</x:v>
      </x:c>
      <x:c r="F264" t="str">
        <x:f>IF('Release Gates'!C238="PLANNING","PASS",IF('Release Gates'!C238="PHYSICAL","OPEN","BLOCKED"))</x:f>
        <x:v>PASS</x:v>
      </x:c>
      <x:c r="G264" t="str">
        <x:v>equals</x:v>
      </x:c>
      <x:c r="H264" t="str">
        <x:f>IF(E264=F264,"PASS","FAIL")</x:f>
        <x:v>PASS</x:v>
      </x:c>
    </x:row>
    <x:row r="265">
      <x:c r="B265" t="str">
        <x:v>A-00233</x:v>
      </x:c>
      <x:c r="C265" t="str">
        <x:v>GATE</x:v>
      </x:c>
      <x:c r="D265" t="str">
        <x:v>release state mirrors governing ledger</x:v>
      </x:c>
      <x:c r="E265" t="str">
        <x:f>'Release Gates'!I239</x:f>
        <x:v>PASS</x:v>
      </x:c>
      <x:c r="F265" t="str">
        <x:f>IF('Release Gates'!C239="PLANNING","PASS",IF('Release Gates'!C239="PHYSICAL","OPEN","BLOCKED"))</x:f>
        <x:v>PASS</x:v>
      </x:c>
      <x:c r="G265" t="str">
        <x:v>equals</x:v>
      </x:c>
      <x:c r="H265" t="str">
        <x:f>IF(E265=F265,"PASS","FAIL")</x:f>
        <x:v>PASS</x:v>
      </x:c>
    </x:row>
    <x:row r="266">
      <x:c r="B266" t="str">
        <x:v>A-00234</x:v>
      </x:c>
      <x:c r="C266" t="str">
        <x:v>GATE</x:v>
      </x:c>
      <x:c r="D266" t="str">
        <x:v>release state mirrors governing ledger</x:v>
      </x:c>
      <x:c r="E266" t="str">
        <x:f>'Release Gates'!I240</x:f>
        <x:v>PASS</x:v>
      </x:c>
      <x:c r="F266" t="str">
        <x:f>IF('Release Gates'!C240="PLANNING","PASS",IF('Release Gates'!C240="PHYSICAL","OPEN","BLOCKED"))</x:f>
        <x:v>PASS</x:v>
      </x:c>
      <x:c r="G266" t="str">
        <x:v>equals</x:v>
      </x:c>
      <x:c r="H266" t="str">
        <x:f>IF(E266=F266,"PASS","FAIL")</x:f>
        <x:v>PASS</x:v>
      </x:c>
    </x:row>
    <x:row r="267">
      <x:c r="B267" t="str">
        <x:v>A-00235</x:v>
      </x:c>
      <x:c r="C267" t="str">
        <x:v>GATE</x:v>
      </x:c>
      <x:c r="D267" t="str">
        <x:v>release state mirrors governing ledger</x:v>
      </x:c>
      <x:c r="E267" t="str">
        <x:f>'Release Gates'!I241</x:f>
        <x:v>PASS</x:v>
      </x:c>
      <x:c r="F267" t="str">
        <x:f>IF('Release Gates'!C241="PLANNING","PASS",IF('Release Gates'!C241="PHYSICAL","OPEN","BLOCKED"))</x:f>
        <x:v>PASS</x:v>
      </x:c>
      <x:c r="G267" t="str">
        <x:v>equals</x:v>
      </x:c>
      <x:c r="H267" t="str">
        <x:f>IF(E267=F267,"PASS","FAIL")</x:f>
        <x:v>PASS</x:v>
      </x:c>
    </x:row>
    <x:row r="268">
      <x:c r="B268" t="str">
        <x:v>A-00236</x:v>
      </x:c>
      <x:c r="C268" t="str">
        <x:v>GATE</x:v>
      </x:c>
      <x:c r="D268" t="str">
        <x:v>release state mirrors governing ledger</x:v>
      </x:c>
      <x:c r="E268" t="str">
        <x:f>'Release Gates'!I242</x:f>
        <x:v>PASS</x:v>
      </x:c>
      <x:c r="F268" t="str">
        <x:f>IF('Release Gates'!C242="PLANNING","PASS",IF('Release Gates'!C242="PHYSICAL","OPEN","BLOCKED"))</x:f>
        <x:v>PASS</x:v>
      </x:c>
      <x:c r="G268" t="str">
        <x:v>equals</x:v>
      </x:c>
      <x:c r="H268" t="str">
        <x:f>IF(E268=F268,"PASS","FAIL")</x:f>
        <x:v>PASS</x:v>
      </x:c>
    </x:row>
    <x:row r="269">
      <x:c r="B269" t="str">
        <x:v>A-00237</x:v>
      </x:c>
      <x:c r="C269" t="str">
        <x:v>GATE</x:v>
      </x:c>
      <x:c r="D269" t="str">
        <x:v>release state mirrors governing ledger</x:v>
      </x:c>
      <x:c r="E269" t="str">
        <x:f>'Release Gates'!I243</x:f>
        <x:v>PASS</x:v>
      </x:c>
      <x:c r="F269" t="str">
        <x:f>IF('Release Gates'!C243="PLANNING","PASS",IF('Release Gates'!C243="PHYSICAL","OPEN","BLOCKED"))</x:f>
        <x:v>PASS</x:v>
      </x:c>
      <x:c r="G269" t="str">
        <x:v>equals</x:v>
      </x:c>
      <x:c r="H269" t="str">
        <x:f>IF(E269=F269,"PASS","FAIL")</x:f>
        <x:v>PASS</x:v>
      </x:c>
    </x:row>
    <x:row r="270">
      <x:c r="B270" t="str">
        <x:v>A-00238</x:v>
      </x:c>
      <x:c r="C270" t="str">
        <x:v>GATE</x:v>
      </x:c>
      <x:c r="D270" t="str">
        <x:v>release state mirrors governing ledger</x:v>
      </x:c>
      <x:c r="E270" t="str">
        <x:f>'Release Gates'!I244</x:f>
        <x:v>PASS</x:v>
      </x:c>
      <x:c r="F270" t="str">
        <x:f>IF('Release Gates'!C244="PLANNING","PASS",IF('Release Gates'!C244="PHYSICAL","OPEN","BLOCKED"))</x:f>
        <x:v>PASS</x:v>
      </x:c>
      <x:c r="G270" t="str">
        <x:v>equals</x:v>
      </x:c>
      <x:c r="H270" t="str">
        <x:f>IF(E270=F270,"PASS","FAIL")</x:f>
        <x:v>PASS</x:v>
      </x:c>
    </x:row>
    <x:row r="271">
      <x:c r="B271" t="str">
        <x:v>A-00239</x:v>
      </x:c>
      <x:c r="C271" t="str">
        <x:v>GATE</x:v>
      </x:c>
      <x:c r="D271" t="str">
        <x:v>release state mirrors governing ledger</x:v>
      </x:c>
      <x:c r="E271" t="str">
        <x:f>'Release Gates'!I245</x:f>
        <x:v>PASS</x:v>
      </x:c>
      <x:c r="F271" t="str">
        <x:f>IF('Release Gates'!C245="PLANNING","PASS",IF('Release Gates'!C245="PHYSICAL","OPEN","BLOCKED"))</x:f>
        <x:v>PASS</x:v>
      </x:c>
      <x:c r="G271" t="str">
        <x:v>equals</x:v>
      </x:c>
      <x:c r="H271" t="str">
        <x:f>IF(E271=F271,"PASS","FAIL")</x:f>
        <x:v>PASS</x:v>
      </x:c>
    </x:row>
    <x:row r="272">
      <x:c r="B272" t="str">
        <x:v>A-00240</x:v>
      </x:c>
      <x:c r="C272" t="str">
        <x:v>GATE</x:v>
      </x:c>
      <x:c r="D272" t="str">
        <x:v>release state mirrors governing ledger</x:v>
      </x:c>
      <x:c r="E272" t="str">
        <x:f>'Release Gates'!I246</x:f>
        <x:v>PASS</x:v>
      </x:c>
      <x:c r="F272" t="str">
        <x:f>IF('Release Gates'!C246="PLANNING","PASS",IF('Release Gates'!C246="PHYSICAL","OPEN","BLOCKED"))</x:f>
        <x:v>PASS</x:v>
      </x:c>
      <x:c r="G272" t="str">
        <x:v>equals</x:v>
      </x:c>
      <x:c r="H272" t="str">
        <x:f>IF(E272=F272,"PASS","FAIL")</x:f>
        <x:v>PASS</x:v>
      </x:c>
    </x:row>
    <x:row r="273">
      <x:c r="B273" t="str">
        <x:v>A-00241</x:v>
      </x:c>
      <x:c r="C273" t="str">
        <x:v>GATE</x:v>
      </x:c>
      <x:c r="D273" t="str">
        <x:v>release state mirrors governing ledger</x:v>
      </x:c>
      <x:c r="E273" t="str">
        <x:f>'Release Gates'!I247</x:f>
        <x:v>PASS</x:v>
      </x:c>
      <x:c r="F273" t="str">
        <x:f>IF('Release Gates'!C247="PLANNING","PASS",IF('Release Gates'!C247="PHYSICAL","OPEN","BLOCKED"))</x:f>
        <x:v>PASS</x:v>
      </x:c>
      <x:c r="G273" t="str">
        <x:v>equals</x:v>
      </x:c>
      <x:c r="H273" t="str">
        <x:f>IF(E273=F273,"PASS","FAIL")</x:f>
        <x:v>PASS</x:v>
      </x:c>
    </x:row>
    <x:row r="274">
      <x:c r="B274" t="str">
        <x:v>A-00242</x:v>
      </x:c>
      <x:c r="C274" t="str">
        <x:v>GATE</x:v>
      </x:c>
      <x:c r="D274" t="str">
        <x:v>release state mirrors governing ledger</x:v>
      </x:c>
      <x:c r="E274" t="str">
        <x:f>'Release Gates'!I248</x:f>
        <x:v>PASS</x:v>
      </x:c>
      <x:c r="F274" t="str">
        <x:f>IF('Release Gates'!C248="PLANNING","PASS",IF('Release Gates'!C248="PHYSICAL","OPEN","BLOCKED"))</x:f>
        <x:v>PASS</x:v>
      </x:c>
      <x:c r="G274" t="str">
        <x:v>equals</x:v>
      </x:c>
      <x:c r="H274" t="str">
        <x:f>IF(E274=F274,"PASS","FAIL")</x:f>
        <x:v>PASS</x:v>
      </x:c>
    </x:row>
    <x:row r="275">
      <x:c r="B275" t="str">
        <x:v>A-00243</x:v>
      </x:c>
      <x:c r="C275" t="str">
        <x:v>GATE</x:v>
      </x:c>
      <x:c r="D275" t="str">
        <x:v>release state mirrors governing ledger</x:v>
      </x:c>
      <x:c r="E275" t="str">
        <x:f>'Release Gates'!I249</x:f>
        <x:v>PASS</x:v>
      </x:c>
      <x:c r="F275" t="str">
        <x:f>IF('Release Gates'!C249="PLANNING","PASS",IF('Release Gates'!C249="PHYSICAL","OPEN","BLOCKED"))</x:f>
        <x:v>PASS</x:v>
      </x:c>
      <x:c r="G275" t="str">
        <x:v>equals</x:v>
      </x:c>
      <x:c r="H275" t="str">
        <x:f>IF(E275=F275,"PASS","FAIL")</x:f>
        <x:v>PASS</x:v>
      </x:c>
    </x:row>
    <x:row r="276">
      <x:c r="B276" t="str">
        <x:v>A-00244</x:v>
      </x:c>
      <x:c r="C276" t="str">
        <x:v>GATE</x:v>
      </x:c>
      <x:c r="D276" t="str">
        <x:v>release state mirrors governing ledger</x:v>
      </x:c>
      <x:c r="E276" t="str">
        <x:f>'Release Gates'!I250</x:f>
        <x:v>PASS</x:v>
      </x:c>
      <x:c r="F276" t="str">
        <x:f>IF('Release Gates'!C250="PLANNING","PASS",IF('Release Gates'!C250="PHYSICAL","OPEN","BLOCKED"))</x:f>
        <x:v>PASS</x:v>
      </x:c>
      <x:c r="G276" t="str">
        <x:v>equals</x:v>
      </x:c>
      <x:c r="H276" t="str">
        <x:f>IF(E276=F276,"PASS","FAIL")</x:f>
        <x:v>PASS</x:v>
      </x:c>
    </x:row>
    <x:row r="277">
      <x:c r="B277" t="str">
        <x:v>A-00245</x:v>
      </x:c>
      <x:c r="C277" t="str">
        <x:v>GATE</x:v>
      </x:c>
      <x:c r="D277" t="str">
        <x:v>release state mirrors governing ledger</x:v>
      </x:c>
      <x:c r="E277" t="str">
        <x:f>'Release Gates'!I251</x:f>
        <x:v>PASS</x:v>
      </x:c>
      <x:c r="F277" t="str">
        <x:f>IF('Release Gates'!C251="PLANNING","PASS",IF('Release Gates'!C251="PHYSICAL","OPEN","BLOCKED"))</x:f>
        <x:v>PASS</x:v>
      </x:c>
      <x:c r="G277" t="str">
        <x:v>equals</x:v>
      </x:c>
      <x:c r="H277" t="str">
        <x:f>IF(E277=F277,"PASS","FAIL")</x:f>
        <x:v>PASS</x:v>
      </x:c>
    </x:row>
    <x:row r="278">
      <x:c r="B278" t="str">
        <x:v>A-00246</x:v>
      </x:c>
      <x:c r="C278" t="str">
        <x:v>GATE</x:v>
      </x:c>
      <x:c r="D278" t="str">
        <x:v>release state mirrors governing ledger</x:v>
      </x:c>
      <x:c r="E278" t="str">
        <x:f>'Release Gates'!I252</x:f>
        <x:v>PASS</x:v>
      </x:c>
      <x:c r="F278" t="str">
        <x:f>IF('Release Gates'!C252="PLANNING","PASS",IF('Release Gates'!C252="PHYSICAL","OPEN","BLOCKED"))</x:f>
        <x:v>PASS</x:v>
      </x:c>
      <x:c r="G278" t="str">
        <x:v>equals</x:v>
      </x:c>
      <x:c r="H278" t="str">
        <x:f>IF(E278=F278,"PASS","FAIL")</x:f>
        <x:v>PASS</x:v>
      </x:c>
    </x:row>
    <x:row r="279">
      <x:c r="B279" t="str">
        <x:v>A-00247</x:v>
      </x:c>
      <x:c r="C279" t="str">
        <x:v>GATE</x:v>
      </x:c>
      <x:c r="D279" t="str">
        <x:v>release state mirrors governing ledger</x:v>
      </x:c>
      <x:c r="E279" t="str">
        <x:f>'Release Gates'!I253</x:f>
        <x:v>PASS</x:v>
      </x:c>
      <x:c r="F279" t="str">
        <x:f>IF('Release Gates'!C253="PLANNING","PASS",IF('Release Gates'!C253="PHYSICAL","OPEN","BLOCKED"))</x:f>
        <x:v>PASS</x:v>
      </x:c>
      <x:c r="G279" t="str">
        <x:v>equals</x:v>
      </x:c>
      <x:c r="H279" t="str">
        <x:f>IF(E279=F279,"PASS","FAIL")</x:f>
        <x:v>PASS</x:v>
      </x:c>
    </x:row>
    <x:row r="280">
      <x:c r="B280" t="str">
        <x:v>A-00248</x:v>
      </x:c>
      <x:c r="C280" t="str">
        <x:v>GATE</x:v>
      </x:c>
      <x:c r="D280" t="str">
        <x:v>release state mirrors governing ledger</x:v>
      </x:c>
      <x:c r="E280" t="str">
        <x:f>'Release Gates'!I254</x:f>
        <x:v>PASS</x:v>
      </x:c>
      <x:c r="F280" t="str">
        <x:f>IF('Release Gates'!C254="PLANNING","PASS",IF('Release Gates'!C254="PHYSICAL","OPEN","BLOCKED"))</x:f>
        <x:v>PASS</x:v>
      </x:c>
      <x:c r="G280" t="str">
        <x:v>equals</x:v>
      </x:c>
      <x:c r="H280" t="str">
        <x:f>IF(E280=F280,"PASS","FAIL")</x:f>
        <x:v>PASS</x:v>
      </x:c>
    </x:row>
    <x:row r="281">
      <x:c r="B281" t="str">
        <x:v>A-00249</x:v>
      </x:c>
      <x:c r="C281" t="str">
        <x:v>GATE</x:v>
      </x:c>
      <x:c r="D281" t="str">
        <x:v>release state mirrors governing ledger</x:v>
      </x:c>
      <x:c r="E281" t="str">
        <x:f>'Release Gates'!I255</x:f>
        <x:v>PASS</x:v>
      </x:c>
      <x:c r="F281" t="str">
        <x:f>IF('Release Gates'!C255="PLANNING","PASS",IF('Release Gates'!C255="PHYSICAL","OPEN","BLOCKED"))</x:f>
        <x:v>PASS</x:v>
      </x:c>
      <x:c r="G281" t="str">
        <x:v>equals</x:v>
      </x:c>
      <x:c r="H281" t="str">
        <x:f>IF(E281=F281,"PASS","FAIL")</x:f>
        <x:v>PASS</x:v>
      </x:c>
    </x:row>
    <x:row r="282">
      <x:c r="B282" t="str">
        <x:v>A-00250</x:v>
      </x:c>
      <x:c r="C282" t="str">
        <x:v>GATE</x:v>
      </x:c>
      <x:c r="D282" t="str">
        <x:v>release state mirrors governing ledger</x:v>
      </x:c>
      <x:c r="E282" t="str">
        <x:f>'Release Gates'!I256</x:f>
        <x:v>PASS</x:v>
      </x:c>
      <x:c r="F282" t="str">
        <x:f>IF('Release Gates'!C256="PLANNING","PASS",IF('Release Gates'!C256="PHYSICAL","OPEN","BLOCKED"))</x:f>
        <x:v>PASS</x:v>
      </x:c>
      <x:c r="G282" t="str">
        <x:v>equals</x:v>
      </x:c>
      <x:c r="H282" t="str">
        <x:f>IF(E282=F282,"PASS","FAIL")</x:f>
        <x:v>PASS</x:v>
      </x:c>
    </x:row>
    <x:row r="283">
      <x:c r="B283" t="str">
        <x:v>A-00251</x:v>
      </x:c>
      <x:c r="C283" t="str">
        <x:v>GATE</x:v>
      </x:c>
      <x:c r="D283" t="str">
        <x:v>release state mirrors governing ledger</x:v>
      </x:c>
      <x:c r="E283" t="str">
        <x:f>'Release Gates'!I257</x:f>
        <x:v>PASS</x:v>
      </x:c>
      <x:c r="F283" t="str">
        <x:f>IF('Release Gates'!C257="PLANNING","PASS",IF('Release Gates'!C257="PHYSICAL","OPEN","BLOCKED"))</x:f>
        <x:v>PASS</x:v>
      </x:c>
      <x:c r="G283" t="str">
        <x:v>equals</x:v>
      </x:c>
      <x:c r="H283" t="str">
        <x:f>IF(E283=F283,"PASS","FAIL")</x:f>
        <x:v>PASS</x:v>
      </x:c>
    </x:row>
    <x:row r="284">
      <x:c r="B284" t="str">
        <x:v>A-00252</x:v>
      </x:c>
      <x:c r="C284" t="str">
        <x:v>GATE</x:v>
      </x:c>
      <x:c r="D284" t="str">
        <x:v>release state mirrors governing ledger</x:v>
      </x:c>
      <x:c r="E284" t="str">
        <x:f>'Release Gates'!I258</x:f>
        <x:v>PASS</x:v>
      </x:c>
      <x:c r="F284" t="str">
        <x:f>IF('Release Gates'!C258="PLANNING","PASS",IF('Release Gates'!C258="PHYSICAL","OPEN","BLOCKED"))</x:f>
        <x:v>PASS</x:v>
      </x:c>
      <x:c r="G284" t="str">
        <x:v>equals</x:v>
      </x:c>
      <x:c r="H284" t="str">
        <x:f>IF(E284=F284,"PASS","FAIL")</x:f>
        <x:v>PASS</x:v>
      </x:c>
    </x:row>
    <x:row r="285">
      <x:c r="B285" t="str">
        <x:v>A-00253</x:v>
      </x:c>
      <x:c r="C285" t="str">
        <x:v>GATE</x:v>
      </x:c>
      <x:c r="D285" t="str">
        <x:v>release state mirrors governing ledger</x:v>
      </x:c>
      <x:c r="E285" t="str">
        <x:f>'Release Gates'!I259</x:f>
        <x:v>PASS</x:v>
      </x:c>
      <x:c r="F285" t="str">
        <x:f>IF('Release Gates'!C259="PLANNING","PASS",IF('Release Gates'!C259="PHYSICAL","OPEN","BLOCKED"))</x:f>
        <x:v>PASS</x:v>
      </x:c>
      <x:c r="G285" t="str">
        <x:v>equals</x:v>
      </x:c>
      <x:c r="H285" t="str">
        <x:f>IF(E285=F285,"PASS","FAIL")</x:f>
        <x:v>PASS</x:v>
      </x:c>
    </x:row>
    <x:row r="286">
      <x:c r="B286" t="str">
        <x:v>A-00254</x:v>
      </x:c>
      <x:c r="C286" t="str">
        <x:v>GATE</x:v>
      </x:c>
      <x:c r="D286" t="str">
        <x:v>release state mirrors governing ledger</x:v>
      </x:c>
      <x:c r="E286" t="str">
        <x:f>'Release Gates'!I260</x:f>
        <x:v>PASS</x:v>
      </x:c>
      <x:c r="F286" t="str">
        <x:f>IF('Release Gates'!C260="PLANNING","PASS",IF('Release Gates'!C260="PHYSICAL","OPEN","BLOCKED"))</x:f>
        <x:v>PASS</x:v>
      </x:c>
      <x:c r="G286" t="str">
        <x:v>equals</x:v>
      </x:c>
      <x:c r="H286" t="str">
        <x:f>IF(E286=F286,"PASS","FAIL")</x:f>
        <x:v>PASS</x:v>
      </x:c>
    </x:row>
    <x:row r="287">
      <x:c r="B287" t="str">
        <x:v>A-00255</x:v>
      </x:c>
      <x:c r="C287" t="str">
        <x:v>GATE</x:v>
      </x:c>
      <x:c r="D287" t="str">
        <x:v>release state mirrors governing ledger</x:v>
      </x:c>
      <x:c r="E287" t="str">
        <x:f>'Release Gates'!I261</x:f>
        <x:v>PASS</x:v>
      </x:c>
      <x:c r="F287" t="str">
        <x:f>IF('Release Gates'!C261="PLANNING","PASS",IF('Release Gates'!C261="PHYSICAL","OPEN","BLOCKED"))</x:f>
        <x:v>PASS</x:v>
      </x:c>
      <x:c r="G287" t="str">
        <x:v>equals</x:v>
      </x:c>
      <x:c r="H287" t="str">
        <x:f>IF(E287=F287,"PASS","FAIL")</x:f>
        <x:v>PASS</x:v>
      </x:c>
    </x:row>
    <x:row r="288">
      <x:c r="B288" t="str">
        <x:v>A-00256</x:v>
      </x:c>
      <x:c r="C288" t="str">
        <x:v>GATE</x:v>
      </x:c>
      <x:c r="D288" t="str">
        <x:v>release state mirrors governing ledger</x:v>
      </x:c>
      <x:c r="E288" t="str">
        <x:f>'Release Gates'!I262</x:f>
        <x:v>PASS</x:v>
      </x:c>
      <x:c r="F288" t="str">
        <x:f>IF('Release Gates'!C262="PLANNING","PASS",IF('Release Gates'!C262="PHYSICAL","OPEN","BLOCKED"))</x:f>
        <x:v>PASS</x:v>
      </x:c>
      <x:c r="G288" t="str">
        <x:v>equals</x:v>
      </x:c>
      <x:c r="H288" t="str">
        <x:f>IF(E288=F288,"PASS","FAIL")</x:f>
        <x:v>PASS</x:v>
      </x:c>
    </x:row>
    <x:row r="289">
      <x:c r="B289" t="str">
        <x:v>A-00257</x:v>
      </x:c>
      <x:c r="C289" t="str">
        <x:v>GATE</x:v>
      </x:c>
      <x:c r="D289" t="str">
        <x:v>release state mirrors governing ledger</x:v>
      </x:c>
      <x:c r="E289" t="str">
        <x:f>'Release Gates'!I263</x:f>
        <x:v>PASS</x:v>
      </x:c>
      <x:c r="F289" t="str">
        <x:f>IF('Release Gates'!C263="PLANNING","PASS",IF('Release Gates'!C263="PHYSICAL","OPEN","BLOCKED"))</x:f>
        <x:v>PASS</x:v>
      </x:c>
      <x:c r="G289" t="str">
        <x:v>equals</x:v>
      </x:c>
      <x:c r="H289" t="str">
        <x:f>IF(E289=F289,"PASS","FAIL")</x:f>
        <x:v>PASS</x:v>
      </x:c>
    </x:row>
    <x:row r="290">
      <x:c r="B290" t="str">
        <x:v>A-00258</x:v>
      </x:c>
      <x:c r="C290" t="str">
        <x:v>GATE</x:v>
      </x:c>
      <x:c r="D290" t="str">
        <x:v>release state mirrors governing ledger</x:v>
      </x:c>
      <x:c r="E290" t="str">
        <x:f>'Release Gates'!I264</x:f>
        <x:v>PASS</x:v>
      </x:c>
      <x:c r="F290" t="str">
        <x:f>IF('Release Gates'!C264="PLANNING","PASS",IF('Release Gates'!C264="PHYSICAL","OPEN","BLOCKED"))</x:f>
        <x:v>PASS</x:v>
      </x:c>
      <x:c r="G290" t="str">
        <x:v>equals</x:v>
      </x:c>
      <x:c r="H290" t="str">
        <x:f>IF(E290=F290,"PASS","FAIL")</x:f>
        <x:v>PASS</x:v>
      </x:c>
    </x:row>
    <x:row r="291">
      <x:c r="B291" t="str">
        <x:v>A-00259</x:v>
      </x:c>
      <x:c r="C291" t="str">
        <x:v>GATE</x:v>
      </x:c>
      <x:c r="D291" t="str">
        <x:v>release state mirrors governing ledger</x:v>
      </x:c>
      <x:c r="E291" t="str">
        <x:f>'Release Gates'!I265</x:f>
        <x:v>PASS</x:v>
      </x:c>
      <x:c r="F291" t="str">
        <x:f>IF('Release Gates'!C265="PLANNING","PASS",IF('Release Gates'!C265="PHYSICAL","OPEN","BLOCKED"))</x:f>
        <x:v>PASS</x:v>
      </x:c>
      <x:c r="G291" t="str">
        <x:v>equals</x:v>
      </x:c>
      <x:c r="H291" t="str">
        <x:f>IF(E291=F291,"PASS","FAIL")</x:f>
        <x:v>PASS</x:v>
      </x:c>
    </x:row>
    <x:row r="292">
      <x:c r="B292" t="str">
        <x:v>A-00260</x:v>
      </x:c>
      <x:c r="C292" t="str">
        <x:v>GATE</x:v>
      </x:c>
      <x:c r="D292" t="str">
        <x:v>release state mirrors governing ledger</x:v>
      </x:c>
      <x:c r="E292" t="str">
        <x:f>'Release Gates'!I266</x:f>
        <x:v>PASS</x:v>
      </x:c>
      <x:c r="F292" t="str">
        <x:f>IF('Release Gates'!C266="PLANNING","PASS",IF('Release Gates'!C266="PHYSICAL","OPEN","BLOCKED"))</x:f>
        <x:v>PASS</x:v>
      </x:c>
      <x:c r="G292" t="str">
        <x:v>equals</x:v>
      </x:c>
      <x:c r="H292" t="str">
        <x:f>IF(E292=F292,"PASS","FAIL")</x:f>
        <x:v>PASS</x:v>
      </x:c>
    </x:row>
    <x:row r="293">
      <x:c r="B293" t="str">
        <x:v>A-00261</x:v>
      </x:c>
      <x:c r="C293" t="str">
        <x:v>GATE</x:v>
      </x:c>
      <x:c r="D293" t="str">
        <x:v>release state mirrors governing ledger</x:v>
      </x:c>
      <x:c r="E293" t="str">
        <x:f>'Release Gates'!I267</x:f>
        <x:v>PASS</x:v>
      </x:c>
      <x:c r="F293" t="str">
        <x:f>IF('Release Gates'!C267="PLANNING","PASS",IF('Release Gates'!C267="PHYSICAL","OPEN","BLOCKED"))</x:f>
        <x:v>PASS</x:v>
      </x:c>
      <x:c r="G293" t="str">
        <x:v>equals</x:v>
      </x:c>
      <x:c r="H293" t="str">
        <x:f>IF(E293=F293,"PASS","FAIL")</x:f>
        <x:v>PASS</x:v>
      </x:c>
    </x:row>
    <x:row r="294">
      <x:c r="B294" t="str">
        <x:v>A-00262</x:v>
      </x:c>
      <x:c r="C294" t="str">
        <x:v>GATE</x:v>
      </x:c>
      <x:c r="D294" t="str">
        <x:v>release state mirrors governing ledger</x:v>
      </x:c>
      <x:c r="E294" t="str">
        <x:f>'Release Gates'!I268</x:f>
        <x:v>PASS</x:v>
      </x:c>
      <x:c r="F294" t="str">
        <x:f>IF('Release Gates'!C268="PLANNING","PASS",IF('Release Gates'!C268="PHYSICAL","OPEN","BLOCKED"))</x:f>
        <x:v>PASS</x:v>
      </x:c>
      <x:c r="G294" t="str">
        <x:v>equals</x:v>
      </x:c>
      <x:c r="H294" t="str">
        <x:f>IF(E294=F294,"PASS","FAIL")</x:f>
        <x:v>PASS</x:v>
      </x:c>
    </x:row>
    <x:row r="295">
      <x:c r="B295" t="str">
        <x:v>A-00263</x:v>
      </x:c>
      <x:c r="C295" t="str">
        <x:v>GATE</x:v>
      </x:c>
      <x:c r="D295" t="str">
        <x:v>release state mirrors governing ledger</x:v>
      </x:c>
      <x:c r="E295" t="str">
        <x:f>'Release Gates'!I269</x:f>
        <x:v>PASS</x:v>
      </x:c>
      <x:c r="F295" t="str">
        <x:f>IF('Release Gates'!C269="PLANNING","PASS",IF('Release Gates'!C269="PHYSICAL","OPEN","BLOCKED"))</x:f>
        <x:v>PASS</x:v>
      </x:c>
      <x:c r="G295" t="str">
        <x:v>equals</x:v>
      </x:c>
      <x:c r="H295" t="str">
        <x:f>IF(E295=F295,"PASS","FAIL")</x:f>
        <x:v>PASS</x:v>
      </x:c>
    </x:row>
    <x:row r="296">
      <x:c r="B296" t="str">
        <x:v>A-00264</x:v>
      </x:c>
      <x:c r="C296" t="str">
        <x:v>GATE</x:v>
      </x:c>
      <x:c r="D296" t="str">
        <x:v>release state mirrors governing ledger</x:v>
      </x:c>
      <x:c r="E296" t="str">
        <x:f>'Release Gates'!I270</x:f>
        <x:v>PASS</x:v>
      </x:c>
      <x:c r="F296" t="str">
        <x:f>IF('Release Gates'!C270="PLANNING","PASS",IF('Release Gates'!C270="PHYSICAL","OPEN","BLOCKED"))</x:f>
        <x:v>PASS</x:v>
      </x:c>
      <x:c r="G296" t="str">
        <x:v>equals</x:v>
      </x:c>
      <x:c r="H296" t="str">
        <x:f>IF(E296=F296,"PASS","FAIL")</x:f>
        <x:v>PASS</x:v>
      </x:c>
    </x:row>
    <x:row r="297">
      <x:c r="B297" t="str">
        <x:v>A-00265</x:v>
      </x:c>
      <x:c r="C297" t="str">
        <x:v>GATE</x:v>
      </x:c>
      <x:c r="D297" t="str">
        <x:v>release state mirrors governing ledger</x:v>
      </x:c>
      <x:c r="E297" t="str">
        <x:f>'Release Gates'!I271</x:f>
        <x:v>PASS</x:v>
      </x:c>
      <x:c r="F297" t="str">
        <x:f>IF('Release Gates'!C271="PLANNING","PASS",IF('Release Gates'!C271="PHYSICAL","OPEN","BLOCKED"))</x:f>
        <x:v>PASS</x:v>
      </x:c>
      <x:c r="G297" t="str">
        <x:v>equals</x:v>
      </x:c>
      <x:c r="H297" t="str">
        <x:f>IF(E297=F297,"PASS","FAIL")</x:f>
        <x:v>PASS</x:v>
      </x:c>
    </x:row>
    <x:row r="298">
      <x:c r="B298" t="str">
        <x:v>A-00266</x:v>
      </x:c>
      <x:c r="C298" t="str">
        <x:v>GATE</x:v>
      </x:c>
      <x:c r="D298" t="str">
        <x:v>release state mirrors governing ledger</x:v>
      </x:c>
      <x:c r="E298" t="str">
        <x:f>'Release Gates'!I272</x:f>
        <x:v>PASS</x:v>
      </x:c>
      <x:c r="F298" t="str">
        <x:f>IF('Release Gates'!C272="PLANNING","PASS",IF('Release Gates'!C272="PHYSICAL","OPEN","BLOCKED"))</x:f>
        <x:v>PASS</x:v>
      </x:c>
      <x:c r="G298" t="str">
        <x:v>equals</x:v>
      </x:c>
      <x:c r="H298" t="str">
        <x:f>IF(E298=F298,"PASS","FAIL")</x:f>
        <x:v>PASS</x:v>
      </x:c>
    </x:row>
    <x:row r="299">
      <x:c r="B299" t="str">
        <x:v>A-00267</x:v>
      </x:c>
      <x:c r="C299" t="str">
        <x:v>GATE</x:v>
      </x:c>
      <x:c r="D299" t="str">
        <x:v>release state mirrors governing ledger</x:v>
      </x:c>
      <x:c r="E299" t="str">
        <x:f>'Release Gates'!I273</x:f>
        <x:v>PASS</x:v>
      </x:c>
      <x:c r="F299" t="str">
        <x:f>IF('Release Gates'!C273="PLANNING","PASS",IF('Release Gates'!C273="PHYSICAL","OPEN","BLOCKED"))</x:f>
        <x:v>PASS</x:v>
      </x:c>
      <x:c r="G299" t="str">
        <x:v>equals</x:v>
      </x:c>
      <x:c r="H299" t="str">
        <x:f>IF(E299=F299,"PASS","FAIL")</x:f>
        <x:v>PASS</x:v>
      </x:c>
    </x:row>
    <x:row r="300">
      <x:c r="B300" t="str">
        <x:v>A-00268</x:v>
      </x:c>
      <x:c r="C300" t="str">
        <x:v>GATE</x:v>
      </x:c>
      <x:c r="D300" t="str">
        <x:v>release state mirrors governing ledger</x:v>
      </x:c>
      <x:c r="E300" t="str">
        <x:f>'Release Gates'!I274</x:f>
        <x:v>PASS</x:v>
      </x:c>
      <x:c r="F300" t="str">
        <x:f>IF('Release Gates'!C274="PLANNING","PASS",IF('Release Gates'!C274="PHYSICAL","OPEN","BLOCKED"))</x:f>
        <x:v>PASS</x:v>
      </x:c>
      <x:c r="G300" t="str">
        <x:v>equals</x:v>
      </x:c>
      <x:c r="H300" t="str">
        <x:f>IF(E300=F300,"PASS","FAIL")</x:f>
        <x:v>PASS</x:v>
      </x:c>
    </x:row>
    <x:row r="301">
      <x:c r="B301" t="str">
        <x:v>A-00269</x:v>
      </x:c>
      <x:c r="C301" t="str">
        <x:v>GATE</x:v>
      </x:c>
      <x:c r="D301" t="str">
        <x:v>release state mirrors governing ledger</x:v>
      </x:c>
      <x:c r="E301" t="str">
        <x:f>'Release Gates'!I275</x:f>
        <x:v>PASS</x:v>
      </x:c>
      <x:c r="F301" t="str">
        <x:f>IF('Release Gates'!C275="PLANNING","PASS",IF('Release Gates'!C275="PHYSICAL","OPEN","BLOCKED"))</x:f>
        <x:v>PASS</x:v>
      </x:c>
      <x:c r="G301" t="str">
        <x:v>equals</x:v>
      </x:c>
      <x:c r="H301" t="str">
        <x:f>IF(E301=F301,"PASS","FAIL")</x:f>
        <x:v>PASS</x:v>
      </x:c>
    </x:row>
    <x:row r="302">
      <x:c r="B302" t="str">
        <x:v>A-00270</x:v>
      </x:c>
      <x:c r="C302" t="str">
        <x:v>GATE</x:v>
      </x:c>
      <x:c r="D302" t="str">
        <x:v>release state mirrors governing ledger</x:v>
      </x:c>
      <x:c r="E302" t="str">
        <x:f>'Release Gates'!I276</x:f>
        <x:v>PASS</x:v>
      </x:c>
      <x:c r="F302" t="str">
        <x:f>IF('Release Gates'!C276="PLANNING","PASS",IF('Release Gates'!C276="PHYSICAL","OPEN","BLOCKED"))</x:f>
        <x:v>PASS</x:v>
      </x:c>
      <x:c r="G302" t="str">
        <x:v>equals</x:v>
      </x:c>
      <x:c r="H302" t="str">
        <x:f>IF(E302=F302,"PASS","FAIL")</x:f>
        <x:v>PASS</x:v>
      </x:c>
    </x:row>
    <x:row r="303">
      <x:c r="B303" t="str">
        <x:v>A-00271</x:v>
      </x:c>
      <x:c r="C303" t="str">
        <x:v>GATE</x:v>
      </x:c>
      <x:c r="D303" t="str">
        <x:v>release state mirrors governing ledger</x:v>
      </x:c>
      <x:c r="E303" t="str">
        <x:f>'Release Gates'!I277</x:f>
        <x:v>PASS</x:v>
      </x:c>
      <x:c r="F303" t="str">
        <x:f>IF('Release Gates'!C277="PLANNING","PASS",IF('Release Gates'!C277="PHYSICAL","OPEN","BLOCKED"))</x:f>
        <x:v>PASS</x:v>
      </x:c>
      <x:c r="G303" t="str">
        <x:v>equals</x:v>
      </x:c>
      <x:c r="H303" t="str">
        <x:f>IF(E303=F303,"PASS","FAIL")</x:f>
        <x:v>PASS</x:v>
      </x:c>
    </x:row>
    <x:row r="304">
      <x:c r="B304" t="str">
        <x:v>A-00272</x:v>
      </x:c>
      <x:c r="C304" t="str">
        <x:v>GATE</x:v>
      </x:c>
      <x:c r="D304" t="str">
        <x:v>release state mirrors governing ledger</x:v>
      </x:c>
      <x:c r="E304" t="str">
        <x:f>'Release Gates'!I278</x:f>
        <x:v>PASS</x:v>
      </x:c>
      <x:c r="F304" t="str">
        <x:f>IF('Release Gates'!C278="PLANNING","PASS",IF('Release Gates'!C278="PHYSICAL","OPEN","BLOCKED"))</x:f>
        <x:v>PASS</x:v>
      </x:c>
      <x:c r="G304" t="str">
        <x:v>equals</x:v>
      </x:c>
      <x:c r="H304" t="str">
        <x:f>IF(E304=F304,"PASS","FAIL")</x:f>
        <x:v>PASS</x:v>
      </x:c>
    </x:row>
    <x:row r="305">
      <x:c r="B305" t="str">
        <x:v>A-00273</x:v>
      </x:c>
      <x:c r="C305" t="str">
        <x:v>GATE</x:v>
      </x:c>
      <x:c r="D305" t="str">
        <x:v>release state mirrors governing ledger</x:v>
      </x:c>
      <x:c r="E305" t="str">
        <x:f>'Release Gates'!I279</x:f>
        <x:v>PASS</x:v>
      </x:c>
      <x:c r="F305" t="str">
        <x:f>IF('Release Gates'!C279="PLANNING","PASS",IF('Release Gates'!C279="PHYSICAL","OPEN","BLOCKED"))</x:f>
        <x:v>PASS</x:v>
      </x:c>
      <x:c r="G305" t="str">
        <x:v>equals</x:v>
      </x:c>
      <x:c r="H305" t="str">
        <x:f>IF(E305=F305,"PASS","FAIL")</x:f>
        <x:v>PASS</x:v>
      </x:c>
    </x:row>
    <x:row r="306">
      <x:c r="B306" t="str">
        <x:v>A-00274</x:v>
      </x:c>
      <x:c r="C306" t="str">
        <x:v>GATE</x:v>
      </x:c>
      <x:c r="D306" t="str">
        <x:v>release state mirrors governing ledger</x:v>
      </x:c>
      <x:c r="E306" t="str">
        <x:f>'Release Gates'!I280</x:f>
        <x:v>PASS</x:v>
      </x:c>
      <x:c r="F306" t="str">
        <x:f>IF('Release Gates'!C280="PLANNING","PASS",IF('Release Gates'!C280="PHYSICAL","OPEN","BLOCKED"))</x:f>
        <x:v>PASS</x:v>
      </x:c>
      <x:c r="G306" t="str">
        <x:v>equals</x:v>
      </x:c>
      <x:c r="H306" t="str">
        <x:f>IF(E306=F306,"PASS","FAIL")</x:f>
        <x:v>PASS</x:v>
      </x:c>
    </x:row>
    <x:row r="307">
      <x:c r="B307" t="str">
        <x:v>A-00275</x:v>
      </x:c>
      <x:c r="C307" t="str">
        <x:v>GATE</x:v>
      </x:c>
      <x:c r="D307" t="str">
        <x:v>release state mirrors governing ledger</x:v>
      </x:c>
      <x:c r="E307" t="str">
        <x:f>'Release Gates'!I281</x:f>
        <x:v>PASS</x:v>
      </x:c>
      <x:c r="F307" t="str">
        <x:f>IF('Release Gates'!C281="PLANNING","PASS",IF('Release Gates'!C281="PHYSICAL","OPEN","BLOCKED"))</x:f>
        <x:v>PASS</x:v>
      </x:c>
      <x:c r="G307" t="str">
        <x:v>equals</x:v>
      </x:c>
      <x:c r="H307" t="str">
        <x:f>IF(E307=F307,"PASS","FAIL")</x:f>
        <x:v>PASS</x:v>
      </x:c>
    </x:row>
    <x:row r="308">
      <x:c r="B308" t="str">
        <x:v>A-00276</x:v>
      </x:c>
      <x:c r="C308" t="str">
        <x:v>GATE</x:v>
      </x:c>
      <x:c r="D308" t="str">
        <x:v>release state mirrors governing ledger</x:v>
      </x:c>
      <x:c r="E308" t="str">
        <x:f>'Release Gates'!I282</x:f>
        <x:v>PASS</x:v>
      </x:c>
      <x:c r="F308" t="str">
        <x:f>IF('Release Gates'!C282="PLANNING","PASS",IF('Release Gates'!C282="PHYSICAL","OPEN","BLOCKED"))</x:f>
        <x:v>PASS</x:v>
      </x:c>
      <x:c r="G308" t="str">
        <x:v>equals</x:v>
      </x:c>
      <x:c r="H308" t="str">
        <x:f>IF(E308=F308,"PASS","FAIL")</x:f>
        <x:v>PASS</x:v>
      </x:c>
    </x:row>
    <x:row r="309">
      <x:c r="B309" t="str">
        <x:v>A-00277</x:v>
      </x:c>
      <x:c r="C309" t="str">
        <x:v>GATE</x:v>
      </x:c>
      <x:c r="D309" t="str">
        <x:v>release state mirrors governing ledger</x:v>
      </x:c>
      <x:c r="E309" t="str">
        <x:f>'Release Gates'!I283</x:f>
        <x:v>PASS</x:v>
      </x:c>
      <x:c r="F309" t="str">
        <x:f>IF('Release Gates'!C283="PLANNING","PASS",IF('Release Gates'!C283="PHYSICAL","OPEN","BLOCKED"))</x:f>
        <x:v>PASS</x:v>
      </x:c>
      <x:c r="G309" t="str">
        <x:v>equals</x:v>
      </x:c>
      <x:c r="H309" t="str">
        <x:f>IF(E309=F309,"PASS","FAIL")</x:f>
        <x:v>PASS</x:v>
      </x:c>
    </x:row>
    <x:row r="310">
      <x:c r="B310" t="str">
        <x:v>A-00278</x:v>
      </x:c>
      <x:c r="C310" t="str">
        <x:v>GATE</x:v>
      </x:c>
      <x:c r="D310" t="str">
        <x:v>release state mirrors governing ledger</x:v>
      </x:c>
      <x:c r="E310" t="str">
        <x:f>'Release Gates'!I284</x:f>
        <x:v>PASS</x:v>
      </x:c>
      <x:c r="F310" t="str">
        <x:f>IF('Release Gates'!C284="PLANNING","PASS",IF('Release Gates'!C284="PHYSICAL","OPEN","BLOCKED"))</x:f>
        <x:v>PASS</x:v>
      </x:c>
      <x:c r="G310" t="str">
        <x:v>equals</x:v>
      </x:c>
      <x:c r="H310" t="str">
        <x:f>IF(E310=F310,"PASS","FAIL")</x:f>
        <x:v>PASS</x:v>
      </x:c>
    </x:row>
    <x:row r="311">
      <x:c r="B311" t="str">
        <x:v>A-00279</x:v>
      </x:c>
      <x:c r="C311" t="str">
        <x:v>GATE</x:v>
      </x:c>
      <x:c r="D311" t="str">
        <x:v>release state mirrors governing ledger</x:v>
      </x:c>
      <x:c r="E311" t="str">
        <x:f>'Release Gates'!I285</x:f>
        <x:v>PASS</x:v>
      </x:c>
      <x:c r="F311" t="str">
        <x:f>IF('Release Gates'!C285="PLANNING","PASS",IF('Release Gates'!C285="PHYSICAL","OPEN","BLOCKED"))</x:f>
        <x:v>PASS</x:v>
      </x:c>
      <x:c r="G311" t="str">
        <x:v>equals</x:v>
      </x:c>
      <x:c r="H311" t="str">
        <x:f>IF(E311=F311,"PASS","FAIL")</x:f>
        <x:v>PASS</x:v>
      </x:c>
    </x:row>
    <x:row r="312">
      <x:c r="B312" t="str">
        <x:v>A-00280</x:v>
      </x:c>
      <x:c r="C312" t="str">
        <x:v>GATE</x:v>
      </x:c>
      <x:c r="D312" t="str">
        <x:v>release state mirrors governing ledger</x:v>
      </x:c>
      <x:c r="E312" t="str">
        <x:f>'Release Gates'!I286</x:f>
        <x:v>PASS</x:v>
      </x:c>
      <x:c r="F312" t="str">
        <x:f>IF('Release Gates'!C286="PLANNING","PASS",IF('Release Gates'!C286="PHYSICAL","OPEN","BLOCKED"))</x:f>
        <x:v>PASS</x:v>
      </x:c>
      <x:c r="G312" t="str">
        <x:v>equals</x:v>
      </x:c>
      <x:c r="H312" t="str">
        <x:f>IF(E312=F312,"PASS","FAIL")</x:f>
        <x:v>PASS</x:v>
      </x:c>
    </x:row>
    <x:row r="313">
      <x:c r="B313" t="str">
        <x:v>A-00281</x:v>
      </x:c>
      <x:c r="C313" t="str">
        <x:v>GATE</x:v>
      </x:c>
      <x:c r="D313" t="str">
        <x:v>release state mirrors governing ledger</x:v>
      </x:c>
      <x:c r="E313" t="str">
        <x:f>'Release Gates'!I287</x:f>
        <x:v>PASS</x:v>
      </x:c>
      <x:c r="F313" t="str">
        <x:f>IF('Release Gates'!C287="PLANNING","PASS",IF('Release Gates'!C287="PHYSICAL","OPEN","BLOCKED"))</x:f>
        <x:v>PASS</x:v>
      </x:c>
      <x:c r="G313" t="str">
        <x:v>equals</x:v>
      </x:c>
      <x:c r="H313" t="str">
        <x:f>IF(E313=F313,"PASS","FAIL")</x:f>
        <x:v>PASS</x:v>
      </x:c>
    </x:row>
    <x:row r="314">
      <x:c r="B314" t="str">
        <x:v>A-00282</x:v>
      </x:c>
      <x:c r="C314" t="str">
        <x:v>GATE</x:v>
      </x:c>
      <x:c r="D314" t="str">
        <x:v>release state mirrors governing ledger</x:v>
      </x:c>
      <x:c r="E314" t="str">
        <x:f>'Release Gates'!I288</x:f>
        <x:v>PASS</x:v>
      </x:c>
      <x:c r="F314" t="str">
        <x:f>IF('Release Gates'!C288="PLANNING","PASS",IF('Release Gates'!C288="PHYSICAL","OPEN","BLOCKED"))</x:f>
        <x:v>PASS</x:v>
      </x:c>
      <x:c r="G314" t="str">
        <x:v>equals</x:v>
      </x:c>
      <x:c r="H314" t="str">
        <x:f>IF(E314=F314,"PASS","FAIL")</x:f>
        <x:v>PASS</x:v>
      </x:c>
    </x:row>
    <x:row r="315">
      <x:c r="B315" t="str">
        <x:v>A-00283</x:v>
      </x:c>
      <x:c r="C315" t="str">
        <x:v>GATE</x:v>
      </x:c>
      <x:c r="D315" t="str">
        <x:v>release state mirrors governing ledger</x:v>
      </x:c>
      <x:c r="E315" t="str">
        <x:f>'Release Gates'!I289</x:f>
        <x:v>PASS</x:v>
      </x:c>
      <x:c r="F315" t="str">
        <x:f>IF('Release Gates'!C289="PLANNING","PASS",IF('Release Gates'!C289="PHYSICAL","OPEN","BLOCKED"))</x:f>
        <x:v>PASS</x:v>
      </x:c>
      <x:c r="G315" t="str">
        <x:v>equals</x:v>
      </x:c>
      <x:c r="H315" t="str">
        <x:f>IF(E315=F315,"PASS","FAIL")</x:f>
        <x:v>PASS</x:v>
      </x:c>
    </x:row>
    <x:row r="316">
      <x:c r="B316" t="str">
        <x:v>A-00284</x:v>
      </x:c>
      <x:c r="C316" t="str">
        <x:v>GATE</x:v>
      </x:c>
      <x:c r="D316" t="str">
        <x:v>release state mirrors governing ledger</x:v>
      </x:c>
      <x:c r="E316" t="str">
        <x:f>'Release Gates'!I290</x:f>
        <x:v>PASS</x:v>
      </x:c>
      <x:c r="F316" t="str">
        <x:f>IF('Release Gates'!C290="PLANNING","PASS",IF('Release Gates'!C290="PHYSICAL","OPEN","BLOCKED"))</x:f>
        <x:v>PASS</x:v>
      </x:c>
      <x:c r="G316" t="str">
        <x:v>equals</x:v>
      </x:c>
      <x:c r="H316" t="str">
        <x:f>IF(E316=F316,"PASS","FAIL")</x:f>
        <x:v>PASS</x:v>
      </x:c>
    </x:row>
    <x:row r="317">
      <x:c r="B317" t="str">
        <x:v>A-00285</x:v>
      </x:c>
      <x:c r="C317" t="str">
        <x:v>GATE</x:v>
      </x:c>
      <x:c r="D317" t="str">
        <x:v>release state mirrors governing ledger</x:v>
      </x:c>
      <x:c r="E317" t="str">
        <x:f>'Release Gates'!I291</x:f>
        <x:v>PASS</x:v>
      </x:c>
      <x:c r="F317" t="str">
        <x:f>IF('Release Gates'!C291="PLANNING","PASS",IF('Release Gates'!C291="PHYSICAL","OPEN","BLOCKED"))</x:f>
        <x:v>PASS</x:v>
      </x:c>
      <x:c r="G317" t="str">
        <x:v>equals</x:v>
      </x:c>
      <x:c r="H317" t="str">
        <x:f>IF(E317=F317,"PASS","FAIL")</x:f>
        <x:v>PASS</x:v>
      </x:c>
    </x:row>
    <x:row r="318">
      <x:c r="B318" t="str">
        <x:v>A-00286</x:v>
      </x:c>
      <x:c r="C318" t="str">
        <x:v>GATE</x:v>
      </x:c>
      <x:c r="D318" t="str">
        <x:v>release state mirrors governing ledger</x:v>
      </x:c>
      <x:c r="E318" t="str">
        <x:f>'Release Gates'!I292</x:f>
        <x:v>PASS</x:v>
      </x:c>
      <x:c r="F318" t="str">
        <x:f>IF('Release Gates'!C292="PLANNING","PASS",IF('Release Gates'!C292="PHYSICAL","OPEN","BLOCKED"))</x:f>
        <x:v>PASS</x:v>
      </x:c>
      <x:c r="G318" t="str">
        <x:v>equals</x:v>
      </x:c>
      <x:c r="H318" t="str">
        <x:f>IF(E318=F318,"PASS","FAIL")</x:f>
        <x:v>PASS</x:v>
      </x:c>
    </x:row>
    <x:row r="319">
      <x:c r="B319" t="str">
        <x:v>A-00287</x:v>
      </x:c>
      <x:c r="C319" t="str">
        <x:v>GATE</x:v>
      </x:c>
      <x:c r="D319" t="str">
        <x:v>release state mirrors governing ledger</x:v>
      </x:c>
      <x:c r="E319" t="str">
        <x:f>'Release Gates'!I293</x:f>
        <x:v>PASS</x:v>
      </x:c>
      <x:c r="F319" t="str">
        <x:f>IF('Release Gates'!C293="PLANNING","PASS",IF('Release Gates'!C293="PHYSICAL","OPEN","BLOCKED"))</x:f>
        <x:v>PASS</x:v>
      </x:c>
      <x:c r="G319" t="str">
        <x:v>equals</x:v>
      </x:c>
      <x:c r="H319" t="str">
        <x:f>IF(E319=F319,"PASS","FAIL")</x:f>
        <x:v>PASS</x:v>
      </x:c>
    </x:row>
    <x:row r="320">
      <x:c r="B320" t="str">
        <x:v>A-00288</x:v>
      </x:c>
      <x:c r="C320" t="str">
        <x:v>GATE</x:v>
      </x:c>
      <x:c r="D320" t="str">
        <x:v>release state mirrors governing ledger</x:v>
      </x:c>
      <x:c r="E320" t="str">
        <x:f>'Release Gates'!I294</x:f>
        <x:v>PASS</x:v>
      </x:c>
      <x:c r="F320" t="str">
        <x:f>IF('Release Gates'!C294="PLANNING","PASS",IF('Release Gates'!C294="PHYSICAL","OPEN","BLOCKED"))</x:f>
        <x:v>PASS</x:v>
      </x:c>
      <x:c r="G320" t="str">
        <x:v>equals</x:v>
      </x:c>
      <x:c r="H320" t="str">
        <x:f>IF(E320=F320,"PASS","FAIL")</x:f>
        <x:v>PASS</x:v>
      </x:c>
    </x:row>
    <x:row r="321">
      <x:c r="B321" t="str">
        <x:v>A-00289</x:v>
      </x:c>
      <x:c r="C321" t="str">
        <x:v>GATE</x:v>
      </x:c>
      <x:c r="D321" t="str">
        <x:v>release state mirrors governing ledger</x:v>
      </x:c>
      <x:c r="E321" t="str">
        <x:f>'Release Gates'!I295</x:f>
        <x:v>PASS</x:v>
      </x:c>
      <x:c r="F321" t="str">
        <x:f>IF('Release Gates'!C295="PLANNING","PASS",IF('Release Gates'!C295="PHYSICAL","OPEN","BLOCKED"))</x:f>
        <x:v>PASS</x:v>
      </x:c>
      <x:c r="G321" t="str">
        <x:v>equals</x:v>
      </x:c>
      <x:c r="H321" t="str">
        <x:f>IF(E321=F321,"PASS","FAIL")</x:f>
        <x:v>PASS</x:v>
      </x:c>
    </x:row>
    <x:row r="322">
      <x:c r="B322" t="str">
        <x:v>A-00290</x:v>
      </x:c>
      <x:c r="C322" t="str">
        <x:v>GATE</x:v>
      </x:c>
      <x:c r="D322" t="str">
        <x:v>release state mirrors governing ledger</x:v>
      </x:c>
      <x:c r="E322" t="str">
        <x:f>'Release Gates'!I296</x:f>
        <x:v>PASS</x:v>
      </x:c>
      <x:c r="F322" t="str">
        <x:f>IF('Release Gates'!C296="PLANNING","PASS",IF('Release Gates'!C296="PHYSICAL","OPEN","BLOCKED"))</x:f>
        <x:v>PASS</x:v>
      </x:c>
      <x:c r="G322" t="str">
        <x:v>equals</x:v>
      </x:c>
      <x:c r="H322" t="str">
        <x:f>IF(E322=F322,"PASS","FAIL")</x:f>
        <x:v>PASS</x:v>
      </x:c>
    </x:row>
    <x:row r="323">
      <x:c r="B323" t="str">
        <x:v>A-00291</x:v>
      </x:c>
      <x:c r="C323" t="str">
        <x:v>GATE</x:v>
      </x:c>
      <x:c r="D323" t="str">
        <x:v>release state mirrors governing ledger</x:v>
      </x:c>
      <x:c r="E323" t="str">
        <x:f>'Release Gates'!I297</x:f>
        <x:v>PASS</x:v>
      </x:c>
      <x:c r="F323" t="str">
        <x:f>IF('Release Gates'!C297="PLANNING","PASS",IF('Release Gates'!C297="PHYSICAL","OPEN","BLOCKED"))</x:f>
        <x:v>PASS</x:v>
      </x:c>
      <x:c r="G323" t="str">
        <x:v>equals</x:v>
      </x:c>
      <x:c r="H323" t="str">
        <x:f>IF(E323=F323,"PASS","FAIL")</x:f>
        <x:v>PASS</x:v>
      </x:c>
    </x:row>
    <x:row r="324">
      <x:c r="B324" t="str">
        <x:v>A-00292</x:v>
      </x:c>
      <x:c r="C324" t="str">
        <x:v>GATE</x:v>
      </x:c>
      <x:c r="D324" t="str">
        <x:v>release state mirrors governing ledger</x:v>
      </x:c>
      <x:c r="E324" t="str">
        <x:f>'Release Gates'!I298</x:f>
        <x:v>PASS</x:v>
      </x:c>
      <x:c r="F324" t="str">
        <x:f>IF('Release Gates'!C298="PLANNING","PASS",IF('Release Gates'!C298="PHYSICAL","OPEN","BLOCKED"))</x:f>
        <x:v>PASS</x:v>
      </x:c>
      <x:c r="G324" t="str">
        <x:v>equals</x:v>
      </x:c>
      <x:c r="H324" t="str">
        <x:f>IF(E324=F324,"PASS","FAIL")</x:f>
        <x:v>PASS</x:v>
      </x:c>
    </x:row>
    <x:row r="325">
      <x:c r="B325" t="str">
        <x:v>A-00293</x:v>
      </x:c>
      <x:c r="C325" t="str">
        <x:v>GATE</x:v>
      </x:c>
      <x:c r="D325" t="str">
        <x:v>release state mirrors governing ledger</x:v>
      </x:c>
      <x:c r="E325" t="str">
        <x:f>'Release Gates'!I299</x:f>
        <x:v>PASS</x:v>
      </x:c>
      <x:c r="F325" t="str">
        <x:f>IF('Release Gates'!C299="PLANNING","PASS",IF('Release Gates'!C299="PHYSICAL","OPEN","BLOCKED"))</x:f>
        <x:v>PASS</x:v>
      </x:c>
      <x:c r="G325" t="str">
        <x:v>equals</x:v>
      </x:c>
      <x:c r="H325" t="str">
        <x:f>IF(E325=F325,"PASS","FAIL")</x:f>
        <x:v>PASS</x:v>
      </x:c>
    </x:row>
    <x:row r="326">
      <x:c r="B326" t="str">
        <x:v>A-00294</x:v>
      </x:c>
      <x:c r="C326" t="str">
        <x:v>GATE</x:v>
      </x:c>
      <x:c r="D326" t="str">
        <x:v>release state mirrors governing ledger</x:v>
      </x:c>
      <x:c r="E326" t="str">
        <x:f>'Release Gates'!I300</x:f>
        <x:v>PASS</x:v>
      </x:c>
      <x:c r="F326" t="str">
        <x:f>IF('Release Gates'!C300="PLANNING","PASS",IF('Release Gates'!C300="PHYSICAL","OPEN","BLOCKED"))</x:f>
        <x:v>PASS</x:v>
      </x:c>
      <x:c r="G326" t="str">
        <x:v>equals</x:v>
      </x:c>
      <x:c r="H326" t="str">
        <x:f>IF(E326=F326,"PASS","FAIL")</x:f>
        <x:v>PASS</x:v>
      </x:c>
    </x:row>
    <x:row r="327">
      <x:c r="B327" t="str">
        <x:v>A-00295</x:v>
      </x:c>
      <x:c r="C327" t="str">
        <x:v>GATE</x:v>
      </x:c>
      <x:c r="D327" t="str">
        <x:v>release state mirrors governing ledger</x:v>
      </x:c>
      <x:c r="E327" t="str">
        <x:f>'Release Gates'!I301</x:f>
        <x:v>PASS</x:v>
      </x:c>
      <x:c r="F327" t="str">
        <x:f>IF('Release Gates'!C301="PLANNING","PASS",IF('Release Gates'!C301="PHYSICAL","OPEN","BLOCKED"))</x:f>
        <x:v>PASS</x:v>
      </x:c>
      <x:c r="G327" t="str">
        <x:v>equals</x:v>
      </x:c>
      <x:c r="H327" t="str">
        <x:f>IF(E327=F327,"PASS","FAIL")</x:f>
        <x:v>PASS</x:v>
      </x:c>
    </x:row>
    <x:row r="328">
      <x:c r="B328" t="str">
        <x:v>A-00296</x:v>
      </x:c>
      <x:c r="C328" t="str">
        <x:v>GATE</x:v>
      </x:c>
      <x:c r="D328" t="str">
        <x:v>release state mirrors governing ledger</x:v>
      </x:c>
      <x:c r="E328" t="str">
        <x:f>'Release Gates'!I302</x:f>
        <x:v>PASS</x:v>
      </x:c>
      <x:c r="F328" t="str">
        <x:f>IF('Release Gates'!C302="PLANNING","PASS",IF('Release Gates'!C302="PHYSICAL","OPEN","BLOCKED"))</x:f>
        <x:v>PASS</x:v>
      </x:c>
      <x:c r="G328" t="str">
        <x:v>equals</x:v>
      </x:c>
      <x:c r="H328" t="str">
        <x:f>IF(E328=F328,"PASS","FAIL")</x:f>
        <x:v>PASS</x:v>
      </x:c>
    </x:row>
    <x:row r="329">
      <x:c r="B329" t="str">
        <x:v>A-00297</x:v>
      </x:c>
      <x:c r="C329" t="str">
        <x:v>GATE</x:v>
      </x:c>
      <x:c r="D329" t="str">
        <x:v>release state mirrors governing ledger</x:v>
      </x:c>
      <x:c r="E329" t="str">
        <x:f>'Release Gates'!I303</x:f>
        <x:v>PASS</x:v>
      </x:c>
      <x:c r="F329" t="str">
        <x:f>IF('Release Gates'!C303="PLANNING","PASS",IF('Release Gates'!C303="PHYSICAL","OPEN","BLOCKED"))</x:f>
        <x:v>PASS</x:v>
      </x:c>
      <x:c r="G329" t="str">
        <x:v>equals</x:v>
      </x:c>
      <x:c r="H329" t="str">
        <x:f>IF(E329=F329,"PASS","FAIL")</x:f>
        <x:v>PASS</x:v>
      </x:c>
    </x:row>
    <x:row r="330">
      <x:c r="B330" t="str">
        <x:v>A-00298</x:v>
      </x:c>
      <x:c r="C330" t="str">
        <x:v>GATE</x:v>
      </x:c>
      <x:c r="D330" t="str">
        <x:v>release state mirrors governing ledger</x:v>
      </x:c>
      <x:c r="E330" t="str">
        <x:f>'Release Gates'!I304</x:f>
        <x:v>PASS</x:v>
      </x:c>
      <x:c r="F330" t="str">
        <x:f>IF('Release Gates'!C304="PLANNING","PASS",IF('Release Gates'!C304="PHYSICAL","OPEN","BLOCKED"))</x:f>
        <x:v>PASS</x:v>
      </x:c>
      <x:c r="G330" t="str">
        <x:v>equals</x:v>
      </x:c>
      <x:c r="H330" t="str">
        <x:f>IF(E330=F330,"PASS","FAIL")</x:f>
        <x:v>PASS</x:v>
      </x:c>
    </x:row>
    <x:row r="331">
      <x:c r="B331" t="str">
        <x:v>A-00299</x:v>
      </x:c>
      <x:c r="C331" t="str">
        <x:v>GATE</x:v>
      </x:c>
      <x:c r="D331" t="str">
        <x:v>release state mirrors governing ledger</x:v>
      </x:c>
      <x:c r="E331" t="str">
        <x:f>'Release Gates'!I305</x:f>
        <x:v>PASS</x:v>
      </x:c>
      <x:c r="F331" t="str">
        <x:f>IF('Release Gates'!C305="PLANNING","PASS",IF('Release Gates'!C305="PHYSICAL","OPEN","BLOCKED"))</x:f>
        <x:v>PASS</x:v>
      </x:c>
      <x:c r="G331" t="str">
        <x:v>equals</x:v>
      </x:c>
      <x:c r="H331" t="str">
        <x:f>IF(E331=F331,"PASS","FAIL")</x:f>
        <x:v>PASS</x:v>
      </x:c>
    </x:row>
    <x:row r="332">
      <x:c r="B332" t="str">
        <x:v>A-00300</x:v>
      </x:c>
      <x:c r="C332" t="str">
        <x:v>GATE</x:v>
      </x:c>
      <x:c r="D332" t="str">
        <x:v>release state mirrors governing ledger</x:v>
      </x:c>
      <x:c r="E332" t="str">
        <x:f>'Release Gates'!I306</x:f>
        <x:v>PASS</x:v>
      </x:c>
      <x:c r="F332" t="str">
        <x:f>IF('Release Gates'!C306="PLANNING","PASS",IF('Release Gates'!C306="PHYSICAL","OPEN","BLOCKED"))</x:f>
        <x:v>PASS</x:v>
      </x:c>
      <x:c r="G332" t="str">
        <x:v>equals</x:v>
      </x:c>
      <x:c r="H332" t="str">
        <x:f>IF(E332=F332,"PASS","FAIL")</x:f>
        <x:v>PASS</x:v>
      </x:c>
    </x:row>
    <x:row r="333">
      <x:c r="B333" t="str">
        <x:v>A-00301</x:v>
      </x:c>
      <x:c r="C333" t="str">
        <x:v>GATE</x:v>
      </x:c>
      <x:c r="D333" t="str">
        <x:v>release state mirrors governing ledger</x:v>
      </x:c>
      <x:c r="E333" t="str">
        <x:f>'Release Gates'!I307</x:f>
        <x:v>PASS</x:v>
      </x:c>
      <x:c r="F333" t="str">
        <x:f>IF('Release Gates'!C307="PLANNING","PASS",IF('Release Gates'!C307="PHYSICAL","OPEN","BLOCKED"))</x:f>
        <x:v>PASS</x:v>
      </x:c>
      <x:c r="G333" t="str">
        <x:v>equals</x:v>
      </x:c>
      <x:c r="H333" t="str">
        <x:f>IF(E333=F333,"PASS","FAIL")</x:f>
        <x:v>PASS</x:v>
      </x:c>
    </x:row>
    <x:row r="334">
      <x:c r="B334" t="str">
        <x:v>A-00302</x:v>
      </x:c>
      <x:c r="C334" t="str">
        <x:v>GATE</x:v>
      </x:c>
      <x:c r="D334" t="str">
        <x:v>release state mirrors governing ledger</x:v>
      </x:c>
      <x:c r="E334" t="str">
        <x:f>'Release Gates'!I308</x:f>
        <x:v>PASS</x:v>
      </x:c>
      <x:c r="F334" t="str">
        <x:f>IF('Release Gates'!C308="PLANNING","PASS",IF('Release Gates'!C308="PHYSICAL","OPEN","BLOCKED"))</x:f>
        <x:v>PASS</x:v>
      </x:c>
      <x:c r="G334" t="str">
        <x:v>equals</x:v>
      </x:c>
      <x:c r="H334" t="str">
        <x:f>IF(E334=F334,"PASS","FAIL")</x:f>
        <x:v>PASS</x:v>
      </x:c>
    </x:row>
    <x:row r="335">
      <x:c r="B335" t="str">
        <x:v>A-00303</x:v>
      </x:c>
      <x:c r="C335" t="str">
        <x:v>GATE</x:v>
      </x:c>
      <x:c r="D335" t="str">
        <x:v>release state mirrors governing ledger</x:v>
      </x:c>
      <x:c r="E335" t="str">
        <x:f>'Release Gates'!I309</x:f>
        <x:v>PASS</x:v>
      </x:c>
      <x:c r="F335" t="str">
        <x:f>IF('Release Gates'!C309="PLANNING","PASS",IF('Release Gates'!C309="PHYSICAL","OPEN","BLOCKED"))</x:f>
        <x:v>PASS</x:v>
      </x:c>
      <x:c r="G335" t="str">
        <x:v>equals</x:v>
      </x:c>
      <x:c r="H335" t="str">
        <x:f>IF(E335=F335,"PASS","FAIL")</x:f>
        <x:v>PASS</x:v>
      </x:c>
    </x:row>
    <x:row r="336">
      <x:c r="B336" t="str">
        <x:v>A-00304</x:v>
      </x:c>
      <x:c r="C336" t="str">
        <x:v>GATE</x:v>
      </x:c>
      <x:c r="D336" t="str">
        <x:v>release state mirrors governing ledger</x:v>
      </x:c>
      <x:c r="E336" t="str">
        <x:f>'Release Gates'!I310</x:f>
        <x:v>PASS</x:v>
      </x:c>
      <x:c r="F336" t="str">
        <x:f>IF('Release Gates'!C310="PLANNING","PASS",IF('Release Gates'!C310="PHYSICAL","OPEN","BLOCKED"))</x:f>
        <x:v>PASS</x:v>
      </x:c>
      <x:c r="G336" t="str">
        <x:v>equals</x:v>
      </x:c>
      <x:c r="H336" t="str">
        <x:f>IF(E336=F336,"PASS","FAIL")</x:f>
        <x:v>PASS</x:v>
      </x:c>
    </x:row>
    <x:row r="337">
      <x:c r="B337" t="str">
        <x:v>A-00305</x:v>
      </x:c>
      <x:c r="C337" t="str">
        <x:v>GATE</x:v>
      </x:c>
      <x:c r="D337" t="str">
        <x:v>release state mirrors governing ledger</x:v>
      </x:c>
      <x:c r="E337" t="str">
        <x:f>'Release Gates'!I311</x:f>
        <x:v>PASS</x:v>
      </x:c>
      <x:c r="F337" t="str">
        <x:f>IF('Release Gates'!C311="PLANNING","PASS",IF('Release Gates'!C311="PHYSICAL","OPEN","BLOCKED"))</x:f>
        <x:v>PASS</x:v>
      </x:c>
      <x:c r="G337" t="str">
        <x:v>equals</x:v>
      </x:c>
      <x:c r="H337" t="str">
        <x:f>IF(E337=F337,"PASS","FAIL")</x:f>
        <x:v>PASS</x:v>
      </x:c>
    </x:row>
    <x:row r="338">
      <x:c r="B338" t="str">
        <x:v>A-00306</x:v>
      </x:c>
      <x:c r="C338" t="str">
        <x:v>GATE</x:v>
      </x:c>
      <x:c r="D338" t="str">
        <x:v>release state mirrors governing ledger</x:v>
      </x:c>
      <x:c r="E338" t="str">
        <x:f>'Release Gates'!I312</x:f>
        <x:v>PASS</x:v>
      </x:c>
      <x:c r="F338" t="str">
        <x:f>IF('Release Gates'!C312="PLANNING","PASS",IF('Release Gates'!C312="PHYSICAL","OPEN","BLOCKED"))</x:f>
        <x:v>PASS</x:v>
      </x:c>
      <x:c r="G338" t="str">
        <x:v>equals</x:v>
      </x:c>
      <x:c r="H338" t="str">
        <x:f>IF(E338=F338,"PASS","FAIL")</x:f>
        <x:v>PASS</x:v>
      </x:c>
    </x:row>
    <x:row r="339">
      <x:c r="B339" t="str">
        <x:v>A-00307</x:v>
      </x:c>
      <x:c r="C339" t="str">
        <x:v>GATE</x:v>
      </x:c>
      <x:c r="D339" t="str">
        <x:v>release state mirrors governing ledger</x:v>
      </x:c>
      <x:c r="E339" t="str">
        <x:f>'Release Gates'!I313</x:f>
        <x:v>PASS</x:v>
      </x:c>
      <x:c r="F339" t="str">
        <x:f>IF('Release Gates'!C313="PLANNING","PASS",IF('Release Gates'!C313="PHYSICAL","OPEN","BLOCKED"))</x:f>
        <x:v>PASS</x:v>
      </x:c>
      <x:c r="G339" t="str">
        <x:v>equals</x:v>
      </x:c>
      <x:c r="H339" t="str">
        <x:f>IF(E339=F339,"PASS","FAIL")</x:f>
        <x:v>PASS</x:v>
      </x:c>
    </x:row>
    <x:row r="340">
      <x:c r="B340" t="str">
        <x:v>A-00308</x:v>
      </x:c>
      <x:c r="C340" t="str">
        <x:v>GATE</x:v>
      </x:c>
      <x:c r="D340" t="str">
        <x:v>release state mirrors governing ledger</x:v>
      </x:c>
      <x:c r="E340" t="str">
        <x:f>'Release Gates'!I314</x:f>
        <x:v>PASS</x:v>
      </x:c>
      <x:c r="F340" t="str">
        <x:f>IF('Release Gates'!C314="PLANNING","PASS",IF('Release Gates'!C314="PHYSICAL","OPEN","BLOCKED"))</x:f>
        <x:v>PASS</x:v>
      </x:c>
      <x:c r="G340" t="str">
        <x:v>equals</x:v>
      </x:c>
      <x:c r="H340" t="str">
        <x:f>IF(E340=F340,"PASS","FAIL")</x:f>
        <x:v>PASS</x:v>
      </x:c>
    </x:row>
    <x:row r="341">
      <x:c r="B341" t="str">
        <x:v>A-00309</x:v>
      </x:c>
      <x:c r="C341" t="str">
        <x:v>GATE</x:v>
      </x:c>
      <x:c r="D341" t="str">
        <x:v>release state mirrors governing ledger</x:v>
      </x:c>
      <x:c r="E341" t="str">
        <x:f>'Release Gates'!I315</x:f>
        <x:v>PASS</x:v>
      </x:c>
      <x:c r="F341" t="str">
        <x:f>IF('Release Gates'!C315="PLANNING","PASS",IF('Release Gates'!C315="PHYSICAL","OPEN","BLOCKED"))</x:f>
        <x:v>PASS</x:v>
      </x:c>
      <x:c r="G341" t="str">
        <x:v>equals</x:v>
      </x:c>
      <x:c r="H341" t="str">
        <x:f>IF(E341=F341,"PASS","FAIL")</x:f>
        <x:v>PASS</x:v>
      </x:c>
    </x:row>
    <x:row r="342">
      <x:c r="B342" t="str">
        <x:v>A-00310</x:v>
      </x:c>
      <x:c r="C342" t="str">
        <x:v>GATE</x:v>
      </x:c>
      <x:c r="D342" t="str">
        <x:v>release state mirrors governing ledger</x:v>
      </x:c>
      <x:c r="E342" t="str">
        <x:f>'Release Gates'!I316</x:f>
        <x:v>PASS</x:v>
      </x:c>
      <x:c r="F342" t="str">
        <x:f>IF('Release Gates'!C316="PLANNING","PASS",IF('Release Gates'!C316="PHYSICAL","OPEN","BLOCKED"))</x:f>
        <x:v>PASS</x:v>
      </x:c>
      <x:c r="G342" t="str">
        <x:v>equals</x:v>
      </x:c>
      <x:c r="H342" t="str">
        <x:f>IF(E342=F342,"PASS","FAIL")</x:f>
        <x:v>PASS</x:v>
      </x:c>
    </x:row>
    <x:row r="343">
      <x:c r="B343" t="str">
        <x:v>A-00311</x:v>
      </x:c>
      <x:c r="C343" t="str">
        <x:v>GATE</x:v>
      </x:c>
      <x:c r="D343" t="str">
        <x:v>release state mirrors governing ledger</x:v>
      </x:c>
      <x:c r="E343" t="str">
        <x:f>'Release Gates'!I317</x:f>
        <x:v>PASS</x:v>
      </x:c>
      <x:c r="F343" t="str">
        <x:f>IF('Release Gates'!C317="PLANNING","PASS",IF('Release Gates'!C317="PHYSICAL","OPEN","BLOCKED"))</x:f>
        <x:v>PASS</x:v>
      </x:c>
      <x:c r="G343" t="str">
        <x:v>equals</x:v>
      </x:c>
      <x:c r="H343" t="str">
        <x:f>IF(E343=F343,"PASS","FAIL")</x:f>
        <x:v>PASS</x:v>
      </x:c>
    </x:row>
    <x:row r="344">
      <x:c r="B344" t="str">
        <x:v>A-00312</x:v>
      </x:c>
      <x:c r="C344" t="str">
        <x:v>GATE</x:v>
      </x:c>
      <x:c r="D344" t="str">
        <x:v>release state mirrors governing ledger</x:v>
      </x:c>
      <x:c r="E344" t="str">
        <x:f>'Release Gates'!I318</x:f>
        <x:v>PASS</x:v>
      </x:c>
      <x:c r="F344" t="str">
        <x:f>IF('Release Gates'!C318="PLANNING","PASS",IF('Release Gates'!C318="PHYSICAL","OPEN","BLOCKED"))</x:f>
        <x:v>PASS</x:v>
      </x:c>
      <x:c r="G344" t="str">
        <x:v>equals</x:v>
      </x:c>
      <x:c r="H344" t="str">
        <x:f>IF(E344=F344,"PASS","FAIL")</x:f>
        <x:v>PASS</x:v>
      </x:c>
    </x:row>
    <x:row r="345">
      <x:c r="B345" t="str">
        <x:v>A-00313</x:v>
      </x:c>
      <x:c r="C345" t="str">
        <x:v>GATE</x:v>
      </x:c>
      <x:c r="D345" t="str">
        <x:v>release state mirrors governing ledger</x:v>
      </x:c>
      <x:c r="E345" t="str">
        <x:f>'Release Gates'!I319</x:f>
        <x:v>PASS</x:v>
      </x:c>
      <x:c r="F345" t="str">
        <x:f>IF('Release Gates'!C319="PLANNING","PASS",IF('Release Gates'!C319="PHYSICAL","OPEN","BLOCKED"))</x:f>
        <x:v>PASS</x:v>
      </x:c>
      <x:c r="G345" t="str">
        <x:v>equals</x:v>
      </x:c>
      <x:c r="H345" t="str">
        <x:f>IF(E345=F345,"PASS","FAIL")</x:f>
        <x:v>PASS</x:v>
      </x:c>
    </x:row>
    <x:row r="346">
      <x:c r="B346" t="str">
        <x:v>A-00314</x:v>
      </x:c>
      <x:c r="C346" t="str">
        <x:v>GATE</x:v>
      </x:c>
      <x:c r="D346" t="str">
        <x:v>release state mirrors governing ledger</x:v>
      </x:c>
      <x:c r="E346" t="str">
        <x:f>'Release Gates'!I320</x:f>
        <x:v>PASS</x:v>
      </x:c>
      <x:c r="F346" t="str">
        <x:f>IF('Release Gates'!C320="PLANNING","PASS",IF('Release Gates'!C320="PHYSICAL","OPEN","BLOCKED"))</x:f>
        <x:v>PASS</x:v>
      </x:c>
      <x:c r="G346" t="str">
        <x:v>equals</x:v>
      </x:c>
      <x:c r="H346" t="str">
        <x:f>IF(E346=F346,"PASS","FAIL")</x:f>
        <x:v>PASS</x:v>
      </x:c>
    </x:row>
    <x:row r="347">
      <x:c r="B347" t="str">
        <x:v>A-00315</x:v>
      </x:c>
      <x:c r="C347" t="str">
        <x:v>GATE</x:v>
      </x:c>
      <x:c r="D347" t="str">
        <x:v>release state mirrors governing ledger</x:v>
      </x:c>
      <x:c r="E347" t="str">
        <x:f>'Release Gates'!I321</x:f>
        <x:v>PASS</x:v>
      </x:c>
      <x:c r="F347" t="str">
        <x:f>IF('Release Gates'!C321="PLANNING","PASS",IF('Release Gates'!C321="PHYSICAL","OPEN","BLOCKED"))</x:f>
        <x:v>PASS</x:v>
      </x:c>
      <x:c r="G347" t="str">
        <x:v>equals</x:v>
      </x:c>
      <x:c r="H347" t="str">
        <x:f>IF(E347=F347,"PASS","FAIL")</x:f>
        <x:v>PASS</x:v>
      </x:c>
    </x:row>
    <x:row r="348">
      <x:c r="B348" t="str">
        <x:v>A-00316</x:v>
      </x:c>
      <x:c r="C348" t="str">
        <x:v>GATE</x:v>
      </x:c>
      <x:c r="D348" t="str">
        <x:v>release state mirrors governing ledger</x:v>
      </x:c>
      <x:c r="E348" t="str">
        <x:f>'Release Gates'!I322</x:f>
        <x:v>PASS</x:v>
      </x:c>
      <x:c r="F348" t="str">
        <x:f>IF('Release Gates'!C322="PLANNING","PASS",IF('Release Gates'!C322="PHYSICAL","OPEN","BLOCKED"))</x:f>
        <x:v>PASS</x:v>
      </x:c>
      <x:c r="G348" t="str">
        <x:v>equals</x:v>
      </x:c>
      <x:c r="H348" t="str">
        <x:f>IF(E348=F348,"PASS","FAIL")</x:f>
        <x:v>PASS</x:v>
      </x:c>
    </x:row>
    <x:row r="349">
      <x:c r="B349" t="str">
        <x:v>A-00317</x:v>
      </x:c>
      <x:c r="C349" t="str">
        <x:v>GATE</x:v>
      </x:c>
      <x:c r="D349" t="str">
        <x:v>release state mirrors governing ledger</x:v>
      </x:c>
      <x:c r="E349" t="str">
        <x:f>'Release Gates'!I323</x:f>
        <x:v>PASS</x:v>
      </x:c>
      <x:c r="F349" t="str">
        <x:f>IF('Release Gates'!C323="PLANNING","PASS",IF('Release Gates'!C323="PHYSICAL","OPEN","BLOCKED"))</x:f>
        <x:v>PASS</x:v>
      </x:c>
      <x:c r="G349" t="str">
        <x:v>equals</x:v>
      </x:c>
      <x:c r="H349" t="str">
        <x:f>IF(E349=F349,"PASS","FAIL")</x:f>
        <x:v>PASS</x:v>
      </x:c>
    </x:row>
    <x:row r="350">
      <x:c r="B350" t="str">
        <x:v>A-00318</x:v>
      </x:c>
      <x:c r="C350" t="str">
        <x:v>GATE</x:v>
      </x:c>
      <x:c r="D350" t="str">
        <x:v>release state mirrors governing ledger</x:v>
      </x:c>
      <x:c r="E350" t="str">
        <x:f>'Release Gates'!I324</x:f>
        <x:v>PASS</x:v>
      </x:c>
      <x:c r="F350" t="str">
        <x:f>IF('Release Gates'!C324="PLANNING","PASS",IF('Release Gates'!C324="PHYSICAL","OPEN","BLOCKED"))</x:f>
        <x:v>PASS</x:v>
      </x:c>
      <x:c r="G350" t="str">
        <x:v>equals</x:v>
      </x:c>
      <x:c r="H350" t="str">
        <x:f>IF(E350=F350,"PASS","FAIL")</x:f>
        <x:v>PASS</x:v>
      </x:c>
    </x:row>
    <x:row r="351">
      <x:c r="B351" t="str">
        <x:v>A-00319</x:v>
      </x:c>
      <x:c r="C351" t="str">
        <x:v>GATE</x:v>
      </x:c>
      <x:c r="D351" t="str">
        <x:v>release state mirrors governing ledger</x:v>
      </x:c>
      <x:c r="E351" t="str">
        <x:f>'Release Gates'!I325</x:f>
        <x:v>PASS</x:v>
      </x:c>
      <x:c r="F351" t="str">
        <x:f>IF('Release Gates'!C325="PLANNING","PASS",IF('Release Gates'!C325="PHYSICAL","OPEN","BLOCKED"))</x:f>
        <x:v>PASS</x:v>
      </x:c>
      <x:c r="G351" t="str">
        <x:v>equals</x:v>
      </x:c>
      <x:c r="H351" t="str">
        <x:f>IF(E351=F351,"PASS","FAIL")</x:f>
        <x:v>PASS</x:v>
      </x:c>
    </x:row>
    <x:row r="352">
      <x:c r="B352" t="str">
        <x:v>A-00320</x:v>
      </x:c>
      <x:c r="C352" t="str">
        <x:v>GATE</x:v>
      </x:c>
      <x:c r="D352" t="str">
        <x:v>release state mirrors governing ledger</x:v>
      </x:c>
      <x:c r="E352" t="str">
        <x:f>'Release Gates'!I326</x:f>
        <x:v>PASS</x:v>
      </x:c>
      <x:c r="F352" t="str">
        <x:f>IF('Release Gates'!C326="PLANNING","PASS",IF('Release Gates'!C326="PHYSICAL","OPEN","BLOCKED"))</x:f>
        <x:v>PASS</x:v>
      </x:c>
      <x:c r="G352" t="str">
        <x:v>equals</x:v>
      </x:c>
      <x:c r="H352" t="str">
        <x:f>IF(E352=F352,"PASS","FAIL")</x:f>
        <x:v>PASS</x:v>
      </x:c>
    </x:row>
    <x:row r="353">
      <x:c r="B353" t="str">
        <x:v>A-00321</x:v>
      </x:c>
      <x:c r="C353" t="str">
        <x:v>GATE</x:v>
      </x:c>
      <x:c r="D353" t="str">
        <x:v>release state mirrors governing ledger</x:v>
      </x:c>
      <x:c r="E353" t="str">
        <x:f>'Release Gates'!I327</x:f>
        <x:v>PASS</x:v>
      </x:c>
      <x:c r="F353" t="str">
        <x:f>IF('Release Gates'!C327="PLANNING","PASS",IF('Release Gates'!C327="PHYSICAL","OPEN","BLOCKED"))</x:f>
        <x:v>PASS</x:v>
      </x:c>
      <x:c r="G353" t="str">
        <x:v>equals</x:v>
      </x:c>
      <x:c r="H353" t="str">
        <x:f>IF(E353=F353,"PASS","FAIL")</x:f>
        <x:v>PASS</x:v>
      </x:c>
    </x:row>
    <x:row r="354">
      <x:c r="B354" t="str">
        <x:v>A-00322</x:v>
      </x:c>
      <x:c r="C354" t="str">
        <x:v>GATE</x:v>
      </x:c>
      <x:c r="D354" t="str">
        <x:v>release state mirrors governing ledger</x:v>
      </x:c>
      <x:c r="E354" t="str">
        <x:f>'Release Gates'!I328</x:f>
        <x:v>PASS</x:v>
      </x:c>
      <x:c r="F354" t="str">
        <x:f>IF('Release Gates'!C328="PLANNING","PASS",IF('Release Gates'!C328="PHYSICAL","OPEN","BLOCKED"))</x:f>
        <x:v>PASS</x:v>
      </x:c>
      <x:c r="G354" t="str">
        <x:v>equals</x:v>
      </x:c>
      <x:c r="H354" t="str">
        <x:f>IF(E354=F354,"PASS","FAIL")</x:f>
        <x:v>PASS</x:v>
      </x:c>
    </x:row>
    <x:row r="355">
      <x:c r="B355" t="str">
        <x:v>A-00323</x:v>
      </x:c>
      <x:c r="C355" t="str">
        <x:v>GATE</x:v>
      </x:c>
      <x:c r="D355" t="str">
        <x:v>release state mirrors governing ledger</x:v>
      </x:c>
      <x:c r="E355" t="str">
        <x:f>'Release Gates'!I329</x:f>
        <x:v>PASS</x:v>
      </x:c>
      <x:c r="F355" t="str">
        <x:f>IF('Release Gates'!C329="PLANNING","PASS",IF('Release Gates'!C329="PHYSICAL","OPEN","BLOCKED"))</x:f>
        <x:v>PASS</x:v>
      </x:c>
      <x:c r="G355" t="str">
        <x:v>equals</x:v>
      </x:c>
      <x:c r="H355" t="str">
        <x:f>IF(E355=F355,"PASS","FAIL")</x:f>
        <x:v>PASS</x:v>
      </x:c>
    </x:row>
    <x:row r="356">
      <x:c r="B356" t="str">
        <x:v>A-00324</x:v>
      </x:c>
      <x:c r="C356" t="str">
        <x:v>GATE</x:v>
      </x:c>
      <x:c r="D356" t="str">
        <x:v>release state mirrors governing ledger</x:v>
      </x:c>
      <x:c r="E356" t="str">
        <x:f>'Release Gates'!I330</x:f>
        <x:v>PASS</x:v>
      </x:c>
      <x:c r="F356" t="str">
        <x:f>IF('Release Gates'!C330="PLANNING","PASS",IF('Release Gates'!C330="PHYSICAL","OPEN","BLOCKED"))</x:f>
        <x:v>PASS</x:v>
      </x:c>
      <x:c r="G356" t="str">
        <x:v>equals</x:v>
      </x:c>
      <x:c r="H356" t="str">
        <x:f>IF(E356=F356,"PASS","FAIL")</x:f>
        <x:v>PASS</x:v>
      </x:c>
    </x:row>
    <x:row r="357">
      <x:c r="B357" t="str">
        <x:v>A-00325</x:v>
      </x:c>
      <x:c r="C357" t="str">
        <x:v>GATE</x:v>
      </x:c>
      <x:c r="D357" t="str">
        <x:v>release state mirrors governing ledger</x:v>
      </x:c>
      <x:c r="E357" t="str">
        <x:f>'Release Gates'!I331</x:f>
        <x:v>PASS</x:v>
      </x:c>
      <x:c r="F357" t="str">
        <x:f>IF('Release Gates'!C331="PLANNING","PASS",IF('Release Gates'!C331="PHYSICAL","OPEN","BLOCKED"))</x:f>
        <x:v>PASS</x:v>
      </x:c>
      <x:c r="G357" t="str">
        <x:v>equals</x:v>
      </x:c>
      <x:c r="H357" t="str">
        <x:f>IF(E357=F357,"PASS","FAIL")</x:f>
        <x:v>PASS</x:v>
      </x:c>
    </x:row>
    <x:row r="358">
      <x:c r="B358" t="str">
        <x:v>A-00326</x:v>
      </x:c>
      <x:c r="C358" t="str">
        <x:v>GATE</x:v>
      </x:c>
      <x:c r="D358" t="str">
        <x:v>release state mirrors governing ledger</x:v>
      </x:c>
      <x:c r="E358" t="str">
        <x:f>'Release Gates'!I332</x:f>
        <x:v>PASS</x:v>
      </x:c>
      <x:c r="F358" t="str">
        <x:f>IF('Release Gates'!C332="PLANNING","PASS",IF('Release Gates'!C332="PHYSICAL","OPEN","BLOCKED"))</x:f>
        <x:v>PASS</x:v>
      </x:c>
      <x:c r="G358" t="str">
        <x:v>equals</x:v>
      </x:c>
      <x:c r="H358" t="str">
        <x:f>IF(E358=F358,"PASS","FAIL")</x:f>
        <x:v>PASS</x:v>
      </x:c>
    </x:row>
    <x:row r="359">
      <x:c r="B359" t="str">
        <x:v>A-00327</x:v>
      </x:c>
      <x:c r="C359" t="str">
        <x:v>GATE</x:v>
      </x:c>
      <x:c r="D359" t="str">
        <x:v>release state mirrors governing ledger</x:v>
      </x:c>
      <x:c r="E359" t="str">
        <x:f>'Release Gates'!I333</x:f>
        <x:v>PASS</x:v>
      </x:c>
      <x:c r="F359" t="str">
        <x:f>IF('Release Gates'!C333="PLANNING","PASS",IF('Release Gates'!C333="PHYSICAL","OPEN","BLOCKED"))</x:f>
        <x:v>PASS</x:v>
      </x:c>
      <x:c r="G359" t="str">
        <x:v>equals</x:v>
      </x:c>
      <x:c r="H359" t="str">
        <x:f>IF(E359=F359,"PASS","FAIL")</x:f>
        <x:v>PASS</x:v>
      </x:c>
    </x:row>
    <x:row r="360">
      <x:c r="B360" t="str">
        <x:v>A-00328</x:v>
      </x:c>
      <x:c r="C360" t="str">
        <x:v>GATE</x:v>
      </x:c>
      <x:c r="D360" t="str">
        <x:v>release state mirrors governing ledger</x:v>
      </x:c>
      <x:c r="E360" t="str">
        <x:f>'Release Gates'!I334</x:f>
        <x:v>PASS</x:v>
      </x:c>
      <x:c r="F360" t="str">
        <x:f>IF('Release Gates'!C334="PLANNING","PASS",IF('Release Gates'!C334="PHYSICAL","OPEN","BLOCKED"))</x:f>
        <x:v>PASS</x:v>
      </x:c>
      <x:c r="G360" t="str">
        <x:v>equals</x:v>
      </x:c>
      <x:c r="H360" t="str">
        <x:f>IF(E360=F360,"PASS","FAIL")</x:f>
        <x:v>PASS</x:v>
      </x:c>
    </x:row>
    <x:row r="361">
      <x:c r="B361" t="str">
        <x:v>A-00329</x:v>
      </x:c>
      <x:c r="C361" t="str">
        <x:v>GATE</x:v>
      </x:c>
      <x:c r="D361" t="str">
        <x:v>release state mirrors governing ledger</x:v>
      </x:c>
      <x:c r="E361" t="str">
        <x:f>'Release Gates'!I335</x:f>
        <x:v>PASS</x:v>
      </x:c>
      <x:c r="F361" t="str">
        <x:f>IF('Release Gates'!C335="PLANNING","PASS",IF('Release Gates'!C335="PHYSICAL","OPEN","BLOCKED"))</x:f>
        <x:v>PASS</x:v>
      </x:c>
      <x:c r="G361" t="str">
        <x:v>equals</x:v>
      </x:c>
      <x:c r="H361" t="str">
        <x:f>IF(E361=F361,"PASS","FAIL")</x:f>
        <x:v>PASS</x:v>
      </x:c>
    </x:row>
    <x:row r="362">
      <x:c r="B362" t="str">
        <x:v>A-00330</x:v>
      </x:c>
      <x:c r="C362" t="str">
        <x:v>GATE</x:v>
      </x:c>
      <x:c r="D362" t="str">
        <x:v>release state mirrors governing ledger</x:v>
      </x:c>
      <x:c r="E362" t="str">
        <x:f>'Release Gates'!I336</x:f>
        <x:v>PASS</x:v>
      </x:c>
      <x:c r="F362" t="str">
        <x:f>IF('Release Gates'!C336="PLANNING","PASS",IF('Release Gates'!C336="PHYSICAL","OPEN","BLOCKED"))</x:f>
        <x:v>PASS</x:v>
      </x:c>
      <x:c r="G362" t="str">
        <x:v>equals</x:v>
      </x:c>
      <x:c r="H362" t="str">
        <x:f>IF(E362=F362,"PASS","FAIL")</x:f>
        <x:v>PASS</x:v>
      </x:c>
    </x:row>
    <x:row r="363">
      <x:c r="B363" t="str">
        <x:v>A-00331</x:v>
      </x:c>
      <x:c r="C363" t="str">
        <x:v>GATE</x:v>
      </x:c>
      <x:c r="D363" t="str">
        <x:v>release state mirrors governing ledger</x:v>
      </x:c>
      <x:c r="E363" t="str">
        <x:f>'Release Gates'!I337</x:f>
        <x:v>PASS</x:v>
      </x:c>
      <x:c r="F363" t="str">
        <x:f>IF('Release Gates'!C337="PLANNING","PASS",IF('Release Gates'!C337="PHYSICAL","OPEN","BLOCKED"))</x:f>
        <x:v>PASS</x:v>
      </x:c>
      <x:c r="G363" t="str">
        <x:v>equals</x:v>
      </x:c>
      <x:c r="H363" t="str">
        <x:f>IF(E363=F363,"PASS","FAIL")</x:f>
        <x:v>PASS</x:v>
      </x:c>
    </x:row>
    <x:row r="364">
      <x:c r="B364" t="str">
        <x:v>A-00332</x:v>
      </x:c>
      <x:c r="C364" t="str">
        <x:v>GATE</x:v>
      </x:c>
      <x:c r="D364" t="str">
        <x:v>release state mirrors governing ledger</x:v>
      </x:c>
      <x:c r="E364" t="str">
        <x:f>'Release Gates'!I338</x:f>
        <x:v>PASS</x:v>
      </x:c>
      <x:c r="F364" t="str">
        <x:f>IF('Release Gates'!C338="PLANNING","PASS",IF('Release Gates'!C338="PHYSICAL","OPEN","BLOCKED"))</x:f>
        <x:v>PASS</x:v>
      </x:c>
      <x:c r="G364" t="str">
        <x:v>equals</x:v>
      </x:c>
      <x:c r="H364" t="str">
        <x:f>IF(E364=F364,"PASS","FAIL")</x:f>
        <x:v>PASS</x:v>
      </x:c>
    </x:row>
    <x:row r="365">
      <x:c r="B365" t="str">
        <x:v>A-00333</x:v>
      </x:c>
      <x:c r="C365" t="str">
        <x:v>GATE</x:v>
      </x:c>
      <x:c r="D365" t="str">
        <x:v>release state mirrors governing ledger</x:v>
      </x:c>
      <x:c r="E365" t="str">
        <x:f>'Release Gates'!I339</x:f>
        <x:v>PASS</x:v>
      </x:c>
      <x:c r="F365" t="str">
        <x:f>IF('Release Gates'!C339="PLANNING","PASS",IF('Release Gates'!C339="PHYSICAL","OPEN","BLOCKED"))</x:f>
        <x:v>PASS</x:v>
      </x:c>
      <x:c r="G365" t="str">
        <x:v>equals</x:v>
      </x:c>
      <x:c r="H365" t="str">
        <x:f>IF(E365=F365,"PASS","FAIL")</x:f>
        <x:v>PASS</x:v>
      </x:c>
    </x:row>
    <x:row r="366">
      <x:c r="B366" t="str">
        <x:v>A-00334</x:v>
      </x:c>
      <x:c r="C366" t="str">
        <x:v>GATE</x:v>
      </x:c>
      <x:c r="D366" t="str">
        <x:v>release state mirrors governing ledger</x:v>
      </x:c>
      <x:c r="E366" t="str">
        <x:f>'Release Gates'!I340</x:f>
        <x:v>PASS</x:v>
      </x:c>
      <x:c r="F366" t="str">
        <x:f>IF('Release Gates'!C340="PLANNING","PASS",IF('Release Gates'!C340="PHYSICAL","OPEN","BLOCKED"))</x:f>
        <x:v>PASS</x:v>
      </x:c>
      <x:c r="G366" t="str">
        <x:v>equals</x:v>
      </x:c>
      <x:c r="H366" t="str">
        <x:f>IF(E366=F366,"PASS","FAIL")</x:f>
        <x:v>PASS</x:v>
      </x:c>
    </x:row>
    <x:row r="367">
      <x:c r="B367" t="str">
        <x:v>A-00335</x:v>
      </x:c>
      <x:c r="C367" t="str">
        <x:v>GATE</x:v>
      </x:c>
      <x:c r="D367" t="str">
        <x:v>release state mirrors governing ledger</x:v>
      </x:c>
      <x:c r="E367" t="str">
        <x:f>'Release Gates'!I341</x:f>
        <x:v>PASS</x:v>
      </x:c>
      <x:c r="F367" t="str">
        <x:f>IF('Release Gates'!C341="PLANNING","PASS",IF('Release Gates'!C341="PHYSICAL","OPEN","BLOCKED"))</x:f>
        <x:v>PASS</x:v>
      </x:c>
      <x:c r="G367" t="str">
        <x:v>equals</x:v>
      </x:c>
      <x:c r="H367" t="str">
        <x:f>IF(E367=F367,"PASS","FAIL")</x:f>
        <x:v>PASS</x:v>
      </x:c>
    </x:row>
    <x:row r="368">
      <x:c r="B368" t="str">
        <x:v>A-00336</x:v>
      </x:c>
      <x:c r="C368" t="str">
        <x:v>GATE</x:v>
      </x:c>
      <x:c r="D368" t="str">
        <x:v>release state mirrors governing ledger</x:v>
      </x:c>
      <x:c r="E368" t="str">
        <x:f>'Release Gates'!I342</x:f>
        <x:v>PASS</x:v>
      </x:c>
      <x:c r="F368" t="str">
        <x:f>IF('Release Gates'!C342="PLANNING","PASS",IF('Release Gates'!C342="PHYSICAL","OPEN","BLOCKED"))</x:f>
        <x:v>PASS</x:v>
      </x:c>
      <x:c r="G368" t="str">
        <x:v>equals</x:v>
      </x:c>
      <x:c r="H368" t="str">
        <x:f>IF(E368=F368,"PASS","FAIL")</x:f>
        <x:v>PASS</x:v>
      </x:c>
    </x:row>
    <x:row r="369">
      <x:c r="B369" t="str">
        <x:v>A-00337</x:v>
      </x:c>
      <x:c r="C369" t="str">
        <x:v>GATE</x:v>
      </x:c>
      <x:c r="D369" t="str">
        <x:v>release state mirrors governing ledger</x:v>
      </x:c>
      <x:c r="E369" t="str">
        <x:f>'Release Gates'!I343</x:f>
        <x:v>PASS</x:v>
      </x:c>
      <x:c r="F369" t="str">
        <x:f>IF('Release Gates'!C343="PLANNING","PASS",IF('Release Gates'!C343="PHYSICAL","OPEN","BLOCKED"))</x:f>
        <x:v>PASS</x:v>
      </x:c>
      <x:c r="G369" t="str">
        <x:v>equals</x:v>
      </x:c>
      <x:c r="H369" t="str">
        <x:f>IF(E369=F369,"PASS","FAIL")</x:f>
        <x:v>PASS</x:v>
      </x:c>
    </x:row>
    <x:row r="370">
      <x:c r="B370" t="str">
        <x:v>A-00338</x:v>
      </x:c>
      <x:c r="C370" t="str">
        <x:v>GATE</x:v>
      </x:c>
      <x:c r="D370" t="str">
        <x:v>release state mirrors governing ledger</x:v>
      </x:c>
      <x:c r="E370" t="str">
        <x:f>'Release Gates'!I344</x:f>
        <x:v>PASS</x:v>
      </x:c>
      <x:c r="F370" t="str">
        <x:f>IF('Release Gates'!C344="PLANNING","PASS",IF('Release Gates'!C344="PHYSICAL","OPEN","BLOCKED"))</x:f>
        <x:v>PASS</x:v>
      </x:c>
      <x:c r="G370" t="str">
        <x:v>equals</x:v>
      </x:c>
      <x:c r="H370" t="str">
        <x:f>IF(E370=F370,"PASS","FAIL")</x:f>
        <x:v>PASS</x:v>
      </x:c>
    </x:row>
    <x:row r="371">
      <x:c r="B371" t="str">
        <x:v>A-00339</x:v>
      </x:c>
      <x:c r="C371" t="str">
        <x:v>GATE</x:v>
      </x:c>
      <x:c r="D371" t="str">
        <x:v>release state mirrors governing ledger</x:v>
      </x:c>
      <x:c r="E371" t="str">
        <x:f>'Release Gates'!I345</x:f>
        <x:v>PASS</x:v>
      </x:c>
      <x:c r="F371" t="str">
        <x:f>IF('Release Gates'!C345="PLANNING","PASS",IF('Release Gates'!C345="PHYSICAL","OPEN","BLOCKED"))</x:f>
        <x:v>PASS</x:v>
      </x:c>
      <x:c r="G371" t="str">
        <x:v>equals</x:v>
      </x:c>
      <x:c r="H371" t="str">
        <x:f>IF(E371=F371,"PASS","FAIL")</x:f>
        <x:v>PASS</x:v>
      </x:c>
    </x:row>
    <x:row r="372">
      <x:c r="B372" t="str">
        <x:v>A-00340</x:v>
      </x:c>
      <x:c r="C372" t="str">
        <x:v>GATE</x:v>
      </x:c>
      <x:c r="D372" t="str">
        <x:v>release state mirrors governing ledger</x:v>
      </x:c>
      <x:c r="E372" t="str">
        <x:f>'Release Gates'!I346</x:f>
        <x:v>PASS</x:v>
      </x:c>
      <x:c r="F372" t="str">
        <x:f>IF('Release Gates'!C346="PLANNING","PASS",IF('Release Gates'!C346="PHYSICAL","OPEN","BLOCKED"))</x:f>
        <x:v>PASS</x:v>
      </x:c>
      <x:c r="G372" t="str">
        <x:v>equals</x:v>
      </x:c>
      <x:c r="H372" t="str">
        <x:f>IF(E372=F372,"PASS","FAIL")</x:f>
        <x:v>PASS</x:v>
      </x:c>
    </x:row>
    <x:row r="373">
      <x:c r="B373" t="str">
        <x:v>A-00341</x:v>
      </x:c>
      <x:c r="C373" t="str">
        <x:v>GATE</x:v>
      </x:c>
      <x:c r="D373" t="str">
        <x:v>release state mirrors governing ledger</x:v>
      </x:c>
      <x:c r="E373" t="str">
        <x:f>'Release Gates'!I347</x:f>
        <x:v>PASS</x:v>
      </x:c>
      <x:c r="F373" t="str">
        <x:f>IF('Release Gates'!C347="PLANNING","PASS",IF('Release Gates'!C347="PHYSICAL","OPEN","BLOCKED"))</x:f>
        <x:v>PASS</x:v>
      </x:c>
      <x:c r="G373" t="str">
        <x:v>equals</x:v>
      </x:c>
      <x:c r="H373" t="str">
        <x:f>IF(E373=F373,"PASS","FAIL")</x:f>
        <x:v>PASS</x:v>
      </x:c>
    </x:row>
    <x:row r="374">
      <x:c r="B374" t="str">
        <x:v>A-00342</x:v>
      </x:c>
      <x:c r="C374" t="str">
        <x:v>GATE</x:v>
      </x:c>
      <x:c r="D374" t="str">
        <x:v>release state mirrors governing ledger</x:v>
      </x:c>
      <x:c r="E374" t="str">
        <x:f>'Release Gates'!I348</x:f>
        <x:v>PASS</x:v>
      </x:c>
      <x:c r="F374" t="str">
        <x:f>IF('Release Gates'!C348="PLANNING","PASS",IF('Release Gates'!C348="PHYSICAL","OPEN","BLOCKED"))</x:f>
        <x:v>PASS</x:v>
      </x:c>
      <x:c r="G374" t="str">
        <x:v>equals</x:v>
      </x:c>
      <x:c r="H374" t="str">
        <x:f>IF(E374=F374,"PASS","FAIL")</x:f>
        <x:v>PASS</x:v>
      </x:c>
    </x:row>
    <x:row r="375">
      <x:c r="B375" t="str">
        <x:v>A-00343</x:v>
      </x:c>
      <x:c r="C375" t="str">
        <x:v>GATE</x:v>
      </x:c>
      <x:c r="D375" t="str">
        <x:v>release state mirrors governing ledger</x:v>
      </x:c>
      <x:c r="E375" t="str">
        <x:f>'Release Gates'!I349</x:f>
        <x:v>PASS</x:v>
      </x:c>
      <x:c r="F375" t="str">
        <x:f>IF('Release Gates'!C349="PLANNING","PASS",IF('Release Gates'!C349="PHYSICAL","OPEN","BLOCKED"))</x:f>
        <x:v>PASS</x:v>
      </x:c>
      <x:c r="G375" t="str">
        <x:v>equals</x:v>
      </x:c>
      <x:c r="H375" t="str">
        <x:f>IF(E375=F375,"PASS","FAIL")</x:f>
        <x:v>PASS</x:v>
      </x:c>
    </x:row>
    <x:row r="376">
      <x:c r="B376" t="str">
        <x:v>A-00344</x:v>
      </x:c>
      <x:c r="C376" t="str">
        <x:v>GATE</x:v>
      </x:c>
      <x:c r="D376" t="str">
        <x:v>release state mirrors governing ledger</x:v>
      </x:c>
      <x:c r="E376" t="str">
        <x:f>'Release Gates'!I350</x:f>
        <x:v>PASS</x:v>
      </x:c>
      <x:c r="F376" t="str">
        <x:f>IF('Release Gates'!C350="PLANNING","PASS",IF('Release Gates'!C350="PHYSICAL","OPEN","BLOCKED"))</x:f>
        <x:v>PASS</x:v>
      </x:c>
      <x:c r="G376" t="str">
        <x:v>equals</x:v>
      </x:c>
      <x:c r="H376" t="str">
        <x:f>IF(E376=F376,"PASS","FAIL")</x:f>
        <x:v>PASS</x:v>
      </x:c>
    </x:row>
    <x:row r="377">
      <x:c r="B377" t="str">
        <x:v>A-00345</x:v>
      </x:c>
      <x:c r="C377" t="str">
        <x:v>GATE</x:v>
      </x:c>
      <x:c r="D377" t="str">
        <x:v>release state mirrors governing ledger</x:v>
      </x:c>
      <x:c r="E377" t="str">
        <x:f>'Release Gates'!I351</x:f>
        <x:v>PASS</x:v>
      </x:c>
      <x:c r="F377" t="str">
        <x:f>IF('Release Gates'!C351="PLANNING","PASS",IF('Release Gates'!C351="PHYSICAL","OPEN","BLOCKED"))</x:f>
        <x:v>PASS</x:v>
      </x:c>
      <x:c r="G377" t="str">
        <x:v>equals</x:v>
      </x:c>
      <x:c r="H377" t="str">
        <x:f>IF(E377=F377,"PASS","FAIL")</x:f>
        <x:v>PASS</x:v>
      </x:c>
    </x:row>
    <x:row r="378">
      <x:c r="B378" t="str">
        <x:v>A-00346</x:v>
      </x:c>
      <x:c r="C378" t="str">
        <x:v>GATE</x:v>
      </x:c>
      <x:c r="D378" t="str">
        <x:v>release state mirrors governing ledger</x:v>
      </x:c>
      <x:c r="E378" t="str">
        <x:f>'Release Gates'!I352</x:f>
        <x:v>PASS</x:v>
      </x:c>
      <x:c r="F378" t="str">
        <x:f>IF('Release Gates'!C352="PLANNING","PASS",IF('Release Gates'!C352="PHYSICAL","OPEN","BLOCKED"))</x:f>
        <x:v>PASS</x:v>
      </x:c>
      <x:c r="G378" t="str">
        <x:v>equals</x:v>
      </x:c>
      <x:c r="H378" t="str">
        <x:f>IF(E378=F378,"PASS","FAIL")</x:f>
        <x:v>PASS</x:v>
      </x:c>
    </x:row>
    <x:row r="379">
      <x:c r="B379" t="str">
        <x:v>A-00347</x:v>
      </x:c>
      <x:c r="C379" t="str">
        <x:v>GATE</x:v>
      </x:c>
      <x:c r="D379" t="str">
        <x:v>release state mirrors governing ledger</x:v>
      </x:c>
      <x:c r="E379" t="str">
        <x:f>'Release Gates'!I353</x:f>
        <x:v>PASS</x:v>
      </x:c>
      <x:c r="F379" t="str">
        <x:f>IF('Release Gates'!C353="PLANNING","PASS",IF('Release Gates'!C353="PHYSICAL","OPEN","BLOCKED"))</x:f>
        <x:v>PASS</x:v>
      </x:c>
      <x:c r="G379" t="str">
        <x:v>equals</x:v>
      </x:c>
      <x:c r="H379" t="str">
        <x:f>IF(E379=F379,"PASS","FAIL")</x:f>
        <x:v>PASS</x:v>
      </x:c>
    </x:row>
    <x:row r="380">
      <x:c r="B380" t="str">
        <x:v>A-00348</x:v>
      </x:c>
      <x:c r="C380" t="str">
        <x:v>GATE</x:v>
      </x:c>
      <x:c r="D380" t="str">
        <x:v>release state mirrors governing ledger</x:v>
      </x:c>
      <x:c r="E380" t="str">
        <x:f>'Release Gates'!I354</x:f>
        <x:v>PASS</x:v>
      </x:c>
      <x:c r="F380" t="str">
        <x:f>IF('Release Gates'!C354="PLANNING","PASS",IF('Release Gates'!C354="PHYSICAL","OPEN","BLOCKED"))</x:f>
        <x:v>PASS</x:v>
      </x:c>
      <x:c r="G380" t="str">
        <x:v>equals</x:v>
      </x:c>
      <x:c r="H380" t="str">
        <x:f>IF(E380=F380,"PASS","FAIL")</x:f>
        <x:v>PASS</x:v>
      </x:c>
    </x:row>
    <x:row r="381">
      <x:c r="B381" t="str">
        <x:v>A-00349</x:v>
      </x:c>
      <x:c r="C381" t="str">
        <x:v>GATE</x:v>
      </x:c>
      <x:c r="D381" t="str">
        <x:v>release state mirrors governing ledger</x:v>
      </x:c>
      <x:c r="E381" t="str">
        <x:f>'Release Gates'!I355</x:f>
        <x:v>PASS</x:v>
      </x:c>
      <x:c r="F381" t="str">
        <x:f>IF('Release Gates'!C355="PLANNING","PASS",IF('Release Gates'!C355="PHYSICAL","OPEN","BLOCKED"))</x:f>
        <x:v>PASS</x:v>
      </x:c>
      <x:c r="G381" t="str">
        <x:v>equals</x:v>
      </x:c>
      <x:c r="H381" t="str">
        <x:f>IF(E381=F381,"PASS","FAIL")</x:f>
        <x:v>PASS</x:v>
      </x:c>
    </x:row>
    <x:row r="382">
      <x:c r="B382" t="str">
        <x:v>A-00350</x:v>
      </x:c>
      <x:c r="C382" t="str">
        <x:v>GATE</x:v>
      </x:c>
      <x:c r="D382" t="str">
        <x:v>release state mirrors governing ledger</x:v>
      </x:c>
      <x:c r="E382" t="str">
        <x:f>'Release Gates'!I356</x:f>
        <x:v>PASS</x:v>
      </x:c>
      <x:c r="F382" t="str">
        <x:f>IF('Release Gates'!C356="PLANNING","PASS",IF('Release Gates'!C356="PHYSICAL","OPEN","BLOCKED"))</x:f>
        <x:v>PASS</x:v>
      </x:c>
      <x:c r="G382" t="str">
        <x:v>equals</x:v>
      </x:c>
      <x:c r="H382" t="str">
        <x:f>IF(E382=F382,"PASS","FAIL")</x:f>
        <x:v>PASS</x:v>
      </x:c>
    </x:row>
    <x:row r="383">
      <x:c r="B383" t="str">
        <x:v>A-00351</x:v>
      </x:c>
      <x:c r="C383" t="str">
        <x:v>GATE</x:v>
      </x:c>
      <x:c r="D383" t="str">
        <x:v>release state mirrors governing ledger</x:v>
      </x:c>
      <x:c r="E383" t="str">
        <x:f>'Release Gates'!I357</x:f>
        <x:v>PASS</x:v>
      </x:c>
      <x:c r="F383" t="str">
        <x:f>IF('Release Gates'!C357="PLANNING","PASS",IF('Release Gates'!C357="PHYSICAL","OPEN","BLOCKED"))</x:f>
        <x:v>PASS</x:v>
      </x:c>
      <x:c r="G383" t="str">
        <x:v>equals</x:v>
      </x:c>
      <x:c r="H383" t="str">
        <x:f>IF(E383=F383,"PASS","FAIL")</x:f>
        <x:v>PASS</x:v>
      </x:c>
    </x:row>
    <x:row r="384">
      <x:c r="B384" t="str">
        <x:v>A-00352</x:v>
      </x:c>
      <x:c r="C384" t="str">
        <x:v>GATE</x:v>
      </x:c>
      <x:c r="D384" t="str">
        <x:v>release state mirrors governing ledger</x:v>
      </x:c>
      <x:c r="E384" t="str">
        <x:f>'Release Gates'!I358</x:f>
        <x:v>PASS</x:v>
      </x:c>
      <x:c r="F384" t="str">
        <x:f>IF('Release Gates'!C358="PLANNING","PASS",IF('Release Gates'!C358="PHYSICAL","OPEN","BLOCKED"))</x:f>
        <x:v>PASS</x:v>
      </x:c>
      <x:c r="G384" t="str">
        <x:v>equals</x:v>
      </x:c>
      <x:c r="H384" t="str">
        <x:f>IF(E384=F384,"PASS","FAIL")</x:f>
        <x:v>PASS</x:v>
      </x:c>
    </x:row>
    <x:row r="385">
      <x:c r="B385" t="str">
        <x:v>A-00353</x:v>
      </x:c>
      <x:c r="C385" t="str">
        <x:v>GATE</x:v>
      </x:c>
      <x:c r="D385" t="str">
        <x:v>release state mirrors governing ledger</x:v>
      </x:c>
      <x:c r="E385" t="str">
        <x:f>'Release Gates'!I359</x:f>
        <x:v>PASS</x:v>
      </x:c>
      <x:c r="F385" t="str">
        <x:f>IF('Release Gates'!C359="PLANNING","PASS",IF('Release Gates'!C359="PHYSICAL","OPEN","BLOCKED"))</x:f>
        <x:v>PASS</x:v>
      </x:c>
      <x:c r="G385" t="str">
        <x:v>equals</x:v>
      </x:c>
      <x:c r="H385" t="str">
        <x:f>IF(E385=F385,"PASS","FAIL")</x:f>
        <x:v>PASS</x:v>
      </x:c>
    </x:row>
    <x:row r="386">
      <x:c r="B386" t="str">
        <x:v>A-00354</x:v>
      </x:c>
      <x:c r="C386" t="str">
        <x:v>GATE</x:v>
      </x:c>
      <x:c r="D386" t="str">
        <x:v>release state mirrors governing ledger</x:v>
      </x:c>
      <x:c r="E386" t="str">
        <x:f>'Release Gates'!I360</x:f>
        <x:v>PASS</x:v>
      </x:c>
      <x:c r="F386" t="str">
        <x:f>IF('Release Gates'!C360="PLANNING","PASS",IF('Release Gates'!C360="PHYSICAL","OPEN","BLOCKED"))</x:f>
        <x:v>PASS</x:v>
      </x:c>
      <x:c r="G386" t="str">
        <x:v>equals</x:v>
      </x:c>
      <x:c r="H386" t="str">
        <x:f>IF(E386=F386,"PASS","FAIL")</x:f>
        <x:v>PASS</x:v>
      </x:c>
    </x:row>
    <x:row r="387">
      <x:c r="B387" t="str">
        <x:v>A-00355</x:v>
      </x:c>
      <x:c r="C387" t="str">
        <x:v>GATE</x:v>
      </x:c>
      <x:c r="D387" t="str">
        <x:v>release state mirrors governing ledger</x:v>
      </x:c>
      <x:c r="E387" t="str">
        <x:f>'Release Gates'!I361</x:f>
        <x:v>PASS</x:v>
      </x:c>
      <x:c r="F387" t="str">
        <x:f>IF('Release Gates'!C361="PLANNING","PASS",IF('Release Gates'!C361="PHYSICAL","OPEN","BLOCKED"))</x:f>
        <x:v>PASS</x:v>
      </x:c>
      <x:c r="G387" t="str">
        <x:v>equals</x:v>
      </x:c>
      <x:c r="H387" t="str">
        <x:f>IF(E387=F387,"PASS","FAIL")</x:f>
        <x:v>PASS</x:v>
      </x:c>
    </x:row>
    <x:row r="388">
      <x:c r="B388" t="str">
        <x:v>A-00356</x:v>
      </x:c>
      <x:c r="C388" t="str">
        <x:v>GATE</x:v>
      </x:c>
      <x:c r="D388" t="str">
        <x:v>release state mirrors governing ledger</x:v>
      </x:c>
      <x:c r="E388" t="str">
        <x:f>'Release Gates'!I362</x:f>
        <x:v>PASS</x:v>
      </x:c>
      <x:c r="F388" t="str">
        <x:f>IF('Release Gates'!C362="PLANNING","PASS",IF('Release Gates'!C362="PHYSICAL","OPEN","BLOCKED"))</x:f>
        <x:v>PASS</x:v>
      </x:c>
      <x:c r="G388" t="str">
        <x:v>equals</x:v>
      </x:c>
      <x:c r="H388" t="str">
        <x:f>IF(E388=F388,"PASS","FAIL")</x:f>
        <x:v>PASS</x:v>
      </x:c>
    </x:row>
    <x:row r="389">
      <x:c r="B389" t="str">
        <x:v>A-00357</x:v>
      </x:c>
      <x:c r="C389" t="str">
        <x:v>GATE</x:v>
      </x:c>
      <x:c r="D389" t="str">
        <x:v>release state mirrors governing ledger</x:v>
      </x:c>
      <x:c r="E389" t="str">
        <x:f>'Release Gates'!I363</x:f>
        <x:v>PASS</x:v>
      </x:c>
      <x:c r="F389" t="str">
        <x:f>IF('Release Gates'!C363="PLANNING","PASS",IF('Release Gates'!C363="PHYSICAL","OPEN","BLOCKED"))</x:f>
        <x:v>PASS</x:v>
      </x:c>
      <x:c r="G389" t="str">
        <x:v>equals</x:v>
      </x:c>
      <x:c r="H389" t="str">
        <x:f>IF(E389=F389,"PASS","FAIL")</x:f>
        <x:v>PASS</x:v>
      </x:c>
    </x:row>
    <x:row r="390">
      <x:c r="B390" t="str">
        <x:v>A-00358</x:v>
      </x:c>
      <x:c r="C390" t="str">
        <x:v>GATE</x:v>
      </x:c>
      <x:c r="D390" t="str">
        <x:v>release state mirrors governing ledger</x:v>
      </x:c>
      <x:c r="E390" t="str">
        <x:f>'Release Gates'!I364</x:f>
        <x:v>PASS</x:v>
      </x:c>
      <x:c r="F390" t="str">
        <x:f>IF('Release Gates'!C364="PLANNING","PASS",IF('Release Gates'!C364="PHYSICAL","OPEN","BLOCKED"))</x:f>
        <x:v>PASS</x:v>
      </x:c>
      <x:c r="G390" t="str">
        <x:v>equals</x:v>
      </x:c>
      <x:c r="H390" t="str">
        <x:f>IF(E390=F390,"PASS","FAIL")</x:f>
        <x:v>PASS</x:v>
      </x:c>
    </x:row>
    <x:row r="391">
      <x:c r="B391" t="str">
        <x:v>A-00359</x:v>
      </x:c>
      <x:c r="C391" t="str">
        <x:v>GATE</x:v>
      </x:c>
      <x:c r="D391" t="str">
        <x:v>release state mirrors governing ledger</x:v>
      </x:c>
      <x:c r="E391" t="str">
        <x:f>'Release Gates'!I365</x:f>
        <x:v>PASS</x:v>
      </x:c>
      <x:c r="F391" t="str">
        <x:f>IF('Release Gates'!C365="PLANNING","PASS",IF('Release Gates'!C365="PHYSICAL","OPEN","BLOCKED"))</x:f>
        <x:v>PASS</x:v>
      </x:c>
      <x:c r="G391" t="str">
        <x:v>equals</x:v>
      </x:c>
      <x:c r="H391" t="str">
        <x:f>IF(E391=F391,"PASS","FAIL")</x:f>
        <x:v>PASS</x:v>
      </x:c>
    </x:row>
    <x:row r="392">
      <x:c r="B392" t="str">
        <x:v>A-00360</x:v>
      </x:c>
      <x:c r="C392" t="str">
        <x:v>GATE</x:v>
      </x:c>
      <x:c r="D392" t="str">
        <x:v>release state mirrors governing ledger</x:v>
      </x:c>
      <x:c r="E392" t="str">
        <x:f>'Release Gates'!I366</x:f>
        <x:v>PASS</x:v>
      </x:c>
      <x:c r="F392" t="str">
        <x:f>IF('Release Gates'!C366="PLANNING","PASS",IF('Release Gates'!C366="PHYSICAL","OPEN","BLOCKED"))</x:f>
        <x:v>PASS</x:v>
      </x:c>
      <x:c r="G392" t="str">
        <x:v>equals</x:v>
      </x:c>
      <x:c r="H392" t="str">
        <x:f>IF(E392=F392,"PASS","FAIL")</x:f>
        <x:v>PASS</x:v>
      </x:c>
    </x:row>
    <x:row r="393">
      <x:c r="B393" t="str">
        <x:v>A-00361</x:v>
      </x:c>
      <x:c r="C393" t="str">
        <x:v>GATE</x:v>
      </x:c>
      <x:c r="D393" t="str">
        <x:v>release state mirrors governing ledger</x:v>
      </x:c>
      <x:c r="E393" t="str">
        <x:f>'Release Gates'!I367</x:f>
        <x:v>PASS</x:v>
      </x:c>
      <x:c r="F393" t="str">
        <x:f>IF('Release Gates'!C367="PLANNING","PASS",IF('Release Gates'!C367="PHYSICAL","OPEN","BLOCKED"))</x:f>
        <x:v>PASS</x:v>
      </x:c>
      <x:c r="G393" t="str">
        <x:v>equals</x:v>
      </x:c>
      <x:c r="H393" t="str">
        <x:f>IF(E393=F393,"PASS","FAIL")</x:f>
        <x:v>PASS</x:v>
      </x:c>
    </x:row>
    <x:row r="394">
      <x:c r="B394" t="str">
        <x:v>A-00362</x:v>
      </x:c>
      <x:c r="C394" t="str">
        <x:v>GATE</x:v>
      </x:c>
      <x:c r="D394" t="str">
        <x:v>release state mirrors governing ledger</x:v>
      </x:c>
      <x:c r="E394" t="str">
        <x:f>'Release Gates'!I368</x:f>
        <x:v>PASS</x:v>
      </x:c>
      <x:c r="F394" t="str">
        <x:f>IF('Release Gates'!C368="PLANNING","PASS",IF('Release Gates'!C368="PHYSICAL","OPEN","BLOCKED"))</x:f>
        <x:v>PASS</x:v>
      </x:c>
      <x:c r="G394" t="str">
        <x:v>equals</x:v>
      </x:c>
      <x:c r="H394" t="str">
        <x:f>IF(E394=F394,"PASS","FAIL")</x:f>
        <x:v>PASS</x:v>
      </x:c>
    </x:row>
    <x:row r="395">
      <x:c r="B395" t="str">
        <x:v>A-00363</x:v>
      </x:c>
      <x:c r="C395" t="str">
        <x:v>GATE</x:v>
      </x:c>
      <x:c r="D395" t="str">
        <x:v>release state mirrors governing ledger</x:v>
      </x:c>
      <x:c r="E395" t="str">
        <x:f>'Release Gates'!I369</x:f>
        <x:v>PASS</x:v>
      </x:c>
      <x:c r="F395" t="str">
        <x:f>IF('Release Gates'!C369="PLANNING","PASS",IF('Release Gates'!C369="PHYSICAL","OPEN","BLOCKED"))</x:f>
        <x:v>PASS</x:v>
      </x:c>
      <x:c r="G395" t="str">
        <x:v>equals</x:v>
      </x:c>
      <x:c r="H395" t="str">
        <x:f>IF(E395=F395,"PASS","FAIL")</x:f>
        <x:v>PASS</x:v>
      </x:c>
    </x:row>
    <x:row r="396">
      <x:c r="B396" t="str">
        <x:v>A-00364</x:v>
      </x:c>
      <x:c r="C396" t="str">
        <x:v>GATE</x:v>
      </x:c>
      <x:c r="D396" t="str">
        <x:v>release state mirrors governing ledger</x:v>
      </x:c>
      <x:c r="E396" t="str">
        <x:f>'Release Gates'!I370</x:f>
        <x:v>PASS</x:v>
      </x:c>
      <x:c r="F396" t="str">
        <x:f>IF('Release Gates'!C370="PLANNING","PASS",IF('Release Gates'!C370="PHYSICAL","OPEN","BLOCKED"))</x:f>
        <x:v>PASS</x:v>
      </x:c>
      <x:c r="G396" t="str">
        <x:v>equals</x:v>
      </x:c>
      <x:c r="H396" t="str">
        <x:f>IF(E396=F396,"PASS","FAIL")</x:f>
        <x:v>PASS</x:v>
      </x:c>
    </x:row>
    <x:row r="397">
      <x:c r="B397" t="str">
        <x:v>A-00365</x:v>
      </x:c>
      <x:c r="C397" t="str">
        <x:v>GATE</x:v>
      </x:c>
      <x:c r="D397" t="str">
        <x:v>release state mirrors governing ledger</x:v>
      </x:c>
      <x:c r="E397" t="str">
        <x:f>'Release Gates'!I371</x:f>
        <x:v>PASS</x:v>
      </x:c>
      <x:c r="F397" t="str">
        <x:f>IF('Release Gates'!C371="PLANNING","PASS",IF('Release Gates'!C371="PHYSICAL","OPEN","BLOCKED"))</x:f>
        <x:v>PASS</x:v>
      </x:c>
      <x:c r="G397" t="str">
        <x:v>equals</x:v>
      </x:c>
      <x:c r="H397" t="str">
        <x:f>IF(E397=F397,"PASS","FAIL")</x:f>
        <x:v>PASS</x:v>
      </x:c>
    </x:row>
    <x:row r="398">
      <x:c r="B398" t="str">
        <x:v>A-00366</x:v>
      </x:c>
      <x:c r="C398" t="str">
        <x:v>GATE</x:v>
      </x:c>
      <x:c r="D398" t="str">
        <x:v>release state mirrors governing ledger</x:v>
      </x:c>
      <x:c r="E398" t="str">
        <x:f>'Release Gates'!I372</x:f>
        <x:v>PASS</x:v>
      </x:c>
      <x:c r="F398" t="str">
        <x:f>IF('Release Gates'!C372="PLANNING","PASS",IF('Release Gates'!C372="PHYSICAL","OPEN","BLOCKED"))</x:f>
        <x:v>PASS</x:v>
      </x:c>
      <x:c r="G398" t="str">
        <x:v>equals</x:v>
      </x:c>
      <x:c r="H398" t="str">
        <x:f>IF(E398=F398,"PASS","FAIL")</x:f>
        <x:v>PASS</x:v>
      </x:c>
    </x:row>
    <x:row r="399">
      <x:c r="B399" t="str">
        <x:v>A-00367</x:v>
      </x:c>
      <x:c r="C399" t="str">
        <x:v>GATE</x:v>
      </x:c>
      <x:c r="D399" t="str">
        <x:v>release state mirrors governing ledger</x:v>
      </x:c>
      <x:c r="E399" t="str">
        <x:f>'Release Gates'!I373</x:f>
        <x:v>PASS</x:v>
      </x:c>
      <x:c r="F399" t="str">
        <x:f>IF('Release Gates'!C373="PLANNING","PASS",IF('Release Gates'!C373="PHYSICAL","OPEN","BLOCKED"))</x:f>
        <x:v>PASS</x:v>
      </x:c>
      <x:c r="G399" t="str">
        <x:v>equals</x:v>
      </x:c>
      <x:c r="H399" t="str">
        <x:f>IF(E399=F399,"PASS","FAIL")</x:f>
        <x:v>PASS</x:v>
      </x:c>
    </x:row>
    <x:row r="400">
      <x:c r="B400" t="str">
        <x:v>A-00368</x:v>
      </x:c>
      <x:c r="C400" t="str">
        <x:v>GATE</x:v>
      </x:c>
      <x:c r="D400" t="str">
        <x:v>release state mirrors governing ledger</x:v>
      </x:c>
      <x:c r="E400" t="str">
        <x:f>'Release Gates'!I374</x:f>
        <x:v>PASS</x:v>
      </x:c>
      <x:c r="F400" t="str">
        <x:f>IF('Release Gates'!C374="PLANNING","PASS",IF('Release Gates'!C374="PHYSICAL","OPEN","BLOCKED"))</x:f>
        <x:v>PASS</x:v>
      </x:c>
      <x:c r="G400" t="str">
        <x:v>equals</x:v>
      </x:c>
      <x:c r="H400" t="str">
        <x:f>IF(E400=F400,"PASS","FAIL")</x:f>
        <x:v>PASS</x:v>
      </x:c>
    </x:row>
    <x:row r="401">
      <x:c r="B401" t="str">
        <x:v>A-00369</x:v>
      </x:c>
      <x:c r="C401" t="str">
        <x:v>GATE</x:v>
      </x:c>
      <x:c r="D401" t="str">
        <x:v>release state mirrors governing ledger</x:v>
      </x:c>
      <x:c r="E401" t="str">
        <x:f>'Release Gates'!I375</x:f>
        <x:v>PASS</x:v>
      </x:c>
      <x:c r="F401" t="str">
        <x:f>IF('Release Gates'!C375="PLANNING","PASS",IF('Release Gates'!C375="PHYSICAL","OPEN","BLOCKED"))</x:f>
        <x:v>PASS</x:v>
      </x:c>
      <x:c r="G401" t="str">
        <x:v>equals</x:v>
      </x:c>
      <x:c r="H401" t="str">
        <x:f>IF(E401=F401,"PASS","FAIL")</x:f>
        <x:v>PASS</x:v>
      </x:c>
    </x:row>
    <x:row r="402">
      <x:c r="B402" t="str">
        <x:v>A-00370</x:v>
      </x:c>
      <x:c r="C402" t="str">
        <x:v>GATE</x:v>
      </x:c>
      <x:c r="D402" t="str">
        <x:v>release state mirrors governing ledger</x:v>
      </x:c>
      <x:c r="E402" t="str">
        <x:f>'Release Gates'!I376</x:f>
        <x:v>PASS</x:v>
      </x:c>
      <x:c r="F402" t="str">
        <x:f>IF('Release Gates'!C376="PLANNING","PASS",IF('Release Gates'!C376="PHYSICAL","OPEN","BLOCKED"))</x:f>
        <x:v>PASS</x:v>
      </x:c>
      <x:c r="G402" t="str">
        <x:v>equals</x:v>
      </x:c>
      <x:c r="H402" t="str">
        <x:f>IF(E402=F402,"PASS","FAIL")</x:f>
        <x:v>PASS</x:v>
      </x:c>
    </x:row>
    <x:row r="403">
      <x:c r="B403" t="str">
        <x:v>A-00371</x:v>
      </x:c>
      <x:c r="C403" t="str">
        <x:v>GATE</x:v>
      </x:c>
      <x:c r="D403" t="str">
        <x:v>release state mirrors governing ledger</x:v>
      </x:c>
      <x:c r="E403" t="str">
        <x:f>'Release Gates'!I377</x:f>
        <x:v>PASS</x:v>
      </x:c>
      <x:c r="F403" t="str">
        <x:f>IF('Release Gates'!C377="PLANNING","PASS",IF('Release Gates'!C377="PHYSICAL","OPEN","BLOCKED"))</x:f>
        <x:v>PASS</x:v>
      </x:c>
      <x:c r="G403" t="str">
        <x:v>equals</x:v>
      </x:c>
      <x:c r="H403" t="str">
        <x:f>IF(E403=F403,"PASS","FAIL")</x:f>
        <x:v>PASS</x:v>
      </x:c>
    </x:row>
    <x:row r="404">
      <x:c r="B404" t="str">
        <x:v>A-00372</x:v>
      </x:c>
      <x:c r="C404" t="str">
        <x:v>GATE</x:v>
      </x:c>
      <x:c r="D404" t="str">
        <x:v>release state mirrors governing ledger</x:v>
      </x:c>
      <x:c r="E404" t="str">
        <x:f>'Release Gates'!I378</x:f>
        <x:v>PASS</x:v>
      </x:c>
      <x:c r="F404" t="str">
        <x:f>IF('Release Gates'!C378="PLANNING","PASS",IF('Release Gates'!C378="PHYSICAL","OPEN","BLOCKED"))</x:f>
        <x:v>PASS</x:v>
      </x:c>
      <x:c r="G404" t="str">
        <x:v>equals</x:v>
      </x:c>
      <x:c r="H404" t="str">
        <x:f>IF(E404=F404,"PASS","FAIL")</x:f>
        <x:v>PASS</x:v>
      </x:c>
    </x:row>
    <x:row r="405">
      <x:c r="B405" t="str">
        <x:v>A-00373</x:v>
      </x:c>
      <x:c r="C405" t="str">
        <x:v>GATE</x:v>
      </x:c>
      <x:c r="D405" t="str">
        <x:v>release state mirrors governing ledger</x:v>
      </x:c>
      <x:c r="E405" t="str">
        <x:f>'Release Gates'!I379</x:f>
        <x:v>PASS</x:v>
      </x:c>
      <x:c r="F405" t="str">
        <x:f>IF('Release Gates'!C379="PLANNING","PASS",IF('Release Gates'!C379="PHYSICAL","OPEN","BLOCKED"))</x:f>
        <x:v>PASS</x:v>
      </x:c>
      <x:c r="G405" t="str">
        <x:v>equals</x:v>
      </x:c>
      <x:c r="H405" t="str">
        <x:f>IF(E405=F405,"PASS","FAIL")</x:f>
        <x:v>PASS</x:v>
      </x:c>
    </x:row>
    <x:row r="406">
      <x:c r="B406" t="str">
        <x:v>A-00374</x:v>
      </x:c>
      <x:c r="C406" t="str">
        <x:v>GATE</x:v>
      </x:c>
      <x:c r="D406" t="str">
        <x:v>release state mirrors governing ledger</x:v>
      </x:c>
      <x:c r="E406" t="str">
        <x:f>'Release Gates'!I380</x:f>
        <x:v>PASS</x:v>
      </x:c>
      <x:c r="F406" t="str">
        <x:f>IF('Release Gates'!C380="PLANNING","PASS",IF('Release Gates'!C380="PHYSICAL","OPEN","BLOCKED"))</x:f>
        <x:v>PASS</x:v>
      </x:c>
      <x:c r="G406" t="str">
        <x:v>equals</x:v>
      </x:c>
      <x:c r="H406" t="str">
        <x:f>IF(E406=F406,"PASS","FAIL")</x:f>
        <x:v>PASS</x:v>
      </x:c>
    </x:row>
    <x:row r="407">
      <x:c r="B407" t="str">
        <x:v>A-00375</x:v>
      </x:c>
      <x:c r="C407" t="str">
        <x:v>GATE</x:v>
      </x:c>
      <x:c r="D407" t="str">
        <x:v>release state mirrors governing ledger</x:v>
      </x:c>
      <x:c r="E407" t="str">
        <x:f>'Release Gates'!I381</x:f>
        <x:v>PASS</x:v>
      </x:c>
      <x:c r="F407" t="str">
        <x:f>IF('Release Gates'!C381="PLANNING","PASS",IF('Release Gates'!C381="PHYSICAL","OPEN","BLOCKED"))</x:f>
        <x:v>PASS</x:v>
      </x:c>
      <x:c r="G407" t="str">
        <x:v>equals</x:v>
      </x:c>
      <x:c r="H407" t="str">
        <x:f>IF(E407=F407,"PASS","FAIL")</x:f>
        <x:v>PASS</x:v>
      </x:c>
    </x:row>
    <x:row r="408">
      <x:c r="B408" t="str">
        <x:v>A-00376</x:v>
      </x:c>
      <x:c r="C408" t="str">
        <x:v>GATE</x:v>
      </x:c>
      <x:c r="D408" t="str">
        <x:v>release state mirrors governing ledger</x:v>
      </x:c>
      <x:c r="E408" t="str">
        <x:f>'Release Gates'!I382</x:f>
        <x:v>PASS</x:v>
      </x:c>
      <x:c r="F408" t="str">
        <x:f>IF('Release Gates'!C382="PLANNING","PASS",IF('Release Gates'!C382="PHYSICAL","OPEN","BLOCKED"))</x:f>
        <x:v>PASS</x:v>
      </x:c>
      <x:c r="G408" t="str">
        <x:v>equals</x:v>
      </x:c>
      <x:c r="H408" t="str">
        <x:f>IF(E408=F408,"PASS","FAIL")</x:f>
        <x:v>PASS</x:v>
      </x:c>
    </x:row>
    <x:row r="409">
      <x:c r="B409" t="str">
        <x:v>A-00377</x:v>
      </x:c>
      <x:c r="C409" t="str">
        <x:v>GATE</x:v>
      </x:c>
      <x:c r="D409" t="str">
        <x:v>release state mirrors governing ledger</x:v>
      </x:c>
      <x:c r="E409" t="str">
        <x:f>'Release Gates'!I383</x:f>
        <x:v>PASS</x:v>
      </x:c>
      <x:c r="F409" t="str">
        <x:f>IF('Release Gates'!C383="PLANNING","PASS",IF('Release Gates'!C383="PHYSICAL","OPEN","BLOCKED"))</x:f>
        <x:v>PASS</x:v>
      </x:c>
      <x:c r="G409" t="str">
        <x:v>equals</x:v>
      </x:c>
      <x:c r="H409" t="str">
        <x:f>IF(E409=F409,"PASS","FAIL")</x:f>
        <x:v>PASS</x:v>
      </x:c>
    </x:row>
    <x:row r="410">
      <x:c r="B410" t="str">
        <x:v>A-00378</x:v>
      </x:c>
      <x:c r="C410" t="str">
        <x:v>GATE</x:v>
      </x:c>
      <x:c r="D410" t="str">
        <x:v>release state mirrors governing ledger</x:v>
      </x:c>
      <x:c r="E410" t="str">
        <x:f>'Release Gates'!I384</x:f>
        <x:v>PASS</x:v>
      </x:c>
      <x:c r="F410" t="str">
        <x:f>IF('Release Gates'!C384="PLANNING","PASS",IF('Release Gates'!C384="PHYSICAL","OPEN","BLOCKED"))</x:f>
        <x:v>PASS</x:v>
      </x:c>
      <x:c r="G410" t="str">
        <x:v>equals</x:v>
      </x:c>
      <x:c r="H410" t="str">
        <x:f>IF(E410=F410,"PASS","FAIL")</x:f>
        <x:v>PASS</x:v>
      </x:c>
    </x:row>
    <x:row r="411">
      <x:c r="B411" t="str">
        <x:v>A-00379</x:v>
      </x:c>
      <x:c r="C411" t="str">
        <x:v>GATE</x:v>
      </x:c>
      <x:c r="D411" t="str">
        <x:v>release state mirrors governing ledger</x:v>
      </x:c>
      <x:c r="E411" t="str">
        <x:f>'Release Gates'!I385</x:f>
        <x:v>PASS</x:v>
      </x:c>
      <x:c r="F411" t="str">
        <x:f>IF('Release Gates'!C385="PLANNING","PASS",IF('Release Gates'!C385="PHYSICAL","OPEN","BLOCKED"))</x:f>
        <x:v>PASS</x:v>
      </x:c>
      <x:c r="G411" t="str">
        <x:v>equals</x:v>
      </x:c>
      <x:c r="H411" t="str">
        <x:f>IF(E411=F411,"PASS","FAIL")</x:f>
        <x:v>PASS</x:v>
      </x:c>
    </x:row>
    <x:row r="412">
      <x:c r="B412" t="str">
        <x:v>A-00380</x:v>
      </x:c>
      <x:c r="C412" t="str">
        <x:v>GATE</x:v>
      </x:c>
      <x:c r="D412" t="str">
        <x:v>release state mirrors governing ledger</x:v>
      </x:c>
      <x:c r="E412" t="str">
        <x:f>'Release Gates'!I386</x:f>
        <x:v>PASS</x:v>
      </x:c>
      <x:c r="F412" t="str">
        <x:f>IF('Release Gates'!C386="PLANNING","PASS",IF('Release Gates'!C386="PHYSICAL","OPEN","BLOCKED"))</x:f>
        <x:v>PASS</x:v>
      </x:c>
      <x:c r="G412" t="str">
        <x:v>equals</x:v>
      </x:c>
      <x:c r="H412" t="str">
        <x:f>IF(E412=F412,"PASS","FAIL")</x:f>
        <x:v>PASS</x:v>
      </x:c>
    </x:row>
    <x:row r="413">
      <x:c r="B413" t="str">
        <x:v>A-00381</x:v>
      </x:c>
      <x:c r="C413" t="str">
        <x:v>GATE</x:v>
      </x:c>
      <x:c r="D413" t="str">
        <x:v>release state mirrors governing ledger</x:v>
      </x:c>
      <x:c r="E413" t="str">
        <x:f>'Release Gates'!I387</x:f>
        <x:v>PASS</x:v>
      </x:c>
      <x:c r="F413" t="str">
        <x:f>IF('Release Gates'!C387="PLANNING","PASS",IF('Release Gates'!C387="PHYSICAL","OPEN","BLOCKED"))</x:f>
        <x:v>PASS</x:v>
      </x:c>
      <x:c r="G413" t="str">
        <x:v>equals</x:v>
      </x:c>
      <x:c r="H413" t="str">
        <x:f>IF(E413=F413,"PASS","FAIL")</x:f>
        <x:v>PASS</x:v>
      </x:c>
    </x:row>
    <x:row r="414">
      <x:c r="B414" t="str">
        <x:v>A-00382</x:v>
      </x:c>
      <x:c r="C414" t="str">
        <x:v>GATE</x:v>
      </x:c>
      <x:c r="D414" t="str">
        <x:v>release state mirrors governing ledger</x:v>
      </x:c>
      <x:c r="E414" t="str">
        <x:f>'Release Gates'!I388</x:f>
        <x:v>PASS</x:v>
      </x:c>
      <x:c r="F414" t="str">
        <x:f>IF('Release Gates'!C388="PLANNING","PASS",IF('Release Gates'!C388="PHYSICAL","OPEN","BLOCKED"))</x:f>
        <x:v>PASS</x:v>
      </x:c>
      <x:c r="G414" t="str">
        <x:v>equals</x:v>
      </x:c>
      <x:c r="H414" t="str">
        <x:f>IF(E414=F414,"PASS","FAIL")</x:f>
        <x:v>PASS</x:v>
      </x:c>
    </x:row>
    <x:row r="415">
      <x:c r="B415" t="str">
        <x:v>A-00383</x:v>
      </x:c>
      <x:c r="C415" t="str">
        <x:v>GATE</x:v>
      </x:c>
      <x:c r="D415" t="str">
        <x:v>release state mirrors governing ledger</x:v>
      </x:c>
      <x:c r="E415" t="str">
        <x:f>'Release Gates'!I389</x:f>
        <x:v>PASS</x:v>
      </x:c>
      <x:c r="F415" t="str">
        <x:f>IF('Release Gates'!C389="PLANNING","PASS",IF('Release Gates'!C389="PHYSICAL","OPEN","BLOCKED"))</x:f>
        <x:v>PASS</x:v>
      </x:c>
      <x:c r="G415" t="str">
        <x:v>equals</x:v>
      </x:c>
      <x:c r="H415" t="str">
        <x:f>IF(E415=F415,"PASS","FAIL")</x:f>
        <x:v>PASS</x:v>
      </x:c>
    </x:row>
    <x:row r="416">
      <x:c r="B416" t="str">
        <x:v>A-00384</x:v>
      </x:c>
      <x:c r="C416" t="str">
        <x:v>GATE</x:v>
      </x:c>
      <x:c r="D416" t="str">
        <x:v>release state mirrors governing ledger</x:v>
      </x:c>
      <x:c r="E416" t="str">
        <x:f>'Release Gates'!I390</x:f>
        <x:v>PASS</x:v>
      </x:c>
      <x:c r="F416" t="str">
        <x:f>IF('Release Gates'!C390="PLANNING","PASS",IF('Release Gates'!C390="PHYSICAL","OPEN","BLOCKED"))</x:f>
        <x:v>PASS</x:v>
      </x:c>
      <x:c r="G416" t="str">
        <x:v>equals</x:v>
      </x:c>
      <x:c r="H416" t="str">
        <x:f>IF(E416=F416,"PASS","FAIL")</x:f>
        <x:v>PASS</x:v>
      </x:c>
    </x:row>
    <x:row r="417">
      <x:c r="B417" t="str">
        <x:v>A-00385</x:v>
      </x:c>
      <x:c r="C417" t="str">
        <x:v>GATE</x:v>
      </x:c>
      <x:c r="D417" t="str">
        <x:v>release state mirrors governing ledger</x:v>
      </x:c>
      <x:c r="E417" t="str">
        <x:f>'Release Gates'!I391</x:f>
        <x:v>PASS</x:v>
      </x:c>
      <x:c r="F417" t="str">
        <x:f>IF('Release Gates'!C391="PLANNING","PASS",IF('Release Gates'!C391="PHYSICAL","OPEN","BLOCKED"))</x:f>
        <x:v>PASS</x:v>
      </x:c>
      <x:c r="G417" t="str">
        <x:v>equals</x:v>
      </x:c>
      <x:c r="H417" t="str">
        <x:f>IF(E417=F417,"PASS","FAIL")</x:f>
        <x:v>PASS</x:v>
      </x:c>
    </x:row>
    <x:row r="418">
      <x:c r="B418" t="str">
        <x:v>A-00386</x:v>
      </x:c>
      <x:c r="C418" t="str">
        <x:v>GATE</x:v>
      </x:c>
      <x:c r="D418" t="str">
        <x:v>release state mirrors governing ledger</x:v>
      </x:c>
      <x:c r="E418" t="str">
        <x:f>'Release Gates'!I392</x:f>
        <x:v>PASS</x:v>
      </x:c>
      <x:c r="F418" t="str">
        <x:f>IF('Release Gates'!C392="PLANNING","PASS",IF('Release Gates'!C392="PHYSICAL","OPEN","BLOCKED"))</x:f>
        <x:v>PASS</x:v>
      </x:c>
      <x:c r="G418" t="str">
        <x:v>equals</x:v>
      </x:c>
      <x:c r="H418" t="str">
        <x:f>IF(E418=F418,"PASS","FAIL")</x:f>
        <x:v>PASS</x:v>
      </x:c>
    </x:row>
    <x:row r="419">
      <x:c r="B419" t="str">
        <x:v>A-00387</x:v>
      </x:c>
      <x:c r="C419" t="str">
        <x:v>GATE</x:v>
      </x:c>
      <x:c r="D419" t="str">
        <x:v>release state mirrors governing ledger</x:v>
      </x:c>
      <x:c r="E419" t="str">
        <x:f>'Release Gates'!I393</x:f>
        <x:v>PASS</x:v>
      </x:c>
      <x:c r="F419" t="str">
        <x:f>IF('Release Gates'!C393="PLANNING","PASS",IF('Release Gates'!C393="PHYSICAL","OPEN","BLOCKED"))</x:f>
        <x:v>PASS</x:v>
      </x:c>
      <x:c r="G419" t="str">
        <x:v>equals</x:v>
      </x:c>
      <x:c r="H419" t="str">
        <x:f>IF(E419=F419,"PASS","FAIL")</x:f>
        <x:v>PASS</x:v>
      </x:c>
    </x:row>
    <x:row r="420">
      <x:c r="B420" t="str">
        <x:v>A-00388</x:v>
      </x:c>
      <x:c r="C420" t="str">
        <x:v>GATE</x:v>
      </x:c>
      <x:c r="D420" t="str">
        <x:v>release state mirrors governing ledger</x:v>
      </x:c>
      <x:c r="E420" t="str">
        <x:f>'Release Gates'!I394</x:f>
        <x:v>PASS</x:v>
      </x:c>
      <x:c r="F420" t="str">
        <x:f>IF('Release Gates'!C394="PLANNING","PASS",IF('Release Gates'!C394="PHYSICAL","OPEN","BLOCKED"))</x:f>
        <x:v>PASS</x:v>
      </x:c>
      <x:c r="G420" t="str">
        <x:v>equals</x:v>
      </x:c>
      <x:c r="H420" t="str">
        <x:f>IF(E420=F420,"PASS","FAIL")</x:f>
        <x:v>PASS</x:v>
      </x:c>
    </x:row>
    <x:row r="421">
      <x:c r="B421" t="str">
        <x:v>A-00389</x:v>
      </x:c>
      <x:c r="C421" t="str">
        <x:v>GATE</x:v>
      </x:c>
      <x:c r="D421" t="str">
        <x:v>release state mirrors governing ledger</x:v>
      </x:c>
      <x:c r="E421" t="str">
        <x:f>'Release Gates'!I395</x:f>
        <x:v>PASS</x:v>
      </x:c>
      <x:c r="F421" t="str">
        <x:f>IF('Release Gates'!C395="PLANNING","PASS",IF('Release Gates'!C395="PHYSICAL","OPEN","BLOCKED"))</x:f>
        <x:v>PASS</x:v>
      </x:c>
      <x:c r="G421" t="str">
        <x:v>equals</x:v>
      </x:c>
      <x:c r="H421" t="str">
        <x:f>IF(E421=F421,"PASS","FAIL")</x:f>
        <x:v>PASS</x:v>
      </x:c>
    </x:row>
    <x:row r="422">
      <x:c r="B422" t="str">
        <x:v>A-00390</x:v>
      </x:c>
      <x:c r="C422" t="str">
        <x:v>GATE</x:v>
      </x:c>
      <x:c r="D422" t="str">
        <x:v>release state mirrors governing ledger</x:v>
      </x:c>
      <x:c r="E422" t="str">
        <x:f>'Release Gates'!I396</x:f>
        <x:v>PASS</x:v>
      </x:c>
      <x:c r="F422" t="str">
        <x:f>IF('Release Gates'!C396="PLANNING","PASS",IF('Release Gates'!C396="PHYSICAL","OPEN","BLOCKED"))</x:f>
        <x:v>PASS</x:v>
      </x:c>
      <x:c r="G422" t="str">
        <x:v>equals</x:v>
      </x:c>
      <x:c r="H422" t="str">
        <x:f>IF(E422=F422,"PASS","FAIL")</x:f>
        <x:v>PASS</x:v>
      </x:c>
    </x:row>
    <x:row r="423">
      <x:c r="B423" t="str">
        <x:v>A-00391</x:v>
      </x:c>
      <x:c r="C423" t="str">
        <x:v>GATE</x:v>
      </x:c>
      <x:c r="D423" t="str">
        <x:v>release state mirrors governing ledger</x:v>
      </x:c>
      <x:c r="E423" t="str">
        <x:f>'Release Gates'!I397</x:f>
        <x:v>PASS</x:v>
      </x:c>
      <x:c r="F423" t="str">
        <x:f>IF('Release Gates'!C397="PLANNING","PASS",IF('Release Gates'!C397="PHYSICAL","OPEN","BLOCKED"))</x:f>
        <x:v>PASS</x:v>
      </x:c>
      <x:c r="G423" t="str">
        <x:v>equals</x:v>
      </x:c>
      <x:c r="H423" t="str">
        <x:f>IF(E423=F423,"PASS","FAIL")</x:f>
        <x:v>PASS</x:v>
      </x:c>
    </x:row>
    <x:row r="424">
      <x:c r="B424" t="str">
        <x:v>A-00392</x:v>
      </x:c>
      <x:c r="C424" t="str">
        <x:v>GATE</x:v>
      </x:c>
      <x:c r="D424" t="str">
        <x:v>release state mirrors governing ledger</x:v>
      </x:c>
      <x:c r="E424" t="str">
        <x:f>'Release Gates'!I398</x:f>
        <x:v>PASS</x:v>
      </x:c>
      <x:c r="F424" t="str">
        <x:f>IF('Release Gates'!C398="PLANNING","PASS",IF('Release Gates'!C398="PHYSICAL","OPEN","BLOCKED"))</x:f>
        <x:v>PASS</x:v>
      </x:c>
      <x:c r="G424" t="str">
        <x:v>equals</x:v>
      </x:c>
      <x:c r="H424" t="str">
        <x:f>IF(E424=F424,"PASS","FAIL")</x:f>
        <x:v>PASS</x:v>
      </x:c>
    </x:row>
    <x:row r="425">
      <x:c r="B425" t="str">
        <x:v>A-00393</x:v>
      </x:c>
      <x:c r="C425" t="str">
        <x:v>GATE</x:v>
      </x:c>
      <x:c r="D425" t="str">
        <x:v>release state mirrors governing ledger</x:v>
      </x:c>
      <x:c r="E425" t="str">
        <x:f>'Release Gates'!I399</x:f>
        <x:v>PASS</x:v>
      </x:c>
      <x:c r="F425" t="str">
        <x:f>IF('Release Gates'!C399="PLANNING","PASS",IF('Release Gates'!C399="PHYSICAL","OPEN","BLOCKED"))</x:f>
        <x:v>PASS</x:v>
      </x:c>
      <x:c r="G425" t="str">
        <x:v>equals</x:v>
      </x:c>
      <x:c r="H425" t="str">
        <x:f>IF(E425=F425,"PASS","FAIL")</x:f>
        <x:v>PASS</x:v>
      </x:c>
    </x:row>
    <x:row r="426">
      <x:c r="B426" t="str">
        <x:v>A-00394</x:v>
      </x:c>
      <x:c r="C426" t="str">
        <x:v>GATE</x:v>
      </x:c>
      <x:c r="D426" t="str">
        <x:v>release state mirrors governing ledger</x:v>
      </x:c>
      <x:c r="E426" t="str">
        <x:f>'Release Gates'!I400</x:f>
        <x:v>PASS</x:v>
      </x:c>
      <x:c r="F426" t="str">
        <x:f>IF('Release Gates'!C400="PLANNING","PASS",IF('Release Gates'!C400="PHYSICAL","OPEN","BLOCKED"))</x:f>
        <x:v>PASS</x:v>
      </x:c>
      <x:c r="G426" t="str">
        <x:v>equals</x:v>
      </x:c>
      <x:c r="H426" t="str">
        <x:f>IF(E426=F426,"PASS","FAIL")</x:f>
        <x:v>PASS</x:v>
      </x:c>
    </x:row>
    <x:row r="427">
      <x:c r="B427" t="str">
        <x:v>A-00395</x:v>
      </x:c>
      <x:c r="C427" t="str">
        <x:v>GATE</x:v>
      </x:c>
      <x:c r="D427" t="str">
        <x:v>release state mirrors governing ledger</x:v>
      </x:c>
      <x:c r="E427" t="str">
        <x:f>'Release Gates'!I401</x:f>
        <x:v>PASS</x:v>
      </x:c>
      <x:c r="F427" t="str">
        <x:f>IF('Release Gates'!C401="PLANNING","PASS",IF('Release Gates'!C401="PHYSICAL","OPEN","BLOCKED"))</x:f>
        <x:v>PASS</x:v>
      </x:c>
      <x:c r="G427" t="str">
        <x:v>equals</x:v>
      </x:c>
      <x:c r="H427" t="str">
        <x:f>IF(E427=F427,"PASS","FAIL")</x:f>
        <x:v>PASS</x:v>
      </x:c>
    </x:row>
    <x:row r="428">
      <x:c r="B428" t="str">
        <x:v>A-00396</x:v>
      </x:c>
      <x:c r="C428" t="str">
        <x:v>GATE</x:v>
      </x:c>
      <x:c r="D428" t="str">
        <x:v>release state mirrors governing ledger</x:v>
      </x:c>
      <x:c r="E428" t="str">
        <x:f>'Release Gates'!I402</x:f>
        <x:v>PASS</x:v>
      </x:c>
      <x:c r="F428" t="str">
        <x:f>IF('Release Gates'!C402="PLANNING","PASS",IF('Release Gates'!C402="PHYSICAL","OPEN","BLOCKED"))</x:f>
        <x:v>PASS</x:v>
      </x:c>
      <x:c r="G428" t="str">
        <x:v>equals</x:v>
      </x:c>
      <x:c r="H428" t="str">
        <x:f>IF(E428=F428,"PASS","FAIL")</x:f>
        <x:v>PASS</x:v>
      </x:c>
    </x:row>
    <x:row r="429">
      <x:c r="B429" t="str">
        <x:v>A-00397</x:v>
      </x:c>
      <x:c r="C429" t="str">
        <x:v>GATE</x:v>
      </x:c>
      <x:c r="D429" t="str">
        <x:v>release state mirrors governing ledger</x:v>
      </x:c>
      <x:c r="E429" t="str">
        <x:f>'Release Gates'!I403</x:f>
        <x:v>PASS</x:v>
      </x:c>
      <x:c r="F429" t="str">
        <x:f>IF('Release Gates'!C403="PLANNING","PASS",IF('Release Gates'!C403="PHYSICAL","OPEN","BLOCKED"))</x:f>
        <x:v>PASS</x:v>
      </x:c>
      <x:c r="G429" t="str">
        <x:v>equals</x:v>
      </x:c>
      <x:c r="H429" t="str">
        <x:f>IF(E429=F429,"PASS","FAIL")</x:f>
        <x:v>PASS</x:v>
      </x:c>
    </x:row>
    <x:row r="430">
      <x:c r="B430" t="str">
        <x:v>A-00398</x:v>
      </x:c>
      <x:c r="C430" t="str">
        <x:v>GATE</x:v>
      </x:c>
      <x:c r="D430" t="str">
        <x:v>release state mirrors governing ledger</x:v>
      </x:c>
      <x:c r="E430" t="str">
        <x:f>'Release Gates'!I404</x:f>
        <x:v>PASS</x:v>
      </x:c>
      <x:c r="F430" t="str">
        <x:f>IF('Release Gates'!C404="PLANNING","PASS",IF('Release Gates'!C404="PHYSICAL","OPEN","BLOCKED"))</x:f>
        <x:v>PASS</x:v>
      </x:c>
      <x:c r="G430" t="str">
        <x:v>equals</x:v>
      </x:c>
      <x:c r="H430" t="str">
        <x:f>IF(E430=F430,"PASS","FAIL")</x:f>
        <x:v>PASS</x:v>
      </x:c>
    </x:row>
    <x:row r="431">
      <x:c r="B431" t="str">
        <x:v>A-00399</x:v>
      </x:c>
      <x:c r="C431" t="str">
        <x:v>GATE</x:v>
      </x:c>
      <x:c r="D431" t="str">
        <x:v>release state mirrors governing ledger</x:v>
      </x:c>
      <x:c r="E431" t="str">
        <x:f>'Release Gates'!I405</x:f>
        <x:v>PASS</x:v>
      </x:c>
      <x:c r="F431" t="str">
        <x:f>IF('Release Gates'!C405="PLANNING","PASS",IF('Release Gates'!C405="PHYSICAL","OPEN","BLOCKED"))</x:f>
        <x:v>PASS</x:v>
      </x:c>
      <x:c r="G431" t="str">
        <x:v>equals</x:v>
      </x:c>
      <x:c r="H431" t="str">
        <x:f>IF(E431=F431,"PASS","FAIL")</x:f>
        <x:v>PASS</x:v>
      </x:c>
    </x:row>
    <x:row r="432">
      <x:c r="B432" t="str">
        <x:v>A-00400</x:v>
      </x:c>
      <x:c r="C432" t="str">
        <x:v>GATE</x:v>
      </x:c>
      <x:c r="D432" t="str">
        <x:v>release state mirrors governing ledger</x:v>
      </x:c>
      <x:c r="E432" t="str">
        <x:f>'Release Gates'!I406</x:f>
        <x:v>PASS</x:v>
      </x:c>
      <x:c r="F432" t="str">
        <x:f>IF('Release Gates'!C406="PLANNING","PASS",IF('Release Gates'!C406="PHYSICAL","OPEN","BLOCKED"))</x:f>
        <x:v>PASS</x:v>
      </x:c>
      <x:c r="G432" t="str">
        <x:v>equals</x:v>
      </x:c>
      <x:c r="H432" t="str">
        <x:f>IF(E432=F432,"PASS","FAIL")</x:f>
        <x:v>PASS</x:v>
      </x:c>
    </x:row>
    <x:row r="433">
      <x:c r="B433" t="str">
        <x:v>A-00401</x:v>
      </x:c>
      <x:c r="C433" t="str">
        <x:v>GATE</x:v>
      </x:c>
      <x:c r="D433" t="str">
        <x:v>release state mirrors governing ledger</x:v>
      </x:c>
      <x:c r="E433" t="str">
        <x:f>'Release Gates'!I407</x:f>
        <x:v>PASS</x:v>
      </x:c>
      <x:c r="F433" t="str">
        <x:f>IF('Release Gates'!C407="PLANNING","PASS",IF('Release Gates'!C407="PHYSICAL","OPEN","BLOCKED"))</x:f>
        <x:v>PASS</x:v>
      </x:c>
      <x:c r="G433" t="str">
        <x:v>equals</x:v>
      </x:c>
      <x:c r="H433" t="str">
        <x:f>IF(E433=F433,"PASS","FAIL")</x:f>
        <x:v>PASS</x:v>
      </x:c>
    </x:row>
    <x:row r="434">
      <x:c r="B434" t="str">
        <x:v>A-00402</x:v>
      </x:c>
      <x:c r="C434" t="str">
        <x:v>GATE</x:v>
      </x:c>
      <x:c r="D434" t="str">
        <x:v>release state mirrors governing ledger</x:v>
      </x:c>
      <x:c r="E434" t="str">
        <x:f>'Release Gates'!I408</x:f>
        <x:v>PASS</x:v>
      </x:c>
      <x:c r="F434" t="str">
        <x:f>IF('Release Gates'!C408="PLANNING","PASS",IF('Release Gates'!C408="PHYSICAL","OPEN","BLOCKED"))</x:f>
        <x:v>PASS</x:v>
      </x:c>
      <x:c r="G434" t="str">
        <x:v>equals</x:v>
      </x:c>
      <x:c r="H434" t="str">
        <x:f>IF(E434=F434,"PASS","FAIL")</x:f>
        <x:v>PASS</x:v>
      </x:c>
    </x:row>
    <x:row r="435">
      <x:c r="B435" t="str">
        <x:v>A-00403</x:v>
      </x:c>
      <x:c r="C435" t="str">
        <x:v>GATE</x:v>
      </x:c>
      <x:c r="D435" t="str">
        <x:v>release state mirrors governing ledger</x:v>
      </x:c>
      <x:c r="E435" t="str">
        <x:f>'Release Gates'!I409</x:f>
        <x:v>PASS</x:v>
      </x:c>
      <x:c r="F435" t="str">
        <x:f>IF('Release Gates'!C409="PLANNING","PASS",IF('Release Gates'!C409="PHYSICAL","OPEN","BLOCKED"))</x:f>
        <x:v>PASS</x:v>
      </x:c>
      <x:c r="G435" t="str">
        <x:v>equals</x:v>
      </x:c>
      <x:c r="H435" t="str">
        <x:f>IF(E435=F435,"PASS","FAIL")</x:f>
        <x:v>PASS</x:v>
      </x:c>
    </x:row>
    <x:row r="436">
      <x:c r="B436" t="str">
        <x:v>A-00404</x:v>
      </x:c>
      <x:c r="C436" t="str">
        <x:v>GATE</x:v>
      </x:c>
      <x:c r="D436" t="str">
        <x:v>release state mirrors governing ledger</x:v>
      </x:c>
      <x:c r="E436" t="str">
        <x:f>'Release Gates'!I410</x:f>
        <x:v>PASS</x:v>
      </x:c>
      <x:c r="F436" t="str">
        <x:f>IF('Release Gates'!C410="PLANNING","PASS",IF('Release Gates'!C410="PHYSICAL","OPEN","BLOCKED"))</x:f>
        <x:v>PASS</x:v>
      </x:c>
      <x:c r="G436" t="str">
        <x:v>equals</x:v>
      </x:c>
      <x:c r="H436" t="str">
        <x:f>IF(E436=F436,"PASS","FAIL")</x:f>
        <x:v>PASS</x:v>
      </x:c>
    </x:row>
    <x:row r="437">
      <x:c r="B437" t="str">
        <x:v>A-00405</x:v>
      </x:c>
      <x:c r="C437" t="str">
        <x:v>GATE</x:v>
      </x:c>
      <x:c r="D437" t="str">
        <x:v>release state mirrors governing ledger</x:v>
      </x:c>
      <x:c r="E437" t="str">
        <x:f>'Release Gates'!I411</x:f>
        <x:v>PASS</x:v>
      </x:c>
      <x:c r="F437" t="str">
        <x:f>IF('Release Gates'!C411="PLANNING","PASS",IF('Release Gates'!C411="PHYSICAL","OPEN","BLOCKED"))</x:f>
        <x:v>PASS</x:v>
      </x:c>
      <x:c r="G437" t="str">
        <x:v>equals</x:v>
      </x:c>
      <x:c r="H437" t="str">
        <x:f>IF(E437=F437,"PASS","FAIL")</x:f>
        <x:v>PASS</x:v>
      </x:c>
    </x:row>
    <x:row r="438">
      <x:c r="B438" t="str">
        <x:v>A-00406</x:v>
      </x:c>
      <x:c r="C438" t="str">
        <x:v>GATE</x:v>
      </x:c>
      <x:c r="D438" t="str">
        <x:v>release state mirrors governing ledger</x:v>
      </x:c>
      <x:c r="E438" t="str">
        <x:f>'Release Gates'!I412</x:f>
        <x:v>PASS</x:v>
      </x:c>
      <x:c r="F438" t="str">
        <x:f>IF('Release Gates'!C412="PLANNING","PASS",IF('Release Gates'!C412="PHYSICAL","OPEN","BLOCKED"))</x:f>
        <x:v>PASS</x:v>
      </x:c>
      <x:c r="G438" t="str">
        <x:v>equals</x:v>
      </x:c>
      <x:c r="H438" t="str">
        <x:f>IF(E438=F438,"PASS","FAIL")</x:f>
        <x:v>PASS</x:v>
      </x:c>
    </x:row>
    <x:row r="439">
      <x:c r="B439" t="str">
        <x:v>A-00407</x:v>
      </x:c>
      <x:c r="C439" t="str">
        <x:v>GATE</x:v>
      </x:c>
      <x:c r="D439" t="str">
        <x:v>release state mirrors governing ledger</x:v>
      </x:c>
      <x:c r="E439" t="str">
        <x:f>'Release Gates'!I413</x:f>
        <x:v>PASS</x:v>
      </x:c>
      <x:c r="F439" t="str">
        <x:f>IF('Release Gates'!C413="PLANNING","PASS",IF('Release Gates'!C413="PHYSICAL","OPEN","BLOCKED"))</x:f>
        <x:v>PASS</x:v>
      </x:c>
      <x:c r="G439" t="str">
        <x:v>equals</x:v>
      </x:c>
      <x:c r="H439" t="str">
        <x:f>IF(E439=F439,"PASS","FAIL")</x:f>
        <x:v>PASS</x:v>
      </x:c>
    </x:row>
    <x:row r="440">
      <x:c r="B440" t="str">
        <x:v>A-00408</x:v>
      </x:c>
      <x:c r="C440" t="str">
        <x:v>GATE</x:v>
      </x:c>
      <x:c r="D440" t="str">
        <x:v>release state mirrors governing ledger</x:v>
      </x:c>
      <x:c r="E440" t="str">
        <x:f>'Release Gates'!I414</x:f>
        <x:v>PASS</x:v>
      </x:c>
      <x:c r="F440" t="str">
        <x:f>IF('Release Gates'!C414="PLANNING","PASS",IF('Release Gates'!C414="PHYSICAL","OPEN","BLOCKED"))</x:f>
        <x:v>PASS</x:v>
      </x:c>
      <x:c r="G440" t="str">
        <x:v>equals</x:v>
      </x:c>
      <x:c r="H440" t="str">
        <x:f>IF(E440=F440,"PASS","FAIL")</x:f>
        <x:v>PASS</x:v>
      </x:c>
    </x:row>
    <x:row r="441">
      <x:c r="B441" t="str">
        <x:v>A-00409</x:v>
      </x:c>
      <x:c r="C441" t="str">
        <x:v>GATE</x:v>
      </x:c>
      <x:c r="D441" t="str">
        <x:v>release state mirrors governing ledger</x:v>
      </x:c>
      <x:c r="E441" t="str">
        <x:f>'Release Gates'!I415</x:f>
        <x:v>PASS</x:v>
      </x:c>
      <x:c r="F441" t="str">
        <x:f>IF('Release Gates'!C415="PLANNING","PASS",IF('Release Gates'!C415="PHYSICAL","OPEN","BLOCKED"))</x:f>
        <x:v>PASS</x:v>
      </x:c>
      <x:c r="G441" t="str">
        <x:v>equals</x:v>
      </x:c>
      <x:c r="H441" t="str">
        <x:f>IF(E441=F441,"PASS","FAIL")</x:f>
        <x:v>PASS</x:v>
      </x:c>
    </x:row>
    <x:row r="442">
      <x:c r="B442" t="str">
        <x:v>A-00410</x:v>
      </x:c>
      <x:c r="C442" t="str">
        <x:v>GATE</x:v>
      </x:c>
      <x:c r="D442" t="str">
        <x:v>release state mirrors governing ledger</x:v>
      </x:c>
      <x:c r="E442" t="str">
        <x:f>'Release Gates'!I416</x:f>
        <x:v>PASS</x:v>
      </x:c>
      <x:c r="F442" t="str">
        <x:f>IF('Release Gates'!C416="PLANNING","PASS",IF('Release Gates'!C416="PHYSICAL","OPEN","BLOCKED"))</x:f>
        <x:v>PASS</x:v>
      </x:c>
      <x:c r="G442" t="str">
        <x:v>equals</x:v>
      </x:c>
      <x:c r="H442" t="str">
        <x:f>IF(E442=F442,"PASS","FAIL")</x:f>
        <x:v>PASS</x:v>
      </x:c>
    </x:row>
    <x:row r="443">
      <x:c r="B443" t="str">
        <x:v>A-00411</x:v>
      </x:c>
      <x:c r="C443" t="str">
        <x:v>GATE</x:v>
      </x:c>
      <x:c r="D443" t="str">
        <x:v>release state mirrors governing ledger</x:v>
      </x:c>
      <x:c r="E443" t="str">
        <x:f>'Release Gates'!I417</x:f>
        <x:v>PASS</x:v>
      </x:c>
      <x:c r="F443" t="str">
        <x:f>IF('Release Gates'!C417="PLANNING","PASS",IF('Release Gates'!C417="PHYSICAL","OPEN","BLOCKED"))</x:f>
        <x:v>PASS</x:v>
      </x:c>
      <x:c r="G443" t="str">
        <x:v>equals</x:v>
      </x:c>
      <x:c r="H443" t="str">
        <x:f>IF(E443=F443,"PASS","FAIL")</x:f>
        <x:v>PASS</x:v>
      </x:c>
    </x:row>
    <x:row r="444">
      <x:c r="B444" t="str">
        <x:v>A-00412</x:v>
      </x:c>
      <x:c r="C444" t="str">
        <x:v>GATE</x:v>
      </x:c>
      <x:c r="D444" t="str">
        <x:v>release state mirrors governing ledger</x:v>
      </x:c>
      <x:c r="E444" t="str">
        <x:f>'Release Gates'!I418</x:f>
        <x:v>PASS</x:v>
      </x:c>
      <x:c r="F444" t="str">
        <x:f>IF('Release Gates'!C418="PLANNING","PASS",IF('Release Gates'!C418="PHYSICAL","OPEN","BLOCKED"))</x:f>
        <x:v>PASS</x:v>
      </x:c>
      <x:c r="G444" t="str">
        <x:v>equals</x:v>
      </x:c>
      <x:c r="H444" t="str">
        <x:f>IF(E444=F444,"PASS","FAIL")</x:f>
        <x:v>PASS</x:v>
      </x:c>
    </x:row>
    <x:row r="445">
      <x:c r="B445" t="str">
        <x:v>A-00413</x:v>
      </x:c>
      <x:c r="C445" t="str">
        <x:v>GATE</x:v>
      </x:c>
      <x:c r="D445" t="str">
        <x:v>release state mirrors governing ledger</x:v>
      </x:c>
      <x:c r="E445" t="str">
        <x:f>'Release Gates'!I419</x:f>
        <x:v>PASS</x:v>
      </x:c>
      <x:c r="F445" t="str">
        <x:f>IF('Release Gates'!C419="PLANNING","PASS",IF('Release Gates'!C419="PHYSICAL","OPEN","BLOCKED"))</x:f>
        <x:v>PASS</x:v>
      </x:c>
      <x:c r="G445" t="str">
        <x:v>equals</x:v>
      </x:c>
      <x:c r="H445" t="str">
        <x:f>IF(E445=F445,"PASS","FAIL")</x:f>
        <x:v>PASS</x:v>
      </x:c>
    </x:row>
    <x:row r="446">
      <x:c r="B446" t="str">
        <x:v>A-00414</x:v>
      </x:c>
      <x:c r="C446" t="str">
        <x:v>GATE</x:v>
      </x:c>
      <x:c r="D446" t="str">
        <x:v>release state mirrors governing ledger</x:v>
      </x:c>
      <x:c r="E446" t="str">
        <x:f>'Release Gates'!I420</x:f>
        <x:v>PASS</x:v>
      </x:c>
      <x:c r="F446" t="str">
        <x:f>IF('Release Gates'!C420="PLANNING","PASS",IF('Release Gates'!C420="PHYSICAL","OPEN","BLOCKED"))</x:f>
        <x:v>PASS</x:v>
      </x:c>
      <x:c r="G446" t="str">
        <x:v>equals</x:v>
      </x:c>
      <x:c r="H446" t="str">
        <x:f>IF(E446=F446,"PASS","FAIL")</x:f>
        <x:v>PASS</x:v>
      </x:c>
    </x:row>
    <x:row r="447">
      <x:c r="B447" t="str">
        <x:v>A-00415</x:v>
      </x:c>
      <x:c r="C447" t="str">
        <x:v>GATE</x:v>
      </x:c>
      <x:c r="D447" t="str">
        <x:v>release state mirrors governing ledger</x:v>
      </x:c>
      <x:c r="E447" t="str">
        <x:f>'Release Gates'!I421</x:f>
        <x:v>PASS</x:v>
      </x:c>
      <x:c r="F447" t="str">
        <x:f>IF('Release Gates'!C421="PLANNING","PASS",IF('Release Gates'!C421="PHYSICAL","OPEN","BLOCKED"))</x:f>
        <x:v>PASS</x:v>
      </x:c>
      <x:c r="G447" t="str">
        <x:v>equals</x:v>
      </x:c>
      <x:c r="H447" t="str">
        <x:f>IF(E447=F447,"PASS","FAIL")</x:f>
        <x:v>PASS</x:v>
      </x:c>
    </x:row>
    <x:row r="448">
      <x:c r="B448" t="str">
        <x:v>A-00416</x:v>
      </x:c>
      <x:c r="C448" t="str">
        <x:v>GATE</x:v>
      </x:c>
      <x:c r="D448" t="str">
        <x:v>release state mirrors governing ledger</x:v>
      </x:c>
      <x:c r="E448" t="str">
        <x:f>'Release Gates'!I422</x:f>
        <x:v>PASS</x:v>
      </x:c>
      <x:c r="F448" t="str">
        <x:f>IF('Release Gates'!C422="PLANNING","PASS",IF('Release Gates'!C422="PHYSICAL","OPEN","BLOCKED"))</x:f>
        <x:v>PASS</x:v>
      </x:c>
      <x:c r="G448" t="str">
        <x:v>equals</x:v>
      </x:c>
      <x:c r="H448" t="str">
        <x:f>IF(E448=F448,"PASS","FAIL")</x:f>
        <x:v>PASS</x:v>
      </x:c>
    </x:row>
    <x:row r="449">
      <x:c r="B449" t="str">
        <x:v>A-00417</x:v>
      </x:c>
      <x:c r="C449" t="str">
        <x:v>GATE</x:v>
      </x:c>
      <x:c r="D449" t="str">
        <x:v>release state mirrors governing ledger</x:v>
      </x:c>
      <x:c r="E449" t="str">
        <x:f>'Release Gates'!I423</x:f>
        <x:v>PASS</x:v>
      </x:c>
      <x:c r="F449" t="str">
        <x:f>IF('Release Gates'!C423="PLANNING","PASS",IF('Release Gates'!C423="PHYSICAL","OPEN","BLOCKED"))</x:f>
        <x:v>PASS</x:v>
      </x:c>
      <x:c r="G449" t="str">
        <x:v>equals</x:v>
      </x:c>
      <x:c r="H449" t="str">
        <x:f>IF(E449=F449,"PASS","FAIL")</x:f>
        <x:v>PASS</x:v>
      </x:c>
    </x:row>
    <x:row r="450">
      <x:c r="B450" t="str">
        <x:v>A-00418</x:v>
      </x:c>
      <x:c r="C450" t="str">
        <x:v>GATE</x:v>
      </x:c>
      <x:c r="D450" t="str">
        <x:v>release state mirrors governing ledger</x:v>
      </x:c>
      <x:c r="E450" t="str">
        <x:f>'Release Gates'!I424</x:f>
        <x:v>PASS</x:v>
      </x:c>
      <x:c r="F450" t="str">
        <x:f>IF('Release Gates'!C424="PLANNING","PASS",IF('Release Gates'!C424="PHYSICAL","OPEN","BLOCKED"))</x:f>
        <x:v>PASS</x:v>
      </x:c>
      <x:c r="G450" t="str">
        <x:v>equals</x:v>
      </x:c>
      <x:c r="H450" t="str">
        <x:f>IF(E450=F450,"PASS","FAIL")</x:f>
        <x:v>PASS</x:v>
      </x:c>
    </x:row>
    <x:row r="451">
      <x:c r="B451" t="str">
        <x:v>A-00419</x:v>
      </x:c>
      <x:c r="C451" t="str">
        <x:v>GATE</x:v>
      </x:c>
      <x:c r="D451" t="str">
        <x:v>release state mirrors governing ledger</x:v>
      </x:c>
      <x:c r="E451" t="str">
        <x:f>'Release Gates'!I425</x:f>
        <x:v>PASS</x:v>
      </x:c>
      <x:c r="F451" t="str">
        <x:f>IF('Release Gates'!C425="PLANNING","PASS",IF('Release Gates'!C425="PHYSICAL","OPEN","BLOCKED"))</x:f>
        <x:v>PASS</x:v>
      </x:c>
      <x:c r="G451" t="str">
        <x:v>equals</x:v>
      </x:c>
      <x:c r="H451" t="str">
        <x:f>IF(E451=F451,"PASS","FAIL")</x:f>
        <x:v>PASS</x:v>
      </x:c>
    </x:row>
    <x:row r="452">
      <x:c r="B452" t="str">
        <x:v>A-00420</x:v>
      </x:c>
      <x:c r="C452" t="str">
        <x:v>GATE</x:v>
      </x:c>
      <x:c r="D452" t="str">
        <x:v>release state mirrors governing ledger</x:v>
      </x:c>
      <x:c r="E452" t="str">
        <x:f>'Release Gates'!I426</x:f>
        <x:v>PASS</x:v>
      </x:c>
      <x:c r="F452" t="str">
        <x:f>IF('Release Gates'!C426="PLANNING","PASS",IF('Release Gates'!C426="PHYSICAL","OPEN","BLOCKED"))</x:f>
        <x:v>PASS</x:v>
      </x:c>
      <x:c r="G452" t="str">
        <x:v>equals</x:v>
      </x:c>
      <x:c r="H452" t="str">
        <x:f>IF(E452=F452,"PASS","FAIL")</x:f>
        <x:v>PASS</x:v>
      </x:c>
    </x:row>
    <x:row r="453">
      <x:c r="B453" t="str">
        <x:v>A-00421</x:v>
      </x:c>
      <x:c r="C453" t="str">
        <x:v>GATE</x:v>
      </x:c>
      <x:c r="D453" t="str">
        <x:v>release state mirrors governing ledger</x:v>
      </x:c>
      <x:c r="E453" t="str">
        <x:f>'Release Gates'!I427</x:f>
        <x:v>PASS</x:v>
      </x:c>
      <x:c r="F453" t="str">
        <x:f>IF('Release Gates'!C427="PLANNING","PASS",IF('Release Gates'!C427="PHYSICAL","OPEN","BLOCKED"))</x:f>
        <x:v>PASS</x:v>
      </x:c>
      <x:c r="G453" t="str">
        <x:v>equals</x:v>
      </x:c>
      <x:c r="H453" t="str">
        <x:f>IF(E453=F453,"PASS","FAIL")</x:f>
        <x:v>PASS</x:v>
      </x:c>
    </x:row>
    <x:row r="454">
      <x:c r="B454" t="str">
        <x:v>A-00422</x:v>
      </x:c>
      <x:c r="C454" t="str">
        <x:v>GATE</x:v>
      </x:c>
      <x:c r="D454" t="str">
        <x:v>release state mirrors governing ledger</x:v>
      </x:c>
      <x:c r="E454" t="str">
        <x:f>'Release Gates'!I428</x:f>
        <x:v>PASS</x:v>
      </x:c>
      <x:c r="F454" t="str">
        <x:f>IF('Release Gates'!C428="PLANNING","PASS",IF('Release Gates'!C428="PHYSICAL","OPEN","BLOCKED"))</x:f>
        <x:v>PASS</x:v>
      </x:c>
      <x:c r="G454" t="str">
        <x:v>equals</x:v>
      </x:c>
      <x:c r="H454" t="str">
        <x:f>IF(E454=F454,"PASS","FAIL")</x:f>
        <x:v>PASS</x:v>
      </x:c>
    </x:row>
    <x:row r="455">
      <x:c r="B455" t="str">
        <x:v>A-00423</x:v>
      </x:c>
      <x:c r="C455" t="str">
        <x:v>GATE</x:v>
      </x:c>
      <x:c r="D455" t="str">
        <x:v>release state mirrors governing ledger</x:v>
      </x:c>
      <x:c r="E455" t="str">
        <x:f>'Release Gates'!I429</x:f>
        <x:v>PASS</x:v>
      </x:c>
      <x:c r="F455" t="str">
        <x:f>IF('Release Gates'!C429="PLANNING","PASS",IF('Release Gates'!C429="PHYSICAL","OPEN","BLOCKED"))</x:f>
        <x:v>PASS</x:v>
      </x:c>
      <x:c r="G455" t="str">
        <x:v>equals</x:v>
      </x:c>
      <x:c r="H455" t="str">
        <x:f>IF(E455=F455,"PASS","FAIL")</x:f>
        <x:v>PASS</x:v>
      </x:c>
    </x:row>
    <x:row r="456">
      <x:c r="B456" t="str">
        <x:v>A-00424</x:v>
      </x:c>
      <x:c r="C456" t="str">
        <x:v>GATE</x:v>
      </x:c>
      <x:c r="D456" t="str">
        <x:v>release state mirrors governing ledger</x:v>
      </x:c>
      <x:c r="E456" t="str">
        <x:f>'Release Gates'!I430</x:f>
        <x:v>PASS</x:v>
      </x:c>
      <x:c r="F456" t="str">
        <x:f>IF('Release Gates'!C430="PLANNING","PASS",IF('Release Gates'!C430="PHYSICAL","OPEN","BLOCKED"))</x:f>
        <x:v>PASS</x:v>
      </x:c>
      <x:c r="G456" t="str">
        <x:v>equals</x:v>
      </x:c>
      <x:c r="H456" t="str">
        <x:f>IF(E456=F456,"PASS","FAIL")</x:f>
        <x:v>PASS</x:v>
      </x:c>
    </x:row>
    <x:row r="457">
      <x:c r="B457" t="str">
        <x:v>A-00425</x:v>
      </x:c>
      <x:c r="C457" t="str">
        <x:v>GATE</x:v>
      </x:c>
      <x:c r="D457" t="str">
        <x:v>release state mirrors governing ledger</x:v>
      </x:c>
      <x:c r="E457" t="str">
        <x:f>'Release Gates'!I431</x:f>
        <x:v>PASS</x:v>
      </x:c>
      <x:c r="F457" t="str">
        <x:f>IF('Release Gates'!C431="PLANNING","PASS",IF('Release Gates'!C431="PHYSICAL","OPEN","BLOCKED"))</x:f>
        <x:v>PASS</x:v>
      </x:c>
      <x:c r="G457" t="str">
        <x:v>equals</x:v>
      </x:c>
      <x:c r="H457" t="str">
        <x:f>IF(E457=F457,"PASS","FAIL")</x:f>
        <x:v>PASS</x:v>
      </x:c>
    </x:row>
    <x:row r="458">
      <x:c r="B458" t="str">
        <x:v>A-00426</x:v>
      </x:c>
      <x:c r="C458" t="str">
        <x:v>GATE</x:v>
      </x:c>
      <x:c r="D458" t="str">
        <x:v>release state mirrors governing ledger</x:v>
      </x:c>
      <x:c r="E458" t="str">
        <x:f>'Release Gates'!I432</x:f>
        <x:v>PASS</x:v>
      </x:c>
      <x:c r="F458" t="str">
        <x:f>IF('Release Gates'!C432="PLANNING","PASS",IF('Release Gates'!C432="PHYSICAL","OPEN","BLOCKED"))</x:f>
        <x:v>PASS</x:v>
      </x:c>
      <x:c r="G458" t="str">
        <x:v>equals</x:v>
      </x:c>
      <x:c r="H458" t="str">
        <x:f>IF(E458=F458,"PASS","FAIL")</x:f>
        <x:v>PASS</x:v>
      </x:c>
    </x:row>
    <x:row r="459">
      <x:c r="B459" t="str">
        <x:v>A-00427</x:v>
      </x:c>
      <x:c r="C459" t="str">
        <x:v>GATE</x:v>
      </x:c>
      <x:c r="D459" t="str">
        <x:v>release state mirrors governing ledger</x:v>
      </x:c>
      <x:c r="E459" t="str">
        <x:f>'Release Gates'!I433</x:f>
        <x:v>PASS</x:v>
      </x:c>
      <x:c r="F459" t="str">
        <x:f>IF('Release Gates'!C433="PLANNING","PASS",IF('Release Gates'!C433="PHYSICAL","OPEN","BLOCKED"))</x:f>
        <x:v>PASS</x:v>
      </x:c>
      <x:c r="G459" t="str">
        <x:v>equals</x:v>
      </x:c>
      <x:c r="H459" t="str">
        <x:f>IF(E459=F459,"PASS","FAIL")</x:f>
        <x:v>PASS</x:v>
      </x:c>
    </x:row>
    <x:row r="460">
      <x:c r="B460" t="str">
        <x:v>A-00428</x:v>
      </x:c>
      <x:c r="C460" t="str">
        <x:v>GATE</x:v>
      </x:c>
      <x:c r="D460" t="str">
        <x:v>release state mirrors governing ledger</x:v>
      </x:c>
      <x:c r="E460" t="str">
        <x:f>'Release Gates'!I434</x:f>
        <x:v>PASS</x:v>
      </x:c>
      <x:c r="F460" t="str">
        <x:f>IF('Release Gates'!C434="PLANNING","PASS",IF('Release Gates'!C434="PHYSICAL","OPEN","BLOCKED"))</x:f>
        <x:v>PASS</x:v>
      </x:c>
      <x:c r="G460" t="str">
        <x:v>equals</x:v>
      </x:c>
      <x:c r="H460" t="str">
        <x:f>IF(E460=F460,"PASS","FAIL")</x:f>
        <x:v>PASS</x:v>
      </x:c>
    </x:row>
    <x:row r="461">
      <x:c r="B461" t="str">
        <x:v>A-00429</x:v>
      </x:c>
      <x:c r="C461" t="str">
        <x:v>GATE</x:v>
      </x:c>
      <x:c r="D461" t="str">
        <x:v>release state mirrors governing ledger</x:v>
      </x:c>
      <x:c r="E461" t="str">
        <x:f>'Release Gates'!I435</x:f>
        <x:v>PASS</x:v>
      </x:c>
      <x:c r="F461" t="str">
        <x:f>IF('Release Gates'!C435="PLANNING","PASS",IF('Release Gates'!C435="PHYSICAL","OPEN","BLOCKED"))</x:f>
        <x:v>PASS</x:v>
      </x:c>
      <x:c r="G461" t="str">
        <x:v>equals</x:v>
      </x:c>
      <x:c r="H461" t="str">
        <x:f>IF(E461=F461,"PASS","FAIL")</x:f>
        <x:v>PASS</x:v>
      </x:c>
    </x:row>
    <x:row r="462">
      <x:c r="B462" t="str">
        <x:v>A-00430</x:v>
      </x:c>
      <x:c r="C462" t="str">
        <x:v>GATE</x:v>
      </x:c>
      <x:c r="D462" t="str">
        <x:v>release state mirrors governing ledger</x:v>
      </x:c>
      <x:c r="E462" t="str">
        <x:f>'Release Gates'!I436</x:f>
        <x:v>PASS</x:v>
      </x:c>
      <x:c r="F462" t="str">
        <x:f>IF('Release Gates'!C436="PLANNING","PASS",IF('Release Gates'!C436="PHYSICAL","OPEN","BLOCKED"))</x:f>
        <x:v>PASS</x:v>
      </x:c>
      <x:c r="G462" t="str">
        <x:v>equals</x:v>
      </x:c>
      <x:c r="H462" t="str">
        <x:f>IF(E462=F462,"PASS","FAIL")</x:f>
        <x:v>PASS</x:v>
      </x:c>
    </x:row>
    <x:row r="463">
      <x:c r="B463" t="str">
        <x:v>A-00431</x:v>
      </x:c>
      <x:c r="C463" t="str">
        <x:v>GATE</x:v>
      </x:c>
      <x:c r="D463" t="str">
        <x:v>release state mirrors governing ledger</x:v>
      </x:c>
      <x:c r="E463" t="str">
        <x:f>'Release Gates'!I437</x:f>
        <x:v>PASS</x:v>
      </x:c>
      <x:c r="F463" t="str">
        <x:f>IF('Release Gates'!C437="PLANNING","PASS",IF('Release Gates'!C437="PHYSICAL","OPEN","BLOCKED"))</x:f>
        <x:v>PASS</x:v>
      </x:c>
      <x:c r="G463" t="str">
        <x:v>equals</x:v>
      </x:c>
      <x:c r="H463" t="str">
        <x:f>IF(E463=F463,"PASS","FAIL")</x:f>
        <x:v>PASS</x:v>
      </x:c>
    </x:row>
    <x:row r="464">
      <x:c r="B464" t="str">
        <x:v>A-00432</x:v>
      </x:c>
      <x:c r="C464" t="str">
        <x:v>GATE</x:v>
      </x:c>
      <x:c r="D464" t="str">
        <x:v>release state mirrors governing ledger</x:v>
      </x:c>
      <x:c r="E464" t="str">
        <x:f>'Release Gates'!I438</x:f>
        <x:v>PASS</x:v>
      </x:c>
      <x:c r="F464" t="str">
        <x:f>IF('Release Gates'!C438="PLANNING","PASS",IF('Release Gates'!C438="PHYSICAL","OPEN","BLOCKED"))</x:f>
        <x:v>PASS</x:v>
      </x:c>
      <x:c r="G464" t="str">
        <x:v>equals</x:v>
      </x:c>
      <x:c r="H464" t="str">
        <x:f>IF(E464=F464,"PASS","FAIL")</x:f>
        <x:v>PASS</x:v>
      </x:c>
    </x:row>
    <x:row r="465">
      <x:c r="B465" t="str">
        <x:v>A-00433</x:v>
      </x:c>
      <x:c r="C465" t="str">
        <x:v>GATE</x:v>
      </x:c>
      <x:c r="D465" t="str">
        <x:v>release state mirrors governing ledger</x:v>
      </x:c>
      <x:c r="E465" t="str">
        <x:f>'Release Gates'!I439</x:f>
        <x:v>PASS</x:v>
      </x:c>
      <x:c r="F465" t="str">
        <x:f>IF('Release Gates'!C439="PLANNING","PASS",IF('Release Gates'!C439="PHYSICAL","OPEN","BLOCKED"))</x:f>
        <x:v>PASS</x:v>
      </x:c>
      <x:c r="G465" t="str">
        <x:v>equals</x:v>
      </x:c>
      <x:c r="H465" t="str">
        <x:f>IF(E465=F465,"PASS","FAIL")</x:f>
        <x:v>PASS</x:v>
      </x:c>
    </x:row>
    <x:row r="466">
      <x:c r="B466" t="str">
        <x:v>A-00434</x:v>
      </x:c>
      <x:c r="C466" t="str">
        <x:v>GATE</x:v>
      </x:c>
      <x:c r="D466" t="str">
        <x:v>release state mirrors governing ledger</x:v>
      </x:c>
      <x:c r="E466" t="str">
        <x:f>'Release Gates'!I440</x:f>
        <x:v>PASS</x:v>
      </x:c>
      <x:c r="F466" t="str">
        <x:f>IF('Release Gates'!C440="PLANNING","PASS",IF('Release Gates'!C440="PHYSICAL","OPEN","BLOCKED"))</x:f>
        <x:v>PASS</x:v>
      </x:c>
      <x:c r="G466" t="str">
        <x:v>equals</x:v>
      </x:c>
      <x:c r="H466" t="str">
        <x:f>IF(E466=F466,"PASS","FAIL")</x:f>
        <x:v>PASS</x:v>
      </x:c>
    </x:row>
    <x:row r="467">
      <x:c r="B467" t="str">
        <x:v>A-00435</x:v>
      </x:c>
      <x:c r="C467" t="str">
        <x:v>GATE</x:v>
      </x:c>
      <x:c r="D467" t="str">
        <x:v>release state mirrors governing ledger</x:v>
      </x:c>
      <x:c r="E467" t="str">
        <x:f>'Release Gates'!I441</x:f>
        <x:v>PASS</x:v>
      </x:c>
      <x:c r="F467" t="str">
        <x:f>IF('Release Gates'!C441="PLANNING","PASS",IF('Release Gates'!C441="PHYSICAL","OPEN","BLOCKED"))</x:f>
        <x:v>PASS</x:v>
      </x:c>
      <x:c r="G467" t="str">
        <x:v>equals</x:v>
      </x:c>
      <x:c r="H467" t="str">
        <x:f>IF(E467=F467,"PASS","FAIL")</x:f>
        <x:v>PASS</x:v>
      </x:c>
    </x:row>
    <x:row r="468">
      <x:c r="B468" t="str">
        <x:v>A-00436</x:v>
      </x:c>
      <x:c r="C468" t="str">
        <x:v>GATE</x:v>
      </x:c>
      <x:c r="D468" t="str">
        <x:v>release state mirrors governing ledger</x:v>
      </x:c>
      <x:c r="E468" t="str">
        <x:f>'Release Gates'!I442</x:f>
        <x:v>PASS</x:v>
      </x:c>
      <x:c r="F468" t="str">
        <x:f>IF('Release Gates'!C442="PLANNING","PASS",IF('Release Gates'!C442="PHYSICAL","OPEN","BLOCKED"))</x:f>
        <x:v>PASS</x:v>
      </x:c>
      <x:c r="G468" t="str">
        <x:v>equals</x:v>
      </x:c>
      <x:c r="H468" t="str">
        <x:f>IF(E468=F468,"PASS","FAIL")</x:f>
        <x:v>PASS</x:v>
      </x:c>
    </x:row>
    <x:row r="469">
      <x:c r="B469" t="str">
        <x:v>A-00437</x:v>
      </x:c>
      <x:c r="C469" t="str">
        <x:v>GATE</x:v>
      </x:c>
      <x:c r="D469" t="str">
        <x:v>release state mirrors governing ledger</x:v>
      </x:c>
      <x:c r="E469" t="str">
        <x:f>'Release Gates'!I443</x:f>
        <x:v>PASS</x:v>
      </x:c>
      <x:c r="F469" t="str">
        <x:f>IF('Release Gates'!C443="PLANNING","PASS",IF('Release Gates'!C443="PHYSICAL","OPEN","BLOCKED"))</x:f>
        <x:v>PASS</x:v>
      </x:c>
      <x:c r="G469" t="str">
        <x:v>equals</x:v>
      </x:c>
      <x:c r="H469" t="str">
        <x:f>IF(E469=F469,"PASS","FAIL")</x:f>
        <x:v>PASS</x:v>
      </x:c>
    </x:row>
    <x:row r="470">
      <x:c r="B470" t="str">
        <x:v>A-00438</x:v>
      </x:c>
      <x:c r="C470" t="str">
        <x:v>GATE</x:v>
      </x:c>
      <x:c r="D470" t="str">
        <x:v>release state mirrors governing ledger</x:v>
      </x:c>
      <x:c r="E470" t="str">
        <x:f>'Release Gates'!I444</x:f>
        <x:v>PASS</x:v>
      </x:c>
      <x:c r="F470" t="str">
        <x:f>IF('Release Gates'!C444="PLANNING","PASS",IF('Release Gates'!C444="PHYSICAL","OPEN","BLOCKED"))</x:f>
        <x:v>PASS</x:v>
      </x:c>
      <x:c r="G470" t="str">
        <x:v>equals</x:v>
      </x:c>
      <x:c r="H470" t="str">
        <x:f>IF(E470=F470,"PASS","FAIL")</x:f>
        <x:v>PASS</x:v>
      </x:c>
    </x:row>
    <x:row r="471">
      <x:c r="B471" t="str">
        <x:v>A-00439</x:v>
      </x:c>
      <x:c r="C471" t="str">
        <x:v>GATE</x:v>
      </x:c>
      <x:c r="D471" t="str">
        <x:v>release state mirrors governing ledger</x:v>
      </x:c>
      <x:c r="E471" t="str">
        <x:f>'Release Gates'!I445</x:f>
        <x:v>PASS</x:v>
      </x:c>
      <x:c r="F471" t="str">
        <x:f>IF('Release Gates'!C445="PLANNING","PASS",IF('Release Gates'!C445="PHYSICAL","OPEN","BLOCKED"))</x:f>
        <x:v>PASS</x:v>
      </x:c>
      <x:c r="G471" t="str">
        <x:v>equals</x:v>
      </x:c>
      <x:c r="H471" t="str">
        <x:f>IF(E471=F471,"PASS","FAIL")</x:f>
        <x:v>PASS</x:v>
      </x:c>
    </x:row>
    <x:row r="472">
      <x:c r="B472" t="str">
        <x:v>A-00440</x:v>
      </x:c>
      <x:c r="C472" t="str">
        <x:v>GATE</x:v>
      </x:c>
      <x:c r="D472" t="str">
        <x:v>release state mirrors governing ledger</x:v>
      </x:c>
      <x:c r="E472" t="str">
        <x:f>'Release Gates'!I446</x:f>
        <x:v>PASS</x:v>
      </x:c>
      <x:c r="F472" t="str">
        <x:f>IF('Release Gates'!C446="PLANNING","PASS",IF('Release Gates'!C446="PHYSICAL","OPEN","BLOCKED"))</x:f>
        <x:v>PASS</x:v>
      </x:c>
      <x:c r="G472" t="str">
        <x:v>equals</x:v>
      </x:c>
      <x:c r="H472" t="str">
        <x:f>IF(E472=F472,"PASS","FAIL")</x:f>
        <x:v>PASS</x:v>
      </x:c>
    </x:row>
    <x:row r="473">
      <x:c r="B473" t="str">
        <x:v>A-00441</x:v>
      </x:c>
      <x:c r="C473" t="str">
        <x:v>GATE</x:v>
      </x:c>
      <x:c r="D473" t="str">
        <x:v>release state mirrors governing ledger</x:v>
      </x:c>
      <x:c r="E473" t="str">
        <x:f>'Release Gates'!I447</x:f>
        <x:v>PASS</x:v>
      </x:c>
      <x:c r="F473" t="str">
        <x:f>IF('Release Gates'!C447="PLANNING","PASS",IF('Release Gates'!C447="PHYSICAL","OPEN","BLOCKED"))</x:f>
        <x:v>PASS</x:v>
      </x:c>
      <x:c r="G473" t="str">
        <x:v>equals</x:v>
      </x:c>
      <x:c r="H473" t="str">
        <x:f>IF(E473=F473,"PASS","FAIL")</x:f>
        <x:v>PASS</x:v>
      </x:c>
    </x:row>
    <x:row r="474">
      <x:c r="B474" t="str">
        <x:v>A-00442</x:v>
      </x:c>
      <x:c r="C474" t="str">
        <x:v>GATE</x:v>
      </x:c>
      <x:c r="D474" t="str">
        <x:v>release state mirrors governing ledger</x:v>
      </x:c>
      <x:c r="E474" t="str">
        <x:f>'Release Gates'!I448</x:f>
        <x:v>PASS</x:v>
      </x:c>
      <x:c r="F474" t="str">
        <x:f>IF('Release Gates'!C448="PLANNING","PASS",IF('Release Gates'!C448="PHYSICAL","OPEN","BLOCKED"))</x:f>
        <x:v>PASS</x:v>
      </x:c>
      <x:c r="G474" t="str">
        <x:v>equals</x:v>
      </x:c>
      <x:c r="H474" t="str">
        <x:f>IF(E474=F474,"PASS","FAIL")</x:f>
        <x:v>PASS</x:v>
      </x:c>
    </x:row>
    <x:row r="475">
      <x:c r="B475" t="str">
        <x:v>A-00443</x:v>
      </x:c>
      <x:c r="C475" t="str">
        <x:v>GATE</x:v>
      </x:c>
      <x:c r="D475" t="str">
        <x:v>release state mirrors governing ledger</x:v>
      </x:c>
      <x:c r="E475" t="str">
        <x:f>'Release Gates'!I449</x:f>
        <x:v>PASS</x:v>
      </x:c>
      <x:c r="F475" t="str">
        <x:f>IF('Release Gates'!C449="PLANNING","PASS",IF('Release Gates'!C449="PHYSICAL","OPEN","BLOCKED"))</x:f>
        <x:v>PASS</x:v>
      </x:c>
      <x:c r="G475" t="str">
        <x:v>equals</x:v>
      </x:c>
      <x:c r="H475" t="str">
        <x:f>IF(E475=F475,"PASS","FAIL")</x:f>
        <x:v>PASS</x:v>
      </x:c>
    </x:row>
    <x:row r="476">
      <x:c r="B476" t="str">
        <x:v>A-00444</x:v>
      </x:c>
      <x:c r="C476" t="str">
        <x:v>GATE</x:v>
      </x:c>
      <x:c r="D476" t="str">
        <x:v>release state mirrors governing ledger</x:v>
      </x:c>
      <x:c r="E476" t="str">
        <x:f>'Release Gates'!I450</x:f>
        <x:v>PASS</x:v>
      </x:c>
      <x:c r="F476" t="str">
        <x:f>IF('Release Gates'!C450="PLANNING","PASS",IF('Release Gates'!C450="PHYSICAL","OPEN","BLOCKED"))</x:f>
        <x:v>PASS</x:v>
      </x:c>
      <x:c r="G476" t="str">
        <x:v>equals</x:v>
      </x:c>
      <x:c r="H476" t="str">
        <x:f>IF(E476=F476,"PASS","FAIL")</x:f>
        <x:v>PASS</x:v>
      </x:c>
    </x:row>
    <x:row r="477">
      <x:c r="B477" t="str">
        <x:v>A-00445</x:v>
      </x:c>
      <x:c r="C477" t="str">
        <x:v>GATE</x:v>
      </x:c>
      <x:c r="D477" t="str">
        <x:v>release state mirrors governing ledger</x:v>
      </x:c>
      <x:c r="E477" t="str">
        <x:f>'Release Gates'!I451</x:f>
        <x:v>PASS</x:v>
      </x:c>
      <x:c r="F477" t="str">
        <x:f>IF('Release Gates'!C451="PLANNING","PASS",IF('Release Gates'!C451="PHYSICAL","OPEN","BLOCKED"))</x:f>
        <x:v>PASS</x:v>
      </x:c>
      <x:c r="G477" t="str">
        <x:v>equals</x:v>
      </x:c>
      <x:c r="H477" t="str">
        <x:f>IF(E477=F477,"PASS","FAIL")</x:f>
        <x:v>PASS</x:v>
      </x:c>
    </x:row>
    <x:row r="478">
      <x:c r="B478" t="str">
        <x:v>A-00446</x:v>
      </x:c>
      <x:c r="C478" t="str">
        <x:v>GATE</x:v>
      </x:c>
      <x:c r="D478" t="str">
        <x:v>release state mirrors governing ledger</x:v>
      </x:c>
      <x:c r="E478" t="str">
        <x:f>'Release Gates'!I452</x:f>
        <x:v>PASS</x:v>
      </x:c>
      <x:c r="F478" t="str">
        <x:f>IF('Release Gates'!C452="PLANNING","PASS",IF('Release Gates'!C452="PHYSICAL","OPEN","BLOCKED"))</x:f>
        <x:v>PASS</x:v>
      </x:c>
      <x:c r="G478" t="str">
        <x:v>equals</x:v>
      </x:c>
      <x:c r="H478" t="str">
        <x:f>IF(E478=F478,"PASS","FAIL")</x:f>
        <x:v>PASS</x:v>
      </x:c>
    </x:row>
    <x:row r="479">
      <x:c r="B479" t="str">
        <x:v>A-00447</x:v>
      </x:c>
      <x:c r="C479" t="str">
        <x:v>GATE</x:v>
      </x:c>
      <x:c r="D479" t="str">
        <x:v>release state mirrors governing ledger</x:v>
      </x:c>
      <x:c r="E479" t="str">
        <x:f>'Release Gates'!I453</x:f>
        <x:v>PASS</x:v>
      </x:c>
      <x:c r="F479" t="str">
        <x:f>IF('Release Gates'!C453="PLANNING","PASS",IF('Release Gates'!C453="PHYSICAL","OPEN","BLOCKED"))</x:f>
        <x:v>PASS</x:v>
      </x:c>
      <x:c r="G479" t="str">
        <x:v>equals</x:v>
      </x:c>
      <x:c r="H479" t="str">
        <x:f>IF(E479=F479,"PASS","FAIL")</x:f>
        <x:v>PASS</x:v>
      </x:c>
    </x:row>
    <x:row r="480">
      <x:c r="B480" t="str">
        <x:v>A-00448</x:v>
      </x:c>
      <x:c r="C480" t="str">
        <x:v>GATE</x:v>
      </x:c>
      <x:c r="D480" t="str">
        <x:v>release state mirrors governing ledger</x:v>
      </x:c>
      <x:c r="E480" t="str">
        <x:f>'Release Gates'!I454</x:f>
        <x:v>PASS</x:v>
      </x:c>
      <x:c r="F480" t="str">
        <x:f>IF('Release Gates'!C454="PLANNING","PASS",IF('Release Gates'!C454="PHYSICAL","OPEN","BLOCKED"))</x:f>
        <x:v>PASS</x:v>
      </x:c>
      <x:c r="G480" t="str">
        <x:v>equals</x:v>
      </x:c>
      <x:c r="H480" t="str">
        <x:f>IF(E480=F480,"PASS","FAIL")</x:f>
        <x:v>PASS</x:v>
      </x:c>
    </x:row>
    <x:row r="481">
      <x:c r="B481" t="str">
        <x:v>A-00449</x:v>
      </x:c>
      <x:c r="C481" t="str">
        <x:v>GATE</x:v>
      </x:c>
      <x:c r="D481" t="str">
        <x:v>release state mirrors governing ledger</x:v>
      </x:c>
      <x:c r="E481" t="str">
        <x:f>'Release Gates'!I455</x:f>
        <x:v>PASS</x:v>
      </x:c>
      <x:c r="F481" t="str">
        <x:f>IF('Release Gates'!C455="PLANNING","PASS",IF('Release Gates'!C455="PHYSICAL","OPEN","BLOCKED"))</x:f>
        <x:v>PASS</x:v>
      </x:c>
      <x:c r="G481" t="str">
        <x:v>equals</x:v>
      </x:c>
      <x:c r="H481" t="str">
        <x:f>IF(E481=F481,"PASS","FAIL")</x:f>
        <x:v>PASS</x:v>
      </x:c>
    </x:row>
    <x:row r="482">
      <x:c r="B482" t="str">
        <x:v>A-00450</x:v>
      </x:c>
      <x:c r="C482" t="str">
        <x:v>GATE</x:v>
      </x:c>
      <x:c r="D482" t="str">
        <x:v>release state mirrors governing ledger</x:v>
      </x:c>
      <x:c r="E482" t="str">
        <x:f>'Release Gates'!I456</x:f>
        <x:v>PASS</x:v>
      </x:c>
      <x:c r="F482" t="str">
        <x:f>IF('Release Gates'!C456="PLANNING","PASS",IF('Release Gates'!C456="PHYSICAL","OPEN","BLOCKED"))</x:f>
        <x:v>PASS</x:v>
      </x:c>
      <x:c r="G482" t="str">
        <x:v>equals</x:v>
      </x:c>
      <x:c r="H482" t="str">
        <x:f>IF(E482=F482,"PASS","FAIL")</x:f>
        <x:v>PASS</x:v>
      </x:c>
    </x:row>
    <x:row r="483">
      <x:c r="B483" t="str">
        <x:v>A-00451</x:v>
      </x:c>
      <x:c r="C483" t="str">
        <x:v>GATE</x:v>
      </x:c>
      <x:c r="D483" t="str">
        <x:v>release state mirrors governing ledger</x:v>
      </x:c>
      <x:c r="E483" t="str">
        <x:f>'Release Gates'!I457</x:f>
        <x:v>PASS</x:v>
      </x:c>
      <x:c r="F483" t="str">
        <x:f>IF('Release Gates'!C457="PLANNING","PASS",IF('Release Gates'!C457="PHYSICAL","OPEN","BLOCKED"))</x:f>
        <x:v>PASS</x:v>
      </x:c>
      <x:c r="G483" t="str">
        <x:v>equals</x:v>
      </x:c>
      <x:c r="H483" t="str">
        <x:f>IF(E483=F483,"PASS","FAIL")</x:f>
        <x:v>PASS</x:v>
      </x:c>
    </x:row>
    <x:row r="484">
      <x:c r="B484" t="str">
        <x:v>A-00452</x:v>
      </x:c>
      <x:c r="C484" t="str">
        <x:v>GATE</x:v>
      </x:c>
      <x:c r="D484" t="str">
        <x:v>release state mirrors governing ledger</x:v>
      </x:c>
      <x:c r="E484" t="str">
        <x:f>'Release Gates'!I458</x:f>
        <x:v>PASS</x:v>
      </x:c>
      <x:c r="F484" t="str">
        <x:f>IF('Release Gates'!C458="PLANNING","PASS",IF('Release Gates'!C458="PHYSICAL","OPEN","BLOCKED"))</x:f>
        <x:v>PASS</x:v>
      </x:c>
      <x:c r="G484" t="str">
        <x:v>equals</x:v>
      </x:c>
      <x:c r="H484" t="str">
        <x:f>IF(E484=F484,"PASS","FAIL")</x:f>
        <x:v>PASS</x:v>
      </x:c>
    </x:row>
    <x:row r="485">
      <x:c r="B485" t="str">
        <x:v>A-00453</x:v>
      </x:c>
      <x:c r="C485" t="str">
        <x:v>GATE</x:v>
      </x:c>
      <x:c r="D485" t="str">
        <x:v>release state mirrors governing ledger</x:v>
      </x:c>
      <x:c r="E485" t="str">
        <x:f>'Release Gates'!I459</x:f>
        <x:v>PASS</x:v>
      </x:c>
      <x:c r="F485" t="str">
        <x:f>IF('Release Gates'!C459="PLANNING","PASS",IF('Release Gates'!C459="PHYSICAL","OPEN","BLOCKED"))</x:f>
        <x:v>PASS</x:v>
      </x:c>
      <x:c r="G485" t="str">
        <x:v>equals</x:v>
      </x:c>
      <x:c r="H485" t="str">
        <x:f>IF(E485=F485,"PASS","FAIL")</x:f>
        <x:v>PASS</x:v>
      </x:c>
    </x:row>
    <x:row r="486">
      <x:c r="B486" t="str">
        <x:v>A-00454</x:v>
      </x:c>
      <x:c r="C486" t="str">
        <x:v>GATE</x:v>
      </x:c>
      <x:c r="D486" t="str">
        <x:v>release state mirrors governing ledger</x:v>
      </x:c>
      <x:c r="E486" t="str">
        <x:f>'Release Gates'!I460</x:f>
        <x:v>PASS</x:v>
      </x:c>
      <x:c r="F486" t="str">
        <x:f>IF('Release Gates'!C460="PLANNING","PASS",IF('Release Gates'!C460="PHYSICAL","OPEN","BLOCKED"))</x:f>
        <x:v>PASS</x:v>
      </x:c>
      <x:c r="G486" t="str">
        <x:v>equals</x:v>
      </x:c>
      <x:c r="H486" t="str">
        <x:f>IF(E486=F486,"PASS","FAIL")</x:f>
        <x:v>PASS</x:v>
      </x:c>
    </x:row>
    <x:row r="487">
      <x:c r="B487" t="str">
        <x:v>A-00455</x:v>
      </x:c>
      <x:c r="C487" t="str">
        <x:v>GATE</x:v>
      </x:c>
      <x:c r="D487" t="str">
        <x:v>release state mirrors governing ledger</x:v>
      </x:c>
      <x:c r="E487" t="str">
        <x:f>'Release Gates'!I461</x:f>
        <x:v>PASS</x:v>
      </x:c>
      <x:c r="F487" t="str">
        <x:f>IF('Release Gates'!C461="PLANNING","PASS",IF('Release Gates'!C461="PHYSICAL","OPEN","BLOCKED"))</x:f>
        <x:v>PASS</x:v>
      </x:c>
      <x:c r="G487" t="str">
        <x:v>equals</x:v>
      </x:c>
      <x:c r="H487" t="str">
        <x:f>IF(E487=F487,"PASS","FAIL")</x:f>
        <x:v>PASS</x:v>
      </x:c>
    </x:row>
    <x:row r="488">
      <x:c r="B488" t="str">
        <x:v>A-00456</x:v>
      </x:c>
      <x:c r="C488" t="str">
        <x:v>GATE</x:v>
      </x:c>
      <x:c r="D488" t="str">
        <x:v>release state mirrors governing ledger</x:v>
      </x:c>
      <x:c r="E488" t="str">
        <x:f>'Release Gates'!I462</x:f>
        <x:v>PASS</x:v>
      </x:c>
      <x:c r="F488" t="str">
        <x:f>IF('Release Gates'!C462="PLANNING","PASS",IF('Release Gates'!C462="PHYSICAL","OPEN","BLOCKED"))</x:f>
        <x:v>PASS</x:v>
      </x:c>
      <x:c r="G488" t="str">
        <x:v>equals</x:v>
      </x:c>
      <x:c r="H488" t="str">
        <x:f>IF(E488=F488,"PASS","FAIL")</x:f>
        <x:v>PASS</x:v>
      </x:c>
    </x:row>
    <x:row r="489">
      <x:c r="B489" t="str">
        <x:v>A-00457</x:v>
      </x:c>
      <x:c r="C489" t="str">
        <x:v>GATE</x:v>
      </x:c>
      <x:c r="D489" t="str">
        <x:v>release state mirrors governing ledger</x:v>
      </x:c>
      <x:c r="E489" t="str">
        <x:f>'Release Gates'!I463</x:f>
        <x:v>PASS</x:v>
      </x:c>
      <x:c r="F489" t="str">
        <x:f>IF('Release Gates'!C463="PLANNING","PASS",IF('Release Gates'!C463="PHYSICAL","OPEN","BLOCKED"))</x:f>
        <x:v>PASS</x:v>
      </x:c>
      <x:c r="G489" t="str">
        <x:v>equals</x:v>
      </x:c>
      <x:c r="H489" t="str">
        <x:f>IF(E489=F489,"PASS","FAIL")</x:f>
        <x:v>PASS</x:v>
      </x:c>
    </x:row>
    <x:row r="490">
      <x:c r="B490" t="str">
        <x:v>A-00458</x:v>
      </x:c>
      <x:c r="C490" t="str">
        <x:v>GATE</x:v>
      </x:c>
      <x:c r="D490" t="str">
        <x:v>release state mirrors governing ledger</x:v>
      </x:c>
      <x:c r="E490" t="str">
        <x:f>'Release Gates'!I464</x:f>
        <x:v>PASS</x:v>
      </x:c>
      <x:c r="F490" t="str">
        <x:f>IF('Release Gates'!C464="PLANNING","PASS",IF('Release Gates'!C464="PHYSICAL","OPEN","BLOCKED"))</x:f>
        <x:v>PASS</x:v>
      </x:c>
      <x:c r="G490" t="str">
        <x:v>equals</x:v>
      </x:c>
      <x:c r="H490" t="str">
        <x:f>IF(E490=F490,"PASS","FAIL")</x:f>
        <x:v>PASS</x:v>
      </x:c>
    </x:row>
    <x:row r="491">
      <x:c r="B491" t="str">
        <x:v>A-00459</x:v>
      </x:c>
      <x:c r="C491" t="str">
        <x:v>GATE</x:v>
      </x:c>
      <x:c r="D491" t="str">
        <x:v>release state mirrors governing ledger</x:v>
      </x:c>
      <x:c r="E491" t="str">
        <x:f>'Release Gates'!I465</x:f>
        <x:v>PASS</x:v>
      </x:c>
      <x:c r="F491" t="str">
        <x:f>IF('Release Gates'!C465="PLANNING","PASS",IF('Release Gates'!C465="PHYSICAL","OPEN","BLOCKED"))</x:f>
        <x:v>PASS</x:v>
      </x:c>
      <x:c r="G491" t="str">
        <x:v>equals</x:v>
      </x:c>
      <x:c r="H491" t="str">
        <x:f>IF(E491=F491,"PASS","FAIL")</x:f>
        <x:v>PASS</x:v>
      </x:c>
    </x:row>
    <x:row r="492">
      <x:c r="B492" t="str">
        <x:v>A-00460</x:v>
      </x:c>
      <x:c r="C492" t="str">
        <x:v>GATE</x:v>
      </x:c>
      <x:c r="D492" t="str">
        <x:v>release state mirrors governing ledger</x:v>
      </x:c>
      <x:c r="E492" t="str">
        <x:f>'Release Gates'!I466</x:f>
        <x:v>PASS</x:v>
      </x:c>
      <x:c r="F492" t="str">
        <x:f>IF('Release Gates'!C466="PLANNING","PASS",IF('Release Gates'!C466="PHYSICAL","OPEN","BLOCKED"))</x:f>
        <x:v>PASS</x:v>
      </x:c>
      <x:c r="G492" t="str">
        <x:v>equals</x:v>
      </x:c>
      <x:c r="H492" t="str">
        <x:f>IF(E492=F492,"PASS","FAIL")</x:f>
        <x:v>PASS</x:v>
      </x:c>
    </x:row>
    <x:row r="493">
      <x:c r="B493" t="str">
        <x:v>A-00461</x:v>
      </x:c>
      <x:c r="C493" t="str">
        <x:v>GATE</x:v>
      </x:c>
      <x:c r="D493" t="str">
        <x:v>release state mirrors governing ledger</x:v>
      </x:c>
      <x:c r="E493" t="str">
        <x:f>'Release Gates'!I467</x:f>
        <x:v>PASS</x:v>
      </x:c>
      <x:c r="F493" t="str">
        <x:f>IF('Release Gates'!C467="PLANNING","PASS",IF('Release Gates'!C467="PHYSICAL","OPEN","BLOCKED"))</x:f>
        <x:v>PASS</x:v>
      </x:c>
      <x:c r="G493" t="str">
        <x:v>equals</x:v>
      </x:c>
      <x:c r="H493" t="str">
        <x:f>IF(E493=F493,"PASS","FAIL")</x:f>
        <x:v>PASS</x:v>
      </x:c>
    </x:row>
    <x:row r="494">
      <x:c r="B494" t="str">
        <x:v>A-00462</x:v>
      </x:c>
      <x:c r="C494" t="str">
        <x:v>GATE</x:v>
      </x:c>
      <x:c r="D494" t="str">
        <x:v>release state mirrors governing ledger</x:v>
      </x:c>
      <x:c r="E494" t="str">
        <x:f>'Release Gates'!I468</x:f>
        <x:v>PASS</x:v>
      </x:c>
      <x:c r="F494" t="str">
        <x:f>IF('Release Gates'!C468="PLANNING","PASS",IF('Release Gates'!C468="PHYSICAL","OPEN","BLOCKED"))</x:f>
        <x:v>PASS</x:v>
      </x:c>
      <x:c r="G494" t="str">
        <x:v>equals</x:v>
      </x:c>
      <x:c r="H494" t="str">
        <x:f>IF(E494=F494,"PASS","FAIL")</x:f>
        <x:v>PASS</x:v>
      </x:c>
    </x:row>
    <x:row r="495">
      <x:c r="B495" t="str">
        <x:v>A-00463</x:v>
      </x:c>
      <x:c r="C495" t="str">
        <x:v>GATE</x:v>
      </x:c>
      <x:c r="D495" t="str">
        <x:v>release state mirrors governing ledger</x:v>
      </x:c>
      <x:c r="E495" t="str">
        <x:f>'Release Gates'!I469</x:f>
        <x:v>PASS</x:v>
      </x:c>
      <x:c r="F495" t="str">
        <x:f>IF('Release Gates'!C469="PLANNING","PASS",IF('Release Gates'!C469="PHYSICAL","OPEN","BLOCKED"))</x:f>
        <x:v>PASS</x:v>
      </x:c>
      <x:c r="G495" t="str">
        <x:v>equals</x:v>
      </x:c>
      <x:c r="H495" t="str">
        <x:f>IF(E495=F495,"PASS","FAIL")</x:f>
        <x:v>PASS</x:v>
      </x:c>
    </x:row>
    <x:row r="496">
      <x:c r="B496" t="str">
        <x:v>A-00464</x:v>
      </x:c>
      <x:c r="C496" t="str">
        <x:v>GATE</x:v>
      </x:c>
      <x:c r="D496" t="str">
        <x:v>release state mirrors governing ledger</x:v>
      </x:c>
      <x:c r="E496" t="str">
        <x:f>'Release Gates'!I470</x:f>
        <x:v>PASS</x:v>
      </x:c>
      <x:c r="F496" t="str">
        <x:f>IF('Release Gates'!C470="PLANNING","PASS",IF('Release Gates'!C470="PHYSICAL","OPEN","BLOCKED"))</x:f>
        <x:v>PASS</x:v>
      </x:c>
      <x:c r="G496" t="str">
        <x:v>equals</x:v>
      </x:c>
      <x:c r="H496" t="str">
        <x:f>IF(E496=F496,"PASS","FAIL")</x:f>
        <x:v>PASS</x:v>
      </x:c>
    </x:row>
    <x:row r="497">
      <x:c r="B497" t="str">
        <x:v>A-00465</x:v>
      </x:c>
      <x:c r="C497" t="str">
        <x:v>GATE</x:v>
      </x:c>
      <x:c r="D497" t="str">
        <x:v>release state mirrors governing ledger</x:v>
      </x:c>
      <x:c r="E497" t="str">
        <x:f>'Release Gates'!I471</x:f>
        <x:v>PASS</x:v>
      </x:c>
      <x:c r="F497" t="str">
        <x:f>IF('Release Gates'!C471="PLANNING","PASS",IF('Release Gates'!C471="PHYSICAL","OPEN","BLOCKED"))</x:f>
        <x:v>PASS</x:v>
      </x:c>
      <x:c r="G497" t="str">
        <x:v>equals</x:v>
      </x:c>
      <x:c r="H497" t="str">
        <x:f>IF(E497=F497,"PASS","FAIL")</x:f>
        <x:v>PASS</x:v>
      </x:c>
    </x:row>
    <x:row r="498">
      <x:c r="B498" t="str">
        <x:v>A-00466</x:v>
      </x:c>
      <x:c r="C498" t="str">
        <x:v>GATE</x:v>
      </x:c>
      <x:c r="D498" t="str">
        <x:v>release state mirrors governing ledger</x:v>
      </x:c>
      <x:c r="E498" t="str">
        <x:f>'Release Gates'!I472</x:f>
        <x:v>PASS</x:v>
      </x:c>
      <x:c r="F498" t="str">
        <x:f>IF('Release Gates'!C472="PLANNING","PASS",IF('Release Gates'!C472="PHYSICAL","OPEN","BLOCKED"))</x:f>
        <x:v>PASS</x:v>
      </x:c>
      <x:c r="G498" t="str">
        <x:v>equals</x:v>
      </x:c>
      <x:c r="H498" t="str">
        <x:f>IF(E498=F498,"PASS","FAIL")</x:f>
        <x:v>PASS</x:v>
      </x:c>
    </x:row>
    <x:row r="499">
      <x:c r="B499" t="str">
        <x:v>A-00467</x:v>
      </x:c>
      <x:c r="C499" t="str">
        <x:v>GATE</x:v>
      </x:c>
      <x:c r="D499" t="str">
        <x:v>release state mirrors governing ledger</x:v>
      </x:c>
      <x:c r="E499" t="str">
        <x:f>'Release Gates'!I473</x:f>
        <x:v>PASS</x:v>
      </x:c>
      <x:c r="F499" t="str">
        <x:f>IF('Release Gates'!C473="PLANNING","PASS",IF('Release Gates'!C473="PHYSICAL","OPEN","BLOCKED"))</x:f>
        <x:v>PASS</x:v>
      </x:c>
      <x:c r="G499" t="str">
        <x:v>equals</x:v>
      </x:c>
      <x:c r="H499" t="str">
        <x:f>IF(E499=F499,"PASS","FAIL")</x:f>
        <x:v>PASS</x:v>
      </x:c>
    </x:row>
    <x:row r="500">
      <x:c r="B500" t="str">
        <x:v>A-00468</x:v>
      </x:c>
      <x:c r="C500" t="str">
        <x:v>GATE</x:v>
      </x:c>
      <x:c r="D500" t="str">
        <x:v>release state mirrors governing ledger</x:v>
      </x:c>
      <x:c r="E500" t="str">
        <x:f>'Release Gates'!I474</x:f>
        <x:v>PASS</x:v>
      </x:c>
      <x:c r="F500" t="str">
        <x:f>IF('Release Gates'!C474="PLANNING","PASS",IF('Release Gates'!C474="PHYSICAL","OPEN","BLOCKED"))</x:f>
        <x:v>PASS</x:v>
      </x:c>
      <x:c r="G500" t="str">
        <x:v>equals</x:v>
      </x:c>
      <x:c r="H500" t="str">
        <x:f>IF(E500=F500,"PASS","FAIL")</x:f>
        <x:v>PASS</x:v>
      </x:c>
    </x:row>
    <x:row r="501">
      <x:c r="B501" t="str">
        <x:v>A-00469</x:v>
      </x:c>
      <x:c r="C501" t="str">
        <x:v>GATE</x:v>
      </x:c>
      <x:c r="D501" t="str">
        <x:v>release state mirrors governing ledger</x:v>
      </x:c>
      <x:c r="E501" t="str">
        <x:f>'Release Gates'!I475</x:f>
        <x:v>PASS</x:v>
      </x:c>
      <x:c r="F501" t="str">
        <x:f>IF('Release Gates'!C475="PLANNING","PASS",IF('Release Gates'!C475="PHYSICAL","OPEN","BLOCKED"))</x:f>
        <x:v>PASS</x:v>
      </x:c>
      <x:c r="G501" t="str">
        <x:v>equals</x:v>
      </x:c>
      <x:c r="H501" t="str">
        <x:f>IF(E501=F501,"PASS","FAIL")</x:f>
        <x:v>PASS</x:v>
      </x:c>
    </x:row>
    <x:row r="502">
      <x:c r="B502" t="str">
        <x:v>A-00470</x:v>
      </x:c>
      <x:c r="C502" t="str">
        <x:v>GATE</x:v>
      </x:c>
      <x:c r="D502" t="str">
        <x:v>release state mirrors governing ledger</x:v>
      </x:c>
      <x:c r="E502" t="str">
        <x:f>'Release Gates'!I476</x:f>
        <x:v>PASS</x:v>
      </x:c>
      <x:c r="F502" t="str">
        <x:f>IF('Release Gates'!C476="PLANNING","PASS",IF('Release Gates'!C476="PHYSICAL","OPEN","BLOCKED"))</x:f>
        <x:v>PASS</x:v>
      </x:c>
      <x:c r="G502" t="str">
        <x:v>equals</x:v>
      </x:c>
      <x:c r="H502" t="str">
        <x:f>IF(E502=F502,"PASS","FAIL")</x:f>
        <x:v>PASS</x:v>
      </x:c>
    </x:row>
    <x:row r="503">
      <x:c r="B503" t="str">
        <x:v>A-00471</x:v>
      </x:c>
      <x:c r="C503" t="str">
        <x:v>GATE</x:v>
      </x:c>
      <x:c r="D503" t="str">
        <x:v>release state mirrors governing ledger</x:v>
      </x:c>
      <x:c r="E503" t="str">
        <x:f>'Release Gates'!I477</x:f>
        <x:v>PASS</x:v>
      </x:c>
      <x:c r="F503" t="str">
        <x:f>IF('Release Gates'!C477="PLANNING","PASS",IF('Release Gates'!C477="PHYSICAL","OPEN","BLOCKED"))</x:f>
        <x:v>PASS</x:v>
      </x:c>
      <x:c r="G503" t="str">
        <x:v>equals</x:v>
      </x:c>
      <x:c r="H503" t="str">
        <x:f>IF(E503=F503,"PASS","FAIL")</x:f>
        <x:v>PASS</x:v>
      </x:c>
    </x:row>
    <x:row r="504">
      <x:c r="B504" t="str">
        <x:v>A-00472</x:v>
      </x:c>
      <x:c r="C504" t="str">
        <x:v>GATE</x:v>
      </x:c>
      <x:c r="D504" t="str">
        <x:v>release state mirrors governing ledger</x:v>
      </x:c>
      <x:c r="E504" t="str">
        <x:f>'Release Gates'!I478</x:f>
        <x:v>PASS</x:v>
      </x:c>
      <x:c r="F504" t="str">
        <x:f>IF('Release Gates'!C478="PLANNING","PASS",IF('Release Gates'!C478="PHYSICAL","OPEN","BLOCKED"))</x:f>
        <x:v>PASS</x:v>
      </x:c>
      <x:c r="G504" t="str">
        <x:v>equals</x:v>
      </x:c>
      <x:c r="H504" t="str">
        <x:f>IF(E504=F504,"PASS","FAIL")</x:f>
        <x:v>PASS</x:v>
      </x:c>
    </x:row>
    <x:row r="505">
      <x:c r="B505" t="str">
        <x:v>A-00473</x:v>
      </x:c>
      <x:c r="C505" t="str">
        <x:v>GATE</x:v>
      </x:c>
      <x:c r="D505" t="str">
        <x:v>release state mirrors governing ledger</x:v>
      </x:c>
      <x:c r="E505" t="str">
        <x:f>'Release Gates'!I479</x:f>
        <x:v>PASS</x:v>
      </x:c>
      <x:c r="F505" t="str">
        <x:f>IF('Release Gates'!C479="PLANNING","PASS",IF('Release Gates'!C479="PHYSICAL","OPEN","BLOCKED"))</x:f>
        <x:v>PASS</x:v>
      </x:c>
      <x:c r="G505" t="str">
        <x:v>equals</x:v>
      </x:c>
      <x:c r="H505" t="str">
        <x:f>IF(E505=F505,"PASS","FAIL")</x:f>
        <x:v>PASS</x:v>
      </x:c>
    </x:row>
    <x:row r="506">
      <x:c r="B506" t="str">
        <x:v>A-00474</x:v>
      </x:c>
      <x:c r="C506" t="str">
        <x:v>GATE</x:v>
      </x:c>
      <x:c r="D506" t="str">
        <x:v>release state mirrors governing ledger</x:v>
      </x:c>
      <x:c r="E506" t="str">
        <x:f>'Release Gates'!I480</x:f>
        <x:v>PASS</x:v>
      </x:c>
      <x:c r="F506" t="str">
        <x:f>IF('Release Gates'!C480="PLANNING","PASS",IF('Release Gates'!C480="PHYSICAL","OPEN","BLOCKED"))</x:f>
        <x:v>PASS</x:v>
      </x:c>
      <x:c r="G506" t="str">
        <x:v>equals</x:v>
      </x:c>
      <x:c r="H506" t="str">
        <x:f>IF(E506=F506,"PASS","FAIL")</x:f>
        <x:v>PASS</x:v>
      </x:c>
    </x:row>
    <x:row r="507">
      <x:c r="B507" t="str">
        <x:v>A-00475</x:v>
      </x:c>
      <x:c r="C507" t="str">
        <x:v>GATE</x:v>
      </x:c>
      <x:c r="D507" t="str">
        <x:v>release state mirrors governing ledger</x:v>
      </x:c>
      <x:c r="E507" t="str">
        <x:f>'Release Gates'!I481</x:f>
        <x:v>PASS</x:v>
      </x:c>
      <x:c r="F507" t="str">
        <x:f>IF('Release Gates'!C481="PLANNING","PASS",IF('Release Gates'!C481="PHYSICAL","OPEN","BLOCKED"))</x:f>
        <x:v>PASS</x:v>
      </x:c>
      <x:c r="G507" t="str">
        <x:v>equals</x:v>
      </x:c>
      <x:c r="H507" t="str">
        <x:f>IF(E507=F507,"PASS","FAIL")</x:f>
        <x:v>PASS</x:v>
      </x:c>
    </x:row>
    <x:row r="508">
      <x:c r="B508" t="str">
        <x:v>A-00476</x:v>
      </x:c>
      <x:c r="C508" t="str">
        <x:v>GATE</x:v>
      </x:c>
      <x:c r="D508" t="str">
        <x:v>release state mirrors governing ledger</x:v>
      </x:c>
      <x:c r="E508" t="str">
        <x:f>'Release Gates'!I482</x:f>
        <x:v>PASS</x:v>
      </x:c>
      <x:c r="F508" t="str">
        <x:f>IF('Release Gates'!C482="PLANNING","PASS",IF('Release Gates'!C482="PHYSICAL","OPEN","BLOCKED"))</x:f>
        <x:v>PASS</x:v>
      </x:c>
      <x:c r="G508" t="str">
        <x:v>equals</x:v>
      </x:c>
      <x:c r="H508" t="str">
        <x:f>IF(E508=F508,"PASS","FAIL")</x:f>
        <x:v>PASS</x:v>
      </x:c>
    </x:row>
    <x:row r="509">
      <x:c r="B509" t="str">
        <x:v>A-00477</x:v>
      </x:c>
      <x:c r="C509" t="str">
        <x:v>GATE</x:v>
      </x:c>
      <x:c r="D509" t="str">
        <x:v>release state mirrors governing ledger</x:v>
      </x:c>
      <x:c r="E509" t="str">
        <x:f>'Release Gates'!I483</x:f>
        <x:v>PASS</x:v>
      </x:c>
      <x:c r="F509" t="str">
        <x:f>IF('Release Gates'!C483="PLANNING","PASS",IF('Release Gates'!C483="PHYSICAL","OPEN","BLOCKED"))</x:f>
        <x:v>PASS</x:v>
      </x:c>
      <x:c r="G509" t="str">
        <x:v>equals</x:v>
      </x:c>
      <x:c r="H509" t="str">
        <x:f>IF(E509=F509,"PASS","FAIL")</x:f>
        <x:v>PASS</x:v>
      </x:c>
    </x:row>
    <x:row r="510">
      <x:c r="B510" t="str">
        <x:v>A-00478</x:v>
      </x:c>
      <x:c r="C510" t="str">
        <x:v>GATE</x:v>
      </x:c>
      <x:c r="D510" t="str">
        <x:v>release state mirrors governing ledger</x:v>
      </x:c>
      <x:c r="E510" t="str">
        <x:f>'Release Gates'!I484</x:f>
        <x:v>PASS</x:v>
      </x:c>
      <x:c r="F510" t="str">
        <x:f>IF('Release Gates'!C484="PLANNING","PASS",IF('Release Gates'!C484="PHYSICAL","OPEN","BLOCKED"))</x:f>
        <x:v>PASS</x:v>
      </x:c>
      <x:c r="G510" t="str">
        <x:v>equals</x:v>
      </x:c>
      <x:c r="H510" t="str">
        <x:f>IF(E510=F510,"PASS","FAIL")</x:f>
        <x:v>PASS</x:v>
      </x:c>
    </x:row>
    <x:row r="511">
      <x:c r="B511" t="str">
        <x:v>A-00479</x:v>
      </x:c>
      <x:c r="C511" t="str">
        <x:v>GATE</x:v>
      </x:c>
      <x:c r="D511" t="str">
        <x:v>release state mirrors governing ledger</x:v>
      </x:c>
      <x:c r="E511" t="str">
        <x:f>'Release Gates'!I485</x:f>
        <x:v>PASS</x:v>
      </x:c>
      <x:c r="F511" t="str">
        <x:f>IF('Release Gates'!C485="PLANNING","PASS",IF('Release Gates'!C485="PHYSICAL","OPEN","BLOCKED"))</x:f>
        <x:v>PASS</x:v>
      </x:c>
      <x:c r="G511" t="str">
        <x:v>equals</x:v>
      </x:c>
      <x:c r="H511" t="str">
        <x:f>IF(E511=F511,"PASS","FAIL")</x:f>
        <x:v>PASS</x:v>
      </x:c>
    </x:row>
    <x:row r="512">
      <x:c r="B512" t="str">
        <x:v>A-00480</x:v>
      </x:c>
      <x:c r="C512" t="str">
        <x:v>GATE</x:v>
      </x:c>
      <x:c r="D512" t="str">
        <x:v>release state mirrors governing ledger</x:v>
      </x:c>
      <x:c r="E512" t="str">
        <x:f>'Release Gates'!I486</x:f>
        <x:v>PASS</x:v>
      </x:c>
      <x:c r="F512" t="str">
        <x:f>IF('Release Gates'!C486="PLANNING","PASS",IF('Release Gates'!C486="PHYSICAL","OPEN","BLOCKED"))</x:f>
        <x:v>PASS</x:v>
      </x:c>
      <x:c r="G512" t="str">
        <x:v>equals</x:v>
      </x:c>
      <x:c r="H512" t="str">
        <x:f>IF(E512=F512,"PASS","FAIL")</x:f>
        <x:v>PASS</x:v>
      </x:c>
    </x:row>
    <x:row r="513">
      <x:c r="B513" t="str">
        <x:v>A-00481</x:v>
      </x:c>
      <x:c r="C513" t="str">
        <x:v>GATE</x:v>
      </x:c>
      <x:c r="D513" t="str">
        <x:v>release state mirrors governing ledger</x:v>
      </x:c>
      <x:c r="E513" t="str">
        <x:f>'Release Gates'!I487</x:f>
        <x:v>PASS</x:v>
      </x:c>
      <x:c r="F513" t="str">
        <x:f>IF('Release Gates'!C487="PLANNING","PASS",IF('Release Gates'!C487="PHYSICAL","OPEN","BLOCKED"))</x:f>
        <x:v>PASS</x:v>
      </x:c>
      <x:c r="G513" t="str">
        <x:v>equals</x:v>
      </x:c>
      <x:c r="H513" t="str">
        <x:f>IF(E513=F513,"PASS","FAIL")</x:f>
        <x:v>PASS</x:v>
      </x:c>
    </x:row>
    <x:row r="514">
      <x:c r="B514" t="str">
        <x:v>A-00482</x:v>
      </x:c>
      <x:c r="C514" t="str">
        <x:v>GATE</x:v>
      </x:c>
      <x:c r="D514" t="str">
        <x:v>release state mirrors governing ledger</x:v>
      </x:c>
      <x:c r="E514" t="str">
        <x:f>'Release Gates'!I488</x:f>
        <x:v>PASS</x:v>
      </x:c>
      <x:c r="F514" t="str">
        <x:f>IF('Release Gates'!C488="PLANNING","PASS",IF('Release Gates'!C488="PHYSICAL","OPEN","BLOCKED"))</x:f>
        <x:v>PASS</x:v>
      </x:c>
      <x:c r="G514" t="str">
        <x:v>equals</x:v>
      </x:c>
      <x:c r="H514" t="str">
        <x:f>IF(E514=F514,"PASS","FAIL")</x:f>
        <x:v>PASS</x:v>
      </x:c>
    </x:row>
    <x:row r="515">
      <x:c r="B515" t="str">
        <x:v>A-00483</x:v>
      </x:c>
      <x:c r="C515" t="str">
        <x:v>GATE</x:v>
      </x:c>
      <x:c r="D515" t="str">
        <x:v>release state mirrors governing ledger</x:v>
      </x:c>
      <x:c r="E515" t="str">
        <x:f>'Release Gates'!I489</x:f>
        <x:v>PASS</x:v>
      </x:c>
      <x:c r="F515" t="str">
        <x:f>IF('Release Gates'!C489="PLANNING","PASS",IF('Release Gates'!C489="PHYSICAL","OPEN","BLOCKED"))</x:f>
        <x:v>PASS</x:v>
      </x:c>
      <x:c r="G515" t="str">
        <x:v>equals</x:v>
      </x:c>
      <x:c r="H515" t="str">
        <x:f>IF(E515=F515,"PASS","FAIL")</x:f>
        <x:v>PASS</x:v>
      </x:c>
    </x:row>
    <x:row r="516">
      <x:c r="B516" t="str">
        <x:v>A-00484</x:v>
      </x:c>
      <x:c r="C516" t="str">
        <x:v>GATE</x:v>
      </x:c>
      <x:c r="D516" t="str">
        <x:v>release state mirrors governing ledger</x:v>
      </x:c>
      <x:c r="E516" t="str">
        <x:f>'Release Gates'!I490</x:f>
        <x:v>PASS</x:v>
      </x:c>
      <x:c r="F516" t="str">
        <x:f>IF('Release Gates'!C490="PLANNING","PASS",IF('Release Gates'!C490="PHYSICAL","OPEN","BLOCKED"))</x:f>
        <x:v>PASS</x:v>
      </x:c>
      <x:c r="G516" t="str">
        <x:v>equals</x:v>
      </x:c>
      <x:c r="H516" t="str">
        <x:f>IF(E516=F516,"PASS","FAIL")</x:f>
        <x:v>PASS</x:v>
      </x:c>
    </x:row>
    <x:row r="517">
      <x:c r="B517" t="str">
        <x:v>A-00485</x:v>
      </x:c>
      <x:c r="C517" t="str">
        <x:v>GATE</x:v>
      </x:c>
      <x:c r="D517" t="str">
        <x:v>release state mirrors governing ledger</x:v>
      </x:c>
      <x:c r="E517" t="str">
        <x:f>'Release Gates'!I491</x:f>
        <x:v>PASS</x:v>
      </x:c>
      <x:c r="F517" t="str">
        <x:f>IF('Release Gates'!C491="PLANNING","PASS",IF('Release Gates'!C491="PHYSICAL","OPEN","BLOCKED"))</x:f>
        <x:v>PASS</x:v>
      </x:c>
      <x:c r="G517" t="str">
        <x:v>equals</x:v>
      </x:c>
      <x:c r="H517" t="str">
        <x:f>IF(E517=F517,"PASS","FAIL")</x:f>
        <x:v>PASS</x:v>
      </x:c>
    </x:row>
    <x:row r="518">
      <x:c r="B518" t="str">
        <x:v>A-00486</x:v>
      </x:c>
      <x:c r="C518" t="str">
        <x:v>GATE</x:v>
      </x:c>
      <x:c r="D518" t="str">
        <x:v>release state mirrors governing ledger</x:v>
      </x:c>
      <x:c r="E518" t="str">
        <x:f>'Release Gates'!I492</x:f>
        <x:v>PASS</x:v>
      </x:c>
      <x:c r="F518" t="str">
        <x:f>IF('Release Gates'!C492="PLANNING","PASS",IF('Release Gates'!C492="PHYSICAL","OPEN","BLOCKED"))</x:f>
        <x:v>PASS</x:v>
      </x:c>
      <x:c r="G518" t="str">
        <x:v>equals</x:v>
      </x:c>
      <x:c r="H518" t="str">
        <x:f>IF(E518=F518,"PASS","FAIL")</x:f>
        <x:v>PASS</x:v>
      </x:c>
    </x:row>
    <x:row r="519">
      <x:c r="B519" t="str">
        <x:v>A-00487</x:v>
      </x:c>
      <x:c r="C519" t="str">
        <x:v>GATE</x:v>
      </x:c>
      <x:c r="D519" t="str">
        <x:v>release state mirrors governing ledger</x:v>
      </x:c>
      <x:c r="E519" t="str">
        <x:f>'Release Gates'!I493</x:f>
        <x:v>PASS</x:v>
      </x:c>
      <x:c r="F519" t="str">
        <x:f>IF('Release Gates'!C493="PLANNING","PASS",IF('Release Gates'!C493="PHYSICAL","OPEN","BLOCKED"))</x:f>
        <x:v>PASS</x:v>
      </x:c>
      <x:c r="G519" t="str">
        <x:v>equals</x:v>
      </x:c>
      <x:c r="H519" t="str">
        <x:f>IF(E519=F519,"PASS","FAIL")</x:f>
        <x:v>PASS</x:v>
      </x:c>
    </x:row>
    <x:row r="520">
      <x:c r="B520" t="str">
        <x:v>A-00488</x:v>
      </x:c>
      <x:c r="C520" t="str">
        <x:v>GATE</x:v>
      </x:c>
      <x:c r="D520" t="str">
        <x:v>release state mirrors governing ledger</x:v>
      </x:c>
      <x:c r="E520" t="str">
        <x:f>'Release Gates'!I494</x:f>
        <x:v>PASS</x:v>
      </x:c>
      <x:c r="F520" t="str">
        <x:f>IF('Release Gates'!C494="PLANNING","PASS",IF('Release Gates'!C494="PHYSICAL","OPEN","BLOCKED"))</x:f>
        <x:v>PASS</x:v>
      </x:c>
      <x:c r="G520" t="str">
        <x:v>equals</x:v>
      </x:c>
      <x:c r="H520" t="str">
        <x:f>IF(E520=F520,"PASS","FAIL")</x:f>
        <x:v>PASS</x:v>
      </x:c>
    </x:row>
    <x:row r="521">
      <x:c r="B521" t="str">
        <x:v>A-00489</x:v>
      </x:c>
      <x:c r="C521" t="str">
        <x:v>GATE</x:v>
      </x:c>
      <x:c r="D521" t="str">
        <x:v>release state mirrors governing ledger</x:v>
      </x:c>
      <x:c r="E521" t="str">
        <x:f>'Release Gates'!I495</x:f>
        <x:v>PASS</x:v>
      </x:c>
      <x:c r="F521" t="str">
        <x:f>IF('Release Gates'!C495="PLANNING","PASS",IF('Release Gates'!C495="PHYSICAL","OPEN","BLOCKED"))</x:f>
        <x:v>PASS</x:v>
      </x:c>
      <x:c r="G521" t="str">
        <x:v>equals</x:v>
      </x:c>
      <x:c r="H521" t="str">
        <x:f>IF(E521=F521,"PASS","FAIL")</x:f>
        <x:v>PASS</x:v>
      </x:c>
    </x:row>
    <x:row r="522">
      <x:c r="B522" t="str">
        <x:v>A-00490</x:v>
      </x:c>
      <x:c r="C522" t="str">
        <x:v>GATE</x:v>
      </x:c>
      <x:c r="D522" t="str">
        <x:v>release state mirrors governing ledger</x:v>
      </x:c>
      <x:c r="E522" t="str">
        <x:f>'Release Gates'!I496</x:f>
        <x:v>PASS</x:v>
      </x:c>
      <x:c r="F522" t="str">
        <x:f>IF('Release Gates'!C496="PLANNING","PASS",IF('Release Gates'!C496="PHYSICAL","OPEN","BLOCKED"))</x:f>
        <x:v>PASS</x:v>
      </x:c>
      <x:c r="G522" t="str">
        <x:v>equals</x:v>
      </x:c>
      <x:c r="H522" t="str">
        <x:f>IF(E522=F522,"PASS","FAIL")</x:f>
        <x:v>PASS</x:v>
      </x:c>
    </x:row>
    <x:row r="523">
      <x:c r="B523" t="str">
        <x:v>A-00491</x:v>
      </x:c>
      <x:c r="C523" t="str">
        <x:v>GATE</x:v>
      </x:c>
      <x:c r="D523" t="str">
        <x:v>release state mirrors governing ledger</x:v>
      </x:c>
      <x:c r="E523" t="str">
        <x:f>'Release Gates'!I497</x:f>
        <x:v>PASS</x:v>
      </x:c>
      <x:c r="F523" t="str">
        <x:f>IF('Release Gates'!C497="PLANNING","PASS",IF('Release Gates'!C497="PHYSICAL","OPEN","BLOCKED"))</x:f>
        <x:v>PASS</x:v>
      </x:c>
      <x:c r="G523" t="str">
        <x:v>equals</x:v>
      </x:c>
      <x:c r="H523" t="str">
        <x:f>IF(E523=F523,"PASS","FAIL")</x:f>
        <x:v>PASS</x:v>
      </x:c>
    </x:row>
    <x:row r="524">
      <x:c r="B524" t="str">
        <x:v>A-00492</x:v>
      </x:c>
      <x:c r="C524" t="str">
        <x:v>GATE</x:v>
      </x:c>
      <x:c r="D524" t="str">
        <x:v>release state mirrors governing ledger</x:v>
      </x:c>
      <x:c r="E524" t="str">
        <x:f>'Release Gates'!I498</x:f>
        <x:v>PASS</x:v>
      </x:c>
      <x:c r="F524" t="str">
        <x:f>IF('Release Gates'!C498="PLANNING","PASS",IF('Release Gates'!C498="PHYSICAL","OPEN","BLOCKED"))</x:f>
        <x:v>PASS</x:v>
      </x:c>
      <x:c r="G524" t="str">
        <x:v>equals</x:v>
      </x:c>
      <x:c r="H524" t="str">
        <x:f>IF(E524=F524,"PASS","FAIL")</x:f>
        <x:v>PASS</x:v>
      </x:c>
    </x:row>
    <x:row r="525">
      <x:c r="B525" t="str">
        <x:v>A-00493</x:v>
      </x:c>
      <x:c r="C525" t="str">
        <x:v>GATE</x:v>
      </x:c>
      <x:c r="D525" t="str">
        <x:v>release state mirrors governing ledger</x:v>
      </x:c>
      <x:c r="E525" t="str">
        <x:f>'Release Gates'!I499</x:f>
        <x:v>PASS</x:v>
      </x:c>
      <x:c r="F525" t="str">
        <x:f>IF('Release Gates'!C499="PLANNING","PASS",IF('Release Gates'!C499="PHYSICAL","OPEN","BLOCKED"))</x:f>
        <x:v>PASS</x:v>
      </x:c>
      <x:c r="G525" t="str">
        <x:v>equals</x:v>
      </x:c>
      <x:c r="H525" t="str">
        <x:f>IF(E525=F525,"PASS","FAIL")</x:f>
        <x:v>PASS</x:v>
      </x:c>
    </x:row>
    <x:row r="526">
      <x:c r="B526" t="str">
        <x:v>A-00494</x:v>
      </x:c>
      <x:c r="C526" t="str">
        <x:v>GATE</x:v>
      </x:c>
      <x:c r="D526" t="str">
        <x:v>release state mirrors governing ledger</x:v>
      </x:c>
      <x:c r="E526" t="str">
        <x:f>'Release Gates'!I500</x:f>
        <x:v>PASS</x:v>
      </x:c>
      <x:c r="F526" t="str">
        <x:f>IF('Release Gates'!C500="PLANNING","PASS",IF('Release Gates'!C500="PHYSICAL","OPEN","BLOCKED"))</x:f>
        <x:v>PASS</x:v>
      </x:c>
      <x:c r="G526" t="str">
        <x:v>equals</x:v>
      </x:c>
      <x:c r="H526" t="str">
        <x:f>IF(E526=F526,"PASS","FAIL")</x:f>
        <x:v>PASS</x:v>
      </x:c>
    </x:row>
    <x:row r="527">
      <x:c r="B527" t="str">
        <x:v>A-00495</x:v>
      </x:c>
      <x:c r="C527" t="str">
        <x:v>GATE</x:v>
      </x:c>
      <x:c r="D527" t="str">
        <x:v>release state mirrors governing ledger</x:v>
      </x:c>
      <x:c r="E527" t="str">
        <x:f>'Release Gates'!I501</x:f>
        <x:v>PASS</x:v>
      </x:c>
      <x:c r="F527" t="str">
        <x:f>IF('Release Gates'!C501="PLANNING","PASS",IF('Release Gates'!C501="PHYSICAL","OPEN","BLOCKED"))</x:f>
        <x:v>PASS</x:v>
      </x:c>
      <x:c r="G527" t="str">
        <x:v>equals</x:v>
      </x:c>
      <x:c r="H527" t="str">
        <x:f>IF(E527=F527,"PASS","FAIL")</x:f>
        <x:v>PASS</x:v>
      </x:c>
    </x:row>
    <x:row r="528">
      <x:c r="B528" t="str">
        <x:v>A-00496</x:v>
      </x:c>
      <x:c r="C528" t="str">
        <x:v>GATE</x:v>
      </x:c>
      <x:c r="D528" t="str">
        <x:v>release state mirrors governing ledger</x:v>
      </x:c>
      <x:c r="E528" t="str">
        <x:f>'Release Gates'!I502</x:f>
        <x:v>PASS</x:v>
      </x:c>
      <x:c r="F528" t="str">
        <x:f>IF('Release Gates'!C502="PLANNING","PASS",IF('Release Gates'!C502="PHYSICAL","OPEN","BLOCKED"))</x:f>
        <x:v>PASS</x:v>
      </x:c>
      <x:c r="G528" t="str">
        <x:v>equals</x:v>
      </x:c>
      <x:c r="H528" t="str">
        <x:f>IF(E528=F528,"PASS","FAIL")</x:f>
        <x:v>PASS</x:v>
      </x:c>
    </x:row>
    <x:row r="529">
      <x:c r="B529" t="str">
        <x:v>A-00497</x:v>
      </x:c>
      <x:c r="C529" t="str">
        <x:v>GATE</x:v>
      </x:c>
      <x:c r="D529" t="str">
        <x:v>release state mirrors governing ledger</x:v>
      </x:c>
      <x:c r="E529" t="str">
        <x:f>'Release Gates'!I503</x:f>
        <x:v>PASS</x:v>
      </x:c>
      <x:c r="F529" t="str">
        <x:f>IF('Release Gates'!C503="PLANNING","PASS",IF('Release Gates'!C503="PHYSICAL","OPEN","BLOCKED"))</x:f>
        <x:v>PASS</x:v>
      </x:c>
      <x:c r="G529" t="str">
        <x:v>equals</x:v>
      </x:c>
      <x:c r="H529" t="str">
        <x:f>IF(E529=F529,"PASS","FAIL")</x:f>
        <x:v>PASS</x:v>
      </x:c>
    </x:row>
    <x:row r="530">
      <x:c r="B530" t="str">
        <x:v>A-00498</x:v>
      </x:c>
      <x:c r="C530" t="str">
        <x:v>GATE</x:v>
      </x:c>
      <x:c r="D530" t="str">
        <x:v>release state mirrors governing ledger</x:v>
      </x:c>
      <x:c r="E530" t="str">
        <x:f>'Release Gates'!I504</x:f>
        <x:v>PASS</x:v>
      </x:c>
      <x:c r="F530" t="str">
        <x:f>IF('Release Gates'!C504="PLANNING","PASS",IF('Release Gates'!C504="PHYSICAL","OPEN","BLOCKED"))</x:f>
        <x:v>PASS</x:v>
      </x:c>
      <x:c r="G530" t="str">
        <x:v>equals</x:v>
      </x:c>
      <x:c r="H530" t="str">
        <x:f>IF(E530=F530,"PASS","FAIL")</x:f>
        <x:v>PASS</x:v>
      </x:c>
    </x:row>
    <x:row r="531">
      <x:c r="B531" t="str">
        <x:v>A-00499</x:v>
      </x:c>
      <x:c r="C531" t="str">
        <x:v>GATE</x:v>
      </x:c>
      <x:c r="D531" t="str">
        <x:v>release state mirrors governing ledger</x:v>
      </x:c>
      <x:c r="E531" t="str">
        <x:f>'Release Gates'!I505</x:f>
        <x:v>PASS</x:v>
      </x:c>
      <x:c r="F531" t="str">
        <x:f>IF('Release Gates'!C505="PLANNING","PASS",IF('Release Gates'!C505="PHYSICAL","OPEN","BLOCKED"))</x:f>
        <x:v>PASS</x:v>
      </x:c>
      <x:c r="G531" t="str">
        <x:v>equals</x:v>
      </x:c>
      <x:c r="H531" t="str">
        <x:f>IF(E531=F531,"PASS","FAIL")</x:f>
        <x:v>PASS</x:v>
      </x:c>
    </x:row>
    <x:row r="532">
      <x:c r="B532" t="str">
        <x:v>A-00500</x:v>
      </x:c>
      <x:c r="C532" t="str">
        <x:v>GATE</x:v>
      </x:c>
      <x:c r="D532" t="str">
        <x:v>release state mirrors governing ledger</x:v>
      </x:c>
      <x:c r="E532" t="str">
        <x:f>'Release Gates'!I506</x:f>
        <x:v>PASS</x:v>
      </x:c>
      <x:c r="F532" t="str">
        <x:f>IF('Release Gates'!C506="PLANNING","PASS",IF('Release Gates'!C506="PHYSICAL","OPEN","BLOCKED"))</x:f>
        <x:v>PASS</x:v>
      </x:c>
      <x:c r="G532" t="str">
        <x:v>equals</x:v>
      </x:c>
      <x:c r="H532" t="str">
        <x:f>IF(E532=F532,"PASS","FAIL")</x:f>
        <x:v>PASS</x:v>
      </x:c>
    </x:row>
    <x:row r="533">
      <x:c r="B533" t="str">
        <x:v>A-00501</x:v>
      </x:c>
      <x:c r="C533" t="str">
        <x:v>GATE</x:v>
      </x:c>
      <x:c r="D533" t="str">
        <x:v>release state mirrors governing ledger</x:v>
      </x:c>
      <x:c r="E533" t="str">
        <x:f>'Release Gates'!I507</x:f>
        <x:v>PASS</x:v>
      </x:c>
      <x:c r="F533" t="str">
        <x:f>IF('Release Gates'!C507="PLANNING","PASS",IF('Release Gates'!C507="PHYSICAL","OPEN","BLOCKED"))</x:f>
        <x:v>PASS</x:v>
      </x:c>
      <x:c r="G533" t="str">
        <x:v>equals</x:v>
      </x:c>
      <x:c r="H533" t="str">
        <x:f>IF(E533=F533,"PASS","FAIL")</x:f>
        <x:v>PASS</x:v>
      </x:c>
    </x:row>
    <x:row r="534">
      <x:c r="B534" t="str">
        <x:v>A-00502</x:v>
      </x:c>
      <x:c r="C534" t="str">
        <x:v>GATE</x:v>
      </x:c>
      <x:c r="D534" t="str">
        <x:v>release state mirrors governing ledger</x:v>
      </x:c>
      <x:c r="E534" t="str">
        <x:f>'Release Gates'!I508</x:f>
        <x:v>PASS</x:v>
      </x:c>
      <x:c r="F534" t="str">
        <x:f>IF('Release Gates'!C508="PLANNING","PASS",IF('Release Gates'!C508="PHYSICAL","OPEN","BLOCKED"))</x:f>
        <x:v>PASS</x:v>
      </x:c>
      <x:c r="G534" t="str">
        <x:v>equals</x:v>
      </x:c>
      <x:c r="H534" t="str">
        <x:f>IF(E534=F534,"PASS","FAIL")</x:f>
        <x:v>PASS</x:v>
      </x:c>
    </x:row>
    <x:row r="535">
      <x:c r="B535" t="str">
        <x:v>A-00503</x:v>
      </x:c>
      <x:c r="C535" t="str">
        <x:v>GATE</x:v>
      </x:c>
      <x:c r="D535" t="str">
        <x:v>release state mirrors governing ledger</x:v>
      </x:c>
      <x:c r="E535" t="str">
        <x:f>'Release Gates'!I509</x:f>
        <x:v>PASS</x:v>
      </x:c>
      <x:c r="F535" t="str">
        <x:f>IF('Release Gates'!C509="PLANNING","PASS",IF('Release Gates'!C509="PHYSICAL","OPEN","BLOCKED"))</x:f>
        <x:v>PASS</x:v>
      </x:c>
      <x:c r="G535" t="str">
        <x:v>equals</x:v>
      </x:c>
      <x:c r="H535" t="str">
        <x:f>IF(E535=F535,"PASS","FAIL")</x:f>
        <x:v>PASS</x:v>
      </x:c>
    </x:row>
    <x:row r="536">
      <x:c r="B536" t="str">
        <x:v>A-00504</x:v>
      </x:c>
      <x:c r="C536" t="str">
        <x:v>GATE</x:v>
      </x:c>
      <x:c r="D536" t="str">
        <x:v>release state mirrors governing ledger</x:v>
      </x:c>
      <x:c r="E536" t="str">
        <x:f>'Release Gates'!I510</x:f>
        <x:v>PASS</x:v>
      </x:c>
      <x:c r="F536" t="str">
        <x:f>IF('Release Gates'!C510="PLANNING","PASS",IF('Release Gates'!C510="PHYSICAL","OPEN","BLOCKED"))</x:f>
        <x:v>PASS</x:v>
      </x:c>
      <x:c r="G536" t="str">
        <x:v>equals</x:v>
      </x:c>
      <x:c r="H536" t="str">
        <x:f>IF(E536=F536,"PASS","FAIL")</x:f>
        <x:v>PASS</x:v>
      </x:c>
    </x:row>
    <x:row r="537">
      <x:c r="B537" t="str">
        <x:v>A-00505</x:v>
      </x:c>
      <x:c r="C537" t="str">
        <x:v>GATE</x:v>
      </x:c>
      <x:c r="D537" t="str">
        <x:v>release state mirrors governing ledger</x:v>
      </x:c>
      <x:c r="E537" t="str">
        <x:f>'Release Gates'!I511</x:f>
        <x:v>PASS</x:v>
      </x:c>
      <x:c r="F537" t="str">
        <x:f>IF('Release Gates'!C511="PLANNING","PASS",IF('Release Gates'!C511="PHYSICAL","OPEN","BLOCKED"))</x:f>
        <x:v>PASS</x:v>
      </x:c>
      <x:c r="G537" t="str">
        <x:v>equals</x:v>
      </x:c>
      <x:c r="H537" t="str">
        <x:f>IF(E537=F537,"PASS","FAIL")</x:f>
        <x:v>PASS</x:v>
      </x:c>
    </x:row>
    <x:row r="538">
      <x:c r="B538" t="str">
        <x:v>A-00506</x:v>
      </x:c>
      <x:c r="C538" t="str">
        <x:v>GATE</x:v>
      </x:c>
      <x:c r="D538" t="str">
        <x:v>release state mirrors governing ledger</x:v>
      </x:c>
      <x:c r="E538" t="str">
        <x:f>'Release Gates'!I512</x:f>
        <x:v>PASS</x:v>
      </x:c>
      <x:c r="F538" t="str">
        <x:f>IF('Release Gates'!C512="PLANNING","PASS",IF('Release Gates'!C512="PHYSICAL","OPEN","BLOCKED"))</x:f>
        <x:v>PASS</x:v>
      </x:c>
      <x:c r="G538" t="str">
        <x:v>equals</x:v>
      </x:c>
      <x:c r="H538" t="str">
        <x:f>IF(E538=F538,"PASS","FAIL")</x:f>
        <x:v>PASS</x:v>
      </x:c>
    </x:row>
    <x:row r="539">
      <x:c r="B539" t="str">
        <x:v>A-00507</x:v>
      </x:c>
      <x:c r="C539" t="str">
        <x:v>GATE</x:v>
      </x:c>
      <x:c r="D539" t="str">
        <x:v>release state mirrors governing ledger</x:v>
      </x:c>
      <x:c r="E539" t="str">
        <x:f>'Release Gates'!I513</x:f>
        <x:v>PASS</x:v>
      </x:c>
      <x:c r="F539" t="str">
        <x:f>IF('Release Gates'!C513="PLANNING","PASS",IF('Release Gates'!C513="PHYSICAL","OPEN","BLOCKED"))</x:f>
        <x:v>PASS</x:v>
      </x:c>
      <x:c r="G539" t="str">
        <x:v>equals</x:v>
      </x:c>
      <x:c r="H539" t="str">
        <x:f>IF(E539=F539,"PASS","FAIL")</x:f>
        <x:v>PASS</x:v>
      </x:c>
    </x:row>
    <x:row r="540">
      <x:c r="B540" t="str">
        <x:v>A-00508</x:v>
      </x:c>
      <x:c r="C540" t="str">
        <x:v>GATE</x:v>
      </x:c>
      <x:c r="D540" t="str">
        <x:v>release state mirrors governing ledger</x:v>
      </x:c>
      <x:c r="E540" t="str">
        <x:f>'Release Gates'!I514</x:f>
        <x:v>PASS</x:v>
      </x:c>
      <x:c r="F540" t="str">
        <x:f>IF('Release Gates'!C514="PLANNING","PASS",IF('Release Gates'!C514="PHYSICAL","OPEN","BLOCKED"))</x:f>
        <x:v>PASS</x:v>
      </x:c>
      <x:c r="G540" t="str">
        <x:v>equals</x:v>
      </x:c>
      <x:c r="H540" t="str">
        <x:f>IF(E540=F540,"PASS","FAIL")</x:f>
        <x:v>PASS</x:v>
      </x:c>
    </x:row>
    <x:row r="541">
      <x:c r="B541" t="str">
        <x:v>A-00509</x:v>
      </x:c>
      <x:c r="C541" t="str">
        <x:v>GATE</x:v>
      </x:c>
      <x:c r="D541" t="str">
        <x:v>release state mirrors governing ledger</x:v>
      </x:c>
      <x:c r="E541" t="str">
        <x:f>'Release Gates'!I515</x:f>
        <x:v>PASS</x:v>
      </x:c>
      <x:c r="F541" t="str">
        <x:f>IF('Release Gates'!C515="PLANNING","PASS",IF('Release Gates'!C515="PHYSICAL","OPEN","BLOCKED"))</x:f>
        <x:v>PASS</x:v>
      </x:c>
      <x:c r="G541" t="str">
        <x:v>equals</x:v>
      </x:c>
      <x:c r="H541" t="str">
        <x:f>IF(E541=F541,"PASS","FAIL")</x:f>
        <x:v>PASS</x:v>
      </x:c>
    </x:row>
    <x:row r="542">
      <x:c r="B542" t="str">
        <x:v>A-00510</x:v>
      </x:c>
      <x:c r="C542" t="str">
        <x:v>GATE</x:v>
      </x:c>
      <x:c r="D542" t="str">
        <x:v>release state mirrors governing ledger</x:v>
      </x:c>
      <x:c r="E542" t="str">
        <x:f>'Release Gates'!I516</x:f>
        <x:v>PASS</x:v>
      </x:c>
      <x:c r="F542" t="str">
        <x:f>IF('Release Gates'!C516="PLANNING","PASS",IF('Release Gates'!C516="PHYSICAL","OPEN","BLOCKED"))</x:f>
        <x:v>PASS</x:v>
      </x:c>
      <x:c r="G542" t="str">
        <x:v>equals</x:v>
      </x:c>
      <x:c r="H542" t="str">
        <x:f>IF(E542=F542,"PASS","FAIL")</x:f>
        <x:v>PASS</x:v>
      </x:c>
    </x:row>
    <x:row r="543">
      <x:c r="B543" t="str">
        <x:v>A-00511</x:v>
      </x:c>
      <x:c r="C543" t="str">
        <x:v>GATE</x:v>
      </x:c>
      <x:c r="D543" t="str">
        <x:v>release state mirrors governing ledger</x:v>
      </x:c>
      <x:c r="E543" t="str">
        <x:f>'Release Gates'!I517</x:f>
        <x:v>PASS</x:v>
      </x:c>
      <x:c r="F543" t="str">
        <x:f>IF('Release Gates'!C517="PLANNING","PASS",IF('Release Gates'!C517="PHYSICAL","OPEN","BLOCKED"))</x:f>
        <x:v>PASS</x:v>
      </x:c>
      <x:c r="G543" t="str">
        <x:v>equals</x:v>
      </x:c>
      <x:c r="H543" t="str">
        <x:f>IF(E543=F543,"PASS","FAIL")</x:f>
        <x:v>PASS</x:v>
      </x:c>
    </x:row>
    <x:row r="544">
      <x:c r="B544" t="str">
        <x:v>A-00512</x:v>
      </x:c>
      <x:c r="C544" t="str">
        <x:v>GATE</x:v>
      </x:c>
      <x:c r="D544" t="str">
        <x:v>release state mirrors governing ledger</x:v>
      </x:c>
      <x:c r="E544" t="str">
        <x:f>'Release Gates'!I518</x:f>
        <x:v>PASS</x:v>
      </x:c>
      <x:c r="F544" t="str">
        <x:f>IF('Release Gates'!C518="PLANNING","PASS",IF('Release Gates'!C518="PHYSICAL","OPEN","BLOCKED"))</x:f>
        <x:v>PASS</x:v>
      </x:c>
      <x:c r="G544" t="str">
        <x:v>equals</x:v>
      </x:c>
      <x:c r="H544" t="str">
        <x:f>IF(E544=F544,"PASS","FAIL")</x:f>
        <x:v>PASS</x:v>
      </x:c>
    </x:row>
    <x:row r="545">
      <x:c r="B545" t="str">
        <x:v>A-00513</x:v>
      </x:c>
      <x:c r="C545" t="str">
        <x:v>GATE</x:v>
      </x:c>
      <x:c r="D545" t="str">
        <x:v>release state mirrors governing ledger</x:v>
      </x:c>
      <x:c r="E545" t="str">
        <x:f>'Release Gates'!I519</x:f>
        <x:v>PASS</x:v>
      </x:c>
      <x:c r="F545" t="str">
        <x:f>IF('Release Gates'!C519="PLANNING","PASS",IF('Release Gates'!C519="PHYSICAL","OPEN","BLOCKED"))</x:f>
        <x:v>PASS</x:v>
      </x:c>
      <x:c r="G545" t="str">
        <x:v>equals</x:v>
      </x:c>
      <x:c r="H545" t="str">
        <x:f>IF(E545=F545,"PASS","FAIL")</x:f>
        <x:v>PASS</x:v>
      </x:c>
    </x:row>
    <x:row r="546">
      <x:c r="B546" t="str">
        <x:v>A-00514</x:v>
      </x:c>
      <x:c r="C546" t="str">
        <x:v>GATE</x:v>
      </x:c>
      <x:c r="D546" t="str">
        <x:v>release state mirrors governing ledger</x:v>
      </x:c>
      <x:c r="E546" t="str">
        <x:f>'Release Gates'!I520</x:f>
        <x:v>PASS</x:v>
      </x:c>
      <x:c r="F546" t="str">
        <x:f>IF('Release Gates'!C520="PLANNING","PASS",IF('Release Gates'!C520="PHYSICAL","OPEN","BLOCKED"))</x:f>
        <x:v>PASS</x:v>
      </x:c>
      <x:c r="G546" t="str">
        <x:v>equals</x:v>
      </x:c>
      <x:c r="H546" t="str">
        <x:f>IF(E546=F546,"PASS","FAIL")</x:f>
        <x:v>PASS</x:v>
      </x:c>
    </x:row>
    <x:row r="547">
      <x:c r="B547" t="str">
        <x:v>A-00515</x:v>
      </x:c>
      <x:c r="C547" t="str">
        <x:v>GATE</x:v>
      </x:c>
      <x:c r="D547" t="str">
        <x:v>release state mirrors governing ledger</x:v>
      </x:c>
      <x:c r="E547" t="str">
        <x:f>'Release Gates'!I521</x:f>
        <x:v>PASS</x:v>
      </x:c>
      <x:c r="F547" t="str">
        <x:f>IF('Release Gates'!C521="PLANNING","PASS",IF('Release Gates'!C521="PHYSICAL","OPEN","BLOCKED"))</x:f>
        <x:v>PASS</x:v>
      </x:c>
      <x:c r="G547" t="str">
        <x:v>equals</x:v>
      </x:c>
      <x:c r="H547" t="str">
        <x:f>IF(E547=F547,"PASS","FAIL")</x:f>
        <x:v>PASS</x:v>
      </x:c>
    </x:row>
    <x:row r="548">
      <x:c r="B548" t="str">
        <x:v>A-00516</x:v>
      </x:c>
      <x:c r="C548" t="str">
        <x:v>GATE</x:v>
      </x:c>
      <x:c r="D548" t="str">
        <x:v>release state mirrors governing ledger</x:v>
      </x:c>
      <x:c r="E548" t="str">
        <x:f>'Release Gates'!I522</x:f>
        <x:v>PASS</x:v>
      </x:c>
      <x:c r="F548" t="str">
        <x:f>IF('Release Gates'!C522="PLANNING","PASS",IF('Release Gates'!C522="PHYSICAL","OPEN","BLOCKED"))</x:f>
        <x:v>PASS</x:v>
      </x:c>
      <x:c r="G548" t="str">
        <x:v>equals</x:v>
      </x:c>
      <x:c r="H548" t="str">
        <x:f>IF(E548=F548,"PASS","FAIL")</x:f>
        <x:v>PASS</x:v>
      </x:c>
    </x:row>
    <x:row r="549">
      <x:c r="B549" t="str">
        <x:v>A-00517</x:v>
      </x:c>
      <x:c r="C549" t="str">
        <x:v>GATE</x:v>
      </x:c>
      <x:c r="D549" t="str">
        <x:v>release state mirrors governing ledger</x:v>
      </x:c>
      <x:c r="E549" t="str">
        <x:f>'Release Gates'!I523</x:f>
        <x:v>PASS</x:v>
      </x:c>
      <x:c r="F549" t="str">
        <x:f>IF('Release Gates'!C523="PLANNING","PASS",IF('Release Gates'!C523="PHYSICAL","OPEN","BLOCKED"))</x:f>
        <x:v>PASS</x:v>
      </x:c>
      <x:c r="G549" t="str">
        <x:v>equals</x:v>
      </x:c>
      <x:c r="H549" t="str">
        <x:f>IF(E549=F549,"PASS","FAIL")</x:f>
        <x:v>PASS</x:v>
      </x:c>
    </x:row>
    <x:row r="550">
      <x:c r="B550" t="str">
        <x:v>A-00518</x:v>
      </x:c>
      <x:c r="C550" t="str">
        <x:v>GATE</x:v>
      </x:c>
      <x:c r="D550" t="str">
        <x:v>release state mirrors governing ledger</x:v>
      </x:c>
      <x:c r="E550" t="str">
        <x:f>'Release Gates'!I524</x:f>
        <x:v>PASS</x:v>
      </x:c>
      <x:c r="F550" t="str">
        <x:f>IF('Release Gates'!C524="PLANNING","PASS",IF('Release Gates'!C524="PHYSICAL","OPEN","BLOCKED"))</x:f>
        <x:v>PASS</x:v>
      </x:c>
      <x:c r="G550" t="str">
        <x:v>equals</x:v>
      </x:c>
      <x:c r="H550" t="str">
        <x:f>IF(E550=F550,"PASS","FAIL")</x:f>
        <x:v>PASS</x:v>
      </x:c>
    </x:row>
    <x:row r="551">
      <x:c r="B551" t="str">
        <x:v>A-00519</x:v>
      </x:c>
      <x:c r="C551" t="str">
        <x:v>GATE</x:v>
      </x:c>
      <x:c r="D551" t="str">
        <x:v>release state mirrors governing ledger</x:v>
      </x:c>
      <x:c r="E551" t="str">
        <x:f>'Release Gates'!I525</x:f>
        <x:v>PASS</x:v>
      </x:c>
      <x:c r="F551" t="str">
        <x:f>IF('Release Gates'!C525="PLANNING","PASS",IF('Release Gates'!C525="PHYSICAL","OPEN","BLOCKED"))</x:f>
        <x:v>PASS</x:v>
      </x:c>
      <x:c r="G551" t="str">
        <x:v>equals</x:v>
      </x:c>
      <x:c r="H551" t="str">
        <x:f>IF(E551=F551,"PASS","FAIL")</x:f>
        <x:v>PASS</x:v>
      </x:c>
    </x:row>
    <x:row r="552">
      <x:c r="B552" t="str">
        <x:v>A-00520</x:v>
      </x:c>
      <x:c r="C552" t="str">
        <x:v>GATE</x:v>
      </x:c>
      <x:c r="D552" t="str">
        <x:v>release state mirrors governing ledger</x:v>
      </x:c>
      <x:c r="E552" t="str">
        <x:f>'Release Gates'!I526</x:f>
        <x:v>PASS</x:v>
      </x:c>
      <x:c r="F552" t="str">
        <x:f>IF('Release Gates'!C526="PLANNING","PASS",IF('Release Gates'!C526="PHYSICAL","OPEN","BLOCKED"))</x:f>
        <x:v>PASS</x:v>
      </x:c>
      <x:c r="G552" t="str">
        <x:v>equals</x:v>
      </x:c>
      <x:c r="H552" t="str">
        <x:f>IF(E552=F552,"PASS","FAIL")</x:f>
        <x:v>PASS</x:v>
      </x:c>
    </x:row>
    <x:row r="553">
      <x:c r="B553" t="str">
        <x:v>A-00521</x:v>
      </x:c>
      <x:c r="C553" t="str">
        <x:v>GATE</x:v>
      </x:c>
      <x:c r="D553" t="str">
        <x:v>release state mirrors governing ledger</x:v>
      </x:c>
      <x:c r="E553" t="str">
        <x:f>'Release Gates'!I527</x:f>
        <x:v>PASS</x:v>
      </x:c>
      <x:c r="F553" t="str">
        <x:f>IF('Release Gates'!C527="PLANNING","PASS",IF('Release Gates'!C527="PHYSICAL","OPEN","BLOCKED"))</x:f>
        <x:v>PASS</x:v>
      </x:c>
      <x:c r="G553" t="str">
        <x:v>equals</x:v>
      </x:c>
      <x:c r="H553" t="str">
        <x:f>IF(E553=F553,"PASS","FAIL")</x:f>
        <x:v>PASS</x:v>
      </x:c>
    </x:row>
    <x:row r="554">
      <x:c r="B554" t="str">
        <x:v>A-00522</x:v>
      </x:c>
      <x:c r="C554" t="str">
        <x:v>GATE</x:v>
      </x:c>
      <x:c r="D554" t="str">
        <x:v>release state mirrors governing ledger</x:v>
      </x:c>
      <x:c r="E554" t="str">
        <x:f>'Release Gates'!I528</x:f>
        <x:v>PASS</x:v>
      </x:c>
      <x:c r="F554" t="str">
        <x:f>IF('Release Gates'!C528="PLANNING","PASS",IF('Release Gates'!C528="PHYSICAL","OPEN","BLOCKED"))</x:f>
        <x:v>PASS</x:v>
      </x:c>
      <x:c r="G554" t="str">
        <x:v>equals</x:v>
      </x:c>
      <x:c r="H554" t="str">
        <x:f>IF(E554=F554,"PASS","FAIL")</x:f>
        <x:v>PASS</x:v>
      </x:c>
    </x:row>
    <x:row r="555">
      <x:c r="B555" t="str">
        <x:v>A-00523</x:v>
      </x:c>
      <x:c r="C555" t="str">
        <x:v>GATE</x:v>
      </x:c>
      <x:c r="D555" t="str">
        <x:v>release state mirrors governing ledger</x:v>
      </x:c>
      <x:c r="E555" t="str">
        <x:f>'Release Gates'!I529</x:f>
        <x:v>PASS</x:v>
      </x:c>
      <x:c r="F555" t="str">
        <x:f>IF('Release Gates'!C529="PLANNING","PASS",IF('Release Gates'!C529="PHYSICAL","OPEN","BLOCKED"))</x:f>
        <x:v>PASS</x:v>
      </x:c>
      <x:c r="G555" t="str">
        <x:v>equals</x:v>
      </x:c>
      <x:c r="H555" t="str">
        <x:f>IF(E555=F555,"PASS","FAIL")</x:f>
        <x:v>PASS</x:v>
      </x:c>
    </x:row>
    <x:row r="556">
      <x:c r="B556" t="str">
        <x:v>A-00524</x:v>
      </x:c>
      <x:c r="C556" t="str">
        <x:v>GATE</x:v>
      </x:c>
      <x:c r="D556" t="str">
        <x:v>release state mirrors governing ledger</x:v>
      </x:c>
      <x:c r="E556" t="str">
        <x:f>'Release Gates'!I530</x:f>
        <x:v>PASS</x:v>
      </x:c>
      <x:c r="F556" t="str">
        <x:f>IF('Release Gates'!C530="PLANNING","PASS",IF('Release Gates'!C530="PHYSICAL","OPEN","BLOCKED"))</x:f>
        <x:v>PASS</x:v>
      </x:c>
      <x:c r="G556" t="str">
        <x:v>equals</x:v>
      </x:c>
      <x:c r="H556" t="str">
        <x:f>IF(E556=F556,"PASS","FAIL")</x:f>
        <x:v>PASS</x:v>
      </x:c>
    </x:row>
    <x:row r="557">
      <x:c r="B557" t="str">
        <x:v>A-00525</x:v>
      </x:c>
      <x:c r="C557" t="str">
        <x:v>GATE</x:v>
      </x:c>
      <x:c r="D557" t="str">
        <x:v>release state mirrors governing ledger</x:v>
      </x:c>
      <x:c r="E557" t="str">
        <x:f>'Release Gates'!I531</x:f>
        <x:v>PASS</x:v>
      </x:c>
      <x:c r="F557" t="str">
        <x:f>IF('Release Gates'!C531="PLANNING","PASS",IF('Release Gates'!C531="PHYSICAL","OPEN","BLOCKED"))</x:f>
        <x:v>PASS</x:v>
      </x:c>
      <x:c r="G557" t="str">
        <x:v>equals</x:v>
      </x:c>
      <x:c r="H557" t="str">
        <x:f>IF(E557=F557,"PASS","FAIL")</x:f>
        <x:v>PASS</x:v>
      </x:c>
    </x:row>
    <x:row r="558">
      <x:c r="B558" t="str">
        <x:v>A-00526</x:v>
      </x:c>
      <x:c r="C558" t="str">
        <x:v>GATE</x:v>
      </x:c>
      <x:c r="D558" t="str">
        <x:v>release state mirrors governing ledger</x:v>
      </x:c>
      <x:c r="E558" t="str">
        <x:f>'Release Gates'!I532</x:f>
        <x:v>PASS</x:v>
      </x:c>
      <x:c r="F558" t="str">
        <x:f>IF('Release Gates'!C532="PLANNING","PASS",IF('Release Gates'!C532="PHYSICAL","OPEN","BLOCKED"))</x:f>
        <x:v>PASS</x:v>
      </x:c>
      <x:c r="G558" t="str">
        <x:v>equals</x:v>
      </x:c>
      <x:c r="H558" t="str">
        <x:f>IF(E558=F558,"PASS","FAIL")</x:f>
        <x:v>PASS</x:v>
      </x:c>
    </x:row>
    <x:row r="559">
      <x:c r="B559" t="str">
        <x:v>A-00527</x:v>
      </x:c>
      <x:c r="C559" t="str">
        <x:v>GATE</x:v>
      </x:c>
      <x:c r="D559" t="str">
        <x:v>release state mirrors governing ledger</x:v>
      </x:c>
      <x:c r="E559" t="str">
        <x:f>'Release Gates'!I533</x:f>
        <x:v>PASS</x:v>
      </x:c>
      <x:c r="F559" t="str">
        <x:f>IF('Release Gates'!C533="PLANNING","PASS",IF('Release Gates'!C533="PHYSICAL","OPEN","BLOCKED"))</x:f>
        <x:v>PASS</x:v>
      </x:c>
      <x:c r="G559" t="str">
        <x:v>equals</x:v>
      </x:c>
      <x:c r="H559" t="str">
        <x:f>IF(E559=F559,"PASS","FAIL")</x:f>
        <x:v>PASS</x:v>
      </x:c>
    </x:row>
    <x:row r="560">
      <x:c r="B560" t="str">
        <x:v>A-00528</x:v>
      </x:c>
      <x:c r="C560" t="str">
        <x:v>GATE</x:v>
      </x:c>
      <x:c r="D560" t="str">
        <x:v>release state mirrors governing ledger</x:v>
      </x:c>
      <x:c r="E560" t="str">
        <x:f>'Release Gates'!I534</x:f>
        <x:v>PASS</x:v>
      </x:c>
      <x:c r="F560" t="str">
        <x:f>IF('Release Gates'!C534="PLANNING","PASS",IF('Release Gates'!C534="PHYSICAL","OPEN","BLOCKED"))</x:f>
        <x:v>PASS</x:v>
      </x:c>
      <x:c r="G560" t="str">
        <x:v>equals</x:v>
      </x:c>
      <x:c r="H560" t="str">
        <x:f>IF(E560=F560,"PASS","FAIL")</x:f>
        <x:v>PASS</x:v>
      </x:c>
    </x:row>
    <x:row r="561">
      <x:c r="B561" t="str">
        <x:v>A-00529</x:v>
      </x:c>
      <x:c r="C561" t="str">
        <x:v>GATE</x:v>
      </x:c>
      <x:c r="D561" t="str">
        <x:v>release state mirrors governing ledger</x:v>
      </x:c>
      <x:c r="E561" t="str">
        <x:f>'Release Gates'!I535</x:f>
        <x:v>PASS</x:v>
      </x:c>
      <x:c r="F561" t="str">
        <x:f>IF('Release Gates'!C535="PLANNING","PASS",IF('Release Gates'!C535="PHYSICAL","OPEN","BLOCKED"))</x:f>
        <x:v>PASS</x:v>
      </x:c>
      <x:c r="G561" t="str">
        <x:v>equals</x:v>
      </x:c>
      <x:c r="H561" t="str">
        <x:f>IF(E561=F561,"PASS","FAIL")</x:f>
        <x:v>PASS</x:v>
      </x:c>
    </x:row>
    <x:row r="562">
      <x:c r="B562" t="str">
        <x:v>A-00530</x:v>
      </x:c>
      <x:c r="C562" t="str">
        <x:v>GATE</x:v>
      </x:c>
      <x:c r="D562" t="str">
        <x:v>release state mirrors governing ledger</x:v>
      </x:c>
      <x:c r="E562" t="str">
        <x:f>'Release Gates'!I536</x:f>
        <x:v>PASS</x:v>
      </x:c>
      <x:c r="F562" t="str">
        <x:f>IF('Release Gates'!C536="PLANNING","PASS",IF('Release Gates'!C536="PHYSICAL","OPEN","BLOCKED"))</x:f>
        <x:v>PASS</x:v>
      </x:c>
      <x:c r="G562" t="str">
        <x:v>equals</x:v>
      </x:c>
      <x:c r="H562" t="str">
        <x:f>IF(E562=F562,"PASS","FAIL")</x:f>
        <x:v>PASS</x:v>
      </x:c>
    </x:row>
    <x:row r="563">
      <x:c r="B563" t="str">
        <x:v>A-00531</x:v>
      </x:c>
      <x:c r="C563" t="str">
        <x:v>GATE</x:v>
      </x:c>
      <x:c r="D563" t="str">
        <x:v>release state mirrors governing ledger</x:v>
      </x:c>
      <x:c r="E563" t="str">
        <x:f>'Release Gates'!I537</x:f>
        <x:v>PASS</x:v>
      </x:c>
      <x:c r="F563" t="str">
        <x:f>IF('Release Gates'!C537="PLANNING","PASS",IF('Release Gates'!C537="PHYSICAL","OPEN","BLOCKED"))</x:f>
        <x:v>PASS</x:v>
      </x:c>
      <x:c r="G563" t="str">
        <x:v>equals</x:v>
      </x:c>
      <x:c r="H563" t="str">
        <x:f>IF(E563=F563,"PASS","FAIL")</x:f>
        <x:v>PASS</x:v>
      </x:c>
    </x:row>
    <x:row r="564">
      <x:c r="B564" t="str">
        <x:v>A-00532</x:v>
      </x:c>
      <x:c r="C564" t="str">
        <x:v>GATE</x:v>
      </x:c>
      <x:c r="D564" t="str">
        <x:v>release state mirrors governing ledger</x:v>
      </x:c>
      <x:c r="E564" t="str">
        <x:f>'Release Gates'!I538</x:f>
        <x:v>PASS</x:v>
      </x:c>
      <x:c r="F564" t="str">
        <x:f>IF('Release Gates'!C538="PLANNING","PASS",IF('Release Gates'!C538="PHYSICAL","OPEN","BLOCKED"))</x:f>
        <x:v>PASS</x:v>
      </x:c>
      <x:c r="G564" t="str">
        <x:v>equals</x:v>
      </x:c>
      <x:c r="H564" t="str">
        <x:f>IF(E564=F564,"PASS","FAIL")</x:f>
        <x:v>PASS</x:v>
      </x:c>
    </x:row>
    <x:row r="565">
      <x:c r="B565" t="str">
        <x:v>A-00533</x:v>
      </x:c>
      <x:c r="C565" t="str">
        <x:v>GATE</x:v>
      </x:c>
      <x:c r="D565" t="str">
        <x:v>release state mirrors governing ledger</x:v>
      </x:c>
      <x:c r="E565" t="str">
        <x:f>'Release Gates'!I539</x:f>
        <x:v>PASS</x:v>
      </x:c>
      <x:c r="F565" t="str">
        <x:f>IF('Release Gates'!C539="PLANNING","PASS",IF('Release Gates'!C539="PHYSICAL","OPEN","BLOCKED"))</x:f>
        <x:v>PASS</x:v>
      </x:c>
      <x:c r="G565" t="str">
        <x:v>equals</x:v>
      </x:c>
      <x:c r="H565" t="str">
        <x:f>IF(E565=F565,"PASS","FAIL")</x:f>
        <x:v>PASS</x:v>
      </x:c>
    </x:row>
    <x:row r="566">
      <x:c r="B566" t="str">
        <x:v>A-00534</x:v>
      </x:c>
      <x:c r="C566" t="str">
        <x:v>GATE</x:v>
      </x:c>
      <x:c r="D566" t="str">
        <x:v>release state mirrors governing ledger</x:v>
      </x:c>
      <x:c r="E566" t="str">
        <x:f>'Release Gates'!I540</x:f>
        <x:v>PASS</x:v>
      </x:c>
      <x:c r="F566" t="str">
        <x:f>IF('Release Gates'!C540="PLANNING","PASS",IF('Release Gates'!C540="PHYSICAL","OPEN","BLOCKED"))</x:f>
        <x:v>PASS</x:v>
      </x:c>
      <x:c r="G566" t="str">
        <x:v>equals</x:v>
      </x:c>
      <x:c r="H566" t="str">
        <x:f>IF(E566=F566,"PASS","FAIL")</x:f>
        <x:v>PASS</x:v>
      </x:c>
    </x:row>
    <x:row r="567">
      <x:c r="B567" t="str">
        <x:v>A-00535</x:v>
      </x:c>
      <x:c r="C567" t="str">
        <x:v>GATE</x:v>
      </x:c>
      <x:c r="D567" t="str">
        <x:v>release state mirrors governing ledger</x:v>
      </x:c>
      <x:c r="E567" t="str">
        <x:f>'Release Gates'!I541</x:f>
        <x:v>PASS</x:v>
      </x:c>
      <x:c r="F567" t="str">
        <x:f>IF('Release Gates'!C541="PLANNING","PASS",IF('Release Gates'!C541="PHYSICAL","OPEN","BLOCKED"))</x:f>
        <x:v>PASS</x:v>
      </x:c>
      <x:c r="G567" t="str">
        <x:v>equals</x:v>
      </x:c>
      <x:c r="H567" t="str">
        <x:f>IF(E567=F567,"PASS","FAIL")</x:f>
        <x:v>PASS</x:v>
      </x:c>
    </x:row>
    <x:row r="568">
      <x:c r="B568" t="str">
        <x:v>A-00536</x:v>
      </x:c>
      <x:c r="C568" t="str">
        <x:v>GATE</x:v>
      </x:c>
      <x:c r="D568" t="str">
        <x:v>release state mirrors governing ledger</x:v>
      </x:c>
      <x:c r="E568" t="str">
        <x:f>'Release Gates'!I542</x:f>
        <x:v>PASS</x:v>
      </x:c>
      <x:c r="F568" t="str">
        <x:f>IF('Release Gates'!C542="PLANNING","PASS",IF('Release Gates'!C542="PHYSICAL","OPEN","BLOCKED"))</x:f>
        <x:v>PASS</x:v>
      </x:c>
      <x:c r="G568" t="str">
        <x:v>equals</x:v>
      </x:c>
      <x:c r="H568" t="str">
        <x:f>IF(E568=F568,"PASS","FAIL")</x:f>
        <x:v>PASS</x:v>
      </x:c>
    </x:row>
    <x:row r="569">
      <x:c r="B569" t="str">
        <x:v>A-00537</x:v>
      </x:c>
      <x:c r="C569" t="str">
        <x:v>GATE</x:v>
      </x:c>
      <x:c r="D569" t="str">
        <x:v>release state mirrors governing ledger</x:v>
      </x:c>
      <x:c r="E569" t="str">
        <x:f>'Release Gates'!I543</x:f>
        <x:v>PASS</x:v>
      </x:c>
      <x:c r="F569" t="str">
        <x:f>IF('Release Gates'!C543="PLANNING","PASS",IF('Release Gates'!C543="PHYSICAL","OPEN","BLOCKED"))</x:f>
        <x:v>PASS</x:v>
      </x:c>
      <x:c r="G569" t="str">
        <x:v>equals</x:v>
      </x:c>
      <x:c r="H569" t="str">
        <x:f>IF(E569=F569,"PASS","FAIL")</x:f>
        <x:v>PASS</x:v>
      </x:c>
    </x:row>
    <x:row r="570">
      <x:c r="B570" t="str">
        <x:v>A-00538</x:v>
      </x:c>
      <x:c r="C570" t="str">
        <x:v>GATE</x:v>
      </x:c>
      <x:c r="D570" t="str">
        <x:v>release state mirrors governing ledger</x:v>
      </x:c>
      <x:c r="E570" t="str">
        <x:f>'Release Gates'!I544</x:f>
        <x:v>PASS</x:v>
      </x:c>
      <x:c r="F570" t="str">
        <x:f>IF('Release Gates'!C544="PLANNING","PASS",IF('Release Gates'!C544="PHYSICAL","OPEN","BLOCKED"))</x:f>
        <x:v>PASS</x:v>
      </x:c>
      <x:c r="G570" t="str">
        <x:v>equals</x:v>
      </x:c>
      <x:c r="H570" t="str">
        <x:f>IF(E570=F570,"PASS","FAIL")</x:f>
        <x:v>PASS</x:v>
      </x:c>
    </x:row>
    <x:row r="571">
      <x:c r="B571" t="str">
        <x:v>A-00539</x:v>
      </x:c>
      <x:c r="C571" t="str">
        <x:v>GATE</x:v>
      </x:c>
      <x:c r="D571" t="str">
        <x:v>release state mirrors governing ledger</x:v>
      </x:c>
      <x:c r="E571" t="str">
        <x:f>'Release Gates'!I545</x:f>
        <x:v>PASS</x:v>
      </x:c>
      <x:c r="F571" t="str">
        <x:f>IF('Release Gates'!C545="PLANNING","PASS",IF('Release Gates'!C545="PHYSICAL","OPEN","BLOCKED"))</x:f>
        <x:v>PASS</x:v>
      </x:c>
      <x:c r="G571" t="str">
        <x:v>equals</x:v>
      </x:c>
      <x:c r="H571" t="str">
        <x:f>IF(E571=F571,"PASS","FAIL")</x:f>
        <x:v>PASS</x:v>
      </x:c>
    </x:row>
    <x:row r="572">
      <x:c r="B572" t="str">
        <x:v>A-00540</x:v>
      </x:c>
      <x:c r="C572" t="str">
        <x:v>GATE</x:v>
      </x:c>
      <x:c r="D572" t="str">
        <x:v>release state mirrors governing ledger</x:v>
      </x:c>
      <x:c r="E572" t="str">
        <x:f>'Release Gates'!I546</x:f>
        <x:v>PASS</x:v>
      </x:c>
      <x:c r="F572" t="str">
        <x:f>IF('Release Gates'!C546="PLANNING","PASS",IF('Release Gates'!C546="PHYSICAL","OPEN","BLOCKED"))</x:f>
        <x:v>PASS</x:v>
      </x:c>
      <x:c r="G572" t="str">
        <x:v>equals</x:v>
      </x:c>
      <x:c r="H572" t="str">
        <x:f>IF(E572=F572,"PASS","FAIL")</x:f>
        <x:v>PASS</x:v>
      </x:c>
    </x:row>
    <x:row r="573">
      <x:c r="B573" t="str">
        <x:v>A-00541</x:v>
      </x:c>
      <x:c r="C573" t="str">
        <x:v>GATE</x:v>
      </x:c>
      <x:c r="D573" t="str">
        <x:v>release state mirrors governing ledger</x:v>
      </x:c>
      <x:c r="E573" t="str">
        <x:f>'Release Gates'!I547</x:f>
        <x:v>PASS</x:v>
      </x:c>
      <x:c r="F573" t="str">
        <x:f>IF('Release Gates'!C547="PLANNING","PASS",IF('Release Gates'!C547="PHYSICAL","OPEN","BLOCKED"))</x:f>
        <x:v>PASS</x:v>
      </x:c>
      <x:c r="G573" t="str">
        <x:v>equals</x:v>
      </x:c>
      <x:c r="H573" t="str">
        <x:f>IF(E573=F573,"PASS","FAIL")</x:f>
        <x:v>PASS</x:v>
      </x:c>
    </x:row>
    <x:row r="574">
      <x:c r="B574" t="str">
        <x:v>A-00542</x:v>
      </x:c>
      <x:c r="C574" t="str">
        <x:v>GATE</x:v>
      </x:c>
      <x:c r="D574" t="str">
        <x:v>release state mirrors governing ledger</x:v>
      </x:c>
      <x:c r="E574" t="str">
        <x:f>'Release Gates'!I548</x:f>
        <x:v>PASS</x:v>
      </x:c>
      <x:c r="F574" t="str">
        <x:f>IF('Release Gates'!C548="PLANNING","PASS",IF('Release Gates'!C548="PHYSICAL","OPEN","BLOCKED"))</x:f>
        <x:v>PASS</x:v>
      </x:c>
      <x:c r="G574" t="str">
        <x:v>equals</x:v>
      </x:c>
      <x:c r="H574" t="str">
        <x:f>IF(E574=F574,"PASS","FAIL")</x:f>
        <x:v>PASS</x:v>
      </x:c>
    </x:row>
    <x:row r="575">
      <x:c r="B575" t="str">
        <x:v>A-00543</x:v>
      </x:c>
      <x:c r="C575" t="str">
        <x:v>GATE</x:v>
      </x:c>
      <x:c r="D575" t="str">
        <x:v>release state mirrors governing ledger</x:v>
      </x:c>
      <x:c r="E575" t="str">
        <x:f>'Release Gates'!I549</x:f>
        <x:v>PASS</x:v>
      </x:c>
      <x:c r="F575" t="str">
        <x:f>IF('Release Gates'!C549="PLANNING","PASS",IF('Release Gates'!C549="PHYSICAL","OPEN","BLOCKED"))</x:f>
        <x:v>PASS</x:v>
      </x:c>
      <x:c r="G575" t="str">
        <x:v>equals</x:v>
      </x:c>
      <x:c r="H575" t="str">
        <x:f>IF(E575=F575,"PASS","FAIL")</x:f>
        <x:v>PASS</x:v>
      </x:c>
    </x:row>
    <x:row r="576">
      <x:c r="B576" t="str">
        <x:v>A-00544</x:v>
      </x:c>
      <x:c r="C576" t="str">
        <x:v>GATE</x:v>
      </x:c>
      <x:c r="D576" t="str">
        <x:v>release state mirrors governing ledger</x:v>
      </x:c>
      <x:c r="E576" t="str">
        <x:f>'Release Gates'!I550</x:f>
        <x:v>PASS</x:v>
      </x:c>
      <x:c r="F576" t="str">
        <x:f>IF('Release Gates'!C550="PLANNING","PASS",IF('Release Gates'!C550="PHYSICAL","OPEN","BLOCKED"))</x:f>
        <x:v>PASS</x:v>
      </x:c>
      <x:c r="G576" t="str">
        <x:v>equals</x:v>
      </x:c>
      <x:c r="H576" t="str">
        <x:f>IF(E576=F576,"PASS","FAIL")</x:f>
        <x:v>PASS</x:v>
      </x:c>
    </x:row>
    <x:row r="577">
      <x:c r="B577" t="str">
        <x:v>A-00545</x:v>
      </x:c>
      <x:c r="C577" t="str">
        <x:v>GATE</x:v>
      </x:c>
      <x:c r="D577" t="str">
        <x:v>release state mirrors governing ledger</x:v>
      </x:c>
      <x:c r="E577" t="str">
        <x:f>'Release Gates'!I551</x:f>
        <x:v>PASS</x:v>
      </x:c>
      <x:c r="F577" t="str">
        <x:f>IF('Release Gates'!C551="PLANNING","PASS",IF('Release Gates'!C551="PHYSICAL","OPEN","BLOCKED"))</x:f>
        <x:v>PASS</x:v>
      </x:c>
      <x:c r="G577" t="str">
        <x:v>equals</x:v>
      </x:c>
      <x:c r="H577" t="str">
        <x:f>IF(E577=F577,"PASS","FAIL")</x:f>
        <x:v>PASS</x:v>
      </x:c>
    </x:row>
    <x:row r="578">
      <x:c r="B578" t="str">
        <x:v>A-00546</x:v>
      </x:c>
      <x:c r="C578" t="str">
        <x:v>GATE</x:v>
      </x:c>
      <x:c r="D578" t="str">
        <x:v>release state mirrors governing ledger</x:v>
      </x:c>
      <x:c r="E578" t="str">
        <x:f>'Release Gates'!I552</x:f>
        <x:v>PASS</x:v>
      </x:c>
      <x:c r="F578" t="str">
        <x:f>IF('Release Gates'!C552="PLANNING","PASS",IF('Release Gates'!C552="PHYSICAL","OPEN","BLOCKED"))</x:f>
        <x:v>PASS</x:v>
      </x:c>
      <x:c r="G578" t="str">
        <x:v>equals</x:v>
      </x:c>
      <x:c r="H578" t="str">
        <x:f>IF(E578=F578,"PASS","FAIL")</x:f>
        <x:v>PASS</x:v>
      </x:c>
    </x:row>
    <x:row r="579">
      <x:c r="B579" t="str">
        <x:v>A-00547</x:v>
      </x:c>
      <x:c r="C579" t="str">
        <x:v>GATE</x:v>
      </x:c>
      <x:c r="D579" t="str">
        <x:v>release state mirrors governing ledger</x:v>
      </x:c>
      <x:c r="E579" t="str">
        <x:f>'Release Gates'!I553</x:f>
        <x:v>PASS</x:v>
      </x:c>
      <x:c r="F579" t="str">
        <x:f>IF('Release Gates'!C553="PLANNING","PASS",IF('Release Gates'!C553="PHYSICAL","OPEN","BLOCKED"))</x:f>
        <x:v>PASS</x:v>
      </x:c>
      <x:c r="G579" t="str">
        <x:v>equals</x:v>
      </x:c>
      <x:c r="H579" t="str">
        <x:f>IF(E579=F579,"PASS","FAIL")</x:f>
        <x:v>PASS</x:v>
      </x:c>
    </x:row>
    <x:row r="580">
      <x:c r="B580" t="str">
        <x:v>A-00548</x:v>
      </x:c>
      <x:c r="C580" t="str">
        <x:v>GATE</x:v>
      </x:c>
      <x:c r="D580" t="str">
        <x:v>release state mirrors governing ledger</x:v>
      </x:c>
      <x:c r="E580" t="str">
        <x:f>'Release Gates'!I554</x:f>
        <x:v>PASS</x:v>
      </x:c>
      <x:c r="F580" t="str">
        <x:f>IF('Release Gates'!C554="PLANNING","PASS",IF('Release Gates'!C554="PHYSICAL","OPEN","BLOCKED"))</x:f>
        <x:v>PASS</x:v>
      </x:c>
      <x:c r="G580" t="str">
        <x:v>equals</x:v>
      </x:c>
      <x:c r="H580" t="str">
        <x:f>IF(E580=F580,"PASS","FAIL")</x:f>
        <x:v>PASS</x:v>
      </x:c>
    </x:row>
    <x:row r="581">
      <x:c r="B581" t="str">
        <x:v>A-00549</x:v>
      </x:c>
      <x:c r="C581" t="str">
        <x:v>GATE</x:v>
      </x:c>
      <x:c r="D581" t="str">
        <x:v>release state mirrors governing ledger</x:v>
      </x:c>
      <x:c r="E581" t="str">
        <x:f>'Release Gates'!I555</x:f>
        <x:v>PASS</x:v>
      </x:c>
      <x:c r="F581" t="str">
        <x:f>IF('Release Gates'!C555="PLANNING","PASS",IF('Release Gates'!C555="PHYSICAL","OPEN","BLOCKED"))</x:f>
        <x:v>PASS</x:v>
      </x:c>
      <x:c r="G581" t="str">
        <x:v>equals</x:v>
      </x:c>
      <x:c r="H581" t="str">
        <x:f>IF(E581=F581,"PASS","FAIL")</x:f>
        <x:v>PASS</x:v>
      </x:c>
    </x:row>
    <x:row r="582">
      <x:c r="B582" t="str">
        <x:v>A-00550</x:v>
      </x:c>
      <x:c r="C582" t="str">
        <x:v>GATE</x:v>
      </x:c>
      <x:c r="D582" t="str">
        <x:v>release state mirrors governing ledger</x:v>
      </x:c>
      <x:c r="E582" t="str">
        <x:f>'Release Gates'!I556</x:f>
        <x:v>PASS</x:v>
      </x:c>
      <x:c r="F582" t="str">
        <x:f>IF('Release Gates'!C556="PLANNING","PASS",IF('Release Gates'!C556="PHYSICAL","OPEN","BLOCKED"))</x:f>
        <x:v>PASS</x:v>
      </x:c>
      <x:c r="G582" t="str">
        <x:v>equals</x:v>
      </x:c>
      <x:c r="H582" t="str">
        <x:f>IF(E582=F582,"PASS","FAIL")</x:f>
        <x:v>PASS</x:v>
      </x:c>
    </x:row>
    <x:row r="583">
      <x:c r="B583" t="str">
        <x:v>A-00551</x:v>
      </x:c>
      <x:c r="C583" t="str">
        <x:v>GATE</x:v>
      </x:c>
      <x:c r="D583" t="str">
        <x:v>release state mirrors governing ledger</x:v>
      </x:c>
      <x:c r="E583" t="str">
        <x:f>'Release Gates'!I557</x:f>
        <x:v>PASS</x:v>
      </x:c>
      <x:c r="F583" t="str">
        <x:f>IF('Release Gates'!C557="PLANNING","PASS",IF('Release Gates'!C557="PHYSICAL","OPEN","BLOCKED"))</x:f>
        <x:v>PASS</x:v>
      </x:c>
      <x:c r="G583" t="str">
        <x:v>equals</x:v>
      </x:c>
      <x:c r="H583" t="str">
        <x:f>IF(E583=F583,"PASS","FAIL")</x:f>
        <x:v>PASS</x:v>
      </x:c>
    </x:row>
    <x:row r="584">
      <x:c r="B584" t="str">
        <x:v>A-00552</x:v>
      </x:c>
      <x:c r="C584" t="str">
        <x:v>GATE</x:v>
      </x:c>
      <x:c r="D584" t="str">
        <x:v>release state mirrors governing ledger</x:v>
      </x:c>
      <x:c r="E584" t="str">
        <x:f>'Release Gates'!I558</x:f>
        <x:v>PASS</x:v>
      </x:c>
      <x:c r="F584" t="str">
        <x:f>IF('Release Gates'!C558="PLANNING","PASS",IF('Release Gates'!C558="PHYSICAL","OPEN","BLOCKED"))</x:f>
        <x:v>PASS</x:v>
      </x:c>
      <x:c r="G584" t="str">
        <x:v>equals</x:v>
      </x:c>
      <x:c r="H584" t="str">
        <x:f>IF(E584=F584,"PASS","FAIL")</x:f>
        <x:v>PASS</x:v>
      </x:c>
    </x:row>
    <x:row r="585">
      <x:c r="B585" t="str">
        <x:v>A-00553</x:v>
      </x:c>
      <x:c r="C585" t="str">
        <x:v>GATE</x:v>
      </x:c>
      <x:c r="D585" t="str">
        <x:v>release state mirrors governing ledger</x:v>
      </x:c>
      <x:c r="E585" t="str">
        <x:f>'Release Gates'!I559</x:f>
        <x:v>PASS</x:v>
      </x:c>
      <x:c r="F585" t="str">
        <x:f>IF('Release Gates'!C559="PLANNING","PASS",IF('Release Gates'!C559="PHYSICAL","OPEN","BLOCKED"))</x:f>
        <x:v>PASS</x:v>
      </x:c>
      <x:c r="G585" t="str">
        <x:v>equals</x:v>
      </x:c>
      <x:c r="H585" t="str">
        <x:f>IF(E585=F585,"PASS","FAIL")</x:f>
        <x:v>PASS</x:v>
      </x:c>
    </x:row>
    <x:row r="586">
      <x:c r="B586" t="str">
        <x:v>A-00554</x:v>
      </x:c>
      <x:c r="C586" t="str">
        <x:v>GATE</x:v>
      </x:c>
      <x:c r="D586" t="str">
        <x:v>release state mirrors governing ledger</x:v>
      </x:c>
      <x:c r="E586" t="str">
        <x:f>'Release Gates'!I560</x:f>
        <x:v>PASS</x:v>
      </x:c>
      <x:c r="F586" t="str">
        <x:f>IF('Release Gates'!C560="PLANNING","PASS",IF('Release Gates'!C560="PHYSICAL","OPEN","BLOCKED"))</x:f>
        <x:v>PASS</x:v>
      </x:c>
      <x:c r="G586" t="str">
        <x:v>equals</x:v>
      </x:c>
      <x:c r="H586" t="str">
        <x:f>IF(E586=F586,"PASS","FAIL")</x:f>
        <x:v>PASS</x:v>
      </x:c>
    </x:row>
    <x:row r="587">
      <x:c r="B587" t="str">
        <x:v>A-00555</x:v>
      </x:c>
      <x:c r="C587" t="str">
        <x:v>GATE</x:v>
      </x:c>
      <x:c r="D587" t="str">
        <x:v>release state mirrors governing ledger</x:v>
      </x:c>
      <x:c r="E587" t="str">
        <x:f>'Release Gates'!I561</x:f>
        <x:v>PASS</x:v>
      </x:c>
      <x:c r="F587" t="str">
        <x:f>IF('Release Gates'!C561="PLANNING","PASS",IF('Release Gates'!C561="PHYSICAL","OPEN","BLOCKED"))</x:f>
        <x:v>PASS</x:v>
      </x:c>
      <x:c r="G587" t="str">
        <x:v>equals</x:v>
      </x:c>
      <x:c r="H587" t="str">
        <x:f>IF(E587=F587,"PASS","FAIL")</x:f>
        <x:v>PASS</x:v>
      </x:c>
    </x:row>
    <x:row r="588">
      <x:c r="B588" t="str">
        <x:v>A-00556</x:v>
      </x:c>
      <x:c r="C588" t="str">
        <x:v>GATE</x:v>
      </x:c>
      <x:c r="D588" t="str">
        <x:v>release state mirrors governing ledger</x:v>
      </x:c>
      <x:c r="E588" t="str">
        <x:f>'Release Gates'!I562</x:f>
        <x:v>PASS</x:v>
      </x:c>
      <x:c r="F588" t="str">
        <x:f>IF('Release Gates'!C562="PLANNING","PASS",IF('Release Gates'!C562="PHYSICAL","OPEN","BLOCKED"))</x:f>
        <x:v>PASS</x:v>
      </x:c>
      <x:c r="G588" t="str">
        <x:v>equals</x:v>
      </x:c>
      <x:c r="H588" t="str">
        <x:f>IF(E588=F588,"PASS","FAIL")</x:f>
        <x:v>PASS</x:v>
      </x:c>
    </x:row>
    <x:row r="589">
      <x:c r="B589" t="str">
        <x:v>A-00557</x:v>
      </x:c>
      <x:c r="C589" t="str">
        <x:v>GATE</x:v>
      </x:c>
      <x:c r="D589" t="str">
        <x:v>release state mirrors governing ledger</x:v>
      </x:c>
      <x:c r="E589" t="str">
        <x:f>'Release Gates'!I563</x:f>
        <x:v>PASS</x:v>
      </x:c>
      <x:c r="F589" t="str">
        <x:f>IF('Release Gates'!C563="PLANNING","PASS",IF('Release Gates'!C563="PHYSICAL","OPEN","BLOCKED"))</x:f>
        <x:v>PASS</x:v>
      </x:c>
      <x:c r="G589" t="str">
        <x:v>equals</x:v>
      </x:c>
      <x:c r="H589" t="str">
        <x:f>IF(E589=F589,"PASS","FAIL")</x:f>
        <x:v>PASS</x:v>
      </x:c>
    </x:row>
    <x:row r="590">
      <x:c r="B590" t="str">
        <x:v>A-00558</x:v>
      </x:c>
      <x:c r="C590" t="str">
        <x:v>GATE</x:v>
      </x:c>
      <x:c r="D590" t="str">
        <x:v>release state mirrors governing ledger</x:v>
      </x:c>
      <x:c r="E590" t="str">
        <x:f>'Release Gates'!I564</x:f>
        <x:v>PASS</x:v>
      </x:c>
      <x:c r="F590" t="str">
        <x:f>IF('Release Gates'!C564="PLANNING","PASS",IF('Release Gates'!C564="PHYSICAL","OPEN","BLOCKED"))</x:f>
        <x:v>PASS</x:v>
      </x:c>
      <x:c r="G590" t="str">
        <x:v>equals</x:v>
      </x:c>
      <x:c r="H590" t="str">
        <x:f>IF(E590=F590,"PASS","FAIL")</x:f>
        <x:v>PASS</x:v>
      </x:c>
    </x:row>
    <x:row r="591">
      <x:c r="B591" t="str">
        <x:v>A-00559</x:v>
      </x:c>
      <x:c r="C591" t="str">
        <x:v>GATE</x:v>
      </x:c>
      <x:c r="D591" t="str">
        <x:v>release state mirrors governing ledger</x:v>
      </x:c>
      <x:c r="E591" t="str">
        <x:f>'Release Gates'!I565</x:f>
        <x:v>PASS</x:v>
      </x:c>
      <x:c r="F591" t="str">
        <x:f>IF('Release Gates'!C565="PLANNING","PASS",IF('Release Gates'!C565="PHYSICAL","OPEN","BLOCKED"))</x:f>
        <x:v>PASS</x:v>
      </x:c>
      <x:c r="G591" t="str">
        <x:v>equals</x:v>
      </x:c>
      <x:c r="H591" t="str">
        <x:f>IF(E591=F591,"PASS","FAIL")</x:f>
        <x:v>PASS</x:v>
      </x:c>
    </x:row>
    <x:row r="592">
      <x:c r="B592" t="str">
        <x:v>A-00560</x:v>
      </x:c>
      <x:c r="C592" t="str">
        <x:v>GATE</x:v>
      </x:c>
      <x:c r="D592" t="str">
        <x:v>release state mirrors governing ledger</x:v>
      </x:c>
      <x:c r="E592" t="str">
        <x:f>'Release Gates'!I566</x:f>
        <x:v>PASS</x:v>
      </x:c>
      <x:c r="F592" t="str">
        <x:f>IF('Release Gates'!C566="PLANNING","PASS",IF('Release Gates'!C566="PHYSICAL","OPEN","BLOCKED"))</x:f>
        <x:v>PASS</x:v>
      </x:c>
      <x:c r="G592" t="str">
        <x:v>equals</x:v>
      </x:c>
      <x:c r="H592" t="str">
        <x:f>IF(E592=F592,"PASS","FAIL")</x:f>
        <x:v>PASS</x:v>
      </x:c>
    </x:row>
    <x:row r="593">
      <x:c r="B593" t="str">
        <x:v>A-00561</x:v>
      </x:c>
      <x:c r="C593" t="str">
        <x:v>GATE</x:v>
      </x:c>
      <x:c r="D593" t="str">
        <x:v>release state mirrors governing ledger</x:v>
      </x:c>
      <x:c r="E593" t="str">
        <x:f>'Release Gates'!I567</x:f>
        <x:v>PASS</x:v>
      </x:c>
      <x:c r="F593" t="str">
        <x:f>IF('Release Gates'!C567="PLANNING","PASS",IF('Release Gates'!C567="PHYSICAL","OPEN","BLOCKED"))</x:f>
        <x:v>PASS</x:v>
      </x:c>
      <x:c r="G593" t="str">
        <x:v>equals</x:v>
      </x:c>
      <x:c r="H593" t="str">
        <x:f>IF(E593=F593,"PASS","FAIL")</x:f>
        <x:v>PASS</x:v>
      </x:c>
    </x:row>
    <x:row r="594">
      <x:c r="B594" t="str">
        <x:v>A-00562</x:v>
      </x:c>
      <x:c r="C594" t="str">
        <x:v>GATE</x:v>
      </x:c>
      <x:c r="D594" t="str">
        <x:v>release state mirrors governing ledger</x:v>
      </x:c>
      <x:c r="E594" t="str">
        <x:f>'Release Gates'!I568</x:f>
        <x:v>PASS</x:v>
      </x:c>
      <x:c r="F594" t="str">
        <x:f>IF('Release Gates'!C568="PLANNING","PASS",IF('Release Gates'!C568="PHYSICAL","OPEN","BLOCKED"))</x:f>
        <x:v>PASS</x:v>
      </x:c>
      <x:c r="G594" t="str">
        <x:v>equals</x:v>
      </x:c>
      <x:c r="H594" t="str">
        <x:f>IF(E594=F594,"PASS","FAIL")</x:f>
        <x:v>PASS</x:v>
      </x:c>
    </x:row>
    <x:row r="595">
      <x:c r="B595" t="str">
        <x:v>A-00563</x:v>
      </x:c>
      <x:c r="C595" t="str">
        <x:v>GATE</x:v>
      </x:c>
      <x:c r="D595" t="str">
        <x:v>release state mirrors governing ledger</x:v>
      </x:c>
      <x:c r="E595" t="str">
        <x:f>'Release Gates'!I569</x:f>
        <x:v>PASS</x:v>
      </x:c>
      <x:c r="F595" t="str">
        <x:f>IF('Release Gates'!C569="PLANNING","PASS",IF('Release Gates'!C569="PHYSICAL","OPEN","BLOCKED"))</x:f>
        <x:v>PASS</x:v>
      </x:c>
      <x:c r="G595" t="str">
        <x:v>equals</x:v>
      </x:c>
      <x:c r="H595" t="str">
        <x:f>IF(E595=F595,"PASS","FAIL")</x:f>
        <x:v>PASS</x:v>
      </x:c>
    </x:row>
    <x:row r="596">
      <x:c r="B596" t="str">
        <x:v>A-00564</x:v>
      </x:c>
      <x:c r="C596" t="str">
        <x:v>GATE</x:v>
      </x:c>
      <x:c r="D596" t="str">
        <x:v>release state mirrors governing ledger</x:v>
      </x:c>
      <x:c r="E596" t="str">
        <x:f>'Release Gates'!I570</x:f>
        <x:v>PASS</x:v>
      </x:c>
      <x:c r="F596" t="str">
        <x:f>IF('Release Gates'!C570="PLANNING","PASS",IF('Release Gates'!C570="PHYSICAL","OPEN","BLOCKED"))</x:f>
        <x:v>PASS</x:v>
      </x:c>
      <x:c r="G596" t="str">
        <x:v>equals</x:v>
      </x:c>
      <x:c r="H596" t="str">
        <x:f>IF(E596=F596,"PASS","FAIL")</x:f>
        <x:v>PASS</x:v>
      </x:c>
    </x:row>
    <x:row r="597">
      <x:c r="B597" t="str">
        <x:v>A-00565</x:v>
      </x:c>
      <x:c r="C597" t="str">
        <x:v>GATE</x:v>
      </x:c>
      <x:c r="D597" t="str">
        <x:v>release state mirrors governing ledger</x:v>
      </x:c>
      <x:c r="E597" t="str">
        <x:f>'Release Gates'!I571</x:f>
        <x:v>PASS</x:v>
      </x:c>
      <x:c r="F597" t="str">
        <x:f>IF('Release Gates'!C571="PLANNING","PASS",IF('Release Gates'!C571="PHYSICAL","OPEN","BLOCKED"))</x:f>
        <x:v>PASS</x:v>
      </x:c>
      <x:c r="G597" t="str">
        <x:v>equals</x:v>
      </x:c>
      <x:c r="H597" t="str">
        <x:f>IF(E597=F597,"PASS","FAIL")</x:f>
        <x:v>PASS</x:v>
      </x:c>
    </x:row>
    <x:row r="598">
      <x:c r="B598" t="str">
        <x:v>A-00566</x:v>
      </x:c>
      <x:c r="C598" t="str">
        <x:v>GATE</x:v>
      </x:c>
      <x:c r="D598" t="str">
        <x:v>release state mirrors governing ledger</x:v>
      </x:c>
      <x:c r="E598" t="str">
        <x:f>'Release Gates'!I572</x:f>
        <x:v>PASS</x:v>
      </x:c>
      <x:c r="F598" t="str">
        <x:f>IF('Release Gates'!C572="PLANNING","PASS",IF('Release Gates'!C572="PHYSICAL","OPEN","BLOCKED"))</x:f>
        <x:v>PASS</x:v>
      </x:c>
      <x:c r="G598" t="str">
        <x:v>equals</x:v>
      </x:c>
      <x:c r="H598" t="str">
        <x:f>IF(E598=F598,"PASS","FAIL")</x:f>
        <x:v>PASS</x:v>
      </x:c>
    </x:row>
    <x:row r="599">
      <x:c r="B599" t="str">
        <x:v>A-00567</x:v>
      </x:c>
      <x:c r="C599" t="str">
        <x:v>GATE</x:v>
      </x:c>
      <x:c r="D599" t="str">
        <x:v>release state mirrors governing ledger</x:v>
      </x:c>
      <x:c r="E599" t="str">
        <x:f>'Release Gates'!I573</x:f>
        <x:v>PASS</x:v>
      </x:c>
      <x:c r="F599" t="str">
        <x:f>IF('Release Gates'!C573="PLANNING","PASS",IF('Release Gates'!C573="PHYSICAL","OPEN","BLOCKED"))</x:f>
        <x:v>PASS</x:v>
      </x:c>
      <x:c r="G599" t="str">
        <x:v>equals</x:v>
      </x:c>
      <x:c r="H599" t="str">
        <x:f>IF(E599=F599,"PASS","FAIL")</x:f>
        <x:v>PASS</x:v>
      </x:c>
    </x:row>
    <x:row r="600">
      <x:c r="B600" t="str">
        <x:v>A-00568</x:v>
      </x:c>
      <x:c r="C600" t="str">
        <x:v>GATE</x:v>
      </x:c>
      <x:c r="D600" t="str">
        <x:v>release state mirrors governing ledger</x:v>
      </x:c>
      <x:c r="E600" t="str">
        <x:f>'Release Gates'!I574</x:f>
        <x:v>PASS</x:v>
      </x:c>
      <x:c r="F600" t="str">
        <x:f>IF('Release Gates'!C574="PLANNING","PASS",IF('Release Gates'!C574="PHYSICAL","OPEN","BLOCKED"))</x:f>
        <x:v>PASS</x:v>
      </x:c>
      <x:c r="G600" t="str">
        <x:v>equals</x:v>
      </x:c>
      <x:c r="H600" t="str">
        <x:f>IF(E600=F600,"PASS","FAIL")</x:f>
        <x:v>PASS</x:v>
      </x:c>
    </x:row>
    <x:row r="601">
      <x:c r="B601" t="str">
        <x:v>A-00569</x:v>
      </x:c>
      <x:c r="C601" t="str">
        <x:v>GATE</x:v>
      </x:c>
      <x:c r="D601" t="str">
        <x:v>release state mirrors governing ledger</x:v>
      </x:c>
      <x:c r="E601" t="str">
        <x:f>'Release Gates'!I575</x:f>
        <x:v>PASS</x:v>
      </x:c>
      <x:c r="F601" t="str">
        <x:f>IF('Release Gates'!C575="PLANNING","PASS",IF('Release Gates'!C575="PHYSICAL","OPEN","BLOCKED"))</x:f>
        <x:v>PASS</x:v>
      </x:c>
      <x:c r="G601" t="str">
        <x:v>equals</x:v>
      </x:c>
      <x:c r="H601" t="str">
        <x:f>IF(E601=F601,"PASS","FAIL")</x:f>
        <x:v>PASS</x:v>
      </x:c>
    </x:row>
    <x:row r="602">
      <x:c r="B602" t="str">
        <x:v>A-00570</x:v>
      </x:c>
      <x:c r="C602" t="str">
        <x:v>GATE</x:v>
      </x:c>
      <x:c r="D602" t="str">
        <x:v>release state mirrors governing ledger</x:v>
      </x:c>
      <x:c r="E602" t="str">
        <x:f>'Release Gates'!I576</x:f>
        <x:v>PASS</x:v>
      </x:c>
      <x:c r="F602" t="str">
        <x:f>IF('Release Gates'!C576="PLANNING","PASS",IF('Release Gates'!C576="PHYSICAL","OPEN","BLOCKED"))</x:f>
        <x:v>PASS</x:v>
      </x:c>
      <x:c r="G602" t="str">
        <x:v>equals</x:v>
      </x:c>
      <x:c r="H602" t="str">
        <x:f>IF(E602=F602,"PASS","FAIL")</x:f>
        <x:v>PASS</x:v>
      </x:c>
    </x:row>
    <x:row r="603">
      <x:c r="B603" t="str">
        <x:v>A-00571</x:v>
      </x:c>
      <x:c r="C603" t="str">
        <x:v>GATE</x:v>
      </x:c>
      <x:c r="D603" t="str">
        <x:v>release state mirrors governing ledger</x:v>
      </x:c>
      <x:c r="E603" t="str">
        <x:f>'Release Gates'!I577</x:f>
        <x:v>PASS</x:v>
      </x:c>
      <x:c r="F603" t="str">
        <x:f>IF('Release Gates'!C577="PLANNING","PASS",IF('Release Gates'!C577="PHYSICAL","OPEN","BLOCKED"))</x:f>
        <x:v>PASS</x:v>
      </x:c>
      <x:c r="G603" t="str">
        <x:v>equals</x:v>
      </x:c>
      <x:c r="H603" t="str">
        <x:f>IF(E603=F603,"PASS","FAIL")</x:f>
        <x:v>PASS</x:v>
      </x:c>
    </x:row>
    <x:row r="604">
      <x:c r="B604" t="str">
        <x:v>A-00572</x:v>
      </x:c>
      <x:c r="C604" t="str">
        <x:v>GATE</x:v>
      </x:c>
      <x:c r="D604" t="str">
        <x:v>release state mirrors governing ledger</x:v>
      </x:c>
      <x:c r="E604" t="str">
        <x:f>'Release Gates'!I578</x:f>
        <x:v>PASS</x:v>
      </x:c>
      <x:c r="F604" t="str">
        <x:f>IF('Release Gates'!C578="PLANNING","PASS",IF('Release Gates'!C578="PHYSICAL","OPEN","BLOCKED"))</x:f>
        <x:v>PASS</x:v>
      </x:c>
      <x:c r="G604" t="str">
        <x:v>equals</x:v>
      </x:c>
      <x:c r="H604" t="str">
        <x:f>IF(E604=F604,"PASS","FAIL")</x:f>
        <x:v>PASS</x:v>
      </x:c>
    </x:row>
    <x:row r="605">
      <x:c r="B605" t="str">
        <x:v>A-00573</x:v>
      </x:c>
      <x:c r="C605" t="str">
        <x:v>GATE</x:v>
      </x:c>
      <x:c r="D605" t="str">
        <x:v>release state mirrors governing ledger</x:v>
      </x:c>
      <x:c r="E605" t="str">
        <x:f>'Release Gates'!I579</x:f>
        <x:v>PASS</x:v>
      </x:c>
      <x:c r="F605" t="str">
        <x:f>IF('Release Gates'!C579="PLANNING","PASS",IF('Release Gates'!C579="PHYSICAL","OPEN","BLOCKED"))</x:f>
        <x:v>PASS</x:v>
      </x:c>
      <x:c r="G605" t="str">
        <x:v>equals</x:v>
      </x:c>
      <x:c r="H605" t="str">
        <x:f>IF(E605=F605,"PASS","FAIL")</x:f>
        <x:v>PASS</x:v>
      </x:c>
    </x:row>
    <x:row r="606">
      <x:c r="B606" t="str">
        <x:v>A-00574</x:v>
      </x:c>
      <x:c r="C606" t="str">
        <x:v>GATE</x:v>
      </x:c>
      <x:c r="D606" t="str">
        <x:v>release state mirrors governing ledger</x:v>
      </x:c>
      <x:c r="E606" t="str">
        <x:f>'Release Gates'!I580</x:f>
        <x:v>PASS</x:v>
      </x:c>
      <x:c r="F606" t="str">
        <x:f>IF('Release Gates'!C580="PLANNING","PASS",IF('Release Gates'!C580="PHYSICAL","OPEN","BLOCKED"))</x:f>
        <x:v>PASS</x:v>
      </x:c>
      <x:c r="G606" t="str">
        <x:v>equals</x:v>
      </x:c>
      <x:c r="H606" t="str">
        <x:f>IF(E606=F606,"PASS","FAIL")</x:f>
        <x:v>PASS</x:v>
      </x:c>
    </x:row>
    <x:row r="607">
      <x:c r="B607" t="str">
        <x:v>A-00575</x:v>
      </x:c>
      <x:c r="C607" t="str">
        <x:v>GATE</x:v>
      </x:c>
      <x:c r="D607" t="str">
        <x:v>release state mirrors governing ledger</x:v>
      </x:c>
      <x:c r="E607" t="str">
        <x:f>'Release Gates'!I581</x:f>
        <x:v>PASS</x:v>
      </x:c>
      <x:c r="F607" t="str">
        <x:f>IF('Release Gates'!C581="PLANNING","PASS",IF('Release Gates'!C581="PHYSICAL","OPEN","BLOCKED"))</x:f>
        <x:v>PASS</x:v>
      </x:c>
      <x:c r="G607" t="str">
        <x:v>equals</x:v>
      </x:c>
      <x:c r="H607" t="str">
        <x:f>IF(E607=F607,"PASS","FAIL")</x:f>
        <x:v>PASS</x:v>
      </x:c>
    </x:row>
    <x:row r="608">
      <x:c r="B608" t="str">
        <x:v>A-00576</x:v>
      </x:c>
      <x:c r="C608" t="str">
        <x:v>GATE</x:v>
      </x:c>
      <x:c r="D608" t="str">
        <x:v>release state mirrors governing ledger</x:v>
      </x:c>
      <x:c r="E608" t="str">
        <x:f>'Release Gates'!I582</x:f>
        <x:v>PASS</x:v>
      </x:c>
      <x:c r="F608" t="str">
        <x:f>IF('Release Gates'!C582="PLANNING","PASS",IF('Release Gates'!C582="PHYSICAL","OPEN","BLOCKED"))</x:f>
        <x:v>PASS</x:v>
      </x:c>
      <x:c r="G608" t="str">
        <x:v>equals</x:v>
      </x:c>
      <x:c r="H608" t="str">
        <x:f>IF(E608=F608,"PASS","FAIL")</x:f>
        <x:v>PASS</x:v>
      </x:c>
    </x:row>
    <x:row r="609">
      <x:c r="B609" t="str">
        <x:v>A-00577</x:v>
      </x:c>
      <x:c r="C609" t="str">
        <x:v>GATE</x:v>
      </x:c>
      <x:c r="D609" t="str">
        <x:v>release state mirrors governing ledger</x:v>
      </x:c>
      <x:c r="E609" t="str">
        <x:f>'Release Gates'!I583</x:f>
        <x:v>PASS</x:v>
      </x:c>
      <x:c r="F609" t="str">
        <x:f>IF('Release Gates'!C583="PLANNING","PASS",IF('Release Gates'!C583="PHYSICAL","OPEN","BLOCKED"))</x:f>
        <x:v>PASS</x:v>
      </x:c>
      <x:c r="G609" t="str">
        <x:v>equals</x:v>
      </x:c>
      <x:c r="H609" t="str">
        <x:f>IF(E609=F609,"PASS","FAIL")</x:f>
        <x:v>PASS</x:v>
      </x:c>
    </x:row>
    <x:row r="610">
      <x:c r="B610" t="str">
        <x:v>A-00578</x:v>
      </x:c>
      <x:c r="C610" t="str">
        <x:v>GATE</x:v>
      </x:c>
      <x:c r="D610" t="str">
        <x:v>release state mirrors governing ledger</x:v>
      </x:c>
      <x:c r="E610" t="str">
        <x:f>'Release Gates'!I584</x:f>
        <x:v>PASS</x:v>
      </x:c>
      <x:c r="F610" t="str">
        <x:f>IF('Release Gates'!C584="PLANNING","PASS",IF('Release Gates'!C584="PHYSICAL","OPEN","BLOCKED"))</x:f>
        <x:v>PASS</x:v>
      </x:c>
      <x:c r="G610" t="str">
        <x:v>equals</x:v>
      </x:c>
      <x:c r="H610" t="str">
        <x:f>IF(E610=F610,"PASS","FAIL")</x:f>
        <x:v>PASS</x:v>
      </x:c>
    </x:row>
    <x:row r="611">
      <x:c r="B611" t="str">
        <x:v>A-00579</x:v>
      </x:c>
      <x:c r="C611" t="str">
        <x:v>GATE</x:v>
      </x:c>
      <x:c r="D611" t="str">
        <x:v>release state mirrors governing ledger</x:v>
      </x:c>
      <x:c r="E611" t="str">
        <x:f>'Release Gates'!I585</x:f>
        <x:v>PASS</x:v>
      </x:c>
      <x:c r="F611" t="str">
        <x:f>IF('Release Gates'!C585="PLANNING","PASS",IF('Release Gates'!C585="PHYSICAL","OPEN","BLOCKED"))</x:f>
        <x:v>PASS</x:v>
      </x:c>
      <x:c r="G611" t="str">
        <x:v>equals</x:v>
      </x:c>
      <x:c r="H611" t="str">
        <x:f>IF(E611=F611,"PASS","FAIL")</x:f>
        <x:v>PASS</x:v>
      </x:c>
    </x:row>
    <x:row r="612">
      <x:c r="B612" t="str">
        <x:v>A-00580</x:v>
      </x:c>
      <x:c r="C612" t="str">
        <x:v>GATE</x:v>
      </x:c>
      <x:c r="D612" t="str">
        <x:v>release state mirrors governing ledger</x:v>
      </x:c>
      <x:c r="E612" t="str">
        <x:f>'Release Gates'!I586</x:f>
        <x:v>PASS</x:v>
      </x:c>
      <x:c r="F612" t="str">
        <x:f>IF('Release Gates'!C586="PLANNING","PASS",IF('Release Gates'!C586="PHYSICAL","OPEN","BLOCKED"))</x:f>
        <x:v>PASS</x:v>
      </x:c>
      <x:c r="G612" t="str">
        <x:v>equals</x:v>
      </x:c>
      <x:c r="H612" t="str">
        <x:f>IF(E612=F612,"PASS","FAIL")</x:f>
        <x:v>PASS</x:v>
      </x:c>
    </x:row>
    <x:row r="613">
      <x:c r="B613" t="str">
        <x:v>A-00581</x:v>
      </x:c>
      <x:c r="C613" t="str">
        <x:v>GATE</x:v>
      </x:c>
      <x:c r="D613" t="str">
        <x:v>release state mirrors governing ledger</x:v>
      </x:c>
      <x:c r="E613" t="str">
        <x:f>'Release Gates'!I587</x:f>
        <x:v>PASS</x:v>
      </x:c>
      <x:c r="F613" t="str">
        <x:f>IF('Release Gates'!C587="PLANNING","PASS",IF('Release Gates'!C587="PHYSICAL","OPEN","BLOCKED"))</x:f>
        <x:v>PASS</x:v>
      </x:c>
      <x:c r="G613" t="str">
        <x:v>equals</x:v>
      </x:c>
      <x:c r="H613" t="str">
        <x:f>IF(E613=F613,"PASS","FAIL")</x:f>
        <x:v>PASS</x:v>
      </x:c>
    </x:row>
    <x:row r="614">
      <x:c r="B614" t="str">
        <x:v>A-00582</x:v>
      </x:c>
      <x:c r="C614" t="str">
        <x:v>GATE</x:v>
      </x:c>
      <x:c r="D614" t="str">
        <x:v>release state mirrors governing ledger</x:v>
      </x:c>
      <x:c r="E614" t="str">
        <x:f>'Release Gates'!I588</x:f>
        <x:v>PASS</x:v>
      </x:c>
      <x:c r="F614" t="str">
        <x:f>IF('Release Gates'!C588="PLANNING","PASS",IF('Release Gates'!C588="PHYSICAL","OPEN","BLOCKED"))</x:f>
        <x:v>PASS</x:v>
      </x:c>
      <x:c r="G614" t="str">
        <x:v>equals</x:v>
      </x:c>
      <x:c r="H614" t="str">
        <x:f>IF(E614=F614,"PASS","FAIL")</x:f>
        <x:v>PASS</x:v>
      </x:c>
    </x:row>
    <x:row r="615">
      <x:c r="B615" t="str">
        <x:v>A-00583</x:v>
      </x:c>
      <x:c r="C615" t="str">
        <x:v>GATE</x:v>
      </x:c>
      <x:c r="D615" t="str">
        <x:v>release state mirrors governing ledger</x:v>
      </x:c>
      <x:c r="E615" t="str">
        <x:f>'Release Gates'!I589</x:f>
        <x:v>PASS</x:v>
      </x:c>
      <x:c r="F615" t="str">
        <x:f>IF('Release Gates'!C589="PLANNING","PASS",IF('Release Gates'!C589="PHYSICAL","OPEN","BLOCKED"))</x:f>
        <x:v>PASS</x:v>
      </x:c>
      <x:c r="G615" t="str">
        <x:v>equals</x:v>
      </x:c>
      <x:c r="H615" t="str">
        <x:f>IF(E615=F615,"PASS","FAIL")</x:f>
        <x:v>PASS</x:v>
      </x:c>
    </x:row>
    <x:row r="616">
      <x:c r="B616" t="str">
        <x:v>A-00584</x:v>
      </x:c>
      <x:c r="C616" t="str">
        <x:v>GATE</x:v>
      </x:c>
      <x:c r="D616" t="str">
        <x:v>release state mirrors governing ledger</x:v>
      </x:c>
      <x:c r="E616" t="str">
        <x:f>'Release Gates'!I590</x:f>
        <x:v>PASS</x:v>
      </x:c>
      <x:c r="F616" t="str">
        <x:f>IF('Release Gates'!C590="PLANNING","PASS",IF('Release Gates'!C590="PHYSICAL","OPEN","BLOCKED"))</x:f>
        <x:v>PASS</x:v>
      </x:c>
      <x:c r="G616" t="str">
        <x:v>equals</x:v>
      </x:c>
      <x:c r="H616" t="str">
        <x:f>IF(E616=F616,"PASS","FAIL")</x:f>
        <x:v>PASS</x:v>
      </x:c>
    </x:row>
    <x:row r="617">
      <x:c r="B617" t="str">
        <x:v>A-00585</x:v>
      </x:c>
      <x:c r="C617" t="str">
        <x:v>GATE</x:v>
      </x:c>
      <x:c r="D617" t="str">
        <x:v>release state mirrors governing ledger</x:v>
      </x:c>
      <x:c r="E617" t="str">
        <x:f>'Release Gates'!I591</x:f>
        <x:v>PASS</x:v>
      </x:c>
      <x:c r="F617" t="str">
        <x:f>IF('Release Gates'!C591="PLANNING","PASS",IF('Release Gates'!C591="PHYSICAL","OPEN","BLOCKED"))</x:f>
        <x:v>PASS</x:v>
      </x:c>
      <x:c r="G617" t="str">
        <x:v>equals</x:v>
      </x:c>
      <x:c r="H617" t="str">
        <x:f>IF(E617=F617,"PASS","FAIL")</x:f>
        <x:v>PASS</x:v>
      </x:c>
    </x:row>
    <x:row r="618">
      <x:c r="B618" t="str">
        <x:v>A-00586</x:v>
      </x:c>
      <x:c r="C618" t="str">
        <x:v>GATE</x:v>
      </x:c>
      <x:c r="D618" t="str">
        <x:v>release state mirrors governing ledger</x:v>
      </x:c>
      <x:c r="E618" t="str">
        <x:f>'Release Gates'!I592</x:f>
        <x:v>PASS</x:v>
      </x:c>
      <x:c r="F618" t="str">
        <x:f>IF('Release Gates'!C592="PLANNING","PASS",IF('Release Gates'!C592="PHYSICAL","OPEN","BLOCKED"))</x:f>
        <x:v>PASS</x:v>
      </x:c>
      <x:c r="G618" t="str">
        <x:v>equals</x:v>
      </x:c>
      <x:c r="H618" t="str">
        <x:f>IF(E618=F618,"PASS","FAIL")</x:f>
        <x:v>PASS</x:v>
      </x:c>
    </x:row>
    <x:row r="619">
      <x:c r="B619" t="str">
        <x:v>A-00587</x:v>
      </x:c>
      <x:c r="C619" t="str">
        <x:v>GATE</x:v>
      </x:c>
      <x:c r="D619" t="str">
        <x:v>release state mirrors governing ledger</x:v>
      </x:c>
      <x:c r="E619" t="str">
        <x:f>'Release Gates'!I593</x:f>
        <x:v>PASS</x:v>
      </x:c>
      <x:c r="F619" t="str">
        <x:f>IF('Release Gates'!C593="PLANNING","PASS",IF('Release Gates'!C593="PHYSICAL","OPEN","BLOCKED"))</x:f>
        <x:v>PASS</x:v>
      </x:c>
      <x:c r="G619" t="str">
        <x:v>equals</x:v>
      </x:c>
      <x:c r="H619" t="str">
        <x:f>IF(E619=F619,"PASS","FAIL")</x:f>
        <x:v>PASS</x:v>
      </x:c>
    </x:row>
    <x:row r="620">
      <x:c r="B620" t="str">
        <x:v>A-00588</x:v>
      </x:c>
      <x:c r="C620" t="str">
        <x:v>GATE</x:v>
      </x:c>
      <x:c r="D620" t="str">
        <x:v>release state mirrors governing ledger</x:v>
      </x:c>
      <x:c r="E620" t="str">
        <x:f>'Release Gates'!I594</x:f>
        <x:v>PASS</x:v>
      </x:c>
      <x:c r="F620" t="str">
        <x:f>IF('Release Gates'!C594="PLANNING","PASS",IF('Release Gates'!C594="PHYSICAL","OPEN","BLOCKED"))</x:f>
        <x:v>PASS</x:v>
      </x:c>
      <x:c r="G620" t="str">
        <x:v>equals</x:v>
      </x:c>
      <x:c r="H620" t="str">
        <x:f>IF(E620=F620,"PASS","FAIL")</x:f>
        <x:v>PASS</x:v>
      </x:c>
    </x:row>
    <x:row r="621">
      <x:c r="B621" t="str">
        <x:v>A-00589</x:v>
      </x:c>
      <x:c r="C621" t="str">
        <x:v>GATE</x:v>
      </x:c>
      <x:c r="D621" t="str">
        <x:v>release state mirrors governing ledger</x:v>
      </x:c>
      <x:c r="E621" t="str">
        <x:f>'Release Gates'!I595</x:f>
        <x:v>PASS</x:v>
      </x:c>
      <x:c r="F621" t="str">
        <x:f>IF('Release Gates'!C595="PLANNING","PASS",IF('Release Gates'!C595="PHYSICAL","OPEN","BLOCKED"))</x:f>
        <x:v>PASS</x:v>
      </x:c>
      <x:c r="G621" t="str">
        <x:v>equals</x:v>
      </x:c>
      <x:c r="H621" t="str">
        <x:f>IF(E621=F621,"PASS","FAIL")</x:f>
        <x:v>PASS</x:v>
      </x:c>
    </x:row>
    <x:row r="622">
      <x:c r="B622" t="str">
        <x:v>A-00590</x:v>
      </x:c>
      <x:c r="C622" t="str">
        <x:v>GATE</x:v>
      </x:c>
      <x:c r="D622" t="str">
        <x:v>release state mirrors governing ledger</x:v>
      </x:c>
      <x:c r="E622" t="str">
        <x:f>'Release Gates'!I596</x:f>
        <x:v>PASS</x:v>
      </x:c>
      <x:c r="F622" t="str">
        <x:f>IF('Release Gates'!C596="PLANNING","PASS",IF('Release Gates'!C596="PHYSICAL","OPEN","BLOCKED"))</x:f>
        <x:v>PASS</x:v>
      </x:c>
      <x:c r="G622" t="str">
        <x:v>equals</x:v>
      </x:c>
      <x:c r="H622" t="str">
        <x:f>IF(E622=F622,"PASS","FAIL")</x:f>
        <x:v>PASS</x:v>
      </x:c>
    </x:row>
    <x:row r="623">
      <x:c r="B623" t="str">
        <x:v>A-00591</x:v>
      </x:c>
      <x:c r="C623" t="str">
        <x:v>GATE</x:v>
      </x:c>
      <x:c r="D623" t="str">
        <x:v>release state mirrors governing ledger</x:v>
      </x:c>
      <x:c r="E623" t="str">
        <x:f>'Release Gates'!I597</x:f>
        <x:v>PASS</x:v>
      </x:c>
      <x:c r="F623" t="str">
        <x:f>IF('Release Gates'!C597="PLANNING","PASS",IF('Release Gates'!C597="PHYSICAL","OPEN","BLOCKED"))</x:f>
        <x:v>PASS</x:v>
      </x:c>
      <x:c r="G623" t="str">
        <x:v>equals</x:v>
      </x:c>
      <x:c r="H623" t="str">
        <x:f>IF(E623=F623,"PASS","FAIL")</x:f>
        <x:v>PASS</x:v>
      </x:c>
    </x:row>
    <x:row r="624">
      <x:c r="B624" t="str">
        <x:v>A-00592</x:v>
      </x:c>
      <x:c r="C624" t="str">
        <x:v>GATE</x:v>
      </x:c>
      <x:c r="D624" t="str">
        <x:v>release state mirrors governing ledger</x:v>
      </x:c>
      <x:c r="E624" t="str">
        <x:f>'Release Gates'!I598</x:f>
        <x:v>PASS</x:v>
      </x:c>
      <x:c r="F624" t="str">
        <x:f>IF('Release Gates'!C598="PLANNING","PASS",IF('Release Gates'!C598="PHYSICAL","OPEN","BLOCKED"))</x:f>
        <x:v>PASS</x:v>
      </x:c>
      <x:c r="G624" t="str">
        <x:v>equals</x:v>
      </x:c>
      <x:c r="H624" t="str">
        <x:f>IF(E624=F624,"PASS","FAIL")</x:f>
        <x:v>PASS</x:v>
      </x:c>
    </x:row>
    <x:row r="625">
      <x:c r="B625" t="str">
        <x:v>A-00593</x:v>
      </x:c>
      <x:c r="C625" t="str">
        <x:v>GATE</x:v>
      </x:c>
      <x:c r="D625" t="str">
        <x:v>release state mirrors governing ledger</x:v>
      </x:c>
      <x:c r="E625" t="str">
        <x:f>'Release Gates'!I599</x:f>
        <x:v>PASS</x:v>
      </x:c>
      <x:c r="F625" t="str">
        <x:f>IF('Release Gates'!C599="PLANNING","PASS",IF('Release Gates'!C599="PHYSICAL","OPEN","BLOCKED"))</x:f>
        <x:v>PASS</x:v>
      </x:c>
      <x:c r="G625" t="str">
        <x:v>equals</x:v>
      </x:c>
      <x:c r="H625" t="str">
        <x:f>IF(E625=F625,"PASS","FAIL")</x:f>
        <x:v>PASS</x:v>
      </x:c>
    </x:row>
    <x:row r="626">
      <x:c r="B626" t="str">
        <x:v>A-00594</x:v>
      </x:c>
      <x:c r="C626" t="str">
        <x:v>GATE</x:v>
      </x:c>
      <x:c r="D626" t="str">
        <x:v>release state mirrors governing ledger</x:v>
      </x:c>
      <x:c r="E626" t="str">
        <x:f>'Release Gates'!I600</x:f>
        <x:v>PASS</x:v>
      </x:c>
      <x:c r="F626" t="str">
        <x:f>IF('Release Gates'!C600="PLANNING","PASS",IF('Release Gates'!C600="PHYSICAL","OPEN","BLOCKED"))</x:f>
        <x:v>PASS</x:v>
      </x:c>
      <x:c r="G626" t="str">
        <x:v>equals</x:v>
      </x:c>
      <x:c r="H626" t="str">
        <x:f>IF(E626=F626,"PASS","FAIL")</x:f>
        <x:v>PASS</x:v>
      </x:c>
    </x:row>
    <x:row r="627">
      <x:c r="B627" t="str">
        <x:v>A-00595</x:v>
      </x:c>
      <x:c r="C627" t="str">
        <x:v>GATE</x:v>
      </x:c>
      <x:c r="D627" t="str">
        <x:v>release state mirrors governing ledger</x:v>
      </x:c>
      <x:c r="E627" t="str">
        <x:f>'Release Gates'!I601</x:f>
        <x:v>PASS</x:v>
      </x:c>
      <x:c r="F627" t="str">
        <x:f>IF('Release Gates'!C601="PLANNING","PASS",IF('Release Gates'!C601="PHYSICAL","OPEN","BLOCKED"))</x:f>
        <x:v>PASS</x:v>
      </x:c>
      <x:c r="G627" t="str">
        <x:v>equals</x:v>
      </x:c>
      <x:c r="H627" t="str">
        <x:f>IF(E627=F627,"PASS","FAIL")</x:f>
        <x:v>PASS</x:v>
      </x:c>
    </x:row>
    <x:row r="628">
      <x:c r="B628" t="str">
        <x:v>A-00596</x:v>
      </x:c>
      <x:c r="C628" t="str">
        <x:v>GATE</x:v>
      </x:c>
      <x:c r="D628" t="str">
        <x:v>release state mirrors governing ledger</x:v>
      </x:c>
      <x:c r="E628" t="str">
        <x:f>'Release Gates'!I602</x:f>
        <x:v>PASS</x:v>
      </x:c>
      <x:c r="F628" t="str">
        <x:f>IF('Release Gates'!C602="PLANNING","PASS",IF('Release Gates'!C602="PHYSICAL","OPEN","BLOCKED"))</x:f>
        <x:v>PASS</x:v>
      </x:c>
      <x:c r="G628" t="str">
        <x:v>equals</x:v>
      </x:c>
      <x:c r="H628" t="str">
        <x:f>IF(E628=F628,"PASS","FAIL")</x:f>
        <x:v>PASS</x:v>
      </x:c>
    </x:row>
    <x:row r="629">
      <x:c r="B629" t="str">
        <x:v>A-00597</x:v>
      </x:c>
      <x:c r="C629" t="str">
        <x:v>GATE</x:v>
      </x:c>
      <x:c r="D629" t="str">
        <x:v>release state mirrors governing ledger</x:v>
      </x:c>
      <x:c r="E629" t="str">
        <x:f>'Release Gates'!I603</x:f>
        <x:v>PASS</x:v>
      </x:c>
      <x:c r="F629" t="str">
        <x:f>IF('Release Gates'!C603="PLANNING","PASS",IF('Release Gates'!C603="PHYSICAL","OPEN","BLOCKED"))</x:f>
        <x:v>PASS</x:v>
      </x:c>
      <x:c r="G629" t="str">
        <x:v>equals</x:v>
      </x:c>
      <x:c r="H629" t="str">
        <x:f>IF(E629=F629,"PASS","FAIL")</x:f>
        <x:v>PASS</x:v>
      </x:c>
    </x:row>
    <x:row r="630">
      <x:c r="B630" t="str">
        <x:v>A-00598</x:v>
      </x:c>
      <x:c r="C630" t="str">
        <x:v>GATE</x:v>
      </x:c>
      <x:c r="D630" t="str">
        <x:v>release state mirrors governing ledger</x:v>
      </x:c>
      <x:c r="E630" t="str">
        <x:f>'Release Gates'!I604</x:f>
        <x:v>PASS</x:v>
      </x:c>
      <x:c r="F630" t="str">
        <x:f>IF('Release Gates'!C604="PLANNING","PASS",IF('Release Gates'!C604="PHYSICAL","OPEN","BLOCKED"))</x:f>
        <x:v>PASS</x:v>
      </x:c>
      <x:c r="G630" t="str">
        <x:v>equals</x:v>
      </x:c>
      <x:c r="H630" t="str">
        <x:f>IF(E630=F630,"PASS","FAIL")</x:f>
        <x:v>PASS</x:v>
      </x:c>
    </x:row>
    <x:row r="631">
      <x:c r="B631" t="str">
        <x:v>A-00599</x:v>
      </x:c>
      <x:c r="C631" t="str">
        <x:v>GATE</x:v>
      </x:c>
      <x:c r="D631" t="str">
        <x:v>release state mirrors governing ledger</x:v>
      </x:c>
      <x:c r="E631" t="str">
        <x:f>'Release Gates'!I605</x:f>
        <x:v>PASS</x:v>
      </x:c>
      <x:c r="F631" t="str">
        <x:f>IF('Release Gates'!C605="PLANNING","PASS",IF('Release Gates'!C605="PHYSICAL","OPEN","BLOCKED"))</x:f>
        <x:v>PASS</x:v>
      </x:c>
      <x:c r="G631" t="str">
        <x:v>equals</x:v>
      </x:c>
      <x:c r="H631" t="str">
        <x:f>IF(E631=F631,"PASS","FAIL")</x:f>
        <x:v>PASS</x:v>
      </x:c>
    </x:row>
    <x:row r="632">
      <x:c r="B632" t="str">
        <x:v>A-00600</x:v>
      </x:c>
      <x:c r="C632" t="str">
        <x:v>GATE</x:v>
      </x:c>
      <x:c r="D632" t="str">
        <x:v>release state mirrors governing ledger</x:v>
      </x:c>
      <x:c r="E632" t="str">
        <x:f>'Release Gates'!I606</x:f>
        <x:v>PASS</x:v>
      </x:c>
      <x:c r="F632" t="str">
        <x:f>IF('Release Gates'!C606="PLANNING","PASS",IF('Release Gates'!C606="PHYSICAL","OPEN","BLOCKED"))</x:f>
        <x:v>PASS</x:v>
      </x:c>
      <x:c r="G632" t="str">
        <x:v>equals</x:v>
      </x:c>
      <x:c r="H632" t="str">
        <x:f>IF(E632=F632,"PASS","FAIL")</x:f>
        <x:v>PASS</x:v>
      </x:c>
    </x:row>
    <x:row r="633">
      <x:c r="B633" t="str">
        <x:v>A-00601</x:v>
      </x:c>
      <x:c r="C633" t="str">
        <x:v>GATE</x:v>
      </x:c>
      <x:c r="D633" t="str">
        <x:v>release state mirrors governing ledger</x:v>
      </x:c>
      <x:c r="E633" t="str">
        <x:f>'Release Gates'!I607</x:f>
        <x:v>PASS</x:v>
      </x:c>
      <x:c r="F633" t="str">
        <x:f>IF('Release Gates'!C607="PLANNING","PASS",IF('Release Gates'!C607="PHYSICAL","OPEN","BLOCKED"))</x:f>
        <x:v>PASS</x:v>
      </x:c>
      <x:c r="G633" t="str">
        <x:v>equals</x:v>
      </x:c>
      <x:c r="H633" t="str">
        <x:f>IF(E633=F633,"PASS","FAIL")</x:f>
        <x:v>PASS</x:v>
      </x:c>
    </x:row>
    <x:row r="634">
      <x:c r="B634" t="str">
        <x:v>A-00602</x:v>
      </x:c>
      <x:c r="C634" t="str">
        <x:v>GATE</x:v>
      </x:c>
      <x:c r="D634" t="str">
        <x:v>release state mirrors governing ledger</x:v>
      </x:c>
      <x:c r="E634" t="str">
        <x:f>'Release Gates'!I608</x:f>
        <x:v>PASS</x:v>
      </x:c>
      <x:c r="F634" t="str">
        <x:f>IF('Release Gates'!C608="PLANNING","PASS",IF('Release Gates'!C608="PHYSICAL","OPEN","BLOCKED"))</x:f>
        <x:v>PASS</x:v>
      </x:c>
      <x:c r="G634" t="str">
        <x:v>equals</x:v>
      </x:c>
      <x:c r="H634" t="str">
        <x:f>IF(E634=F634,"PASS","FAIL")</x:f>
        <x:v>PASS</x:v>
      </x:c>
    </x:row>
    <x:row r="635">
      <x:c r="B635" t="str">
        <x:v>A-00603</x:v>
      </x:c>
      <x:c r="C635" t="str">
        <x:v>GATE</x:v>
      </x:c>
      <x:c r="D635" t="str">
        <x:v>release state mirrors governing ledger</x:v>
      </x:c>
      <x:c r="E635" t="str">
        <x:f>'Release Gates'!I609</x:f>
        <x:v>PASS</x:v>
      </x:c>
      <x:c r="F635" t="str">
        <x:f>IF('Release Gates'!C609="PLANNING","PASS",IF('Release Gates'!C609="PHYSICAL","OPEN","BLOCKED"))</x:f>
        <x:v>PASS</x:v>
      </x:c>
      <x:c r="G635" t="str">
        <x:v>equals</x:v>
      </x:c>
      <x:c r="H635" t="str">
        <x:f>IF(E635=F635,"PASS","FAIL")</x:f>
        <x:v>PASS</x:v>
      </x:c>
    </x:row>
    <x:row r="636">
      <x:c r="B636" t="str">
        <x:v>A-00604</x:v>
      </x:c>
      <x:c r="C636" t="str">
        <x:v>GATE</x:v>
      </x:c>
      <x:c r="D636" t="str">
        <x:v>release state mirrors governing ledger</x:v>
      </x:c>
      <x:c r="E636" t="str">
        <x:f>'Release Gates'!I610</x:f>
        <x:v>PASS</x:v>
      </x:c>
      <x:c r="F636" t="str">
        <x:f>IF('Release Gates'!C610="PLANNING","PASS",IF('Release Gates'!C610="PHYSICAL","OPEN","BLOCKED"))</x:f>
        <x:v>PASS</x:v>
      </x:c>
      <x:c r="G636" t="str">
        <x:v>equals</x:v>
      </x:c>
      <x:c r="H636" t="str">
        <x:f>IF(E636=F636,"PASS","FAIL")</x:f>
        <x:v>PASS</x:v>
      </x:c>
    </x:row>
    <x:row r="637">
      <x:c r="B637" t="str">
        <x:v>A-00605</x:v>
      </x:c>
      <x:c r="C637" t="str">
        <x:v>GATE</x:v>
      </x:c>
      <x:c r="D637" t="str">
        <x:v>release state mirrors governing ledger</x:v>
      </x:c>
      <x:c r="E637" t="str">
        <x:f>'Release Gates'!I611</x:f>
        <x:v>PASS</x:v>
      </x:c>
      <x:c r="F637" t="str">
        <x:f>IF('Release Gates'!C611="PLANNING","PASS",IF('Release Gates'!C611="PHYSICAL","OPEN","BLOCKED"))</x:f>
        <x:v>PASS</x:v>
      </x:c>
      <x:c r="G637" t="str">
        <x:v>equals</x:v>
      </x:c>
      <x:c r="H637" t="str">
        <x:f>IF(E637=F637,"PASS","FAIL")</x:f>
        <x:v>PASS</x:v>
      </x:c>
    </x:row>
    <x:row r="638">
      <x:c r="B638" t="str">
        <x:v>A-00606</x:v>
      </x:c>
      <x:c r="C638" t="str">
        <x:v>GATE</x:v>
      </x:c>
      <x:c r="D638" t="str">
        <x:v>release state mirrors governing ledger</x:v>
      </x:c>
      <x:c r="E638" t="str">
        <x:f>'Release Gates'!I612</x:f>
        <x:v>PASS</x:v>
      </x:c>
      <x:c r="F638" t="str">
        <x:f>IF('Release Gates'!C612="PLANNING","PASS",IF('Release Gates'!C612="PHYSICAL","OPEN","BLOCKED"))</x:f>
        <x:v>PASS</x:v>
      </x:c>
      <x:c r="G638" t="str">
        <x:v>equals</x:v>
      </x:c>
      <x:c r="H638" t="str">
        <x:f>IF(E638=F638,"PASS","FAIL")</x:f>
        <x:v>PASS</x:v>
      </x:c>
    </x:row>
    <x:row r="639">
      <x:c r="B639" t="str">
        <x:v>A-00607</x:v>
      </x:c>
      <x:c r="C639" t="str">
        <x:v>GATE</x:v>
      </x:c>
      <x:c r="D639" t="str">
        <x:v>release state mirrors governing ledger</x:v>
      </x:c>
      <x:c r="E639" t="str">
        <x:f>'Release Gates'!I613</x:f>
        <x:v>PASS</x:v>
      </x:c>
      <x:c r="F639" t="str">
        <x:f>IF('Release Gates'!C613="PLANNING","PASS",IF('Release Gates'!C613="PHYSICAL","OPEN","BLOCKED"))</x:f>
        <x:v>PASS</x:v>
      </x:c>
      <x:c r="G639" t="str">
        <x:v>equals</x:v>
      </x:c>
      <x:c r="H639" t="str">
        <x:f>IF(E639=F639,"PASS","FAIL")</x:f>
        <x:v>PASS</x:v>
      </x:c>
    </x:row>
    <x:row r="640">
      <x:c r="B640" t="str">
        <x:v>A-00608</x:v>
      </x:c>
      <x:c r="C640" t="str">
        <x:v>GATE</x:v>
      </x:c>
      <x:c r="D640" t="str">
        <x:v>release state mirrors governing ledger</x:v>
      </x:c>
      <x:c r="E640" t="str">
        <x:f>'Release Gates'!I614</x:f>
        <x:v>PASS</x:v>
      </x:c>
      <x:c r="F640" t="str">
        <x:f>IF('Release Gates'!C614="PLANNING","PASS",IF('Release Gates'!C614="PHYSICAL","OPEN","BLOCKED"))</x:f>
        <x:v>PASS</x:v>
      </x:c>
      <x:c r="G640" t="str">
        <x:v>equals</x:v>
      </x:c>
      <x:c r="H640" t="str">
        <x:f>IF(E640=F640,"PASS","FAIL")</x:f>
        <x:v>PASS</x:v>
      </x:c>
    </x:row>
    <x:row r="641">
      <x:c r="B641" t="str">
        <x:v>A-00609</x:v>
      </x:c>
      <x:c r="C641" t="str">
        <x:v>GATE</x:v>
      </x:c>
      <x:c r="D641" t="str">
        <x:v>release state mirrors governing ledger</x:v>
      </x:c>
      <x:c r="E641" t="str">
        <x:f>'Release Gates'!I615</x:f>
        <x:v>PASS</x:v>
      </x:c>
      <x:c r="F641" t="str">
        <x:f>IF('Release Gates'!C615="PLANNING","PASS",IF('Release Gates'!C615="PHYSICAL","OPEN","BLOCKED"))</x:f>
        <x:v>PASS</x:v>
      </x:c>
      <x:c r="G641" t="str">
        <x:v>equals</x:v>
      </x:c>
      <x:c r="H641" t="str">
        <x:f>IF(E641=F641,"PASS","FAIL")</x:f>
        <x:v>PASS</x:v>
      </x:c>
    </x:row>
    <x:row r="642">
      <x:c r="B642" t="str">
        <x:v>A-00610</x:v>
      </x:c>
      <x:c r="C642" t="str">
        <x:v>GATE</x:v>
      </x:c>
      <x:c r="D642" t="str">
        <x:v>release state mirrors governing ledger</x:v>
      </x:c>
      <x:c r="E642" t="str">
        <x:f>'Release Gates'!I616</x:f>
        <x:v>PASS</x:v>
      </x:c>
      <x:c r="F642" t="str">
        <x:f>IF('Release Gates'!C616="PLANNING","PASS",IF('Release Gates'!C616="PHYSICAL","OPEN","BLOCKED"))</x:f>
        <x:v>PASS</x:v>
      </x:c>
      <x:c r="G642" t="str">
        <x:v>equals</x:v>
      </x:c>
      <x:c r="H642" t="str">
        <x:f>IF(E642=F642,"PASS","FAIL")</x:f>
        <x:v>PASS</x:v>
      </x:c>
    </x:row>
    <x:row r="643">
      <x:c r="B643" t="str">
        <x:v>A-00611</x:v>
      </x:c>
      <x:c r="C643" t="str">
        <x:v>GATE</x:v>
      </x:c>
      <x:c r="D643" t="str">
        <x:v>release state mirrors governing ledger</x:v>
      </x:c>
      <x:c r="E643" t="str">
        <x:f>'Release Gates'!I617</x:f>
        <x:v>PASS</x:v>
      </x:c>
      <x:c r="F643" t="str">
        <x:f>IF('Release Gates'!C617="PLANNING","PASS",IF('Release Gates'!C617="PHYSICAL","OPEN","BLOCKED"))</x:f>
        <x:v>PASS</x:v>
      </x:c>
      <x:c r="G643" t="str">
        <x:v>equals</x:v>
      </x:c>
      <x:c r="H643" t="str">
        <x:f>IF(E643=F643,"PASS","FAIL")</x:f>
        <x:v>PASS</x:v>
      </x:c>
    </x:row>
    <x:row r="644">
      <x:c r="B644" t="str">
        <x:v>A-00612</x:v>
      </x:c>
      <x:c r="C644" t="str">
        <x:v>GATE</x:v>
      </x:c>
      <x:c r="D644" t="str">
        <x:v>release state mirrors governing ledger</x:v>
      </x:c>
      <x:c r="E644" t="str">
        <x:f>'Release Gates'!I618</x:f>
        <x:v>PASS</x:v>
      </x:c>
      <x:c r="F644" t="str">
        <x:f>IF('Release Gates'!C618="PLANNING","PASS",IF('Release Gates'!C618="PHYSICAL","OPEN","BLOCKED"))</x:f>
        <x:v>PASS</x:v>
      </x:c>
      <x:c r="G644" t="str">
        <x:v>equals</x:v>
      </x:c>
      <x:c r="H644" t="str">
        <x:f>IF(E644=F644,"PASS","FAIL")</x:f>
        <x:v>PASS</x:v>
      </x:c>
    </x:row>
    <x:row r="645">
      <x:c r="B645" t="str">
        <x:v>A-00613</x:v>
      </x:c>
      <x:c r="C645" t="str">
        <x:v>GATE</x:v>
      </x:c>
      <x:c r="D645" t="str">
        <x:v>release state mirrors governing ledger</x:v>
      </x:c>
      <x:c r="E645" t="str">
        <x:f>'Release Gates'!I619</x:f>
        <x:v>PASS</x:v>
      </x:c>
      <x:c r="F645" t="str">
        <x:f>IF('Release Gates'!C619="PLANNING","PASS",IF('Release Gates'!C619="PHYSICAL","OPEN","BLOCKED"))</x:f>
        <x:v>PASS</x:v>
      </x:c>
      <x:c r="G645" t="str">
        <x:v>equals</x:v>
      </x:c>
      <x:c r="H645" t="str">
        <x:f>IF(E645=F645,"PASS","FAIL")</x:f>
        <x:v>PASS</x:v>
      </x:c>
    </x:row>
    <x:row r="646">
      <x:c r="B646" t="str">
        <x:v>A-00614</x:v>
      </x:c>
      <x:c r="C646" t="str">
        <x:v>GATE</x:v>
      </x:c>
      <x:c r="D646" t="str">
        <x:v>release state mirrors governing ledger</x:v>
      </x:c>
      <x:c r="E646" t="str">
        <x:f>'Release Gates'!I620</x:f>
        <x:v>PASS</x:v>
      </x:c>
      <x:c r="F646" t="str">
        <x:f>IF('Release Gates'!C620="PLANNING","PASS",IF('Release Gates'!C620="PHYSICAL","OPEN","BLOCKED"))</x:f>
        <x:v>PASS</x:v>
      </x:c>
      <x:c r="G646" t="str">
        <x:v>equals</x:v>
      </x:c>
      <x:c r="H646" t="str">
        <x:f>IF(E646=F646,"PASS","FAIL")</x:f>
        <x:v>PASS</x:v>
      </x:c>
    </x:row>
    <x:row r="647">
      <x:c r="B647" t="str">
        <x:v>A-00615</x:v>
      </x:c>
      <x:c r="C647" t="str">
        <x:v>GATE</x:v>
      </x:c>
      <x:c r="D647" t="str">
        <x:v>release state mirrors governing ledger</x:v>
      </x:c>
      <x:c r="E647" t="str">
        <x:f>'Release Gates'!I621</x:f>
        <x:v>PASS</x:v>
      </x:c>
      <x:c r="F647" t="str">
        <x:f>IF('Release Gates'!C621="PLANNING","PASS",IF('Release Gates'!C621="PHYSICAL","OPEN","BLOCKED"))</x:f>
        <x:v>PASS</x:v>
      </x:c>
      <x:c r="G647" t="str">
        <x:v>equals</x:v>
      </x:c>
      <x:c r="H647" t="str">
        <x:f>IF(E647=F647,"PASS","FAIL")</x:f>
        <x:v>PASS</x:v>
      </x:c>
    </x:row>
    <x:row r="648">
      <x:c r="B648" t="str">
        <x:v>A-00616</x:v>
      </x:c>
      <x:c r="C648" t="str">
        <x:v>GATE</x:v>
      </x:c>
      <x:c r="D648" t="str">
        <x:v>release state mirrors governing ledger</x:v>
      </x:c>
      <x:c r="E648" t="str">
        <x:f>'Release Gates'!I622</x:f>
        <x:v>PASS</x:v>
      </x:c>
      <x:c r="F648" t="str">
        <x:f>IF('Release Gates'!C622="PLANNING","PASS",IF('Release Gates'!C622="PHYSICAL","OPEN","BLOCKED"))</x:f>
        <x:v>PASS</x:v>
      </x:c>
      <x:c r="G648" t="str">
        <x:v>equals</x:v>
      </x:c>
      <x:c r="H648" t="str">
        <x:f>IF(E648=F648,"PASS","FAIL")</x:f>
        <x:v>PASS</x:v>
      </x:c>
    </x:row>
    <x:row r="649">
      <x:c r="B649" t="str">
        <x:v>A-00617</x:v>
      </x:c>
      <x:c r="C649" t="str">
        <x:v>GATE</x:v>
      </x:c>
      <x:c r="D649" t="str">
        <x:v>release state mirrors governing ledger</x:v>
      </x:c>
      <x:c r="E649" t="str">
        <x:f>'Release Gates'!I623</x:f>
        <x:v>PASS</x:v>
      </x:c>
      <x:c r="F649" t="str">
        <x:f>IF('Release Gates'!C623="PLANNING","PASS",IF('Release Gates'!C623="PHYSICAL","OPEN","BLOCKED"))</x:f>
        <x:v>PASS</x:v>
      </x:c>
      <x:c r="G649" t="str">
        <x:v>equals</x:v>
      </x:c>
      <x:c r="H649" t="str">
        <x:f>IF(E649=F649,"PASS","FAIL")</x:f>
        <x:v>PASS</x:v>
      </x:c>
    </x:row>
    <x:row r="650">
      <x:c r="B650" t="str">
        <x:v>A-00618</x:v>
      </x:c>
      <x:c r="C650" t="str">
        <x:v>GATE</x:v>
      </x:c>
      <x:c r="D650" t="str">
        <x:v>release state mirrors governing ledger</x:v>
      </x:c>
      <x:c r="E650" t="str">
        <x:f>'Release Gates'!I624</x:f>
        <x:v>PASS</x:v>
      </x:c>
      <x:c r="F650" t="str">
        <x:f>IF('Release Gates'!C624="PLANNING","PASS",IF('Release Gates'!C624="PHYSICAL","OPEN","BLOCKED"))</x:f>
        <x:v>PASS</x:v>
      </x:c>
      <x:c r="G650" t="str">
        <x:v>equals</x:v>
      </x:c>
      <x:c r="H650" t="str">
        <x:f>IF(E650=F650,"PASS","FAIL")</x:f>
        <x:v>PASS</x:v>
      </x:c>
    </x:row>
    <x:row r="651">
      <x:c r="B651" t="str">
        <x:v>A-00619</x:v>
      </x:c>
      <x:c r="C651" t="str">
        <x:v>GATE</x:v>
      </x:c>
      <x:c r="D651" t="str">
        <x:v>release state mirrors governing ledger</x:v>
      </x:c>
      <x:c r="E651" t="str">
        <x:f>'Release Gates'!I625</x:f>
        <x:v>PASS</x:v>
      </x:c>
      <x:c r="F651" t="str">
        <x:f>IF('Release Gates'!C625="PLANNING","PASS",IF('Release Gates'!C625="PHYSICAL","OPEN","BLOCKED"))</x:f>
        <x:v>PASS</x:v>
      </x:c>
      <x:c r="G651" t="str">
        <x:v>equals</x:v>
      </x:c>
      <x:c r="H651" t="str">
        <x:f>IF(E651=F651,"PASS","FAIL")</x:f>
        <x:v>PASS</x:v>
      </x:c>
    </x:row>
    <x:row r="652">
      <x:c r="B652" t="str">
        <x:v>A-00620</x:v>
      </x:c>
      <x:c r="C652" t="str">
        <x:v>GATE</x:v>
      </x:c>
      <x:c r="D652" t="str">
        <x:v>release state mirrors governing ledger</x:v>
      </x:c>
      <x:c r="E652" t="str">
        <x:f>'Release Gates'!I626</x:f>
        <x:v>PASS</x:v>
      </x:c>
      <x:c r="F652" t="str">
        <x:f>IF('Release Gates'!C626="PLANNING","PASS",IF('Release Gates'!C626="PHYSICAL","OPEN","BLOCKED"))</x:f>
        <x:v>PASS</x:v>
      </x:c>
      <x:c r="G652" t="str">
        <x:v>equals</x:v>
      </x:c>
      <x:c r="H652" t="str">
        <x:f>IF(E652=F652,"PASS","FAIL")</x:f>
        <x:v>PASS</x:v>
      </x:c>
    </x:row>
    <x:row r="653">
      <x:c r="B653" t="str">
        <x:v>A-00621</x:v>
      </x:c>
      <x:c r="C653" t="str">
        <x:v>GATE</x:v>
      </x:c>
      <x:c r="D653" t="str">
        <x:v>release state mirrors governing ledger</x:v>
      </x:c>
      <x:c r="E653" t="str">
        <x:f>'Release Gates'!I627</x:f>
        <x:v>PASS</x:v>
      </x:c>
      <x:c r="F653" t="str">
        <x:f>IF('Release Gates'!C627="PLANNING","PASS",IF('Release Gates'!C627="PHYSICAL","OPEN","BLOCKED"))</x:f>
        <x:v>PASS</x:v>
      </x:c>
      <x:c r="G653" t="str">
        <x:v>equals</x:v>
      </x:c>
      <x:c r="H653" t="str">
        <x:f>IF(E653=F653,"PASS","FAIL")</x:f>
        <x:v>PASS</x:v>
      </x:c>
    </x:row>
    <x:row r="654">
      <x:c r="B654" t="str">
        <x:v>A-00622</x:v>
      </x:c>
      <x:c r="C654" t="str">
        <x:v>GATE</x:v>
      </x:c>
      <x:c r="D654" t="str">
        <x:v>release state mirrors governing ledger</x:v>
      </x:c>
      <x:c r="E654" t="str">
        <x:f>'Release Gates'!I628</x:f>
        <x:v>PASS</x:v>
      </x:c>
      <x:c r="F654" t="str">
        <x:f>IF('Release Gates'!C628="PLANNING","PASS",IF('Release Gates'!C628="PHYSICAL","OPEN","BLOCKED"))</x:f>
        <x:v>PASS</x:v>
      </x:c>
      <x:c r="G654" t="str">
        <x:v>equals</x:v>
      </x:c>
      <x:c r="H654" t="str">
        <x:f>IF(E654=F654,"PASS","FAIL")</x:f>
        <x:v>PASS</x:v>
      </x:c>
    </x:row>
    <x:row r="655">
      <x:c r="B655" t="str">
        <x:v>A-00623</x:v>
      </x:c>
      <x:c r="C655" t="str">
        <x:v>GATE</x:v>
      </x:c>
      <x:c r="D655" t="str">
        <x:v>release state mirrors governing ledger</x:v>
      </x:c>
      <x:c r="E655" t="str">
        <x:f>'Release Gates'!I629</x:f>
        <x:v>PASS</x:v>
      </x:c>
      <x:c r="F655" t="str">
        <x:f>IF('Release Gates'!C629="PLANNING","PASS",IF('Release Gates'!C629="PHYSICAL","OPEN","BLOCKED"))</x:f>
        <x:v>PASS</x:v>
      </x:c>
      <x:c r="G655" t="str">
        <x:v>equals</x:v>
      </x:c>
      <x:c r="H655" t="str">
        <x:f>IF(E655=F655,"PASS","FAIL")</x:f>
        <x:v>PASS</x:v>
      </x:c>
    </x:row>
    <x:row r="656">
      <x:c r="B656" t="str">
        <x:v>A-00624</x:v>
      </x:c>
      <x:c r="C656" t="str">
        <x:v>GATE</x:v>
      </x:c>
      <x:c r="D656" t="str">
        <x:v>release state mirrors governing ledger</x:v>
      </x:c>
      <x:c r="E656" t="str">
        <x:f>'Release Gates'!I630</x:f>
        <x:v>PASS</x:v>
      </x:c>
      <x:c r="F656" t="str">
        <x:f>IF('Release Gates'!C630="PLANNING","PASS",IF('Release Gates'!C630="PHYSICAL","OPEN","BLOCKED"))</x:f>
        <x:v>PASS</x:v>
      </x:c>
      <x:c r="G656" t="str">
        <x:v>equals</x:v>
      </x:c>
      <x:c r="H656" t="str">
        <x:f>IF(E656=F656,"PASS","FAIL")</x:f>
        <x:v>PASS</x:v>
      </x:c>
    </x:row>
    <x:row r="657">
      <x:c r="B657" t="str">
        <x:v>A-00625</x:v>
      </x:c>
      <x:c r="C657" t="str">
        <x:v>GATE</x:v>
      </x:c>
      <x:c r="D657" t="str">
        <x:v>release state mirrors governing ledger</x:v>
      </x:c>
      <x:c r="E657" t="str">
        <x:f>'Release Gates'!I631</x:f>
        <x:v>PASS</x:v>
      </x:c>
      <x:c r="F657" t="str">
        <x:f>IF('Release Gates'!C631="PLANNING","PASS",IF('Release Gates'!C631="PHYSICAL","OPEN","BLOCKED"))</x:f>
        <x:v>PASS</x:v>
      </x:c>
      <x:c r="G657" t="str">
        <x:v>equals</x:v>
      </x:c>
      <x:c r="H657" t="str">
        <x:f>IF(E657=F657,"PASS","FAIL")</x:f>
        <x:v>PASS</x:v>
      </x:c>
    </x:row>
    <x:row r="658">
      <x:c r="B658" t="str">
        <x:v>A-00626</x:v>
      </x:c>
      <x:c r="C658" t="str">
        <x:v>GATE</x:v>
      </x:c>
      <x:c r="D658" t="str">
        <x:v>release state mirrors governing ledger</x:v>
      </x:c>
      <x:c r="E658" t="str">
        <x:f>'Release Gates'!I632</x:f>
        <x:v>PASS</x:v>
      </x:c>
      <x:c r="F658" t="str">
        <x:f>IF('Release Gates'!C632="PLANNING","PASS",IF('Release Gates'!C632="PHYSICAL","OPEN","BLOCKED"))</x:f>
        <x:v>PASS</x:v>
      </x:c>
      <x:c r="G658" t="str">
        <x:v>equals</x:v>
      </x:c>
      <x:c r="H658" t="str">
        <x:f>IF(E658=F658,"PASS","FAIL")</x:f>
        <x:v>PASS</x:v>
      </x:c>
    </x:row>
    <x:row r="659">
      <x:c r="B659" t="str">
        <x:v>A-00627</x:v>
      </x:c>
      <x:c r="C659" t="str">
        <x:v>GATE</x:v>
      </x:c>
      <x:c r="D659" t="str">
        <x:v>release state mirrors governing ledger</x:v>
      </x:c>
      <x:c r="E659" t="str">
        <x:f>'Release Gates'!I633</x:f>
        <x:v>PASS</x:v>
      </x:c>
      <x:c r="F659" t="str">
        <x:f>IF('Release Gates'!C633="PLANNING","PASS",IF('Release Gates'!C633="PHYSICAL","OPEN","BLOCKED"))</x:f>
        <x:v>PASS</x:v>
      </x:c>
      <x:c r="G659" t="str">
        <x:v>equals</x:v>
      </x:c>
      <x:c r="H659" t="str">
        <x:f>IF(E659=F659,"PASS","FAIL")</x:f>
        <x:v>PASS</x:v>
      </x:c>
    </x:row>
    <x:row r="660">
      <x:c r="B660" t="str">
        <x:v>A-00628</x:v>
      </x:c>
      <x:c r="C660" t="str">
        <x:v>GATE</x:v>
      </x:c>
      <x:c r="D660" t="str">
        <x:v>release state mirrors governing ledger</x:v>
      </x:c>
      <x:c r="E660" t="str">
        <x:f>'Release Gates'!I634</x:f>
        <x:v>PASS</x:v>
      </x:c>
      <x:c r="F660" t="str">
        <x:f>IF('Release Gates'!C634="PLANNING","PASS",IF('Release Gates'!C634="PHYSICAL","OPEN","BLOCKED"))</x:f>
        <x:v>PASS</x:v>
      </x:c>
      <x:c r="G660" t="str">
        <x:v>equals</x:v>
      </x:c>
      <x:c r="H660" t="str">
        <x:f>IF(E660=F660,"PASS","FAIL")</x:f>
        <x:v>PASS</x:v>
      </x:c>
    </x:row>
    <x:row r="661">
      <x:c r="B661" t="str">
        <x:v>A-00629</x:v>
      </x:c>
      <x:c r="C661" t="str">
        <x:v>GATE</x:v>
      </x:c>
      <x:c r="D661" t="str">
        <x:v>release state mirrors governing ledger</x:v>
      </x:c>
      <x:c r="E661" t="str">
        <x:f>'Release Gates'!I635</x:f>
        <x:v>PASS</x:v>
      </x:c>
      <x:c r="F661" t="str">
        <x:f>IF('Release Gates'!C635="PLANNING","PASS",IF('Release Gates'!C635="PHYSICAL","OPEN","BLOCKED"))</x:f>
        <x:v>PASS</x:v>
      </x:c>
      <x:c r="G661" t="str">
        <x:v>equals</x:v>
      </x:c>
      <x:c r="H661" t="str">
        <x:f>IF(E661=F661,"PASS","FAIL")</x:f>
        <x:v>PASS</x:v>
      </x:c>
    </x:row>
    <x:row r="662">
      <x:c r="B662" t="str">
        <x:v>A-00630</x:v>
      </x:c>
      <x:c r="C662" t="str">
        <x:v>GATE</x:v>
      </x:c>
      <x:c r="D662" t="str">
        <x:v>release state mirrors governing ledger</x:v>
      </x:c>
      <x:c r="E662" t="str">
        <x:f>'Release Gates'!I636</x:f>
        <x:v>PASS</x:v>
      </x:c>
      <x:c r="F662" t="str">
        <x:f>IF('Release Gates'!C636="PLANNING","PASS",IF('Release Gates'!C636="PHYSICAL","OPEN","BLOCKED"))</x:f>
        <x:v>PASS</x:v>
      </x:c>
      <x:c r="G662" t="str">
        <x:v>equals</x:v>
      </x:c>
      <x:c r="H662" t="str">
        <x:f>IF(E662=F662,"PASS","FAIL")</x:f>
        <x:v>PASS</x:v>
      </x:c>
    </x:row>
    <x:row r="663">
      <x:c r="B663" t="str">
        <x:v>A-00631</x:v>
      </x:c>
      <x:c r="C663" t="str">
        <x:v>GATE</x:v>
      </x:c>
      <x:c r="D663" t="str">
        <x:v>release state mirrors governing ledger</x:v>
      </x:c>
      <x:c r="E663" t="str">
        <x:f>'Release Gates'!I637</x:f>
        <x:v>PASS</x:v>
      </x:c>
      <x:c r="F663" t="str">
        <x:f>IF('Release Gates'!C637="PLANNING","PASS",IF('Release Gates'!C637="PHYSICAL","OPEN","BLOCKED"))</x:f>
        <x:v>PASS</x:v>
      </x:c>
      <x:c r="G663" t="str">
        <x:v>equals</x:v>
      </x:c>
      <x:c r="H663" t="str">
        <x:f>IF(E663=F663,"PASS","FAIL")</x:f>
        <x:v>PASS</x:v>
      </x:c>
    </x:row>
    <x:row r="664">
      <x:c r="B664" t="str">
        <x:v>A-00632</x:v>
      </x:c>
      <x:c r="C664" t="str">
        <x:v>GATE</x:v>
      </x:c>
      <x:c r="D664" t="str">
        <x:v>release state mirrors governing ledger</x:v>
      </x:c>
      <x:c r="E664" t="str">
        <x:f>'Release Gates'!I638</x:f>
        <x:v>PASS</x:v>
      </x:c>
      <x:c r="F664" t="str">
        <x:f>IF('Release Gates'!C638="PLANNING","PASS",IF('Release Gates'!C638="PHYSICAL","OPEN","BLOCKED"))</x:f>
        <x:v>PASS</x:v>
      </x:c>
      <x:c r="G664" t="str">
        <x:v>equals</x:v>
      </x:c>
      <x:c r="H664" t="str">
        <x:f>IF(E664=F664,"PASS","FAIL")</x:f>
        <x:v>PASS</x:v>
      </x:c>
    </x:row>
    <x:row r="665">
      <x:c r="B665" t="str">
        <x:v>A-00633</x:v>
      </x:c>
      <x:c r="C665" t="str">
        <x:v>GATE</x:v>
      </x:c>
      <x:c r="D665" t="str">
        <x:v>release state mirrors governing ledger</x:v>
      </x:c>
      <x:c r="E665" t="str">
        <x:f>'Release Gates'!I639</x:f>
        <x:v>PASS</x:v>
      </x:c>
      <x:c r="F665" t="str">
        <x:f>IF('Release Gates'!C639="PLANNING","PASS",IF('Release Gates'!C639="PHYSICAL","OPEN","BLOCKED"))</x:f>
        <x:v>PASS</x:v>
      </x:c>
      <x:c r="G665" t="str">
        <x:v>equals</x:v>
      </x:c>
      <x:c r="H665" t="str">
        <x:f>IF(E665=F665,"PASS","FAIL")</x:f>
        <x:v>PASS</x:v>
      </x:c>
    </x:row>
    <x:row r="666">
      <x:c r="B666" t="str">
        <x:v>A-00634</x:v>
      </x:c>
      <x:c r="C666" t="str">
        <x:v>GATE</x:v>
      </x:c>
      <x:c r="D666" t="str">
        <x:v>release state mirrors governing ledger</x:v>
      </x:c>
      <x:c r="E666" t="str">
        <x:f>'Release Gates'!I640</x:f>
        <x:v>PASS</x:v>
      </x:c>
      <x:c r="F666" t="str">
        <x:f>IF('Release Gates'!C640="PLANNING","PASS",IF('Release Gates'!C640="PHYSICAL","OPEN","BLOCKED"))</x:f>
        <x:v>PASS</x:v>
      </x:c>
      <x:c r="G666" t="str">
        <x:v>equals</x:v>
      </x:c>
      <x:c r="H666" t="str">
        <x:f>IF(E666=F666,"PASS","FAIL")</x:f>
        <x:v>PASS</x:v>
      </x:c>
    </x:row>
    <x:row r="667">
      <x:c r="B667" t="str">
        <x:v>A-00635</x:v>
      </x:c>
      <x:c r="C667" t="str">
        <x:v>GATE</x:v>
      </x:c>
      <x:c r="D667" t="str">
        <x:v>release state mirrors governing ledger</x:v>
      </x:c>
      <x:c r="E667" t="str">
        <x:f>'Release Gates'!I641</x:f>
        <x:v>PASS</x:v>
      </x:c>
      <x:c r="F667" t="str">
        <x:f>IF('Release Gates'!C641="PLANNING","PASS",IF('Release Gates'!C641="PHYSICAL","OPEN","BLOCKED"))</x:f>
        <x:v>PASS</x:v>
      </x:c>
      <x:c r="G667" t="str">
        <x:v>equals</x:v>
      </x:c>
      <x:c r="H667" t="str">
        <x:f>IF(E667=F667,"PASS","FAIL")</x:f>
        <x:v>PASS</x:v>
      </x:c>
    </x:row>
    <x:row r="668">
      <x:c r="B668" t="str">
        <x:v>A-00636</x:v>
      </x:c>
      <x:c r="C668" t="str">
        <x:v>GATE</x:v>
      </x:c>
      <x:c r="D668" t="str">
        <x:v>release state mirrors governing ledger</x:v>
      </x:c>
      <x:c r="E668" t="str">
        <x:f>'Release Gates'!I642</x:f>
        <x:v>PASS</x:v>
      </x:c>
      <x:c r="F668" t="str">
        <x:f>IF('Release Gates'!C642="PLANNING","PASS",IF('Release Gates'!C642="PHYSICAL","OPEN","BLOCKED"))</x:f>
        <x:v>PASS</x:v>
      </x:c>
      <x:c r="G668" t="str">
        <x:v>equals</x:v>
      </x:c>
      <x:c r="H668" t="str">
        <x:f>IF(E668=F668,"PASS","FAIL")</x:f>
        <x:v>PASS</x:v>
      </x:c>
    </x:row>
    <x:row r="669">
      <x:c r="B669" t="str">
        <x:v>A-00637</x:v>
      </x:c>
      <x:c r="C669" t="str">
        <x:v>GATE</x:v>
      </x:c>
      <x:c r="D669" t="str">
        <x:v>release state mirrors governing ledger</x:v>
      </x:c>
      <x:c r="E669" t="str">
        <x:f>'Release Gates'!I643</x:f>
        <x:v>PASS</x:v>
      </x:c>
      <x:c r="F669" t="str">
        <x:f>IF('Release Gates'!C643="PLANNING","PASS",IF('Release Gates'!C643="PHYSICAL","OPEN","BLOCKED"))</x:f>
        <x:v>PASS</x:v>
      </x:c>
      <x:c r="G669" t="str">
        <x:v>equals</x:v>
      </x:c>
      <x:c r="H669" t="str">
        <x:f>IF(E669=F669,"PASS","FAIL")</x:f>
        <x:v>PASS</x:v>
      </x:c>
    </x:row>
    <x:row r="670">
      <x:c r="B670" t="str">
        <x:v>A-00638</x:v>
      </x:c>
      <x:c r="C670" t="str">
        <x:v>GATE</x:v>
      </x:c>
      <x:c r="D670" t="str">
        <x:v>release state mirrors governing ledger</x:v>
      </x:c>
      <x:c r="E670" t="str">
        <x:f>'Release Gates'!I644</x:f>
        <x:v>PASS</x:v>
      </x:c>
      <x:c r="F670" t="str">
        <x:f>IF('Release Gates'!C644="PLANNING","PASS",IF('Release Gates'!C644="PHYSICAL","OPEN","BLOCKED"))</x:f>
        <x:v>PASS</x:v>
      </x:c>
      <x:c r="G670" t="str">
        <x:v>equals</x:v>
      </x:c>
      <x:c r="H670" t="str">
        <x:f>IF(E670=F670,"PASS","FAIL")</x:f>
        <x:v>PASS</x:v>
      </x:c>
    </x:row>
    <x:row r="671">
      <x:c r="B671" t="str">
        <x:v>A-00639</x:v>
      </x:c>
      <x:c r="C671" t="str">
        <x:v>GATE</x:v>
      </x:c>
      <x:c r="D671" t="str">
        <x:v>release state mirrors governing ledger</x:v>
      </x:c>
      <x:c r="E671" t="str">
        <x:f>'Release Gates'!I645</x:f>
        <x:v>PASS</x:v>
      </x:c>
      <x:c r="F671" t="str">
        <x:f>IF('Release Gates'!C645="PLANNING","PASS",IF('Release Gates'!C645="PHYSICAL","OPEN","BLOCKED"))</x:f>
        <x:v>PASS</x:v>
      </x:c>
      <x:c r="G671" t="str">
        <x:v>equals</x:v>
      </x:c>
      <x:c r="H671" t="str">
        <x:f>IF(E671=F671,"PASS","FAIL")</x:f>
        <x:v>PASS</x:v>
      </x:c>
    </x:row>
    <x:row r="672">
      <x:c r="B672" t="str">
        <x:v>A-00640</x:v>
      </x:c>
      <x:c r="C672" t="str">
        <x:v>GATE</x:v>
      </x:c>
      <x:c r="D672" t="str">
        <x:v>release state mirrors governing ledger</x:v>
      </x:c>
      <x:c r="E672" t="str">
        <x:f>'Release Gates'!I646</x:f>
        <x:v>PASS</x:v>
      </x:c>
      <x:c r="F672" t="str">
        <x:f>IF('Release Gates'!C646="PLANNING","PASS",IF('Release Gates'!C646="PHYSICAL","OPEN","BLOCKED"))</x:f>
        <x:v>PASS</x:v>
      </x:c>
      <x:c r="G672" t="str">
        <x:v>equals</x:v>
      </x:c>
      <x:c r="H672" t="str">
        <x:f>IF(E672=F672,"PASS","FAIL")</x:f>
        <x:v>PASS</x:v>
      </x:c>
    </x:row>
    <x:row r="673">
      <x:c r="B673" t="str">
        <x:v>A-00641</x:v>
      </x:c>
      <x:c r="C673" t="str">
        <x:v>GATE</x:v>
      </x:c>
      <x:c r="D673" t="str">
        <x:v>release state mirrors governing ledger</x:v>
      </x:c>
      <x:c r="E673" t="str">
        <x:f>'Release Gates'!I647</x:f>
        <x:v>PASS</x:v>
      </x:c>
      <x:c r="F673" t="str">
        <x:f>IF('Release Gates'!C647="PLANNING","PASS",IF('Release Gates'!C647="PHYSICAL","OPEN","BLOCKED"))</x:f>
        <x:v>PASS</x:v>
      </x:c>
      <x:c r="G673" t="str">
        <x:v>equals</x:v>
      </x:c>
      <x:c r="H673" t="str">
        <x:f>IF(E673=F673,"PASS","FAIL")</x:f>
        <x:v>PASS</x:v>
      </x:c>
    </x:row>
    <x:row r="674">
      <x:c r="B674" t="str">
        <x:v>A-00642</x:v>
      </x:c>
      <x:c r="C674" t="str">
        <x:v>GATE</x:v>
      </x:c>
      <x:c r="D674" t="str">
        <x:v>release state mirrors governing ledger</x:v>
      </x:c>
      <x:c r="E674" t="str">
        <x:f>'Release Gates'!I648</x:f>
        <x:v>PASS</x:v>
      </x:c>
      <x:c r="F674" t="str">
        <x:f>IF('Release Gates'!C648="PLANNING","PASS",IF('Release Gates'!C648="PHYSICAL","OPEN","BLOCKED"))</x:f>
        <x:v>PASS</x:v>
      </x:c>
      <x:c r="G674" t="str">
        <x:v>equals</x:v>
      </x:c>
      <x:c r="H674" t="str">
        <x:f>IF(E674=F674,"PASS","FAIL")</x:f>
        <x:v>PASS</x:v>
      </x:c>
    </x:row>
    <x:row r="675">
      <x:c r="B675" t="str">
        <x:v>A-00643</x:v>
      </x:c>
      <x:c r="C675" t="str">
        <x:v>GATE</x:v>
      </x:c>
      <x:c r="D675" t="str">
        <x:v>release state mirrors governing ledger</x:v>
      </x:c>
      <x:c r="E675" t="str">
        <x:f>'Release Gates'!I649</x:f>
        <x:v>PASS</x:v>
      </x:c>
      <x:c r="F675" t="str">
        <x:f>IF('Release Gates'!C649="PLANNING","PASS",IF('Release Gates'!C649="PHYSICAL","OPEN","BLOCKED"))</x:f>
        <x:v>PASS</x:v>
      </x:c>
      <x:c r="G675" t="str">
        <x:v>equals</x:v>
      </x:c>
      <x:c r="H675" t="str">
        <x:f>IF(E675=F675,"PASS","FAIL")</x:f>
        <x:v>PASS</x:v>
      </x:c>
    </x:row>
    <x:row r="676">
      <x:c r="B676" t="str">
        <x:v>A-00644</x:v>
      </x:c>
      <x:c r="C676" t="str">
        <x:v>GATE</x:v>
      </x:c>
      <x:c r="D676" t="str">
        <x:v>release state mirrors governing ledger</x:v>
      </x:c>
      <x:c r="E676" t="str">
        <x:f>'Release Gates'!I650</x:f>
        <x:v>PASS</x:v>
      </x:c>
      <x:c r="F676" t="str">
        <x:f>IF('Release Gates'!C650="PLANNING","PASS",IF('Release Gates'!C650="PHYSICAL","OPEN","BLOCKED"))</x:f>
        <x:v>PASS</x:v>
      </x:c>
      <x:c r="G676" t="str">
        <x:v>equals</x:v>
      </x:c>
      <x:c r="H676" t="str">
        <x:f>IF(E676=F676,"PASS","FAIL")</x:f>
        <x:v>PASS</x:v>
      </x:c>
    </x:row>
    <x:row r="677">
      <x:c r="B677" t="str">
        <x:v>A-00645</x:v>
      </x:c>
      <x:c r="C677" t="str">
        <x:v>GATE</x:v>
      </x:c>
      <x:c r="D677" t="str">
        <x:v>release state mirrors governing ledger</x:v>
      </x:c>
      <x:c r="E677" t="str">
        <x:f>'Release Gates'!I651</x:f>
        <x:v>PASS</x:v>
      </x:c>
      <x:c r="F677" t="str">
        <x:f>IF('Release Gates'!C651="PLANNING","PASS",IF('Release Gates'!C651="PHYSICAL","OPEN","BLOCKED"))</x:f>
        <x:v>PASS</x:v>
      </x:c>
      <x:c r="G677" t="str">
        <x:v>equals</x:v>
      </x:c>
      <x:c r="H677" t="str">
        <x:f>IF(E677=F677,"PASS","FAIL")</x:f>
        <x:v>PASS</x:v>
      </x:c>
    </x:row>
    <x:row r="678">
      <x:c r="B678" t="str">
        <x:v>A-00646</x:v>
      </x:c>
      <x:c r="C678" t="str">
        <x:v>GATE</x:v>
      </x:c>
      <x:c r="D678" t="str">
        <x:v>release state mirrors governing ledger</x:v>
      </x:c>
      <x:c r="E678" t="str">
        <x:f>'Release Gates'!I652</x:f>
        <x:v>PASS</x:v>
      </x:c>
      <x:c r="F678" t="str">
        <x:f>IF('Release Gates'!C652="PLANNING","PASS",IF('Release Gates'!C652="PHYSICAL","OPEN","BLOCKED"))</x:f>
        <x:v>PASS</x:v>
      </x:c>
      <x:c r="G678" t="str">
        <x:v>equals</x:v>
      </x:c>
      <x:c r="H678" t="str">
        <x:f>IF(E678=F678,"PASS","FAIL")</x:f>
        <x:v>PASS</x:v>
      </x:c>
    </x:row>
    <x:row r="679">
      <x:c r="B679" t="str">
        <x:v>A-00647</x:v>
      </x:c>
      <x:c r="C679" t="str">
        <x:v>GATE</x:v>
      </x:c>
      <x:c r="D679" t="str">
        <x:v>release state mirrors governing ledger</x:v>
      </x:c>
      <x:c r="E679" t="str">
        <x:f>'Release Gates'!I653</x:f>
        <x:v>PASS</x:v>
      </x:c>
      <x:c r="F679" t="str">
        <x:f>IF('Release Gates'!C653="PLANNING","PASS",IF('Release Gates'!C653="PHYSICAL","OPEN","BLOCKED"))</x:f>
        <x:v>PASS</x:v>
      </x:c>
      <x:c r="G679" t="str">
        <x:v>equals</x:v>
      </x:c>
      <x:c r="H679" t="str">
        <x:f>IF(E679=F679,"PASS","FAIL")</x:f>
        <x:v>PASS</x:v>
      </x:c>
    </x:row>
    <x:row r="680">
      <x:c r="B680" t="str">
        <x:v>A-00648</x:v>
      </x:c>
      <x:c r="C680" t="str">
        <x:v>GATE</x:v>
      </x:c>
      <x:c r="D680" t="str">
        <x:v>release state mirrors governing ledger</x:v>
      </x:c>
      <x:c r="E680" t="str">
        <x:f>'Release Gates'!I654</x:f>
        <x:v>PASS</x:v>
      </x:c>
      <x:c r="F680" t="str">
        <x:f>IF('Release Gates'!C654="PLANNING","PASS",IF('Release Gates'!C654="PHYSICAL","OPEN","BLOCKED"))</x:f>
        <x:v>PASS</x:v>
      </x:c>
      <x:c r="G680" t="str">
        <x:v>equals</x:v>
      </x:c>
      <x:c r="H680" t="str">
        <x:f>IF(E680=F680,"PASS","FAIL")</x:f>
        <x:v>PASS</x:v>
      </x:c>
    </x:row>
    <x:row r="681">
      <x:c r="B681" t="str">
        <x:v>A-00649</x:v>
      </x:c>
      <x:c r="C681" t="str">
        <x:v>GATE</x:v>
      </x:c>
      <x:c r="D681" t="str">
        <x:v>release state mirrors governing ledger</x:v>
      </x:c>
      <x:c r="E681" t="str">
        <x:f>'Release Gates'!I655</x:f>
        <x:v>PASS</x:v>
      </x:c>
      <x:c r="F681" t="str">
        <x:f>IF('Release Gates'!C655="PLANNING","PASS",IF('Release Gates'!C655="PHYSICAL","OPEN","BLOCKED"))</x:f>
        <x:v>PASS</x:v>
      </x:c>
      <x:c r="G681" t="str">
        <x:v>equals</x:v>
      </x:c>
      <x:c r="H681" t="str">
        <x:f>IF(E681=F681,"PASS","FAIL")</x:f>
        <x:v>PASS</x:v>
      </x:c>
    </x:row>
    <x:row r="682">
      <x:c r="B682" t="str">
        <x:v>A-00650</x:v>
      </x:c>
      <x:c r="C682" t="str">
        <x:v>GATE</x:v>
      </x:c>
      <x:c r="D682" t="str">
        <x:v>release state mirrors governing ledger</x:v>
      </x:c>
      <x:c r="E682" t="str">
        <x:f>'Release Gates'!I656</x:f>
        <x:v>PASS</x:v>
      </x:c>
      <x:c r="F682" t="str">
        <x:f>IF('Release Gates'!C656="PLANNING","PASS",IF('Release Gates'!C656="PHYSICAL","OPEN","BLOCKED"))</x:f>
        <x:v>PASS</x:v>
      </x:c>
      <x:c r="G682" t="str">
        <x:v>equals</x:v>
      </x:c>
      <x:c r="H682" t="str">
        <x:f>IF(E682=F682,"PASS","FAIL")</x:f>
        <x:v>PASS</x:v>
      </x:c>
    </x:row>
    <x:row r="683">
      <x:c r="B683" t="str">
        <x:v>A-00651</x:v>
      </x:c>
      <x:c r="C683" t="str">
        <x:v>GATE</x:v>
      </x:c>
      <x:c r="D683" t="str">
        <x:v>release state mirrors governing ledger</x:v>
      </x:c>
      <x:c r="E683" t="str">
        <x:f>'Release Gates'!I657</x:f>
        <x:v>PASS</x:v>
      </x:c>
      <x:c r="F683" t="str">
        <x:f>IF('Release Gates'!C657="PLANNING","PASS",IF('Release Gates'!C657="PHYSICAL","OPEN","BLOCKED"))</x:f>
        <x:v>PASS</x:v>
      </x:c>
      <x:c r="G683" t="str">
        <x:v>equals</x:v>
      </x:c>
      <x:c r="H683" t="str">
        <x:f>IF(E683=F683,"PASS","FAIL")</x:f>
        <x:v>PASS</x:v>
      </x:c>
    </x:row>
    <x:row r="684">
      <x:c r="B684" t="str">
        <x:v>A-00652</x:v>
      </x:c>
      <x:c r="C684" t="str">
        <x:v>GATE</x:v>
      </x:c>
      <x:c r="D684" t="str">
        <x:v>release state mirrors governing ledger</x:v>
      </x:c>
      <x:c r="E684" t="str">
        <x:f>'Release Gates'!I658</x:f>
        <x:v>PASS</x:v>
      </x:c>
      <x:c r="F684" t="str">
        <x:f>IF('Release Gates'!C658="PLANNING","PASS",IF('Release Gates'!C658="PHYSICAL","OPEN","BLOCKED"))</x:f>
        <x:v>PASS</x:v>
      </x:c>
      <x:c r="G684" t="str">
        <x:v>equals</x:v>
      </x:c>
      <x:c r="H684" t="str">
        <x:f>IF(E684=F684,"PASS","FAIL")</x:f>
        <x:v>PASS</x:v>
      </x:c>
    </x:row>
    <x:row r="685">
      <x:c r="B685" t="str">
        <x:v>A-00653</x:v>
      </x:c>
      <x:c r="C685" t="str">
        <x:v>GATE</x:v>
      </x:c>
      <x:c r="D685" t="str">
        <x:v>release state mirrors governing ledger</x:v>
      </x:c>
      <x:c r="E685" t="str">
        <x:f>'Release Gates'!I659</x:f>
        <x:v>PASS</x:v>
      </x:c>
      <x:c r="F685" t="str">
        <x:f>IF('Release Gates'!C659="PLANNING","PASS",IF('Release Gates'!C659="PHYSICAL","OPEN","BLOCKED"))</x:f>
        <x:v>PASS</x:v>
      </x:c>
      <x:c r="G685" t="str">
        <x:v>equals</x:v>
      </x:c>
      <x:c r="H685" t="str">
        <x:f>IF(E685=F685,"PASS","FAIL")</x:f>
        <x:v>PASS</x:v>
      </x:c>
    </x:row>
    <x:row r="686">
      <x:c r="B686" t="str">
        <x:v>A-00654</x:v>
      </x:c>
      <x:c r="C686" t="str">
        <x:v>GATE</x:v>
      </x:c>
      <x:c r="D686" t="str">
        <x:v>release state mirrors governing ledger</x:v>
      </x:c>
      <x:c r="E686" t="str">
        <x:f>'Release Gates'!I660</x:f>
        <x:v>PASS</x:v>
      </x:c>
      <x:c r="F686" t="str">
        <x:f>IF('Release Gates'!C660="PLANNING","PASS",IF('Release Gates'!C660="PHYSICAL","OPEN","BLOCKED"))</x:f>
        <x:v>PASS</x:v>
      </x:c>
      <x:c r="G686" t="str">
        <x:v>equals</x:v>
      </x:c>
      <x:c r="H686" t="str">
        <x:f>IF(E686=F686,"PASS","FAIL")</x:f>
        <x:v>PASS</x:v>
      </x:c>
    </x:row>
    <x:row r="687">
      <x:c r="B687" t="str">
        <x:v>A-00655</x:v>
      </x:c>
      <x:c r="C687" t="str">
        <x:v>GATE</x:v>
      </x:c>
      <x:c r="D687" t="str">
        <x:v>release state mirrors governing ledger</x:v>
      </x:c>
      <x:c r="E687" t="str">
        <x:f>'Release Gates'!I661</x:f>
        <x:v>PASS</x:v>
      </x:c>
      <x:c r="F687" t="str">
        <x:f>IF('Release Gates'!C661="PLANNING","PASS",IF('Release Gates'!C661="PHYSICAL","OPEN","BLOCKED"))</x:f>
        <x:v>PASS</x:v>
      </x:c>
      <x:c r="G687" t="str">
        <x:v>equals</x:v>
      </x:c>
      <x:c r="H687" t="str">
        <x:f>IF(E687=F687,"PASS","FAIL")</x:f>
        <x:v>PASS</x:v>
      </x:c>
    </x:row>
    <x:row r="688">
      <x:c r="B688" t="str">
        <x:v>A-00656</x:v>
      </x:c>
      <x:c r="C688" t="str">
        <x:v>GATE</x:v>
      </x:c>
      <x:c r="D688" t="str">
        <x:v>release state mirrors governing ledger</x:v>
      </x:c>
      <x:c r="E688" t="str">
        <x:f>'Release Gates'!I662</x:f>
        <x:v>PASS</x:v>
      </x:c>
      <x:c r="F688" t="str">
        <x:f>IF('Release Gates'!C662="PLANNING","PASS",IF('Release Gates'!C662="PHYSICAL","OPEN","BLOCKED"))</x:f>
        <x:v>PASS</x:v>
      </x:c>
      <x:c r="G688" t="str">
        <x:v>equals</x:v>
      </x:c>
      <x:c r="H688" t="str">
        <x:f>IF(E688=F688,"PASS","FAIL")</x:f>
        <x:v>PASS</x:v>
      </x:c>
    </x:row>
    <x:row r="689">
      <x:c r="B689" t="str">
        <x:v>A-00657</x:v>
      </x:c>
      <x:c r="C689" t="str">
        <x:v>GATE</x:v>
      </x:c>
      <x:c r="D689" t="str">
        <x:v>release state mirrors governing ledger</x:v>
      </x:c>
      <x:c r="E689" t="str">
        <x:f>'Release Gates'!I663</x:f>
        <x:v>PASS</x:v>
      </x:c>
      <x:c r="F689" t="str">
        <x:f>IF('Release Gates'!C663="PLANNING","PASS",IF('Release Gates'!C663="PHYSICAL","OPEN","BLOCKED"))</x:f>
        <x:v>PASS</x:v>
      </x:c>
      <x:c r="G689" t="str">
        <x:v>equals</x:v>
      </x:c>
      <x:c r="H689" t="str">
        <x:f>IF(E689=F689,"PASS","FAIL")</x:f>
        <x:v>PASS</x:v>
      </x:c>
    </x:row>
    <x:row r="690">
      <x:c r="B690" t="str">
        <x:v>A-00658</x:v>
      </x:c>
      <x:c r="C690" t="str">
        <x:v>GATE</x:v>
      </x:c>
      <x:c r="D690" t="str">
        <x:v>release state mirrors governing ledger</x:v>
      </x:c>
      <x:c r="E690" t="str">
        <x:f>'Release Gates'!I664</x:f>
        <x:v>PASS</x:v>
      </x:c>
      <x:c r="F690" t="str">
        <x:f>IF('Release Gates'!C664="PLANNING","PASS",IF('Release Gates'!C664="PHYSICAL","OPEN","BLOCKED"))</x:f>
        <x:v>PASS</x:v>
      </x:c>
      <x:c r="G690" t="str">
        <x:v>equals</x:v>
      </x:c>
      <x:c r="H690" t="str">
        <x:f>IF(E690=F690,"PASS","FAIL")</x:f>
        <x:v>PASS</x:v>
      </x:c>
    </x:row>
    <x:row r="691">
      <x:c r="B691" t="str">
        <x:v>A-00659</x:v>
      </x:c>
      <x:c r="C691" t="str">
        <x:v>GATE</x:v>
      </x:c>
      <x:c r="D691" t="str">
        <x:v>release state mirrors governing ledger</x:v>
      </x:c>
      <x:c r="E691" t="str">
        <x:f>'Release Gates'!I665</x:f>
        <x:v>PASS</x:v>
      </x:c>
      <x:c r="F691" t="str">
        <x:f>IF('Release Gates'!C665="PLANNING","PASS",IF('Release Gates'!C665="PHYSICAL","OPEN","BLOCKED"))</x:f>
        <x:v>PASS</x:v>
      </x:c>
      <x:c r="G691" t="str">
        <x:v>equals</x:v>
      </x:c>
      <x:c r="H691" t="str">
        <x:f>IF(E691=F691,"PASS","FAIL")</x:f>
        <x:v>PASS</x:v>
      </x:c>
    </x:row>
    <x:row r="692">
      <x:c r="B692" t="str">
        <x:v>A-00660</x:v>
      </x:c>
      <x:c r="C692" t="str">
        <x:v>GATE</x:v>
      </x:c>
      <x:c r="D692" t="str">
        <x:v>release state mirrors governing ledger</x:v>
      </x:c>
      <x:c r="E692" t="str">
        <x:f>'Release Gates'!I666</x:f>
        <x:v>PASS</x:v>
      </x:c>
      <x:c r="F692" t="str">
        <x:f>IF('Release Gates'!C666="PLANNING","PASS",IF('Release Gates'!C666="PHYSICAL","OPEN","BLOCKED"))</x:f>
        <x:v>PASS</x:v>
      </x:c>
      <x:c r="G692" t="str">
        <x:v>equals</x:v>
      </x:c>
      <x:c r="H692" t="str">
        <x:f>IF(E692=F692,"PASS","FAIL")</x:f>
        <x:v>PASS</x:v>
      </x:c>
    </x:row>
    <x:row r="693">
      <x:c r="B693" t="str">
        <x:v>A-00661</x:v>
      </x:c>
      <x:c r="C693" t="str">
        <x:v>GATE</x:v>
      </x:c>
      <x:c r="D693" t="str">
        <x:v>release state mirrors governing ledger</x:v>
      </x:c>
      <x:c r="E693" t="str">
        <x:f>'Release Gates'!I667</x:f>
        <x:v>PASS</x:v>
      </x:c>
      <x:c r="F693" t="str">
        <x:f>IF('Release Gates'!C667="PLANNING","PASS",IF('Release Gates'!C667="PHYSICAL","OPEN","BLOCKED"))</x:f>
        <x:v>PASS</x:v>
      </x:c>
      <x:c r="G693" t="str">
        <x:v>equals</x:v>
      </x:c>
      <x:c r="H693" t="str">
        <x:f>IF(E693=F693,"PASS","FAIL")</x:f>
        <x:v>PASS</x:v>
      </x:c>
    </x:row>
    <x:row r="694">
      <x:c r="B694" t="str">
        <x:v>A-00662</x:v>
      </x:c>
      <x:c r="C694" t="str">
        <x:v>GATE</x:v>
      </x:c>
      <x:c r="D694" t="str">
        <x:v>release state mirrors governing ledger</x:v>
      </x:c>
      <x:c r="E694" t="str">
        <x:f>'Release Gates'!I668</x:f>
        <x:v>PASS</x:v>
      </x:c>
      <x:c r="F694" t="str">
        <x:f>IF('Release Gates'!C668="PLANNING","PASS",IF('Release Gates'!C668="PHYSICAL","OPEN","BLOCKED"))</x:f>
        <x:v>PASS</x:v>
      </x:c>
      <x:c r="G694" t="str">
        <x:v>equals</x:v>
      </x:c>
      <x:c r="H694" t="str">
        <x:f>IF(E694=F694,"PASS","FAIL")</x:f>
        <x:v>PASS</x:v>
      </x:c>
    </x:row>
    <x:row r="695">
      <x:c r="B695" t="str">
        <x:v>A-00663</x:v>
      </x:c>
      <x:c r="C695" t="str">
        <x:v>GATE</x:v>
      </x:c>
      <x:c r="D695" t="str">
        <x:v>release state mirrors governing ledger</x:v>
      </x:c>
      <x:c r="E695" t="str">
        <x:f>'Release Gates'!I669</x:f>
        <x:v>PASS</x:v>
      </x:c>
      <x:c r="F695" t="str">
        <x:f>IF('Release Gates'!C669="PLANNING","PASS",IF('Release Gates'!C669="PHYSICAL","OPEN","BLOCKED"))</x:f>
        <x:v>PASS</x:v>
      </x:c>
      <x:c r="G695" t="str">
        <x:v>equals</x:v>
      </x:c>
      <x:c r="H695" t="str">
        <x:f>IF(E695=F695,"PASS","FAIL")</x:f>
        <x:v>PASS</x:v>
      </x:c>
    </x:row>
    <x:row r="696">
      <x:c r="B696" t="str">
        <x:v>A-00664</x:v>
      </x:c>
      <x:c r="C696" t="str">
        <x:v>GATE</x:v>
      </x:c>
      <x:c r="D696" t="str">
        <x:v>release state mirrors governing ledger</x:v>
      </x:c>
      <x:c r="E696" t="str">
        <x:f>'Release Gates'!I670</x:f>
        <x:v>PASS</x:v>
      </x:c>
      <x:c r="F696" t="str">
        <x:f>IF('Release Gates'!C670="PLANNING","PASS",IF('Release Gates'!C670="PHYSICAL","OPEN","BLOCKED"))</x:f>
        <x:v>PASS</x:v>
      </x:c>
      <x:c r="G696" t="str">
        <x:v>equals</x:v>
      </x:c>
      <x:c r="H696" t="str">
        <x:f>IF(E696=F696,"PASS","FAIL")</x:f>
        <x:v>PASS</x:v>
      </x:c>
    </x:row>
    <x:row r="697">
      <x:c r="B697" t="str">
        <x:v>A-00665</x:v>
      </x:c>
      <x:c r="C697" t="str">
        <x:v>GATE</x:v>
      </x:c>
      <x:c r="D697" t="str">
        <x:v>release state mirrors governing ledger</x:v>
      </x:c>
      <x:c r="E697" t="str">
        <x:f>'Release Gates'!I671</x:f>
        <x:v>PASS</x:v>
      </x:c>
      <x:c r="F697" t="str">
        <x:f>IF('Release Gates'!C671="PLANNING","PASS",IF('Release Gates'!C671="PHYSICAL","OPEN","BLOCKED"))</x:f>
        <x:v>PASS</x:v>
      </x:c>
      <x:c r="G697" t="str">
        <x:v>equals</x:v>
      </x:c>
      <x:c r="H697" t="str">
        <x:f>IF(E697=F697,"PASS","FAIL")</x:f>
        <x:v>PASS</x:v>
      </x:c>
    </x:row>
    <x:row r="698">
      <x:c r="B698" t="str">
        <x:v>A-00666</x:v>
      </x:c>
      <x:c r="C698" t="str">
        <x:v>GATE</x:v>
      </x:c>
      <x:c r="D698" t="str">
        <x:v>release state mirrors governing ledger</x:v>
      </x:c>
      <x:c r="E698" t="str">
        <x:f>'Release Gates'!I672</x:f>
        <x:v>PASS</x:v>
      </x:c>
      <x:c r="F698" t="str">
        <x:f>IF('Release Gates'!C672="PLANNING","PASS",IF('Release Gates'!C672="PHYSICAL","OPEN","BLOCKED"))</x:f>
        <x:v>PASS</x:v>
      </x:c>
      <x:c r="G698" t="str">
        <x:v>equals</x:v>
      </x:c>
      <x:c r="H698" t="str">
        <x:f>IF(E698=F698,"PASS","FAIL")</x:f>
        <x:v>PASS</x:v>
      </x:c>
    </x:row>
    <x:row r="699">
      <x:c r="B699" t="str">
        <x:v>A-00667</x:v>
      </x:c>
      <x:c r="C699" t="str">
        <x:v>GATE</x:v>
      </x:c>
      <x:c r="D699" t="str">
        <x:v>release state mirrors governing ledger</x:v>
      </x:c>
      <x:c r="E699" t="str">
        <x:f>'Release Gates'!I673</x:f>
        <x:v>PASS</x:v>
      </x:c>
      <x:c r="F699" t="str">
        <x:f>IF('Release Gates'!C673="PLANNING","PASS",IF('Release Gates'!C673="PHYSICAL","OPEN","BLOCKED"))</x:f>
        <x:v>PASS</x:v>
      </x:c>
      <x:c r="G699" t="str">
        <x:v>equals</x:v>
      </x:c>
      <x:c r="H699" t="str">
        <x:f>IF(E699=F699,"PASS","FAIL")</x:f>
        <x:v>PASS</x:v>
      </x:c>
    </x:row>
    <x:row r="700">
      <x:c r="B700" t="str">
        <x:v>A-00668</x:v>
      </x:c>
      <x:c r="C700" t="str">
        <x:v>GATE</x:v>
      </x:c>
      <x:c r="D700" t="str">
        <x:v>release state mirrors governing ledger</x:v>
      </x:c>
      <x:c r="E700" t="str">
        <x:f>'Release Gates'!I674</x:f>
        <x:v>PASS</x:v>
      </x:c>
      <x:c r="F700" t="str">
        <x:f>IF('Release Gates'!C674="PLANNING","PASS",IF('Release Gates'!C674="PHYSICAL","OPEN","BLOCKED"))</x:f>
        <x:v>PASS</x:v>
      </x:c>
      <x:c r="G700" t="str">
        <x:v>equals</x:v>
      </x:c>
      <x:c r="H700" t="str">
        <x:f>IF(E700=F700,"PASS","FAIL")</x:f>
        <x:v>PASS</x:v>
      </x:c>
    </x:row>
    <x:row r="701">
      <x:c r="B701" t="str">
        <x:v>A-00669</x:v>
      </x:c>
      <x:c r="C701" t="str">
        <x:v>GATE</x:v>
      </x:c>
      <x:c r="D701" t="str">
        <x:v>release state mirrors governing ledger</x:v>
      </x:c>
      <x:c r="E701" t="str">
        <x:f>'Release Gates'!I675</x:f>
        <x:v>PASS</x:v>
      </x:c>
      <x:c r="F701" t="str">
        <x:f>IF('Release Gates'!C675="PLANNING","PASS",IF('Release Gates'!C675="PHYSICAL","OPEN","BLOCKED"))</x:f>
        <x:v>PASS</x:v>
      </x:c>
      <x:c r="G701" t="str">
        <x:v>equals</x:v>
      </x:c>
      <x:c r="H701" t="str">
        <x:f>IF(E701=F701,"PASS","FAIL")</x:f>
        <x:v>PASS</x:v>
      </x:c>
    </x:row>
    <x:row r="702">
      <x:c r="B702" t="str">
        <x:v>A-00670</x:v>
      </x:c>
      <x:c r="C702" t="str">
        <x:v>GATE</x:v>
      </x:c>
      <x:c r="D702" t="str">
        <x:v>release state mirrors governing ledger</x:v>
      </x:c>
      <x:c r="E702" t="str">
        <x:f>'Release Gates'!I676</x:f>
        <x:v>PASS</x:v>
      </x:c>
      <x:c r="F702" t="str">
        <x:f>IF('Release Gates'!C676="PLANNING","PASS",IF('Release Gates'!C676="PHYSICAL","OPEN","BLOCKED"))</x:f>
        <x:v>PASS</x:v>
      </x:c>
      <x:c r="G702" t="str">
        <x:v>equals</x:v>
      </x:c>
      <x:c r="H702" t="str">
        <x:f>IF(E702=F702,"PASS","FAIL")</x:f>
        <x:v>PASS</x:v>
      </x:c>
    </x:row>
    <x:row r="703">
      <x:c r="B703" t="str">
        <x:v>A-00671</x:v>
      </x:c>
      <x:c r="C703" t="str">
        <x:v>GATE</x:v>
      </x:c>
      <x:c r="D703" t="str">
        <x:v>release state mirrors governing ledger</x:v>
      </x:c>
      <x:c r="E703" t="str">
        <x:f>'Release Gates'!I677</x:f>
        <x:v>PASS</x:v>
      </x:c>
      <x:c r="F703" t="str">
        <x:f>IF('Release Gates'!C677="PLANNING","PASS",IF('Release Gates'!C677="PHYSICAL","OPEN","BLOCKED"))</x:f>
        <x:v>PASS</x:v>
      </x:c>
      <x:c r="G703" t="str">
        <x:v>equals</x:v>
      </x:c>
      <x:c r="H703" t="str">
        <x:f>IF(E703=F703,"PASS","FAIL")</x:f>
        <x:v>PASS</x:v>
      </x:c>
    </x:row>
    <x:row r="704">
      <x:c r="B704" t="str">
        <x:v>A-00672</x:v>
      </x:c>
      <x:c r="C704" t="str">
        <x:v>GATE</x:v>
      </x:c>
      <x:c r="D704" t="str">
        <x:v>release state mirrors governing ledger</x:v>
      </x:c>
      <x:c r="E704" t="str">
        <x:f>'Release Gates'!I678</x:f>
        <x:v>PASS</x:v>
      </x:c>
      <x:c r="F704" t="str">
        <x:f>IF('Release Gates'!C678="PLANNING","PASS",IF('Release Gates'!C678="PHYSICAL","OPEN","BLOCKED"))</x:f>
        <x:v>PASS</x:v>
      </x:c>
      <x:c r="G704" t="str">
        <x:v>equals</x:v>
      </x:c>
      <x:c r="H704" t="str">
        <x:f>IF(E704=F704,"PASS","FAIL")</x:f>
        <x:v>PASS</x:v>
      </x:c>
    </x:row>
    <x:row r="705">
      <x:c r="B705" t="str">
        <x:v>A-00673</x:v>
      </x:c>
      <x:c r="C705" t="str">
        <x:v>GATE</x:v>
      </x:c>
      <x:c r="D705" t="str">
        <x:v>release state mirrors governing ledger</x:v>
      </x:c>
      <x:c r="E705" t="str">
        <x:f>'Release Gates'!I679</x:f>
        <x:v>PASS</x:v>
      </x:c>
      <x:c r="F705" t="str">
        <x:f>IF('Release Gates'!C679="PLANNING","PASS",IF('Release Gates'!C679="PHYSICAL","OPEN","BLOCKED"))</x:f>
        <x:v>PASS</x:v>
      </x:c>
      <x:c r="G705" t="str">
        <x:v>equals</x:v>
      </x:c>
      <x:c r="H705" t="str">
        <x:f>IF(E705=F705,"PASS","FAIL")</x:f>
        <x:v>PASS</x:v>
      </x:c>
    </x:row>
    <x:row r="706">
      <x:c r="B706" t="str">
        <x:v>A-00674</x:v>
      </x:c>
      <x:c r="C706" t="str">
        <x:v>GATE</x:v>
      </x:c>
      <x:c r="D706" t="str">
        <x:v>release state mirrors governing ledger</x:v>
      </x:c>
      <x:c r="E706" t="str">
        <x:f>'Release Gates'!I680</x:f>
        <x:v>PASS</x:v>
      </x:c>
      <x:c r="F706" t="str">
        <x:f>IF('Release Gates'!C680="PLANNING","PASS",IF('Release Gates'!C680="PHYSICAL","OPEN","BLOCKED"))</x:f>
        <x:v>PASS</x:v>
      </x:c>
      <x:c r="G706" t="str">
        <x:v>equals</x:v>
      </x:c>
      <x:c r="H706" t="str">
        <x:f>IF(E706=F706,"PASS","FAIL")</x:f>
        <x:v>PASS</x:v>
      </x:c>
    </x:row>
    <x:row r="707">
      <x:c r="B707" t="str">
        <x:v>A-00675</x:v>
      </x:c>
      <x:c r="C707" t="str">
        <x:v>GATE</x:v>
      </x:c>
      <x:c r="D707" t="str">
        <x:v>release state mirrors governing ledger</x:v>
      </x:c>
      <x:c r="E707" t="str">
        <x:f>'Release Gates'!I681</x:f>
        <x:v>PASS</x:v>
      </x:c>
      <x:c r="F707" t="str">
        <x:f>IF('Release Gates'!C681="PLANNING","PASS",IF('Release Gates'!C681="PHYSICAL","OPEN","BLOCKED"))</x:f>
        <x:v>PASS</x:v>
      </x:c>
      <x:c r="G707" t="str">
        <x:v>equals</x:v>
      </x:c>
      <x:c r="H707" t="str">
        <x:f>IF(E707=F707,"PASS","FAIL")</x:f>
        <x:v>PASS</x:v>
      </x:c>
    </x:row>
    <x:row r="708">
      <x:c r="B708" t="str">
        <x:v>A-00676</x:v>
      </x:c>
      <x:c r="C708" t="str">
        <x:v>GATE</x:v>
      </x:c>
      <x:c r="D708" t="str">
        <x:v>release state mirrors governing ledger</x:v>
      </x:c>
      <x:c r="E708" t="str">
        <x:f>'Release Gates'!I682</x:f>
        <x:v>PASS</x:v>
      </x:c>
      <x:c r="F708" t="str">
        <x:f>IF('Release Gates'!C682="PLANNING","PASS",IF('Release Gates'!C682="PHYSICAL","OPEN","BLOCKED"))</x:f>
        <x:v>PASS</x:v>
      </x:c>
      <x:c r="G708" t="str">
        <x:v>equals</x:v>
      </x:c>
      <x:c r="H708" t="str">
        <x:f>IF(E708=F708,"PASS","FAIL")</x:f>
        <x:v>PASS</x:v>
      </x:c>
    </x:row>
    <x:row r="709">
      <x:c r="B709" t="str">
        <x:v>A-00677</x:v>
      </x:c>
      <x:c r="C709" t="str">
        <x:v>GATE</x:v>
      </x:c>
      <x:c r="D709" t="str">
        <x:v>release state mirrors governing ledger</x:v>
      </x:c>
      <x:c r="E709" t="str">
        <x:f>'Release Gates'!I683</x:f>
        <x:v>PASS</x:v>
      </x:c>
      <x:c r="F709" t="str">
        <x:f>IF('Release Gates'!C683="PLANNING","PASS",IF('Release Gates'!C683="PHYSICAL","OPEN","BLOCKED"))</x:f>
        <x:v>PASS</x:v>
      </x:c>
      <x:c r="G709" t="str">
        <x:v>equals</x:v>
      </x:c>
      <x:c r="H709" t="str">
        <x:f>IF(E709=F709,"PASS","FAIL")</x:f>
        <x:v>PASS</x:v>
      </x:c>
    </x:row>
    <x:row r="710">
      <x:c r="B710" t="str">
        <x:v>A-00678</x:v>
      </x:c>
      <x:c r="C710" t="str">
        <x:v>GATE</x:v>
      </x:c>
      <x:c r="D710" t="str">
        <x:v>release state mirrors governing ledger</x:v>
      </x:c>
      <x:c r="E710" t="str">
        <x:f>'Release Gates'!I684</x:f>
        <x:v>PASS</x:v>
      </x:c>
      <x:c r="F710" t="str">
        <x:f>IF('Release Gates'!C684="PLANNING","PASS",IF('Release Gates'!C684="PHYSICAL","OPEN","BLOCKED"))</x:f>
        <x:v>PASS</x:v>
      </x:c>
      <x:c r="G710" t="str">
        <x:v>equals</x:v>
      </x:c>
      <x:c r="H710" t="str">
        <x:f>IF(E710=F710,"PASS","FAIL")</x:f>
        <x:v>PASS</x:v>
      </x:c>
    </x:row>
    <x:row r="711">
      <x:c r="B711" t="str">
        <x:v>A-00679</x:v>
      </x:c>
      <x:c r="C711" t="str">
        <x:v>GATE</x:v>
      </x:c>
      <x:c r="D711" t="str">
        <x:v>release state mirrors governing ledger</x:v>
      </x:c>
      <x:c r="E711" t="str">
        <x:f>'Release Gates'!I685</x:f>
        <x:v>PASS</x:v>
      </x:c>
      <x:c r="F711" t="str">
        <x:f>IF('Release Gates'!C685="PLANNING","PASS",IF('Release Gates'!C685="PHYSICAL","OPEN","BLOCKED"))</x:f>
        <x:v>PASS</x:v>
      </x:c>
      <x:c r="G711" t="str">
        <x:v>equals</x:v>
      </x:c>
      <x:c r="H711" t="str">
        <x:f>IF(E711=F711,"PASS","FAIL")</x:f>
        <x:v>PASS</x:v>
      </x:c>
    </x:row>
    <x:row r="712">
      <x:c r="B712" t="str">
        <x:v>A-00680</x:v>
      </x:c>
      <x:c r="C712" t="str">
        <x:v>GATE</x:v>
      </x:c>
      <x:c r="D712" t="str">
        <x:v>release state mirrors governing ledger</x:v>
      </x:c>
      <x:c r="E712" t="str">
        <x:f>'Release Gates'!I686</x:f>
        <x:v>PASS</x:v>
      </x:c>
      <x:c r="F712" t="str">
        <x:f>IF('Release Gates'!C686="PLANNING","PASS",IF('Release Gates'!C686="PHYSICAL","OPEN","BLOCKED"))</x:f>
        <x:v>PASS</x:v>
      </x:c>
      <x:c r="G712" t="str">
        <x:v>equals</x:v>
      </x:c>
      <x:c r="H712" t="str">
        <x:f>IF(E712=F712,"PASS","FAIL")</x:f>
        <x:v>PASS</x:v>
      </x:c>
    </x:row>
    <x:row r="713">
      <x:c r="B713" t="str">
        <x:v>A-00681</x:v>
      </x:c>
      <x:c r="C713" t="str">
        <x:v>GATE</x:v>
      </x:c>
      <x:c r="D713" t="str">
        <x:v>release state mirrors governing ledger</x:v>
      </x:c>
      <x:c r="E713" t="str">
        <x:f>'Release Gates'!I687</x:f>
        <x:v>PASS</x:v>
      </x:c>
      <x:c r="F713" t="str">
        <x:f>IF('Release Gates'!C687="PLANNING","PASS",IF('Release Gates'!C687="PHYSICAL","OPEN","BLOCKED"))</x:f>
        <x:v>PASS</x:v>
      </x:c>
      <x:c r="G713" t="str">
        <x:v>equals</x:v>
      </x:c>
      <x:c r="H713" t="str">
        <x:f>IF(E713=F713,"PASS","FAIL")</x:f>
        <x:v>PASS</x:v>
      </x:c>
    </x:row>
    <x:row r="714">
      <x:c r="B714" t="str">
        <x:v>A-00682</x:v>
      </x:c>
      <x:c r="C714" t="str">
        <x:v>GATE</x:v>
      </x:c>
      <x:c r="D714" t="str">
        <x:v>release state mirrors governing ledger</x:v>
      </x:c>
      <x:c r="E714" t="str">
        <x:f>'Release Gates'!I688</x:f>
        <x:v>PASS</x:v>
      </x:c>
      <x:c r="F714" t="str">
        <x:f>IF('Release Gates'!C688="PLANNING","PASS",IF('Release Gates'!C688="PHYSICAL","OPEN","BLOCKED"))</x:f>
        <x:v>PASS</x:v>
      </x:c>
      <x:c r="G714" t="str">
        <x:v>equals</x:v>
      </x:c>
      <x:c r="H714" t="str">
        <x:f>IF(E714=F714,"PASS","FAIL")</x:f>
        <x:v>PASS</x:v>
      </x:c>
    </x:row>
    <x:row r="715">
      <x:c r="B715" t="str">
        <x:v>A-00683</x:v>
      </x:c>
      <x:c r="C715" t="str">
        <x:v>GATE</x:v>
      </x:c>
      <x:c r="D715" t="str">
        <x:v>release state mirrors governing ledger</x:v>
      </x:c>
      <x:c r="E715" t="str">
        <x:f>'Release Gates'!I689</x:f>
        <x:v>PASS</x:v>
      </x:c>
      <x:c r="F715" t="str">
        <x:f>IF('Release Gates'!C689="PLANNING","PASS",IF('Release Gates'!C689="PHYSICAL","OPEN","BLOCKED"))</x:f>
        <x:v>PASS</x:v>
      </x:c>
      <x:c r="G715" t="str">
        <x:v>equals</x:v>
      </x:c>
      <x:c r="H715" t="str">
        <x:f>IF(E715=F715,"PASS","FAIL")</x:f>
        <x:v>PASS</x:v>
      </x:c>
    </x:row>
    <x:row r="716">
      <x:c r="B716" t="str">
        <x:v>A-00684</x:v>
      </x:c>
      <x:c r="C716" t="str">
        <x:v>GATE</x:v>
      </x:c>
      <x:c r="D716" t="str">
        <x:v>release state mirrors governing ledger</x:v>
      </x:c>
      <x:c r="E716" t="str">
        <x:f>'Release Gates'!I690</x:f>
        <x:v>PASS</x:v>
      </x:c>
      <x:c r="F716" t="str">
        <x:f>IF('Release Gates'!C690="PLANNING","PASS",IF('Release Gates'!C690="PHYSICAL","OPEN","BLOCKED"))</x:f>
        <x:v>PASS</x:v>
      </x:c>
      <x:c r="G716" t="str">
        <x:v>equals</x:v>
      </x:c>
      <x:c r="H716" t="str">
        <x:f>IF(E716=F716,"PASS","FAIL")</x:f>
        <x:v>PASS</x:v>
      </x:c>
    </x:row>
    <x:row r="717">
      <x:c r="B717" t="str">
        <x:v>A-00685</x:v>
      </x:c>
      <x:c r="C717" t="str">
        <x:v>GATE</x:v>
      </x:c>
      <x:c r="D717" t="str">
        <x:v>release state mirrors governing ledger</x:v>
      </x:c>
      <x:c r="E717" t="str">
        <x:f>'Release Gates'!I691</x:f>
        <x:v>PASS</x:v>
      </x:c>
      <x:c r="F717" t="str">
        <x:f>IF('Release Gates'!C691="PLANNING","PASS",IF('Release Gates'!C691="PHYSICAL","OPEN","BLOCKED"))</x:f>
        <x:v>PASS</x:v>
      </x:c>
      <x:c r="G717" t="str">
        <x:v>equals</x:v>
      </x:c>
      <x:c r="H717" t="str">
        <x:f>IF(E717=F717,"PASS","FAIL")</x:f>
        <x:v>PASS</x:v>
      </x:c>
    </x:row>
    <x:row r="718">
      <x:c r="B718" t="str">
        <x:v>A-00686</x:v>
      </x:c>
      <x:c r="C718" t="str">
        <x:v>GATE</x:v>
      </x:c>
      <x:c r="D718" t="str">
        <x:v>release state mirrors governing ledger</x:v>
      </x:c>
      <x:c r="E718" t="str">
        <x:f>'Release Gates'!I692</x:f>
        <x:v>PASS</x:v>
      </x:c>
      <x:c r="F718" t="str">
        <x:f>IF('Release Gates'!C692="PLANNING","PASS",IF('Release Gates'!C692="PHYSICAL","OPEN","BLOCKED"))</x:f>
        <x:v>PASS</x:v>
      </x:c>
      <x:c r="G718" t="str">
        <x:v>equals</x:v>
      </x:c>
      <x:c r="H718" t="str">
        <x:f>IF(E718=F718,"PASS","FAIL")</x:f>
        <x:v>PASS</x:v>
      </x:c>
    </x:row>
    <x:row r="719">
      <x:c r="B719" t="str">
        <x:v>A-00687</x:v>
      </x:c>
      <x:c r="C719" t="str">
        <x:v>GATE</x:v>
      </x:c>
      <x:c r="D719" t="str">
        <x:v>release state mirrors governing ledger</x:v>
      </x:c>
      <x:c r="E719" t="str">
        <x:f>'Release Gates'!I693</x:f>
        <x:v>PASS</x:v>
      </x:c>
      <x:c r="F719" t="str">
        <x:f>IF('Release Gates'!C693="PLANNING","PASS",IF('Release Gates'!C693="PHYSICAL","OPEN","BLOCKED"))</x:f>
        <x:v>PASS</x:v>
      </x:c>
      <x:c r="G719" t="str">
        <x:v>equals</x:v>
      </x:c>
      <x:c r="H719" t="str">
        <x:f>IF(E719=F719,"PASS","FAIL")</x:f>
        <x:v>PASS</x:v>
      </x:c>
    </x:row>
    <x:row r="720">
      <x:c r="B720" t="str">
        <x:v>A-00688</x:v>
      </x:c>
      <x:c r="C720" t="str">
        <x:v>GATE</x:v>
      </x:c>
      <x:c r="D720" t="str">
        <x:v>release state mirrors governing ledger</x:v>
      </x:c>
      <x:c r="E720" t="str">
        <x:f>'Release Gates'!I694</x:f>
        <x:v>PASS</x:v>
      </x:c>
      <x:c r="F720" t="str">
        <x:f>IF('Release Gates'!C694="PLANNING","PASS",IF('Release Gates'!C694="PHYSICAL","OPEN","BLOCKED"))</x:f>
        <x:v>PASS</x:v>
      </x:c>
      <x:c r="G720" t="str">
        <x:v>equals</x:v>
      </x:c>
      <x:c r="H720" t="str">
        <x:f>IF(E720=F720,"PASS","FAIL")</x:f>
        <x:v>PASS</x:v>
      </x:c>
    </x:row>
    <x:row r="721">
      <x:c r="B721" t="str">
        <x:v>A-00689</x:v>
      </x:c>
      <x:c r="C721" t="str">
        <x:v>GATE</x:v>
      </x:c>
      <x:c r="D721" t="str">
        <x:v>release state mirrors governing ledger</x:v>
      </x:c>
      <x:c r="E721" t="str">
        <x:f>'Release Gates'!I695</x:f>
        <x:v>PASS</x:v>
      </x:c>
      <x:c r="F721" t="str">
        <x:f>IF('Release Gates'!C695="PLANNING","PASS",IF('Release Gates'!C695="PHYSICAL","OPEN","BLOCKED"))</x:f>
        <x:v>PASS</x:v>
      </x:c>
      <x:c r="G721" t="str">
        <x:v>equals</x:v>
      </x:c>
      <x:c r="H721" t="str">
        <x:f>IF(E721=F721,"PASS","FAIL")</x:f>
        <x:v>PASS</x:v>
      </x:c>
    </x:row>
    <x:row r="722">
      <x:c r="B722" t="str">
        <x:v>A-00690</x:v>
      </x:c>
      <x:c r="C722" t="str">
        <x:v>GATE</x:v>
      </x:c>
      <x:c r="D722" t="str">
        <x:v>release state mirrors governing ledger</x:v>
      </x:c>
      <x:c r="E722" t="str">
        <x:f>'Release Gates'!I696</x:f>
        <x:v>PASS</x:v>
      </x:c>
      <x:c r="F722" t="str">
        <x:f>IF('Release Gates'!C696="PLANNING","PASS",IF('Release Gates'!C696="PHYSICAL","OPEN","BLOCKED"))</x:f>
        <x:v>PASS</x:v>
      </x:c>
      <x:c r="G722" t="str">
        <x:v>equals</x:v>
      </x:c>
      <x:c r="H722" t="str">
        <x:f>IF(E722=F722,"PASS","FAIL")</x:f>
        <x:v>PASS</x:v>
      </x:c>
    </x:row>
    <x:row r="723">
      <x:c r="B723" t="str">
        <x:v>A-00691</x:v>
      </x:c>
      <x:c r="C723" t="str">
        <x:v>GATE</x:v>
      </x:c>
      <x:c r="D723" t="str">
        <x:v>release state mirrors governing ledger</x:v>
      </x:c>
      <x:c r="E723" t="str">
        <x:f>'Release Gates'!I697</x:f>
        <x:v>PASS</x:v>
      </x:c>
      <x:c r="F723" t="str">
        <x:f>IF('Release Gates'!C697="PLANNING","PASS",IF('Release Gates'!C697="PHYSICAL","OPEN","BLOCKED"))</x:f>
        <x:v>PASS</x:v>
      </x:c>
      <x:c r="G723" t="str">
        <x:v>equals</x:v>
      </x:c>
      <x:c r="H723" t="str">
        <x:f>IF(E723=F723,"PASS","FAIL")</x:f>
        <x:v>PASS</x:v>
      </x:c>
    </x:row>
    <x:row r="724">
      <x:c r="B724" t="str">
        <x:v>A-00692</x:v>
      </x:c>
      <x:c r="C724" t="str">
        <x:v>GATE</x:v>
      </x:c>
      <x:c r="D724" t="str">
        <x:v>release state mirrors governing ledger</x:v>
      </x:c>
      <x:c r="E724" t="str">
        <x:f>'Release Gates'!I698</x:f>
        <x:v>PASS</x:v>
      </x:c>
      <x:c r="F724" t="str">
        <x:f>IF('Release Gates'!C698="PLANNING","PASS",IF('Release Gates'!C698="PHYSICAL","OPEN","BLOCKED"))</x:f>
        <x:v>PASS</x:v>
      </x:c>
      <x:c r="G724" t="str">
        <x:v>equals</x:v>
      </x:c>
      <x:c r="H724" t="str">
        <x:f>IF(E724=F724,"PASS","FAIL")</x:f>
        <x:v>PASS</x:v>
      </x:c>
    </x:row>
    <x:row r="725">
      <x:c r="B725" t="str">
        <x:v>A-00693</x:v>
      </x:c>
      <x:c r="C725" t="str">
        <x:v>GATE</x:v>
      </x:c>
      <x:c r="D725" t="str">
        <x:v>release state mirrors governing ledger</x:v>
      </x:c>
      <x:c r="E725" t="str">
        <x:f>'Release Gates'!I699</x:f>
        <x:v>PASS</x:v>
      </x:c>
      <x:c r="F725" t="str">
        <x:f>IF('Release Gates'!C699="PLANNING","PASS",IF('Release Gates'!C699="PHYSICAL","OPEN","BLOCKED"))</x:f>
        <x:v>PASS</x:v>
      </x:c>
      <x:c r="G725" t="str">
        <x:v>equals</x:v>
      </x:c>
      <x:c r="H725" t="str">
        <x:f>IF(E725=F725,"PASS","FAIL")</x:f>
        <x:v>PASS</x:v>
      </x:c>
    </x:row>
    <x:row r="726">
      <x:c r="B726" t="str">
        <x:v>A-00694</x:v>
      </x:c>
      <x:c r="C726" t="str">
        <x:v>GATE</x:v>
      </x:c>
      <x:c r="D726" t="str">
        <x:v>release state mirrors governing ledger</x:v>
      </x:c>
      <x:c r="E726" t="str">
        <x:f>'Release Gates'!I700</x:f>
        <x:v>PASS</x:v>
      </x:c>
      <x:c r="F726" t="str">
        <x:f>IF('Release Gates'!C700="PLANNING","PASS",IF('Release Gates'!C700="PHYSICAL","OPEN","BLOCKED"))</x:f>
        <x:v>PASS</x:v>
      </x:c>
      <x:c r="G726" t="str">
        <x:v>equals</x:v>
      </x:c>
      <x:c r="H726" t="str">
        <x:f>IF(E726=F726,"PASS","FAIL")</x:f>
        <x:v>PASS</x:v>
      </x:c>
    </x:row>
    <x:row r="727">
      <x:c r="B727" t="str">
        <x:v>A-00695</x:v>
      </x:c>
      <x:c r="C727" t="str">
        <x:v>GATE</x:v>
      </x:c>
      <x:c r="D727" t="str">
        <x:v>release state mirrors governing ledger</x:v>
      </x:c>
      <x:c r="E727" t="str">
        <x:f>'Release Gates'!I701</x:f>
        <x:v>PASS</x:v>
      </x:c>
      <x:c r="F727" t="str">
        <x:f>IF('Release Gates'!C701="PLANNING","PASS",IF('Release Gates'!C701="PHYSICAL","OPEN","BLOCKED"))</x:f>
        <x:v>PASS</x:v>
      </x:c>
      <x:c r="G727" t="str">
        <x:v>equals</x:v>
      </x:c>
      <x:c r="H727" t="str">
        <x:f>IF(E727=F727,"PASS","FAIL")</x:f>
        <x:v>PASS</x:v>
      </x:c>
    </x:row>
    <x:row r="728">
      <x:c r="B728" t="str">
        <x:v>A-00696</x:v>
      </x:c>
      <x:c r="C728" t="str">
        <x:v>GATE</x:v>
      </x:c>
      <x:c r="D728" t="str">
        <x:v>release state mirrors governing ledger</x:v>
      </x:c>
      <x:c r="E728" t="str">
        <x:f>'Release Gates'!I702</x:f>
        <x:v>PASS</x:v>
      </x:c>
      <x:c r="F728" t="str">
        <x:f>IF('Release Gates'!C702="PLANNING","PASS",IF('Release Gates'!C702="PHYSICAL","OPEN","BLOCKED"))</x:f>
        <x:v>PASS</x:v>
      </x:c>
      <x:c r="G728" t="str">
        <x:v>equals</x:v>
      </x:c>
      <x:c r="H728" t="str">
        <x:f>IF(E728=F728,"PASS","FAIL")</x:f>
        <x:v>PASS</x:v>
      </x:c>
    </x:row>
    <x:row r="729">
      <x:c r="B729" t="str">
        <x:v>A-00697</x:v>
      </x:c>
      <x:c r="C729" t="str">
        <x:v>GATE</x:v>
      </x:c>
      <x:c r="D729" t="str">
        <x:v>release state mirrors governing ledger</x:v>
      </x:c>
      <x:c r="E729" t="str">
        <x:f>'Release Gates'!I703</x:f>
        <x:v>PASS</x:v>
      </x:c>
      <x:c r="F729" t="str">
        <x:f>IF('Release Gates'!C703="PLANNING","PASS",IF('Release Gates'!C703="PHYSICAL","OPEN","BLOCKED"))</x:f>
        <x:v>PASS</x:v>
      </x:c>
      <x:c r="G729" t="str">
        <x:v>equals</x:v>
      </x:c>
      <x:c r="H729" t="str">
        <x:f>IF(E729=F729,"PASS","FAIL")</x:f>
        <x:v>PASS</x:v>
      </x:c>
    </x:row>
    <x:row r="730">
      <x:c r="B730" t="str">
        <x:v>A-00698</x:v>
      </x:c>
      <x:c r="C730" t="str">
        <x:v>GATE</x:v>
      </x:c>
      <x:c r="D730" t="str">
        <x:v>release state mirrors governing ledger</x:v>
      </x:c>
      <x:c r="E730" t="str">
        <x:f>'Release Gates'!I704</x:f>
        <x:v>PASS</x:v>
      </x:c>
      <x:c r="F730" t="str">
        <x:f>IF('Release Gates'!C704="PLANNING","PASS",IF('Release Gates'!C704="PHYSICAL","OPEN","BLOCKED"))</x:f>
        <x:v>PASS</x:v>
      </x:c>
      <x:c r="G730" t="str">
        <x:v>equals</x:v>
      </x:c>
      <x:c r="H730" t="str">
        <x:f>IF(E730=F730,"PASS","FAIL")</x:f>
        <x:v>PASS</x:v>
      </x:c>
    </x:row>
    <x:row r="731">
      <x:c r="B731" t="str">
        <x:v>A-00699</x:v>
      </x:c>
      <x:c r="C731" t="str">
        <x:v>GATE</x:v>
      </x:c>
      <x:c r="D731" t="str">
        <x:v>release state mirrors governing ledger</x:v>
      </x:c>
      <x:c r="E731" t="str">
        <x:f>'Release Gates'!I705</x:f>
        <x:v>PASS</x:v>
      </x:c>
      <x:c r="F731" t="str">
        <x:f>IF('Release Gates'!C705="PLANNING","PASS",IF('Release Gates'!C705="PHYSICAL","OPEN","BLOCKED"))</x:f>
        <x:v>PASS</x:v>
      </x:c>
      <x:c r="G731" t="str">
        <x:v>equals</x:v>
      </x:c>
      <x:c r="H731" t="str">
        <x:f>IF(E731=F731,"PASS","FAIL")</x:f>
        <x:v>PASS</x:v>
      </x:c>
    </x:row>
    <x:row r="732">
      <x:c r="B732" t="str">
        <x:v>A-00700</x:v>
      </x:c>
      <x:c r="C732" t="str">
        <x:v>GATE</x:v>
      </x:c>
      <x:c r="D732" t="str">
        <x:v>release state mirrors governing ledger</x:v>
      </x:c>
      <x:c r="E732" t="str">
        <x:f>'Release Gates'!I706</x:f>
        <x:v>PASS</x:v>
      </x:c>
      <x:c r="F732" t="str">
        <x:f>IF('Release Gates'!C706="PLANNING","PASS",IF('Release Gates'!C706="PHYSICAL","OPEN","BLOCKED"))</x:f>
        <x:v>PASS</x:v>
      </x:c>
      <x:c r="G732" t="str">
        <x:v>equals</x:v>
      </x:c>
      <x:c r="H732" t="str">
        <x:f>IF(E732=F732,"PASS","FAIL")</x:f>
        <x:v>PASS</x:v>
      </x:c>
    </x:row>
    <x:row r="733">
      <x:c r="B733" t="str">
        <x:v>A-00701</x:v>
      </x:c>
      <x:c r="C733" t="str">
        <x:v>GATE</x:v>
      </x:c>
      <x:c r="D733" t="str">
        <x:v>release state mirrors governing ledger</x:v>
      </x:c>
      <x:c r="E733" t="str">
        <x:f>'Release Gates'!I707</x:f>
        <x:v>PASS</x:v>
      </x:c>
      <x:c r="F733" t="str">
        <x:f>IF('Release Gates'!C707="PLANNING","PASS",IF('Release Gates'!C707="PHYSICAL","OPEN","BLOCKED"))</x:f>
        <x:v>PASS</x:v>
      </x:c>
      <x:c r="G733" t="str">
        <x:v>equals</x:v>
      </x:c>
      <x:c r="H733" t="str">
        <x:f>IF(E733=F733,"PASS","FAIL")</x:f>
        <x:v>PASS</x:v>
      </x:c>
    </x:row>
    <x:row r="734">
      <x:c r="B734" t="str">
        <x:v>A-00702</x:v>
      </x:c>
      <x:c r="C734" t="str">
        <x:v>GATE</x:v>
      </x:c>
      <x:c r="D734" t="str">
        <x:v>release state mirrors governing ledger</x:v>
      </x:c>
      <x:c r="E734" t="str">
        <x:f>'Release Gates'!I708</x:f>
        <x:v>PASS</x:v>
      </x:c>
      <x:c r="F734" t="str">
        <x:f>IF('Release Gates'!C708="PLANNING","PASS",IF('Release Gates'!C708="PHYSICAL","OPEN","BLOCKED"))</x:f>
        <x:v>PASS</x:v>
      </x:c>
      <x:c r="G734" t="str">
        <x:v>equals</x:v>
      </x:c>
      <x:c r="H734" t="str">
        <x:f>IF(E734=F734,"PASS","FAIL")</x:f>
        <x:v>PASS</x:v>
      </x:c>
    </x:row>
    <x:row r="735">
      <x:c r="B735" t="str">
        <x:v>A-00703</x:v>
      </x:c>
      <x:c r="C735" t="str">
        <x:v>GATE</x:v>
      </x:c>
      <x:c r="D735" t="str">
        <x:v>release state mirrors governing ledger</x:v>
      </x:c>
      <x:c r="E735" t="str">
        <x:f>'Release Gates'!I709</x:f>
        <x:v>PASS</x:v>
      </x:c>
      <x:c r="F735" t="str">
        <x:f>IF('Release Gates'!C709="PLANNING","PASS",IF('Release Gates'!C709="PHYSICAL","OPEN","BLOCKED"))</x:f>
        <x:v>PASS</x:v>
      </x:c>
      <x:c r="G735" t="str">
        <x:v>equals</x:v>
      </x:c>
      <x:c r="H735" t="str">
        <x:f>IF(E735=F735,"PASS","FAIL")</x:f>
        <x:v>PASS</x:v>
      </x:c>
    </x:row>
    <x:row r="736">
      <x:c r="B736" t="str">
        <x:v>A-00704</x:v>
      </x:c>
      <x:c r="C736" t="str">
        <x:v>GATE</x:v>
      </x:c>
      <x:c r="D736" t="str">
        <x:v>release state mirrors governing ledger</x:v>
      </x:c>
      <x:c r="E736" t="str">
        <x:f>'Release Gates'!I710</x:f>
        <x:v>PASS</x:v>
      </x:c>
      <x:c r="F736" t="str">
        <x:f>IF('Release Gates'!C710="PLANNING","PASS",IF('Release Gates'!C710="PHYSICAL","OPEN","BLOCKED"))</x:f>
        <x:v>PASS</x:v>
      </x:c>
      <x:c r="G736" t="str">
        <x:v>equals</x:v>
      </x:c>
      <x:c r="H736" t="str">
        <x:f>IF(E736=F736,"PASS","FAIL")</x:f>
        <x:v>PASS</x:v>
      </x:c>
    </x:row>
    <x:row r="737">
      <x:c r="B737" t="str">
        <x:v>A-00705</x:v>
      </x:c>
      <x:c r="C737" t="str">
        <x:v>GATE</x:v>
      </x:c>
      <x:c r="D737" t="str">
        <x:v>release state mirrors governing ledger</x:v>
      </x:c>
      <x:c r="E737" t="str">
        <x:f>'Release Gates'!I711</x:f>
        <x:v>PASS</x:v>
      </x:c>
      <x:c r="F737" t="str">
        <x:f>IF('Release Gates'!C711="PLANNING","PASS",IF('Release Gates'!C711="PHYSICAL","OPEN","BLOCKED"))</x:f>
        <x:v>PASS</x:v>
      </x:c>
      <x:c r="G737" t="str">
        <x:v>equals</x:v>
      </x:c>
      <x:c r="H737" t="str">
        <x:f>IF(E737=F737,"PASS","FAIL")</x:f>
        <x:v>PASS</x:v>
      </x:c>
    </x:row>
    <x:row r="738">
      <x:c r="B738" t="str">
        <x:v>A-00706</x:v>
      </x:c>
      <x:c r="C738" t="str">
        <x:v>GATE</x:v>
      </x:c>
      <x:c r="D738" t="str">
        <x:v>release state mirrors governing ledger</x:v>
      </x:c>
      <x:c r="E738" t="str">
        <x:f>'Release Gates'!I712</x:f>
        <x:v>PASS</x:v>
      </x:c>
      <x:c r="F738" t="str">
        <x:f>IF('Release Gates'!C712="PLANNING","PASS",IF('Release Gates'!C712="PHYSICAL","OPEN","BLOCKED"))</x:f>
        <x:v>PASS</x:v>
      </x:c>
      <x:c r="G738" t="str">
        <x:v>equals</x:v>
      </x:c>
      <x:c r="H738" t="str">
        <x:f>IF(E738=F738,"PASS","FAIL")</x:f>
        <x:v>PASS</x:v>
      </x:c>
    </x:row>
    <x:row r="739">
      <x:c r="B739" t="str">
        <x:v>A-00707</x:v>
      </x:c>
      <x:c r="C739" t="str">
        <x:v>GATE</x:v>
      </x:c>
      <x:c r="D739" t="str">
        <x:v>release state mirrors governing ledger</x:v>
      </x:c>
      <x:c r="E739" t="str">
        <x:f>'Release Gates'!I713</x:f>
        <x:v>PASS</x:v>
      </x:c>
      <x:c r="F739" t="str">
        <x:f>IF('Release Gates'!C713="PLANNING","PASS",IF('Release Gates'!C713="PHYSICAL","OPEN","BLOCKED"))</x:f>
        <x:v>PASS</x:v>
      </x:c>
      <x:c r="G739" t="str">
        <x:v>equals</x:v>
      </x:c>
      <x:c r="H739" t="str">
        <x:f>IF(E739=F739,"PASS","FAIL")</x:f>
        <x:v>PASS</x:v>
      </x:c>
    </x:row>
    <x:row r="740">
      <x:c r="B740" t="str">
        <x:v>A-00708</x:v>
      </x:c>
      <x:c r="C740" t="str">
        <x:v>GATE</x:v>
      </x:c>
      <x:c r="D740" t="str">
        <x:v>release state mirrors governing ledger</x:v>
      </x:c>
      <x:c r="E740" t="str">
        <x:f>'Release Gates'!I714</x:f>
        <x:v>PASS</x:v>
      </x:c>
      <x:c r="F740" t="str">
        <x:f>IF('Release Gates'!C714="PLANNING","PASS",IF('Release Gates'!C714="PHYSICAL","OPEN","BLOCKED"))</x:f>
        <x:v>PASS</x:v>
      </x:c>
      <x:c r="G740" t="str">
        <x:v>equals</x:v>
      </x:c>
      <x:c r="H740" t="str">
        <x:f>IF(E740=F740,"PASS","FAIL")</x:f>
        <x:v>PASS</x:v>
      </x:c>
    </x:row>
    <x:row r="741">
      <x:c r="B741" t="str">
        <x:v>A-00709</x:v>
      </x:c>
      <x:c r="C741" t="str">
        <x:v>GATE</x:v>
      </x:c>
      <x:c r="D741" t="str">
        <x:v>release state mirrors governing ledger</x:v>
      </x:c>
      <x:c r="E741" t="str">
        <x:f>'Release Gates'!I715</x:f>
        <x:v>PASS</x:v>
      </x:c>
      <x:c r="F741" t="str">
        <x:f>IF('Release Gates'!C715="PLANNING","PASS",IF('Release Gates'!C715="PHYSICAL","OPEN","BLOCKED"))</x:f>
        <x:v>PASS</x:v>
      </x:c>
      <x:c r="G741" t="str">
        <x:v>equals</x:v>
      </x:c>
      <x:c r="H741" t="str">
        <x:f>IF(E741=F741,"PASS","FAIL")</x:f>
        <x:v>PASS</x:v>
      </x:c>
    </x:row>
    <x:row r="742">
      <x:c r="B742" t="str">
        <x:v>A-00710</x:v>
      </x:c>
      <x:c r="C742" t="str">
        <x:v>GATE</x:v>
      </x:c>
      <x:c r="D742" t="str">
        <x:v>release state mirrors governing ledger</x:v>
      </x:c>
      <x:c r="E742" t="str">
        <x:f>'Release Gates'!I716</x:f>
        <x:v>PASS</x:v>
      </x:c>
      <x:c r="F742" t="str">
        <x:f>IF('Release Gates'!C716="PLANNING","PASS",IF('Release Gates'!C716="PHYSICAL","OPEN","BLOCKED"))</x:f>
        <x:v>PASS</x:v>
      </x:c>
      <x:c r="G742" t="str">
        <x:v>equals</x:v>
      </x:c>
      <x:c r="H742" t="str">
        <x:f>IF(E742=F742,"PASS","FAIL")</x:f>
        <x:v>PASS</x:v>
      </x:c>
    </x:row>
    <x:row r="743">
      <x:c r="B743" t="str">
        <x:v>A-00711</x:v>
      </x:c>
      <x:c r="C743" t="str">
        <x:v>GATE</x:v>
      </x:c>
      <x:c r="D743" t="str">
        <x:v>release state mirrors governing ledger</x:v>
      </x:c>
      <x:c r="E743" t="str">
        <x:f>'Release Gates'!I717</x:f>
        <x:v>PASS</x:v>
      </x:c>
      <x:c r="F743" t="str">
        <x:f>IF('Release Gates'!C717="PLANNING","PASS",IF('Release Gates'!C717="PHYSICAL","OPEN","BLOCKED"))</x:f>
        <x:v>PASS</x:v>
      </x:c>
      <x:c r="G743" t="str">
        <x:v>equals</x:v>
      </x:c>
      <x:c r="H743" t="str">
        <x:f>IF(E743=F743,"PASS","FAIL")</x:f>
        <x:v>PASS</x:v>
      </x:c>
    </x:row>
    <x:row r="744">
      <x:c r="B744" t="str">
        <x:v>A-00712</x:v>
      </x:c>
      <x:c r="C744" t="str">
        <x:v>GATE</x:v>
      </x:c>
      <x:c r="D744" t="str">
        <x:v>release state mirrors governing ledger</x:v>
      </x:c>
      <x:c r="E744" t="str">
        <x:f>'Release Gates'!I718</x:f>
        <x:v>PASS</x:v>
      </x:c>
      <x:c r="F744" t="str">
        <x:f>IF('Release Gates'!C718="PLANNING","PASS",IF('Release Gates'!C718="PHYSICAL","OPEN","BLOCKED"))</x:f>
        <x:v>PASS</x:v>
      </x:c>
      <x:c r="G744" t="str">
        <x:v>equals</x:v>
      </x:c>
      <x:c r="H744" t="str">
        <x:f>IF(E744=F744,"PASS","FAIL")</x:f>
        <x:v>PASS</x:v>
      </x:c>
    </x:row>
    <x:row r="745">
      <x:c r="B745" t="str">
        <x:v>A-00713</x:v>
      </x:c>
      <x:c r="C745" t="str">
        <x:v>GATE</x:v>
      </x:c>
      <x:c r="D745" t="str">
        <x:v>release state mirrors governing ledger</x:v>
      </x:c>
      <x:c r="E745" t="str">
        <x:f>'Release Gates'!I719</x:f>
        <x:v>PASS</x:v>
      </x:c>
      <x:c r="F745" t="str">
        <x:f>IF('Release Gates'!C719="PLANNING","PASS",IF('Release Gates'!C719="PHYSICAL","OPEN","BLOCKED"))</x:f>
        <x:v>PASS</x:v>
      </x:c>
      <x:c r="G745" t="str">
        <x:v>equals</x:v>
      </x:c>
      <x:c r="H745" t="str">
        <x:f>IF(E745=F745,"PASS","FAIL")</x:f>
        <x:v>PASS</x:v>
      </x:c>
    </x:row>
    <x:row r="746">
      <x:c r="B746" t="str">
        <x:v>A-00714</x:v>
      </x:c>
      <x:c r="C746" t="str">
        <x:v>GATE</x:v>
      </x:c>
      <x:c r="D746" t="str">
        <x:v>release state mirrors governing ledger</x:v>
      </x:c>
      <x:c r="E746" t="str">
        <x:f>'Release Gates'!I720</x:f>
        <x:v>PASS</x:v>
      </x:c>
      <x:c r="F746" t="str">
        <x:f>IF('Release Gates'!C720="PLANNING","PASS",IF('Release Gates'!C720="PHYSICAL","OPEN","BLOCKED"))</x:f>
        <x:v>PASS</x:v>
      </x:c>
      <x:c r="G746" t="str">
        <x:v>equals</x:v>
      </x:c>
      <x:c r="H746" t="str">
        <x:f>IF(E746=F746,"PASS","FAIL")</x:f>
        <x:v>PASS</x:v>
      </x:c>
    </x:row>
    <x:row r="747">
      <x:c r="B747" t="str">
        <x:v>A-00715</x:v>
      </x:c>
      <x:c r="C747" t="str">
        <x:v>GATE</x:v>
      </x:c>
      <x:c r="D747" t="str">
        <x:v>release state mirrors governing ledger</x:v>
      </x:c>
      <x:c r="E747" t="str">
        <x:f>'Release Gates'!I721</x:f>
        <x:v>PASS</x:v>
      </x:c>
      <x:c r="F747" t="str">
        <x:f>IF('Release Gates'!C721="PLANNING","PASS",IF('Release Gates'!C721="PHYSICAL","OPEN","BLOCKED"))</x:f>
        <x:v>PASS</x:v>
      </x:c>
      <x:c r="G747" t="str">
        <x:v>equals</x:v>
      </x:c>
      <x:c r="H747" t="str">
        <x:f>IF(E747=F747,"PASS","FAIL")</x:f>
        <x:v>PASS</x:v>
      </x:c>
    </x:row>
    <x:row r="748">
      <x:c r="B748" t="str">
        <x:v>A-00716</x:v>
      </x:c>
      <x:c r="C748" t="str">
        <x:v>GATE</x:v>
      </x:c>
      <x:c r="D748" t="str">
        <x:v>release state mirrors governing ledger</x:v>
      </x:c>
      <x:c r="E748" t="str">
        <x:f>'Release Gates'!I722</x:f>
        <x:v>PASS</x:v>
      </x:c>
      <x:c r="F748" t="str">
        <x:f>IF('Release Gates'!C722="PLANNING","PASS",IF('Release Gates'!C722="PHYSICAL","OPEN","BLOCKED"))</x:f>
        <x:v>PASS</x:v>
      </x:c>
      <x:c r="G748" t="str">
        <x:v>equals</x:v>
      </x:c>
      <x:c r="H748" t="str">
        <x:f>IF(E748=F748,"PASS","FAIL")</x:f>
        <x:v>PASS</x:v>
      </x:c>
    </x:row>
    <x:row r="749">
      <x:c r="B749" t="str">
        <x:v>A-00717</x:v>
      </x:c>
      <x:c r="C749" t="str">
        <x:v>GATE</x:v>
      </x:c>
      <x:c r="D749" t="str">
        <x:v>release state mirrors governing ledger</x:v>
      </x:c>
      <x:c r="E749" t="str">
        <x:f>'Release Gates'!I723</x:f>
        <x:v>PASS</x:v>
      </x:c>
      <x:c r="F749" t="str">
        <x:f>IF('Release Gates'!C723="PLANNING","PASS",IF('Release Gates'!C723="PHYSICAL","OPEN","BLOCKED"))</x:f>
        <x:v>PASS</x:v>
      </x:c>
      <x:c r="G749" t="str">
        <x:v>equals</x:v>
      </x:c>
      <x:c r="H749" t="str">
        <x:f>IF(E749=F749,"PASS","FAIL")</x:f>
        <x:v>PASS</x:v>
      </x:c>
    </x:row>
    <x:row r="750">
      <x:c r="B750" t="str">
        <x:v>A-00718</x:v>
      </x:c>
      <x:c r="C750" t="str">
        <x:v>GATE</x:v>
      </x:c>
      <x:c r="D750" t="str">
        <x:v>release state mirrors governing ledger</x:v>
      </x:c>
      <x:c r="E750" t="str">
        <x:f>'Release Gates'!I724</x:f>
        <x:v>PASS</x:v>
      </x:c>
      <x:c r="F750" t="str">
        <x:f>IF('Release Gates'!C724="PLANNING","PASS",IF('Release Gates'!C724="PHYSICAL","OPEN","BLOCKED"))</x:f>
        <x:v>PASS</x:v>
      </x:c>
      <x:c r="G750" t="str">
        <x:v>equals</x:v>
      </x:c>
      <x:c r="H750" t="str">
        <x:f>IF(E750=F750,"PASS","FAIL")</x:f>
        <x:v>PASS</x:v>
      </x:c>
    </x:row>
    <x:row r="751">
      <x:c r="B751" t="str">
        <x:v>A-00719</x:v>
      </x:c>
      <x:c r="C751" t="str">
        <x:v>GATE</x:v>
      </x:c>
      <x:c r="D751" t="str">
        <x:v>release state mirrors governing ledger</x:v>
      </x:c>
      <x:c r="E751" t="str">
        <x:f>'Release Gates'!I725</x:f>
        <x:v>PASS</x:v>
      </x:c>
      <x:c r="F751" t="str">
        <x:f>IF('Release Gates'!C725="PLANNING","PASS",IF('Release Gates'!C725="PHYSICAL","OPEN","BLOCKED"))</x:f>
        <x:v>PASS</x:v>
      </x:c>
      <x:c r="G751" t="str">
        <x:v>equals</x:v>
      </x:c>
      <x:c r="H751" t="str">
        <x:f>IF(E751=F751,"PASS","FAIL")</x:f>
        <x:v>PASS</x:v>
      </x:c>
    </x:row>
    <x:row r="752">
      <x:c r="B752" t="str">
        <x:v>A-00720</x:v>
      </x:c>
      <x:c r="C752" t="str">
        <x:v>GATE</x:v>
      </x:c>
      <x:c r="D752" t="str">
        <x:v>release state mirrors governing ledger</x:v>
      </x:c>
      <x:c r="E752" t="str">
        <x:f>'Release Gates'!I726</x:f>
        <x:v>PASS</x:v>
      </x:c>
      <x:c r="F752" t="str">
        <x:f>IF('Release Gates'!C726="PLANNING","PASS",IF('Release Gates'!C726="PHYSICAL","OPEN","BLOCKED"))</x:f>
        <x:v>PASS</x:v>
      </x:c>
      <x:c r="G752" t="str">
        <x:v>equals</x:v>
      </x:c>
      <x:c r="H752" t="str">
        <x:f>IF(E752=F752,"PASS","FAIL")</x:f>
        <x:v>PASS</x:v>
      </x:c>
    </x:row>
    <x:row r="753">
      <x:c r="B753" t="str">
        <x:v>A-00721</x:v>
      </x:c>
      <x:c r="C753" t="str">
        <x:v>GATE</x:v>
      </x:c>
      <x:c r="D753" t="str">
        <x:v>release state mirrors governing ledger</x:v>
      </x:c>
      <x:c r="E753" t="str">
        <x:f>'Release Gates'!I727</x:f>
        <x:v>PASS</x:v>
      </x:c>
      <x:c r="F753" t="str">
        <x:f>IF('Release Gates'!C727="PLANNING","PASS",IF('Release Gates'!C727="PHYSICAL","OPEN","BLOCKED"))</x:f>
        <x:v>PASS</x:v>
      </x:c>
      <x:c r="G753" t="str">
        <x:v>equals</x:v>
      </x:c>
      <x:c r="H753" t="str">
        <x:f>IF(E753=F753,"PASS","FAIL")</x:f>
        <x:v>PASS</x:v>
      </x:c>
    </x:row>
    <x:row r="754">
      <x:c r="B754" t="str">
        <x:v>A-00722</x:v>
      </x:c>
      <x:c r="C754" t="str">
        <x:v>GATE</x:v>
      </x:c>
      <x:c r="D754" t="str">
        <x:v>release state mirrors governing ledger</x:v>
      </x:c>
      <x:c r="E754" t="str">
        <x:f>'Release Gates'!I728</x:f>
        <x:v>PASS</x:v>
      </x:c>
      <x:c r="F754" t="str">
        <x:f>IF('Release Gates'!C728="PLANNING","PASS",IF('Release Gates'!C728="PHYSICAL","OPEN","BLOCKED"))</x:f>
        <x:v>PASS</x:v>
      </x:c>
      <x:c r="G754" t="str">
        <x:v>equals</x:v>
      </x:c>
      <x:c r="H754" t="str">
        <x:f>IF(E754=F754,"PASS","FAIL")</x:f>
        <x:v>PASS</x:v>
      </x:c>
    </x:row>
    <x:row r="755">
      <x:c r="B755" t="str">
        <x:v>A-00723</x:v>
      </x:c>
      <x:c r="C755" t="str">
        <x:v>GATE</x:v>
      </x:c>
      <x:c r="D755" t="str">
        <x:v>release state mirrors governing ledger</x:v>
      </x:c>
      <x:c r="E755" t="str">
        <x:f>'Release Gates'!I729</x:f>
        <x:v>PASS</x:v>
      </x:c>
      <x:c r="F755" t="str">
        <x:f>IF('Release Gates'!C729="PLANNING","PASS",IF('Release Gates'!C729="PHYSICAL","OPEN","BLOCKED"))</x:f>
        <x:v>PASS</x:v>
      </x:c>
      <x:c r="G755" t="str">
        <x:v>equals</x:v>
      </x:c>
      <x:c r="H755" t="str">
        <x:f>IF(E755=F755,"PASS","FAIL")</x:f>
        <x:v>PASS</x:v>
      </x:c>
    </x:row>
    <x:row r="756">
      <x:c r="B756" t="str">
        <x:v>A-00724</x:v>
      </x:c>
      <x:c r="C756" t="str">
        <x:v>GATE</x:v>
      </x:c>
      <x:c r="D756" t="str">
        <x:v>release state mirrors governing ledger</x:v>
      </x:c>
      <x:c r="E756" t="str">
        <x:f>'Release Gates'!I730</x:f>
        <x:v>PASS</x:v>
      </x:c>
      <x:c r="F756" t="str">
        <x:f>IF('Release Gates'!C730="PLANNING","PASS",IF('Release Gates'!C730="PHYSICAL","OPEN","BLOCKED"))</x:f>
        <x:v>PASS</x:v>
      </x:c>
      <x:c r="G756" t="str">
        <x:v>equals</x:v>
      </x:c>
      <x:c r="H756" t="str">
        <x:f>IF(E756=F756,"PASS","FAIL")</x:f>
        <x:v>PASS</x:v>
      </x:c>
    </x:row>
    <x:row r="757">
      <x:c r="B757" t="str">
        <x:v>A-00725</x:v>
      </x:c>
      <x:c r="C757" t="str">
        <x:v>GATE</x:v>
      </x:c>
      <x:c r="D757" t="str">
        <x:v>release state mirrors governing ledger</x:v>
      </x:c>
      <x:c r="E757" t="str">
        <x:f>'Release Gates'!I731</x:f>
        <x:v>PASS</x:v>
      </x:c>
      <x:c r="F757" t="str">
        <x:f>IF('Release Gates'!C731="PLANNING","PASS",IF('Release Gates'!C731="PHYSICAL","OPEN","BLOCKED"))</x:f>
        <x:v>PASS</x:v>
      </x:c>
      <x:c r="G757" t="str">
        <x:v>equals</x:v>
      </x:c>
      <x:c r="H757" t="str">
        <x:f>IF(E757=F757,"PASS","FAIL")</x:f>
        <x:v>PASS</x:v>
      </x:c>
    </x:row>
    <x:row r="758">
      <x:c r="B758" t="str">
        <x:v>A-00726</x:v>
      </x:c>
      <x:c r="C758" t="str">
        <x:v>GATE</x:v>
      </x:c>
      <x:c r="D758" t="str">
        <x:v>release state mirrors governing ledger</x:v>
      </x:c>
      <x:c r="E758" t="str">
        <x:f>'Release Gates'!I732</x:f>
        <x:v>PASS</x:v>
      </x:c>
      <x:c r="F758" t="str">
        <x:f>IF('Release Gates'!C732="PLANNING","PASS",IF('Release Gates'!C732="PHYSICAL","OPEN","BLOCKED"))</x:f>
        <x:v>PASS</x:v>
      </x:c>
      <x:c r="G758" t="str">
        <x:v>equals</x:v>
      </x:c>
      <x:c r="H758" t="str">
        <x:f>IF(E758=F758,"PASS","FAIL")</x:f>
        <x:v>PASS</x:v>
      </x:c>
    </x:row>
    <x:row r="759">
      <x:c r="B759" t="str">
        <x:v>A-00727</x:v>
      </x:c>
      <x:c r="C759" t="str">
        <x:v>GATE</x:v>
      </x:c>
      <x:c r="D759" t="str">
        <x:v>release state mirrors governing ledger</x:v>
      </x:c>
      <x:c r="E759" t="str">
        <x:f>'Release Gates'!I733</x:f>
        <x:v>PASS</x:v>
      </x:c>
      <x:c r="F759" t="str">
        <x:f>IF('Release Gates'!C733="PLANNING","PASS",IF('Release Gates'!C733="PHYSICAL","OPEN","BLOCKED"))</x:f>
        <x:v>PASS</x:v>
      </x:c>
      <x:c r="G759" t="str">
        <x:v>equals</x:v>
      </x:c>
      <x:c r="H759" t="str">
        <x:f>IF(E759=F759,"PASS","FAIL")</x:f>
        <x:v>PASS</x:v>
      </x:c>
    </x:row>
    <x:row r="760">
      <x:c r="B760" t="str">
        <x:v>A-00728</x:v>
      </x:c>
      <x:c r="C760" t="str">
        <x:v>GATE</x:v>
      </x:c>
      <x:c r="D760" t="str">
        <x:v>release state mirrors governing ledger</x:v>
      </x:c>
      <x:c r="E760" t="str">
        <x:f>'Release Gates'!I734</x:f>
        <x:v>PASS</x:v>
      </x:c>
      <x:c r="F760" t="str">
        <x:f>IF('Release Gates'!C734="PLANNING","PASS",IF('Release Gates'!C734="PHYSICAL","OPEN","BLOCKED"))</x:f>
        <x:v>PASS</x:v>
      </x:c>
      <x:c r="G760" t="str">
        <x:v>equals</x:v>
      </x:c>
      <x:c r="H760" t="str">
        <x:f>IF(E760=F760,"PASS","FAIL")</x:f>
        <x:v>PASS</x:v>
      </x:c>
    </x:row>
    <x:row r="761">
      <x:c r="B761" t="str">
        <x:v>A-00729</x:v>
      </x:c>
      <x:c r="C761" t="str">
        <x:v>GATE</x:v>
      </x:c>
      <x:c r="D761" t="str">
        <x:v>release state mirrors governing ledger</x:v>
      </x:c>
      <x:c r="E761" t="str">
        <x:f>'Release Gates'!I735</x:f>
        <x:v>PASS</x:v>
      </x:c>
      <x:c r="F761" t="str">
        <x:f>IF('Release Gates'!C735="PLANNING","PASS",IF('Release Gates'!C735="PHYSICAL","OPEN","BLOCKED"))</x:f>
        <x:v>PASS</x:v>
      </x:c>
      <x:c r="G761" t="str">
        <x:v>equals</x:v>
      </x:c>
      <x:c r="H761" t="str">
        <x:f>IF(E761=F761,"PASS","FAIL")</x:f>
        <x:v>PASS</x:v>
      </x:c>
    </x:row>
    <x:row r="762">
      <x:c r="B762" t="str">
        <x:v>A-00730</x:v>
      </x:c>
      <x:c r="C762" t="str">
        <x:v>GATE</x:v>
      </x:c>
      <x:c r="D762" t="str">
        <x:v>release state mirrors governing ledger</x:v>
      </x:c>
      <x:c r="E762" t="str">
        <x:f>'Release Gates'!I736</x:f>
        <x:v>PASS</x:v>
      </x:c>
      <x:c r="F762" t="str">
        <x:f>IF('Release Gates'!C736="PLANNING","PASS",IF('Release Gates'!C736="PHYSICAL","OPEN","BLOCKED"))</x:f>
        <x:v>PASS</x:v>
      </x:c>
      <x:c r="G762" t="str">
        <x:v>equals</x:v>
      </x:c>
      <x:c r="H762" t="str">
        <x:f>IF(E762=F762,"PASS","FAIL")</x:f>
        <x:v>PASS</x:v>
      </x:c>
    </x:row>
    <x:row r="763">
      <x:c r="B763" t="str">
        <x:v>A-00731</x:v>
      </x:c>
      <x:c r="C763" t="str">
        <x:v>GATE</x:v>
      </x:c>
      <x:c r="D763" t="str">
        <x:v>release state mirrors governing ledger</x:v>
      </x:c>
      <x:c r="E763" t="str">
        <x:f>'Release Gates'!I737</x:f>
        <x:v>PASS</x:v>
      </x:c>
      <x:c r="F763" t="str">
        <x:f>IF('Release Gates'!C737="PLANNING","PASS",IF('Release Gates'!C737="PHYSICAL","OPEN","BLOCKED"))</x:f>
        <x:v>PASS</x:v>
      </x:c>
      <x:c r="G763" t="str">
        <x:v>equals</x:v>
      </x:c>
      <x:c r="H763" t="str">
        <x:f>IF(E763=F763,"PASS","FAIL")</x:f>
        <x:v>PASS</x:v>
      </x:c>
    </x:row>
    <x:row r="764">
      <x:c r="B764" t="str">
        <x:v>A-00732</x:v>
      </x:c>
      <x:c r="C764" t="str">
        <x:v>GATE</x:v>
      </x:c>
      <x:c r="D764" t="str">
        <x:v>release state mirrors governing ledger</x:v>
      </x:c>
      <x:c r="E764" t="str">
        <x:f>'Release Gates'!I738</x:f>
        <x:v>PASS</x:v>
      </x:c>
      <x:c r="F764" t="str">
        <x:f>IF('Release Gates'!C738="PLANNING","PASS",IF('Release Gates'!C738="PHYSICAL","OPEN","BLOCKED"))</x:f>
        <x:v>PASS</x:v>
      </x:c>
      <x:c r="G764" t="str">
        <x:v>equals</x:v>
      </x:c>
      <x:c r="H764" t="str">
        <x:f>IF(E764=F764,"PASS","FAIL")</x:f>
        <x:v>PASS</x:v>
      </x:c>
    </x:row>
    <x:row r="765">
      <x:c r="B765" t="str">
        <x:v>A-00733</x:v>
      </x:c>
      <x:c r="C765" t="str">
        <x:v>GATE</x:v>
      </x:c>
      <x:c r="D765" t="str">
        <x:v>release state mirrors governing ledger</x:v>
      </x:c>
      <x:c r="E765" t="str">
        <x:f>'Release Gates'!I739</x:f>
        <x:v>PASS</x:v>
      </x:c>
      <x:c r="F765" t="str">
        <x:f>IF('Release Gates'!C739="PLANNING","PASS",IF('Release Gates'!C739="PHYSICAL","OPEN","BLOCKED"))</x:f>
        <x:v>PASS</x:v>
      </x:c>
      <x:c r="G765" t="str">
        <x:v>equals</x:v>
      </x:c>
      <x:c r="H765" t="str">
        <x:f>IF(E765=F765,"PASS","FAIL")</x:f>
        <x:v>PASS</x:v>
      </x:c>
    </x:row>
    <x:row r="766">
      <x:c r="B766" t="str">
        <x:v>A-00734</x:v>
      </x:c>
      <x:c r="C766" t="str">
        <x:v>GATE</x:v>
      </x:c>
      <x:c r="D766" t="str">
        <x:v>release state mirrors governing ledger</x:v>
      </x:c>
      <x:c r="E766" t="str">
        <x:f>'Release Gates'!I740</x:f>
        <x:v>PASS</x:v>
      </x:c>
      <x:c r="F766" t="str">
        <x:f>IF('Release Gates'!C740="PLANNING","PASS",IF('Release Gates'!C740="PHYSICAL","OPEN","BLOCKED"))</x:f>
        <x:v>PASS</x:v>
      </x:c>
      <x:c r="G766" t="str">
        <x:v>equals</x:v>
      </x:c>
      <x:c r="H766" t="str">
        <x:f>IF(E766=F766,"PASS","FAIL")</x:f>
        <x:v>PASS</x:v>
      </x:c>
    </x:row>
    <x:row r="767">
      <x:c r="B767" t="str">
        <x:v>A-00735</x:v>
      </x:c>
      <x:c r="C767" t="str">
        <x:v>GATE</x:v>
      </x:c>
      <x:c r="D767" t="str">
        <x:v>release state mirrors governing ledger</x:v>
      </x:c>
      <x:c r="E767" t="str">
        <x:f>'Release Gates'!I741</x:f>
        <x:v>PASS</x:v>
      </x:c>
      <x:c r="F767" t="str">
        <x:f>IF('Release Gates'!C741="PLANNING","PASS",IF('Release Gates'!C741="PHYSICAL","OPEN","BLOCKED"))</x:f>
        <x:v>PASS</x:v>
      </x:c>
      <x:c r="G767" t="str">
        <x:v>equals</x:v>
      </x:c>
      <x:c r="H767" t="str">
        <x:f>IF(E767=F767,"PASS","FAIL")</x:f>
        <x:v>PASS</x:v>
      </x:c>
    </x:row>
    <x:row r="768">
      <x:c r="B768" t="str">
        <x:v>A-00736</x:v>
      </x:c>
      <x:c r="C768" t="str">
        <x:v>GATE</x:v>
      </x:c>
      <x:c r="D768" t="str">
        <x:v>release state mirrors governing ledger</x:v>
      </x:c>
      <x:c r="E768" t="str">
        <x:f>'Release Gates'!I742</x:f>
        <x:v>PASS</x:v>
      </x:c>
      <x:c r="F768" t="str">
        <x:f>IF('Release Gates'!C742="PLANNING","PASS",IF('Release Gates'!C742="PHYSICAL","OPEN","BLOCKED"))</x:f>
        <x:v>PASS</x:v>
      </x:c>
      <x:c r="G768" t="str">
        <x:v>equals</x:v>
      </x:c>
      <x:c r="H768" t="str">
        <x:f>IF(E768=F768,"PASS","FAIL")</x:f>
        <x:v>PASS</x:v>
      </x:c>
    </x:row>
    <x:row r="769">
      <x:c r="B769" t="str">
        <x:v>A-00737</x:v>
      </x:c>
      <x:c r="C769" t="str">
        <x:v>GATE</x:v>
      </x:c>
      <x:c r="D769" t="str">
        <x:v>release state mirrors governing ledger</x:v>
      </x:c>
      <x:c r="E769" t="str">
        <x:f>'Release Gates'!I743</x:f>
        <x:v>PASS</x:v>
      </x:c>
      <x:c r="F769" t="str">
        <x:f>IF('Release Gates'!C743="PLANNING","PASS",IF('Release Gates'!C743="PHYSICAL","OPEN","BLOCKED"))</x:f>
        <x:v>PASS</x:v>
      </x:c>
      <x:c r="G769" t="str">
        <x:v>equals</x:v>
      </x:c>
      <x:c r="H769" t="str">
        <x:f>IF(E769=F769,"PASS","FAIL")</x:f>
        <x:v>PASS</x:v>
      </x:c>
    </x:row>
    <x:row r="770">
      <x:c r="B770" t="str">
        <x:v>A-00738</x:v>
      </x:c>
      <x:c r="C770" t="str">
        <x:v>GATE</x:v>
      </x:c>
      <x:c r="D770" t="str">
        <x:v>release state mirrors governing ledger</x:v>
      </x:c>
      <x:c r="E770" t="str">
        <x:f>'Release Gates'!I744</x:f>
        <x:v>PASS</x:v>
      </x:c>
      <x:c r="F770" t="str">
        <x:f>IF('Release Gates'!C744="PLANNING","PASS",IF('Release Gates'!C744="PHYSICAL","OPEN","BLOCKED"))</x:f>
        <x:v>PASS</x:v>
      </x:c>
      <x:c r="G770" t="str">
        <x:v>equals</x:v>
      </x:c>
      <x:c r="H770" t="str">
        <x:f>IF(E770=F770,"PASS","FAIL")</x:f>
        <x:v>PASS</x:v>
      </x:c>
    </x:row>
    <x:row r="771">
      <x:c r="B771" t="str">
        <x:v>A-00739</x:v>
      </x:c>
      <x:c r="C771" t="str">
        <x:v>GATE</x:v>
      </x:c>
      <x:c r="D771" t="str">
        <x:v>release state mirrors governing ledger</x:v>
      </x:c>
      <x:c r="E771" t="str">
        <x:f>'Release Gates'!I745</x:f>
        <x:v>PASS</x:v>
      </x:c>
      <x:c r="F771" t="str">
        <x:f>IF('Release Gates'!C745="PLANNING","PASS",IF('Release Gates'!C745="PHYSICAL","OPEN","BLOCKED"))</x:f>
        <x:v>PASS</x:v>
      </x:c>
      <x:c r="G771" t="str">
        <x:v>equals</x:v>
      </x:c>
      <x:c r="H771" t="str">
        <x:f>IF(E771=F771,"PASS","FAIL")</x:f>
        <x:v>PASS</x:v>
      </x:c>
    </x:row>
    <x:row r="772">
      <x:c r="B772" t="str">
        <x:v>A-00740</x:v>
      </x:c>
      <x:c r="C772" t="str">
        <x:v>GATE</x:v>
      </x:c>
      <x:c r="D772" t="str">
        <x:v>release state mirrors governing ledger</x:v>
      </x:c>
      <x:c r="E772" t="str">
        <x:f>'Release Gates'!I746</x:f>
        <x:v>PASS</x:v>
      </x:c>
      <x:c r="F772" t="str">
        <x:f>IF('Release Gates'!C746="PLANNING","PASS",IF('Release Gates'!C746="PHYSICAL","OPEN","BLOCKED"))</x:f>
        <x:v>PASS</x:v>
      </x:c>
      <x:c r="G772" t="str">
        <x:v>equals</x:v>
      </x:c>
      <x:c r="H772" t="str">
        <x:f>IF(E772=F772,"PASS","FAIL")</x:f>
        <x:v>PASS</x:v>
      </x:c>
    </x:row>
    <x:row r="773">
      <x:c r="B773" t="str">
        <x:v>A-00741</x:v>
      </x:c>
      <x:c r="C773" t="str">
        <x:v>GATE</x:v>
      </x:c>
      <x:c r="D773" t="str">
        <x:v>release state mirrors governing ledger</x:v>
      </x:c>
      <x:c r="E773" t="str">
        <x:f>'Release Gates'!I747</x:f>
        <x:v>PASS</x:v>
      </x:c>
      <x:c r="F773" t="str">
        <x:f>IF('Release Gates'!C747="PLANNING","PASS",IF('Release Gates'!C747="PHYSICAL","OPEN","BLOCKED"))</x:f>
        <x:v>PASS</x:v>
      </x:c>
      <x:c r="G773" t="str">
        <x:v>equals</x:v>
      </x:c>
      <x:c r="H773" t="str">
        <x:f>IF(E773=F773,"PASS","FAIL")</x:f>
        <x:v>PASS</x:v>
      </x:c>
    </x:row>
    <x:row r="774">
      <x:c r="B774" t="str">
        <x:v>A-00742</x:v>
      </x:c>
      <x:c r="C774" t="str">
        <x:v>GATE</x:v>
      </x:c>
      <x:c r="D774" t="str">
        <x:v>release state mirrors governing ledger</x:v>
      </x:c>
      <x:c r="E774" t="str">
        <x:f>'Release Gates'!I748</x:f>
        <x:v>PASS</x:v>
      </x:c>
      <x:c r="F774" t="str">
        <x:f>IF('Release Gates'!C748="PLANNING","PASS",IF('Release Gates'!C748="PHYSICAL","OPEN","BLOCKED"))</x:f>
        <x:v>PASS</x:v>
      </x:c>
      <x:c r="G774" t="str">
        <x:v>equals</x:v>
      </x:c>
      <x:c r="H774" t="str">
        <x:f>IF(E774=F774,"PASS","FAIL")</x:f>
        <x:v>PASS</x:v>
      </x:c>
    </x:row>
    <x:row r="775">
      <x:c r="B775" t="str">
        <x:v>A-00743</x:v>
      </x:c>
      <x:c r="C775" t="str">
        <x:v>GATE</x:v>
      </x:c>
      <x:c r="D775" t="str">
        <x:v>release state mirrors governing ledger</x:v>
      </x:c>
      <x:c r="E775" t="str">
        <x:f>'Release Gates'!I749</x:f>
        <x:v>PASS</x:v>
      </x:c>
      <x:c r="F775" t="str">
        <x:f>IF('Release Gates'!C749="PLANNING","PASS",IF('Release Gates'!C749="PHYSICAL","OPEN","BLOCKED"))</x:f>
        <x:v>PASS</x:v>
      </x:c>
      <x:c r="G775" t="str">
        <x:v>equals</x:v>
      </x:c>
      <x:c r="H775" t="str">
        <x:f>IF(E775=F775,"PASS","FAIL")</x:f>
        <x:v>PASS</x:v>
      </x:c>
    </x:row>
    <x:row r="776">
      <x:c r="B776" t="str">
        <x:v>A-00744</x:v>
      </x:c>
      <x:c r="C776" t="str">
        <x:v>GATE</x:v>
      </x:c>
      <x:c r="D776" t="str">
        <x:v>release state mirrors governing ledger</x:v>
      </x:c>
      <x:c r="E776" t="str">
        <x:f>'Release Gates'!I750</x:f>
        <x:v>PASS</x:v>
      </x:c>
      <x:c r="F776" t="str">
        <x:f>IF('Release Gates'!C750="PLANNING","PASS",IF('Release Gates'!C750="PHYSICAL","OPEN","BLOCKED"))</x:f>
        <x:v>PASS</x:v>
      </x:c>
      <x:c r="G776" t="str">
        <x:v>equals</x:v>
      </x:c>
      <x:c r="H776" t="str">
        <x:f>IF(E776=F776,"PASS","FAIL")</x:f>
        <x:v>PASS</x:v>
      </x:c>
    </x:row>
    <x:row r="777">
      <x:c r="B777" t="str">
        <x:v>A-00745</x:v>
      </x:c>
      <x:c r="C777" t="str">
        <x:v>GATE</x:v>
      </x:c>
      <x:c r="D777" t="str">
        <x:v>release state mirrors governing ledger</x:v>
      </x:c>
      <x:c r="E777" t="str">
        <x:f>'Release Gates'!I751</x:f>
        <x:v>PASS</x:v>
      </x:c>
      <x:c r="F777" t="str">
        <x:f>IF('Release Gates'!C751="PLANNING","PASS",IF('Release Gates'!C751="PHYSICAL","OPEN","BLOCKED"))</x:f>
        <x:v>PASS</x:v>
      </x:c>
      <x:c r="G777" t="str">
        <x:v>equals</x:v>
      </x:c>
      <x:c r="H777" t="str">
        <x:f>IF(E777=F777,"PASS","FAIL")</x:f>
        <x:v>PASS</x:v>
      </x:c>
    </x:row>
    <x:row r="778">
      <x:c r="B778" t="str">
        <x:v>A-00746</x:v>
      </x:c>
      <x:c r="C778" t="str">
        <x:v>GATE</x:v>
      </x:c>
      <x:c r="D778" t="str">
        <x:v>release state mirrors governing ledger</x:v>
      </x:c>
      <x:c r="E778" t="str">
        <x:f>'Release Gates'!I752</x:f>
        <x:v>PASS</x:v>
      </x:c>
      <x:c r="F778" t="str">
        <x:f>IF('Release Gates'!C752="PLANNING","PASS",IF('Release Gates'!C752="PHYSICAL","OPEN","BLOCKED"))</x:f>
        <x:v>PASS</x:v>
      </x:c>
      <x:c r="G778" t="str">
        <x:v>equals</x:v>
      </x:c>
      <x:c r="H778" t="str">
        <x:f>IF(E778=F778,"PASS","FAIL")</x:f>
        <x:v>PASS</x:v>
      </x:c>
    </x:row>
    <x:row r="779">
      <x:c r="B779" t="str">
        <x:v>A-00747</x:v>
      </x:c>
      <x:c r="C779" t="str">
        <x:v>GATE</x:v>
      </x:c>
      <x:c r="D779" t="str">
        <x:v>release state mirrors governing ledger</x:v>
      </x:c>
      <x:c r="E779" t="str">
        <x:f>'Release Gates'!I753</x:f>
        <x:v>PASS</x:v>
      </x:c>
      <x:c r="F779" t="str">
        <x:f>IF('Release Gates'!C753="PLANNING","PASS",IF('Release Gates'!C753="PHYSICAL","OPEN","BLOCKED"))</x:f>
        <x:v>PASS</x:v>
      </x:c>
      <x:c r="G779" t="str">
        <x:v>equals</x:v>
      </x:c>
      <x:c r="H779" t="str">
        <x:f>IF(E779=F779,"PASS","FAIL")</x:f>
        <x:v>PASS</x:v>
      </x:c>
    </x:row>
    <x:row r="780">
      <x:c r="B780" t="str">
        <x:v>A-00748</x:v>
      </x:c>
      <x:c r="C780" t="str">
        <x:v>GATE</x:v>
      </x:c>
      <x:c r="D780" t="str">
        <x:v>release state mirrors governing ledger</x:v>
      </x:c>
      <x:c r="E780" t="str">
        <x:f>'Release Gates'!I754</x:f>
        <x:v>PASS</x:v>
      </x:c>
      <x:c r="F780" t="str">
        <x:f>IF('Release Gates'!C754="PLANNING","PASS",IF('Release Gates'!C754="PHYSICAL","OPEN","BLOCKED"))</x:f>
        <x:v>PASS</x:v>
      </x:c>
      <x:c r="G780" t="str">
        <x:v>equals</x:v>
      </x:c>
      <x:c r="H780" t="str">
        <x:f>IF(E780=F780,"PASS","FAIL")</x:f>
        <x:v>PASS</x:v>
      </x:c>
    </x:row>
    <x:row r="781">
      <x:c r="B781" t="str">
        <x:v>A-00749</x:v>
      </x:c>
      <x:c r="C781" t="str">
        <x:v>GATE</x:v>
      </x:c>
      <x:c r="D781" t="str">
        <x:v>release state mirrors governing ledger</x:v>
      </x:c>
      <x:c r="E781" t="str">
        <x:f>'Release Gates'!I755</x:f>
        <x:v>PASS</x:v>
      </x:c>
      <x:c r="F781" t="str">
        <x:f>IF('Release Gates'!C755="PLANNING","PASS",IF('Release Gates'!C755="PHYSICAL","OPEN","BLOCKED"))</x:f>
        <x:v>PASS</x:v>
      </x:c>
      <x:c r="G781" t="str">
        <x:v>equals</x:v>
      </x:c>
      <x:c r="H781" t="str">
        <x:f>IF(E781=F781,"PASS","FAIL")</x:f>
        <x:v>PASS</x:v>
      </x:c>
    </x:row>
    <x:row r="782">
      <x:c r="B782" t="str">
        <x:v>A-00750</x:v>
      </x:c>
      <x:c r="C782" t="str">
        <x:v>GATE</x:v>
      </x:c>
      <x:c r="D782" t="str">
        <x:v>release state mirrors governing ledger</x:v>
      </x:c>
      <x:c r="E782" t="str">
        <x:f>'Release Gates'!I756</x:f>
        <x:v>PASS</x:v>
      </x:c>
      <x:c r="F782" t="str">
        <x:f>IF('Release Gates'!C756="PLANNING","PASS",IF('Release Gates'!C756="PHYSICAL","OPEN","BLOCKED"))</x:f>
        <x:v>PASS</x:v>
      </x:c>
      <x:c r="G782" t="str">
        <x:v>equals</x:v>
      </x:c>
      <x:c r="H782" t="str">
        <x:f>IF(E782=F782,"PASS","FAIL")</x:f>
        <x:v>PASS</x:v>
      </x:c>
    </x:row>
    <x:row r="783">
      <x:c r="B783" t="str">
        <x:v>A-00751</x:v>
      </x:c>
      <x:c r="C783" t="str">
        <x:v>GATE</x:v>
      </x:c>
      <x:c r="D783" t="str">
        <x:v>release state mirrors governing ledger</x:v>
      </x:c>
      <x:c r="E783" t="str">
        <x:f>'Release Gates'!I757</x:f>
        <x:v>PASS</x:v>
      </x:c>
      <x:c r="F783" t="str">
        <x:f>IF('Release Gates'!C757="PLANNING","PASS",IF('Release Gates'!C757="PHYSICAL","OPEN","BLOCKED"))</x:f>
        <x:v>PASS</x:v>
      </x:c>
      <x:c r="G783" t="str">
        <x:v>equals</x:v>
      </x:c>
      <x:c r="H783" t="str">
        <x:f>IF(E783=F783,"PASS","FAIL")</x:f>
        <x:v>PASS</x:v>
      </x:c>
    </x:row>
    <x:row r="784">
      <x:c r="B784" t="str">
        <x:v>A-00752</x:v>
      </x:c>
      <x:c r="C784" t="str">
        <x:v>GATE</x:v>
      </x:c>
      <x:c r="D784" t="str">
        <x:v>release state mirrors governing ledger</x:v>
      </x:c>
      <x:c r="E784" t="str">
        <x:f>'Release Gates'!I758</x:f>
        <x:v>PASS</x:v>
      </x:c>
      <x:c r="F784" t="str">
        <x:f>IF('Release Gates'!C758="PLANNING","PASS",IF('Release Gates'!C758="PHYSICAL","OPEN","BLOCKED"))</x:f>
        <x:v>PASS</x:v>
      </x:c>
      <x:c r="G784" t="str">
        <x:v>equals</x:v>
      </x:c>
      <x:c r="H784" t="str">
        <x:f>IF(E784=F784,"PASS","FAIL")</x:f>
        <x:v>PASS</x:v>
      </x:c>
    </x:row>
    <x:row r="785">
      <x:c r="B785" t="str">
        <x:v>A-00753</x:v>
      </x:c>
      <x:c r="C785" t="str">
        <x:v>GATE</x:v>
      </x:c>
      <x:c r="D785" t="str">
        <x:v>release state mirrors governing ledger</x:v>
      </x:c>
      <x:c r="E785" t="str">
        <x:f>'Release Gates'!I759</x:f>
        <x:v>PASS</x:v>
      </x:c>
      <x:c r="F785" t="str">
        <x:f>IF('Release Gates'!C759="PLANNING","PASS",IF('Release Gates'!C759="PHYSICAL","OPEN","BLOCKED"))</x:f>
        <x:v>PASS</x:v>
      </x:c>
      <x:c r="G785" t="str">
        <x:v>equals</x:v>
      </x:c>
      <x:c r="H785" t="str">
        <x:f>IF(E785=F785,"PASS","FAIL")</x:f>
        <x:v>PASS</x:v>
      </x:c>
    </x:row>
    <x:row r="786">
      <x:c r="B786" t="str">
        <x:v>A-00754</x:v>
      </x:c>
      <x:c r="C786" t="str">
        <x:v>GATE</x:v>
      </x:c>
      <x:c r="D786" t="str">
        <x:v>release state mirrors governing ledger</x:v>
      </x:c>
      <x:c r="E786" t="str">
        <x:f>'Release Gates'!I760</x:f>
        <x:v>PASS</x:v>
      </x:c>
      <x:c r="F786" t="str">
        <x:f>IF('Release Gates'!C760="PLANNING","PASS",IF('Release Gates'!C760="PHYSICAL","OPEN","BLOCKED"))</x:f>
        <x:v>PASS</x:v>
      </x:c>
      <x:c r="G786" t="str">
        <x:v>equals</x:v>
      </x:c>
      <x:c r="H786" t="str">
        <x:f>IF(E786=F786,"PASS","FAIL")</x:f>
        <x:v>PASS</x:v>
      </x:c>
    </x:row>
    <x:row r="787">
      <x:c r="B787" t="str">
        <x:v>A-00755</x:v>
      </x:c>
      <x:c r="C787" t="str">
        <x:v>GATE</x:v>
      </x:c>
      <x:c r="D787" t="str">
        <x:v>release state mirrors governing ledger</x:v>
      </x:c>
      <x:c r="E787" t="str">
        <x:f>'Release Gates'!I761</x:f>
        <x:v>PASS</x:v>
      </x:c>
      <x:c r="F787" t="str">
        <x:f>IF('Release Gates'!C761="PLANNING","PASS",IF('Release Gates'!C761="PHYSICAL","OPEN","BLOCKED"))</x:f>
        <x:v>PASS</x:v>
      </x:c>
      <x:c r="G787" t="str">
        <x:v>equals</x:v>
      </x:c>
      <x:c r="H787" t="str">
        <x:f>IF(E787=F787,"PASS","FAIL")</x:f>
        <x:v>PASS</x:v>
      </x:c>
    </x:row>
    <x:row r="788">
      <x:c r="B788" t="str">
        <x:v>A-00756</x:v>
      </x:c>
      <x:c r="C788" t="str">
        <x:v>GATE</x:v>
      </x:c>
      <x:c r="D788" t="str">
        <x:v>release state mirrors governing ledger</x:v>
      </x:c>
      <x:c r="E788" t="str">
        <x:f>'Release Gates'!I762</x:f>
        <x:v>PASS</x:v>
      </x:c>
      <x:c r="F788" t="str">
        <x:f>IF('Release Gates'!C762="PLANNING","PASS",IF('Release Gates'!C762="PHYSICAL","OPEN","BLOCKED"))</x:f>
        <x:v>PASS</x:v>
      </x:c>
      <x:c r="G788" t="str">
        <x:v>equals</x:v>
      </x:c>
      <x:c r="H788" t="str">
        <x:f>IF(E788=F788,"PASS","FAIL")</x:f>
        <x:v>PASS</x:v>
      </x:c>
    </x:row>
    <x:row r="789">
      <x:c r="B789" t="str">
        <x:v>A-00757</x:v>
      </x:c>
      <x:c r="C789" t="str">
        <x:v>GATE</x:v>
      </x:c>
      <x:c r="D789" t="str">
        <x:v>release state mirrors governing ledger</x:v>
      </x:c>
      <x:c r="E789" t="str">
        <x:f>'Release Gates'!I763</x:f>
        <x:v>PASS</x:v>
      </x:c>
      <x:c r="F789" t="str">
        <x:f>IF('Release Gates'!C763="PLANNING","PASS",IF('Release Gates'!C763="PHYSICAL","OPEN","BLOCKED"))</x:f>
        <x:v>PASS</x:v>
      </x:c>
      <x:c r="G789" t="str">
        <x:v>equals</x:v>
      </x:c>
      <x:c r="H789" t="str">
        <x:f>IF(E789=F789,"PASS","FAIL")</x:f>
        <x:v>PASS</x:v>
      </x:c>
    </x:row>
    <x:row r="790">
      <x:c r="B790" t="str">
        <x:v>A-00758</x:v>
      </x:c>
      <x:c r="C790" t="str">
        <x:v>GATE</x:v>
      </x:c>
      <x:c r="D790" t="str">
        <x:v>release state mirrors governing ledger</x:v>
      </x:c>
      <x:c r="E790" t="str">
        <x:f>'Release Gates'!I764</x:f>
        <x:v>PASS</x:v>
      </x:c>
      <x:c r="F790" t="str">
        <x:f>IF('Release Gates'!C764="PLANNING","PASS",IF('Release Gates'!C764="PHYSICAL","OPEN","BLOCKED"))</x:f>
        <x:v>PASS</x:v>
      </x:c>
      <x:c r="G790" t="str">
        <x:v>equals</x:v>
      </x:c>
      <x:c r="H790" t="str">
        <x:f>IF(E790=F790,"PASS","FAIL")</x:f>
        <x:v>PASS</x:v>
      </x:c>
    </x:row>
    <x:row r="791">
      <x:c r="B791" t="str">
        <x:v>A-00759</x:v>
      </x:c>
      <x:c r="C791" t="str">
        <x:v>GATE</x:v>
      </x:c>
      <x:c r="D791" t="str">
        <x:v>release state mirrors governing ledger</x:v>
      </x:c>
      <x:c r="E791" t="str">
        <x:f>'Release Gates'!I765</x:f>
        <x:v>PASS</x:v>
      </x:c>
      <x:c r="F791" t="str">
        <x:f>IF('Release Gates'!C765="PLANNING","PASS",IF('Release Gates'!C765="PHYSICAL","OPEN","BLOCKED"))</x:f>
        <x:v>PASS</x:v>
      </x:c>
      <x:c r="G791" t="str">
        <x:v>equals</x:v>
      </x:c>
      <x:c r="H791" t="str">
        <x:f>IF(E791=F791,"PASS","FAIL")</x:f>
        <x:v>PASS</x:v>
      </x:c>
    </x:row>
    <x:row r="792">
      <x:c r="B792" t="str">
        <x:v>A-00760</x:v>
      </x:c>
      <x:c r="C792" t="str">
        <x:v>GATE</x:v>
      </x:c>
      <x:c r="D792" t="str">
        <x:v>release state mirrors governing ledger</x:v>
      </x:c>
      <x:c r="E792" t="str">
        <x:f>'Release Gates'!I766</x:f>
        <x:v>PASS</x:v>
      </x:c>
      <x:c r="F792" t="str">
        <x:f>IF('Release Gates'!C766="PLANNING","PASS",IF('Release Gates'!C766="PHYSICAL","OPEN","BLOCKED"))</x:f>
        <x:v>PASS</x:v>
      </x:c>
      <x:c r="G792" t="str">
        <x:v>equals</x:v>
      </x:c>
      <x:c r="H792" t="str">
        <x:f>IF(E792=F792,"PASS","FAIL")</x:f>
        <x:v>PASS</x:v>
      </x:c>
    </x:row>
    <x:row r="793">
      <x:c r="B793" t="str">
        <x:v>A-00761</x:v>
      </x:c>
      <x:c r="C793" t="str">
        <x:v>GATE</x:v>
      </x:c>
      <x:c r="D793" t="str">
        <x:v>release state mirrors governing ledger</x:v>
      </x:c>
      <x:c r="E793" t="str">
        <x:f>'Release Gates'!I767</x:f>
        <x:v>PASS</x:v>
      </x:c>
      <x:c r="F793" t="str">
        <x:f>IF('Release Gates'!C767="PLANNING","PASS",IF('Release Gates'!C767="PHYSICAL","OPEN","BLOCKED"))</x:f>
        <x:v>PASS</x:v>
      </x:c>
      <x:c r="G793" t="str">
        <x:v>equals</x:v>
      </x:c>
      <x:c r="H793" t="str">
        <x:f>IF(E793=F793,"PASS","FAIL")</x:f>
        <x:v>PASS</x:v>
      </x:c>
    </x:row>
    <x:row r="794">
      <x:c r="B794" t="str">
        <x:v>A-00762</x:v>
      </x:c>
      <x:c r="C794" t="str">
        <x:v>GATE</x:v>
      </x:c>
      <x:c r="D794" t="str">
        <x:v>release state mirrors governing ledger</x:v>
      </x:c>
      <x:c r="E794" t="str">
        <x:f>'Release Gates'!I768</x:f>
        <x:v>PASS</x:v>
      </x:c>
      <x:c r="F794" t="str">
        <x:f>IF('Release Gates'!C768="PLANNING","PASS",IF('Release Gates'!C768="PHYSICAL","OPEN","BLOCKED"))</x:f>
        <x:v>PASS</x:v>
      </x:c>
      <x:c r="G794" t="str">
        <x:v>equals</x:v>
      </x:c>
      <x:c r="H794" t="str">
        <x:f>IF(E794=F794,"PASS","FAIL")</x:f>
        <x:v>PASS</x:v>
      </x:c>
    </x:row>
    <x:row r="795">
      <x:c r="B795" t="str">
        <x:v>A-00763</x:v>
      </x:c>
      <x:c r="C795" t="str">
        <x:v>GATE</x:v>
      </x:c>
      <x:c r="D795" t="str">
        <x:v>release state mirrors governing ledger</x:v>
      </x:c>
      <x:c r="E795" t="str">
        <x:f>'Release Gates'!I769</x:f>
        <x:v>PASS</x:v>
      </x:c>
      <x:c r="F795" t="str">
        <x:f>IF('Release Gates'!C769="PLANNING","PASS",IF('Release Gates'!C769="PHYSICAL","OPEN","BLOCKED"))</x:f>
        <x:v>PASS</x:v>
      </x:c>
      <x:c r="G795" t="str">
        <x:v>equals</x:v>
      </x:c>
      <x:c r="H795" t="str">
        <x:f>IF(E795=F795,"PASS","FAIL")</x:f>
        <x:v>PASS</x:v>
      </x:c>
    </x:row>
    <x:row r="796">
      <x:c r="B796" t="str">
        <x:v>A-00764</x:v>
      </x:c>
      <x:c r="C796" t="str">
        <x:v>GATE</x:v>
      </x:c>
      <x:c r="D796" t="str">
        <x:v>release state mirrors governing ledger</x:v>
      </x:c>
      <x:c r="E796" t="str">
        <x:f>'Release Gates'!I770</x:f>
        <x:v>PASS</x:v>
      </x:c>
      <x:c r="F796" t="str">
        <x:f>IF('Release Gates'!C770="PLANNING","PASS",IF('Release Gates'!C770="PHYSICAL","OPEN","BLOCKED"))</x:f>
        <x:v>PASS</x:v>
      </x:c>
      <x:c r="G796" t="str">
        <x:v>equals</x:v>
      </x:c>
      <x:c r="H796" t="str">
        <x:f>IF(E796=F796,"PASS","FAIL")</x:f>
        <x:v>PASS</x:v>
      </x:c>
    </x:row>
    <x:row r="797">
      <x:c r="B797" t="str">
        <x:v>A-00765</x:v>
      </x:c>
      <x:c r="C797" t="str">
        <x:v>GATE</x:v>
      </x:c>
      <x:c r="D797" t="str">
        <x:v>release state mirrors governing ledger</x:v>
      </x:c>
      <x:c r="E797" t="str">
        <x:f>'Release Gates'!I771</x:f>
        <x:v>PASS</x:v>
      </x:c>
      <x:c r="F797" t="str">
        <x:f>IF('Release Gates'!C771="PLANNING","PASS",IF('Release Gates'!C771="PHYSICAL","OPEN","BLOCKED"))</x:f>
        <x:v>PASS</x:v>
      </x:c>
      <x:c r="G797" t="str">
        <x:v>equals</x:v>
      </x:c>
      <x:c r="H797" t="str">
        <x:f>IF(E797=F797,"PASS","FAIL")</x:f>
        <x:v>PASS</x:v>
      </x:c>
    </x:row>
    <x:row r="798">
      <x:c r="B798" t="str">
        <x:v>A-00766</x:v>
      </x:c>
      <x:c r="C798" t="str">
        <x:v>GATE</x:v>
      </x:c>
      <x:c r="D798" t="str">
        <x:v>release state mirrors governing ledger</x:v>
      </x:c>
      <x:c r="E798" t="str">
        <x:f>'Release Gates'!I772</x:f>
        <x:v>PASS</x:v>
      </x:c>
      <x:c r="F798" t="str">
        <x:f>IF('Release Gates'!C772="PLANNING","PASS",IF('Release Gates'!C772="PHYSICAL","OPEN","BLOCKED"))</x:f>
        <x:v>PASS</x:v>
      </x:c>
      <x:c r="G798" t="str">
        <x:v>equals</x:v>
      </x:c>
      <x:c r="H798" t="str">
        <x:f>IF(E798=F798,"PASS","FAIL")</x:f>
        <x:v>PASS</x:v>
      </x:c>
    </x:row>
    <x:row r="799">
      <x:c r="B799" t="str">
        <x:v>A-00767</x:v>
      </x:c>
      <x:c r="C799" t="str">
        <x:v>GATE</x:v>
      </x:c>
      <x:c r="D799" t="str">
        <x:v>release state mirrors governing ledger</x:v>
      </x:c>
      <x:c r="E799" t="str">
        <x:f>'Release Gates'!I773</x:f>
        <x:v>PASS</x:v>
      </x:c>
      <x:c r="F799" t="str">
        <x:f>IF('Release Gates'!C773="PLANNING","PASS",IF('Release Gates'!C773="PHYSICAL","OPEN","BLOCKED"))</x:f>
        <x:v>PASS</x:v>
      </x:c>
      <x:c r="G799" t="str">
        <x:v>equals</x:v>
      </x:c>
      <x:c r="H799" t="str">
        <x:f>IF(E799=F799,"PASS","FAIL")</x:f>
        <x:v>PASS</x:v>
      </x:c>
    </x:row>
    <x:row r="800">
      <x:c r="B800" t="str">
        <x:v>A-00768</x:v>
      </x:c>
      <x:c r="C800" t="str">
        <x:v>GATE</x:v>
      </x:c>
      <x:c r="D800" t="str">
        <x:v>release state mirrors governing ledger</x:v>
      </x:c>
      <x:c r="E800" t="str">
        <x:f>'Release Gates'!I774</x:f>
        <x:v>PASS</x:v>
      </x:c>
      <x:c r="F800" t="str">
        <x:f>IF('Release Gates'!C774="PLANNING","PASS",IF('Release Gates'!C774="PHYSICAL","OPEN","BLOCKED"))</x:f>
        <x:v>PASS</x:v>
      </x:c>
      <x:c r="G800" t="str">
        <x:v>equals</x:v>
      </x:c>
      <x:c r="H800" t="str">
        <x:f>IF(E800=F800,"PASS","FAIL")</x:f>
        <x:v>PASS</x:v>
      </x:c>
    </x:row>
    <x:row r="801">
      <x:c r="B801" t="str">
        <x:v>A-00769</x:v>
      </x:c>
      <x:c r="C801" t="str">
        <x:v>GATE</x:v>
      </x:c>
      <x:c r="D801" t="str">
        <x:v>release state mirrors governing ledger</x:v>
      </x:c>
      <x:c r="E801" t="str">
        <x:f>'Release Gates'!I775</x:f>
        <x:v>PASS</x:v>
      </x:c>
      <x:c r="F801" t="str">
        <x:f>IF('Release Gates'!C775="PLANNING","PASS",IF('Release Gates'!C775="PHYSICAL","OPEN","BLOCKED"))</x:f>
        <x:v>PASS</x:v>
      </x:c>
      <x:c r="G801" t="str">
        <x:v>equals</x:v>
      </x:c>
      <x:c r="H801" t="str">
        <x:f>IF(E801=F801,"PASS","FAIL")</x:f>
        <x:v>PASS</x:v>
      </x:c>
    </x:row>
    <x:row r="802">
      <x:c r="B802" t="str">
        <x:v>A-00770</x:v>
      </x:c>
      <x:c r="C802" t="str">
        <x:v>GATE</x:v>
      </x:c>
      <x:c r="D802" t="str">
        <x:v>release state mirrors governing ledger</x:v>
      </x:c>
      <x:c r="E802" t="str">
        <x:f>'Release Gates'!I776</x:f>
        <x:v>PASS</x:v>
      </x:c>
      <x:c r="F802" t="str">
        <x:f>IF('Release Gates'!C776="PLANNING","PASS",IF('Release Gates'!C776="PHYSICAL","OPEN","BLOCKED"))</x:f>
        <x:v>PASS</x:v>
      </x:c>
      <x:c r="G802" t="str">
        <x:v>equals</x:v>
      </x:c>
      <x:c r="H802" t="str">
        <x:f>IF(E802=F802,"PASS","FAIL")</x:f>
        <x:v>PASS</x:v>
      </x:c>
    </x:row>
    <x:row r="803">
      <x:c r="B803" t="str">
        <x:v>A-00771</x:v>
      </x:c>
      <x:c r="C803" t="str">
        <x:v>GATE</x:v>
      </x:c>
      <x:c r="D803" t="str">
        <x:v>release state mirrors governing ledger</x:v>
      </x:c>
      <x:c r="E803" t="str">
        <x:f>'Release Gates'!I777</x:f>
        <x:v>PASS</x:v>
      </x:c>
      <x:c r="F803" t="str">
        <x:f>IF('Release Gates'!C777="PLANNING","PASS",IF('Release Gates'!C777="PHYSICAL","OPEN","BLOCKED"))</x:f>
        <x:v>PASS</x:v>
      </x:c>
      <x:c r="G803" t="str">
        <x:v>equals</x:v>
      </x:c>
      <x:c r="H803" t="str">
        <x:f>IF(E803=F803,"PASS","FAIL")</x:f>
        <x:v>PASS</x:v>
      </x:c>
    </x:row>
    <x:row r="804">
      <x:c r="B804" t="str">
        <x:v>A-00772</x:v>
      </x:c>
      <x:c r="C804" t="str">
        <x:v>GATE</x:v>
      </x:c>
      <x:c r="D804" t="str">
        <x:v>release state mirrors governing ledger</x:v>
      </x:c>
      <x:c r="E804" t="str">
        <x:f>'Release Gates'!I778</x:f>
        <x:v>PASS</x:v>
      </x:c>
      <x:c r="F804" t="str">
        <x:f>IF('Release Gates'!C778="PLANNING","PASS",IF('Release Gates'!C778="PHYSICAL","OPEN","BLOCKED"))</x:f>
        <x:v>PASS</x:v>
      </x:c>
      <x:c r="G804" t="str">
        <x:v>equals</x:v>
      </x:c>
      <x:c r="H804" t="str">
        <x:f>IF(E804=F804,"PASS","FAIL")</x:f>
        <x:v>PASS</x:v>
      </x:c>
    </x:row>
    <x:row r="805">
      <x:c r="B805" t="str">
        <x:v>A-00773</x:v>
      </x:c>
      <x:c r="C805" t="str">
        <x:v>GATE</x:v>
      </x:c>
      <x:c r="D805" t="str">
        <x:v>release state mirrors governing ledger</x:v>
      </x:c>
      <x:c r="E805" t="str">
        <x:f>'Release Gates'!I779</x:f>
        <x:v>PASS</x:v>
      </x:c>
      <x:c r="F805" t="str">
        <x:f>IF('Release Gates'!C779="PLANNING","PASS",IF('Release Gates'!C779="PHYSICAL","OPEN","BLOCKED"))</x:f>
        <x:v>PASS</x:v>
      </x:c>
      <x:c r="G805" t="str">
        <x:v>equals</x:v>
      </x:c>
      <x:c r="H805" t="str">
        <x:f>IF(E805=F805,"PASS","FAIL")</x:f>
        <x:v>PASS</x:v>
      </x:c>
    </x:row>
    <x:row r="806">
      <x:c r="B806" t="str">
        <x:v>A-00774</x:v>
      </x:c>
      <x:c r="C806" t="str">
        <x:v>GATE</x:v>
      </x:c>
      <x:c r="D806" t="str">
        <x:v>release state mirrors governing ledger</x:v>
      </x:c>
      <x:c r="E806" t="str">
        <x:f>'Release Gates'!I780</x:f>
        <x:v>PASS</x:v>
      </x:c>
      <x:c r="F806" t="str">
        <x:f>IF('Release Gates'!C780="PLANNING","PASS",IF('Release Gates'!C780="PHYSICAL","OPEN","BLOCKED"))</x:f>
        <x:v>PASS</x:v>
      </x:c>
      <x:c r="G806" t="str">
        <x:v>equals</x:v>
      </x:c>
      <x:c r="H806" t="str">
        <x:f>IF(E806=F806,"PASS","FAIL")</x:f>
        <x:v>PASS</x:v>
      </x:c>
    </x:row>
    <x:row r="807">
      <x:c r="B807" t="str">
        <x:v>A-00775</x:v>
      </x:c>
      <x:c r="C807" t="str">
        <x:v>GATE</x:v>
      </x:c>
      <x:c r="D807" t="str">
        <x:v>release state mirrors governing ledger</x:v>
      </x:c>
      <x:c r="E807" t="str">
        <x:f>'Release Gates'!I781</x:f>
        <x:v>PASS</x:v>
      </x:c>
      <x:c r="F807" t="str">
        <x:f>IF('Release Gates'!C781="PLANNING","PASS",IF('Release Gates'!C781="PHYSICAL","OPEN","BLOCKED"))</x:f>
        <x:v>PASS</x:v>
      </x:c>
      <x:c r="G807" t="str">
        <x:v>equals</x:v>
      </x:c>
      <x:c r="H807" t="str">
        <x:f>IF(E807=F807,"PASS","FAIL")</x:f>
        <x:v>PASS</x:v>
      </x:c>
    </x:row>
    <x:row r="808">
      <x:c r="B808" t="str">
        <x:v>A-00776</x:v>
      </x:c>
      <x:c r="C808" t="str">
        <x:v>GATE</x:v>
      </x:c>
      <x:c r="D808" t="str">
        <x:v>release state mirrors governing ledger</x:v>
      </x:c>
      <x:c r="E808" t="str">
        <x:f>'Release Gates'!I782</x:f>
        <x:v>OPEN</x:v>
      </x:c>
      <x:c r="F808" t="str">
        <x:f>IF('Release Gates'!C782="PLANNING","PASS",IF('Release Gates'!C782="PHYSICAL","OPEN","BLOCKED"))</x:f>
        <x:v>OPEN</x:v>
      </x:c>
      <x:c r="G808" t="str">
        <x:v>equals</x:v>
      </x:c>
      <x:c r="H808" t="str">
        <x:f>IF(E808=F808,"PASS","FAIL")</x:f>
        <x:v>PASS</x:v>
      </x:c>
    </x:row>
    <x:row r="809">
      <x:c r="B809" t="str">
        <x:v>A-00777</x:v>
      </x:c>
      <x:c r="C809" t="str">
        <x:v>GATE</x:v>
      </x:c>
      <x:c r="D809" t="str">
        <x:v>release state mirrors governing ledger</x:v>
      </x:c>
      <x:c r="E809" t="str">
        <x:f>'Release Gates'!I783</x:f>
        <x:v>OPEN</x:v>
      </x:c>
      <x:c r="F809" t="str">
        <x:f>IF('Release Gates'!C783="PLANNING","PASS",IF('Release Gates'!C783="PHYSICAL","OPEN","BLOCKED"))</x:f>
        <x:v>OPEN</x:v>
      </x:c>
      <x:c r="G809" t="str">
        <x:v>equals</x:v>
      </x:c>
      <x:c r="H809" t="str">
        <x:f>IF(E809=F809,"PASS","FAIL")</x:f>
        <x:v>PASS</x:v>
      </x:c>
    </x:row>
    <x:row r="810">
      <x:c r="B810" t="str">
        <x:v>A-00778</x:v>
      </x:c>
      <x:c r="C810" t="str">
        <x:v>GATE</x:v>
      </x:c>
      <x:c r="D810" t="str">
        <x:v>release state mirrors governing ledger</x:v>
      </x:c>
      <x:c r="E810" t="str">
        <x:f>'Release Gates'!I784</x:f>
        <x:v>OPEN</x:v>
      </x:c>
      <x:c r="F810" t="str">
        <x:f>IF('Release Gates'!C784="PLANNING","PASS",IF('Release Gates'!C784="PHYSICAL","OPEN","BLOCKED"))</x:f>
        <x:v>OPEN</x:v>
      </x:c>
      <x:c r="G810" t="str">
        <x:v>equals</x:v>
      </x:c>
      <x:c r="H810" t="str">
        <x:f>IF(E810=F810,"PASS","FAIL")</x:f>
        <x:v>PASS</x:v>
      </x:c>
    </x:row>
    <x:row r="811">
      <x:c r="B811" t="str">
        <x:v>A-00779</x:v>
      </x:c>
      <x:c r="C811" t="str">
        <x:v>GATE</x:v>
      </x:c>
      <x:c r="D811" t="str">
        <x:v>release state mirrors governing ledger</x:v>
      </x:c>
      <x:c r="E811" t="str">
        <x:f>'Release Gates'!I785</x:f>
        <x:v>OPEN</x:v>
      </x:c>
      <x:c r="F811" t="str">
        <x:f>IF('Release Gates'!C785="PLANNING","PASS",IF('Release Gates'!C785="PHYSICAL","OPEN","BLOCKED"))</x:f>
        <x:v>OPEN</x:v>
      </x:c>
      <x:c r="G811" t="str">
        <x:v>equals</x:v>
      </x:c>
      <x:c r="H811" t="str">
        <x:f>IF(E811=F811,"PASS","FAIL")</x:f>
        <x:v>PASS</x:v>
      </x:c>
    </x:row>
    <x:row r="812">
      <x:c r="B812" t="str">
        <x:v>A-00780</x:v>
      </x:c>
      <x:c r="C812" t="str">
        <x:v>GATE</x:v>
      </x:c>
      <x:c r="D812" t="str">
        <x:v>release state mirrors governing ledger</x:v>
      </x:c>
      <x:c r="E812" t="str">
        <x:f>'Release Gates'!I786</x:f>
        <x:v>OPEN</x:v>
      </x:c>
      <x:c r="F812" t="str">
        <x:f>IF('Release Gates'!C786="PLANNING","PASS",IF('Release Gates'!C786="PHYSICAL","OPEN","BLOCKED"))</x:f>
        <x:v>OPEN</x:v>
      </x:c>
      <x:c r="G812" t="str">
        <x:v>equals</x:v>
      </x:c>
      <x:c r="H812" t="str">
        <x:f>IF(E812=F812,"PASS","FAIL")</x:f>
        <x:v>PASS</x:v>
      </x:c>
    </x:row>
    <x:row r="813">
      <x:c r="B813" t="str">
        <x:v>A-00781</x:v>
      </x:c>
      <x:c r="C813" t="str">
        <x:v>GATE</x:v>
      </x:c>
      <x:c r="D813" t="str">
        <x:v>release state mirrors governing ledger</x:v>
      </x:c>
      <x:c r="E813" t="str">
        <x:f>'Release Gates'!I787</x:f>
        <x:v>OPEN</x:v>
      </x:c>
      <x:c r="F813" t="str">
        <x:f>IF('Release Gates'!C787="PLANNING","PASS",IF('Release Gates'!C787="PHYSICAL","OPEN","BLOCKED"))</x:f>
        <x:v>OPEN</x:v>
      </x:c>
      <x:c r="G813" t="str">
        <x:v>equals</x:v>
      </x:c>
      <x:c r="H813" t="str">
        <x:f>IF(E813=F813,"PASS","FAIL")</x:f>
        <x:v>PASS</x:v>
      </x:c>
    </x:row>
    <x:row r="814">
      <x:c r="B814" t="str">
        <x:v>A-00782</x:v>
      </x:c>
      <x:c r="C814" t="str">
        <x:v>GATE</x:v>
      </x:c>
      <x:c r="D814" t="str">
        <x:v>release state mirrors governing ledger</x:v>
      </x:c>
      <x:c r="E814" t="str">
        <x:f>'Release Gates'!I788</x:f>
        <x:v>OPEN</x:v>
      </x:c>
      <x:c r="F814" t="str">
        <x:f>IF('Release Gates'!C788="PLANNING","PASS",IF('Release Gates'!C788="PHYSICAL","OPEN","BLOCKED"))</x:f>
        <x:v>OPEN</x:v>
      </x:c>
      <x:c r="G814" t="str">
        <x:v>equals</x:v>
      </x:c>
      <x:c r="H814" t="str">
        <x:f>IF(E814=F814,"PASS","FAIL")</x:f>
        <x:v>PASS</x:v>
      </x:c>
    </x:row>
    <x:row r="815">
      <x:c r="B815" t="str">
        <x:v>A-00783</x:v>
      </x:c>
      <x:c r="C815" t="str">
        <x:v>GATE</x:v>
      </x:c>
      <x:c r="D815" t="str">
        <x:v>release state mirrors governing ledger</x:v>
      </x:c>
      <x:c r="E815" t="str">
        <x:f>'Release Gates'!I789</x:f>
        <x:v>OPEN</x:v>
      </x:c>
      <x:c r="F815" t="str">
        <x:f>IF('Release Gates'!C789="PLANNING","PASS",IF('Release Gates'!C789="PHYSICAL","OPEN","BLOCKED"))</x:f>
        <x:v>OPEN</x:v>
      </x:c>
      <x:c r="G815" t="str">
        <x:v>equals</x:v>
      </x:c>
      <x:c r="H815" t="str">
        <x:f>IF(E815=F815,"PASS","FAIL")</x:f>
        <x:v>PASS</x:v>
      </x:c>
    </x:row>
    <x:row r="816">
      <x:c r="B816" t="str">
        <x:v>A-00784</x:v>
      </x:c>
      <x:c r="C816" t="str">
        <x:v>GATE</x:v>
      </x:c>
      <x:c r="D816" t="str">
        <x:v>release state mirrors governing ledger</x:v>
      </x:c>
      <x:c r="E816" t="str">
        <x:f>'Release Gates'!I790</x:f>
        <x:v>OPEN</x:v>
      </x:c>
      <x:c r="F816" t="str">
        <x:f>IF('Release Gates'!C790="PLANNING","PASS",IF('Release Gates'!C790="PHYSICAL","OPEN","BLOCKED"))</x:f>
        <x:v>OPEN</x:v>
      </x:c>
      <x:c r="G816" t="str">
        <x:v>equals</x:v>
      </x:c>
      <x:c r="H816" t="str">
        <x:f>IF(E816=F816,"PASS","FAIL")</x:f>
        <x:v>PASS</x:v>
      </x:c>
    </x:row>
    <x:row r="817">
      <x:c r="B817" t="str">
        <x:v>A-00785</x:v>
      </x:c>
      <x:c r="C817" t="str">
        <x:v>GATE</x:v>
      </x:c>
      <x:c r="D817" t="str">
        <x:v>release state mirrors governing ledger</x:v>
      </x:c>
      <x:c r="E817" t="str">
        <x:f>'Release Gates'!I791</x:f>
        <x:v>OPEN</x:v>
      </x:c>
      <x:c r="F817" t="str">
        <x:f>IF('Release Gates'!C791="PLANNING","PASS",IF('Release Gates'!C791="PHYSICAL","OPEN","BLOCKED"))</x:f>
        <x:v>OPEN</x:v>
      </x:c>
      <x:c r="G817" t="str">
        <x:v>equals</x:v>
      </x:c>
      <x:c r="H817" t="str">
        <x:f>IF(E817=F817,"PASS","FAIL")</x:f>
        <x:v>PASS</x:v>
      </x:c>
    </x:row>
    <x:row r="818">
      <x:c r="B818" t="str">
        <x:v>A-00786</x:v>
      </x:c>
      <x:c r="C818" t="str">
        <x:v>GATE</x:v>
      </x:c>
      <x:c r="D818" t="str">
        <x:v>release state mirrors governing ledger</x:v>
      </x:c>
      <x:c r="E818" t="str">
        <x:f>'Release Gates'!I792</x:f>
        <x:v>OPEN</x:v>
      </x:c>
      <x:c r="F818" t="str">
        <x:f>IF('Release Gates'!C792="PLANNING","PASS",IF('Release Gates'!C792="PHYSICAL","OPEN","BLOCKED"))</x:f>
        <x:v>OPEN</x:v>
      </x:c>
      <x:c r="G818" t="str">
        <x:v>equals</x:v>
      </x:c>
      <x:c r="H818" t="str">
        <x:f>IF(E818=F818,"PASS","FAIL")</x:f>
        <x:v>PASS</x:v>
      </x:c>
    </x:row>
    <x:row r="819">
      <x:c r="B819" t="str">
        <x:v>A-00787</x:v>
      </x:c>
      <x:c r="C819" t="str">
        <x:v>GATE</x:v>
      </x:c>
      <x:c r="D819" t="str">
        <x:v>release state mirrors governing ledger</x:v>
      </x:c>
      <x:c r="E819" t="str">
        <x:f>'Release Gates'!I793</x:f>
        <x:v>OPEN</x:v>
      </x:c>
      <x:c r="F819" t="str">
        <x:f>IF('Release Gates'!C793="PLANNING","PASS",IF('Release Gates'!C793="PHYSICAL","OPEN","BLOCKED"))</x:f>
        <x:v>OPEN</x:v>
      </x:c>
      <x:c r="G819" t="str">
        <x:v>equals</x:v>
      </x:c>
      <x:c r="H819" t="str">
        <x:f>IF(E819=F819,"PASS","FAIL")</x:f>
        <x:v>PASS</x:v>
      </x:c>
    </x:row>
    <x:row r="820">
      <x:c r="B820" t="str">
        <x:v>A-00788</x:v>
      </x:c>
      <x:c r="C820" t="str">
        <x:v>GATE</x:v>
      </x:c>
      <x:c r="D820" t="str">
        <x:v>release state mirrors governing ledger</x:v>
      </x:c>
      <x:c r="E820" t="str">
        <x:f>'Release Gates'!I794</x:f>
        <x:v>OPEN</x:v>
      </x:c>
      <x:c r="F820" t="str">
        <x:f>IF('Release Gates'!C794="PLANNING","PASS",IF('Release Gates'!C794="PHYSICAL","OPEN","BLOCKED"))</x:f>
        <x:v>OPEN</x:v>
      </x:c>
      <x:c r="G820" t="str">
        <x:v>equals</x:v>
      </x:c>
      <x:c r="H820" t="str">
        <x:f>IF(E820=F820,"PASS","FAIL")</x:f>
        <x:v>PASS</x:v>
      </x:c>
    </x:row>
    <x:row r="821">
      <x:c r="B821" t="str">
        <x:v>A-00789</x:v>
      </x:c>
      <x:c r="C821" t="str">
        <x:v>GATE</x:v>
      </x:c>
      <x:c r="D821" t="str">
        <x:v>release state mirrors governing ledger</x:v>
      </x:c>
      <x:c r="E821" t="str">
        <x:f>'Release Gates'!I795</x:f>
        <x:v>OPEN</x:v>
      </x:c>
      <x:c r="F821" t="str">
        <x:f>IF('Release Gates'!C795="PLANNING","PASS",IF('Release Gates'!C795="PHYSICAL","OPEN","BLOCKED"))</x:f>
        <x:v>OPEN</x:v>
      </x:c>
      <x:c r="G821" t="str">
        <x:v>equals</x:v>
      </x:c>
      <x:c r="H821" t="str">
        <x:f>IF(E821=F821,"PASS","FAIL")</x:f>
        <x:v>PASS</x:v>
      </x:c>
    </x:row>
    <x:row r="822">
      <x:c r="B822" t="str">
        <x:v>A-00790</x:v>
      </x:c>
      <x:c r="C822" t="str">
        <x:v>GATE</x:v>
      </x:c>
      <x:c r="D822" t="str">
        <x:v>release state mirrors governing ledger</x:v>
      </x:c>
      <x:c r="E822" t="str">
        <x:f>'Release Gates'!I796</x:f>
        <x:v>OPEN</x:v>
      </x:c>
      <x:c r="F822" t="str">
        <x:f>IF('Release Gates'!C796="PLANNING","PASS",IF('Release Gates'!C796="PHYSICAL","OPEN","BLOCKED"))</x:f>
        <x:v>OPEN</x:v>
      </x:c>
      <x:c r="G822" t="str">
        <x:v>equals</x:v>
      </x:c>
      <x:c r="H822" t="str">
        <x:f>IF(E822=F822,"PASS","FAIL")</x:f>
        <x:v>PASS</x:v>
      </x:c>
    </x:row>
    <x:row r="823">
      <x:c r="B823" t="str">
        <x:v>A-00791</x:v>
      </x:c>
      <x:c r="C823" t="str">
        <x:v>GATE</x:v>
      </x:c>
      <x:c r="D823" t="str">
        <x:v>release state mirrors governing ledger</x:v>
      </x:c>
      <x:c r="E823" t="str">
        <x:f>'Release Gates'!I797</x:f>
        <x:v>OPEN</x:v>
      </x:c>
      <x:c r="F823" t="str">
        <x:f>IF('Release Gates'!C797="PLANNING","PASS",IF('Release Gates'!C797="PHYSICAL","OPEN","BLOCKED"))</x:f>
        <x:v>OPEN</x:v>
      </x:c>
      <x:c r="G823" t="str">
        <x:v>equals</x:v>
      </x:c>
      <x:c r="H823" t="str">
        <x:f>IF(E823=F823,"PASS","FAIL")</x:f>
        <x:v>PASS</x:v>
      </x:c>
    </x:row>
    <x:row r="824">
      <x:c r="B824" t="str">
        <x:v>A-00792</x:v>
      </x:c>
      <x:c r="C824" t="str">
        <x:v>GATE</x:v>
      </x:c>
      <x:c r="D824" t="str">
        <x:v>release state mirrors governing ledger</x:v>
      </x:c>
      <x:c r="E824" t="str">
        <x:f>'Release Gates'!I798</x:f>
        <x:v>OPEN</x:v>
      </x:c>
      <x:c r="F824" t="str">
        <x:f>IF('Release Gates'!C798="PLANNING","PASS",IF('Release Gates'!C798="PHYSICAL","OPEN","BLOCKED"))</x:f>
        <x:v>OPEN</x:v>
      </x:c>
      <x:c r="G824" t="str">
        <x:v>equals</x:v>
      </x:c>
      <x:c r="H824" t="str">
        <x:f>IF(E824=F824,"PASS","FAIL")</x:f>
        <x:v>PASS</x:v>
      </x:c>
    </x:row>
    <x:row r="825">
      <x:c r="B825" t="str">
        <x:v>A-00793</x:v>
      </x:c>
      <x:c r="C825" t="str">
        <x:v>GATE</x:v>
      </x:c>
      <x:c r="D825" t="str">
        <x:v>release state mirrors governing ledger</x:v>
      </x:c>
      <x:c r="E825" t="str">
        <x:f>'Release Gates'!I799</x:f>
        <x:v>OPEN</x:v>
      </x:c>
      <x:c r="F825" t="str">
        <x:f>IF('Release Gates'!C799="PLANNING","PASS",IF('Release Gates'!C799="PHYSICAL","OPEN","BLOCKED"))</x:f>
        <x:v>OPEN</x:v>
      </x:c>
      <x:c r="G825" t="str">
        <x:v>equals</x:v>
      </x:c>
      <x:c r="H825" t="str">
        <x:f>IF(E825=F825,"PASS","FAIL")</x:f>
        <x:v>PASS</x:v>
      </x:c>
    </x:row>
    <x:row r="826">
      <x:c r="B826" t="str">
        <x:v>A-00794</x:v>
      </x:c>
      <x:c r="C826" t="str">
        <x:v>GATE</x:v>
      </x:c>
      <x:c r="D826" t="str">
        <x:v>release state mirrors governing ledger</x:v>
      </x:c>
      <x:c r="E826" t="str">
        <x:f>'Release Gates'!I800</x:f>
        <x:v>OPEN</x:v>
      </x:c>
      <x:c r="F826" t="str">
        <x:f>IF('Release Gates'!C800="PLANNING","PASS",IF('Release Gates'!C800="PHYSICAL","OPEN","BLOCKED"))</x:f>
        <x:v>OPEN</x:v>
      </x:c>
      <x:c r="G826" t="str">
        <x:v>equals</x:v>
      </x:c>
      <x:c r="H826" t="str">
        <x:f>IF(E826=F826,"PASS","FAIL")</x:f>
        <x:v>PASS</x:v>
      </x:c>
    </x:row>
    <x:row r="827">
      <x:c r="B827" t="str">
        <x:v>A-00795</x:v>
      </x:c>
      <x:c r="C827" t="str">
        <x:v>GATE</x:v>
      </x:c>
      <x:c r="D827" t="str">
        <x:v>release state mirrors governing ledger</x:v>
      </x:c>
      <x:c r="E827" t="str">
        <x:f>'Release Gates'!I801</x:f>
        <x:v>OPEN</x:v>
      </x:c>
      <x:c r="F827" t="str">
        <x:f>IF('Release Gates'!C801="PLANNING","PASS",IF('Release Gates'!C801="PHYSICAL","OPEN","BLOCKED"))</x:f>
        <x:v>OPEN</x:v>
      </x:c>
      <x:c r="G827" t="str">
        <x:v>equals</x:v>
      </x:c>
      <x:c r="H827" t="str">
        <x:f>IF(E827=F827,"PASS","FAIL")</x:f>
        <x:v>PASS</x:v>
      </x:c>
    </x:row>
    <x:row r="828">
      <x:c r="B828" t="str">
        <x:v>A-00796</x:v>
      </x:c>
      <x:c r="C828" t="str">
        <x:v>GATE</x:v>
      </x:c>
      <x:c r="D828" t="str">
        <x:v>release state mirrors governing ledger</x:v>
      </x:c>
      <x:c r="E828" t="str">
        <x:f>'Release Gates'!I802</x:f>
        <x:v>OPEN</x:v>
      </x:c>
      <x:c r="F828" t="str">
        <x:f>IF('Release Gates'!C802="PLANNING","PASS",IF('Release Gates'!C802="PHYSICAL","OPEN","BLOCKED"))</x:f>
        <x:v>OPEN</x:v>
      </x:c>
      <x:c r="G828" t="str">
        <x:v>equals</x:v>
      </x:c>
      <x:c r="H828" t="str">
        <x:f>IF(E828=F828,"PASS","FAIL")</x:f>
        <x:v>PASS</x:v>
      </x:c>
    </x:row>
    <x:row r="829">
      <x:c r="B829" t="str">
        <x:v>A-00797</x:v>
      </x:c>
      <x:c r="C829" t="str">
        <x:v>GATE</x:v>
      </x:c>
      <x:c r="D829" t="str">
        <x:v>release state mirrors governing ledger</x:v>
      </x:c>
      <x:c r="E829" t="str">
        <x:f>'Release Gates'!I803</x:f>
        <x:v>OPEN</x:v>
      </x:c>
      <x:c r="F829" t="str">
        <x:f>IF('Release Gates'!C803="PLANNING","PASS",IF('Release Gates'!C803="PHYSICAL","OPEN","BLOCKED"))</x:f>
        <x:v>OPEN</x:v>
      </x:c>
      <x:c r="G829" t="str">
        <x:v>equals</x:v>
      </x:c>
      <x:c r="H829" t="str">
        <x:f>IF(E829=F829,"PASS","FAIL")</x:f>
        <x:v>PASS</x:v>
      </x:c>
    </x:row>
    <x:row r="830">
      <x:c r="B830" t="str">
        <x:v>A-00798</x:v>
      </x:c>
      <x:c r="C830" t="str">
        <x:v>GATE</x:v>
      </x:c>
      <x:c r="D830" t="str">
        <x:v>release state mirrors governing ledger</x:v>
      </x:c>
      <x:c r="E830" t="str">
        <x:f>'Release Gates'!I804</x:f>
        <x:v>OPEN</x:v>
      </x:c>
      <x:c r="F830" t="str">
        <x:f>IF('Release Gates'!C804="PLANNING","PASS",IF('Release Gates'!C804="PHYSICAL","OPEN","BLOCKED"))</x:f>
        <x:v>OPEN</x:v>
      </x:c>
      <x:c r="G830" t="str">
        <x:v>equals</x:v>
      </x:c>
      <x:c r="H830" t="str">
        <x:f>IF(E830=F830,"PASS","FAIL")</x:f>
        <x:v>PASS</x:v>
      </x:c>
    </x:row>
    <x:row r="831">
      <x:c r="B831" t="str">
        <x:v>A-00799</x:v>
      </x:c>
      <x:c r="C831" t="str">
        <x:v>GATE</x:v>
      </x:c>
      <x:c r="D831" t="str">
        <x:v>release state mirrors governing ledger</x:v>
      </x:c>
      <x:c r="E831" t="str">
        <x:f>'Release Gates'!I805</x:f>
        <x:v>OPEN</x:v>
      </x:c>
      <x:c r="F831" t="str">
        <x:f>IF('Release Gates'!C805="PLANNING","PASS",IF('Release Gates'!C805="PHYSICAL","OPEN","BLOCKED"))</x:f>
        <x:v>OPEN</x:v>
      </x:c>
      <x:c r="G831" t="str">
        <x:v>equals</x:v>
      </x:c>
      <x:c r="H831" t="str">
        <x:f>IF(E831=F831,"PASS","FAIL")</x:f>
        <x:v>PASS</x:v>
      </x:c>
    </x:row>
    <x:row r="832">
      <x:c r="B832" t="str">
        <x:v>A-00800</x:v>
      </x:c>
      <x:c r="C832" t="str">
        <x:v>GATE</x:v>
      </x:c>
      <x:c r="D832" t="str">
        <x:v>release state mirrors governing ledger</x:v>
      </x:c>
      <x:c r="E832" t="str">
        <x:f>'Release Gates'!I806</x:f>
        <x:v>OPEN</x:v>
      </x:c>
      <x:c r="F832" t="str">
        <x:f>IF('Release Gates'!C806="PLANNING","PASS",IF('Release Gates'!C806="PHYSICAL","OPEN","BLOCKED"))</x:f>
        <x:v>OPEN</x:v>
      </x:c>
      <x:c r="G832" t="str">
        <x:v>equals</x:v>
      </x:c>
      <x:c r="H832" t="str">
        <x:f>IF(E832=F832,"PASS","FAIL")</x:f>
        <x:v>PASS</x:v>
      </x:c>
    </x:row>
    <x:row r="833">
      <x:c r="B833" t="str">
        <x:v>A-00801</x:v>
      </x:c>
      <x:c r="C833" t="str">
        <x:v>GATE</x:v>
      </x:c>
      <x:c r="D833" t="str">
        <x:v>release state mirrors governing ledger</x:v>
      </x:c>
      <x:c r="E833" t="str">
        <x:f>'Release Gates'!I807</x:f>
        <x:v>OPEN</x:v>
      </x:c>
      <x:c r="F833" t="str">
        <x:f>IF('Release Gates'!C807="PLANNING","PASS",IF('Release Gates'!C807="PHYSICAL","OPEN","BLOCKED"))</x:f>
        <x:v>OPEN</x:v>
      </x:c>
      <x:c r="G833" t="str">
        <x:v>equals</x:v>
      </x:c>
      <x:c r="H833" t="str">
        <x:f>IF(E833=F833,"PASS","FAIL")</x:f>
        <x:v>PASS</x:v>
      </x:c>
    </x:row>
    <x:row r="834">
      <x:c r="B834" t="str">
        <x:v>A-00802</x:v>
      </x:c>
      <x:c r="C834" t="str">
        <x:v>GATE</x:v>
      </x:c>
      <x:c r="D834" t="str">
        <x:v>release state mirrors governing ledger</x:v>
      </x:c>
      <x:c r="E834" t="str">
        <x:f>'Release Gates'!I808</x:f>
        <x:v>OPEN</x:v>
      </x:c>
      <x:c r="F834" t="str">
        <x:f>IF('Release Gates'!C808="PLANNING","PASS",IF('Release Gates'!C808="PHYSICAL","OPEN","BLOCKED"))</x:f>
        <x:v>OPEN</x:v>
      </x:c>
      <x:c r="G834" t="str">
        <x:v>equals</x:v>
      </x:c>
      <x:c r="H834" t="str">
        <x:f>IF(E834=F834,"PASS","FAIL")</x:f>
        <x:v>PASS</x:v>
      </x:c>
    </x:row>
    <x:row r="835">
      <x:c r="B835" t="str">
        <x:v>A-00803</x:v>
      </x:c>
      <x:c r="C835" t="str">
        <x:v>GATE</x:v>
      </x:c>
      <x:c r="D835" t="str">
        <x:v>release state mirrors governing ledger</x:v>
      </x:c>
      <x:c r="E835" t="str">
        <x:f>'Release Gates'!I809</x:f>
        <x:v>OPEN</x:v>
      </x:c>
      <x:c r="F835" t="str">
        <x:f>IF('Release Gates'!C809="PLANNING","PASS",IF('Release Gates'!C809="PHYSICAL","OPEN","BLOCKED"))</x:f>
        <x:v>OPEN</x:v>
      </x:c>
      <x:c r="G835" t="str">
        <x:v>equals</x:v>
      </x:c>
      <x:c r="H835" t="str">
        <x:f>IF(E835=F835,"PASS","FAIL")</x:f>
        <x:v>PASS</x:v>
      </x:c>
    </x:row>
    <x:row r="836">
      <x:c r="B836" t="str">
        <x:v>A-00804</x:v>
      </x:c>
      <x:c r="C836" t="str">
        <x:v>GATE</x:v>
      </x:c>
      <x:c r="D836" t="str">
        <x:v>release state mirrors governing ledger</x:v>
      </x:c>
      <x:c r="E836" t="str">
        <x:f>'Release Gates'!I810</x:f>
        <x:v>OPEN</x:v>
      </x:c>
      <x:c r="F836" t="str">
        <x:f>IF('Release Gates'!C810="PLANNING","PASS",IF('Release Gates'!C810="PHYSICAL","OPEN","BLOCKED"))</x:f>
        <x:v>OPEN</x:v>
      </x:c>
      <x:c r="G836" t="str">
        <x:v>equals</x:v>
      </x:c>
      <x:c r="H836" t="str">
        <x:f>IF(E836=F836,"PASS","FAIL")</x:f>
        <x:v>PASS</x:v>
      </x:c>
    </x:row>
    <x:row r="837">
      <x:c r="B837" t="str">
        <x:v>A-00805</x:v>
      </x:c>
      <x:c r="C837" t="str">
        <x:v>GATE</x:v>
      </x:c>
      <x:c r="D837" t="str">
        <x:v>release state mirrors governing ledger</x:v>
      </x:c>
      <x:c r="E837" t="str">
        <x:f>'Release Gates'!I811</x:f>
        <x:v>OPEN</x:v>
      </x:c>
      <x:c r="F837" t="str">
        <x:f>IF('Release Gates'!C811="PLANNING","PASS",IF('Release Gates'!C811="PHYSICAL","OPEN","BLOCKED"))</x:f>
        <x:v>OPEN</x:v>
      </x:c>
      <x:c r="G837" t="str">
        <x:v>equals</x:v>
      </x:c>
      <x:c r="H837" t="str">
        <x:f>IF(E837=F837,"PASS","FAIL")</x:f>
        <x:v>PASS</x:v>
      </x:c>
    </x:row>
    <x:row r="838">
      <x:c r="B838" t="str">
        <x:v>A-00806</x:v>
      </x:c>
      <x:c r="C838" t="str">
        <x:v>GATE</x:v>
      </x:c>
      <x:c r="D838" t="str">
        <x:v>release state mirrors governing ledger</x:v>
      </x:c>
      <x:c r="E838" t="str">
        <x:f>'Release Gates'!I812</x:f>
        <x:v>OPEN</x:v>
      </x:c>
      <x:c r="F838" t="str">
        <x:f>IF('Release Gates'!C812="PLANNING","PASS",IF('Release Gates'!C812="PHYSICAL","OPEN","BLOCKED"))</x:f>
        <x:v>OPEN</x:v>
      </x:c>
      <x:c r="G838" t="str">
        <x:v>equals</x:v>
      </x:c>
      <x:c r="H838" t="str">
        <x:f>IF(E838=F838,"PASS","FAIL")</x:f>
        <x:v>PASS</x:v>
      </x:c>
    </x:row>
    <x:row r="839">
      <x:c r="B839" t="str">
        <x:v>A-00807</x:v>
      </x:c>
      <x:c r="C839" t="str">
        <x:v>GATE</x:v>
      </x:c>
      <x:c r="D839" t="str">
        <x:v>release state mirrors governing ledger</x:v>
      </x:c>
      <x:c r="E839" t="str">
        <x:f>'Release Gates'!I813</x:f>
        <x:v>OPEN</x:v>
      </x:c>
      <x:c r="F839" t="str">
        <x:f>IF('Release Gates'!C813="PLANNING","PASS",IF('Release Gates'!C813="PHYSICAL","OPEN","BLOCKED"))</x:f>
        <x:v>OPEN</x:v>
      </x:c>
      <x:c r="G839" t="str">
        <x:v>equals</x:v>
      </x:c>
      <x:c r="H839" t="str">
        <x:f>IF(E839=F839,"PASS","FAIL")</x:f>
        <x:v>PASS</x:v>
      </x:c>
    </x:row>
    <x:row r="840">
      <x:c r="B840" t="str">
        <x:v>A-00808</x:v>
      </x:c>
      <x:c r="C840" t="str">
        <x:v>GATE</x:v>
      </x:c>
      <x:c r="D840" t="str">
        <x:v>release state mirrors governing ledger</x:v>
      </x:c>
      <x:c r="E840" t="str">
        <x:f>'Release Gates'!I814</x:f>
        <x:v>OPEN</x:v>
      </x:c>
      <x:c r="F840" t="str">
        <x:f>IF('Release Gates'!C814="PLANNING","PASS",IF('Release Gates'!C814="PHYSICAL","OPEN","BLOCKED"))</x:f>
        <x:v>OPEN</x:v>
      </x:c>
      <x:c r="G840" t="str">
        <x:v>equals</x:v>
      </x:c>
      <x:c r="H840" t="str">
        <x:f>IF(E840=F840,"PASS","FAIL")</x:f>
        <x:v>PASS</x:v>
      </x:c>
    </x:row>
    <x:row r="841">
      <x:c r="B841" t="str">
        <x:v>A-00809</x:v>
      </x:c>
      <x:c r="C841" t="str">
        <x:v>GATE</x:v>
      </x:c>
      <x:c r="D841" t="str">
        <x:v>release state mirrors governing ledger</x:v>
      </x:c>
      <x:c r="E841" t="str">
        <x:f>'Release Gates'!I815</x:f>
        <x:v>OPEN</x:v>
      </x:c>
      <x:c r="F841" t="str">
        <x:f>IF('Release Gates'!C815="PLANNING","PASS",IF('Release Gates'!C815="PHYSICAL","OPEN","BLOCKED"))</x:f>
        <x:v>OPEN</x:v>
      </x:c>
      <x:c r="G841" t="str">
        <x:v>equals</x:v>
      </x:c>
      <x:c r="H841" t="str">
        <x:f>IF(E841=F841,"PASS","FAIL")</x:f>
        <x:v>PASS</x:v>
      </x:c>
    </x:row>
    <x:row r="842">
      <x:c r="B842" t="str">
        <x:v>A-00810</x:v>
      </x:c>
      <x:c r="C842" t="str">
        <x:v>GATE</x:v>
      </x:c>
      <x:c r="D842" t="str">
        <x:v>release state mirrors governing ledger</x:v>
      </x:c>
      <x:c r="E842" t="str">
        <x:f>'Release Gates'!I816</x:f>
        <x:v>OPEN</x:v>
      </x:c>
      <x:c r="F842" t="str">
        <x:f>IF('Release Gates'!C816="PLANNING","PASS",IF('Release Gates'!C816="PHYSICAL","OPEN","BLOCKED"))</x:f>
        <x:v>OPEN</x:v>
      </x:c>
      <x:c r="G842" t="str">
        <x:v>equals</x:v>
      </x:c>
      <x:c r="H842" t="str">
        <x:f>IF(E842=F842,"PASS","FAIL")</x:f>
        <x:v>PASS</x:v>
      </x:c>
    </x:row>
    <x:row r="843">
      <x:c r="B843" t="str">
        <x:v>A-00811</x:v>
      </x:c>
      <x:c r="C843" t="str">
        <x:v>GATE</x:v>
      </x:c>
      <x:c r="D843" t="str">
        <x:v>release state mirrors governing ledger</x:v>
      </x:c>
      <x:c r="E843" t="str">
        <x:f>'Release Gates'!I817</x:f>
        <x:v>OPEN</x:v>
      </x:c>
      <x:c r="F843" t="str">
        <x:f>IF('Release Gates'!C817="PLANNING","PASS",IF('Release Gates'!C817="PHYSICAL","OPEN","BLOCKED"))</x:f>
        <x:v>OPEN</x:v>
      </x:c>
      <x:c r="G843" t="str">
        <x:v>equals</x:v>
      </x:c>
      <x:c r="H843" t="str">
        <x:f>IF(E843=F843,"PASS","FAIL")</x:f>
        <x:v>PASS</x:v>
      </x:c>
    </x:row>
    <x:row r="844">
      <x:c r="B844" t="str">
        <x:v>A-00812</x:v>
      </x:c>
      <x:c r="C844" t="str">
        <x:v>GATE</x:v>
      </x:c>
      <x:c r="D844" t="str">
        <x:v>release state mirrors governing ledger</x:v>
      </x:c>
      <x:c r="E844" t="str">
        <x:f>'Release Gates'!I818</x:f>
        <x:v>OPEN</x:v>
      </x:c>
      <x:c r="F844" t="str">
        <x:f>IF('Release Gates'!C818="PLANNING","PASS",IF('Release Gates'!C818="PHYSICAL","OPEN","BLOCKED"))</x:f>
        <x:v>OPEN</x:v>
      </x:c>
      <x:c r="G844" t="str">
        <x:v>equals</x:v>
      </x:c>
      <x:c r="H844" t="str">
        <x:f>IF(E844=F844,"PASS","FAIL")</x:f>
        <x:v>PASS</x:v>
      </x:c>
    </x:row>
    <x:row r="845">
      <x:c r="B845" t="str">
        <x:v>A-00813</x:v>
      </x:c>
      <x:c r="C845" t="str">
        <x:v>GATE</x:v>
      </x:c>
      <x:c r="D845" t="str">
        <x:v>release state mirrors governing ledger</x:v>
      </x:c>
      <x:c r="E845" t="str">
        <x:f>'Release Gates'!I819</x:f>
        <x:v>OPEN</x:v>
      </x:c>
      <x:c r="F845" t="str">
        <x:f>IF('Release Gates'!C819="PLANNING","PASS",IF('Release Gates'!C819="PHYSICAL","OPEN","BLOCKED"))</x:f>
        <x:v>OPEN</x:v>
      </x:c>
      <x:c r="G845" t="str">
        <x:v>equals</x:v>
      </x:c>
      <x:c r="H845" t="str">
        <x:f>IF(E845=F845,"PASS","FAIL")</x:f>
        <x:v>PASS</x:v>
      </x:c>
    </x:row>
    <x:row r="846">
      <x:c r="B846" t="str">
        <x:v>A-00814</x:v>
      </x:c>
      <x:c r="C846" t="str">
        <x:v>GATE</x:v>
      </x:c>
      <x:c r="D846" t="str">
        <x:v>release state mirrors governing ledger</x:v>
      </x:c>
      <x:c r="E846" t="str">
        <x:f>'Release Gates'!I820</x:f>
        <x:v>OPEN</x:v>
      </x:c>
      <x:c r="F846" t="str">
        <x:f>IF('Release Gates'!C820="PLANNING","PASS",IF('Release Gates'!C820="PHYSICAL","OPEN","BLOCKED"))</x:f>
        <x:v>OPEN</x:v>
      </x:c>
      <x:c r="G846" t="str">
        <x:v>equals</x:v>
      </x:c>
      <x:c r="H846" t="str">
        <x:f>IF(E846=F846,"PASS","FAIL")</x:f>
        <x:v>PASS</x:v>
      </x:c>
    </x:row>
    <x:row r="847">
      <x:c r="B847" t="str">
        <x:v>A-00815</x:v>
      </x:c>
      <x:c r="C847" t="str">
        <x:v>GATE</x:v>
      </x:c>
      <x:c r="D847" t="str">
        <x:v>release state mirrors governing ledger</x:v>
      </x:c>
      <x:c r="E847" t="str">
        <x:f>'Release Gates'!I821</x:f>
        <x:v>OPEN</x:v>
      </x:c>
      <x:c r="F847" t="str">
        <x:f>IF('Release Gates'!C821="PLANNING","PASS",IF('Release Gates'!C821="PHYSICAL","OPEN","BLOCKED"))</x:f>
        <x:v>OPEN</x:v>
      </x:c>
      <x:c r="G847" t="str">
        <x:v>equals</x:v>
      </x:c>
      <x:c r="H847" t="str">
        <x:f>IF(E847=F847,"PASS","FAIL")</x:f>
        <x:v>PASS</x:v>
      </x:c>
    </x:row>
    <x:row r="848">
      <x:c r="B848" t="str">
        <x:v>A-00816</x:v>
      </x:c>
      <x:c r="C848" t="str">
        <x:v>GATE</x:v>
      </x:c>
      <x:c r="D848" t="str">
        <x:v>release state mirrors governing ledger</x:v>
      </x:c>
      <x:c r="E848" t="str">
        <x:f>'Release Gates'!I822</x:f>
        <x:v>OPEN</x:v>
      </x:c>
      <x:c r="F848" t="str">
        <x:f>IF('Release Gates'!C822="PLANNING","PASS",IF('Release Gates'!C822="PHYSICAL","OPEN","BLOCKED"))</x:f>
        <x:v>OPEN</x:v>
      </x:c>
      <x:c r="G848" t="str">
        <x:v>equals</x:v>
      </x:c>
      <x:c r="H848" t="str">
        <x:f>IF(E848=F848,"PASS","FAIL")</x:f>
        <x:v>PASS</x:v>
      </x:c>
    </x:row>
    <x:row r="849">
      <x:c r="B849" t="str">
        <x:v>A-00817</x:v>
      </x:c>
      <x:c r="C849" t="str">
        <x:v>GATE</x:v>
      </x:c>
      <x:c r="D849" t="str">
        <x:v>release state mirrors governing ledger</x:v>
      </x:c>
      <x:c r="E849" t="str">
        <x:f>'Release Gates'!I823</x:f>
        <x:v>OPEN</x:v>
      </x:c>
      <x:c r="F849" t="str">
        <x:f>IF('Release Gates'!C823="PLANNING","PASS",IF('Release Gates'!C823="PHYSICAL","OPEN","BLOCKED"))</x:f>
        <x:v>OPEN</x:v>
      </x:c>
      <x:c r="G849" t="str">
        <x:v>equals</x:v>
      </x:c>
      <x:c r="H849" t="str">
        <x:f>IF(E849=F849,"PASS","FAIL")</x:f>
        <x:v>PASS</x:v>
      </x:c>
    </x:row>
    <x:row r="850">
      <x:c r="B850" t="str">
        <x:v>A-00818</x:v>
      </x:c>
      <x:c r="C850" t="str">
        <x:v>GATE</x:v>
      </x:c>
      <x:c r="D850" t="str">
        <x:v>release state mirrors governing ledger</x:v>
      </x:c>
      <x:c r="E850" t="str">
        <x:f>'Release Gates'!I824</x:f>
        <x:v>OPEN</x:v>
      </x:c>
      <x:c r="F850" t="str">
        <x:f>IF('Release Gates'!C824="PLANNING","PASS",IF('Release Gates'!C824="PHYSICAL","OPEN","BLOCKED"))</x:f>
        <x:v>OPEN</x:v>
      </x:c>
      <x:c r="G850" t="str">
        <x:v>equals</x:v>
      </x:c>
      <x:c r="H850" t="str">
        <x:f>IF(E850=F850,"PASS","FAIL")</x:f>
        <x:v>PASS</x:v>
      </x:c>
    </x:row>
    <x:row r="851">
      <x:c r="B851" t="str">
        <x:v>A-00819</x:v>
      </x:c>
      <x:c r="C851" t="str">
        <x:v>GATE</x:v>
      </x:c>
      <x:c r="D851" t="str">
        <x:v>release state mirrors governing ledger</x:v>
      </x:c>
      <x:c r="E851" t="str">
        <x:f>'Release Gates'!I825</x:f>
        <x:v>OPEN</x:v>
      </x:c>
      <x:c r="F851" t="str">
        <x:f>IF('Release Gates'!C825="PLANNING","PASS",IF('Release Gates'!C825="PHYSICAL","OPEN","BLOCKED"))</x:f>
        <x:v>OPEN</x:v>
      </x:c>
      <x:c r="G851" t="str">
        <x:v>equals</x:v>
      </x:c>
      <x:c r="H851" t="str">
        <x:f>IF(E851=F851,"PASS","FAIL")</x:f>
        <x:v>PASS</x:v>
      </x:c>
    </x:row>
    <x:row r="852">
      <x:c r="B852" t="str">
        <x:v>A-00820</x:v>
      </x:c>
      <x:c r="C852" t="str">
        <x:v>GATE</x:v>
      </x:c>
      <x:c r="D852" t="str">
        <x:v>release state mirrors governing ledger</x:v>
      </x:c>
      <x:c r="E852" t="str">
        <x:f>'Release Gates'!I826</x:f>
        <x:v>OPEN</x:v>
      </x:c>
      <x:c r="F852" t="str">
        <x:f>IF('Release Gates'!C826="PLANNING","PASS",IF('Release Gates'!C826="PHYSICAL","OPEN","BLOCKED"))</x:f>
        <x:v>OPEN</x:v>
      </x:c>
      <x:c r="G852" t="str">
        <x:v>equals</x:v>
      </x:c>
      <x:c r="H852" t="str">
        <x:f>IF(E852=F852,"PASS","FAIL")</x:f>
        <x:v>PASS</x:v>
      </x:c>
    </x:row>
    <x:row r="853">
      <x:c r="B853" t="str">
        <x:v>A-00821</x:v>
      </x:c>
      <x:c r="C853" t="str">
        <x:v>GATE</x:v>
      </x:c>
      <x:c r="D853" t="str">
        <x:v>release state mirrors governing ledger</x:v>
      </x:c>
      <x:c r="E853" t="str">
        <x:f>'Release Gates'!I827</x:f>
        <x:v>OPEN</x:v>
      </x:c>
      <x:c r="F853" t="str">
        <x:f>IF('Release Gates'!C827="PLANNING","PASS",IF('Release Gates'!C827="PHYSICAL","OPEN","BLOCKED"))</x:f>
        <x:v>OPEN</x:v>
      </x:c>
      <x:c r="G853" t="str">
        <x:v>equals</x:v>
      </x:c>
      <x:c r="H853" t="str">
        <x:f>IF(E853=F853,"PASS","FAIL")</x:f>
        <x:v>PASS</x:v>
      </x:c>
    </x:row>
    <x:row r="854">
      <x:c r="B854" t="str">
        <x:v>A-00822</x:v>
      </x:c>
      <x:c r="C854" t="str">
        <x:v>GATE</x:v>
      </x:c>
      <x:c r="D854" t="str">
        <x:v>release state mirrors governing ledger</x:v>
      </x:c>
      <x:c r="E854" t="str">
        <x:f>'Release Gates'!I828</x:f>
        <x:v>OPEN</x:v>
      </x:c>
      <x:c r="F854" t="str">
        <x:f>IF('Release Gates'!C828="PLANNING","PASS",IF('Release Gates'!C828="PHYSICAL","OPEN","BLOCKED"))</x:f>
        <x:v>OPEN</x:v>
      </x:c>
      <x:c r="G854" t="str">
        <x:v>equals</x:v>
      </x:c>
      <x:c r="H854" t="str">
        <x:f>IF(E854=F854,"PASS","FAIL")</x:f>
        <x:v>PASS</x:v>
      </x:c>
    </x:row>
    <x:row r="855">
      <x:c r="B855" t="str">
        <x:v>A-00823</x:v>
      </x:c>
      <x:c r="C855" t="str">
        <x:v>GATE</x:v>
      </x:c>
      <x:c r="D855" t="str">
        <x:v>release state mirrors governing ledger</x:v>
      </x:c>
      <x:c r="E855" t="str">
        <x:f>'Release Gates'!I829</x:f>
        <x:v>OPEN</x:v>
      </x:c>
      <x:c r="F855" t="str">
        <x:f>IF('Release Gates'!C829="PLANNING","PASS",IF('Release Gates'!C829="PHYSICAL","OPEN","BLOCKED"))</x:f>
        <x:v>OPEN</x:v>
      </x:c>
      <x:c r="G855" t="str">
        <x:v>equals</x:v>
      </x:c>
      <x:c r="H855" t="str">
        <x:f>IF(E855=F855,"PASS","FAIL")</x:f>
        <x:v>PASS</x:v>
      </x:c>
    </x:row>
    <x:row r="856">
      <x:c r="B856" t="str">
        <x:v>A-00824</x:v>
      </x:c>
      <x:c r="C856" t="str">
        <x:v>GATE</x:v>
      </x:c>
      <x:c r="D856" t="str">
        <x:v>release state mirrors governing ledger</x:v>
      </x:c>
      <x:c r="E856" t="str">
        <x:f>'Release Gates'!I830</x:f>
        <x:v>OPEN</x:v>
      </x:c>
      <x:c r="F856" t="str">
        <x:f>IF('Release Gates'!C830="PLANNING","PASS",IF('Release Gates'!C830="PHYSICAL","OPEN","BLOCKED"))</x:f>
        <x:v>OPEN</x:v>
      </x:c>
      <x:c r="G856" t="str">
        <x:v>equals</x:v>
      </x:c>
      <x:c r="H856" t="str">
        <x:f>IF(E856=F856,"PASS","FAIL")</x:f>
        <x:v>PASS</x:v>
      </x:c>
    </x:row>
    <x:row r="857">
      <x:c r="B857" t="str">
        <x:v>A-00825</x:v>
      </x:c>
      <x:c r="C857" t="str">
        <x:v>GATE</x:v>
      </x:c>
      <x:c r="D857" t="str">
        <x:v>release state mirrors governing ledger</x:v>
      </x:c>
      <x:c r="E857" t="str">
        <x:f>'Release Gates'!I831</x:f>
        <x:v>OPEN</x:v>
      </x:c>
      <x:c r="F857" t="str">
        <x:f>IF('Release Gates'!C831="PLANNING","PASS",IF('Release Gates'!C831="PHYSICAL","OPEN","BLOCKED"))</x:f>
        <x:v>OPEN</x:v>
      </x:c>
      <x:c r="G857" t="str">
        <x:v>equals</x:v>
      </x:c>
      <x:c r="H857" t="str">
        <x:f>IF(E857=F857,"PASS","FAIL")</x:f>
        <x:v>PASS</x:v>
      </x:c>
    </x:row>
    <x:row r="858">
      <x:c r="B858" t="str">
        <x:v>A-00826</x:v>
      </x:c>
      <x:c r="C858" t="str">
        <x:v>GATE</x:v>
      </x:c>
      <x:c r="D858" t="str">
        <x:v>release state mirrors governing ledger</x:v>
      </x:c>
      <x:c r="E858" t="str">
        <x:f>'Release Gates'!I832</x:f>
        <x:v>OPEN</x:v>
      </x:c>
      <x:c r="F858" t="str">
        <x:f>IF('Release Gates'!C832="PLANNING","PASS",IF('Release Gates'!C832="PHYSICAL","OPEN","BLOCKED"))</x:f>
        <x:v>OPEN</x:v>
      </x:c>
      <x:c r="G858" t="str">
        <x:v>equals</x:v>
      </x:c>
      <x:c r="H858" t="str">
        <x:f>IF(E858=F858,"PASS","FAIL")</x:f>
        <x:v>PASS</x:v>
      </x:c>
    </x:row>
    <x:row r="859">
      <x:c r="B859" t="str">
        <x:v>A-00827</x:v>
      </x:c>
      <x:c r="C859" t="str">
        <x:v>GATE</x:v>
      </x:c>
      <x:c r="D859" t="str">
        <x:v>release state mirrors governing ledger</x:v>
      </x:c>
      <x:c r="E859" t="str">
        <x:f>'Release Gates'!I833</x:f>
        <x:v>OPEN</x:v>
      </x:c>
      <x:c r="F859" t="str">
        <x:f>IF('Release Gates'!C833="PLANNING","PASS",IF('Release Gates'!C833="PHYSICAL","OPEN","BLOCKED"))</x:f>
        <x:v>OPEN</x:v>
      </x:c>
      <x:c r="G859" t="str">
        <x:v>equals</x:v>
      </x:c>
      <x:c r="H859" t="str">
        <x:f>IF(E859=F859,"PASS","FAIL")</x:f>
        <x:v>PASS</x:v>
      </x:c>
    </x:row>
    <x:row r="860">
      <x:c r="B860" t="str">
        <x:v>A-00828</x:v>
      </x:c>
      <x:c r="C860" t="str">
        <x:v>GATE</x:v>
      </x:c>
      <x:c r="D860" t="str">
        <x:v>release state mirrors governing ledger</x:v>
      </x:c>
      <x:c r="E860" t="str">
        <x:f>'Release Gates'!I834</x:f>
        <x:v>OPEN</x:v>
      </x:c>
      <x:c r="F860" t="str">
        <x:f>IF('Release Gates'!C834="PLANNING","PASS",IF('Release Gates'!C834="PHYSICAL","OPEN","BLOCKED"))</x:f>
        <x:v>OPEN</x:v>
      </x:c>
      <x:c r="G860" t="str">
        <x:v>equals</x:v>
      </x:c>
      <x:c r="H860" t="str">
        <x:f>IF(E860=F860,"PASS","FAIL")</x:f>
        <x:v>PASS</x:v>
      </x:c>
    </x:row>
    <x:row r="861">
      <x:c r="B861" t="str">
        <x:v>A-00829</x:v>
      </x:c>
      <x:c r="C861" t="str">
        <x:v>GATE</x:v>
      </x:c>
      <x:c r="D861" t="str">
        <x:v>release state mirrors governing ledger</x:v>
      </x:c>
      <x:c r="E861" t="str">
        <x:f>'Release Gates'!I835</x:f>
        <x:v>OPEN</x:v>
      </x:c>
      <x:c r="F861" t="str">
        <x:f>IF('Release Gates'!C835="PLANNING","PASS",IF('Release Gates'!C835="PHYSICAL","OPEN","BLOCKED"))</x:f>
        <x:v>OPEN</x:v>
      </x:c>
      <x:c r="G861" t="str">
        <x:v>equals</x:v>
      </x:c>
      <x:c r="H861" t="str">
        <x:f>IF(E861=F861,"PASS","FAIL")</x:f>
        <x:v>PASS</x:v>
      </x:c>
    </x:row>
    <x:row r="862">
      <x:c r="B862" t="str">
        <x:v>A-00830</x:v>
      </x:c>
      <x:c r="C862" t="str">
        <x:v>GATE</x:v>
      </x:c>
      <x:c r="D862" t="str">
        <x:v>release state mirrors governing ledger</x:v>
      </x:c>
      <x:c r="E862" t="str">
        <x:f>'Release Gates'!I836</x:f>
        <x:v>OPEN</x:v>
      </x:c>
      <x:c r="F862" t="str">
        <x:f>IF('Release Gates'!C836="PLANNING","PASS",IF('Release Gates'!C836="PHYSICAL","OPEN","BLOCKED"))</x:f>
        <x:v>OPEN</x:v>
      </x:c>
      <x:c r="G862" t="str">
        <x:v>equals</x:v>
      </x:c>
      <x:c r="H862" t="str">
        <x:f>IF(E862=F862,"PASS","FAIL")</x:f>
        <x:v>PASS</x:v>
      </x:c>
    </x:row>
    <x:row r="863">
      <x:c r="B863" t="str">
        <x:v>A-00831</x:v>
      </x:c>
      <x:c r="C863" t="str">
        <x:v>GATE</x:v>
      </x:c>
      <x:c r="D863" t="str">
        <x:v>release state mirrors governing ledger</x:v>
      </x:c>
      <x:c r="E863" t="str">
        <x:f>'Release Gates'!I837</x:f>
        <x:v>OPEN</x:v>
      </x:c>
      <x:c r="F863" t="str">
        <x:f>IF('Release Gates'!C837="PLANNING","PASS",IF('Release Gates'!C837="PHYSICAL","OPEN","BLOCKED"))</x:f>
        <x:v>OPEN</x:v>
      </x:c>
      <x:c r="G863" t="str">
        <x:v>equals</x:v>
      </x:c>
      <x:c r="H863" t="str">
        <x:f>IF(E863=F863,"PASS","FAIL")</x:f>
        <x:v>PASS</x:v>
      </x:c>
    </x:row>
    <x:row r="864">
      <x:c r="B864" t="str">
        <x:v>A-00832</x:v>
      </x:c>
      <x:c r="C864" t="str">
        <x:v>GATE</x:v>
      </x:c>
      <x:c r="D864" t="str">
        <x:v>release state mirrors governing ledger</x:v>
      </x:c>
      <x:c r="E864" t="str">
        <x:f>'Release Gates'!I838</x:f>
        <x:v>OPEN</x:v>
      </x:c>
      <x:c r="F864" t="str">
        <x:f>IF('Release Gates'!C838="PLANNING","PASS",IF('Release Gates'!C838="PHYSICAL","OPEN","BLOCKED"))</x:f>
        <x:v>OPEN</x:v>
      </x:c>
      <x:c r="G864" t="str">
        <x:v>equals</x:v>
      </x:c>
      <x:c r="H864" t="str">
        <x:f>IF(E864=F864,"PASS","FAIL")</x:f>
        <x:v>PASS</x:v>
      </x:c>
    </x:row>
    <x:row r="865">
      <x:c r="B865" t="str">
        <x:v>A-00833</x:v>
      </x:c>
      <x:c r="C865" t="str">
        <x:v>GATE</x:v>
      </x:c>
      <x:c r="D865" t="str">
        <x:v>release state mirrors governing ledger</x:v>
      </x:c>
      <x:c r="E865" t="str">
        <x:f>'Release Gates'!I839</x:f>
        <x:v>OPEN</x:v>
      </x:c>
      <x:c r="F865" t="str">
        <x:f>IF('Release Gates'!C839="PLANNING","PASS",IF('Release Gates'!C839="PHYSICAL","OPEN","BLOCKED"))</x:f>
        <x:v>OPEN</x:v>
      </x:c>
      <x:c r="G865" t="str">
        <x:v>equals</x:v>
      </x:c>
      <x:c r="H865" t="str">
        <x:f>IF(E865=F865,"PASS","FAIL")</x:f>
        <x:v>PASS</x:v>
      </x:c>
    </x:row>
    <x:row r="866">
      <x:c r="B866" t="str">
        <x:v>A-00834</x:v>
      </x:c>
      <x:c r="C866" t="str">
        <x:v>GATE</x:v>
      </x:c>
      <x:c r="D866" t="str">
        <x:v>release state mirrors governing ledger</x:v>
      </x:c>
      <x:c r="E866" t="str">
        <x:f>'Release Gates'!I840</x:f>
        <x:v>OPEN</x:v>
      </x:c>
      <x:c r="F866" t="str">
        <x:f>IF('Release Gates'!C840="PLANNING","PASS",IF('Release Gates'!C840="PHYSICAL","OPEN","BLOCKED"))</x:f>
        <x:v>OPEN</x:v>
      </x:c>
      <x:c r="G866" t="str">
        <x:v>equals</x:v>
      </x:c>
      <x:c r="H866" t="str">
        <x:f>IF(E866=F866,"PASS","FAIL")</x:f>
        <x:v>PASS</x:v>
      </x:c>
    </x:row>
    <x:row r="867">
      <x:c r="B867" t="str">
        <x:v>A-00835</x:v>
      </x:c>
      <x:c r="C867" t="str">
        <x:v>GATE</x:v>
      </x:c>
      <x:c r="D867" t="str">
        <x:v>release state mirrors governing ledger</x:v>
      </x:c>
      <x:c r="E867" t="str">
        <x:f>'Release Gates'!I841</x:f>
        <x:v>OPEN</x:v>
      </x:c>
      <x:c r="F867" t="str">
        <x:f>IF('Release Gates'!C841="PLANNING","PASS",IF('Release Gates'!C841="PHYSICAL","OPEN","BLOCKED"))</x:f>
        <x:v>OPEN</x:v>
      </x:c>
      <x:c r="G867" t="str">
        <x:v>equals</x:v>
      </x:c>
      <x:c r="H867" t="str">
        <x:f>IF(E867=F867,"PASS","FAIL")</x:f>
        <x:v>PASS</x:v>
      </x:c>
    </x:row>
    <x:row r="868">
      <x:c r="B868" t="str">
        <x:v>A-00836</x:v>
      </x:c>
      <x:c r="C868" t="str">
        <x:v>GATE</x:v>
      </x:c>
      <x:c r="D868" t="str">
        <x:v>release state mirrors governing ledger</x:v>
      </x:c>
      <x:c r="E868" t="str">
        <x:f>'Release Gates'!I842</x:f>
        <x:v>OPEN</x:v>
      </x:c>
      <x:c r="F868" t="str">
        <x:f>IF('Release Gates'!C842="PLANNING","PASS",IF('Release Gates'!C842="PHYSICAL","OPEN","BLOCKED"))</x:f>
        <x:v>OPEN</x:v>
      </x:c>
      <x:c r="G868" t="str">
        <x:v>equals</x:v>
      </x:c>
      <x:c r="H868" t="str">
        <x:f>IF(E868=F868,"PASS","FAIL")</x:f>
        <x:v>PASS</x:v>
      </x:c>
    </x:row>
    <x:row r="869">
      <x:c r="B869" t="str">
        <x:v>A-00837</x:v>
      </x:c>
      <x:c r="C869" t="str">
        <x:v>GATE</x:v>
      </x:c>
      <x:c r="D869" t="str">
        <x:v>release state mirrors governing ledger</x:v>
      </x:c>
      <x:c r="E869" t="str">
        <x:f>'Release Gates'!I843</x:f>
        <x:v>OPEN</x:v>
      </x:c>
      <x:c r="F869" t="str">
        <x:f>IF('Release Gates'!C843="PLANNING","PASS",IF('Release Gates'!C843="PHYSICAL","OPEN","BLOCKED"))</x:f>
        <x:v>OPEN</x:v>
      </x:c>
      <x:c r="G869" t="str">
        <x:v>equals</x:v>
      </x:c>
      <x:c r="H869" t="str">
        <x:f>IF(E869=F869,"PASS","FAIL")</x:f>
        <x:v>PASS</x:v>
      </x:c>
    </x:row>
    <x:row r="870">
      <x:c r="B870" t="str">
        <x:v>A-00838</x:v>
      </x:c>
      <x:c r="C870" t="str">
        <x:v>GATE</x:v>
      </x:c>
      <x:c r="D870" t="str">
        <x:v>release state mirrors governing ledger</x:v>
      </x:c>
      <x:c r="E870" t="str">
        <x:f>'Release Gates'!I844</x:f>
        <x:v>OPEN</x:v>
      </x:c>
      <x:c r="F870" t="str">
        <x:f>IF('Release Gates'!C844="PLANNING","PASS",IF('Release Gates'!C844="PHYSICAL","OPEN","BLOCKED"))</x:f>
        <x:v>OPEN</x:v>
      </x:c>
      <x:c r="G870" t="str">
        <x:v>equals</x:v>
      </x:c>
      <x:c r="H870" t="str">
        <x:f>IF(E870=F870,"PASS","FAIL")</x:f>
        <x:v>PASS</x:v>
      </x:c>
    </x:row>
    <x:row r="871">
      <x:c r="B871" t="str">
        <x:v>A-00839</x:v>
      </x:c>
      <x:c r="C871" t="str">
        <x:v>GATE</x:v>
      </x:c>
      <x:c r="D871" t="str">
        <x:v>release state mirrors governing ledger</x:v>
      </x:c>
      <x:c r="E871" t="str">
        <x:f>'Release Gates'!I845</x:f>
        <x:v>OPEN</x:v>
      </x:c>
      <x:c r="F871" t="str">
        <x:f>IF('Release Gates'!C845="PLANNING","PASS",IF('Release Gates'!C845="PHYSICAL","OPEN","BLOCKED"))</x:f>
        <x:v>OPEN</x:v>
      </x:c>
      <x:c r="G871" t="str">
        <x:v>equals</x:v>
      </x:c>
      <x:c r="H871" t="str">
        <x:f>IF(E871=F871,"PASS","FAIL")</x:f>
        <x:v>PASS</x:v>
      </x:c>
    </x:row>
    <x:row r="872">
      <x:c r="B872" t="str">
        <x:v>A-00840</x:v>
      </x:c>
      <x:c r="C872" t="str">
        <x:v>GATE</x:v>
      </x:c>
      <x:c r="D872" t="str">
        <x:v>release state mirrors governing ledger</x:v>
      </x:c>
      <x:c r="E872" t="str">
        <x:f>'Release Gates'!I846</x:f>
        <x:v>OPEN</x:v>
      </x:c>
      <x:c r="F872" t="str">
        <x:f>IF('Release Gates'!C846="PLANNING","PASS",IF('Release Gates'!C846="PHYSICAL","OPEN","BLOCKED"))</x:f>
        <x:v>OPEN</x:v>
      </x:c>
      <x:c r="G872" t="str">
        <x:v>equals</x:v>
      </x:c>
      <x:c r="H872" t="str">
        <x:f>IF(E872=F872,"PASS","FAIL")</x:f>
        <x:v>PASS</x:v>
      </x:c>
    </x:row>
    <x:row r="873">
      <x:c r="B873" t="str">
        <x:v>A-00841</x:v>
      </x:c>
      <x:c r="C873" t="str">
        <x:v>GATE</x:v>
      </x:c>
      <x:c r="D873" t="str">
        <x:v>release state mirrors governing ledger</x:v>
      </x:c>
      <x:c r="E873" t="str">
        <x:f>'Release Gates'!I847</x:f>
        <x:v>OPEN</x:v>
      </x:c>
      <x:c r="F873" t="str">
        <x:f>IF('Release Gates'!C847="PLANNING","PASS",IF('Release Gates'!C847="PHYSICAL","OPEN","BLOCKED"))</x:f>
        <x:v>OPEN</x:v>
      </x:c>
      <x:c r="G873" t="str">
        <x:v>equals</x:v>
      </x:c>
      <x:c r="H873" t="str">
        <x:f>IF(E873=F873,"PASS","FAIL")</x:f>
        <x:v>PASS</x:v>
      </x:c>
    </x:row>
    <x:row r="874">
      <x:c r="B874" t="str">
        <x:v>A-00842</x:v>
      </x:c>
      <x:c r="C874" t="str">
        <x:v>GATE</x:v>
      </x:c>
      <x:c r="D874" t="str">
        <x:v>release state mirrors governing ledger</x:v>
      </x:c>
      <x:c r="E874" t="str">
        <x:f>'Release Gates'!I848</x:f>
        <x:v>OPEN</x:v>
      </x:c>
      <x:c r="F874" t="str">
        <x:f>IF('Release Gates'!C848="PLANNING","PASS",IF('Release Gates'!C848="PHYSICAL","OPEN","BLOCKED"))</x:f>
        <x:v>OPEN</x:v>
      </x:c>
      <x:c r="G874" t="str">
        <x:v>equals</x:v>
      </x:c>
      <x:c r="H874" t="str">
        <x:f>IF(E874=F874,"PASS","FAIL")</x:f>
        <x:v>PASS</x:v>
      </x:c>
    </x:row>
    <x:row r="875">
      <x:c r="B875" t="str">
        <x:v>A-00843</x:v>
      </x:c>
      <x:c r="C875" t="str">
        <x:v>GATE</x:v>
      </x:c>
      <x:c r="D875" t="str">
        <x:v>release state mirrors governing ledger</x:v>
      </x:c>
      <x:c r="E875" t="str">
        <x:f>'Release Gates'!I849</x:f>
        <x:v>OPEN</x:v>
      </x:c>
      <x:c r="F875" t="str">
        <x:f>IF('Release Gates'!C849="PLANNING","PASS",IF('Release Gates'!C849="PHYSICAL","OPEN","BLOCKED"))</x:f>
        <x:v>OPEN</x:v>
      </x:c>
      <x:c r="G875" t="str">
        <x:v>equals</x:v>
      </x:c>
      <x:c r="H875" t="str">
        <x:f>IF(E875=F875,"PASS","FAIL")</x:f>
        <x:v>PASS</x:v>
      </x:c>
    </x:row>
    <x:row r="876">
      <x:c r="B876" t="str">
        <x:v>A-00844</x:v>
      </x:c>
      <x:c r="C876" t="str">
        <x:v>GATE</x:v>
      </x:c>
      <x:c r="D876" t="str">
        <x:v>release state mirrors governing ledger</x:v>
      </x:c>
      <x:c r="E876" t="str">
        <x:f>'Release Gates'!I850</x:f>
        <x:v>OPEN</x:v>
      </x:c>
      <x:c r="F876" t="str">
        <x:f>IF('Release Gates'!C850="PLANNING","PASS",IF('Release Gates'!C850="PHYSICAL","OPEN","BLOCKED"))</x:f>
        <x:v>OPEN</x:v>
      </x:c>
      <x:c r="G876" t="str">
        <x:v>equals</x:v>
      </x:c>
      <x:c r="H876" t="str">
        <x:f>IF(E876=F876,"PASS","FAIL")</x:f>
        <x:v>PASS</x:v>
      </x:c>
    </x:row>
    <x:row r="877">
      <x:c r="B877" t="str">
        <x:v>A-00845</x:v>
      </x:c>
      <x:c r="C877" t="str">
        <x:v>GATE</x:v>
      </x:c>
      <x:c r="D877" t="str">
        <x:v>release state mirrors governing ledger</x:v>
      </x:c>
      <x:c r="E877" t="str">
        <x:f>'Release Gates'!I851</x:f>
        <x:v>OPEN</x:v>
      </x:c>
      <x:c r="F877" t="str">
        <x:f>IF('Release Gates'!C851="PLANNING","PASS",IF('Release Gates'!C851="PHYSICAL","OPEN","BLOCKED"))</x:f>
        <x:v>OPEN</x:v>
      </x:c>
      <x:c r="G877" t="str">
        <x:v>equals</x:v>
      </x:c>
      <x:c r="H877" t="str">
        <x:f>IF(E877=F877,"PASS","FAIL")</x:f>
        <x:v>PASS</x:v>
      </x:c>
    </x:row>
    <x:row r="878">
      <x:c r="B878" t="str">
        <x:v>A-00846</x:v>
      </x:c>
      <x:c r="C878" t="str">
        <x:v>GATE</x:v>
      </x:c>
      <x:c r="D878" t="str">
        <x:v>release state mirrors governing ledger</x:v>
      </x:c>
      <x:c r="E878" t="str">
        <x:f>'Release Gates'!I852</x:f>
        <x:v>OPEN</x:v>
      </x:c>
      <x:c r="F878" t="str">
        <x:f>IF('Release Gates'!C852="PLANNING","PASS",IF('Release Gates'!C852="PHYSICAL","OPEN","BLOCKED"))</x:f>
        <x:v>OPEN</x:v>
      </x:c>
      <x:c r="G878" t="str">
        <x:v>equals</x:v>
      </x:c>
      <x:c r="H878" t="str">
        <x:f>IF(E878=F878,"PASS","FAIL")</x:f>
        <x:v>PASS</x:v>
      </x:c>
    </x:row>
    <x:row r="879">
      <x:c r="B879" t="str">
        <x:v>A-00847</x:v>
      </x:c>
      <x:c r="C879" t="str">
        <x:v>GATE</x:v>
      </x:c>
      <x:c r="D879" t="str">
        <x:v>release state mirrors governing ledger</x:v>
      </x:c>
      <x:c r="E879" t="str">
        <x:f>'Release Gates'!I853</x:f>
        <x:v>OPEN</x:v>
      </x:c>
      <x:c r="F879" t="str">
        <x:f>IF('Release Gates'!C853="PLANNING","PASS",IF('Release Gates'!C853="PHYSICAL","OPEN","BLOCKED"))</x:f>
        <x:v>OPEN</x:v>
      </x:c>
      <x:c r="G879" t="str">
        <x:v>equals</x:v>
      </x:c>
      <x:c r="H879" t="str">
        <x:f>IF(E879=F879,"PASS","FAIL")</x:f>
        <x:v>PASS</x:v>
      </x:c>
    </x:row>
    <x:row r="880">
      <x:c r="B880" t="str">
        <x:v>A-00848</x:v>
      </x:c>
      <x:c r="C880" t="str">
        <x:v>GATE</x:v>
      </x:c>
      <x:c r="D880" t="str">
        <x:v>release state mirrors governing ledger</x:v>
      </x:c>
      <x:c r="E880" t="str">
        <x:f>'Release Gates'!I854</x:f>
        <x:v>OPEN</x:v>
      </x:c>
      <x:c r="F880" t="str">
        <x:f>IF('Release Gates'!C854="PLANNING","PASS",IF('Release Gates'!C854="PHYSICAL","OPEN","BLOCKED"))</x:f>
        <x:v>OPEN</x:v>
      </x:c>
      <x:c r="G880" t="str">
        <x:v>equals</x:v>
      </x:c>
      <x:c r="H880" t="str">
        <x:f>IF(E880=F880,"PASS","FAIL")</x:f>
        <x:v>PASS</x:v>
      </x:c>
    </x:row>
    <x:row r="881">
      <x:c r="B881" t="str">
        <x:v>A-00849</x:v>
      </x:c>
      <x:c r="C881" t="str">
        <x:v>GATE</x:v>
      </x:c>
      <x:c r="D881" t="str">
        <x:v>release state mirrors governing ledger</x:v>
      </x:c>
      <x:c r="E881" t="str">
        <x:f>'Release Gates'!I855</x:f>
        <x:v>OPEN</x:v>
      </x:c>
      <x:c r="F881" t="str">
        <x:f>IF('Release Gates'!C855="PLANNING","PASS",IF('Release Gates'!C855="PHYSICAL","OPEN","BLOCKED"))</x:f>
        <x:v>OPEN</x:v>
      </x:c>
      <x:c r="G881" t="str">
        <x:v>equals</x:v>
      </x:c>
      <x:c r="H881" t="str">
        <x:f>IF(E881=F881,"PASS","FAIL")</x:f>
        <x:v>PASS</x:v>
      </x:c>
    </x:row>
    <x:row r="882">
      <x:c r="B882" t="str">
        <x:v>A-00850</x:v>
      </x:c>
      <x:c r="C882" t="str">
        <x:v>GATE</x:v>
      </x:c>
      <x:c r="D882" t="str">
        <x:v>release state mirrors governing ledger</x:v>
      </x:c>
      <x:c r="E882" t="str">
        <x:f>'Release Gates'!I856</x:f>
        <x:v>OPEN</x:v>
      </x:c>
      <x:c r="F882" t="str">
        <x:f>IF('Release Gates'!C856="PLANNING","PASS",IF('Release Gates'!C856="PHYSICAL","OPEN","BLOCKED"))</x:f>
        <x:v>OPEN</x:v>
      </x:c>
      <x:c r="G882" t="str">
        <x:v>equals</x:v>
      </x:c>
      <x:c r="H882" t="str">
        <x:f>IF(E882=F882,"PASS","FAIL")</x:f>
        <x:v>PASS</x:v>
      </x:c>
    </x:row>
    <x:row r="883">
      <x:c r="B883" t="str">
        <x:v>A-00851</x:v>
      </x:c>
      <x:c r="C883" t="str">
        <x:v>GATE</x:v>
      </x:c>
      <x:c r="D883" t="str">
        <x:v>release state mirrors governing ledger</x:v>
      </x:c>
      <x:c r="E883" t="str">
        <x:f>'Release Gates'!I857</x:f>
        <x:v>OPEN</x:v>
      </x:c>
      <x:c r="F883" t="str">
        <x:f>IF('Release Gates'!C857="PLANNING","PASS",IF('Release Gates'!C857="PHYSICAL","OPEN","BLOCKED"))</x:f>
        <x:v>OPEN</x:v>
      </x:c>
      <x:c r="G883" t="str">
        <x:v>equals</x:v>
      </x:c>
      <x:c r="H883" t="str">
        <x:f>IF(E883=F883,"PASS","FAIL")</x:f>
        <x:v>PASS</x:v>
      </x:c>
    </x:row>
    <x:row r="884">
      <x:c r="B884" t="str">
        <x:v>A-00852</x:v>
      </x:c>
      <x:c r="C884" t="str">
        <x:v>GATE</x:v>
      </x:c>
      <x:c r="D884" t="str">
        <x:v>release state mirrors governing ledger</x:v>
      </x:c>
      <x:c r="E884" t="str">
        <x:f>'Release Gates'!I858</x:f>
        <x:v>OPEN</x:v>
      </x:c>
      <x:c r="F884" t="str">
        <x:f>IF('Release Gates'!C858="PLANNING","PASS",IF('Release Gates'!C858="PHYSICAL","OPEN","BLOCKED"))</x:f>
        <x:v>OPEN</x:v>
      </x:c>
      <x:c r="G884" t="str">
        <x:v>equals</x:v>
      </x:c>
      <x:c r="H884" t="str">
        <x:f>IF(E884=F884,"PASS","FAIL")</x:f>
        <x:v>PASS</x:v>
      </x:c>
    </x:row>
    <x:row r="885">
      <x:c r="B885" t="str">
        <x:v>A-00853</x:v>
      </x:c>
      <x:c r="C885" t="str">
        <x:v>GATE</x:v>
      </x:c>
      <x:c r="D885" t="str">
        <x:v>release state mirrors governing ledger</x:v>
      </x:c>
      <x:c r="E885" t="str">
        <x:f>'Release Gates'!I859</x:f>
        <x:v>OPEN</x:v>
      </x:c>
      <x:c r="F885" t="str">
        <x:f>IF('Release Gates'!C859="PLANNING","PASS",IF('Release Gates'!C859="PHYSICAL","OPEN","BLOCKED"))</x:f>
        <x:v>OPEN</x:v>
      </x:c>
      <x:c r="G885" t="str">
        <x:v>equals</x:v>
      </x:c>
      <x:c r="H885" t="str">
        <x:f>IF(E885=F885,"PASS","FAIL")</x:f>
        <x:v>PASS</x:v>
      </x:c>
    </x:row>
    <x:row r="886">
      <x:c r="B886" t="str">
        <x:v>A-00854</x:v>
      </x:c>
      <x:c r="C886" t="str">
        <x:v>GATE</x:v>
      </x:c>
      <x:c r="D886" t="str">
        <x:v>release state mirrors governing ledger</x:v>
      </x:c>
      <x:c r="E886" t="str">
        <x:f>'Release Gates'!I860</x:f>
        <x:v>OPEN</x:v>
      </x:c>
      <x:c r="F886" t="str">
        <x:f>IF('Release Gates'!C860="PLANNING","PASS",IF('Release Gates'!C860="PHYSICAL","OPEN","BLOCKED"))</x:f>
        <x:v>OPEN</x:v>
      </x:c>
      <x:c r="G886" t="str">
        <x:v>equals</x:v>
      </x:c>
      <x:c r="H886" t="str">
        <x:f>IF(E886=F886,"PASS","FAIL")</x:f>
        <x:v>PASS</x:v>
      </x:c>
    </x:row>
    <x:row r="887">
      <x:c r="B887" t="str">
        <x:v>A-00855</x:v>
      </x:c>
      <x:c r="C887" t="str">
        <x:v>GATE</x:v>
      </x:c>
      <x:c r="D887" t="str">
        <x:v>release state mirrors governing ledger</x:v>
      </x:c>
      <x:c r="E887" t="str">
        <x:f>'Release Gates'!I861</x:f>
        <x:v>OPEN</x:v>
      </x:c>
      <x:c r="F887" t="str">
        <x:f>IF('Release Gates'!C861="PLANNING","PASS",IF('Release Gates'!C861="PHYSICAL","OPEN","BLOCKED"))</x:f>
        <x:v>OPEN</x:v>
      </x:c>
      <x:c r="G887" t="str">
        <x:v>equals</x:v>
      </x:c>
      <x:c r="H887" t="str">
        <x:f>IF(E887=F887,"PASS","FAIL")</x:f>
        <x:v>PASS</x:v>
      </x:c>
    </x:row>
    <x:row r="888">
      <x:c r="B888" t="str">
        <x:v>A-00856</x:v>
      </x:c>
      <x:c r="C888" t="str">
        <x:v>GATE</x:v>
      </x:c>
      <x:c r="D888" t="str">
        <x:v>release state mirrors governing ledger</x:v>
      </x:c>
      <x:c r="E888" t="str">
        <x:f>'Release Gates'!I862</x:f>
        <x:v>OPEN</x:v>
      </x:c>
      <x:c r="F888" t="str">
        <x:f>IF('Release Gates'!C862="PLANNING","PASS",IF('Release Gates'!C862="PHYSICAL","OPEN","BLOCKED"))</x:f>
        <x:v>OPEN</x:v>
      </x:c>
      <x:c r="G888" t="str">
        <x:v>equals</x:v>
      </x:c>
      <x:c r="H888" t="str">
        <x:f>IF(E888=F888,"PASS","FAIL")</x:f>
        <x:v>PASS</x:v>
      </x:c>
    </x:row>
    <x:row r="889">
      <x:c r="B889" t="str">
        <x:v>A-00857</x:v>
      </x:c>
      <x:c r="C889" t="str">
        <x:v>GATE</x:v>
      </x:c>
      <x:c r="D889" t="str">
        <x:v>release state mirrors governing ledger</x:v>
      </x:c>
      <x:c r="E889" t="str">
        <x:f>'Release Gates'!I863</x:f>
        <x:v>OPEN</x:v>
      </x:c>
      <x:c r="F889" t="str">
        <x:f>IF('Release Gates'!C863="PLANNING","PASS",IF('Release Gates'!C863="PHYSICAL","OPEN","BLOCKED"))</x:f>
        <x:v>OPEN</x:v>
      </x:c>
      <x:c r="G889" t="str">
        <x:v>equals</x:v>
      </x:c>
      <x:c r="H889" t="str">
        <x:f>IF(E889=F889,"PASS","FAIL")</x:f>
        <x:v>PASS</x:v>
      </x:c>
    </x:row>
    <x:row r="890">
      <x:c r="B890" t="str">
        <x:v>A-00858</x:v>
      </x:c>
      <x:c r="C890" t="str">
        <x:v>GATE</x:v>
      </x:c>
      <x:c r="D890" t="str">
        <x:v>release state mirrors governing ledger</x:v>
      </x:c>
      <x:c r="E890" t="str">
        <x:f>'Release Gates'!I864</x:f>
        <x:v>OPEN</x:v>
      </x:c>
      <x:c r="F890" t="str">
        <x:f>IF('Release Gates'!C864="PLANNING","PASS",IF('Release Gates'!C864="PHYSICAL","OPEN","BLOCKED"))</x:f>
        <x:v>OPEN</x:v>
      </x:c>
      <x:c r="G890" t="str">
        <x:v>equals</x:v>
      </x:c>
      <x:c r="H890" t="str">
        <x:f>IF(E890=F890,"PASS","FAIL")</x:f>
        <x:v>PASS</x:v>
      </x:c>
    </x:row>
    <x:row r="891">
      <x:c r="B891" t="str">
        <x:v>A-00859</x:v>
      </x:c>
      <x:c r="C891" t="str">
        <x:v>GATE</x:v>
      </x:c>
      <x:c r="D891" t="str">
        <x:v>release state mirrors governing ledger</x:v>
      </x:c>
      <x:c r="E891" t="str">
        <x:f>'Release Gates'!I865</x:f>
        <x:v>OPEN</x:v>
      </x:c>
      <x:c r="F891" t="str">
        <x:f>IF('Release Gates'!C865="PLANNING","PASS",IF('Release Gates'!C865="PHYSICAL","OPEN","BLOCKED"))</x:f>
        <x:v>OPEN</x:v>
      </x:c>
      <x:c r="G891" t="str">
        <x:v>equals</x:v>
      </x:c>
      <x:c r="H891" t="str">
        <x:f>IF(E891=F891,"PASS","FAIL")</x:f>
        <x:v>PASS</x:v>
      </x:c>
    </x:row>
    <x:row r="892">
      <x:c r="B892" t="str">
        <x:v>A-00860</x:v>
      </x:c>
      <x:c r="C892" t="str">
        <x:v>GATE</x:v>
      </x:c>
      <x:c r="D892" t="str">
        <x:v>release state mirrors governing ledger</x:v>
      </x:c>
      <x:c r="E892" t="str">
        <x:f>'Release Gates'!I866</x:f>
        <x:v>OPEN</x:v>
      </x:c>
      <x:c r="F892" t="str">
        <x:f>IF('Release Gates'!C866="PLANNING","PASS",IF('Release Gates'!C866="PHYSICAL","OPEN","BLOCKED"))</x:f>
        <x:v>OPEN</x:v>
      </x:c>
      <x:c r="G892" t="str">
        <x:v>equals</x:v>
      </x:c>
      <x:c r="H892" t="str">
        <x:f>IF(E892=F892,"PASS","FAIL")</x:f>
        <x:v>PASS</x:v>
      </x:c>
    </x:row>
    <x:row r="893">
      <x:c r="B893" t="str">
        <x:v>A-00861</x:v>
      </x:c>
      <x:c r="C893" t="str">
        <x:v>GATE</x:v>
      </x:c>
      <x:c r="D893" t="str">
        <x:v>release state mirrors governing ledger</x:v>
      </x:c>
      <x:c r="E893" t="str">
        <x:f>'Release Gates'!I867</x:f>
        <x:v>OPEN</x:v>
      </x:c>
      <x:c r="F893" t="str">
        <x:f>IF('Release Gates'!C867="PLANNING","PASS",IF('Release Gates'!C867="PHYSICAL","OPEN","BLOCKED"))</x:f>
        <x:v>OPEN</x:v>
      </x:c>
      <x:c r="G893" t="str">
        <x:v>equals</x:v>
      </x:c>
      <x:c r="H893" t="str">
        <x:f>IF(E893=F893,"PASS","FAIL")</x:f>
        <x:v>PASS</x:v>
      </x:c>
    </x:row>
    <x:row r="894">
      <x:c r="B894" t="str">
        <x:v>A-00862</x:v>
      </x:c>
      <x:c r="C894" t="str">
        <x:v>GATE</x:v>
      </x:c>
      <x:c r="D894" t="str">
        <x:v>release state mirrors governing ledger</x:v>
      </x:c>
      <x:c r="E894" t="str">
        <x:f>'Release Gates'!I868</x:f>
        <x:v>OPEN</x:v>
      </x:c>
      <x:c r="F894" t="str">
        <x:f>IF('Release Gates'!C868="PLANNING","PASS",IF('Release Gates'!C868="PHYSICAL","OPEN","BLOCKED"))</x:f>
        <x:v>OPEN</x:v>
      </x:c>
      <x:c r="G894" t="str">
        <x:v>equals</x:v>
      </x:c>
      <x:c r="H894" t="str">
        <x:f>IF(E894=F894,"PASS","FAIL")</x:f>
        <x:v>PASS</x:v>
      </x:c>
    </x:row>
    <x:row r="895">
      <x:c r="B895" t="str">
        <x:v>A-00863</x:v>
      </x:c>
      <x:c r="C895" t="str">
        <x:v>GATE</x:v>
      </x:c>
      <x:c r="D895" t="str">
        <x:v>release state mirrors governing ledger</x:v>
      </x:c>
      <x:c r="E895" t="str">
        <x:f>'Release Gates'!I869</x:f>
        <x:v>OPEN</x:v>
      </x:c>
      <x:c r="F895" t="str">
        <x:f>IF('Release Gates'!C869="PLANNING","PASS",IF('Release Gates'!C869="PHYSICAL","OPEN","BLOCKED"))</x:f>
        <x:v>OPEN</x:v>
      </x:c>
      <x:c r="G895" t="str">
        <x:v>equals</x:v>
      </x:c>
      <x:c r="H895" t="str">
        <x:f>IF(E895=F895,"PASS","FAIL")</x:f>
        <x:v>PASS</x:v>
      </x:c>
    </x:row>
    <x:row r="896">
      <x:c r="B896" t="str">
        <x:v>A-00864</x:v>
      </x:c>
      <x:c r="C896" t="str">
        <x:v>GATE</x:v>
      </x:c>
      <x:c r="D896" t="str">
        <x:v>release state mirrors governing ledger</x:v>
      </x:c>
      <x:c r="E896" t="str">
        <x:f>'Release Gates'!I870</x:f>
        <x:v>OPEN</x:v>
      </x:c>
      <x:c r="F896" t="str">
        <x:f>IF('Release Gates'!C870="PLANNING","PASS",IF('Release Gates'!C870="PHYSICAL","OPEN","BLOCKED"))</x:f>
        <x:v>OPEN</x:v>
      </x:c>
      <x:c r="G896" t="str">
        <x:v>equals</x:v>
      </x:c>
      <x:c r="H896" t="str">
        <x:f>IF(E896=F896,"PASS","FAIL")</x:f>
        <x:v>PASS</x:v>
      </x:c>
    </x:row>
    <x:row r="897">
      <x:c r="B897" t="str">
        <x:v>A-00865</x:v>
      </x:c>
      <x:c r="C897" t="str">
        <x:v>GATE</x:v>
      </x:c>
      <x:c r="D897" t="str">
        <x:v>release state mirrors governing ledger</x:v>
      </x:c>
      <x:c r="E897" t="str">
        <x:f>'Release Gates'!I871</x:f>
        <x:v>OPEN</x:v>
      </x:c>
      <x:c r="F897" t="str">
        <x:f>IF('Release Gates'!C871="PLANNING","PASS",IF('Release Gates'!C871="PHYSICAL","OPEN","BLOCKED"))</x:f>
        <x:v>OPEN</x:v>
      </x:c>
      <x:c r="G897" t="str">
        <x:v>equals</x:v>
      </x:c>
      <x:c r="H897" t="str">
        <x:f>IF(E897=F897,"PASS","FAIL")</x:f>
        <x:v>PASS</x:v>
      </x:c>
    </x:row>
    <x:row r="898">
      <x:c r="B898" t="str">
        <x:v>A-00866</x:v>
      </x:c>
      <x:c r="C898" t="str">
        <x:v>GATE</x:v>
      </x:c>
      <x:c r="D898" t="str">
        <x:v>release state mirrors governing ledger</x:v>
      </x:c>
      <x:c r="E898" t="str">
        <x:f>'Release Gates'!I872</x:f>
        <x:v>OPEN</x:v>
      </x:c>
      <x:c r="F898" t="str">
        <x:f>IF('Release Gates'!C872="PLANNING","PASS",IF('Release Gates'!C872="PHYSICAL","OPEN","BLOCKED"))</x:f>
        <x:v>OPEN</x:v>
      </x:c>
      <x:c r="G898" t="str">
        <x:v>equals</x:v>
      </x:c>
      <x:c r="H898" t="str">
        <x:f>IF(E898=F898,"PASS","FAIL")</x:f>
        <x:v>PASS</x:v>
      </x:c>
    </x:row>
    <x:row r="899">
      <x:c r="B899" t="str">
        <x:v>A-00867</x:v>
      </x:c>
      <x:c r="C899" t="str">
        <x:v>GATE</x:v>
      </x:c>
      <x:c r="D899" t="str">
        <x:v>release state mirrors governing ledger</x:v>
      </x:c>
      <x:c r="E899" t="str">
        <x:f>'Release Gates'!I873</x:f>
        <x:v>OPEN</x:v>
      </x:c>
      <x:c r="F899" t="str">
        <x:f>IF('Release Gates'!C873="PLANNING","PASS",IF('Release Gates'!C873="PHYSICAL","OPEN","BLOCKED"))</x:f>
        <x:v>OPEN</x:v>
      </x:c>
      <x:c r="G899" t="str">
        <x:v>equals</x:v>
      </x:c>
      <x:c r="H899" t="str">
        <x:f>IF(E899=F899,"PASS","FAIL")</x:f>
        <x:v>PASS</x:v>
      </x:c>
    </x:row>
    <x:row r="900">
      <x:c r="B900" t="str">
        <x:v>A-00868</x:v>
      </x:c>
      <x:c r="C900" t="str">
        <x:v>GATE</x:v>
      </x:c>
      <x:c r="D900" t="str">
        <x:v>release state mirrors governing ledger</x:v>
      </x:c>
      <x:c r="E900" t="str">
        <x:f>'Release Gates'!I874</x:f>
        <x:v>OPEN</x:v>
      </x:c>
      <x:c r="F900" t="str">
        <x:f>IF('Release Gates'!C874="PLANNING","PASS",IF('Release Gates'!C874="PHYSICAL","OPEN","BLOCKED"))</x:f>
        <x:v>OPEN</x:v>
      </x:c>
      <x:c r="G900" t="str">
        <x:v>equals</x:v>
      </x:c>
      <x:c r="H900" t="str">
        <x:f>IF(E900=F900,"PASS","FAIL")</x:f>
        <x:v>PASS</x:v>
      </x:c>
    </x:row>
    <x:row r="901">
      <x:c r="B901" t="str">
        <x:v>A-00869</x:v>
      </x:c>
      <x:c r="C901" t="str">
        <x:v>GATE</x:v>
      </x:c>
      <x:c r="D901" t="str">
        <x:v>release state mirrors governing ledger</x:v>
      </x:c>
      <x:c r="E901" t="str">
        <x:f>'Release Gates'!I875</x:f>
        <x:v>OPEN</x:v>
      </x:c>
      <x:c r="F901" t="str">
        <x:f>IF('Release Gates'!C875="PLANNING","PASS",IF('Release Gates'!C875="PHYSICAL","OPEN","BLOCKED"))</x:f>
        <x:v>OPEN</x:v>
      </x:c>
      <x:c r="G901" t="str">
        <x:v>equals</x:v>
      </x:c>
      <x:c r="H901" t="str">
        <x:f>IF(E901=F901,"PASS","FAIL")</x:f>
        <x:v>PASS</x:v>
      </x:c>
    </x:row>
    <x:row r="902">
      <x:c r="B902" t="str">
        <x:v>A-00870</x:v>
      </x:c>
      <x:c r="C902" t="str">
        <x:v>GATE</x:v>
      </x:c>
      <x:c r="D902" t="str">
        <x:v>release state mirrors governing ledger</x:v>
      </x:c>
      <x:c r="E902" t="str">
        <x:f>'Release Gates'!I876</x:f>
        <x:v>OPEN</x:v>
      </x:c>
      <x:c r="F902" t="str">
        <x:f>IF('Release Gates'!C876="PLANNING","PASS",IF('Release Gates'!C876="PHYSICAL","OPEN","BLOCKED"))</x:f>
        <x:v>OPEN</x:v>
      </x:c>
      <x:c r="G902" t="str">
        <x:v>equals</x:v>
      </x:c>
      <x:c r="H902" t="str">
        <x:f>IF(E902=F902,"PASS","FAIL")</x:f>
        <x:v>PASS</x:v>
      </x:c>
    </x:row>
    <x:row r="903">
      <x:c r="B903" t="str">
        <x:v>A-00871</x:v>
      </x:c>
      <x:c r="C903" t="str">
        <x:v>GATE</x:v>
      </x:c>
      <x:c r="D903" t="str">
        <x:v>release state mirrors governing ledger</x:v>
      </x:c>
      <x:c r="E903" t="str">
        <x:f>'Release Gates'!I877</x:f>
        <x:v>OPEN</x:v>
      </x:c>
      <x:c r="F903" t="str">
        <x:f>IF('Release Gates'!C877="PLANNING","PASS",IF('Release Gates'!C877="PHYSICAL","OPEN","BLOCKED"))</x:f>
        <x:v>OPEN</x:v>
      </x:c>
      <x:c r="G903" t="str">
        <x:v>equals</x:v>
      </x:c>
      <x:c r="H903" t="str">
        <x:f>IF(E903=F903,"PASS","FAIL")</x:f>
        <x:v>PASS</x:v>
      </x:c>
    </x:row>
    <x:row r="904">
      <x:c r="B904" t="str">
        <x:v>A-00872</x:v>
      </x:c>
      <x:c r="C904" t="str">
        <x:v>GATE</x:v>
      </x:c>
      <x:c r="D904" t="str">
        <x:v>release state mirrors governing ledger</x:v>
      </x:c>
      <x:c r="E904" t="str">
        <x:f>'Release Gates'!I878</x:f>
        <x:v>OPEN</x:v>
      </x:c>
      <x:c r="F904" t="str">
        <x:f>IF('Release Gates'!C878="PLANNING","PASS",IF('Release Gates'!C878="PHYSICAL","OPEN","BLOCKED"))</x:f>
        <x:v>OPEN</x:v>
      </x:c>
      <x:c r="G904" t="str">
        <x:v>equals</x:v>
      </x:c>
      <x:c r="H904" t="str">
        <x:f>IF(E904=F904,"PASS","FAIL")</x:f>
        <x:v>PASS</x:v>
      </x:c>
    </x:row>
    <x:row r="905">
      <x:c r="B905" t="str">
        <x:v>A-00873</x:v>
      </x:c>
      <x:c r="C905" t="str">
        <x:v>GATE</x:v>
      </x:c>
      <x:c r="D905" t="str">
        <x:v>release state mirrors governing ledger</x:v>
      </x:c>
      <x:c r="E905" t="str">
        <x:f>'Release Gates'!I879</x:f>
        <x:v>OPEN</x:v>
      </x:c>
      <x:c r="F905" t="str">
        <x:f>IF('Release Gates'!C879="PLANNING","PASS",IF('Release Gates'!C879="PHYSICAL","OPEN","BLOCKED"))</x:f>
        <x:v>OPEN</x:v>
      </x:c>
      <x:c r="G905" t="str">
        <x:v>equals</x:v>
      </x:c>
      <x:c r="H905" t="str">
        <x:f>IF(E905=F905,"PASS","FAIL")</x:f>
        <x:v>PASS</x:v>
      </x:c>
    </x:row>
    <x:row r="906">
      <x:c r="B906" t="str">
        <x:v>A-00874</x:v>
      </x:c>
      <x:c r="C906" t="str">
        <x:v>GATE</x:v>
      </x:c>
      <x:c r="D906" t="str">
        <x:v>release state mirrors governing ledger</x:v>
      </x:c>
      <x:c r="E906" t="str">
        <x:f>'Release Gates'!I880</x:f>
        <x:v>OPEN</x:v>
      </x:c>
      <x:c r="F906" t="str">
        <x:f>IF('Release Gates'!C880="PLANNING","PASS",IF('Release Gates'!C880="PHYSICAL","OPEN","BLOCKED"))</x:f>
        <x:v>OPEN</x:v>
      </x:c>
      <x:c r="G906" t="str">
        <x:v>equals</x:v>
      </x:c>
      <x:c r="H906" t="str">
        <x:f>IF(E906=F906,"PASS","FAIL")</x:f>
        <x:v>PASS</x:v>
      </x:c>
    </x:row>
    <x:row r="907">
      <x:c r="B907" t="str">
        <x:v>A-00875</x:v>
      </x:c>
      <x:c r="C907" t="str">
        <x:v>GATE</x:v>
      </x:c>
      <x:c r="D907" t="str">
        <x:v>release state mirrors governing ledger</x:v>
      </x:c>
      <x:c r="E907" t="str">
        <x:f>'Release Gates'!I881</x:f>
        <x:v>OPEN</x:v>
      </x:c>
      <x:c r="F907" t="str">
        <x:f>IF('Release Gates'!C881="PLANNING","PASS",IF('Release Gates'!C881="PHYSICAL","OPEN","BLOCKED"))</x:f>
        <x:v>OPEN</x:v>
      </x:c>
      <x:c r="G907" t="str">
        <x:v>equals</x:v>
      </x:c>
      <x:c r="H907" t="str">
        <x:f>IF(E907=F907,"PASS","FAIL")</x:f>
        <x:v>PASS</x:v>
      </x:c>
    </x:row>
    <x:row r="908">
      <x:c r="B908" t="str">
        <x:v>A-00876</x:v>
      </x:c>
      <x:c r="C908" t="str">
        <x:v>GATE</x:v>
      </x:c>
      <x:c r="D908" t="str">
        <x:v>release state mirrors governing ledger</x:v>
      </x:c>
      <x:c r="E908" t="str">
        <x:f>'Release Gates'!I882</x:f>
        <x:v>OPEN</x:v>
      </x:c>
      <x:c r="F908" t="str">
        <x:f>IF('Release Gates'!C882="PLANNING","PASS",IF('Release Gates'!C882="PHYSICAL","OPEN","BLOCKED"))</x:f>
        <x:v>OPEN</x:v>
      </x:c>
      <x:c r="G908" t="str">
        <x:v>equals</x:v>
      </x:c>
      <x:c r="H908" t="str">
        <x:f>IF(E908=F908,"PASS","FAIL")</x:f>
        <x:v>PASS</x:v>
      </x:c>
    </x:row>
    <x:row r="909">
      <x:c r="B909" t="str">
        <x:v>A-00877</x:v>
      </x:c>
      <x:c r="C909" t="str">
        <x:v>GATE</x:v>
      </x:c>
      <x:c r="D909" t="str">
        <x:v>release state mirrors governing ledger</x:v>
      </x:c>
      <x:c r="E909" t="str">
        <x:f>'Release Gates'!I883</x:f>
        <x:v>OPEN</x:v>
      </x:c>
      <x:c r="F909" t="str">
        <x:f>IF('Release Gates'!C883="PLANNING","PASS",IF('Release Gates'!C883="PHYSICAL","OPEN","BLOCKED"))</x:f>
        <x:v>OPEN</x:v>
      </x:c>
      <x:c r="G909" t="str">
        <x:v>equals</x:v>
      </x:c>
      <x:c r="H909" t="str">
        <x:f>IF(E909=F909,"PASS","FAIL")</x:f>
        <x:v>PASS</x:v>
      </x:c>
    </x:row>
    <x:row r="910">
      <x:c r="B910" t="str">
        <x:v>A-00878</x:v>
      </x:c>
      <x:c r="C910" t="str">
        <x:v>GATE</x:v>
      </x:c>
      <x:c r="D910" t="str">
        <x:v>release state mirrors governing ledger</x:v>
      </x:c>
      <x:c r="E910" t="str">
        <x:f>'Release Gates'!I884</x:f>
        <x:v>OPEN</x:v>
      </x:c>
      <x:c r="F910" t="str">
        <x:f>IF('Release Gates'!C884="PLANNING","PASS",IF('Release Gates'!C884="PHYSICAL","OPEN","BLOCKED"))</x:f>
        <x:v>OPEN</x:v>
      </x:c>
      <x:c r="G910" t="str">
        <x:v>equals</x:v>
      </x:c>
      <x:c r="H910" t="str">
        <x:f>IF(E910=F910,"PASS","FAIL")</x:f>
        <x:v>PASS</x:v>
      </x:c>
    </x:row>
    <x:row r="911">
      <x:c r="B911" t="str">
        <x:v>A-00879</x:v>
      </x:c>
      <x:c r="C911" t="str">
        <x:v>GATE</x:v>
      </x:c>
      <x:c r="D911" t="str">
        <x:v>release state mirrors governing ledger</x:v>
      </x:c>
      <x:c r="E911" t="str">
        <x:f>'Release Gates'!I885</x:f>
        <x:v>OPEN</x:v>
      </x:c>
      <x:c r="F911" t="str">
        <x:f>IF('Release Gates'!C885="PLANNING","PASS",IF('Release Gates'!C885="PHYSICAL","OPEN","BLOCKED"))</x:f>
        <x:v>OPEN</x:v>
      </x:c>
      <x:c r="G911" t="str">
        <x:v>equals</x:v>
      </x:c>
      <x:c r="H911" t="str">
        <x:f>IF(E911=F911,"PASS","FAIL")</x:f>
        <x:v>PASS</x:v>
      </x:c>
    </x:row>
    <x:row r="912">
      <x:c r="B912" t="str">
        <x:v>A-00880</x:v>
      </x:c>
      <x:c r="C912" t="str">
        <x:v>GATE</x:v>
      </x:c>
      <x:c r="D912" t="str">
        <x:v>release state mirrors governing ledger</x:v>
      </x:c>
      <x:c r="E912" t="str">
        <x:f>'Release Gates'!I886</x:f>
        <x:v>OPEN</x:v>
      </x:c>
      <x:c r="F912" t="str">
        <x:f>IF('Release Gates'!C886="PLANNING","PASS",IF('Release Gates'!C886="PHYSICAL","OPEN","BLOCKED"))</x:f>
        <x:v>OPEN</x:v>
      </x:c>
      <x:c r="G912" t="str">
        <x:v>equals</x:v>
      </x:c>
      <x:c r="H912" t="str">
        <x:f>IF(E912=F912,"PASS","FAIL")</x:f>
        <x:v>PASS</x:v>
      </x:c>
    </x:row>
    <x:row r="913">
      <x:c r="B913" t="str">
        <x:v>A-00881</x:v>
      </x:c>
      <x:c r="C913" t="str">
        <x:v>GATE</x:v>
      </x:c>
      <x:c r="D913" t="str">
        <x:v>release state mirrors governing ledger</x:v>
      </x:c>
      <x:c r="E913" t="str">
        <x:f>'Release Gates'!I887</x:f>
        <x:v>OPEN</x:v>
      </x:c>
      <x:c r="F913" t="str">
        <x:f>IF('Release Gates'!C887="PLANNING","PASS",IF('Release Gates'!C887="PHYSICAL","OPEN","BLOCKED"))</x:f>
        <x:v>OPEN</x:v>
      </x:c>
      <x:c r="G913" t="str">
        <x:v>equals</x:v>
      </x:c>
      <x:c r="H913" t="str">
        <x:f>IF(E913=F913,"PASS","FAIL")</x:f>
        <x:v>PASS</x:v>
      </x:c>
    </x:row>
    <x:row r="914">
      <x:c r="B914" t="str">
        <x:v>A-00882</x:v>
      </x:c>
      <x:c r="C914" t="str">
        <x:v>GATE</x:v>
      </x:c>
      <x:c r="D914" t="str">
        <x:v>release state mirrors governing ledger</x:v>
      </x:c>
      <x:c r="E914" t="str">
        <x:f>'Release Gates'!I888</x:f>
        <x:v>OPEN</x:v>
      </x:c>
      <x:c r="F914" t="str">
        <x:f>IF('Release Gates'!C888="PLANNING","PASS",IF('Release Gates'!C888="PHYSICAL","OPEN","BLOCKED"))</x:f>
        <x:v>OPEN</x:v>
      </x:c>
      <x:c r="G914" t="str">
        <x:v>equals</x:v>
      </x:c>
      <x:c r="H914" t="str">
        <x:f>IF(E914=F914,"PASS","FAIL")</x:f>
        <x:v>PASS</x:v>
      </x:c>
    </x:row>
    <x:row r="915">
      <x:c r="B915" t="str">
        <x:v>A-00883</x:v>
      </x:c>
      <x:c r="C915" t="str">
        <x:v>GATE</x:v>
      </x:c>
      <x:c r="D915" t="str">
        <x:v>release state mirrors governing ledger</x:v>
      </x:c>
      <x:c r="E915" t="str">
        <x:f>'Release Gates'!I889</x:f>
        <x:v>OPEN</x:v>
      </x:c>
      <x:c r="F915" t="str">
        <x:f>IF('Release Gates'!C889="PLANNING","PASS",IF('Release Gates'!C889="PHYSICAL","OPEN","BLOCKED"))</x:f>
        <x:v>OPEN</x:v>
      </x:c>
      <x:c r="G915" t="str">
        <x:v>equals</x:v>
      </x:c>
      <x:c r="H915" t="str">
        <x:f>IF(E915=F915,"PASS","FAIL")</x:f>
        <x:v>PASS</x:v>
      </x:c>
    </x:row>
    <x:row r="916">
      <x:c r="B916" t="str">
        <x:v>A-00884</x:v>
      </x:c>
      <x:c r="C916" t="str">
        <x:v>GATE</x:v>
      </x:c>
      <x:c r="D916" t="str">
        <x:v>release state mirrors governing ledger</x:v>
      </x:c>
      <x:c r="E916" t="str">
        <x:f>'Release Gates'!I890</x:f>
        <x:v>OPEN</x:v>
      </x:c>
      <x:c r="F916" t="str">
        <x:f>IF('Release Gates'!C890="PLANNING","PASS",IF('Release Gates'!C890="PHYSICAL","OPEN","BLOCKED"))</x:f>
        <x:v>OPEN</x:v>
      </x:c>
      <x:c r="G916" t="str">
        <x:v>equals</x:v>
      </x:c>
      <x:c r="H916" t="str">
        <x:f>IF(E916=F916,"PASS","FAIL")</x:f>
        <x:v>PASS</x:v>
      </x:c>
    </x:row>
    <x:row r="917">
      <x:c r="B917" t="str">
        <x:v>A-00885</x:v>
      </x:c>
      <x:c r="C917" t="str">
        <x:v>GATE</x:v>
      </x:c>
      <x:c r="D917" t="str">
        <x:v>release state mirrors governing ledger</x:v>
      </x:c>
      <x:c r="E917" t="str">
        <x:f>'Release Gates'!I891</x:f>
        <x:v>OPEN</x:v>
      </x:c>
      <x:c r="F917" t="str">
        <x:f>IF('Release Gates'!C891="PLANNING","PASS",IF('Release Gates'!C891="PHYSICAL","OPEN","BLOCKED"))</x:f>
        <x:v>OPEN</x:v>
      </x:c>
      <x:c r="G917" t="str">
        <x:v>equals</x:v>
      </x:c>
      <x:c r="H917" t="str">
        <x:f>IF(E917=F917,"PASS","FAIL")</x:f>
        <x:v>PASS</x:v>
      </x:c>
    </x:row>
    <x:row r="918">
      <x:c r="B918" t="str">
        <x:v>A-00886</x:v>
      </x:c>
      <x:c r="C918" t="str">
        <x:v>GATE</x:v>
      </x:c>
      <x:c r="D918" t="str">
        <x:v>release state mirrors governing ledger</x:v>
      </x:c>
      <x:c r="E918" t="str">
        <x:f>'Release Gates'!I892</x:f>
        <x:v>OPEN</x:v>
      </x:c>
      <x:c r="F918" t="str">
        <x:f>IF('Release Gates'!C892="PLANNING","PASS",IF('Release Gates'!C892="PHYSICAL","OPEN","BLOCKED"))</x:f>
        <x:v>OPEN</x:v>
      </x:c>
      <x:c r="G918" t="str">
        <x:v>equals</x:v>
      </x:c>
      <x:c r="H918" t="str">
        <x:f>IF(E918=F918,"PASS","FAIL")</x:f>
        <x:v>PASS</x:v>
      </x:c>
    </x:row>
    <x:row r="919">
      <x:c r="B919" t="str">
        <x:v>A-00887</x:v>
      </x:c>
      <x:c r="C919" t="str">
        <x:v>GATE</x:v>
      </x:c>
      <x:c r="D919" t="str">
        <x:v>release state mirrors governing ledger</x:v>
      </x:c>
      <x:c r="E919" t="str">
        <x:f>'Release Gates'!I893</x:f>
        <x:v>OPEN</x:v>
      </x:c>
      <x:c r="F919" t="str">
        <x:f>IF('Release Gates'!C893="PLANNING","PASS",IF('Release Gates'!C893="PHYSICAL","OPEN","BLOCKED"))</x:f>
        <x:v>OPEN</x:v>
      </x:c>
      <x:c r="G919" t="str">
        <x:v>equals</x:v>
      </x:c>
      <x:c r="H919" t="str">
        <x:f>IF(E919=F919,"PASS","FAIL")</x:f>
        <x:v>PASS</x:v>
      </x:c>
    </x:row>
    <x:row r="920">
      <x:c r="B920" t="str">
        <x:v>A-00888</x:v>
      </x:c>
      <x:c r="C920" t="str">
        <x:v>GATE</x:v>
      </x:c>
      <x:c r="D920" t="str">
        <x:v>release state mirrors governing ledger</x:v>
      </x:c>
      <x:c r="E920" t="str">
        <x:f>'Release Gates'!I894</x:f>
        <x:v>OPEN</x:v>
      </x:c>
      <x:c r="F920" t="str">
        <x:f>IF('Release Gates'!C894="PLANNING","PASS",IF('Release Gates'!C894="PHYSICAL","OPEN","BLOCKED"))</x:f>
        <x:v>OPEN</x:v>
      </x:c>
      <x:c r="G920" t="str">
        <x:v>equals</x:v>
      </x:c>
      <x:c r="H920" t="str">
        <x:f>IF(E920=F920,"PASS","FAIL")</x:f>
        <x:v>PASS</x:v>
      </x:c>
    </x:row>
    <x:row r="921">
      <x:c r="B921" t="str">
        <x:v>A-00889</x:v>
      </x:c>
      <x:c r="C921" t="str">
        <x:v>GATE</x:v>
      </x:c>
      <x:c r="D921" t="str">
        <x:v>release state mirrors governing ledger</x:v>
      </x:c>
      <x:c r="E921" t="str">
        <x:f>'Release Gates'!I895</x:f>
        <x:v>OPEN</x:v>
      </x:c>
      <x:c r="F921" t="str">
        <x:f>IF('Release Gates'!C895="PLANNING","PASS",IF('Release Gates'!C895="PHYSICAL","OPEN","BLOCKED"))</x:f>
        <x:v>OPEN</x:v>
      </x:c>
      <x:c r="G921" t="str">
        <x:v>equals</x:v>
      </x:c>
      <x:c r="H921" t="str">
        <x:f>IF(E921=F921,"PASS","FAIL")</x:f>
        <x:v>PASS</x:v>
      </x:c>
    </x:row>
    <x:row r="922">
      <x:c r="B922" t="str">
        <x:v>A-00890</x:v>
      </x:c>
      <x:c r="C922" t="str">
        <x:v>GATE</x:v>
      </x:c>
      <x:c r="D922" t="str">
        <x:v>release state mirrors governing ledger</x:v>
      </x:c>
      <x:c r="E922" t="str">
        <x:f>'Release Gates'!I896</x:f>
        <x:v>OPEN</x:v>
      </x:c>
      <x:c r="F922" t="str">
        <x:f>IF('Release Gates'!C896="PLANNING","PASS",IF('Release Gates'!C896="PHYSICAL","OPEN","BLOCKED"))</x:f>
        <x:v>OPEN</x:v>
      </x:c>
      <x:c r="G922" t="str">
        <x:v>equals</x:v>
      </x:c>
      <x:c r="H922" t="str">
        <x:f>IF(E922=F922,"PASS","FAIL")</x:f>
        <x:v>PASS</x:v>
      </x:c>
    </x:row>
    <x:row r="923">
      <x:c r="B923" t="str">
        <x:v>A-00891</x:v>
      </x:c>
      <x:c r="C923" t="str">
        <x:v>GATE</x:v>
      </x:c>
      <x:c r="D923" t="str">
        <x:v>release state mirrors governing ledger</x:v>
      </x:c>
      <x:c r="E923" t="str">
        <x:f>'Release Gates'!I897</x:f>
        <x:v>OPEN</x:v>
      </x:c>
      <x:c r="F923" t="str">
        <x:f>IF('Release Gates'!C897="PLANNING","PASS",IF('Release Gates'!C897="PHYSICAL","OPEN","BLOCKED"))</x:f>
        <x:v>OPEN</x:v>
      </x:c>
      <x:c r="G923" t="str">
        <x:v>equals</x:v>
      </x:c>
      <x:c r="H923" t="str">
        <x:f>IF(E923=F923,"PASS","FAIL")</x:f>
        <x:v>PASS</x:v>
      </x:c>
    </x:row>
    <x:row r="924">
      <x:c r="B924" t="str">
        <x:v>A-00892</x:v>
      </x:c>
      <x:c r="C924" t="str">
        <x:v>GATE</x:v>
      </x:c>
      <x:c r="D924" t="str">
        <x:v>release state mirrors governing ledger</x:v>
      </x:c>
      <x:c r="E924" t="str">
        <x:f>'Release Gates'!I898</x:f>
        <x:v>OPEN</x:v>
      </x:c>
      <x:c r="F924" t="str">
        <x:f>IF('Release Gates'!C898="PLANNING","PASS",IF('Release Gates'!C898="PHYSICAL","OPEN","BLOCKED"))</x:f>
        <x:v>OPEN</x:v>
      </x:c>
      <x:c r="G924" t="str">
        <x:v>equals</x:v>
      </x:c>
      <x:c r="H924" t="str">
        <x:f>IF(E924=F924,"PASS","FAIL")</x:f>
        <x:v>PASS</x:v>
      </x:c>
    </x:row>
    <x:row r="925">
      <x:c r="B925" t="str">
        <x:v>A-00893</x:v>
      </x:c>
      <x:c r="C925" t="str">
        <x:v>GATE</x:v>
      </x:c>
      <x:c r="D925" t="str">
        <x:v>release state mirrors governing ledger</x:v>
      </x:c>
      <x:c r="E925" t="str">
        <x:f>'Release Gates'!I899</x:f>
        <x:v>OPEN</x:v>
      </x:c>
      <x:c r="F925" t="str">
        <x:f>IF('Release Gates'!C899="PLANNING","PASS",IF('Release Gates'!C899="PHYSICAL","OPEN","BLOCKED"))</x:f>
        <x:v>OPEN</x:v>
      </x:c>
      <x:c r="G925" t="str">
        <x:v>equals</x:v>
      </x:c>
      <x:c r="H925" t="str">
        <x:f>IF(E925=F925,"PASS","FAIL")</x:f>
        <x:v>PASS</x:v>
      </x:c>
    </x:row>
    <x:row r="926">
      <x:c r="B926" t="str">
        <x:v>A-00894</x:v>
      </x:c>
      <x:c r="C926" t="str">
        <x:v>GATE</x:v>
      </x:c>
      <x:c r="D926" t="str">
        <x:v>release state mirrors governing ledger</x:v>
      </x:c>
      <x:c r="E926" t="str">
        <x:f>'Release Gates'!I900</x:f>
        <x:v>OPEN</x:v>
      </x:c>
      <x:c r="F926" t="str">
        <x:f>IF('Release Gates'!C900="PLANNING","PASS",IF('Release Gates'!C900="PHYSICAL","OPEN","BLOCKED"))</x:f>
        <x:v>OPEN</x:v>
      </x:c>
      <x:c r="G926" t="str">
        <x:v>equals</x:v>
      </x:c>
      <x:c r="H926" t="str">
        <x:f>IF(E926=F926,"PASS","FAIL")</x:f>
        <x:v>PASS</x:v>
      </x:c>
    </x:row>
    <x:row r="927">
      <x:c r="B927" t="str">
        <x:v>A-00895</x:v>
      </x:c>
      <x:c r="C927" t="str">
        <x:v>GATE</x:v>
      </x:c>
      <x:c r="D927" t="str">
        <x:v>release state mirrors governing ledger</x:v>
      </x:c>
      <x:c r="E927" t="str">
        <x:f>'Release Gates'!I901</x:f>
        <x:v>OPEN</x:v>
      </x:c>
      <x:c r="F927" t="str">
        <x:f>IF('Release Gates'!C901="PLANNING","PASS",IF('Release Gates'!C901="PHYSICAL","OPEN","BLOCKED"))</x:f>
        <x:v>OPEN</x:v>
      </x:c>
      <x:c r="G927" t="str">
        <x:v>equals</x:v>
      </x:c>
      <x:c r="H927" t="str">
        <x:f>IF(E927=F927,"PASS","FAIL")</x:f>
        <x:v>PASS</x:v>
      </x:c>
    </x:row>
    <x:row r="928">
      <x:c r="B928" t="str">
        <x:v>A-00896</x:v>
      </x:c>
      <x:c r="C928" t="str">
        <x:v>GATE</x:v>
      </x:c>
      <x:c r="D928" t="str">
        <x:v>release state mirrors governing ledger</x:v>
      </x:c>
      <x:c r="E928" t="str">
        <x:f>'Release Gates'!I902</x:f>
        <x:v>OPEN</x:v>
      </x:c>
      <x:c r="F928" t="str">
        <x:f>IF('Release Gates'!C902="PLANNING","PASS",IF('Release Gates'!C902="PHYSICAL","OPEN","BLOCKED"))</x:f>
        <x:v>OPEN</x:v>
      </x:c>
      <x:c r="G928" t="str">
        <x:v>equals</x:v>
      </x:c>
      <x:c r="H928" t="str">
        <x:f>IF(E928=F928,"PASS","FAIL")</x:f>
        <x:v>PASS</x:v>
      </x:c>
    </x:row>
    <x:row r="929">
      <x:c r="B929" t="str">
        <x:v>A-00897</x:v>
      </x:c>
      <x:c r="C929" t="str">
        <x:v>GATE</x:v>
      </x:c>
      <x:c r="D929" t="str">
        <x:v>release state mirrors governing ledger</x:v>
      </x:c>
      <x:c r="E929" t="str">
        <x:f>'Release Gates'!I903</x:f>
        <x:v>OPEN</x:v>
      </x:c>
      <x:c r="F929" t="str">
        <x:f>IF('Release Gates'!C903="PLANNING","PASS",IF('Release Gates'!C903="PHYSICAL","OPEN","BLOCKED"))</x:f>
        <x:v>OPEN</x:v>
      </x:c>
      <x:c r="G929" t="str">
        <x:v>equals</x:v>
      </x:c>
      <x:c r="H929" t="str">
        <x:f>IF(E929=F929,"PASS","FAIL")</x:f>
        <x:v>PASS</x:v>
      </x:c>
    </x:row>
    <x:row r="930">
      <x:c r="B930" t="str">
        <x:v>A-00898</x:v>
      </x:c>
      <x:c r="C930" t="str">
        <x:v>GATE</x:v>
      </x:c>
      <x:c r="D930" t="str">
        <x:v>release state mirrors governing ledger</x:v>
      </x:c>
      <x:c r="E930" t="str">
        <x:f>'Release Gates'!I904</x:f>
        <x:v>OPEN</x:v>
      </x:c>
      <x:c r="F930" t="str">
        <x:f>IF('Release Gates'!C904="PLANNING","PASS",IF('Release Gates'!C904="PHYSICAL","OPEN","BLOCKED"))</x:f>
        <x:v>OPEN</x:v>
      </x:c>
      <x:c r="G930" t="str">
        <x:v>equals</x:v>
      </x:c>
      <x:c r="H930" t="str">
        <x:f>IF(E930=F930,"PASS","FAIL")</x:f>
        <x:v>PASS</x:v>
      </x:c>
    </x:row>
    <x:row r="931">
      <x:c r="B931" t="str">
        <x:v>A-00899</x:v>
      </x:c>
      <x:c r="C931" t="str">
        <x:v>GATE</x:v>
      </x:c>
      <x:c r="D931" t="str">
        <x:v>release state mirrors governing ledger</x:v>
      </x:c>
      <x:c r="E931" t="str">
        <x:f>'Release Gates'!I905</x:f>
        <x:v>OPEN</x:v>
      </x:c>
      <x:c r="F931" t="str">
        <x:f>IF('Release Gates'!C905="PLANNING","PASS",IF('Release Gates'!C905="PHYSICAL","OPEN","BLOCKED"))</x:f>
        <x:v>OPEN</x:v>
      </x:c>
      <x:c r="G931" t="str">
        <x:v>equals</x:v>
      </x:c>
      <x:c r="H931" t="str">
        <x:f>IF(E931=F931,"PASS","FAIL")</x:f>
        <x:v>PASS</x:v>
      </x:c>
    </x:row>
    <x:row r="932">
      <x:c r="B932" t="str">
        <x:v>A-00900</x:v>
      </x:c>
      <x:c r="C932" t="str">
        <x:v>GATE</x:v>
      </x:c>
      <x:c r="D932" t="str">
        <x:v>release state mirrors governing ledger</x:v>
      </x:c>
      <x:c r="E932" t="str">
        <x:f>'Release Gates'!I906</x:f>
        <x:v>OPEN</x:v>
      </x:c>
      <x:c r="F932" t="str">
        <x:f>IF('Release Gates'!C906="PLANNING","PASS",IF('Release Gates'!C906="PHYSICAL","OPEN","BLOCKED"))</x:f>
        <x:v>OPEN</x:v>
      </x:c>
      <x:c r="G932" t="str">
        <x:v>equals</x:v>
      </x:c>
      <x:c r="H932" t="str">
        <x:f>IF(E932=F932,"PASS","FAIL")</x:f>
        <x:v>PASS</x:v>
      </x:c>
    </x:row>
    <x:row r="933">
      <x:c r="B933" t="str">
        <x:v>A-00901</x:v>
      </x:c>
      <x:c r="C933" t="str">
        <x:v>GATE</x:v>
      </x:c>
      <x:c r="D933" t="str">
        <x:v>release state mirrors governing ledger</x:v>
      </x:c>
      <x:c r="E933" t="str">
        <x:f>'Release Gates'!I907</x:f>
        <x:v>OPEN</x:v>
      </x:c>
      <x:c r="F933" t="str">
        <x:f>IF('Release Gates'!C907="PLANNING","PASS",IF('Release Gates'!C907="PHYSICAL","OPEN","BLOCKED"))</x:f>
        <x:v>OPEN</x:v>
      </x:c>
      <x:c r="G933" t="str">
        <x:v>equals</x:v>
      </x:c>
      <x:c r="H933" t="str">
        <x:f>IF(E933=F933,"PASS","FAIL")</x:f>
        <x:v>PASS</x:v>
      </x:c>
    </x:row>
    <x:row r="934">
      <x:c r="B934" t="str">
        <x:v>A-00902</x:v>
      </x:c>
      <x:c r="C934" t="str">
        <x:v>GATE</x:v>
      </x:c>
      <x:c r="D934" t="str">
        <x:v>release state mirrors governing ledger</x:v>
      </x:c>
      <x:c r="E934" t="str">
        <x:f>'Release Gates'!I908</x:f>
        <x:v>OPEN</x:v>
      </x:c>
      <x:c r="F934" t="str">
        <x:f>IF('Release Gates'!C908="PLANNING","PASS",IF('Release Gates'!C908="PHYSICAL","OPEN","BLOCKED"))</x:f>
        <x:v>OPEN</x:v>
      </x:c>
      <x:c r="G934" t="str">
        <x:v>equals</x:v>
      </x:c>
      <x:c r="H934" t="str">
        <x:f>IF(E934=F934,"PASS","FAIL")</x:f>
        <x:v>PASS</x:v>
      </x:c>
    </x:row>
    <x:row r="935">
      <x:c r="B935" t="str">
        <x:v>A-00903</x:v>
      </x:c>
      <x:c r="C935" t="str">
        <x:v>GATE</x:v>
      </x:c>
      <x:c r="D935" t="str">
        <x:v>release state mirrors governing ledger</x:v>
      </x:c>
      <x:c r="E935" t="str">
        <x:f>'Release Gates'!I909</x:f>
        <x:v>OPEN</x:v>
      </x:c>
      <x:c r="F935" t="str">
        <x:f>IF('Release Gates'!C909="PLANNING","PASS",IF('Release Gates'!C909="PHYSICAL","OPEN","BLOCKED"))</x:f>
        <x:v>OPEN</x:v>
      </x:c>
      <x:c r="G935" t="str">
        <x:v>equals</x:v>
      </x:c>
      <x:c r="H935" t="str">
        <x:f>IF(E935=F935,"PASS","FAIL")</x:f>
        <x:v>PASS</x:v>
      </x:c>
    </x:row>
    <x:row r="936">
      <x:c r="B936" t="str">
        <x:v>A-00904</x:v>
      </x:c>
      <x:c r="C936" t="str">
        <x:v>GATE</x:v>
      </x:c>
      <x:c r="D936" t="str">
        <x:v>release state mirrors governing ledger</x:v>
      </x:c>
      <x:c r="E936" t="str">
        <x:f>'Release Gates'!I910</x:f>
        <x:v>OPEN</x:v>
      </x:c>
      <x:c r="F936" t="str">
        <x:f>IF('Release Gates'!C910="PLANNING","PASS",IF('Release Gates'!C910="PHYSICAL","OPEN","BLOCKED"))</x:f>
        <x:v>OPEN</x:v>
      </x:c>
      <x:c r="G936" t="str">
        <x:v>equals</x:v>
      </x:c>
      <x:c r="H936" t="str">
        <x:f>IF(E936=F936,"PASS","FAIL")</x:f>
        <x:v>PASS</x:v>
      </x:c>
    </x:row>
    <x:row r="937">
      <x:c r="B937" t="str">
        <x:v>A-00905</x:v>
      </x:c>
      <x:c r="C937" t="str">
        <x:v>GATE</x:v>
      </x:c>
      <x:c r="D937" t="str">
        <x:v>release state mirrors governing ledger</x:v>
      </x:c>
      <x:c r="E937" t="str">
        <x:f>'Release Gates'!I911</x:f>
        <x:v>OPEN</x:v>
      </x:c>
      <x:c r="F937" t="str">
        <x:f>IF('Release Gates'!C911="PLANNING","PASS",IF('Release Gates'!C911="PHYSICAL","OPEN","BLOCKED"))</x:f>
        <x:v>OPEN</x:v>
      </x:c>
      <x:c r="G937" t="str">
        <x:v>equals</x:v>
      </x:c>
      <x:c r="H937" t="str">
        <x:f>IF(E937=F937,"PASS","FAIL")</x:f>
        <x:v>PASS</x:v>
      </x:c>
    </x:row>
    <x:row r="938">
      <x:c r="B938" t="str">
        <x:v>A-00906</x:v>
      </x:c>
      <x:c r="C938" t="str">
        <x:v>GATE</x:v>
      </x:c>
      <x:c r="D938" t="str">
        <x:v>release state mirrors governing ledger</x:v>
      </x:c>
      <x:c r="E938" t="str">
        <x:f>'Release Gates'!I912</x:f>
        <x:v>OPEN</x:v>
      </x:c>
      <x:c r="F938" t="str">
        <x:f>IF('Release Gates'!C912="PLANNING","PASS",IF('Release Gates'!C912="PHYSICAL","OPEN","BLOCKED"))</x:f>
        <x:v>OPEN</x:v>
      </x:c>
      <x:c r="G938" t="str">
        <x:v>equals</x:v>
      </x:c>
      <x:c r="H938" t="str">
        <x:f>IF(E938=F938,"PASS","FAIL")</x:f>
        <x:v>PASS</x:v>
      </x:c>
    </x:row>
    <x:row r="939">
      <x:c r="B939" t="str">
        <x:v>A-00907</x:v>
      </x:c>
      <x:c r="C939" t="str">
        <x:v>GATE</x:v>
      </x:c>
      <x:c r="D939" t="str">
        <x:v>release state mirrors governing ledger</x:v>
      </x:c>
      <x:c r="E939" t="str">
        <x:f>'Release Gates'!I913</x:f>
        <x:v>OPEN</x:v>
      </x:c>
      <x:c r="F939" t="str">
        <x:f>IF('Release Gates'!C913="PLANNING","PASS",IF('Release Gates'!C913="PHYSICAL","OPEN","BLOCKED"))</x:f>
        <x:v>OPEN</x:v>
      </x:c>
      <x:c r="G939" t="str">
        <x:v>equals</x:v>
      </x:c>
      <x:c r="H939" t="str">
        <x:f>IF(E939=F939,"PASS","FAIL")</x:f>
        <x:v>PASS</x:v>
      </x:c>
    </x:row>
    <x:row r="940">
      <x:c r="B940" t="str">
        <x:v>A-00908</x:v>
      </x:c>
      <x:c r="C940" t="str">
        <x:v>GATE</x:v>
      </x:c>
      <x:c r="D940" t="str">
        <x:v>release state mirrors governing ledger</x:v>
      </x:c>
      <x:c r="E940" t="str">
        <x:f>'Release Gates'!I914</x:f>
        <x:v>OPEN</x:v>
      </x:c>
      <x:c r="F940" t="str">
        <x:f>IF('Release Gates'!C914="PLANNING","PASS",IF('Release Gates'!C914="PHYSICAL","OPEN","BLOCKED"))</x:f>
        <x:v>OPEN</x:v>
      </x:c>
      <x:c r="G940" t="str">
        <x:v>equals</x:v>
      </x:c>
      <x:c r="H940" t="str">
        <x:f>IF(E940=F940,"PASS","FAIL")</x:f>
        <x:v>PASS</x:v>
      </x:c>
    </x:row>
    <x:row r="941">
      <x:c r="B941" t="str">
        <x:v>A-00909</x:v>
      </x:c>
      <x:c r="C941" t="str">
        <x:v>GATE</x:v>
      </x:c>
      <x:c r="D941" t="str">
        <x:v>release state mirrors governing ledger</x:v>
      </x:c>
      <x:c r="E941" t="str">
        <x:f>'Release Gates'!I915</x:f>
        <x:v>OPEN</x:v>
      </x:c>
      <x:c r="F941" t="str">
        <x:f>IF('Release Gates'!C915="PLANNING","PASS",IF('Release Gates'!C915="PHYSICAL","OPEN","BLOCKED"))</x:f>
        <x:v>OPEN</x:v>
      </x:c>
      <x:c r="G941" t="str">
        <x:v>equals</x:v>
      </x:c>
      <x:c r="H941" t="str">
        <x:f>IF(E941=F941,"PASS","FAIL")</x:f>
        <x:v>PASS</x:v>
      </x:c>
    </x:row>
    <x:row r="942">
      <x:c r="B942" t="str">
        <x:v>A-00910</x:v>
      </x:c>
      <x:c r="C942" t="str">
        <x:v>GATE</x:v>
      </x:c>
      <x:c r="D942" t="str">
        <x:v>release state mirrors governing ledger</x:v>
      </x:c>
      <x:c r="E942" t="str">
        <x:f>'Release Gates'!I916</x:f>
        <x:v>OPEN</x:v>
      </x:c>
      <x:c r="F942" t="str">
        <x:f>IF('Release Gates'!C916="PLANNING","PASS",IF('Release Gates'!C916="PHYSICAL","OPEN","BLOCKED"))</x:f>
        <x:v>OPEN</x:v>
      </x:c>
      <x:c r="G942" t="str">
        <x:v>equals</x:v>
      </x:c>
      <x:c r="H942" t="str">
        <x:f>IF(E942=F942,"PASS","FAIL")</x:f>
        <x:v>PASS</x:v>
      </x:c>
    </x:row>
    <x:row r="943">
      <x:c r="B943" t="str">
        <x:v>A-00911</x:v>
      </x:c>
      <x:c r="C943" t="str">
        <x:v>GATE</x:v>
      </x:c>
      <x:c r="D943" t="str">
        <x:v>release state mirrors governing ledger</x:v>
      </x:c>
      <x:c r="E943" t="str">
        <x:f>'Release Gates'!I917</x:f>
        <x:v>OPEN</x:v>
      </x:c>
      <x:c r="F943" t="str">
        <x:f>IF('Release Gates'!C917="PLANNING","PASS",IF('Release Gates'!C917="PHYSICAL","OPEN","BLOCKED"))</x:f>
        <x:v>OPEN</x:v>
      </x:c>
      <x:c r="G943" t="str">
        <x:v>equals</x:v>
      </x:c>
      <x:c r="H943" t="str">
        <x:f>IF(E943=F943,"PASS","FAIL")</x:f>
        <x:v>PASS</x:v>
      </x:c>
    </x:row>
    <x:row r="944">
      <x:c r="B944" t="str">
        <x:v>A-00912</x:v>
      </x:c>
      <x:c r="C944" t="str">
        <x:v>GATE</x:v>
      </x:c>
      <x:c r="D944" t="str">
        <x:v>release state mirrors governing ledger</x:v>
      </x:c>
      <x:c r="E944" t="str">
        <x:f>'Release Gates'!I918</x:f>
        <x:v>OPEN</x:v>
      </x:c>
      <x:c r="F944" t="str">
        <x:f>IF('Release Gates'!C918="PLANNING","PASS",IF('Release Gates'!C918="PHYSICAL","OPEN","BLOCKED"))</x:f>
        <x:v>OPEN</x:v>
      </x:c>
      <x:c r="G944" t="str">
        <x:v>equals</x:v>
      </x:c>
      <x:c r="H944" t="str">
        <x:f>IF(E944=F944,"PASS","FAIL")</x:f>
        <x:v>PASS</x:v>
      </x:c>
    </x:row>
    <x:row r="945">
      <x:c r="B945" t="str">
        <x:v>A-00913</x:v>
      </x:c>
      <x:c r="C945" t="str">
        <x:v>GATE</x:v>
      </x:c>
      <x:c r="D945" t="str">
        <x:v>release state mirrors governing ledger</x:v>
      </x:c>
      <x:c r="E945" t="str">
        <x:f>'Release Gates'!I919</x:f>
        <x:v>OPEN</x:v>
      </x:c>
      <x:c r="F945" t="str">
        <x:f>IF('Release Gates'!C919="PLANNING","PASS",IF('Release Gates'!C919="PHYSICAL","OPEN","BLOCKED"))</x:f>
        <x:v>OPEN</x:v>
      </x:c>
      <x:c r="G945" t="str">
        <x:v>equals</x:v>
      </x:c>
      <x:c r="H945" t="str">
        <x:f>IF(E945=F945,"PASS","FAIL")</x:f>
        <x:v>PASS</x:v>
      </x:c>
    </x:row>
    <x:row r="946">
      <x:c r="B946" t="str">
        <x:v>A-00914</x:v>
      </x:c>
      <x:c r="C946" t="str">
        <x:v>GATE</x:v>
      </x:c>
      <x:c r="D946" t="str">
        <x:v>release state mirrors governing ledger</x:v>
      </x:c>
      <x:c r="E946" t="str">
        <x:f>'Release Gates'!I920</x:f>
        <x:v>OPEN</x:v>
      </x:c>
      <x:c r="F946" t="str">
        <x:f>IF('Release Gates'!C920="PLANNING","PASS",IF('Release Gates'!C920="PHYSICAL","OPEN","BLOCKED"))</x:f>
        <x:v>OPEN</x:v>
      </x:c>
      <x:c r="G946" t="str">
        <x:v>equals</x:v>
      </x:c>
      <x:c r="H946" t="str">
        <x:f>IF(E946=F946,"PASS","FAIL")</x:f>
        <x:v>PASS</x:v>
      </x:c>
    </x:row>
    <x:row r="947">
      <x:c r="B947" t="str">
        <x:v>A-00915</x:v>
      </x:c>
      <x:c r="C947" t="str">
        <x:v>GATE</x:v>
      </x:c>
      <x:c r="D947" t="str">
        <x:v>release state mirrors governing ledger</x:v>
      </x:c>
      <x:c r="E947" t="str">
        <x:f>'Release Gates'!I921</x:f>
        <x:v>OPEN</x:v>
      </x:c>
      <x:c r="F947" t="str">
        <x:f>IF('Release Gates'!C921="PLANNING","PASS",IF('Release Gates'!C921="PHYSICAL","OPEN","BLOCKED"))</x:f>
        <x:v>OPEN</x:v>
      </x:c>
      <x:c r="G947" t="str">
        <x:v>equals</x:v>
      </x:c>
      <x:c r="H947" t="str">
        <x:f>IF(E947=F947,"PASS","FAIL")</x:f>
        <x:v>PASS</x:v>
      </x:c>
    </x:row>
    <x:row r="948">
      <x:c r="B948" t="str">
        <x:v>A-00916</x:v>
      </x:c>
      <x:c r="C948" t="str">
        <x:v>GATE</x:v>
      </x:c>
      <x:c r="D948" t="str">
        <x:v>release state mirrors governing ledger</x:v>
      </x:c>
      <x:c r="E948" t="str">
        <x:f>'Release Gates'!I922</x:f>
        <x:v>OPEN</x:v>
      </x:c>
      <x:c r="F948" t="str">
        <x:f>IF('Release Gates'!C922="PLANNING","PASS",IF('Release Gates'!C922="PHYSICAL","OPEN","BLOCKED"))</x:f>
        <x:v>OPEN</x:v>
      </x:c>
      <x:c r="G948" t="str">
        <x:v>equals</x:v>
      </x:c>
      <x:c r="H948" t="str">
        <x:f>IF(E948=F948,"PASS","FAIL")</x:f>
        <x:v>PASS</x:v>
      </x:c>
    </x:row>
    <x:row r="949">
      <x:c r="B949" t="str">
        <x:v>A-00917</x:v>
      </x:c>
      <x:c r="C949" t="str">
        <x:v>GATE</x:v>
      </x:c>
      <x:c r="D949" t="str">
        <x:v>release state mirrors governing ledger</x:v>
      </x:c>
      <x:c r="E949" t="str">
        <x:f>'Release Gates'!I923</x:f>
        <x:v>OPEN</x:v>
      </x:c>
      <x:c r="F949" t="str">
        <x:f>IF('Release Gates'!C923="PLANNING","PASS",IF('Release Gates'!C923="PHYSICAL","OPEN","BLOCKED"))</x:f>
        <x:v>OPEN</x:v>
      </x:c>
      <x:c r="G949" t="str">
        <x:v>equals</x:v>
      </x:c>
      <x:c r="H949" t="str">
        <x:f>IF(E949=F949,"PASS","FAIL")</x:f>
        <x:v>PASS</x:v>
      </x:c>
    </x:row>
    <x:row r="950">
      <x:c r="B950" t="str">
        <x:v>A-00918</x:v>
      </x:c>
      <x:c r="C950" t="str">
        <x:v>GATE</x:v>
      </x:c>
      <x:c r="D950" t="str">
        <x:v>release state mirrors governing ledger</x:v>
      </x:c>
      <x:c r="E950" t="str">
        <x:f>'Release Gates'!I924</x:f>
        <x:v>OPEN</x:v>
      </x:c>
      <x:c r="F950" t="str">
        <x:f>IF('Release Gates'!C924="PLANNING","PASS",IF('Release Gates'!C924="PHYSICAL","OPEN","BLOCKED"))</x:f>
        <x:v>OPEN</x:v>
      </x:c>
      <x:c r="G950" t="str">
        <x:v>equals</x:v>
      </x:c>
      <x:c r="H950" t="str">
        <x:f>IF(E950=F950,"PASS","FAIL")</x:f>
        <x:v>PASS</x:v>
      </x:c>
    </x:row>
    <x:row r="951">
      <x:c r="B951" t="str">
        <x:v>A-00919</x:v>
      </x:c>
      <x:c r="C951" t="str">
        <x:v>GATE</x:v>
      </x:c>
      <x:c r="D951" t="str">
        <x:v>release state mirrors governing ledger</x:v>
      </x:c>
      <x:c r="E951" t="str">
        <x:f>'Release Gates'!I925</x:f>
        <x:v>OPEN</x:v>
      </x:c>
      <x:c r="F951" t="str">
        <x:f>IF('Release Gates'!C925="PLANNING","PASS",IF('Release Gates'!C925="PHYSICAL","OPEN","BLOCKED"))</x:f>
        <x:v>OPEN</x:v>
      </x:c>
      <x:c r="G951" t="str">
        <x:v>equals</x:v>
      </x:c>
      <x:c r="H951" t="str">
        <x:f>IF(E951=F951,"PASS","FAIL")</x:f>
        <x:v>PASS</x:v>
      </x:c>
    </x:row>
    <x:row r="952">
      <x:c r="B952" t="str">
        <x:v>A-00920</x:v>
      </x:c>
      <x:c r="C952" t="str">
        <x:v>GATE</x:v>
      </x:c>
      <x:c r="D952" t="str">
        <x:v>release state mirrors governing ledger</x:v>
      </x:c>
      <x:c r="E952" t="str">
        <x:f>'Release Gates'!I926</x:f>
        <x:v>OPEN</x:v>
      </x:c>
      <x:c r="F952" t="str">
        <x:f>IF('Release Gates'!C926="PLANNING","PASS",IF('Release Gates'!C926="PHYSICAL","OPEN","BLOCKED"))</x:f>
        <x:v>OPEN</x:v>
      </x:c>
      <x:c r="G952" t="str">
        <x:v>equals</x:v>
      </x:c>
      <x:c r="H952" t="str">
        <x:f>IF(E952=F952,"PASS","FAIL")</x:f>
        <x:v>PASS</x:v>
      </x:c>
    </x:row>
    <x:row r="953">
      <x:c r="B953" t="str">
        <x:v>A-00921</x:v>
      </x:c>
      <x:c r="C953" t="str">
        <x:v>GATE</x:v>
      </x:c>
      <x:c r="D953" t="str">
        <x:v>release state mirrors governing ledger</x:v>
      </x:c>
      <x:c r="E953" t="str">
        <x:f>'Release Gates'!I927</x:f>
        <x:v>OPEN</x:v>
      </x:c>
      <x:c r="F953" t="str">
        <x:f>IF('Release Gates'!C927="PLANNING","PASS",IF('Release Gates'!C927="PHYSICAL","OPEN","BLOCKED"))</x:f>
        <x:v>OPEN</x:v>
      </x:c>
      <x:c r="G953" t="str">
        <x:v>equals</x:v>
      </x:c>
      <x:c r="H953" t="str">
        <x:f>IF(E953=F953,"PASS","FAIL")</x:f>
        <x:v>PASS</x:v>
      </x:c>
    </x:row>
    <x:row r="954">
      <x:c r="B954" t="str">
        <x:v>A-00922</x:v>
      </x:c>
      <x:c r="C954" t="str">
        <x:v>GATE</x:v>
      </x:c>
      <x:c r="D954" t="str">
        <x:v>release state mirrors governing ledger</x:v>
      </x:c>
      <x:c r="E954" t="str">
        <x:f>'Release Gates'!I928</x:f>
        <x:v>OPEN</x:v>
      </x:c>
      <x:c r="F954" t="str">
        <x:f>IF('Release Gates'!C928="PLANNING","PASS",IF('Release Gates'!C928="PHYSICAL","OPEN","BLOCKED"))</x:f>
        <x:v>OPEN</x:v>
      </x:c>
      <x:c r="G954" t="str">
        <x:v>equals</x:v>
      </x:c>
      <x:c r="H954" t="str">
        <x:f>IF(E954=F954,"PASS","FAIL")</x:f>
        <x:v>PASS</x:v>
      </x:c>
    </x:row>
    <x:row r="955">
      <x:c r="B955" t="str">
        <x:v>A-00923</x:v>
      </x:c>
      <x:c r="C955" t="str">
        <x:v>GATE</x:v>
      </x:c>
      <x:c r="D955" t="str">
        <x:v>release state mirrors governing ledger</x:v>
      </x:c>
      <x:c r="E955" t="str">
        <x:f>'Release Gates'!I929</x:f>
        <x:v>OPEN</x:v>
      </x:c>
      <x:c r="F955" t="str">
        <x:f>IF('Release Gates'!C929="PLANNING","PASS",IF('Release Gates'!C929="PHYSICAL","OPEN","BLOCKED"))</x:f>
        <x:v>OPEN</x:v>
      </x:c>
      <x:c r="G955" t="str">
        <x:v>equals</x:v>
      </x:c>
      <x:c r="H955" t="str">
        <x:f>IF(E955=F955,"PASS","FAIL")</x:f>
        <x:v>PASS</x:v>
      </x:c>
    </x:row>
    <x:row r="956">
      <x:c r="B956" t="str">
        <x:v>A-00924</x:v>
      </x:c>
      <x:c r="C956" t="str">
        <x:v>GATE</x:v>
      </x:c>
      <x:c r="D956" t="str">
        <x:v>release state mirrors governing ledger</x:v>
      </x:c>
      <x:c r="E956" t="str">
        <x:f>'Release Gates'!I930</x:f>
        <x:v>OPEN</x:v>
      </x:c>
      <x:c r="F956" t="str">
        <x:f>IF('Release Gates'!C930="PLANNING","PASS",IF('Release Gates'!C930="PHYSICAL","OPEN","BLOCKED"))</x:f>
        <x:v>OPEN</x:v>
      </x:c>
      <x:c r="G956" t="str">
        <x:v>equals</x:v>
      </x:c>
      <x:c r="H956" t="str">
        <x:f>IF(E956=F956,"PASS","FAIL")</x:f>
        <x:v>PASS</x:v>
      </x:c>
    </x:row>
    <x:row r="957">
      <x:c r="B957" t="str">
        <x:v>A-00925</x:v>
      </x:c>
      <x:c r="C957" t="str">
        <x:v>GATE</x:v>
      </x:c>
      <x:c r="D957" t="str">
        <x:v>release state mirrors governing ledger</x:v>
      </x:c>
      <x:c r="E957" t="str">
        <x:f>'Release Gates'!I931</x:f>
        <x:v>OPEN</x:v>
      </x:c>
      <x:c r="F957" t="str">
        <x:f>IF('Release Gates'!C931="PLANNING","PASS",IF('Release Gates'!C931="PHYSICAL","OPEN","BLOCKED"))</x:f>
        <x:v>OPEN</x:v>
      </x:c>
      <x:c r="G957" t="str">
        <x:v>equals</x:v>
      </x:c>
      <x:c r="H957" t="str">
        <x:f>IF(E957=F957,"PASS","FAIL")</x:f>
        <x:v>PASS</x:v>
      </x:c>
    </x:row>
    <x:row r="958">
      <x:c r="B958" t="str">
        <x:v>A-00926</x:v>
      </x:c>
      <x:c r="C958" t="str">
        <x:v>GATE</x:v>
      </x:c>
      <x:c r="D958" t="str">
        <x:v>release state mirrors governing ledger</x:v>
      </x:c>
      <x:c r="E958" t="str">
        <x:f>'Release Gates'!I932</x:f>
        <x:v>OPEN</x:v>
      </x:c>
      <x:c r="F958" t="str">
        <x:f>IF('Release Gates'!C932="PLANNING","PASS",IF('Release Gates'!C932="PHYSICAL","OPEN","BLOCKED"))</x:f>
        <x:v>OPEN</x:v>
      </x:c>
      <x:c r="G958" t="str">
        <x:v>equals</x:v>
      </x:c>
      <x:c r="H958" t="str">
        <x:f>IF(E958=F958,"PASS","FAIL")</x:f>
        <x:v>PASS</x:v>
      </x:c>
    </x:row>
    <x:row r="959">
      <x:c r="B959" t="str">
        <x:v>A-00927</x:v>
      </x:c>
      <x:c r="C959" t="str">
        <x:v>GATE</x:v>
      </x:c>
      <x:c r="D959" t="str">
        <x:v>release state mirrors governing ledger</x:v>
      </x:c>
      <x:c r="E959" t="str">
        <x:f>'Release Gates'!I933</x:f>
        <x:v>OPEN</x:v>
      </x:c>
      <x:c r="F959" t="str">
        <x:f>IF('Release Gates'!C933="PLANNING","PASS",IF('Release Gates'!C933="PHYSICAL","OPEN","BLOCKED"))</x:f>
        <x:v>OPEN</x:v>
      </x:c>
      <x:c r="G959" t="str">
        <x:v>equals</x:v>
      </x:c>
      <x:c r="H959" t="str">
        <x:f>IF(E959=F959,"PASS","FAIL")</x:f>
        <x:v>PASS</x:v>
      </x:c>
    </x:row>
    <x:row r="960">
      <x:c r="B960" t="str">
        <x:v>A-00928</x:v>
      </x:c>
      <x:c r="C960" t="str">
        <x:v>GATE</x:v>
      </x:c>
      <x:c r="D960" t="str">
        <x:v>release state mirrors governing ledger</x:v>
      </x:c>
      <x:c r="E960" t="str">
        <x:f>'Release Gates'!I934</x:f>
        <x:v>OPEN</x:v>
      </x:c>
      <x:c r="F960" t="str">
        <x:f>IF('Release Gates'!C934="PLANNING","PASS",IF('Release Gates'!C934="PHYSICAL","OPEN","BLOCKED"))</x:f>
        <x:v>OPEN</x:v>
      </x:c>
      <x:c r="G960" t="str">
        <x:v>equals</x:v>
      </x:c>
      <x:c r="H960" t="str">
        <x:f>IF(E960=F960,"PASS","FAIL")</x:f>
        <x:v>PASS</x:v>
      </x:c>
    </x:row>
    <x:row r="961">
      <x:c r="B961" t="str">
        <x:v>A-00929</x:v>
      </x:c>
      <x:c r="C961" t="str">
        <x:v>GATE</x:v>
      </x:c>
      <x:c r="D961" t="str">
        <x:v>release state mirrors governing ledger</x:v>
      </x:c>
      <x:c r="E961" t="str">
        <x:f>'Release Gates'!I935</x:f>
        <x:v>OPEN</x:v>
      </x:c>
      <x:c r="F961" t="str">
        <x:f>IF('Release Gates'!C935="PLANNING","PASS",IF('Release Gates'!C935="PHYSICAL","OPEN","BLOCKED"))</x:f>
        <x:v>OPEN</x:v>
      </x:c>
      <x:c r="G961" t="str">
        <x:v>equals</x:v>
      </x:c>
      <x:c r="H961" t="str">
        <x:f>IF(E961=F961,"PASS","FAIL")</x:f>
        <x:v>PASS</x:v>
      </x:c>
    </x:row>
    <x:row r="962">
      <x:c r="B962" t="str">
        <x:v>A-00930</x:v>
      </x:c>
      <x:c r="C962" t="str">
        <x:v>GATE</x:v>
      </x:c>
      <x:c r="D962" t="str">
        <x:v>release state mirrors governing ledger</x:v>
      </x:c>
      <x:c r="E962" t="str">
        <x:f>'Release Gates'!I936</x:f>
        <x:v>OPEN</x:v>
      </x:c>
      <x:c r="F962" t="str">
        <x:f>IF('Release Gates'!C936="PLANNING","PASS",IF('Release Gates'!C936="PHYSICAL","OPEN","BLOCKED"))</x:f>
        <x:v>OPEN</x:v>
      </x:c>
      <x:c r="G962" t="str">
        <x:v>equals</x:v>
      </x:c>
      <x:c r="H962" t="str">
        <x:f>IF(E962=F962,"PASS","FAIL")</x:f>
        <x:v>PASS</x:v>
      </x:c>
    </x:row>
    <x:row r="963">
      <x:c r="B963" t="str">
        <x:v>A-00931</x:v>
      </x:c>
      <x:c r="C963" t="str">
        <x:v>GATE</x:v>
      </x:c>
      <x:c r="D963" t="str">
        <x:v>release state mirrors governing ledger</x:v>
      </x:c>
      <x:c r="E963" t="str">
        <x:f>'Release Gates'!I937</x:f>
        <x:v>OPEN</x:v>
      </x:c>
      <x:c r="F963" t="str">
        <x:f>IF('Release Gates'!C937="PLANNING","PASS",IF('Release Gates'!C937="PHYSICAL","OPEN","BLOCKED"))</x:f>
        <x:v>OPEN</x:v>
      </x:c>
      <x:c r="G963" t="str">
        <x:v>equals</x:v>
      </x:c>
      <x:c r="H963" t="str">
        <x:f>IF(E963=F963,"PASS","FAIL")</x:f>
        <x:v>PASS</x:v>
      </x:c>
    </x:row>
    <x:row r="964">
      <x:c r="B964" t="str">
        <x:v>A-00932</x:v>
      </x:c>
      <x:c r="C964" t="str">
        <x:v>GATE</x:v>
      </x:c>
      <x:c r="D964" t="str">
        <x:v>release state mirrors governing ledger</x:v>
      </x:c>
      <x:c r="E964" t="str">
        <x:f>'Release Gates'!I938</x:f>
        <x:v>OPEN</x:v>
      </x:c>
      <x:c r="F964" t="str">
        <x:f>IF('Release Gates'!C938="PLANNING","PASS",IF('Release Gates'!C938="PHYSICAL","OPEN","BLOCKED"))</x:f>
        <x:v>OPEN</x:v>
      </x:c>
      <x:c r="G964" t="str">
        <x:v>equals</x:v>
      </x:c>
      <x:c r="H964" t="str">
        <x:f>IF(E964=F964,"PASS","FAIL")</x:f>
        <x:v>PASS</x:v>
      </x:c>
    </x:row>
    <x:row r="965">
      <x:c r="B965" t="str">
        <x:v>A-00933</x:v>
      </x:c>
      <x:c r="C965" t="str">
        <x:v>GATE</x:v>
      </x:c>
      <x:c r="D965" t="str">
        <x:v>release state mirrors governing ledger</x:v>
      </x:c>
      <x:c r="E965" t="str">
        <x:f>'Release Gates'!I939</x:f>
        <x:v>OPEN</x:v>
      </x:c>
      <x:c r="F965" t="str">
        <x:f>IF('Release Gates'!C939="PLANNING","PASS",IF('Release Gates'!C939="PHYSICAL","OPEN","BLOCKED"))</x:f>
        <x:v>OPEN</x:v>
      </x:c>
      <x:c r="G965" t="str">
        <x:v>equals</x:v>
      </x:c>
      <x:c r="H965" t="str">
        <x:f>IF(E965=F965,"PASS","FAIL")</x:f>
        <x:v>PASS</x:v>
      </x:c>
    </x:row>
    <x:row r="966">
      <x:c r="B966" t="str">
        <x:v>A-00934</x:v>
      </x:c>
      <x:c r="C966" t="str">
        <x:v>GATE</x:v>
      </x:c>
      <x:c r="D966" t="str">
        <x:v>release state mirrors governing ledger</x:v>
      </x:c>
      <x:c r="E966" t="str">
        <x:f>'Release Gates'!I940</x:f>
        <x:v>OPEN</x:v>
      </x:c>
      <x:c r="F966" t="str">
        <x:f>IF('Release Gates'!C940="PLANNING","PASS",IF('Release Gates'!C940="PHYSICAL","OPEN","BLOCKED"))</x:f>
        <x:v>OPEN</x:v>
      </x:c>
      <x:c r="G966" t="str">
        <x:v>equals</x:v>
      </x:c>
      <x:c r="H966" t="str">
        <x:f>IF(E966=F966,"PASS","FAIL")</x:f>
        <x:v>PASS</x:v>
      </x:c>
    </x:row>
    <x:row r="967">
      <x:c r="B967" t="str">
        <x:v>A-00935</x:v>
      </x:c>
      <x:c r="C967" t="str">
        <x:v>GATE</x:v>
      </x:c>
      <x:c r="D967" t="str">
        <x:v>release state mirrors governing ledger</x:v>
      </x:c>
      <x:c r="E967" t="str">
        <x:f>'Release Gates'!I941</x:f>
        <x:v>OPEN</x:v>
      </x:c>
      <x:c r="F967" t="str">
        <x:f>IF('Release Gates'!C941="PLANNING","PASS",IF('Release Gates'!C941="PHYSICAL","OPEN","BLOCKED"))</x:f>
        <x:v>OPEN</x:v>
      </x:c>
      <x:c r="G967" t="str">
        <x:v>equals</x:v>
      </x:c>
      <x:c r="H967" t="str">
        <x:f>IF(E967=F967,"PASS","FAIL")</x:f>
        <x:v>PASS</x:v>
      </x:c>
    </x:row>
    <x:row r="968">
      <x:c r="B968" t="str">
        <x:v>A-00936</x:v>
      </x:c>
      <x:c r="C968" t="str">
        <x:v>GATE</x:v>
      </x:c>
      <x:c r="D968" t="str">
        <x:v>release state mirrors governing ledger</x:v>
      </x:c>
      <x:c r="E968" t="str">
        <x:f>'Release Gates'!I942</x:f>
        <x:v>OPEN</x:v>
      </x:c>
      <x:c r="F968" t="str">
        <x:f>IF('Release Gates'!C942="PLANNING","PASS",IF('Release Gates'!C942="PHYSICAL","OPEN","BLOCKED"))</x:f>
        <x:v>OPEN</x:v>
      </x:c>
      <x:c r="G968" t="str">
        <x:v>equals</x:v>
      </x:c>
      <x:c r="H968" t="str">
        <x:f>IF(E968=F968,"PASS","FAIL")</x:f>
        <x:v>PASS</x:v>
      </x:c>
    </x:row>
    <x:row r="969">
      <x:c r="B969" t="str">
        <x:v>A-00937</x:v>
      </x:c>
      <x:c r="C969" t="str">
        <x:v>GATE</x:v>
      </x:c>
      <x:c r="D969" t="str">
        <x:v>release state mirrors governing ledger</x:v>
      </x:c>
      <x:c r="E969" t="str">
        <x:f>'Release Gates'!I943</x:f>
        <x:v>OPEN</x:v>
      </x:c>
      <x:c r="F969" t="str">
        <x:f>IF('Release Gates'!C943="PLANNING","PASS",IF('Release Gates'!C943="PHYSICAL","OPEN","BLOCKED"))</x:f>
        <x:v>OPEN</x:v>
      </x:c>
      <x:c r="G969" t="str">
        <x:v>equals</x:v>
      </x:c>
      <x:c r="H969" t="str">
        <x:f>IF(E969=F969,"PASS","FAIL")</x:f>
        <x:v>PASS</x:v>
      </x:c>
    </x:row>
    <x:row r="970">
      <x:c r="B970" t="str">
        <x:v>A-00938</x:v>
      </x:c>
      <x:c r="C970" t="str">
        <x:v>GATE</x:v>
      </x:c>
      <x:c r="D970" t="str">
        <x:v>release state mirrors governing ledger</x:v>
      </x:c>
      <x:c r="E970" t="str">
        <x:f>'Release Gates'!I944</x:f>
        <x:v>OPEN</x:v>
      </x:c>
      <x:c r="F970" t="str">
        <x:f>IF('Release Gates'!C944="PLANNING","PASS",IF('Release Gates'!C944="PHYSICAL","OPEN","BLOCKED"))</x:f>
        <x:v>OPEN</x:v>
      </x:c>
      <x:c r="G970" t="str">
        <x:v>equals</x:v>
      </x:c>
      <x:c r="H970" t="str">
        <x:f>IF(E970=F970,"PASS","FAIL")</x:f>
        <x:v>PASS</x:v>
      </x:c>
    </x:row>
    <x:row r="971">
      <x:c r="B971" t="str">
        <x:v>A-00939</x:v>
      </x:c>
      <x:c r="C971" t="str">
        <x:v>GATE</x:v>
      </x:c>
      <x:c r="D971" t="str">
        <x:v>release state mirrors governing ledger</x:v>
      </x:c>
      <x:c r="E971" t="str">
        <x:f>'Release Gates'!I945</x:f>
        <x:v>OPEN</x:v>
      </x:c>
      <x:c r="F971" t="str">
        <x:f>IF('Release Gates'!C945="PLANNING","PASS",IF('Release Gates'!C945="PHYSICAL","OPEN","BLOCKED"))</x:f>
        <x:v>OPEN</x:v>
      </x:c>
      <x:c r="G971" t="str">
        <x:v>equals</x:v>
      </x:c>
      <x:c r="H971" t="str">
        <x:f>IF(E971=F971,"PASS","FAIL")</x:f>
        <x:v>PASS</x:v>
      </x:c>
    </x:row>
    <x:row r="972">
      <x:c r="B972" t="str">
        <x:v>A-00940</x:v>
      </x:c>
      <x:c r="C972" t="str">
        <x:v>GATE</x:v>
      </x:c>
      <x:c r="D972" t="str">
        <x:v>release state mirrors governing ledger</x:v>
      </x:c>
      <x:c r="E972" t="str">
        <x:f>'Release Gates'!I946</x:f>
        <x:v>OPEN</x:v>
      </x:c>
      <x:c r="F972" t="str">
        <x:f>IF('Release Gates'!C946="PLANNING","PASS",IF('Release Gates'!C946="PHYSICAL","OPEN","BLOCKED"))</x:f>
        <x:v>OPEN</x:v>
      </x:c>
      <x:c r="G972" t="str">
        <x:v>equals</x:v>
      </x:c>
      <x:c r="H972" t="str">
        <x:f>IF(E972=F972,"PASS","FAIL")</x:f>
        <x:v>PASS</x:v>
      </x:c>
    </x:row>
    <x:row r="973">
      <x:c r="B973" t="str">
        <x:v>A-00941</x:v>
      </x:c>
      <x:c r="C973" t="str">
        <x:v>GATE</x:v>
      </x:c>
      <x:c r="D973" t="str">
        <x:v>release state mirrors governing ledger</x:v>
      </x:c>
      <x:c r="E973" t="str">
        <x:f>'Release Gates'!I947</x:f>
        <x:v>OPEN</x:v>
      </x:c>
      <x:c r="F973" t="str">
        <x:f>IF('Release Gates'!C947="PLANNING","PASS",IF('Release Gates'!C947="PHYSICAL","OPEN","BLOCKED"))</x:f>
        <x:v>OPEN</x:v>
      </x:c>
      <x:c r="G973" t="str">
        <x:v>equals</x:v>
      </x:c>
      <x:c r="H973" t="str">
        <x:f>IF(E973=F973,"PASS","FAIL")</x:f>
        <x:v>PASS</x:v>
      </x:c>
    </x:row>
    <x:row r="974">
      <x:c r="B974" t="str">
        <x:v>A-00942</x:v>
      </x:c>
      <x:c r="C974" t="str">
        <x:v>GATE</x:v>
      </x:c>
      <x:c r="D974" t="str">
        <x:v>release state mirrors governing ledger</x:v>
      </x:c>
      <x:c r="E974" t="str">
        <x:f>'Release Gates'!I948</x:f>
        <x:v>OPEN</x:v>
      </x:c>
      <x:c r="F974" t="str">
        <x:f>IF('Release Gates'!C948="PLANNING","PASS",IF('Release Gates'!C948="PHYSICAL","OPEN","BLOCKED"))</x:f>
        <x:v>OPEN</x:v>
      </x:c>
      <x:c r="G974" t="str">
        <x:v>equals</x:v>
      </x:c>
      <x:c r="H974" t="str">
        <x:f>IF(E974=F974,"PASS","FAIL")</x:f>
        <x:v>PASS</x:v>
      </x:c>
    </x:row>
    <x:row r="975">
      <x:c r="B975" t="str">
        <x:v>A-00943</x:v>
      </x:c>
      <x:c r="C975" t="str">
        <x:v>GATE</x:v>
      </x:c>
      <x:c r="D975" t="str">
        <x:v>release state mirrors governing ledger</x:v>
      </x:c>
      <x:c r="E975" t="str">
        <x:f>'Release Gates'!I949</x:f>
        <x:v>OPEN</x:v>
      </x:c>
      <x:c r="F975" t="str">
        <x:f>IF('Release Gates'!C949="PLANNING","PASS",IF('Release Gates'!C949="PHYSICAL","OPEN","BLOCKED"))</x:f>
        <x:v>OPEN</x:v>
      </x:c>
      <x:c r="G975" t="str">
        <x:v>equals</x:v>
      </x:c>
      <x:c r="H975" t="str">
        <x:f>IF(E975=F975,"PASS","FAIL")</x:f>
        <x:v>PASS</x:v>
      </x:c>
    </x:row>
    <x:row r="976">
      <x:c r="B976" t="str">
        <x:v>A-00944</x:v>
      </x:c>
      <x:c r="C976" t="str">
        <x:v>GATE</x:v>
      </x:c>
      <x:c r="D976" t="str">
        <x:v>release state mirrors governing ledger</x:v>
      </x:c>
      <x:c r="E976" t="str">
        <x:f>'Release Gates'!I950</x:f>
        <x:v>OPEN</x:v>
      </x:c>
      <x:c r="F976" t="str">
        <x:f>IF('Release Gates'!C950="PLANNING","PASS",IF('Release Gates'!C950="PHYSICAL","OPEN","BLOCKED"))</x:f>
        <x:v>OPEN</x:v>
      </x:c>
      <x:c r="G976" t="str">
        <x:v>equals</x:v>
      </x:c>
      <x:c r="H976" t="str">
        <x:f>IF(E976=F976,"PASS","FAIL")</x:f>
        <x:v>PASS</x:v>
      </x:c>
    </x:row>
    <x:row r="977">
      <x:c r="B977" t="str">
        <x:v>A-00945</x:v>
      </x:c>
      <x:c r="C977" t="str">
        <x:v>GATE</x:v>
      </x:c>
      <x:c r="D977" t="str">
        <x:v>release state mirrors governing ledger</x:v>
      </x:c>
      <x:c r="E977" t="str">
        <x:f>'Release Gates'!I951</x:f>
        <x:v>OPEN</x:v>
      </x:c>
      <x:c r="F977" t="str">
        <x:f>IF('Release Gates'!C951="PLANNING","PASS",IF('Release Gates'!C951="PHYSICAL","OPEN","BLOCKED"))</x:f>
        <x:v>OPEN</x:v>
      </x:c>
      <x:c r="G977" t="str">
        <x:v>equals</x:v>
      </x:c>
      <x:c r="H977" t="str">
        <x:f>IF(E977=F977,"PASS","FAIL")</x:f>
        <x:v>PASS</x:v>
      </x:c>
    </x:row>
    <x:row r="978">
      <x:c r="B978" t="str">
        <x:v>A-00946</x:v>
      </x:c>
      <x:c r="C978" t="str">
        <x:v>GATE</x:v>
      </x:c>
      <x:c r="D978" t="str">
        <x:v>release state mirrors governing ledger</x:v>
      </x:c>
      <x:c r="E978" t="str">
        <x:f>'Release Gates'!I952</x:f>
        <x:v>OPEN</x:v>
      </x:c>
      <x:c r="F978" t="str">
        <x:f>IF('Release Gates'!C952="PLANNING","PASS",IF('Release Gates'!C952="PHYSICAL","OPEN","BLOCKED"))</x:f>
        <x:v>OPEN</x:v>
      </x:c>
      <x:c r="G978" t="str">
        <x:v>equals</x:v>
      </x:c>
      <x:c r="H978" t="str">
        <x:f>IF(E978=F978,"PASS","FAIL")</x:f>
        <x:v>PASS</x:v>
      </x:c>
    </x:row>
    <x:row r="979">
      <x:c r="B979" t="str">
        <x:v>A-00947</x:v>
      </x:c>
      <x:c r="C979" t="str">
        <x:v>GATE</x:v>
      </x:c>
      <x:c r="D979" t="str">
        <x:v>release state mirrors governing ledger</x:v>
      </x:c>
      <x:c r="E979" t="str">
        <x:f>'Release Gates'!I953</x:f>
        <x:v>OPEN</x:v>
      </x:c>
      <x:c r="F979" t="str">
        <x:f>IF('Release Gates'!C953="PLANNING","PASS",IF('Release Gates'!C953="PHYSICAL","OPEN","BLOCKED"))</x:f>
        <x:v>OPEN</x:v>
      </x:c>
      <x:c r="G979" t="str">
        <x:v>equals</x:v>
      </x:c>
      <x:c r="H979" t="str">
        <x:f>IF(E979=F979,"PASS","FAIL")</x:f>
        <x:v>PASS</x:v>
      </x:c>
    </x:row>
    <x:row r="980">
      <x:c r="B980" t="str">
        <x:v>A-00948</x:v>
      </x:c>
      <x:c r="C980" t="str">
        <x:v>GATE</x:v>
      </x:c>
      <x:c r="D980" t="str">
        <x:v>release state mirrors governing ledger</x:v>
      </x:c>
      <x:c r="E980" t="str">
        <x:f>'Release Gates'!I954</x:f>
        <x:v>OPEN</x:v>
      </x:c>
      <x:c r="F980" t="str">
        <x:f>IF('Release Gates'!C954="PLANNING","PASS",IF('Release Gates'!C954="PHYSICAL","OPEN","BLOCKED"))</x:f>
        <x:v>OPEN</x:v>
      </x:c>
      <x:c r="G980" t="str">
        <x:v>equals</x:v>
      </x:c>
      <x:c r="H980" t="str">
        <x:f>IF(E980=F980,"PASS","FAIL")</x:f>
        <x:v>PASS</x:v>
      </x:c>
    </x:row>
    <x:row r="981">
      <x:c r="B981" t="str">
        <x:v>A-00949</x:v>
      </x:c>
      <x:c r="C981" t="str">
        <x:v>GATE</x:v>
      </x:c>
      <x:c r="D981" t="str">
        <x:v>release state mirrors governing ledger</x:v>
      </x:c>
      <x:c r="E981" t="str">
        <x:f>'Release Gates'!I955</x:f>
        <x:v>OPEN</x:v>
      </x:c>
      <x:c r="F981" t="str">
        <x:f>IF('Release Gates'!C955="PLANNING","PASS",IF('Release Gates'!C955="PHYSICAL","OPEN","BLOCKED"))</x:f>
        <x:v>OPEN</x:v>
      </x:c>
      <x:c r="G981" t="str">
        <x:v>equals</x:v>
      </x:c>
      <x:c r="H981" t="str">
        <x:f>IF(E981=F981,"PASS","FAIL")</x:f>
        <x:v>PASS</x:v>
      </x:c>
    </x:row>
    <x:row r="982">
      <x:c r="B982" t="str">
        <x:v>A-00950</x:v>
      </x:c>
      <x:c r="C982" t="str">
        <x:v>GATE</x:v>
      </x:c>
      <x:c r="D982" t="str">
        <x:v>release state mirrors governing ledger</x:v>
      </x:c>
      <x:c r="E982" t="str">
        <x:f>'Release Gates'!I956</x:f>
        <x:v>OPEN</x:v>
      </x:c>
      <x:c r="F982" t="str">
        <x:f>IF('Release Gates'!C956="PLANNING","PASS",IF('Release Gates'!C956="PHYSICAL","OPEN","BLOCKED"))</x:f>
        <x:v>OPEN</x:v>
      </x:c>
      <x:c r="G982" t="str">
        <x:v>equals</x:v>
      </x:c>
      <x:c r="H982" t="str">
        <x:f>IF(E982=F982,"PASS","FAIL")</x:f>
        <x:v>PASS</x:v>
      </x:c>
    </x:row>
    <x:row r="983">
      <x:c r="B983" t="str">
        <x:v>A-00951</x:v>
      </x:c>
      <x:c r="C983" t="str">
        <x:v>GATE</x:v>
      </x:c>
      <x:c r="D983" t="str">
        <x:v>release state mirrors governing ledger</x:v>
      </x:c>
      <x:c r="E983" t="str">
        <x:f>'Release Gates'!I957</x:f>
        <x:v>OPEN</x:v>
      </x:c>
      <x:c r="F983" t="str">
        <x:f>IF('Release Gates'!C957="PLANNING","PASS",IF('Release Gates'!C957="PHYSICAL","OPEN","BLOCKED"))</x:f>
        <x:v>OPEN</x:v>
      </x:c>
      <x:c r="G983" t="str">
        <x:v>equals</x:v>
      </x:c>
      <x:c r="H983" t="str">
        <x:f>IF(E983=F983,"PASS","FAIL")</x:f>
        <x:v>PASS</x:v>
      </x:c>
    </x:row>
    <x:row r="984">
      <x:c r="B984" t="str">
        <x:v>A-00952</x:v>
      </x:c>
      <x:c r="C984" t="str">
        <x:v>GATE</x:v>
      </x:c>
      <x:c r="D984" t="str">
        <x:v>release state mirrors governing ledger</x:v>
      </x:c>
      <x:c r="E984" t="str">
        <x:f>'Release Gates'!I958</x:f>
        <x:v>OPEN</x:v>
      </x:c>
      <x:c r="F984" t="str">
        <x:f>IF('Release Gates'!C958="PLANNING","PASS",IF('Release Gates'!C958="PHYSICAL","OPEN","BLOCKED"))</x:f>
        <x:v>OPEN</x:v>
      </x:c>
      <x:c r="G984" t="str">
        <x:v>equals</x:v>
      </x:c>
      <x:c r="H984" t="str">
        <x:f>IF(E984=F984,"PASS","FAIL")</x:f>
        <x:v>PASS</x:v>
      </x:c>
    </x:row>
    <x:row r="985">
      <x:c r="B985" t="str">
        <x:v>A-00953</x:v>
      </x:c>
      <x:c r="C985" t="str">
        <x:v>GATE</x:v>
      </x:c>
      <x:c r="D985" t="str">
        <x:v>release state mirrors governing ledger</x:v>
      </x:c>
      <x:c r="E985" t="str">
        <x:f>'Release Gates'!I959</x:f>
        <x:v>OPEN</x:v>
      </x:c>
      <x:c r="F985" t="str">
        <x:f>IF('Release Gates'!C959="PLANNING","PASS",IF('Release Gates'!C959="PHYSICAL","OPEN","BLOCKED"))</x:f>
        <x:v>OPEN</x:v>
      </x:c>
      <x:c r="G985" t="str">
        <x:v>equals</x:v>
      </x:c>
      <x:c r="H985" t="str">
        <x:f>IF(E985=F985,"PASS","FAIL")</x:f>
        <x:v>PASS</x:v>
      </x:c>
    </x:row>
    <x:row r="986">
      <x:c r="B986" t="str">
        <x:v>A-00954</x:v>
      </x:c>
      <x:c r="C986" t="str">
        <x:v>GATE</x:v>
      </x:c>
      <x:c r="D986" t="str">
        <x:v>release state mirrors governing ledger</x:v>
      </x:c>
      <x:c r="E986" t="str">
        <x:f>'Release Gates'!I960</x:f>
        <x:v>OPEN</x:v>
      </x:c>
      <x:c r="F986" t="str">
        <x:f>IF('Release Gates'!C960="PLANNING","PASS",IF('Release Gates'!C960="PHYSICAL","OPEN","BLOCKED"))</x:f>
        <x:v>OPEN</x:v>
      </x:c>
      <x:c r="G986" t="str">
        <x:v>equals</x:v>
      </x:c>
      <x:c r="H986" t="str">
        <x:f>IF(E986=F986,"PASS","FAIL")</x:f>
        <x:v>PASS</x:v>
      </x:c>
    </x:row>
    <x:row r="987">
      <x:c r="B987" t="str">
        <x:v>A-00955</x:v>
      </x:c>
      <x:c r="C987" t="str">
        <x:v>GATE</x:v>
      </x:c>
      <x:c r="D987" t="str">
        <x:v>release state mirrors governing ledger</x:v>
      </x:c>
      <x:c r="E987" t="str">
        <x:f>'Release Gates'!I961</x:f>
        <x:v>OPEN</x:v>
      </x:c>
      <x:c r="F987" t="str">
        <x:f>IF('Release Gates'!C961="PLANNING","PASS",IF('Release Gates'!C961="PHYSICAL","OPEN","BLOCKED"))</x:f>
        <x:v>OPEN</x:v>
      </x:c>
      <x:c r="G987" t="str">
        <x:v>equals</x:v>
      </x:c>
      <x:c r="H987" t="str">
        <x:f>IF(E987=F987,"PASS","FAIL")</x:f>
        <x:v>PASS</x:v>
      </x:c>
    </x:row>
    <x:row r="988">
      <x:c r="B988" t="str">
        <x:v>A-00956</x:v>
      </x:c>
      <x:c r="C988" t="str">
        <x:v>GATE</x:v>
      </x:c>
      <x:c r="D988" t="str">
        <x:v>release state mirrors governing ledger</x:v>
      </x:c>
      <x:c r="E988" t="str">
        <x:f>'Release Gates'!I962</x:f>
        <x:v>OPEN</x:v>
      </x:c>
      <x:c r="F988" t="str">
        <x:f>IF('Release Gates'!C962="PLANNING","PASS",IF('Release Gates'!C962="PHYSICAL","OPEN","BLOCKED"))</x:f>
        <x:v>OPEN</x:v>
      </x:c>
      <x:c r="G988" t="str">
        <x:v>equals</x:v>
      </x:c>
      <x:c r="H988" t="str">
        <x:f>IF(E988=F988,"PASS","FAIL")</x:f>
        <x:v>PASS</x:v>
      </x:c>
    </x:row>
    <x:row r="989">
      <x:c r="B989" t="str">
        <x:v>A-00957</x:v>
      </x:c>
      <x:c r="C989" t="str">
        <x:v>GATE</x:v>
      </x:c>
      <x:c r="D989" t="str">
        <x:v>release state mirrors governing ledger</x:v>
      </x:c>
      <x:c r="E989" t="str">
        <x:f>'Release Gates'!I963</x:f>
        <x:v>OPEN</x:v>
      </x:c>
      <x:c r="F989" t="str">
        <x:f>IF('Release Gates'!C963="PLANNING","PASS",IF('Release Gates'!C963="PHYSICAL","OPEN","BLOCKED"))</x:f>
        <x:v>OPEN</x:v>
      </x:c>
      <x:c r="G989" t="str">
        <x:v>equals</x:v>
      </x:c>
      <x:c r="H989" t="str">
        <x:f>IF(E989=F989,"PASS","FAIL")</x:f>
        <x:v>PASS</x:v>
      </x:c>
    </x:row>
    <x:row r="990">
      <x:c r="B990" t="str">
        <x:v>A-00958</x:v>
      </x:c>
      <x:c r="C990" t="str">
        <x:v>GATE</x:v>
      </x:c>
      <x:c r="D990" t="str">
        <x:v>release state mirrors governing ledger</x:v>
      </x:c>
      <x:c r="E990" t="str">
        <x:f>'Release Gates'!I964</x:f>
        <x:v>OPEN</x:v>
      </x:c>
      <x:c r="F990" t="str">
        <x:f>IF('Release Gates'!C964="PLANNING","PASS",IF('Release Gates'!C964="PHYSICAL","OPEN","BLOCKED"))</x:f>
        <x:v>OPEN</x:v>
      </x:c>
      <x:c r="G990" t="str">
        <x:v>equals</x:v>
      </x:c>
      <x:c r="H990" t="str">
        <x:f>IF(E990=F990,"PASS","FAIL")</x:f>
        <x:v>PASS</x:v>
      </x:c>
    </x:row>
    <x:row r="991">
      <x:c r="B991" t="str">
        <x:v>A-00959</x:v>
      </x:c>
      <x:c r="C991" t="str">
        <x:v>GATE</x:v>
      </x:c>
      <x:c r="D991" t="str">
        <x:v>release state mirrors governing ledger</x:v>
      </x:c>
      <x:c r="E991" t="str">
        <x:f>'Release Gates'!I965</x:f>
        <x:v>OPEN</x:v>
      </x:c>
      <x:c r="F991" t="str">
        <x:f>IF('Release Gates'!C965="PLANNING","PASS",IF('Release Gates'!C965="PHYSICAL","OPEN","BLOCKED"))</x:f>
        <x:v>OPEN</x:v>
      </x:c>
      <x:c r="G991" t="str">
        <x:v>equals</x:v>
      </x:c>
      <x:c r="H991" t="str">
        <x:f>IF(E991=F991,"PASS","FAIL")</x:f>
        <x:v>PASS</x:v>
      </x:c>
    </x:row>
    <x:row r="992">
      <x:c r="B992" t="str">
        <x:v>A-00960</x:v>
      </x:c>
      <x:c r="C992" t="str">
        <x:v>GATE</x:v>
      </x:c>
      <x:c r="D992" t="str">
        <x:v>release state mirrors governing ledger</x:v>
      </x:c>
      <x:c r="E992" t="str">
        <x:f>'Release Gates'!I966</x:f>
        <x:v>OPEN</x:v>
      </x:c>
      <x:c r="F992" t="str">
        <x:f>IF('Release Gates'!C966="PLANNING","PASS",IF('Release Gates'!C966="PHYSICAL","OPEN","BLOCKED"))</x:f>
        <x:v>OPEN</x:v>
      </x:c>
      <x:c r="G992" t="str">
        <x:v>equals</x:v>
      </x:c>
      <x:c r="H992" t="str">
        <x:f>IF(E992=F992,"PASS","FAIL")</x:f>
        <x:v>PASS</x:v>
      </x:c>
    </x:row>
    <x:row r="993">
      <x:c r="B993" t="str">
        <x:v>A-00961</x:v>
      </x:c>
      <x:c r="C993" t="str">
        <x:v>GATE</x:v>
      </x:c>
      <x:c r="D993" t="str">
        <x:v>release state mirrors governing ledger</x:v>
      </x:c>
      <x:c r="E993" t="str">
        <x:f>'Release Gates'!I967</x:f>
        <x:v>OPEN</x:v>
      </x:c>
      <x:c r="F993" t="str">
        <x:f>IF('Release Gates'!C967="PLANNING","PASS",IF('Release Gates'!C967="PHYSICAL","OPEN","BLOCKED"))</x:f>
        <x:v>OPEN</x:v>
      </x:c>
      <x:c r="G993" t="str">
        <x:v>equals</x:v>
      </x:c>
      <x:c r="H993" t="str">
        <x:f>IF(E993=F993,"PASS","FAIL")</x:f>
        <x:v>PASS</x:v>
      </x:c>
    </x:row>
    <x:row r="994">
      <x:c r="B994" t="str">
        <x:v>A-00962</x:v>
      </x:c>
      <x:c r="C994" t="str">
        <x:v>GATE</x:v>
      </x:c>
      <x:c r="D994" t="str">
        <x:v>release state mirrors governing ledger</x:v>
      </x:c>
      <x:c r="E994" t="str">
        <x:f>'Release Gates'!I968</x:f>
        <x:v>OPEN</x:v>
      </x:c>
      <x:c r="F994" t="str">
        <x:f>IF('Release Gates'!C968="PLANNING","PASS",IF('Release Gates'!C968="PHYSICAL","OPEN","BLOCKED"))</x:f>
        <x:v>OPEN</x:v>
      </x:c>
      <x:c r="G994" t="str">
        <x:v>equals</x:v>
      </x:c>
      <x:c r="H994" t="str">
        <x:f>IF(E994=F994,"PASS","FAIL")</x:f>
        <x:v>PASS</x:v>
      </x:c>
    </x:row>
    <x:row r="995">
      <x:c r="B995" t="str">
        <x:v>A-00963</x:v>
      </x:c>
      <x:c r="C995" t="str">
        <x:v>GATE</x:v>
      </x:c>
      <x:c r="D995" t="str">
        <x:v>release state mirrors governing ledger</x:v>
      </x:c>
      <x:c r="E995" t="str">
        <x:f>'Release Gates'!I969</x:f>
        <x:v>OPEN</x:v>
      </x:c>
      <x:c r="F995" t="str">
        <x:f>IF('Release Gates'!C969="PLANNING","PASS",IF('Release Gates'!C969="PHYSICAL","OPEN","BLOCKED"))</x:f>
        <x:v>OPEN</x:v>
      </x:c>
      <x:c r="G995" t="str">
        <x:v>equals</x:v>
      </x:c>
      <x:c r="H995" t="str">
        <x:f>IF(E995=F995,"PASS","FAIL")</x:f>
        <x:v>PASS</x:v>
      </x:c>
    </x:row>
    <x:row r="996">
      <x:c r="B996" t="str">
        <x:v>A-00964</x:v>
      </x:c>
      <x:c r="C996" t="str">
        <x:v>GATE</x:v>
      </x:c>
      <x:c r="D996" t="str">
        <x:v>release state mirrors governing ledger</x:v>
      </x:c>
      <x:c r="E996" t="str">
        <x:f>'Release Gates'!I970</x:f>
        <x:v>OPEN</x:v>
      </x:c>
      <x:c r="F996" t="str">
        <x:f>IF('Release Gates'!C970="PLANNING","PASS",IF('Release Gates'!C970="PHYSICAL","OPEN","BLOCKED"))</x:f>
        <x:v>OPEN</x:v>
      </x:c>
      <x:c r="G996" t="str">
        <x:v>equals</x:v>
      </x:c>
      <x:c r="H996" t="str">
        <x:f>IF(E996=F996,"PASS","FAIL")</x:f>
        <x:v>PASS</x:v>
      </x:c>
    </x:row>
    <x:row r="997">
      <x:c r="B997" t="str">
        <x:v>A-00965</x:v>
      </x:c>
      <x:c r="C997" t="str">
        <x:v>GATE</x:v>
      </x:c>
      <x:c r="D997" t="str">
        <x:v>release state mirrors governing ledger</x:v>
      </x:c>
      <x:c r="E997" t="str">
        <x:f>'Release Gates'!I971</x:f>
        <x:v>OPEN</x:v>
      </x:c>
      <x:c r="F997" t="str">
        <x:f>IF('Release Gates'!C971="PLANNING","PASS",IF('Release Gates'!C971="PHYSICAL","OPEN","BLOCKED"))</x:f>
        <x:v>OPEN</x:v>
      </x:c>
      <x:c r="G997" t="str">
        <x:v>equals</x:v>
      </x:c>
      <x:c r="H997" t="str">
        <x:f>IF(E997=F997,"PASS","FAIL")</x:f>
        <x:v>PASS</x:v>
      </x:c>
    </x:row>
    <x:row r="998">
      <x:c r="B998" t="str">
        <x:v>A-00966</x:v>
      </x:c>
      <x:c r="C998" t="str">
        <x:v>GATE</x:v>
      </x:c>
      <x:c r="D998" t="str">
        <x:v>release state mirrors governing ledger</x:v>
      </x:c>
      <x:c r="E998" t="str">
        <x:f>'Release Gates'!I972</x:f>
        <x:v>OPEN</x:v>
      </x:c>
      <x:c r="F998" t="str">
        <x:f>IF('Release Gates'!C972="PLANNING","PASS",IF('Release Gates'!C972="PHYSICAL","OPEN","BLOCKED"))</x:f>
        <x:v>OPEN</x:v>
      </x:c>
      <x:c r="G998" t="str">
        <x:v>equals</x:v>
      </x:c>
      <x:c r="H998" t="str">
        <x:f>IF(E998=F998,"PASS","FAIL")</x:f>
        <x:v>PASS</x:v>
      </x:c>
    </x:row>
    <x:row r="999">
      <x:c r="B999" t="str">
        <x:v>A-00967</x:v>
      </x:c>
      <x:c r="C999" t="str">
        <x:v>GATE</x:v>
      </x:c>
      <x:c r="D999" t="str">
        <x:v>release state mirrors governing ledger</x:v>
      </x:c>
      <x:c r="E999" t="str">
        <x:f>'Release Gates'!I973</x:f>
        <x:v>OPEN</x:v>
      </x:c>
      <x:c r="F999" t="str">
        <x:f>IF('Release Gates'!C973="PLANNING","PASS",IF('Release Gates'!C973="PHYSICAL","OPEN","BLOCKED"))</x:f>
        <x:v>OPEN</x:v>
      </x:c>
      <x:c r="G999" t="str">
        <x:v>equals</x:v>
      </x:c>
      <x:c r="H999" t="str">
        <x:f>IF(E999=F999,"PASS","FAIL")</x:f>
        <x:v>PASS</x:v>
      </x:c>
    </x:row>
    <x:row r="1000">
      <x:c r="B1000" t="str">
        <x:v>A-00968</x:v>
      </x:c>
      <x:c r="C1000" t="str">
        <x:v>GATE</x:v>
      </x:c>
      <x:c r="D1000" t="str">
        <x:v>release state mirrors governing ledger</x:v>
      </x:c>
      <x:c r="E1000" t="str">
        <x:f>'Release Gates'!I974</x:f>
        <x:v>OPEN</x:v>
      </x:c>
      <x:c r="F1000" t="str">
        <x:f>IF('Release Gates'!C974="PLANNING","PASS",IF('Release Gates'!C974="PHYSICAL","OPEN","BLOCKED"))</x:f>
        <x:v>OPEN</x:v>
      </x:c>
      <x:c r="G1000" t="str">
        <x:v>equals</x:v>
      </x:c>
      <x:c r="H1000" t="str">
        <x:f>IF(E1000=F1000,"PASS","FAIL")</x:f>
        <x:v>PASS</x:v>
      </x:c>
    </x:row>
    <x:row r="1001">
      <x:c r="B1001" t="str">
        <x:v>A-00969</x:v>
      </x:c>
      <x:c r="C1001" t="str">
        <x:v>GATE</x:v>
      </x:c>
      <x:c r="D1001" t="str">
        <x:v>release state mirrors governing ledger</x:v>
      </x:c>
      <x:c r="E1001" t="str">
        <x:f>'Release Gates'!I975</x:f>
        <x:v>OPEN</x:v>
      </x:c>
      <x:c r="F1001" t="str">
        <x:f>IF('Release Gates'!C975="PLANNING","PASS",IF('Release Gates'!C975="PHYSICAL","OPEN","BLOCKED"))</x:f>
        <x:v>OPEN</x:v>
      </x:c>
      <x:c r="G1001" t="str">
        <x:v>equals</x:v>
      </x:c>
      <x:c r="H1001" t="str">
        <x:f>IF(E1001=F1001,"PASS","FAIL")</x:f>
        <x:v>PASS</x:v>
      </x:c>
    </x:row>
    <x:row r="1002">
      <x:c r="B1002" t="str">
        <x:v>A-00970</x:v>
      </x:c>
      <x:c r="C1002" t="str">
        <x:v>GATE</x:v>
      </x:c>
      <x:c r="D1002" t="str">
        <x:v>release state mirrors governing ledger</x:v>
      </x:c>
      <x:c r="E1002" t="str">
        <x:f>'Release Gates'!I976</x:f>
        <x:v>OPEN</x:v>
      </x:c>
      <x:c r="F1002" t="str">
        <x:f>IF('Release Gates'!C976="PLANNING","PASS",IF('Release Gates'!C976="PHYSICAL","OPEN","BLOCKED"))</x:f>
        <x:v>OPEN</x:v>
      </x:c>
      <x:c r="G1002" t="str">
        <x:v>equals</x:v>
      </x:c>
      <x:c r="H1002" t="str">
        <x:f>IF(E1002=F1002,"PASS","FAIL")</x:f>
        <x:v>PASS</x:v>
      </x:c>
    </x:row>
    <x:row r="1003">
      <x:c r="B1003" t="str">
        <x:v>A-00971</x:v>
      </x:c>
      <x:c r="C1003" t="str">
        <x:v>GATE</x:v>
      </x:c>
      <x:c r="D1003" t="str">
        <x:v>release state mirrors governing ledger</x:v>
      </x:c>
      <x:c r="E1003" t="str">
        <x:f>'Release Gates'!I977</x:f>
        <x:v>OPEN</x:v>
      </x:c>
      <x:c r="F1003" t="str">
        <x:f>IF('Release Gates'!C977="PLANNING","PASS",IF('Release Gates'!C977="PHYSICAL","OPEN","BLOCKED"))</x:f>
        <x:v>OPEN</x:v>
      </x:c>
      <x:c r="G1003" t="str">
        <x:v>equals</x:v>
      </x:c>
      <x:c r="H1003" t="str">
        <x:f>IF(E1003=F1003,"PASS","FAIL")</x:f>
        <x:v>PASS</x:v>
      </x:c>
    </x:row>
    <x:row r="1004">
      <x:c r="B1004" t="str">
        <x:v>A-00972</x:v>
      </x:c>
      <x:c r="C1004" t="str">
        <x:v>GATE</x:v>
      </x:c>
      <x:c r="D1004" t="str">
        <x:v>release state mirrors governing ledger</x:v>
      </x:c>
      <x:c r="E1004" t="str">
        <x:f>'Release Gates'!I978</x:f>
        <x:v>OPEN</x:v>
      </x:c>
      <x:c r="F1004" t="str">
        <x:f>IF('Release Gates'!C978="PLANNING","PASS",IF('Release Gates'!C978="PHYSICAL","OPEN","BLOCKED"))</x:f>
        <x:v>OPEN</x:v>
      </x:c>
      <x:c r="G1004" t="str">
        <x:v>equals</x:v>
      </x:c>
      <x:c r="H1004" t="str">
        <x:f>IF(E1004=F1004,"PASS","FAIL")</x:f>
        <x:v>PASS</x:v>
      </x:c>
    </x:row>
    <x:row r="1005">
      <x:c r="B1005" t="str">
        <x:v>A-00973</x:v>
      </x:c>
      <x:c r="C1005" t="str">
        <x:v>GATE</x:v>
      </x:c>
      <x:c r="D1005" t="str">
        <x:v>release state mirrors governing ledger</x:v>
      </x:c>
      <x:c r="E1005" t="str">
        <x:f>'Release Gates'!I979</x:f>
        <x:v>OPEN</x:v>
      </x:c>
      <x:c r="F1005" t="str">
        <x:f>IF('Release Gates'!C979="PLANNING","PASS",IF('Release Gates'!C979="PHYSICAL","OPEN","BLOCKED"))</x:f>
        <x:v>OPEN</x:v>
      </x:c>
      <x:c r="G1005" t="str">
        <x:v>equals</x:v>
      </x:c>
      <x:c r="H1005" t="str">
        <x:f>IF(E1005=F1005,"PASS","FAIL")</x:f>
        <x:v>PASS</x:v>
      </x:c>
    </x:row>
    <x:row r="1006">
      <x:c r="B1006" t="str">
        <x:v>A-00974</x:v>
      </x:c>
      <x:c r="C1006" t="str">
        <x:v>GATE</x:v>
      </x:c>
      <x:c r="D1006" t="str">
        <x:v>release state mirrors governing ledger</x:v>
      </x:c>
      <x:c r="E1006" t="str">
        <x:f>'Release Gates'!I980</x:f>
        <x:v>OPEN</x:v>
      </x:c>
      <x:c r="F1006" t="str">
        <x:f>IF('Release Gates'!C980="PLANNING","PASS",IF('Release Gates'!C980="PHYSICAL","OPEN","BLOCKED"))</x:f>
        <x:v>OPEN</x:v>
      </x:c>
      <x:c r="G1006" t="str">
        <x:v>equals</x:v>
      </x:c>
      <x:c r="H1006" t="str">
        <x:f>IF(E1006=F1006,"PASS","FAIL")</x:f>
        <x:v>PASS</x:v>
      </x:c>
    </x:row>
    <x:row r="1007">
      <x:c r="B1007" t="str">
        <x:v>A-00975</x:v>
      </x:c>
      <x:c r="C1007" t="str">
        <x:v>GATE</x:v>
      </x:c>
      <x:c r="D1007" t="str">
        <x:v>release state mirrors governing ledger</x:v>
      </x:c>
      <x:c r="E1007" t="str">
        <x:f>'Release Gates'!I981</x:f>
        <x:v>OPEN</x:v>
      </x:c>
      <x:c r="F1007" t="str">
        <x:f>IF('Release Gates'!C981="PLANNING","PASS",IF('Release Gates'!C981="PHYSICAL","OPEN","BLOCKED"))</x:f>
        <x:v>OPEN</x:v>
      </x:c>
      <x:c r="G1007" t="str">
        <x:v>equals</x:v>
      </x:c>
      <x:c r="H1007" t="str">
        <x:f>IF(E1007=F1007,"PASS","FAIL")</x:f>
        <x:v>PASS</x:v>
      </x:c>
    </x:row>
    <x:row r="1008">
      <x:c r="B1008" t="str">
        <x:v>A-00976</x:v>
      </x:c>
      <x:c r="C1008" t="str">
        <x:v>GATE</x:v>
      </x:c>
      <x:c r="D1008" t="str">
        <x:v>release state mirrors governing ledger</x:v>
      </x:c>
      <x:c r="E1008" t="str">
        <x:f>'Release Gates'!I982</x:f>
        <x:v>OPEN</x:v>
      </x:c>
      <x:c r="F1008" t="str">
        <x:f>IF('Release Gates'!C982="PLANNING","PASS",IF('Release Gates'!C982="PHYSICAL","OPEN","BLOCKED"))</x:f>
        <x:v>OPEN</x:v>
      </x:c>
      <x:c r="G1008" t="str">
        <x:v>equals</x:v>
      </x:c>
      <x:c r="H1008" t="str">
        <x:f>IF(E1008=F1008,"PASS","FAIL")</x:f>
        <x:v>PASS</x:v>
      </x:c>
    </x:row>
    <x:row r="1009">
      <x:c r="B1009" t="str">
        <x:v>A-00977</x:v>
      </x:c>
      <x:c r="C1009" t="str">
        <x:v>GATE</x:v>
      </x:c>
      <x:c r="D1009" t="str">
        <x:v>release state mirrors governing ledger</x:v>
      </x:c>
      <x:c r="E1009" t="str">
        <x:f>'Release Gates'!I983</x:f>
        <x:v>OPEN</x:v>
      </x:c>
      <x:c r="F1009" t="str">
        <x:f>IF('Release Gates'!C983="PLANNING","PASS",IF('Release Gates'!C983="PHYSICAL","OPEN","BLOCKED"))</x:f>
        <x:v>OPEN</x:v>
      </x:c>
      <x:c r="G1009" t="str">
        <x:v>equals</x:v>
      </x:c>
      <x:c r="H1009" t="str">
        <x:f>IF(E1009=F1009,"PASS","FAIL")</x:f>
        <x:v>PASS</x:v>
      </x:c>
    </x:row>
    <x:row r="1010">
      <x:c r="B1010" t="str">
        <x:v>A-00978</x:v>
      </x:c>
      <x:c r="C1010" t="str">
        <x:v>GATE</x:v>
      </x:c>
      <x:c r="D1010" t="str">
        <x:v>release state mirrors governing ledger</x:v>
      </x:c>
      <x:c r="E1010" t="str">
        <x:f>'Release Gates'!I984</x:f>
        <x:v>OPEN</x:v>
      </x:c>
      <x:c r="F1010" t="str">
        <x:f>IF('Release Gates'!C984="PLANNING","PASS",IF('Release Gates'!C984="PHYSICAL","OPEN","BLOCKED"))</x:f>
        <x:v>OPEN</x:v>
      </x:c>
      <x:c r="G1010" t="str">
        <x:v>equals</x:v>
      </x:c>
      <x:c r="H1010" t="str">
        <x:f>IF(E1010=F1010,"PASS","FAIL")</x:f>
        <x:v>PASS</x:v>
      </x:c>
    </x:row>
    <x:row r="1011">
      <x:c r="B1011" t="str">
        <x:v>A-00979</x:v>
      </x:c>
      <x:c r="C1011" t="str">
        <x:v>GATE</x:v>
      </x:c>
      <x:c r="D1011" t="str">
        <x:v>release state mirrors governing ledger</x:v>
      </x:c>
      <x:c r="E1011" t="str">
        <x:f>'Release Gates'!I985</x:f>
        <x:v>OPEN</x:v>
      </x:c>
      <x:c r="F1011" t="str">
        <x:f>IF('Release Gates'!C985="PLANNING","PASS",IF('Release Gates'!C985="PHYSICAL","OPEN","BLOCKED"))</x:f>
        <x:v>OPEN</x:v>
      </x:c>
      <x:c r="G1011" t="str">
        <x:v>equals</x:v>
      </x:c>
      <x:c r="H1011" t="str">
        <x:f>IF(E1011=F1011,"PASS","FAIL")</x:f>
        <x:v>PASS</x:v>
      </x:c>
    </x:row>
    <x:row r="1012">
      <x:c r="B1012" t="str">
        <x:v>A-00980</x:v>
      </x:c>
      <x:c r="C1012" t="str">
        <x:v>GATE</x:v>
      </x:c>
      <x:c r="D1012" t="str">
        <x:v>release state mirrors governing ledger</x:v>
      </x:c>
      <x:c r="E1012" t="str">
        <x:f>'Release Gates'!I986</x:f>
        <x:v>OPEN</x:v>
      </x:c>
      <x:c r="F1012" t="str">
        <x:f>IF('Release Gates'!C986="PLANNING","PASS",IF('Release Gates'!C986="PHYSICAL","OPEN","BLOCKED"))</x:f>
        <x:v>OPEN</x:v>
      </x:c>
      <x:c r="G1012" t="str">
        <x:v>equals</x:v>
      </x:c>
      <x:c r="H1012" t="str">
        <x:f>IF(E1012=F1012,"PASS","FAIL")</x:f>
        <x:v>PASS</x:v>
      </x:c>
    </x:row>
    <x:row r="1013">
      <x:c r="B1013" t="str">
        <x:v>A-00981</x:v>
      </x:c>
      <x:c r="C1013" t="str">
        <x:v>GATE</x:v>
      </x:c>
      <x:c r="D1013" t="str">
        <x:v>release state mirrors governing ledger</x:v>
      </x:c>
      <x:c r="E1013" t="str">
        <x:f>'Release Gates'!I987</x:f>
        <x:v>OPEN</x:v>
      </x:c>
      <x:c r="F1013" t="str">
        <x:f>IF('Release Gates'!C987="PLANNING","PASS",IF('Release Gates'!C987="PHYSICAL","OPEN","BLOCKED"))</x:f>
        <x:v>OPEN</x:v>
      </x:c>
      <x:c r="G1013" t="str">
        <x:v>equals</x:v>
      </x:c>
      <x:c r="H1013" t="str">
        <x:f>IF(E1013=F1013,"PASS","FAIL")</x:f>
        <x:v>PASS</x:v>
      </x:c>
    </x:row>
    <x:row r="1014">
      <x:c r="B1014" t="str">
        <x:v>A-00982</x:v>
      </x:c>
      <x:c r="C1014" t="str">
        <x:v>GATE</x:v>
      </x:c>
      <x:c r="D1014" t="str">
        <x:v>release state mirrors governing ledger</x:v>
      </x:c>
      <x:c r="E1014" t="str">
        <x:f>'Release Gates'!I988</x:f>
        <x:v>OPEN</x:v>
      </x:c>
      <x:c r="F1014" t="str">
        <x:f>IF('Release Gates'!C988="PLANNING","PASS",IF('Release Gates'!C988="PHYSICAL","OPEN","BLOCKED"))</x:f>
        <x:v>OPEN</x:v>
      </x:c>
      <x:c r="G1014" t="str">
        <x:v>equals</x:v>
      </x:c>
      <x:c r="H1014" t="str">
        <x:f>IF(E1014=F1014,"PASS","FAIL")</x:f>
        <x:v>PASS</x:v>
      </x:c>
    </x:row>
    <x:row r="1015">
      <x:c r="B1015" t="str">
        <x:v>A-00983</x:v>
      </x:c>
      <x:c r="C1015" t="str">
        <x:v>GATE</x:v>
      </x:c>
      <x:c r="D1015" t="str">
        <x:v>release state mirrors governing ledger</x:v>
      </x:c>
      <x:c r="E1015" t="str">
        <x:f>'Release Gates'!I989</x:f>
        <x:v>OPEN</x:v>
      </x:c>
      <x:c r="F1015" t="str">
        <x:f>IF('Release Gates'!C989="PLANNING","PASS",IF('Release Gates'!C989="PHYSICAL","OPEN","BLOCKED"))</x:f>
        <x:v>OPEN</x:v>
      </x:c>
      <x:c r="G1015" t="str">
        <x:v>equals</x:v>
      </x:c>
      <x:c r="H1015" t="str">
        <x:f>IF(E1015=F1015,"PASS","FAIL")</x:f>
        <x:v>PASS</x:v>
      </x:c>
    </x:row>
    <x:row r="1016">
      <x:c r="B1016" t="str">
        <x:v>A-00984</x:v>
      </x:c>
      <x:c r="C1016" t="str">
        <x:v>GATE</x:v>
      </x:c>
      <x:c r="D1016" t="str">
        <x:v>release state mirrors governing ledger</x:v>
      </x:c>
      <x:c r="E1016" t="str">
        <x:f>'Release Gates'!I990</x:f>
        <x:v>OPEN</x:v>
      </x:c>
      <x:c r="F1016" t="str">
        <x:f>IF('Release Gates'!C990="PLANNING","PASS",IF('Release Gates'!C990="PHYSICAL","OPEN","BLOCKED"))</x:f>
        <x:v>OPEN</x:v>
      </x:c>
      <x:c r="G1016" t="str">
        <x:v>equals</x:v>
      </x:c>
      <x:c r="H1016" t="str">
        <x:f>IF(E1016=F1016,"PASS","FAIL")</x:f>
        <x:v>PASS</x:v>
      </x:c>
    </x:row>
    <x:row r="1017">
      <x:c r="B1017" t="str">
        <x:v>A-00985</x:v>
      </x:c>
      <x:c r="C1017" t="str">
        <x:v>GATE</x:v>
      </x:c>
      <x:c r="D1017" t="str">
        <x:v>release state mirrors governing ledger</x:v>
      </x:c>
      <x:c r="E1017" t="str">
        <x:f>'Release Gates'!I991</x:f>
        <x:v>OPEN</x:v>
      </x:c>
      <x:c r="F1017" t="str">
        <x:f>IF('Release Gates'!C991="PLANNING","PASS",IF('Release Gates'!C991="PHYSICAL","OPEN","BLOCKED"))</x:f>
        <x:v>OPEN</x:v>
      </x:c>
      <x:c r="G1017" t="str">
        <x:v>equals</x:v>
      </x:c>
      <x:c r="H1017" t="str">
        <x:f>IF(E1017=F1017,"PASS","FAIL")</x:f>
        <x:v>PASS</x:v>
      </x:c>
    </x:row>
    <x:row r="1018">
      <x:c r="B1018" t="str">
        <x:v>A-00986</x:v>
      </x:c>
      <x:c r="C1018" t="str">
        <x:v>GATE</x:v>
      </x:c>
      <x:c r="D1018" t="str">
        <x:v>release state mirrors governing ledger</x:v>
      </x:c>
      <x:c r="E1018" t="str">
        <x:f>'Release Gates'!I992</x:f>
        <x:v>OPEN</x:v>
      </x:c>
      <x:c r="F1018" t="str">
        <x:f>IF('Release Gates'!C992="PLANNING","PASS",IF('Release Gates'!C992="PHYSICAL","OPEN","BLOCKED"))</x:f>
        <x:v>OPEN</x:v>
      </x:c>
      <x:c r="G1018" t="str">
        <x:v>equals</x:v>
      </x:c>
      <x:c r="H1018" t="str">
        <x:f>IF(E1018=F1018,"PASS","FAIL")</x:f>
        <x:v>PASS</x:v>
      </x:c>
    </x:row>
    <x:row r="1019">
      <x:c r="B1019" t="str">
        <x:v>A-00987</x:v>
      </x:c>
      <x:c r="C1019" t="str">
        <x:v>GATE</x:v>
      </x:c>
      <x:c r="D1019" t="str">
        <x:v>release state mirrors governing ledger</x:v>
      </x:c>
      <x:c r="E1019" t="str">
        <x:f>'Release Gates'!I993</x:f>
        <x:v>OPEN</x:v>
      </x:c>
      <x:c r="F1019" t="str">
        <x:f>IF('Release Gates'!C993="PLANNING","PASS",IF('Release Gates'!C993="PHYSICAL","OPEN","BLOCKED"))</x:f>
        <x:v>OPEN</x:v>
      </x:c>
      <x:c r="G1019" t="str">
        <x:v>equals</x:v>
      </x:c>
      <x:c r="H1019" t="str">
        <x:f>IF(E1019=F1019,"PASS","FAIL")</x:f>
        <x:v>PASS</x:v>
      </x:c>
    </x:row>
    <x:row r="1020">
      <x:c r="B1020" t="str">
        <x:v>A-00988</x:v>
      </x:c>
      <x:c r="C1020" t="str">
        <x:v>GATE</x:v>
      </x:c>
      <x:c r="D1020" t="str">
        <x:v>release state mirrors governing ledger</x:v>
      </x:c>
      <x:c r="E1020" t="str">
        <x:f>'Release Gates'!I994</x:f>
        <x:v>OPEN</x:v>
      </x:c>
      <x:c r="F1020" t="str">
        <x:f>IF('Release Gates'!C994="PLANNING","PASS",IF('Release Gates'!C994="PHYSICAL","OPEN","BLOCKED"))</x:f>
        <x:v>OPEN</x:v>
      </x:c>
      <x:c r="G1020" t="str">
        <x:v>equals</x:v>
      </x:c>
      <x:c r="H1020" t="str">
        <x:f>IF(E1020=F1020,"PASS","FAIL")</x:f>
        <x:v>PASS</x:v>
      </x:c>
    </x:row>
    <x:row r="1021">
      <x:c r="B1021" t="str">
        <x:v>A-00989</x:v>
      </x:c>
      <x:c r="C1021" t="str">
        <x:v>GATE</x:v>
      </x:c>
      <x:c r="D1021" t="str">
        <x:v>release state mirrors governing ledger</x:v>
      </x:c>
      <x:c r="E1021" t="str">
        <x:f>'Release Gates'!I995</x:f>
        <x:v>OPEN</x:v>
      </x:c>
      <x:c r="F1021" t="str">
        <x:f>IF('Release Gates'!C995="PLANNING","PASS",IF('Release Gates'!C995="PHYSICAL","OPEN","BLOCKED"))</x:f>
        <x:v>OPEN</x:v>
      </x:c>
      <x:c r="G1021" t="str">
        <x:v>equals</x:v>
      </x:c>
      <x:c r="H1021" t="str">
        <x:f>IF(E1021=F1021,"PASS","FAIL")</x:f>
        <x:v>PASS</x:v>
      </x:c>
    </x:row>
    <x:row r="1022">
      <x:c r="B1022" t="str">
        <x:v>A-00990</x:v>
      </x:c>
      <x:c r="C1022" t="str">
        <x:v>GATE</x:v>
      </x:c>
      <x:c r="D1022" t="str">
        <x:v>release state mirrors governing ledger</x:v>
      </x:c>
      <x:c r="E1022" t="str">
        <x:f>'Release Gates'!I996</x:f>
        <x:v>OPEN</x:v>
      </x:c>
      <x:c r="F1022" t="str">
        <x:f>IF('Release Gates'!C996="PLANNING","PASS",IF('Release Gates'!C996="PHYSICAL","OPEN","BLOCKED"))</x:f>
        <x:v>OPEN</x:v>
      </x:c>
      <x:c r="G1022" t="str">
        <x:v>equals</x:v>
      </x:c>
      <x:c r="H1022" t="str">
        <x:f>IF(E1022=F1022,"PASS","FAIL")</x:f>
        <x:v>PASS</x:v>
      </x:c>
    </x:row>
    <x:row r="1023">
      <x:c r="B1023" t="str">
        <x:v>A-00991</x:v>
      </x:c>
      <x:c r="C1023" t="str">
        <x:v>GATE</x:v>
      </x:c>
      <x:c r="D1023" t="str">
        <x:v>release state mirrors governing ledger</x:v>
      </x:c>
      <x:c r="E1023" t="str">
        <x:f>'Release Gates'!I997</x:f>
        <x:v>OPEN</x:v>
      </x:c>
      <x:c r="F1023" t="str">
        <x:f>IF('Release Gates'!C997="PLANNING","PASS",IF('Release Gates'!C997="PHYSICAL","OPEN","BLOCKED"))</x:f>
        <x:v>OPEN</x:v>
      </x:c>
      <x:c r="G1023" t="str">
        <x:v>equals</x:v>
      </x:c>
      <x:c r="H1023" t="str">
        <x:f>IF(E1023=F1023,"PASS","FAIL")</x:f>
        <x:v>PASS</x:v>
      </x:c>
    </x:row>
    <x:row r="1024">
      <x:c r="B1024" t="str">
        <x:v>A-00992</x:v>
      </x:c>
      <x:c r="C1024" t="str">
        <x:v>GATE</x:v>
      </x:c>
      <x:c r="D1024" t="str">
        <x:v>release state mirrors governing ledger</x:v>
      </x:c>
      <x:c r="E1024" t="str">
        <x:f>'Release Gates'!I998</x:f>
        <x:v>OPEN</x:v>
      </x:c>
      <x:c r="F1024" t="str">
        <x:f>IF('Release Gates'!C998="PLANNING","PASS",IF('Release Gates'!C998="PHYSICAL","OPEN","BLOCKED"))</x:f>
        <x:v>OPEN</x:v>
      </x:c>
      <x:c r="G1024" t="str">
        <x:v>equals</x:v>
      </x:c>
      <x:c r="H1024" t="str">
        <x:f>IF(E1024=F1024,"PASS","FAIL")</x:f>
        <x:v>PASS</x:v>
      </x:c>
    </x:row>
    <x:row r="1025">
      <x:c r="B1025" t="str">
        <x:v>A-00993</x:v>
      </x:c>
      <x:c r="C1025" t="str">
        <x:v>GATE</x:v>
      </x:c>
      <x:c r="D1025" t="str">
        <x:v>release state mirrors governing ledger</x:v>
      </x:c>
      <x:c r="E1025" t="str">
        <x:f>'Release Gates'!I999</x:f>
        <x:v>OPEN</x:v>
      </x:c>
      <x:c r="F1025" t="str">
        <x:f>IF('Release Gates'!C999="PLANNING","PASS",IF('Release Gates'!C999="PHYSICAL","OPEN","BLOCKED"))</x:f>
        <x:v>OPEN</x:v>
      </x:c>
      <x:c r="G1025" t="str">
        <x:v>equals</x:v>
      </x:c>
      <x:c r="H1025" t="str">
        <x:f>IF(E1025=F1025,"PASS","FAIL")</x:f>
        <x:v>PASS</x:v>
      </x:c>
    </x:row>
    <x:row r="1026">
      <x:c r="B1026" t="str">
        <x:v>A-00994</x:v>
      </x:c>
      <x:c r="C1026" t="str">
        <x:v>GATE</x:v>
      </x:c>
      <x:c r="D1026" t="str">
        <x:v>release state mirrors governing ledger</x:v>
      </x:c>
      <x:c r="E1026" t="str">
        <x:f>'Release Gates'!I1000</x:f>
        <x:v>OPEN</x:v>
      </x:c>
      <x:c r="F1026" t="str">
        <x:f>IF('Release Gates'!C1000="PLANNING","PASS",IF('Release Gates'!C1000="PHYSICAL","OPEN","BLOCKED"))</x:f>
        <x:v>OPEN</x:v>
      </x:c>
      <x:c r="G1026" t="str">
        <x:v>equals</x:v>
      </x:c>
      <x:c r="H1026" t="str">
        <x:f>IF(E1026=F1026,"PASS","FAIL")</x:f>
        <x:v>PASS</x:v>
      </x:c>
    </x:row>
    <x:row r="1027">
      <x:c r="B1027" t="str">
        <x:v>A-00995</x:v>
      </x:c>
      <x:c r="C1027" t="str">
        <x:v>GATE</x:v>
      </x:c>
      <x:c r="D1027" t="str">
        <x:v>release state mirrors governing ledger</x:v>
      </x:c>
      <x:c r="E1027" t="str">
        <x:f>'Release Gates'!I1001</x:f>
        <x:v>OPEN</x:v>
      </x:c>
      <x:c r="F1027" t="str">
        <x:f>IF('Release Gates'!C1001="PLANNING","PASS",IF('Release Gates'!C1001="PHYSICAL","OPEN","BLOCKED"))</x:f>
        <x:v>OPEN</x:v>
      </x:c>
      <x:c r="G1027" t="str">
        <x:v>equals</x:v>
      </x:c>
      <x:c r="H1027" t="str">
        <x:f>IF(E1027=F1027,"PASS","FAIL")</x:f>
        <x:v>PASS</x:v>
      </x:c>
    </x:row>
    <x:row r="1028">
      <x:c r="B1028" t="str">
        <x:v>A-00996</x:v>
      </x:c>
      <x:c r="C1028" t="str">
        <x:v>GATE</x:v>
      </x:c>
      <x:c r="D1028" t="str">
        <x:v>release state mirrors governing ledger</x:v>
      </x:c>
      <x:c r="E1028" t="str">
        <x:f>'Release Gates'!I1002</x:f>
        <x:v>OPEN</x:v>
      </x:c>
      <x:c r="F1028" t="str">
        <x:f>IF('Release Gates'!C1002="PLANNING","PASS",IF('Release Gates'!C1002="PHYSICAL","OPEN","BLOCKED"))</x:f>
        <x:v>OPEN</x:v>
      </x:c>
      <x:c r="G1028" t="str">
        <x:v>equals</x:v>
      </x:c>
      <x:c r="H1028" t="str">
        <x:f>IF(E1028=F1028,"PASS","FAIL")</x:f>
        <x:v>PASS</x:v>
      </x:c>
    </x:row>
    <x:row r="1029">
      <x:c r="B1029" t="str">
        <x:v>A-00997</x:v>
      </x:c>
      <x:c r="C1029" t="str">
        <x:v>GATE</x:v>
      </x:c>
      <x:c r="D1029" t="str">
        <x:v>release state mirrors governing ledger</x:v>
      </x:c>
      <x:c r="E1029" t="str">
        <x:f>'Release Gates'!I1003</x:f>
        <x:v>OPEN</x:v>
      </x:c>
      <x:c r="F1029" t="str">
        <x:f>IF('Release Gates'!C1003="PLANNING","PASS",IF('Release Gates'!C1003="PHYSICAL","OPEN","BLOCKED"))</x:f>
        <x:v>OPEN</x:v>
      </x:c>
      <x:c r="G1029" t="str">
        <x:v>equals</x:v>
      </x:c>
      <x:c r="H1029" t="str">
        <x:f>IF(E1029=F1029,"PASS","FAIL")</x:f>
        <x:v>PASS</x:v>
      </x:c>
    </x:row>
    <x:row r="1030">
      <x:c r="B1030" t="str">
        <x:v>A-00998</x:v>
      </x:c>
      <x:c r="C1030" t="str">
        <x:v>GATE</x:v>
      </x:c>
      <x:c r="D1030" t="str">
        <x:v>release state mirrors governing ledger</x:v>
      </x:c>
      <x:c r="E1030" t="str">
        <x:f>'Release Gates'!I1004</x:f>
        <x:v>OPEN</x:v>
      </x:c>
      <x:c r="F1030" t="str">
        <x:f>IF('Release Gates'!C1004="PLANNING","PASS",IF('Release Gates'!C1004="PHYSICAL","OPEN","BLOCKED"))</x:f>
        <x:v>OPEN</x:v>
      </x:c>
      <x:c r="G1030" t="str">
        <x:v>equals</x:v>
      </x:c>
      <x:c r="H1030" t="str">
        <x:f>IF(E1030=F1030,"PASS","FAIL")</x:f>
        <x:v>PASS</x:v>
      </x:c>
    </x:row>
    <x:row r="1031">
      <x:c r="B1031" t="str">
        <x:v>A-00999</x:v>
      </x:c>
      <x:c r="C1031" t="str">
        <x:v>GATE</x:v>
      </x:c>
      <x:c r="D1031" t="str">
        <x:v>release state mirrors governing ledger</x:v>
      </x:c>
      <x:c r="E1031" t="str">
        <x:f>'Release Gates'!I1005</x:f>
        <x:v>OPEN</x:v>
      </x:c>
      <x:c r="F1031" t="str">
        <x:f>IF('Release Gates'!C1005="PLANNING","PASS",IF('Release Gates'!C1005="PHYSICAL","OPEN","BLOCKED"))</x:f>
        <x:v>OPEN</x:v>
      </x:c>
      <x:c r="G1031" t="str">
        <x:v>equals</x:v>
      </x:c>
      <x:c r="H1031" t="str">
        <x:f>IF(E1031=F1031,"PASS","FAIL")</x:f>
        <x:v>PASS</x:v>
      </x:c>
    </x:row>
    <x:row r="1032">
      <x:c r="B1032" t="str">
        <x:v>A-01000</x:v>
      </x:c>
      <x:c r="C1032" t="str">
        <x:v>GATE</x:v>
      </x:c>
      <x:c r="D1032" t="str">
        <x:v>release state mirrors governing ledger</x:v>
      </x:c>
      <x:c r="E1032" t="str">
        <x:f>'Release Gates'!I1006</x:f>
        <x:v>OPEN</x:v>
      </x:c>
      <x:c r="F1032" t="str">
        <x:f>IF('Release Gates'!C1006="PLANNING","PASS",IF('Release Gates'!C1006="PHYSICAL","OPEN","BLOCKED"))</x:f>
        <x:v>OPEN</x:v>
      </x:c>
      <x:c r="G1032" t="str">
        <x:v>equals</x:v>
      </x:c>
      <x:c r="H1032" t="str">
        <x:f>IF(E1032=F1032,"PASS","FAIL")</x:f>
        <x:v>PASS</x:v>
      </x:c>
    </x:row>
    <x:row r="1033">
      <x:c r="B1033" t="str">
        <x:v>A-01001</x:v>
      </x:c>
      <x:c r="C1033" t="str">
        <x:v>GATE</x:v>
      </x:c>
      <x:c r="D1033" t="str">
        <x:v>release state mirrors governing ledger</x:v>
      </x:c>
      <x:c r="E1033" t="str">
        <x:f>'Release Gates'!I1007</x:f>
        <x:v>OPEN</x:v>
      </x:c>
      <x:c r="F1033" t="str">
        <x:f>IF('Release Gates'!C1007="PLANNING","PASS",IF('Release Gates'!C1007="PHYSICAL","OPEN","BLOCKED"))</x:f>
        <x:v>OPEN</x:v>
      </x:c>
      <x:c r="G1033" t="str">
        <x:v>equals</x:v>
      </x:c>
      <x:c r="H1033" t="str">
        <x:f>IF(E1033=F1033,"PASS","FAIL")</x:f>
        <x:v>PASS</x:v>
      </x:c>
    </x:row>
    <x:row r="1034">
      <x:c r="B1034" t="str">
        <x:v>A-01002</x:v>
      </x:c>
      <x:c r="C1034" t="str">
        <x:v>GATE</x:v>
      </x:c>
      <x:c r="D1034" t="str">
        <x:v>release state mirrors governing ledger</x:v>
      </x:c>
      <x:c r="E1034" t="str">
        <x:f>'Release Gates'!I1008</x:f>
        <x:v>OPEN</x:v>
      </x:c>
      <x:c r="F1034" t="str">
        <x:f>IF('Release Gates'!C1008="PLANNING","PASS",IF('Release Gates'!C1008="PHYSICAL","OPEN","BLOCKED"))</x:f>
        <x:v>OPEN</x:v>
      </x:c>
      <x:c r="G1034" t="str">
        <x:v>equals</x:v>
      </x:c>
      <x:c r="H1034" t="str">
        <x:f>IF(E1034=F1034,"PASS","FAIL")</x:f>
        <x:v>PASS</x:v>
      </x:c>
    </x:row>
    <x:row r="1035">
      <x:c r="B1035" t="str">
        <x:v>A-01003</x:v>
      </x:c>
      <x:c r="C1035" t="str">
        <x:v>GATE</x:v>
      </x:c>
      <x:c r="D1035" t="str">
        <x:v>release state mirrors governing ledger</x:v>
      </x:c>
      <x:c r="E1035" t="str">
        <x:f>'Release Gates'!I1009</x:f>
        <x:v>OPEN</x:v>
      </x:c>
      <x:c r="F1035" t="str">
        <x:f>IF('Release Gates'!C1009="PLANNING","PASS",IF('Release Gates'!C1009="PHYSICAL","OPEN","BLOCKED"))</x:f>
        <x:v>OPEN</x:v>
      </x:c>
      <x:c r="G1035" t="str">
        <x:v>equals</x:v>
      </x:c>
      <x:c r="H1035" t="str">
        <x:f>IF(E1035=F1035,"PASS","FAIL")</x:f>
        <x:v>PASS</x:v>
      </x:c>
    </x:row>
    <x:row r="1036">
      <x:c r="B1036" t="str">
        <x:v>A-01004</x:v>
      </x:c>
      <x:c r="C1036" t="str">
        <x:v>GATE</x:v>
      </x:c>
      <x:c r="D1036" t="str">
        <x:v>release state mirrors governing ledger</x:v>
      </x:c>
      <x:c r="E1036" t="str">
        <x:f>'Release Gates'!I1010</x:f>
        <x:v>OPEN</x:v>
      </x:c>
      <x:c r="F1036" t="str">
        <x:f>IF('Release Gates'!C1010="PLANNING","PASS",IF('Release Gates'!C1010="PHYSICAL","OPEN","BLOCKED"))</x:f>
        <x:v>OPEN</x:v>
      </x:c>
      <x:c r="G1036" t="str">
        <x:v>equals</x:v>
      </x:c>
      <x:c r="H1036" t="str">
        <x:f>IF(E1036=F1036,"PASS","FAIL")</x:f>
        <x:v>PASS</x:v>
      </x:c>
    </x:row>
    <x:row r="1037">
      <x:c r="B1037" t="str">
        <x:v>A-01005</x:v>
      </x:c>
      <x:c r="C1037" t="str">
        <x:v>GATE</x:v>
      </x:c>
      <x:c r="D1037" t="str">
        <x:v>release state mirrors governing ledger</x:v>
      </x:c>
      <x:c r="E1037" t="str">
        <x:f>'Release Gates'!I1011</x:f>
        <x:v>OPEN</x:v>
      </x:c>
      <x:c r="F1037" t="str">
        <x:f>IF('Release Gates'!C1011="PLANNING","PASS",IF('Release Gates'!C1011="PHYSICAL","OPEN","BLOCKED"))</x:f>
        <x:v>OPEN</x:v>
      </x:c>
      <x:c r="G1037" t="str">
        <x:v>equals</x:v>
      </x:c>
      <x:c r="H1037" t="str">
        <x:f>IF(E1037=F1037,"PASS","FAIL")</x:f>
        <x:v>PASS</x:v>
      </x:c>
    </x:row>
    <x:row r="1038">
      <x:c r="B1038" t="str">
        <x:v>A-01006</x:v>
      </x:c>
      <x:c r="C1038" t="str">
        <x:v>GATE</x:v>
      </x:c>
      <x:c r="D1038" t="str">
        <x:v>release state mirrors governing ledger</x:v>
      </x:c>
      <x:c r="E1038" t="str">
        <x:f>'Release Gates'!I1012</x:f>
        <x:v>OPEN</x:v>
      </x:c>
      <x:c r="F1038" t="str">
        <x:f>IF('Release Gates'!C1012="PLANNING","PASS",IF('Release Gates'!C1012="PHYSICAL","OPEN","BLOCKED"))</x:f>
        <x:v>OPEN</x:v>
      </x:c>
      <x:c r="G1038" t="str">
        <x:v>equals</x:v>
      </x:c>
      <x:c r="H1038" t="str">
        <x:f>IF(E1038=F1038,"PASS","FAIL")</x:f>
        <x:v>PASS</x:v>
      </x:c>
    </x:row>
    <x:row r="1039">
      <x:c r="B1039" t="str">
        <x:v>A-01007</x:v>
      </x:c>
      <x:c r="C1039" t="str">
        <x:v>GATE</x:v>
      </x:c>
      <x:c r="D1039" t="str">
        <x:v>release state mirrors governing ledger</x:v>
      </x:c>
      <x:c r="E1039" t="str">
        <x:f>'Release Gates'!I1013</x:f>
        <x:v>OPEN</x:v>
      </x:c>
      <x:c r="F1039" t="str">
        <x:f>IF('Release Gates'!C1013="PLANNING","PASS",IF('Release Gates'!C1013="PHYSICAL","OPEN","BLOCKED"))</x:f>
        <x:v>OPEN</x:v>
      </x:c>
      <x:c r="G1039" t="str">
        <x:v>equals</x:v>
      </x:c>
      <x:c r="H1039" t="str">
        <x:f>IF(E1039=F1039,"PASS","FAIL")</x:f>
        <x:v>PASS</x:v>
      </x:c>
    </x:row>
    <x:row r="1040">
      <x:c r="B1040" t="str">
        <x:v>A-01008</x:v>
      </x:c>
      <x:c r="C1040" t="str">
        <x:v>GATE</x:v>
      </x:c>
      <x:c r="D1040" t="str">
        <x:v>release state mirrors governing ledger</x:v>
      </x:c>
      <x:c r="E1040" t="str">
        <x:f>'Release Gates'!I1014</x:f>
        <x:v>OPEN</x:v>
      </x:c>
      <x:c r="F1040" t="str">
        <x:f>IF('Release Gates'!C1014="PLANNING","PASS",IF('Release Gates'!C1014="PHYSICAL","OPEN","BLOCKED"))</x:f>
        <x:v>OPEN</x:v>
      </x:c>
      <x:c r="G1040" t="str">
        <x:v>equals</x:v>
      </x:c>
      <x:c r="H1040" t="str">
        <x:f>IF(E1040=F1040,"PASS","FAIL")</x:f>
        <x:v>PASS</x:v>
      </x:c>
    </x:row>
    <x:row r="1041">
      <x:c r="B1041" t="str">
        <x:v>A-01009</x:v>
      </x:c>
      <x:c r="C1041" t="str">
        <x:v>GATE</x:v>
      </x:c>
      <x:c r="D1041" t="str">
        <x:v>release state mirrors governing ledger</x:v>
      </x:c>
      <x:c r="E1041" t="str">
        <x:f>'Release Gates'!I1015</x:f>
        <x:v>OPEN</x:v>
      </x:c>
      <x:c r="F1041" t="str">
        <x:f>IF('Release Gates'!C1015="PLANNING","PASS",IF('Release Gates'!C1015="PHYSICAL","OPEN","BLOCKED"))</x:f>
        <x:v>OPEN</x:v>
      </x:c>
      <x:c r="G1041" t="str">
        <x:v>equals</x:v>
      </x:c>
      <x:c r="H1041" t="str">
        <x:f>IF(E1041=F1041,"PASS","FAIL")</x:f>
        <x:v>PASS</x:v>
      </x:c>
    </x:row>
    <x:row r="1042">
      <x:c r="B1042" t="str">
        <x:v>A-01010</x:v>
      </x:c>
      <x:c r="C1042" t="str">
        <x:v>GATE</x:v>
      </x:c>
      <x:c r="D1042" t="str">
        <x:v>release state mirrors governing ledger</x:v>
      </x:c>
      <x:c r="E1042" t="str">
        <x:f>'Release Gates'!I1016</x:f>
        <x:v>OPEN</x:v>
      </x:c>
      <x:c r="F1042" t="str">
        <x:f>IF('Release Gates'!C1016="PLANNING","PASS",IF('Release Gates'!C1016="PHYSICAL","OPEN","BLOCKED"))</x:f>
        <x:v>OPEN</x:v>
      </x:c>
      <x:c r="G1042" t="str">
        <x:v>equals</x:v>
      </x:c>
      <x:c r="H1042" t="str">
        <x:f>IF(E1042=F1042,"PASS","FAIL")</x:f>
        <x:v>PASS</x:v>
      </x:c>
    </x:row>
    <x:row r="1043">
      <x:c r="B1043" t="str">
        <x:v>A-01011</x:v>
      </x:c>
      <x:c r="C1043" t="str">
        <x:v>GATE</x:v>
      </x:c>
      <x:c r="D1043" t="str">
        <x:v>release state mirrors governing ledger</x:v>
      </x:c>
      <x:c r="E1043" t="str">
        <x:f>'Release Gates'!I1017</x:f>
        <x:v>OPEN</x:v>
      </x:c>
      <x:c r="F1043" t="str">
        <x:f>IF('Release Gates'!C1017="PLANNING","PASS",IF('Release Gates'!C1017="PHYSICAL","OPEN","BLOCKED"))</x:f>
        <x:v>OPEN</x:v>
      </x:c>
      <x:c r="G1043" t="str">
        <x:v>equals</x:v>
      </x:c>
      <x:c r="H1043" t="str">
        <x:f>IF(E1043=F1043,"PASS","FAIL")</x:f>
        <x:v>PASS</x:v>
      </x:c>
    </x:row>
    <x:row r="1044">
      <x:c r="B1044" t="str">
        <x:v>A-01012</x:v>
      </x:c>
      <x:c r="C1044" t="str">
        <x:v>GATE</x:v>
      </x:c>
      <x:c r="D1044" t="str">
        <x:v>release state mirrors governing ledger</x:v>
      </x:c>
      <x:c r="E1044" t="str">
        <x:f>'Release Gates'!I1018</x:f>
        <x:v>OPEN</x:v>
      </x:c>
      <x:c r="F1044" t="str">
        <x:f>IF('Release Gates'!C1018="PLANNING","PASS",IF('Release Gates'!C1018="PHYSICAL","OPEN","BLOCKED"))</x:f>
        <x:v>OPEN</x:v>
      </x:c>
      <x:c r="G1044" t="str">
        <x:v>equals</x:v>
      </x:c>
      <x:c r="H1044" t="str">
        <x:f>IF(E1044=F1044,"PASS","FAIL")</x:f>
        <x:v>PASS</x:v>
      </x:c>
    </x:row>
    <x:row r="1045">
      <x:c r="B1045" t="str">
        <x:v>A-01013</x:v>
      </x:c>
      <x:c r="C1045" t="str">
        <x:v>GATE</x:v>
      </x:c>
      <x:c r="D1045" t="str">
        <x:v>release state mirrors governing ledger</x:v>
      </x:c>
      <x:c r="E1045" t="str">
        <x:f>'Release Gates'!I1019</x:f>
        <x:v>OPEN</x:v>
      </x:c>
      <x:c r="F1045" t="str">
        <x:f>IF('Release Gates'!C1019="PLANNING","PASS",IF('Release Gates'!C1019="PHYSICAL","OPEN","BLOCKED"))</x:f>
        <x:v>OPEN</x:v>
      </x:c>
      <x:c r="G1045" t="str">
        <x:v>equals</x:v>
      </x:c>
      <x:c r="H1045" t="str">
        <x:f>IF(E1045=F1045,"PASS","FAIL")</x:f>
        <x:v>PASS</x:v>
      </x:c>
    </x:row>
    <x:row r="1046">
      <x:c r="B1046" t="str">
        <x:v>A-01014</x:v>
      </x:c>
      <x:c r="C1046" t="str">
        <x:v>GATE</x:v>
      </x:c>
      <x:c r="D1046" t="str">
        <x:v>release state mirrors governing ledger</x:v>
      </x:c>
      <x:c r="E1046" t="str">
        <x:f>'Release Gates'!I1020</x:f>
        <x:v>OPEN</x:v>
      </x:c>
      <x:c r="F1046" t="str">
        <x:f>IF('Release Gates'!C1020="PLANNING","PASS",IF('Release Gates'!C1020="PHYSICAL","OPEN","BLOCKED"))</x:f>
        <x:v>OPEN</x:v>
      </x:c>
      <x:c r="G1046" t="str">
        <x:v>equals</x:v>
      </x:c>
      <x:c r="H1046" t="str">
        <x:f>IF(E1046=F1046,"PASS","FAIL")</x:f>
        <x:v>PASS</x:v>
      </x:c>
    </x:row>
    <x:row r="1047">
      <x:c r="B1047" t="str">
        <x:v>A-01015</x:v>
      </x:c>
      <x:c r="C1047" t="str">
        <x:v>GATE</x:v>
      </x:c>
      <x:c r="D1047" t="str">
        <x:v>release state mirrors governing ledger</x:v>
      </x:c>
      <x:c r="E1047" t="str">
        <x:f>'Release Gates'!I1021</x:f>
        <x:v>OPEN</x:v>
      </x:c>
      <x:c r="F1047" t="str">
        <x:f>IF('Release Gates'!C1021="PLANNING","PASS",IF('Release Gates'!C1021="PHYSICAL","OPEN","BLOCKED"))</x:f>
        <x:v>OPEN</x:v>
      </x:c>
      <x:c r="G1047" t="str">
        <x:v>equals</x:v>
      </x:c>
      <x:c r="H1047" t="str">
        <x:f>IF(E1047=F1047,"PASS","FAIL")</x:f>
        <x:v>PASS</x:v>
      </x:c>
    </x:row>
    <x:row r="1048">
      <x:c r="B1048" t="str">
        <x:v>A-01016</x:v>
      </x:c>
      <x:c r="C1048" t="str">
        <x:v>GATE</x:v>
      </x:c>
      <x:c r="D1048" t="str">
        <x:v>release state mirrors governing ledger</x:v>
      </x:c>
      <x:c r="E1048" t="str">
        <x:f>'Release Gates'!I1022</x:f>
        <x:v>OPEN</x:v>
      </x:c>
      <x:c r="F1048" t="str">
        <x:f>IF('Release Gates'!C1022="PLANNING","PASS",IF('Release Gates'!C1022="PHYSICAL","OPEN","BLOCKED"))</x:f>
        <x:v>OPEN</x:v>
      </x:c>
      <x:c r="G1048" t="str">
        <x:v>equals</x:v>
      </x:c>
      <x:c r="H1048" t="str">
        <x:f>IF(E1048=F1048,"PASS","FAIL")</x:f>
        <x:v>PASS</x:v>
      </x:c>
    </x:row>
    <x:row r="1049">
      <x:c r="B1049" t="str">
        <x:v>A-01017</x:v>
      </x:c>
      <x:c r="C1049" t="str">
        <x:v>GATE</x:v>
      </x:c>
      <x:c r="D1049" t="str">
        <x:v>release state mirrors governing ledger</x:v>
      </x:c>
      <x:c r="E1049" t="str">
        <x:f>'Release Gates'!I1023</x:f>
        <x:v>OPEN</x:v>
      </x:c>
      <x:c r="F1049" t="str">
        <x:f>IF('Release Gates'!C1023="PLANNING","PASS",IF('Release Gates'!C1023="PHYSICAL","OPEN","BLOCKED"))</x:f>
        <x:v>OPEN</x:v>
      </x:c>
      <x:c r="G1049" t="str">
        <x:v>equals</x:v>
      </x:c>
      <x:c r="H1049" t="str">
        <x:f>IF(E1049=F1049,"PASS","FAIL")</x:f>
        <x:v>PASS</x:v>
      </x:c>
    </x:row>
    <x:row r="1050">
      <x:c r="B1050" t="str">
        <x:v>A-01018</x:v>
      </x:c>
      <x:c r="C1050" t="str">
        <x:v>GATE</x:v>
      </x:c>
      <x:c r="D1050" t="str">
        <x:v>release state mirrors governing ledger</x:v>
      </x:c>
      <x:c r="E1050" t="str">
        <x:f>'Release Gates'!I1024</x:f>
        <x:v>OPEN</x:v>
      </x:c>
      <x:c r="F1050" t="str">
        <x:f>IF('Release Gates'!C1024="PLANNING","PASS",IF('Release Gates'!C1024="PHYSICAL","OPEN","BLOCKED"))</x:f>
        <x:v>OPEN</x:v>
      </x:c>
      <x:c r="G1050" t="str">
        <x:v>equals</x:v>
      </x:c>
      <x:c r="H1050" t="str">
        <x:f>IF(E1050=F1050,"PASS","FAIL")</x:f>
        <x:v>PASS</x:v>
      </x:c>
    </x:row>
    <x:row r="1051">
      <x:c r="B1051" t="str">
        <x:v>A-01019</x:v>
      </x:c>
      <x:c r="C1051" t="str">
        <x:v>GATE</x:v>
      </x:c>
      <x:c r="D1051" t="str">
        <x:v>release state mirrors governing ledger</x:v>
      </x:c>
      <x:c r="E1051" t="str">
        <x:f>'Release Gates'!I1025</x:f>
        <x:v>OPEN</x:v>
      </x:c>
      <x:c r="F1051" t="str">
        <x:f>IF('Release Gates'!C1025="PLANNING","PASS",IF('Release Gates'!C1025="PHYSICAL","OPEN","BLOCKED"))</x:f>
        <x:v>OPEN</x:v>
      </x:c>
      <x:c r="G1051" t="str">
        <x:v>equals</x:v>
      </x:c>
      <x:c r="H1051" t="str">
        <x:f>IF(E1051=F1051,"PASS","FAIL")</x:f>
        <x:v>PASS</x:v>
      </x:c>
    </x:row>
    <x:row r="1052">
      <x:c r="B1052" t="str">
        <x:v>A-01020</x:v>
      </x:c>
      <x:c r="C1052" t="str">
        <x:v>GATE</x:v>
      </x:c>
      <x:c r="D1052" t="str">
        <x:v>release state mirrors governing ledger</x:v>
      </x:c>
      <x:c r="E1052" t="str">
        <x:f>'Release Gates'!I1026</x:f>
        <x:v>OPEN</x:v>
      </x:c>
      <x:c r="F1052" t="str">
        <x:f>IF('Release Gates'!C1026="PLANNING","PASS",IF('Release Gates'!C1026="PHYSICAL","OPEN","BLOCKED"))</x:f>
        <x:v>OPEN</x:v>
      </x:c>
      <x:c r="G1052" t="str">
        <x:v>equals</x:v>
      </x:c>
      <x:c r="H1052" t="str">
        <x:f>IF(E1052=F1052,"PASS","FAIL")</x:f>
        <x:v>PASS</x:v>
      </x:c>
    </x:row>
    <x:row r="1053">
      <x:c r="B1053" t="str">
        <x:v>A-01021</x:v>
      </x:c>
      <x:c r="C1053" t="str">
        <x:v>GATE</x:v>
      </x:c>
      <x:c r="D1053" t="str">
        <x:v>release state mirrors governing ledger</x:v>
      </x:c>
      <x:c r="E1053" t="str">
        <x:f>'Release Gates'!I1027</x:f>
        <x:v>OPEN</x:v>
      </x:c>
      <x:c r="F1053" t="str">
        <x:f>IF('Release Gates'!C1027="PLANNING","PASS",IF('Release Gates'!C1027="PHYSICAL","OPEN","BLOCKED"))</x:f>
        <x:v>OPEN</x:v>
      </x:c>
      <x:c r="G1053" t="str">
        <x:v>equals</x:v>
      </x:c>
      <x:c r="H1053" t="str">
        <x:f>IF(E1053=F1053,"PASS","FAIL")</x:f>
        <x:v>PASS</x:v>
      </x:c>
    </x:row>
    <x:row r="1054">
      <x:c r="B1054" t="str">
        <x:v>A-01022</x:v>
      </x:c>
      <x:c r="C1054" t="str">
        <x:v>GATE</x:v>
      </x:c>
      <x:c r="D1054" t="str">
        <x:v>release state mirrors governing ledger</x:v>
      </x:c>
      <x:c r="E1054" t="str">
        <x:f>'Release Gates'!I1028</x:f>
        <x:v>OPEN</x:v>
      </x:c>
      <x:c r="F1054" t="str">
        <x:f>IF('Release Gates'!C1028="PLANNING","PASS",IF('Release Gates'!C1028="PHYSICAL","OPEN","BLOCKED"))</x:f>
        <x:v>OPEN</x:v>
      </x:c>
      <x:c r="G1054" t="str">
        <x:v>equals</x:v>
      </x:c>
      <x:c r="H1054" t="str">
        <x:f>IF(E1054=F1054,"PASS","FAIL")</x:f>
        <x:v>PASS</x:v>
      </x:c>
    </x:row>
    <x:row r="1055">
      <x:c r="B1055" t="str">
        <x:v>A-01023</x:v>
      </x:c>
      <x:c r="C1055" t="str">
        <x:v>GATE</x:v>
      </x:c>
      <x:c r="D1055" t="str">
        <x:v>release state mirrors governing ledger</x:v>
      </x:c>
      <x:c r="E1055" t="str">
        <x:f>'Release Gates'!I1029</x:f>
        <x:v>OPEN</x:v>
      </x:c>
      <x:c r="F1055" t="str">
        <x:f>IF('Release Gates'!C1029="PLANNING","PASS",IF('Release Gates'!C1029="PHYSICAL","OPEN","BLOCKED"))</x:f>
        <x:v>OPEN</x:v>
      </x:c>
      <x:c r="G1055" t="str">
        <x:v>equals</x:v>
      </x:c>
      <x:c r="H1055" t="str">
        <x:f>IF(E1055=F1055,"PASS","FAIL")</x:f>
        <x:v>PASS</x:v>
      </x:c>
    </x:row>
    <x:row r="1056">
      <x:c r="B1056" t="str">
        <x:v>A-01024</x:v>
      </x:c>
      <x:c r="C1056" t="str">
        <x:v>GATE</x:v>
      </x:c>
      <x:c r="D1056" t="str">
        <x:v>release state mirrors governing ledger</x:v>
      </x:c>
      <x:c r="E1056" t="str">
        <x:f>'Release Gates'!I1030</x:f>
        <x:v>OPEN</x:v>
      </x:c>
      <x:c r="F1056" t="str">
        <x:f>IF('Release Gates'!C1030="PLANNING","PASS",IF('Release Gates'!C1030="PHYSICAL","OPEN","BLOCKED"))</x:f>
        <x:v>OPEN</x:v>
      </x:c>
      <x:c r="G1056" t="str">
        <x:v>equals</x:v>
      </x:c>
      <x:c r="H1056" t="str">
        <x:f>IF(E1056=F1056,"PASS","FAIL")</x:f>
        <x:v>PASS</x:v>
      </x:c>
    </x:row>
    <x:row r="1057">
      <x:c r="B1057" t="str">
        <x:v>A-01025</x:v>
      </x:c>
      <x:c r="C1057" t="str">
        <x:v>GATE</x:v>
      </x:c>
      <x:c r="D1057" t="str">
        <x:v>release state mirrors governing ledger</x:v>
      </x:c>
      <x:c r="E1057" t="str">
        <x:f>'Release Gates'!I1031</x:f>
        <x:v>OPEN</x:v>
      </x:c>
      <x:c r="F1057" t="str">
        <x:f>IF('Release Gates'!C1031="PLANNING","PASS",IF('Release Gates'!C1031="PHYSICAL","OPEN","BLOCKED"))</x:f>
        <x:v>OPEN</x:v>
      </x:c>
      <x:c r="G1057" t="str">
        <x:v>equals</x:v>
      </x:c>
      <x:c r="H1057" t="str">
        <x:f>IF(E1057=F1057,"PASS","FAIL")</x:f>
        <x:v>PASS</x:v>
      </x:c>
    </x:row>
    <x:row r="1058">
      <x:c r="B1058" t="str">
        <x:v>A-01026</x:v>
      </x:c>
      <x:c r="C1058" t="str">
        <x:v>GATE</x:v>
      </x:c>
      <x:c r="D1058" t="str">
        <x:v>release state mirrors governing ledger</x:v>
      </x:c>
      <x:c r="E1058" t="str">
        <x:f>'Release Gates'!I1032</x:f>
        <x:v>OPEN</x:v>
      </x:c>
      <x:c r="F1058" t="str">
        <x:f>IF('Release Gates'!C1032="PLANNING","PASS",IF('Release Gates'!C1032="PHYSICAL","OPEN","BLOCKED"))</x:f>
        <x:v>OPEN</x:v>
      </x:c>
      <x:c r="G1058" t="str">
        <x:v>equals</x:v>
      </x:c>
      <x:c r="H1058" t="str">
        <x:f>IF(E1058=F1058,"PASS","FAIL")</x:f>
        <x:v>PASS</x:v>
      </x:c>
    </x:row>
    <x:row r="1059">
      <x:c r="B1059" t="str">
        <x:v>A-01027</x:v>
      </x:c>
      <x:c r="C1059" t="str">
        <x:v>GATE</x:v>
      </x:c>
      <x:c r="D1059" t="str">
        <x:v>release state mirrors governing ledger</x:v>
      </x:c>
      <x:c r="E1059" t="str">
        <x:f>'Release Gates'!I1033</x:f>
        <x:v>OPEN</x:v>
      </x:c>
      <x:c r="F1059" t="str">
        <x:f>IF('Release Gates'!C1033="PLANNING","PASS",IF('Release Gates'!C1033="PHYSICAL","OPEN","BLOCKED"))</x:f>
        <x:v>OPEN</x:v>
      </x:c>
      <x:c r="G1059" t="str">
        <x:v>equals</x:v>
      </x:c>
      <x:c r="H1059" t="str">
        <x:f>IF(E1059=F1059,"PASS","FAIL")</x:f>
        <x:v>PASS</x:v>
      </x:c>
    </x:row>
    <x:row r="1060">
      <x:c r="B1060" t="str">
        <x:v>A-01028</x:v>
      </x:c>
      <x:c r="C1060" t="str">
        <x:v>GATE</x:v>
      </x:c>
      <x:c r="D1060" t="str">
        <x:v>release state mirrors governing ledger</x:v>
      </x:c>
      <x:c r="E1060" t="str">
        <x:f>'Release Gates'!I1034</x:f>
        <x:v>OPEN</x:v>
      </x:c>
      <x:c r="F1060" t="str">
        <x:f>IF('Release Gates'!C1034="PLANNING","PASS",IF('Release Gates'!C1034="PHYSICAL","OPEN","BLOCKED"))</x:f>
        <x:v>OPEN</x:v>
      </x:c>
      <x:c r="G1060" t="str">
        <x:v>equals</x:v>
      </x:c>
      <x:c r="H1060" t="str">
        <x:f>IF(E1060=F1060,"PASS","FAIL")</x:f>
        <x:v>PASS</x:v>
      </x:c>
    </x:row>
    <x:row r="1061">
      <x:c r="B1061" t="str">
        <x:v>A-01029</x:v>
      </x:c>
      <x:c r="C1061" t="str">
        <x:v>GATE</x:v>
      </x:c>
      <x:c r="D1061" t="str">
        <x:v>release state mirrors governing ledger</x:v>
      </x:c>
      <x:c r="E1061" t="str">
        <x:f>'Release Gates'!I1035</x:f>
        <x:v>OPEN</x:v>
      </x:c>
      <x:c r="F1061" t="str">
        <x:f>IF('Release Gates'!C1035="PLANNING","PASS",IF('Release Gates'!C1035="PHYSICAL","OPEN","BLOCKED"))</x:f>
        <x:v>OPEN</x:v>
      </x:c>
      <x:c r="G1061" t="str">
        <x:v>equals</x:v>
      </x:c>
      <x:c r="H1061" t="str">
        <x:f>IF(E1061=F1061,"PASS","FAIL")</x:f>
        <x:v>PASS</x:v>
      </x:c>
    </x:row>
    <x:row r="1062">
      <x:c r="B1062" t="str">
        <x:v>A-01030</x:v>
      </x:c>
      <x:c r="C1062" t="str">
        <x:v>GATE</x:v>
      </x:c>
      <x:c r="D1062" t="str">
        <x:v>release state mirrors governing ledger</x:v>
      </x:c>
      <x:c r="E1062" t="str">
        <x:f>'Release Gates'!I1036</x:f>
        <x:v>OPEN</x:v>
      </x:c>
      <x:c r="F1062" t="str">
        <x:f>IF('Release Gates'!C1036="PLANNING","PASS",IF('Release Gates'!C1036="PHYSICAL","OPEN","BLOCKED"))</x:f>
        <x:v>OPEN</x:v>
      </x:c>
      <x:c r="G1062" t="str">
        <x:v>equals</x:v>
      </x:c>
      <x:c r="H1062" t="str">
        <x:f>IF(E1062=F1062,"PASS","FAIL")</x:f>
        <x:v>PASS</x:v>
      </x:c>
    </x:row>
    <x:row r="1063">
      <x:c r="B1063" t="str">
        <x:v>A-01031</x:v>
      </x:c>
      <x:c r="C1063" t="str">
        <x:v>GATE</x:v>
      </x:c>
      <x:c r="D1063" t="str">
        <x:v>release state mirrors governing ledger</x:v>
      </x:c>
      <x:c r="E1063" t="str">
        <x:f>'Release Gates'!I1037</x:f>
        <x:v>OPEN</x:v>
      </x:c>
      <x:c r="F1063" t="str">
        <x:f>IF('Release Gates'!C1037="PLANNING","PASS",IF('Release Gates'!C1037="PHYSICAL","OPEN","BLOCKED"))</x:f>
        <x:v>OPEN</x:v>
      </x:c>
      <x:c r="G1063" t="str">
        <x:v>equals</x:v>
      </x:c>
      <x:c r="H1063" t="str">
        <x:f>IF(E1063=F1063,"PASS","FAIL")</x:f>
        <x:v>PASS</x:v>
      </x:c>
    </x:row>
    <x:row r="1064">
      <x:c r="B1064" t="str">
        <x:v>A-01032</x:v>
      </x:c>
      <x:c r="C1064" t="str">
        <x:v>GATE</x:v>
      </x:c>
      <x:c r="D1064" t="str">
        <x:v>release state mirrors governing ledger</x:v>
      </x:c>
      <x:c r="E1064" t="str">
        <x:f>'Release Gates'!I1038</x:f>
        <x:v>OPEN</x:v>
      </x:c>
      <x:c r="F1064" t="str">
        <x:f>IF('Release Gates'!C1038="PLANNING","PASS",IF('Release Gates'!C1038="PHYSICAL","OPEN","BLOCKED"))</x:f>
        <x:v>OPEN</x:v>
      </x:c>
      <x:c r="G1064" t="str">
        <x:v>equals</x:v>
      </x:c>
      <x:c r="H1064" t="str">
        <x:f>IF(E1064=F1064,"PASS","FAIL")</x:f>
        <x:v>PASS</x:v>
      </x:c>
    </x:row>
    <x:row r="1065">
      <x:c r="B1065" t="str">
        <x:v>A-01033</x:v>
      </x:c>
      <x:c r="C1065" t="str">
        <x:v>GATE</x:v>
      </x:c>
      <x:c r="D1065" t="str">
        <x:v>release state mirrors governing ledger</x:v>
      </x:c>
      <x:c r="E1065" t="str">
        <x:f>'Release Gates'!I1039</x:f>
        <x:v>OPEN</x:v>
      </x:c>
      <x:c r="F1065" t="str">
        <x:f>IF('Release Gates'!C1039="PLANNING","PASS",IF('Release Gates'!C1039="PHYSICAL","OPEN","BLOCKED"))</x:f>
        <x:v>OPEN</x:v>
      </x:c>
      <x:c r="G1065" t="str">
        <x:v>equals</x:v>
      </x:c>
      <x:c r="H1065" t="str">
        <x:f>IF(E1065=F1065,"PASS","FAIL")</x:f>
        <x:v>PASS</x:v>
      </x:c>
    </x:row>
    <x:row r="1066">
      <x:c r="B1066" t="str">
        <x:v>A-01034</x:v>
      </x:c>
      <x:c r="C1066" t="str">
        <x:v>GATE</x:v>
      </x:c>
      <x:c r="D1066" t="str">
        <x:v>release state mirrors governing ledger</x:v>
      </x:c>
      <x:c r="E1066" t="str">
        <x:f>'Release Gates'!I1040</x:f>
        <x:v>OPEN</x:v>
      </x:c>
      <x:c r="F1066" t="str">
        <x:f>IF('Release Gates'!C1040="PLANNING","PASS",IF('Release Gates'!C1040="PHYSICAL","OPEN","BLOCKED"))</x:f>
        <x:v>OPEN</x:v>
      </x:c>
      <x:c r="G1066" t="str">
        <x:v>equals</x:v>
      </x:c>
      <x:c r="H1066" t="str">
        <x:f>IF(E1066=F1066,"PASS","FAIL")</x:f>
        <x:v>PASS</x:v>
      </x:c>
    </x:row>
    <x:row r="1067">
      <x:c r="B1067" t="str">
        <x:v>A-01035</x:v>
      </x:c>
      <x:c r="C1067" t="str">
        <x:v>GATE</x:v>
      </x:c>
      <x:c r="D1067" t="str">
        <x:v>release state mirrors governing ledger</x:v>
      </x:c>
      <x:c r="E1067" t="str">
        <x:f>'Release Gates'!I1041</x:f>
        <x:v>OPEN</x:v>
      </x:c>
      <x:c r="F1067" t="str">
        <x:f>IF('Release Gates'!C1041="PLANNING","PASS",IF('Release Gates'!C1041="PHYSICAL","OPEN","BLOCKED"))</x:f>
        <x:v>OPEN</x:v>
      </x:c>
      <x:c r="G1067" t="str">
        <x:v>equals</x:v>
      </x:c>
      <x:c r="H1067" t="str">
        <x:f>IF(E1067=F1067,"PASS","FAIL")</x:f>
        <x:v>PASS</x:v>
      </x:c>
    </x:row>
    <x:row r="1068">
      <x:c r="B1068" t="str">
        <x:v>A-01036</x:v>
      </x:c>
      <x:c r="C1068" t="str">
        <x:v>GATE</x:v>
      </x:c>
      <x:c r="D1068" t="str">
        <x:v>release state mirrors governing ledger</x:v>
      </x:c>
      <x:c r="E1068" t="str">
        <x:f>'Release Gates'!I1042</x:f>
        <x:v>OPEN</x:v>
      </x:c>
      <x:c r="F1068" t="str">
        <x:f>IF('Release Gates'!C1042="PLANNING","PASS",IF('Release Gates'!C1042="PHYSICAL","OPEN","BLOCKED"))</x:f>
        <x:v>OPEN</x:v>
      </x:c>
      <x:c r="G1068" t="str">
        <x:v>equals</x:v>
      </x:c>
      <x:c r="H1068" t="str">
        <x:f>IF(E1068=F1068,"PASS","FAIL")</x:f>
        <x:v>PASS</x:v>
      </x:c>
    </x:row>
    <x:row r="1069">
      <x:c r="B1069" t="str">
        <x:v>A-01037</x:v>
      </x:c>
      <x:c r="C1069" t="str">
        <x:v>GATE</x:v>
      </x:c>
      <x:c r="D1069" t="str">
        <x:v>release state mirrors governing ledger</x:v>
      </x:c>
      <x:c r="E1069" t="str">
        <x:f>'Release Gates'!I1043</x:f>
        <x:v>OPEN</x:v>
      </x:c>
      <x:c r="F1069" t="str">
        <x:f>IF('Release Gates'!C1043="PLANNING","PASS",IF('Release Gates'!C1043="PHYSICAL","OPEN","BLOCKED"))</x:f>
        <x:v>OPEN</x:v>
      </x:c>
      <x:c r="G1069" t="str">
        <x:v>equals</x:v>
      </x:c>
      <x:c r="H1069" t="str">
        <x:f>IF(E1069=F1069,"PASS","FAIL")</x:f>
        <x:v>PASS</x:v>
      </x:c>
    </x:row>
    <x:row r="1070">
      <x:c r="B1070" t="str">
        <x:v>A-01038</x:v>
      </x:c>
      <x:c r="C1070" t="str">
        <x:v>GATE</x:v>
      </x:c>
      <x:c r="D1070" t="str">
        <x:v>release state mirrors governing ledger</x:v>
      </x:c>
      <x:c r="E1070" t="str">
        <x:f>'Release Gates'!I1044</x:f>
        <x:v>OPEN</x:v>
      </x:c>
      <x:c r="F1070" t="str">
        <x:f>IF('Release Gates'!C1044="PLANNING","PASS",IF('Release Gates'!C1044="PHYSICAL","OPEN","BLOCKED"))</x:f>
        <x:v>OPEN</x:v>
      </x:c>
      <x:c r="G1070" t="str">
        <x:v>equals</x:v>
      </x:c>
      <x:c r="H1070" t="str">
        <x:f>IF(E1070=F1070,"PASS","FAIL")</x:f>
        <x:v>PASS</x:v>
      </x:c>
    </x:row>
    <x:row r="1071">
      <x:c r="B1071" t="str">
        <x:v>A-01039</x:v>
      </x:c>
      <x:c r="C1071" t="str">
        <x:v>GATE</x:v>
      </x:c>
      <x:c r="D1071" t="str">
        <x:v>release state mirrors governing ledger</x:v>
      </x:c>
      <x:c r="E1071" t="str">
        <x:f>'Release Gates'!I1045</x:f>
        <x:v>OPEN</x:v>
      </x:c>
      <x:c r="F1071" t="str">
        <x:f>IF('Release Gates'!C1045="PLANNING","PASS",IF('Release Gates'!C1045="PHYSICAL","OPEN","BLOCKED"))</x:f>
        <x:v>OPEN</x:v>
      </x:c>
      <x:c r="G1071" t="str">
        <x:v>equals</x:v>
      </x:c>
      <x:c r="H1071" t="str">
        <x:f>IF(E1071=F1071,"PASS","FAIL")</x:f>
        <x:v>PASS</x:v>
      </x:c>
    </x:row>
    <x:row r="1072">
      <x:c r="B1072" t="str">
        <x:v>A-01040</x:v>
      </x:c>
      <x:c r="C1072" t="str">
        <x:v>GATE</x:v>
      </x:c>
      <x:c r="D1072" t="str">
        <x:v>release state mirrors governing ledger</x:v>
      </x:c>
      <x:c r="E1072" t="str">
        <x:f>'Release Gates'!I1046</x:f>
        <x:v>OPEN</x:v>
      </x:c>
      <x:c r="F1072" t="str">
        <x:f>IF('Release Gates'!C1046="PLANNING","PASS",IF('Release Gates'!C1046="PHYSICAL","OPEN","BLOCKED"))</x:f>
        <x:v>OPEN</x:v>
      </x:c>
      <x:c r="G1072" t="str">
        <x:v>equals</x:v>
      </x:c>
      <x:c r="H1072" t="str">
        <x:f>IF(E1072=F1072,"PASS","FAIL")</x:f>
        <x:v>PASS</x:v>
      </x:c>
    </x:row>
    <x:row r="1073">
      <x:c r="B1073" t="str">
        <x:v>A-01041</x:v>
      </x:c>
      <x:c r="C1073" t="str">
        <x:v>GATE</x:v>
      </x:c>
      <x:c r="D1073" t="str">
        <x:v>release state mirrors governing ledger</x:v>
      </x:c>
      <x:c r="E1073" t="str">
        <x:f>'Release Gates'!I1047</x:f>
        <x:v>OPEN</x:v>
      </x:c>
      <x:c r="F1073" t="str">
        <x:f>IF('Release Gates'!C1047="PLANNING","PASS",IF('Release Gates'!C1047="PHYSICAL","OPEN","BLOCKED"))</x:f>
        <x:v>OPEN</x:v>
      </x:c>
      <x:c r="G1073" t="str">
        <x:v>equals</x:v>
      </x:c>
      <x:c r="H1073" t="str">
        <x:f>IF(E1073=F1073,"PASS","FAIL")</x:f>
        <x:v>PASS</x:v>
      </x:c>
    </x:row>
    <x:row r="1074">
      <x:c r="B1074" t="str">
        <x:v>A-01042</x:v>
      </x:c>
      <x:c r="C1074" t="str">
        <x:v>GATE</x:v>
      </x:c>
      <x:c r="D1074" t="str">
        <x:v>release state mirrors governing ledger</x:v>
      </x:c>
      <x:c r="E1074" t="str">
        <x:f>'Release Gates'!I1048</x:f>
        <x:v>OPEN</x:v>
      </x:c>
      <x:c r="F1074" t="str">
        <x:f>IF('Release Gates'!C1048="PLANNING","PASS",IF('Release Gates'!C1048="PHYSICAL","OPEN","BLOCKED"))</x:f>
        <x:v>OPEN</x:v>
      </x:c>
      <x:c r="G1074" t="str">
        <x:v>equals</x:v>
      </x:c>
      <x:c r="H1074" t="str">
        <x:f>IF(E1074=F1074,"PASS","FAIL")</x:f>
        <x:v>PASS</x:v>
      </x:c>
    </x:row>
    <x:row r="1075">
      <x:c r="B1075" t="str">
        <x:v>A-01043</x:v>
      </x:c>
      <x:c r="C1075" t="str">
        <x:v>GATE</x:v>
      </x:c>
      <x:c r="D1075" t="str">
        <x:v>release state mirrors governing ledger</x:v>
      </x:c>
      <x:c r="E1075" t="str">
        <x:f>'Release Gates'!I1049</x:f>
        <x:v>OPEN</x:v>
      </x:c>
      <x:c r="F1075" t="str">
        <x:f>IF('Release Gates'!C1049="PLANNING","PASS",IF('Release Gates'!C1049="PHYSICAL","OPEN","BLOCKED"))</x:f>
        <x:v>OPEN</x:v>
      </x:c>
      <x:c r="G1075" t="str">
        <x:v>equals</x:v>
      </x:c>
      <x:c r="H1075" t="str">
        <x:f>IF(E1075=F1075,"PASS","FAIL")</x:f>
        <x:v>PASS</x:v>
      </x:c>
    </x:row>
    <x:row r="1076">
      <x:c r="B1076" t="str">
        <x:v>A-01044</x:v>
      </x:c>
      <x:c r="C1076" t="str">
        <x:v>GATE</x:v>
      </x:c>
      <x:c r="D1076" t="str">
        <x:v>release state mirrors governing ledger</x:v>
      </x:c>
      <x:c r="E1076" t="str">
        <x:f>'Release Gates'!I1050</x:f>
        <x:v>OPEN</x:v>
      </x:c>
      <x:c r="F1076" t="str">
        <x:f>IF('Release Gates'!C1050="PLANNING","PASS",IF('Release Gates'!C1050="PHYSICAL","OPEN","BLOCKED"))</x:f>
        <x:v>OPEN</x:v>
      </x:c>
      <x:c r="G1076" t="str">
        <x:v>equals</x:v>
      </x:c>
      <x:c r="H1076" t="str">
        <x:f>IF(E1076=F1076,"PASS","FAIL")</x:f>
        <x:v>PASS</x:v>
      </x:c>
    </x:row>
    <x:row r="1077">
      <x:c r="B1077" t="str">
        <x:v>A-01045</x:v>
      </x:c>
      <x:c r="C1077" t="str">
        <x:v>GATE</x:v>
      </x:c>
      <x:c r="D1077" t="str">
        <x:v>release state mirrors governing ledger</x:v>
      </x:c>
      <x:c r="E1077" t="str">
        <x:f>'Release Gates'!I1051</x:f>
        <x:v>OPEN</x:v>
      </x:c>
      <x:c r="F1077" t="str">
        <x:f>IF('Release Gates'!C1051="PLANNING","PASS",IF('Release Gates'!C1051="PHYSICAL","OPEN","BLOCKED"))</x:f>
        <x:v>OPEN</x:v>
      </x:c>
      <x:c r="G1077" t="str">
        <x:v>equals</x:v>
      </x:c>
      <x:c r="H1077" t="str">
        <x:f>IF(E1077=F1077,"PASS","FAIL")</x:f>
        <x:v>PASS</x:v>
      </x:c>
    </x:row>
    <x:row r="1078">
      <x:c r="B1078" t="str">
        <x:v>A-01046</x:v>
      </x:c>
      <x:c r="C1078" t="str">
        <x:v>GATE</x:v>
      </x:c>
      <x:c r="D1078" t="str">
        <x:v>release state mirrors governing ledger</x:v>
      </x:c>
      <x:c r="E1078" t="str">
        <x:f>'Release Gates'!I1052</x:f>
        <x:v>OPEN</x:v>
      </x:c>
      <x:c r="F1078" t="str">
        <x:f>IF('Release Gates'!C1052="PLANNING","PASS",IF('Release Gates'!C1052="PHYSICAL","OPEN","BLOCKED"))</x:f>
        <x:v>OPEN</x:v>
      </x:c>
      <x:c r="G1078" t="str">
        <x:v>equals</x:v>
      </x:c>
      <x:c r="H1078" t="str">
        <x:f>IF(E1078=F1078,"PASS","FAIL")</x:f>
        <x:v>PASS</x:v>
      </x:c>
    </x:row>
    <x:row r="1079">
      <x:c r="B1079" t="str">
        <x:v>A-01047</x:v>
      </x:c>
      <x:c r="C1079" t="str">
        <x:v>GATE</x:v>
      </x:c>
      <x:c r="D1079" t="str">
        <x:v>release state mirrors governing ledger</x:v>
      </x:c>
      <x:c r="E1079" t="str">
        <x:f>'Release Gates'!I1053</x:f>
        <x:v>OPEN</x:v>
      </x:c>
      <x:c r="F1079" t="str">
        <x:f>IF('Release Gates'!C1053="PLANNING","PASS",IF('Release Gates'!C1053="PHYSICAL","OPEN","BLOCKED"))</x:f>
        <x:v>OPEN</x:v>
      </x:c>
      <x:c r="G1079" t="str">
        <x:v>equals</x:v>
      </x:c>
      <x:c r="H1079" t="str">
        <x:f>IF(E1079=F1079,"PASS","FAIL")</x:f>
        <x:v>PASS</x:v>
      </x:c>
    </x:row>
    <x:row r="1080">
      <x:c r="B1080" t="str">
        <x:v>A-01048</x:v>
      </x:c>
      <x:c r="C1080" t="str">
        <x:v>GATE</x:v>
      </x:c>
      <x:c r="D1080" t="str">
        <x:v>release state mirrors governing ledger</x:v>
      </x:c>
      <x:c r="E1080" t="str">
        <x:f>'Release Gates'!I1054</x:f>
        <x:v>OPEN</x:v>
      </x:c>
      <x:c r="F1080" t="str">
        <x:f>IF('Release Gates'!C1054="PLANNING","PASS",IF('Release Gates'!C1054="PHYSICAL","OPEN","BLOCKED"))</x:f>
        <x:v>OPEN</x:v>
      </x:c>
      <x:c r="G1080" t="str">
        <x:v>equals</x:v>
      </x:c>
      <x:c r="H1080" t="str">
        <x:f>IF(E1080=F1080,"PASS","FAIL")</x:f>
        <x:v>PASS</x:v>
      </x:c>
    </x:row>
    <x:row r="1081">
      <x:c r="B1081" t="str">
        <x:v>A-01049</x:v>
      </x:c>
      <x:c r="C1081" t="str">
        <x:v>GATE</x:v>
      </x:c>
      <x:c r="D1081" t="str">
        <x:v>release state mirrors governing ledger</x:v>
      </x:c>
      <x:c r="E1081" t="str">
        <x:f>'Release Gates'!I1055</x:f>
        <x:v>OPEN</x:v>
      </x:c>
      <x:c r="F1081" t="str">
        <x:f>IF('Release Gates'!C1055="PLANNING","PASS",IF('Release Gates'!C1055="PHYSICAL","OPEN","BLOCKED"))</x:f>
        <x:v>OPEN</x:v>
      </x:c>
      <x:c r="G1081" t="str">
        <x:v>equals</x:v>
      </x:c>
      <x:c r="H1081" t="str">
        <x:f>IF(E1081=F1081,"PASS","FAIL")</x:f>
        <x:v>PASS</x:v>
      </x:c>
    </x:row>
    <x:row r="1082">
      <x:c r="B1082" t="str">
        <x:v>A-01050</x:v>
      </x:c>
      <x:c r="C1082" t="str">
        <x:v>GATE</x:v>
      </x:c>
      <x:c r="D1082" t="str">
        <x:v>release state mirrors governing ledger</x:v>
      </x:c>
      <x:c r="E1082" t="str">
        <x:f>'Release Gates'!I1056</x:f>
        <x:v>OPEN</x:v>
      </x:c>
      <x:c r="F1082" t="str">
        <x:f>IF('Release Gates'!C1056="PLANNING","PASS",IF('Release Gates'!C1056="PHYSICAL","OPEN","BLOCKED"))</x:f>
        <x:v>OPEN</x:v>
      </x:c>
      <x:c r="G1082" t="str">
        <x:v>equals</x:v>
      </x:c>
      <x:c r="H1082" t="str">
        <x:f>IF(E1082=F1082,"PASS","FAIL")</x:f>
        <x:v>PASS</x:v>
      </x:c>
    </x:row>
    <x:row r="1083">
      <x:c r="B1083" t="str">
        <x:v>A-01051</x:v>
      </x:c>
      <x:c r="C1083" t="str">
        <x:v>GATE</x:v>
      </x:c>
      <x:c r="D1083" t="str">
        <x:v>release state mirrors governing ledger</x:v>
      </x:c>
      <x:c r="E1083" t="str">
        <x:f>'Release Gates'!I1057</x:f>
        <x:v>OPEN</x:v>
      </x:c>
      <x:c r="F1083" t="str">
        <x:f>IF('Release Gates'!C1057="PLANNING","PASS",IF('Release Gates'!C1057="PHYSICAL","OPEN","BLOCKED"))</x:f>
        <x:v>OPEN</x:v>
      </x:c>
      <x:c r="G1083" t="str">
        <x:v>equals</x:v>
      </x:c>
      <x:c r="H1083" t="str">
        <x:f>IF(E1083=F1083,"PASS","FAIL")</x:f>
        <x:v>PASS</x:v>
      </x:c>
    </x:row>
    <x:row r="1084">
      <x:c r="B1084" t="str">
        <x:v>A-01052</x:v>
      </x:c>
      <x:c r="C1084" t="str">
        <x:v>GATE</x:v>
      </x:c>
      <x:c r="D1084" t="str">
        <x:v>release state mirrors governing ledger</x:v>
      </x:c>
      <x:c r="E1084" t="str">
        <x:f>'Release Gates'!I1058</x:f>
        <x:v>OPEN</x:v>
      </x:c>
      <x:c r="F1084" t="str">
        <x:f>IF('Release Gates'!C1058="PLANNING","PASS",IF('Release Gates'!C1058="PHYSICAL","OPEN","BLOCKED"))</x:f>
        <x:v>OPEN</x:v>
      </x:c>
      <x:c r="G1084" t="str">
        <x:v>equals</x:v>
      </x:c>
      <x:c r="H1084" t="str">
        <x:f>IF(E1084=F1084,"PASS","FAIL")</x:f>
        <x:v>PASS</x:v>
      </x:c>
    </x:row>
    <x:row r="1085">
      <x:c r="B1085" t="str">
        <x:v>A-01053</x:v>
      </x:c>
      <x:c r="C1085" t="str">
        <x:v>GATE</x:v>
      </x:c>
      <x:c r="D1085" t="str">
        <x:v>release state mirrors governing ledger</x:v>
      </x:c>
      <x:c r="E1085" t="str">
        <x:f>'Release Gates'!I1059</x:f>
        <x:v>OPEN</x:v>
      </x:c>
      <x:c r="F1085" t="str">
        <x:f>IF('Release Gates'!C1059="PLANNING","PASS",IF('Release Gates'!C1059="PHYSICAL","OPEN","BLOCKED"))</x:f>
        <x:v>OPEN</x:v>
      </x:c>
      <x:c r="G1085" t="str">
        <x:v>equals</x:v>
      </x:c>
      <x:c r="H1085" t="str">
        <x:f>IF(E1085=F1085,"PASS","FAIL")</x:f>
        <x:v>PASS</x:v>
      </x:c>
    </x:row>
    <x:row r="1086">
      <x:c r="B1086" t="str">
        <x:v>A-01054</x:v>
      </x:c>
      <x:c r="C1086" t="str">
        <x:v>GATE</x:v>
      </x:c>
      <x:c r="D1086" t="str">
        <x:v>release state mirrors governing ledger</x:v>
      </x:c>
      <x:c r="E1086" t="str">
        <x:f>'Release Gates'!I1060</x:f>
        <x:v>OPEN</x:v>
      </x:c>
      <x:c r="F1086" t="str">
        <x:f>IF('Release Gates'!C1060="PLANNING","PASS",IF('Release Gates'!C1060="PHYSICAL","OPEN","BLOCKED"))</x:f>
        <x:v>OPEN</x:v>
      </x:c>
      <x:c r="G1086" t="str">
        <x:v>equals</x:v>
      </x:c>
      <x:c r="H1086" t="str">
        <x:f>IF(E1086=F1086,"PASS","FAIL")</x:f>
        <x:v>PASS</x:v>
      </x:c>
    </x:row>
    <x:row r="1087">
      <x:c r="B1087" t="str">
        <x:v>A-01055</x:v>
      </x:c>
      <x:c r="C1087" t="str">
        <x:v>GATE</x:v>
      </x:c>
      <x:c r="D1087" t="str">
        <x:v>release state mirrors governing ledger</x:v>
      </x:c>
      <x:c r="E1087" t="str">
        <x:f>'Release Gates'!I1061</x:f>
        <x:v>OPEN</x:v>
      </x:c>
      <x:c r="F1087" t="str">
        <x:f>IF('Release Gates'!C1061="PLANNING","PASS",IF('Release Gates'!C1061="PHYSICAL","OPEN","BLOCKED"))</x:f>
        <x:v>OPEN</x:v>
      </x:c>
      <x:c r="G1087" t="str">
        <x:v>equals</x:v>
      </x:c>
      <x:c r="H1087" t="str">
        <x:f>IF(E1087=F1087,"PASS","FAIL")</x:f>
        <x:v>PASS</x:v>
      </x:c>
    </x:row>
    <x:row r="1088">
      <x:c r="B1088" t="str">
        <x:v>A-01056</x:v>
      </x:c>
      <x:c r="C1088" t="str">
        <x:v>GATE</x:v>
      </x:c>
      <x:c r="D1088" t="str">
        <x:v>release state mirrors governing ledger</x:v>
      </x:c>
      <x:c r="E1088" t="str">
        <x:f>'Release Gates'!I1062</x:f>
        <x:v>OPEN</x:v>
      </x:c>
      <x:c r="F1088" t="str">
        <x:f>IF('Release Gates'!C1062="PLANNING","PASS",IF('Release Gates'!C1062="PHYSICAL","OPEN","BLOCKED"))</x:f>
        <x:v>OPEN</x:v>
      </x:c>
      <x:c r="G1088" t="str">
        <x:v>equals</x:v>
      </x:c>
      <x:c r="H1088" t="str">
        <x:f>IF(E1088=F1088,"PASS","FAIL")</x:f>
        <x:v>PASS</x:v>
      </x:c>
    </x:row>
    <x:row r="1089">
      <x:c r="B1089" t="str">
        <x:v>A-01057</x:v>
      </x:c>
      <x:c r="C1089" t="str">
        <x:v>GATE</x:v>
      </x:c>
      <x:c r="D1089" t="str">
        <x:v>release state mirrors governing ledger</x:v>
      </x:c>
      <x:c r="E1089" t="str">
        <x:f>'Release Gates'!I1063</x:f>
        <x:v>OPEN</x:v>
      </x:c>
      <x:c r="F1089" t="str">
        <x:f>IF('Release Gates'!C1063="PLANNING","PASS",IF('Release Gates'!C1063="PHYSICAL","OPEN","BLOCKED"))</x:f>
        <x:v>OPEN</x:v>
      </x:c>
      <x:c r="G1089" t="str">
        <x:v>equals</x:v>
      </x:c>
      <x:c r="H1089" t="str">
        <x:f>IF(E1089=F1089,"PASS","FAIL")</x:f>
        <x:v>PASS</x:v>
      </x:c>
    </x:row>
    <x:row r="1090">
      <x:c r="B1090" t="str">
        <x:v>A-01058</x:v>
      </x:c>
      <x:c r="C1090" t="str">
        <x:v>GATE</x:v>
      </x:c>
      <x:c r="D1090" t="str">
        <x:v>release state mirrors governing ledger</x:v>
      </x:c>
      <x:c r="E1090" t="str">
        <x:f>'Release Gates'!I1064</x:f>
        <x:v>OPEN</x:v>
      </x:c>
      <x:c r="F1090" t="str">
        <x:f>IF('Release Gates'!C1064="PLANNING","PASS",IF('Release Gates'!C1064="PHYSICAL","OPEN","BLOCKED"))</x:f>
        <x:v>OPEN</x:v>
      </x:c>
      <x:c r="G1090" t="str">
        <x:v>equals</x:v>
      </x:c>
      <x:c r="H1090" t="str">
        <x:f>IF(E1090=F1090,"PASS","FAIL")</x:f>
        <x:v>PASS</x:v>
      </x:c>
    </x:row>
    <x:row r="1091">
      <x:c r="B1091" t="str">
        <x:v>A-01059</x:v>
      </x:c>
      <x:c r="C1091" t="str">
        <x:v>GATE</x:v>
      </x:c>
      <x:c r="D1091" t="str">
        <x:v>release state mirrors governing ledger</x:v>
      </x:c>
      <x:c r="E1091" t="str">
        <x:f>'Release Gates'!I1065</x:f>
        <x:v>OPEN</x:v>
      </x:c>
      <x:c r="F1091" t="str">
        <x:f>IF('Release Gates'!C1065="PLANNING","PASS",IF('Release Gates'!C1065="PHYSICAL","OPEN","BLOCKED"))</x:f>
        <x:v>OPEN</x:v>
      </x:c>
      <x:c r="G1091" t="str">
        <x:v>equals</x:v>
      </x:c>
      <x:c r="H1091" t="str">
        <x:f>IF(E1091=F1091,"PASS","FAIL")</x:f>
        <x:v>PASS</x:v>
      </x:c>
    </x:row>
    <x:row r="1092">
      <x:c r="B1092" t="str">
        <x:v>A-01060</x:v>
      </x:c>
      <x:c r="C1092" t="str">
        <x:v>GATE</x:v>
      </x:c>
      <x:c r="D1092" t="str">
        <x:v>release state mirrors governing ledger</x:v>
      </x:c>
      <x:c r="E1092" t="str">
        <x:f>'Release Gates'!I1066</x:f>
        <x:v>OPEN</x:v>
      </x:c>
      <x:c r="F1092" t="str">
        <x:f>IF('Release Gates'!C1066="PLANNING","PASS",IF('Release Gates'!C1066="PHYSICAL","OPEN","BLOCKED"))</x:f>
        <x:v>OPEN</x:v>
      </x:c>
      <x:c r="G1092" t="str">
        <x:v>equals</x:v>
      </x:c>
      <x:c r="H1092" t="str">
        <x:f>IF(E1092=F1092,"PASS","FAIL")</x:f>
        <x:v>PASS</x:v>
      </x:c>
    </x:row>
    <x:row r="1093">
      <x:c r="B1093" t="str">
        <x:v>A-01061</x:v>
      </x:c>
      <x:c r="C1093" t="str">
        <x:v>GATE</x:v>
      </x:c>
      <x:c r="D1093" t="str">
        <x:v>release state mirrors governing ledger</x:v>
      </x:c>
      <x:c r="E1093" t="str">
        <x:f>'Release Gates'!I1067</x:f>
        <x:v>OPEN</x:v>
      </x:c>
      <x:c r="F1093" t="str">
        <x:f>IF('Release Gates'!C1067="PLANNING","PASS",IF('Release Gates'!C1067="PHYSICAL","OPEN","BLOCKED"))</x:f>
        <x:v>OPEN</x:v>
      </x:c>
      <x:c r="G1093" t="str">
        <x:v>equals</x:v>
      </x:c>
      <x:c r="H1093" t="str">
        <x:f>IF(E1093=F1093,"PASS","FAIL")</x:f>
        <x:v>PASS</x:v>
      </x:c>
    </x:row>
    <x:row r="1094">
      <x:c r="B1094" t="str">
        <x:v>A-01062</x:v>
      </x:c>
      <x:c r="C1094" t="str">
        <x:v>GATE</x:v>
      </x:c>
      <x:c r="D1094" t="str">
        <x:v>release state mirrors governing ledger</x:v>
      </x:c>
      <x:c r="E1094" t="str">
        <x:f>'Release Gates'!I1068</x:f>
        <x:v>OPEN</x:v>
      </x:c>
      <x:c r="F1094" t="str">
        <x:f>IF('Release Gates'!C1068="PLANNING","PASS",IF('Release Gates'!C1068="PHYSICAL","OPEN","BLOCKED"))</x:f>
        <x:v>OPEN</x:v>
      </x:c>
      <x:c r="G1094" t="str">
        <x:v>equals</x:v>
      </x:c>
      <x:c r="H1094" t="str">
        <x:f>IF(E1094=F1094,"PASS","FAIL")</x:f>
        <x:v>PASS</x:v>
      </x:c>
    </x:row>
    <x:row r="1095">
      <x:c r="B1095" t="str">
        <x:v>A-01063</x:v>
      </x:c>
      <x:c r="C1095" t="str">
        <x:v>GATE</x:v>
      </x:c>
      <x:c r="D1095" t="str">
        <x:v>release state mirrors governing ledger</x:v>
      </x:c>
      <x:c r="E1095" t="str">
        <x:f>'Release Gates'!I1069</x:f>
        <x:v>OPEN</x:v>
      </x:c>
      <x:c r="F1095" t="str">
        <x:f>IF('Release Gates'!C1069="PLANNING","PASS",IF('Release Gates'!C1069="PHYSICAL","OPEN","BLOCKED"))</x:f>
        <x:v>OPEN</x:v>
      </x:c>
      <x:c r="G1095" t="str">
        <x:v>equals</x:v>
      </x:c>
      <x:c r="H1095" t="str">
        <x:f>IF(E1095=F1095,"PASS","FAIL")</x:f>
        <x:v>PASS</x:v>
      </x:c>
    </x:row>
    <x:row r="1096">
      <x:c r="B1096" t="str">
        <x:v>A-01064</x:v>
      </x:c>
      <x:c r="C1096" t="str">
        <x:v>GATE</x:v>
      </x:c>
      <x:c r="D1096" t="str">
        <x:v>release state mirrors governing ledger</x:v>
      </x:c>
      <x:c r="E1096" t="str">
        <x:f>'Release Gates'!I1070</x:f>
        <x:v>OPEN</x:v>
      </x:c>
      <x:c r="F1096" t="str">
        <x:f>IF('Release Gates'!C1070="PLANNING","PASS",IF('Release Gates'!C1070="PHYSICAL","OPEN","BLOCKED"))</x:f>
        <x:v>OPEN</x:v>
      </x:c>
      <x:c r="G1096" t="str">
        <x:v>equals</x:v>
      </x:c>
      <x:c r="H1096" t="str">
        <x:f>IF(E1096=F1096,"PASS","FAIL")</x:f>
        <x:v>PASS</x:v>
      </x:c>
    </x:row>
    <x:row r="1097">
      <x:c r="B1097" t="str">
        <x:v>A-01065</x:v>
      </x:c>
      <x:c r="C1097" t="str">
        <x:v>GATE</x:v>
      </x:c>
      <x:c r="D1097" t="str">
        <x:v>release state mirrors governing ledger</x:v>
      </x:c>
      <x:c r="E1097" t="str">
        <x:f>'Release Gates'!I1071</x:f>
        <x:v>OPEN</x:v>
      </x:c>
      <x:c r="F1097" t="str">
        <x:f>IF('Release Gates'!C1071="PLANNING","PASS",IF('Release Gates'!C1071="PHYSICAL","OPEN","BLOCKED"))</x:f>
        <x:v>OPEN</x:v>
      </x:c>
      <x:c r="G1097" t="str">
        <x:v>equals</x:v>
      </x:c>
      <x:c r="H1097" t="str">
        <x:f>IF(E1097=F1097,"PASS","FAIL")</x:f>
        <x:v>PASS</x:v>
      </x:c>
    </x:row>
    <x:row r="1098">
      <x:c r="B1098" t="str">
        <x:v>A-01066</x:v>
      </x:c>
      <x:c r="C1098" t="str">
        <x:v>GATE</x:v>
      </x:c>
      <x:c r="D1098" t="str">
        <x:v>release state mirrors governing ledger</x:v>
      </x:c>
      <x:c r="E1098" t="str">
        <x:f>'Release Gates'!I1072</x:f>
        <x:v>OPEN</x:v>
      </x:c>
      <x:c r="F1098" t="str">
        <x:f>IF('Release Gates'!C1072="PLANNING","PASS",IF('Release Gates'!C1072="PHYSICAL","OPEN","BLOCKED"))</x:f>
        <x:v>OPEN</x:v>
      </x:c>
      <x:c r="G1098" t="str">
        <x:v>equals</x:v>
      </x:c>
      <x:c r="H1098" t="str">
        <x:f>IF(E1098=F1098,"PASS","FAIL")</x:f>
        <x:v>PASS</x:v>
      </x:c>
    </x:row>
    <x:row r="1099">
      <x:c r="B1099" t="str">
        <x:v>A-01067</x:v>
      </x:c>
      <x:c r="C1099" t="str">
        <x:v>GATE</x:v>
      </x:c>
      <x:c r="D1099" t="str">
        <x:v>release state mirrors governing ledger</x:v>
      </x:c>
      <x:c r="E1099" t="str">
        <x:f>'Release Gates'!I1073</x:f>
        <x:v>OPEN</x:v>
      </x:c>
      <x:c r="F1099" t="str">
        <x:f>IF('Release Gates'!C1073="PLANNING","PASS",IF('Release Gates'!C1073="PHYSICAL","OPEN","BLOCKED"))</x:f>
        <x:v>OPEN</x:v>
      </x:c>
      <x:c r="G1099" t="str">
        <x:v>equals</x:v>
      </x:c>
      <x:c r="H1099" t="str">
        <x:f>IF(E1099=F1099,"PASS","FAIL")</x:f>
        <x:v>PASS</x:v>
      </x:c>
    </x:row>
    <x:row r="1100">
      <x:c r="B1100" t="str">
        <x:v>A-01068</x:v>
      </x:c>
      <x:c r="C1100" t="str">
        <x:v>GATE</x:v>
      </x:c>
      <x:c r="D1100" t="str">
        <x:v>release state mirrors governing ledger</x:v>
      </x:c>
      <x:c r="E1100" t="str">
        <x:f>'Release Gates'!I1074</x:f>
        <x:v>OPEN</x:v>
      </x:c>
      <x:c r="F1100" t="str">
        <x:f>IF('Release Gates'!C1074="PLANNING","PASS",IF('Release Gates'!C1074="PHYSICAL","OPEN","BLOCKED"))</x:f>
        <x:v>OPEN</x:v>
      </x:c>
      <x:c r="G1100" t="str">
        <x:v>equals</x:v>
      </x:c>
      <x:c r="H1100" t="str">
        <x:f>IF(E1100=F1100,"PASS","FAIL")</x:f>
        <x:v>PASS</x:v>
      </x:c>
    </x:row>
    <x:row r="1101">
      <x:c r="B1101" t="str">
        <x:v>A-01069</x:v>
      </x:c>
      <x:c r="C1101" t="str">
        <x:v>GATE</x:v>
      </x:c>
      <x:c r="D1101" t="str">
        <x:v>release state mirrors governing ledger</x:v>
      </x:c>
      <x:c r="E1101" t="str">
        <x:f>'Release Gates'!I1075</x:f>
        <x:v>OPEN</x:v>
      </x:c>
      <x:c r="F1101" t="str">
        <x:f>IF('Release Gates'!C1075="PLANNING","PASS",IF('Release Gates'!C1075="PHYSICAL","OPEN","BLOCKED"))</x:f>
        <x:v>OPEN</x:v>
      </x:c>
      <x:c r="G1101" t="str">
        <x:v>equals</x:v>
      </x:c>
      <x:c r="H1101" t="str">
        <x:f>IF(E1101=F1101,"PASS","FAIL")</x:f>
        <x:v>PASS</x:v>
      </x:c>
    </x:row>
    <x:row r="1102">
      <x:c r="B1102" t="str">
        <x:v>A-01070</x:v>
      </x:c>
      <x:c r="C1102" t="str">
        <x:v>GATE</x:v>
      </x:c>
      <x:c r="D1102" t="str">
        <x:v>release state mirrors governing ledger</x:v>
      </x:c>
      <x:c r="E1102" t="str">
        <x:f>'Release Gates'!I1076</x:f>
        <x:v>OPEN</x:v>
      </x:c>
      <x:c r="F1102" t="str">
        <x:f>IF('Release Gates'!C1076="PLANNING","PASS",IF('Release Gates'!C1076="PHYSICAL","OPEN","BLOCKED"))</x:f>
        <x:v>OPEN</x:v>
      </x:c>
      <x:c r="G1102" t="str">
        <x:v>equals</x:v>
      </x:c>
      <x:c r="H1102" t="str">
        <x:f>IF(E1102=F1102,"PASS","FAIL")</x:f>
        <x:v>PASS</x:v>
      </x:c>
    </x:row>
    <x:row r="1103">
      <x:c r="B1103" t="str">
        <x:v>A-01071</x:v>
      </x:c>
      <x:c r="C1103" t="str">
        <x:v>GATE</x:v>
      </x:c>
      <x:c r="D1103" t="str">
        <x:v>release state mirrors governing ledger</x:v>
      </x:c>
      <x:c r="E1103" t="str">
        <x:f>'Release Gates'!I1077</x:f>
        <x:v>OPEN</x:v>
      </x:c>
      <x:c r="F1103" t="str">
        <x:f>IF('Release Gates'!C1077="PLANNING","PASS",IF('Release Gates'!C1077="PHYSICAL","OPEN","BLOCKED"))</x:f>
        <x:v>OPEN</x:v>
      </x:c>
      <x:c r="G1103" t="str">
        <x:v>equals</x:v>
      </x:c>
      <x:c r="H1103" t="str">
        <x:f>IF(E1103=F1103,"PASS","FAIL")</x:f>
        <x:v>PASS</x:v>
      </x:c>
    </x:row>
    <x:row r="1104">
      <x:c r="B1104" t="str">
        <x:v>A-01072</x:v>
      </x:c>
      <x:c r="C1104" t="str">
        <x:v>GATE</x:v>
      </x:c>
      <x:c r="D1104" t="str">
        <x:v>release state mirrors governing ledger</x:v>
      </x:c>
      <x:c r="E1104" t="str">
        <x:f>'Release Gates'!I1078</x:f>
        <x:v>OPEN</x:v>
      </x:c>
      <x:c r="F1104" t="str">
        <x:f>IF('Release Gates'!C1078="PLANNING","PASS",IF('Release Gates'!C1078="PHYSICAL","OPEN","BLOCKED"))</x:f>
        <x:v>OPEN</x:v>
      </x:c>
      <x:c r="G1104" t="str">
        <x:v>equals</x:v>
      </x:c>
      <x:c r="H1104" t="str">
        <x:f>IF(E1104=F1104,"PASS","FAIL")</x:f>
        <x:v>PASS</x:v>
      </x:c>
    </x:row>
    <x:row r="1105">
      <x:c r="B1105" t="str">
        <x:v>A-01073</x:v>
      </x:c>
      <x:c r="C1105" t="str">
        <x:v>GATE</x:v>
      </x:c>
      <x:c r="D1105" t="str">
        <x:v>release state mirrors governing ledger</x:v>
      </x:c>
      <x:c r="E1105" t="str">
        <x:f>'Release Gates'!I1079</x:f>
        <x:v>OPEN</x:v>
      </x:c>
      <x:c r="F1105" t="str">
        <x:f>IF('Release Gates'!C1079="PLANNING","PASS",IF('Release Gates'!C1079="PHYSICAL","OPEN","BLOCKED"))</x:f>
        <x:v>OPEN</x:v>
      </x:c>
      <x:c r="G1105" t="str">
        <x:v>equals</x:v>
      </x:c>
      <x:c r="H1105" t="str">
        <x:f>IF(E1105=F1105,"PASS","FAIL")</x:f>
        <x:v>PASS</x:v>
      </x:c>
    </x:row>
    <x:row r="1106">
      <x:c r="B1106" t="str">
        <x:v>A-01074</x:v>
      </x:c>
      <x:c r="C1106" t="str">
        <x:v>GATE</x:v>
      </x:c>
      <x:c r="D1106" t="str">
        <x:v>release state mirrors governing ledger</x:v>
      </x:c>
      <x:c r="E1106" t="str">
        <x:f>'Release Gates'!I1080</x:f>
        <x:v>OPEN</x:v>
      </x:c>
      <x:c r="F1106" t="str">
        <x:f>IF('Release Gates'!C1080="PLANNING","PASS",IF('Release Gates'!C1080="PHYSICAL","OPEN","BLOCKED"))</x:f>
        <x:v>OPEN</x:v>
      </x:c>
      <x:c r="G1106" t="str">
        <x:v>equals</x:v>
      </x:c>
      <x:c r="H1106" t="str">
        <x:f>IF(E1106=F1106,"PASS","FAIL")</x:f>
        <x:v>PASS</x:v>
      </x:c>
    </x:row>
    <x:row r="1107">
      <x:c r="B1107" t="str">
        <x:v>A-01075</x:v>
      </x:c>
      <x:c r="C1107" t="str">
        <x:v>GATE</x:v>
      </x:c>
      <x:c r="D1107" t="str">
        <x:v>release state mirrors governing ledger</x:v>
      </x:c>
      <x:c r="E1107" t="str">
        <x:f>'Release Gates'!I1081</x:f>
        <x:v>OPEN</x:v>
      </x:c>
      <x:c r="F1107" t="str">
        <x:f>IF('Release Gates'!C1081="PLANNING","PASS",IF('Release Gates'!C1081="PHYSICAL","OPEN","BLOCKED"))</x:f>
        <x:v>OPEN</x:v>
      </x:c>
      <x:c r="G1107" t="str">
        <x:v>equals</x:v>
      </x:c>
      <x:c r="H1107" t="str">
        <x:f>IF(E1107=F1107,"PASS","FAIL")</x:f>
        <x:v>PASS</x:v>
      </x:c>
    </x:row>
    <x:row r="1108">
      <x:c r="B1108" t="str">
        <x:v>A-01076</x:v>
      </x:c>
      <x:c r="C1108" t="str">
        <x:v>GATE</x:v>
      </x:c>
      <x:c r="D1108" t="str">
        <x:v>release state mirrors governing ledger</x:v>
      </x:c>
      <x:c r="E1108" t="str">
        <x:f>'Release Gates'!I1082</x:f>
        <x:v>OPEN</x:v>
      </x:c>
      <x:c r="F1108" t="str">
        <x:f>IF('Release Gates'!C1082="PLANNING","PASS",IF('Release Gates'!C1082="PHYSICAL","OPEN","BLOCKED"))</x:f>
        <x:v>OPEN</x:v>
      </x:c>
      <x:c r="G1108" t="str">
        <x:v>equals</x:v>
      </x:c>
      <x:c r="H1108" t="str">
        <x:f>IF(E1108=F1108,"PASS","FAIL")</x:f>
        <x:v>PASS</x:v>
      </x:c>
    </x:row>
    <x:row r="1109">
      <x:c r="B1109" t="str">
        <x:v>A-01077</x:v>
      </x:c>
      <x:c r="C1109" t="str">
        <x:v>GATE</x:v>
      </x:c>
      <x:c r="D1109" t="str">
        <x:v>release state mirrors governing ledger</x:v>
      </x:c>
      <x:c r="E1109" t="str">
        <x:f>'Release Gates'!I1083</x:f>
        <x:v>OPEN</x:v>
      </x:c>
      <x:c r="F1109" t="str">
        <x:f>IF('Release Gates'!C1083="PLANNING","PASS",IF('Release Gates'!C1083="PHYSICAL","OPEN","BLOCKED"))</x:f>
        <x:v>OPEN</x:v>
      </x:c>
      <x:c r="G1109" t="str">
        <x:v>equals</x:v>
      </x:c>
      <x:c r="H1109" t="str">
        <x:f>IF(E1109=F1109,"PASS","FAIL")</x:f>
        <x:v>PASS</x:v>
      </x:c>
    </x:row>
    <x:row r="1110">
      <x:c r="B1110" t="str">
        <x:v>A-01078</x:v>
      </x:c>
      <x:c r="C1110" t="str">
        <x:v>GATE</x:v>
      </x:c>
      <x:c r="D1110" t="str">
        <x:v>release state mirrors governing ledger</x:v>
      </x:c>
      <x:c r="E1110" t="str">
        <x:f>'Release Gates'!I1084</x:f>
        <x:v>OPEN</x:v>
      </x:c>
      <x:c r="F1110" t="str">
        <x:f>IF('Release Gates'!C1084="PLANNING","PASS",IF('Release Gates'!C1084="PHYSICAL","OPEN","BLOCKED"))</x:f>
        <x:v>OPEN</x:v>
      </x:c>
      <x:c r="G1110" t="str">
        <x:v>equals</x:v>
      </x:c>
      <x:c r="H1110" t="str">
        <x:f>IF(E1110=F1110,"PASS","FAIL")</x:f>
        <x:v>PASS</x:v>
      </x:c>
    </x:row>
    <x:row r="1111">
      <x:c r="B1111" t="str">
        <x:v>A-01079</x:v>
      </x:c>
      <x:c r="C1111" t="str">
        <x:v>GATE</x:v>
      </x:c>
      <x:c r="D1111" t="str">
        <x:v>release state mirrors governing ledger</x:v>
      </x:c>
      <x:c r="E1111" t="str">
        <x:f>'Release Gates'!I1085</x:f>
        <x:v>OPEN</x:v>
      </x:c>
      <x:c r="F1111" t="str">
        <x:f>IF('Release Gates'!C1085="PLANNING","PASS",IF('Release Gates'!C1085="PHYSICAL","OPEN","BLOCKED"))</x:f>
        <x:v>OPEN</x:v>
      </x:c>
      <x:c r="G1111" t="str">
        <x:v>equals</x:v>
      </x:c>
      <x:c r="H1111" t="str">
        <x:f>IF(E1111=F1111,"PASS","FAIL")</x:f>
        <x:v>PASS</x:v>
      </x:c>
    </x:row>
    <x:row r="1112">
      <x:c r="B1112" t="str">
        <x:v>A-01080</x:v>
      </x:c>
      <x:c r="C1112" t="str">
        <x:v>GATE</x:v>
      </x:c>
      <x:c r="D1112" t="str">
        <x:v>release state mirrors governing ledger</x:v>
      </x:c>
      <x:c r="E1112" t="str">
        <x:f>'Release Gates'!I1086</x:f>
        <x:v>OPEN</x:v>
      </x:c>
      <x:c r="F1112" t="str">
        <x:f>IF('Release Gates'!C1086="PLANNING","PASS",IF('Release Gates'!C1086="PHYSICAL","OPEN","BLOCKED"))</x:f>
        <x:v>OPEN</x:v>
      </x:c>
      <x:c r="G1112" t="str">
        <x:v>equals</x:v>
      </x:c>
      <x:c r="H1112" t="str">
        <x:f>IF(E1112=F1112,"PASS","FAIL")</x:f>
        <x:v>PASS</x:v>
      </x:c>
    </x:row>
    <x:row r="1113">
      <x:c r="B1113" t="str">
        <x:v>A-01081</x:v>
      </x:c>
      <x:c r="C1113" t="str">
        <x:v>GATE</x:v>
      </x:c>
      <x:c r="D1113" t="str">
        <x:v>release state mirrors governing ledger</x:v>
      </x:c>
      <x:c r="E1113" t="str">
        <x:f>'Release Gates'!I1087</x:f>
        <x:v>OPEN</x:v>
      </x:c>
      <x:c r="F1113" t="str">
        <x:f>IF('Release Gates'!C1087="PLANNING","PASS",IF('Release Gates'!C1087="PHYSICAL","OPEN","BLOCKED"))</x:f>
        <x:v>OPEN</x:v>
      </x:c>
      <x:c r="G1113" t="str">
        <x:v>equals</x:v>
      </x:c>
      <x:c r="H1113" t="str">
        <x:f>IF(E1113=F1113,"PASS","FAIL")</x:f>
        <x:v>PASS</x:v>
      </x:c>
    </x:row>
    <x:row r="1114">
      <x:c r="B1114" t="str">
        <x:v>A-01082</x:v>
      </x:c>
      <x:c r="C1114" t="str">
        <x:v>GATE</x:v>
      </x:c>
      <x:c r="D1114" t="str">
        <x:v>release state mirrors governing ledger</x:v>
      </x:c>
      <x:c r="E1114" t="str">
        <x:f>'Release Gates'!I1088</x:f>
        <x:v>OPEN</x:v>
      </x:c>
      <x:c r="F1114" t="str">
        <x:f>IF('Release Gates'!C1088="PLANNING","PASS",IF('Release Gates'!C1088="PHYSICAL","OPEN","BLOCKED"))</x:f>
        <x:v>OPEN</x:v>
      </x:c>
      <x:c r="G1114" t="str">
        <x:v>equals</x:v>
      </x:c>
      <x:c r="H1114" t="str">
        <x:f>IF(E1114=F1114,"PASS","FAIL")</x:f>
        <x:v>PASS</x:v>
      </x:c>
    </x:row>
    <x:row r="1115">
      <x:c r="B1115" t="str">
        <x:v>A-01083</x:v>
      </x:c>
      <x:c r="C1115" t="str">
        <x:v>GATE</x:v>
      </x:c>
      <x:c r="D1115" t="str">
        <x:v>release state mirrors governing ledger</x:v>
      </x:c>
      <x:c r="E1115" t="str">
        <x:f>'Release Gates'!I1089</x:f>
        <x:v>OPEN</x:v>
      </x:c>
      <x:c r="F1115" t="str">
        <x:f>IF('Release Gates'!C1089="PLANNING","PASS",IF('Release Gates'!C1089="PHYSICAL","OPEN","BLOCKED"))</x:f>
        <x:v>OPEN</x:v>
      </x:c>
      <x:c r="G1115" t="str">
        <x:v>equals</x:v>
      </x:c>
      <x:c r="H1115" t="str">
        <x:f>IF(E1115=F1115,"PASS","FAIL")</x:f>
        <x:v>PASS</x:v>
      </x:c>
    </x:row>
    <x:row r="1116">
      <x:c r="B1116" t="str">
        <x:v>A-01084</x:v>
      </x:c>
      <x:c r="C1116" t="str">
        <x:v>GATE</x:v>
      </x:c>
      <x:c r="D1116" t="str">
        <x:v>release state mirrors governing ledger</x:v>
      </x:c>
      <x:c r="E1116" t="str">
        <x:f>'Release Gates'!I1090</x:f>
        <x:v>OPEN</x:v>
      </x:c>
      <x:c r="F1116" t="str">
        <x:f>IF('Release Gates'!C1090="PLANNING","PASS",IF('Release Gates'!C1090="PHYSICAL","OPEN","BLOCKED"))</x:f>
        <x:v>OPEN</x:v>
      </x:c>
      <x:c r="G1116" t="str">
        <x:v>equals</x:v>
      </x:c>
      <x:c r="H1116" t="str">
        <x:f>IF(E1116=F1116,"PASS","FAIL")</x:f>
        <x:v>PASS</x:v>
      </x:c>
    </x:row>
    <x:row r="1117">
      <x:c r="B1117" t="str">
        <x:v>A-01085</x:v>
      </x:c>
      <x:c r="C1117" t="str">
        <x:v>GATE</x:v>
      </x:c>
      <x:c r="D1117" t="str">
        <x:v>release state mirrors governing ledger</x:v>
      </x:c>
      <x:c r="E1117" t="str">
        <x:f>'Release Gates'!I1091</x:f>
        <x:v>OPEN</x:v>
      </x:c>
      <x:c r="F1117" t="str">
        <x:f>IF('Release Gates'!C1091="PLANNING","PASS",IF('Release Gates'!C1091="PHYSICAL","OPEN","BLOCKED"))</x:f>
        <x:v>OPEN</x:v>
      </x:c>
      <x:c r="G1117" t="str">
        <x:v>equals</x:v>
      </x:c>
      <x:c r="H1117" t="str">
        <x:f>IF(E1117=F1117,"PASS","FAIL")</x:f>
        <x:v>PASS</x:v>
      </x:c>
    </x:row>
    <x:row r="1118">
      <x:c r="B1118" t="str">
        <x:v>A-01086</x:v>
      </x:c>
      <x:c r="C1118" t="str">
        <x:v>GATE</x:v>
      </x:c>
      <x:c r="D1118" t="str">
        <x:v>release state mirrors governing ledger</x:v>
      </x:c>
      <x:c r="E1118" t="str">
        <x:f>'Release Gates'!I1092</x:f>
        <x:v>OPEN</x:v>
      </x:c>
      <x:c r="F1118" t="str">
        <x:f>IF('Release Gates'!C1092="PLANNING","PASS",IF('Release Gates'!C1092="PHYSICAL","OPEN","BLOCKED"))</x:f>
        <x:v>OPEN</x:v>
      </x:c>
      <x:c r="G1118" t="str">
        <x:v>equals</x:v>
      </x:c>
      <x:c r="H1118" t="str">
        <x:f>IF(E1118=F1118,"PASS","FAIL")</x:f>
        <x:v>PASS</x:v>
      </x:c>
    </x:row>
    <x:row r="1119">
      <x:c r="B1119" t="str">
        <x:v>A-01087</x:v>
      </x:c>
      <x:c r="C1119" t="str">
        <x:v>GATE</x:v>
      </x:c>
      <x:c r="D1119" t="str">
        <x:v>release state mirrors governing ledger</x:v>
      </x:c>
      <x:c r="E1119" t="str">
        <x:f>'Release Gates'!I1093</x:f>
        <x:v>OPEN</x:v>
      </x:c>
      <x:c r="F1119" t="str">
        <x:f>IF('Release Gates'!C1093="PLANNING","PASS",IF('Release Gates'!C1093="PHYSICAL","OPEN","BLOCKED"))</x:f>
        <x:v>OPEN</x:v>
      </x:c>
      <x:c r="G1119" t="str">
        <x:v>equals</x:v>
      </x:c>
      <x:c r="H1119" t="str">
        <x:f>IF(E1119=F1119,"PASS","FAIL")</x:f>
        <x:v>PASS</x:v>
      </x:c>
    </x:row>
    <x:row r="1120">
      <x:c r="B1120" t="str">
        <x:v>A-01088</x:v>
      </x:c>
      <x:c r="C1120" t="str">
        <x:v>GATE</x:v>
      </x:c>
      <x:c r="D1120" t="str">
        <x:v>release state mirrors governing ledger</x:v>
      </x:c>
      <x:c r="E1120" t="str">
        <x:f>'Release Gates'!I1094</x:f>
        <x:v>OPEN</x:v>
      </x:c>
      <x:c r="F1120" t="str">
        <x:f>IF('Release Gates'!C1094="PLANNING","PASS",IF('Release Gates'!C1094="PHYSICAL","OPEN","BLOCKED"))</x:f>
        <x:v>OPEN</x:v>
      </x:c>
      <x:c r="G1120" t="str">
        <x:v>equals</x:v>
      </x:c>
      <x:c r="H1120" t="str">
        <x:f>IF(E1120=F1120,"PASS","FAIL")</x:f>
        <x:v>PASS</x:v>
      </x:c>
    </x:row>
    <x:row r="1121">
      <x:c r="B1121" t="str">
        <x:v>A-01089</x:v>
      </x:c>
      <x:c r="C1121" t="str">
        <x:v>GATE</x:v>
      </x:c>
      <x:c r="D1121" t="str">
        <x:v>release state mirrors governing ledger</x:v>
      </x:c>
      <x:c r="E1121" t="str">
        <x:f>'Release Gates'!I1095</x:f>
        <x:v>OPEN</x:v>
      </x:c>
      <x:c r="F1121" t="str">
        <x:f>IF('Release Gates'!C1095="PLANNING","PASS",IF('Release Gates'!C1095="PHYSICAL","OPEN","BLOCKED"))</x:f>
        <x:v>OPEN</x:v>
      </x:c>
      <x:c r="G1121" t="str">
        <x:v>equals</x:v>
      </x:c>
      <x:c r="H1121" t="str">
        <x:f>IF(E1121=F1121,"PASS","FAIL")</x:f>
        <x:v>PASS</x:v>
      </x:c>
    </x:row>
    <x:row r="1122">
      <x:c r="B1122" t="str">
        <x:v>A-01090</x:v>
      </x:c>
      <x:c r="C1122" t="str">
        <x:v>GATE</x:v>
      </x:c>
      <x:c r="D1122" t="str">
        <x:v>release state mirrors governing ledger</x:v>
      </x:c>
      <x:c r="E1122" t="str">
        <x:f>'Release Gates'!I1096</x:f>
        <x:v>OPEN</x:v>
      </x:c>
      <x:c r="F1122" t="str">
        <x:f>IF('Release Gates'!C1096="PLANNING","PASS",IF('Release Gates'!C1096="PHYSICAL","OPEN","BLOCKED"))</x:f>
        <x:v>OPEN</x:v>
      </x:c>
      <x:c r="G1122" t="str">
        <x:v>equals</x:v>
      </x:c>
      <x:c r="H1122" t="str">
        <x:f>IF(E1122=F1122,"PASS","FAIL")</x:f>
        <x:v>PASS</x:v>
      </x:c>
    </x:row>
    <x:row r="1123">
      <x:c r="B1123" t="str">
        <x:v>A-01091</x:v>
      </x:c>
      <x:c r="C1123" t="str">
        <x:v>GATE</x:v>
      </x:c>
      <x:c r="D1123" t="str">
        <x:v>release state mirrors governing ledger</x:v>
      </x:c>
      <x:c r="E1123" t="str">
        <x:f>'Release Gates'!I1097</x:f>
        <x:v>OPEN</x:v>
      </x:c>
      <x:c r="F1123" t="str">
        <x:f>IF('Release Gates'!C1097="PLANNING","PASS",IF('Release Gates'!C1097="PHYSICAL","OPEN","BLOCKED"))</x:f>
        <x:v>OPEN</x:v>
      </x:c>
      <x:c r="G1123" t="str">
        <x:v>equals</x:v>
      </x:c>
      <x:c r="H1123" t="str">
        <x:f>IF(E1123=F1123,"PASS","FAIL")</x:f>
        <x:v>PASS</x:v>
      </x:c>
    </x:row>
    <x:row r="1124">
      <x:c r="B1124" t="str">
        <x:v>A-01092</x:v>
      </x:c>
      <x:c r="C1124" t="str">
        <x:v>GATE</x:v>
      </x:c>
      <x:c r="D1124" t="str">
        <x:v>release state mirrors governing ledger</x:v>
      </x:c>
      <x:c r="E1124" t="str">
        <x:f>'Release Gates'!I1098</x:f>
        <x:v>OPEN</x:v>
      </x:c>
      <x:c r="F1124" t="str">
        <x:f>IF('Release Gates'!C1098="PLANNING","PASS",IF('Release Gates'!C1098="PHYSICAL","OPEN","BLOCKED"))</x:f>
        <x:v>OPEN</x:v>
      </x:c>
      <x:c r="G1124" t="str">
        <x:v>equals</x:v>
      </x:c>
      <x:c r="H1124" t="str">
        <x:f>IF(E1124=F1124,"PASS","FAIL")</x:f>
        <x:v>PASS</x:v>
      </x:c>
    </x:row>
    <x:row r="1125">
      <x:c r="B1125" t="str">
        <x:v>A-01093</x:v>
      </x:c>
      <x:c r="C1125" t="str">
        <x:v>GATE</x:v>
      </x:c>
      <x:c r="D1125" t="str">
        <x:v>release state mirrors governing ledger</x:v>
      </x:c>
      <x:c r="E1125" t="str">
        <x:f>'Release Gates'!I1099</x:f>
        <x:v>OPEN</x:v>
      </x:c>
      <x:c r="F1125" t="str">
        <x:f>IF('Release Gates'!C1099="PLANNING","PASS",IF('Release Gates'!C1099="PHYSICAL","OPEN","BLOCKED"))</x:f>
        <x:v>OPEN</x:v>
      </x:c>
      <x:c r="G1125" t="str">
        <x:v>equals</x:v>
      </x:c>
      <x:c r="H1125" t="str">
        <x:f>IF(E1125=F1125,"PASS","FAIL")</x:f>
        <x:v>PASS</x:v>
      </x:c>
    </x:row>
    <x:row r="1126">
      <x:c r="B1126" t="str">
        <x:v>A-01094</x:v>
      </x:c>
      <x:c r="C1126" t="str">
        <x:v>GATE</x:v>
      </x:c>
      <x:c r="D1126" t="str">
        <x:v>release state mirrors governing ledger</x:v>
      </x:c>
      <x:c r="E1126" t="str">
        <x:f>'Release Gates'!I1100</x:f>
        <x:v>OPEN</x:v>
      </x:c>
      <x:c r="F1126" t="str">
        <x:f>IF('Release Gates'!C1100="PLANNING","PASS",IF('Release Gates'!C1100="PHYSICAL","OPEN","BLOCKED"))</x:f>
        <x:v>OPEN</x:v>
      </x:c>
      <x:c r="G1126" t="str">
        <x:v>equals</x:v>
      </x:c>
      <x:c r="H1126" t="str">
        <x:f>IF(E1126=F1126,"PASS","FAIL")</x:f>
        <x:v>PASS</x:v>
      </x:c>
    </x:row>
    <x:row r="1127">
      <x:c r="B1127" t="str">
        <x:v>A-01095</x:v>
      </x:c>
      <x:c r="C1127" t="str">
        <x:v>GATE</x:v>
      </x:c>
      <x:c r="D1127" t="str">
        <x:v>release state mirrors governing ledger</x:v>
      </x:c>
      <x:c r="E1127" t="str">
        <x:f>'Release Gates'!I1101</x:f>
        <x:v>OPEN</x:v>
      </x:c>
      <x:c r="F1127" t="str">
        <x:f>IF('Release Gates'!C1101="PLANNING","PASS",IF('Release Gates'!C1101="PHYSICAL","OPEN","BLOCKED"))</x:f>
        <x:v>OPEN</x:v>
      </x:c>
      <x:c r="G1127" t="str">
        <x:v>equals</x:v>
      </x:c>
      <x:c r="H1127" t="str">
        <x:f>IF(E1127=F1127,"PASS","FAIL")</x:f>
        <x:v>PASS</x:v>
      </x:c>
    </x:row>
    <x:row r="1128">
      <x:c r="B1128" t="str">
        <x:v>A-01096</x:v>
      </x:c>
      <x:c r="C1128" t="str">
        <x:v>GATE</x:v>
      </x:c>
      <x:c r="D1128" t="str">
        <x:v>release state mirrors governing ledger</x:v>
      </x:c>
      <x:c r="E1128" t="str">
        <x:f>'Release Gates'!I1102</x:f>
        <x:v>OPEN</x:v>
      </x:c>
      <x:c r="F1128" t="str">
        <x:f>IF('Release Gates'!C1102="PLANNING","PASS",IF('Release Gates'!C1102="PHYSICAL","OPEN","BLOCKED"))</x:f>
        <x:v>OPEN</x:v>
      </x:c>
      <x:c r="G1128" t="str">
        <x:v>equals</x:v>
      </x:c>
      <x:c r="H1128" t="str">
        <x:f>IF(E1128=F1128,"PASS","FAIL")</x:f>
        <x:v>PASS</x:v>
      </x:c>
    </x:row>
    <x:row r="1129">
      <x:c r="B1129" t="str">
        <x:v>A-01097</x:v>
      </x:c>
      <x:c r="C1129" t="str">
        <x:v>GATE</x:v>
      </x:c>
      <x:c r="D1129" t="str">
        <x:v>release state mirrors governing ledger</x:v>
      </x:c>
      <x:c r="E1129" t="str">
        <x:f>'Release Gates'!I1103</x:f>
        <x:v>OPEN</x:v>
      </x:c>
      <x:c r="F1129" t="str">
        <x:f>IF('Release Gates'!C1103="PLANNING","PASS",IF('Release Gates'!C1103="PHYSICAL","OPEN","BLOCKED"))</x:f>
        <x:v>OPEN</x:v>
      </x:c>
      <x:c r="G1129" t="str">
        <x:v>equals</x:v>
      </x:c>
      <x:c r="H1129" t="str">
        <x:f>IF(E1129=F1129,"PASS","FAIL")</x:f>
        <x:v>PASS</x:v>
      </x:c>
    </x:row>
    <x:row r="1130">
      <x:c r="B1130" t="str">
        <x:v>A-01098</x:v>
      </x:c>
      <x:c r="C1130" t="str">
        <x:v>GATE</x:v>
      </x:c>
      <x:c r="D1130" t="str">
        <x:v>release state mirrors governing ledger</x:v>
      </x:c>
      <x:c r="E1130" t="str">
        <x:f>'Release Gates'!I1104</x:f>
        <x:v>OPEN</x:v>
      </x:c>
      <x:c r="F1130" t="str">
        <x:f>IF('Release Gates'!C1104="PLANNING","PASS",IF('Release Gates'!C1104="PHYSICAL","OPEN","BLOCKED"))</x:f>
        <x:v>OPEN</x:v>
      </x:c>
      <x:c r="G1130" t="str">
        <x:v>equals</x:v>
      </x:c>
      <x:c r="H1130" t="str">
        <x:f>IF(E1130=F1130,"PASS","FAIL")</x:f>
        <x:v>PASS</x:v>
      </x:c>
    </x:row>
    <x:row r="1131">
      <x:c r="B1131" t="str">
        <x:v>A-01099</x:v>
      </x:c>
      <x:c r="C1131" t="str">
        <x:v>GATE</x:v>
      </x:c>
      <x:c r="D1131" t="str">
        <x:v>release state mirrors governing ledger</x:v>
      </x:c>
      <x:c r="E1131" t="str">
        <x:f>'Release Gates'!I1105</x:f>
        <x:v>OPEN</x:v>
      </x:c>
      <x:c r="F1131" t="str">
        <x:f>IF('Release Gates'!C1105="PLANNING","PASS",IF('Release Gates'!C1105="PHYSICAL","OPEN","BLOCKED"))</x:f>
        <x:v>OPEN</x:v>
      </x:c>
      <x:c r="G1131" t="str">
        <x:v>equals</x:v>
      </x:c>
      <x:c r="H1131" t="str">
        <x:f>IF(E1131=F1131,"PASS","FAIL")</x:f>
        <x:v>PASS</x:v>
      </x:c>
    </x:row>
    <x:row r="1132">
      <x:c r="B1132" t="str">
        <x:v>A-01100</x:v>
      </x:c>
      <x:c r="C1132" t="str">
        <x:v>GATE</x:v>
      </x:c>
      <x:c r="D1132" t="str">
        <x:v>release state mirrors governing ledger</x:v>
      </x:c>
      <x:c r="E1132" t="str">
        <x:f>'Release Gates'!I1106</x:f>
        <x:v>OPEN</x:v>
      </x:c>
      <x:c r="F1132" t="str">
        <x:f>IF('Release Gates'!C1106="PLANNING","PASS",IF('Release Gates'!C1106="PHYSICAL","OPEN","BLOCKED"))</x:f>
        <x:v>OPEN</x:v>
      </x:c>
      <x:c r="G1132" t="str">
        <x:v>equals</x:v>
      </x:c>
      <x:c r="H1132" t="str">
        <x:f>IF(E1132=F1132,"PASS","FAIL")</x:f>
        <x:v>PASS</x:v>
      </x:c>
    </x:row>
    <x:row r="1133">
      <x:c r="B1133" t="str">
        <x:v>A-01101</x:v>
      </x:c>
      <x:c r="C1133" t="str">
        <x:v>GATE</x:v>
      </x:c>
      <x:c r="D1133" t="str">
        <x:v>release state mirrors governing ledger</x:v>
      </x:c>
      <x:c r="E1133" t="str">
        <x:f>'Release Gates'!I1107</x:f>
        <x:v>OPEN</x:v>
      </x:c>
      <x:c r="F1133" t="str">
        <x:f>IF('Release Gates'!C1107="PLANNING","PASS",IF('Release Gates'!C1107="PHYSICAL","OPEN","BLOCKED"))</x:f>
        <x:v>OPEN</x:v>
      </x:c>
      <x:c r="G1133" t="str">
        <x:v>equals</x:v>
      </x:c>
      <x:c r="H1133" t="str">
        <x:f>IF(E1133=F1133,"PASS","FAIL")</x:f>
        <x:v>PASS</x:v>
      </x:c>
    </x:row>
    <x:row r="1134">
      <x:c r="B1134" t="str">
        <x:v>A-01102</x:v>
      </x:c>
      <x:c r="C1134" t="str">
        <x:v>GATE</x:v>
      </x:c>
      <x:c r="D1134" t="str">
        <x:v>release state mirrors governing ledger</x:v>
      </x:c>
      <x:c r="E1134" t="str">
        <x:f>'Release Gates'!I1108</x:f>
        <x:v>OPEN</x:v>
      </x:c>
      <x:c r="F1134" t="str">
        <x:f>IF('Release Gates'!C1108="PLANNING","PASS",IF('Release Gates'!C1108="PHYSICAL","OPEN","BLOCKED"))</x:f>
        <x:v>OPEN</x:v>
      </x:c>
      <x:c r="G1134" t="str">
        <x:v>equals</x:v>
      </x:c>
      <x:c r="H1134" t="str">
        <x:f>IF(E1134=F1134,"PASS","FAIL")</x:f>
        <x:v>PASS</x:v>
      </x:c>
    </x:row>
    <x:row r="1135">
      <x:c r="B1135" t="str">
        <x:v>A-01103</x:v>
      </x:c>
      <x:c r="C1135" t="str">
        <x:v>GATE</x:v>
      </x:c>
      <x:c r="D1135" t="str">
        <x:v>release state mirrors governing ledger</x:v>
      </x:c>
      <x:c r="E1135" t="str">
        <x:f>'Release Gates'!I1109</x:f>
        <x:v>OPEN</x:v>
      </x:c>
      <x:c r="F1135" t="str">
        <x:f>IF('Release Gates'!C1109="PLANNING","PASS",IF('Release Gates'!C1109="PHYSICAL","OPEN","BLOCKED"))</x:f>
        <x:v>OPEN</x:v>
      </x:c>
      <x:c r="G1135" t="str">
        <x:v>equals</x:v>
      </x:c>
      <x:c r="H1135" t="str">
        <x:f>IF(E1135=F1135,"PASS","FAIL")</x:f>
        <x:v>PASS</x:v>
      </x:c>
    </x:row>
    <x:row r="1136">
      <x:c r="B1136" t="str">
        <x:v>A-01104</x:v>
      </x:c>
      <x:c r="C1136" t="str">
        <x:v>GATE</x:v>
      </x:c>
      <x:c r="D1136" t="str">
        <x:v>release state mirrors governing ledger</x:v>
      </x:c>
      <x:c r="E1136" t="str">
        <x:f>'Release Gates'!I1110</x:f>
        <x:v>OPEN</x:v>
      </x:c>
      <x:c r="F1136" t="str">
        <x:f>IF('Release Gates'!C1110="PLANNING","PASS",IF('Release Gates'!C1110="PHYSICAL","OPEN","BLOCKED"))</x:f>
        <x:v>OPEN</x:v>
      </x:c>
      <x:c r="G1136" t="str">
        <x:v>equals</x:v>
      </x:c>
      <x:c r="H1136" t="str">
        <x:f>IF(E1136=F1136,"PASS","FAIL")</x:f>
        <x:v>PASS</x:v>
      </x:c>
    </x:row>
    <x:row r="1137">
      <x:c r="B1137" t="str">
        <x:v>A-01105</x:v>
      </x:c>
      <x:c r="C1137" t="str">
        <x:v>GATE</x:v>
      </x:c>
      <x:c r="D1137" t="str">
        <x:v>release state mirrors governing ledger</x:v>
      </x:c>
      <x:c r="E1137" t="str">
        <x:f>'Release Gates'!I1111</x:f>
        <x:v>OPEN</x:v>
      </x:c>
      <x:c r="F1137" t="str">
        <x:f>IF('Release Gates'!C1111="PLANNING","PASS",IF('Release Gates'!C1111="PHYSICAL","OPEN","BLOCKED"))</x:f>
        <x:v>OPEN</x:v>
      </x:c>
      <x:c r="G1137" t="str">
        <x:v>equals</x:v>
      </x:c>
      <x:c r="H1137" t="str">
        <x:f>IF(E1137=F1137,"PASS","FAIL")</x:f>
        <x:v>PASS</x:v>
      </x:c>
    </x:row>
    <x:row r="1138">
      <x:c r="B1138" t="str">
        <x:v>A-01106</x:v>
      </x:c>
      <x:c r="C1138" t="str">
        <x:v>GATE</x:v>
      </x:c>
      <x:c r="D1138" t="str">
        <x:v>release state mirrors governing ledger</x:v>
      </x:c>
      <x:c r="E1138" t="str">
        <x:f>'Release Gates'!I1112</x:f>
        <x:v>OPEN</x:v>
      </x:c>
      <x:c r="F1138" t="str">
        <x:f>IF('Release Gates'!C1112="PLANNING","PASS",IF('Release Gates'!C1112="PHYSICAL","OPEN","BLOCKED"))</x:f>
        <x:v>OPEN</x:v>
      </x:c>
      <x:c r="G1138" t="str">
        <x:v>equals</x:v>
      </x:c>
      <x:c r="H1138" t="str">
        <x:f>IF(E1138=F1138,"PASS","FAIL")</x:f>
        <x:v>PASS</x:v>
      </x:c>
    </x:row>
    <x:row r="1139">
      <x:c r="B1139" t="str">
        <x:v>A-01107</x:v>
      </x:c>
      <x:c r="C1139" t="str">
        <x:v>GATE</x:v>
      </x:c>
      <x:c r="D1139" t="str">
        <x:v>release state mirrors governing ledger</x:v>
      </x:c>
      <x:c r="E1139" t="str">
        <x:f>'Release Gates'!I1113</x:f>
        <x:v>OPEN</x:v>
      </x:c>
      <x:c r="F1139" t="str">
        <x:f>IF('Release Gates'!C1113="PLANNING","PASS",IF('Release Gates'!C1113="PHYSICAL","OPEN","BLOCKED"))</x:f>
        <x:v>OPEN</x:v>
      </x:c>
      <x:c r="G1139" t="str">
        <x:v>equals</x:v>
      </x:c>
      <x:c r="H1139" t="str">
        <x:f>IF(E1139=F1139,"PASS","FAIL")</x:f>
        <x:v>PASS</x:v>
      </x:c>
    </x:row>
    <x:row r="1140">
      <x:c r="B1140" t="str">
        <x:v>A-01108</x:v>
      </x:c>
      <x:c r="C1140" t="str">
        <x:v>GATE</x:v>
      </x:c>
      <x:c r="D1140" t="str">
        <x:v>release state mirrors governing ledger</x:v>
      </x:c>
      <x:c r="E1140" t="str">
        <x:f>'Release Gates'!I1114</x:f>
        <x:v>OPEN</x:v>
      </x:c>
      <x:c r="F1140" t="str">
        <x:f>IF('Release Gates'!C1114="PLANNING","PASS",IF('Release Gates'!C1114="PHYSICAL","OPEN","BLOCKED"))</x:f>
        <x:v>OPEN</x:v>
      </x:c>
      <x:c r="G1140" t="str">
        <x:v>equals</x:v>
      </x:c>
      <x:c r="H1140" t="str">
        <x:f>IF(E1140=F1140,"PASS","FAIL")</x:f>
        <x:v>PASS</x:v>
      </x:c>
    </x:row>
    <x:row r="1141">
      <x:c r="B1141" t="str">
        <x:v>A-01109</x:v>
      </x:c>
      <x:c r="C1141" t="str">
        <x:v>GATE</x:v>
      </x:c>
      <x:c r="D1141" t="str">
        <x:v>release state mirrors governing ledger</x:v>
      </x:c>
      <x:c r="E1141" t="str">
        <x:f>'Release Gates'!I1115</x:f>
        <x:v>OPEN</x:v>
      </x:c>
      <x:c r="F1141" t="str">
        <x:f>IF('Release Gates'!C1115="PLANNING","PASS",IF('Release Gates'!C1115="PHYSICAL","OPEN","BLOCKED"))</x:f>
        <x:v>OPEN</x:v>
      </x:c>
      <x:c r="G1141" t="str">
        <x:v>equals</x:v>
      </x:c>
      <x:c r="H1141" t="str">
        <x:f>IF(E1141=F1141,"PASS","FAIL")</x:f>
        <x:v>PASS</x:v>
      </x:c>
    </x:row>
    <x:row r="1142">
      <x:c r="B1142" t="str">
        <x:v>A-01110</x:v>
      </x:c>
      <x:c r="C1142" t="str">
        <x:v>GATE</x:v>
      </x:c>
      <x:c r="D1142" t="str">
        <x:v>release state mirrors governing ledger</x:v>
      </x:c>
      <x:c r="E1142" t="str">
        <x:f>'Release Gates'!I1116</x:f>
        <x:v>OPEN</x:v>
      </x:c>
      <x:c r="F1142" t="str">
        <x:f>IF('Release Gates'!C1116="PLANNING","PASS",IF('Release Gates'!C1116="PHYSICAL","OPEN","BLOCKED"))</x:f>
        <x:v>OPEN</x:v>
      </x:c>
      <x:c r="G1142" t="str">
        <x:v>equals</x:v>
      </x:c>
      <x:c r="H1142" t="str">
        <x:f>IF(E1142=F1142,"PASS","FAIL")</x:f>
        <x:v>PASS</x:v>
      </x:c>
    </x:row>
    <x:row r="1143">
      <x:c r="B1143" t="str">
        <x:v>A-01111</x:v>
      </x:c>
      <x:c r="C1143" t="str">
        <x:v>GATE</x:v>
      </x:c>
      <x:c r="D1143" t="str">
        <x:v>release state mirrors governing ledger</x:v>
      </x:c>
      <x:c r="E1143" t="str">
        <x:f>'Release Gates'!I1117</x:f>
        <x:v>OPEN</x:v>
      </x:c>
      <x:c r="F1143" t="str">
        <x:f>IF('Release Gates'!C1117="PLANNING","PASS",IF('Release Gates'!C1117="PHYSICAL","OPEN","BLOCKED"))</x:f>
        <x:v>OPEN</x:v>
      </x:c>
      <x:c r="G1143" t="str">
        <x:v>equals</x:v>
      </x:c>
      <x:c r="H1143" t="str">
        <x:f>IF(E1143=F1143,"PASS","FAIL")</x:f>
        <x:v>PASS</x:v>
      </x:c>
    </x:row>
    <x:row r="1144">
      <x:c r="B1144" t="str">
        <x:v>A-01112</x:v>
      </x:c>
      <x:c r="C1144" t="str">
        <x:v>GATE</x:v>
      </x:c>
      <x:c r="D1144" t="str">
        <x:v>release state mirrors governing ledger</x:v>
      </x:c>
      <x:c r="E1144" t="str">
        <x:f>'Release Gates'!I1118</x:f>
        <x:v>OPEN</x:v>
      </x:c>
      <x:c r="F1144" t="str">
        <x:f>IF('Release Gates'!C1118="PLANNING","PASS",IF('Release Gates'!C1118="PHYSICAL","OPEN","BLOCKED"))</x:f>
        <x:v>OPEN</x:v>
      </x:c>
      <x:c r="G1144" t="str">
        <x:v>equals</x:v>
      </x:c>
      <x:c r="H1144" t="str">
        <x:f>IF(E1144=F1144,"PASS","FAIL")</x:f>
        <x:v>PASS</x:v>
      </x:c>
    </x:row>
    <x:row r="1145">
      <x:c r="B1145" t="str">
        <x:v>A-01113</x:v>
      </x:c>
      <x:c r="C1145" t="str">
        <x:v>GATE</x:v>
      </x:c>
      <x:c r="D1145" t="str">
        <x:v>release state mirrors governing ledger</x:v>
      </x:c>
      <x:c r="E1145" t="str">
        <x:f>'Release Gates'!I1119</x:f>
        <x:v>OPEN</x:v>
      </x:c>
      <x:c r="F1145" t="str">
        <x:f>IF('Release Gates'!C1119="PLANNING","PASS",IF('Release Gates'!C1119="PHYSICAL","OPEN","BLOCKED"))</x:f>
        <x:v>OPEN</x:v>
      </x:c>
      <x:c r="G1145" t="str">
        <x:v>equals</x:v>
      </x:c>
      <x:c r="H1145" t="str">
        <x:f>IF(E1145=F1145,"PASS","FAIL")</x:f>
        <x:v>PASS</x:v>
      </x:c>
    </x:row>
    <x:row r="1146">
      <x:c r="B1146" t="str">
        <x:v>A-01114</x:v>
      </x:c>
      <x:c r="C1146" t="str">
        <x:v>GATE</x:v>
      </x:c>
      <x:c r="D1146" t="str">
        <x:v>release state mirrors governing ledger</x:v>
      </x:c>
      <x:c r="E1146" t="str">
        <x:f>'Release Gates'!I1120</x:f>
        <x:v>OPEN</x:v>
      </x:c>
      <x:c r="F1146" t="str">
        <x:f>IF('Release Gates'!C1120="PLANNING","PASS",IF('Release Gates'!C1120="PHYSICAL","OPEN","BLOCKED"))</x:f>
        <x:v>OPEN</x:v>
      </x:c>
      <x:c r="G1146" t="str">
        <x:v>equals</x:v>
      </x:c>
      <x:c r="H1146" t="str">
        <x:f>IF(E1146=F1146,"PASS","FAIL")</x:f>
        <x:v>PASS</x:v>
      </x:c>
    </x:row>
    <x:row r="1147">
      <x:c r="B1147" t="str">
        <x:v>A-01115</x:v>
      </x:c>
      <x:c r="C1147" t="str">
        <x:v>GATE</x:v>
      </x:c>
      <x:c r="D1147" t="str">
        <x:v>release state mirrors governing ledger</x:v>
      </x:c>
      <x:c r="E1147" t="str">
        <x:f>'Release Gates'!I1121</x:f>
        <x:v>OPEN</x:v>
      </x:c>
      <x:c r="F1147" t="str">
        <x:f>IF('Release Gates'!C1121="PLANNING","PASS",IF('Release Gates'!C1121="PHYSICAL","OPEN","BLOCKED"))</x:f>
        <x:v>OPEN</x:v>
      </x:c>
      <x:c r="G1147" t="str">
        <x:v>equals</x:v>
      </x:c>
      <x:c r="H1147" t="str">
        <x:f>IF(E1147=F1147,"PASS","FAIL")</x:f>
        <x:v>PASS</x:v>
      </x:c>
    </x:row>
    <x:row r="1148">
      <x:c r="B1148" t="str">
        <x:v>A-01116</x:v>
      </x:c>
      <x:c r="C1148" t="str">
        <x:v>GATE</x:v>
      </x:c>
      <x:c r="D1148" t="str">
        <x:v>release state mirrors governing ledger</x:v>
      </x:c>
      <x:c r="E1148" t="str">
        <x:f>'Release Gates'!I1122</x:f>
        <x:v>OPEN</x:v>
      </x:c>
      <x:c r="F1148" t="str">
        <x:f>IF('Release Gates'!C1122="PLANNING","PASS",IF('Release Gates'!C1122="PHYSICAL","OPEN","BLOCKED"))</x:f>
        <x:v>OPEN</x:v>
      </x:c>
      <x:c r="G1148" t="str">
        <x:v>equals</x:v>
      </x:c>
      <x:c r="H1148" t="str">
        <x:f>IF(E1148=F1148,"PASS","FAIL")</x:f>
        <x:v>PASS</x:v>
      </x:c>
    </x:row>
    <x:row r="1149">
      <x:c r="B1149" t="str">
        <x:v>A-01117</x:v>
      </x:c>
      <x:c r="C1149" t="str">
        <x:v>GATE</x:v>
      </x:c>
      <x:c r="D1149" t="str">
        <x:v>release state mirrors governing ledger</x:v>
      </x:c>
      <x:c r="E1149" t="str">
        <x:f>'Release Gates'!I1123</x:f>
        <x:v>OPEN</x:v>
      </x:c>
      <x:c r="F1149" t="str">
        <x:f>IF('Release Gates'!C1123="PLANNING","PASS",IF('Release Gates'!C1123="PHYSICAL","OPEN","BLOCKED"))</x:f>
        <x:v>OPEN</x:v>
      </x:c>
      <x:c r="G1149" t="str">
        <x:v>equals</x:v>
      </x:c>
      <x:c r="H1149" t="str">
        <x:f>IF(E1149=F1149,"PASS","FAIL")</x:f>
        <x:v>PASS</x:v>
      </x:c>
    </x:row>
    <x:row r="1150">
      <x:c r="B1150" t="str">
        <x:v>A-01118</x:v>
      </x:c>
      <x:c r="C1150" t="str">
        <x:v>GATE</x:v>
      </x:c>
      <x:c r="D1150" t="str">
        <x:v>release state mirrors governing ledger</x:v>
      </x:c>
      <x:c r="E1150" t="str">
        <x:f>'Release Gates'!I1124</x:f>
        <x:v>OPEN</x:v>
      </x:c>
      <x:c r="F1150" t="str">
        <x:f>IF('Release Gates'!C1124="PLANNING","PASS",IF('Release Gates'!C1124="PHYSICAL","OPEN","BLOCKED"))</x:f>
        <x:v>OPEN</x:v>
      </x:c>
      <x:c r="G1150" t="str">
        <x:v>equals</x:v>
      </x:c>
      <x:c r="H1150" t="str">
        <x:f>IF(E1150=F1150,"PASS","FAIL")</x:f>
        <x:v>PASS</x:v>
      </x:c>
    </x:row>
    <x:row r="1151">
      <x:c r="B1151" t="str">
        <x:v>A-01119</x:v>
      </x:c>
      <x:c r="C1151" t="str">
        <x:v>GATE</x:v>
      </x:c>
      <x:c r="D1151" t="str">
        <x:v>release state mirrors governing ledger</x:v>
      </x:c>
      <x:c r="E1151" t="str">
        <x:f>'Release Gates'!I1125</x:f>
        <x:v>OPEN</x:v>
      </x:c>
      <x:c r="F1151" t="str">
        <x:f>IF('Release Gates'!C1125="PLANNING","PASS",IF('Release Gates'!C1125="PHYSICAL","OPEN","BLOCKED"))</x:f>
        <x:v>OPEN</x:v>
      </x:c>
      <x:c r="G1151" t="str">
        <x:v>equals</x:v>
      </x:c>
      <x:c r="H1151" t="str">
        <x:f>IF(E1151=F1151,"PASS","FAIL")</x:f>
        <x:v>PASS</x:v>
      </x:c>
    </x:row>
    <x:row r="1152">
      <x:c r="B1152" t="str">
        <x:v>A-01120</x:v>
      </x:c>
      <x:c r="C1152" t="str">
        <x:v>GATE</x:v>
      </x:c>
      <x:c r="D1152" t="str">
        <x:v>release state mirrors governing ledger</x:v>
      </x:c>
      <x:c r="E1152" t="str">
        <x:f>'Release Gates'!I1126</x:f>
        <x:v>OPEN</x:v>
      </x:c>
      <x:c r="F1152" t="str">
        <x:f>IF('Release Gates'!C1126="PLANNING","PASS",IF('Release Gates'!C1126="PHYSICAL","OPEN","BLOCKED"))</x:f>
        <x:v>OPEN</x:v>
      </x:c>
      <x:c r="G1152" t="str">
        <x:v>equals</x:v>
      </x:c>
      <x:c r="H1152" t="str">
        <x:f>IF(E1152=F1152,"PASS","FAIL")</x:f>
        <x:v>PASS</x:v>
      </x:c>
    </x:row>
    <x:row r="1153">
      <x:c r="B1153" t="str">
        <x:v>A-01121</x:v>
      </x:c>
      <x:c r="C1153" t="str">
        <x:v>GATE</x:v>
      </x:c>
      <x:c r="D1153" t="str">
        <x:v>release state mirrors governing ledger</x:v>
      </x:c>
      <x:c r="E1153" t="str">
        <x:f>'Release Gates'!I1127</x:f>
        <x:v>OPEN</x:v>
      </x:c>
      <x:c r="F1153" t="str">
        <x:f>IF('Release Gates'!C1127="PLANNING","PASS",IF('Release Gates'!C1127="PHYSICAL","OPEN","BLOCKED"))</x:f>
        <x:v>OPEN</x:v>
      </x:c>
      <x:c r="G1153" t="str">
        <x:v>equals</x:v>
      </x:c>
      <x:c r="H1153" t="str">
        <x:f>IF(E1153=F1153,"PASS","FAIL")</x:f>
        <x:v>PASS</x:v>
      </x:c>
    </x:row>
    <x:row r="1154">
      <x:c r="B1154" t="str">
        <x:v>A-01122</x:v>
      </x:c>
      <x:c r="C1154" t="str">
        <x:v>GATE</x:v>
      </x:c>
      <x:c r="D1154" t="str">
        <x:v>release state mirrors governing ledger</x:v>
      </x:c>
      <x:c r="E1154" t="str">
        <x:f>'Release Gates'!I1128</x:f>
        <x:v>OPEN</x:v>
      </x:c>
      <x:c r="F1154" t="str">
        <x:f>IF('Release Gates'!C1128="PLANNING","PASS",IF('Release Gates'!C1128="PHYSICAL","OPEN","BLOCKED"))</x:f>
        <x:v>OPEN</x:v>
      </x:c>
      <x:c r="G1154" t="str">
        <x:v>equals</x:v>
      </x:c>
      <x:c r="H1154" t="str">
        <x:f>IF(E1154=F1154,"PASS","FAIL")</x:f>
        <x:v>PASS</x:v>
      </x:c>
    </x:row>
    <x:row r="1155">
      <x:c r="B1155" t="str">
        <x:v>A-01123</x:v>
      </x:c>
      <x:c r="C1155" t="str">
        <x:v>GATE</x:v>
      </x:c>
      <x:c r="D1155" t="str">
        <x:v>release state mirrors governing ledger</x:v>
      </x:c>
      <x:c r="E1155" t="str">
        <x:f>'Release Gates'!I1129</x:f>
        <x:v>OPEN</x:v>
      </x:c>
      <x:c r="F1155" t="str">
        <x:f>IF('Release Gates'!C1129="PLANNING","PASS",IF('Release Gates'!C1129="PHYSICAL","OPEN","BLOCKED"))</x:f>
        <x:v>OPEN</x:v>
      </x:c>
      <x:c r="G1155" t="str">
        <x:v>equals</x:v>
      </x:c>
      <x:c r="H1155" t="str">
        <x:f>IF(E1155=F1155,"PASS","FAIL")</x:f>
        <x:v>PASS</x:v>
      </x:c>
    </x:row>
    <x:row r="1156">
      <x:c r="B1156" t="str">
        <x:v>A-01124</x:v>
      </x:c>
      <x:c r="C1156" t="str">
        <x:v>GATE</x:v>
      </x:c>
      <x:c r="D1156" t="str">
        <x:v>release state mirrors governing ledger</x:v>
      </x:c>
      <x:c r="E1156" t="str">
        <x:f>'Release Gates'!I1130</x:f>
        <x:v>OPEN</x:v>
      </x:c>
      <x:c r="F1156" t="str">
        <x:f>IF('Release Gates'!C1130="PLANNING","PASS",IF('Release Gates'!C1130="PHYSICAL","OPEN","BLOCKED"))</x:f>
        <x:v>OPEN</x:v>
      </x:c>
      <x:c r="G1156" t="str">
        <x:v>equals</x:v>
      </x:c>
      <x:c r="H1156" t="str">
        <x:f>IF(E1156=F1156,"PASS","FAIL")</x:f>
        <x:v>PASS</x:v>
      </x:c>
    </x:row>
    <x:row r="1157">
      <x:c r="B1157" t="str">
        <x:v>A-01125</x:v>
      </x:c>
      <x:c r="C1157" t="str">
        <x:v>GATE</x:v>
      </x:c>
      <x:c r="D1157" t="str">
        <x:v>release state mirrors governing ledger</x:v>
      </x:c>
      <x:c r="E1157" t="str">
        <x:f>'Release Gates'!I1131</x:f>
        <x:v>OPEN</x:v>
      </x:c>
      <x:c r="F1157" t="str">
        <x:f>IF('Release Gates'!C1131="PLANNING","PASS",IF('Release Gates'!C1131="PHYSICAL","OPEN","BLOCKED"))</x:f>
        <x:v>OPEN</x:v>
      </x:c>
      <x:c r="G1157" t="str">
        <x:v>equals</x:v>
      </x:c>
      <x:c r="H1157" t="str">
        <x:f>IF(E1157=F1157,"PASS","FAIL")</x:f>
        <x:v>PASS</x:v>
      </x:c>
    </x:row>
    <x:row r="1158">
      <x:c r="B1158" t="str">
        <x:v>A-01126</x:v>
      </x:c>
      <x:c r="C1158" t="str">
        <x:v>GATE</x:v>
      </x:c>
      <x:c r="D1158" t="str">
        <x:v>release state mirrors governing ledger</x:v>
      </x:c>
      <x:c r="E1158" t="str">
        <x:f>'Release Gates'!I1132</x:f>
        <x:v>OPEN</x:v>
      </x:c>
      <x:c r="F1158" t="str">
        <x:f>IF('Release Gates'!C1132="PLANNING","PASS",IF('Release Gates'!C1132="PHYSICAL","OPEN","BLOCKED"))</x:f>
        <x:v>OPEN</x:v>
      </x:c>
      <x:c r="G1158" t="str">
        <x:v>equals</x:v>
      </x:c>
      <x:c r="H1158" t="str">
        <x:f>IF(E1158=F1158,"PASS","FAIL")</x:f>
        <x:v>PASS</x:v>
      </x:c>
    </x:row>
    <x:row r="1159">
      <x:c r="B1159" t="str">
        <x:v>A-01127</x:v>
      </x:c>
      <x:c r="C1159" t="str">
        <x:v>GATE</x:v>
      </x:c>
      <x:c r="D1159" t="str">
        <x:v>release state mirrors governing ledger</x:v>
      </x:c>
      <x:c r="E1159" t="str">
        <x:f>'Release Gates'!I1133</x:f>
        <x:v>OPEN</x:v>
      </x:c>
      <x:c r="F1159" t="str">
        <x:f>IF('Release Gates'!C1133="PLANNING","PASS",IF('Release Gates'!C1133="PHYSICAL","OPEN","BLOCKED"))</x:f>
        <x:v>OPEN</x:v>
      </x:c>
      <x:c r="G1159" t="str">
        <x:v>equals</x:v>
      </x:c>
      <x:c r="H1159" t="str">
        <x:f>IF(E1159=F1159,"PASS","FAIL")</x:f>
        <x:v>PASS</x:v>
      </x:c>
    </x:row>
    <x:row r="1160">
      <x:c r="B1160" t="str">
        <x:v>A-01128</x:v>
      </x:c>
      <x:c r="C1160" t="str">
        <x:v>GATE</x:v>
      </x:c>
      <x:c r="D1160" t="str">
        <x:v>release state mirrors governing ledger</x:v>
      </x:c>
      <x:c r="E1160" t="str">
        <x:f>'Release Gates'!I1134</x:f>
        <x:v>OPEN</x:v>
      </x:c>
      <x:c r="F1160" t="str">
        <x:f>IF('Release Gates'!C1134="PLANNING","PASS",IF('Release Gates'!C1134="PHYSICAL","OPEN","BLOCKED"))</x:f>
        <x:v>OPEN</x:v>
      </x:c>
      <x:c r="G1160" t="str">
        <x:v>equals</x:v>
      </x:c>
      <x:c r="H1160" t="str">
        <x:f>IF(E1160=F1160,"PASS","FAIL")</x:f>
        <x:v>PASS</x:v>
      </x:c>
    </x:row>
    <x:row r="1161">
      <x:c r="B1161" t="str">
        <x:v>A-01129</x:v>
      </x:c>
      <x:c r="C1161" t="str">
        <x:v>GATE</x:v>
      </x:c>
      <x:c r="D1161" t="str">
        <x:v>release state mirrors governing ledger</x:v>
      </x:c>
      <x:c r="E1161" t="str">
        <x:f>'Release Gates'!I1135</x:f>
        <x:v>OPEN</x:v>
      </x:c>
      <x:c r="F1161" t="str">
        <x:f>IF('Release Gates'!C1135="PLANNING","PASS",IF('Release Gates'!C1135="PHYSICAL","OPEN","BLOCKED"))</x:f>
        <x:v>OPEN</x:v>
      </x:c>
      <x:c r="G1161" t="str">
        <x:v>equals</x:v>
      </x:c>
      <x:c r="H1161" t="str">
        <x:f>IF(E1161=F1161,"PASS","FAIL")</x:f>
        <x:v>PASS</x:v>
      </x:c>
    </x:row>
    <x:row r="1162">
      <x:c r="B1162" t="str">
        <x:v>A-01130</x:v>
      </x:c>
      <x:c r="C1162" t="str">
        <x:v>GATE</x:v>
      </x:c>
      <x:c r="D1162" t="str">
        <x:v>release state mirrors governing ledger</x:v>
      </x:c>
      <x:c r="E1162" t="str">
        <x:f>'Release Gates'!I1136</x:f>
        <x:v>OPEN</x:v>
      </x:c>
      <x:c r="F1162" t="str">
        <x:f>IF('Release Gates'!C1136="PLANNING","PASS",IF('Release Gates'!C1136="PHYSICAL","OPEN","BLOCKED"))</x:f>
        <x:v>OPEN</x:v>
      </x:c>
      <x:c r="G1162" t="str">
        <x:v>equals</x:v>
      </x:c>
      <x:c r="H1162" t="str">
        <x:f>IF(E1162=F1162,"PASS","FAIL")</x:f>
        <x:v>PASS</x:v>
      </x:c>
    </x:row>
    <x:row r="1163">
      <x:c r="B1163" t="str">
        <x:v>A-01131</x:v>
      </x:c>
      <x:c r="C1163" t="str">
        <x:v>GATE</x:v>
      </x:c>
      <x:c r="D1163" t="str">
        <x:v>release state mirrors governing ledger</x:v>
      </x:c>
      <x:c r="E1163" t="str">
        <x:f>'Release Gates'!I1137</x:f>
        <x:v>OPEN</x:v>
      </x:c>
      <x:c r="F1163" t="str">
        <x:f>IF('Release Gates'!C1137="PLANNING","PASS",IF('Release Gates'!C1137="PHYSICAL","OPEN","BLOCKED"))</x:f>
        <x:v>OPEN</x:v>
      </x:c>
      <x:c r="G1163" t="str">
        <x:v>equals</x:v>
      </x:c>
      <x:c r="H1163" t="str">
        <x:f>IF(E1163=F1163,"PASS","FAIL")</x:f>
        <x:v>PASS</x:v>
      </x:c>
    </x:row>
    <x:row r="1164">
      <x:c r="B1164" t="str">
        <x:v>A-01132</x:v>
      </x:c>
      <x:c r="C1164" t="str">
        <x:v>GATE</x:v>
      </x:c>
      <x:c r="D1164" t="str">
        <x:v>release state mirrors governing ledger</x:v>
      </x:c>
      <x:c r="E1164" t="str">
        <x:f>'Release Gates'!I1138</x:f>
        <x:v>OPEN</x:v>
      </x:c>
      <x:c r="F1164" t="str">
        <x:f>IF('Release Gates'!C1138="PLANNING","PASS",IF('Release Gates'!C1138="PHYSICAL","OPEN","BLOCKED"))</x:f>
        <x:v>OPEN</x:v>
      </x:c>
      <x:c r="G1164" t="str">
        <x:v>equals</x:v>
      </x:c>
      <x:c r="H1164" t="str">
        <x:f>IF(E1164=F1164,"PASS","FAIL")</x:f>
        <x:v>PASS</x:v>
      </x:c>
    </x:row>
    <x:row r="1165">
      <x:c r="B1165" t="str">
        <x:v>A-01133</x:v>
      </x:c>
      <x:c r="C1165" t="str">
        <x:v>GATE</x:v>
      </x:c>
      <x:c r="D1165" t="str">
        <x:v>release state mirrors governing ledger</x:v>
      </x:c>
      <x:c r="E1165" t="str">
        <x:f>'Release Gates'!I1139</x:f>
        <x:v>OPEN</x:v>
      </x:c>
      <x:c r="F1165" t="str">
        <x:f>IF('Release Gates'!C1139="PLANNING","PASS",IF('Release Gates'!C1139="PHYSICAL","OPEN","BLOCKED"))</x:f>
        <x:v>OPEN</x:v>
      </x:c>
      <x:c r="G1165" t="str">
        <x:v>equals</x:v>
      </x:c>
      <x:c r="H1165" t="str">
        <x:f>IF(E1165=F1165,"PASS","FAIL")</x:f>
        <x:v>PASS</x:v>
      </x:c>
    </x:row>
    <x:row r="1166">
      <x:c r="B1166" t="str">
        <x:v>A-01134</x:v>
      </x:c>
      <x:c r="C1166" t="str">
        <x:v>GATE</x:v>
      </x:c>
      <x:c r="D1166" t="str">
        <x:v>release state mirrors governing ledger</x:v>
      </x:c>
      <x:c r="E1166" t="str">
        <x:f>'Release Gates'!I1140</x:f>
        <x:v>OPEN</x:v>
      </x:c>
      <x:c r="F1166" t="str">
        <x:f>IF('Release Gates'!C1140="PLANNING","PASS",IF('Release Gates'!C1140="PHYSICAL","OPEN","BLOCKED"))</x:f>
        <x:v>OPEN</x:v>
      </x:c>
      <x:c r="G1166" t="str">
        <x:v>equals</x:v>
      </x:c>
      <x:c r="H1166" t="str">
        <x:f>IF(E1166=F1166,"PASS","FAIL")</x:f>
        <x:v>PASS</x:v>
      </x:c>
    </x:row>
    <x:row r="1167">
      <x:c r="B1167" t="str">
        <x:v>A-01135</x:v>
      </x:c>
      <x:c r="C1167" t="str">
        <x:v>GATE</x:v>
      </x:c>
      <x:c r="D1167" t="str">
        <x:v>release state mirrors governing ledger</x:v>
      </x:c>
      <x:c r="E1167" t="str">
        <x:f>'Release Gates'!I1141</x:f>
        <x:v>OPEN</x:v>
      </x:c>
      <x:c r="F1167" t="str">
        <x:f>IF('Release Gates'!C1141="PLANNING","PASS",IF('Release Gates'!C1141="PHYSICAL","OPEN","BLOCKED"))</x:f>
        <x:v>OPEN</x:v>
      </x:c>
      <x:c r="G1167" t="str">
        <x:v>equals</x:v>
      </x:c>
      <x:c r="H1167" t="str">
        <x:f>IF(E1167=F1167,"PASS","FAIL")</x:f>
        <x:v>PASS</x:v>
      </x:c>
    </x:row>
    <x:row r="1168">
      <x:c r="B1168" t="str">
        <x:v>A-01136</x:v>
      </x:c>
      <x:c r="C1168" t="str">
        <x:v>GATE</x:v>
      </x:c>
      <x:c r="D1168" t="str">
        <x:v>release state mirrors governing ledger</x:v>
      </x:c>
      <x:c r="E1168" t="str">
        <x:f>'Release Gates'!I1142</x:f>
        <x:v>OPEN</x:v>
      </x:c>
      <x:c r="F1168" t="str">
        <x:f>IF('Release Gates'!C1142="PLANNING","PASS",IF('Release Gates'!C1142="PHYSICAL","OPEN","BLOCKED"))</x:f>
        <x:v>OPEN</x:v>
      </x:c>
      <x:c r="G1168" t="str">
        <x:v>equals</x:v>
      </x:c>
      <x:c r="H1168" t="str">
        <x:f>IF(E1168=F1168,"PASS","FAIL")</x:f>
        <x:v>PASS</x:v>
      </x:c>
    </x:row>
    <x:row r="1169">
      <x:c r="B1169" t="str">
        <x:v>A-01137</x:v>
      </x:c>
      <x:c r="C1169" t="str">
        <x:v>GATE</x:v>
      </x:c>
      <x:c r="D1169" t="str">
        <x:v>release state mirrors governing ledger</x:v>
      </x:c>
      <x:c r="E1169" t="str">
        <x:f>'Release Gates'!I1143</x:f>
        <x:v>OPEN</x:v>
      </x:c>
      <x:c r="F1169" t="str">
        <x:f>IF('Release Gates'!C1143="PLANNING","PASS",IF('Release Gates'!C1143="PHYSICAL","OPEN","BLOCKED"))</x:f>
        <x:v>OPEN</x:v>
      </x:c>
      <x:c r="G1169" t="str">
        <x:v>equals</x:v>
      </x:c>
      <x:c r="H1169" t="str">
        <x:f>IF(E1169=F1169,"PASS","FAIL")</x:f>
        <x:v>PASS</x:v>
      </x:c>
    </x:row>
    <x:row r="1170">
      <x:c r="B1170" t="str">
        <x:v>A-01138</x:v>
      </x:c>
      <x:c r="C1170" t="str">
        <x:v>GATE</x:v>
      </x:c>
      <x:c r="D1170" t="str">
        <x:v>release state mirrors governing ledger</x:v>
      </x:c>
      <x:c r="E1170" t="str">
        <x:f>'Release Gates'!I1144</x:f>
        <x:v>OPEN</x:v>
      </x:c>
      <x:c r="F1170" t="str">
        <x:f>IF('Release Gates'!C1144="PLANNING","PASS",IF('Release Gates'!C1144="PHYSICAL","OPEN","BLOCKED"))</x:f>
        <x:v>OPEN</x:v>
      </x:c>
      <x:c r="G1170" t="str">
        <x:v>equals</x:v>
      </x:c>
      <x:c r="H1170" t="str">
        <x:f>IF(E1170=F1170,"PASS","FAIL")</x:f>
        <x:v>PASS</x:v>
      </x:c>
    </x:row>
    <x:row r="1171">
      <x:c r="B1171" t="str">
        <x:v>A-01139</x:v>
      </x:c>
      <x:c r="C1171" t="str">
        <x:v>GATE</x:v>
      </x:c>
      <x:c r="D1171" t="str">
        <x:v>release state mirrors governing ledger</x:v>
      </x:c>
      <x:c r="E1171" t="str">
        <x:f>'Release Gates'!I1145</x:f>
        <x:v>OPEN</x:v>
      </x:c>
      <x:c r="F1171" t="str">
        <x:f>IF('Release Gates'!C1145="PLANNING","PASS",IF('Release Gates'!C1145="PHYSICAL","OPEN","BLOCKED"))</x:f>
        <x:v>OPEN</x:v>
      </x:c>
      <x:c r="G1171" t="str">
        <x:v>equals</x:v>
      </x:c>
      <x:c r="H1171" t="str">
        <x:f>IF(E1171=F1171,"PASS","FAIL")</x:f>
        <x:v>PASS</x:v>
      </x:c>
    </x:row>
    <x:row r="1172">
      <x:c r="B1172" t="str">
        <x:v>A-01140</x:v>
      </x:c>
      <x:c r="C1172" t="str">
        <x:v>GATE</x:v>
      </x:c>
      <x:c r="D1172" t="str">
        <x:v>release state mirrors governing ledger</x:v>
      </x:c>
      <x:c r="E1172" t="str">
        <x:f>'Release Gates'!I1146</x:f>
        <x:v>OPEN</x:v>
      </x:c>
      <x:c r="F1172" t="str">
        <x:f>IF('Release Gates'!C1146="PLANNING","PASS",IF('Release Gates'!C1146="PHYSICAL","OPEN","BLOCKED"))</x:f>
        <x:v>OPEN</x:v>
      </x:c>
      <x:c r="G1172" t="str">
        <x:v>equals</x:v>
      </x:c>
      <x:c r="H1172" t="str">
        <x:f>IF(E1172=F1172,"PASS","FAIL")</x:f>
        <x:v>PASS</x:v>
      </x:c>
    </x:row>
    <x:row r="1173">
      <x:c r="B1173" t="str">
        <x:v>A-01141</x:v>
      </x:c>
      <x:c r="C1173" t="str">
        <x:v>GATE</x:v>
      </x:c>
      <x:c r="D1173" t="str">
        <x:v>release state mirrors governing ledger</x:v>
      </x:c>
      <x:c r="E1173" t="str">
        <x:f>'Release Gates'!I1147</x:f>
        <x:v>OPEN</x:v>
      </x:c>
      <x:c r="F1173" t="str">
        <x:f>IF('Release Gates'!C1147="PLANNING","PASS",IF('Release Gates'!C1147="PHYSICAL","OPEN","BLOCKED"))</x:f>
        <x:v>OPEN</x:v>
      </x:c>
      <x:c r="G1173" t="str">
        <x:v>equals</x:v>
      </x:c>
      <x:c r="H1173" t="str">
        <x:f>IF(E1173=F1173,"PASS","FAIL")</x:f>
        <x:v>PASS</x:v>
      </x:c>
    </x:row>
    <x:row r="1174">
      <x:c r="B1174" t="str">
        <x:v>A-01142</x:v>
      </x:c>
      <x:c r="C1174" t="str">
        <x:v>GATE</x:v>
      </x:c>
      <x:c r="D1174" t="str">
        <x:v>release state mirrors governing ledger</x:v>
      </x:c>
      <x:c r="E1174" t="str">
        <x:f>'Release Gates'!I1148</x:f>
        <x:v>OPEN</x:v>
      </x:c>
      <x:c r="F1174" t="str">
        <x:f>IF('Release Gates'!C1148="PLANNING","PASS",IF('Release Gates'!C1148="PHYSICAL","OPEN","BLOCKED"))</x:f>
        <x:v>OPEN</x:v>
      </x:c>
      <x:c r="G1174" t="str">
        <x:v>equals</x:v>
      </x:c>
      <x:c r="H1174" t="str">
        <x:f>IF(E1174=F1174,"PASS","FAIL")</x:f>
        <x:v>PASS</x:v>
      </x:c>
    </x:row>
    <x:row r="1175">
      <x:c r="B1175" t="str">
        <x:v>A-01143</x:v>
      </x:c>
      <x:c r="C1175" t="str">
        <x:v>GATE</x:v>
      </x:c>
      <x:c r="D1175" t="str">
        <x:v>release state mirrors governing ledger</x:v>
      </x:c>
      <x:c r="E1175" t="str">
        <x:f>'Release Gates'!I1149</x:f>
        <x:v>OPEN</x:v>
      </x:c>
      <x:c r="F1175" t="str">
        <x:f>IF('Release Gates'!C1149="PLANNING","PASS",IF('Release Gates'!C1149="PHYSICAL","OPEN","BLOCKED"))</x:f>
        <x:v>OPEN</x:v>
      </x:c>
      <x:c r="G1175" t="str">
        <x:v>equals</x:v>
      </x:c>
      <x:c r="H1175" t="str">
        <x:f>IF(E1175=F1175,"PASS","FAIL")</x:f>
        <x:v>PASS</x:v>
      </x:c>
    </x:row>
    <x:row r="1176">
      <x:c r="B1176" t="str">
        <x:v>A-01144</x:v>
      </x:c>
      <x:c r="C1176" t="str">
        <x:v>GATE</x:v>
      </x:c>
      <x:c r="D1176" t="str">
        <x:v>release state mirrors governing ledger</x:v>
      </x:c>
      <x:c r="E1176" t="str">
        <x:f>'Release Gates'!I1150</x:f>
        <x:v>OPEN</x:v>
      </x:c>
      <x:c r="F1176" t="str">
        <x:f>IF('Release Gates'!C1150="PLANNING","PASS",IF('Release Gates'!C1150="PHYSICAL","OPEN","BLOCKED"))</x:f>
        <x:v>OPEN</x:v>
      </x:c>
      <x:c r="G1176" t="str">
        <x:v>equals</x:v>
      </x:c>
      <x:c r="H1176" t="str">
        <x:f>IF(E1176=F1176,"PASS","FAIL")</x:f>
        <x:v>PASS</x:v>
      </x:c>
    </x:row>
    <x:row r="1177">
      <x:c r="B1177" t="str">
        <x:v>A-01145</x:v>
      </x:c>
      <x:c r="C1177" t="str">
        <x:v>GATE</x:v>
      </x:c>
      <x:c r="D1177" t="str">
        <x:v>release state mirrors governing ledger</x:v>
      </x:c>
      <x:c r="E1177" t="str">
        <x:f>'Release Gates'!I1151</x:f>
        <x:v>OPEN</x:v>
      </x:c>
      <x:c r="F1177" t="str">
        <x:f>IF('Release Gates'!C1151="PLANNING","PASS",IF('Release Gates'!C1151="PHYSICAL","OPEN","BLOCKED"))</x:f>
        <x:v>OPEN</x:v>
      </x:c>
      <x:c r="G1177" t="str">
        <x:v>equals</x:v>
      </x:c>
      <x:c r="H1177" t="str">
        <x:f>IF(E1177=F1177,"PASS","FAIL")</x:f>
        <x:v>PASS</x:v>
      </x:c>
    </x:row>
    <x:row r="1178">
      <x:c r="B1178" t="str">
        <x:v>A-01146</x:v>
      </x:c>
      <x:c r="C1178" t="str">
        <x:v>GATE</x:v>
      </x:c>
      <x:c r="D1178" t="str">
        <x:v>release state mirrors governing ledger</x:v>
      </x:c>
      <x:c r="E1178" t="str">
        <x:f>'Release Gates'!I1152</x:f>
        <x:v>OPEN</x:v>
      </x:c>
      <x:c r="F1178" t="str">
        <x:f>IF('Release Gates'!C1152="PLANNING","PASS",IF('Release Gates'!C1152="PHYSICAL","OPEN","BLOCKED"))</x:f>
        <x:v>OPEN</x:v>
      </x:c>
      <x:c r="G1178" t="str">
        <x:v>equals</x:v>
      </x:c>
      <x:c r="H1178" t="str">
        <x:f>IF(E1178=F1178,"PASS","FAIL")</x:f>
        <x:v>PASS</x:v>
      </x:c>
    </x:row>
    <x:row r="1179">
      <x:c r="B1179" t="str">
        <x:v>A-01147</x:v>
      </x:c>
      <x:c r="C1179" t="str">
        <x:v>GATE</x:v>
      </x:c>
      <x:c r="D1179" t="str">
        <x:v>release state mirrors governing ledger</x:v>
      </x:c>
      <x:c r="E1179" t="str">
        <x:f>'Release Gates'!I1153</x:f>
        <x:v>OPEN</x:v>
      </x:c>
      <x:c r="F1179" t="str">
        <x:f>IF('Release Gates'!C1153="PLANNING","PASS",IF('Release Gates'!C1153="PHYSICAL","OPEN","BLOCKED"))</x:f>
        <x:v>OPEN</x:v>
      </x:c>
      <x:c r="G1179" t="str">
        <x:v>equals</x:v>
      </x:c>
      <x:c r="H1179" t="str">
        <x:f>IF(E1179=F1179,"PASS","FAIL")</x:f>
        <x:v>PASS</x:v>
      </x:c>
    </x:row>
    <x:row r="1180">
      <x:c r="B1180" t="str">
        <x:v>A-01148</x:v>
      </x:c>
      <x:c r="C1180" t="str">
        <x:v>GATE</x:v>
      </x:c>
      <x:c r="D1180" t="str">
        <x:v>release state mirrors governing ledger</x:v>
      </x:c>
      <x:c r="E1180" t="str">
        <x:f>'Release Gates'!I1154</x:f>
        <x:v>OPEN</x:v>
      </x:c>
      <x:c r="F1180" t="str">
        <x:f>IF('Release Gates'!C1154="PLANNING","PASS",IF('Release Gates'!C1154="PHYSICAL","OPEN","BLOCKED"))</x:f>
        <x:v>OPEN</x:v>
      </x:c>
      <x:c r="G1180" t="str">
        <x:v>equals</x:v>
      </x:c>
      <x:c r="H1180" t="str">
        <x:f>IF(E1180=F1180,"PASS","FAIL")</x:f>
        <x:v>PASS</x:v>
      </x:c>
    </x:row>
    <x:row r="1181">
      <x:c r="B1181" t="str">
        <x:v>A-01149</x:v>
      </x:c>
      <x:c r="C1181" t="str">
        <x:v>GATE</x:v>
      </x:c>
      <x:c r="D1181" t="str">
        <x:v>release state mirrors governing ledger</x:v>
      </x:c>
      <x:c r="E1181" t="str">
        <x:f>'Release Gates'!I1155</x:f>
        <x:v>OPEN</x:v>
      </x:c>
      <x:c r="F1181" t="str">
        <x:f>IF('Release Gates'!C1155="PLANNING","PASS",IF('Release Gates'!C1155="PHYSICAL","OPEN","BLOCKED"))</x:f>
        <x:v>OPEN</x:v>
      </x:c>
      <x:c r="G1181" t="str">
        <x:v>equals</x:v>
      </x:c>
      <x:c r="H1181" t="str">
        <x:f>IF(E1181=F1181,"PASS","FAIL")</x:f>
        <x:v>PASS</x:v>
      </x:c>
    </x:row>
    <x:row r="1182">
      <x:c r="B1182" t="str">
        <x:v>A-01150</x:v>
      </x:c>
      <x:c r="C1182" t="str">
        <x:v>GATE</x:v>
      </x:c>
      <x:c r="D1182" t="str">
        <x:v>release state mirrors governing ledger</x:v>
      </x:c>
      <x:c r="E1182" t="str">
        <x:f>'Release Gates'!I1156</x:f>
        <x:v>OPEN</x:v>
      </x:c>
      <x:c r="F1182" t="str">
        <x:f>IF('Release Gates'!C1156="PLANNING","PASS",IF('Release Gates'!C1156="PHYSICAL","OPEN","BLOCKED"))</x:f>
        <x:v>OPEN</x:v>
      </x:c>
      <x:c r="G1182" t="str">
        <x:v>equals</x:v>
      </x:c>
      <x:c r="H1182" t="str">
        <x:f>IF(E1182=F1182,"PASS","FAIL")</x:f>
        <x:v>PASS</x:v>
      </x:c>
    </x:row>
    <x:row r="1183">
      <x:c r="B1183" t="str">
        <x:v>A-01151</x:v>
      </x:c>
      <x:c r="C1183" t="str">
        <x:v>GATE</x:v>
      </x:c>
      <x:c r="D1183" t="str">
        <x:v>release state mirrors governing ledger</x:v>
      </x:c>
      <x:c r="E1183" t="str">
        <x:f>'Release Gates'!I1157</x:f>
        <x:v>OPEN</x:v>
      </x:c>
      <x:c r="F1183" t="str">
        <x:f>IF('Release Gates'!C1157="PLANNING","PASS",IF('Release Gates'!C1157="PHYSICAL","OPEN","BLOCKED"))</x:f>
        <x:v>OPEN</x:v>
      </x:c>
      <x:c r="G1183" t="str">
        <x:v>equals</x:v>
      </x:c>
      <x:c r="H1183" t="str">
        <x:f>IF(E1183=F1183,"PASS","FAIL")</x:f>
        <x:v>PASS</x:v>
      </x:c>
    </x:row>
    <x:row r="1184">
      <x:c r="B1184" t="str">
        <x:v>A-01152</x:v>
      </x:c>
      <x:c r="C1184" t="str">
        <x:v>GATE</x:v>
      </x:c>
      <x:c r="D1184" t="str">
        <x:v>release state mirrors governing ledger</x:v>
      </x:c>
      <x:c r="E1184" t="str">
        <x:f>'Release Gates'!I1158</x:f>
        <x:v>OPEN</x:v>
      </x:c>
      <x:c r="F1184" t="str">
        <x:f>IF('Release Gates'!C1158="PLANNING","PASS",IF('Release Gates'!C1158="PHYSICAL","OPEN","BLOCKED"))</x:f>
        <x:v>OPEN</x:v>
      </x:c>
      <x:c r="G1184" t="str">
        <x:v>equals</x:v>
      </x:c>
      <x:c r="H1184" t="str">
        <x:f>IF(E1184=F1184,"PASS","FAIL")</x:f>
        <x:v>PASS</x:v>
      </x:c>
    </x:row>
    <x:row r="1185">
      <x:c r="B1185" t="str">
        <x:v>A-01153</x:v>
      </x:c>
      <x:c r="C1185" t="str">
        <x:v>GATE</x:v>
      </x:c>
      <x:c r="D1185" t="str">
        <x:v>release state mirrors governing ledger</x:v>
      </x:c>
      <x:c r="E1185" t="str">
        <x:f>'Release Gates'!I1159</x:f>
        <x:v>OPEN</x:v>
      </x:c>
      <x:c r="F1185" t="str">
        <x:f>IF('Release Gates'!C1159="PLANNING","PASS",IF('Release Gates'!C1159="PHYSICAL","OPEN","BLOCKED"))</x:f>
        <x:v>OPEN</x:v>
      </x:c>
      <x:c r="G1185" t="str">
        <x:v>equals</x:v>
      </x:c>
      <x:c r="H1185" t="str">
        <x:f>IF(E1185=F1185,"PASS","FAIL")</x:f>
        <x:v>PASS</x:v>
      </x:c>
    </x:row>
    <x:row r="1186">
      <x:c r="B1186" t="str">
        <x:v>A-01154</x:v>
      </x:c>
      <x:c r="C1186" t="str">
        <x:v>GATE</x:v>
      </x:c>
      <x:c r="D1186" t="str">
        <x:v>release state mirrors governing ledger</x:v>
      </x:c>
      <x:c r="E1186" t="str">
        <x:f>'Release Gates'!I1160</x:f>
        <x:v>OPEN</x:v>
      </x:c>
      <x:c r="F1186" t="str">
        <x:f>IF('Release Gates'!C1160="PLANNING","PASS",IF('Release Gates'!C1160="PHYSICAL","OPEN","BLOCKED"))</x:f>
        <x:v>OPEN</x:v>
      </x:c>
      <x:c r="G1186" t="str">
        <x:v>equals</x:v>
      </x:c>
      <x:c r="H1186" t="str">
        <x:f>IF(E1186=F1186,"PASS","FAIL")</x:f>
        <x:v>PASS</x:v>
      </x:c>
    </x:row>
    <x:row r="1187">
      <x:c r="B1187" t="str">
        <x:v>A-01155</x:v>
      </x:c>
      <x:c r="C1187" t="str">
        <x:v>GATE</x:v>
      </x:c>
      <x:c r="D1187" t="str">
        <x:v>release state mirrors governing ledger</x:v>
      </x:c>
      <x:c r="E1187" t="str">
        <x:f>'Release Gates'!I1161</x:f>
        <x:v>OPEN</x:v>
      </x:c>
      <x:c r="F1187" t="str">
        <x:f>IF('Release Gates'!C1161="PLANNING","PASS",IF('Release Gates'!C1161="PHYSICAL","OPEN","BLOCKED"))</x:f>
        <x:v>OPEN</x:v>
      </x:c>
      <x:c r="G1187" t="str">
        <x:v>equals</x:v>
      </x:c>
      <x:c r="H1187" t="str">
        <x:f>IF(E1187=F1187,"PASS","FAIL")</x:f>
        <x:v>PASS</x:v>
      </x:c>
    </x:row>
    <x:row r="1188">
      <x:c r="B1188" t="str">
        <x:v>A-01156</x:v>
      </x:c>
      <x:c r="C1188" t="str">
        <x:v>GATE</x:v>
      </x:c>
      <x:c r="D1188" t="str">
        <x:v>release state mirrors governing ledger</x:v>
      </x:c>
      <x:c r="E1188" t="str">
        <x:f>'Release Gates'!I1162</x:f>
        <x:v>OPEN</x:v>
      </x:c>
      <x:c r="F1188" t="str">
        <x:f>IF('Release Gates'!C1162="PLANNING","PASS",IF('Release Gates'!C1162="PHYSICAL","OPEN","BLOCKED"))</x:f>
        <x:v>OPEN</x:v>
      </x:c>
      <x:c r="G1188" t="str">
        <x:v>equals</x:v>
      </x:c>
      <x:c r="H1188" t="str">
        <x:f>IF(E1188=F1188,"PASS","FAIL")</x:f>
        <x:v>PASS</x:v>
      </x:c>
    </x:row>
    <x:row r="1189">
      <x:c r="B1189" t="str">
        <x:v>A-01157</x:v>
      </x:c>
      <x:c r="C1189" t="str">
        <x:v>GATE</x:v>
      </x:c>
      <x:c r="D1189" t="str">
        <x:v>release state mirrors governing ledger</x:v>
      </x:c>
      <x:c r="E1189" t="str">
        <x:f>'Release Gates'!I1163</x:f>
        <x:v>OPEN</x:v>
      </x:c>
      <x:c r="F1189" t="str">
        <x:f>IF('Release Gates'!C1163="PLANNING","PASS",IF('Release Gates'!C1163="PHYSICAL","OPEN","BLOCKED"))</x:f>
        <x:v>OPEN</x:v>
      </x:c>
      <x:c r="G1189" t="str">
        <x:v>equals</x:v>
      </x:c>
      <x:c r="H1189" t="str">
        <x:f>IF(E1189=F1189,"PASS","FAIL")</x:f>
        <x:v>PASS</x:v>
      </x:c>
    </x:row>
    <x:row r="1190">
      <x:c r="B1190" t="str">
        <x:v>A-01158</x:v>
      </x:c>
      <x:c r="C1190" t="str">
        <x:v>GATE</x:v>
      </x:c>
      <x:c r="D1190" t="str">
        <x:v>release state mirrors governing ledger</x:v>
      </x:c>
      <x:c r="E1190" t="str">
        <x:f>'Release Gates'!I1164</x:f>
        <x:v>OPEN</x:v>
      </x:c>
      <x:c r="F1190" t="str">
        <x:f>IF('Release Gates'!C1164="PLANNING","PASS",IF('Release Gates'!C1164="PHYSICAL","OPEN","BLOCKED"))</x:f>
        <x:v>OPEN</x:v>
      </x:c>
      <x:c r="G1190" t="str">
        <x:v>equals</x:v>
      </x:c>
      <x:c r="H1190" t="str">
        <x:f>IF(E1190=F1190,"PASS","FAIL")</x:f>
        <x:v>PASS</x:v>
      </x:c>
    </x:row>
    <x:row r="1191">
      <x:c r="B1191" t="str">
        <x:v>A-01159</x:v>
      </x:c>
      <x:c r="C1191" t="str">
        <x:v>GATE</x:v>
      </x:c>
      <x:c r="D1191" t="str">
        <x:v>release state mirrors governing ledger</x:v>
      </x:c>
      <x:c r="E1191" t="str">
        <x:f>'Release Gates'!I1165</x:f>
        <x:v>OPEN</x:v>
      </x:c>
      <x:c r="F1191" t="str">
        <x:f>IF('Release Gates'!C1165="PLANNING","PASS",IF('Release Gates'!C1165="PHYSICAL","OPEN","BLOCKED"))</x:f>
        <x:v>OPEN</x:v>
      </x:c>
      <x:c r="G1191" t="str">
        <x:v>equals</x:v>
      </x:c>
      <x:c r="H1191" t="str">
        <x:f>IF(E1191=F1191,"PASS","FAIL")</x:f>
        <x:v>PASS</x:v>
      </x:c>
    </x:row>
    <x:row r="1192">
      <x:c r="B1192" t="str">
        <x:v>A-01160</x:v>
      </x:c>
      <x:c r="C1192" t="str">
        <x:v>GATE</x:v>
      </x:c>
      <x:c r="D1192" t="str">
        <x:v>release state mirrors governing ledger</x:v>
      </x:c>
      <x:c r="E1192" t="str">
        <x:f>'Release Gates'!I1166</x:f>
        <x:v>OPEN</x:v>
      </x:c>
      <x:c r="F1192" t="str">
        <x:f>IF('Release Gates'!C1166="PLANNING","PASS",IF('Release Gates'!C1166="PHYSICAL","OPEN","BLOCKED"))</x:f>
        <x:v>OPEN</x:v>
      </x:c>
      <x:c r="G1192" t="str">
        <x:v>equals</x:v>
      </x:c>
      <x:c r="H1192" t="str">
        <x:f>IF(E1192=F1192,"PASS","FAIL")</x:f>
        <x:v>PASS</x:v>
      </x:c>
    </x:row>
    <x:row r="1193">
      <x:c r="B1193" t="str">
        <x:v>A-01161</x:v>
      </x:c>
      <x:c r="C1193" t="str">
        <x:v>GATE</x:v>
      </x:c>
      <x:c r="D1193" t="str">
        <x:v>release state mirrors governing ledger</x:v>
      </x:c>
      <x:c r="E1193" t="str">
        <x:f>'Release Gates'!I1167</x:f>
        <x:v>OPEN</x:v>
      </x:c>
      <x:c r="F1193" t="str">
        <x:f>IF('Release Gates'!C1167="PLANNING","PASS",IF('Release Gates'!C1167="PHYSICAL","OPEN","BLOCKED"))</x:f>
        <x:v>OPEN</x:v>
      </x:c>
      <x:c r="G1193" t="str">
        <x:v>equals</x:v>
      </x:c>
      <x:c r="H1193" t="str">
        <x:f>IF(E1193=F1193,"PASS","FAIL")</x:f>
        <x:v>PASS</x:v>
      </x:c>
    </x:row>
    <x:row r="1194">
      <x:c r="B1194" t="str">
        <x:v>A-01162</x:v>
      </x:c>
      <x:c r="C1194" t="str">
        <x:v>GATE</x:v>
      </x:c>
      <x:c r="D1194" t="str">
        <x:v>release state mirrors governing ledger</x:v>
      </x:c>
      <x:c r="E1194" t="str">
        <x:f>'Release Gates'!I1168</x:f>
        <x:v>OPEN</x:v>
      </x:c>
      <x:c r="F1194" t="str">
        <x:f>IF('Release Gates'!C1168="PLANNING","PASS",IF('Release Gates'!C1168="PHYSICAL","OPEN","BLOCKED"))</x:f>
        <x:v>OPEN</x:v>
      </x:c>
      <x:c r="G1194" t="str">
        <x:v>equals</x:v>
      </x:c>
      <x:c r="H1194" t="str">
        <x:f>IF(E1194=F1194,"PASS","FAIL")</x:f>
        <x:v>PASS</x:v>
      </x:c>
    </x:row>
    <x:row r="1195">
      <x:c r="B1195" t="str">
        <x:v>A-01163</x:v>
      </x:c>
      <x:c r="C1195" t="str">
        <x:v>GATE</x:v>
      </x:c>
      <x:c r="D1195" t="str">
        <x:v>release state mirrors governing ledger</x:v>
      </x:c>
      <x:c r="E1195" t="str">
        <x:f>'Release Gates'!I1169</x:f>
        <x:v>OPEN</x:v>
      </x:c>
      <x:c r="F1195" t="str">
        <x:f>IF('Release Gates'!C1169="PLANNING","PASS",IF('Release Gates'!C1169="PHYSICAL","OPEN","BLOCKED"))</x:f>
        <x:v>OPEN</x:v>
      </x:c>
      <x:c r="G1195" t="str">
        <x:v>equals</x:v>
      </x:c>
      <x:c r="H1195" t="str">
        <x:f>IF(E1195=F1195,"PASS","FAIL")</x:f>
        <x:v>PASS</x:v>
      </x:c>
    </x:row>
    <x:row r="1196">
      <x:c r="B1196" t="str">
        <x:v>A-01164</x:v>
      </x:c>
      <x:c r="C1196" t="str">
        <x:v>GATE</x:v>
      </x:c>
      <x:c r="D1196" t="str">
        <x:v>release state mirrors governing ledger</x:v>
      </x:c>
      <x:c r="E1196" t="str">
        <x:f>'Release Gates'!I1170</x:f>
        <x:v>OPEN</x:v>
      </x:c>
      <x:c r="F1196" t="str">
        <x:f>IF('Release Gates'!C1170="PLANNING","PASS",IF('Release Gates'!C1170="PHYSICAL","OPEN","BLOCKED"))</x:f>
        <x:v>OPEN</x:v>
      </x:c>
      <x:c r="G1196" t="str">
        <x:v>equals</x:v>
      </x:c>
      <x:c r="H1196" t="str">
        <x:f>IF(E1196=F1196,"PASS","FAIL")</x:f>
        <x:v>PASS</x:v>
      </x:c>
    </x:row>
    <x:row r="1197">
      <x:c r="B1197" t="str">
        <x:v>A-01165</x:v>
      </x:c>
      <x:c r="C1197" t="str">
        <x:v>GATE</x:v>
      </x:c>
      <x:c r="D1197" t="str">
        <x:v>release state mirrors governing ledger</x:v>
      </x:c>
      <x:c r="E1197" t="str">
        <x:f>'Release Gates'!I1171</x:f>
        <x:v>OPEN</x:v>
      </x:c>
      <x:c r="F1197" t="str">
        <x:f>IF('Release Gates'!C1171="PLANNING","PASS",IF('Release Gates'!C1171="PHYSICAL","OPEN","BLOCKED"))</x:f>
        <x:v>OPEN</x:v>
      </x:c>
      <x:c r="G1197" t="str">
        <x:v>equals</x:v>
      </x:c>
      <x:c r="H1197" t="str">
        <x:f>IF(E1197=F1197,"PASS","FAIL")</x:f>
        <x:v>PASS</x:v>
      </x:c>
    </x:row>
    <x:row r="1198">
      <x:c r="B1198" t="str">
        <x:v>A-01166</x:v>
      </x:c>
      <x:c r="C1198" t="str">
        <x:v>GATE</x:v>
      </x:c>
      <x:c r="D1198" t="str">
        <x:v>release state mirrors governing ledger</x:v>
      </x:c>
      <x:c r="E1198" t="str">
        <x:f>'Release Gates'!I1172</x:f>
        <x:v>OPEN</x:v>
      </x:c>
      <x:c r="F1198" t="str">
        <x:f>IF('Release Gates'!C1172="PLANNING","PASS",IF('Release Gates'!C1172="PHYSICAL","OPEN","BLOCKED"))</x:f>
        <x:v>OPEN</x:v>
      </x:c>
      <x:c r="G1198" t="str">
        <x:v>equals</x:v>
      </x:c>
      <x:c r="H1198" t="str">
        <x:f>IF(E1198=F1198,"PASS","FAIL")</x:f>
        <x:v>PASS</x:v>
      </x:c>
    </x:row>
    <x:row r="1199">
      <x:c r="B1199" t="str">
        <x:v>A-01167</x:v>
      </x:c>
      <x:c r="C1199" t="str">
        <x:v>GATE</x:v>
      </x:c>
      <x:c r="D1199" t="str">
        <x:v>release state mirrors governing ledger</x:v>
      </x:c>
      <x:c r="E1199" t="str">
        <x:f>'Release Gates'!I1173</x:f>
        <x:v>OPEN</x:v>
      </x:c>
      <x:c r="F1199" t="str">
        <x:f>IF('Release Gates'!C1173="PLANNING","PASS",IF('Release Gates'!C1173="PHYSICAL","OPEN","BLOCKED"))</x:f>
        <x:v>OPEN</x:v>
      </x:c>
      <x:c r="G1199" t="str">
        <x:v>equals</x:v>
      </x:c>
      <x:c r="H1199" t="str">
        <x:f>IF(E1199=F1199,"PASS","FAIL")</x:f>
        <x:v>PASS</x:v>
      </x:c>
    </x:row>
    <x:row r="1200">
      <x:c r="B1200" t="str">
        <x:v>A-01168</x:v>
      </x:c>
      <x:c r="C1200" t="str">
        <x:v>GATE</x:v>
      </x:c>
      <x:c r="D1200" t="str">
        <x:v>release state mirrors governing ledger</x:v>
      </x:c>
      <x:c r="E1200" t="str">
        <x:f>'Release Gates'!I1174</x:f>
        <x:v>OPEN</x:v>
      </x:c>
      <x:c r="F1200" t="str">
        <x:f>IF('Release Gates'!C1174="PLANNING","PASS",IF('Release Gates'!C1174="PHYSICAL","OPEN","BLOCKED"))</x:f>
        <x:v>OPEN</x:v>
      </x:c>
      <x:c r="G1200" t="str">
        <x:v>equals</x:v>
      </x:c>
      <x:c r="H1200" t="str">
        <x:f>IF(E1200=F1200,"PASS","FAIL")</x:f>
        <x:v>PASS</x:v>
      </x:c>
    </x:row>
    <x:row r="1201">
      <x:c r="B1201" t="str">
        <x:v>A-01169</x:v>
      </x:c>
      <x:c r="C1201" t="str">
        <x:v>GATE</x:v>
      </x:c>
      <x:c r="D1201" t="str">
        <x:v>release state mirrors governing ledger</x:v>
      </x:c>
      <x:c r="E1201" t="str">
        <x:f>'Release Gates'!I1175</x:f>
        <x:v>OPEN</x:v>
      </x:c>
      <x:c r="F1201" t="str">
        <x:f>IF('Release Gates'!C1175="PLANNING","PASS",IF('Release Gates'!C1175="PHYSICAL","OPEN","BLOCKED"))</x:f>
        <x:v>OPEN</x:v>
      </x:c>
      <x:c r="G1201" t="str">
        <x:v>equals</x:v>
      </x:c>
      <x:c r="H1201" t="str">
        <x:f>IF(E1201=F1201,"PASS","FAIL")</x:f>
        <x:v>PASS</x:v>
      </x:c>
    </x:row>
    <x:row r="1202">
      <x:c r="B1202" t="str">
        <x:v>A-01170</x:v>
      </x:c>
      <x:c r="C1202" t="str">
        <x:v>GATE</x:v>
      </x:c>
      <x:c r="D1202" t="str">
        <x:v>release state mirrors governing ledger</x:v>
      </x:c>
      <x:c r="E1202" t="str">
        <x:f>'Release Gates'!I1176</x:f>
        <x:v>OPEN</x:v>
      </x:c>
      <x:c r="F1202" t="str">
        <x:f>IF('Release Gates'!C1176="PLANNING","PASS",IF('Release Gates'!C1176="PHYSICAL","OPEN","BLOCKED"))</x:f>
        <x:v>OPEN</x:v>
      </x:c>
      <x:c r="G1202" t="str">
        <x:v>equals</x:v>
      </x:c>
      <x:c r="H1202" t="str">
        <x:f>IF(E1202=F1202,"PASS","FAIL")</x:f>
        <x:v>PASS</x:v>
      </x:c>
    </x:row>
    <x:row r="1203">
      <x:c r="B1203" t="str">
        <x:v>A-01171</x:v>
      </x:c>
      <x:c r="C1203" t="str">
        <x:v>GATE</x:v>
      </x:c>
      <x:c r="D1203" t="str">
        <x:v>release state mirrors governing ledger</x:v>
      </x:c>
      <x:c r="E1203" t="str">
        <x:f>'Release Gates'!I1177</x:f>
        <x:v>OPEN</x:v>
      </x:c>
      <x:c r="F1203" t="str">
        <x:f>IF('Release Gates'!C1177="PLANNING","PASS",IF('Release Gates'!C1177="PHYSICAL","OPEN","BLOCKED"))</x:f>
        <x:v>OPEN</x:v>
      </x:c>
      <x:c r="G1203" t="str">
        <x:v>equals</x:v>
      </x:c>
      <x:c r="H1203" t="str">
        <x:f>IF(E1203=F1203,"PASS","FAIL")</x:f>
        <x:v>PASS</x:v>
      </x:c>
    </x:row>
    <x:row r="1204">
      <x:c r="B1204" t="str">
        <x:v>A-01172</x:v>
      </x:c>
      <x:c r="C1204" t="str">
        <x:v>GATE</x:v>
      </x:c>
      <x:c r="D1204" t="str">
        <x:v>release state mirrors governing ledger</x:v>
      </x:c>
      <x:c r="E1204" t="str">
        <x:f>'Release Gates'!I1178</x:f>
        <x:v>OPEN</x:v>
      </x:c>
      <x:c r="F1204" t="str">
        <x:f>IF('Release Gates'!C1178="PLANNING","PASS",IF('Release Gates'!C1178="PHYSICAL","OPEN","BLOCKED"))</x:f>
        <x:v>OPEN</x:v>
      </x:c>
      <x:c r="G1204" t="str">
        <x:v>equals</x:v>
      </x:c>
      <x:c r="H1204" t="str">
        <x:f>IF(E1204=F1204,"PASS","FAIL")</x:f>
        <x:v>PASS</x:v>
      </x:c>
    </x:row>
    <x:row r="1205">
      <x:c r="B1205" t="str">
        <x:v>A-01173</x:v>
      </x:c>
      <x:c r="C1205" t="str">
        <x:v>GATE</x:v>
      </x:c>
      <x:c r="D1205" t="str">
        <x:v>release state mirrors governing ledger</x:v>
      </x:c>
      <x:c r="E1205" t="str">
        <x:f>'Release Gates'!I1179</x:f>
        <x:v>OPEN</x:v>
      </x:c>
      <x:c r="F1205" t="str">
        <x:f>IF('Release Gates'!C1179="PLANNING","PASS",IF('Release Gates'!C1179="PHYSICAL","OPEN","BLOCKED"))</x:f>
        <x:v>OPEN</x:v>
      </x:c>
      <x:c r="G1205" t="str">
        <x:v>equals</x:v>
      </x:c>
      <x:c r="H1205" t="str">
        <x:f>IF(E1205=F1205,"PASS","FAIL")</x:f>
        <x:v>PASS</x:v>
      </x:c>
    </x:row>
    <x:row r="1206">
      <x:c r="B1206" t="str">
        <x:v>A-01174</x:v>
      </x:c>
      <x:c r="C1206" t="str">
        <x:v>GATE</x:v>
      </x:c>
      <x:c r="D1206" t="str">
        <x:v>release state mirrors governing ledger</x:v>
      </x:c>
      <x:c r="E1206" t="str">
        <x:f>'Release Gates'!I1180</x:f>
        <x:v>OPEN</x:v>
      </x:c>
      <x:c r="F1206" t="str">
        <x:f>IF('Release Gates'!C1180="PLANNING","PASS",IF('Release Gates'!C1180="PHYSICAL","OPEN","BLOCKED"))</x:f>
        <x:v>OPEN</x:v>
      </x:c>
      <x:c r="G1206" t="str">
        <x:v>equals</x:v>
      </x:c>
      <x:c r="H1206" t="str">
        <x:f>IF(E1206=F1206,"PASS","FAIL")</x:f>
        <x:v>PASS</x:v>
      </x:c>
    </x:row>
    <x:row r="1207">
      <x:c r="B1207" t="str">
        <x:v>A-01175</x:v>
      </x:c>
      <x:c r="C1207" t="str">
        <x:v>GATE</x:v>
      </x:c>
      <x:c r="D1207" t="str">
        <x:v>release state mirrors governing ledger</x:v>
      </x:c>
      <x:c r="E1207" t="str">
        <x:f>'Release Gates'!I1181</x:f>
        <x:v>OPEN</x:v>
      </x:c>
      <x:c r="F1207" t="str">
        <x:f>IF('Release Gates'!C1181="PLANNING","PASS",IF('Release Gates'!C1181="PHYSICAL","OPEN","BLOCKED"))</x:f>
        <x:v>OPEN</x:v>
      </x:c>
      <x:c r="G1207" t="str">
        <x:v>equals</x:v>
      </x:c>
      <x:c r="H1207" t="str">
        <x:f>IF(E1207=F1207,"PASS","FAIL")</x:f>
        <x:v>PASS</x:v>
      </x:c>
    </x:row>
    <x:row r="1208">
      <x:c r="B1208" t="str">
        <x:v>A-01176</x:v>
      </x:c>
      <x:c r="C1208" t="str">
        <x:v>GATE</x:v>
      </x:c>
      <x:c r="D1208" t="str">
        <x:v>release state mirrors governing ledger</x:v>
      </x:c>
      <x:c r="E1208" t="str">
        <x:f>'Release Gates'!I1182</x:f>
        <x:v>OPEN</x:v>
      </x:c>
      <x:c r="F1208" t="str">
        <x:f>IF('Release Gates'!C1182="PLANNING","PASS",IF('Release Gates'!C1182="PHYSICAL","OPEN","BLOCKED"))</x:f>
        <x:v>OPEN</x:v>
      </x:c>
      <x:c r="G1208" t="str">
        <x:v>equals</x:v>
      </x:c>
      <x:c r="H1208" t="str">
        <x:f>IF(E1208=F1208,"PASS","FAIL")</x:f>
        <x:v>PASS</x:v>
      </x:c>
    </x:row>
    <x:row r="1209">
      <x:c r="B1209" t="str">
        <x:v>A-01177</x:v>
      </x:c>
      <x:c r="C1209" t="str">
        <x:v>GATE</x:v>
      </x:c>
      <x:c r="D1209" t="str">
        <x:v>release state mirrors governing ledger</x:v>
      </x:c>
      <x:c r="E1209" t="str">
        <x:f>'Release Gates'!I1183</x:f>
        <x:v>OPEN</x:v>
      </x:c>
      <x:c r="F1209" t="str">
        <x:f>IF('Release Gates'!C1183="PLANNING","PASS",IF('Release Gates'!C1183="PHYSICAL","OPEN","BLOCKED"))</x:f>
        <x:v>OPEN</x:v>
      </x:c>
      <x:c r="G1209" t="str">
        <x:v>equals</x:v>
      </x:c>
      <x:c r="H1209" t="str">
        <x:f>IF(E1209=F1209,"PASS","FAIL")</x:f>
        <x:v>PASS</x:v>
      </x:c>
    </x:row>
    <x:row r="1210">
      <x:c r="B1210" t="str">
        <x:v>A-01178</x:v>
      </x:c>
      <x:c r="C1210" t="str">
        <x:v>GATE</x:v>
      </x:c>
      <x:c r="D1210" t="str">
        <x:v>release state mirrors governing ledger</x:v>
      </x:c>
      <x:c r="E1210" t="str">
        <x:f>'Release Gates'!I1184</x:f>
        <x:v>OPEN</x:v>
      </x:c>
      <x:c r="F1210" t="str">
        <x:f>IF('Release Gates'!C1184="PLANNING","PASS",IF('Release Gates'!C1184="PHYSICAL","OPEN","BLOCKED"))</x:f>
        <x:v>OPEN</x:v>
      </x:c>
      <x:c r="G1210" t="str">
        <x:v>equals</x:v>
      </x:c>
      <x:c r="H1210" t="str">
        <x:f>IF(E1210=F1210,"PASS","FAIL")</x:f>
        <x:v>PASS</x:v>
      </x:c>
    </x:row>
    <x:row r="1211">
      <x:c r="B1211" t="str">
        <x:v>A-01179</x:v>
      </x:c>
      <x:c r="C1211" t="str">
        <x:v>GATE</x:v>
      </x:c>
      <x:c r="D1211" t="str">
        <x:v>release state mirrors governing ledger</x:v>
      </x:c>
      <x:c r="E1211" t="str">
        <x:f>'Release Gates'!I1185</x:f>
        <x:v>OPEN</x:v>
      </x:c>
      <x:c r="F1211" t="str">
        <x:f>IF('Release Gates'!C1185="PLANNING","PASS",IF('Release Gates'!C1185="PHYSICAL","OPEN","BLOCKED"))</x:f>
        <x:v>OPEN</x:v>
      </x:c>
      <x:c r="G1211" t="str">
        <x:v>equals</x:v>
      </x:c>
      <x:c r="H1211" t="str">
        <x:f>IF(E1211=F1211,"PASS","FAIL")</x:f>
        <x:v>PASS</x:v>
      </x:c>
    </x:row>
    <x:row r="1212">
      <x:c r="B1212" t="str">
        <x:v>A-01180</x:v>
      </x:c>
      <x:c r="C1212" t="str">
        <x:v>GATE</x:v>
      </x:c>
      <x:c r="D1212" t="str">
        <x:v>release state mirrors governing ledger</x:v>
      </x:c>
      <x:c r="E1212" t="str">
        <x:f>'Release Gates'!I1186</x:f>
        <x:v>OPEN</x:v>
      </x:c>
      <x:c r="F1212" t="str">
        <x:f>IF('Release Gates'!C1186="PLANNING","PASS",IF('Release Gates'!C1186="PHYSICAL","OPEN","BLOCKED"))</x:f>
        <x:v>OPEN</x:v>
      </x:c>
      <x:c r="G1212" t="str">
        <x:v>equals</x:v>
      </x:c>
      <x:c r="H1212" t="str">
        <x:f>IF(E1212=F1212,"PASS","FAIL")</x:f>
        <x:v>PASS</x:v>
      </x:c>
    </x:row>
    <x:row r="1213">
      <x:c r="B1213" t="str">
        <x:v>A-01181</x:v>
      </x:c>
      <x:c r="C1213" t="str">
        <x:v>GATE</x:v>
      </x:c>
      <x:c r="D1213" t="str">
        <x:v>release state mirrors governing ledger</x:v>
      </x:c>
      <x:c r="E1213" t="str">
        <x:f>'Release Gates'!I1187</x:f>
        <x:v>OPEN</x:v>
      </x:c>
      <x:c r="F1213" t="str">
        <x:f>IF('Release Gates'!C1187="PLANNING","PASS",IF('Release Gates'!C1187="PHYSICAL","OPEN","BLOCKED"))</x:f>
        <x:v>OPEN</x:v>
      </x:c>
      <x:c r="G1213" t="str">
        <x:v>equals</x:v>
      </x:c>
      <x:c r="H1213" t="str">
        <x:f>IF(E1213=F1213,"PASS","FAIL")</x:f>
        <x:v>PASS</x:v>
      </x:c>
    </x:row>
    <x:row r="1214">
      <x:c r="B1214" t="str">
        <x:v>A-01182</x:v>
      </x:c>
      <x:c r="C1214" t="str">
        <x:v>GATE</x:v>
      </x:c>
      <x:c r="D1214" t="str">
        <x:v>release state mirrors governing ledger</x:v>
      </x:c>
      <x:c r="E1214" t="str">
        <x:f>'Release Gates'!I1188</x:f>
        <x:v>OPEN</x:v>
      </x:c>
      <x:c r="F1214" t="str">
        <x:f>IF('Release Gates'!C1188="PLANNING","PASS",IF('Release Gates'!C1188="PHYSICAL","OPEN","BLOCKED"))</x:f>
        <x:v>OPEN</x:v>
      </x:c>
      <x:c r="G1214" t="str">
        <x:v>equals</x:v>
      </x:c>
      <x:c r="H1214" t="str">
        <x:f>IF(E1214=F1214,"PASS","FAIL")</x:f>
        <x:v>PASS</x:v>
      </x:c>
    </x:row>
    <x:row r="1215">
      <x:c r="B1215" t="str">
        <x:v>A-01183</x:v>
      </x:c>
      <x:c r="C1215" t="str">
        <x:v>GATE</x:v>
      </x:c>
      <x:c r="D1215" t="str">
        <x:v>release state mirrors governing ledger</x:v>
      </x:c>
      <x:c r="E1215" t="str">
        <x:f>'Release Gates'!I1189</x:f>
        <x:v>OPEN</x:v>
      </x:c>
      <x:c r="F1215" t="str">
        <x:f>IF('Release Gates'!C1189="PLANNING","PASS",IF('Release Gates'!C1189="PHYSICAL","OPEN","BLOCKED"))</x:f>
        <x:v>OPEN</x:v>
      </x:c>
      <x:c r="G1215" t="str">
        <x:v>equals</x:v>
      </x:c>
      <x:c r="H1215" t="str">
        <x:f>IF(E1215=F1215,"PASS","FAIL")</x:f>
        <x:v>PASS</x:v>
      </x:c>
    </x:row>
    <x:row r="1216">
      <x:c r="B1216" t="str">
        <x:v>A-01184</x:v>
      </x:c>
      <x:c r="C1216" t="str">
        <x:v>GATE</x:v>
      </x:c>
      <x:c r="D1216" t="str">
        <x:v>release state mirrors governing ledger</x:v>
      </x:c>
      <x:c r="E1216" t="str">
        <x:f>'Release Gates'!I1190</x:f>
        <x:v>OPEN</x:v>
      </x:c>
      <x:c r="F1216" t="str">
        <x:f>IF('Release Gates'!C1190="PLANNING","PASS",IF('Release Gates'!C1190="PHYSICAL","OPEN","BLOCKED"))</x:f>
        <x:v>OPEN</x:v>
      </x:c>
      <x:c r="G1216" t="str">
        <x:v>equals</x:v>
      </x:c>
      <x:c r="H1216" t="str">
        <x:f>IF(E1216=F1216,"PASS","FAIL")</x:f>
        <x:v>PASS</x:v>
      </x:c>
    </x:row>
    <x:row r="1217">
      <x:c r="B1217" t="str">
        <x:v>A-01185</x:v>
      </x:c>
      <x:c r="C1217" t="str">
        <x:v>GATE</x:v>
      </x:c>
      <x:c r="D1217" t="str">
        <x:v>release state mirrors governing ledger</x:v>
      </x:c>
      <x:c r="E1217" t="str">
        <x:f>'Release Gates'!I1191</x:f>
        <x:v>OPEN</x:v>
      </x:c>
      <x:c r="F1217" t="str">
        <x:f>IF('Release Gates'!C1191="PLANNING","PASS",IF('Release Gates'!C1191="PHYSICAL","OPEN","BLOCKED"))</x:f>
        <x:v>OPEN</x:v>
      </x:c>
      <x:c r="G1217" t="str">
        <x:v>equals</x:v>
      </x:c>
      <x:c r="H1217" t="str">
        <x:f>IF(E1217=F1217,"PASS","FAIL")</x:f>
        <x:v>PASS</x:v>
      </x:c>
    </x:row>
    <x:row r="1218">
      <x:c r="B1218" t="str">
        <x:v>A-01186</x:v>
      </x:c>
      <x:c r="C1218" t="str">
        <x:v>GATE</x:v>
      </x:c>
      <x:c r="D1218" t="str">
        <x:v>release state mirrors governing ledger</x:v>
      </x:c>
      <x:c r="E1218" t="str">
        <x:f>'Release Gates'!I1192</x:f>
        <x:v>OPEN</x:v>
      </x:c>
      <x:c r="F1218" t="str">
        <x:f>IF('Release Gates'!C1192="PLANNING","PASS",IF('Release Gates'!C1192="PHYSICAL","OPEN","BLOCKED"))</x:f>
        <x:v>OPEN</x:v>
      </x:c>
      <x:c r="G1218" t="str">
        <x:v>equals</x:v>
      </x:c>
      <x:c r="H1218" t="str">
        <x:f>IF(E1218=F1218,"PASS","FAIL")</x:f>
        <x:v>PASS</x:v>
      </x:c>
    </x:row>
    <x:row r="1219">
      <x:c r="B1219" t="str">
        <x:v>A-01187</x:v>
      </x:c>
      <x:c r="C1219" t="str">
        <x:v>GATE</x:v>
      </x:c>
      <x:c r="D1219" t="str">
        <x:v>release state mirrors governing ledger</x:v>
      </x:c>
      <x:c r="E1219" t="str">
        <x:f>'Release Gates'!I1193</x:f>
        <x:v>OPEN</x:v>
      </x:c>
      <x:c r="F1219" t="str">
        <x:f>IF('Release Gates'!C1193="PLANNING","PASS",IF('Release Gates'!C1193="PHYSICAL","OPEN","BLOCKED"))</x:f>
        <x:v>OPEN</x:v>
      </x:c>
      <x:c r="G1219" t="str">
        <x:v>equals</x:v>
      </x:c>
      <x:c r="H1219" t="str">
        <x:f>IF(E1219=F1219,"PASS","FAIL")</x:f>
        <x:v>PASS</x:v>
      </x:c>
    </x:row>
    <x:row r="1220">
      <x:c r="B1220" t="str">
        <x:v>A-01188</x:v>
      </x:c>
      <x:c r="C1220" t="str">
        <x:v>GATE</x:v>
      </x:c>
      <x:c r="D1220" t="str">
        <x:v>release state mirrors governing ledger</x:v>
      </x:c>
      <x:c r="E1220" t="str">
        <x:f>'Release Gates'!I1194</x:f>
        <x:v>OPEN</x:v>
      </x:c>
      <x:c r="F1220" t="str">
        <x:f>IF('Release Gates'!C1194="PLANNING","PASS",IF('Release Gates'!C1194="PHYSICAL","OPEN","BLOCKED"))</x:f>
        <x:v>OPEN</x:v>
      </x:c>
      <x:c r="G1220" t="str">
        <x:v>equals</x:v>
      </x:c>
      <x:c r="H1220" t="str">
        <x:f>IF(E1220=F1220,"PASS","FAIL")</x:f>
        <x:v>PASS</x:v>
      </x:c>
    </x:row>
    <x:row r="1221">
      <x:c r="B1221" t="str">
        <x:v>A-01189</x:v>
      </x:c>
      <x:c r="C1221" t="str">
        <x:v>GATE</x:v>
      </x:c>
      <x:c r="D1221" t="str">
        <x:v>release state mirrors governing ledger</x:v>
      </x:c>
      <x:c r="E1221" t="str">
        <x:f>'Release Gates'!I1195</x:f>
        <x:v>OPEN</x:v>
      </x:c>
      <x:c r="F1221" t="str">
        <x:f>IF('Release Gates'!C1195="PLANNING","PASS",IF('Release Gates'!C1195="PHYSICAL","OPEN","BLOCKED"))</x:f>
        <x:v>OPEN</x:v>
      </x:c>
      <x:c r="G1221" t="str">
        <x:v>equals</x:v>
      </x:c>
      <x:c r="H1221" t="str">
        <x:f>IF(E1221=F1221,"PASS","FAIL")</x:f>
        <x:v>PASS</x:v>
      </x:c>
    </x:row>
    <x:row r="1222">
      <x:c r="B1222" t="str">
        <x:v>A-01190</x:v>
      </x:c>
      <x:c r="C1222" t="str">
        <x:v>GATE</x:v>
      </x:c>
      <x:c r="D1222" t="str">
        <x:v>release state mirrors governing ledger</x:v>
      </x:c>
      <x:c r="E1222" t="str">
        <x:f>'Release Gates'!I1196</x:f>
        <x:v>OPEN</x:v>
      </x:c>
      <x:c r="F1222" t="str">
        <x:f>IF('Release Gates'!C1196="PLANNING","PASS",IF('Release Gates'!C1196="PHYSICAL","OPEN","BLOCKED"))</x:f>
        <x:v>OPEN</x:v>
      </x:c>
      <x:c r="G1222" t="str">
        <x:v>equals</x:v>
      </x:c>
      <x:c r="H1222" t="str">
        <x:f>IF(E1222=F1222,"PASS","FAIL")</x:f>
        <x:v>PASS</x:v>
      </x:c>
    </x:row>
    <x:row r="1223">
      <x:c r="B1223" t="str">
        <x:v>A-01191</x:v>
      </x:c>
      <x:c r="C1223" t="str">
        <x:v>GATE</x:v>
      </x:c>
      <x:c r="D1223" t="str">
        <x:v>release state mirrors governing ledger</x:v>
      </x:c>
      <x:c r="E1223" t="str">
        <x:f>'Release Gates'!I1197</x:f>
        <x:v>OPEN</x:v>
      </x:c>
      <x:c r="F1223" t="str">
        <x:f>IF('Release Gates'!C1197="PLANNING","PASS",IF('Release Gates'!C1197="PHYSICAL","OPEN","BLOCKED"))</x:f>
        <x:v>OPEN</x:v>
      </x:c>
      <x:c r="G1223" t="str">
        <x:v>equals</x:v>
      </x:c>
      <x:c r="H1223" t="str">
        <x:f>IF(E1223=F1223,"PASS","FAIL")</x:f>
        <x:v>PASS</x:v>
      </x:c>
    </x:row>
    <x:row r="1224">
      <x:c r="B1224" t="str">
        <x:v>A-01192</x:v>
      </x:c>
      <x:c r="C1224" t="str">
        <x:v>GATE</x:v>
      </x:c>
      <x:c r="D1224" t="str">
        <x:v>release state mirrors governing ledger</x:v>
      </x:c>
      <x:c r="E1224" t="str">
        <x:f>'Release Gates'!I1198</x:f>
        <x:v>OPEN</x:v>
      </x:c>
      <x:c r="F1224" t="str">
        <x:f>IF('Release Gates'!C1198="PLANNING","PASS",IF('Release Gates'!C1198="PHYSICAL","OPEN","BLOCKED"))</x:f>
        <x:v>OPEN</x:v>
      </x:c>
      <x:c r="G1224" t="str">
        <x:v>equals</x:v>
      </x:c>
      <x:c r="H1224" t="str">
        <x:f>IF(E1224=F1224,"PASS","FAIL")</x:f>
        <x:v>PASS</x:v>
      </x:c>
    </x:row>
    <x:row r="1225">
      <x:c r="B1225" t="str">
        <x:v>A-01193</x:v>
      </x:c>
      <x:c r="C1225" t="str">
        <x:v>GATE</x:v>
      </x:c>
      <x:c r="D1225" t="str">
        <x:v>release state mirrors governing ledger</x:v>
      </x:c>
      <x:c r="E1225" t="str">
        <x:f>'Release Gates'!I1199</x:f>
        <x:v>OPEN</x:v>
      </x:c>
      <x:c r="F1225" t="str">
        <x:f>IF('Release Gates'!C1199="PLANNING","PASS",IF('Release Gates'!C1199="PHYSICAL","OPEN","BLOCKED"))</x:f>
        <x:v>OPEN</x:v>
      </x:c>
      <x:c r="G1225" t="str">
        <x:v>equals</x:v>
      </x:c>
      <x:c r="H1225" t="str">
        <x:f>IF(E1225=F1225,"PASS","FAIL")</x:f>
        <x:v>PASS</x:v>
      </x:c>
    </x:row>
    <x:row r="1226">
      <x:c r="B1226" t="str">
        <x:v>A-01194</x:v>
      </x:c>
      <x:c r="C1226" t="str">
        <x:v>GATE</x:v>
      </x:c>
      <x:c r="D1226" t="str">
        <x:v>release state mirrors governing ledger</x:v>
      </x:c>
      <x:c r="E1226" t="str">
        <x:f>'Release Gates'!I1200</x:f>
        <x:v>OPEN</x:v>
      </x:c>
      <x:c r="F1226" t="str">
        <x:f>IF('Release Gates'!C1200="PLANNING","PASS",IF('Release Gates'!C1200="PHYSICAL","OPEN","BLOCKED"))</x:f>
        <x:v>OPEN</x:v>
      </x:c>
      <x:c r="G1226" t="str">
        <x:v>equals</x:v>
      </x:c>
      <x:c r="H1226" t="str">
        <x:f>IF(E1226=F1226,"PASS","FAIL")</x:f>
        <x:v>PASS</x:v>
      </x:c>
    </x:row>
    <x:row r="1227">
      <x:c r="B1227" t="str">
        <x:v>A-01195</x:v>
      </x:c>
      <x:c r="C1227" t="str">
        <x:v>GATE</x:v>
      </x:c>
      <x:c r="D1227" t="str">
        <x:v>release state mirrors governing ledger</x:v>
      </x:c>
      <x:c r="E1227" t="str">
        <x:f>'Release Gates'!I1201</x:f>
        <x:v>OPEN</x:v>
      </x:c>
      <x:c r="F1227" t="str">
        <x:f>IF('Release Gates'!C1201="PLANNING","PASS",IF('Release Gates'!C1201="PHYSICAL","OPEN","BLOCKED"))</x:f>
        <x:v>OPEN</x:v>
      </x:c>
      <x:c r="G1227" t="str">
        <x:v>equals</x:v>
      </x:c>
      <x:c r="H1227" t="str">
        <x:f>IF(E1227=F1227,"PASS","FAIL")</x:f>
        <x:v>PASS</x:v>
      </x:c>
    </x:row>
    <x:row r="1228">
      <x:c r="B1228" t="str">
        <x:v>A-01196</x:v>
      </x:c>
      <x:c r="C1228" t="str">
        <x:v>GATE</x:v>
      </x:c>
      <x:c r="D1228" t="str">
        <x:v>release state mirrors governing ledger</x:v>
      </x:c>
      <x:c r="E1228" t="str">
        <x:f>'Release Gates'!I1202</x:f>
        <x:v>OPEN</x:v>
      </x:c>
      <x:c r="F1228" t="str">
        <x:f>IF('Release Gates'!C1202="PLANNING","PASS",IF('Release Gates'!C1202="PHYSICAL","OPEN","BLOCKED"))</x:f>
        <x:v>OPEN</x:v>
      </x:c>
      <x:c r="G1228" t="str">
        <x:v>equals</x:v>
      </x:c>
      <x:c r="H1228" t="str">
        <x:f>IF(E1228=F1228,"PASS","FAIL")</x:f>
        <x:v>PASS</x:v>
      </x:c>
    </x:row>
    <x:row r="1229">
      <x:c r="B1229" t="str">
        <x:v>A-01197</x:v>
      </x:c>
      <x:c r="C1229" t="str">
        <x:v>GATE</x:v>
      </x:c>
      <x:c r="D1229" t="str">
        <x:v>release state mirrors governing ledger</x:v>
      </x:c>
      <x:c r="E1229" t="str">
        <x:f>'Release Gates'!I1203</x:f>
        <x:v>OPEN</x:v>
      </x:c>
      <x:c r="F1229" t="str">
        <x:f>IF('Release Gates'!C1203="PLANNING","PASS",IF('Release Gates'!C1203="PHYSICAL","OPEN","BLOCKED"))</x:f>
        <x:v>OPEN</x:v>
      </x:c>
      <x:c r="G1229" t="str">
        <x:v>equals</x:v>
      </x:c>
      <x:c r="H1229" t="str">
        <x:f>IF(E1229=F1229,"PASS","FAIL")</x:f>
        <x:v>PASS</x:v>
      </x:c>
    </x:row>
    <x:row r="1230">
      <x:c r="B1230" t="str">
        <x:v>A-01198</x:v>
      </x:c>
      <x:c r="C1230" t="str">
        <x:v>GATE</x:v>
      </x:c>
      <x:c r="D1230" t="str">
        <x:v>release state mirrors governing ledger</x:v>
      </x:c>
      <x:c r="E1230" t="str">
        <x:f>'Release Gates'!I1204</x:f>
        <x:v>OPEN</x:v>
      </x:c>
      <x:c r="F1230" t="str">
        <x:f>IF('Release Gates'!C1204="PLANNING","PASS",IF('Release Gates'!C1204="PHYSICAL","OPEN","BLOCKED"))</x:f>
        <x:v>OPEN</x:v>
      </x:c>
      <x:c r="G1230" t="str">
        <x:v>equals</x:v>
      </x:c>
      <x:c r="H1230" t="str">
        <x:f>IF(E1230=F1230,"PASS","FAIL")</x:f>
        <x:v>PASS</x:v>
      </x:c>
    </x:row>
    <x:row r="1231">
      <x:c r="B1231" t="str">
        <x:v>A-01199</x:v>
      </x:c>
      <x:c r="C1231" t="str">
        <x:v>GATE</x:v>
      </x:c>
      <x:c r="D1231" t="str">
        <x:v>release state mirrors governing ledger</x:v>
      </x:c>
      <x:c r="E1231" t="str">
        <x:f>'Release Gates'!I1205</x:f>
        <x:v>OPEN</x:v>
      </x:c>
      <x:c r="F1231" t="str">
        <x:f>IF('Release Gates'!C1205="PLANNING","PASS",IF('Release Gates'!C1205="PHYSICAL","OPEN","BLOCKED"))</x:f>
        <x:v>OPEN</x:v>
      </x:c>
      <x:c r="G1231" t="str">
        <x:v>equals</x:v>
      </x:c>
      <x:c r="H1231" t="str">
        <x:f>IF(E1231=F1231,"PASS","FAIL")</x:f>
        <x:v>PASS</x:v>
      </x:c>
    </x:row>
    <x:row r="1232">
      <x:c r="B1232" t="str">
        <x:v>A-01200</x:v>
      </x:c>
      <x:c r="C1232" t="str">
        <x:v>GATE</x:v>
      </x:c>
      <x:c r="D1232" t="str">
        <x:v>release state mirrors governing ledger</x:v>
      </x:c>
      <x:c r="E1232" t="str">
        <x:f>'Release Gates'!I1206</x:f>
        <x:v>OPEN</x:v>
      </x:c>
      <x:c r="F1232" t="str">
        <x:f>IF('Release Gates'!C1206="PLANNING","PASS",IF('Release Gates'!C1206="PHYSICAL","OPEN","BLOCKED"))</x:f>
        <x:v>OPEN</x:v>
      </x:c>
      <x:c r="G1232" t="str">
        <x:v>equals</x:v>
      </x:c>
      <x:c r="H1232" t="str">
        <x:f>IF(E1232=F1232,"PASS","FAIL")</x:f>
        <x:v>PASS</x:v>
      </x:c>
    </x:row>
    <x:row r="1233">
      <x:c r="B1233" t="str">
        <x:v>A-01201</x:v>
      </x:c>
      <x:c r="C1233" t="str">
        <x:v>GATE</x:v>
      </x:c>
      <x:c r="D1233" t="str">
        <x:v>release state mirrors governing ledger</x:v>
      </x:c>
      <x:c r="E1233" t="str">
        <x:f>'Release Gates'!I1207</x:f>
        <x:v>OPEN</x:v>
      </x:c>
      <x:c r="F1233" t="str">
        <x:f>IF('Release Gates'!C1207="PLANNING","PASS",IF('Release Gates'!C1207="PHYSICAL","OPEN","BLOCKED"))</x:f>
        <x:v>OPEN</x:v>
      </x:c>
      <x:c r="G1233" t="str">
        <x:v>equals</x:v>
      </x:c>
      <x:c r="H1233" t="str">
        <x:f>IF(E1233=F1233,"PASS","FAIL")</x:f>
        <x:v>PASS</x:v>
      </x:c>
    </x:row>
    <x:row r="1234">
      <x:c r="B1234" t="str">
        <x:v>A-01202</x:v>
      </x:c>
      <x:c r="C1234" t="str">
        <x:v>GATE</x:v>
      </x:c>
      <x:c r="D1234" t="str">
        <x:v>release state mirrors governing ledger</x:v>
      </x:c>
      <x:c r="E1234" t="str">
        <x:f>'Release Gates'!I1208</x:f>
        <x:v>OPEN</x:v>
      </x:c>
      <x:c r="F1234" t="str">
        <x:f>IF('Release Gates'!C1208="PLANNING","PASS",IF('Release Gates'!C1208="PHYSICAL","OPEN","BLOCKED"))</x:f>
        <x:v>OPEN</x:v>
      </x:c>
      <x:c r="G1234" t="str">
        <x:v>equals</x:v>
      </x:c>
      <x:c r="H1234" t="str">
        <x:f>IF(E1234=F1234,"PASS","FAIL")</x:f>
        <x:v>PASS</x:v>
      </x:c>
    </x:row>
    <x:row r="1235">
      <x:c r="B1235" t="str">
        <x:v>A-01203</x:v>
      </x:c>
      <x:c r="C1235" t="str">
        <x:v>GATE</x:v>
      </x:c>
      <x:c r="D1235" t="str">
        <x:v>release state mirrors governing ledger</x:v>
      </x:c>
      <x:c r="E1235" t="str">
        <x:f>'Release Gates'!I1209</x:f>
        <x:v>OPEN</x:v>
      </x:c>
      <x:c r="F1235" t="str">
        <x:f>IF('Release Gates'!C1209="PLANNING","PASS",IF('Release Gates'!C1209="PHYSICAL","OPEN","BLOCKED"))</x:f>
        <x:v>OPEN</x:v>
      </x:c>
      <x:c r="G1235" t="str">
        <x:v>equals</x:v>
      </x:c>
      <x:c r="H1235" t="str">
        <x:f>IF(E1235=F1235,"PASS","FAIL")</x:f>
        <x:v>PASS</x:v>
      </x:c>
    </x:row>
    <x:row r="1236">
      <x:c r="B1236" t="str">
        <x:v>A-01204</x:v>
      </x:c>
      <x:c r="C1236" t="str">
        <x:v>GATE</x:v>
      </x:c>
      <x:c r="D1236" t="str">
        <x:v>release state mirrors governing ledger</x:v>
      </x:c>
      <x:c r="E1236" t="str">
        <x:f>'Release Gates'!I1210</x:f>
        <x:v>OPEN</x:v>
      </x:c>
      <x:c r="F1236" t="str">
        <x:f>IF('Release Gates'!C1210="PLANNING","PASS",IF('Release Gates'!C1210="PHYSICAL","OPEN","BLOCKED"))</x:f>
        <x:v>OPEN</x:v>
      </x:c>
      <x:c r="G1236" t="str">
        <x:v>equals</x:v>
      </x:c>
      <x:c r="H1236" t="str">
        <x:f>IF(E1236=F1236,"PASS","FAIL")</x:f>
        <x:v>PASS</x:v>
      </x:c>
    </x:row>
    <x:row r="1237">
      <x:c r="B1237" t="str">
        <x:v>A-01205</x:v>
      </x:c>
      <x:c r="C1237" t="str">
        <x:v>GATE</x:v>
      </x:c>
      <x:c r="D1237" t="str">
        <x:v>release state mirrors governing ledger</x:v>
      </x:c>
      <x:c r="E1237" t="str">
        <x:f>'Release Gates'!I1211</x:f>
        <x:v>OPEN</x:v>
      </x:c>
      <x:c r="F1237" t="str">
        <x:f>IF('Release Gates'!C1211="PLANNING","PASS",IF('Release Gates'!C1211="PHYSICAL","OPEN","BLOCKED"))</x:f>
        <x:v>OPEN</x:v>
      </x:c>
      <x:c r="G1237" t="str">
        <x:v>equals</x:v>
      </x:c>
      <x:c r="H1237" t="str">
        <x:f>IF(E1237=F1237,"PASS","FAIL")</x:f>
        <x:v>PASS</x:v>
      </x:c>
    </x:row>
    <x:row r="1238">
      <x:c r="B1238" t="str">
        <x:v>A-01206</x:v>
      </x:c>
      <x:c r="C1238" t="str">
        <x:v>GATE</x:v>
      </x:c>
      <x:c r="D1238" t="str">
        <x:v>release state mirrors governing ledger</x:v>
      </x:c>
      <x:c r="E1238" t="str">
        <x:f>'Release Gates'!I1212</x:f>
        <x:v>OPEN</x:v>
      </x:c>
      <x:c r="F1238" t="str">
        <x:f>IF('Release Gates'!C1212="PLANNING","PASS",IF('Release Gates'!C1212="PHYSICAL","OPEN","BLOCKED"))</x:f>
        <x:v>OPEN</x:v>
      </x:c>
      <x:c r="G1238" t="str">
        <x:v>equals</x:v>
      </x:c>
      <x:c r="H1238" t="str">
        <x:f>IF(E1238=F1238,"PASS","FAIL")</x:f>
        <x:v>PASS</x:v>
      </x:c>
    </x:row>
    <x:row r="1239">
      <x:c r="B1239" t="str">
        <x:v>A-01207</x:v>
      </x:c>
      <x:c r="C1239" t="str">
        <x:v>GATE</x:v>
      </x:c>
      <x:c r="D1239" t="str">
        <x:v>release state mirrors governing ledger</x:v>
      </x:c>
      <x:c r="E1239" t="str">
        <x:f>'Release Gates'!I1213</x:f>
        <x:v>OPEN</x:v>
      </x:c>
      <x:c r="F1239" t="str">
        <x:f>IF('Release Gates'!C1213="PLANNING","PASS",IF('Release Gates'!C1213="PHYSICAL","OPEN","BLOCKED"))</x:f>
        <x:v>OPEN</x:v>
      </x:c>
      <x:c r="G1239" t="str">
        <x:v>equals</x:v>
      </x:c>
      <x:c r="H1239" t="str">
        <x:f>IF(E1239=F1239,"PASS","FAIL")</x:f>
        <x:v>PASS</x:v>
      </x:c>
    </x:row>
    <x:row r="1240">
      <x:c r="B1240" t="str">
        <x:v>A-01208</x:v>
      </x:c>
      <x:c r="C1240" t="str">
        <x:v>GATE</x:v>
      </x:c>
      <x:c r="D1240" t="str">
        <x:v>release state mirrors governing ledger</x:v>
      </x:c>
      <x:c r="E1240" t="str">
        <x:f>'Release Gates'!I1214</x:f>
        <x:v>OPEN</x:v>
      </x:c>
      <x:c r="F1240" t="str">
        <x:f>IF('Release Gates'!C1214="PLANNING","PASS",IF('Release Gates'!C1214="PHYSICAL","OPEN","BLOCKED"))</x:f>
        <x:v>OPEN</x:v>
      </x:c>
      <x:c r="G1240" t="str">
        <x:v>equals</x:v>
      </x:c>
      <x:c r="H1240" t="str">
        <x:f>IF(E1240=F1240,"PASS","FAIL")</x:f>
        <x:v>PASS</x:v>
      </x:c>
    </x:row>
    <x:row r="1241">
      <x:c r="B1241" t="str">
        <x:v>A-01209</x:v>
      </x:c>
      <x:c r="C1241" t="str">
        <x:v>GATE</x:v>
      </x:c>
      <x:c r="D1241" t="str">
        <x:v>release state mirrors governing ledger</x:v>
      </x:c>
      <x:c r="E1241" t="str">
        <x:f>'Release Gates'!I1215</x:f>
        <x:v>OPEN</x:v>
      </x:c>
      <x:c r="F1241" t="str">
        <x:f>IF('Release Gates'!C1215="PLANNING","PASS",IF('Release Gates'!C1215="PHYSICAL","OPEN","BLOCKED"))</x:f>
        <x:v>OPEN</x:v>
      </x:c>
      <x:c r="G1241" t="str">
        <x:v>equals</x:v>
      </x:c>
      <x:c r="H1241" t="str">
        <x:f>IF(E1241=F1241,"PASS","FAIL")</x:f>
        <x:v>PASS</x:v>
      </x:c>
    </x:row>
    <x:row r="1242">
      <x:c r="B1242" t="str">
        <x:v>A-01210</x:v>
      </x:c>
      <x:c r="C1242" t="str">
        <x:v>GATE</x:v>
      </x:c>
      <x:c r="D1242" t="str">
        <x:v>release state mirrors governing ledger</x:v>
      </x:c>
      <x:c r="E1242" t="str">
        <x:f>'Release Gates'!I1216</x:f>
        <x:v>OPEN</x:v>
      </x:c>
      <x:c r="F1242" t="str">
        <x:f>IF('Release Gates'!C1216="PLANNING","PASS",IF('Release Gates'!C1216="PHYSICAL","OPEN","BLOCKED"))</x:f>
        <x:v>OPEN</x:v>
      </x:c>
      <x:c r="G1242" t="str">
        <x:v>equals</x:v>
      </x:c>
      <x:c r="H1242" t="str">
        <x:f>IF(E1242=F1242,"PASS","FAIL")</x:f>
        <x:v>PASS</x:v>
      </x:c>
    </x:row>
    <x:row r="1243">
      <x:c r="B1243" t="str">
        <x:v>A-01211</x:v>
      </x:c>
      <x:c r="C1243" t="str">
        <x:v>GATE</x:v>
      </x:c>
      <x:c r="D1243" t="str">
        <x:v>release state mirrors governing ledger</x:v>
      </x:c>
      <x:c r="E1243" t="str">
        <x:f>'Release Gates'!I1217</x:f>
        <x:v>OPEN</x:v>
      </x:c>
      <x:c r="F1243" t="str">
        <x:f>IF('Release Gates'!C1217="PLANNING","PASS",IF('Release Gates'!C1217="PHYSICAL","OPEN","BLOCKED"))</x:f>
        <x:v>OPEN</x:v>
      </x:c>
      <x:c r="G1243" t="str">
        <x:v>equals</x:v>
      </x:c>
      <x:c r="H1243" t="str">
        <x:f>IF(E1243=F1243,"PASS","FAIL")</x:f>
        <x:v>PASS</x:v>
      </x:c>
    </x:row>
    <x:row r="1244">
      <x:c r="B1244" t="str">
        <x:v>A-01212</x:v>
      </x:c>
      <x:c r="C1244" t="str">
        <x:v>GATE</x:v>
      </x:c>
      <x:c r="D1244" t="str">
        <x:v>release state mirrors governing ledger</x:v>
      </x:c>
      <x:c r="E1244" t="str">
        <x:f>'Release Gates'!I1218</x:f>
        <x:v>OPEN</x:v>
      </x:c>
      <x:c r="F1244" t="str">
        <x:f>IF('Release Gates'!C1218="PLANNING","PASS",IF('Release Gates'!C1218="PHYSICAL","OPEN","BLOCKED"))</x:f>
        <x:v>OPEN</x:v>
      </x:c>
      <x:c r="G1244" t="str">
        <x:v>equals</x:v>
      </x:c>
      <x:c r="H1244" t="str">
        <x:f>IF(E1244=F1244,"PASS","FAIL")</x:f>
        <x:v>PASS</x:v>
      </x:c>
    </x:row>
    <x:row r="1245">
      <x:c r="B1245" t="str">
        <x:v>A-01213</x:v>
      </x:c>
      <x:c r="C1245" t="str">
        <x:v>GATE</x:v>
      </x:c>
      <x:c r="D1245" t="str">
        <x:v>release state mirrors governing ledger</x:v>
      </x:c>
      <x:c r="E1245" t="str">
        <x:f>'Release Gates'!I1219</x:f>
        <x:v>OPEN</x:v>
      </x:c>
      <x:c r="F1245" t="str">
        <x:f>IF('Release Gates'!C1219="PLANNING","PASS",IF('Release Gates'!C1219="PHYSICAL","OPEN","BLOCKED"))</x:f>
        <x:v>OPEN</x:v>
      </x:c>
      <x:c r="G1245" t="str">
        <x:v>equals</x:v>
      </x:c>
      <x:c r="H1245" t="str">
        <x:f>IF(E1245=F1245,"PASS","FAIL")</x:f>
        <x:v>PASS</x:v>
      </x:c>
    </x:row>
    <x:row r="1246">
      <x:c r="B1246" t="str">
        <x:v>A-01214</x:v>
      </x:c>
      <x:c r="C1246" t="str">
        <x:v>GATE</x:v>
      </x:c>
      <x:c r="D1246" t="str">
        <x:v>release state mirrors governing ledger</x:v>
      </x:c>
      <x:c r="E1246" t="str">
        <x:f>'Release Gates'!I1220</x:f>
        <x:v>OPEN</x:v>
      </x:c>
      <x:c r="F1246" t="str">
        <x:f>IF('Release Gates'!C1220="PLANNING","PASS",IF('Release Gates'!C1220="PHYSICAL","OPEN","BLOCKED"))</x:f>
        <x:v>OPEN</x:v>
      </x:c>
      <x:c r="G1246" t="str">
        <x:v>equals</x:v>
      </x:c>
      <x:c r="H1246" t="str">
        <x:f>IF(E1246=F1246,"PASS","FAIL")</x:f>
        <x:v>PASS</x:v>
      </x:c>
    </x:row>
    <x:row r="1247">
      <x:c r="B1247" t="str">
        <x:v>A-01215</x:v>
      </x:c>
      <x:c r="C1247" t="str">
        <x:v>GATE</x:v>
      </x:c>
      <x:c r="D1247" t="str">
        <x:v>release state mirrors governing ledger</x:v>
      </x:c>
      <x:c r="E1247" t="str">
        <x:f>'Release Gates'!I1221</x:f>
        <x:v>OPEN</x:v>
      </x:c>
      <x:c r="F1247" t="str">
        <x:f>IF('Release Gates'!C1221="PLANNING","PASS",IF('Release Gates'!C1221="PHYSICAL","OPEN","BLOCKED"))</x:f>
        <x:v>OPEN</x:v>
      </x:c>
      <x:c r="G1247" t="str">
        <x:v>equals</x:v>
      </x:c>
      <x:c r="H1247" t="str">
        <x:f>IF(E1247=F1247,"PASS","FAIL")</x:f>
        <x:v>PASS</x:v>
      </x:c>
    </x:row>
    <x:row r="1248">
      <x:c r="B1248" t="str">
        <x:v>A-01216</x:v>
      </x:c>
      <x:c r="C1248" t="str">
        <x:v>GATE</x:v>
      </x:c>
      <x:c r="D1248" t="str">
        <x:v>release state mirrors governing ledger</x:v>
      </x:c>
      <x:c r="E1248" t="str">
        <x:f>'Release Gates'!I1222</x:f>
        <x:v>OPEN</x:v>
      </x:c>
      <x:c r="F1248" t="str">
        <x:f>IF('Release Gates'!C1222="PLANNING","PASS",IF('Release Gates'!C1222="PHYSICAL","OPEN","BLOCKED"))</x:f>
        <x:v>OPEN</x:v>
      </x:c>
      <x:c r="G1248" t="str">
        <x:v>equals</x:v>
      </x:c>
      <x:c r="H1248" t="str">
        <x:f>IF(E1248=F1248,"PASS","FAIL")</x:f>
        <x:v>PASS</x:v>
      </x:c>
    </x:row>
    <x:row r="1249">
      <x:c r="B1249" t="str">
        <x:v>A-01217</x:v>
      </x:c>
      <x:c r="C1249" t="str">
        <x:v>GATE</x:v>
      </x:c>
      <x:c r="D1249" t="str">
        <x:v>release state mirrors governing ledger</x:v>
      </x:c>
      <x:c r="E1249" t="str">
        <x:f>'Release Gates'!I1223</x:f>
        <x:v>OPEN</x:v>
      </x:c>
      <x:c r="F1249" t="str">
        <x:f>IF('Release Gates'!C1223="PLANNING","PASS",IF('Release Gates'!C1223="PHYSICAL","OPEN","BLOCKED"))</x:f>
        <x:v>OPEN</x:v>
      </x:c>
      <x:c r="G1249" t="str">
        <x:v>equals</x:v>
      </x:c>
      <x:c r="H1249" t="str">
        <x:f>IF(E1249=F1249,"PASS","FAIL")</x:f>
        <x:v>PASS</x:v>
      </x:c>
    </x:row>
    <x:row r="1250">
      <x:c r="B1250" t="str">
        <x:v>A-01218</x:v>
      </x:c>
      <x:c r="C1250" t="str">
        <x:v>GATE</x:v>
      </x:c>
      <x:c r="D1250" t="str">
        <x:v>release state mirrors governing ledger</x:v>
      </x:c>
      <x:c r="E1250" t="str">
        <x:f>'Release Gates'!I1224</x:f>
        <x:v>OPEN</x:v>
      </x:c>
      <x:c r="F1250" t="str">
        <x:f>IF('Release Gates'!C1224="PLANNING","PASS",IF('Release Gates'!C1224="PHYSICAL","OPEN","BLOCKED"))</x:f>
        <x:v>OPEN</x:v>
      </x:c>
      <x:c r="G1250" t="str">
        <x:v>equals</x:v>
      </x:c>
      <x:c r="H1250" t="str">
        <x:f>IF(E1250=F1250,"PASS","FAIL")</x:f>
        <x:v>PASS</x:v>
      </x:c>
    </x:row>
    <x:row r="1251">
      <x:c r="B1251" t="str">
        <x:v>A-01219</x:v>
      </x:c>
      <x:c r="C1251" t="str">
        <x:v>GATE</x:v>
      </x:c>
      <x:c r="D1251" t="str">
        <x:v>release state mirrors governing ledger</x:v>
      </x:c>
      <x:c r="E1251" t="str">
        <x:f>'Release Gates'!I1225</x:f>
        <x:v>OPEN</x:v>
      </x:c>
      <x:c r="F1251" t="str">
        <x:f>IF('Release Gates'!C1225="PLANNING","PASS",IF('Release Gates'!C1225="PHYSICAL","OPEN","BLOCKED"))</x:f>
        <x:v>OPEN</x:v>
      </x:c>
      <x:c r="G1251" t="str">
        <x:v>equals</x:v>
      </x:c>
      <x:c r="H1251" t="str">
        <x:f>IF(E1251=F1251,"PASS","FAIL")</x:f>
        <x:v>PASS</x:v>
      </x:c>
    </x:row>
    <x:row r="1252">
      <x:c r="B1252" t="str">
        <x:v>A-01220</x:v>
      </x:c>
      <x:c r="C1252" t="str">
        <x:v>GATE</x:v>
      </x:c>
      <x:c r="D1252" t="str">
        <x:v>release state mirrors governing ledger</x:v>
      </x:c>
      <x:c r="E1252" t="str">
        <x:f>'Release Gates'!I1226</x:f>
        <x:v>OPEN</x:v>
      </x:c>
      <x:c r="F1252" t="str">
        <x:f>IF('Release Gates'!C1226="PLANNING","PASS",IF('Release Gates'!C1226="PHYSICAL","OPEN","BLOCKED"))</x:f>
        <x:v>OPEN</x:v>
      </x:c>
      <x:c r="G1252" t="str">
        <x:v>equals</x:v>
      </x:c>
      <x:c r="H1252" t="str">
        <x:f>IF(E1252=F1252,"PASS","FAIL")</x:f>
        <x:v>PASS</x:v>
      </x:c>
    </x:row>
    <x:row r="1253">
      <x:c r="B1253" t="str">
        <x:v>A-01221</x:v>
      </x:c>
      <x:c r="C1253" t="str">
        <x:v>GATE</x:v>
      </x:c>
      <x:c r="D1253" t="str">
        <x:v>release state mirrors governing ledger</x:v>
      </x:c>
      <x:c r="E1253" t="str">
        <x:f>'Release Gates'!I1227</x:f>
        <x:v>OPEN</x:v>
      </x:c>
      <x:c r="F1253" t="str">
        <x:f>IF('Release Gates'!C1227="PLANNING","PASS",IF('Release Gates'!C1227="PHYSICAL","OPEN","BLOCKED"))</x:f>
        <x:v>OPEN</x:v>
      </x:c>
      <x:c r="G1253" t="str">
        <x:v>equals</x:v>
      </x:c>
      <x:c r="H1253" t="str">
        <x:f>IF(E1253=F1253,"PASS","FAIL")</x:f>
        <x:v>PASS</x:v>
      </x:c>
    </x:row>
    <x:row r="1254">
      <x:c r="B1254" t="str">
        <x:v>A-01222</x:v>
      </x:c>
      <x:c r="C1254" t="str">
        <x:v>GATE</x:v>
      </x:c>
      <x:c r="D1254" t="str">
        <x:v>release state mirrors governing ledger</x:v>
      </x:c>
      <x:c r="E1254" t="str">
        <x:f>'Release Gates'!I1228</x:f>
        <x:v>OPEN</x:v>
      </x:c>
      <x:c r="F1254" t="str">
        <x:f>IF('Release Gates'!C1228="PLANNING","PASS",IF('Release Gates'!C1228="PHYSICAL","OPEN","BLOCKED"))</x:f>
        <x:v>OPEN</x:v>
      </x:c>
      <x:c r="G1254" t="str">
        <x:v>equals</x:v>
      </x:c>
      <x:c r="H1254" t="str">
        <x:f>IF(E1254=F1254,"PASS","FAIL")</x:f>
        <x:v>PASS</x:v>
      </x:c>
    </x:row>
    <x:row r="1255">
      <x:c r="B1255" t="str">
        <x:v>A-01223</x:v>
      </x:c>
      <x:c r="C1255" t="str">
        <x:v>GATE</x:v>
      </x:c>
      <x:c r="D1255" t="str">
        <x:v>release state mirrors governing ledger</x:v>
      </x:c>
      <x:c r="E1255" t="str">
        <x:f>'Release Gates'!I1229</x:f>
        <x:v>OPEN</x:v>
      </x:c>
      <x:c r="F1255" t="str">
        <x:f>IF('Release Gates'!C1229="PLANNING","PASS",IF('Release Gates'!C1229="PHYSICAL","OPEN","BLOCKED"))</x:f>
        <x:v>OPEN</x:v>
      </x:c>
      <x:c r="G1255" t="str">
        <x:v>equals</x:v>
      </x:c>
      <x:c r="H1255" t="str">
        <x:f>IF(E1255=F1255,"PASS","FAIL")</x:f>
        <x:v>PASS</x:v>
      </x:c>
    </x:row>
    <x:row r="1256">
      <x:c r="B1256" t="str">
        <x:v>A-01224</x:v>
      </x:c>
      <x:c r="C1256" t="str">
        <x:v>GATE</x:v>
      </x:c>
      <x:c r="D1256" t="str">
        <x:v>release state mirrors governing ledger</x:v>
      </x:c>
      <x:c r="E1256" t="str">
        <x:f>'Release Gates'!I1230</x:f>
        <x:v>OPEN</x:v>
      </x:c>
      <x:c r="F1256" t="str">
        <x:f>IF('Release Gates'!C1230="PLANNING","PASS",IF('Release Gates'!C1230="PHYSICAL","OPEN","BLOCKED"))</x:f>
        <x:v>OPEN</x:v>
      </x:c>
      <x:c r="G1256" t="str">
        <x:v>equals</x:v>
      </x:c>
      <x:c r="H1256" t="str">
        <x:f>IF(E1256=F1256,"PASS","FAIL")</x:f>
        <x:v>PASS</x:v>
      </x:c>
    </x:row>
    <x:row r="1257">
      <x:c r="B1257" t="str">
        <x:v>A-01225</x:v>
      </x:c>
      <x:c r="C1257" t="str">
        <x:v>GATE</x:v>
      </x:c>
      <x:c r="D1257" t="str">
        <x:v>release state mirrors governing ledger</x:v>
      </x:c>
      <x:c r="E1257" t="str">
        <x:f>'Release Gates'!I1231</x:f>
        <x:v>OPEN</x:v>
      </x:c>
      <x:c r="F1257" t="str">
        <x:f>IF('Release Gates'!C1231="PLANNING","PASS",IF('Release Gates'!C1231="PHYSICAL","OPEN","BLOCKED"))</x:f>
        <x:v>OPEN</x:v>
      </x:c>
      <x:c r="G1257" t="str">
        <x:v>equals</x:v>
      </x:c>
      <x:c r="H1257" t="str">
        <x:f>IF(E1257=F1257,"PASS","FAIL")</x:f>
        <x:v>PASS</x:v>
      </x:c>
    </x:row>
    <x:row r="1258">
      <x:c r="B1258" t="str">
        <x:v>A-01226</x:v>
      </x:c>
      <x:c r="C1258" t="str">
        <x:v>GATE</x:v>
      </x:c>
      <x:c r="D1258" t="str">
        <x:v>release state mirrors governing ledger</x:v>
      </x:c>
      <x:c r="E1258" t="str">
        <x:f>'Release Gates'!I1232</x:f>
        <x:v>OPEN</x:v>
      </x:c>
      <x:c r="F1258" t="str">
        <x:f>IF('Release Gates'!C1232="PLANNING","PASS",IF('Release Gates'!C1232="PHYSICAL","OPEN","BLOCKED"))</x:f>
        <x:v>OPEN</x:v>
      </x:c>
      <x:c r="G1258" t="str">
        <x:v>equals</x:v>
      </x:c>
      <x:c r="H1258" t="str">
        <x:f>IF(E1258=F1258,"PASS","FAIL")</x:f>
        <x:v>PASS</x:v>
      </x:c>
    </x:row>
    <x:row r="1259">
      <x:c r="B1259" t="str">
        <x:v>A-01227</x:v>
      </x:c>
      <x:c r="C1259" t="str">
        <x:v>GATE</x:v>
      </x:c>
      <x:c r="D1259" t="str">
        <x:v>release state mirrors governing ledger</x:v>
      </x:c>
      <x:c r="E1259" t="str">
        <x:f>'Release Gates'!I1233</x:f>
        <x:v>OPEN</x:v>
      </x:c>
      <x:c r="F1259" t="str">
        <x:f>IF('Release Gates'!C1233="PLANNING","PASS",IF('Release Gates'!C1233="PHYSICAL","OPEN","BLOCKED"))</x:f>
        <x:v>OPEN</x:v>
      </x:c>
      <x:c r="G1259" t="str">
        <x:v>equals</x:v>
      </x:c>
      <x:c r="H1259" t="str">
        <x:f>IF(E1259=F1259,"PASS","FAIL")</x:f>
        <x:v>PASS</x:v>
      </x:c>
    </x:row>
    <x:row r="1260">
      <x:c r="B1260" t="str">
        <x:v>A-01228</x:v>
      </x:c>
      <x:c r="C1260" t="str">
        <x:v>GATE</x:v>
      </x:c>
      <x:c r="D1260" t="str">
        <x:v>release state mirrors governing ledger</x:v>
      </x:c>
      <x:c r="E1260" t="str">
        <x:f>'Release Gates'!I1234</x:f>
        <x:v>OPEN</x:v>
      </x:c>
      <x:c r="F1260" t="str">
        <x:f>IF('Release Gates'!C1234="PLANNING","PASS",IF('Release Gates'!C1234="PHYSICAL","OPEN","BLOCKED"))</x:f>
        <x:v>OPEN</x:v>
      </x:c>
      <x:c r="G1260" t="str">
        <x:v>equals</x:v>
      </x:c>
      <x:c r="H1260" t="str">
        <x:f>IF(E1260=F1260,"PASS","FAIL")</x:f>
        <x:v>PASS</x:v>
      </x:c>
    </x:row>
    <x:row r="1261">
      <x:c r="B1261" t="str">
        <x:v>A-01229</x:v>
      </x:c>
      <x:c r="C1261" t="str">
        <x:v>GATE</x:v>
      </x:c>
      <x:c r="D1261" t="str">
        <x:v>release state mirrors governing ledger</x:v>
      </x:c>
      <x:c r="E1261" t="str">
        <x:f>'Release Gates'!I1235</x:f>
        <x:v>OPEN</x:v>
      </x:c>
      <x:c r="F1261" t="str">
        <x:f>IF('Release Gates'!C1235="PLANNING","PASS",IF('Release Gates'!C1235="PHYSICAL","OPEN","BLOCKED"))</x:f>
        <x:v>OPEN</x:v>
      </x:c>
      <x:c r="G1261" t="str">
        <x:v>equals</x:v>
      </x:c>
      <x:c r="H1261" t="str">
        <x:f>IF(E1261=F1261,"PASS","FAIL")</x:f>
        <x:v>PASS</x:v>
      </x:c>
    </x:row>
    <x:row r="1262">
      <x:c r="B1262" t="str">
        <x:v>A-01230</x:v>
      </x:c>
      <x:c r="C1262" t="str">
        <x:v>GATE</x:v>
      </x:c>
      <x:c r="D1262" t="str">
        <x:v>release state mirrors governing ledger</x:v>
      </x:c>
      <x:c r="E1262" t="str">
        <x:f>'Release Gates'!I1236</x:f>
        <x:v>OPEN</x:v>
      </x:c>
      <x:c r="F1262" t="str">
        <x:f>IF('Release Gates'!C1236="PLANNING","PASS",IF('Release Gates'!C1236="PHYSICAL","OPEN","BLOCKED"))</x:f>
        <x:v>OPEN</x:v>
      </x:c>
      <x:c r="G1262" t="str">
        <x:v>equals</x:v>
      </x:c>
      <x:c r="H1262" t="str">
        <x:f>IF(E1262=F1262,"PASS","FAIL")</x:f>
        <x:v>PASS</x:v>
      </x:c>
    </x:row>
    <x:row r="1263">
      <x:c r="B1263" t="str">
        <x:v>A-01231</x:v>
      </x:c>
      <x:c r="C1263" t="str">
        <x:v>GATE</x:v>
      </x:c>
      <x:c r="D1263" t="str">
        <x:v>release state mirrors governing ledger</x:v>
      </x:c>
      <x:c r="E1263" t="str">
        <x:f>'Release Gates'!I1237</x:f>
        <x:v>OPEN</x:v>
      </x:c>
      <x:c r="F1263" t="str">
        <x:f>IF('Release Gates'!C1237="PLANNING","PASS",IF('Release Gates'!C1237="PHYSICAL","OPEN","BLOCKED"))</x:f>
        <x:v>OPEN</x:v>
      </x:c>
      <x:c r="G1263" t="str">
        <x:v>equals</x:v>
      </x:c>
      <x:c r="H1263" t="str">
        <x:f>IF(E1263=F1263,"PASS","FAIL")</x:f>
        <x:v>PASS</x:v>
      </x:c>
    </x:row>
    <x:row r="1264">
      <x:c r="B1264" t="str">
        <x:v>A-01232</x:v>
      </x:c>
      <x:c r="C1264" t="str">
        <x:v>GATE</x:v>
      </x:c>
      <x:c r="D1264" t="str">
        <x:v>release state mirrors governing ledger</x:v>
      </x:c>
      <x:c r="E1264" t="str">
        <x:f>'Release Gates'!I1238</x:f>
        <x:v>OPEN</x:v>
      </x:c>
      <x:c r="F1264" t="str">
        <x:f>IF('Release Gates'!C1238="PLANNING","PASS",IF('Release Gates'!C1238="PHYSICAL","OPEN","BLOCKED"))</x:f>
        <x:v>OPEN</x:v>
      </x:c>
      <x:c r="G1264" t="str">
        <x:v>equals</x:v>
      </x:c>
      <x:c r="H1264" t="str">
        <x:f>IF(E1264=F1264,"PASS","FAIL")</x:f>
        <x:v>PASS</x:v>
      </x:c>
    </x:row>
    <x:row r="1265">
      <x:c r="B1265" t="str">
        <x:v>A-01233</x:v>
      </x:c>
      <x:c r="C1265" t="str">
        <x:v>GATE</x:v>
      </x:c>
      <x:c r="D1265" t="str">
        <x:v>release state mirrors governing ledger</x:v>
      </x:c>
      <x:c r="E1265" t="str">
        <x:f>'Release Gates'!I1239</x:f>
        <x:v>OPEN</x:v>
      </x:c>
      <x:c r="F1265" t="str">
        <x:f>IF('Release Gates'!C1239="PLANNING","PASS",IF('Release Gates'!C1239="PHYSICAL","OPEN","BLOCKED"))</x:f>
        <x:v>OPEN</x:v>
      </x:c>
      <x:c r="G1265" t="str">
        <x:v>equals</x:v>
      </x:c>
      <x:c r="H1265" t="str">
        <x:f>IF(E1265=F1265,"PASS","FAIL")</x:f>
        <x:v>PASS</x:v>
      </x:c>
    </x:row>
    <x:row r="1266">
      <x:c r="B1266" t="str">
        <x:v>A-01234</x:v>
      </x:c>
      <x:c r="C1266" t="str">
        <x:v>GATE</x:v>
      </x:c>
      <x:c r="D1266" t="str">
        <x:v>release state mirrors governing ledger</x:v>
      </x:c>
      <x:c r="E1266" t="str">
        <x:f>'Release Gates'!I1240</x:f>
        <x:v>OPEN</x:v>
      </x:c>
      <x:c r="F1266" t="str">
        <x:f>IF('Release Gates'!C1240="PLANNING","PASS",IF('Release Gates'!C1240="PHYSICAL","OPEN","BLOCKED"))</x:f>
        <x:v>OPEN</x:v>
      </x:c>
      <x:c r="G1266" t="str">
        <x:v>equals</x:v>
      </x:c>
      <x:c r="H1266" t="str">
        <x:f>IF(E1266=F1266,"PASS","FAIL")</x:f>
        <x:v>PASS</x:v>
      </x:c>
    </x:row>
    <x:row r="1267">
      <x:c r="B1267" t="str">
        <x:v>A-01235</x:v>
      </x:c>
      <x:c r="C1267" t="str">
        <x:v>GATE</x:v>
      </x:c>
      <x:c r="D1267" t="str">
        <x:v>release state mirrors governing ledger</x:v>
      </x:c>
      <x:c r="E1267" t="str">
        <x:f>'Release Gates'!I1241</x:f>
        <x:v>OPEN</x:v>
      </x:c>
      <x:c r="F1267" t="str">
        <x:f>IF('Release Gates'!C1241="PLANNING","PASS",IF('Release Gates'!C1241="PHYSICAL","OPEN","BLOCKED"))</x:f>
        <x:v>OPEN</x:v>
      </x:c>
      <x:c r="G1267" t="str">
        <x:v>equals</x:v>
      </x:c>
      <x:c r="H1267" t="str">
        <x:f>IF(E1267=F1267,"PASS","FAIL")</x:f>
        <x:v>PASS</x:v>
      </x:c>
    </x:row>
    <x:row r="1268">
      <x:c r="B1268" t="str">
        <x:v>A-01236</x:v>
      </x:c>
      <x:c r="C1268" t="str">
        <x:v>GATE</x:v>
      </x:c>
      <x:c r="D1268" t="str">
        <x:v>release state mirrors governing ledger</x:v>
      </x:c>
      <x:c r="E1268" t="str">
        <x:f>'Release Gates'!I1242</x:f>
        <x:v>OPEN</x:v>
      </x:c>
      <x:c r="F1268" t="str">
        <x:f>IF('Release Gates'!C1242="PLANNING","PASS",IF('Release Gates'!C1242="PHYSICAL","OPEN","BLOCKED"))</x:f>
        <x:v>OPEN</x:v>
      </x:c>
      <x:c r="G1268" t="str">
        <x:v>equals</x:v>
      </x:c>
      <x:c r="H1268" t="str">
        <x:f>IF(E1268=F1268,"PASS","FAIL")</x:f>
        <x:v>PASS</x:v>
      </x:c>
    </x:row>
    <x:row r="1269">
      <x:c r="B1269" t="str">
        <x:v>A-01237</x:v>
      </x:c>
      <x:c r="C1269" t="str">
        <x:v>GATE</x:v>
      </x:c>
      <x:c r="D1269" t="str">
        <x:v>release state mirrors governing ledger</x:v>
      </x:c>
      <x:c r="E1269" t="str">
        <x:f>'Release Gates'!I1243</x:f>
        <x:v>OPEN</x:v>
      </x:c>
      <x:c r="F1269" t="str">
        <x:f>IF('Release Gates'!C1243="PLANNING","PASS",IF('Release Gates'!C1243="PHYSICAL","OPEN","BLOCKED"))</x:f>
        <x:v>OPEN</x:v>
      </x:c>
      <x:c r="G1269" t="str">
        <x:v>equals</x:v>
      </x:c>
      <x:c r="H1269" t="str">
        <x:f>IF(E1269=F1269,"PASS","FAIL")</x:f>
        <x:v>PASS</x:v>
      </x:c>
    </x:row>
    <x:row r="1270">
      <x:c r="B1270" t="str">
        <x:v>A-01238</x:v>
      </x:c>
      <x:c r="C1270" t="str">
        <x:v>GATE</x:v>
      </x:c>
      <x:c r="D1270" t="str">
        <x:v>release state mirrors governing ledger</x:v>
      </x:c>
      <x:c r="E1270" t="str">
        <x:f>'Release Gates'!I1244</x:f>
        <x:v>OPEN</x:v>
      </x:c>
      <x:c r="F1270" t="str">
        <x:f>IF('Release Gates'!C1244="PLANNING","PASS",IF('Release Gates'!C1244="PHYSICAL","OPEN","BLOCKED"))</x:f>
        <x:v>OPEN</x:v>
      </x:c>
      <x:c r="G1270" t="str">
        <x:v>equals</x:v>
      </x:c>
      <x:c r="H1270" t="str">
        <x:f>IF(E1270=F1270,"PASS","FAIL")</x:f>
        <x:v>PASS</x:v>
      </x:c>
    </x:row>
    <x:row r="1271">
      <x:c r="B1271" t="str">
        <x:v>A-01239</x:v>
      </x:c>
      <x:c r="C1271" t="str">
        <x:v>GATE</x:v>
      </x:c>
      <x:c r="D1271" t="str">
        <x:v>release state mirrors governing ledger</x:v>
      </x:c>
      <x:c r="E1271" t="str">
        <x:f>'Release Gates'!I1245</x:f>
        <x:v>OPEN</x:v>
      </x:c>
      <x:c r="F1271" t="str">
        <x:f>IF('Release Gates'!C1245="PLANNING","PASS",IF('Release Gates'!C1245="PHYSICAL","OPEN","BLOCKED"))</x:f>
        <x:v>OPEN</x:v>
      </x:c>
      <x:c r="G1271" t="str">
        <x:v>equals</x:v>
      </x:c>
      <x:c r="H1271" t="str">
        <x:f>IF(E1271=F1271,"PASS","FAIL")</x:f>
        <x:v>PASS</x:v>
      </x:c>
    </x:row>
    <x:row r="1272">
      <x:c r="B1272" t="str">
        <x:v>A-01240</x:v>
      </x:c>
      <x:c r="C1272" t="str">
        <x:v>GATE</x:v>
      </x:c>
      <x:c r="D1272" t="str">
        <x:v>release state mirrors governing ledger</x:v>
      </x:c>
      <x:c r="E1272" t="str">
        <x:f>'Release Gates'!I1246</x:f>
        <x:v>OPEN</x:v>
      </x:c>
      <x:c r="F1272" t="str">
        <x:f>IF('Release Gates'!C1246="PLANNING","PASS",IF('Release Gates'!C1246="PHYSICAL","OPEN","BLOCKED"))</x:f>
        <x:v>OPEN</x:v>
      </x:c>
      <x:c r="G1272" t="str">
        <x:v>equals</x:v>
      </x:c>
      <x:c r="H1272" t="str">
        <x:f>IF(E1272=F1272,"PASS","FAIL")</x:f>
        <x:v>PASS</x:v>
      </x:c>
    </x:row>
    <x:row r="1273">
      <x:c r="B1273" t="str">
        <x:v>A-01241</x:v>
      </x:c>
      <x:c r="C1273" t="str">
        <x:v>GATE</x:v>
      </x:c>
      <x:c r="D1273" t="str">
        <x:v>release state mirrors governing ledger</x:v>
      </x:c>
      <x:c r="E1273" t="str">
        <x:f>'Release Gates'!I1247</x:f>
        <x:v>OPEN</x:v>
      </x:c>
      <x:c r="F1273" t="str">
        <x:f>IF('Release Gates'!C1247="PLANNING","PASS",IF('Release Gates'!C1247="PHYSICAL","OPEN","BLOCKED"))</x:f>
        <x:v>OPEN</x:v>
      </x:c>
      <x:c r="G1273" t="str">
        <x:v>equals</x:v>
      </x:c>
      <x:c r="H1273" t="str">
        <x:f>IF(E1273=F1273,"PASS","FAIL")</x:f>
        <x:v>PASS</x:v>
      </x:c>
    </x:row>
    <x:row r="1274">
      <x:c r="B1274" t="str">
        <x:v>A-01242</x:v>
      </x:c>
      <x:c r="C1274" t="str">
        <x:v>GATE</x:v>
      </x:c>
      <x:c r="D1274" t="str">
        <x:v>release state mirrors governing ledger</x:v>
      </x:c>
      <x:c r="E1274" t="str">
        <x:f>'Release Gates'!I1248</x:f>
        <x:v>OPEN</x:v>
      </x:c>
      <x:c r="F1274" t="str">
        <x:f>IF('Release Gates'!C1248="PLANNING","PASS",IF('Release Gates'!C1248="PHYSICAL","OPEN","BLOCKED"))</x:f>
        <x:v>OPEN</x:v>
      </x:c>
      <x:c r="G1274" t="str">
        <x:v>equals</x:v>
      </x:c>
      <x:c r="H1274" t="str">
        <x:f>IF(E1274=F1274,"PASS","FAIL")</x:f>
        <x:v>PASS</x:v>
      </x:c>
    </x:row>
    <x:row r="1275">
      <x:c r="B1275" t="str">
        <x:v>A-01243</x:v>
      </x:c>
      <x:c r="C1275" t="str">
        <x:v>GATE</x:v>
      </x:c>
      <x:c r="D1275" t="str">
        <x:v>release state mirrors governing ledger</x:v>
      </x:c>
      <x:c r="E1275" t="str">
        <x:f>'Release Gates'!I1249</x:f>
        <x:v>OPEN</x:v>
      </x:c>
      <x:c r="F1275" t="str">
        <x:f>IF('Release Gates'!C1249="PLANNING","PASS",IF('Release Gates'!C1249="PHYSICAL","OPEN","BLOCKED"))</x:f>
        <x:v>OPEN</x:v>
      </x:c>
      <x:c r="G1275" t="str">
        <x:v>equals</x:v>
      </x:c>
      <x:c r="H1275" t="str">
        <x:f>IF(E1275=F1275,"PASS","FAIL")</x:f>
        <x:v>PASS</x:v>
      </x:c>
    </x:row>
    <x:row r="1276">
      <x:c r="B1276" t="str">
        <x:v>A-01244</x:v>
      </x:c>
      <x:c r="C1276" t="str">
        <x:v>GATE</x:v>
      </x:c>
      <x:c r="D1276" t="str">
        <x:v>release state mirrors governing ledger</x:v>
      </x:c>
      <x:c r="E1276" t="str">
        <x:f>'Release Gates'!I1250</x:f>
        <x:v>OPEN</x:v>
      </x:c>
      <x:c r="F1276" t="str">
        <x:f>IF('Release Gates'!C1250="PLANNING","PASS",IF('Release Gates'!C1250="PHYSICAL","OPEN","BLOCKED"))</x:f>
        <x:v>OPEN</x:v>
      </x:c>
      <x:c r="G1276" t="str">
        <x:v>equals</x:v>
      </x:c>
      <x:c r="H1276" t="str">
        <x:f>IF(E1276=F1276,"PASS","FAIL")</x:f>
        <x:v>PASS</x:v>
      </x:c>
    </x:row>
    <x:row r="1277">
      <x:c r="B1277" t="str">
        <x:v>A-01245</x:v>
      </x:c>
      <x:c r="C1277" t="str">
        <x:v>GATE</x:v>
      </x:c>
      <x:c r="D1277" t="str">
        <x:v>release state mirrors governing ledger</x:v>
      </x:c>
      <x:c r="E1277" t="str">
        <x:f>'Release Gates'!I1251</x:f>
        <x:v>OPEN</x:v>
      </x:c>
      <x:c r="F1277" t="str">
        <x:f>IF('Release Gates'!C1251="PLANNING","PASS",IF('Release Gates'!C1251="PHYSICAL","OPEN","BLOCKED"))</x:f>
        <x:v>OPEN</x:v>
      </x:c>
      <x:c r="G1277" t="str">
        <x:v>equals</x:v>
      </x:c>
      <x:c r="H1277" t="str">
        <x:f>IF(E1277=F1277,"PASS","FAIL")</x:f>
        <x:v>PASS</x:v>
      </x:c>
    </x:row>
    <x:row r="1278">
      <x:c r="B1278" t="str">
        <x:v>A-01246</x:v>
      </x:c>
      <x:c r="C1278" t="str">
        <x:v>GATE</x:v>
      </x:c>
      <x:c r="D1278" t="str">
        <x:v>release state mirrors governing ledger</x:v>
      </x:c>
      <x:c r="E1278" t="str">
        <x:f>'Release Gates'!I1252</x:f>
        <x:v>OPEN</x:v>
      </x:c>
      <x:c r="F1278" t="str">
        <x:f>IF('Release Gates'!C1252="PLANNING","PASS",IF('Release Gates'!C1252="PHYSICAL","OPEN","BLOCKED"))</x:f>
        <x:v>OPEN</x:v>
      </x:c>
      <x:c r="G1278" t="str">
        <x:v>equals</x:v>
      </x:c>
      <x:c r="H1278" t="str">
        <x:f>IF(E1278=F1278,"PASS","FAIL")</x:f>
        <x:v>PASS</x:v>
      </x:c>
    </x:row>
    <x:row r="1279">
      <x:c r="B1279" t="str">
        <x:v>A-01247</x:v>
      </x:c>
      <x:c r="C1279" t="str">
        <x:v>GATE</x:v>
      </x:c>
      <x:c r="D1279" t="str">
        <x:v>release state mirrors governing ledger</x:v>
      </x:c>
      <x:c r="E1279" t="str">
        <x:f>'Release Gates'!I1253</x:f>
        <x:v>OPEN</x:v>
      </x:c>
      <x:c r="F1279" t="str">
        <x:f>IF('Release Gates'!C1253="PLANNING","PASS",IF('Release Gates'!C1253="PHYSICAL","OPEN","BLOCKED"))</x:f>
        <x:v>OPEN</x:v>
      </x:c>
      <x:c r="G1279" t="str">
        <x:v>equals</x:v>
      </x:c>
      <x:c r="H1279" t="str">
        <x:f>IF(E1279=F1279,"PASS","FAIL")</x:f>
        <x:v>PASS</x:v>
      </x:c>
    </x:row>
    <x:row r="1280">
      <x:c r="B1280" t="str">
        <x:v>A-01248</x:v>
      </x:c>
      <x:c r="C1280" t="str">
        <x:v>GATE</x:v>
      </x:c>
      <x:c r="D1280" t="str">
        <x:v>release state mirrors governing ledger</x:v>
      </x:c>
      <x:c r="E1280" t="str">
        <x:f>'Release Gates'!I1254</x:f>
        <x:v>OPEN</x:v>
      </x:c>
      <x:c r="F1280" t="str">
        <x:f>IF('Release Gates'!C1254="PLANNING","PASS",IF('Release Gates'!C1254="PHYSICAL","OPEN","BLOCKED"))</x:f>
        <x:v>OPEN</x:v>
      </x:c>
      <x:c r="G1280" t="str">
        <x:v>equals</x:v>
      </x:c>
      <x:c r="H1280" t="str">
        <x:f>IF(E1280=F1280,"PASS","FAIL")</x:f>
        <x:v>PASS</x:v>
      </x:c>
    </x:row>
    <x:row r="1281">
      <x:c r="B1281" t="str">
        <x:v>A-01249</x:v>
      </x:c>
      <x:c r="C1281" t="str">
        <x:v>GATE</x:v>
      </x:c>
      <x:c r="D1281" t="str">
        <x:v>release state mirrors governing ledger</x:v>
      </x:c>
      <x:c r="E1281" t="str">
        <x:f>'Release Gates'!I1255</x:f>
        <x:v>OPEN</x:v>
      </x:c>
      <x:c r="F1281" t="str">
        <x:f>IF('Release Gates'!C1255="PLANNING","PASS",IF('Release Gates'!C1255="PHYSICAL","OPEN","BLOCKED"))</x:f>
        <x:v>OPEN</x:v>
      </x:c>
      <x:c r="G1281" t="str">
        <x:v>equals</x:v>
      </x:c>
      <x:c r="H1281" t="str">
        <x:f>IF(E1281=F1281,"PASS","FAIL")</x:f>
        <x:v>PASS</x:v>
      </x:c>
    </x:row>
    <x:row r="1282">
      <x:c r="B1282" t="str">
        <x:v>A-01250</x:v>
      </x:c>
      <x:c r="C1282" t="str">
        <x:v>GATE</x:v>
      </x:c>
      <x:c r="D1282" t="str">
        <x:v>release state mirrors governing ledger</x:v>
      </x:c>
      <x:c r="E1282" t="str">
        <x:f>'Release Gates'!I1256</x:f>
        <x:v>OPEN</x:v>
      </x:c>
      <x:c r="F1282" t="str">
        <x:f>IF('Release Gates'!C1256="PLANNING","PASS",IF('Release Gates'!C1256="PHYSICAL","OPEN","BLOCKED"))</x:f>
        <x:v>OPEN</x:v>
      </x:c>
      <x:c r="G1282" t="str">
        <x:v>equals</x:v>
      </x:c>
      <x:c r="H1282" t="str">
        <x:f>IF(E1282=F1282,"PASS","FAIL")</x:f>
        <x:v>PASS</x:v>
      </x:c>
    </x:row>
    <x:row r="1283">
      <x:c r="B1283" t="str">
        <x:v>A-01251</x:v>
      </x:c>
      <x:c r="C1283" t="str">
        <x:v>GATE</x:v>
      </x:c>
      <x:c r="D1283" t="str">
        <x:v>release state mirrors governing ledger</x:v>
      </x:c>
      <x:c r="E1283" t="str">
        <x:f>'Release Gates'!I1257</x:f>
        <x:v>OPEN</x:v>
      </x:c>
      <x:c r="F1283" t="str">
        <x:f>IF('Release Gates'!C1257="PLANNING","PASS",IF('Release Gates'!C1257="PHYSICAL","OPEN","BLOCKED"))</x:f>
        <x:v>OPEN</x:v>
      </x:c>
      <x:c r="G1283" t="str">
        <x:v>equals</x:v>
      </x:c>
      <x:c r="H1283" t="str">
        <x:f>IF(E1283=F1283,"PASS","FAIL")</x:f>
        <x:v>PASS</x:v>
      </x:c>
    </x:row>
    <x:row r="1284">
      <x:c r="B1284" t="str">
        <x:v>A-01252</x:v>
      </x:c>
      <x:c r="C1284" t="str">
        <x:v>GATE</x:v>
      </x:c>
      <x:c r="D1284" t="str">
        <x:v>release state mirrors governing ledger</x:v>
      </x:c>
      <x:c r="E1284" t="str">
        <x:f>'Release Gates'!I1258</x:f>
        <x:v>OPEN</x:v>
      </x:c>
      <x:c r="F1284" t="str">
        <x:f>IF('Release Gates'!C1258="PLANNING","PASS",IF('Release Gates'!C1258="PHYSICAL","OPEN","BLOCKED"))</x:f>
        <x:v>OPEN</x:v>
      </x:c>
      <x:c r="G1284" t="str">
        <x:v>equals</x:v>
      </x:c>
      <x:c r="H1284" t="str">
        <x:f>IF(E1284=F1284,"PASS","FAIL")</x:f>
        <x:v>PASS</x:v>
      </x:c>
    </x:row>
    <x:row r="1285">
      <x:c r="B1285" t="str">
        <x:v>A-01253</x:v>
      </x:c>
      <x:c r="C1285" t="str">
        <x:v>GATE</x:v>
      </x:c>
      <x:c r="D1285" t="str">
        <x:v>release state mirrors governing ledger</x:v>
      </x:c>
      <x:c r="E1285" t="str">
        <x:f>'Release Gates'!I1259</x:f>
        <x:v>OPEN</x:v>
      </x:c>
      <x:c r="F1285" t="str">
        <x:f>IF('Release Gates'!C1259="PLANNING","PASS",IF('Release Gates'!C1259="PHYSICAL","OPEN","BLOCKED"))</x:f>
        <x:v>OPEN</x:v>
      </x:c>
      <x:c r="G1285" t="str">
        <x:v>equals</x:v>
      </x:c>
      <x:c r="H1285" t="str">
        <x:f>IF(E1285=F1285,"PASS","FAIL")</x:f>
        <x:v>PASS</x:v>
      </x:c>
    </x:row>
    <x:row r="1286">
      <x:c r="B1286" t="str">
        <x:v>A-01254</x:v>
      </x:c>
      <x:c r="C1286" t="str">
        <x:v>GATE</x:v>
      </x:c>
      <x:c r="D1286" t="str">
        <x:v>release state mirrors governing ledger</x:v>
      </x:c>
      <x:c r="E1286" t="str">
        <x:f>'Release Gates'!I1260</x:f>
        <x:v>OPEN</x:v>
      </x:c>
      <x:c r="F1286" t="str">
        <x:f>IF('Release Gates'!C1260="PLANNING","PASS",IF('Release Gates'!C1260="PHYSICAL","OPEN","BLOCKED"))</x:f>
        <x:v>OPEN</x:v>
      </x:c>
      <x:c r="G1286" t="str">
        <x:v>equals</x:v>
      </x:c>
      <x:c r="H1286" t="str">
        <x:f>IF(E1286=F1286,"PASS","FAIL")</x:f>
        <x:v>PASS</x:v>
      </x:c>
    </x:row>
    <x:row r="1287">
      <x:c r="B1287" t="str">
        <x:v>A-01255</x:v>
      </x:c>
      <x:c r="C1287" t="str">
        <x:v>GATE</x:v>
      </x:c>
      <x:c r="D1287" t="str">
        <x:v>release state mirrors governing ledger</x:v>
      </x:c>
      <x:c r="E1287" t="str">
        <x:f>'Release Gates'!I1261</x:f>
        <x:v>OPEN</x:v>
      </x:c>
      <x:c r="F1287" t="str">
        <x:f>IF('Release Gates'!C1261="PLANNING","PASS",IF('Release Gates'!C1261="PHYSICAL","OPEN","BLOCKED"))</x:f>
        <x:v>OPEN</x:v>
      </x:c>
      <x:c r="G1287" t="str">
        <x:v>equals</x:v>
      </x:c>
      <x:c r="H1287" t="str">
        <x:f>IF(E1287=F1287,"PASS","FAIL")</x:f>
        <x:v>PASS</x:v>
      </x:c>
    </x:row>
    <x:row r="1288">
      <x:c r="B1288" t="str">
        <x:v>A-01256</x:v>
      </x:c>
      <x:c r="C1288" t="str">
        <x:v>GATE</x:v>
      </x:c>
      <x:c r="D1288" t="str">
        <x:v>release state mirrors governing ledger</x:v>
      </x:c>
      <x:c r="E1288" t="str">
        <x:f>'Release Gates'!I1262</x:f>
        <x:v>OPEN</x:v>
      </x:c>
      <x:c r="F1288" t="str">
        <x:f>IF('Release Gates'!C1262="PLANNING","PASS",IF('Release Gates'!C1262="PHYSICAL","OPEN","BLOCKED"))</x:f>
        <x:v>OPEN</x:v>
      </x:c>
      <x:c r="G1288" t="str">
        <x:v>equals</x:v>
      </x:c>
      <x:c r="H1288" t="str">
        <x:f>IF(E1288=F1288,"PASS","FAIL")</x:f>
        <x:v>PASS</x:v>
      </x:c>
    </x:row>
    <x:row r="1289">
      <x:c r="B1289" t="str">
        <x:v>A-01257</x:v>
      </x:c>
      <x:c r="C1289" t="str">
        <x:v>GATE</x:v>
      </x:c>
      <x:c r="D1289" t="str">
        <x:v>release state mirrors governing ledger</x:v>
      </x:c>
      <x:c r="E1289" t="str">
        <x:f>'Release Gates'!I1263</x:f>
        <x:v>OPEN</x:v>
      </x:c>
      <x:c r="F1289" t="str">
        <x:f>IF('Release Gates'!C1263="PLANNING","PASS",IF('Release Gates'!C1263="PHYSICAL","OPEN","BLOCKED"))</x:f>
        <x:v>OPEN</x:v>
      </x:c>
      <x:c r="G1289" t="str">
        <x:v>equals</x:v>
      </x:c>
      <x:c r="H1289" t="str">
        <x:f>IF(E1289=F1289,"PASS","FAIL")</x:f>
        <x:v>PASS</x:v>
      </x:c>
    </x:row>
    <x:row r="1290">
      <x:c r="B1290" t="str">
        <x:v>A-01258</x:v>
      </x:c>
      <x:c r="C1290" t="str">
        <x:v>GATE</x:v>
      </x:c>
      <x:c r="D1290" t="str">
        <x:v>release state mirrors governing ledger</x:v>
      </x:c>
      <x:c r="E1290" t="str">
        <x:f>'Release Gates'!I1264</x:f>
        <x:v>OPEN</x:v>
      </x:c>
      <x:c r="F1290" t="str">
        <x:f>IF('Release Gates'!C1264="PLANNING","PASS",IF('Release Gates'!C1264="PHYSICAL","OPEN","BLOCKED"))</x:f>
        <x:v>OPEN</x:v>
      </x:c>
      <x:c r="G1290" t="str">
        <x:v>equals</x:v>
      </x:c>
      <x:c r="H1290" t="str">
        <x:f>IF(E1290=F1290,"PASS","FAIL")</x:f>
        <x:v>PASS</x:v>
      </x:c>
    </x:row>
    <x:row r="1291">
      <x:c r="B1291" t="str">
        <x:v>A-01259</x:v>
      </x:c>
      <x:c r="C1291" t="str">
        <x:v>GATE</x:v>
      </x:c>
      <x:c r="D1291" t="str">
        <x:v>release state mirrors governing ledger</x:v>
      </x:c>
      <x:c r="E1291" t="str">
        <x:f>'Release Gates'!I1265</x:f>
        <x:v>OPEN</x:v>
      </x:c>
      <x:c r="F1291" t="str">
        <x:f>IF('Release Gates'!C1265="PLANNING","PASS",IF('Release Gates'!C1265="PHYSICAL","OPEN","BLOCKED"))</x:f>
        <x:v>OPEN</x:v>
      </x:c>
      <x:c r="G1291" t="str">
        <x:v>equals</x:v>
      </x:c>
      <x:c r="H1291" t="str">
        <x:f>IF(E1291=F1291,"PASS","FAIL")</x:f>
        <x:v>PASS</x:v>
      </x:c>
    </x:row>
    <x:row r="1292">
      <x:c r="B1292" t="str">
        <x:v>A-01260</x:v>
      </x:c>
      <x:c r="C1292" t="str">
        <x:v>GATE</x:v>
      </x:c>
      <x:c r="D1292" t="str">
        <x:v>release state mirrors governing ledger</x:v>
      </x:c>
      <x:c r="E1292" t="str">
        <x:f>'Release Gates'!I1266</x:f>
        <x:v>OPEN</x:v>
      </x:c>
      <x:c r="F1292" t="str">
        <x:f>IF('Release Gates'!C1266="PLANNING","PASS",IF('Release Gates'!C1266="PHYSICAL","OPEN","BLOCKED"))</x:f>
        <x:v>OPEN</x:v>
      </x:c>
      <x:c r="G1292" t="str">
        <x:v>equals</x:v>
      </x:c>
      <x:c r="H1292" t="str">
        <x:f>IF(E1292=F1292,"PASS","FAIL")</x:f>
        <x:v>PASS</x:v>
      </x:c>
    </x:row>
    <x:row r="1293">
      <x:c r="B1293" t="str">
        <x:v>A-01261</x:v>
      </x:c>
      <x:c r="C1293" t="str">
        <x:v>GATE</x:v>
      </x:c>
      <x:c r="D1293" t="str">
        <x:v>release state mirrors governing ledger</x:v>
      </x:c>
      <x:c r="E1293" t="str">
        <x:f>'Release Gates'!I1267</x:f>
        <x:v>OPEN</x:v>
      </x:c>
      <x:c r="F1293" t="str">
        <x:f>IF('Release Gates'!C1267="PLANNING","PASS",IF('Release Gates'!C1267="PHYSICAL","OPEN","BLOCKED"))</x:f>
        <x:v>OPEN</x:v>
      </x:c>
      <x:c r="G1293" t="str">
        <x:v>equals</x:v>
      </x:c>
      <x:c r="H1293" t="str">
        <x:f>IF(E1293=F1293,"PASS","FAIL")</x:f>
        <x:v>PASS</x:v>
      </x:c>
    </x:row>
    <x:row r="1294">
      <x:c r="B1294" t="str">
        <x:v>A-01262</x:v>
      </x:c>
      <x:c r="C1294" t="str">
        <x:v>GATE</x:v>
      </x:c>
      <x:c r="D1294" t="str">
        <x:v>release state mirrors governing ledger</x:v>
      </x:c>
      <x:c r="E1294" t="str">
        <x:f>'Release Gates'!I1268</x:f>
        <x:v>OPEN</x:v>
      </x:c>
      <x:c r="F1294" t="str">
        <x:f>IF('Release Gates'!C1268="PLANNING","PASS",IF('Release Gates'!C1268="PHYSICAL","OPEN","BLOCKED"))</x:f>
        <x:v>OPEN</x:v>
      </x:c>
      <x:c r="G1294" t="str">
        <x:v>equals</x:v>
      </x:c>
      <x:c r="H1294" t="str">
        <x:f>IF(E1294=F1294,"PASS","FAIL")</x:f>
        <x:v>PASS</x:v>
      </x:c>
    </x:row>
    <x:row r="1295">
      <x:c r="B1295" t="str">
        <x:v>A-01263</x:v>
      </x:c>
      <x:c r="C1295" t="str">
        <x:v>GATE</x:v>
      </x:c>
      <x:c r="D1295" t="str">
        <x:v>release state mirrors governing ledger</x:v>
      </x:c>
      <x:c r="E1295" t="str">
        <x:f>'Release Gates'!I1269</x:f>
        <x:v>OPEN</x:v>
      </x:c>
      <x:c r="F1295" t="str">
        <x:f>IF('Release Gates'!C1269="PLANNING","PASS",IF('Release Gates'!C1269="PHYSICAL","OPEN","BLOCKED"))</x:f>
        <x:v>OPEN</x:v>
      </x:c>
      <x:c r="G1295" t="str">
        <x:v>equals</x:v>
      </x:c>
      <x:c r="H1295" t="str">
        <x:f>IF(E1295=F1295,"PASS","FAIL")</x:f>
        <x:v>PASS</x:v>
      </x:c>
    </x:row>
    <x:row r="1296">
      <x:c r="B1296" t="str">
        <x:v>A-01264</x:v>
      </x:c>
      <x:c r="C1296" t="str">
        <x:v>GATE</x:v>
      </x:c>
      <x:c r="D1296" t="str">
        <x:v>release state mirrors governing ledger</x:v>
      </x:c>
      <x:c r="E1296" t="str">
        <x:f>'Release Gates'!I1270</x:f>
        <x:v>OPEN</x:v>
      </x:c>
      <x:c r="F1296" t="str">
        <x:f>IF('Release Gates'!C1270="PLANNING","PASS",IF('Release Gates'!C1270="PHYSICAL","OPEN","BLOCKED"))</x:f>
        <x:v>OPEN</x:v>
      </x:c>
      <x:c r="G1296" t="str">
        <x:v>equals</x:v>
      </x:c>
      <x:c r="H1296" t="str">
        <x:f>IF(E1296=F1296,"PASS","FAIL")</x:f>
        <x:v>PASS</x:v>
      </x:c>
    </x:row>
    <x:row r="1297">
      <x:c r="B1297" t="str">
        <x:v>A-01265</x:v>
      </x:c>
      <x:c r="C1297" t="str">
        <x:v>GATE</x:v>
      </x:c>
      <x:c r="D1297" t="str">
        <x:v>release state mirrors governing ledger</x:v>
      </x:c>
      <x:c r="E1297" t="str">
        <x:f>'Release Gates'!I1271</x:f>
        <x:v>OPEN</x:v>
      </x:c>
      <x:c r="F1297" t="str">
        <x:f>IF('Release Gates'!C1271="PLANNING","PASS",IF('Release Gates'!C1271="PHYSICAL","OPEN","BLOCKED"))</x:f>
        <x:v>OPEN</x:v>
      </x:c>
      <x:c r="G1297" t="str">
        <x:v>equals</x:v>
      </x:c>
      <x:c r="H1297" t="str">
        <x:f>IF(E1297=F1297,"PASS","FAIL")</x:f>
        <x:v>PASS</x:v>
      </x:c>
    </x:row>
    <x:row r="1298">
      <x:c r="B1298" t="str">
        <x:v>A-01266</x:v>
      </x:c>
      <x:c r="C1298" t="str">
        <x:v>GATE</x:v>
      </x:c>
      <x:c r="D1298" t="str">
        <x:v>release state mirrors governing ledger</x:v>
      </x:c>
      <x:c r="E1298" t="str">
        <x:f>'Release Gates'!I1272</x:f>
        <x:v>OPEN</x:v>
      </x:c>
      <x:c r="F1298" t="str">
        <x:f>IF('Release Gates'!C1272="PLANNING","PASS",IF('Release Gates'!C1272="PHYSICAL","OPEN","BLOCKED"))</x:f>
        <x:v>OPEN</x:v>
      </x:c>
      <x:c r="G1298" t="str">
        <x:v>equals</x:v>
      </x:c>
      <x:c r="H1298" t="str">
        <x:f>IF(E1298=F1298,"PASS","FAIL")</x:f>
        <x:v>PASS</x:v>
      </x:c>
    </x:row>
    <x:row r="1299">
      <x:c r="B1299" t="str">
        <x:v>A-01267</x:v>
      </x:c>
      <x:c r="C1299" t="str">
        <x:v>GATE</x:v>
      </x:c>
      <x:c r="D1299" t="str">
        <x:v>release state mirrors governing ledger</x:v>
      </x:c>
      <x:c r="E1299" t="str">
        <x:f>'Release Gates'!I1273</x:f>
        <x:v>OPEN</x:v>
      </x:c>
      <x:c r="F1299" t="str">
        <x:f>IF('Release Gates'!C1273="PLANNING","PASS",IF('Release Gates'!C1273="PHYSICAL","OPEN","BLOCKED"))</x:f>
        <x:v>OPEN</x:v>
      </x:c>
      <x:c r="G1299" t="str">
        <x:v>equals</x:v>
      </x:c>
      <x:c r="H1299" t="str">
        <x:f>IF(E1299=F1299,"PASS","FAIL")</x:f>
        <x:v>PASS</x:v>
      </x:c>
    </x:row>
    <x:row r="1300">
      <x:c r="B1300" t="str">
        <x:v>A-01268</x:v>
      </x:c>
      <x:c r="C1300" t="str">
        <x:v>GATE</x:v>
      </x:c>
      <x:c r="D1300" t="str">
        <x:v>release state mirrors governing ledger</x:v>
      </x:c>
      <x:c r="E1300" t="str">
        <x:f>'Release Gates'!I1274</x:f>
        <x:v>OPEN</x:v>
      </x:c>
      <x:c r="F1300" t="str">
        <x:f>IF('Release Gates'!C1274="PLANNING","PASS",IF('Release Gates'!C1274="PHYSICAL","OPEN","BLOCKED"))</x:f>
        <x:v>OPEN</x:v>
      </x:c>
      <x:c r="G1300" t="str">
        <x:v>equals</x:v>
      </x:c>
      <x:c r="H1300" t="str">
        <x:f>IF(E1300=F1300,"PASS","FAIL")</x:f>
        <x:v>PASS</x:v>
      </x:c>
    </x:row>
    <x:row r="1301">
      <x:c r="B1301" t="str">
        <x:v>A-01269</x:v>
      </x:c>
      <x:c r="C1301" t="str">
        <x:v>GATE</x:v>
      </x:c>
      <x:c r="D1301" t="str">
        <x:v>release state mirrors governing ledger</x:v>
      </x:c>
      <x:c r="E1301" t="str">
        <x:f>'Release Gates'!I1275</x:f>
        <x:v>OPEN</x:v>
      </x:c>
      <x:c r="F1301" t="str">
        <x:f>IF('Release Gates'!C1275="PLANNING","PASS",IF('Release Gates'!C1275="PHYSICAL","OPEN","BLOCKED"))</x:f>
        <x:v>OPEN</x:v>
      </x:c>
      <x:c r="G1301" t="str">
        <x:v>equals</x:v>
      </x:c>
      <x:c r="H1301" t="str">
        <x:f>IF(E1301=F1301,"PASS","FAIL")</x:f>
        <x:v>PASS</x:v>
      </x:c>
    </x:row>
    <x:row r="1302">
      <x:c r="B1302" t="str">
        <x:v>A-01270</x:v>
      </x:c>
      <x:c r="C1302" t="str">
        <x:v>GATE</x:v>
      </x:c>
      <x:c r="D1302" t="str">
        <x:v>release state mirrors governing ledger</x:v>
      </x:c>
      <x:c r="E1302" t="str">
        <x:f>'Release Gates'!I1276</x:f>
        <x:v>OPEN</x:v>
      </x:c>
      <x:c r="F1302" t="str">
        <x:f>IF('Release Gates'!C1276="PLANNING","PASS",IF('Release Gates'!C1276="PHYSICAL","OPEN","BLOCKED"))</x:f>
        <x:v>OPEN</x:v>
      </x:c>
      <x:c r="G1302" t="str">
        <x:v>equals</x:v>
      </x:c>
      <x:c r="H1302" t="str">
        <x:f>IF(E1302=F1302,"PASS","FAIL")</x:f>
        <x:v>PASS</x:v>
      </x:c>
    </x:row>
    <x:row r="1303">
      <x:c r="B1303" t="str">
        <x:v>A-01271</x:v>
      </x:c>
      <x:c r="C1303" t="str">
        <x:v>GATE</x:v>
      </x:c>
      <x:c r="D1303" t="str">
        <x:v>release state mirrors governing ledger</x:v>
      </x:c>
      <x:c r="E1303" t="str">
        <x:f>'Release Gates'!I1277</x:f>
        <x:v>OPEN</x:v>
      </x:c>
      <x:c r="F1303" t="str">
        <x:f>IF('Release Gates'!C1277="PLANNING","PASS",IF('Release Gates'!C1277="PHYSICAL","OPEN","BLOCKED"))</x:f>
        <x:v>OPEN</x:v>
      </x:c>
      <x:c r="G1303" t="str">
        <x:v>equals</x:v>
      </x:c>
      <x:c r="H1303" t="str">
        <x:f>IF(E1303=F1303,"PASS","FAIL")</x:f>
        <x:v>PASS</x:v>
      </x:c>
    </x:row>
    <x:row r="1304">
      <x:c r="B1304" t="str">
        <x:v>A-01272</x:v>
      </x:c>
      <x:c r="C1304" t="str">
        <x:v>GATE</x:v>
      </x:c>
      <x:c r="D1304" t="str">
        <x:v>release state mirrors governing ledger</x:v>
      </x:c>
      <x:c r="E1304" t="str">
        <x:f>'Release Gates'!I1278</x:f>
        <x:v>OPEN</x:v>
      </x:c>
      <x:c r="F1304" t="str">
        <x:f>IF('Release Gates'!C1278="PLANNING","PASS",IF('Release Gates'!C1278="PHYSICAL","OPEN","BLOCKED"))</x:f>
        <x:v>OPEN</x:v>
      </x:c>
      <x:c r="G1304" t="str">
        <x:v>equals</x:v>
      </x:c>
      <x:c r="H1304" t="str">
        <x:f>IF(E1304=F1304,"PASS","FAIL")</x:f>
        <x:v>PASS</x:v>
      </x:c>
    </x:row>
    <x:row r="1305">
      <x:c r="B1305" t="str">
        <x:v>A-01273</x:v>
      </x:c>
      <x:c r="C1305" t="str">
        <x:v>GATE</x:v>
      </x:c>
      <x:c r="D1305" t="str">
        <x:v>release state mirrors governing ledger</x:v>
      </x:c>
      <x:c r="E1305" t="str">
        <x:f>'Release Gates'!I1279</x:f>
        <x:v>OPEN</x:v>
      </x:c>
      <x:c r="F1305" t="str">
        <x:f>IF('Release Gates'!C1279="PLANNING","PASS",IF('Release Gates'!C1279="PHYSICAL","OPEN","BLOCKED"))</x:f>
        <x:v>OPEN</x:v>
      </x:c>
      <x:c r="G1305" t="str">
        <x:v>equals</x:v>
      </x:c>
      <x:c r="H1305" t="str">
        <x:f>IF(E1305=F1305,"PASS","FAIL")</x:f>
        <x:v>PASS</x:v>
      </x:c>
    </x:row>
    <x:row r="1306">
      <x:c r="B1306" t="str">
        <x:v>A-01274</x:v>
      </x:c>
      <x:c r="C1306" t="str">
        <x:v>GATE</x:v>
      </x:c>
      <x:c r="D1306" t="str">
        <x:v>release state mirrors governing ledger</x:v>
      </x:c>
      <x:c r="E1306" t="str">
        <x:f>'Release Gates'!I1280</x:f>
        <x:v>OPEN</x:v>
      </x:c>
      <x:c r="F1306" t="str">
        <x:f>IF('Release Gates'!C1280="PLANNING","PASS",IF('Release Gates'!C1280="PHYSICAL","OPEN","BLOCKED"))</x:f>
        <x:v>OPEN</x:v>
      </x:c>
      <x:c r="G1306" t="str">
        <x:v>equals</x:v>
      </x:c>
      <x:c r="H1306" t="str">
        <x:f>IF(E1306=F1306,"PASS","FAIL")</x:f>
        <x:v>PASS</x:v>
      </x:c>
    </x:row>
    <x:row r="1307">
      <x:c r="B1307" t="str">
        <x:v>A-01275</x:v>
      </x:c>
      <x:c r="C1307" t="str">
        <x:v>GATE</x:v>
      </x:c>
      <x:c r="D1307" t="str">
        <x:v>release state mirrors governing ledger</x:v>
      </x:c>
      <x:c r="E1307" t="str">
        <x:f>'Release Gates'!I1281</x:f>
        <x:v>OPEN</x:v>
      </x:c>
      <x:c r="F1307" t="str">
        <x:f>IF('Release Gates'!C1281="PLANNING","PASS",IF('Release Gates'!C1281="PHYSICAL","OPEN","BLOCKED"))</x:f>
        <x:v>OPEN</x:v>
      </x:c>
      <x:c r="G1307" t="str">
        <x:v>equals</x:v>
      </x:c>
      <x:c r="H1307" t="str">
        <x:f>IF(E1307=F1307,"PASS","FAIL")</x:f>
        <x:v>PASS</x:v>
      </x:c>
    </x:row>
    <x:row r="1308">
      <x:c r="B1308" t="str">
        <x:v>A-01276</x:v>
      </x:c>
      <x:c r="C1308" t="str">
        <x:v>GATE</x:v>
      </x:c>
      <x:c r="D1308" t="str">
        <x:v>release state mirrors governing ledger</x:v>
      </x:c>
      <x:c r="E1308" t="str">
        <x:f>'Release Gates'!I1282</x:f>
        <x:v>OPEN</x:v>
      </x:c>
      <x:c r="F1308" t="str">
        <x:f>IF('Release Gates'!C1282="PLANNING","PASS",IF('Release Gates'!C1282="PHYSICAL","OPEN","BLOCKED"))</x:f>
        <x:v>OPEN</x:v>
      </x:c>
      <x:c r="G1308" t="str">
        <x:v>equals</x:v>
      </x:c>
      <x:c r="H1308" t="str">
        <x:f>IF(E1308=F1308,"PASS","FAIL")</x:f>
        <x:v>PASS</x:v>
      </x:c>
    </x:row>
    <x:row r="1309">
      <x:c r="B1309" t="str">
        <x:v>A-01277</x:v>
      </x:c>
      <x:c r="C1309" t="str">
        <x:v>GATE</x:v>
      </x:c>
      <x:c r="D1309" t="str">
        <x:v>release state mirrors governing ledger</x:v>
      </x:c>
      <x:c r="E1309" t="str">
        <x:f>'Release Gates'!I1283</x:f>
        <x:v>OPEN</x:v>
      </x:c>
      <x:c r="F1309" t="str">
        <x:f>IF('Release Gates'!C1283="PLANNING","PASS",IF('Release Gates'!C1283="PHYSICAL","OPEN","BLOCKED"))</x:f>
        <x:v>OPEN</x:v>
      </x:c>
      <x:c r="G1309" t="str">
        <x:v>equals</x:v>
      </x:c>
      <x:c r="H1309" t="str">
        <x:f>IF(E1309=F1309,"PASS","FAIL")</x:f>
        <x:v>PASS</x:v>
      </x:c>
    </x:row>
    <x:row r="1310">
      <x:c r="B1310" t="str">
        <x:v>A-01278</x:v>
      </x:c>
      <x:c r="C1310" t="str">
        <x:v>GATE</x:v>
      </x:c>
      <x:c r="D1310" t="str">
        <x:v>release state mirrors governing ledger</x:v>
      </x:c>
      <x:c r="E1310" t="str">
        <x:f>'Release Gates'!I1284</x:f>
        <x:v>OPEN</x:v>
      </x:c>
      <x:c r="F1310" t="str">
        <x:f>IF('Release Gates'!C1284="PLANNING","PASS",IF('Release Gates'!C1284="PHYSICAL","OPEN","BLOCKED"))</x:f>
        <x:v>OPEN</x:v>
      </x:c>
      <x:c r="G1310" t="str">
        <x:v>equals</x:v>
      </x:c>
      <x:c r="H1310" t="str">
        <x:f>IF(E1310=F1310,"PASS","FAIL")</x:f>
        <x:v>PASS</x:v>
      </x:c>
    </x:row>
    <x:row r="1311">
      <x:c r="B1311" t="str">
        <x:v>A-01279</x:v>
      </x:c>
      <x:c r="C1311" t="str">
        <x:v>GATE</x:v>
      </x:c>
      <x:c r="D1311" t="str">
        <x:v>release state mirrors governing ledger</x:v>
      </x:c>
      <x:c r="E1311" t="str">
        <x:f>'Release Gates'!I1285</x:f>
        <x:v>OPEN</x:v>
      </x:c>
      <x:c r="F1311" t="str">
        <x:f>IF('Release Gates'!C1285="PLANNING","PASS",IF('Release Gates'!C1285="PHYSICAL","OPEN","BLOCKED"))</x:f>
        <x:v>OPEN</x:v>
      </x:c>
      <x:c r="G1311" t="str">
        <x:v>equals</x:v>
      </x:c>
      <x:c r="H1311" t="str">
        <x:f>IF(E1311=F1311,"PASS","FAIL")</x:f>
        <x:v>PASS</x:v>
      </x:c>
    </x:row>
    <x:row r="1312">
      <x:c r="B1312" t="str">
        <x:v>A-01280</x:v>
      </x:c>
      <x:c r="C1312" t="str">
        <x:v>GATE</x:v>
      </x:c>
      <x:c r="D1312" t="str">
        <x:v>release state mirrors governing ledger</x:v>
      </x:c>
      <x:c r="E1312" t="str">
        <x:f>'Release Gates'!I1286</x:f>
        <x:v>OPEN</x:v>
      </x:c>
      <x:c r="F1312" t="str">
        <x:f>IF('Release Gates'!C1286="PLANNING","PASS",IF('Release Gates'!C1286="PHYSICAL","OPEN","BLOCKED"))</x:f>
        <x:v>OPEN</x:v>
      </x:c>
      <x:c r="G1312" t="str">
        <x:v>equals</x:v>
      </x:c>
      <x:c r="H1312" t="str">
        <x:f>IF(E1312=F1312,"PASS","FAIL")</x:f>
        <x:v>PASS</x:v>
      </x:c>
    </x:row>
    <x:row r="1313">
      <x:c r="B1313" t="str">
        <x:v>A-01281</x:v>
      </x:c>
      <x:c r="C1313" t="str">
        <x:v>GATE</x:v>
      </x:c>
      <x:c r="D1313" t="str">
        <x:v>release state mirrors governing ledger</x:v>
      </x:c>
      <x:c r="E1313" t="str">
        <x:f>'Release Gates'!I1287</x:f>
        <x:v>OPEN</x:v>
      </x:c>
      <x:c r="F1313" t="str">
        <x:f>IF('Release Gates'!C1287="PLANNING","PASS",IF('Release Gates'!C1287="PHYSICAL","OPEN","BLOCKED"))</x:f>
        <x:v>OPEN</x:v>
      </x:c>
      <x:c r="G1313" t="str">
        <x:v>equals</x:v>
      </x:c>
      <x:c r="H1313" t="str">
        <x:f>IF(E1313=F1313,"PASS","FAIL")</x:f>
        <x:v>PASS</x:v>
      </x:c>
    </x:row>
    <x:row r="1314">
      <x:c r="B1314" t="str">
        <x:v>A-01282</x:v>
      </x:c>
      <x:c r="C1314" t="str">
        <x:v>GATE</x:v>
      </x:c>
      <x:c r="D1314" t="str">
        <x:v>release state mirrors governing ledger</x:v>
      </x:c>
      <x:c r="E1314" t="str">
        <x:f>'Release Gates'!I1288</x:f>
        <x:v>OPEN</x:v>
      </x:c>
      <x:c r="F1314" t="str">
        <x:f>IF('Release Gates'!C1288="PLANNING","PASS",IF('Release Gates'!C1288="PHYSICAL","OPEN","BLOCKED"))</x:f>
        <x:v>OPEN</x:v>
      </x:c>
      <x:c r="G1314" t="str">
        <x:v>equals</x:v>
      </x:c>
      <x:c r="H1314" t="str">
        <x:f>IF(E1314=F1314,"PASS","FAIL")</x:f>
        <x:v>PASS</x:v>
      </x:c>
    </x:row>
    <x:row r="1315">
      <x:c r="B1315" t="str">
        <x:v>A-01283</x:v>
      </x:c>
      <x:c r="C1315" t="str">
        <x:v>GATE</x:v>
      </x:c>
      <x:c r="D1315" t="str">
        <x:v>release state mirrors governing ledger</x:v>
      </x:c>
      <x:c r="E1315" t="str">
        <x:f>'Release Gates'!I1289</x:f>
        <x:v>OPEN</x:v>
      </x:c>
      <x:c r="F1315" t="str">
        <x:f>IF('Release Gates'!C1289="PLANNING","PASS",IF('Release Gates'!C1289="PHYSICAL","OPEN","BLOCKED"))</x:f>
        <x:v>OPEN</x:v>
      </x:c>
      <x:c r="G1315" t="str">
        <x:v>equals</x:v>
      </x:c>
      <x:c r="H1315" t="str">
        <x:f>IF(E1315=F1315,"PASS","FAIL")</x:f>
        <x:v>PASS</x:v>
      </x:c>
    </x:row>
    <x:row r="1316">
      <x:c r="B1316" t="str">
        <x:v>A-01284</x:v>
      </x:c>
      <x:c r="C1316" t="str">
        <x:v>GATE</x:v>
      </x:c>
      <x:c r="D1316" t="str">
        <x:v>release state mirrors governing ledger</x:v>
      </x:c>
      <x:c r="E1316" t="str">
        <x:f>'Release Gates'!I1290</x:f>
        <x:v>OPEN</x:v>
      </x:c>
      <x:c r="F1316" t="str">
        <x:f>IF('Release Gates'!C1290="PLANNING","PASS",IF('Release Gates'!C1290="PHYSICAL","OPEN","BLOCKED"))</x:f>
        <x:v>OPEN</x:v>
      </x:c>
      <x:c r="G1316" t="str">
        <x:v>equals</x:v>
      </x:c>
      <x:c r="H1316" t="str">
        <x:f>IF(E1316=F1316,"PASS","FAIL")</x:f>
        <x:v>PASS</x:v>
      </x:c>
    </x:row>
    <x:row r="1317">
      <x:c r="B1317" t="str">
        <x:v>A-01285</x:v>
      </x:c>
      <x:c r="C1317" t="str">
        <x:v>GATE</x:v>
      </x:c>
      <x:c r="D1317" t="str">
        <x:v>release state mirrors governing ledger</x:v>
      </x:c>
      <x:c r="E1317" t="str">
        <x:f>'Release Gates'!I1291</x:f>
        <x:v>OPEN</x:v>
      </x:c>
      <x:c r="F1317" t="str">
        <x:f>IF('Release Gates'!C1291="PLANNING","PASS",IF('Release Gates'!C1291="PHYSICAL","OPEN","BLOCKED"))</x:f>
        <x:v>OPEN</x:v>
      </x:c>
      <x:c r="G1317" t="str">
        <x:v>equals</x:v>
      </x:c>
      <x:c r="H1317" t="str">
        <x:f>IF(E1317=F1317,"PASS","FAIL")</x:f>
        <x:v>PASS</x:v>
      </x:c>
    </x:row>
    <x:row r="1318">
      <x:c r="B1318" t="str">
        <x:v>A-01286</x:v>
      </x:c>
      <x:c r="C1318" t="str">
        <x:v>GATE</x:v>
      </x:c>
      <x:c r="D1318" t="str">
        <x:v>release state mirrors governing ledger</x:v>
      </x:c>
      <x:c r="E1318" t="str">
        <x:f>'Release Gates'!I1292</x:f>
        <x:v>OPEN</x:v>
      </x:c>
      <x:c r="F1318" t="str">
        <x:f>IF('Release Gates'!C1292="PLANNING","PASS",IF('Release Gates'!C1292="PHYSICAL","OPEN","BLOCKED"))</x:f>
        <x:v>OPEN</x:v>
      </x:c>
      <x:c r="G1318" t="str">
        <x:v>equals</x:v>
      </x:c>
      <x:c r="H1318" t="str">
        <x:f>IF(E1318=F1318,"PASS","FAIL")</x:f>
        <x:v>PASS</x:v>
      </x:c>
    </x:row>
    <x:row r="1319">
      <x:c r="B1319" t="str">
        <x:v>A-01287</x:v>
      </x:c>
      <x:c r="C1319" t="str">
        <x:v>GATE</x:v>
      </x:c>
      <x:c r="D1319" t="str">
        <x:v>release state mirrors governing ledger</x:v>
      </x:c>
      <x:c r="E1319" t="str">
        <x:f>'Release Gates'!I1293</x:f>
        <x:v>OPEN</x:v>
      </x:c>
      <x:c r="F1319" t="str">
        <x:f>IF('Release Gates'!C1293="PLANNING","PASS",IF('Release Gates'!C1293="PHYSICAL","OPEN","BLOCKED"))</x:f>
        <x:v>OPEN</x:v>
      </x:c>
      <x:c r="G1319" t="str">
        <x:v>equals</x:v>
      </x:c>
      <x:c r="H1319" t="str">
        <x:f>IF(E1319=F1319,"PASS","FAIL")</x:f>
        <x:v>PASS</x:v>
      </x:c>
    </x:row>
    <x:row r="1320">
      <x:c r="B1320" t="str">
        <x:v>A-01288</x:v>
      </x:c>
      <x:c r="C1320" t="str">
        <x:v>GATE</x:v>
      </x:c>
      <x:c r="D1320" t="str">
        <x:v>release state mirrors governing ledger</x:v>
      </x:c>
      <x:c r="E1320" t="str">
        <x:f>'Release Gates'!I1294</x:f>
        <x:v>OPEN</x:v>
      </x:c>
      <x:c r="F1320" t="str">
        <x:f>IF('Release Gates'!C1294="PLANNING","PASS",IF('Release Gates'!C1294="PHYSICAL","OPEN","BLOCKED"))</x:f>
        <x:v>OPEN</x:v>
      </x:c>
      <x:c r="G1320" t="str">
        <x:v>equals</x:v>
      </x:c>
      <x:c r="H1320" t="str">
        <x:f>IF(E1320=F1320,"PASS","FAIL")</x:f>
        <x:v>PASS</x:v>
      </x:c>
    </x:row>
    <x:row r="1321">
      <x:c r="B1321" t="str">
        <x:v>A-01289</x:v>
      </x:c>
      <x:c r="C1321" t="str">
        <x:v>GATE</x:v>
      </x:c>
      <x:c r="D1321" t="str">
        <x:v>release state mirrors governing ledger</x:v>
      </x:c>
      <x:c r="E1321" t="str">
        <x:f>'Release Gates'!I1295</x:f>
        <x:v>OPEN</x:v>
      </x:c>
      <x:c r="F1321" t="str">
        <x:f>IF('Release Gates'!C1295="PLANNING","PASS",IF('Release Gates'!C1295="PHYSICAL","OPEN","BLOCKED"))</x:f>
        <x:v>OPEN</x:v>
      </x:c>
      <x:c r="G1321" t="str">
        <x:v>equals</x:v>
      </x:c>
      <x:c r="H1321" t="str">
        <x:f>IF(E1321=F1321,"PASS","FAIL")</x:f>
        <x:v>PASS</x:v>
      </x:c>
    </x:row>
    <x:row r="1322">
      <x:c r="B1322" t="str">
        <x:v>A-01290</x:v>
      </x:c>
      <x:c r="C1322" t="str">
        <x:v>GATE</x:v>
      </x:c>
      <x:c r="D1322" t="str">
        <x:v>release state mirrors governing ledger</x:v>
      </x:c>
      <x:c r="E1322" t="str">
        <x:f>'Release Gates'!I1296</x:f>
        <x:v>OPEN</x:v>
      </x:c>
      <x:c r="F1322" t="str">
        <x:f>IF('Release Gates'!C1296="PLANNING","PASS",IF('Release Gates'!C1296="PHYSICAL","OPEN","BLOCKED"))</x:f>
        <x:v>OPEN</x:v>
      </x:c>
      <x:c r="G1322" t="str">
        <x:v>equals</x:v>
      </x:c>
      <x:c r="H1322" t="str">
        <x:f>IF(E1322=F1322,"PASS","FAIL")</x:f>
        <x:v>PASS</x:v>
      </x:c>
    </x:row>
    <x:row r="1323">
      <x:c r="B1323" t="str">
        <x:v>A-01291</x:v>
      </x:c>
      <x:c r="C1323" t="str">
        <x:v>GATE</x:v>
      </x:c>
      <x:c r="D1323" t="str">
        <x:v>release state mirrors governing ledger</x:v>
      </x:c>
      <x:c r="E1323" t="str">
        <x:f>'Release Gates'!I1297</x:f>
        <x:v>OPEN</x:v>
      </x:c>
      <x:c r="F1323" t="str">
        <x:f>IF('Release Gates'!C1297="PLANNING","PASS",IF('Release Gates'!C1297="PHYSICAL","OPEN","BLOCKED"))</x:f>
        <x:v>OPEN</x:v>
      </x:c>
      <x:c r="G1323" t="str">
        <x:v>equals</x:v>
      </x:c>
      <x:c r="H1323" t="str">
        <x:f>IF(E1323=F1323,"PASS","FAIL")</x:f>
        <x:v>PASS</x:v>
      </x:c>
    </x:row>
    <x:row r="1324">
      <x:c r="B1324" t="str">
        <x:v>A-01292</x:v>
      </x:c>
      <x:c r="C1324" t="str">
        <x:v>GATE</x:v>
      </x:c>
      <x:c r="D1324" t="str">
        <x:v>release state mirrors governing ledger</x:v>
      </x:c>
      <x:c r="E1324" t="str">
        <x:f>'Release Gates'!I1298</x:f>
        <x:v>OPEN</x:v>
      </x:c>
      <x:c r="F1324" t="str">
        <x:f>IF('Release Gates'!C1298="PLANNING","PASS",IF('Release Gates'!C1298="PHYSICAL","OPEN","BLOCKED"))</x:f>
        <x:v>OPEN</x:v>
      </x:c>
      <x:c r="G1324" t="str">
        <x:v>equals</x:v>
      </x:c>
      <x:c r="H1324" t="str">
        <x:f>IF(E1324=F1324,"PASS","FAIL")</x:f>
        <x:v>PASS</x:v>
      </x:c>
    </x:row>
    <x:row r="1325">
      <x:c r="B1325" t="str">
        <x:v>A-01293</x:v>
      </x:c>
      <x:c r="C1325" t="str">
        <x:v>GATE</x:v>
      </x:c>
      <x:c r="D1325" t="str">
        <x:v>release state mirrors governing ledger</x:v>
      </x:c>
      <x:c r="E1325" t="str">
        <x:f>'Release Gates'!I1299</x:f>
        <x:v>OPEN</x:v>
      </x:c>
      <x:c r="F1325" t="str">
        <x:f>IF('Release Gates'!C1299="PLANNING","PASS",IF('Release Gates'!C1299="PHYSICAL","OPEN","BLOCKED"))</x:f>
        <x:v>OPEN</x:v>
      </x:c>
      <x:c r="G1325" t="str">
        <x:v>equals</x:v>
      </x:c>
      <x:c r="H1325" t="str">
        <x:f>IF(E1325=F1325,"PASS","FAIL")</x:f>
        <x:v>PASS</x:v>
      </x:c>
    </x:row>
    <x:row r="1326">
      <x:c r="B1326" t="str">
        <x:v>A-01294</x:v>
      </x:c>
      <x:c r="C1326" t="str">
        <x:v>GATE</x:v>
      </x:c>
      <x:c r="D1326" t="str">
        <x:v>release state mirrors governing ledger</x:v>
      </x:c>
      <x:c r="E1326" t="str">
        <x:f>'Release Gates'!I1300</x:f>
        <x:v>OPEN</x:v>
      </x:c>
      <x:c r="F1326" t="str">
        <x:f>IF('Release Gates'!C1300="PLANNING","PASS",IF('Release Gates'!C1300="PHYSICAL","OPEN","BLOCKED"))</x:f>
        <x:v>OPEN</x:v>
      </x:c>
      <x:c r="G1326" t="str">
        <x:v>equals</x:v>
      </x:c>
      <x:c r="H1326" t="str">
        <x:f>IF(E1326=F1326,"PASS","FAIL")</x:f>
        <x:v>PASS</x:v>
      </x:c>
    </x:row>
    <x:row r="1327">
      <x:c r="B1327" t="str">
        <x:v>A-01295</x:v>
      </x:c>
      <x:c r="C1327" t="str">
        <x:v>GATE</x:v>
      </x:c>
      <x:c r="D1327" t="str">
        <x:v>release state mirrors governing ledger</x:v>
      </x:c>
      <x:c r="E1327" t="str">
        <x:f>'Release Gates'!I1301</x:f>
        <x:v>OPEN</x:v>
      </x:c>
      <x:c r="F1327" t="str">
        <x:f>IF('Release Gates'!C1301="PLANNING","PASS",IF('Release Gates'!C1301="PHYSICAL","OPEN","BLOCKED"))</x:f>
        <x:v>OPEN</x:v>
      </x:c>
      <x:c r="G1327" t="str">
        <x:v>equals</x:v>
      </x:c>
      <x:c r="H1327" t="str">
        <x:f>IF(E1327=F1327,"PASS","FAIL")</x:f>
        <x:v>PASS</x:v>
      </x:c>
    </x:row>
    <x:row r="1328">
      <x:c r="B1328" t="str">
        <x:v>A-01296</x:v>
      </x:c>
      <x:c r="C1328" t="str">
        <x:v>GATE</x:v>
      </x:c>
      <x:c r="D1328" t="str">
        <x:v>release state mirrors governing ledger</x:v>
      </x:c>
      <x:c r="E1328" t="str">
        <x:f>'Release Gates'!I1302</x:f>
        <x:v>OPEN</x:v>
      </x:c>
      <x:c r="F1328" t="str">
        <x:f>IF('Release Gates'!C1302="PLANNING","PASS",IF('Release Gates'!C1302="PHYSICAL","OPEN","BLOCKED"))</x:f>
        <x:v>OPEN</x:v>
      </x:c>
      <x:c r="G1328" t="str">
        <x:v>equals</x:v>
      </x:c>
      <x:c r="H1328" t="str">
        <x:f>IF(E1328=F1328,"PASS","FAIL")</x:f>
        <x:v>PASS</x:v>
      </x:c>
    </x:row>
    <x:row r="1329">
      <x:c r="B1329" t="str">
        <x:v>A-01297</x:v>
      </x:c>
      <x:c r="C1329" t="str">
        <x:v>GATE</x:v>
      </x:c>
      <x:c r="D1329" t="str">
        <x:v>release state mirrors governing ledger</x:v>
      </x:c>
      <x:c r="E1329" t="str">
        <x:f>'Release Gates'!I1303</x:f>
        <x:v>OPEN</x:v>
      </x:c>
      <x:c r="F1329" t="str">
        <x:f>IF('Release Gates'!C1303="PLANNING","PASS",IF('Release Gates'!C1303="PHYSICAL","OPEN","BLOCKED"))</x:f>
        <x:v>OPEN</x:v>
      </x:c>
      <x:c r="G1329" t="str">
        <x:v>equals</x:v>
      </x:c>
      <x:c r="H1329" t="str">
        <x:f>IF(E1329=F1329,"PASS","FAIL")</x:f>
        <x:v>PASS</x:v>
      </x:c>
    </x:row>
    <x:row r="1330">
      <x:c r="B1330" t="str">
        <x:v>A-01298</x:v>
      </x:c>
      <x:c r="C1330" t="str">
        <x:v>GATE</x:v>
      </x:c>
      <x:c r="D1330" t="str">
        <x:v>release state mirrors governing ledger</x:v>
      </x:c>
      <x:c r="E1330" t="str">
        <x:f>'Release Gates'!I1304</x:f>
        <x:v>OPEN</x:v>
      </x:c>
      <x:c r="F1330" t="str">
        <x:f>IF('Release Gates'!C1304="PLANNING","PASS",IF('Release Gates'!C1304="PHYSICAL","OPEN","BLOCKED"))</x:f>
        <x:v>OPEN</x:v>
      </x:c>
      <x:c r="G1330" t="str">
        <x:v>equals</x:v>
      </x:c>
      <x:c r="H1330" t="str">
        <x:f>IF(E1330=F1330,"PASS","FAIL")</x:f>
        <x:v>PASS</x:v>
      </x:c>
    </x:row>
    <x:row r="1331">
      <x:c r="B1331" t="str">
        <x:v>A-01299</x:v>
      </x:c>
      <x:c r="C1331" t="str">
        <x:v>GATE</x:v>
      </x:c>
      <x:c r="D1331" t="str">
        <x:v>release state mirrors governing ledger</x:v>
      </x:c>
      <x:c r="E1331" t="str">
        <x:f>'Release Gates'!I1305</x:f>
        <x:v>OPEN</x:v>
      </x:c>
      <x:c r="F1331" t="str">
        <x:f>IF('Release Gates'!C1305="PLANNING","PASS",IF('Release Gates'!C1305="PHYSICAL","OPEN","BLOCKED"))</x:f>
        <x:v>OPEN</x:v>
      </x:c>
      <x:c r="G1331" t="str">
        <x:v>equals</x:v>
      </x:c>
      <x:c r="H1331" t="str">
        <x:f>IF(E1331=F1331,"PASS","FAIL")</x:f>
        <x:v>PASS</x:v>
      </x:c>
    </x:row>
    <x:row r="1332">
      <x:c r="B1332" t="str">
        <x:v>A-01300</x:v>
      </x:c>
      <x:c r="C1332" t="str">
        <x:v>GATE</x:v>
      </x:c>
      <x:c r="D1332" t="str">
        <x:v>release state mirrors governing ledger</x:v>
      </x:c>
      <x:c r="E1332" t="str">
        <x:f>'Release Gates'!I1306</x:f>
        <x:v>OPEN</x:v>
      </x:c>
      <x:c r="F1332" t="str">
        <x:f>IF('Release Gates'!C1306="PLANNING","PASS",IF('Release Gates'!C1306="PHYSICAL","OPEN","BLOCKED"))</x:f>
        <x:v>OPEN</x:v>
      </x:c>
      <x:c r="G1332" t="str">
        <x:v>equals</x:v>
      </x:c>
      <x:c r="H1332" t="str">
        <x:f>IF(E1332=F1332,"PASS","FAIL")</x:f>
        <x:v>PASS</x:v>
      </x:c>
    </x:row>
    <x:row r="1333">
      <x:c r="B1333" t="str">
        <x:v>A-01301</x:v>
      </x:c>
      <x:c r="C1333" t="str">
        <x:v>GATE</x:v>
      </x:c>
      <x:c r="D1333" t="str">
        <x:v>release state mirrors governing ledger</x:v>
      </x:c>
      <x:c r="E1333" t="str">
        <x:f>'Release Gates'!I1307</x:f>
        <x:v>OPEN</x:v>
      </x:c>
      <x:c r="F1333" t="str">
        <x:f>IF('Release Gates'!C1307="PLANNING","PASS",IF('Release Gates'!C1307="PHYSICAL","OPEN","BLOCKED"))</x:f>
        <x:v>OPEN</x:v>
      </x:c>
      <x:c r="G1333" t="str">
        <x:v>equals</x:v>
      </x:c>
      <x:c r="H1333" t="str">
        <x:f>IF(E1333=F1333,"PASS","FAIL")</x:f>
        <x:v>PASS</x:v>
      </x:c>
    </x:row>
    <x:row r="1334">
      <x:c r="B1334" t="str">
        <x:v>A-01302</x:v>
      </x:c>
      <x:c r="C1334" t="str">
        <x:v>GATE</x:v>
      </x:c>
      <x:c r="D1334" t="str">
        <x:v>release state mirrors governing ledger</x:v>
      </x:c>
      <x:c r="E1334" t="str">
        <x:f>'Release Gates'!I1308</x:f>
        <x:v>OPEN</x:v>
      </x:c>
      <x:c r="F1334" t="str">
        <x:f>IF('Release Gates'!C1308="PLANNING","PASS",IF('Release Gates'!C1308="PHYSICAL","OPEN","BLOCKED"))</x:f>
        <x:v>OPEN</x:v>
      </x:c>
      <x:c r="G1334" t="str">
        <x:v>equals</x:v>
      </x:c>
      <x:c r="H1334" t="str">
        <x:f>IF(E1334=F1334,"PASS","FAIL")</x:f>
        <x:v>PASS</x:v>
      </x:c>
    </x:row>
    <x:row r="1335">
      <x:c r="B1335" t="str">
        <x:v>A-01303</x:v>
      </x:c>
      <x:c r="C1335" t="str">
        <x:v>GATE</x:v>
      </x:c>
      <x:c r="D1335" t="str">
        <x:v>release state mirrors governing ledger</x:v>
      </x:c>
      <x:c r="E1335" t="str">
        <x:f>'Release Gates'!I1309</x:f>
        <x:v>OPEN</x:v>
      </x:c>
      <x:c r="F1335" t="str">
        <x:f>IF('Release Gates'!C1309="PLANNING","PASS",IF('Release Gates'!C1309="PHYSICAL","OPEN","BLOCKED"))</x:f>
        <x:v>OPEN</x:v>
      </x:c>
      <x:c r="G1335" t="str">
        <x:v>equals</x:v>
      </x:c>
      <x:c r="H1335" t="str">
        <x:f>IF(E1335=F1335,"PASS","FAIL")</x:f>
        <x:v>PASS</x:v>
      </x:c>
    </x:row>
    <x:row r="1336">
      <x:c r="B1336" t="str">
        <x:v>A-01304</x:v>
      </x:c>
      <x:c r="C1336" t="str">
        <x:v>GATE</x:v>
      </x:c>
      <x:c r="D1336" t="str">
        <x:v>release state mirrors governing ledger</x:v>
      </x:c>
      <x:c r="E1336" t="str">
        <x:f>'Release Gates'!I1310</x:f>
        <x:v>OPEN</x:v>
      </x:c>
      <x:c r="F1336" t="str">
        <x:f>IF('Release Gates'!C1310="PLANNING","PASS",IF('Release Gates'!C1310="PHYSICAL","OPEN","BLOCKED"))</x:f>
        <x:v>OPEN</x:v>
      </x:c>
      <x:c r="G1336" t="str">
        <x:v>equals</x:v>
      </x:c>
      <x:c r="H1336" t="str">
        <x:f>IF(E1336=F1336,"PASS","FAIL")</x:f>
        <x:v>PASS</x:v>
      </x:c>
    </x:row>
    <x:row r="1337">
      <x:c r="B1337" t="str">
        <x:v>A-01305</x:v>
      </x:c>
      <x:c r="C1337" t="str">
        <x:v>GATE</x:v>
      </x:c>
      <x:c r="D1337" t="str">
        <x:v>release state mirrors governing ledger</x:v>
      </x:c>
      <x:c r="E1337" t="str">
        <x:f>'Release Gates'!I1311</x:f>
        <x:v>OPEN</x:v>
      </x:c>
      <x:c r="F1337" t="str">
        <x:f>IF('Release Gates'!C1311="PLANNING","PASS",IF('Release Gates'!C1311="PHYSICAL","OPEN","BLOCKED"))</x:f>
        <x:v>OPEN</x:v>
      </x:c>
      <x:c r="G1337" t="str">
        <x:v>equals</x:v>
      </x:c>
      <x:c r="H1337" t="str">
        <x:f>IF(E1337=F1337,"PASS","FAIL")</x:f>
        <x:v>PASS</x:v>
      </x:c>
    </x:row>
    <x:row r="1338">
      <x:c r="B1338" t="str">
        <x:v>A-01306</x:v>
      </x:c>
      <x:c r="C1338" t="str">
        <x:v>GATE</x:v>
      </x:c>
      <x:c r="D1338" t="str">
        <x:v>release state mirrors governing ledger</x:v>
      </x:c>
      <x:c r="E1338" t="str">
        <x:f>'Release Gates'!I1312</x:f>
        <x:v>OPEN</x:v>
      </x:c>
      <x:c r="F1338" t="str">
        <x:f>IF('Release Gates'!C1312="PLANNING","PASS",IF('Release Gates'!C1312="PHYSICAL","OPEN","BLOCKED"))</x:f>
        <x:v>OPEN</x:v>
      </x:c>
      <x:c r="G1338" t="str">
        <x:v>equals</x:v>
      </x:c>
      <x:c r="H1338" t="str">
        <x:f>IF(E1338=F1338,"PASS","FAIL")</x:f>
        <x:v>PASS</x:v>
      </x:c>
    </x:row>
    <x:row r="1339">
      <x:c r="B1339" t="str">
        <x:v>A-01307</x:v>
      </x:c>
      <x:c r="C1339" t="str">
        <x:v>GATE</x:v>
      </x:c>
      <x:c r="D1339" t="str">
        <x:v>release state mirrors governing ledger</x:v>
      </x:c>
      <x:c r="E1339" t="str">
        <x:f>'Release Gates'!I1313</x:f>
        <x:v>OPEN</x:v>
      </x:c>
      <x:c r="F1339" t="str">
        <x:f>IF('Release Gates'!C1313="PLANNING","PASS",IF('Release Gates'!C1313="PHYSICAL","OPEN","BLOCKED"))</x:f>
        <x:v>OPEN</x:v>
      </x:c>
      <x:c r="G1339" t="str">
        <x:v>equals</x:v>
      </x:c>
      <x:c r="H1339" t="str">
        <x:f>IF(E1339=F1339,"PASS","FAIL")</x:f>
        <x:v>PASS</x:v>
      </x:c>
    </x:row>
    <x:row r="1340">
      <x:c r="B1340" t="str">
        <x:v>A-01308</x:v>
      </x:c>
      <x:c r="C1340" t="str">
        <x:v>GATE</x:v>
      </x:c>
      <x:c r="D1340" t="str">
        <x:v>release state mirrors governing ledger</x:v>
      </x:c>
      <x:c r="E1340" t="str">
        <x:f>'Release Gates'!I1314</x:f>
        <x:v>OPEN</x:v>
      </x:c>
      <x:c r="F1340" t="str">
        <x:f>IF('Release Gates'!C1314="PLANNING","PASS",IF('Release Gates'!C1314="PHYSICAL","OPEN","BLOCKED"))</x:f>
        <x:v>OPEN</x:v>
      </x:c>
      <x:c r="G1340" t="str">
        <x:v>equals</x:v>
      </x:c>
      <x:c r="H1340" t="str">
        <x:f>IF(E1340=F1340,"PASS","FAIL")</x:f>
        <x:v>PASS</x:v>
      </x:c>
    </x:row>
    <x:row r="1341">
      <x:c r="B1341" t="str">
        <x:v>A-01309</x:v>
      </x:c>
      <x:c r="C1341" t="str">
        <x:v>GATE</x:v>
      </x:c>
      <x:c r="D1341" t="str">
        <x:v>release state mirrors governing ledger</x:v>
      </x:c>
      <x:c r="E1341" t="str">
        <x:f>'Release Gates'!I1315</x:f>
        <x:v>OPEN</x:v>
      </x:c>
      <x:c r="F1341" t="str">
        <x:f>IF('Release Gates'!C1315="PLANNING","PASS",IF('Release Gates'!C1315="PHYSICAL","OPEN","BLOCKED"))</x:f>
        <x:v>OPEN</x:v>
      </x:c>
      <x:c r="G1341" t="str">
        <x:v>equals</x:v>
      </x:c>
      <x:c r="H1341" t="str">
        <x:f>IF(E1341=F1341,"PASS","FAIL")</x:f>
        <x:v>PASS</x:v>
      </x:c>
    </x:row>
    <x:row r="1342">
      <x:c r="B1342" t="str">
        <x:v>A-01310</x:v>
      </x:c>
      <x:c r="C1342" t="str">
        <x:v>GATE</x:v>
      </x:c>
      <x:c r="D1342" t="str">
        <x:v>release state mirrors governing ledger</x:v>
      </x:c>
      <x:c r="E1342" t="str">
        <x:f>'Release Gates'!I1316</x:f>
        <x:v>OPEN</x:v>
      </x:c>
      <x:c r="F1342" t="str">
        <x:f>IF('Release Gates'!C1316="PLANNING","PASS",IF('Release Gates'!C1316="PHYSICAL","OPEN","BLOCKED"))</x:f>
        <x:v>OPEN</x:v>
      </x:c>
      <x:c r="G1342" t="str">
        <x:v>equals</x:v>
      </x:c>
      <x:c r="H1342" t="str">
        <x:f>IF(E1342=F1342,"PASS","FAIL")</x:f>
        <x:v>PASS</x:v>
      </x:c>
    </x:row>
    <x:row r="1343">
      <x:c r="B1343" t="str">
        <x:v>A-01311</x:v>
      </x:c>
      <x:c r="C1343" t="str">
        <x:v>GATE</x:v>
      </x:c>
      <x:c r="D1343" t="str">
        <x:v>release state mirrors governing ledger</x:v>
      </x:c>
      <x:c r="E1343" t="str">
        <x:f>'Release Gates'!I1317</x:f>
        <x:v>OPEN</x:v>
      </x:c>
      <x:c r="F1343" t="str">
        <x:f>IF('Release Gates'!C1317="PLANNING","PASS",IF('Release Gates'!C1317="PHYSICAL","OPEN","BLOCKED"))</x:f>
        <x:v>OPEN</x:v>
      </x:c>
      <x:c r="G1343" t="str">
        <x:v>equals</x:v>
      </x:c>
      <x:c r="H1343" t="str">
        <x:f>IF(E1343=F1343,"PASS","FAIL")</x:f>
        <x:v>PASS</x:v>
      </x:c>
    </x:row>
    <x:row r="1344">
      <x:c r="B1344" t="str">
        <x:v>A-01312</x:v>
      </x:c>
      <x:c r="C1344" t="str">
        <x:v>GATE</x:v>
      </x:c>
      <x:c r="D1344" t="str">
        <x:v>release state mirrors governing ledger</x:v>
      </x:c>
      <x:c r="E1344" t="str">
        <x:f>'Release Gates'!I1318</x:f>
        <x:v>OPEN</x:v>
      </x:c>
      <x:c r="F1344" t="str">
        <x:f>IF('Release Gates'!C1318="PLANNING","PASS",IF('Release Gates'!C1318="PHYSICAL","OPEN","BLOCKED"))</x:f>
        <x:v>OPEN</x:v>
      </x:c>
      <x:c r="G1344" t="str">
        <x:v>equals</x:v>
      </x:c>
      <x:c r="H1344" t="str">
        <x:f>IF(E1344=F1344,"PASS","FAIL")</x:f>
        <x:v>PASS</x:v>
      </x:c>
    </x:row>
    <x:row r="1345">
      <x:c r="B1345" t="str">
        <x:v>A-01313</x:v>
      </x:c>
      <x:c r="C1345" t="str">
        <x:v>GATE</x:v>
      </x:c>
      <x:c r="D1345" t="str">
        <x:v>release state mirrors governing ledger</x:v>
      </x:c>
      <x:c r="E1345" t="str">
        <x:f>'Release Gates'!I1319</x:f>
        <x:v>OPEN</x:v>
      </x:c>
      <x:c r="F1345" t="str">
        <x:f>IF('Release Gates'!C1319="PLANNING","PASS",IF('Release Gates'!C1319="PHYSICAL","OPEN","BLOCKED"))</x:f>
        <x:v>OPEN</x:v>
      </x:c>
      <x:c r="G1345" t="str">
        <x:v>equals</x:v>
      </x:c>
      <x:c r="H1345" t="str">
        <x:f>IF(E1345=F1345,"PASS","FAIL")</x:f>
        <x:v>PASS</x:v>
      </x:c>
    </x:row>
    <x:row r="1346">
      <x:c r="B1346" t="str">
        <x:v>A-01314</x:v>
      </x:c>
      <x:c r="C1346" t="str">
        <x:v>GATE</x:v>
      </x:c>
      <x:c r="D1346" t="str">
        <x:v>release state mirrors governing ledger</x:v>
      </x:c>
      <x:c r="E1346" t="str">
        <x:f>'Release Gates'!I1320</x:f>
        <x:v>OPEN</x:v>
      </x:c>
      <x:c r="F1346" t="str">
        <x:f>IF('Release Gates'!C1320="PLANNING","PASS",IF('Release Gates'!C1320="PHYSICAL","OPEN","BLOCKED"))</x:f>
        <x:v>OPEN</x:v>
      </x:c>
      <x:c r="G1346" t="str">
        <x:v>equals</x:v>
      </x:c>
      <x:c r="H1346" t="str">
        <x:f>IF(E1346=F1346,"PASS","FAIL")</x:f>
        <x:v>PASS</x:v>
      </x:c>
    </x:row>
    <x:row r="1347">
      <x:c r="B1347" t="str">
        <x:v>A-01315</x:v>
      </x:c>
      <x:c r="C1347" t="str">
        <x:v>GATE</x:v>
      </x:c>
      <x:c r="D1347" t="str">
        <x:v>release state mirrors governing ledger</x:v>
      </x:c>
      <x:c r="E1347" t="str">
        <x:f>'Release Gates'!I1321</x:f>
        <x:v>OPEN</x:v>
      </x:c>
      <x:c r="F1347" t="str">
        <x:f>IF('Release Gates'!C1321="PLANNING","PASS",IF('Release Gates'!C1321="PHYSICAL","OPEN","BLOCKED"))</x:f>
        <x:v>OPEN</x:v>
      </x:c>
      <x:c r="G1347" t="str">
        <x:v>equals</x:v>
      </x:c>
      <x:c r="H1347" t="str">
        <x:f>IF(E1347=F1347,"PASS","FAIL")</x:f>
        <x:v>PASS</x:v>
      </x:c>
    </x:row>
    <x:row r="1348">
      <x:c r="B1348" t="str">
        <x:v>A-01316</x:v>
      </x:c>
      <x:c r="C1348" t="str">
        <x:v>GATE</x:v>
      </x:c>
      <x:c r="D1348" t="str">
        <x:v>release state mirrors governing ledger</x:v>
      </x:c>
      <x:c r="E1348" t="str">
        <x:f>'Release Gates'!I1322</x:f>
        <x:v>OPEN</x:v>
      </x:c>
      <x:c r="F1348" t="str">
        <x:f>IF('Release Gates'!C1322="PLANNING","PASS",IF('Release Gates'!C1322="PHYSICAL","OPEN","BLOCKED"))</x:f>
        <x:v>OPEN</x:v>
      </x:c>
      <x:c r="G1348" t="str">
        <x:v>equals</x:v>
      </x:c>
      <x:c r="H1348" t="str">
        <x:f>IF(E1348=F1348,"PASS","FAIL")</x:f>
        <x:v>PASS</x:v>
      </x:c>
    </x:row>
    <x:row r="1349">
      <x:c r="B1349" t="str">
        <x:v>A-01317</x:v>
      </x:c>
      <x:c r="C1349" t="str">
        <x:v>GATE</x:v>
      </x:c>
      <x:c r="D1349" t="str">
        <x:v>release state mirrors governing ledger</x:v>
      </x:c>
      <x:c r="E1349" t="str">
        <x:f>'Release Gates'!I1323</x:f>
        <x:v>OPEN</x:v>
      </x:c>
      <x:c r="F1349" t="str">
        <x:f>IF('Release Gates'!C1323="PLANNING","PASS",IF('Release Gates'!C1323="PHYSICAL","OPEN","BLOCKED"))</x:f>
        <x:v>OPEN</x:v>
      </x:c>
      <x:c r="G1349" t="str">
        <x:v>equals</x:v>
      </x:c>
      <x:c r="H1349" t="str">
        <x:f>IF(E1349=F1349,"PASS","FAIL")</x:f>
        <x:v>PASS</x:v>
      </x:c>
    </x:row>
    <x:row r="1350">
      <x:c r="B1350" t="str">
        <x:v>A-01318</x:v>
      </x:c>
      <x:c r="C1350" t="str">
        <x:v>GATE</x:v>
      </x:c>
      <x:c r="D1350" t="str">
        <x:v>release state mirrors governing ledger</x:v>
      </x:c>
      <x:c r="E1350" t="str">
        <x:f>'Release Gates'!I1324</x:f>
        <x:v>OPEN</x:v>
      </x:c>
      <x:c r="F1350" t="str">
        <x:f>IF('Release Gates'!C1324="PLANNING","PASS",IF('Release Gates'!C1324="PHYSICAL","OPEN","BLOCKED"))</x:f>
        <x:v>OPEN</x:v>
      </x:c>
      <x:c r="G1350" t="str">
        <x:v>equals</x:v>
      </x:c>
      <x:c r="H1350" t="str">
        <x:f>IF(E1350=F1350,"PASS","FAIL")</x:f>
        <x:v>PASS</x:v>
      </x:c>
    </x:row>
    <x:row r="1351">
      <x:c r="B1351" t="str">
        <x:v>A-01319</x:v>
      </x:c>
      <x:c r="C1351" t="str">
        <x:v>GATE</x:v>
      </x:c>
      <x:c r="D1351" t="str">
        <x:v>release state mirrors governing ledger</x:v>
      </x:c>
      <x:c r="E1351" t="str">
        <x:f>'Release Gates'!I1325</x:f>
        <x:v>OPEN</x:v>
      </x:c>
      <x:c r="F1351" t="str">
        <x:f>IF('Release Gates'!C1325="PLANNING","PASS",IF('Release Gates'!C1325="PHYSICAL","OPEN","BLOCKED"))</x:f>
        <x:v>OPEN</x:v>
      </x:c>
      <x:c r="G1351" t="str">
        <x:v>equals</x:v>
      </x:c>
      <x:c r="H1351" t="str">
        <x:f>IF(E1351=F1351,"PASS","FAIL")</x:f>
        <x:v>PASS</x:v>
      </x:c>
    </x:row>
    <x:row r="1352">
      <x:c r="B1352" t="str">
        <x:v>A-01320</x:v>
      </x:c>
      <x:c r="C1352" t="str">
        <x:v>GATE</x:v>
      </x:c>
      <x:c r="D1352" t="str">
        <x:v>release state mirrors governing ledger</x:v>
      </x:c>
      <x:c r="E1352" t="str">
        <x:f>'Release Gates'!I1326</x:f>
        <x:v>OPEN</x:v>
      </x:c>
      <x:c r="F1352" t="str">
        <x:f>IF('Release Gates'!C1326="PLANNING","PASS",IF('Release Gates'!C1326="PHYSICAL","OPEN","BLOCKED"))</x:f>
        <x:v>OPEN</x:v>
      </x:c>
      <x:c r="G1352" t="str">
        <x:v>equals</x:v>
      </x:c>
      <x:c r="H1352" t="str">
        <x:f>IF(E1352=F1352,"PASS","FAIL")</x:f>
        <x:v>PASS</x:v>
      </x:c>
    </x:row>
    <x:row r="1353">
      <x:c r="B1353" t="str">
        <x:v>A-01321</x:v>
      </x:c>
      <x:c r="C1353" t="str">
        <x:v>GATE</x:v>
      </x:c>
      <x:c r="D1353" t="str">
        <x:v>release state mirrors governing ledger</x:v>
      </x:c>
      <x:c r="E1353" t="str">
        <x:f>'Release Gates'!I1327</x:f>
        <x:v>OPEN</x:v>
      </x:c>
      <x:c r="F1353" t="str">
        <x:f>IF('Release Gates'!C1327="PLANNING","PASS",IF('Release Gates'!C1327="PHYSICAL","OPEN","BLOCKED"))</x:f>
        <x:v>OPEN</x:v>
      </x:c>
      <x:c r="G1353" t="str">
        <x:v>equals</x:v>
      </x:c>
      <x:c r="H1353" t="str">
        <x:f>IF(E1353=F1353,"PASS","FAIL")</x:f>
        <x:v>PASS</x:v>
      </x:c>
    </x:row>
    <x:row r="1354">
      <x:c r="B1354" t="str">
        <x:v>A-01322</x:v>
      </x:c>
      <x:c r="C1354" t="str">
        <x:v>GATE</x:v>
      </x:c>
      <x:c r="D1354" t="str">
        <x:v>release state mirrors governing ledger</x:v>
      </x:c>
      <x:c r="E1354" t="str">
        <x:f>'Release Gates'!I1328</x:f>
        <x:v>OPEN</x:v>
      </x:c>
      <x:c r="F1354" t="str">
        <x:f>IF('Release Gates'!C1328="PLANNING","PASS",IF('Release Gates'!C1328="PHYSICAL","OPEN","BLOCKED"))</x:f>
        <x:v>OPEN</x:v>
      </x:c>
      <x:c r="G1354" t="str">
        <x:v>equals</x:v>
      </x:c>
      <x:c r="H1354" t="str">
        <x:f>IF(E1354=F1354,"PASS","FAIL")</x:f>
        <x:v>PASS</x:v>
      </x:c>
    </x:row>
    <x:row r="1355">
      <x:c r="B1355" t="str">
        <x:v>A-01323</x:v>
      </x:c>
      <x:c r="C1355" t="str">
        <x:v>GATE</x:v>
      </x:c>
      <x:c r="D1355" t="str">
        <x:v>release state mirrors governing ledger</x:v>
      </x:c>
      <x:c r="E1355" t="str">
        <x:f>'Release Gates'!I1329</x:f>
        <x:v>OPEN</x:v>
      </x:c>
      <x:c r="F1355" t="str">
        <x:f>IF('Release Gates'!C1329="PLANNING","PASS",IF('Release Gates'!C1329="PHYSICAL","OPEN","BLOCKED"))</x:f>
        <x:v>OPEN</x:v>
      </x:c>
      <x:c r="G1355" t="str">
        <x:v>equals</x:v>
      </x:c>
      <x:c r="H1355" t="str">
        <x:f>IF(E1355=F1355,"PASS","FAIL")</x:f>
        <x:v>PASS</x:v>
      </x:c>
    </x:row>
    <x:row r="1356">
      <x:c r="B1356" t="str">
        <x:v>A-01324</x:v>
      </x:c>
      <x:c r="C1356" t="str">
        <x:v>GATE</x:v>
      </x:c>
      <x:c r="D1356" t="str">
        <x:v>release state mirrors governing ledger</x:v>
      </x:c>
      <x:c r="E1356" t="str">
        <x:f>'Release Gates'!I1330</x:f>
        <x:v>OPEN</x:v>
      </x:c>
      <x:c r="F1356" t="str">
        <x:f>IF('Release Gates'!C1330="PLANNING","PASS",IF('Release Gates'!C1330="PHYSICAL","OPEN","BLOCKED"))</x:f>
        <x:v>OPEN</x:v>
      </x:c>
      <x:c r="G1356" t="str">
        <x:v>equals</x:v>
      </x:c>
      <x:c r="H1356" t="str">
        <x:f>IF(E1356=F1356,"PASS","FAIL")</x:f>
        <x:v>PASS</x:v>
      </x:c>
    </x:row>
    <x:row r="1357">
      <x:c r="B1357" t="str">
        <x:v>A-01325</x:v>
      </x:c>
      <x:c r="C1357" t="str">
        <x:v>GATE</x:v>
      </x:c>
      <x:c r="D1357" t="str">
        <x:v>release state mirrors governing ledger</x:v>
      </x:c>
      <x:c r="E1357" t="str">
        <x:f>'Release Gates'!I1331</x:f>
        <x:v>OPEN</x:v>
      </x:c>
      <x:c r="F1357" t="str">
        <x:f>IF('Release Gates'!C1331="PLANNING","PASS",IF('Release Gates'!C1331="PHYSICAL","OPEN","BLOCKED"))</x:f>
        <x:v>OPEN</x:v>
      </x:c>
      <x:c r="G1357" t="str">
        <x:v>equals</x:v>
      </x:c>
      <x:c r="H1357" t="str">
        <x:f>IF(E1357=F1357,"PASS","FAIL")</x:f>
        <x:v>PASS</x:v>
      </x:c>
    </x:row>
    <x:row r="1358">
      <x:c r="B1358" t="str">
        <x:v>A-01326</x:v>
      </x:c>
      <x:c r="C1358" t="str">
        <x:v>GATE</x:v>
      </x:c>
      <x:c r="D1358" t="str">
        <x:v>release state mirrors governing ledger</x:v>
      </x:c>
      <x:c r="E1358" t="str">
        <x:f>'Release Gates'!I1332</x:f>
        <x:v>OPEN</x:v>
      </x:c>
      <x:c r="F1358" t="str">
        <x:f>IF('Release Gates'!C1332="PLANNING","PASS",IF('Release Gates'!C1332="PHYSICAL","OPEN","BLOCKED"))</x:f>
        <x:v>OPEN</x:v>
      </x:c>
      <x:c r="G1358" t="str">
        <x:v>equals</x:v>
      </x:c>
      <x:c r="H1358" t="str">
        <x:f>IF(E1358=F1358,"PASS","FAIL")</x:f>
        <x:v>PASS</x:v>
      </x:c>
    </x:row>
    <x:row r="1359">
      <x:c r="B1359" t="str">
        <x:v>A-01327</x:v>
      </x:c>
      <x:c r="C1359" t="str">
        <x:v>GATE</x:v>
      </x:c>
      <x:c r="D1359" t="str">
        <x:v>release state mirrors governing ledger</x:v>
      </x:c>
      <x:c r="E1359" t="str">
        <x:f>'Release Gates'!I1333</x:f>
        <x:v>OPEN</x:v>
      </x:c>
      <x:c r="F1359" t="str">
        <x:f>IF('Release Gates'!C1333="PLANNING","PASS",IF('Release Gates'!C1333="PHYSICAL","OPEN","BLOCKED"))</x:f>
        <x:v>OPEN</x:v>
      </x:c>
      <x:c r="G1359" t="str">
        <x:v>equals</x:v>
      </x:c>
      <x:c r="H1359" t="str">
        <x:f>IF(E1359=F1359,"PASS","FAIL")</x:f>
        <x:v>PASS</x:v>
      </x:c>
    </x:row>
    <x:row r="1360">
      <x:c r="B1360" t="str">
        <x:v>A-01328</x:v>
      </x:c>
      <x:c r="C1360" t="str">
        <x:v>GATE</x:v>
      </x:c>
      <x:c r="D1360" t="str">
        <x:v>release state mirrors governing ledger</x:v>
      </x:c>
      <x:c r="E1360" t="str">
        <x:f>'Release Gates'!I1334</x:f>
        <x:v>OPEN</x:v>
      </x:c>
      <x:c r="F1360" t="str">
        <x:f>IF('Release Gates'!C1334="PLANNING","PASS",IF('Release Gates'!C1334="PHYSICAL","OPEN","BLOCKED"))</x:f>
        <x:v>OPEN</x:v>
      </x:c>
      <x:c r="G1360" t="str">
        <x:v>equals</x:v>
      </x:c>
      <x:c r="H1360" t="str">
        <x:f>IF(E1360=F1360,"PASS","FAIL")</x:f>
        <x:v>PASS</x:v>
      </x:c>
    </x:row>
    <x:row r="1361">
      <x:c r="B1361" t="str">
        <x:v>A-01329</x:v>
      </x:c>
      <x:c r="C1361" t="str">
        <x:v>GATE</x:v>
      </x:c>
      <x:c r="D1361" t="str">
        <x:v>release state mirrors governing ledger</x:v>
      </x:c>
      <x:c r="E1361" t="str">
        <x:f>'Release Gates'!I1335</x:f>
        <x:v>OPEN</x:v>
      </x:c>
      <x:c r="F1361" t="str">
        <x:f>IF('Release Gates'!C1335="PLANNING","PASS",IF('Release Gates'!C1335="PHYSICAL","OPEN","BLOCKED"))</x:f>
        <x:v>OPEN</x:v>
      </x:c>
      <x:c r="G1361" t="str">
        <x:v>equals</x:v>
      </x:c>
      <x:c r="H1361" t="str">
        <x:f>IF(E1361=F1361,"PASS","FAIL")</x:f>
        <x:v>PASS</x:v>
      </x:c>
    </x:row>
    <x:row r="1362">
      <x:c r="B1362" t="str">
        <x:v>A-01330</x:v>
      </x:c>
      <x:c r="C1362" t="str">
        <x:v>GATE</x:v>
      </x:c>
      <x:c r="D1362" t="str">
        <x:v>release state mirrors governing ledger</x:v>
      </x:c>
      <x:c r="E1362" t="str">
        <x:f>'Release Gates'!I1336</x:f>
        <x:v>OPEN</x:v>
      </x:c>
      <x:c r="F1362" t="str">
        <x:f>IF('Release Gates'!C1336="PLANNING","PASS",IF('Release Gates'!C1336="PHYSICAL","OPEN","BLOCKED"))</x:f>
        <x:v>OPEN</x:v>
      </x:c>
      <x:c r="G1362" t="str">
        <x:v>equals</x:v>
      </x:c>
      <x:c r="H1362" t="str">
        <x:f>IF(E1362=F1362,"PASS","FAIL")</x:f>
        <x:v>PASS</x:v>
      </x:c>
    </x:row>
    <x:row r="1363">
      <x:c r="B1363" t="str">
        <x:v>A-01331</x:v>
      </x:c>
      <x:c r="C1363" t="str">
        <x:v>GATE</x:v>
      </x:c>
      <x:c r="D1363" t="str">
        <x:v>release state mirrors governing ledger</x:v>
      </x:c>
      <x:c r="E1363" t="str">
        <x:f>'Release Gates'!I1337</x:f>
        <x:v>OPEN</x:v>
      </x:c>
      <x:c r="F1363" t="str">
        <x:f>IF('Release Gates'!C1337="PLANNING","PASS",IF('Release Gates'!C1337="PHYSICAL","OPEN","BLOCKED"))</x:f>
        <x:v>OPEN</x:v>
      </x:c>
      <x:c r="G1363" t="str">
        <x:v>equals</x:v>
      </x:c>
      <x:c r="H1363" t="str">
        <x:f>IF(E1363=F1363,"PASS","FAIL")</x:f>
        <x:v>PASS</x:v>
      </x:c>
    </x:row>
    <x:row r="1364">
      <x:c r="B1364" t="str">
        <x:v>A-01332</x:v>
      </x:c>
      <x:c r="C1364" t="str">
        <x:v>GATE</x:v>
      </x:c>
      <x:c r="D1364" t="str">
        <x:v>release state mirrors governing ledger</x:v>
      </x:c>
      <x:c r="E1364" t="str">
        <x:f>'Release Gates'!I1338</x:f>
        <x:v>OPEN</x:v>
      </x:c>
      <x:c r="F1364" t="str">
        <x:f>IF('Release Gates'!C1338="PLANNING","PASS",IF('Release Gates'!C1338="PHYSICAL","OPEN","BLOCKED"))</x:f>
        <x:v>OPEN</x:v>
      </x:c>
      <x:c r="G1364" t="str">
        <x:v>equals</x:v>
      </x:c>
      <x:c r="H1364" t="str">
        <x:f>IF(E1364=F1364,"PASS","FAIL")</x:f>
        <x:v>PASS</x:v>
      </x:c>
    </x:row>
    <x:row r="1365">
      <x:c r="B1365" t="str">
        <x:v>A-01333</x:v>
      </x:c>
      <x:c r="C1365" t="str">
        <x:v>GATE</x:v>
      </x:c>
      <x:c r="D1365" t="str">
        <x:v>release state mirrors governing ledger</x:v>
      </x:c>
      <x:c r="E1365" t="str">
        <x:f>'Release Gates'!I1339</x:f>
        <x:v>OPEN</x:v>
      </x:c>
      <x:c r="F1365" t="str">
        <x:f>IF('Release Gates'!C1339="PLANNING","PASS",IF('Release Gates'!C1339="PHYSICAL","OPEN","BLOCKED"))</x:f>
        <x:v>OPEN</x:v>
      </x:c>
      <x:c r="G1365" t="str">
        <x:v>equals</x:v>
      </x:c>
      <x:c r="H1365" t="str">
        <x:f>IF(E1365=F1365,"PASS","FAIL")</x:f>
        <x:v>PASS</x:v>
      </x:c>
    </x:row>
    <x:row r="1366">
      <x:c r="B1366" t="str">
        <x:v>A-01334</x:v>
      </x:c>
      <x:c r="C1366" t="str">
        <x:v>GATE</x:v>
      </x:c>
      <x:c r="D1366" t="str">
        <x:v>release state mirrors governing ledger</x:v>
      </x:c>
      <x:c r="E1366" t="str">
        <x:f>'Release Gates'!I1340</x:f>
        <x:v>OPEN</x:v>
      </x:c>
      <x:c r="F1366" t="str">
        <x:f>IF('Release Gates'!C1340="PLANNING","PASS",IF('Release Gates'!C1340="PHYSICAL","OPEN","BLOCKED"))</x:f>
        <x:v>OPEN</x:v>
      </x:c>
      <x:c r="G1366" t="str">
        <x:v>equals</x:v>
      </x:c>
      <x:c r="H1366" t="str">
        <x:f>IF(E1366=F1366,"PASS","FAIL")</x:f>
        <x:v>PASS</x:v>
      </x:c>
    </x:row>
    <x:row r="1367">
      <x:c r="B1367" t="str">
        <x:v>A-01335</x:v>
      </x:c>
      <x:c r="C1367" t="str">
        <x:v>GATE</x:v>
      </x:c>
      <x:c r="D1367" t="str">
        <x:v>release state mirrors governing ledger</x:v>
      </x:c>
      <x:c r="E1367" t="str">
        <x:f>'Release Gates'!I1341</x:f>
        <x:v>OPEN</x:v>
      </x:c>
      <x:c r="F1367" t="str">
        <x:f>IF('Release Gates'!C1341="PLANNING","PASS",IF('Release Gates'!C1341="PHYSICAL","OPEN","BLOCKED"))</x:f>
        <x:v>OPEN</x:v>
      </x:c>
      <x:c r="G1367" t="str">
        <x:v>equals</x:v>
      </x:c>
      <x:c r="H1367" t="str">
        <x:f>IF(E1367=F1367,"PASS","FAIL")</x:f>
        <x:v>PASS</x:v>
      </x:c>
    </x:row>
    <x:row r="1368">
      <x:c r="B1368" t="str">
        <x:v>A-01336</x:v>
      </x:c>
      <x:c r="C1368" t="str">
        <x:v>GATE</x:v>
      </x:c>
      <x:c r="D1368" t="str">
        <x:v>release state mirrors governing ledger</x:v>
      </x:c>
      <x:c r="E1368" t="str">
        <x:f>'Release Gates'!I1342</x:f>
        <x:v>OPEN</x:v>
      </x:c>
      <x:c r="F1368" t="str">
        <x:f>IF('Release Gates'!C1342="PLANNING","PASS",IF('Release Gates'!C1342="PHYSICAL","OPEN","BLOCKED"))</x:f>
        <x:v>OPEN</x:v>
      </x:c>
      <x:c r="G1368" t="str">
        <x:v>equals</x:v>
      </x:c>
      <x:c r="H1368" t="str">
        <x:f>IF(E1368=F1368,"PASS","FAIL")</x:f>
        <x:v>PASS</x:v>
      </x:c>
    </x:row>
    <x:row r="1369">
      <x:c r="B1369" t="str">
        <x:v>A-01337</x:v>
      </x:c>
      <x:c r="C1369" t="str">
        <x:v>GATE</x:v>
      </x:c>
      <x:c r="D1369" t="str">
        <x:v>release state mirrors governing ledger</x:v>
      </x:c>
      <x:c r="E1369" t="str">
        <x:f>'Release Gates'!I1343</x:f>
        <x:v>OPEN</x:v>
      </x:c>
      <x:c r="F1369" t="str">
        <x:f>IF('Release Gates'!C1343="PLANNING","PASS",IF('Release Gates'!C1343="PHYSICAL","OPEN","BLOCKED"))</x:f>
        <x:v>OPEN</x:v>
      </x:c>
      <x:c r="G1369" t="str">
        <x:v>equals</x:v>
      </x:c>
      <x:c r="H1369" t="str">
        <x:f>IF(E1369=F1369,"PASS","FAIL")</x:f>
        <x:v>PASS</x:v>
      </x:c>
    </x:row>
    <x:row r="1370">
      <x:c r="B1370" t="str">
        <x:v>A-01338</x:v>
      </x:c>
      <x:c r="C1370" t="str">
        <x:v>GATE</x:v>
      </x:c>
      <x:c r="D1370" t="str">
        <x:v>release state mirrors governing ledger</x:v>
      </x:c>
      <x:c r="E1370" t="str">
        <x:f>'Release Gates'!I1344</x:f>
        <x:v>OPEN</x:v>
      </x:c>
      <x:c r="F1370" t="str">
        <x:f>IF('Release Gates'!C1344="PLANNING","PASS",IF('Release Gates'!C1344="PHYSICAL","OPEN","BLOCKED"))</x:f>
        <x:v>OPEN</x:v>
      </x:c>
      <x:c r="G1370" t="str">
        <x:v>equals</x:v>
      </x:c>
      <x:c r="H1370" t="str">
        <x:f>IF(E1370=F1370,"PASS","FAIL")</x:f>
        <x:v>PASS</x:v>
      </x:c>
    </x:row>
    <x:row r="1371">
      <x:c r="B1371" t="str">
        <x:v>A-01339</x:v>
      </x:c>
      <x:c r="C1371" t="str">
        <x:v>GATE</x:v>
      </x:c>
      <x:c r="D1371" t="str">
        <x:v>release state mirrors governing ledger</x:v>
      </x:c>
      <x:c r="E1371" t="str">
        <x:f>'Release Gates'!I1345</x:f>
        <x:v>OPEN</x:v>
      </x:c>
      <x:c r="F1371" t="str">
        <x:f>IF('Release Gates'!C1345="PLANNING","PASS",IF('Release Gates'!C1345="PHYSICAL","OPEN","BLOCKED"))</x:f>
        <x:v>OPEN</x:v>
      </x:c>
      <x:c r="G1371" t="str">
        <x:v>equals</x:v>
      </x:c>
      <x:c r="H1371" t="str">
        <x:f>IF(E1371=F1371,"PASS","FAIL")</x:f>
        <x:v>PASS</x:v>
      </x:c>
    </x:row>
    <x:row r="1372">
      <x:c r="B1372" t="str">
        <x:v>A-01340</x:v>
      </x:c>
      <x:c r="C1372" t="str">
        <x:v>GATE</x:v>
      </x:c>
      <x:c r="D1372" t="str">
        <x:v>release state mirrors governing ledger</x:v>
      </x:c>
      <x:c r="E1372" t="str">
        <x:f>'Release Gates'!I1346</x:f>
        <x:v>OPEN</x:v>
      </x:c>
      <x:c r="F1372" t="str">
        <x:f>IF('Release Gates'!C1346="PLANNING","PASS",IF('Release Gates'!C1346="PHYSICAL","OPEN","BLOCKED"))</x:f>
        <x:v>OPEN</x:v>
      </x:c>
      <x:c r="G1372" t="str">
        <x:v>equals</x:v>
      </x:c>
      <x:c r="H1372" t="str">
        <x:f>IF(E1372=F1372,"PASS","FAIL")</x:f>
        <x:v>PASS</x:v>
      </x:c>
    </x:row>
    <x:row r="1373">
      <x:c r="B1373" t="str">
        <x:v>A-01341</x:v>
      </x:c>
      <x:c r="C1373" t="str">
        <x:v>GATE</x:v>
      </x:c>
      <x:c r="D1373" t="str">
        <x:v>release state mirrors governing ledger</x:v>
      </x:c>
      <x:c r="E1373" t="str">
        <x:f>'Release Gates'!I1347</x:f>
        <x:v>OPEN</x:v>
      </x:c>
      <x:c r="F1373" t="str">
        <x:f>IF('Release Gates'!C1347="PLANNING","PASS",IF('Release Gates'!C1347="PHYSICAL","OPEN","BLOCKED"))</x:f>
        <x:v>OPEN</x:v>
      </x:c>
      <x:c r="G1373" t="str">
        <x:v>equals</x:v>
      </x:c>
      <x:c r="H1373" t="str">
        <x:f>IF(E1373=F1373,"PASS","FAIL")</x:f>
        <x:v>PASS</x:v>
      </x:c>
    </x:row>
    <x:row r="1374">
      <x:c r="B1374" t="str">
        <x:v>A-01342</x:v>
      </x:c>
      <x:c r="C1374" t="str">
        <x:v>GATE</x:v>
      </x:c>
      <x:c r="D1374" t="str">
        <x:v>release state mirrors governing ledger</x:v>
      </x:c>
      <x:c r="E1374" t="str">
        <x:f>'Release Gates'!I1348</x:f>
        <x:v>OPEN</x:v>
      </x:c>
      <x:c r="F1374" t="str">
        <x:f>IF('Release Gates'!C1348="PLANNING","PASS",IF('Release Gates'!C1348="PHYSICAL","OPEN","BLOCKED"))</x:f>
        <x:v>OPEN</x:v>
      </x:c>
      <x:c r="G1374" t="str">
        <x:v>equals</x:v>
      </x:c>
      <x:c r="H1374" t="str">
        <x:f>IF(E1374=F1374,"PASS","FAIL")</x:f>
        <x:v>PASS</x:v>
      </x:c>
    </x:row>
    <x:row r="1375">
      <x:c r="B1375" t="str">
        <x:v>A-01343</x:v>
      </x:c>
      <x:c r="C1375" t="str">
        <x:v>GATE</x:v>
      </x:c>
      <x:c r="D1375" t="str">
        <x:v>release state mirrors governing ledger</x:v>
      </x:c>
      <x:c r="E1375" t="str">
        <x:f>'Release Gates'!I1349</x:f>
        <x:v>OPEN</x:v>
      </x:c>
      <x:c r="F1375" t="str">
        <x:f>IF('Release Gates'!C1349="PLANNING","PASS",IF('Release Gates'!C1349="PHYSICAL","OPEN","BLOCKED"))</x:f>
        <x:v>OPEN</x:v>
      </x:c>
      <x:c r="G1375" t="str">
        <x:v>equals</x:v>
      </x:c>
      <x:c r="H1375" t="str">
        <x:f>IF(E1375=F1375,"PASS","FAIL")</x:f>
        <x:v>PASS</x:v>
      </x:c>
    </x:row>
    <x:row r="1376">
      <x:c r="B1376" t="str">
        <x:v>A-01344</x:v>
      </x:c>
      <x:c r="C1376" t="str">
        <x:v>GATE</x:v>
      </x:c>
      <x:c r="D1376" t="str">
        <x:v>release state mirrors governing ledger</x:v>
      </x:c>
      <x:c r="E1376" t="str">
        <x:f>'Release Gates'!I1350</x:f>
        <x:v>OPEN</x:v>
      </x:c>
      <x:c r="F1376" t="str">
        <x:f>IF('Release Gates'!C1350="PLANNING","PASS",IF('Release Gates'!C1350="PHYSICAL","OPEN","BLOCKED"))</x:f>
        <x:v>OPEN</x:v>
      </x:c>
      <x:c r="G1376" t="str">
        <x:v>equals</x:v>
      </x:c>
      <x:c r="H1376" t="str">
        <x:f>IF(E1376=F1376,"PASS","FAIL")</x:f>
        <x:v>PASS</x:v>
      </x:c>
    </x:row>
    <x:row r="1377">
      <x:c r="B1377" t="str">
        <x:v>A-01345</x:v>
      </x:c>
      <x:c r="C1377" t="str">
        <x:v>GATE</x:v>
      </x:c>
      <x:c r="D1377" t="str">
        <x:v>release state mirrors governing ledger</x:v>
      </x:c>
      <x:c r="E1377" t="str">
        <x:f>'Release Gates'!I1351</x:f>
        <x:v>OPEN</x:v>
      </x:c>
      <x:c r="F1377" t="str">
        <x:f>IF('Release Gates'!C1351="PLANNING","PASS",IF('Release Gates'!C1351="PHYSICAL","OPEN","BLOCKED"))</x:f>
        <x:v>OPEN</x:v>
      </x:c>
      <x:c r="G1377" t="str">
        <x:v>equals</x:v>
      </x:c>
      <x:c r="H1377" t="str">
        <x:f>IF(E1377=F1377,"PASS","FAIL")</x:f>
        <x:v>PASS</x:v>
      </x:c>
    </x:row>
    <x:row r="1378">
      <x:c r="B1378" t="str">
        <x:v>A-01346</x:v>
      </x:c>
      <x:c r="C1378" t="str">
        <x:v>GATE</x:v>
      </x:c>
      <x:c r="D1378" t="str">
        <x:v>release state mirrors governing ledger</x:v>
      </x:c>
      <x:c r="E1378" t="str">
        <x:f>'Release Gates'!I1352</x:f>
        <x:v>OPEN</x:v>
      </x:c>
      <x:c r="F1378" t="str">
        <x:f>IF('Release Gates'!C1352="PLANNING","PASS",IF('Release Gates'!C1352="PHYSICAL","OPEN","BLOCKED"))</x:f>
        <x:v>OPEN</x:v>
      </x:c>
      <x:c r="G1378" t="str">
        <x:v>equals</x:v>
      </x:c>
      <x:c r="H1378" t="str">
        <x:f>IF(E1378=F1378,"PASS","FAIL")</x:f>
        <x:v>PASS</x:v>
      </x:c>
    </x:row>
    <x:row r="1379">
      <x:c r="B1379" t="str">
        <x:v>A-01347</x:v>
      </x:c>
      <x:c r="C1379" t="str">
        <x:v>GATE</x:v>
      </x:c>
      <x:c r="D1379" t="str">
        <x:v>release state mirrors governing ledger</x:v>
      </x:c>
      <x:c r="E1379" t="str">
        <x:f>'Release Gates'!I1353</x:f>
        <x:v>OPEN</x:v>
      </x:c>
      <x:c r="F1379" t="str">
        <x:f>IF('Release Gates'!C1353="PLANNING","PASS",IF('Release Gates'!C1353="PHYSICAL","OPEN","BLOCKED"))</x:f>
        <x:v>OPEN</x:v>
      </x:c>
      <x:c r="G1379" t="str">
        <x:v>equals</x:v>
      </x:c>
      <x:c r="H1379" t="str">
        <x:f>IF(E1379=F1379,"PASS","FAIL")</x:f>
        <x:v>PASS</x:v>
      </x:c>
    </x:row>
    <x:row r="1380">
      <x:c r="B1380" t="str">
        <x:v>A-01348</x:v>
      </x:c>
      <x:c r="C1380" t="str">
        <x:v>GATE</x:v>
      </x:c>
      <x:c r="D1380" t="str">
        <x:v>release state mirrors governing ledger</x:v>
      </x:c>
      <x:c r="E1380" t="str">
        <x:f>'Release Gates'!I1354</x:f>
        <x:v>OPEN</x:v>
      </x:c>
      <x:c r="F1380" t="str">
        <x:f>IF('Release Gates'!C1354="PLANNING","PASS",IF('Release Gates'!C1354="PHYSICAL","OPEN","BLOCKED"))</x:f>
        <x:v>OPEN</x:v>
      </x:c>
      <x:c r="G1380" t="str">
        <x:v>equals</x:v>
      </x:c>
      <x:c r="H1380" t="str">
        <x:f>IF(E1380=F1380,"PASS","FAIL")</x:f>
        <x:v>PASS</x:v>
      </x:c>
    </x:row>
    <x:row r="1381">
      <x:c r="B1381" t="str">
        <x:v>A-01349</x:v>
      </x:c>
      <x:c r="C1381" t="str">
        <x:v>GATE</x:v>
      </x:c>
      <x:c r="D1381" t="str">
        <x:v>release state mirrors governing ledger</x:v>
      </x:c>
      <x:c r="E1381" t="str">
        <x:f>'Release Gates'!I1355</x:f>
        <x:v>OPEN</x:v>
      </x:c>
      <x:c r="F1381" t="str">
        <x:f>IF('Release Gates'!C1355="PLANNING","PASS",IF('Release Gates'!C1355="PHYSICAL","OPEN","BLOCKED"))</x:f>
        <x:v>OPEN</x:v>
      </x:c>
      <x:c r="G1381" t="str">
        <x:v>equals</x:v>
      </x:c>
      <x:c r="H1381" t="str">
        <x:f>IF(E1381=F1381,"PASS","FAIL")</x:f>
        <x:v>PASS</x:v>
      </x:c>
    </x:row>
    <x:row r="1382">
      <x:c r="B1382" t="str">
        <x:v>A-01350</x:v>
      </x:c>
      <x:c r="C1382" t="str">
        <x:v>GATE</x:v>
      </x:c>
      <x:c r="D1382" t="str">
        <x:v>release state mirrors governing ledger</x:v>
      </x:c>
      <x:c r="E1382" t="str">
        <x:f>'Release Gates'!I1356</x:f>
        <x:v>OPEN</x:v>
      </x:c>
      <x:c r="F1382" t="str">
        <x:f>IF('Release Gates'!C1356="PLANNING","PASS",IF('Release Gates'!C1356="PHYSICAL","OPEN","BLOCKED"))</x:f>
        <x:v>OPEN</x:v>
      </x:c>
      <x:c r="G1382" t="str">
        <x:v>equals</x:v>
      </x:c>
      <x:c r="H1382" t="str">
        <x:f>IF(E1382=F1382,"PASS","FAIL")</x:f>
        <x:v>PASS</x:v>
      </x:c>
    </x:row>
    <x:row r="1383">
      <x:c r="B1383" t="str">
        <x:v>A-01351</x:v>
      </x:c>
      <x:c r="C1383" t="str">
        <x:v>GATE</x:v>
      </x:c>
      <x:c r="D1383" t="str">
        <x:v>release state mirrors governing ledger</x:v>
      </x:c>
      <x:c r="E1383" t="str">
        <x:f>'Release Gates'!I1357</x:f>
        <x:v>OPEN</x:v>
      </x:c>
      <x:c r="F1383" t="str">
        <x:f>IF('Release Gates'!C1357="PLANNING","PASS",IF('Release Gates'!C1357="PHYSICAL","OPEN","BLOCKED"))</x:f>
        <x:v>OPEN</x:v>
      </x:c>
      <x:c r="G1383" t="str">
        <x:v>equals</x:v>
      </x:c>
      <x:c r="H1383" t="str">
        <x:f>IF(E1383=F1383,"PASS","FAIL")</x:f>
        <x:v>PASS</x:v>
      </x:c>
    </x:row>
    <x:row r="1384">
      <x:c r="B1384" t="str">
        <x:v>A-01352</x:v>
      </x:c>
      <x:c r="C1384" t="str">
        <x:v>GATE</x:v>
      </x:c>
      <x:c r="D1384" t="str">
        <x:v>release state mirrors governing ledger</x:v>
      </x:c>
      <x:c r="E1384" t="str">
        <x:f>'Release Gates'!I1358</x:f>
        <x:v>OPEN</x:v>
      </x:c>
      <x:c r="F1384" t="str">
        <x:f>IF('Release Gates'!C1358="PLANNING","PASS",IF('Release Gates'!C1358="PHYSICAL","OPEN","BLOCKED"))</x:f>
        <x:v>OPEN</x:v>
      </x:c>
      <x:c r="G1384" t="str">
        <x:v>equals</x:v>
      </x:c>
      <x:c r="H1384" t="str">
        <x:f>IF(E1384=F1384,"PASS","FAIL")</x:f>
        <x:v>PASS</x:v>
      </x:c>
    </x:row>
    <x:row r="1385">
      <x:c r="B1385" t="str">
        <x:v>A-01353</x:v>
      </x:c>
      <x:c r="C1385" t="str">
        <x:v>GATE</x:v>
      </x:c>
      <x:c r="D1385" t="str">
        <x:v>release state mirrors governing ledger</x:v>
      </x:c>
      <x:c r="E1385" t="str">
        <x:f>'Release Gates'!I1359</x:f>
        <x:v>OPEN</x:v>
      </x:c>
      <x:c r="F1385" t="str">
        <x:f>IF('Release Gates'!C1359="PLANNING","PASS",IF('Release Gates'!C1359="PHYSICAL","OPEN","BLOCKED"))</x:f>
        <x:v>OPEN</x:v>
      </x:c>
      <x:c r="G1385" t="str">
        <x:v>equals</x:v>
      </x:c>
      <x:c r="H1385" t="str">
        <x:f>IF(E1385=F1385,"PASS","FAIL")</x:f>
        <x:v>PASS</x:v>
      </x:c>
    </x:row>
    <x:row r="1386">
      <x:c r="B1386" t="str">
        <x:v>A-01354</x:v>
      </x:c>
      <x:c r="C1386" t="str">
        <x:v>GATE</x:v>
      </x:c>
      <x:c r="D1386" t="str">
        <x:v>release state mirrors governing ledger</x:v>
      </x:c>
      <x:c r="E1386" t="str">
        <x:f>'Release Gates'!I1360</x:f>
        <x:v>OPEN</x:v>
      </x:c>
      <x:c r="F1386" t="str">
        <x:f>IF('Release Gates'!C1360="PLANNING","PASS",IF('Release Gates'!C1360="PHYSICAL","OPEN","BLOCKED"))</x:f>
        <x:v>OPEN</x:v>
      </x:c>
      <x:c r="G1386" t="str">
        <x:v>equals</x:v>
      </x:c>
      <x:c r="H1386" t="str">
        <x:f>IF(E1386=F1386,"PASS","FAIL")</x:f>
        <x:v>PASS</x:v>
      </x:c>
    </x:row>
    <x:row r="1387">
      <x:c r="B1387" t="str">
        <x:v>A-01355</x:v>
      </x:c>
      <x:c r="C1387" t="str">
        <x:v>GATE</x:v>
      </x:c>
      <x:c r="D1387" t="str">
        <x:v>release state mirrors governing ledger</x:v>
      </x:c>
      <x:c r="E1387" t="str">
        <x:f>'Release Gates'!I1361</x:f>
        <x:v>OPEN</x:v>
      </x:c>
      <x:c r="F1387" t="str">
        <x:f>IF('Release Gates'!C1361="PLANNING","PASS",IF('Release Gates'!C1361="PHYSICAL","OPEN","BLOCKED"))</x:f>
        <x:v>OPEN</x:v>
      </x:c>
      <x:c r="G1387" t="str">
        <x:v>equals</x:v>
      </x:c>
      <x:c r="H1387" t="str">
        <x:f>IF(E1387=F1387,"PASS","FAIL")</x:f>
        <x:v>PASS</x:v>
      </x:c>
    </x:row>
    <x:row r="1388">
      <x:c r="B1388" t="str">
        <x:v>A-01356</x:v>
      </x:c>
      <x:c r="C1388" t="str">
        <x:v>GATE</x:v>
      </x:c>
      <x:c r="D1388" t="str">
        <x:v>release state mirrors governing ledger</x:v>
      </x:c>
      <x:c r="E1388" t="str">
        <x:f>'Release Gates'!I1362</x:f>
        <x:v>OPEN</x:v>
      </x:c>
      <x:c r="F1388" t="str">
        <x:f>IF('Release Gates'!C1362="PLANNING","PASS",IF('Release Gates'!C1362="PHYSICAL","OPEN","BLOCKED"))</x:f>
        <x:v>OPEN</x:v>
      </x:c>
      <x:c r="G1388" t="str">
        <x:v>equals</x:v>
      </x:c>
      <x:c r="H1388" t="str">
        <x:f>IF(E1388=F1388,"PASS","FAIL")</x:f>
        <x:v>PASS</x:v>
      </x:c>
    </x:row>
    <x:row r="1389">
      <x:c r="B1389" t="str">
        <x:v>A-01357</x:v>
      </x:c>
      <x:c r="C1389" t="str">
        <x:v>GATE</x:v>
      </x:c>
      <x:c r="D1389" t="str">
        <x:v>release state mirrors governing ledger</x:v>
      </x:c>
      <x:c r="E1389" t="str">
        <x:f>'Release Gates'!I1363</x:f>
        <x:v>OPEN</x:v>
      </x:c>
      <x:c r="F1389" t="str">
        <x:f>IF('Release Gates'!C1363="PLANNING","PASS",IF('Release Gates'!C1363="PHYSICAL","OPEN","BLOCKED"))</x:f>
        <x:v>OPEN</x:v>
      </x:c>
      <x:c r="G1389" t="str">
        <x:v>equals</x:v>
      </x:c>
      <x:c r="H1389" t="str">
        <x:f>IF(E1389=F1389,"PASS","FAIL")</x:f>
        <x:v>PASS</x:v>
      </x:c>
    </x:row>
    <x:row r="1390">
      <x:c r="B1390" t="str">
        <x:v>A-01358</x:v>
      </x:c>
      <x:c r="C1390" t="str">
        <x:v>GATE</x:v>
      </x:c>
      <x:c r="D1390" t="str">
        <x:v>release state mirrors governing ledger</x:v>
      </x:c>
      <x:c r="E1390" t="str">
        <x:f>'Release Gates'!I1364</x:f>
        <x:v>OPEN</x:v>
      </x:c>
      <x:c r="F1390" t="str">
        <x:f>IF('Release Gates'!C1364="PLANNING","PASS",IF('Release Gates'!C1364="PHYSICAL","OPEN","BLOCKED"))</x:f>
        <x:v>OPEN</x:v>
      </x:c>
      <x:c r="G1390" t="str">
        <x:v>equals</x:v>
      </x:c>
      <x:c r="H1390" t="str">
        <x:f>IF(E1390=F1390,"PASS","FAIL")</x:f>
        <x:v>PASS</x:v>
      </x:c>
    </x:row>
    <x:row r="1391">
      <x:c r="B1391" t="str">
        <x:v>A-01359</x:v>
      </x:c>
      <x:c r="C1391" t="str">
        <x:v>GATE</x:v>
      </x:c>
      <x:c r="D1391" t="str">
        <x:v>release state mirrors governing ledger</x:v>
      </x:c>
      <x:c r="E1391" t="str">
        <x:f>'Release Gates'!I1365</x:f>
        <x:v>OPEN</x:v>
      </x:c>
      <x:c r="F1391" t="str">
        <x:f>IF('Release Gates'!C1365="PLANNING","PASS",IF('Release Gates'!C1365="PHYSICAL","OPEN","BLOCKED"))</x:f>
        <x:v>OPEN</x:v>
      </x:c>
      <x:c r="G1391" t="str">
        <x:v>equals</x:v>
      </x:c>
      <x:c r="H1391" t="str">
        <x:f>IF(E1391=F1391,"PASS","FAIL")</x:f>
        <x:v>PASS</x:v>
      </x:c>
    </x:row>
    <x:row r="1392">
      <x:c r="B1392" t="str">
        <x:v>A-01360</x:v>
      </x:c>
      <x:c r="C1392" t="str">
        <x:v>GATE</x:v>
      </x:c>
      <x:c r="D1392" t="str">
        <x:v>release state mirrors governing ledger</x:v>
      </x:c>
      <x:c r="E1392" t="str">
        <x:f>'Release Gates'!I1366</x:f>
        <x:v>OPEN</x:v>
      </x:c>
      <x:c r="F1392" t="str">
        <x:f>IF('Release Gates'!C1366="PLANNING","PASS",IF('Release Gates'!C1366="PHYSICAL","OPEN","BLOCKED"))</x:f>
        <x:v>OPEN</x:v>
      </x:c>
      <x:c r="G1392" t="str">
        <x:v>equals</x:v>
      </x:c>
      <x:c r="H1392" t="str">
        <x:f>IF(E1392=F1392,"PASS","FAIL")</x:f>
        <x:v>PASS</x:v>
      </x:c>
    </x:row>
    <x:row r="1393">
      <x:c r="B1393" t="str">
        <x:v>A-01361</x:v>
      </x:c>
      <x:c r="C1393" t="str">
        <x:v>GATE</x:v>
      </x:c>
      <x:c r="D1393" t="str">
        <x:v>release state mirrors governing ledger</x:v>
      </x:c>
      <x:c r="E1393" t="str">
        <x:f>'Release Gates'!I1367</x:f>
        <x:v>OPEN</x:v>
      </x:c>
      <x:c r="F1393" t="str">
        <x:f>IF('Release Gates'!C1367="PLANNING","PASS",IF('Release Gates'!C1367="PHYSICAL","OPEN","BLOCKED"))</x:f>
        <x:v>OPEN</x:v>
      </x:c>
      <x:c r="G1393" t="str">
        <x:v>equals</x:v>
      </x:c>
      <x:c r="H1393" t="str">
        <x:f>IF(E1393=F1393,"PASS","FAIL")</x:f>
        <x:v>PASS</x:v>
      </x:c>
    </x:row>
    <x:row r="1394">
      <x:c r="B1394" t="str">
        <x:v>A-01362</x:v>
      </x:c>
      <x:c r="C1394" t="str">
        <x:v>GATE</x:v>
      </x:c>
      <x:c r="D1394" t="str">
        <x:v>release state mirrors governing ledger</x:v>
      </x:c>
      <x:c r="E1394" t="str">
        <x:f>'Release Gates'!I1368</x:f>
        <x:v>OPEN</x:v>
      </x:c>
      <x:c r="F1394" t="str">
        <x:f>IF('Release Gates'!C1368="PLANNING","PASS",IF('Release Gates'!C1368="PHYSICAL","OPEN","BLOCKED"))</x:f>
        <x:v>OPEN</x:v>
      </x:c>
      <x:c r="G1394" t="str">
        <x:v>equals</x:v>
      </x:c>
      <x:c r="H1394" t="str">
        <x:f>IF(E1394=F1394,"PASS","FAIL")</x:f>
        <x:v>PASS</x:v>
      </x:c>
    </x:row>
    <x:row r="1395">
      <x:c r="B1395" t="str">
        <x:v>A-01363</x:v>
      </x:c>
      <x:c r="C1395" t="str">
        <x:v>GATE</x:v>
      </x:c>
      <x:c r="D1395" t="str">
        <x:v>release state mirrors governing ledger</x:v>
      </x:c>
      <x:c r="E1395" t="str">
        <x:f>'Release Gates'!I1369</x:f>
        <x:v>OPEN</x:v>
      </x:c>
      <x:c r="F1395" t="str">
        <x:f>IF('Release Gates'!C1369="PLANNING","PASS",IF('Release Gates'!C1369="PHYSICAL","OPEN","BLOCKED"))</x:f>
        <x:v>OPEN</x:v>
      </x:c>
      <x:c r="G1395" t="str">
        <x:v>equals</x:v>
      </x:c>
      <x:c r="H1395" t="str">
        <x:f>IF(E1395=F1395,"PASS","FAIL")</x:f>
        <x:v>PASS</x:v>
      </x:c>
    </x:row>
    <x:row r="1396">
      <x:c r="B1396" t="str">
        <x:v>A-01364</x:v>
      </x:c>
      <x:c r="C1396" t="str">
        <x:v>GATE</x:v>
      </x:c>
      <x:c r="D1396" t="str">
        <x:v>release state mirrors governing ledger</x:v>
      </x:c>
      <x:c r="E1396" t="str">
        <x:f>'Release Gates'!I1370</x:f>
        <x:v>OPEN</x:v>
      </x:c>
      <x:c r="F1396" t="str">
        <x:f>IF('Release Gates'!C1370="PLANNING","PASS",IF('Release Gates'!C1370="PHYSICAL","OPEN","BLOCKED"))</x:f>
        <x:v>OPEN</x:v>
      </x:c>
      <x:c r="G1396" t="str">
        <x:v>equals</x:v>
      </x:c>
      <x:c r="H1396" t="str">
        <x:f>IF(E1396=F1396,"PASS","FAIL")</x:f>
        <x:v>PASS</x:v>
      </x:c>
    </x:row>
    <x:row r="1397">
      <x:c r="B1397" t="str">
        <x:v>A-01365</x:v>
      </x:c>
      <x:c r="C1397" t="str">
        <x:v>GATE</x:v>
      </x:c>
      <x:c r="D1397" t="str">
        <x:v>release state mirrors governing ledger</x:v>
      </x:c>
      <x:c r="E1397" t="str">
        <x:f>'Release Gates'!I1371</x:f>
        <x:v>OPEN</x:v>
      </x:c>
      <x:c r="F1397" t="str">
        <x:f>IF('Release Gates'!C1371="PLANNING","PASS",IF('Release Gates'!C1371="PHYSICAL","OPEN","BLOCKED"))</x:f>
        <x:v>OPEN</x:v>
      </x:c>
      <x:c r="G1397" t="str">
        <x:v>equals</x:v>
      </x:c>
      <x:c r="H1397" t="str">
        <x:f>IF(E1397=F1397,"PASS","FAIL")</x:f>
        <x:v>PASS</x:v>
      </x:c>
    </x:row>
    <x:row r="1398">
      <x:c r="B1398" t="str">
        <x:v>A-01366</x:v>
      </x:c>
      <x:c r="C1398" t="str">
        <x:v>GATE</x:v>
      </x:c>
      <x:c r="D1398" t="str">
        <x:v>release state mirrors governing ledger</x:v>
      </x:c>
      <x:c r="E1398" t="str">
        <x:f>'Release Gates'!I1372</x:f>
        <x:v>OPEN</x:v>
      </x:c>
      <x:c r="F1398" t="str">
        <x:f>IF('Release Gates'!C1372="PLANNING","PASS",IF('Release Gates'!C1372="PHYSICAL","OPEN","BLOCKED"))</x:f>
        <x:v>OPEN</x:v>
      </x:c>
      <x:c r="G1398" t="str">
        <x:v>equals</x:v>
      </x:c>
      <x:c r="H1398" t="str">
        <x:f>IF(E1398=F1398,"PASS","FAIL")</x:f>
        <x:v>PASS</x:v>
      </x:c>
    </x:row>
    <x:row r="1399">
      <x:c r="B1399" t="str">
        <x:v>A-01367</x:v>
      </x:c>
      <x:c r="C1399" t="str">
        <x:v>GATE</x:v>
      </x:c>
      <x:c r="D1399" t="str">
        <x:v>release state mirrors governing ledger</x:v>
      </x:c>
      <x:c r="E1399" t="str">
        <x:f>'Release Gates'!I1373</x:f>
        <x:v>OPEN</x:v>
      </x:c>
      <x:c r="F1399" t="str">
        <x:f>IF('Release Gates'!C1373="PLANNING","PASS",IF('Release Gates'!C1373="PHYSICAL","OPEN","BLOCKED"))</x:f>
        <x:v>OPEN</x:v>
      </x:c>
      <x:c r="G1399" t="str">
        <x:v>equals</x:v>
      </x:c>
      <x:c r="H1399" t="str">
        <x:f>IF(E1399=F1399,"PASS","FAIL")</x:f>
        <x:v>PASS</x:v>
      </x:c>
    </x:row>
    <x:row r="1400">
      <x:c r="B1400" t="str">
        <x:v>A-01368</x:v>
      </x:c>
      <x:c r="C1400" t="str">
        <x:v>GATE</x:v>
      </x:c>
      <x:c r="D1400" t="str">
        <x:v>release state mirrors governing ledger</x:v>
      </x:c>
      <x:c r="E1400" t="str">
        <x:f>'Release Gates'!I1374</x:f>
        <x:v>OPEN</x:v>
      </x:c>
      <x:c r="F1400" t="str">
        <x:f>IF('Release Gates'!C1374="PLANNING","PASS",IF('Release Gates'!C1374="PHYSICAL","OPEN","BLOCKED"))</x:f>
        <x:v>OPEN</x:v>
      </x:c>
      <x:c r="G1400" t="str">
        <x:v>equals</x:v>
      </x:c>
      <x:c r="H1400" t="str">
        <x:f>IF(E1400=F1400,"PASS","FAIL")</x:f>
        <x:v>PASS</x:v>
      </x:c>
    </x:row>
    <x:row r="1401">
      <x:c r="B1401" t="str">
        <x:v>A-01369</x:v>
      </x:c>
      <x:c r="C1401" t="str">
        <x:v>GATE</x:v>
      </x:c>
      <x:c r="D1401" t="str">
        <x:v>release state mirrors governing ledger</x:v>
      </x:c>
      <x:c r="E1401" t="str">
        <x:f>'Release Gates'!I1375</x:f>
        <x:v>OPEN</x:v>
      </x:c>
      <x:c r="F1401" t="str">
        <x:f>IF('Release Gates'!C1375="PLANNING","PASS",IF('Release Gates'!C1375="PHYSICAL","OPEN","BLOCKED"))</x:f>
        <x:v>OPEN</x:v>
      </x:c>
      <x:c r="G1401" t="str">
        <x:v>equals</x:v>
      </x:c>
      <x:c r="H1401" t="str">
        <x:f>IF(E1401=F1401,"PASS","FAIL")</x:f>
        <x:v>PASS</x:v>
      </x:c>
    </x:row>
    <x:row r="1402">
      <x:c r="B1402" t="str">
        <x:v>A-01370</x:v>
      </x:c>
      <x:c r="C1402" t="str">
        <x:v>GATE</x:v>
      </x:c>
      <x:c r="D1402" t="str">
        <x:v>release state mirrors governing ledger</x:v>
      </x:c>
      <x:c r="E1402" t="str">
        <x:f>'Release Gates'!I1376</x:f>
        <x:v>OPEN</x:v>
      </x:c>
      <x:c r="F1402" t="str">
        <x:f>IF('Release Gates'!C1376="PLANNING","PASS",IF('Release Gates'!C1376="PHYSICAL","OPEN","BLOCKED"))</x:f>
        <x:v>OPEN</x:v>
      </x:c>
      <x:c r="G1402" t="str">
        <x:v>equals</x:v>
      </x:c>
      <x:c r="H1402" t="str">
        <x:f>IF(E1402=F1402,"PASS","FAIL")</x:f>
        <x:v>PASS</x:v>
      </x:c>
    </x:row>
    <x:row r="1403">
      <x:c r="B1403" t="str">
        <x:v>A-01371</x:v>
      </x:c>
      <x:c r="C1403" t="str">
        <x:v>GATE</x:v>
      </x:c>
      <x:c r="D1403" t="str">
        <x:v>release state mirrors governing ledger</x:v>
      </x:c>
      <x:c r="E1403" t="str">
        <x:f>'Release Gates'!I1377</x:f>
        <x:v>OPEN</x:v>
      </x:c>
      <x:c r="F1403" t="str">
        <x:f>IF('Release Gates'!C1377="PLANNING","PASS",IF('Release Gates'!C1377="PHYSICAL","OPEN","BLOCKED"))</x:f>
        <x:v>OPEN</x:v>
      </x:c>
      <x:c r="G1403" t="str">
        <x:v>equals</x:v>
      </x:c>
      <x:c r="H1403" t="str">
        <x:f>IF(E1403=F1403,"PASS","FAIL")</x:f>
        <x:v>PASS</x:v>
      </x:c>
    </x:row>
    <x:row r="1404">
      <x:c r="B1404" t="str">
        <x:v>A-01372</x:v>
      </x:c>
      <x:c r="C1404" t="str">
        <x:v>GATE</x:v>
      </x:c>
      <x:c r="D1404" t="str">
        <x:v>release state mirrors governing ledger</x:v>
      </x:c>
      <x:c r="E1404" t="str">
        <x:f>'Release Gates'!I1378</x:f>
        <x:v>OPEN</x:v>
      </x:c>
      <x:c r="F1404" t="str">
        <x:f>IF('Release Gates'!C1378="PLANNING","PASS",IF('Release Gates'!C1378="PHYSICAL","OPEN","BLOCKED"))</x:f>
        <x:v>OPEN</x:v>
      </x:c>
      <x:c r="G1404" t="str">
        <x:v>equals</x:v>
      </x:c>
      <x:c r="H1404" t="str">
        <x:f>IF(E1404=F1404,"PASS","FAIL")</x:f>
        <x:v>PASS</x:v>
      </x:c>
    </x:row>
    <x:row r="1405">
      <x:c r="B1405" t="str">
        <x:v>A-01373</x:v>
      </x:c>
      <x:c r="C1405" t="str">
        <x:v>GATE</x:v>
      </x:c>
      <x:c r="D1405" t="str">
        <x:v>release state mirrors governing ledger</x:v>
      </x:c>
      <x:c r="E1405" t="str">
        <x:f>'Release Gates'!I1379</x:f>
        <x:v>OPEN</x:v>
      </x:c>
      <x:c r="F1405" t="str">
        <x:f>IF('Release Gates'!C1379="PLANNING","PASS",IF('Release Gates'!C1379="PHYSICAL","OPEN","BLOCKED"))</x:f>
        <x:v>OPEN</x:v>
      </x:c>
      <x:c r="G1405" t="str">
        <x:v>equals</x:v>
      </x:c>
      <x:c r="H1405" t="str">
        <x:f>IF(E1405=F1405,"PASS","FAIL")</x:f>
        <x:v>PASS</x:v>
      </x:c>
    </x:row>
    <x:row r="1406">
      <x:c r="B1406" t="str">
        <x:v>A-01374</x:v>
      </x:c>
      <x:c r="C1406" t="str">
        <x:v>GATE</x:v>
      </x:c>
      <x:c r="D1406" t="str">
        <x:v>release state mirrors governing ledger</x:v>
      </x:c>
      <x:c r="E1406" t="str">
        <x:f>'Release Gates'!I1380</x:f>
        <x:v>OPEN</x:v>
      </x:c>
      <x:c r="F1406" t="str">
        <x:f>IF('Release Gates'!C1380="PLANNING","PASS",IF('Release Gates'!C1380="PHYSICAL","OPEN","BLOCKED"))</x:f>
        <x:v>OPEN</x:v>
      </x:c>
      <x:c r="G1406" t="str">
        <x:v>equals</x:v>
      </x:c>
      <x:c r="H1406" t="str">
        <x:f>IF(E1406=F1406,"PASS","FAIL")</x:f>
        <x:v>PASS</x:v>
      </x:c>
    </x:row>
    <x:row r="1407">
      <x:c r="B1407" t="str">
        <x:v>A-01375</x:v>
      </x:c>
      <x:c r="C1407" t="str">
        <x:v>GATE</x:v>
      </x:c>
      <x:c r="D1407" t="str">
        <x:v>release state mirrors governing ledger</x:v>
      </x:c>
      <x:c r="E1407" t="str">
        <x:f>'Release Gates'!I1381</x:f>
        <x:v>OPEN</x:v>
      </x:c>
      <x:c r="F1407" t="str">
        <x:f>IF('Release Gates'!C1381="PLANNING","PASS",IF('Release Gates'!C1381="PHYSICAL","OPEN","BLOCKED"))</x:f>
        <x:v>OPEN</x:v>
      </x:c>
      <x:c r="G1407" t="str">
        <x:v>equals</x:v>
      </x:c>
      <x:c r="H1407" t="str">
        <x:f>IF(E1407=F1407,"PASS","FAIL")</x:f>
        <x:v>PASS</x:v>
      </x:c>
    </x:row>
    <x:row r="1408">
      <x:c r="B1408" t="str">
        <x:v>A-01376</x:v>
      </x:c>
      <x:c r="C1408" t="str">
        <x:v>GATE</x:v>
      </x:c>
      <x:c r="D1408" t="str">
        <x:v>release state mirrors governing ledger</x:v>
      </x:c>
      <x:c r="E1408" t="str">
        <x:f>'Release Gates'!I1382</x:f>
        <x:v>OPEN</x:v>
      </x:c>
      <x:c r="F1408" t="str">
        <x:f>IF('Release Gates'!C1382="PLANNING","PASS",IF('Release Gates'!C1382="PHYSICAL","OPEN","BLOCKED"))</x:f>
        <x:v>OPEN</x:v>
      </x:c>
      <x:c r="G1408" t="str">
        <x:v>equals</x:v>
      </x:c>
      <x:c r="H1408" t="str">
        <x:f>IF(E1408=F1408,"PASS","FAIL")</x:f>
        <x:v>PASS</x:v>
      </x:c>
    </x:row>
    <x:row r="1409">
      <x:c r="B1409" t="str">
        <x:v>A-01377</x:v>
      </x:c>
      <x:c r="C1409" t="str">
        <x:v>GATE</x:v>
      </x:c>
      <x:c r="D1409" t="str">
        <x:v>release state mirrors governing ledger</x:v>
      </x:c>
      <x:c r="E1409" t="str">
        <x:f>'Release Gates'!I1383</x:f>
        <x:v>OPEN</x:v>
      </x:c>
      <x:c r="F1409" t="str">
        <x:f>IF('Release Gates'!C1383="PLANNING","PASS",IF('Release Gates'!C1383="PHYSICAL","OPEN","BLOCKED"))</x:f>
        <x:v>OPEN</x:v>
      </x:c>
      <x:c r="G1409" t="str">
        <x:v>equals</x:v>
      </x:c>
      <x:c r="H1409" t="str">
        <x:f>IF(E1409=F1409,"PASS","FAIL")</x:f>
        <x:v>PASS</x:v>
      </x:c>
    </x:row>
    <x:row r="1410">
      <x:c r="B1410" t="str">
        <x:v>A-01378</x:v>
      </x:c>
      <x:c r="C1410" t="str">
        <x:v>GATE</x:v>
      </x:c>
      <x:c r="D1410" t="str">
        <x:v>release state mirrors governing ledger</x:v>
      </x:c>
      <x:c r="E1410" t="str">
        <x:f>'Release Gates'!I1384</x:f>
        <x:v>OPEN</x:v>
      </x:c>
      <x:c r="F1410" t="str">
        <x:f>IF('Release Gates'!C1384="PLANNING","PASS",IF('Release Gates'!C1384="PHYSICAL","OPEN","BLOCKED"))</x:f>
        <x:v>OPEN</x:v>
      </x:c>
      <x:c r="G1410" t="str">
        <x:v>equals</x:v>
      </x:c>
      <x:c r="H1410" t="str">
        <x:f>IF(E1410=F1410,"PASS","FAIL")</x:f>
        <x:v>PASS</x:v>
      </x:c>
    </x:row>
    <x:row r="1411">
      <x:c r="B1411" t="str">
        <x:v>A-01379</x:v>
      </x:c>
      <x:c r="C1411" t="str">
        <x:v>GATE</x:v>
      </x:c>
      <x:c r="D1411" t="str">
        <x:v>release state mirrors governing ledger</x:v>
      </x:c>
      <x:c r="E1411" t="str">
        <x:f>'Release Gates'!I1385</x:f>
        <x:v>OPEN</x:v>
      </x:c>
      <x:c r="F1411" t="str">
        <x:f>IF('Release Gates'!C1385="PLANNING","PASS",IF('Release Gates'!C1385="PHYSICAL","OPEN","BLOCKED"))</x:f>
        <x:v>OPEN</x:v>
      </x:c>
      <x:c r="G1411" t="str">
        <x:v>equals</x:v>
      </x:c>
      <x:c r="H1411" t="str">
        <x:f>IF(E1411=F1411,"PASS","FAIL")</x:f>
        <x:v>PASS</x:v>
      </x:c>
    </x:row>
    <x:row r="1412">
      <x:c r="B1412" t="str">
        <x:v>A-01380</x:v>
      </x:c>
      <x:c r="C1412" t="str">
        <x:v>GATE</x:v>
      </x:c>
      <x:c r="D1412" t="str">
        <x:v>release state mirrors governing ledger</x:v>
      </x:c>
      <x:c r="E1412" t="str">
        <x:f>'Release Gates'!I1386</x:f>
        <x:v>OPEN</x:v>
      </x:c>
      <x:c r="F1412" t="str">
        <x:f>IF('Release Gates'!C1386="PLANNING","PASS",IF('Release Gates'!C1386="PHYSICAL","OPEN","BLOCKED"))</x:f>
        <x:v>OPEN</x:v>
      </x:c>
      <x:c r="G1412" t="str">
        <x:v>equals</x:v>
      </x:c>
      <x:c r="H1412" t="str">
        <x:f>IF(E1412=F1412,"PASS","FAIL")</x:f>
        <x:v>PASS</x:v>
      </x:c>
    </x:row>
    <x:row r="1413">
      <x:c r="B1413" t="str">
        <x:v>A-01381</x:v>
      </x:c>
      <x:c r="C1413" t="str">
        <x:v>GATE</x:v>
      </x:c>
      <x:c r="D1413" t="str">
        <x:v>release state mirrors governing ledger</x:v>
      </x:c>
      <x:c r="E1413" t="str">
        <x:f>'Release Gates'!I1387</x:f>
        <x:v>OPEN</x:v>
      </x:c>
      <x:c r="F1413" t="str">
        <x:f>IF('Release Gates'!C1387="PLANNING","PASS",IF('Release Gates'!C1387="PHYSICAL","OPEN","BLOCKED"))</x:f>
        <x:v>OPEN</x:v>
      </x:c>
      <x:c r="G1413" t="str">
        <x:v>equals</x:v>
      </x:c>
      <x:c r="H1413" t="str">
        <x:f>IF(E1413=F1413,"PASS","FAIL")</x:f>
        <x:v>PASS</x:v>
      </x:c>
    </x:row>
    <x:row r="1414">
      <x:c r="B1414" t="str">
        <x:v>A-01382</x:v>
      </x:c>
      <x:c r="C1414" t="str">
        <x:v>GATE</x:v>
      </x:c>
      <x:c r="D1414" t="str">
        <x:v>release state mirrors governing ledger</x:v>
      </x:c>
      <x:c r="E1414" t="str">
        <x:f>'Release Gates'!I1388</x:f>
        <x:v>OPEN</x:v>
      </x:c>
      <x:c r="F1414" t="str">
        <x:f>IF('Release Gates'!C1388="PLANNING","PASS",IF('Release Gates'!C1388="PHYSICAL","OPEN","BLOCKED"))</x:f>
        <x:v>OPEN</x:v>
      </x:c>
      <x:c r="G1414" t="str">
        <x:v>equals</x:v>
      </x:c>
      <x:c r="H1414" t="str">
        <x:f>IF(E1414=F1414,"PASS","FAIL")</x:f>
        <x:v>PASS</x:v>
      </x:c>
    </x:row>
    <x:row r="1415">
      <x:c r="B1415" t="str">
        <x:v>A-01383</x:v>
      </x:c>
      <x:c r="C1415" t="str">
        <x:v>GATE</x:v>
      </x:c>
      <x:c r="D1415" t="str">
        <x:v>release state mirrors governing ledger</x:v>
      </x:c>
      <x:c r="E1415" t="str">
        <x:f>'Release Gates'!I1389</x:f>
        <x:v>OPEN</x:v>
      </x:c>
      <x:c r="F1415" t="str">
        <x:f>IF('Release Gates'!C1389="PLANNING","PASS",IF('Release Gates'!C1389="PHYSICAL","OPEN","BLOCKED"))</x:f>
        <x:v>OPEN</x:v>
      </x:c>
      <x:c r="G1415" t="str">
        <x:v>equals</x:v>
      </x:c>
      <x:c r="H1415" t="str">
        <x:f>IF(E1415=F1415,"PASS","FAIL")</x:f>
        <x:v>PASS</x:v>
      </x:c>
    </x:row>
    <x:row r="1416">
      <x:c r="B1416" t="str">
        <x:v>A-01384</x:v>
      </x:c>
      <x:c r="C1416" t="str">
        <x:v>GATE</x:v>
      </x:c>
      <x:c r="D1416" t="str">
        <x:v>release state mirrors governing ledger</x:v>
      </x:c>
      <x:c r="E1416" t="str">
        <x:f>'Release Gates'!I1390</x:f>
        <x:v>OPEN</x:v>
      </x:c>
      <x:c r="F1416" t="str">
        <x:f>IF('Release Gates'!C1390="PLANNING","PASS",IF('Release Gates'!C1390="PHYSICAL","OPEN","BLOCKED"))</x:f>
        <x:v>OPEN</x:v>
      </x:c>
      <x:c r="G1416" t="str">
        <x:v>equals</x:v>
      </x:c>
      <x:c r="H1416" t="str">
        <x:f>IF(E1416=F1416,"PASS","FAIL")</x:f>
        <x:v>PASS</x:v>
      </x:c>
    </x:row>
    <x:row r="1417">
      <x:c r="B1417" t="str">
        <x:v>A-01385</x:v>
      </x:c>
      <x:c r="C1417" t="str">
        <x:v>GATE</x:v>
      </x:c>
      <x:c r="D1417" t="str">
        <x:v>release state mirrors governing ledger</x:v>
      </x:c>
      <x:c r="E1417" t="str">
        <x:f>'Release Gates'!I1391</x:f>
        <x:v>OPEN</x:v>
      </x:c>
      <x:c r="F1417" t="str">
        <x:f>IF('Release Gates'!C1391="PLANNING","PASS",IF('Release Gates'!C1391="PHYSICAL","OPEN","BLOCKED"))</x:f>
        <x:v>OPEN</x:v>
      </x:c>
      <x:c r="G1417" t="str">
        <x:v>equals</x:v>
      </x:c>
      <x:c r="H1417" t="str">
        <x:f>IF(E1417=F1417,"PASS","FAIL")</x:f>
        <x:v>PASS</x:v>
      </x:c>
    </x:row>
    <x:row r="1418">
      <x:c r="B1418" t="str">
        <x:v>A-01386</x:v>
      </x:c>
      <x:c r="C1418" t="str">
        <x:v>GATE</x:v>
      </x:c>
      <x:c r="D1418" t="str">
        <x:v>release state mirrors governing ledger</x:v>
      </x:c>
      <x:c r="E1418" t="str">
        <x:f>'Release Gates'!I1392</x:f>
        <x:v>OPEN</x:v>
      </x:c>
      <x:c r="F1418" t="str">
        <x:f>IF('Release Gates'!C1392="PLANNING","PASS",IF('Release Gates'!C1392="PHYSICAL","OPEN","BLOCKED"))</x:f>
        <x:v>OPEN</x:v>
      </x:c>
      <x:c r="G1418" t="str">
        <x:v>equals</x:v>
      </x:c>
      <x:c r="H1418" t="str">
        <x:f>IF(E1418=F1418,"PASS","FAIL")</x:f>
        <x:v>PASS</x:v>
      </x:c>
    </x:row>
    <x:row r="1419">
      <x:c r="B1419" t="str">
        <x:v>A-01387</x:v>
      </x:c>
      <x:c r="C1419" t="str">
        <x:v>GATE</x:v>
      </x:c>
      <x:c r="D1419" t="str">
        <x:v>release state mirrors governing ledger</x:v>
      </x:c>
      <x:c r="E1419" t="str">
        <x:f>'Release Gates'!I1393</x:f>
        <x:v>OPEN</x:v>
      </x:c>
      <x:c r="F1419" t="str">
        <x:f>IF('Release Gates'!C1393="PLANNING","PASS",IF('Release Gates'!C1393="PHYSICAL","OPEN","BLOCKED"))</x:f>
        <x:v>OPEN</x:v>
      </x:c>
      <x:c r="G1419" t="str">
        <x:v>equals</x:v>
      </x:c>
      <x:c r="H1419" t="str">
        <x:f>IF(E1419=F1419,"PASS","FAIL")</x:f>
        <x:v>PASS</x:v>
      </x:c>
    </x:row>
    <x:row r="1420">
      <x:c r="B1420" t="str">
        <x:v>A-01388</x:v>
      </x:c>
      <x:c r="C1420" t="str">
        <x:v>GATE</x:v>
      </x:c>
      <x:c r="D1420" t="str">
        <x:v>release state mirrors governing ledger</x:v>
      </x:c>
      <x:c r="E1420" t="str">
        <x:f>'Release Gates'!I1394</x:f>
        <x:v>OPEN</x:v>
      </x:c>
      <x:c r="F1420" t="str">
        <x:f>IF('Release Gates'!C1394="PLANNING","PASS",IF('Release Gates'!C1394="PHYSICAL","OPEN","BLOCKED"))</x:f>
        <x:v>OPEN</x:v>
      </x:c>
      <x:c r="G1420" t="str">
        <x:v>equals</x:v>
      </x:c>
      <x:c r="H1420" t="str">
        <x:f>IF(E1420=F1420,"PASS","FAIL")</x:f>
        <x:v>PASS</x:v>
      </x:c>
    </x:row>
    <x:row r="1421">
      <x:c r="B1421" t="str">
        <x:v>A-01389</x:v>
      </x:c>
      <x:c r="C1421" t="str">
        <x:v>GATE</x:v>
      </x:c>
      <x:c r="D1421" t="str">
        <x:v>release state mirrors governing ledger</x:v>
      </x:c>
      <x:c r="E1421" t="str">
        <x:f>'Release Gates'!I1395</x:f>
        <x:v>OPEN</x:v>
      </x:c>
      <x:c r="F1421" t="str">
        <x:f>IF('Release Gates'!C1395="PLANNING","PASS",IF('Release Gates'!C1395="PHYSICAL","OPEN","BLOCKED"))</x:f>
        <x:v>OPEN</x:v>
      </x:c>
      <x:c r="G1421" t="str">
        <x:v>equals</x:v>
      </x:c>
      <x:c r="H1421" t="str">
        <x:f>IF(E1421=F1421,"PASS","FAIL")</x:f>
        <x:v>PASS</x:v>
      </x:c>
    </x:row>
    <x:row r="1422">
      <x:c r="B1422" t="str">
        <x:v>A-01390</x:v>
      </x:c>
      <x:c r="C1422" t="str">
        <x:v>GATE</x:v>
      </x:c>
      <x:c r="D1422" t="str">
        <x:v>release state mirrors governing ledger</x:v>
      </x:c>
      <x:c r="E1422" t="str">
        <x:f>'Release Gates'!I1396</x:f>
        <x:v>OPEN</x:v>
      </x:c>
      <x:c r="F1422" t="str">
        <x:f>IF('Release Gates'!C1396="PLANNING","PASS",IF('Release Gates'!C1396="PHYSICAL","OPEN","BLOCKED"))</x:f>
        <x:v>OPEN</x:v>
      </x:c>
      <x:c r="G1422" t="str">
        <x:v>equals</x:v>
      </x:c>
      <x:c r="H1422" t="str">
        <x:f>IF(E1422=F1422,"PASS","FAIL")</x:f>
        <x:v>PASS</x:v>
      </x:c>
    </x:row>
    <x:row r="1423">
      <x:c r="B1423" t="str">
        <x:v>A-01391</x:v>
      </x:c>
      <x:c r="C1423" t="str">
        <x:v>GATE</x:v>
      </x:c>
      <x:c r="D1423" t="str">
        <x:v>release state mirrors governing ledger</x:v>
      </x:c>
      <x:c r="E1423" t="str">
        <x:f>'Release Gates'!I1397</x:f>
        <x:v>OPEN</x:v>
      </x:c>
      <x:c r="F1423" t="str">
        <x:f>IF('Release Gates'!C1397="PLANNING","PASS",IF('Release Gates'!C1397="PHYSICAL","OPEN","BLOCKED"))</x:f>
        <x:v>OPEN</x:v>
      </x:c>
      <x:c r="G1423" t="str">
        <x:v>equals</x:v>
      </x:c>
      <x:c r="H1423" t="str">
        <x:f>IF(E1423=F1423,"PASS","FAIL")</x:f>
        <x:v>PASS</x:v>
      </x:c>
    </x:row>
    <x:row r="1424">
      <x:c r="B1424" t="str">
        <x:v>A-01392</x:v>
      </x:c>
      <x:c r="C1424" t="str">
        <x:v>GATE</x:v>
      </x:c>
      <x:c r="D1424" t="str">
        <x:v>release state mirrors governing ledger</x:v>
      </x:c>
      <x:c r="E1424" t="str">
        <x:f>'Release Gates'!I1398</x:f>
        <x:v>OPEN</x:v>
      </x:c>
      <x:c r="F1424" t="str">
        <x:f>IF('Release Gates'!C1398="PLANNING","PASS",IF('Release Gates'!C1398="PHYSICAL","OPEN","BLOCKED"))</x:f>
        <x:v>OPEN</x:v>
      </x:c>
      <x:c r="G1424" t="str">
        <x:v>equals</x:v>
      </x:c>
      <x:c r="H1424" t="str">
        <x:f>IF(E1424=F1424,"PASS","FAIL")</x:f>
        <x:v>PASS</x:v>
      </x:c>
    </x:row>
    <x:row r="1425">
      <x:c r="B1425" t="str">
        <x:v>A-01393</x:v>
      </x:c>
      <x:c r="C1425" t="str">
        <x:v>GATE</x:v>
      </x:c>
      <x:c r="D1425" t="str">
        <x:v>release state mirrors governing ledger</x:v>
      </x:c>
      <x:c r="E1425" t="str">
        <x:f>'Release Gates'!I1399</x:f>
        <x:v>OPEN</x:v>
      </x:c>
      <x:c r="F1425" t="str">
        <x:f>IF('Release Gates'!C1399="PLANNING","PASS",IF('Release Gates'!C1399="PHYSICAL","OPEN","BLOCKED"))</x:f>
        <x:v>OPEN</x:v>
      </x:c>
      <x:c r="G1425" t="str">
        <x:v>equals</x:v>
      </x:c>
      <x:c r="H1425" t="str">
        <x:f>IF(E1425=F1425,"PASS","FAIL")</x:f>
        <x:v>PASS</x:v>
      </x:c>
    </x:row>
    <x:row r="1426">
      <x:c r="B1426" t="str">
        <x:v>A-01394</x:v>
      </x:c>
      <x:c r="C1426" t="str">
        <x:v>GATE</x:v>
      </x:c>
      <x:c r="D1426" t="str">
        <x:v>release state mirrors governing ledger</x:v>
      </x:c>
      <x:c r="E1426" t="str">
        <x:f>'Release Gates'!I1400</x:f>
        <x:v>OPEN</x:v>
      </x:c>
      <x:c r="F1426" t="str">
        <x:f>IF('Release Gates'!C1400="PLANNING","PASS",IF('Release Gates'!C1400="PHYSICAL","OPEN","BLOCKED"))</x:f>
        <x:v>OPEN</x:v>
      </x:c>
      <x:c r="G1426" t="str">
        <x:v>equals</x:v>
      </x:c>
      <x:c r="H1426" t="str">
        <x:f>IF(E1426=F1426,"PASS","FAIL")</x:f>
        <x:v>PASS</x:v>
      </x:c>
    </x:row>
    <x:row r="1427">
      <x:c r="B1427" t="str">
        <x:v>A-01395</x:v>
      </x:c>
      <x:c r="C1427" t="str">
        <x:v>GATE</x:v>
      </x:c>
      <x:c r="D1427" t="str">
        <x:v>release state mirrors governing ledger</x:v>
      </x:c>
      <x:c r="E1427" t="str">
        <x:f>'Release Gates'!I1401</x:f>
        <x:v>OPEN</x:v>
      </x:c>
      <x:c r="F1427" t="str">
        <x:f>IF('Release Gates'!C1401="PLANNING","PASS",IF('Release Gates'!C1401="PHYSICAL","OPEN","BLOCKED"))</x:f>
        <x:v>OPEN</x:v>
      </x:c>
      <x:c r="G1427" t="str">
        <x:v>equals</x:v>
      </x:c>
      <x:c r="H1427" t="str">
        <x:f>IF(E1427=F1427,"PASS","FAIL")</x:f>
        <x:v>PASS</x:v>
      </x:c>
    </x:row>
    <x:row r="1428">
      <x:c r="B1428" t="str">
        <x:v>A-01396</x:v>
      </x:c>
      <x:c r="C1428" t="str">
        <x:v>GATE</x:v>
      </x:c>
      <x:c r="D1428" t="str">
        <x:v>release state mirrors governing ledger</x:v>
      </x:c>
      <x:c r="E1428" t="str">
        <x:f>'Release Gates'!I1402</x:f>
        <x:v>OPEN</x:v>
      </x:c>
      <x:c r="F1428" t="str">
        <x:f>IF('Release Gates'!C1402="PLANNING","PASS",IF('Release Gates'!C1402="PHYSICAL","OPEN","BLOCKED"))</x:f>
        <x:v>OPEN</x:v>
      </x:c>
      <x:c r="G1428" t="str">
        <x:v>equals</x:v>
      </x:c>
      <x:c r="H1428" t="str">
        <x:f>IF(E1428=F1428,"PASS","FAIL")</x:f>
        <x:v>PASS</x:v>
      </x:c>
    </x:row>
    <x:row r="1429">
      <x:c r="B1429" t="str">
        <x:v>A-01397</x:v>
      </x:c>
      <x:c r="C1429" t="str">
        <x:v>GATE</x:v>
      </x:c>
      <x:c r="D1429" t="str">
        <x:v>release state mirrors governing ledger</x:v>
      </x:c>
      <x:c r="E1429" t="str">
        <x:f>'Release Gates'!I1403</x:f>
        <x:v>OPEN</x:v>
      </x:c>
      <x:c r="F1429" t="str">
        <x:f>IF('Release Gates'!C1403="PLANNING","PASS",IF('Release Gates'!C1403="PHYSICAL","OPEN","BLOCKED"))</x:f>
        <x:v>OPEN</x:v>
      </x:c>
      <x:c r="G1429" t="str">
        <x:v>equals</x:v>
      </x:c>
      <x:c r="H1429" t="str">
        <x:f>IF(E1429=F1429,"PASS","FAIL")</x:f>
        <x:v>PASS</x:v>
      </x:c>
    </x:row>
    <x:row r="1430">
      <x:c r="B1430" t="str">
        <x:v>A-01398</x:v>
      </x:c>
      <x:c r="C1430" t="str">
        <x:v>GATE</x:v>
      </x:c>
      <x:c r="D1430" t="str">
        <x:v>release state mirrors governing ledger</x:v>
      </x:c>
      <x:c r="E1430" t="str">
        <x:f>'Release Gates'!I1404</x:f>
        <x:v>OPEN</x:v>
      </x:c>
      <x:c r="F1430" t="str">
        <x:f>IF('Release Gates'!C1404="PLANNING","PASS",IF('Release Gates'!C1404="PHYSICAL","OPEN","BLOCKED"))</x:f>
        <x:v>OPEN</x:v>
      </x:c>
      <x:c r="G1430" t="str">
        <x:v>equals</x:v>
      </x:c>
      <x:c r="H1430" t="str">
        <x:f>IF(E1430=F1430,"PASS","FAIL")</x:f>
        <x:v>PASS</x:v>
      </x:c>
    </x:row>
    <x:row r="1431">
      <x:c r="B1431" t="str">
        <x:v>A-01399</x:v>
      </x:c>
      <x:c r="C1431" t="str">
        <x:v>GATE</x:v>
      </x:c>
      <x:c r="D1431" t="str">
        <x:v>release state mirrors governing ledger</x:v>
      </x:c>
      <x:c r="E1431" t="str">
        <x:f>'Release Gates'!I1405</x:f>
        <x:v>OPEN</x:v>
      </x:c>
      <x:c r="F1431" t="str">
        <x:f>IF('Release Gates'!C1405="PLANNING","PASS",IF('Release Gates'!C1405="PHYSICAL","OPEN","BLOCKED"))</x:f>
        <x:v>OPEN</x:v>
      </x:c>
      <x:c r="G1431" t="str">
        <x:v>equals</x:v>
      </x:c>
      <x:c r="H1431" t="str">
        <x:f>IF(E1431=F1431,"PASS","FAIL")</x:f>
        <x:v>PASS</x:v>
      </x:c>
    </x:row>
    <x:row r="1432">
      <x:c r="B1432" t="str">
        <x:v>A-01400</x:v>
      </x:c>
      <x:c r="C1432" t="str">
        <x:v>GATE</x:v>
      </x:c>
      <x:c r="D1432" t="str">
        <x:v>release state mirrors governing ledger</x:v>
      </x:c>
      <x:c r="E1432" t="str">
        <x:f>'Release Gates'!I1406</x:f>
        <x:v>OPEN</x:v>
      </x:c>
      <x:c r="F1432" t="str">
        <x:f>IF('Release Gates'!C1406="PLANNING","PASS",IF('Release Gates'!C1406="PHYSICAL","OPEN","BLOCKED"))</x:f>
        <x:v>OPEN</x:v>
      </x:c>
      <x:c r="G1432" t="str">
        <x:v>equals</x:v>
      </x:c>
      <x:c r="H1432" t="str">
        <x:f>IF(E1432=F1432,"PASS","FAIL")</x:f>
        <x:v>PASS</x:v>
      </x:c>
    </x:row>
    <x:row r="1433">
      <x:c r="B1433" t="str">
        <x:v>A-01401</x:v>
      </x:c>
      <x:c r="C1433" t="str">
        <x:v>GATE</x:v>
      </x:c>
      <x:c r="D1433" t="str">
        <x:v>release state mirrors governing ledger</x:v>
      </x:c>
      <x:c r="E1433" t="str">
        <x:f>'Release Gates'!I1407</x:f>
        <x:v>OPEN</x:v>
      </x:c>
      <x:c r="F1433" t="str">
        <x:f>IF('Release Gates'!C1407="PLANNING","PASS",IF('Release Gates'!C1407="PHYSICAL","OPEN","BLOCKED"))</x:f>
        <x:v>OPEN</x:v>
      </x:c>
      <x:c r="G1433" t="str">
        <x:v>equals</x:v>
      </x:c>
      <x:c r="H1433" t="str">
        <x:f>IF(E1433=F1433,"PASS","FAIL")</x:f>
        <x:v>PASS</x:v>
      </x:c>
    </x:row>
    <x:row r="1434">
      <x:c r="B1434" t="str">
        <x:v>A-01402</x:v>
      </x:c>
      <x:c r="C1434" t="str">
        <x:v>GATE</x:v>
      </x:c>
      <x:c r="D1434" t="str">
        <x:v>release state mirrors governing ledger</x:v>
      </x:c>
      <x:c r="E1434" t="str">
        <x:f>'Release Gates'!I1408</x:f>
        <x:v>OPEN</x:v>
      </x:c>
      <x:c r="F1434" t="str">
        <x:f>IF('Release Gates'!C1408="PLANNING","PASS",IF('Release Gates'!C1408="PHYSICAL","OPEN","BLOCKED"))</x:f>
        <x:v>OPEN</x:v>
      </x:c>
      <x:c r="G1434" t="str">
        <x:v>equals</x:v>
      </x:c>
      <x:c r="H1434" t="str">
        <x:f>IF(E1434=F1434,"PASS","FAIL")</x:f>
        <x:v>PASS</x:v>
      </x:c>
    </x:row>
    <x:row r="1435">
      <x:c r="B1435" t="str">
        <x:v>A-01403</x:v>
      </x:c>
      <x:c r="C1435" t="str">
        <x:v>GATE</x:v>
      </x:c>
      <x:c r="D1435" t="str">
        <x:v>release state mirrors governing ledger</x:v>
      </x:c>
      <x:c r="E1435" t="str">
        <x:f>'Release Gates'!I1409</x:f>
        <x:v>OPEN</x:v>
      </x:c>
      <x:c r="F1435" t="str">
        <x:f>IF('Release Gates'!C1409="PLANNING","PASS",IF('Release Gates'!C1409="PHYSICAL","OPEN","BLOCKED"))</x:f>
        <x:v>OPEN</x:v>
      </x:c>
      <x:c r="G1435" t="str">
        <x:v>equals</x:v>
      </x:c>
      <x:c r="H1435" t="str">
        <x:f>IF(E1435=F1435,"PASS","FAIL")</x:f>
        <x:v>PASS</x:v>
      </x:c>
    </x:row>
    <x:row r="1436">
      <x:c r="B1436" t="str">
        <x:v>A-01404</x:v>
      </x:c>
      <x:c r="C1436" t="str">
        <x:v>GATE</x:v>
      </x:c>
      <x:c r="D1436" t="str">
        <x:v>release state mirrors governing ledger</x:v>
      </x:c>
      <x:c r="E1436" t="str">
        <x:f>'Release Gates'!I1410</x:f>
        <x:v>OPEN</x:v>
      </x:c>
      <x:c r="F1436" t="str">
        <x:f>IF('Release Gates'!C1410="PLANNING","PASS",IF('Release Gates'!C1410="PHYSICAL","OPEN","BLOCKED"))</x:f>
        <x:v>OPEN</x:v>
      </x:c>
      <x:c r="G1436" t="str">
        <x:v>equals</x:v>
      </x:c>
      <x:c r="H1436" t="str">
        <x:f>IF(E1436=F1436,"PASS","FAIL")</x:f>
        <x:v>PASS</x:v>
      </x:c>
    </x:row>
    <x:row r="1437">
      <x:c r="B1437" t="str">
        <x:v>A-01405</x:v>
      </x:c>
      <x:c r="C1437" t="str">
        <x:v>GATE</x:v>
      </x:c>
      <x:c r="D1437" t="str">
        <x:v>release state mirrors governing ledger</x:v>
      </x:c>
      <x:c r="E1437" t="str">
        <x:f>'Release Gates'!I1411</x:f>
        <x:v>OPEN</x:v>
      </x:c>
      <x:c r="F1437" t="str">
        <x:f>IF('Release Gates'!C1411="PLANNING","PASS",IF('Release Gates'!C1411="PHYSICAL","OPEN","BLOCKED"))</x:f>
        <x:v>OPEN</x:v>
      </x:c>
      <x:c r="G1437" t="str">
        <x:v>equals</x:v>
      </x:c>
      <x:c r="H1437" t="str">
        <x:f>IF(E1437=F1437,"PASS","FAIL")</x:f>
        <x:v>PASS</x:v>
      </x:c>
    </x:row>
    <x:row r="1438">
      <x:c r="B1438" t="str">
        <x:v>A-01406</x:v>
      </x:c>
      <x:c r="C1438" t="str">
        <x:v>GATE</x:v>
      </x:c>
      <x:c r="D1438" t="str">
        <x:v>release state mirrors governing ledger</x:v>
      </x:c>
      <x:c r="E1438" t="str">
        <x:f>'Release Gates'!I1412</x:f>
        <x:v>OPEN</x:v>
      </x:c>
      <x:c r="F1438" t="str">
        <x:f>IF('Release Gates'!C1412="PLANNING","PASS",IF('Release Gates'!C1412="PHYSICAL","OPEN","BLOCKED"))</x:f>
        <x:v>OPEN</x:v>
      </x:c>
      <x:c r="G1438" t="str">
        <x:v>equals</x:v>
      </x:c>
      <x:c r="H1438" t="str">
        <x:f>IF(E1438=F1438,"PASS","FAIL")</x:f>
        <x:v>PASS</x:v>
      </x:c>
    </x:row>
    <x:row r="1439">
      <x:c r="B1439" t="str">
        <x:v>A-01407</x:v>
      </x:c>
      <x:c r="C1439" t="str">
        <x:v>GATE</x:v>
      </x:c>
      <x:c r="D1439" t="str">
        <x:v>release state mirrors governing ledger</x:v>
      </x:c>
      <x:c r="E1439" t="str">
        <x:f>'Release Gates'!I1413</x:f>
        <x:v>OPEN</x:v>
      </x:c>
      <x:c r="F1439" t="str">
        <x:f>IF('Release Gates'!C1413="PLANNING","PASS",IF('Release Gates'!C1413="PHYSICAL","OPEN","BLOCKED"))</x:f>
        <x:v>OPEN</x:v>
      </x:c>
      <x:c r="G1439" t="str">
        <x:v>equals</x:v>
      </x:c>
      <x:c r="H1439" t="str">
        <x:f>IF(E1439=F1439,"PASS","FAIL")</x:f>
        <x:v>PASS</x:v>
      </x:c>
    </x:row>
    <x:row r="1440">
      <x:c r="B1440" t="str">
        <x:v>A-01408</x:v>
      </x:c>
      <x:c r="C1440" t="str">
        <x:v>GATE</x:v>
      </x:c>
      <x:c r="D1440" t="str">
        <x:v>release state mirrors governing ledger</x:v>
      </x:c>
      <x:c r="E1440" t="str">
        <x:f>'Release Gates'!I1414</x:f>
        <x:v>OPEN</x:v>
      </x:c>
      <x:c r="F1440" t="str">
        <x:f>IF('Release Gates'!C1414="PLANNING","PASS",IF('Release Gates'!C1414="PHYSICAL","OPEN","BLOCKED"))</x:f>
        <x:v>OPEN</x:v>
      </x:c>
      <x:c r="G1440" t="str">
        <x:v>equals</x:v>
      </x:c>
      <x:c r="H1440" t="str">
        <x:f>IF(E1440=F1440,"PASS","FAIL")</x:f>
        <x:v>PASS</x:v>
      </x:c>
    </x:row>
    <x:row r="1441">
      <x:c r="B1441" t="str">
        <x:v>A-01409</x:v>
      </x:c>
      <x:c r="C1441" t="str">
        <x:v>GATE</x:v>
      </x:c>
      <x:c r="D1441" t="str">
        <x:v>release state mirrors governing ledger</x:v>
      </x:c>
      <x:c r="E1441" t="str">
        <x:f>'Release Gates'!I1415</x:f>
        <x:v>OPEN</x:v>
      </x:c>
      <x:c r="F1441" t="str">
        <x:f>IF('Release Gates'!C1415="PLANNING","PASS",IF('Release Gates'!C1415="PHYSICAL","OPEN","BLOCKED"))</x:f>
        <x:v>OPEN</x:v>
      </x:c>
      <x:c r="G1441" t="str">
        <x:v>equals</x:v>
      </x:c>
      <x:c r="H1441" t="str">
        <x:f>IF(E1441=F1441,"PASS","FAIL")</x:f>
        <x:v>PASS</x:v>
      </x:c>
    </x:row>
    <x:row r="1442">
      <x:c r="B1442" t="str">
        <x:v>A-01410</x:v>
      </x:c>
      <x:c r="C1442" t="str">
        <x:v>GATE</x:v>
      </x:c>
      <x:c r="D1442" t="str">
        <x:v>release state mirrors governing ledger</x:v>
      </x:c>
      <x:c r="E1442" t="str">
        <x:f>'Release Gates'!I1416</x:f>
        <x:v>OPEN</x:v>
      </x:c>
      <x:c r="F1442" t="str">
        <x:f>IF('Release Gates'!C1416="PLANNING","PASS",IF('Release Gates'!C1416="PHYSICAL","OPEN","BLOCKED"))</x:f>
        <x:v>OPEN</x:v>
      </x:c>
      <x:c r="G1442" t="str">
        <x:v>equals</x:v>
      </x:c>
      <x:c r="H1442" t="str">
        <x:f>IF(E1442=F1442,"PASS","FAIL")</x:f>
        <x:v>PASS</x:v>
      </x:c>
    </x:row>
    <x:row r="1443">
      <x:c r="B1443" t="str">
        <x:v>A-01411</x:v>
      </x:c>
      <x:c r="C1443" t="str">
        <x:v>GATE</x:v>
      </x:c>
      <x:c r="D1443" t="str">
        <x:v>release state mirrors governing ledger</x:v>
      </x:c>
      <x:c r="E1443" t="str">
        <x:f>'Release Gates'!I1417</x:f>
        <x:v>OPEN</x:v>
      </x:c>
      <x:c r="F1443" t="str">
        <x:f>IF('Release Gates'!C1417="PLANNING","PASS",IF('Release Gates'!C1417="PHYSICAL","OPEN","BLOCKED"))</x:f>
        <x:v>OPEN</x:v>
      </x:c>
      <x:c r="G1443" t="str">
        <x:v>equals</x:v>
      </x:c>
      <x:c r="H1443" t="str">
        <x:f>IF(E1443=F1443,"PASS","FAIL")</x:f>
        <x:v>PASS</x:v>
      </x:c>
    </x:row>
    <x:row r="1444">
      <x:c r="B1444" t="str">
        <x:v>A-01412</x:v>
      </x:c>
      <x:c r="C1444" t="str">
        <x:v>GATE</x:v>
      </x:c>
      <x:c r="D1444" t="str">
        <x:v>release state mirrors governing ledger</x:v>
      </x:c>
      <x:c r="E1444" t="str">
        <x:f>'Release Gates'!I1418</x:f>
        <x:v>OPEN</x:v>
      </x:c>
      <x:c r="F1444" t="str">
        <x:f>IF('Release Gates'!C1418="PLANNING","PASS",IF('Release Gates'!C1418="PHYSICAL","OPEN","BLOCKED"))</x:f>
        <x:v>OPEN</x:v>
      </x:c>
      <x:c r="G1444" t="str">
        <x:v>equals</x:v>
      </x:c>
      <x:c r="H1444" t="str">
        <x:f>IF(E1444=F1444,"PASS","FAIL")</x:f>
        <x:v>PASS</x:v>
      </x:c>
    </x:row>
    <x:row r="1445">
      <x:c r="B1445" t="str">
        <x:v>A-01413</x:v>
      </x:c>
      <x:c r="C1445" t="str">
        <x:v>GATE</x:v>
      </x:c>
      <x:c r="D1445" t="str">
        <x:v>release state mirrors governing ledger</x:v>
      </x:c>
      <x:c r="E1445" t="str">
        <x:f>'Release Gates'!I1419</x:f>
        <x:v>OPEN</x:v>
      </x:c>
      <x:c r="F1445" t="str">
        <x:f>IF('Release Gates'!C1419="PLANNING","PASS",IF('Release Gates'!C1419="PHYSICAL","OPEN","BLOCKED"))</x:f>
        <x:v>OPEN</x:v>
      </x:c>
      <x:c r="G1445" t="str">
        <x:v>equals</x:v>
      </x:c>
      <x:c r="H1445" t="str">
        <x:f>IF(E1445=F1445,"PASS","FAIL")</x:f>
        <x:v>PASS</x:v>
      </x:c>
    </x:row>
    <x:row r="1446">
      <x:c r="B1446" t="str">
        <x:v>A-01414</x:v>
      </x:c>
      <x:c r="C1446" t="str">
        <x:v>GATE</x:v>
      </x:c>
      <x:c r="D1446" t="str">
        <x:v>release state mirrors governing ledger</x:v>
      </x:c>
      <x:c r="E1446" t="str">
        <x:f>'Release Gates'!I1420</x:f>
        <x:v>OPEN</x:v>
      </x:c>
      <x:c r="F1446" t="str">
        <x:f>IF('Release Gates'!C1420="PLANNING","PASS",IF('Release Gates'!C1420="PHYSICAL","OPEN","BLOCKED"))</x:f>
        <x:v>OPEN</x:v>
      </x:c>
      <x:c r="G1446" t="str">
        <x:v>equals</x:v>
      </x:c>
      <x:c r="H1446" t="str">
        <x:f>IF(E1446=F1446,"PASS","FAIL")</x:f>
        <x:v>PASS</x:v>
      </x:c>
    </x:row>
    <x:row r="1447">
      <x:c r="B1447" t="str">
        <x:v>A-01415</x:v>
      </x:c>
      <x:c r="C1447" t="str">
        <x:v>GATE</x:v>
      </x:c>
      <x:c r="D1447" t="str">
        <x:v>release state mirrors governing ledger</x:v>
      </x:c>
      <x:c r="E1447" t="str">
        <x:f>'Release Gates'!I1421</x:f>
        <x:v>OPEN</x:v>
      </x:c>
      <x:c r="F1447" t="str">
        <x:f>IF('Release Gates'!C1421="PLANNING","PASS",IF('Release Gates'!C1421="PHYSICAL","OPEN","BLOCKED"))</x:f>
        <x:v>OPEN</x:v>
      </x:c>
      <x:c r="G1447" t="str">
        <x:v>equals</x:v>
      </x:c>
      <x:c r="H1447" t="str">
        <x:f>IF(E1447=F1447,"PASS","FAIL")</x:f>
        <x:v>PASS</x:v>
      </x:c>
    </x:row>
    <x:row r="1448">
      <x:c r="B1448" t="str">
        <x:v>A-01416</x:v>
      </x:c>
      <x:c r="C1448" t="str">
        <x:v>GATE</x:v>
      </x:c>
      <x:c r="D1448" t="str">
        <x:v>release state mirrors governing ledger</x:v>
      </x:c>
      <x:c r="E1448" t="str">
        <x:f>'Release Gates'!I1422</x:f>
        <x:v>OPEN</x:v>
      </x:c>
      <x:c r="F1448" t="str">
        <x:f>IF('Release Gates'!C1422="PLANNING","PASS",IF('Release Gates'!C1422="PHYSICAL","OPEN","BLOCKED"))</x:f>
        <x:v>OPEN</x:v>
      </x:c>
      <x:c r="G1448" t="str">
        <x:v>equals</x:v>
      </x:c>
      <x:c r="H1448" t="str">
        <x:f>IF(E1448=F1448,"PASS","FAIL")</x:f>
        <x:v>PASS</x:v>
      </x:c>
    </x:row>
    <x:row r="1449">
      <x:c r="B1449" t="str">
        <x:v>A-01417</x:v>
      </x:c>
      <x:c r="C1449" t="str">
        <x:v>GATE</x:v>
      </x:c>
      <x:c r="D1449" t="str">
        <x:v>release state mirrors governing ledger</x:v>
      </x:c>
      <x:c r="E1449" t="str">
        <x:f>'Release Gates'!I1423</x:f>
        <x:v>OPEN</x:v>
      </x:c>
      <x:c r="F1449" t="str">
        <x:f>IF('Release Gates'!C1423="PLANNING","PASS",IF('Release Gates'!C1423="PHYSICAL","OPEN","BLOCKED"))</x:f>
        <x:v>OPEN</x:v>
      </x:c>
      <x:c r="G1449" t="str">
        <x:v>equals</x:v>
      </x:c>
      <x:c r="H1449" t="str">
        <x:f>IF(E1449=F1449,"PASS","FAIL")</x:f>
        <x:v>PASS</x:v>
      </x:c>
    </x:row>
    <x:row r="1450">
      <x:c r="B1450" t="str">
        <x:v>A-01418</x:v>
      </x:c>
      <x:c r="C1450" t="str">
        <x:v>GATE</x:v>
      </x:c>
      <x:c r="D1450" t="str">
        <x:v>release state mirrors governing ledger</x:v>
      </x:c>
      <x:c r="E1450" t="str">
        <x:f>'Release Gates'!I1424</x:f>
        <x:v>OPEN</x:v>
      </x:c>
      <x:c r="F1450" t="str">
        <x:f>IF('Release Gates'!C1424="PLANNING","PASS",IF('Release Gates'!C1424="PHYSICAL","OPEN","BLOCKED"))</x:f>
        <x:v>OPEN</x:v>
      </x:c>
      <x:c r="G1450" t="str">
        <x:v>equals</x:v>
      </x:c>
      <x:c r="H1450" t="str">
        <x:f>IF(E1450=F1450,"PASS","FAIL")</x:f>
        <x:v>PASS</x:v>
      </x:c>
    </x:row>
    <x:row r="1451">
      <x:c r="B1451" t="str">
        <x:v>A-01419</x:v>
      </x:c>
      <x:c r="C1451" t="str">
        <x:v>GATE</x:v>
      </x:c>
      <x:c r="D1451" t="str">
        <x:v>release state mirrors governing ledger</x:v>
      </x:c>
      <x:c r="E1451" t="str">
        <x:f>'Release Gates'!I1425</x:f>
        <x:v>OPEN</x:v>
      </x:c>
      <x:c r="F1451" t="str">
        <x:f>IF('Release Gates'!C1425="PLANNING","PASS",IF('Release Gates'!C1425="PHYSICAL","OPEN","BLOCKED"))</x:f>
        <x:v>OPEN</x:v>
      </x:c>
      <x:c r="G1451" t="str">
        <x:v>equals</x:v>
      </x:c>
      <x:c r="H1451" t="str">
        <x:f>IF(E1451=F1451,"PASS","FAIL")</x:f>
        <x:v>PASS</x:v>
      </x:c>
    </x:row>
    <x:row r="1452">
      <x:c r="B1452" t="str">
        <x:v>A-01420</x:v>
      </x:c>
      <x:c r="C1452" t="str">
        <x:v>GATE</x:v>
      </x:c>
      <x:c r="D1452" t="str">
        <x:v>release state mirrors governing ledger</x:v>
      </x:c>
      <x:c r="E1452" t="str">
        <x:f>'Release Gates'!I1426</x:f>
        <x:v>OPEN</x:v>
      </x:c>
      <x:c r="F1452" t="str">
        <x:f>IF('Release Gates'!C1426="PLANNING","PASS",IF('Release Gates'!C1426="PHYSICAL","OPEN","BLOCKED"))</x:f>
        <x:v>OPEN</x:v>
      </x:c>
      <x:c r="G1452" t="str">
        <x:v>equals</x:v>
      </x:c>
      <x:c r="H1452" t="str">
        <x:f>IF(E1452=F1452,"PASS","FAIL")</x:f>
        <x:v>PASS</x:v>
      </x:c>
    </x:row>
    <x:row r="1453">
      <x:c r="B1453" t="str">
        <x:v>A-01421</x:v>
      </x:c>
      <x:c r="C1453" t="str">
        <x:v>GATE</x:v>
      </x:c>
      <x:c r="D1453" t="str">
        <x:v>release state mirrors governing ledger</x:v>
      </x:c>
      <x:c r="E1453" t="str">
        <x:f>'Release Gates'!I1427</x:f>
        <x:v>OPEN</x:v>
      </x:c>
      <x:c r="F1453" t="str">
        <x:f>IF('Release Gates'!C1427="PLANNING","PASS",IF('Release Gates'!C1427="PHYSICAL","OPEN","BLOCKED"))</x:f>
        <x:v>OPEN</x:v>
      </x:c>
      <x:c r="G1453" t="str">
        <x:v>equals</x:v>
      </x:c>
      <x:c r="H1453" t="str">
        <x:f>IF(E1453=F1453,"PASS","FAIL")</x:f>
        <x:v>PASS</x:v>
      </x:c>
    </x:row>
    <x:row r="1454">
      <x:c r="B1454" t="str">
        <x:v>A-01422</x:v>
      </x:c>
      <x:c r="C1454" t="str">
        <x:v>GATE</x:v>
      </x:c>
      <x:c r="D1454" t="str">
        <x:v>release state mirrors governing ledger</x:v>
      </x:c>
      <x:c r="E1454" t="str">
        <x:f>'Release Gates'!I1428</x:f>
        <x:v>OPEN</x:v>
      </x:c>
      <x:c r="F1454" t="str">
        <x:f>IF('Release Gates'!C1428="PLANNING","PASS",IF('Release Gates'!C1428="PHYSICAL","OPEN","BLOCKED"))</x:f>
        <x:v>OPEN</x:v>
      </x:c>
      <x:c r="G1454" t="str">
        <x:v>equals</x:v>
      </x:c>
      <x:c r="H1454" t="str">
        <x:f>IF(E1454=F1454,"PASS","FAIL")</x:f>
        <x:v>PASS</x:v>
      </x:c>
    </x:row>
    <x:row r="1455">
      <x:c r="B1455" t="str">
        <x:v>A-01423</x:v>
      </x:c>
      <x:c r="C1455" t="str">
        <x:v>GATE</x:v>
      </x:c>
      <x:c r="D1455" t="str">
        <x:v>release state mirrors governing ledger</x:v>
      </x:c>
      <x:c r="E1455" t="str">
        <x:f>'Release Gates'!I1429</x:f>
        <x:v>OPEN</x:v>
      </x:c>
      <x:c r="F1455" t="str">
        <x:f>IF('Release Gates'!C1429="PLANNING","PASS",IF('Release Gates'!C1429="PHYSICAL","OPEN","BLOCKED"))</x:f>
        <x:v>OPEN</x:v>
      </x:c>
      <x:c r="G1455" t="str">
        <x:v>equals</x:v>
      </x:c>
      <x:c r="H1455" t="str">
        <x:f>IF(E1455=F1455,"PASS","FAIL")</x:f>
        <x:v>PASS</x:v>
      </x:c>
    </x:row>
    <x:row r="1456">
      <x:c r="B1456" t="str">
        <x:v>A-01424</x:v>
      </x:c>
      <x:c r="C1456" t="str">
        <x:v>GATE</x:v>
      </x:c>
      <x:c r="D1456" t="str">
        <x:v>release state mirrors governing ledger</x:v>
      </x:c>
      <x:c r="E1456" t="str">
        <x:f>'Release Gates'!I1430</x:f>
        <x:v>OPEN</x:v>
      </x:c>
      <x:c r="F1456" t="str">
        <x:f>IF('Release Gates'!C1430="PLANNING","PASS",IF('Release Gates'!C1430="PHYSICAL","OPEN","BLOCKED"))</x:f>
        <x:v>OPEN</x:v>
      </x:c>
      <x:c r="G1456" t="str">
        <x:v>equals</x:v>
      </x:c>
      <x:c r="H1456" t="str">
        <x:f>IF(E1456=F1456,"PASS","FAIL")</x:f>
        <x:v>PASS</x:v>
      </x:c>
    </x:row>
    <x:row r="1457">
      <x:c r="B1457" t="str">
        <x:v>A-01425</x:v>
      </x:c>
      <x:c r="C1457" t="str">
        <x:v>GATE</x:v>
      </x:c>
      <x:c r="D1457" t="str">
        <x:v>release state mirrors governing ledger</x:v>
      </x:c>
      <x:c r="E1457" t="str">
        <x:f>'Release Gates'!I1431</x:f>
        <x:v>OPEN</x:v>
      </x:c>
      <x:c r="F1457" t="str">
        <x:f>IF('Release Gates'!C1431="PLANNING","PASS",IF('Release Gates'!C1431="PHYSICAL","OPEN","BLOCKED"))</x:f>
        <x:v>OPEN</x:v>
      </x:c>
      <x:c r="G1457" t="str">
        <x:v>equals</x:v>
      </x:c>
      <x:c r="H1457" t="str">
        <x:f>IF(E1457=F1457,"PASS","FAIL")</x:f>
        <x:v>PASS</x:v>
      </x:c>
    </x:row>
    <x:row r="1458">
      <x:c r="B1458" t="str">
        <x:v>A-01426</x:v>
      </x:c>
      <x:c r="C1458" t="str">
        <x:v>GATE</x:v>
      </x:c>
      <x:c r="D1458" t="str">
        <x:v>release state mirrors governing ledger</x:v>
      </x:c>
      <x:c r="E1458" t="str">
        <x:f>'Release Gates'!I1432</x:f>
        <x:v>OPEN</x:v>
      </x:c>
      <x:c r="F1458" t="str">
        <x:f>IF('Release Gates'!C1432="PLANNING","PASS",IF('Release Gates'!C1432="PHYSICAL","OPEN","BLOCKED"))</x:f>
        <x:v>OPEN</x:v>
      </x:c>
      <x:c r="G1458" t="str">
        <x:v>equals</x:v>
      </x:c>
      <x:c r="H1458" t="str">
        <x:f>IF(E1458=F1458,"PASS","FAIL")</x:f>
        <x:v>PASS</x:v>
      </x:c>
    </x:row>
    <x:row r="1459">
      <x:c r="B1459" t="str">
        <x:v>A-01427</x:v>
      </x:c>
      <x:c r="C1459" t="str">
        <x:v>GATE</x:v>
      </x:c>
      <x:c r="D1459" t="str">
        <x:v>release state mirrors governing ledger</x:v>
      </x:c>
      <x:c r="E1459" t="str">
        <x:f>'Release Gates'!I1433</x:f>
        <x:v>OPEN</x:v>
      </x:c>
      <x:c r="F1459" t="str">
        <x:f>IF('Release Gates'!C1433="PLANNING","PASS",IF('Release Gates'!C1433="PHYSICAL","OPEN","BLOCKED"))</x:f>
        <x:v>OPEN</x:v>
      </x:c>
      <x:c r="G1459" t="str">
        <x:v>equals</x:v>
      </x:c>
      <x:c r="H1459" t="str">
        <x:f>IF(E1459=F1459,"PASS","FAIL")</x:f>
        <x:v>PASS</x:v>
      </x:c>
    </x:row>
    <x:row r="1460">
      <x:c r="B1460" t="str">
        <x:v>A-01428</x:v>
      </x:c>
      <x:c r="C1460" t="str">
        <x:v>GATE</x:v>
      </x:c>
      <x:c r="D1460" t="str">
        <x:v>release state mirrors governing ledger</x:v>
      </x:c>
      <x:c r="E1460" t="str">
        <x:f>'Release Gates'!I1434</x:f>
        <x:v>OPEN</x:v>
      </x:c>
      <x:c r="F1460" t="str">
        <x:f>IF('Release Gates'!C1434="PLANNING","PASS",IF('Release Gates'!C1434="PHYSICAL","OPEN","BLOCKED"))</x:f>
        <x:v>OPEN</x:v>
      </x:c>
      <x:c r="G1460" t="str">
        <x:v>equals</x:v>
      </x:c>
      <x:c r="H1460" t="str">
        <x:f>IF(E1460=F1460,"PASS","FAIL")</x:f>
        <x:v>PASS</x:v>
      </x:c>
    </x:row>
    <x:row r="1461">
      <x:c r="B1461" t="str">
        <x:v>A-01429</x:v>
      </x:c>
      <x:c r="C1461" t="str">
        <x:v>GATE</x:v>
      </x:c>
      <x:c r="D1461" t="str">
        <x:v>release state mirrors governing ledger</x:v>
      </x:c>
      <x:c r="E1461" t="str">
        <x:f>'Release Gates'!I1435</x:f>
        <x:v>OPEN</x:v>
      </x:c>
      <x:c r="F1461" t="str">
        <x:f>IF('Release Gates'!C1435="PLANNING","PASS",IF('Release Gates'!C1435="PHYSICAL","OPEN","BLOCKED"))</x:f>
        <x:v>OPEN</x:v>
      </x:c>
      <x:c r="G1461" t="str">
        <x:v>equals</x:v>
      </x:c>
      <x:c r="H1461" t="str">
        <x:f>IF(E1461=F1461,"PASS","FAIL")</x:f>
        <x:v>PASS</x:v>
      </x:c>
    </x:row>
    <x:row r="1462">
      <x:c r="B1462" t="str">
        <x:v>A-01430</x:v>
      </x:c>
      <x:c r="C1462" t="str">
        <x:v>GATE</x:v>
      </x:c>
      <x:c r="D1462" t="str">
        <x:v>release state mirrors governing ledger</x:v>
      </x:c>
      <x:c r="E1462" t="str">
        <x:f>'Release Gates'!I1436</x:f>
        <x:v>OPEN</x:v>
      </x:c>
      <x:c r="F1462" t="str">
        <x:f>IF('Release Gates'!C1436="PLANNING","PASS",IF('Release Gates'!C1436="PHYSICAL","OPEN","BLOCKED"))</x:f>
        <x:v>OPEN</x:v>
      </x:c>
      <x:c r="G1462" t="str">
        <x:v>equals</x:v>
      </x:c>
      <x:c r="H1462" t="str">
        <x:f>IF(E1462=F1462,"PASS","FAIL")</x:f>
        <x:v>PASS</x:v>
      </x:c>
    </x:row>
    <x:row r="1463">
      <x:c r="B1463" t="str">
        <x:v>A-01431</x:v>
      </x:c>
      <x:c r="C1463" t="str">
        <x:v>GATE</x:v>
      </x:c>
      <x:c r="D1463" t="str">
        <x:v>release state mirrors governing ledger</x:v>
      </x:c>
      <x:c r="E1463" t="str">
        <x:f>'Release Gates'!I1437</x:f>
        <x:v>OPEN</x:v>
      </x:c>
      <x:c r="F1463" t="str">
        <x:f>IF('Release Gates'!C1437="PLANNING","PASS",IF('Release Gates'!C1437="PHYSICAL","OPEN","BLOCKED"))</x:f>
        <x:v>OPEN</x:v>
      </x:c>
      <x:c r="G1463" t="str">
        <x:v>equals</x:v>
      </x:c>
      <x:c r="H1463" t="str">
        <x:f>IF(E1463=F1463,"PASS","FAIL")</x:f>
        <x:v>PASS</x:v>
      </x:c>
    </x:row>
    <x:row r="1464">
      <x:c r="B1464" t="str">
        <x:v>A-01432</x:v>
      </x:c>
      <x:c r="C1464" t="str">
        <x:v>GATE</x:v>
      </x:c>
      <x:c r="D1464" t="str">
        <x:v>release state mirrors governing ledger</x:v>
      </x:c>
      <x:c r="E1464" t="str">
        <x:f>'Release Gates'!I1438</x:f>
        <x:v>OPEN</x:v>
      </x:c>
      <x:c r="F1464" t="str">
        <x:f>IF('Release Gates'!C1438="PLANNING","PASS",IF('Release Gates'!C1438="PHYSICAL","OPEN","BLOCKED"))</x:f>
        <x:v>OPEN</x:v>
      </x:c>
      <x:c r="G1464" t="str">
        <x:v>equals</x:v>
      </x:c>
      <x:c r="H1464" t="str">
        <x:f>IF(E1464=F1464,"PASS","FAIL")</x:f>
        <x:v>PASS</x:v>
      </x:c>
    </x:row>
    <x:row r="1465">
      <x:c r="B1465" t="str">
        <x:v>A-01433</x:v>
      </x:c>
      <x:c r="C1465" t="str">
        <x:v>GATE</x:v>
      </x:c>
      <x:c r="D1465" t="str">
        <x:v>release state mirrors governing ledger</x:v>
      </x:c>
      <x:c r="E1465" t="str">
        <x:f>'Release Gates'!I1439</x:f>
        <x:v>OPEN</x:v>
      </x:c>
      <x:c r="F1465" t="str">
        <x:f>IF('Release Gates'!C1439="PLANNING","PASS",IF('Release Gates'!C1439="PHYSICAL","OPEN","BLOCKED"))</x:f>
        <x:v>OPEN</x:v>
      </x:c>
      <x:c r="G1465" t="str">
        <x:v>equals</x:v>
      </x:c>
      <x:c r="H1465" t="str">
        <x:f>IF(E1465=F1465,"PASS","FAIL")</x:f>
        <x:v>PASS</x:v>
      </x:c>
    </x:row>
    <x:row r="1466">
      <x:c r="B1466" t="str">
        <x:v>A-01434</x:v>
      </x:c>
      <x:c r="C1466" t="str">
        <x:v>GATE</x:v>
      </x:c>
      <x:c r="D1466" t="str">
        <x:v>release state mirrors governing ledger</x:v>
      </x:c>
      <x:c r="E1466" t="str">
        <x:f>'Release Gates'!I1440</x:f>
        <x:v>OPEN</x:v>
      </x:c>
      <x:c r="F1466" t="str">
        <x:f>IF('Release Gates'!C1440="PLANNING","PASS",IF('Release Gates'!C1440="PHYSICAL","OPEN","BLOCKED"))</x:f>
        <x:v>OPEN</x:v>
      </x:c>
      <x:c r="G1466" t="str">
        <x:v>equals</x:v>
      </x:c>
      <x:c r="H1466" t="str">
        <x:f>IF(E1466=F1466,"PASS","FAIL")</x:f>
        <x:v>PASS</x:v>
      </x:c>
    </x:row>
    <x:row r="1467">
      <x:c r="B1467" t="str">
        <x:v>A-01435</x:v>
      </x:c>
      <x:c r="C1467" t="str">
        <x:v>GATE</x:v>
      </x:c>
      <x:c r="D1467" t="str">
        <x:v>release state mirrors governing ledger</x:v>
      </x:c>
      <x:c r="E1467" t="str">
        <x:f>'Release Gates'!I1441</x:f>
        <x:v>OPEN</x:v>
      </x:c>
      <x:c r="F1467" t="str">
        <x:f>IF('Release Gates'!C1441="PLANNING","PASS",IF('Release Gates'!C1441="PHYSICAL","OPEN","BLOCKED"))</x:f>
        <x:v>OPEN</x:v>
      </x:c>
      <x:c r="G1467" t="str">
        <x:v>equals</x:v>
      </x:c>
      <x:c r="H1467" t="str">
        <x:f>IF(E1467=F1467,"PASS","FAIL")</x:f>
        <x:v>PASS</x:v>
      </x:c>
    </x:row>
    <x:row r="1468">
      <x:c r="B1468" t="str">
        <x:v>A-01436</x:v>
      </x:c>
      <x:c r="C1468" t="str">
        <x:v>GATE</x:v>
      </x:c>
      <x:c r="D1468" t="str">
        <x:v>release state mirrors governing ledger</x:v>
      </x:c>
      <x:c r="E1468" t="str">
        <x:f>'Release Gates'!I1442</x:f>
        <x:v>OPEN</x:v>
      </x:c>
      <x:c r="F1468" t="str">
        <x:f>IF('Release Gates'!C1442="PLANNING","PASS",IF('Release Gates'!C1442="PHYSICAL","OPEN","BLOCKED"))</x:f>
        <x:v>OPEN</x:v>
      </x:c>
      <x:c r="G1468" t="str">
        <x:v>equals</x:v>
      </x:c>
      <x:c r="H1468" t="str">
        <x:f>IF(E1468=F1468,"PASS","FAIL")</x:f>
        <x:v>PASS</x:v>
      </x:c>
    </x:row>
    <x:row r="1469">
      <x:c r="B1469" t="str">
        <x:v>A-01437</x:v>
      </x:c>
      <x:c r="C1469" t="str">
        <x:v>GATE</x:v>
      </x:c>
      <x:c r="D1469" t="str">
        <x:v>release state mirrors governing ledger</x:v>
      </x:c>
      <x:c r="E1469" t="str">
        <x:f>'Release Gates'!I1443</x:f>
        <x:v>OPEN</x:v>
      </x:c>
      <x:c r="F1469" t="str">
        <x:f>IF('Release Gates'!C1443="PLANNING","PASS",IF('Release Gates'!C1443="PHYSICAL","OPEN","BLOCKED"))</x:f>
        <x:v>OPEN</x:v>
      </x:c>
      <x:c r="G1469" t="str">
        <x:v>equals</x:v>
      </x:c>
      <x:c r="H1469" t="str">
        <x:f>IF(E1469=F1469,"PASS","FAIL")</x:f>
        <x:v>PASS</x:v>
      </x:c>
    </x:row>
    <x:row r="1470">
      <x:c r="B1470" t="str">
        <x:v>A-01438</x:v>
      </x:c>
      <x:c r="C1470" t="str">
        <x:v>GATE</x:v>
      </x:c>
      <x:c r="D1470" t="str">
        <x:v>release state mirrors governing ledger</x:v>
      </x:c>
      <x:c r="E1470" t="str">
        <x:f>'Release Gates'!I1444</x:f>
        <x:v>OPEN</x:v>
      </x:c>
      <x:c r="F1470" t="str">
        <x:f>IF('Release Gates'!C1444="PLANNING","PASS",IF('Release Gates'!C1444="PHYSICAL","OPEN","BLOCKED"))</x:f>
        <x:v>OPEN</x:v>
      </x:c>
      <x:c r="G1470" t="str">
        <x:v>equals</x:v>
      </x:c>
      <x:c r="H1470" t="str">
        <x:f>IF(E1470=F1470,"PASS","FAIL")</x:f>
        <x:v>PASS</x:v>
      </x:c>
    </x:row>
    <x:row r="1471">
      <x:c r="B1471" t="str">
        <x:v>A-01439</x:v>
      </x:c>
      <x:c r="C1471" t="str">
        <x:v>GATE</x:v>
      </x:c>
      <x:c r="D1471" t="str">
        <x:v>release state mirrors governing ledger</x:v>
      </x:c>
      <x:c r="E1471" t="str">
        <x:f>'Release Gates'!I1445</x:f>
        <x:v>OPEN</x:v>
      </x:c>
      <x:c r="F1471" t="str">
        <x:f>IF('Release Gates'!C1445="PLANNING","PASS",IF('Release Gates'!C1445="PHYSICAL","OPEN","BLOCKED"))</x:f>
        <x:v>OPEN</x:v>
      </x:c>
      <x:c r="G1471" t="str">
        <x:v>equals</x:v>
      </x:c>
      <x:c r="H1471" t="str">
        <x:f>IF(E1471=F1471,"PASS","FAIL")</x:f>
        <x:v>PASS</x:v>
      </x:c>
    </x:row>
    <x:row r="1472">
      <x:c r="B1472" t="str">
        <x:v>A-01440</x:v>
      </x:c>
      <x:c r="C1472" t="str">
        <x:v>GATE</x:v>
      </x:c>
      <x:c r="D1472" t="str">
        <x:v>release state mirrors governing ledger</x:v>
      </x:c>
      <x:c r="E1472" t="str">
        <x:f>'Release Gates'!I1446</x:f>
        <x:v>OPEN</x:v>
      </x:c>
      <x:c r="F1472" t="str">
        <x:f>IF('Release Gates'!C1446="PLANNING","PASS",IF('Release Gates'!C1446="PHYSICAL","OPEN","BLOCKED"))</x:f>
        <x:v>OPEN</x:v>
      </x:c>
      <x:c r="G1472" t="str">
        <x:v>equals</x:v>
      </x:c>
      <x:c r="H1472" t="str">
        <x:f>IF(E1472=F1472,"PASS","FAIL")</x:f>
        <x:v>PASS</x:v>
      </x:c>
    </x:row>
    <x:row r="1473">
      <x:c r="B1473" t="str">
        <x:v>A-01441</x:v>
      </x:c>
      <x:c r="C1473" t="str">
        <x:v>GATE</x:v>
      </x:c>
      <x:c r="D1473" t="str">
        <x:v>release state mirrors governing ledger</x:v>
      </x:c>
      <x:c r="E1473" t="str">
        <x:f>'Release Gates'!I1447</x:f>
        <x:v>OPEN</x:v>
      </x:c>
      <x:c r="F1473" t="str">
        <x:f>IF('Release Gates'!C1447="PLANNING","PASS",IF('Release Gates'!C1447="PHYSICAL","OPEN","BLOCKED"))</x:f>
        <x:v>OPEN</x:v>
      </x:c>
      <x:c r="G1473" t="str">
        <x:v>equals</x:v>
      </x:c>
      <x:c r="H1473" t="str">
        <x:f>IF(E1473=F1473,"PASS","FAIL")</x:f>
        <x:v>PASS</x:v>
      </x:c>
    </x:row>
    <x:row r="1474">
      <x:c r="B1474" t="str">
        <x:v>A-01442</x:v>
      </x:c>
      <x:c r="C1474" t="str">
        <x:v>GATE</x:v>
      </x:c>
      <x:c r="D1474" t="str">
        <x:v>release state mirrors governing ledger</x:v>
      </x:c>
      <x:c r="E1474" t="str">
        <x:f>'Release Gates'!I1448</x:f>
        <x:v>OPEN</x:v>
      </x:c>
      <x:c r="F1474" t="str">
        <x:f>IF('Release Gates'!C1448="PLANNING","PASS",IF('Release Gates'!C1448="PHYSICAL","OPEN","BLOCKED"))</x:f>
        <x:v>OPEN</x:v>
      </x:c>
      <x:c r="G1474" t="str">
        <x:v>equals</x:v>
      </x:c>
      <x:c r="H1474" t="str">
        <x:f>IF(E1474=F1474,"PASS","FAIL")</x:f>
        <x:v>PASS</x:v>
      </x:c>
    </x:row>
    <x:row r="1475">
      <x:c r="B1475" t="str">
        <x:v>A-01443</x:v>
      </x:c>
      <x:c r="C1475" t="str">
        <x:v>GATE</x:v>
      </x:c>
      <x:c r="D1475" t="str">
        <x:v>release state mirrors governing ledger</x:v>
      </x:c>
      <x:c r="E1475" t="str">
        <x:f>'Release Gates'!I1449</x:f>
        <x:v>OPEN</x:v>
      </x:c>
      <x:c r="F1475" t="str">
        <x:f>IF('Release Gates'!C1449="PLANNING","PASS",IF('Release Gates'!C1449="PHYSICAL","OPEN","BLOCKED"))</x:f>
        <x:v>OPEN</x:v>
      </x:c>
      <x:c r="G1475" t="str">
        <x:v>equals</x:v>
      </x:c>
      <x:c r="H1475" t="str">
        <x:f>IF(E1475=F1475,"PASS","FAIL")</x:f>
        <x:v>PASS</x:v>
      </x:c>
    </x:row>
    <x:row r="1476">
      <x:c r="B1476" t="str">
        <x:v>A-01444</x:v>
      </x:c>
      <x:c r="C1476" t="str">
        <x:v>GATE</x:v>
      </x:c>
      <x:c r="D1476" t="str">
        <x:v>release state mirrors governing ledger</x:v>
      </x:c>
      <x:c r="E1476" t="str">
        <x:f>'Release Gates'!I1450</x:f>
        <x:v>OPEN</x:v>
      </x:c>
      <x:c r="F1476" t="str">
        <x:f>IF('Release Gates'!C1450="PLANNING","PASS",IF('Release Gates'!C1450="PHYSICAL","OPEN","BLOCKED"))</x:f>
        <x:v>OPEN</x:v>
      </x:c>
      <x:c r="G1476" t="str">
        <x:v>equals</x:v>
      </x:c>
      <x:c r="H1476" t="str">
        <x:f>IF(E1476=F1476,"PASS","FAIL")</x:f>
        <x:v>PASS</x:v>
      </x:c>
    </x:row>
    <x:row r="1477">
      <x:c r="B1477" t="str">
        <x:v>A-01445</x:v>
      </x:c>
      <x:c r="C1477" t="str">
        <x:v>GATE</x:v>
      </x:c>
      <x:c r="D1477" t="str">
        <x:v>release state mirrors governing ledger</x:v>
      </x:c>
      <x:c r="E1477" t="str">
        <x:f>'Release Gates'!I1451</x:f>
        <x:v>OPEN</x:v>
      </x:c>
      <x:c r="F1477" t="str">
        <x:f>IF('Release Gates'!C1451="PLANNING","PASS",IF('Release Gates'!C1451="PHYSICAL","OPEN","BLOCKED"))</x:f>
        <x:v>OPEN</x:v>
      </x:c>
      <x:c r="G1477" t="str">
        <x:v>equals</x:v>
      </x:c>
      <x:c r="H1477" t="str">
        <x:f>IF(E1477=F1477,"PASS","FAIL")</x:f>
        <x:v>PASS</x:v>
      </x:c>
    </x:row>
    <x:row r="1478">
      <x:c r="B1478" t="str">
        <x:v>A-01446</x:v>
      </x:c>
      <x:c r="C1478" t="str">
        <x:v>GATE</x:v>
      </x:c>
      <x:c r="D1478" t="str">
        <x:v>release state mirrors governing ledger</x:v>
      </x:c>
      <x:c r="E1478" t="str">
        <x:f>'Release Gates'!I1452</x:f>
        <x:v>OPEN</x:v>
      </x:c>
      <x:c r="F1478" t="str">
        <x:f>IF('Release Gates'!C1452="PLANNING","PASS",IF('Release Gates'!C1452="PHYSICAL","OPEN","BLOCKED"))</x:f>
        <x:v>OPEN</x:v>
      </x:c>
      <x:c r="G1478" t="str">
        <x:v>equals</x:v>
      </x:c>
      <x:c r="H1478" t="str">
        <x:f>IF(E1478=F1478,"PASS","FAIL")</x:f>
        <x:v>PASS</x:v>
      </x:c>
    </x:row>
    <x:row r="1479">
      <x:c r="B1479" t="str">
        <x:v>A-01447</x:v>
      </x:c>
      <x:c r="C1479" t="str">
        <x:v>GATE</x:v>
      </x:c>
      <x:c r="D1479" t="str">
        <x:v>release state mirrors governing ledger</x:v>
      </x:c>
      <x:c r="E1479" t="str">
        <x:f>'Release Gates'!I1453</x:f>
        <x:v>OPEN</x:v>
      </x:c>
      <x:c r="F1479" t="str">
        <x:f>IF('Release Gates'!C1453="PLANNING","PASS",IF('Release Gates'!C1453="PHYSICAL","OPEN","BLOCKED"))</x:f>
        <x:v>OPEN</x:v>
      </x:c>
      <x:c r="G1479" t="str">
        <x:v>equals</x:v>
      </x:c>
      <x:c r="H1479" t="str">
        <x:f>IF(E1479=F1479,"PASS","FAIL")</x:f>
        <x:v>PASS</x:v>
      </x:c>
    </x:row>
    <x:row r="1480">
      <x:c r="B1480" t="str">
        <x:v>A-01448</x:v>
      </x:c>
      <x:c r="C1480" t="str">
        <x:v>GATE</x:v>
      </x:c>
      <x:c r="D1480" t="str">
        <x:v>release state mirrors governing ledger</x:v>
      </x:c>
      <x:c r="E1480" t="str">
        <x:f>'Release Gates'!I1454</x:f>
        <x:v>OPEN</x:v>
      </x:c>
      <x:c r="F1480" t="str">
        <x:f>IF('Release Gates'!C1454="PLANNING","PASS",IF('Release Gates'!C1454="PHYSICAL","OPEN","BLOCKED"))</x:f>
        <x:v>OPEN</x:v>
      </x:c>
      <x:c r="G1480" t="str">
        <x:v>equals</x:v>
      </x:c>
      <x:c r="H1480" t="str">
        <x:f>IF(E1480=F1480,"PASS","FAIL")</x:f>
        <x:v>PASS</x:v>
      </x:c>
    </x:row>
    <x:row r="1481">
      <x:c r="B1481" t="str">
        <x:v>A-01449</x:v>
      </x:c>
      <x:c r="C1481" t="str">
        <x:v>GATE</x:v>
      </x:c>
      <x:c r="D1481" t="str">
        <x:v>release state mirrors governing ledger</x:v>
      </x:c>
      <x:c r="E1481" t="str">
        <x:f>'Release Gates'!I1455</x:f>
        <x:v>OPEN</x:v>
      </x:c>
      <x:c r="F1481" t="str">
        <x:f>IF('Release Gates'!C1455="PLANNING","PASS",IF('Release Gates'!C1455="PHYSICAL","OPEN","BLOCKED"))</x:f>
        <x:v>OPEN</x:v>
      </x:c>
      <x:c r="G1481" t="str">
        <x:v>equals</x:v>
      </x:c>
      <x:c r="H1481" t="str">
        <x:f>IF(E1481=F1481,"PASS","FAIL")</x:f>
        <x:v>PASS</x:v>
      </x:c>
    </x:row>
    <x:row r="1482">
      <x:c r="B1482" t="str">
        <x:v>A-01450</x:v>
      </x:c>
      <x:c r="C1482" t="str">
        <x:v>GATE</x:v>
      </x:c>
      <x:c r="D1482" t="str">
        <x:v>release state mirrors governing ledger</x:v>
      </x:c>
      <x:c r="E1482" t="str">
        <x:f>'Release Gates'!I1456</x:f>
        <x:v>OPEN</x:v>
      </x:c>
      <x:c r="F1482" t="str">
        <x:f>IF('Release Gates'!C1456="PLANNING","PASS",IF('Release Gates'!C1456="PHYSICAL","OPEN","BLOCKED"))</x:f>
        <x:v>OPEN</x:v>
      </x:c>
      <x:c r="G1482" t="str">
        <x:v>equals</x:v>
      </x:c>
      <x:c r="H1482" t="str">
        <x:f>IF(E1482=F1482,"PASS","FAIL")</x:f>
        <x:v>PASS</x:v>
      </x:c>
    </x:row>
    <x:row r="1483">
      <x:c r="B1483" t="str">
        <x:v>A-01451</x:v>
      </x:c>
      <x:c r="C1483" t="str">
        <x:v>GATE</x:v>
      </x:c>
      <x:c r="D1483" t="str">
        <x:v>release state mirrors governing ledger</x:v>
      </x:c>
      <x:c r="E1483" t="str">
        <x:f>'Release Gates'!I1457</x:f>
        <x:v>OPEN</x:v>
      </x:c>
      <x:c r="F1483" t="str">
        <x:f>IF('Release Gates'!C1457="PLANNING","PASS",IF('Release Gates'!C1457="PHYSICAL","OPEN","BLOCKED"))</x:f>
        <x:v>OPEN</x:v>
      </x:c>
      <x:c r="G1483" t="str">
        <x:v>equals</x:v>
      </x:c>
      <x:c r="H1483" t="str">
        <x:f>IF(E1483=F1483,"PASS","FAIL")</x:f>
        <x:v>PASS</x:v>
      </x:c>
    </x:row>
    <x:row r="1484">
      <x:c r="B1484" t="str">
        <x:v>A-01452</x:v>
      </x:c>
      <x:c r="C1484" t="str">
        <x:v>GATE</x:v>
      </x:c>
      <x:c r="D1484" t="str">
        <x:v>release state mirrors governing ledger</x:v>
      </x:c>
      <x:c r="E1484" t="str">
        <x:f>'Release Gates'!I1458</x:f>
        <x:v>OPEN</x:v>
      </x:c>
      <x:c r="F1484" t="str">
        <x:f>IF('Release Gates'!C1458="PLANNING","PASS",IF('Release Gates'!C1458="PHYSICAL","OPEN","BLOCKED"))</x:f>
        <x:v>OPEN</x:v>
      </x:c>
      <x:c r="G1484" t="str">
        <x:v>equals</x:v>
      </x:c>
      <x:c r="H1484" t="str">
        <x:f>IF(E1484=F1484,"PASS","FAIL")</x:f>
        <x:v>PASS</x:v>
      </x:c>
    </x:row>
    <x:row r="1485">
      <x:c r="B1485" t="str">
        <x:v>A-01453</x:v>
      </x:c>
      <x:c r="C1485" t="str">
        <x:v>GATE</x:v>
      </x:c>
      <x:c r="D1485" t="str">
        <x:v>release state mirrors governing ledger</x:v>
      </x:c>
      <x:c r="E1485" t="str">
        <x:f>'Release Gates'!I1459</x:f>
        <x:v>OPEN</x:v>
      </x:c>
      <x:c r="F1485" t="str">
        <x:f>IF('Release Gates'!C1459="PLANNING","PASS",IF('Release Gates'!C1459="PHYSICAL","OPEN","BLOCKED"))</x:f>
        <x:v>OPEN</x:v>
      </x:c>
      <x:c r="G1485" t="str">
        <x:v>equals</x:v>
      </x:c>
      <x:c r="H1485" t="str">
        <x:f>IF(E1485=F1485,"PASS","FAIL")</x:f>
        <x:v>PASS</x:v>
      </x:c>
    </x:row>
    <x:row r="1486">
      <x:c r="B1486" t="str">
        <x:v>A-01454</x:v>
      </x:c>
      <x:c r="C1486" t="str">
        <x:v>GATE</x:v>
      </x:c>
      <x:c r="D1486" t="str">
        <x:v>release state mirrors governing ledger</x:v>
      </x:c>
      <x:c r="E1486" t="str">
        <x:f>'Release Gates'!I1460</x:f>
        <x:v>OPEN</x:v>
      </x:c>
      <x:c r="F1486" t="str">
        <x:f>IF('Release Gates'!C1460="PLANNING","PASS",IF('Release Gates'!C1460="PHYSICAL","OPEN","BLOCKED"))</x:f>
        <x:v>OPEN</x:v>
      </x:c>
      <x:c r="G1486" t="str">
        <x:v>equals</x:v>
      </x:c>
      <x:c r="H1486" t="str">
        <x:f>IF(E1486=F1486,"PASS","FAIL")</x:f>
        <x:v>PASS</x:v>
      </x:c>
    </x:row>
    <x:row r="1487">
      <x:c r="B1487" t="str">
        <x:v>A-01455</x:v>
      </x:c>
      <x:c r="C1487" t="str">
        <x:v>GATE</x:v>
      </x:c>
      <x:c r="D1487" t="str">
        <x:v>release state mirrors governing ledger</x:v>
      </x:c>
      <x:c r="E1487" t="str">
        <x:f>'Release Gates'!I1461</x:f>
        <x:v>OPEN</x:v>
      </x:c>
      <x:c r="F1487" t="str">
        <x:f>IF('Release Gates'!C1461="PLANNING","PASS",IF('Release Gates'!C1461="PHYSICAL","OPEN","BLOCKED"))</x:f>
        <x:v>OPEN</x:v>
      </x:c>
      <x:c r="G1487" t="str">
        <x:v>equals</x:v>
      </x:c>
      <x:c r="H1487" t="str">
        <x:f>IF(E1487=F1487,"PASS","FAIL")</x:f>
        <x:v>PASS</x:v>
      </x:c>
    </x:row>
    <x:row r="1488">
      <x:c r="B1488" t="str">
        <x:v>A-01456</x:v>
      </x:c>
      <x:c r="C1488" t="str">
        <x:v>GATE</x:v>
      </x:c>
      <x:c r="D1488" t="str">
        <x:v>release state mirrors governing ledger</x:v>
      </x:c>
      <x:c r="E1488" t="str">
        <x:f>'Release Gates'!I1462</x:f>
        <x:v>OPEN</x:v>
      </x:c>
      <x:c r="F1488" t="str">
        <x:f>IF('Release Gates'!C1462="PLANNING","PASS",IF('Release Gates'!C1462="PHYSICAL","OPEN","BLOCKED"))</x:f>
        <x:v>OPEN</x:v>
      </x:c>
      <x:c r="G1488" t="str">
        <x:v>equals</x:v>
      </x:c>
      <x:c r="H1488" t="str">
        <x:f>IF(E1488=F1488,"PASS","FAIL")</x:f>
        <x:v>PASS</x:v>
      </x:c>
    </x:row>
    <x:row r="1489">
      <x:c r="B1489" t="str">
        <x:v>A-01457</x:v>
      </x:c>
      <x:c r="C1489" t="str">
        <x:v>GATE</x:v>
      </x:c>
      <x:c r="D1489" t="str">
        <x:v>release state mirrors governing ledger</x:v>
      </x:c>
      <x:c r="E1489" t="str">
        <x:f>'Release Gates'!I1463</x:f>
        <x:v>OPEN</x:v>
      </x:c>
      <x:c r="F1489" t="str">
        <x:f>IF('Release Gates'!C1463="PLANNING","PASS",IF('Release Gates'!C1463="PHYSICAL","OPEN","BLOCKED"))</x:f>
        <x:v>OPEN</x:v>
      </x:c>
      <x:c r="G1489" t="str">
        <x:v>equals</x:v>
      </x:c>
      <x:c r="H1489" t="str">
        <x:f>IF(E1489=F1489,"PASS","FAIL")</x:f>
        <x:v>PASS</x:v>
      </x:c>
    </x:row>
    <x:row r="1490">
      <x:c r="B1490" t="str">
        <x:v>A-01458</x:v>
      </x:c>
      <x:c r="C1490" t="str">
        <x:v>GATE</x:v>
      </x:c>
      <x:c r="D1490" t="str">
        <x:v>release state mirrors governing ledger</x:v>
      </x:c>
      <x:c r="E1490" t="str">
        <x:f>'Release Gates'!I1464</x:f>
        <x:v>OPEN</x:v>
      </x:c>
      <x:c r="F1490" t="str">
        <x:f>IF('Release Gates'!C1464="PLANNING","PASS",IF('Release Gates'!C1464="PHYSICAL","OPEN","BLOCKED"))</x:f>
        <x:v>OPEN</x:v>
      </x:c>
      <x:c r="G1490" t="str">
        <x:v>equals</x:v>
      </x:c>
      <x:c r="H1490" t="str">
        <x:f>IF(E1490=F1490,"PASS","FAIL")</x:f>
        <x:v>PASS</x:v>
      </x:c>
    </x:row>
    <x:row r="1491">
      <x:c r="B1491" t="str">
        <x:v>A-01459</x:v>
      </x:c>
      <x:c r="C1491" t="str">
        <x:v>GATE</x:v>
      </x:c>
      <x:c r="D1491" t="str">
        <x:v>release state mirrors governing ledger</x:v>
      </x:c>
      <x:c r="E1491" t="str">
        <x:f>'Release Gates'!I1465</x:f>
        <x:v>OPEN</x:v>
      </x:c>
      <x:c r="F1491" t="str">
        <x:f>IF('Release Gates'!C1465="PLANNING","PASS",IF('Release Gates'!C1465="PHYSICAL","OPEN","BLOCKED"))</x:f>
        <x:v>OPEN</x:v>
      </x:c>
      <x:c r="G1491" t="str">
        <x:v>equals</x:v>
      </x:c>
      <x:c r="H1491" t="str">
        <x:f>IF(E1491=F1491,"PASS","FAIL")</x:f>
        <x:v>PASS</x:v>
      </x:c>
    </x:row>
    <x:row r="1492">
      <x:c r="B1492" t="str">
        <x:v>A-01460</x:v>
      </x:c>
      <x:c r="C1492" t="str">
        <x:v>GATE</x:v>
      </x:c>
      <x:c r="D1492" t="str">
        <x:v>release state mirrors governing ledger</x:v>
      </x:c>
      <x:c r="E1492" t="str">
        <x:f>'Release Gates'!I1466</x:f>
        <x:v>OPEN</x:v>
      </x:c>
      <x:c r="F1492" t="str">
        <x:f>IF('Release Gates'!C1466="PLANNING","PASS",IF('Release Gates'!C1466="PHYSICAL","OPEN","BLOCKED"))</x:f>
        <x:v>OPEN</x:v>
      </x:c>
      <x:c r="G1492" t="str">
        <x:v>equals</x:v>
      </x:c>
      <x:c r="H1492" t="str">
        <x:f>IF(E1492=F1492,"PASS","FAIL")</x:f>
        <x:v>PASS</x:v>
      </x:c>
    </x:row>
    <x:row r="1493">
      <x:c r="B1493" t="str">
        <x:v>A-01461</x:v>
      </x:c>
      <x:c r="C1493" t="str">
        <x:v>GATE</x:v>
      </x:c>
      <x:c r="D1493" t="str">
        <x:v>release state mirrors governing ledger</x:v>
      </x:c>
      <x:c r="E1493" t="str">
        <x:f>'Release Gates'!I1467</x:f>
        <x:v>OPEN</x:v>
      </x:c>
      <x:c r="F1493" t="str">
        <x:f>IF('Release Gates'!C1467="PLANNING","PASS",IF('Release Gates'!C1467="PHYSICAL","OPEN","BLOCKED"))</x:f>
        <x:v>OPEN</x:v>
      </x:c>
      <x:c r="G1493" t="str">
        <x:v>equals</x:v>
      </x:c>
      <x:c r="H1493" t="str">
        <x:f>IF(E1493=F1493,"PASS","FAIL")</x:f>
        <x:v>PASS</x:v>
      </x:c>
    </x:row>
    <x:row r="1494">
      <x:c r="B1494" t="str">
        <x:v>A-01462</x:v>
      </x:c>
      <x:c r="C1494" t="str">
        <x:v>GATE</x:v>
      </x:c>
      <x:c r="D1494" t="str">
        <x:v>release state mirrors governing ledger</x:v>
      </x:c>
      <x:c r="E1494" t="str">
        <x:f>'Release Gates'!I1468</x:f>
        <x:v>OPEN</x:v>
      </x:c>
      <x:c r="F1494" t="str">
        <x:f>IF('Release Gates'!C1468="PLANNING","PASS",IF('Release Gates'!C1468="PHYSICAL","OPEN","BLOCKED"))</x:f>
        <x:v>OPEN</x:v>
      </x:c>
      <x:c r="G1494" t="str">
        <x:v>equals</x:v>
      </x:c>
      <x:c r="H1494" t="str">
        <x:f>IF(E1494=F1494,"PASS","FAIL")</x:f>
        <x:v>PASS</x:v>
      </x:c>
    </x:row>
    <x:row r="1495">
      <x:c r="B1495" t="str">
        <x:v>A-01463</x:v>
      </x:c>
      <x:c r="C1495" t="str">
        <x:v>GATE</x:v>
      </x:c>
      <x:c r="D1495" t="str">
        <x:v>release state mirrors governing ledger</x:v>
      </x:c>
      <x:c r="E1495" t="str">
        <x:f>'Release Gates'!I1469</x:f>
        <x:v>OPEN</x:v>
      </x:c>
      <x:c r="F1495" t="str">
        <x:f>IF('Release Gates'!C1469="PLANNING","PASS",IF('Release Gates'!C1469="PHYSICAL","OPEN","BLOCKED"))</x:f>
        <x:v>OPEN</x:v>
      </x:c>
      <x:c r="G1495" t="str">
        <x:v>equals</x:v>
      </x:c>
      <x:c r="H1495" t="str">
        <x:f>IF(E1495=F1495,"PASS","FAIL")</x:f>
        <x:v>PASS</x:v>
      </x:c>
    </x:row>
    <x:row r="1496">
      <x:c r="B1496" t="str">
        <x:v>A-01464</x:v>
      </x:c>
      <x:c r="C1496" t="str">
        <x:v>GATE</x:v>
      </x:c>
      <x:c r="D1496" t="str">
        <x:v>release state mirrors governing ledger</x:v>
      </x:c>
      <x:c r="E1496" t="str">
        <x:f>'Release Gates'!I1470</x:f>
        <x:v>OPEN</x:v>
      </x:c>
      <x:c r="F1496" t="str">
        <x:f>IF('Release Gates'!C1470="PLANNING","PASS",IF('Release Gates'!C1470="PHYSICAL","OPEN","BLOCKED"))</x:f>
        <x:v>OPEN</x:v>
      </x:c>
      <x:c r="G1496" t="str">
        <x:v>equals</x:v>
      </x:c>
      <x:c r="H1496" t="str">
        <x:f>IF(E1496=F1496,"PASS","FAIL")</x:f>
        <x:v>PASS</x:v>
      </x:c>
    </x:row>
    <x:row r="1497">
      <x:c r="B1497" t="str">
        <x:v>A-01465</x:v>
      </x:c>
      <x:c r="C1497" t="str">
        <x:v>GATE</x:v>
      </x:c>
      <x:c r="D1497" t="str">
        <x:v>release state mirrors governing ledger</x:v>
      </x:c>
      <x:c r="E1497" t="str">
        <x:f>'Release Gates'!I1471</x:f>
        <x:v>OPEN</x:v>
      </x:c>
      <x:c r="F1497" t="str">
        <x:f>IF('Release Gates'!C1471="PLANNING","PASS",IF('Release Gates'!C1471="PHYSICAL","OPEN","BLOCKED"))</x:f>
        <x:v>OPEN</x:v>
      </x:c>
      <x:c r="G1497" t="str">
        <x:v>equals</x:v>
      </x:c>
      <x:c r="H1497" t="str">
        <x:f>IF(E1497=F1497,"PASS","FAIL")</x:f>
        <x:v>PASS</x:v>
      </x:c>
    </x:row>
    <x:row r="1498">
      <x:c r="B1498" t="str">
        <x:v>A-01466</x:v>
      </x:c>
      <x:c r="C1498" t="str">
        <x:v>GATE</x:v>
      </x:c>
      <x:c r="D1498" t="str">
        <x:v>release state mirrors governing ledger</x:v>
      </x:c>
      <x:c r="E1498" t="str">
        <x:f>'Release Gates'!I1472</x:f>
        <x:v>OPEN</x:v>
      </x:c>
      <x:c r="F1498" t="str">
        <x:f>IF('Release Gates'!C1472="PLANNING","PASS",IF('Release Gates'!C1472="PHYSICAL","OPEN","BLOCKED"))</x:f>
        <x:v>OPEN</x:v>
      </x:c>
      <x:c r="G1498" t="str">
        <x:v>equals</x:v>
      </x:c>
      <x:c r="H1498" t="str">
        <x:f>IF(E1498=F1498,"PASS","FAIL")</x:f>
        <x:v>PASS</x:v>
      </x:c>
    </x:row>
    <x:row r="1499">
      <x:c r="B1499" t="str">
        <x:v>A-01467</x:v>
      </x:c>
      <x:c r="C1499" t="str">
        <x:v>GATE</x:v>
      </x:c>
      <x:c r="D1499" t="str">
        <x:v>release state mirrors governing ledger</x:v>
      </x:c>
      <x:c r="E1499" t="str">
        <x:f>'Release Gates'!I1473</x:f>
        <x:v>OPEN</x:v>
      </x:c>
      <x:c r="F1499" t="str">
        <x:f>IF('Release Gates'!C1473="PLANNING","PASS",IF('Release Gates'!C1473="PHYSICAL","OPEN","BLOCKED"))</x:f>
        <x:v>OPEN</x:v>
      </x:c>
      <x:c r="G1499" t="str">
        <x:v>equals</x:v>
      </x:c>
      <x:c r="H1499" t="str">
        <x:f>IF(E1499=F1499,"PASS","FAIL")</x:f>
        <x:v>PASS</x:v>
      </x:c>
    </x:row>
    <x:row r="1500">
      <x:c r="B1500" t="str">
        <x:v>A-01468</x:v>
      </x:c>
      <x:c r="C1500" t="str">
        <x:v>GATE</x:v>
      </x:c>
      <x:c r="D1500" t="str">
        <x:v>release state mirrors governing ledger</x:v>
      </x:c>
      <x:c r="E1500" t="str">
        <x:f>'Release Gates'!I1474</x:f>
        <x:v>OPEN</x:v>
      </x:c>
      <x:c r="F1500" t="str">
        <x:f>IF('Release Gates'!C1474="PLANNING","PASS",IF('Release Gates'!C1474="PHYSICAL","OPEN","BLOCKED"))</x:f>
        <x:v>OPEN</x:v>
      </x:c>
      <x:c r="G1500" t="str">
        <x:v>equals</x:v>
      </x:c>
      <x:c r="H1500" t="str">
        <x:f>IF(E1500=F1500,"PASS","FAIL")</x:f>
        <x:v>PASS</x:v>
      </x:c>
    </x:row>
    <x:row r="1501">
      <x:c r="B1501" t="str">
        <x:v>A-01469</x:v>
      </x:c>
      <x:c r="C1501" t="str">
        <x:v>GATE</x:v>
      </x:c>
      <x:c r="D1501" t="str">
        <x:v>release state mirrors governing ledger</x:v>
      </x:c>
      <x:c r="E1501" t="str">
        <x:f>'Release Gates'!I1475</x:f>
        <x:v>OPEN</x:v>
      </x:c>
      <x:c r="F1501" t="str">
        <x:f>IF('Release Gates'!C1475="PLANNING","PASS",IF('Release Gates'!C1475="PHYSICAL","OPEN","BLOCKED"))</x:f>
        <x:v>OPEN</x:v>
      </x:c>
      <x:c r="G1501" t="str">
        <x:v>equals</x:v>
      </x:c>
      <x:c r="H1501" t="str">
        <x:f>IF(E1501=F1501,"PASS","FAIL")</x:f>
        <x:v>PASS</x:v>
      </x:c>
    </x:row>
    <x:row r="1502">
      <x:c r="B1502" t="str">
        <x:v>A-01470</x:v>
      </x:c>
      <x:c r="C1502" t="str">
        <x:v>GATE</x:v>
      </x:c>
      <x:c r="D1502" t="str">
        <x:v>release state mirrors governing ledger</x:v>
      </x:c>
      <x:c r="E1502" t="str">
        <x:f>'Release Gates'!I1476</x:f>
        <x:v>OPEN</x:v>
      </x:c>
      <x:c r="F1502" t="str">
        <x:f>IF('Release Gates'!C1476="PLANNING","PASS",IF('Release Gates'!C1476="PHYSICAL","OPEN","BLOCKED"))</x:f>
        <x:v>OPEN</x:v>
      </x:c>
      <x:c r="G1502" t="str">
        <x:v>equals</x:v>
      </x:c>
      <x:c r="H1502" t="str">
        <x:f>IF(E1502=F1502,"PASS","FAIL")</x:f>
        <x:v>PASS</x:v>
      </x:c>
    </x:row>
    <x:row r="1503">
      <x:c r="B1503" t="str">
        <x:v>A-01471</x:v>
      </x:c>
      <x:c r="C1503" t="str">
        <x:v>GATE</x:v>
      </x:c>
      <x:c r="D1503" t="str">
        <x:v>release state mirrors governing ledger</x:v>
      </x:c>
      <x:c r="E1503" t="str">
        <x:f>'Release Gates'!I1477</x:f>
        <x:v>OPEN</x:v>
      </x:c>
      <x:c r="F1503" t="str">
        <x:f>IF('Release Gates'!C1477="PLANNING","PASS",IF('Release Gates'!C1477="PHYSICAL","OPEN","BLOCKED"))</x:f>
        <x:v>OPEN</x:v>
      </x:c>
      <x:c r="G1503" t="str">
        <x:v>equals</x:v>
      </x:c>
      <x:c r="H1503" t="str">
        <x:f>IF(E1503=F1503,"PASS","FAIL")</x:f>
        <x:v>PASS</x:v>
      </x:c>
    </x:row>
    <x:row r="1504">
      <x:c r="B1504" t="str">
        <x:v>A-01472</x:v>
      </x:c>
      <x:c r="C1504" t="str">
        <x:v>GATE</x:v>
      </x:c>
      <x:c r="D1504" t="str">
        <x:v>release state mirrors governing ledger</x:v>
      </x:c>
      <x:c r="E1504" t="str">
        <x:f>'Release Gates'!I1478</x:f>
        <x:v>OPEN</x:v>
      </x:c>
      <x:c r="F1504" t="str">
        <x:f>IF('Release Gates'!C1478="PLANNING","PASS",IF('Release Gates'!C1478="PHYSICAL","OPEN","BLOCKED"))</x:f>
        <x:v>OPEN</x:v>
      </x:c>
      <x:c r="G1504" t="str">
        <x:v>equals</x:v>
      </x:c>
      <x:c r="H1504" t="str">
        <x:f>IF(E1504=F1504,"PASS","FAIL")</x:f>
        <x:v>PASS</x:v>
      </x:c>
    </x:row>
    <x:row r="1505">
      <x:c r="B1505" t="str">
        <x:v>A-01473</x:v>
      </x:c>
      <x:c r="C1505" t="str">
        <x:v>GATE</x:v>
      </x:c>
      <x:c r="D1505" t="str">
        <x:v>release state mirrors governing ledger</x:v>
      </x:c>
      <x:c r="E1505" t="str">
        <x:f>'Release Gates'!I1479</x:f>
        <x:v>OPEN</x:v>
      </x:c>
      <x:c r="F1505" t="str">
        <x:f>IF('Release Gates'!C1479="PLANNING","PASS",IF('Release Gates'!C1479="PHYSICAL","OPEN","BLOCKED"))</x:f>
        <x:v>OPEN</x:v>
      </x:c>
      <x:c r="G1505" t="str">
        <x:v>equals</x:v>
      </x:c>
      <x:c r="H1505" t="str">
        <x:f>IF(E1505=F1505,"PASS","FAIL")</x:f>
        <x:v>PASS</x:v>
      </x:c>
    </x:row>
    <x:row r="1506">
      <x:c r="B1506" t="str">
        <x:v>A-01474</x:v>
      </x:c>
      <x:c r="C1506" t="str">
        <x:v>GATE</x:v>
      </x:c>
      <x:c r="D1506" t="str">
        <x:v>release state mirrors governing ledger</x:v>
      </x:c>
      <x:c r="E1506" t="str">
        <x:f>'Release Gates'!I1480</x:f>
        <x:v>OPEN</x:v>
      </x:c>
      <x:c r="F1506" t="str">
        <x:f>IF('Release Gates'!C1480="PLANNING","PASS",IF('Release Gates'!C1480="PHYSICAL","OPEN","BLOCKED"))</x:f>
        <x:v>OPEN</x:v>
      </x:c>
      <x:c r="G1506" t="str">
        <x:v>equals</x:v>
      </x:c>
      <x:c r="H1506" t="str">
        <x:f>IF(E1506=F1506,"PASS","FAIL")</x:f>
        <x:v>PASS</x:v>
      </x:c>
    </x:row>
    <x:row r="1507">
      <x:c r="B1507" t="str">
        <x:v>A-01475</x:v>
      </x:c>
      <x:c r="C1507" t="str">
        <x:v>GATE</x:v>
      </x:c>
      <x:c r="D1507" t="str">
        <x:v>release state mirrors governing ledger</x:v>
      </x:c>
      <x:c r="E1507" t="str">
        <x:f>'Release Gates'!I1481</x:f>
        <x:v>OPEN</x:v>
      </x:c>
      <x:c r="F1507" t="str">
        <x:f>IF('Release Gates'!C1481="PLANNING","PASS",IF('Release Gates'!C1481="PHYSICAL","OPEN","BLOCKED"))</x:f>
        <x:v>OPEN</x:v>
      </x:c>
      <x:c r="G1507" t="str">
        <x:v>equals</x:v>
      </x:c>
      <x:c r="H1507" t="str">
        <x:f>IF(E1507=F1507,"PASS","FAIL")</x:f>
        <x:v>PASS</x:v>
      </x:c>
    </x:row>
    <x:row r="1508">
      <x:c r="B1508" t="str">
        <x:v>A-01476</x:v>
      </x:c>
      <x:c r="C1508" t="str">
        <x:v>GATE</x:v>
      </x:c>
      <x:c r="D1508" t="str">
        <x:v>release state mirrors governing ledger</x:v>
      </x:c>
      <x:c r="E1508" t="str">
        <x:f>'Release Gates'!I1482</x:f>
        <x:v>OPEN</x:v>
      </x:c>
      <x:c r="F1508" t="str">
        <x:f>IF('Release Gates'!C1482="PLANNING","PASS",IF('Release Gates'!C1482="PHYSICAL","OPEN","BLOCKED"))</x:f>
        <x:v>OPEN</x:v>
      </x:c>
      <x:c r="G1508" t="str">
        <x:v>equals</x:v>
      </x:c>
      <x:c r="H1508" t="str">
        <x:f>IF(E1508=F1508,"PASS","FAIL")</x:f>
        <x:v>PASS</x:v>
      </x:c>
    </x:row>
    <x:row r="1509">
      <x:c r="B1509" t="str">
        <x:v>A-01477</x:v>
      </x:c>
      <x:c r="C1509" t="str">
        <x:v>GATE</x:v>
      </x:c>
      <x:c r="D1509" t="str">
        <x:v>release state mirrors governing ledger</x:v>
      </x:c>
      <x:c r="E1509" t="str">
        <x:f>'Release Gates'!I1483</x:f>
        <x:v>OPEN</x:v>
      </x:c>
      <x:c r="F1509" t="str">
        <x:f>IF('Release Gates'!C1483="PLANNING","PASS",IF('Release Gates'!C1483="PHYSICAL","OPEN","BLOCKED"))</x:f>
        <x:v>OPEN</x:v>
      </x:c>
      <x:c r="G1509" t="str">
        <x:v>equals</x:v>
      </x:c>
      <x:c r="H1509" t="str">
        <x:f>IF(E1509=F1509,"PASS","FAIL")</x:f>
        <x:v>PASS</x:v>
      </x:c>
    </x:row>
    <x:row r="1510">
      <x:c r="B1510" t="str">
        <x:v>A-01478</x:v>
      </x:c>
      <x:c r="C1510" t="str">
        <x:v>GATE</x:v>
      </x:c>
      <x:c r="D1510" t="str">
        <x:v>release state mirrors governing ledger</x:v>
      </x:c>
      <x:c r="E1510" t="str">
        <x:f>'Release Gates'!I1484</x:f>
        <x:v>OPEN</x:v>
      </x:c>
      <x:c r="F1510" t="str">
        <x:f>IF('Release Gates'!C1484="PLANNING","PASS",IF('Release Gates'!C1484="PHYSICAL","OPEN","BLOCKED"))</x:f>
        <x:v>OPEN</x:v>
      </x:c>
      <x:c r="G1510" t="str">
        <x:v>equals</x:v>
      </x:c>
      <x:c r="H1510" t="str">
        <x:f>IF(E1510=F1510,"PASS","FAIL")</x:f>
        <x:v>PASS</x:v>
      </x:c>
    </x:row>
    <x:row r="1511">
      <x:c r="B1511" t="str">
        <x:v>A-01479</x:v>
      </x:c>
      <x:c r="C1511" t="str">
        <x:v>GATE</x:v>
      </x:c>
      <x:c r="D1511" t="str">
        <x:v>release state mirrors governing ledger</x:v>
      </x:c>
      <x:c r="E1511" t="str">
        <x:f>'Release Gates'!I1485</x:f>
        <x:v>OPEN</x:v>
      </x:c>
      <x:c r="F1511" t="str">
        <x:f>IF('Release Gates'!C1485="PLANNING","PASS",IF('Release Gates'!C1485="PHYSICAL","OPEN","BLOCKED"))</x:f>
        <x:v>OPEN</x:v>
      </x:c>
      <x:c r="G1511" t="str">
        <x:v>equals</x:v>
      </x:c>
      <x:c r="H1511" t="str">
        <x:f>IF(E1511=F1511,"PASS","FAIL")</x:f>
        <x:v>PASS</x:v>
      </x:c>
    </x:row>
    <x:row r="1512">
      <x:c r="B1512" t="str">
        <x:v>A-01480</x:v>
      </x:c>
      <x:c r="C1512" t="str">
        <x:v>GATE</x:v>
      </x:c>
      <x:c r="D1512" t="str">
        <x:v>release state mirrors governing ledger</x:v>
      </x:c>
      <x:c r="E1512" t="str">
        <x:f>'Release Gates'!I1486</x:f>
        <x:v>OPEN</x:v>
      </x:c>
      <x:c r="F1512" t="str">
        <x:f>IF('Release Gates'!C1486="PLANNING","PASS",IF('Release Gates'!C1486="PHYSICAL","OPEN","BLOCKED"))</x:f>
        <x:v>OPEN</x:v>
      </x:c>
      <x:c r="G1512" t="str">
        <x:v>equals</x:v>
      </x:c>
      <x:c r="H1512" t="str">
        <x:f>IF(E1512=F1512,"PASS","FAIL")</x:f>
        <x:v>PASS</x:v>
      </x:c>
    </x:row>
    <x:row r="1513">
      <x:c r="B1513" t="str">
        <x:v>A-01481</x:v>
      </x:c>
      <x:c r="C1513" t="str">
        <x:v>GATE</x:v>
      </x:c>
      <x:c r="D1513" t="str">
        <x:v>release state mirrors governing ledger</x:v>
      </x:c>
      <x:c r="E1513" t="str">
        <x:f>'Release Gates'!I1487</x:f>
        <x:v>OPEN</x:v>
      </x:c>
      <x:c r="F1513" t="str">
        <x:f>IF('Release Gates'!C1487="PLANNING","PASS",IF('Release Gates'!C1487="PHYSICAL","OPEN","BLOCKED"))</x:f>
        <x:v>OPEN</x:v>
      </x:c>
      <x:c r="G1513" t="str">
        <x:v>equals</x:v>
      </x:c>
      <x:c r="H1513" t="str">
        <x:f>IF(E1513=F1513,"PASS","FAIL")</x:f>
        <x:v>PASS</x:v>
      </x:c>
    </x:row>
    <x:row r="1514">
      <x:c r="B1514" t="str">
        <x:v>A-01482</x:v>
      </x:c>
      <x:c r="C1514" t="str">
        <x:v>GATE</x:v>
      </x:c>
      <x:c r="D1514" t="str">
        <x:v>release state mirrors governing ledger</x:v>
      </x:c>
      <x:c r="E1514" t="str">
        <x:f>'Release Gates'!I1488</x:f>
        <x:v>OPEN</x:v>
      </x:c>
      <x:c r="F1514" t="str">
        <x:f>IF('Release Gates'!C1488="PLANNING","PASS",IF('Release Gates'!C1488="PHYSICAL","OPEN","BLOCKED"))</x:f>
        <x:v>OPEN</x:v>
      </x:c>
      <x:c r="G1514" t="str">
        <x:v>equals</x:v>
      </x:c>
      <x:c r="H1514" t="str">
        <x:f>IF(E1514=F1514,"PASS","FAIL")</x:f>
        <x:v>PASS</x:v>
      </x:c>
    </x:row>
    <x:row r="1515">
      <x:c r="B1515" t="str">
        <x:v>A-01483</x:v>
      </x:c>
      <x:c r="C1515" t="str">
        <x:v>GATE</x:v>
      </x:c>
      <x:c r="D1515" t="str">
        <x:v>release state mirrors governing ledger</x:v>
      </x:c>
      <x:c r="E1515" t="str">
        <x:f>'Release Gates'!I1489</x:f>
        <x:v>OPEN</x:v>
      </x:c>
      <x:c r="F1515" t="str">
        <x:f>IF('Release Gates'!C1489="PLANNING","PASS",IF('Release Gates'!C1489="PHYSICAL","OPEN","BLOCKED"))</x:f>
        <x:v>OPEN</x:v>
      </x:c>
      <x:c r="G1515" t="str">
        <x:v>equals</x:v>
      </x:c>
      <x:c r="H1515" t="str">
        <x:f>IF(E1515=F1515,"PASS","FAIL")</x:f>
        <x:v>PASS</x:v>
      </x:c>
    </x:row>
    <x:row r="1516">
      <x:c r="B1516" t="str">
        <x:v>A-01484</x:v>
      </x:c>
      <x:c r="C1516" t="str">
        <x:v>GATE</x:v>
      </x:c>
      <x:c r="D1516" t="str">
        <x:v>release state mirrors governing ledger</x:v>
      </x:c>
      <x:c r="E1516" t="str">
        <x:f>'Release Gates'!I1490</x:f>
        <x:v>OPEN</x:v>
      </x:c>
      <x:c r="F1516" t="str">
        <x:f>IF('Release Gates'!C1490="PLANNING","PASS",IF('Release Gates'!C1490="PHYSICAL","OPEN","BLOCKED"))</x:f>
        <x:v>OPEN</x:v>
      </x:c>
      <x:c r="G1516" t="str">
        <x:v>equals</x:v>
      </x:c>
      <x:c r="H1516" t="str">
        <x:f>IF(E1516=F1516,"PASS","FAIL")</x:f>
        <x:v>PASS</x:v>
      </x:c>
    </x:row>
    <x:row r="1517">
      <x:c r="B1517" t="str">
        <x:v>A-01485</x:v>
      </x:c>
      <x:c r="C1517" t="str">
        <x:v>GATE</x:v>
      </x:c>
      <x:c r="D1517" t="str">
        <x:v>release state mirrors governing ledger</x:v>
      </x:c>
      <x:c r="E1517" t="str">
        <x:f>'Release Gates'!I1491</x:f>
        <x:v>OPEN</x:v>
      </x:c>
      <x:c r="F1517" t="str">
        <x:f>IF('Release Gates'!C1491="PLANNING","PASS",IF('Release Gates'!C1491="PHYSICAL","OPEN","BLOCKED"))</x:f>
        <x:v>OPEN</x:v>
      </x:c>
      <x:c r="G1517" t="str">
        <x:v>equals</x:v>
      </x:c>
      <x:c r="H1517" t="str">
        <x:f>IF(E1517=F1517,"PASS","FAIL")</x:f>
        <x:v>PASS</x:v>
      </x:c>
    </x:row>
    <x:row r="1518">
      <x:c r="B1518" t="str">
        <x:v>A-01486</x:v>
      </x:c>
      <x:c r="C1518" t="str">
        <x:v>GATE</x:v>
      </x:c>
      <x:c r="D1518" t="str">
        <x:v>release state mirrors governing ledger</x:v>
      </x:c>
      <x:c r="E1518" t="str">
        <x:f>'Release Gates'!I1492</x:f>
        <x:v>OPEN</x:v>
      </x:c>
      <x:c r="F1518" t="str">
        <x:f>IF('Release Gates'!C1492="PLANNING","PASS",IF('Release Gates'!C1492="PHYSICAL","OPEN","BLOCKED"))</x:f>
        <x:v>OPEN</x:v>
      </x:c>
      <x:c r="G1518" t="str">
        <x:v>equals</x:v>
      </x:c>
      <x:c r="H1518" t="str">
        <x:f>IF(E1518=F1518,"PASS","FAIL")</x:f>
        <x:v>PASS</x:v>
      </x:c>
    </x:row>
    <x:row r="1519">
      <x:c r="B1519" t="str">
        <x:v>A-01487</x:v>
      </x:c>
      <x:c r="C1519" t="str">
        <x:v>GATE</x:v>
      </x:c>
      <x:c r="D1519" t="str">
        <x:v>release state mirrors governing ledger</x:v>
      </x:c>
      <x:c r="E1519" t="str">
        <x:f>'Release Gates'!I1493</x:f>
        <x:v>OPEN</x:v>
      </x:c>
      <x:c r="F1519" t="str">
        <x:f>IF('Release Gates'!C1493="PLANNING","PASS",IF('Release Gates'!C1493="PHYSICAL","OPEN","BLOCKED"))</x:f>
        <x:v>OPEN</x:v>
      </x:c>
      <x:c r="G1519" t="str">
        <x:v>equals</x:v>
      </x:c>
      <x:c r="H1519" t="str">
        <x:f>IF(E1519=F1519,"PASS","FAIL")</x:f>
        <x:v>PASS</x:v>
      </x:c>
    </x:row>
    <x:row r="1520">
      <x:c r="B1520" t="str">
        <x:v>A-01488</x:v>
      </x:c>
      <x:c r="C1520" t="str">
        <x:v>GATE</x:v>
      </x:c>
      <x:c r="D1520" t="str">
        <x:v>release state mirrors governing ledger</x:v>
      </x:c>
      <x:c r="E1520" t="str">
        <x:f>'Release Gates'!I1494</x:f>
        <x:v>OPEN</x:v>
      </x:c>
      <x:c r="F1520" t="str">
        <x:f>IF('Release Gates'!C1494="PLANNING","PASS",IF('Release Gates'!C1494="PHYSICAL","OPEN","BLOCKED"))</x:f>
        <x:v>OPEN</x:v>
      </x:c>
      <x:c r="G1520" t="str">
        <x:v>equals</x:v>
      </x:c>
      <x:c r="H1520" t="str">
        <x:f>IF(E1520=F1520,"PASS","FAIL")</x:f>
        <x:v>PASS</x:v>
      </x:c>
    </x:row>
    <x:row r="1521">
      <x:c r="B1521" t="str">
        <x:v>A-01489</x:v>
      </x:c>
      <x:c r="C1521" t="str">
        <x:v>GATE</x:v>
      </x:c>
      <x:c r="D1521" t="str">
        <x:v>release state mirrors governing ledger</x:v>
      </x:c>
      <x:c r="E1521" t="str">
        <x:f>'Release Gates'!I1495</x:f>
        <x:v>OPEN</x:v>
      </x:c>
      <x:c r="F1521" t="str">
        <x:f>IF('Release Gates'!C1495="PLANNING","PASS",IF('Release Gates'!C1495="PHYSICAL","OPEN","BLOCKED"))</x:f>
        <x:v>OPEN</x:v>
      </x:c>
      <x:c r="G1521" t="str">
        <x:v>equals</x:v>
      </x:c>
      <x:c r="H1521" t="str">
        <x:f>IF(E1521=F1521,"PASS","FAIL")</x:f>
        <x:v>PASS</x:v>
      </x:c>
    </x:row>
    <x:row r="1522">
      <x:c r="B1522" t="str">
        <x:v>A-01490</x:v>
      </x:c>
      <x:c r="C1522" t="str">
        <x:v>GATE</x:v>
      </x:c>
      <x:c r="D1522" t="str">
        <x:v>release state mirrors governing ledger</x:v>
      </x:c>
      <x:c r="E1522" t="str">
        <x:f>'Release Gates'!I1496</x:f>
        <x:v>OPEN</x:v>
      </x:c>
      <x:c r="F1522" t="str">
        <x:f>IF('Release Gates'!C1496="PLANNING","PASS",IF('Release Gates'!C1496="PHYSICAL","OPEN","BLOCKED"))</x:f>
        <x:v>OPEN</x:v>
      </x:c>
      <x:c r="G1522" t="str">
        <x:v>equals</x:v>
      </x:c>
      <x:c r="H1522" t="str">
        <x:f>IF(E1522=F1522,"PASS","FAIL")</x:f>
        <x:v>PASS</x:v>
      </x:c>
    </x:row>
    <x:row r="1523">
      <x:c r="B1523" t="str">
        <x:v>A-01491</x:v>
      </x:c>
      <x:c r="C1523" t="str">
        <x:v>GATE</x:v>
      </x:c>
      <x:c r="D1523" t="str">
        <x:v>release state mirrors governing ledger</x:v>
      </x:c>
      <x:c r="E1523" t="str">
        <x:f>'Release Gates'!I1497</x:f>
        <x:v>OPEN</x:v>
      </x:c>
      <x:c r="F1523" t="str">
        <x:f>IF('Release Gates'!C1497="PLANNING","PASS",IF('Release Gates'!C1497="PHYSICAL","OPEN","BLOCKED"))</x:f>
        <x:v>OPEN</x:v>
      </x:c>
      <x:c r="G1523" t="str">
        <x:v>equals</x:v>
      </x:c>
      <x:c r="H1523" t="str">
        <x:f>IF(E1523=F1523,"PASS","FAIL")</x:f>
        <x:v>PASS</x:v>
      </x:c>
    </x:row>
    <x:row r="1524">
      <x:c r="B1524" t="str">
        <x:v>A-01492</x:v>
      </x:c>
      <x:c r="C1524" t="str">
        <x:v>GATE</x:v>
      </x:c>
      <x:c r="D1524" t="str">
        <x:v>release state mirrors governing ledger</x:v>
      </x:c>
      <x:c r="E1524" t="str">
        <x:f>'Release Gates'!I1498</x:f>
        <x:v>OPEN</x:v>
      </x:c>
      <x:c r="F1524" t="str">
        <x:f>IF('Release Gates'!C1498="PLANNING","PASS",IF('Release Gates'!C1498="PHYSICAL","OPEN","BLOCKED"))</x:f>
        <x:v>OPEN</x:v>
      </x:c>
      <x:c r="G1524" t="str">
        <x:v>equals</x:v>
      </x:c>
      <x:c r="H1524" t="str">
        <x:f>IF(E1524=F1524,"PASS","FAIL")</x:f>
        <x:v>PASS</x:v>
      </x:c>
    </x:row>
    <x:row r="1525">
      <x:c r="B1525" t="str">
        <x:v>A-01493</x:v>
      </x:c>
      <x:c r="C1525" t="str">
        <x:v>GATE</x:v>
      </x:c>
      <x:c r="D1525" t="str">
        <x:v>release state mirrors governing ledger</x:v>
      </x:c>
      <x:c r="E1525" t="str">
        <x:f>'Release Gates'!I1499</x:f>
        <x:v>OPEN</x:v>
      </x:c>
      <x:c r="F1525" t="str">
        <x:f>IF('Release Gates'!C1499="PLANNING","PASS",IF('Release Gates'!C1499="PHYSICAL","OPEN","BLOCKED"))</x:f>
        <x:v>OPEN</x:v>
      </x:c>
      <x:c r="G1525" t="str">
        <x:v>equals</x:v>
      </x:c>
      <x:c r="H1525" t="str">
        <x:f>IF(E1525=F1525,"PASS","FAIL")</x:f>
        <x:v>PASS</x:v>
      </x:c>
    </x:row>
    <x:row r="1526">
      <x:c r="B1526" t="str">
        <x:v>A-01494</x:v>
      </x:c>
      <x:c r="C1526" t="str">
        <x:v>GATE</x:v>
      </x:c>
      <x:c r="D1526" t="str">
        <x:v>release state mirrors governing ledger</x:v>
      </x:c>
      <x:c r="E1526" t="str">
        <x:f>'Release Gates'!I1500</x:f>
        <x:v>OPEN</x:v>
      </x:c>
      <x:c r="F1526" t="str">
        <x:f>IF('Release Gates'!C1500="PLANNING","PASS",IF('Release Gates'!C1500="PHYSICAL","OPEN","BLOCKED"))</x:f>
        <x:v>OPEN</x:v>
      </x:c>
      <x:c r="G1526" t="str">
        <x:v>equals</x:v>
      </x:c>
      <x:c r="H1526" t="str">
        <x:f>IF(E1526=F1526,"PASS","FAIL")</x:f>
        <x:v>PASS</x:v>
      </x:c>
    </x:row>
    <x:row r="1527">
      <x:c r="B1527" t="str">
        <x:v>A-01495</x:v>
      </x:c>
      <x:c r="C1527" t="str">
        <x:v>GATE</x:v>
      </x:c>
      <x:c r="D1527" t="str">
        <x:v>release state mirrors governing ledger</x:v>
      </x:c>
      <x:c r="E1527" t="str">
        <x:f>'Release Gates'!I1501</x:f>
        <x:v>OPEN</x:v>
      </x:c>
      <x:c r="F1527" t="str">
        <x:f>IF('Release Gates'!C1501="PLANNING","PASS",IF('Release Gates'!C1501="PHYSICAL","OPEN","BLOCKED"))</x:f>
        <x:v>OPEN</x:v>
      </x:c>
      <x:c r="G1527" t="str">
        <x:v>equals</x:v>
      </x:c>
      <x:c r="H1527" t="str">
        <x:f>IF(E1527=F1527,"PASS","FAIL")</x:f>
        <x:v>PASS</x:v>
      </x:c>
    </x:row>
    <x:row r="1528">
      <x:c r="B1528" t="str">
        <x:v>A-01496</x:v>
      </x:c>
      <x:c r="C1528" t="str">
        <x:v>GATE</x:v>
      </x:c>
      <x:c r="D1528" t="str">
        <x:v>release state mirrors governing ledger</x:v>
      </x:c>
      <x:c r="E1528" t="str">
        <x:f>'Release Gates'!I1502</x:f>
        <x:v>OPEN</x:v>
      </x:c>
      <x:c r="F1528" t="str">
        <x:f>IF('Release Gates'!C1502="PLANNING","PASS",IF('Release Gates'!C1502="PHYSICAL","OPEN","BLOCKED"))</x:f>
        <x:v>OPEN</x:v>
      </x:c>
      <x:c r="G1528" t="str">
        <x:v>equals</x:v>
      </x:c>
      <x:c r="H1528" t="str">
        <x:f>IF(E1528=F1528,"PASS","FAIL")</x:f>
        <x:v>PASS</x:v>
      </x:c>
    </x:row>
    <x:row r="1529">
      <x:c r="B1529" t="str">
        <x:v>A-01497</x:v>
      </x:c>
      <x:c r="C1529" t="str">
        <x:v>GATE</x:v>
      </x:c>
      <x:c r="D1529" t="str">
        <x:v>release state mirrors governing ledger</x:v>
      </x:c>
      <x:c r="E1529" t="str">
        <x:f>'Release Gates'!I1503</x:f>
        <x:v>OPEN</x:v>
      </x:c>
      <x:c r="F1529" t="str">
        <x:f>IF('Release Gates'!C1503="PLANNING","PASS",IF('Release Gates'!C1503="PHYSICAL","OPEN","BLOCKED"))</x:f>
        <x:v>OPEN</x:v>
      </x:c>
      <x:c r="G1529" t="str">
        <x:v>equals</x:v>
      </x:c>
      <x:c r="H1529" t="str">
        <x:f>IF(E1529=F1529,"PASS","FAIL")</x:f>
        <x:v>PASS</x:v>
      </x:c>
    </x:row>
    <x:row r="1530">
      <x:c r="B1530" t="str">
        <x:v>A-01498</x:v>
      </x:c>
      <x:c r="C1530" t="str">
        <x:v>GATE</x:v>
      </x:c>
      <x:c r="D1530" t="str">
        <x:v>release state mirrors governing ledger</x:v>
      </x:c>
      <x:c r="E1530" t="str">
        <x:f>'Release Gates'!I1504</x:f>
        <x:v>OPEN</x:v>
      </x:c>
      <x:c r="F1530" t="str">
        <x:f>IF('Release Gates'!C1504="PLANNING","PASS",IF('Release Gates'!C1504="PHYSICAL","OPEN","BLOCKED"))</x:f>
        <x:v>OPEN</x:v>
      </x:c>
      <x:c r="G1530" t="str">
        <x:v>equals</x:v>
      </x:c>
      <x:c r="H1530" t="str">
        <x:f>IF(E1530=F1530,"PASS","FAIL")</x:f>
        <x:v>PASS</x:v>
      </x:c>
    </x:row>
    <x:row r="1531">
      <x:c r="B1531" t="str">
        <x:v>A-01499</x:v>
      </x:c>
      <x:c r="C1531" t="str">
        <x:v>GATE</x:v>
      </x:c>
      <x:c r="D1531" t="str">
        <x:v>release state mirrors governing ledger</x:v>
      </x:c>
      <x:c r="E1531" t="str">
        <x:f>'Release Gates'!I1505</x:f>
        <x:v>OPEN</x:v>
      </x:c>
      <x:c r="F1531" t="str">
        <x:f>IF('Release Gates'!C1505="PLANNING","PASS",IF('Release Gates'!C1505="PHYSICAL","OPEN","BLOCKED"))</x:f>
        <x:v>OPEN</x:v>
      </x:c>
      <x:c r="G1531" t="str">
        <x:v>equals</x:v>
      </x:c>
      <x:c r="H1531" t="str">
        <x:f>IF(E1531=F1531,"PASS","FAIL")</x:f>
        <x:v>PASS</x:v>
      </x:c>
    </x:row>
    <x:row r="1532">
      <x:c r="B1532" t="str">
        <x:v>A-01500</x:v>
      </x:c>
      <x:c r="C1532" t="str">
        <x:v>GATE</x:v>
      </x:c>
      <x:c r="D1532" t="str">
        <x:v>release state mirrors governing ledger</x:v>
      </x:c>
      <x:c r="E1532" t="str">
        <x:f>'Release Gates'!I1506</x:f>
        <x:v>OPEN</x:v>
      </x:c>
      <x:c r="F1532" t="str">
        <x:f>IF('Release Gates'!C1506="PLANNING","PASS",IF('Release Gates'!C1506="PHYSICAL","OPEN","BLOCKED"))</x:f>
        <x:v>OPEN</x:v>
      </x:c>
      <x:c r="G1532" t="str">
        <x:v>equals</x:v>
      </x:c>
      <x:c r="H1532" t="str">
        <x:f>IF(E1532=F1532,"PASS","FAIL")</x:f>
        <x:v>PASS</x:v>
      </x:c>
    </x:row>
    <x:row r="1533">
      <x:c r="B1533" t="str">
        <x:v>A-01501</x:v>
      </x:c>
      <x:c r="C1533" t="str">
        <x:v>GATE</x:v>
      </x:c>
      <x:c r="D1533" t="str">
        <x:v>release state mirrors governing ledger</x:v>
      </x:c>
      <x:c r="E1533" t="str">
        <x:f>'Release Gates'!I1507</x:f>
        <x:v>OPEN</x:v>
      </x:c>
      <x:c r="F1533" t="str">
        <x:f>IF('Release Gates'!C1507="PLANNING","PASS",IF('Release Gates'!C1507="PHYSICAL","OPEN","BLOCKED"))</x:f>
        <x:v>OPEN</x:v>
      </x:c>
      <x:c r="G1533" t="str">
        <x:v>equals</x:v>
      </x:c>
      <x:c r="H1533" t="str">
        <x:f>IF(E1533=F1533,"PASS","FAIL")</x:f>
        <x:v>PASS</x:v>
      </x:c>
    </x:row>
    <x:row r="1534">
      <x:c r="B1534" t="str">
        <x:v>A-01502</x:v>
      </x:c>
      <x:c r="C1534" t="str">
        <x:v>GATE</x:v>
      </x:c>
      <x:c r="D1534" t="str">
        <x:v>release state mirrors governing ledger</x:v>
      </x:c>
      <x:c r="E1534" t="str">
        <x:f>'Release Gates'!I1508</x:f>
        <x:v>OPEN</x:v>
      </x:c>
      <x:c r="F1534" t="str">
        <x:f>IF('Release Gates'!C1508="PLANNING","PASS",IF('Release Gates'!C1508="PHYSICAL","OPEN","BLOCKED"))</x:f>
        <x:v>OPEN</x:v>
      </x:c>
      <x:c r="G1534" t="str">
        <x:v>equals</x:v>
      </x:c>
      <x:c r="H1534" t="str">
        <x:f>IF(E1534=F1534,"PASS","FAIL")</x:f>
        <x:v>PASS</x:v>
      </x:c>
    </x:row>
    <x:row r="1535">
      <x:c r="B1535" t="str">
        <x:v>A-01503</x:v>
      </x:c>
      <x:c r="C1535" t="str">
        <x:v>GATE</x:v>
      </x:c>
      <x:c r="D1535" t="str">
        <x:v>release state mirrors governing ledger</x:v>
      </x:c>
      <x:c r="E1535" t="str">
        <x:f>'Release Gates'!I1509</x:f>
        <x:v>OPEN</x:v>
      </x:c>
      <x:c r="F1535" t="str">
        <x:f>IF('Release Gates'!C1509="PLANNING","PASS",IF('Release Gates'!C1509="PHYSICAL","OPEN","BLOCKED"))</x:f>
        <x:v>OPEN</x:v>
      </x:c>
      <x:c r="G1535" t="str">
        <x:v>equals</x:v>
      </x:c>
      <x:c r="H1535" t="str">
        <x:f>IF(E1535=F1535,"PASS","FAIL")</x:f>
        <x:v>PASS</x:v>
      </x:c>
    </x:row>
    <x:row r="1536">
      <x:c r="B1536" t="str">
        <x:v>A-01504</x:v>
      </x:c>
      <x:c r="C1536" t="str">
        <x:v>GATE</x:v>
      </x:c>
      <x:c r="D1536" t="str">
        <x:v>release state mirrors governing ledger</x:v>
      </x:c>
      <x:c r="E1536" t="str">
        <x:f>'Release Gates'!I1510</x:f>
        <x:v>OPEN</x:v>
      </x:c>
      <x:c r="F1536" t="str">
        <x:f>IF('Release Gates'!C1510="PLANNING","PASS",IF('Release Gates'!C1510="PHYSICAL","OPEN","BLOCKED"))</x:f>
        <x:v>OPEN</x:v>
      </x:c>
      <x:c r="G1536" t="str">
        <x:v>equals</x:v>
      </x:c>
      <x:c r="H1536" t="str">
        <x:f>IF(E1536=F1536,"PASS","FAIL")</x:f>
        <x:v>PASS</x:v>
      </x:c>
    </x:row>
    <x:row r="1537">
      <x:c r="B1537" t="str">
        <x:v>A-01505</x:v>
      </x:c>
      <x:c r="C1537" t="str">
        <x:v>GATE</x:v>
      </x:c>
      <x:c r="D1537" t="str">
        <x:v>release state mirrors governing ledger</x:v>
      </x:c>
      <x:c r="E1537" t="str">
        <x:f>'Release Gates'!I1511</x:f>
        <x:v>OPEN</x:v>
      </x:c>
      <x:c r="F1537" t="str">
        <x:f>IF('Release Gates'!C1511="PLANNING","PASS",IF('Release Gates'!C1511="PHYSICAL","OPEN","BLOCKED"))</x:f>
        <x:v>OPEN</x:v>
      </x:c>
      <x:c r="G1537" t="str">
        <x:v>equals</x:v>
      </x:c>
      <x:c r="H1537" t="str">
        <x:f>IF(E1537=F1537,"PASS","FAIL")</x:f>
        <x:v>PASS</x:v>
      </x:c>
    </x:row>
    <x:row r="1538">
      <x:c r="B1538" t="str">
        <x:v>A-01506</x:v>
      </x:c>
      <x:c r="C1538" t="str">
        <x:v>GATE</x:v>
      </x:c>
      <x:c r="D1538" t="str">
        <x:v>release state mirrors governing ledger</x:v>
      </x:c>
      <x:c r="E1538" t="str">
        <x:f>'Release Gates'!I1512</x:f>
        <x:v>OPEN</x:v>
      </x:c>
      <x:c r="F1538" t="str">
        <x:f>IF('Release Gates'!C1512="PLANNING","PASS",IF('Release Gates'!C1512="PHYSICAL","OPEN","BLOCKED"))</x:f>
        <x:v>OPEN</x:v>
      </x:c>
      <x:c r="G1538" t="str">
        <x:v>equals</x:v>
      </x:c>
      <x:c r="H1538" t="str">
        <x:f>IF(E1538=F1538,"PASS","FAIL")</x:f>
        <x:v>PASS</x:v>
      </x:c>
    </x:row>
    <x:row r="1539">
      <x:c r="B1539" t="str">
        <x:v>A-01507</x:v>
      </x:c>
      <x:c r="C1539" t="str">
        <x:v>GATE</x:v>
      </x:c>
      <x:c r="D1539" t="str">
        <x:v>release state mirrors governing ledger</x:v>
      </x:c>
      <x:c r="E1539" t="str">
        <x:f>'Release Gates'!I1513</x:f>
        <x:v>OPEN</x:v>
      </x:c>
      <x:c r="F1539" t="str">
        <x:f>IF('Release Gates'!C1513="PLANNING","PASS",IF('Release Gates'!C1513="PHYSICAL","OPEN","BLOCKED"))</x:f>
        <x:v>OPEN</x:v>
      </x:c>
      <x:c r="G1539" t="str">
        <x:v>equals</x:v>
      </x:c>
      <x:c r="H1539" t="str">
        <x:f>IF(E1539=F1539,"PASS","FAIL")</x:f>
        <x:v>PASS</x:v>
      </x:c>
    </x:row>
    <x:row r="1540">
      <x:c r="B1540" t="str">
        <x:v>A-01508</x:v>
      </x:c>
      <x:c r="C1540" t="str">
        <x:v>GATE</x:v>
      </x:c>
      <x:c r="D1540" t="str">
        <x:v>release state mirrors governing ledger</x:v>
      </x:c>
      <x:c r="E1540" t="str">
        <x:f>'Release Gates'!I1514</x:f>
        <x:v>OPEN</x:v>
      </x:c>
      <x:c r="F1540" t="str">
        <x:f>IF('Release Gates'!C1514="PLANNING","PASS",IF('Release Gates'!C1514="PHYSICAL","OPEN","BLOCKED"))</x:f>
        <x:v>OPEN</x:v>
      </x:c>
      <x:c r="G1540" t="str">
        <x:v>equals</x:v>
      </x:c>
      <x:c r="H1540" t="str">
        <x:f>IF(E1540=F1540,"PASS","FAIL")</x:f>
        <x:v>PASS</x:v>
      </x:c>
    </x:row>
    <x:row r="1541">
      <x:c r="B1541" t="str">
        <x:v>A-01509</x:v>
      </x:c>
      <x:c r="C1541" t="str">
        <x:v>GATE</x:v>
      </x:c>
      <x:c r="D1541" t="str">
        <x:v>release state mirrors governing ledger</x:v>
      </x:c>
      <x:c r="E1541" t="str">
        <x:f>'Release Gates'!I1515</x:f>
        <x:v>OPEN</x:v>
      </x:c>
      <x:c r="F1541" t="str">
        <x:f>IF('Release Gates'!C1515="PLANNING","PASS",IF('Release Gates'!C1515="PHYSICAL","OPEN","BLOCKED"))</x:f>
        <x:v>OPEN</x:v>
      </x:c>
      <x:c r="G1541" t="str">
        <x:v>equals</x:v>
      </x:c>
      <x:c r="H1541" t="str">
        <x:f>IF(E1541=F1541,"PASS","FAIL")</x:f>
        <x:v>PASS</x:v>
      </x:c>
    </x:row>
    <x:row r="1542">
      <x:c r="B1542" t="str">
        <x:v>A-01510</x:v>
      </x:c>
      <x:c r="C1542" t="str">
        <x:v>GATE</x:v>
      </x:c>
      <x:c r="D1542" t="str">
        <x:v>release state mirrors governing ledger</x:v>
      </x:c>
      <x:c r="E1542" t="str">
        <x:f>'Release Gates'!I1516</x:f>
        <x:v>OPEN</x:v>
      </x:c>
      <x:c r="F1542" t="str">
        <x:f>IF('Release Gates'!C1516="PLANNING","PASS",IF('Release Gates'!C1516="PHYSICAL","OPEN","BLOCKED"))</x:f>
        <x:v>OPEN</x:v>
      </x:c>
      <x:c r="G1542" t="str">
        <x:v>equals</x:v>
      </x:c>
      <x:c r="H1542" t="str">
        <x:f>IF(E1542=F1542,"PASS","FAIL")</x:f>
        <x:v>PASS</x:v>
      </x:c>
    </x:row>
    <x:row r="1543">
      <x:c r="B1543" t="str">
        <x:v>A-01511</x:v>
      </x:c>
      <x:c r="C1543" t="str">
        <x:v>GATE</x:v>
      </x:c>
      <x:c r="D1543" t="str">
        <x:v>release state mirrors governing ledger</x:v>
      </x:c>
      <x:c r="E1543" t="str">
        <x:f>'Release Gates'!I1517</x:f>
        <x:v>OPEN</x:v>
      </x:c>
      <x:c r="F1543" t="str">
        <x:f>IF('Release Gates'!C1517="PLANNING","PASS",IF('Release Gates'!C1517="PHYSICAL","OPEN","BLOCKED"))</x:f>
        <x:v>OPEN</x:v>
      </x:c>
      <x:c r="G1543" t="str">
        <x:v>equals</x:v>
      </x:c>
      <x:c r="H1543" t="str">
        <x:f>IF(E1543=F1543,"PASS","FAIL")</x:f>
        <x:v>PASS</x:v>
      </x:c>
    </x:row>
    <x:row r="1544">
      <x:c r="B1544" t="str">
        <x:v>A-01512</x:v>
      </x:c>
      <x:c r="C1544" t="str">
        <x:v>GATE</x:v>
      </x:c>
      <x:c r="D1544" t="str">
        <x:v>release state mirrors governing ledger</x:v>
      </x:c>
      <x:c r="E1544" t="str">
        <x:f>'Release Gates'!I1518</x:f>
        <x:v>OPEN</x:v>
      </x:c>
      <x:c r="F1544" t="str">
        <x:f>IF('Release Gates'!C1518="PLANNING","PASS",IF('Release Gates'!C1518="PHYSICAL","OPEN","BLOCKED"))</x:f>
        <x:v>OPEN</x:v>
      </x:c>
      <x:c r="G1544" t="str">
        <x:v>equals</x:v>
      </x:c>
      <x:c r="H1544" t="str">
        <x:f>IF(E1544=F1544,"PASS","FAIL")</x:f>
        <x:v>PASS</x:v>
      </x:c>
    </x:row>
    <x:row r="1545">
      <x:c r="B1545" t="str">
        <x:v>A-01513</x:v>
      </x:c>
      <x:c r="C1545" t="str">
        <x:v>GATE</x:v>
      </x:c>
      <x:c r="D1545" t="str">
        <x:v>release state mirrors governing ledger</x:v>
      </x:c>
      <x:c r="E1545" t="str">
        <x:f>'Release Gates'!I1519</x:f>
        <x:v>OPEN</x:v>
      </x:c>
      <x:c r="F1545" t="str">
        <x:f>IF('Release Gates'!C1519="PLANNING","PASS",IF('Release Gates'!C1519="PHYSICAL","OPEN","BLOCKED"))</x:f>
        <x:v>OPEN</x:v>
      </x:c>
      <x:c r="G1545" t="str">
        <x:v>equals</x:v>
      </x:c>
      <x:c r="H1545" t="str">
        <x:f>IF(E1545=F1545,"PASS","FAIL")</x:f>
        <x:v>PASS</x:v>
      </x:c>
    </x:row>
    <x:row r="1546">
      <x:c r="B1546" t="str">
        <x:v>A-01514</x:v>
      </x:c>
      <x:c r="C1546" t="str">
        <x:v>GATE</x:v>
      </x:c>
      <x:c r="D1546" t="str">
        <x:v>release state mirrors governing ledger</x:v>
      </x:c>
      <x:c r="E1546" t="str">
        <x:f>'Release Gates'!I1520</x:f>
        <x:v>OPEN</x:v>
      </x:c>
      <x:c r="F1546" t="str">
        <x:f>IF('Release Gates'!C1520="PLANNING","PASS",IF('Release Gates'!C1520="PHYSICAL","OPEN","BLOCKED"))</x:f>
        <x:v>OPEN</x:v>
      </x:c>
      <x:c r="G1546" t="str">
        <x:v>equals</x:v>
      </x:c>
      <x:c r="H1546" t="str">
        <x:f>IF(E1546=F1546,"PASS","FAIL")</x:f>
        <x:v>PASS</x:v>
      </x:c>
    </x:row>
    <x:row r="1547">
      <x:c r="B1547" t="str">
        <x:v>A-01515</x:v>
      </x:c>
      <x:c r="C1547" t="str">
        <x:v>GATE</x:v>
      </x:c>
      <x:c r="D1547" t="str">
        <x:v>release state mirrors governing ledger</x:v>
      </x:c>
      <x:c r="E1547" t="str">
        <x:f>'Release Gates'!I1521</x:f>
        <x:v>OPEN</x:v>
      </x:c>
      <x:c r="F1547" t="str">
        <x:f>IF('Release Gates'!C1521="PLANNING","PASS",IF('Release Gates'!C1521="PHYSICAL","OPEN","BLOCKED"))</x:f>
        <x:v>OPEN</x:v>
      </x:c>
      <x:c r="G1547" t="str">
        <x:v>equals</x:v>
      </x:c>
      <x:c r="H1547" t="str">
        <x:f>IF(E1547=F1547,"PASS","FAIL")</x:f>
        <x:v>PASS</x:v>
      </x:c>
    </x:row>
    <x:row r="1548">
      <x:c r="B1548" t="str">
        <x:v>A-01516</x:v>
      </x:c>
      <x:c r="C1548" t="str">
        <x:v>GATE</x:v>
      </x:c>
      <x:c r="D1548" t="str">
        <x:v>release state mirrors governing ledger</x:v>
      </x:c>
      <x:c r="E1548" t="str">
        <x:f>'Release Gates'!I1522</x:f>
        <x:v>OPEN</x:v>
      </x:c>
      <x:c r="F1548" t="str">
        <x:f>IF('Release Gates'!C1522="PLANNING","PASS",IF('Release Gates'!C1522="PHYSICAL","OPEN","BLOCKED"))</x:f>
        <x:v>OPEN</x:v>
      </x:c>
      <x:c r="G1548" t="str">
        <x:v>equals</x:v>
      </x:c>
      <x:c r="H1548" t="str">
        <x:f>IF(E1548=F1548,"PASS","FAIL")</x:f>
        <x:v>PASS</x:v>
      </x:c>
    </x:row>
    <x:row r="1549">
      <x:c r="B1549" t="str">
        <x:v>A-01517</x:v>
      </x:c>
      <x:c r="C1549" t="str">
        <x:v>GATE</x:v>
      </x:c>
      <x:c r="D1549" t="str">
        <x:v>release state mirrors governing ledger</x:v>
      </x:c>
      <x:c r="E1549" t="str">
        <x:f>'Release Gates'!I1523</x:f>
        <x:v>OPEN</x:v>
      </x:c>
      <x:c r="F1549" t="str">
        <x:f>IF('Release Gates'!C1523="PLANNING","PASS",IF('Release Gates'!C1523="PHYSICAL","OPEN","BLOCKED"))</x:f>
        <x:v>OPEN</x:v>
      </x:c>
      <x:c r="G1549" t="str">
        <x:v>equals</x:v>
      </x:c>
      <x:c r="H1549" t="str">
        <x:f>IF(E1549=F1549,"PASS","FAIL")</x:f>
        <x:v>PASS</x:v>
      </x:c>
    </x:row>
    <x:row r="1550">
      <x:c r="B1550" t="str">
        <x:v>A-01518</x:v>
      </x:c>
      <x:c r="C1550" t="str">
        <x:v>GATE</x:v>
      </x:c>
      <x:c r="D1550" t="str">
        <x:v>release state mirrors governing ledger</x:v>
      </x:c>
      <x:c r="E1550" t="str">
        <x:f>'Release Gates'!I1524</x:f>
        <x:v>OPEN</x:v>
      </x:c>
      <x:c r="F1550" t="str">
        <x:f>IF('Release Gates'!C1524="PLANNING","PASS",IF('Release Gates'!C1524="PHYSICAL","OPEN","BLOCKED"))</x:f>
        <x:v>OPEN</x:v>
      </x:c>
      <x:c r="G1550" t="str">
        <x:v>equals</x:v>
      </x:c>
      <x:c r="H1550" t="str">
        <x:f>IF(E1550=F1550,"PASS","FAIL")</x:f>
        <x:v>PASS</x:v>
      </x:c>
    </x:row>
    <x:row r="1551">
      <x:c r="B1551" t="str">
        <x:v>A-01519</x:v>
      </x:c>
      <x:c r="C1551" t="str">
        <x:v>GATE</x:v>
      </x:c>
      <x:c r="D1551" t="str">
        <x:v>release state mirrors governing ledger</x:v>
      </x:c>
      <x:c r="E1551" t="str">
        <x:f>'Release Gates'!I1525</x:f>
        <x:v>OPEN</x:v>
      </x:c>
      <x:c r="F1551" t="str">
        <x:f>IF('Release Gates'!C1525="PLANNING","PASS",IF('Release Gates'!C1525="PHYSICAL","OPEN","BLOCKED"))</x:f>
        <x:v>OPEN</x:v>
      </x:c>
      <x:c r="G1551" t="str">
        <x:v>equals</x:v>
      </x:c>
      <x:c r="H1551" t="str">
        <x:f>IF(E1551=F1551,"PASS","FAIL")</x:f>
        <x:v>PASS</x:v>
      </x:c>
    </x:row>
    <x:row r="1552">
      <x:c r="B1552" t="str">
        <x:v>A-01520</x:v>
      </x:c>
      <x:c r="C1552" t="str">
        <x:v>GATE</x:v>
      </x:c>
      <x:c r="D1552" t="str">
        <x:v>release state mirrors governing ledger</x:v>
      </x:c>
      <x:c r="E1552" t="str">
        <x:f>'Release Gates'!I1526</x:f>
        <x:v>OPEN</x:v>
      </x:c>
      <x:c r="F1552" t="str">
        <x:f>IF('Release Gates'!C1526="PLANNING","PASS",IF('Release Gates'!C1526="PHYSICAL","OPEN","BLOCKED"))</x:f>
        <x:v>OPEN</x:v>
      </x:c>
      <x:c r="G1552" t="str">
        <x:v>equals</x:v>
      </x:c>
      <x:c r="H1552" t="str">
        <x:f>IF(E1552=F1552,"PASS","FAIL")</x:f>
        <x:v>PASS</x:v>
      </x:c>
    </x:row>
    <x:row r="1553">
      <x:c r="B1553" t="str">
        <x:v>A-01521</x:v>
      </x:c>
      <x:c r="C1553" t="str">
        <x:v>GATE</x:v>
      </x:c>
      <x:c r="D1553" t="str">
        <x:v>release state mirrors governing ledger</x:v>
      </x:c>
      <x:c r="E1553" t="str">
        <x:f>'Release Gates'!I1527</x:f>
        <x:v>OPEN</x:v>
      </x:c>
      <x:c r="F1553" t="str">
        <x:f>IF('Release Gates'!C1527="PLANNING","PASS",IF('Release Gates'!C1527="PHYSICAL","OPEN","BLOCKED"))</x:f>
        <x:v>OPEN</x:v>
      </x:c>
      <x:c r="G1553" t="str">
        <x:v>equals</x:v>
      </x:c>
      <x:c r="H1553" t="str">
        <x:f>IF(E1553=F1553,"PASS","FAIL")</x:f>
        <x:v>PASS</x:v>
      </x:c>
    </x:row>
    <x:row r="1554">
      <x:c r="B1554" t="str">
        <x:v>A-01522</x:v>
      </x:c>
      <x:c r="C1554" t="str">
        <x:v>GATE</x:v>
      </x:c>
      <x:c r="D1554" t="str">
        <x:v>release state mirrors governing ledger</x:v>
      </x:c>
      <x:c r="E1554" t="str">
        <x:f>'Release Gates'!I1528</x:f>
        <x:v>OPEN</x:v>
      </x:c>
      <x:c r="F1554" t="str">
        <x:f>IF('Release Gates'!C1528="PLANNING","PASS",IF('Release Gates'!C1528="PHYSICAL","OPEN","BLOCKED"))</x:f>
        <x:v>OPEN</x:v>
      </x:c>
      <x:c r="G1554" t="str">
        <x:v>equals</x:v>
      </x:c>
      <x:c r="H1554" t="str">
        <x:f>IF(E1554=F1554,"PASS","FAIL")</x:f>
        <x:v>PASS</x:v>
      </x:c>
    </x:row>
    <x:row r="1555">
      <x:c r="B1555" t="str">
        <x:v>A-01523</x:v>
      </x:c>
      <x:c r="C1555" t="str">
        <x:v>GATE</x:v>
      </x:c>
      <x:c r="D1555" t="str">
        <x:v>release state mirrors governing ledger</x:v>
      </x:c>
      <x:c r="E1555" t="str">
        <x:f>'Release Gates'!I1529</x:f>
        <x:v>OPEN</x:v>
      </x:c>
      <x:c r="F1555" t="str">
        <x:f>IF('Release Gates'!C1529="PLANNING","PASS",IF('Release Gates'!C1529="PHYSICAL","OPEN","BLOCKED"))</x:f>
        <x:v>OPEN</x:v>
      </x:c>
      <x:c r="G1555" t="str">
        <x:v>equals</x:v>
      </x:c>
      <x:c r="H1555" t="str">
        <x:f>IF(E1555=F1555,"PASS","FAIL")</x:f>
        <x:v>PASS</x:v>
      </x:c>
    </x:row>
    <x:row r="1556">
      <x:c r="B1556" t="str">
        <x:v>A-01524</x:v>
      </x:c>
      <x:c r="C1556" t="str">
        <x:v>GATE</x:v>
      </x:c>
      <x:c r="D1556" t="str">
        <x:v>release state mirrors governing ledger</x:v>
      </x:c>
      <x:c r="E1556" t="str">
        <x:f>'Release Gates'!I1530</x:f>
        <x:v>OPEN</x:v>
      </x:c>
      <x:c r="F1556" t="str">
        <x:f>IF('Release Gates'!C1530="PLANNING","PASS",IF('Release Gates'!C1530="PHYSICAL","OPEN","BLOCKED"))</x:f>
        <x:v>OPEN</x:v>
      </x:c>
      <x:c r="G1556" t="str">
        <x:v>equals</x:v>
      </x:c>
      <x:c r="H1556" t="str">
        <x:f>IF(E1556=F1556,"PASS","FAIL")</x:f>
        <x:v>PASS</x:v>
      </x:c>
    </x:row>
    <x:row r="1557">
      <x:c r="B1557" t="str">
        <x:v>A-01525</x:v>
      </x:c>
      <x:c r="C1557" t="str">
        <x:v>GATE</x:v>
      </x:c>
      <x:c r="D1557" t="str">
        <x:v>release state mirrors governing ledger</x:v>
      </x:c>
      <x:c r="E1557" t="str">
        <x:f>'Release Gates'!I1531</x:f>
        <x:v>OPEN</x:v>
      </x:c>
      <x:c r="F1557" t="str">
        <x:f>IF('Release Gates'!C1531="PLANNING","PASS",IF('Release Gates'!C1531="PHYSICAL","OPEN","BLOCKED"))</x:f>
        <x:v>OPEN</x:v>
      </x:c>
      <x:c r="G1557" t="str">
        <x:v>equals</x:v>
      </x:c>
      <x:c r="H1557" t="str">
        <x:f>IF(E1557=F1557,"PASS","FAIL")</x:f>
        <x:v>PASS</x:v>
      </x:c>
    </x:row>
    <x:row r="1558">
      <x:c r="B1558" t="str">
        <x:v>A-01526</x:v>
      </x:c>
      <x:c r="C1558" t="str">
        <x:v>GATE</x:v>
      </x:c>
      <x:c r="D1558" t="str">
        <x:v>release state mirrors governing ledger</x:v>
      </x:c>
      <x:c r="E1558" t="str">
        <x:f>'Release Gates'!I1532</x:f>
        <x:v>OPEN</x:v>
      </x:c>
      <x:c r="F1558" t="str">
        <x:f>IF('Release Gates'!C1532="PLANNING","PASS",IF('Release Gates'!C1532="PHYSICAL","OPEN","BLOCKED"))</x:f>
        <x:v>OPEN</x:v>
      </x:c>
      <x:c r="G1558" t="str">
        <x:v>equals</x:v>
      </x:c>
      <x:c r="H1558" t="str">
        <x:f>IF(E1558=F1558,"PASS","FAIL")</x:f>
        <x:v>PASS</x:v>
      </x:c>
    </x:row>
    <x:row r="1559">
      <x:c r="B1559" t="str">
        <x:v>A-01527</x:v>
      </x:c>
      <x:c r="C1559" t="str">
        <x:v>GATE</x:v>
      </x:c>
      <x:c r="D1559" t="str">
        <x:v>release state mirrors governing ledger</x:v>
      </x:c>
      <x:c r="E1559" t="str">
        <x:f>'Release Gates'!I1533</x:f>
        <x:v>OPEN</x:v>
      </x:c>
      <x:c r="F1559" t="str">
        <x:f>IF('Release Gates'!C1533="PLANNING","PASS",IF('Release Gates'!C1533="PHYSICAL","OPEN","BLOCKED"))</x:f>
        <x:v>OPEN</x:v>
      </x:c>
      <x:c r="G1559" t="str">
        <x:v>equals</x:v>
      </x:c>
      <x:c r="H1559" t="str">
        <x:f>IF(E1559=F1559,"PASS","FAIL")</x:f>
        <x:v>PASS</x:v>
      </x:c>
    </x:row>
    <x:row r="1560">
      <x:c r="B1560" t="str">
        <x:v>A-01528</x:v>
      </x:c>
      <x:c r="C1560" t="str">
        <x:v>GATE</x:v>
      </x:c>
      <x:c r="D1560" t="str">
        <x:v>release state mirrors governing ledger</x:v>
      </x:c>
      <x:c r="E1560" t="str">
        <x:f>'Release Gates'!I1534</x:f>
        <x:v>OPEN</x:v>
      </x:c>
      <x:c r="F1560" t="str">
        <x:f>IF('Release Gates'!C1534="PLANNING","PASS",IF('Release Gates'!C1534="PHYSICAL","OPEN","BLOCKED"))</x:f>
        <x:v>OPEN</x:v>
      </x:c>
      <x:c r="G1560" t="str">
        <x:v>equals</x:v>
      </x:c>
      <x:c r="H1560" t="str">
        <x:f>IF(E1560=F1560,"PASS","FAIL")</x:f>
        <x:v>PASS</x:v>
      </x:c>
    </x:row>
    <x:row r="1561">
      <x:c r="B1561" t="str">
        <x:v>A-01529</x:v>
      </x:c>
      <x:c r="C1561" t="str">
        <x:v>GATE</x:v>
      </x:c>
      <x:c r="D1561" t="str">
        <x:v>release state mirrors governing ledger</x:v>
      </x:c>
      <x:c r="E1561" t="str">
        <x:f>'Release Gates'!I1535</x:f>
        <x:v>OPEN</x:v>
      </x:c>
      <x:c r="F1561" t="str">
        <x:f>IF('Release Gates'!C1535="PLANNING","PASS",IF('Release Gates'!C1535="PHYSICAL","OPEN","BLOCKED"))</x:f>
        <x:v>OPEN</x:v>
      </x:c>
      <x:c r="G1561" t="str">
        <x:v>equals</x:v>
      </x:c>
      <x:c r="H1561" t="str">
        <x:f>IF(E1561=F1561,"PASS","FAIL")</x:f>
        <x:v>PASS</x:v>
      </x:c>
    </x:row>
    <x:row r="1562">
      <x:c r="B1562" t="str">
        <x:v>A-01530</x:v>
      </x:c>
      <x:c r="C1562" t="str">
        <x:v>GATE</x:v>
      </x:c>
      <x:c r="D1562" t="str">
        <x:v>release state mirrors governing ledger</x:v>
      </x:c>
      <x:c r="E1562" t="str">
        <x:f>'Release Gates'!I1536</x:f>
        <x:v>OPEN</x:v>
      </x:c>
      <x:c r="F1562" t="str">
        <x:f>IF('Release Gates'!C1536="PLANNING","PASS",IF('Release Gates'!C1536="PHYSICAL","OPEN","BLOCKED"))</x:f>
        <x:v>OPEN</x:v>
      </x:c>
      <x:c r="G1562" t="str">
        <x:v>equals</x:v>
      </x:c>
      <x:c r="H1562" t="str">
        <x:f>IF(E1562=F1562,"PASS","FAIL")</x:f>
        <x:v>PASS</x:v>
      </x:c>
    </x:row>
    <x:row r="1563">
      <x:c r="B1563" t="str">
        <x:v>A-01531</x:v>
      </x:c>
      <x:c r="C1563" t="str">
        <x:v>GATE</x:v>
      </x:c>
      <x:c r="D1563" t="str">
        <x:v>release state mirrors governing ledger</x:v>
      </x:c>
      <x:c r="E1563" t="str">
        <x:f>'Release Gates'!I1537</x:f>
        <x:v>OPEN</x:v>
      </x:c>
      <x:c r="F1563" t="str">
        <x:f>IF('Release Gates'!C1537="PLANNING","PASS",IF('Release Gates'!C1537="PHYSICAL","OPEN","BLOCKED"))</x:f>
        <x:v>OPEN</x:v>
      </x:c>
      <x:c r="G1563" t="str">
        <x:v>equals</x:v>
      </x:c>
      <x:c r="H1563" t="str">
        <x:f>IF(E1563=F1563,"PASS","FAIL")</x:f>
        <x:v>PASS</x:v>
      </x:c>
    </x:row>
    <x:row r="1564">
      <x:c r="B1564" t="str">
        <x:v>A-01532</x:v>
      </x:c>
      <x:c r="C1564" t="str">
        <x:v>GATE</x:v>
      </x:c>
      <x:c r="D1564" t="str">
        <x:v>release state mirrors governing ledger</x:v>
      </x:c>
      <x:c r="E1564" t="str">
        <x:f>'Release Gates'!I1538</x:f>
        <x:v>OPEN</x:v>
      </x:c>
      <x:c r="F1564" t="str">
        <x:f>IF('Release Gates'!C1538="PLANNING","PASS",IF('Release Gates'!C1538="PHYSICAL","OPEN","BLOCKED"))</x:f>
        <x:v>OPEN</x:v>
      </x:c>
      <x:c r="G1564" t="str">
        <x:v>equals</x:v>
      </x:c>
      <x:c r="H1564" t="str">
        <x:f>IF(E1564=F1564,"PASS","FAIL")</x:f>
        <x:v>PASS</x:v>
      </x:c>
    </x:row>
    <x:row r="1565">
      <x:c r="B1565" t="str">
        <x:v>A-01533</x:v>
      </x:c>
      <x:c r="C1565" t="str">
        <x:v>GATE</x:v>
      </x:c>
      <x:c r="D1565" t="str">
        <x:v>release state mirrors governing ledger</x:v>
      </x:c>
      <x:c r="E1565" t="str">
        <x:f>'Release Gates'!I1539</x:f>
        <x:v>OPEN</x:v>
      </x:c>
      <x:c r="F1565" t="str">
        <x:f>IF('Release Gates'!C1539="PLANNING","PASS",IF('Release Gates'!C1539="PHYSICAL","OPEN","BLOCKED"))</x:f>
        <x:v>OPEN</x:v>
      </x:c>
      <x:c r="G1565" t="str">
        <x:v>equals</x:v>
      </x:c>
      <x:c r="H1565" t="str">
        <x:f>IF(E1565=F1565,"PASS","FAIL")</x:f>
        <x:v>PASS</x:v>
      </x:c>
    </x:row>
    <x:row r="1566">
      <x:c r="B1566" t="str">
        <x:v>A-01534</x:v>
      </x:c>
      <x:c r="C1566" t="str">
        <x:v>GATE</x:v>
      </x:c>
      <x:c r="D1566" t="str">
        <x:v>release state mirrors governing ledger</x:v>
      </x:c>
      <x:c r="E1566" t="str">
        <x:f>'Release Gates'!I1540</x:f>
        <x:v>OPEN</x:v>
      </x:c>
      <x:c r="F1566" t="str">
        <x:f>IF('Release Gates'!C1540="PLANNING","PASS",IF('Release Gates'!C1540="PHYSICAL","OPEN","BLOCKED"))</x:f>
        <x:v>OPEN</x:v>
      </x:c>
      <x:c r="G1566" t="str">
        <x:v>equals</x:v>
      </x:c>
      <x:c r="H1566" t="str">
        <x:f>IF(E1566=F1566,"PASS","FAIL")</x:f>
        <x:v>PASS</x:v>
      </x:c>
    </x:row>
    <x:row r="1567">
      <x:c r="B1567" t="str">
        <x:v>A-01535</x:v>
      </x:c>
      <x:c r="C1567" t="str">
        <x:v>GATE</x:v>
      </x:c>
      <x:c r="D1567" t="str">
        <x:v>release state mirrors governing ledger</x:v>
      </x:c>
      <x:c r="E1567" t="str">
        <x:f>'Release Gates'!I1541</x:f>
        <x:v>OPEN</x:v>
      </x:c>
      <x:c r="F1567" t="str">
        <x:f>IF('Release Gates'!C1541="PLANNING","PASS",IF('Release Gates'!C1541="PHYSICAL","OPEN","BLOCKED"))</x:f>
        <x:v>OPEN</x:v>
      </x:c>
      <x:c r="G1567" t="str">
        <x:v>equals</x:v>
      </x:c>
      <x:c r="H1567" t="str">
        <x:f>IF(E1567=F1567,"PASS","FAIL")</x:f>
        <x:v>PASS</x:v>
      </x:c>
    </x:row>
    <x:row r="1568">
      <x:c r="B1568" t="str">
        <x:v>A-01536</x:v>
      </x:c>
      <x:c r="C1568" t="str">
        <x:v>GATE</x:v>
      </x:c>
      <x:c r="D1568" t="str">
        <x:v>release state mirrors governing ledger</x:v>
      </x:c>
      <x:c r="E1568" t="str">
        <x:f>'Release Gates'!I1542</x:f>
        <x:v>OPEN</x:v>
      </x:c>
      <x:c r="F1568" t="str">
        <x:f>IF('Release Gates'!C1542="PLANNING","PASS",IF('Release Gates'!C1542="PHYSICAL","OPEN","BLOCKED"))</x:f>
        <x:v>OPEN</x:v>
      </x:c>
      <x:c r="G1568" t="str">
        <x:v>equals</x:v>
      </x:c>
      <x:c r="H1568" t="str">
        <x:f>IF(E1568=F1568,"PASS","FAIL")</x:f>
        <x:v>PASS</x:v>
      </x:c>
    </x:row>
    <x:row r="1569">
      <x:c r="B1569" t="str">
        <x:v>A-01537</x:v>
      </x:c>
      <x:c r="C1569" t="str">
        <x:v>GATE</x:v>
      </x:c>
      <x:c r="D1569" t="str">
        <x:v>release state mirrors governing ledger</x:v>
      </x:c>
      <x:c r="E1569" t="str">
        <x:f>'Release Gates'!I1543</x:f>
        <x:v>OPEN</x:v>
      </x:c>
      <x:c r="F1569" t="str">
        <x:f>IF('Release Gates'!C1543="PLANNING","PASS",IF('Release Gates'!C1543="PHYSICAL","OPEN","BLOCKED"))</x:f>
        <x:v>OPEN</x:v>
      </x:c>
      <x:c r="G1569" t="str">
        <x:v>equals</x:v>
      </x:c>
      <x:c r="H1569" t="str">
        <x:f>IF(E1569=F1569,"PASS","FAIL")</x:f>
        <x:v>PASS</x:v>
      </x:c>
    </x:row>
    <x:row r="1570">
      <x:c r="B1570" t="str">
        <x:v>A-01538</x:v>
      </x:c>
      <x:c r="C1570" t="str">
        <x:v>GATE</x:v>
      </x:c>
      <x:c r="D1570" t="str">
        <x:v>release state mirrors governing ledger</x:v>
      </x:c>
      <x:c r="E1570" t="str">
        <x:f>'Release Gates'!I1544</x:f>
        <x:v>OPEN</x:v>
      </x:c>
      <x:c r="F1570" t="str">
        <x:f>IF('Release Gates'!C1544="PLANNING","PASS",IF('Release Gates'!C1544="PHYSICAL","OPEN","BLOCKED"))</x:f>
        <x:v>OPEN</x:v>
      </x:c>
      <x:c r="G1570" t="str">
        <x:v>equals</x:v>
      </x:c>
      <x:c r="H1570" t="str">
        <x:f>IF(E1570=F1570,"PASS","FAIL")</x:f>
        <x:v>PASS</x:v>
      </x:c>
    </x:row>
    <x:row r="1571">
      <x:c r="B1571" t="str">
        <x:v>A-01539</x:v>
      </x:c>
      <x:c r="C1571" t="str">
        <x:v>GATE</x:v>
      </x:c>
      <x:c r="D1571" t="str">
        <x:v>release state mirrors governing ledger</x:v>
      </x:c>
      <x:c r="E1571" t="str">
        <x:f>'Release Gates'!I1545</x:f>
        <x:v>OPEN</x:v>
      </x:c>
      <x:c r="F1571" t="str">
        <x:f>IF('Release Gates'!C1545="PLANNING","PASS",IF('Release Gates'!C1545="PHYSICAL","OPEN","BLOCKED"))</x:f>
        <x:v>OPEN</x:v>
      </x:c>
      <x:c r="G1571" t="str">
        <x:v>equals</x:v>
      </x:c>
      <x:c r="H1571" t="str">
        <x:f>IF(E1571=F1571,"PASS","FAIL")</x:f>
        <x:v>PASS</x:v>
      </x:c>
    </x:row>
    <x:row r="1572">
      <x:c r="B1572" t="str">
        <x:v>A-01540</x:v>
      </x:c>
      <x:c r="C1572" t="str">
        <x:v>GATE</x:v>
      </x:c>
      <x:c r="D1572" t="str">
        <x:v>release state mirrors governing ledger</x:v>
      </x:c>
      <x:c r="E1572" t="str">
        <x:f>'Release Gates'!I1546</x:f>
        <x:v>OPEN</x:v>
      </x:c>
      <x:c r="F1572" t="str">
        <x:f>IF('Release Gates'!C1546="PLANNING","PASS",IF('Release Gates'!C1546="PHYSICAL","OPEN","BLOCKED"))</x:f>
        <x:v>OPEN</x:v>
      </x:c>
      <x:c r="G1572" t="str">
        <x:v>equals</x:v>
      </x:c>
      <x:c r="H1572" t="str">
        <x:f>IF(E1572=F1572,"PASS","FAIL")</x:f>
        <x:v>PASS</x:v>
      </x:c>
    </x:row>
    <x:row r="1573">
      <x:c r="B1573" t="str">
        <x:v>A-01541</x:v>
      </x:c>
      <x:c r="C1573" t="str">
        <x:v>GATE</x:v>
      </x:c>
      <x:c r="D1573" t="str">
        <x:v>release state mirrors governing ledger</x:v>
      </x:c>
      <x:c r="E1573" t="str">
        <x:f>'Release Gates'!I1547</x:f>
        <x:v>OPEN</x:v>
      </x:c>
      <x:c r="F1573" t="str">
        <x:f>IF('Release Gates'!C1547="PLANNING","PASS",IF('Release Gates'!C1547="PHYSICAL","OPEN","BLOCKED"))</x:f>
        <x:v>OPEN</x:v>
      </x:c>
      <x:c r="G1573" t="str">
        <x:v>equals</x:v>
      </x:c>
      <x:c r="H1573" t="str">
        <x:f>IF(E1573=F1573,"PASS","FAIL")</x:f>
        <x:v>PASS</x:v>
      </x:c>
    </x:row>
    <x:row r="1574">
      <x:c r="B1574" t="str">
        <x:v>A-01542</x:v>
      </x:c>
      <x:c r="C1574" t="str">
        <x:v>GATE</x:v>
      </x:c>
      <x:c r="D1574" t="str">
        <x:v>release state mirrors governing ledger</x:v>
      </x:c>
      <x:c r="E1574" t="str">
        <x:f>'Release Gates'!I1548</x:f>
        <x:v>OPEN</x:v>
      </x:c>
      <x:c r="F1574" t="str">
        <x:f>IF('Release Gates'!C1548="PLANNING","PASS",IF('Release Gates'!C1548="PHYSICAL","OPEN","BLOCKED"))</x:f>
        <x:v>OPEN</x:v>
      </x:c>
      <x:c r="G1574" t="str">
        <x:v>equals</x:v>
      </x:c>
      <x:c r="H1574" t="str">
        <x:f>IF(E1574=F1574,"PASS","FAIL")</x:f>
        <x:v>PASS</x:v>
      </x:c>
    </x:row>
    <x:row r="1575">
      <x:c r="B1575" t="str">
        <x:v>A-01543</x:v>
      </x:c>
      <x:c r="C1575" t="str">
        <x:v>GATE</x:v>
      </x:c>
      <x:c r="D1575" t="str">
        <x:v>release state mirrors governing ledger</x:v>
      </x:c>
      <x:c r="E1575" t="str">
        <x:f>'Release Gates'!I1549</x:f>
        <x:v>OPEN</x:v>
      </x:c>
      <x:c r="F1575" t="str">
        <x:f>IF('Release Gates'!C1549="PLANNING","PASS",IF('Release Gates'!C1549="PHYSICAL","OPEN","BLOCKED"))</x:f>
        <x:v>OPEN</x:v>
      </x:c>
      <x:c r="G1575" t="str">
        <x:v>equals</x:v>
      </x:c>
      <x:c r="H1575" t="str">
        <x:f>IF(E1575=F1575,"PASS","FAIL")</x:f>
        <x:v>PASS</x:v>
      </x:c>
    </x:row>
    <x:row r="1576">
      <x:c r="B1576" t="str">
        <x:v>A-01544</x:v>
      </x:c>
      <x:c r="C1576" t="str">
        <x:v>GATE</x:v>
      </x:c>
      <x:c r="D1576" t="str">
        <x:v>release state mirrors governing ledger</x:v>
      </x:c>
      <x:c r="E1576" t="str">
        <x:f>'Release Gates'!I1550</x:f>
        <x:v>OPEN</x:v>
      </x:c>
      <x:c r="F1576" t="str">
        <x:f>IF('Release Gates'!C1550="PLANNING","PASS",IF('Release Gates'!C1550="PHYSICAL","OPEN","BLOCKED"))</x:f>
        <x:v>OPEN</x:v>
      </x:c>
      <x:c r="G1576" t="str">
        <x:v>equals</x:v>
      </x:c>
      <x:c r="H1576" t="str">
        <x:f>IF(E1576=F1576,"PASS","FAIL")</x:f>
        <x:v>PASS</x:v>
      </x:c>
    </x:row>
    <x:row r="1577">
      <x:c r="B1577" t="str">
        <x:v>A-01545</x:v>
      </x:c>
      <x:c r="C1577" t="str">
        <x:v>GATE</x:v>
      </x:c>
      <x:c r="D1577" t="str">
        <x:v>release state mirrors governing ledger</x:v>
      </x:c>
      <x:c r="E1577" t="str">
        <x:f>'Release Gates'!I1551</x:f>
        <x:v>OPEN</x:v>
      </x:c>
      <x:c r="F1577" t="str">
        <x:f>IF('Release Gates'!C1551="PLANNING","PASS",IF('Release Gates'!C1551="PHYSICAL","OPEN","BLOCKED"))</x:f>
        <x:v>OPEN</x:v>
      </x:c>
      <x:c r="G1577" t="str">
        <x:v>equals</x:v>
      </x:c>
      <x:c r="H1577" t="str">
        <x:f>IF(E1577=F1577,"PASS","FAIL")</x:f>
        <x:v>PASS</x:v>
      </x:c>
    </x:row>
    <x:row r="1578">
      <x:c r="B1578" t="str">
        <x:v>A-01546</x:v>
      </x:c>
      <x:c r="C1578" t="str">
        <x:v>GATE</x:v>
      </x:c>
      <x:c r="D1578" t="str">
        <x:v>release state mirrors governing ledger</x:v>
      </x:c>
      <x:c r="E1578" t="str">
        <x:f>'Release Gates'!I1552</x:f>
        <x:v>OPEN</x:v>
      </x:c>
      <x:c r="F1578" t="str">
        <x:f>IF('Release Gates'!C1552="PLANNING","PASS",IF('Release Gates'!C1552="PHYSICAL","OPEN","BLOCKED"))</x:f>
        <x:v>OPEN</x:v>
      </x:c>
      <x:c r="G1578" t="str">
        <x:v>equals</x:v>
      </x:c>
      <x:c r="H1578" t="str">
        <x:f>IF(E1578=F1578,"PASS","FAIL")</x:f>
        <x:v>PASS</x:v>
      </x:c>
    </x:row>
    <x:row r="1579">
      <x:c r="B1579" t="str">
        <x:v>A-01547</x:v>
      </x:c>
      <x:c r="C1579" t="str">
        <x:v>GATE</x:v>
      </x:c>
      <x:c r="D1579" t="str">
        <x:v>release state mirrors governing ledger</x:v>
      </x:c>
      <x:c r="E1579" t="str">
        <x:f>'Release Gates'!I1553</x:f>
        <x:v>OPEN</x:v>
      </x:c>
      <x:c r="F1579" t="str">
        <x:f>IF('Release Gates'!C1553="PLANNING","PASS",IF('Release Gates'!C1553="PHYSICAL","OPEN","BLOCKED"))</x:f>
        <x:v>OPEN</x:v>
      </x:c>
      <x:c r="G1579" t="str">
        <x:v>equals</x:v>
      </x:c>
      <x:c r="H1579" t="str">
        <x:f>IF(E1579=F1579,"PASS","FAIL")</x:f>
        <x:v>PASS</x:v>
      </x:c>
    </x:row>
    <x:row r="1580">
      <x:c r="B1580" t="str">
        <x:v>A-01548</x:v>
      </x:c>
      <x:c r="C1580" t="str">
        <x:v>GATE</x:v>
      </x:c>
      <x:c r="D1580" t="str">
        <x:v>release state mirrors governing ledger</x:v>
      </x:c>
      <x:c r="E1580" t="str">
        <x:f>'Release Gates'!I1554</x:f>
        <x:v>OPEN</x:v>
      </x:c>
      <x:c r="F1580" t="str">
        <x:f>IF('Release Gates'!C1554="PLANNING","PASS",IF('Release Gates'!C1554="PHYSICAL","OPEN","BLOCKED"))</x:f>
        <x:v>OPEN</x:v>
      </x:c>
      <x:c r="G1580" t="str">
        <x:v>equals</x:v>
      </x:c>
      <x:c r="H1580" t="str">
        <x:f>IF(E1580=F1580,"PASS","FAIL")</x:f>
        <x:v>PASS</x:v>
      </x:c>
    </x:row>
    <x:row r="1581">
      <x:c r="B1581" t="str">
        <x:v>A-01549</x:v>
      </x:c>
      <x:c r="C1581" t="str">
        <x:v>GATE</x:v>
      </x:c>
      <x:c r="D1581" t="str">
        <x:v>release state mirrors governing ledger</x:v>
      </x:c>
      <x:c r="E1581" t="str">
        <x:f>'Release Gates'!I1555</x:f>
        <x:v>OPEN</x:v>
      </x:c>
      <x:c r="F1581" t="str">
        <x:f>IF('Release Gates'!C1555="PLANNING","PASS",IF('Release Gates'!C1555="PHYSICAL","OPEN","BLOCKED"))</x:f>
        <x:v>OPEN</x:v>
      </x:c>
      <x:c r="G1581" t="str">
        <x:v>equals</x:v>
      </x:c>
      <x:c r="H1581" t="str">
        <x:f>IF(E1581=F1581,"PASS","FAIL")</x:f>
        <x:v>PASS</x:v>
      </x:c>
    </x:row>
    <x:row r="1582">
      <x:c r="B1582" t="str">
        <x:v>A-01550</x:v>
      </x:c>
      <x:c r="C1582" t="str">
        <x:v>GATE</x:v>
      </x:c>
      <x:c r="D1582" t="str">
        <x:v>release state mirrors governing ledger</x:v>
      </x:c>
      <x:c r="E1582" t="str">
        <x:f>'Release Gates'!I1556</x:f>
        <x:v>OPEN</x:v>
      </x:c>
      <x:c r="F1582" t="str">
        <x:f>IF('Release Gates'!C1556="PLANNING","PASS",IF('Release Gates'!C1556="PHYSICAL","OPEN","BLOCKED"))</x:f>
        <x:v>OPEN</x:v>
      </x:c>
      <x:c r="G1582" t="str">
        <x:v>equals</x:v>
      </x:c>
      <x:c r="H1582" t="str">
        <x:f>IF(E1582=F1582,"PASS","FAIL")</x:f>
        <x:v>PASS</x:v>
      </x:c>
    </x:row>
    <x:row r="1583">
      <x:c r="B1583" t="str">
        <x:v>A-01551</x:v>
      </x:c>
      <x:c r="C1583" t="str">
        <x:v>GATE</x:v>
      </x:c>
      <x:c r="D1583" t="str">
        <x:v>release state mirrors governing ledger</x:v>
      </x:c>
      <x:c r="E1583" t="str">
        <x:f>'Release Gates'!I1557</x:f>
        <x:v>OPEN</x:v>
      </x:c>
      <x:c r="F1583" t="str">
        <x:f>IF('Release Gates'!C1557="PLANNING","PASS",IF('Release Gates'!C1557="PHYSICAL","OPEN","BLOCKED"))</x:f>
        <x:v>OPEN</x:v>
      </x:c>
      <x:c r="G1583" t="str">
        <x:v>equals</x:v>
      </x:c>
      <x:c r="H1583" t="str">
        <x:f>IF(E1583=F1583,"PASS","FAIL")</x:f>
        <x:v>PASS</x:v>
      </x:c>
    </x:row>
    <x:row r="1584">
      <x:c r="B1584" t="str">
        <x:v>A-01552</x:v>
      </x:c>
      <x:c r="C1584" t="str">
        <x:v>GATE</x:v>
      </x:c>
      <x:c r="D1584" t="str">
        <x:v>release state mirrors governing ledger</x:v>
      </x:c>
      <x:c r="E1584" t="str">
        <x:f>'Release Gates'!I1558</x:f>
        <x:v>OPEN</x:v>
      </x:c>
      <x:c r="F1584" t="str">
        <x:f>IF('Release Gates'!C1558="PLANNING","PASS",IF('Release Gates'!C1558="PHYSICAL","OPEN","BLOCKED"))</x:f>
        <x:v>OPEN</x:v>
      </x:c>
      <x:c r="G1584" t="str">
        <x:v>equals</x:v>
      </x:c>
      <x:c r="H1584" t="str">
        <x:f>IF(E1584=F1584,"PASS","FAIL")</x:f>
        <x:v>PASS</x:v>
      </x:c>
    </x:row>
    <x:row r="1585">
      <x:c r="B1585" t="str">
        <x:v>A-01553</x:v>
      </x:c>
      <x:c r="C1585" t="str">
        <x:v>GATE</x:v>
      </x:c>
      <x:c r="D1585" t="str">
        <x:v>release state mirrors governing ledger</x:v>
      </x:c>
      <x:c r="E1585" t="str">
        <x:f>'Release Gates'!I1559</x:f>
        <x:v>OPEN</x:v>
      </x:c>
      <x:c r="F1585" t="str">
        <x:f>IF('Release Gates'!C1559="PLANNING","PASS",IF('Release Gates'!C1559="PHYSICAL","OPEN","BLOCKED"))</x:f>
        <x:v>OPEN</x:v>
      </x:c>
      <x:c r="G1585" t="str">
        <x:v>equals</x:v>
      </x:c>
      <x:c r="H1585" t="str">
        <x:f>IF(E1585=F1585,"PASS","FAIL")</x:f>
        <x:v>PASS</x:v>
      </x:c>
    </x:row>
    <x:row r="1586">
      <x:c r="B1586" t="str">
        <x:v>A-01554</x:v>
      </x:c>
      <x:c r="C1586" t="str">
        <x:v>GATE</x:v>
      </x:c>
      <x:c r="D1586" t="str">
        <x:v>release state mirrors governing ledger</x:v>
      </x:c>
      <x:c r="E1586" t="str">
        <x:f>'Release Gates'!I1560</x:f>
        <x:v>OPEN</x:v>
      </x:c>
      <x:c r="F1586" t="str">
        <x:f>IF('Release Gates'!C1560="PLANNING","PASS",IF('Release Gates'!C1560="PHYSICAL","OPEN","BLOCKED"))</x:f>
        <x:v>OPEN</x:v>
      </x:c>
      <x:c r="G1586" t="str">
        <x:v>equals</x:v>
      </x:c>
      <x:c r="H1586" t="str">
        <x:f>IF(E1586=F1586,"PASS","FAIL")</x:f>
        <x:v>PASS</x:v>
      </x:c>
    </x:row>
    <x:row r="1587">
      <x:c r="B1587" t="str">
        <x:v>A-01555</x:v>
      </x:c>
      <x:c r="C1587" t="str">
        <x:v>GATE</x:v>
      </x:c>
      <x:c r="D1587" t="str">
        <x:v>release state mirrors governing ledger</x:v>
      </x:c>
      <x:c r="E1587" t="str">
        <x:f>'Release Gates'!I1561</x:f>
        <x:v>OPEN</x:v>
      </x:c>
      <x:c r="F1587" t="str">
        <x:f>IF('Release Gates'!C1561="PLANNING","PASS",IF('Release Gates'!C1561="PHYSICAL","OPEN","BLOCKED"))</x:f>
        <x:v>OPEN</x:v>
      </x:c>
      <x:c r="G1587" t="str">
        <x:v>equals</x:v>
      </x:c>
      <x:c r="H1587" t="str">
        <x:f>IF(E1587=F1587,"PASS","FAIL")</x:f>
        <x:v>PASS</x:v>
      </x:c>
    </x:row>
    <x:row r="1588">
      <x:c r="B1588" t="str">
        <x:v>A-01556</x:v>
      </x:c>
      <x:c r="C1588" t="str">
        <x:v>GATE</x:v>
      </x:c>
      <x:c r="D1588" t="str">
        <x:v>release state mirrors governing ledger</x:v>
      </x:c>
      <x:c r="E1588" t="str">
        <x:f>'Release Gates'!I1562</x:f>
        <x:v>OPEN</x:v>
      </x:c>
      <x:c r="F1588" t="str">
        <x:f>IF('Release Gates'!C1562="PLANNING","PASS",IF('Release Gates'!C1562="PHYSICAL","OPEN","BLOCKED"))</x:f>
        <x:v>OPEN</x:v>
      </x:c>
      <x:c r="G1588" t="str">
        <x:v>equals</x:v>
      </x:c>
      <x:c r="H1588" t="str">
        <x:f>IF(E1588=F1588,"PASS","FAIL")</x:f>
        <x:v>PASS</x:v>
      </x:c>
    </x:row>
    <x:row r="1589">
      <x:c r="B1589" t="str">
        <x:v>A-01557</x:v>
      </x:c>
      <x:c r="C1589" t="str">
        <x:v>GATE</x:v>
      </x:c>
      <x:c r="D1589" t="str">
        <x:v>release state mirrors governing ledger</x:v>
      </x:c>
      <x:c r="E1589" t="str">
        <x:f>'Release Gates'!I1563</x:f>
        <x:v>OPEN</x:v>
      </x:c>
      <x:c r="F1589" t="str">
        <x:f>IF('Release Gates'!C1563="PLANNING","PASS",IF('Release Gates'!C1563="PHYSICAL","OPEN","BLOCKED"))</x:f>
        <x:v>OPEN</x:v>
      </x:c>
      <x:c r="G1589" t="str">
        <x:v>equals</x:v>
      </x:c>
      <x:c r="H1589" t="str">
        <x:f>IF(E1589=F1589,"PASS","FAIL")</x:f>
        <x:v>PASS</x:v>
      </x:c>
    </x:row>
    <x:row r="1590">
      <x:c r="B1590" t="str">
        <x:v>A-01558</x:v>
      </x:c>
      <x:c r="C1590" t="str">
        <x:v>GATE</x:v>
      </x:c>
      <x:c r="D1590" t="str">
        <x:v>release state mirrors governing ledger</x:v>
      </x:c>
      <x:c r="E1590" t="str">
        <x:f>'Release Gates'!I1564</x:f>
        <x:v>OPEN</x:v>
      </x:c>
      <x:c r="F1590" t="str">
        <x:f>IF('Release Gates'!C1564="PLANNING","PASS",IF('Release Gates'!C1564="PHYSICAL","OPEN","BLOCKED"))</x:f>
        <x:v>OPEN</x:v>
      </x:c>
      <x:c r="G1590" t="str">
        <x:v>equals</x:v>
      </x:c>
      <x:c r="H1590" t="str">
        <x:f>IF(E1590=F1590,"PASS","FAIL")</x:f>
        <x:v>PASS</x:v>
      </x:c>
    </x:row>
    <x:row r="1591">
      <x:c r="B1591" t="str">
        <x:v>A-01559</x:v>
      </x:c>
      <x:c r="C1591" t="str">
        <x:v>GATE</x:v>
      </x:c>
      <x:c r="D1591" t="str">
        <x:v>release state mirrors governing ledger</x:v>
      </x:c>
      <x:c r="E1591" t="str">
        <x:f>'Release Gates'!I1565</x:f>
        <x:v>OPEN</x:v>
      </x:c>
      <x:c r="F1591" t="str">
        <x:f>IF('Release Gates'!C1565="PLANNING","PASS",IF('Release Gates'!C1565="PHYSICAL","OPEN","BLOCKED"))</x:f>
        <x:v>OPEN</x:v>
      </x:c>
      <x:c r="G1591" t="str">
        <x:v>equals</x:v>
      </x:c>
      <x:c r="H1591" t="str">
        <x:f>IF(E1591=F1591,"PASS","FAIL")</x:f>
        <x:v>PASS</x:v>
      </x:c>
    </x:row>
    <x:row r="1592">
      <x:c r="B1592" t="str">
        <x:v>A-01560</x:v>
      </x:c>
      <x:c r="C1592" t="str">
        <x:v>GATE</x:v>
      </x:c>
      <x:c r="D1592" t="str">
        <x:v>release state mirrors governing ledger</x:v>
      </x:c>
      <x:c r="E1592" t="str">
        <x:f>'Release Gates'!I1566</x:f>
        <x:v>OPEN</x:v>
      </x:c>
      <x:c r="F1592" t="str">
        <x:f>IF('Release Gates'!C1566="PLANNING","PASS",IF('Release Gates'!C1566="PHYSICAL","OPEN","BLOCKED"))</x:f>
        <x:v>OPEN</x:v>
      </x:c>
      <x:c r="G1592" t="str">
        <x:v>equals</x:v>
      </x:c>
      <x:c r="H1592" t="str">
        <x:f>IF(E1592=F1592,"PASS","FAIL")</x:f>
        <x:v>PASS</x:v>
      </x:c>
    </x:row>
    <x:row r="1593">
      <x:c r="B1593" t="str">
        <x:v>A-01561</x:v>
      </x:c>
      <x:c r="C1593" t="str">
        <x:v>GATE</x:v>
      </x:c>
      <x:c r="D1593" t="str">
        <x:v>release state mirrors governing ledger</x:v>
      </x:c>
      <x:c r="E1593" t="str">
        <x:f>'Release Gates'!I1567</x:f>
        <x:v>OPEN</x:v>
      </x:c>
      <x:c r="F1593" t="str">
        <x:f>IF('Release Gates'!C1567="PLANNING","PASS",IF('Release Gates'!C1567="PHYSICAL","OPEN","BLOCKED"))</x:f>
        <x:v>OPEN</x:v>
      </x:c>
      <x:c r="G1593" t="str">
        <x:v>equals</x:v>
      </x:c>
      <x:c r="H1593" t="str">
        <x:f>IF(E1593=F1593,"PASS","FAIL")</x:f>
        <x:v>PASS</x:v>
      </x:c>
    </x:row>
    <x:row r="1594">
      <x:c r="B1594" t="str">
        <x:v>A-01562</x:v>
      </x:c>
      <x:c r="C1594" t="str">
        <x:v>GATE</x:v>
      </x:c>
      <x:c r="D1594" t="str">
        <x:v>release state mirrors governing ledger</x:v>
      </x:c>
      <x:c r="E1594" t="str">
        <x:f>'Release Gates'!I1568</x:f>
        <x:v>OPEN</x:v>
      </x:c>
      <x:c r="F1594" t="str">
        <x:f>IF('Release Gates'!C1568="PLANNING","PASS",IF('Release Gates'!C1568="PHYSICAL","OPEN","BLOCKED"))</x:f>
        <x:v>OPEN</x:v>
      </x:c>
      <x:c r="G1594" t="str">
        <x:v>equals</x:v>
      </x:c>
      <x:c r="H1594" t="str">
        <x:f>IF(E1594=F1594,"PASS","FAIL")</x:f>
        <x:v>PASS</x:v>
      </x:c>
    </x:row>
    <x:row r="1595">
      <x:c r="B1595" t="str">
        <x:v>A-01563</x:v>
      </x:c>
      <x:c r="C1595" t="str">
        <x:v>GATE</x:v>
      </x:c>
      <x:c r="D1595" t="str">
        <x:v>release state mirrors governing ledger</x:v>
      </x:c>
      <x:c r="E1595" t="str">
        <x:f>'Release Gates'!I1569</x:f>
        <x:v>OPEN</x:v>
      </x:c>
      <x:c r="F1595" t="str">
        <x:f>IF('Release Gates'!C1569="PLANNING","PASS",IF('Release Gates'!C1569="PHYSICAL","OPEN","BLOCKED"))</x:f>
        <x:v>OPEN</x:v>
      </x:c>
      <x:c r="G1595" t="str">
        <x:v>equals</x:v>
      </x:c>
      <x:c r="H1595" t="str">
        <x:f>IF(E1595=F1595,"PASS","FAIL")</x:f>
        <x:v>PASS</x:v>
      </x:c>
    </x:row>
    <x:row r="1596">
      <x:c r="B1596" t="str">
        <x:v>A-01564</x:v>
      </x:c>
      <x:c r="C1596" t="str">
        <x:v>GATE</x:v>
      </x:c>
      <x:c r="D1596" t="str">
        <x:v>release state mirrors governing ledger</x:v>
      </x:c>
      <x:c r="E1596" t="str">
        <x:f>'Release Gates'!I1570</x:f>
        <x:v>OPEN</x:v>
      </x:c>
      <x:c r="F1596" t="str">
        <x:f>IF('Release Gates'!C1570="PLANNING","PASS",IF('Release Gates'!C1570="PHYSICAL","OPEN","BLOCKED"))</x:f>
        <x:v>OPEN</x:v>
      </x:c>
      <x:c r="G1596" t="str">
        <x:v>equals</x:v>
      </x:c>
      <x:c r="H1596" t="str">
        <x:f>IF(E1596=F1596,"PASS","FAIL")</x:f>
        <x:v>PASS</x:v>
      </x:c>
    </x:row>
    <x:row r="1597">
      <x:c r="B1597" t="str">
        <x:v>A-01565</x:v>
      </x:c>
      <x:c r="C1597" t="str">
        <x:v>GATE</x:v>
      </x:c>
      <x:c r="D1597" t="str">
        <x:v>release state mirrors governing ledger</x:v>
      </x:c>
      <x:c r="E1597" t="str">
        <x:f>'Release Gates'!I1571</x:f>
        <x:v>OPEN</x:v>
      </x:c>
      <x:c r="F1597" t="str">
        <x:f>IF('Release Gates'!C1571="PLANNING","PASS",IF('Release Gates'!C1571="PHYSICAL","OPEN","BLOCKED"))</x:f>
        <x:v>OPEN</x:v>
      </x:c>
      <x:c r="G1597" t="str">
        <x:v>equals</x:v>
      </x:c>
      <x:c r="H1597" t="str">
        <x:f>IF(E1597=F1597,"PASS","FAIL")</x:f>
        <x:v>PASS</x:v>
      </x:c>
    </x:row>
    <x:row r="1598">
      <x:c r="B1598" t="str">
        <x:v>A-01566</x:v>
      </x:c>
      <x:c r="C1598" t="str">
        <x:v>GATE</x:v>
      </x:c>
      <x:c r="D1598" t="str">
        <x:v>release state mirrors governing ledger</x:v>
      </x:c>
      <x:c r="E1598" t="str">
        <x:f>'Release Gates'!I1572</x:f>
        <x:v>OPEN</x:v>
      </x:c>
      <x:c r="F1598" t="str">
        <x:f>IF('Release Gates'!C1572="PLANNING","PASS",IF('Release Gates'!C1572="PHYSICAL","OPEN","BLOCKED"))</x:f>
        <x:v>OPEN</x:v>
      </x:c>
      <x:c r="G1598" t="str">
        <x:v>equals</x:v>
      </x:c>
      <x:c r="H1598" t="str">
        <x:f>IF(E1598=F1598,"PASS","FAIL")</x:f>
        <x:v>PASS</x:v>
      </x:c>
    </x:row>
    <x:row r="1599">
      <x:c r="B1599" t="str">
        <x:v>A-01567</x:v>
      </x:c>
      <x:c r="C1599" t="str">
        <x:v>GATE</x:v>
      </x:c>
      <x:c r="D1599" t="str">
        <x:v>release state mirrors governing ledger</x:v>
      </x:c>
      <x:c r="E1599" t="str">
        <x:f>'Release Gates'!I1573</x:f>
        <x:v>OPEN</x:v>
      </x:c>
      <x:c r="F1599" t="str">
        <x:f>IF('Release Gates'!C1573="PLANNING","PASS",IF('Release Gates'!C1573="PHYSICAL","OPEN","BLOCKED"))</x:f>
        <x:v>OPEN</x:v>
      </x:c>
      <x:c r="G1599" t="str">
        <x:v>equals</x:v>
      </x:c>
      <x:c r="H1599" t="str">
        <x:f>IF(E1599=F1599,"PASS","FAIL")</x:f>
        <x:v>PASS</x:v>
      </x:c>
    </x:row>
    <x:row r="1600">
      <x:c r="B1600" t="str">
        <x:v>A-01568</x:v>
      </x:c>
      <x:c r="C1600" t="str">
        <x:v>GATE</x:v>
      </x:c>
      <x:c r="D1600" t="str">
        <x:v>release state mirrors governing ledger</x:v>
      </x:c>
      <x:c r="E1600" t="str">
        <x:f>'Release Gates'!I1574</x:f>
        <x:v>OPEN</x:v>
      </x:c>
      <x:c r="F1600" t="str">
        <x:f>IF('Release Gates'!C1574="PLANNING","PASS",IF('Release Gates'!C1574="PHYSICAL","OPEN","BLOCKED"))</x:f>
        <x:v>OPEN</x:v>
      </x:c>
      <x:c r="G1600" t="str">
        <x:v>equals</x:v>
      </x:c>
      <x:c r="H1600" t="str">
        <x:f>IF(E1600=F1600,"PASS","FAIL")</x:f>
        <x:v>PASS</x:v>
      </x:c>
    </x:row>
    <x:row r="1601">
      <x:c r="B1601" t="str">
        <x:v>A-01569</x:v>
      </x:c>
      <x:c r="C1601" t="str">
        <x:v>GATE</x:v>
      </x:c>
      <x:c r="D1601" t="str">
        <x:v>release state mirrors governing ledger</x:v>
      </x:c>
      <x:c r="E1601" t="str">
        <x:f>'Release Gates'!I1575</x:f>
        <x:v>OPEN</x:v>
      </x:c>
      <x:c r="F1601" t="str">
        <x:f>IF('Release Gates'!C1575="PLANNING","PASS",IF('Release Gates'!C1575="PHYSICAL","OPEN","BLOCKED"))</x:f>
        <x:v>OPEN</x:v>
      </x:c>
      <x:c r="G1601" t="str">
        <x:v>equals</x:v>
      </x:c>
      <x:c r="H1601" t="str">
        <x:f>IF(E1601=F1601,"PASS","FAIL")</x:f>
        <x:v>PASS</x:v>
      </x:c>
    </x:row>
    <x:row r="1602">
      <x:c r="B1602" t="str">
        <x:v>A-01570</x:v>
      </x:c>
      <x:c r="C1602" t="str">
        <x:v>GATE</x:v>
      </x:c>
      <x:c r="D1602" t="str">
        <x:v>release state mirrors governing ledger</x:v>
      </x:c>
      <x:c r="E1602" t="str">
        <x:f>'Release Gates'!I1576</x:f>
        <x:v>OPEN</x:v>
      </x:c>
      <x:c r="F1602" t="str">
        <x:f>IF('Release Gates'!C1576="PLANNING","PASS",IF('Release Gates'!C1576="PHYSICAL","OPEN","BLOCKED"))</x:f>
        <x:v>OPEN</x:v>
      </x:c>
      <x:c r="G1602" t="str">
        <x:v>equals</x:v>
      </x:c>
      <x:c r="H1602" t="str">
        <x:f>IF(E1602=F1602,"PASS","FAIL")</x:f>
        <x:v>PASS</x:v>
      </x:c>
    </x:row>
    <x:row r="1603">
      <x:c r="B1603" t="str">
        <x:v>A-01571</x:v>
      </x:c>
      <x:c r="C1603" t="str">
        <x:v>GATE</x:v>
      </x:c>
      <x:c r="D1603" t="str">
        <x:v>release state mirrors governing ledger</x:v>
      </x:c>
      <x:c r="E1603" t="str">
        <x:f>'Release Gates'!I1577</x:f>
        <x:v>OPEN</x:v>
      </x:c>
      <x:c r="F1603" t="str">
        <x:f>IF('Release Gates'!C1577="PLANNING","PASS",IF('Release Gates'!C1577="PHYSICAL","OPEN","BLOCKED"))</x:f>
        <x:v>OPEN</x:v>
      </x:c>
      <x:c r="G1603" t="str">
        <x:v>equals</x:v>
      </x:c>
      <x:c r="H1603" t="str">
        <x:f>IF(E1603=F1603,"PASS","FAIL")</x:f>
        <x:v>PASS</x:v>
      </x:c>
    </x:row>
    <x:row r="1604">
      <x:c r="B1604" t="str">
        <x:v>A-01572</x:v>
      </x:c>
      <x:c r="C1604" t="str">
        <x:v>GATE</x:v>
      </x:c>
      <x:c r="D1604" t="str">
        <x:v>release state mirrors governing ledger</x:v>
      </x:c>
      <x:c r="E1604" t="str">
        <x:f>'Release Gates'!I1578</x:f>
        <x:v>OPEN</x:v>
      </x:c>
      <x:c r="F1604" t="str">
        <x:f>IF('Release Gates'!C1578="PLANNING","PASS",IF('Release Gates'!C1578="PHYSICAL","OPEN","BLOCKED"))</x:f>
        <x:v>OPEN</x:v>
      </x:c>
      <x:c r="G1604" t="str">
        <x:v>equals</x:v>
      </x:c>
      <x:c r="H1604" t="str">
        <x:f>IF(E1604=F1604,"PASS","FAIL")</x:f>
        <x:v>PASS</x:v>
      </x:c>
    </x:row>
    <x:row r="1605">
      <x:c r="B1605" t="str">
        <x:v>A-01573</x:v>
      </x:c>
      <x:c r="C1605" t="str">
        <x:v>GATE</x:v>
      </x:c>
      <x:c r="D1605" t="str">
        <x:v>release state mirrors governing ledger</x:v>
      </x:c>
      <x:c r="E1605" t="str">
        <x:f>'Release Gates'!I1579</x:f>
        <x:v>OPEN</x:v>
      </x:c>
      <x:c r="F1605" t="str">
        <x:f>IF('Release Gates'!C1579="PLANNING","PASS",IF('Release Gates'!C1579="PHYSICAL","OPEN","BLOCKED"))</x:f>
        <x:v>OPEN</x:v>
      </x:c>
      <x:c r="G1605" t="str">
        <x:v>equals</x:v>
      </x:c>
      <x:c r="H1605" t="str">
        <x:f>IF(E1605=F1605,"PASS","FAIL")</x:f>
        <x:v>PASS</x:v>
      </x:c>
    </x:row>
    <x:row r="1606">
      <x:c r="B1606" t="str">
        <x:v>A-01574</x:v>
      </x:c>
      <x:c r="C1606" t="str">
        <x:v>GATE</x:v>
      </x:c>
      <x:c r="D1606" t="str">
        <x:v>release state mirrors governing ledger</x:v>
      </x:c>
      <x:c r="E1606" t="str">
        <x:f>'Release Gates'!I1580</x:f>
        <x:v>OPEN</x:v>
      </x:c>
      <x:c r="F1606" t="str">
        <x:f>IF('Release Gates'!C1580="PLANNING","PASS",IF('Release Gates'!C1580="PHYSICAL","OPEN","BLOCKED"))</x:f>
        <x:v>OPEN</x:v>
      </x:c>
      <x:c r="G1606" t="str">
        <x:v>equals</x:v>
      </x:c>
      <x:c r="H1606" t="str">
        <x:f>IF(E1606=F1606,"PASS","FAIL")</x:f>
        <x:v>PASS</x:v>
      </x:c>
    </x:row>
    <x:row r="1607">
      <x:c r="B1607" t="str">
        <x:v>A-01575</x:v>
      </x:c>
      <x:c r="C1607" t="str">
        <x:v>GATE</x:v>
      </x:c>
      <x:c r="D1607" t="str">
        <x:v>release state mirrors governing ledger</x:v>
      </x:c>
      <x:c r="E1607" t="str">
        <x:f>'Release Gates'!I1581</x:f>
        <x:v>OPEN</x:v>
      </x:c>
      <x:c r="F1607" t="str">
        <x:f>IF('Release Gates'!C1581="PLANNING","PASS",IF('Release Gates'!C1581="PHYSICAL","OPEN","BLOCKED"))</x:f>
        <x:v>OPEN</x:v>
      </x:c>
      <x:c r="G1607" t="str">
        <x:v>equals</x:v>
      </x:c>
      <x:c r="H1607" t="str">
        <x:f>IF(E1607=F1607,"PASS","FAIL")</x:f>
        <x:v>PASS</x:v>
      </x:c>
    </x:row>
    <x:row r="1608">
      <x:c r="B1608" t="str">
        <x:v>A-01576</x:v>
      </x:c>
      <x:c r="C1608" t="str">
        <x:v>GATE</x:v>
      </x:c>
      <x:c r="D1608" t="str">
        <x:v>release state mirrors governing ledger</x:v>
      </x:c>
      <x:c r="E1608" t="str">
        <x:f>'Release Gates'!I1582</x:f>
        <x:v>OPEN</x:v>
      </x:c>
      <x:c r="F1608" t="str">
        <x:f>IF('Release Gates'!C1582="PLANNING","PASS",IF('Release Gates'!C1582="PHYSICAL","OPEN","BLOCKED"))</x:f>
        <x:v>OPEN</x:v>
      </x:c>
      <x:c r="G1608" t="str">
        <x:v>equals</x:v>
      </x:c>
      <x:c r="H1608" t="str">
        <x:f>IF(E1608=F1608,"PASS","FAIL")</x:f>
        <x:v>PASS</x:v>
      </x:c>
    </x:row>
    <x:row r="1609">
      <x:c r="B1609" t="str">
        <x:v>A-01577</x:v>
      </x:c>
      <x:c r="C1609" t="str">
        <x:v>GATE</x:v>
      </x:c>
      <x:c r="D1609" t="str">
        <x:v>release state mirrors governing ledger</x:v>
      </x:c>
      <x:c r="E1609" t="str">
        <x:f>'Release Gates'!I1583</x:f>
        <x:v>OPEN</x:v>
      </x:c>
      <x:c r="F1609" t="str">
        <x:f>IF('Release Gates'!C1583="PLANNING","PASS",IF('Release Gates'!C1583="PHYSICAL","OPEN","BLOCKED"))</x:f>
        <x:v>OPEN</x:v>
      </x:c>
      <x:c r="G1609" t="str">
        <x:v>equals</x:v>
      </x:c>
      <x:c r="H1609" t="str">
        <x:f>IF(E1609=F1609,"PASS","FAIL")</x:f>
        <x:v>PASS</x:v>
      </x:c>
    </x:row>
    <x:row r="1610">
      <x:c r="B1610" t="str">
        <x:v>A-01578</x:v>
      </x:c>
      <x:c r="C1610" t="str">
        <x:v>GATE</x:v>
      </x:c>
      <x:c r="D1610" t="str">
        <x:v>release state mirrors governing ledger</x:v>
      </x:c>
      <x:c r="E1610" t="str">
        <x:f>'Release Gates'!I1584</x:f>
        <x:v>OPEN</x:v>
      </x:c>
      <x:c r="F1610" t="str">
        <x:f>IF('Release Gates'!C1584="PLANNING","PASS",IF('Release Gates'!C1584="PHYSICAL","OPEN","BLOCKED"))</x:f>
        <x:v>OPEN</x:v>
      </x:c>
      <x:c r="G1610" t="str">
        <x:v>equals</x:v>
      </x:c>
      <x:c r="H1610" t="str">
        <x:f>IF(E1610=F1610,"PASS","FAIL")</x:f>
        <x:v>PASS</x:v>
      </x:c>
    </x:row>
    <x:row r="1611">
      <x:c r="B1611" t="str">
        <x:v>A-01579</x:v>
      </x:c>
      <x:c r="C1611" t="str">
        <x:v>GATE</x:v>
      </x:c>
      <x:c r="D1611" t="str">
        <x:v>release state mirrors governing ledger</x:v>
      </x:c>
      <x:c r="E1611" t="str">
        <x:f>'Release Gates'!I1585</x:f>
        <x:v>OPEN</x:v>
      </x:c>
      <x:c r="F1611" t="str">
        <x:f>IF('Release Gates'!C1585="PLANNING","PASS",IF('Release Gates'!C1585="PHYSICAL","OPEN","BLOCKED"))</x:f>
        <x:v>OPEN</x:v>
      </x:c>
      <x:c r="G1611" t="str">
        <x:v>equals</x:v>
      </x:c>
      <x:c r="H1611" t="str">
        <x:f>IF(E1611=F1611,"PASS","FAIL")</x:f>
        <x:v>PASS</x:v>
      </x:c>
    </x:row>
    <x:row r="1612">
      <x:c r="B1612" t="str">
        <x:v>A-01580</x:v>
      </x:c>
      <x:c r="C1612" t="str">
        <x:v>GATE</x:v>
      </x:c>
      <x:c r="D1612" t="str">
        <x:v>release state mirrors governing ledger</x:v>
      </x:c>
      <x:c r="E1612" t="str">
        <x:f>'Release Gates'!I1586</x:f>
        <x:v>OPEN</x:v>
      </x:c>
      <x:c r="F1612" t="str">
        <x:f>IF('Release Gates'!C1586="PLANNING","PASS",IF('Release Gates'!C1586="PHYSICAL","OPEN","BLOCKED"))</x:f>
        <x:v>OPEN</x:v>
      </x:c>
      <x:c r="G1612" t="str">
        <x:v>equals</x:v>
      </x:c>
      <x:c r="H1612" t="str">
        <x:f>IF(E1612=F1612,"PASS","FAIL")</x:f>
        <x:v>PASS</x:v>
      </x:c>
    </x:row>
    <x:row r="1613">
      <x:c r="B1613" t="str">
        <x:v>A-01581</x:v>
      </x:c>
      <x:c r="C1613" t="str">
        <x:v>GATE</x:v>
      </x:c>
      <x:c r="D1613" t="str">
        <x:v>release state mirrors governing ledger</x:v>
      </x:c>
      <x:c r="E1613" t="str">
        <x:f>'Release Gates'!I1587</x:f>
        <x:v>OPEN</x:v>
      </x:c>
      <x:c r="F1613" t="str">
        <x:f>IF('Release Gates'!C1587="PLANNING","PASS",IF('Release Gates'!C1587="PHYSICAL","OPEN","BLOCKED"))</x:f>
        <x:v>OPEN</x:v>
      </x:c>
      <x:c r="G1613" t="str">
        <x:v>equals</x:v>
      </x:c>
      <x:c r="H1613" t="str">
        <x:f>IF(E1613=F1613,"PASS","FAIL")</x:f>
        <x:v>PASS</x:v>
      </x:c>
    </x:row>
    <x:row r="1614">
      <x:c r="B1614" t="str">
        <x:v>A-01582</x:v>
      </x:c>
      <x:c r="C1614" t="str">
        <x:v>GATE</x:v>
      </x:c>
      <x:c r="D1614" t="str">
        <x:v>release state mirrors governing ledger</x:v>
      </x:c>
      <x:c r="E1614" t="str">
        <x:f>'Release Gates'!I1588</x:f>
        <x:v>OPEN</x:v>
      </x:c>
      <x:c r="F1614" t="str">
        <x:f>IF('Release Gates'!C1588="PLANNING","PASS",IF('Release Gates'!C1588="PHYSICAL","OPEN","BLOCKED"))</x:f>
        <x:v>OPEN</x:v>
      </x:c>
      <x:c r="G1614" t="str">
        <x:v>equals</x:v>
      </x:c>
      <x:c r="H1614" t="str">
        <x:f>IF(E1614=F1614,"PASS","FAIL")</x:f>
        <x:v>PASS</x:v>
      </x:c>
    </x:row>
    <x:row r="1615">
      <x:c r="B1615" t="str">
        <x:v>A-01583</x:v>
      </x:c>
      <x:c r="C1615" t="str">
        <x:v>GATE</x:v>
      </x:c>
      <x:c r="D1615" t="str">
        <x:v>release state mirrors governing ledger</x:v>
      </x:c>
      <x:c r="E1615" t="str">
        <x:f>'Release Gates'!I1589</x:f>
        <x:v>OPEN</x:v>
      </x:c>
      <x:c r="F1615" t="str">
        <x:f>IF('Release Gates'!C1589="PLANNING","PASS",IF('Release Gates'!C1589="PHYSICAL","OPEN","BLOCKED"))</x:f>
        <x:v>OPEN</x:v>
      </x:c>
      <x:c r="G1615" t="str">
        <x:v>equals</x:v>
      </x:c>
      <x:c r="H1615" t="str">
        <x:f>IF(E1615=F1615,"PASS","FAIL")</x:f>
        <x:v>PASS</x:v>
      </x:c>
    </x:row>
    <x:row r="1616">
      <x:c r="B1616" t="str">
        <x:v>A-01584</x:v>
      </x:c>
      <x:c r="C1616" t="str">
        <x:v>GATE</x:v>
      </x:c>
      <x:c r="D1616" t="str">
        <x:v>release state mirrors governing ledger</x:v>
      </x:c>
      <x:c r="E1616" t="str">
        <x:f>'Release Gates'!I1590</x:f>
        <x:v>OPEN</x:v>
      </x:c>
      <x:c r="F1616" t="str">
        <x:f>IF('Release Gates'!C1590="PLANNING","PASS",IF('Release Gates'!C1590="PHYSICAL","OPEN","BLOCKED"))</x:f>
        <x:v>OPEN</x:v>
      </x:c>
      <x:c r="G1616" t="str">
        <x:v>equals</x:v>
      </x:c>
      <x:c r="H1616" t="str">
        <x:f>IF(E1616=F1616,"PASS","FAIL")</x:f>
        <x:v>PASS</x:v>
      </x:c>
    </x:row>
    <x:row r="1617">
      <x:c r="B1617" t="str">
        <x:v>A-01585</x:v>
      </x:c>
      <x:c r="C1617" t="str">
        <x:v>GATE</x:v>
      </x:c>
      <x:c r="D1617" t="str">
        <x:v>release state mirrors governing ledger</x:v>
      </x:c>
      <x:c r="E1617" t="str">
        <x:f>'Release Gates'!I1591</x:f>
        <x:v>OPEN</x:v>
      </x:c>
      <x:c r="F1617" t="str">
        <x:f>IF('Release Gates'!C1591="PLANNING","PASS",IF('Release Gates'!C1591="PHYSICAL","OPEN","BLOCKED"))</x:f>
        <x:v>OPEN</x:v>
      </x:c>
      <x:c r="G1617" t="str">
        <x:v>equals</x:v>
      </x:c>
      <x:c r="H1617" t="str">
        <x:f>IF(E1617=F1617,"PASS","FAIL")</x:f>
        <x:v>PASS</x:v>
      </x:c>
    </x:row>
    <x:row r="1618">
      <x:c r="B1618" t="str">
        <x:v>A-01586</x:v>
      </x:c>
      <x:c r="C1618" t="str">
        <x:v>GATE</x:v>
      </x:c>
      <x:c r="D1618" t="str">
        <x:v>release state mirrors governing ledger</x:v>
      </x:c>
      <x:c r="E1618" t="str">
        <x:f>'Release Gates'!I1592</x:f>
        <x:v>OPEN</x:v>
      </x:c>
      <x:c r="F1618" t="str">
        <x:f>IF('Release Gates'!C1592="PLANNING","PASS",IF('Release Gates'!C1592="PHYSICAL","OPEN","BLOCKED"))</x:f>
        <x:v>OPEN</x:v>
      </x:c>
      <x:c r="G1618" t="str">
        <x:v>equals</x:v>
      </x:c>
      <x:c r="H1618" t="str">
        <x:f>IF(E1618=F1618,"PASS","FAIL")</x:f>
        <x:v>PASS</x:v>
      </x:c>
    </x:row>
    <x:row r="1619">
      <x:c r="B1619" t="str">
        <x:v>A-01587</x:v>
      </x:c>
      <x:c r="C1619" t="str">
        <x:v>GATE</x:v>
      </x:c>
      <x:c r="D1619" t="str">
        <x:v>release state mirrors governing ledger</x:v>
      </x:c>
      <x:c r="E1619" t="str">
        <x:f>'Release Gates'!I1593</x:f>
        <x:v>OPEN</x:v>
      </x:c>
      <x:c r="F1619" t="str">
        <x:f>IF('Release Gates'!C1593="PLANNING","PASS",IF('Release Gates'!C1593="PHYSICAL","OPEN","BLOCKED"))</x:f>
        <x:v>OPEN</x:v>
      </x:c>
      <x:c r="G1619" t="str">
        <x:v>equals</x:v>
      </x:c>
      <x:c r="H1619" t="str">
        <x:f>IF(E1619=F1619,"PASS","FAIL")</x:f>
        <x:v>PASS</x:v>
      </x:c>
    </x:row>
    <x:row r="1620">
      <x:c r="B1620" t="str">
        <x:v>A-01588</x:v>
      </x:c>
      <x:c r="C1620" t="str">
        <x:v>GATE</x:v>
      </x:c>
      <x:c r="D1620" t="str">
        <x:v>release state mirrors governing ledger</x:v>
      </x:c>
      <x:c r="E1620" t="str">
        <x:f>'Release Gates'!I1594</x:f>
        <x:v>OPEN</x:v>
      </x:c>
      <x:c r="F1620" t="str">
        <x:f>IF('Release Gates'!C1594="PLANNING","PASS",IF('Release Gates'!C1594="PHYSICAL","OPEN","BLOCKED"))</x:f>
        <x:v>OPEN</x:v>
      </x:c>
      <x:c r="G1620" t="str">
        <x:v>equals</x:v>
      </x:c>
      <x:c r="H1620" t="str">
        <x:f>IF(E1620=F1620,"PASS","FAIL")</x:f>
        <x:v>PASS</x:v>
      </x:c>
    </x:row>
    <x:row r="1621">
      <x:c r="B1621" t="str">
        <x:v>A-01589</x:v>
      </x:c>
      <x:c r="C1621" t="str">
        <x:v>GATE</x:v>
      </x:c>
      <x:c r="D1621" t="str">
        <x:v>release state mirrors governing ledger</x:v>
      </x:c>
      <x:c r="E1621" t="str">
        <x:f>'Release Gates'!I1595</x:f>
        <x:v>OPEN</x:v>
      </x:c>
      <x:c r="F1621" t="str">
        <x:f>IF('Release Gates'!C1595="PLANNING","PASS",IF('Release Gates'!C1595="PHYSICAL","OPEN","BLOCKED"))</x:f>
        <x:v>OPEN</x:v>
      </x:c>
      <x:c r="G1621" t="str">
        <x:v>equals</x:v>
      </x:c>
      <x:c r="H1621" t="str">
        <x:f>IF(E1621=F1621,"PASS","FAIL")</x:f>
        <x:v>PASS</x:v>
      </x:c>
    </x:row>
    <x:row r="1622">
      <x:c r="B1622" t="str">
        <x:v>A-01590</x:v>
      </x:c>
      <x:c r="C1622" t="str">
        <x:v>GATE</x:v>
      </x:c>
      <x:c r="D1622" t="str">
        <x:v>release state mirrors governing ledger</x:v>
      </x:c>
      <x:c r="E1622" t="str">
        <x:f>'Release Gates'!I1596</x:f>
        <x:v>OPEN</x:v>
      </x:c>
      <x:c r="F1622" t="str">
        <x:f>IF('Release Gates'!C1596="PLANNING","PASS",IF('Release Gates'!C1596="PHYSICAL","OPEN","BLOCKED"))</x:f>
        <x:v>OPEN</x:v>
      </x:c>
      <x:c r="G1622" t="str">
        <x:v>equals</x:v>
      </x:c>
      <x:c r="H1622" t="str">
        <x:f>IF(E1622=F1622,"PASS","FAIL")</x:f>
        <x:v>PASS</x:v>
      </x:c>
    </x:row>
    <x:row r="1623">
      <x:c r="B1623" t="str">
        <x:v>A-01591</x:v>
      </x:c>
      <x:c r="C1623" t="str">
        <x:v>GATE</x:v>
      </x:c>
      <x:c r="D1623" t="str">
        <x:v>release state mirrors governing ledger</x:v>
      </x:c>
      <x:c r="E1623" t="str">
        <x:f>'Release Gates'!I1597</x:f>
        <x:v>OPEN</x:v>
      </x:c>
      <x:c r="F1623" t="str">
        <x:f>IF('Release Gates'!C1597="PLANNING","PASS",IF('Release Gates'!C1597="PHYSICAL","OPEN","BLOCKED"))</x:f>
        <x:v>OPEN</x:v>
      </x:c>
      <x:c r="G1623" t="str">
        <x:v>equals</x:v>
      </x:c>
      <x:c r="H1623" t="str">
        <x:f>IF(E1623=F1623,"PASS","FAIL")</x:f>
        <x:v>PASS</x:v>
      </x:c>
    </x:row>
    <x:row r="1624">
      <x:c r="B1624" t="str">
        <x:v>A-01592</x:v>
      </x:c>
      <x:c r="C1624" t="str">
        <x:v>GATE</x:v>
      </x:c>
      <x:c r="D1624" t="str">
        <x:v>release state mirrors governing ledger</x:v>
      </x:c>
      <x:c r="E1624" t="str">
        <x:f>'Release Gates'!I1598</x:f>
        <x:v>OPEN</x:v>
      </x:c>
      <x:c r="F1624" t="str">
        <x:f>IF('Release Gates'!C1598="PLANNING","PASS",IF('Release Gates'!C1598="PHYSICAL","OPEN","BLOCKED"))</x:f>
        <x:v>OPEN</x:v>
      </x:c>
      <x:c r="G1624" t="str">
        <x:v>equals</x:v>
      </x:c>
      <x:c r="H1624" t="str">
        <x:f>IF(E1624=F1624,"PASS","FAIL")</x:f>
        <x:v>PASS</x:v>
      </x:c>
    </x:row>
    <x:row r="1625">
      <x:c r="B1625" t="str">
        <x:v>A-01593</x:v>
      </x:c>
      <x:c r="C1625" t="str">
        <x:v>GATE</x:v>
      </x:c>
      <x:c r="D1625" t="str">
        <x:v>release state mirrors governing ledger</x:v>
      </x:c>
      <x:c r="E1625" t="str">
        <x:f>'Release Gates'!I1599</x:f>
        <x:v>OPEN</x:v>
      </x:c>
      <x:c r="F1625" t="str">
        <x:f>IF('Release Gates'!C1599="PLANNING","PASS",IF('Release Gates'!C1599="PHYSICAL","OPEN","BLOCKED"))</x:f>
        <x:v>OPEN</x:v>
      </x:c>
      <x:c r="G1625" t="str">
        <x:v>equals</x:v>
      </x:c>
      <x:c r="H1625" t="str">
        <x:f>IF(E1625=F1625,"PASS","FAIL")</x:f>
        <x:v>PASS</x:v>
      </x:c>
    </x:row>
    <x:row r="1626">
      <x:c r="B1626" t="str">
        <x:v>A-01594</x:v>
      </x:c>
      <x:c r="C1626" t="str">
        <x:v>GATE</x:v>
      </x:c>
      <x:c r="D1626" t="str">
        <x:v>release state mirrors governing ledger</x:v>
      </x:c>
      <x:c r="E1626" t="str">
        <x:f>'Release Gates'!I1600</x:f>
        <x:v>OPEN</x:v>
      </x:c>
      <x:c r="F1626" t="str">
        <x:f>IF('Release Gates'!C1600="PLANNING","PASS",IF('Release Gates'!C1600="PHYSICAL","OPEN","BLOCKED"))</x:f>
        <x:v>OPEN</x:v>
      </x:c>
      <x:c r="G1626" t="str">
        <x:v>equals</x:v>
      </x:c>
      <x:c r="H1626" t="str">
        <x:f>IF(E1626=F1626,"PASS","FAIL")</x:f>
        <x:v>PASS</x:v>
      </x:c>
    </x:row>
    <x:row r="1627">
      <x:c r="B1627" t="str">
        <x:v>A-01595</x:v>
      </x:c>
      <x:c r="C1627" t="str">
        <x:v>GATE</x:v>
      </x:c>
      <x:c r="D1627" t="str">
        <x:v>release state mirrors governing ledger</x:v>
      </x:c>
      <x:c r="E1627" t="str">
        <x:f>'Release Gates'!I1601</x:f>
        <x:v>OPEN</x:v>
      </x:c>
      <x:c r="F1627" t="str">
        <x:f>IF('Release Gates'!C1601="PLANNING","PASS",IF('Release Gates'!C1601="PHYSICAL","OPEN","BLOCKED"))</x:f>
        <x:v>OPEN</x:v>
      </x:c>
      <x:c r="G1627" t="str">
        <x:v>equals</x:v>
      </x:c>
      <x:c r="H1627" t="str">
        <x:f>IF(E1627=F1627,"PASS","FAIL")</x:f>
        <x:v>PASS</x:v>
      </x:c>
    </x:row>
    <x:row r="1628">
      <x:c r="B1628" t="str">
        <x:v>A-01596</x:v>
      </x:c>
      <x:c r="C1628" t="str">
        <x:v>GATE</x:v>
      </x:c>
      <x:c r="D1628" t="str">
        <x:v>release state mirrors governing ledger</x:v>
      </x:c>
      <x:c r="E1628" t="str">
        <x:f>'Release Gates'!I1602</x:f>
        <x:v>OPEN</x:v>
      </x:c>
      <x:c r="F1628" t="str">
        <x:f>IF('Release Gates'!C1602="PLANNING","PASS",IF('Release Gates'!C1602="PHYSICAL","OPEN","BLOCKED"))</x:f>
        <x:v>OPEN</x:v>
      </x:c>
      <x:c r="G1628" t="str">
        <x:v>equals</x:v>
      </x:c>
      <x:c r="H1628" t="str">
        <x:f>IF(E1628=F1628,"PASS","FAIL")</x:f>
        <x:v>PASS</x:v>
      </x:c>
    </x:row>
    <x:row r="1629">
      <x:c r="B1629" t="str">
        <x:v>A-01597</x:v>
      </x:c>
      <x:c r="C1629" t="str">
        <x:v>GATE</x:v>
      </x:c>
      <x:c r="D1629" t="str">
        <x:v>release state mirrors governing ledger</x:v>
      </x:c>
      <x:c r="E1629" t="str">
        <x:f>'Release Gates'!I1603</x:f>
        <x:v>OPEN</x:v>
      </x:c>
      <x:c r="F1629" t="str">
        <x:f>IF('Release Gates'!C1603="PLANNING","PASS",IF('Release Gates'!C1603="PHYSICAL","OPEN","BLOCKED"))</x:f>
        <x:v>OPEN</x:v>
      </x:c>
      <x:c r="G1629" t="str">
        <x:v>equals</x:v>
      </x:c>
      <x:c r="H1629" t="str">
        <x:f>IF(E1629=F1629,"PASS","FAIL")</x:f>
        <x:v>PASS</x:v>
      </x:c>
    </x:row>
    <x:row r="1630">
      <x:c r="B1630" t="str">
        <x:v>A-01598</x:v>
      </x:c>
      <x:c r="C1630" t="str">
        <x:v>GATE</x:v>
      </x:c>
      <x:c r="D1630" t="str">
        <x:v>release state mirrors governing ledger</x:v>
      </x:c>
      <x:c r="E1630" t="str">
        <x:f>'Release Gates'!I1604</x:f>
        <x:v>OPEN</x:v>
      </x:c>
      <x:c r="F1630" t="str">
        <x:f>IF('Release Gates'!C1604="PLANNING","PASS",IF('Release Gates'!C1604="PHYSICAL","OPEN","BLOCKED"))</x:f>
        <x:v>OPEN</x:v>
      </x:c>
      <x:c r="G1630" t="str">
        <x:v>equals</x:v>
      </x:c>
      <x:c r="H1630" t="str">
        <x:f>IF(E1630=F1630,"PASS","FAIL")</x:f>
        <x:v>PASS</x:v>
      </x:c>
    </x:row>
    <x:row r="1631">
      <x:c r="B1631" t="str">
        <x:v>A-01599</x:v>
      </x:c>
      <x:c r="C1631" t="str">
        <x:v>GATE</x:v>
      </x:c>
      <x:c r="D1631" t="str">
        <x:v>release state mirrors governing ledger</x:v>
      </x:c>
      <x:c r="E1631" t="str">
        <x:f>'Release Gates'!I1605</x:f>
        <x:v>OPEN</x:v>
      </x:c>
      <x:c r="F1631" t="str">
        <x:f>IF('Release Gates'!C1605="PLANNING","PASS",IF('Release Gates'!C1605="PHYSICAL","OPEN","BLOCKED"))</x:f>
        <x:v>OPEN</x:v>
      </x:c>
      <x:c r="G1631" t="str">
        <x:v>equals</x:v>
      </x:c>
      <x:c r="H1631" t="str">
        <x:f>IF(E1631=F1631,"PASS","FAIL")</x:f>
        <x:v>PASS</x:v>
      </x:c>
    </x:row>
    <x:row r="1632">
      <x:c r="B1632" t="str">
        <x:v>A-01600</x:v>
      </x:c>
      <x:c r="C1632" t="str">
        <x:v>GATE</x:v>
      </x:c>
      <x:c r="D1632" t="str">
        <x:v>release state mirrors governing ledger</x:v>
      </x:c>
      <x:c r="E1632" t="str">
        <x:f>'Release Gates'!I1606</x:f>
        <x:v>OPEN</x:v>
      </x:c>
      <x:c r="F1632" t="str">
        <x:f>IF('Release Gates'!C1606="PLANNING","PASS",IF('Release Gates'!C1606="PHYSICAL","OPEN","BLOCKED"))</x:f>
        <x:v>OPEN</x:v>
      </x:c>
      <x:c r="G1632" t="str">
        <x:v>equals</x:v>
      </x:c>
      <x:c r="H1632" t="str">
        <x:f>IF(E1632=F1632,"PASS","FAIL")</x:f>
        <x:v>PASS</x:v>
      </x:c>
    </x:row>
    <x:row r="1633">
      <x:c r="B1633" t="str">
        <x:v>A-01601</x:v>
      </x:c>
      <x:c r="C1633" t="str">
        <x:v>GATE</x:v>
      </x:c>
      <x:c r="D1633" t="str">
        <x:v>release state mirrors governing ledger</x:v>
      </x:c>
      <x:c r="E1633" t="str">
        <x:f>'Release Gates'!I1607</x:f>
        <x:v>OPEN</x:v>
      </x:c>
      <x:c r="F1633" t="str">
        <x:f>IF('Release Gates'!C1607="PLANNING","PASS",IF('Release Gates'!C1607="PHYSICAL","OPEN","BLOCKED"))</x:f>
        <x:v>OPEN</x:v>
      </x:c>
      <x:c r="G1633" t="str">
        <x:v>equals</x:v>
      </x:c>
      <x:c r="H1633" t="str">
        <x:f>IF(E1633=F1633,"PASS","FAIL")</x:f>
        <x:v>PASS</x:v>
      </x:c>
    </x:row>
    <x:row r="1634">
      <x:c r="B1634" t="str">
        <x:v>A-01602</x:v>
      </x:c>
      <x:c r="C1634" t="str">
        <x:v>GATE</x:v>
      </x:c>
      <x:c r="D1634" t="str">
        <x:v>release state mirrors governing ledger</x:v>
      </x:c>
      <x:c r="E1634" t="str">
        <x:f>'Release Gates'!I1608</x:f>
        <x:v>OPEN</x:v>
      </x:c>
      <x:c r="F1634" t="str">
        <x:f>IF('Release Gates'!C1608="PLANNING","PASS",IF('Release Gates'!C1608="PHYSICAL","OPEN","BLOCKED"))</x:f>
        <x:v>OPEN</x:v>
      </x:c>
      <x:c r="G1634" t="str">
        <x:v>equals</x:v>
      </x:c>
      <x:c r="H1634" t="str">
        <x:f>IF(E1634=F1634,"PASS","FAIL")</x:f>
        <x:v>PASS</x:v>
      </x:c>
    </x:row>
    <x:row r="1635">
      <x:c r="B1635" t="str">
        <x:v>A-01603</x:v>
      </x:c>
      <x:c r="C1635" t="str">
        <x:v>GATE</x:v>
      </x:c>
      <x:c r="D1635" t="str">
        <x:v>release state mirrors governing ledger</x:v>
      </x:c>
      <x:c r="E1635" t="str">
        <x:f>'Release Gates'!I1609</x:f>
        <x:v>OPEN</x:v>
      </x:c>
      <x:c r="F1635" t="str">
        <x:f>IF('Release Gates'!C1609="PLANNING","PASS",IF('Release Gates'!C1609="PHYSICAL","OPEN","BLOCKED"))</x:f>
        <x:v>OPEN</x:v>
      </x:c>
      <x:c r="G1635" t="str">
        <x:v>equals</x:v>
      </x:c>
      <x:c r="H1635" t="str">
        <x:f>IF(E1635=F1635,"PASS","FAIL")</x:f>
        <x:v>PASS</x:v>
      </x:c>
    </x:row>
    <x:row r="1636">
      <x:c r="B1636" t="str">
        <x:v>A-01604</x:v>
      </x:c>
      <x:c r="C1636" t="str">
        <x:v>GATE</x:v>
      </x:c>
      <x:c r="D1636" t="str">
        <x:v>release state mirrors governing ledger</x:v>
      </x:c>
      <x:c r="E1636" t="str">
        <x:f>'Release Gates'!I1610</x:f>
        <x:v>OPEN</x:v>
      </x:c>
      <x:c r="F1636" t="str">
        <x:f>IF('Release Gates'!C1610="PLANNING","PASS",IF('Release Gates'!C1610="PHYSICAL","OPEN","BLOCKED"))</x:f>
        <x:v>OPEN</x:v>
      </x:c>
      <x:c r="G1636" t="str">
        <x:v>equals</x:v>
      </x:c>
      <x:c r="H1636" t="str">
        <x:f>IF(E1636=F1636,"PASS","FAIL")</x:f>
        <x:v>PASS</x:v>
      </x:c>
    </x:row>
    <x:row r="1637">
      <x:c r="B1637" t="str">
        <x:v>A-01605</x:v>
      </x:c>
      <x:c r="C1637" t="str">
        <x:v>GATE</x:v>
      </x:c>
      <x:c r="D1637" t="str">
        <x:v>release state mirrors governing ledger</x:v>
      </x:c>
      <x:c r="E1637" t="str">
        <x:f>'Release Gates'!I1611</x:f>
        <x:v>OPEN</x:v>
      </x:c>
      <x:c r="F1637" t="str">
        <x:f>IF('Release Gates'!C1611="PLANNING","PASS",IF('Release Gates'!C1611="PHYSICAL","OPEN","BLOCKED"))</x:f>
        <x:v>OPEN</x:v>
      </x:c>
      <x:c r="G1637" t="str">
        <x:v>equals</x:v>
      </x:c>
      <x:c r="H1637" t="str">
        <x:f>IF(E1637=F1637,"PASS","FAIL")</x:f>
        <x:v>PASS</x:v>
      </x:c>
    </x:row>
    <x:row r="1638">
      <x:c r="B1638" t="str">
        <x:v>A-01606</x:v>
      </x:c>
      <x:c r="C1638" t="str">
        <x:v>GATE</x:v>
      </x:c>
      <x:c r="D1638" t="str">
        <x:v>release state mirrors governing ledger</x:v>
      </x:c>
      <x:c r="E1638" t="str">
        <x:f>'Release Gates'!I1612</x:f>
        <x:v>OPEN</x:v>
      </x:c>
      <x:c r="F1638" t="str">
        <x:f>IF('Release Gates'!C1612="PLANNING","PASS",IF('Release Gates'!C1612="PHYSICAL","OPEN","BLOCKED"))</x:f>
        <x:v>OPEN</x:v>
      </x:c>
      <x:c r="G1638" t="str">
        <x:v>equals</x:v>
      </x:c>
      <x:c r="H1638" t="str">
        <x:f>IF(E1638=F1638,"PASS","FAIL")</x:f>
        <x:v>PASS</x:v>
      </x:c>
    </x:row>
    <x:row r="1639">
      <x:c r="B1639" t="str">
        <x:v>A-01607</x:v>
      </x:c>
      <x:c r="C1639" t="str">
        <x:v>GATE</x:v>
      </x:c>
      <x:c r="D1639" t="str">
        <x:v>release state mirrors governing ledger</x:v>
      </x:c>
      <x:c r="E1639" t="str">
        <x:f>'Release Gates'!I1613</x:f>
        <x:v>OPEN</x:v>
      </x:c>
      <x:c r="F1639" t="str">
        <x:f>IF('Release Gates'!C1613="PLANNING","PASS",IF('Release Gates'!C1613="PHYSICAL","OPEN","BLOCKED"))</x:f>
        <x:v>OPEN</x:v>
      </x:c>
      <x:c r="G1639" t="str">
        <x:v>equals</x:v>
      </x:c>
      <x:c r="H1639" t="str">
        <x:f>IF(E1639=F1639,"PASS","FAIL")</x:f>
        <x:v>PASS</x:v>
      </x:c>
    </x:row>
    <x:row r="1640">
      <x:c r="B1640" t="str">
        <x:v>A-01608</x:v>
      </x:c>
      <x:c r="C1640" t="str">
        <x:v>GATE</x:v>
      </x:c>
      <x:c r="D1640" t="str">
        <x:v>release state mirrors governing ledger</x:v>
      </x:c>
      <x:c r="E1640" t="str">
        <x:f>'Release Gates'!I1614</x:f>
        <x:v>OPEN</x:v>
      </x:c>
      <x:c r="F1640" t="str">
        <x:f>IF('Release Gates'!C1614="PLANNING","PASS",IF('Release Gates'!C1614="PHYSICAL","OPEN","BLOCKED"))</x:f>
        <x:v>OPEN</x:v>
      </x:c>
      <x:c r="G1640" t="str">
        <x:v>equals</x:v>
      </x:c>
      <x:c r="H1640" t="str">
        <x:f>IF(E1640=F1640,"PASS","FAIL")</x:f>
        <x:v>PASS</x:v>
      </x:c>
    </x:row>
    <x:row r="1641">
      <x:c r="B1641" t="str">
        <x:v>A-01609</x:v>
      </x:c>
      <x:c r="C1641" t="str">
        <x:v>GATE</x:v>
      </x:c>
      <x:c r="D1641" t="str">
        <x:v>release state mirrors governing ledger</x:v>
      </x:c>
      <x:c r="E1641" t="str">
        <x:f>'Release Gates'!I1615</x:f>
        <x:v>OPEN</x:v>
      </x:c>
      <x:c r="F1641" t="str">
        <x:f>IF('Release Gates'!C1615="PLANNING","PASS",IF('Release Gates'!C1615="PHYSICAL","OPEN","BLOCKED"))</x:f>
        <x:v>OPEN</x:v>
      </x:c>
      <x:c r="G1641" t="str">
        <x:v>equals</x:v>
      </x:c>
      <x:c r="H1641" t="str">
        <x:f>IF(E1641=F1641,"PASS","FAIL")</x:f>
        <x:v>PASS</x:v>
      </x:c>
    </x:row>
    <x:row r="1642">
      <x:c r="B1642" t="str">
        <x:v>A-01610</x:v>
      </x:c>
      <x:c r="C1642" t="str">
        <x:v>GATE</x:v>
      </x:c>
      <x:c r="D1642" t="str">
        <x:v>release state mirrors governing ledger</x:v>
      </x:c>
      <x:c r="E1642" t="str">
        <x:f>'Release Gates'!I1616</x:f>
        <x:v>OPEN</x:v>
      </x:c>
      <x:c r="F1642" t="str">
        <x:f>IF('Release Gates'!C1616="PLANNING","PASS",IF('Release Gates'!C1616="PHYSICAL","OPEN","BLOCKED"))</x:f>
        <x:v>OPEN</x:v>
      </x:c>
      <x:c r="G1642" t="str">
        <x:v>equals</x:v>
      </x:c>
      <x:c r="H1642" t="str">
        <x:f>IF(E1642=F1642,"PASS","FAIL")</x:f>
        <x:v>PASS</x:v>
      </x:c>
    </x:row>
    <x:row r="1643">
      <x:c r="B1643" t="str">
        <x:v>A-01611</x:v>
      </x:c>
      <x:c r="C1643" t="str">
        <x:v>GATE</x:v>
      </x:c>
      <x:c r="D1643" t="str">
        <x:v>release state mirrors governing ledger</x:v>
      </x:c>
      <x:c r="E1643" t="str">
        <x:f>'Release Gates'!I1617</x:f>
        <x:v>OPEN</x:v>
      </x:c>
      <x:c r="F1643" t="str">
        <x:f>IF('Release Gates'!C1617="PLANNING","PASS",IF('Release Gates'!C1617="PHYSICAL","OPEN","BLOCKED"))</x:f>
        <x:v>OPEN</x:v>
      </x:c>
      <x:c r="G1643" t="str">
        <x:v>equals</x:v>
      </x:c>
      <x:c r="H1643" t="str">
        <x:f>IF(E1643=F1643,"PASS","FAIL")</x:f>
        <x:v>PASS</x:v>
      </x:c>
    </x:row>
    <x:row r="1644">
      <x:c r="B1644" t="str">
        <x:v>A-01612</x:v>
      </x:c>
      <x:c r="C1644" t="str">
        <x:v>GATE</x:v>
      </x:c>
      <x:c r="D1644" t="str">
        <x:v>release state mirrors governing ledger</x:v>
      </x:c>
      <x:c r="E1644" t="str">
        <x:f>'Release Gates'!I1618</x:f>
        <x:v>OPEN</x:v>
      </x:c>
      <x:c r="F1644" t="str">
        <x:f>IF('Release Gates'!C1618="PLANNING","PASS",IF('Release Gates'!C1618="PHYSICAL","OPEN","BLOCKED"))</x:f>
        <x:v>OPEN</x:v>
      </x:c>
      <x:c r="G1644" t="str">
        <x:v>equals</x:v>
      </x:c>
      <x:c r="H1644" t="str">
        <x:f>IF(E1644=F1644,"PASS","FAIL")</x:f>
        <x:v>PASS</x:v>
      </x:c>
    </x:row>
    <x:row r="1645">
      <x:c r="B1645" t="str">
        <x:v>A-01613</x:v>
      </x:c>
      <x:c r="C1645" t="str">
        <x:v>GATE</x:v>
      </x:c>
      <x:c r="D1645" t="str">
        <x:v>release state mirrors governing ledger</x:v>
      </x:c>
      <x:c r="E1645" t="str">
        <x:f>'Release Gates'!I1619</x:f>
        <x:v>OPEN</x:v>
      </x:c>
      <x:c r="F1645" t="str">
        <x:f>IF('Release Gates'!C1619="PLANNING","PASS",IF('Release Gates'!C1619="PHYSICAL","OPEN","BLOCKED"))</x:f>
        <x:v>OPEN</x:v>
      </x:c>
      <x:c r="G1645" t="str">
        <x:v>equals</x:v>
      </x:c>
      <x:c r="H1645" t="str">
        <x:f>IF(E1645=F1645,"PASS","FAIL")</x:f>
        <x:v>PASS</x:v>
      </x:c>
    </x:row>
    <x:row r="1646">
      <x:c r="B1646" t="str">
        <x:v>A-01614</x:v>
      </x:c>
      <x:c r="C1646" t="str">
        <x:v>GATE</x:v>
      </x:c>
      <x:c r="D1646" t="str">
        <x:v>release state mirrors governing ledger</x:v>
      </x:c>
      <x:c r="E1646" t="str">
        <x:f>'Release Gates'!I1620</x:f>
        <x:v>OPEN</x:v>
      </x:c>
      <x:c r="F1646" t="str">
        <x:f>IF('Release Gates'!C1620="PLANNING","PASS",IF('Release Gates'!C1620="PHYSICAL","OPEN","BLOCKED"))</x:f>
        <x:v>OPEN</x:v>
      </x:c>
      <x:c r="G1646" t="str">
        <x:v>equals</x:v>
      </x:c>
      <x:c r="H1646" t="str">
        <x:f>IF(E1646=F1646,"PASS","FAIL")</x:f>
        <x:v>PASS</x:v>
      </x:c>
    </x:row>
    <x:row r="1647">
      <x:c r="B1647" t="str">
        <x:v>A-01615</x:v>
      </x:c>
      <x:c r="C1647" t="str">
        <x:v>GATE</x:v>
      </x:c>
      <x:c r="D1647" t="str">
        <x:v>release state mirrors governing ledger</x:v>
      </x:c>
      <x:c r="E1647" t="str">
        <x:f>'Release Gates'!I1621</x:f>
        <x:v>OPEN</x:v>
      </x:c>
      <x:c r="F1647" t="str">
        <x:f>IF('Release Gates'!C1621="PLANNING","PASS",IF('Release Gates'!C1621="PHYSICAL","OPEN","BLOCKED"))</x:f>
        <x:v>OPEN</x:v>
      </x:c>
      <x:c r="G1647" t="str">
        <x:v>equals</x:v>
      </x:c>
      <x:c r="H1647" t="str">
        <x:f>IF(E1647=F1647,"PASS","FAIL")</x:f>
        <x:v>PASS</x:v>
      </x:c>
    </x:row>
    <x:row r="1648">
      <x:c r="B1648" t="str">
        <x:v>A-01616</x:v>
      </x:c>
      <x:c r="C1648" t="str">
        <x:v>GATE</x:v>
      </x:c>
      <x:c r="D1648" t="str">
        <x:v>release state mirrors governing ledger</x:v>
      </x:c>
      <x:c r="E1648" t="str">
        <x:f>'Release Gates'!I1622</x:f>
        <x:v>OPEN</x:v>
      </x:c>
      <x:c r="F1648" t="str">
        <x:f>IF('Release Gates'!C1622="PLANNING","PASS",IF('Release Gates'!C1622="PHYSICAL","OPEN","BLOCKED"))</x:f>
        <x:v>OPEN</x:v>
      </x:c>
      <x:c r="G1648" t="str">
        <x:v>equals</x:v>
      </x:c>
      <x:c r="H1648" t="str">
        <x:f>IF(E1648=F1648,"PASS","FAIL")</x:f>
        <x:v>PASS</x:v>
      </x:c>
    </x:row>
    <x:row r="1649">
      <x:c r="B1649" t="str">
        <x:v>A-01617</x:v>
      </x:c>
      <x:c r="C1649" t="str">
        <x:v>GATE</x:v>
      </x:c>
      <x:c r="D1649" t="str">
        <x:v>release state mirrors governing ledger</x:v>
      </x:c>
      <x:c r="E1649" t="str">
        <x:f>'Release Gates'!I1623</x:f>
        <x:v>OPEN</x:v>
      </x:c>
      <x:c r="F1649" t="str">
        <x:f>IF('Release Gates'!C1623="PLANNING","PASS",IF('Release Gates'!C1623="PHYSICAL","OPEN","BLOCKED"))</x:f>
        <x:v>OPEN</x:v>
      </x:c>
      <x:c r="G1649" t="str">
        <x:v>equals</x:v>
      </x:c>
      <x:c r="H1649" t="str">
        <x:f>IF(E1649=F1649,"PASS","FAIL")</x:f>
        <x:v>PASS</x:v>
      </x:c>
    </x:row>
    <x:row r="1650">
      <x:c r="B1650" t="str">
        <x:v>A-01618</x:v>
      </x:c>
      <x:c r="C1650" t="str">
        <x:v>GATE</x:v>
      </x:c>
      <x:c r="D1650" t="str">
        <x:v>release state mirrors governing ledger</x:v>
      </x:c>
      <x:c r="E1650" t="str">
        <x:f>'Release Gates'!I1624</x:f>
        <x:v>OPEN</x:v>
      </x:c>
      <x:c r="F1650" t="str">
        <x:f>IF('Release Gates'!C1624="PLANNING","PASS",IF('Release Gates'!C1624="PHYSICAL","OPEN","BLOCKED"))</x:f>
        <x:v>OPEN</x:v>
      </x:c>
      <x:c r="G1650" t="str">
        <x:v>equals</x:v>
      </x:c>
      <x:c r="H1650" t="str">
        <x:f>IF(E1650=F1650,"PASS","FAIL")</x:f>
        <x:v>PASS</x:v>
      </x:c>
    </x:row>
    <x:row r="1651">
      <x:c r="B1651" t="str">
        <x:v>A-01619</x:v>
      </x:c>
      <x:c r="C1651" t="str">
        <x:v>GATE</x:v>
      </x:c>
      <x:c r="D1651" t="str">
        <x:v>release state mirrors governing ledger</x:v>
      </x:c>
      <x:c r="E1651" t="str">
        <x:f>'Release Gates'!I1625</x:f>
        <x:v>OPEN</x:v>
      </x:c>
      <x:c r="F1651" t="str">
        <x:f>IF('Release Gates'!C1625="PLANNING","PASS",IF('Release Gates'!C1625="PHYSICAL","OPEN","BLOCKED"))</x:f>
        <x:v>OPEN</x:v>
      </x:c>
      <x:c r="G1651" t="str">
        <x:v>equals</x:v>
      </x:c>
      <x:c r="H1651" t="str">
        <x:f>IF(E1651=F1651,"PASS","FAIL")</x:f>
        <x:v>PASS</x:v>
      </x:c>
    </x:row>
    <x:row r="1652">
      <x:c r="B1652" t="str">
        <x:v>A-01620</x:v>
      </x:c>
      <x:c r="C1652" t="str">
        <x:v>GATE</x:v>
      </x:c>
      <x:c r="D1652" t="str">
        <x:v>release state mirrors governing ledger</x:v>
      </x:c>
      <x:c r="E1652" t="str">
        <x:f>'Release Gates'!I1626</x:f>
        <x:v>OPEN</x:v>
      </x:c>
      <x:c r="F1652" t="str">
        <x:f>IF('Release Gates'!C1626="PLANNING","PASS",IF('Release Gates'!C1626="PHYSICAL","OPEN","BLOCKED"))</x:f>
        <x:v>OPEN</x:v>
      </x:c>
      <x:c r="G1652" t="str">
        <x:v>equals</x:v>
      </x:c>
      <x:c r="H1652" t="str">
        <x:f>IF(E1652=F1652,"PASS","FAIL")</x:f>
        <x:v>PASS</x:v>
      </x:c>
    </x:row>
    <x:row r="1653">
      <x:c r="B1653" t="str">
        <x:v>A-01621</x:v>
      </x:c>
      <x:c r="C1653" t="str">
        <x:v>GATE</x:v>
      </x:c>
      <x:c r="D1653" t="str">
        <x:v>release state mirrors governing ledger</x:v>
      </x:c>
      <x:c r="E1653" t="str">
        <x:f>'Release Gates'!I1627</x:f>
        <x:v>OPEN</x:v>
      </x:c>
      <x:c r="F1653" t="str">
        <x:f>IF('Release Gates'!C1627="PLANNING","PASS",IF('Release Gates'!C1627="PHYSICAL","OPEN","BLOCKED"))</x:f>
        <x:v>OPEN</x:v>
      </x:c>
      <x:c r="G1653" t="str">
        <x:v>equals</x:v>
      </x:c>
      <x:c r="H1653" t="str">
        <x:f>IF(E1653=F1653,"PASS","FAIL")</x:f>
        <x:v>PASS</x:v>
      </x:c>
    </x:row>
    <x:row r="1654">
      <x:c r="B1654" t="str">
        <x:v>A-01622</x:v>
      </x:c>
      <x:c r="C1654" t="str">
        <x:v>GATE</x:v>
      </x:c>
      <x:c r="D1654" t="str">
        <x:v>release state mirrors governing ledger</x:v>
      </x:c>
      <x:c r="E1654" t="str">
        <x:f>'Release Gates'!I1628</x:f>
        <x:v>OPEN</x:v>
      </x:c>
      <x:c r="F1654" t="str">
        <x:f>IF('Release Gates'!C1628="PLANNING","PASS",IF('Release Gates'!C1628="PHYSICAL","OPEN","BLOCKED"))</x:f>
        <x:v>OPEN</x:v>
      </x:c>
      <x:c r="G1654" t="str">
        <x:v>equals</x:v>
      </x:c>
      <x:c r="H1654" t="str">
        <x:f>IF(E1654=F1654,"PASS","FAIL")</x:f>
        <x:v>PASS</x:v>
      </x:c>
    </x:row>
    <x:row r="1655">
      <x:c r="B1655" t="str">
        <x:v>A-01623</x:v>
      </x:c>
      <x:c r="C1655" t="str">
        <x:v>GATE</x:v>
      </x:c>
      <x:c r="D1655" t="str">
        <x:v>release state mirrors governing ledger</x:v>
      </x:c>
      <x:c r="E1655" t="str">
        <x:f>'Release Gates'!I1629</x:f>
        <x:v>OPEN</x:v>
      </x:c>
      <x:c r="F1655" t="str">
        <x:f>IF('Release Gates'!C1629="PLANNING","PASS",IF('Release Gates'!C1629="PHYSICAL","OPEN","BLOCKED"))</x:f>
        <x:v>OPEN</x:v>
      </x:c>
      <x:c r="G1655" t="str">
        <x:v>equals</x:v>
      </x:c>
      <x:c r="H1655" t="str">
        <x:f>IF(E1655=F1655,"PASS","FAIL")</x:f>
        <x:v>PASS</x:v>
      </x:c>
    </x:row>
    <x:row r="1656">
      <x:c r="B1656" t="str">
        <x:v>A-01624</x:v>
      </x:c>
      <x:c r="C1656" t="str">
        <x:v>GATE</x:v>
      </x:c>
      <x:c r="D1656" t="str">
        <x:v>release state mirrors governing ledger</x:v>
      </x:c>
      <x:c r="E1656" t="str">
        <x:f>'Release Gates'!I1630</x:f>
        <x:v>OPEN</x:v>
      </x:c>
      <x:c r="F1656" t="str">
        <x:f>IF('Release Gates'!C1630="PLANNING","PASS",IF('Release Gates'!C1630="PHYSICAL","OPEN","BLOCKED"))</x:f>
        <x:v>OPEN</x:v>
      </x:c>
      <x:c r="G1656" t="str">
        <x:v>equals</x:v>
      </x:c>
      <x:c r="H1656" t="str">
        <x:f>IF(E1656=F1656,"PASS","FAIL")</x:f>
        <x:v>PASS</x:v>
      </x:c>
    </x:row>
    <x:row r="1657">
      <x:c r="B1657" t="str">
        <x:v>A-01625</x:v>
      </x:c>
      <x:c r="C1657" t="str">
        <x:v>GATE</x:v>
      </x:c>
      <x:c r="D1657" t="str">
        <x:v>release state mirrors governing ledger</x:v>
      </x:c>
      <x:c r="E1657" t="str">
        <x:f>'Release Gates'!I1631</x:f>
        <x:v>OPEN</x:v>
      </x:c>
      <x:c r="F1657" t="str">
        <x:f>IF('Release Gates'!C1631="PLANNING","PASS",IF('Release Gates'!C1631="PHYSICAL","OPEN","BLOCKED"))</x:f>
        <x:v>OPEN</x:v>
      </x:c>
      <x:c r="G1657" t="str">
        <x:v>equals</x:v>
      </x:c>
      <x:c r="H1657" t="str">
        <x:f>IF(E1657=F1657,"PASS","FAIL")</x:f>
        <x:v>PASS</x:v>
      </x:c>
    </x:row>
    <x:row r="1658">
      <x:c r="B1658" t="str">
        <x:v>A-01626</x:v>
      </x:c>
      <x:c r="C1658" t="str">
        <x:v>GATE</x:v>
      </x:c>
      <x:c r="D1658" t="str">
        <x:v>release state mirrors governing ledger</x:v>
      </x:c>
      <x:c r="E1658" t="str">
        <x:f>'Release Gates'!I1632</x:f>
        <x:v>OPEN</x:v>
      </x:c>
      <x:c r="F1658" t="str">
        <x:f>IF('Release Gates'!C1632="PLANNING","PASS",IF('Release Gates'!C1632="PHYSICAL","OPEN","BLOCKED"))</x:f>
        <x:v>OPEN</x:v>
      </x:c>
      <x:c r="G1658" t="str">
        <x:v>equals</x:v>
      </x:c>
      <x:c r="H1658" t="str">
        <x:f>IF(E1658=F1658,"PASS","FAIL")</x:f>
        <x:v>PASS</x:v>
      </x:c>
    </x:row>
    <x:row r="1659">
      <x:c r="B1659" t="str">
        <x:v>A-01627</x:v>
      </x:c>
      <x:c r="C1659" t="str">
        <x:v>GATE</x:v>
      </x:c>
      <x:c r="D1659" t="str">
        <x:v>release state mirrors governing ledger</x:v>
      </x:c>
      <x:c r="E1659" t="str">
        <x:f>'Release Gates'!I1633</x:f>
        <x:v>OPEN</x:v>
      </x:c>
      <x:c r="F1659" t="str">
        <x:f>IF('Release Gates'!C1633="PLANNING","PASS",IF('Release Gates'!C1633="PHYSICAL","OPEN","BLOCKED"))</x:f>
        <x:v>OPEN</x:v>
      </x:c>
      <x:c r="G1659" t="str">
        <x:v>equals</x:v>
      </x:c>
      <x:c r="H1659" t="str">
        <x:f>IF(E1659=F1659,"PASS","FAIL")</x:f>
        <x:v>PASS</x:v>
      </x:c>
    </x:row>
    <x:row r="1660">
      <x:c r="B1660" t="str">
        <x:v>A-01628</x:v>
      </x:c>
      <x:c r="C1660" t="str">
        <x:v>GATE</x:v>
      </x:c>
      <x:c r="D1660" t="str">
        <x:v>release state mirrors governing ledger</x:v>
      </x:c>
      <x:c r="E1660" t="str">
        <x:f>'Release Gates'!I1634</x:f>
        <x:v>OPEN</x:v>
      </x:c>
      <x:c r="F1660" t="str">
        <x:f>IF('Release Gates'!C1634="PLANNING","PASS",IF('Release Gates'!C1634="PHYSICAL","OPEN","BLOCKED"))</x:f>
        <x:v>OPEN</x:v>
      </x:c>
      <x:c r="G1660" t="str">
        <x:v>equals</x:v>
      </x:c>
      <x:c r="H1660" t="str">
        <x:f>IF(E1660=F1660,"PASS","FAIL")</x:f>
        <x:v>PASS</x:v>
      </x:c>
    </x:row>
    <x:row r="1661">
      <x:c r="B1661" t="str">
        <x:v>A-01629</x:v>
      </x:c>
      <x:c r="C1661" t="str">
        <x:v>GATE</x:v>
      </x:c>
      <x:c r="D1661" t="str">
        <x:v>release state mirrors governing ledger</x:v>
      </x:c>
      <x:c r="E1661" t="str">
        <x:f>'Release Gates'!I1635</x:f>
        <x:v>OPEN</x:v>
      </x:c>
      <x:c r="F1661" t="str">
        <x:f>IF('Release Gates'!C1635="PLANNING","PASS",IF('Release Gates'!C1635="PHYSICAL","OPEN","BLOCKED"))</x:f>
        <x:v>OPEN</x:v>
      </x:c>
      <x:c r="G1661" t="str">
        <x:v>equals</x:v>
      </x:c>
      <x:c r="H1661" t="str">
        <x:f>IF(E1661=F1661,"PASS","FAIL")</x:f>
        <x:v>PASS</x:v>
      </x:c>
    </x:row>
    <x:row r="1662">
      <x:c r="B1662" t="str">
        <x:v>A-01630</x:v>
      </x:c>
      <x:c r="C1662" t="str">
        <x:v>GATE</x:v>
      </x:c>
      <x:c r="D1662" t="str">
        <x:v>release state mirrors governing ledger</x:v>
      </x:c>
      <x:c r="E1662" t="str">
        <x:f>'Release Gates'!I1636</x:f>
        <x:v>OPEN</x:v>
      </x:c>
      <x:c r="F1662" t="str">
        <x:f>IF('Release Gates'!C1636="PLANNING","PASS",IF('Release Gates'!C1636="PHYSICAL","OPEN","BLOCKED"))</x:f>
        <x:v>OPEN</x:v>
      </x:c>
      <x:c r="G1662" t="str">
        <x:v>equals</x:v>
      </x:c>
      <x:c r="H1662" t="str">
        <x:f>IF(E1662=F1662,"PASS","FAIL")</x:f>
        <x:v>PASS</x:v>
      </x:c>
    </x:row>
    <x:row r="1663">
      <x:c r="B1663" t="str">
        <x:v>A-01631</x:v>
      </x:c>
      <x:c r="C1663" t="str">
        <x:v>GATE</x:v>
      </x:c>
      <x:c r="D1663" t="str">
        <x:v>release state mirrors governing ledger</x:v>
      </x:c>
      <x:c r="E1663" t="str">
        <x:f>'Release Gates'!I1637</x:f>
        <x:v>OPEN</x:v>
      </x:c>
      <x:c r="F1663" t="str">
        <x:f>IF('Release Gates'!C1637="PLANNING","PASS",IF('Release Gates'!C1637="PHYSICAL","OPEN","BLOCKED"))</x:f>
        <x:v>OPEN</x:v>
      </x:c>
      <x:c r="G1663" t="str">
        <x:v>equals</x:v>
      </x:c>
      <x:c r="H1663" t="str">
        <x:f>IF(E1663=F1663,"PASS","FAIL")</x:f>
        <x:v>PASS</x:v>
      </x:c>
    </x:row>
    <x:row r="1664">
      <x:c r="B1664" t="str">
        <x:v>A-01632</x:v>
      </x:c>
      <x:c r="C1664" t="str">
        <x:v>GATE</x:v>
      </x:c>
      <x:c r="D1664" t="str">
        <x:v>release state mirrors governing ledger</x:v>
      </x:c>
      <x:c r="E1664" t="str">
        <x:f>'Release Gates'!I1638</x:f>
        <x:v>OPEN</x:v>
      </x:c>
      <x:c r="F1664" t="str">
        <x:f>IF('Release Gates'!C1638="PLANNING","PASS",IF('Release Gates'!C1638="PHYSICAL","OPEN","BLOCKED"))</x:f>
        <x:v>OPEN</x:v>
      </x:c>
      <x:c r="G1664" t="str">
        <x:v>equals</x:v>
      </x:c>
      <x:c r="H1664" t="str">
        <x:f>IF(E1664=F1664,"PASS","FAIL")</x:f>
        <x:v>PASS</x:v>
      </x:c>
    </x:row>
    <x:row r="1665">
      <x:c r="B1665" t="str">
        <x:v>A-01633</x:v>
      </x:c>
      <x:c r="C1665" t="str">
        <x:v>GATE</x:v>
      </x:c>
      <x:c r="D1665" t="str">
        <x:v>release state mirrors governing ledger</x:v>
      </x:c>
      <x:c r="E1665" t="str">
        <x:f>'Release Gates'!I1639</x:f>
        <x:v>OPEN</x:v>
      </x:c>
      <x:c r="F1665" t="str">
        <x:f>IF('Release Gates'!C1639="PLANNING","PASS",IF('Release Gates'!C1639="PHYSICAL","OPEN","BLOCKED"))</x:f>
        <x:v>OPEN</x:v>
      </x:c>
      <x:c r="G1665" t="str">
        <x:v>equals</x:v>
      </x:c>
      <x:c r="H1665" t="str">
        <x:f>IF(E1665=F1665,"PASS","FAIL")</x:f>
        <x:v>PASS</x:v>
      </x:c>
    </x:row>
    <x:row r="1666">
      <x:c r="B1666" t="str">
        <x:v>A-01634</x:v>
      </x:c>
      <x:c r="C1666" t="str">
        <x:v>GATE</x:v>
      </x:c>
      <x:c r="D1666" t="str">
        <x:v>release state mirrors governing ledger</x:v>
      </x:c>
      <x:c r="E1666" t="str">
        <x:f>'Release Gates'!I1640</x:f>
        <x:v>OPEN</x:v>
      </x:c>
      <x:c r="F1666" t="str">
        <x:f>IF('Release Gates'!C1640="PLANNING","PASS",IF('Release Gates'!C1640="PHYSICAL","OPEN","BLOCKED"))</x:f>
        <x:v>OPEN</x:v>
      </x:c>
      <x:c r="G1666" t="str">
        <x:v>equals</x:v>
      </x:c>
      <x:c r="H1666" t="str">
        <x:f>IF(E1666=F1666,"PASS","FAIL")</x:f>
        <x:v>PASS</x:v>
      </x:c>
    </x:row>
    <x:row r="1667">
      <x:c r="B1667" t="str">
        <x:v>A-01635</x:v>
      </x:c>
      <x:c r="C1667" t="str">
        <x:v>GATE</x:v>
      </x:c>
      <x:c r="D1667" t="str">
        <x:v>release state mirrors governing ledger</x:v>
      </x:c>
      <x:c r="E1667" t="str">
        <x:f>'Release Gates'!I1641</x:f>
        <x:v>OPEN</x:v>
      </x:c>
      <x:c r="F1667" t="str">
        <x:f>IF('Release Gates'!C1641="PLANNING","PASS",IF('Release Gates'!C1641="PHYSICAL","OPEN","BLOCKED"))</x:f>
        <x:v>OPEN</x:v>
      </x:c>
      <x:c r="G1667" t="str">
        <x:v>equals</x:v>
      </x:c>
      <x:c r="H1667" t="str">
        <x:f>IF(E1667=F1667,"PASS","FAIL")</x:f>
        <x:v>PASS</x:v>
      </x:c>
    </x:row>
    <x:row r="1668">
      <x:c r="B1668" t="str">
        <x:v>A-01636</x:v>
      </x:c>
      <x:c r="C1668" t="str">
        <x:v>GATE</x:v>
      </x:c>
      <x:c r="D1668" t="str">
        <x:v>release state mirrors governing ledger</x:v>
      </x:c>
      <x:c r="E1668" t="str">
        <x:f>'Release Gates'!I1642</x:f>
        <x:v>OPEN</x:v>
      </x:c>
      <x:c r="F1668" t="str">
        <x:f>IF('Release Gates'!C1642="PLANNING","PASS",IF('Release Gates'!C1642="PHYSICAL","OPEN","BLOCKED"))</x:f>
        <x:v>OPEN</x:v>
      </x:c>
      <x:c r="G1668" t="str">
        <x:v>equals</x:v>
      </x:c>
      <x:c r="H1668" t="str">
        <x:f>IF(E1668=F1668,"PASS","FAIL")</x:f>
        <x:v>PASS</x:v>
      </x:c>
    </x:row>
    <x:row r="1669">
      <x:c r="B1669" t="str">
        <x:v>A-01637</x:v>
      </x:c>
      <x:c r="C1669" t="str">
        <x:v>GATE</x:v>
      </x:c>
      <x:c r="D1669" t="str">
        <x:v>release state mirrors governing ledger</x:v>
      </x:c>
      <x:c r="E1669" t="str">
        <x:f>'Release Gates'!I1643</x:f>
        <x:v>OPEN</x:v>
      </x:c>
      <x:c r="F1669" t="str">
        <x:f>IF('Release Gates'!C1643="PLANNING","PASS",IF('Release Gates'!C1643="PHYSICAL","OPEN","BLOCKED"))</x:f>
        <x:v>OPEN</x:v>
      </x:c>
      <x:c r="G1669" t="str">
        <x:v>equals</x:v>
      </x:c>
      <x:c r="H1669" t="str">
        <x:f>IF(E1669=F1669,"PASS","FAIL")</x:f>
        <x:v>PASS</x:v>
      </x:c>
    </x:row>
    <x:row r="1670">
      <x:c r="B1670" t="str">
        <x:v>A-01638</x:v>
      </x:c>
      <x:c r="C1670" t="str">
        <x:v>GATE</x:v>
      </x:c>
      <x:c r="D1670" t="str">
        <x:v>release state mirrors governing ledger</x:v>
      </x:c>
      <x:c r="E1670" t="str">
        <x:f>'Release Gates'!I1644</x:f>
        <x:v>OPEN</x:v>
      </x:c>
      <x:c r="F1670" t="str">
        <x:f>IF('Release Gates'!C1644="PLANNING","PASS",IF('Release Gates'!C1644="PHYSICAL","OPEN","BLOCKED"))</x:f>
        <x:v>OPEN</x:v>
      </x:c>
      <x:c r="G1670" t="str">
        <x:v>equals</x:v>
      </x:c>
      <x:c r="H1670" t="str">
        <x:f>IF(E1670=F1670,"PASS","FAIL")</x:f>
        <x:v>PASS</x:v>
      </x:c>
    </x:row>
    <x:row r="1671">
      <x:c r="B1671" t="str">
        <x:v>A-01639</x:v>
      </x:c>
      <x:c r="C1671" t="str">
        <x:v>GATE</x:v>
      </x:c>
      <x:c r="D1671" t="str">
        <x:v>release state mirrors governing ledger</x:v>
      </x:c>
      <x:c r="E1671" t="str">
        <x:f>'Release Gates'!I1645</x:f>
        <x:v>OPEN</x:v>
      </x:c>
      <x:c r="F1671" t="str">
        <x:f>IF('Release Gates'!C1645="PLANNING","PASS",IF('Release Gates'!C1645="PHYSICAL","OPEN","BLOCKED"))</x:f>
        <x:v>OPEN</x:v>
      </x:c>
      <x:c r="G1671" t="str">
        <x:v>equals</x:v>
      </x:c>
      <x:c r="H1671" t="str">
        <x:f>IF(E1671=F1671,"PASS","FAIL")</x:f>
        <x:v>PASS</x:v>
      </x:c>
    </x:row>
    <x:row r="1672">
      <x:c r="B1672" t="str">
        <x:v>A-01640</x:v>
      </x:c>
      <x:c r="C1672" t="str">
        <x:v>GATE</x:v>
      </x:c>
      <x:c r="D1672" t="str">
        <x:v>release state mirrors governing ledger</x:v>
      </x:c>
      <x:c r="E1672" t="str">
        <x:f>'Release Gates'!I1646</x:f>
        <x:v>OPEN</x:v>
      </x:c>
      <x:c r="F1672" t="str">
        <x:f>IF('Release Gates'!C1646="PLANNING","PASS",IF('Release Gates'!C1646="PHYSICAL","OPEN","BLOCKED"))</x:f>
        <x:v>OPEN</x:v>
      </x:c>
      <x:c r="G1672" t="str">
        <x:v>equals</x:v>
      </x:c>
      <x:c r="H1672" t="str">
        <x:f>IF(E1672=F1672,"PASS","FAIL")</x:f>
        <x:v>PASS</x:v>
      </x:c>
    </x:row>
    <x:row r="1673">
      <x:c r="B1673" t="str">
        <x:v>A-01641</x:v>
      </x:c>
      <x:c r="C1673" t="str">
        <x:v>GATE</x:v>
      </x:c>
      <x:c r="D1673" t="str">
        <x:v>release state mirrors governing ledger</x:v>
      </x:c>
      <x:c r="E1673" t="str">
        <x:f>'Release Gates'!I1647</x:f>
        <x:v>OPEN</x:v>
      </x:c>
      <x:c r="F1673" t="str">
        <x:f>IF('Release Gates'!C1647="PLANNING","PASS",IF('Release Gates'!C1647="PHYSICAL","OPEN","BLOCKED"))</x:f>
        <x:v>OPEN</x:v>
      </x:c>
      <x:c r="G1673" t="str">
        <x:v>equals</x:v>
      </x:c>
      <x:c r="H1673" t="str">
        <x:f>IF(E1673=F1673,"PASS","FAIL")</x:f>
        <x:v>PASS</x:v>
      </x:c>
    </x:row>
    <x:row r="1674">
      <x:c r="B1674" t="str">
        <x:v>A-01642</x:v>
      </x:c>
      <x:c r="C1674" t="str">
        <x:v>GATE</x:v>
      </x:c>
      <x:c r="D1674" t="str">
        <x:v>release state mirrors governing ledger</x:v>
      </x:c>
      <x:c r="E1674" t="str">
        <x:f>'Release Gates'!I1648</x:f>
        <x:v>OPEN</x:v>
      </x:c>
      <x:c r="F1674" t="str">
        <x:f>IF('Release Gates'!C1648="PLANNING","PASS",IF('Release Gates'!C1648="PHYSICAL","OPEN","BLOCKED"))</x:f>
        <x:v>OPEN</x:v>
      </x:c>
      <x:c r="G1674" t="str">
        <x:v>equals</x:v>
      </x:c>
      <x:c r="H1674" t="str">
        <x:f>IF(E1674=F1674,"PASS","FAIL")</x:f>
        <x:v>PASS</x:v>
      </x:c>
    </x:row>
    <x:row r="1675">
      <x:c r="B1675" t="str">
        <x:v>A-01643</x:v>
      </x:c>
      <x:c r="C1675" t="str">
        <x:v>GATE</x:v>
      </x:c>
      <x:c r="D1675" t="str">
        <x:v>release state mirrors governing ledger</x:v>
      </x:c>
      <x:c r="E1675" t="str">
        <x:f>'Release Gates'!I1649</x:f>
        <x:v>OPEN</x:v>
      </x:c>
      <x:c r="F1675" t="str">
        <x:f>IF('Release Gates'!C1649="PLANNING","PASS",IF('Release Gates'!C1649="PHYSICAL","OPEN","BLOCKED"))</x:f>
        <x:v>OPEN</x:v>
      </x:c>
      <x:c r="G1675" t="str">
        <x:v>equals</x:v>
      </x:c>
      <x:c r="H1675" t="str">
        <x:f>IF(E1675=F1675,"PASS","FAIL")</x:f>
        <x:v>PASS</x:v>
      </x:c>
    </x:row>
    <x:row r="1676">
      <x:c r="B1676" t="str">
        <x:v>A-01644</x:v>
      </x:c>
      <x:c r="C1676" t="str">
        <x:v>GATE</x:v>
      </x:c>
      <x:c r="D1676" t="str">
        <x:v>release state mirrors governing ledger</x:v>
      </x:c>
      <x:c r="E1676" t="str">
        <x:f>'Release Gates'!I1650</x:f>
        <x:v>OPEN</x:v>
      </x:c>
      <x:c r="F1676" t="str">
        <x:f>IF('Release Gates'!C1650="PLANNING","PASS",IF('Release Gates'!C1650="PHYSICAL","OPEN","BLOCKED"))</x:f>
        <x:v>OPEN</x:v>
      </x:c>
      <x:c r="G1676" t="str">
        <x:v>equals</x:v>
      </x:c>
      <x:c r="H1676" t="str">
        <x:f>IF(E1676=F1676,"PASS","FAIL")</x:f>
        <x:v>PASS</x:v>
      </x:c>
    </x:row>
    <x:row r="1677">
      <x:c r="B1677" t="str">
        <x:v>A-01645</x:v>
      </x:c>
      <x:c r="C1677" t="str">
        <x:v>GATE</x:v>
      </x:c>
      <x:c r="D1677" t="str">
        <x:v>release state mirrors governing ledger</x:v>
      </x:c>
      <x:c r="E1677" t="str">
        <x:f>'Release Gates'!I1651</x:f>
        <x:v>OPEN</x:v>
      </x:c>
      <x:c r="F1677" t="str">
        <x:f>IF('Release Gates'!C1651="PLANNING","PASS",IF('Release Gates'!C1651="PHYSICAL","OPEN","BLOCKED"))</x:f>
        <x:v>OPEN</x:v>
      </x:c>
      <x:c r="G1677" t="str">
        <x:v>equals</x:v>
      </x:c>
      <x:c r="H1677" t="str">
        <x:f>IF(E1677=F1677,"PASS","FAIL")</x:f>
        <x:v>PASS</x:v>
      </x:c>
    </x:row>
    <x:row r="1678">
      <x:c r="B1678" t="str">
        <x:v>A-01646</x:v>
      </x:c>
      <x:c r="C1678" t="str">
        <x:v>GATE</x:v>
      </x:c>
      <x:c r="D1678" t="str">
        <x:v>release state mirrors governing ledger</x:v>
      </x:c>
      <x:c r="E1678" t="str">
        <x:f>'Release Gates'!I1652</x:f>
        <x:v>OPEN</x:v>
      </x:c>
      <x:c r="F1678" t="str">
        <x:f>IF('Release Gates'!C1652="PLANNING","PASS",IF('Release Gates'!C1652="PHYSICAL","OPEN","BLOCKED"))</x:f>
        <x:v>OPEN</x:v>
      </x:c>
      <x:c r="G1678" t="str">
        <x:v>equals</x:v>
      </x:c>
      <x:c r="H1678" t="str">
        <x:f>IF(E1678=F1678,"PASS","FAIL")</x:f>
        <x:v>PASS</x:v>
      </x:c>
    </x:row>
    <x:row r="1679">
      <x:c r="B1679" t="str">
        <x:v>A-01647</x:v>
      </x:c>
      <x:c r="C1679" t="str">
        <x:v>GATE</x:v>
      </x:c>
      <x:c r="D1679" t="str">
        <x:v>release state mirrors governing ledger</x:v>
      </x:c>
      <x:c r="E1679" t="str">
        <x:f>'Release Gates'!I1653</x:f>
        <x:v>OPEN</x:v>
      </x:c>
      <x:c r="F1679" t="str">
        <x:f>IF('Release Gates'!C1653="PLANNING","PASS",IF('Release Gates'!C1653="PHYSICAL","OPEN","BLOCKED"))</x:f>
        <x:v>OPEN</x:v>
      </x:c>
      <x:c r="G1679" t="str">
        <x:v>equals</x:v>
      </x:c>
      <x:c r="H1679" t="str">
        <x:f>IF(E1679=F1679,"PASS","FAIL")</x:f>
        <x:v>PASS</x:v>
      </x:c>
    </x:row>
    <x:row r="1680">
      <x:c r="B1680" t="str">
        <x:v>A-01648</x:v>
      </x:c>
      <x:c r="C1680" t="str">
        <x:v>GATE</x:v>
      </x:c>
      <x:c r="D1680" t="str">
        <x:v>release state mirrors governing ledger</x:v>
      </x:c>
      <x:c r="E1680" t="str">
        <x:f>'Release Gates'!I1654</x:f>
        <x:v>OPEN</x:v>
      </x:c>
      <x:c r="F1680" t="str">
        <x:f>IF('Release Gates'!C1654="PLANNING","PASS",IF('Release Gates'!C1654="PHYSICAL","OPEN","BLOCKED"))</x:f>
        <x:v>OPEN</x:v>
      </x:c>
      <x:c r="G1680" t="str">
        <x:v>equals</x:v>
      </x:c>
      <x:c r="H1680" t="str">
        <x:f>IF(E1680=F1680,"PASS","FAIL")</x:f>
        <x:v>PASS</x:v>
      </x:c>
    </x:row>
    <x:row r="1681">
      <x:c r="B1681" t="str">
        <x:v>A-01649</x:v>
      </x:c>
      <x:c r="C1681" t="str">
        <x:v>GATE</x:v>
      </x:c>
      <x:c r="D1681" t="str">
        <x:v>release state mirrors governing ledger</x:v>
      </x:c>
      <x:c r="E1681" t="str">
        <x:f>'Release Gates'!I1655</x:f>
        <x:v>OPEN</x:v>
      </x:c>
      <x:c r="F1681" t="str">
        <x:f>IF('Release Gates'!C1655="PLANNING","PASS",IF('Release Gates'!C1655="PHYSICAL","OPEN","BLOCKED"))</x:f>
        <x:v>OPEN</x:v>
      </x:c>
      <x:c r="G1681" t="str">
        <x:v>equals</x:v>
      </x:c>
      <x:c r="H1681" t="str">
        <x:f>IF(E1681=F1681,"PASS","FAIL")</x:f>
        <x:v>PASS</x:v>
      </x:c>
    </x:row>
    <x:row r="1682">
      <x:c r="B1682" t="str">
        <x:v>A-01650</x:v>
      </x:c>
      <x:c r="C1682" t="str">
        <x:v>GATE</x:v>
      </x:c>
      <x:c r="D1682" t="str">
        <x:v>release state mirrors governing ledger</x:v>
      </x:c>
      <x:c r="E1682" t="str">
        <x:f>'Release Gates'!I1656</x:f>
        <x:v>OPEN</x:v>
      </x:c>
      <x:c r="F1682" t="str">
        <x:f>IF('Release Gates'!C1656="PLANNING","PASS",IF('Release Gates'!C1656="PHYSICAL","OPEN","BLOCKED"))</x:f>
        <x:v>OPEN</x:v>
      </x:c>
      <x:c r="G1682" t="str">
        <x:v>equals</x:v>
      </x:c>
      <x:c r="H1682" t="str">
        <x:f>IF(E1682=F1682,"PASS","FAIL")</x:f>
        <x:v>PASS</x:v>
      </x:c>
    </x:row>
    <x:row r="1683">
      <x:c r="B1683" t="str">
        <x:v>A-01651</x:v>
      </x:c>
      <x:c r="C1683" t="str">
        <x:v>GATE</x:v>
      </x:c>
      <x:c r="D1683" t="str">
        <x:v>release state mirrors governing ledger</x:v>
      </x:c>
      <x:c r="E1683" t="str">
        <x:f>'Release Gates'!I1657</x:f>
        <x:v>OPEN</x:v>
      </x:c>
      <x:c r="F1683" t="str">
        <x:f>IF('Release Gates'!C1657="PLANNING","PASS",IF('Release Gates'!C1657="PHYSICAL","OPEN","BLOCKED"))</x:f>
        <x:v>OPEN</x:v>
      </x:c>
      <x:c r="G1683" t="str">
        <x:v>equals</x:v>
      </x:c>
      <x:c r="H1683" t="str">
        <x:f>IF(E1683=F1683,"PASS","FAIL")</x:f>
        <x:v>PASS</x:v>
      </x:c>
    </x:row>
    <x:row r="1684">
      <x:c r="B1684" t="str">
        <x:v>A-01652</x:v>
      </x:c>
      <x:c r="C1684" t="str">
        <x:v>GATE</x:v>
      </x:c>
      <x:c r="D1684" t="str">
        <x:v>release state mirrors governing ledger</x:v>
      </x:c>
      <x:c r="E1684" t="str">
        <x:f>'Release Gates'!I1658</x:f>
        <x:v>OPEN</x:v>
      </x:c>
      <x:c r="F1684" t="str">
        <x:f>IF('Release Gates'!C1658="PLANNING","PASS",IF('Release Gates'!C1658="PHYSICAL","OPEN","BLOCKED"))</x:f>
        <x:v>OPEN</x:v>
      </x:c>
      <x:c r="G1684" t="str">
        <x:v>equals</x:v>
      </x:c>
      <x:c r="H1684" t="str">
        <x:f>IF(E1684=F1684,"PASS","FAIL")</x:f>
        <x:v>PASS</x:v>
      </x:c>
    </x:row>
    <x:row r="1685">
      <x:c r="B1685" t="str">
        <x:v>A-01653</x:v>
      </x:c>
      <x:c r="C1685" t="str">
        <x:v>GATE</x:v>
      </x:c>
      <x:c r="D1685" t="str">
        <x:v>release state mirrors governing ledger</x:v>
      </x:c>
      <x:c r="E1685" t="str">
        <x:f>'Release Gates'!I1659</x:f>
        <x:v>OPEN</x:v>
      </x:c>
      <x:c r="F1685" t="str">
        <x:f>IF('Release Gates'!C1659="PLANNING","PASS",IF('Release Gates'!C1659="PHYSICAL","OPEN","BLOCKED"))</x:f>
        <x:v>OPEN</x:v>
      </x:c>
      <x:c r="G1685" t="str">
        <x:v>equals</x:v>
      </x:c>
      <x:c r="H1685" t="str">
        <x:f>IF(E1685=F1685,"PASS","FAIL")</x:f>
        <x:v>PASS</x:v>
      </x:c>
    </x:row>
    <x:row r="1686">
      <x:c r="B1686" t="str">
        <x:v>A-01654</x:v>
      </x:c>
      <x:c r="C1686" t="str">
        <x:v>GATE</x:v>
      </x:c>
      <x:c r="D1686" t="str">
        <x:v>release state mirrors governing ledger</x:v>
      </x:c>
      <x:c r="E1686" t="str">
        <x:f>'Release Gates'!I1660</x:f>
        <x:v>OPEN</x:v>
      </x:c>
      <x:c r="F1686" t="str">
        <x:f>IF('Release Gates'!C1660="PLANNING","PASS",IF('Release Gates'!C1660="PHYSICAL","OPEN","BLOCKED"))</x:f>
        <x:v>OPEN</x:v>
      </x:c>
      <x:c r="G1686" t="str">
        <x:v>equals</x:v>
      </x:c>
      <x:c r="H1686" t="str">
        <x:f>IF(E1686=F1686,"PASS","FAIL")</x:f>
        <x:v>PASS</x:v>
      </x:c>
    </x:row>
    <x:row r="1687">
      <x:c r="B1687" t="str">
        <x:v>A-01655</x:v>
      </x:c>
      <x:c r="C1687" t="str">
        <x:v>GATE</x:v>
      </x:c>
      <x:c r="D1687" t="str">
        <x:v>release state mirrors governing ledger</x:v>
      </x:c>
      <x:c r="E1687" t="str">
        <x:f>'Release Gates'!I1661</x:f>
        <x:v>OPEN</x:v>
      </x:c>
      <x:c r="F1687" t="str">
        <x:f>IF('Release Gates'!C1661="PLANNING","PASS",IF('Release Gates'!C1661="PHYSICAL","OPEN","BLOCKED"))</x:f>
        <x:v>OPEN</x:v>
      </x:c>
      <x:c r="G1687" t="str">
        <x:v>equals</x:v>
      </x:c>
      <x:c r="H1687" t="str">
        <x:f>IF(E1687=F1687,"PASS","FAIL")</x:f>
        <x:v>PASS</x:v>
      </x:c>
    </x:row>
    <x:row r="1688">
      <x:c r="B1688" t="str">
        <x:v>A-01656</x:v>
      </x:c>
      <x:c r="C1688" t="str">
        <x:v>GATE</x:v>
      </x:c>
      <x:c r="D1688" t="str">
        <x:v>release state mirrors governing ledger</x:v>
      </x:c>
      <x:c r="E1688" t="str">
        <x:f>'Release Gates'!I1662</x:f>
        <x:v>OPEN</x:v>
      </x:c>
      <x:c r="F1688" t="str">
        <x:f>IF('Release Gates'!C1662="PLANNING","PASS",IF('Release Gates'!C1662="PHYSICAL","OPEN","BLOCKED"))</x:f>
        <x:v>OPEN</x:v>
      </x:c>
      <x:c r="G1688" t="str">
        <x:v>equals</x:v>
      </x:c>
      <x:c r="H1688" t="str">
        <x:f>IF(E1688=F1688,"PASS","FAIL")</x:f>
        <x:v>PASS</x:v>
      </x:c>
    </x:row>
    <x:row r="1689">
      <x:c r="B1689" t="str">
        <x:v>A-01657</x:v>
      </x:c>
      <x:c r="C1689" t="str">
        <x:v>GATE</x:v>
      </x:c>
      <x:c r="D1689" t="str">
        <x:v>release state mirrors governing ledger</x:v>
      </x:c>
      <x:c r="E1689" t="str">
        <x:f>'Release Gates'!I1663</x:f>
        <x:v>OPEN</x:v>
      </x:c>
      <x:c r="F1689" t="str">
        <x:f>IF('Release Gates'!C1663="PLANNING","PASS",IF('Release Gates'!C1663="PHYSICAL","OPEN","BLOCKED"))</x:f>
        <x:v>OPEN</x:v>
      </x:c>
      <x:c r="G1689" t="str">
        <x:v>equals</x:v>
      </x:c>
      <x:c r="H1689" t="str">
        <x:f>IF(E1689=F1689,"PASS","FAIL")</x:f>
        <x:v>PASS</x:v>
      </x:c>
    </x:row>
    <x:row r="1690">
      <x:c r="B1690" t="str">
        <x:v>A-01658</x:v>
      </x:c>
      <x:c r="C1690" t="str">
        <x:v>GATE</x:v>
      </x:c>
      <x:c r="D1690" t="str">
        <x:v>release state mirrors governing ledger</x:v>
      </x:c>
      <x:c r="E1690" t="str">
        <x:f>'Release Gates'!I1664</x:f>
        <x:v>OPEN</x:v>
      </x:c>
      <x:c r="F1690" t="str">
        <x:f>IF('Release Gates'!C1664="PLANNING","PASS",IF('Release Gates'!C1664="PHYSICAL","OPEN","BLOCKED"))</x:f>
        <x:v>OPEN</x:v>
      </x:c>
      <x:c r="G1690" t="str">
        <x:v>equals</x:v>
      </x:c>
      <x:c r="H1690" t="str">
        <x:f>IF(E1690=F1690,"PASS","FAIL")</x:f>
        <x:v>PASS</x:v>
      </x:c>
    </x:row>
    <x:row r="1691">
      <x:c r="B1691" t="str">
        <x:v>A-01659</x:v>
      </x:c>
      <x:c r="C1691" t="str">
        <x:v>GATE</x:v>
      </x:c>
      <x:c r="D1691" t="str">
        <x:v>release state mirrors governing ledger</x:v>
      </x:c>
      <x:c r="E1691" t="str">
        <x:f>'Release Gates'!I1665</x:f>
        <x:v>OPEN</x:v>
      </x:c>
      <x:c r="F1691" t="str">
        <x:f>IF('Release Gates'!C1665="PLANNING","PASS",IF('Release Gates'!C1665="PHYSICAL","OPEN","BLOCKED"))</x:f>
        <x:v>OPEN</x:v>
      </x:c>
      <x:c r="G1691" t="str">
        <x:v>equals</x:v>
      </x:c>
      <x:c r="H1691" t="str">
        <x:f>IF(E1691=F1691,"PASS","FAIL")</x:f>
        <x:v>PASS</x:v>
      </x:c>
    </x:row>
    <x:row r="1692">
      <x:c r="B1692" t="str">
        <x:v>A-01660</x:v>
      </x:c>
      <x:c r="C1692" t="str">
        <x:v>GATE</x:v>
      </x:c>
      <x:c r="D1692" t="str">
        <x:v>release state mirrors governing ledger</x:v>
      </x:c>
      <x:c r="E1692" t="str">
        <x:f>'Release Gates'!I1666</x:f>
        <x:v>OPEN</x:v>
      </x:c>
      <x:c r="F1692" t="str">
        <x:f>IF('Release Gates'!C1666="PLANNING","PASS",IF('Release Gates'!C1666="PHYSICAL","OPEN","BLOCKED"))</x:f>
        <x:v>OPEN</x:v>
      </x:c>
      <x:c r="G1692" t="str">
        <x:v>equals</x:v>
      </x:c>
      <x:c r="H1692" t="str">
        <x:f>IF(E1692=F1692,"PASS","FAIL")</x:f>
        <x:v>PASS</x:v>
      </x:c>
    </x:row>
    <x:row r="1693">
      <x:c r="B1693" t="str">
        <x:v>A-01661</x:v>
      </x:c>
      <x:c r="C1693" t="str">
        <x:v>GATE</x:v>
      </x:c>
      <x:c r="D1693" t="str">
        <x:v>release state mirrors governing ledger</x:v>
      </x:c>
      <x:c r="E1693" t="str">
        <x:f>'Release Gates'!I1667</x:f>
        <x:v>OPEN</x:v>
      </x:c>
      <x:c r="F1693" t="str">
        <x:f>IF('Release Gates'!C1667="PLANNING","PASS",IF('Release Gates'!C1667="PHYSICAL","OPEN","BLOCKED"))</x:f>
        <x:v>OPEN</x:v>
      </x:c>
      <x:c r="G1693" t="str">
        <x:v>equals</x:v>
      </x:c>
      <x:c r="H1693" t="str">
        <x:f>IF(E1693=F1693,"PASS","FAIL")</x:f>
        <x:v>PASS</x:v>
      </x:c>
    </x:row>
    <x:row r="1694">
      <x:c r="B1694" t="str">
        <x:v>A-01662</x:v>
      </x:c>
      <x:c r="C1694" t="str">
        <x:v>GATE</x:v>
      </x:c>
      <x:c r="D1694" t="str">
        <x:v>release state mirrors governing ledger</x:v>
      </x:c>
      <x:c r="E1694" t="str">
        <x:f>'Release Gates'!I1668</x:f>
        <x:v>OPEN</x:v>
      </x:c>
      <x:c r="F1694" t="str">
        <x:f>IF('Release Gates'!C1668="PLANNING","PASS",IF('Release Gates'!C1668="PHYSICAL","OPEN","BLOCKED"))</x:f>
        <x:v>OPEN</x:v>
      </x:c>
      <x:c r="G1694" t="str">
        <x:v>equals</x:v>
      </x:c>
      <x:c r="H1694" t="str">
        <x:f>IF(E1694=F1694,"PASS","FAIL")</x:f>
        <x:v>PASS</x:v>
      </x:c>
    </x:row>
    <x:row r="1695">
      <x:c r="B1695" t="str">
        <x:v>A-01663</x:v>
      </x:c>
      <x:c r="C1695" t="str">
        <x:v>GATE</x:v>
      </x:c>
      <x:c r="D1695" t="str">
        <x:v>release state mirrors governing ledger</x:v>
      </x:c>
      <x:c r="E1695" t="str">
        <x:f>'Release Gates'!I1669</x:f>
        <x:v>OPEN</x:v>
      </x:c>
      <x:c r="F1695" t="str">
        <x:f>IF('Release Gates'!C1669="PLANNING","PASS",IF('Release Gates'!C1669="PHYSICAL","OPEN","BLOCKED"))</x:f>
        <x:v>OPEN</x:v>
      </x:c>
      <x:c r="G1695" t="str">
        <x:v>equals</x:v>
      </x:c>
      <x:c r="H1695" t="str">
        <x:f>IF(E1695=F1695,"PASS","FAIL")</x:f>
        <x:v>PASS</x:v>
      </x:c>
    </x:row>
    <x:row r="1696">
      <x:c r="B1696" t="str">
        <x:v>A-01664</x:v>
      </x:c>
      <x:c r="C1696" t="str">
        <x:v>GATE</x:v>
      </x:c>
      <x:c r="D1696" t="str">
        <x:v>release state mirrors governing ledger</x:v>
      </x:c>
      <x:c r="E1696" t="str">
        <x:f>'Release Gates'!I1670</x:f>
        <x:v>OPEN</x:v>
      </x:c>
      <x:c r="F1696" t="str">
        <x:f>IF('Release Gates'!C1670="PLANNING","PASS",IF('Release Gates'!C1670="PHYSICAL","OPEN","BLOCKED"))</x:f>
        <x:v>OPEN</x:v>
      </x:c>
      <x:c r="G1696" t="str">
        <x:v>equals</x:v>
      </x:c>
      <x:c r="H1696" t="str">
        <x:f>IF(E1696=F1696,"PASS","FAIL")</x:f>
        <x:v>PASS</x:v>
      </x:c>
    </x:row>
    <x:row r="1697">
      <x:c r="B1697" t="str">
        <x:v>A-01665</x:v>
      </x:c>
      <x:c r="C1697" t="str">
        <x:v>GATE</x:v>
      </x:c>
      <x:c r="D1697" t="str">
        <x:v>release state mirrors governing ledger</x:v>
      </x:c>
      <x:c r="E1697" t="str">
        <x:f>'Release Gates'!I1671</x:f>
        <x:v>OPEN</x:v>
      </x:c>
      <x:c r="F1697" t="str">
        <x:f>IF('Release Gates'!C1671="PLANNING","PASS",IF('Release Gates'!C1671="PHYSICAL","OPEN","BLOCKED"))</x:f>
        <x:v>OPEN</x:v>
      </x:c>
      <x:c r="G1697" t="str">
        <x:v>equals</x:v>
      </x:c>
      <x:c r="H1697" t="str">
        <x:f>IF(E1697=F1697,"PASS","FAIL")</x:f>
        <x:v>PASS</x:v>
      </x:c>
    </x:row>
    <x:row r="1698">
      <x:c r="B1698" t="str">
        <x:v>A-01666</x:v>
      </x:c>
      <x:c r="C1698" t="str">
        <x:v>GATE</x:v>
      </x:c>
      <x:c r="D1698" t="str">
        <x:v>release state mirrors governing ledger</x:v>
      </x:c>
      <x:c r="E1698" t="str">
        <x:f>'Release Gates'!I1672</x:f>
        <x:v>OPEN</x:v>
      </x:c>
      <x:c r="F1698" t="str">
        <x:f>IF('Release Gates'!C1672="PLANNING","PASS",IF('Release Gates'!C1672="PHYSICAL","OPEN","BLOCKED"))</x:f>
        <x:v>OPEN</x:v>
      </x:c>
      <x:c r="G1698" t="str">
        <x:v>equals</x:v>
      </x:c>
      <x:c r="H1698" t="str">
        <x:f>IF(E1698=F1698,"PASS","FAIL")</x:f>
        <x:v>PASS</x:v>
      </x:c>
    </x:row>
    <x:row r="1699">
      <x:c r="B1699" t="str">
        <x:v>A-01667</x:v>
      </x:c>
      <x:c r="C1699" t="str">
        <x:v>GATE</x:v>
      </x:c>
      <x:c r="D1699" t="str">
        <x:v>release state mirrors governing ledger</x:v>
      </x:c>
      <x:c r="E1699" t="str">
        <x:f>'Release Gates'!I1673</x:f>
        <x:v>OPEN</x:v>
      </x:c>
      <x:c r="F1699" t="str">
        <x:f>IF('Release Gates'!C1673="PLANNING","PASS",IF('Release Gates'!C1673="PHYSICAL","OPEN","BLOCKED"))</x:f>
        <x:v>OPEN</x:v>
      </x:c>
      <x:c r="G1699" t="str">
        <x:v>equals</x:v>
      </x:c>
      <x:c r="H1699" t="str">
        <x:f>IF(E1699=F1699,"PASS","FAIL")</x:f>
        <x:v>PASS</x:v>
      </x:c>
    </x:row>
    <x:row r="1700">
      <x:c r="B1700" t="str">
        <x:v>A-01668</x:v>
      </x:c>
      <x:c r="C1700" t="str">
        <x:v>GATE</x:v>
      </x:c>
      <x:c r="D1700" t="str">
        <x:v>release state mirrors governing ledger</x:v>
      </x:c>
      <x:c r="E1700" t="str">
        <x:f>'Release Gates'!I1674</x:f>
        <x:v>OPEN</x:v>
      </x:c>
      <x:c r="F1700" t="str">
        <x:f>IF('Release Gates'!C1674="PLANNING","PASS",IF('Release Gates'!C1674="PHYSICAL","OPEN","BLOCKED"))</x:f>
        <x:v>OPEN</x:v>
      </x:c>
      <x:c r="G1700" t="str">
        <x:v>equals</x:v>
      </x:c>
      <x:c r="H1700" t="str">
        <x:f>IF(E1700=F1700,"PASS","FAIL")</x:f>
        <x:v>PASS</x:v>
      </x:c>
    </x:row>
    <x:row r="1701">
      <x:c r="B1701" t="str">
        <x:v>A-01669</x:v>
      </x:c>
      <x:c r="C1701" t="str">
        <x:v>GATE</x:v>
      </x:c>
      <x:c r="D1701" t="str">
        <x:v>release state mirrors governing ledger</x:v>
      </x:c>
      <x:c r="E1701" t="str">
        <x:f>'Release Gates'!I1675</x:f>
        <x:v>OPEN</x:v>
      </x:c>
      <x:c r="F1701" t="str">
        <x:f>IF('Release Gates'!C1675="PLANNING","PASS",IF('Release Gates'!C1675="PHYSICAL","OPEN","BLOCKED"))</x:f>
        <x:v>OPEN</x:v>
      </x:c>
      <x:c r="G1701" t="str">
        <x:v>equals</x:v>
      </x:c>
      <x:c r="H1701" t="str">
        <x:f>IF(E1701=F1701,"PASS","FAIL")</x:f>
        <x:v>PASS</x:v>
      </x:c>
    </x:row>
    <x:row r="1702">
      <x:c r="B1702" t="str">
        <x:v>A-01670</x:v>
      </x:c>
      <x:c r="C1702" t="str">
        <x:v>GATE</x:v>
      </x:c>
      <x:c r="D1702" t="str">
        <x:v>release state mirrors governing ledger</x:v>
      </x:c>
      <x:c r="E1702" t="str">
        <x:f>'Release Gates'!I1676</x:f>
        <x:v>OPEN</x:v>
      </x:c>
      <x:c r="F1702" t="str">
        <x:f>IF('Release Gates'!C1676="PLANNING","PASS",IF('Release Gates'!C1676="PHYSICAL","OPEN","BLOCKED"))</x:f>
        <x:v>OPEN</x:v>
      </x:c>
      <x:c r="G1702" t="str">
        <x:v>equals</x:v>
      </x:c>
      <x:c r="H1702" t="str">
        <x:f>IF(E1702=F1702,"PASS","FAIL")</x:f>
        <x:v>PASS</x:v>
      </x:c>
    </x:row>
    <x:row r="1703">
      <x:c r="B1703" t="str">
        <x:v>A-01671</x:v>
      </x:c>
      <x:c r="C1703" t="str">
        <x:v>GATE</x:v>
      </x:c>
      <x:c r="D1703" t="str">
        <x:v>release state mirrors governing ledger</x:v>
      </x:c>
      <x:c r="E1703" t="str">
        <x:f>'Release Gates'!I1677</x:f>
        <x:v>OPEN</x:v>
      </x:c>
      <x:c r="F1703" t="str">
        <x:f>IF('Release Gates'!C1677="PLANNING","PASS",IF('Release Gates'!C1677="PHYSICAL","OPEN","BLOCKED"))</x:f>
        <x:v>OPEN</x:v>
      </x:c>
      <x:c r="G1703" t="str">
        <x:v>equals</x:v>
      </x:c>
      <x:c r="H1703" t="str">
        <x:f>IF(E1703=F1703,"PASS","FAIL")</x:f>
        <x:v>PASS</x:v>
      </x:c>
    </x:row>
    <x:row r="1704">
      <x:c r="B1704" t="str">
        <x:v>A-01672</x:v>
      </x:c>
      <x:c r="C1704" t="str">
        <x:v>GATE</x:v>
      </x:c>
      <x:c r="D1704" t="str">
        <x:v>release state mirrors governing ledger</x:v>
      </x:c>
      <x:c r="E1704" t="str">
        <x:f>'Release Gates'!I1678</x:f>
        <x:v>OPEN</x:v>
      </x:c>
      <x:c r="F1704" t="str">
        <x:f>IF('Release Gates'!C1678="PLANNING","PASS",IF('Release Gates'!C1678="PHYSICAL","OPEN","BLOCKED"))</x:f>
        <x:v>OPEN</x:v>
      </x:c>
      <x:c r="G1704" t="str">
        <x:v>equals</x:v>
      </x:c>
      <x:c r="H1704" t="str">
        <x:f>IF(E1704=F1704,"PASS","FAIL")</x:f>
        <x:v>PASS</x:v>
      </x:c>
    </x:row>
    <x:row r="1705">
      <x:c r="B1705" t="str">
        <x:v>A-01673</x:v>
      </x:c>
      <x:c r="C1705" t="str">
        <x:v>GATE</x:v>
      </x:c>
      <x:c r="D1705" t="str">
        <x:v>release state mirrors governing ledger</x:v>
      </x:c>
      <x:c r="E1705" t="str">
        <x:f>'Release Gates'!I1679</x:f>
        <x:v>OPEN</x:v>
      </x:c>
      <x:c r="F1705" t="str">
        <x:f>IF('Release Gates'!C1679="PLANNING","PASS",IF('Release Gates'!C1679="PHYSICAL","OPEN","BLOCKED"))</x:f>
        <x:v>OPEN</x:v>
      </x:c>
      <x:c r="G1705" t="str">
        <x:v>equals</x:v>
      </x:c>
      <x:c r="H1705" t="str">
        <x:f>IF(E1705=F1705,"PASS","FAIL")</x:f>
        <x:v>PASS</x:v>
      </x:c>
    </x:row>
    <x:row r="1706">
      <x:c r="B1706" t="str">
        <x:v>A-01674</x:v>
      </x:c>
      <x:c r="C1706" t="str">
        <x:v>GATE</x:v>
      </x:c>
      <x:c r="D1706" t="str">
        <x:v>release state mirrors governing ledger</x:v>
      </x:c>
      <x:c r="E1706" t="str">
        <x:f>'Release Gates'!I1680</x:f>
        <x:v>OPEN</x:v>
      </x:c>
      <x:c r="F1706" t="str">
        <x:f>IF('Release Gates'!C1680="PLANNING","PASS",IF('Release Gates'!C1680="PHYSICAL","OPEN","BLOCKED"))</x:f>
        <x:v>OPEN</x:v>
      </x:c>
      <x:c r="G1706" t="str">
        <x:v>equals</x:v>
      </x:c>
      <x:c r="H1706" t="str">
        <x:f>IF(E1706=F1706,"PASS","FAIL")</x:f>
        <x:v>PASS</x:v>
      </x:c>
    </x:row>
    <x:row r="1707">
      <x:c r="B1707" t="str">
        <x:v>A-01675</x:v>
      </x:c>
      <x:c r="C1707" t="str">
        <x:v>GATE</x:v>
      </x:c>
      <x:c r="D1707" t="str">
        <x:v>release state mirrors governing ledger</x:v>
      </x:c>
      <x:c r="E1707" t="str">
        <x:f>'Release Gates'!I1681</x:f>
        <x:v>OPEN</x:v>
      </x:c>
      <x:c r="F1707" t="str">
        <x:f>IF('Release Gates'!C1681="PLANNING","PASS",IF('Release Gates'!C1681="PHYSICAL","OPEN","BLOCKED"))</x:f>
        <x:v>OPEN</x:v>
      </x:c>
      <x:c r="G1707" t="str">
        <x:v>equals</x:v>
      </x:c>
      <x:c r="H1707" t="str">
        <x:f>IF(E1707=F1707,"PASS","FAIL")</x:f>
        <x:v>PASS</x:v>
      </x:c>
    </x:row>
    <x:row r="1708">
      <x:c r="B1708" t="str">
        <x:v>A-01676</x:v>
      </x:c>
      <x:c r="C1708" t="str">
        <x:v>GATE</x:v>
      </x:c>
      <x:c r="D1708" t="str">
        <x:v>release state mirrors governing ledger</x:v>
      </x:c>
      <x:c r="E1708" t="str">
        <x:f>'Release Gates'!I1682</x:f>
        <x:v>OPEN</x:v>
      </x:c>
      <x:c r="F1708" t="str">
        <x:f>IF('Release Gates'!C1682="PLANNING","PASS",IF('Release Gates'!C1682="PHYSICAL","OPEN","BLOCKED"))</x:f>
        <x:v>OPEN</x:v>
      </x:c>
      <x:c r="G1708" t="str">
        <x:v>equals</x:v>
      </x:c>
      <x:c r="H1708" t="str">
        <x:f>IF(E1708=F1708,"PASS","FAIL")</x:f>
        <x:v>PASS</x:v>
      </x:c>
    </x:row>
    <x:row r="1709">
      <x:c r="B1709" t="str">
        <x:v>A-01677</x:v>
      </x:c>
      <x:c r="C1709" t="str">
        <x:v>GATE</x:v>
      </x:c>
      <x:c r="D1709" t="str">
        <x:v>release state mirrors governing ledger</x:v>
      </x:c>
      <x:c r="E1709" t="str">
        <x:f>'Release Gates'!I1683</x:f>
        <x:v>OPEN</x:v>
      </x:c>
      <x:c r="F1709" t="str">
        <x:f>IF('Release Gates'!C1683="PLANNING","PASS",IF('Release Gates'!C1683="PHYSICAL","OPEN","BLOCKED"))</x:f>
        <x:v>OPEN</x:v>
      </x:c>
      <x:c r="G1709" t="str">
        <x:v>equals</x:v>
      </x:c>
      <x:c r="H1709" t="str">
        <x:f>IF(E1709=F1709,"PASS","FAIL")</x:f>
        <x:v>PASS</x:v>
      </x:c>
    </x:row>
    <x:row r="1710">
      <x:c r="B1710" t="str">
        <x:v>A-01678</x:v>
      </x:c>
      <x:c r="C1710" t="str">
        <x:v>GATE</x:v>
      </x:c>
      <x:c r="D1710" t="str">
        <x:v>release state mirrors governing ledger</x:v>
      </x:c>
      <x:c r="E1710" t="str">
        <x:f>'Release Gates'!I1684</x:f>
        <x:v>OPEN</x:v>
      </x:c>
      <x:c r="F1710" t="str">
        <x:f>IF('Release Gates'!C1684="PLANNING","PASS",IF('Release Gates'!C1684="PHYSICAL","OPEN","BLOCKED"))</x:f>
        <x:v>OPEN</x:v>
      </x:c>
      <x:c r="G1710" t="str">
        <x:v>equals</x:v>
      </x:c>
      <x:c r="H1710" t="str">
        <x:f>IF(E1710=F1710,"PASS","FAIL")</x:f>
        <x:v>PASS</x:v>
      </x:c>
    </x:row>
    <x:row r="1711">
      <x:c r="B1711" t="str">
        <x:v>A-01679</x:v>
      </x:c>
      <x:c r="C1711" t="str">
        <x:v>GATE</x:v>
      </x:c>
      <x:c r="D1711" t="str">
        <x:v>release state mirrors governing ledger</x:v>
      </x:c>
      <x:c r="E1711" t="str">
        <x:f>'Release Gates'!I1685</x:f>
        <x:v>OPEN</x:v>
      </x:c>
      <x:c r="F1711" t="str">
        <x:f>IF('Release Gates'!C1685="PLANNING","PASS",IF('Release Gates'!C1685="PHYSICAL","OPEN","BLOCKED"))</x:f>
        <x:v>OPEN</x:v>
      </x:c>
      <x:c r="G1711" t="str">
        <x:v>equals</x:v>
      </x:c>
      <x:c r="H1711" t="str">
        <x:f>IF(E1711=F1711,"PASS","FAIL")</x:f>
        <x:v>PASS</x:v>
      </x:c>
    </x:row>
    <x:row r="1712">
      <x:c r="B1712" t="str">
        <x:v>A-01680</x:v>
      </x:c>
      <x:c r="C1712" t="str">
        <x:v>GATE</x:v>
      </x:c>
      <x:c r="D1712" t="str">
        <x:v>release state mirrors governing ledger</x:v>
      </x:c>
      <x:c r="E1712" t="str">
        <x:f>'Release Gates'!I1686</x:f>
        <x:v>OPEN</x:v>
      </x:c>
      <x:c r="F1712" t="str">
        <x:f>IF('Release Gates'!C1686="PLANNING","PASS",IF('Release Gates'!C1686="PHYSICAL","OPEN","BLOCKED"))</x:f>
        <x:v>OPEN</x:v>
      </x:c>
      <x:c r="G1712" t="str">
        <x:v>equals</x:v>
      </x:c>
      <x:c r="H1712" t="str">
        <x:f>IF(E1712=F1712,"PASS","FAIL")</x:f>
        <x:v>PASS</x:v>
      </x:c>
    </x:row>
    <x:row r="1713">
      <x:c r="B1713" t="str">
        <x:v>A-01681</x:v>
      </x:c>
      <x:c r="C1713" t="str">
        <x:v>GATE</x:v>
      </x:c>
      <x:c r="D1713" t="str">
        <x:v>release state mirrors governing ledger</x:v>
      </x:c>
      <x:c r="E1713" t="str">
        <x:f>'Release Gates'!I1687</x:f>
        <x:v>OPEN</x:v>
      </x:c>
      <x:c r="F1713" t="str">
        <x:f>IF('Release Gates'!C1687="PLANNING","PASS",IF('Release Gates'!C1687="PHYSICAL","OPEN","BLOCKED"))</x:f>
        <x:v>OPEN</x:v>
      </x:c>
      <x:c r="G1713" t="str">
        <x:v>equals</x:v>
      </x:c>
      <x:c r="H1713" t="str">
        <x:f>IF(E1713=F1713,"PASS","FAIL")</x:f>
        <x:v>PASS</x:v>
      </x:c>
    </x:row>
    <x:row r="1714">
      <x:c r="B1714" t="str">
        <x:v>A-01682</x:v>
      </x:c>
      <x:c r="C1714" t="str">
        <x:v>GATE</x:v>
      </x:c>
      <x:c r="D1714" t="str">
        <x:v>release state mirrors governing ledger</x:v>
      </x:c>
      <x:c r="E1714" t="str">
        <x:f>'Release Gates'!I1688</x:f>
        <x:v>OPEN</x:v>
      </x:c>
      <x:c r="F1714" t="str">
        <x:f>IF('Release Gates'!C1688="PLANNING","PASS",IF('Release Gates'!C1688="PHYSICAL","OPEN","BLOCKED"))</x:f>
        <x:v>OPEN</x:v>
      </x:c>
      <x:c r="G1714" t="str">
        <x:v>equals</x:v>
      </x:c>
      <x:c r="H1714" t="str">
        <x:f>IF(E1714=F1714,"PASS","FAIL")</x:f>
        <x:v>PASS</x:v>
      </x:c>
    </x:row>
    <x:row r="1715">
      <x:c r="B1715" t="str">
        <x:v>A-01683</x:v>
      </x:c>
      <x:c r="C1715" t="str">
        <x:v>GATE</x:v>
      </x:c>
      <x:c r="D1715" t="str">
        <x:v>release state mirrors governing ledger</x:v>
      </x:c>
      <x:c r="E1715" t="str">
        <x:f>'Release Gates'!I1689</x:f>
        <x:v>OPEN</x:v>
      </x:c>
      <x:c r="F1715" t="str">
        <x:f>IF('Release Gates'!C1689="PLANNING","PASS",IF('Release Gates'!C1689="PHYSICAL","OPEN","BLOCKED"))</x:f>
        <x:v>OPEN</x:v>
      </x:c>
      <x:c r="G1715" t="str">
        <x:v>equals</x:v>
      </x:c>
      <x:c r="H1715" t="str">
        <x:f>IF(E1715=F1715,"PASS","FAIL")</x:f>
        <x:v>PASS</x:v>
      </x:c>
    </x:row>
    <x:row r="1716">
      <x:c r="B1716" t="str">
        <x:v>A-01684</x:v>
      </x:c>
      <x:c r="C1716" t="str">
        <x:v>GATE</x:v>
      </x:c>
      <x:c r="D1716" t="str">
        <x:v>release state mirrors governing ledger</x:v>
      </x:c>
      <x:c r="E1716" t="str">
        <x:f>'Release Gates'!I1690</x:f>
        <x:v>OPEN</x:v>
      </x:c>
      <x:c r="F1716" t="str">
        <x:f>IF('Release Gates'!C1690="PLANNING","PASS",IF('Release Gates'!C1690="PHYSICAL","OPEN","BLOCKED"))</x:f>
        <x:v>OPEN</x:v>
      </x:c>
      <x:c r="G1716" t="str">
        <x:v>equals</x:v>
      </x:c>
      <x:c r="H1716" t="str">
        <x:f>IF(E1716=F1716,"PASS","FAIL")</x:f>
        <x:v>PASS</x:v>
      </x:c>
    </x:row>
    <x:row r="1717">
      <x:c r="B1717" t="str">
        <x:v>A-01685</x:v>
      </x:c>
      <x:c r="C1717" t="str">
        <x:v>GATE</x:v>
      </x:c>
      <x:c r="D1717" t="str">
        <x:v>release state mirrors governing ledger</x:v>
      </x:c>
      <x:c r="E1717" t="str">
        <x:f>'Release Gates'!I1691</x:f>
        <x:v>OPEN</x:v>
      </x:c>
      <x:c r="F1717" t="str">
        <x:f>IF('Release Gates'!C1691="PLANNING","PASS",IF('Release Gates'!C1691="PHYSICAL","OPEN","BLOCKED"))</x:f>
        <x:v>OPEN</x:v>
      </x:c>
      <x:c r="G1717" t="str">
        <x:v>equals</x:v>
      </x:c>
      <x:c r="H1717" t="str">
        <x:f>IF(E1717=F1717,"PASS","FAIL")</x:f>
        <x:v>PASS</x:v>
      </x:c>
    </x:row>
    <x:row r="1718">
      <x:c r="B1718" t="str">
        <x:v>A-01686</x:v>
      </x:c>
      <x:c r="C1718" t="str">
        <x:v>GATE</x:v>
      </x:c>
      <x:c r="D1718" t="str">
        <x:v>release state mirrors governing ledger</x:v>
      </x:c>
      <x:c r="E1718" t="str">
        <x:f>'Release Gates'!I1692</x:f>
        <x:v>OPEN</x:v>
      </x:c>
      <x:c r="F1718" t="str">
        <x:f>IF('Release Gates'!C1692="PLANNING","PASS",IF('Release Gates'!C1692="PHYSICAL","OPEN","BLOCKED"))</x:f>
        <x:v>OPEN</x:v>
      </x:c>
      <x:c r="G1718" t="str">
        <x:v>equals</x:v>
      </x:c>
      <x:c r="H1718" t="str">
        <x:f>IF(E1718=F1718,"PASS","FAIL")</x:f>
        <x:v>PASS</x:v>
      </x:c>
    </x:row>
    <x:row r="1719">
      <x:c r="B1719" t="str">
        <x:v>A-01687</x:v>
      </x:c>
      <x:c r="C1719" t="str">
        <x:v>GATE</x:v>
      </x:c>
      <x:c r="D1719" t="str">
        <x:v>release state mirrors governing ledger</x:v>
      </x:c>
      <x:c r="E1719" t="str">
        <x:f>'Release Gates'!I1693</x:f>
        <x:v>OPEN</x:v>
      </x:c>
      <x:c r="F1719" t="str">
        <x:f>IF('Release Gates'!C1693="PLANNING","PASS",IF('Release Gates'!C1693="PHYSICAL","OPEN","BLOCKED"))</x:f>
        <x:v>OPEN</x:v>
      </x:c>
      <x:c r="G1719" t="str">
        <x:v>equals</x:v>
      </x:c>
      <x:c r="H1719" t="str">
        <x:f>IF(E1719=F1719,"PASS","FAIL")</x:f>
        <x:v>PASS</x:v>
      </x:c>
    </x:row>
    <x:row r="1720">
      <x:c r="B1720" t="str">
        <x:v>A-01688</x:v>
      </x:c>
      <x:c r="C1720" t="str">
        <x:v>GATE</x:v>
      </x:c>
      <x:c r="D1720" t="str">
        <x:v>release state mirrors governing ledger</x:v>
      </x:c>
      <x:c r="E1720" t="str">
        <x:f>'Release Gates'!I1694</x:f>
        <x:v>OPEN</x:v>
      </x:c>
      <x:c r="F1720" t="str">
        <x:f>IF('Release Gates'!C1694="PLANNING","PASS",IF('Release Gates'!C1694="PHYSICAL","OPEN","BLOCKED"))</x:f>
        <x:v>OPEN</x:v>
      </x:c>
      <x:c r="G1720" t="str">
        <x:v>equals</x:v>
      </x:c>
      <x:c r="H1720" t="str">
        <x:f>IF(E1720=F1720,"PASS","FAIL")</x:f>
        <x:v>PASS</x:v>
      </x:c>
    </x:row>
    <x:row r="1721">
      <x:c r="B1721" t="str">
        <x:v>A-01689</x:v>
      </x:c>
      <x:c r="C1721" t="str">
        <x:v>GATE</x:v>
      </x:c>
      <x:c r="D1721" t="str">
        <x:v>release state mirrors governing ledger</x:v>
      </x:c>
      <x:c r="E1721" t="str">
        <x:f>'Release Gates'!I1695</x:f>
        <x:v>OPEN</x:v>
      </x:c>
      <x:c r="F1721" t="str">
        <x:f>IF('Release Gates'!C1695="PLANNING","PASS",IF('Release Gates'!C1695="PHYSICAL","OPEN","BLOCKED"))</x:f>
        <x:v>OPEN</x:v>
      </x:c>
      <x:c r="G1721" t="str">
        <x:v>equals</x:v>
      </x:c>
      <x:c r="H1721" t="str">
        <x:f>IF(E1721=F1721,"PASS","FAIL")</x:f>
        <x:v>PASS</x:v>
      </x:c>
    </x:row>
    <x:row r="1722">
      <x:c r="B1722" t="str">
        <x:v>A-01690</x:v>
      </x:c>
      <x:c r="C1722" t="str">
        <x:v>GATE</x:v>
      </x:c>
      <x:c r="D1722" t="str">
        <x:v>release state mirrors governing ledger</x:v>
      </x:c>
      <x:c r="E1722" t="str">
        <x:f>'Release Gates'!I1696</x:f>
        <x:v>OPEN</x:v>
      </x:c>
      <x:c r="F1722" t="str">
        <x:f>IF('Release Gates'!C1696="PLANNING","PASS",IF('Release Gates'!C1696="PHYSICAL","OPEN","BLOCKED"))</x:f>
        <x:v>OPEN</x:v>
      </x:c>
      <x:c r="G1722" t="str">
        <x:v>equals</x:v>
      </x:c>
      <x:c r="H1722" t="str">
        <x:f>IF(E1722=F1722,"PASS","FAIL")</x:f>
        <x:v>PASS</x:v>
      </x:c>
    </x:row>
    <x:row r="1723">
      <x:c r="B1723" t="str">
        <x:v>A-01691</x:v>
      </x:c>
      <x:c r="C1723" t="str">
        <x:v>GATE</x:v>
      </x:c>
      <x:c r="D1723" t="str">
        <x:v>release state mirrors governing ledger</x:v>
      </x:c>
      <x:c r="E1723" t="str">
        <x:f>'Release Gates'!I1697</x:f>
        <x:v>OPEN</x:v>
      </x:c>
      <x:c r="F1723" t="str">
        <x:f>IF('Release Gates'!C1697="PLANNING","PASS",IF('Release Gates'!C1697="PHYSICAL","OPEN","BLOCKED"))</x:f>
        <x:v>OPEN</x:v>
      </x:c>
      <x:c r="G1723" t="str">
        <x:v>equals</x:v>
      </x:c>
      <x:c r="H1723" t="str">
        <x:f>IF(E1723=F1723,"PASS","FAIL")</x:f>
        <x:v>PASS</x:v>
      </x:c>
    </x:row>
    <x:row r="1724">
      <x:c r="B1724" t="str">
        <x:v>A-01692</x:v>
      </x:c>
      <x:c r="C1724" t="str">
        <x:v>GATE</x:v>
      </x:c>
      <x:c r="D1724" t="str">
        <x:v>release state mirrors governing ledger</x:v>
      </x:c>
      <x:c r="E1724" t="str">
        <x:f>'Release Gates'!I1698</x:f>
        <x:v>OPEN</x:v>
      </x:c>
      <x:c r="F1724" t="str">
        <x:f>IF('Release Gates'!C1698="PLANNING","PASS",IF('Release Gates'!C1698="PHYSICAL","OPEN","BLOCKED"))</x:f>
        <x:v>OPEN</x:v>
      </x:c>
      <x:c r="G1724" t="str">
        <x:v>equals</x:v>
      </x:c>
      <x:c r="H1724" t="str">
        <x:f>IF(E1724=F1724,"PASS","FAIL")</x:f>
        <x:v>PASS</x:v>
      </x:c>
    </x:row>
    <x:row r="1725">
      <x:c r="B1725" t="str">
        <x:v>A-01693</x:v>
      </x:c>
      <x:c r="C1725" t="str">
        <x:v>GATE</x:v>
      </x:c>
      <x:c r="D1725" t="str">
        <x:v>release state mirrors governing ledger</x:v>
      </x:c>
      <x:c r="E1725" t="str">
        <x:f>'Release Gates'!I1699</x:f>
        <x:v>OPEN</x:v>
      </x:c>
      <x:c r="F1725" t="str">
        <x:f>IF('Release Gates'!C1699="PLANNING","PASS",IF('Release Gates'!C1699="PHYSICAL","OPEN","BLOCKED"))</x:f>
        <x:v>OPEN</x:v>
      </x:c>
      <x:c r="G1725" t="str">
        <x:v>equals</x:v>
      </x:c>
      <x:c r="H1725" t="str">
        <x:f>IF(E1725=F1725,"PASS","FAIL")</x:f>
        <x:v>PASS</x:v>
      </x:c>
    </x:row>
    <x:row r="1726">
      <x:c r="B1726" t="str">
        <x:v>A-01694</x:v>
      </x:c>
      <x:c r="C1726" t="str">
        <x:v>GATE</x:v>
      </x:c>
      <x:c r="D1726" t="str">
        <x:v>release state mirrors governing ledger</x:v>
      </x:c>
      <x:c r="E1726" t="str">
        <x:f>'Release Gates'!I1700</x:f>
        <x:v>OPEN</x:v>
      </x:c>
      <x:c r="F1726" t="str">
        <x:f>IF('Release Gates'!C1700="PLANNING","PASS",IF('Release Gates'!C1700="PHYSICAL","OPEN","BLOCKED"))</x:f>
        <x:v>OPEN</x:v>
      </x:c>
      <x:c r="G1726" t="str">
        <x:v>equals</x:v>
      </x:c>
      <x:c r="H1726" t="str">
        <x:f>IF(E1726=F1726,"PASS","FAIL")</x:f>
        <x:v>PASS</x:v>
      </x:c>
    </x:row>
    <x:row r="1727">
      <x:c r="B1727" t="str">
        <x:v>A-01695</x:v>
      </x:c>
      <x:c r="C1727" t="str">
        <x:v>GATE</x:v>
      </x:c>
      <x:c r="D1727" t="str">
        <x:v>release state mirrors governing ledger</x:v>
      </x:c>
      <x:c r="E1727" t="str">
        <x:f>'Release Gates'!I1701</x:f>
        <x:v>OPEN</x:v>
      </x:c>
      <x:c r="F1727" t="str">
        <x:f>IF('Release Gates'!C1701="PLANNING","PASS",IF('Release Gates'!C1701="PHYSICAL","OPEN","BLOCKED"))</x:f>
        <x:v>OPEN</x:v>
      </x:c>
      <x:c r="G1727" t="str">
        <x:v>equals</x:v>
      </x:c>
      <x:c r="H1727" t="str">
        <x:f>IF(E1727=F1727,"PASS","FAIL")</x:f>
        <x:v>PASS</x:v>
      </x:c>
    </x:row>
    <x:row r="1728">
      <x:c r="B1728" t="str">
        <x:v>A-01696</x:v>
      </x:c>
      <x:c r="C1728" t="str">
        <x:v>GATE</x:v>
      </x:c>
      <x:c r="D1728" t="str">
        <x:v>release state mirrors governing ledger</x:v>
      </x:c>
      <x:c r="E1728" t="str">
        <x:f>'Release Gates'!I1702</x:f>
        <x:v>OPEN</x:v>
      </x:c>
      <x:c r="F1728" t="str">
        <x:f>IF('Release Gates'!C1702="PLANNING","PASS",IF('Release Gates'!C1702="PHYSICAL","OPEN","BLOCKED"))</x:f>
        <x:v>OPEN</x:v>
      </x:c>
      <x:c r="G1728" t="str">
        <x:v>equals</x:v>
      </x:c>
      <x:c r="H1728" t="str">
        <x:f>IF(E1728=F1728,"PASS","FAIL")</x:f>
        <x:v>PASS</x:v>
      </x:c>
    </x:row>
    <x:row r="1729">
      <x:c r="B1729" t="str">
        <x:v>A-01697</x:v>
      </x:c>
      <x:c r="C1729" t="str">
        <x:v>GATE</x:v>
      </x:c>
      <x:c r="D1729" t="str">
        <x:v>release state mirrors governing ledger</x:v>
      </x:c>
      <x:c r="E1729" t="str">
        <x:f>'Release Gates'!I1703</x:f>
        <x:v>OPEN</x:v>
      </x:c>
      <x:c r="F1729" t="str">
        <x:f>IF('Release Gates'!C1703="PLANNING","PASS",IF('Release Gates'!C1703="PHYSICAL","OPEN","BLOCKED"))</x:f>
        <x:v>OPEN</x:v>
      </x:c>
      <x:c r="G1729" t="str">
        <x:v>equals</x:v>
      </x:c>
      <x:c r="H1729" t="str">
        <x:f>IF(E1729=F1729,"PASS","FAIL")</x:f>
        <x:v>PASS</x:v>
      </x:c>
    </x:row>
    <x:row r="1730">
      <x:c r="B1730" t="str">
        <x:v>A-01698</x:v>
      </x:c>
      <x:c r="C1730" t="str">
        <x:v>GATE</x:v>
      </x:c>
      <x:c r="D1730" t="str">
        <x:v>release state mirrors governing ledger</x:v>
      </x:c>
      <x:c r="E1730" t="str">
        <x:f>'Release Gates'!I1704</x:f>
        <x:v>OPEN</x:v>
      </x:c>
      <x:c r="F1730" t="str">
        <x:f>IF('Release Gates'!C1704="PLANNING","PASS",IF('Release Gates'!C1704="PHYSICAL","OPEN","BLOCKED"))</x:f>
        <x:v>OPEN</x:v>
      </x:c>
      <x:c r="G1730" t="str">
        <x:v>equals</x:v>
      </x:c>
      <x:c r="H1730" t="str">
        <x:f>IF(E1730=F1730,"PASS","FAIL")</x:f>
        <x:v>PASS</x:v>
      </x:c>
    </x:row>
    <x:row r="1731">
      <x:c r="B1731" t="str">
        <x:v>A-01699</x:v>
      </x:c>
      <x:c r="C1731" t="str">
        <x:v>GATE</x:v>
      </x:c>
      <x:c r="D1731" t="str">
        <x:v>release state mirrors governing ledger</x:v>
      </x:c>
      <x:c r="E1731" t="str">
        <x:f>'Release Gates'!I1705</x:f>
        <x:v>OPEN</x:v>
      </x:c>
      <x:c r="F1731" t="str">
        <x:f>IF('Release Gates'!C1705="PLANNING","PASS",IF('Release Gates'!C1705="PHYSICAL","OPEN","BLOCKED"))</x:f>
        <x:v>OPEN</x:v>
      </x:c>
      <x:c r="G1731" t="str">
        <x:v>equals</x:v>
      </x:c>
      <x:c r="H1731" t="str">
        <x:f>IF(E1731=F1731,"PASS","FAIL")</x:f>
        <x:v>PASS</x:v>
      </x:c>
    </x:row>
    <x:row r="1732">
      <x:c r="B1732" t="str">
        <x:v>A-01700</x:v>
      </x:c>
      <x:c r="C1732" t="str">
        <x:v>GATE</x:v>
      </x:c>
      <x:c r="D1732" t="str">
        <x:v>release state mirrors governing ledger</x:v>
      </x:c>
      <x:c r="E1732" t="str">
        <x:f>'Release Gates'!I1706</x:f>
        <x:v>OPEN</x:v>
      </x:c>
      <x:c r="F1732" t="str">
        <x:f>IF('Release Gates'!C1706="PLANNING","PASS",IF('Release Gates'!C1706="PHYSICAL","OPEN","BLOCKED"))</x:f>
        <x:v>OPEN</x:v>
      </x:c>
      <x:c r="G1732" t="str">
        <x:v>equals</x:v>
      </x:c>
      <x:c r="H1732" t="str">
        <x:f>IF(E1732=F1732,"PASS","FAIL")</x:f>
        <x:v>PASS</x:v>
      </x:c>
    </x:row>
    <x:row r="1733">
      <x:c r="B1733" t="str">
        <x:v>A-01701</x:v>
      </x:c>
      <x:c r="C1733" t="str">
        <x:v>GATE</x:v>
      </x:c>
      <x:c r="D1733" t="str">
        <x:v>release state mirrors governing ledger</x:v>
      </x:c>
      <x:c r="E1733" t="str">
        <x:f>'Release Gates'!I1707</x:f>
        <x:v>OPEN</x:v>
      </x:c>
      <x:c r="F1733" t="str">
        <x:f>IF('Release Gates'!C1707="PLANNING","PASS",IF('Release Gates'!C1707="PHYSICAL","OPEN","BLOCKED"))</x:f>
        <x:v>OPEN</x:v>
      </x:c>
      <x:c r="G1733" t="str">
        <x:v>equals</x:v>
      </x:c>
      <x:c r="H1733" t="str">
        <x:f>IF(E1733=F1733,"PASS","FAIL")</x:f>
        <x:v>PASS</x:v>
      </x:c>
    </x:row>
    <x:row r="1734">
      <x:c r="B1734" t="str">
        <x:v>A-01702</x:v>
      </x:c>
      <x:c r="C1734" t="str">
        <x:v>GATE</x:v>
      </x:c>
      <x:c r="D1734" t="str">
        <x:v>release state mirrors governing ledger</x:v>
      </x:c>
      <x:c r="E1734" t="str">
        <x:f>'Release Gates'!I1708</x:f>
        <x:v>OPEN</x:v>
      </x:c>
      <x:c r="F1734" t="str">
        <x:f>IF('Release Gates'!C1708="PLANNING","PASS",IF('Release Gates'!C1708="PHYSICAL","OPEN","BLOCKED"))</x:f>
        <x:v>OPEN</x:v>
      </x:c>
      <x:c r="G1734" t="str">
        <x:v>equals</x:v>
      </x:c>
      <x:c r="H1734" t="str">
        <x:f>IF(E1734=F1734,"PASS","FAIL")</x:f>
        <x:v>PASS</x:v>
      </x:c>
    </x:row>
    <x:row r="1735">
      <x:c r="B1735" t="str">
        <x:v>A-01703</x:v>
      </x:c>
      <x:c r="C1735" t="str">
        <x:v>GATE</x:v>
      </x:c>
      <x:c r="D1735" t="str">
        <x:v>release state mirrors governing ledger</x:v>
      </x:c>
      <x:c r="E1735" t="str">
        <x:f>'Release Gates'!I1709</x:f>
        <x:v>OPEN</x:v>
      </x:c>
      <x:c r="F1735" t="str">
        <x:f>IF('Release Gates'!C1709="PLANNING","PASS",IF('Release Gates'!C1709="PHYSICAL","OPEN","BLOCKED"))</x:f>
        <x:v>OPEN</x:v>
      </x:c>
      <x:c r="G1735" t="str">
        <x:v>equals</x:v>
      </x:c>
      <x:c r="H1735" t="str">
        <x:f>IF(E1735=F1735,"PASS","FAIL")</x:f>
        <x:v>PASS</x:v>
      </x:c>
    </x:row>
    <x:row r="1736">
      <x:c r="B1736" t="str">
        <x:v>A-01704</x:v>
      </x:c>
      <x:c r="C1736" t="str">
        <x:v>GATE</x:v>
      </x:c>
      <x:c r="D1736" t="str">
        <x:v>release state mirrors governing ledger</x:v>
      </x:c>
      <x:c r="E1736" t="str">
        <x:f>'Release Gates'!I1710</x:f>
        <x:v>OPEN</x:v>
      </x:c>
      <x:c r="F1736" t="str">
        <x:f>IF('Release Gates'!C1710="PLANNING","PASS",IF('Release Gates'!C1710="PHYSICAL","OPEN","BLOCKED"))</x:f>
        <x:v>OPEN</x:v>
      </x:c>
      <x:c r="G1736" t="str">
        <x:v>equals</x:v>
      </x:c>
      <x:c r="H1736" t="str">
        <x:f>IF(E1736=F1736,"PASS","FAIL")</x:f>
        <x:v>PASS</x:v>
      </x:c>
    </x:row>
    <x:row r="1737">
      <x:c r="B1737" t="str">
        <x:v>A-01705</x:v>
      </x:c>
      <x:c r="C1737" t="str">
        <x:v>GATE</x:v>
      </x:c>
      <x:c r="D1737" t="str">
        <x:v>release state mirrors governing ledger</x:v>
      </x:c>
      <x:c r="E1737" t="str">
        <x:f>'Release Gates'!I1711</x:f>
        <x:v>OPEN</x:v>
      </x:c>
      <x:c r="F1737" t="str">
        <x:f>IF('Release Gates'!C1711="PLANNING","PASS",IF('Release Gates'!C1711="PHYSICAL","OPEN","BLOCKED"))</x:f>
        <x:v>OPEN</x:v>
      </x:c>
      <x:c r="G1737" t="str">
        <x:v>equals</x:v>
      </x:c>
      <x:c r="H1737" t="str">
        <x:f>IF(E1737=F1737,"PASS","FAIL")</x:f>
        <x:v>PASS</x:v>
      </x:c>
    </x:row>
    <x:row r="1738">
      <x:c r="B1738" t="str">
        <x:v>A-01706</x:v>
      </x:c>
      <x:c r="C1738" t="str">
        <x:v>GATE</x:v>
      </x:c>
      <x:c r="D1738" t="str">
        <x:v>release state mirrors governing ledger</x:v>
      </x:c>
      <x:c r="E1738" t="str">
        <x:f>'Release Gates'!I1712</x:f>
        <x:v>OPEN</x:v>
      </x:c>
      <x:c r="F1738" t="str">
        <x:f>IF('Release Gates'!C1712="PLANNING","PASS",IF('Release Gates'!C1712="PHYSICAL","OPEN","BLOCKED"))</x:f>
        <x:v>OPEN</x:v>
      </x:c>
      <x:c r="G1738" t="str">
        <x:v>equals</x:v>
      </x:c>
      <x:c r="H1738" t="str">
        <x:f>IF(E1738=F1738,"PASS","FAIL")</x:f>
        <x:v>PASS</x:v>
      </x:c>
    </x:row>
    <x:row r="1739">
      <x:c r="B1739" t="str">
        <x:v>A-01707</x:v>
      </x:c>
      <x:c r="C1739" t="str">
        <x:v>GATE</x:v>
      </x:c>
      <x:c r="D1739" t="str">
        <x:v>release state mirrors governing ledger</x:v>
      </x:c>
      <x:c r="E1739" t="str">
        <x:f>'Release Gates'!I1713</x:f>
        <x:v>OPEN</x:v>
      </x:c>
      <x:c r="F1739" t="str">
        <x:f>IF('Release Gates'!C1713="PLANNING","PASS",IF('Release Gates'!C1713="PHYSICAL","OPEN","BLOCKED"))</x:f>
        <x:v>OPEN</x:v>
      </x:c>
      <x:c r="G1739" t="str">
        <x:v>equals</x:v>
      </x:c>
      <x:c r="H1739" t="str">
        <x:f>IF(E1739=F1739,"PASS","FAIL")</x:f>
        <x:v>PASS</x:v>
      </x:c>
    </x:row>
    <x:row r="1740">
      <x:c r="B1740" t="str">
        <x:v>A-01708</x:v>
      </x:c>
      <x:c r="C1740" t="str">
        <x:v>GATE</x:v>
      </x:c>
      <x:c r="D1740" t="str">
        <x:v>release state mirrors governing ledger</x:v>
      </x:c>
      <x:c r="E1740" t="str">
        <x:f>'Release Gates'!I1714</x:f>
        <x:v>OPEN</x:v>
      </x:c>
      <x:c r="F1740" t="str">
        <x:f>IF('Release Gates'!C1714="PLANNING","PASS",IF('Release Gates'!C1714="PHYSICAL","OPEN","BLOCKED"))</x:f>
        <x:v>OPEN</x:v>
      </x:c>
      <x:c r="G1740" t="str">
        <x:v>equals</x:v>
      </x:c>
      <x:c r="H1740" t="str">
        <x:f>IF(E1740=F1740,"PASS","FAIL")</x:f>
        <x:v>PASS</x:v>
      </x:c>
    </x:row>
    <x:row r="1741">
      <x:c r="B1741" t="str">
        <x:v>A-01709</x:v>
      </x:c>
      <x:c r="C1741" t="str">
        <x:v>GATE</x:v>
      </x:c>
      <x:c r="D1741" t="str">
        <x:v>release state mirrors governing ledger</x:v>
      </x:c>
      <x:c r="E1741" t="str">
        <x:f>'Release Gates'!I1715</x:f>
        <x:v>OPEN</x:v>
      </x:c>
      <x:c r="F1741" t="str">
        <x:f>IF('Release Gates'!C1715="PLANNING","PASS",IF('Release Gates'!C1715="PHYSICAL","OPEN","BLOCKED"))</x:f>
        <x:v>OPEN</x:v>
      </x:c>
      <x:c r="G1741" t="str">
        <x:v>equals</x:v>
      </x:c>
      <x:c r="H1741" t="str">
        <x:f>IF(E1741=F1741,"PASS","FAIL")</x:f>
        <x:v>PASS</x:v>
      </x:c>
    </x:row>
    <x:row r="1742">
      <x:c r="B1742" t="str">
        <x:v>A-01710</x:v>
      </x:c>
      <x:c r="C1742" t="str">
        <x:v>GATE</x:v>
      </x:c>
      <x:c r="D1742" t="str">
        <x:v>release state mirrors governing ledger</x:v>
      </x:c>
      <x:c r="E1742" t="str">
        <x:f>'Release Gates'!I1716</x:f>
        <x:v>OPEN</x:v>
      </x:c>
      <x:c r="F1742" t="str">
        <x:f>IF('Release Gates'!C1716="PLANNING","PASS",IF('Release Gates'!C1716="PHYSICAL","OPEN","BLOCKED"))</x:f>
        <x:v>OPEN</x:v>
      </x:c>
      <x:c r="G1742" t="str">
        <x:v>equals</x:v>
      </x:c>
      <x:c r="H1742" t="str">
        <x:f>IF(E1742=F1742,"PASS","FAIL")</x:f>
        <x:v>PASS</x:v>
      </x:c>
    </x:row>
    <x:row r="1743">
      <x:c r="B1743" t="str">
        <x:v>A-01711</x:v>
      </x:c>
      <x:c r="C1743" t="str">
        <x:v>GATE</x:v>
      </x:c>
      <x:c r="D1743" t="str">
        <x:v>release state mirrors governing ledger</x:v>
      </x:c>
      <x:c r="E1743" t="str">
        <x:f>'Release Gates'!I1717</x:f>
        <x:v>OPEN</x:v>
      </x:c>
      <x:c r="F1743" t="str">
        <x:f>IF('Release Gates'!C1717="PLANNING","PASS",IF('Release Gates'!C1717="PHYSICAL","OPEN","BLOCKED"))</x:f>
        <x:v>OPEN</x:v>
      </x:c>
      <x:c r="G1743" t="str">
        <x:v>equals</x:v>
      </x:c>
      <x:c r="H1743" t="str">
        <x:f>IF(E1743=F1743,"PASS","FAIL")</x:f>
        <x:v>PASS</x:v>
      </x:c>
    </x:row>
    <x:row r="1744">
      <x:c r="B1744" t="str">
        <x:v>A-01712</x:v>
      </x:c>
      <x:c r="C1744" t="str">
        <x:v>GATE</x:v>
      </x:c>
      <x:c r="D1744" t="str">
        <x:v>release state mirrors governing ledger</x:v>
      </x:c>
      <x:c r="E1744" t="str">
        <x:f>'Release Gates'!I1718</x:f>
        <x:v>OPEN</x:v>
      </x:c>
      <x:c r="F1744" t="str">
        <x:f>IF('Release Gates'!C1718="PLANNING","PASS",IF('Release Gates'!C1718="PHYSICAL","OPEN","BLOCKED"))</x:f>
        <x:v>OPEN</x:v>
      </x:c>
      <x:c r="G1744" t="str">
        <x:v>equals</x:v>
      </x:c>
      <x:c r="H1744" t="str">
        <x:f>IF(E1744=F1744,"PASS","FAIL")</x:f>
        <x:v>PASS</x:v>
      </x:c>
    </x:row>
    <x:row r="1745">
      <x:c r="B1745" t="str">
        <x:v>A-01713</x:v>
      </x:c>
      <x:c r="C1745" t="str">
        <x:v>GATE</x:v>
      </x:c>
      <x:c r="D1745" t="str">
        <x:v>release state mirrors governing ledger</x:v>
      </x:c>
      <x:c r="E1745" t="str">
        <x:f>'Release Gates'!I1719</x:f>
        <x:v>OPEN</x:v>
      </x:c>
      <x:c r="F1745" t="str">
        <x:f>IF('Release Gates'!C1719="PLANNING","PASS",IF('Release Gates'!C1719="PHYSICAL","OPEN","BLOCKED"))</x:f>
        <x:v>OPEN</x:v>
      </x:c>
      <x:c r="G1745" t="str">
        <x:v>equals</x:v>
      </x:c>
      <x:c r="H1745" t="str">
        <x:f>IF(E1745=F1745,"PASS","FAIL")</x:f>
        <x:v>PASS</x:v>
      </x:c>
    </x:row>
    <x:row r="1746">
      <x:c r="B1746" t="str">
        <x:v>A-01714</x:v>
      </x:c>
      <x:c r="C1746" t="str">
        <x:v>GATE</x:v>
      </x:c>
      <x:c r="D1746" t="str">
        <x:v>release state mirrors governing ledger</x:v>
      </x:c>
      <x:c r="E1746" t="str">
        <x:f>'Release Gates'!I1720</x:f>
        <x:v>OPEN</x:v>
      </x:c>
      <x:c r="F1746" t="str">
        <x:f>IF('Release Gates'!C1720="PLANNING","PASS",IF('Release Gates'!C1720="PHYSICAL","OPEN","BLOCKED"))</x:f>
        <x:v>OPEN</x:v>
      </x:c>
      <x:c r="G1746" t="str">
        <x:v>equals</x:v>
      </x:c>
      <x:c r="H1746" t="str">
        <x:f>IF(E1746=F1746,"PASS","FAIL")</x:f>
        <x:v>PASS</x:v>
      </x:c>
    </x:row>
    <x:row r="1747">
      <x:c r="B1747" t="str">
        <x:v>A-01715</x:v>
      </x:c>
      <x:c r="C1747" t="str">
        <x:v>GATE</x:v>
      </x:c>
      <x:c r="D1747" t="str">
        <x:v>release state mirrors governing ledger</x:v>
      </x:c>
      <x:c r="E1747" t="str">
        <x:f>'Release Gates'!I1721</x:f>
        <x:v>OPEN</x:v>
      </x:c>
      <x:c r="F1747" t="str">
        <x:f>IF('Release Gates'!C1721="PLANNING","PASS",IF('Release Gates'!C1721="PHYSICAL","OPEN","BLOCKED"))</x:f>
        <x:v>OPEN</x:v>
      </x:c>
      <x:c r="G1747" t="str">
        <x:v>equals</x:v>
      </x:c>
      <x:c r="H1747" t="str">
        <x:f>IF(E1747=F1747,"PASS","FAIL")</x:f>
        <x:v>PASS</x:v>
      </x:c>
    </x:row>
    <x:row r="1748">
      <x:c r="B1748" t="str">
        <x:v>A-01716</x:v>
      </x:c>
      <x:c r="C1748" t="str">
        <x:v>GATE</x:v>
      </x:c>
      <x:c r="D1748" t="str">
        <x:v>release state mirrors governing ledger</x:v>
      </x:c>
      <x:c r="E1748" t="str">
        <x:f>'Release Gates'!I1722</x:f>
        <x:v>OPEN</x:v>
      </x:c>
      <x:c r="F1748" t="str">
        <x:f>IF('Release Gates'!C1722="PLANNING","PASS",IF('Release Gates'!C1722="PHYSICAL","OPEN","BLOCKED"))</x:f>
        <x:v>OPEN</x:v>
      </x:c>
      <x:c r="G1748" t="str">
        <x:v>equals</x:v>
      </x:c>
      <x:c r="H1748" t="str">
        <x:f>IF(E1748=F1748,"PASS","FAIL")</x:f>
        <x:v>PASS</x:v>
      </x:c>
    </x:row>
    <x:row r="1749">
      <x:c r="B1749" t="str">
        <x:v>A-01717</x:v>
      </x:c>
      <x:c r="C1749" t="str">
        <x:v>GATE</x:v>
      </x:c>
      <x:c r="D1749" t="str">
        <x:v>release state mirrors governing ledger</x:v>
      </x:c>
      <x:c r="E1749" t="str">
        <x:f>'Release Gates'!I1723</x:f>
        <x:v>OPEN</x:v>
      </x:c>
      <x:c r="F1749" t="str">
        <x:f>IF('Release Gates'!C1723="PLANNING","PASS",IF('Release Gates'!C1723="PHYSICAL","OPEN","BLOCKED"))</x:f>
        <x:v>OPEN</x:v>
      </x:c>
      <x:c r="G1749" t="str">
        <x:v>equals</x:v>
      </x:c>
      <x:c r="H1749" t="str">
        <x:f>IF(E1749=F1749,"PASS","FAIL")</x:f>
        <x:v>PASS</x:v>
      </x:c>
    </x:row>
    <x:row r="1750">
      <x:c r="B1750" t="str">
        <x:v>A-01718</x:v>
      </x:c>
      <x:c r="C1750" t="str">
        <x:v>GATE</x:v>
      </x:c>
      <x:c r="D1750" t="str">
        <x:v>release state mirrors governing ledger</x:v>
      </x:c>
      <x:c r="E1750" t="str">
        <x:f>'Release Gates'!I1724</x:f>
        <x:v>OPEN</x:v>
      </x:c>
      <x:c r="F1750" t="str">
        <x:f>IF('Release Gates'!C1724="PLANNING","PASS",IF('Release Gates'!C1724="PHYSICAL","OPEN","BLOCKED"))</x:f>
        <x:v>OPEN</x:v>
      </x:c>
      <x:c r="G1750" t="str">
        <x:v>equals</x:v>
      </x:c>
      <x:c r="H1750" t="str">
        <x:f>IF(E1750=F1750,"PASS","FAIL")</x:f>
        <x:v>PASS</x:v>
      </x:c>
    </x:row>
    <x:row r="1751">
      <x:c r="B1751" t="str">
        <x:v>A-01719</x:v>
      </x:c>
      <x:c r="C1751" t="str">
        <x:v>GATE</x:v>
      </x:c>
      <x:c r="D1751" t="str">
        <x:v>release state mirrors governing ledger</x:v>
      </x:c>
      <x:c r="E1751" t="str">
        <x:f>'Release Gates'!I1725</x:f>
        <x:v>OPEN</x:v>
      </x:c>
      <x:c r="F1751" t="str">
        <x:f>IF('Release Gates'!C1725="PLANNING","PASS",IF('Release Gates'!C1725="PHYSICAL","OPEN","BLOCKED"))</x:f>
        <x:v>OPEN</x:v>
      </x:c>
      <x:c r="G1751" t="str">
        <x:v>equals</x:v>
      </x:c>
      <x:c r="H1751" t="str">
        <x:f>IF(E1751=F1751,"PASS","FAIL")</x:f>
        <x:v>PASS</x:v>
      </x:c>
    </x:row>
    <x:row r="1752">
      <x:c r="B1752" t="str">
        <x:v>A-01720</x:v>
      </x:c>
      <x:c r="C1752" t="str">
        <x:v>GATE</x:v>
      </x:c>
      <x:c r="D1752" t="str">
        <x:v>release state mirrors governing ledger</x:v>
      </x:c>
      <x:c r="E1752" t="str">
        <x:f>'Release Gates'!I1726</x:f>
        <x:v>OPEN</x:v>
      </x:c>
      <x:c r="F1752" t="str">
        <x:f>IF('Release Gates'!C1726="PLANNING","PASS",IF('Release Gates'!C1726="PHYSICAL","OPEN","BLOCKED"))</x:f>
        <x:v>OPEN</x:v>
      </x:c>
      <x:c r="G1752" t="str">
        <x:v>equals</x:v>
      </x:c>
      <x:c r="H1752" t="str">
        <x:f>IF(E1752=F1752,"PASS","FAIL")</x:f>
        <x:v>PASS</x:v>
      </x:c>
    </x:row>
    <x:row r="1753">
      <x:c r="B1753" t="str">
        <x:v>A-01721</x:v>
      </x:c>
      <x:c r="C1753" t="str">
        <x:v>GATE</x:v>
      </x:c>
      <x:c r="D1753" t="str">
        <x:v>release state mirrors governing ledger</x:v>
      </x:c>
      <x:c r="E1753" t="str">
        <x:f>'Release Gates'!I1727</x:f>
        <x:v>OPEN</x:v>
      </x:c>
      <x:c r="F1753" t="str">
        <x:f>IF('Release Gates'!C1727="PLANNING","PASS",IF('Release Gates'!C1727="PHYSICAL","OPEN","BLOCKED"))</x:f>
        <x:v>OPEN</x:v>
      </x:c>
      <x:c r="G1753" t="str">
        <x:v>equals</x:v>
      </x:c>
      <x:c r="H1753" t="str">
        <x:f>IF(E1753=F1753,"PASS","FAIL")</x:f>
        <x:v>PASS</x:v>
      </x:c>
    </x:row>
    <x:row r="1754">
      <x:c r="B1754" t="str">
        <x:v>A-01722</x:v>
      </x:c>
      <x:c r="C1754" t="str">
        <x:v>GATE</x:v>
      </x:c>
      <x:c r="D1754" t="str">
        <x:v>release state mirrors governing ledger</x:v>
      </x:c>
      <x:c r="E1754" t="str">
        <x:f>'Release Gates'!I1728</x:f>
        <x:v>OPEN</x:v>
      </x:c>
      <x:c r="F1754" t="str">
        <x:f>IF('Release Gates'!C1728="PLANNING","PASS",IF('Release Gates'!C1728="PHYSICAL","OPEN","BLOCKED"))</x:f>
        <x:v>OPEN</x:v>
      </x:c>
      <x:c r="G1754" t="str">
        <x:v>equals</x:v>
      </x:c>
      <x:c r="H1754" t="str">
        <x:f>IF(E1754=F1754,"PASS","FAIL")</x:f>
        <x:v>PASS</x:v>
      </x:c>
    </x:row>
    <x:row r="1755">
      <x:c r="B1755" t="str">
        <x:v>A-01723</x:v>
      </x:c>
      <x:c r="C1755" t="str">
        <x:v>GATE</x:v>
      </x:c>
      <x:c r="D1755" t="str">
        <x:v>release state mirrors governing ledger</x:v>
      </x:c>
      <x:c r="E1755" t="str">
        <x:f>'Release Gates'!I1729</x:f>
        <x:v>OPEN</x:v>
      </x:c>
      <x:c r="F1755" t="str">
        <x:f>IF('Release Gates'!C1729="PLANNING","PASS",IF('Release Gates'!C1729="PHYSICAL","OPEN","BLOCKED"))</x:f>
        <x:v>OPEN</x:v>
      </x:c>
      <x:c r="G1755" t="str">
        <x:v>equals</x:v>
      </x:c>
      <x:c r="H1755" t="str">
        <x:f>IF(E1755=F1755,"PASS","FAIL")</x:f>
        <x:v>PASS</x:v>
      </x:c>
    </x:row>
    <x:row r="1756">
      <x:c r="B1756" t="str">
        <x:v>A-01724</x:v>
      </x:c>
      <x:c r="C1756" t="str">
        <x:v>GATE</x:v>
      </x:c>
      <x:c r="D1756" t="str">
        <x:v>release state mirrors governing ledger</x:v>
      </x:c>
      <x:c r="E1756" t="str">
        <x:f>'Release Gates'!I1730</x:f>
        <x:v>OPEN</x:v>
      </x:c>
      <x:c r="F1756" t="str">
        <x:f>IF('Release Gates'!C1730="PLANNING","PASS",IF('Release Gates'!C1730="PHYSICAL","OPEN","BLOCKED"))</x:f>
        <x:v>OPEN</x:v>
      </x:c>
      <x:c r="G1756" t="str">
        <x:v>equals</x:v>
      </x:c>
      <x:c r="H1756" t="str">
        <x:f>IF(E1756=F1756,"PASS","FAIL")</x:f>
        <x:v>PASS</x:v>
      </x:c>
    </x:row>
    <x:row r="1757">
      <x:c r="B1757" t="str">
        <x:v>A-01725</x:v>
      </x:c>
      <x:c r="C1757" t="str">
        <x:v>GATE</x:v>
      </x:c>
      <x:c r="D1757" t="str">
        <x:v>release state mirrors governing ledger</x:v>
      </x:c>
      <x:c r="E1757" t="str">
        <x:f>'Release Gates'!I1731</x:f>
        <x:v>OPEN</x:v>
      </x:c>
      <x:c r="F1757" t="str">
        <x:f>IF('Release Gates'!C1731="PLANNING","PASS",IF('Release Gates'!C1731="PHYSICAL","OPEN","BLOCKED"))</x:f>
        <x:v>OPEN</x:v>
      </x:c>
      <x:c r="G1757" t="str">
        <x:v>equals</x:v>
      </x:c>
      <x:c r="H1757" t="str">
        <x:f>IF(E1757=F1757,"PASS","FAIL")</x:f>
        <x:v>PASS</x:v>
      </x:c>
    </x:row>
    <x:row r="1758">
      <x:c r="B1758" t="str">
        <x:v>A-01726</x:v>
      </x:c>
      <x:c r="C1758" t="str">
        <x:v>GATE</x:v>
      </x:c>
      <x:c r="D1758" t="str">
        <x:v>release state mirrors governing ledger</x:v>
      </x:c>
      <x:c r="E1758" t="str">
        <x:f>'Release Gates'!I1732</x:f>
        <x:v>OPEN</x:v>
      </x:c>
      <x:c r="F1758" t="str">
        <x:f>IF('Release Gates'!C1732="PLANNING","PASS",IF('Release Gates'!C1732="PHYSICAL","OPEN","BLOCKED"))</x:f>
        <x:v>OPEN</x:v>
      </x:c>
      <x:c r="G1758" t="str">
        <x:v>equals</x:v>
      </x:c>
      <x:c r="H1758" t="str">
        <x:f>IF(E1758=F1758,"PASS","FAIL")</x:f>
        <x:v>PASS</x:v>
      </x:c>
    </x:row>
    <x:row r="1759">
      <x:c r="B1759" t="str">
        <x:v>A-01727</x:v>
      </x:c>
      <x:c r="C1759" t="str">
        <x:v>GATE</x:v>
      </x:c>
      <x:c r="D1759" t="str">
        <x:v>release state mirrors governing ledger</x:v>
      </x:c>
      <x:c r="E1759" t="str">
        <x:f>'Release Gates'!I1733</x:f>
        <x:v>OPEN</x:v>
      </x:c>
      <x:c r="F1759" t="str">
        <x:f>IF('Release Gates'!C1733="PLANNING","PASS",IF('Release Gates'!C1733="PHYSICAL","OPEN","BLOCKED"))</x:f>
        <x:v>OPEN</x:v>
      </x:c>
      <x:c r="G1759" t="str">
        <x:v>equals</x:v>
      </x:c>
      <x:c r="H1759" t="str">
        <x:f>IF(E1759=F1759,"PASS","FAIL")</x:f>
        <x:v>PASS</x:v>
      </x:c>
    </x:row>
    <x:row r="1760">
      <x:c r="B1760" t="str">
        <x:v>A-01728</x:v>
      </x:c>
      <x:c r="C1760" t="str">
        <x:v>GATE</x:v>
      </x:c>
      <x:c r="D1760" t="str">
        <x:v>release state mirrors governing ledger</x:v>
      </x:c>
      <x:c r="E1760" t="str">
        <x:f>'Release Gates'!I1734</x:f>
        <x:v>OPEN</x:v>
      </x:c>
      <x:c r="F1760" t="str">
        <x:f>IF('Release Gates'!C1734="PLANNING","PASS",IF('Release Gates'!C1734="PHYSICAL","OPEN","BLOCKED"))</x:f>
        <x:v>OPEN</x:v>
      </x:c>
      <x:c r="G1760" t="str">
        <x:v>equals</x:v>
      </x:c>
      <x:c r="H1760" t="str">
        <x:f>IF(E1760=F1760,"PASS","FAIL")</x:f>
        <x:v>PASS</x:v>
      </x:c>
    </x:row>
    <x:row r="1761">
      <x:c r="B1761" t="str">
        <x:v>A-01729</x:v>
      </x:c>
      <x:c r="C1761" t="str">
        <x:v>GATE</x:v>
      </x:c>
      <x:c r="D1761" t="str">
        <x:v>release state mirrors governing ledger</x:v>
      </x:c>
      <x:c r="E1761" t="str">
        <x:f>'Release Gates'!I1735</x:f>
        <x:v>OPEN</x:v>
      </x:c>
      <x:c r="F1761" t="str">
        <x:f>IF('Release Gates'!C1735="PLANNING","PASS",IF('Release Gates'!C1735="PHYSICAL","OPEN","BLOCKED"))</x:f>
        <x:v>OPEN</x:v>
      </x:c>
      <x:c r="G1761" t="str">
        <x:v>equals</x:v>
      </x:c>
      <x:c r="H1761" t="str">
        <x:f>IF(E1761=F1761,"PASS","FAIL")</x:f>
        <x:v>PASS</x:v>
      </x:c>
    </x:row>
    <x:row r="1762">
      <x:c r="B1762" t="str">
        <x:v>A-01730</x:v>
      </x:c>
      <x:c r="C1762" t="str">
        <x:v>GATE</x:v>
      </x:c>
      <x:c r="D1762" t="str">
        <x:v>release state mirrors governing ledger</x:v>
      </x:c>
      <x:c r="E1762" t="str">
        <x:f>'Release Gates'!I1736</x:f>
        <x:v>OPEN</x:v>
      </x:c>
      <x:c r="F1762" t="str">
        <x:f>IF('Release Gates'!C1736="PLANNING","PASS",IF('Release Gates'!C1736="PHYSICAL","OPEN","BLOCKED"))</x:f>
        <x:v>OPEN</x:v>
      </x:c>
      <x:c r="G1762" t="str">
        <x:v>equals</x:v>
      </x:c>
      <x:c r="H1762" t="str">
        <x:f>IF(E1762=F1762,"PASS","FAIL")</x:f>
        <x:v>PASS</x:v>
      </x:c>
    </x:row>
    <x:row r="1763">
      <x:c r="B1763" t="str">
        <x:v>A-01731</x:v>
      </x:c>
      <x:c r="C1763" t="str">
        <x:v>GATE</x:v>
      </x:c>
      <x:c r="D1763" t="str">
        <x:v>release state mirrors governing ledger</x:v>
      </x:c>
      <x:c r="E1763" t="str">
        <x:f>'Release Gates'!I1737</x:f>
        <x:v>OPEN</x:v>
      </x:c>
      <x:c r="F1763" t="str">
        <x:f>IF('Release Gates'!C1737="PLANNING","PASS",IF('Release Gates'!C1737="PHYSICAL","OPEN","BLOCKED"))</x:f>
        <x:v>OPEN</x:v>
      </x:c>
      <x:c r="G1763" t="str">
        <x:v>equals</x:v>
      </x:c>
      <x:c r="H1763" t="str">
        <x:f>IF(E1763=F1763,"PASS","FAIL")</x:f>
        <x:v>PASS</x:v>
      </x:c>
    </x:row>
    <x:row r="1764">
      <x:c r="B1764" t="str">
        <x:v>A-01732</x:v>
      </x:c>
      <x:c r="C1764" t="str">
        <x:v>GATE</x:v>
      </x:c>
      <x:c r="D1764" t="str">
        <x:v>release state mirrors governing ledger</x:v>
      </x:c>
      <x:c r="E1764" t="str">
        <x:f>'Release Gates'!I1738</x:f>
        <x:v>OPEN</x:v>
      </x:c>
      <x:c r="F1764" t="str">
        <x:f>IF('Release Gates'!C1738="PLANNING","PASS",IF('Release Gates'!C1738="PHYSICAL","OPEN","BLOCKED"))</x:f>
        <x:v>OPEN</x:v>
      </x:c>
      <x:c r="G1764" t="str">
        <x:v>equals</x:v>
      </x:c>
      <x:c r="H1764" t="str">
        <x:f>IF(E1764=F1764,"PASS","FAIL")</x:f>
        <x:v>PASS</x:v>
      </x:c>
    </x:row>
    <x:row r="1765">
      <x:c r="B1765" t="str">
        <x:v>A-01733</x:v>
      </x:c>
      <x:c r="C1765" t="str">
        <x:v>GATE</x:v>
      </x:c>
      <x:c r="D1765" t="str">
        <x:v>release state mirrors governing ledger</x:v>
      </x:c>
      <x:c r="E1765" t="str">
        <x:f>'Release Gates'!I1739</x:f>
        <x:v>OPEN</x:v>
      </x:c>
      <x:c r="F1765" t="str">
        <x:f>IF('Release Gates'!C1739="PLANNING","PASS",IF('Release Gates'!C1739="PHYSICAL","OPEN","BLOCKED"))</x:f>
        <x:v>OPEN</x:v>
      </x:c>
      <x:c r="G1765" t="str">
        <x:v>equals</x:v>
      </x:c>
      <x:c r="H1765" t="str">
        <x:f>IF(E1765=F1765,"PASS","FAIL")</x:f>
        <x:v>PASS</x:v>
      </x:c>
    </x:row>
    <x:row r="1766">
      <x:c r="B1766" t="str">
        <x:v>A-01734</x:v>
      </x:c>
      <x:c r="C1766" t="str">
        <x:v>GATE</x:v>
      </x:c>
      <x:c r="D1766" t="str">
        <x:v>release state mirrors governing ledger</x:v>
      </x:c>
      <x:c r="E1766" t="str">
        <x:f>'Release Gates'!I1740</x:f>
        <x:v>OPEN</x:v>
      </x:c>
      <x:c r="F1766" t="str">
        <x:f>IF('Release Gates'!C1740="PLANNING","PASS",IF('Release Gates'!C1740="PHYSICAL","OPEN","BLOCKED"))</x:f>
        <x:v>OPEN</x:v>
      </x:c>
      <x:c r="G1766" t="str">
        <x:v>equals</x:v>
      </x:c>
      <x:c r="H1766" t="str">
        <x:f>IF(E1766=F1766,"PASS","FAIL")</x:f>
        <x:v>PASS</x:v>
      </x:c>
    </x:row>
    <x:row r="1767">
      <x:c r="B1767" t="str">
        <x:v>A-01735</x:v>
      </x:c>
      <x:c r="C1767" t="str">
        <x:v>GATE</x:v>
      </x:c>
      <x:c r="D1767" t="str">
        <x:v>release state mirrors governing ledger</x:v>
      </x:c>
      <x:c r="E1767" t="str">
        <x:f>'Release Gates'!I1741</x:f>
        <x:v>OPEN</x:v>
      </x:c>
      <x:c r="F1767" t="str">
        <x:f>IF('Release Gates'!C1741="PLANNING","PASS",IF('Release Gates'!C1741="PHYSICAL","OPEN","BLOCKED"))</x:f>
        <x:v>OPEN</x:v>
      </x:c>
      <x:c r="G1767" t="str">
        <x:v>equals</x:v>
      </x:c>
      <x:c r="H1767" t="str">
        <x:f>IF(E1767=F1767,"PASS","FAIL")</x:f>
        <x:v>PASS</x:v>
      </x:c>
    </x:row>
    <x:row r="1768">
      <x:c r="B1768" t="str">
        <x:v>A-01736</x:v>
      </x:c>
      <x:c r="C1768" t="str">
        <x:v>GATE</x:v>
      </x:c>
      <x:c r="D1768" t="str">
        <x:v>release state mirrors governing ledger</x:v>
      </x:c>
      <x:c r="E1768" t="str">
        <x:f>'Release Gates'!I1742</x:f>
        <x:v>OPEN</x:v>
      </x:c>
      <x:c r="F1768" t="str">
        <x:f>IF('Release Gates'!C1742="PLANNING","PASS",IF('Release Gates'!C1742="PHYSICAL","OPEN","BLOCKED"))</x:f>
        <x:v>OPEN</x:v>
      </x:c>
      <x:c r="G1768" t="str">
        <x:v>equals</x:v>
      </x:c>
      <x:c r="H1768" t="str">
        <x:f>IF(E1768=F1768,"PASS","FAIL")</x:f>
        <x:v>PASS</x:v>
      </x:c>
    </x:row>
    <x:row r="1769">
      <x:c r="B1769" t="str">
        <x:v>A-01737</x:v>
      </x:c>
      <x:c r="C1769" t="str">
        <x:v>GATE</x:v>
      </x:c>
      <x:c r="D1769" t="str">
        <x:v>release state mirrors governing ledger</x:v>
      </x:c>
      <x:c r="E1769" t="str">
        <x:f>'Release Gates'!I1743</x:f>
        <x:v>OPEN</x:v>
      </x:c>
      <x:c r="F1769" t="str">
        <x:f>IF('Release Gates'!C1743="PLANNING","PASS",IF('Release Gates'!C1743="PHYSICAL","OPEN","BLOCKED"))</x:f>
        <x:v>OPEN</x:v>
      </x:c>
      <x:c r="G1769" t="str">
        <x:v>equals</x:v>
      </x:c>
      <x:c r="H1769" t="str">
        <x:f>IF(E1769=F1769,"PASS","FAIL")</x:f>
        <x:v>PASS</x:v>
      </x:c>
    </x:row>
    <x:row r="1770">
      <x:c r="B1770" t="str">
        <x:v>A-01738</x:v>
      </x:c>
      <x:c r="C1770" t="str">
        <x:v>GATE</x:v>
      </x:c>
      <x:c r="D1770" t="str">
        <x:v>release state mirrors governing ledger</x:v>
      </x:c>
      <x:c r="E1770" t="str">
        <x:f>'Release Gates'!I1744</x:f>
        <x:v>OPEN</x:v>
      </x:c>
      <x:c r="F1770" t="str">
        <x:f>IF('Release Gates'!C1744="PLANNING","PASS",IF('Release Gates'!C1744="PHYSICAL","OPEN","BLOCKED"))</x:f>
        <x:v>OPEN</x:v>
      </x:c>
      <x:c r="G1770" t="str">
        <x:v>equals</x:v>
      </x:c>
      <x:c r="H1770" t="str">
        <x:f>IF(E1770=F1770,"PASS","FAIL")</x:f>
        <x:v>PASS</x:v>
      </x:c>
    </x:row>
    <x:row r="1771">
      <x:c r="B1771" t="str">
        <x:v>A-01739</x:v>
      </x:c>
      <x:c r="C1771" t="str">
        <x:v>GATE</x:v>
      </x:c>
      <x:c r="D1771" t="str">
        <x:v>release state mirrors governing ledger</x:v>
      </x:c>
      <x:c r="E1771" t="str">
        <x:f>'Release Gates'!I1745</x:f>
        <x:v>OPEN</x:v>
      </x:c>
      <x:c r="F1771" t="str">
        <x:f>IF('Release Gates'!C1745="PLANNING","PASS",IF('Release Gates'!C1745="PHYSICAL","OPEN","BLOCKED"))</x:f>
        <x:v>OPEN</x:v>
      </x:c>
      <x:c r="G1771" t="str">
        <x:v>equals</x:v>
      </x:c>
      <x:c r="H1771" t="str">
        <x:f>IF(E1771=F1771,"PASS","FAIL")</x:f>
        <x:v>PASS</x:v>
      </x:c>
    </x:row>
    <x:row r="1772">
      <x:c r="B1772" t="str">
        <x:v>A-01740</x:v>
      </x:c>
      <x:c r="C1772" t="str">
        <x:v>GATE</x:v>
      </x:c>
      <x:c r="D1772" t="str">
        <x:v>release state mirrors governing ledger</x:v>
      </x:c>
      <x:c r="E1772" t="str">
        <x:f>'Release Gates'!I1746</x:f>
        <x:v>OPEN</x:v>
      </x:c>
      <x:c r="F1772" t="str">
        <x:f>IF('Release Gates'!C1746="PLANNING","PASS",IF('Release Gates'!C1746="PHYSICAL","OPEN","BLOCKED"))</x:f>
        <x:v>OPEN</x:v>
      </x:c>
      <x:c r="G1772" t="str">
        <x:v>equals</x:v>
      </x:c>
      <x:c r="H1772" t="str">
        <x:f>IF(E1772=F1772,"PASS","FAIL")</x:f>
        <x:v>PASS</x:v>
      </x:c>
    </x:row>
    <x:row r="1773">
      <x:c r="B1773" t="str">
        <x:v>A-01741</x:v>
      </x:c>
      <x:c r="C1773" t="str">
        <x:v>GATE</x:v>
      </x:c>
      <x:c r="D1773" t="str">
        <x:v>release state mirrors governing ledger</x:v>
      </x:c>
      <x:c r="E1773" t="str">
        <x:f>'Release Gates'!I1747</x:f>
        <x:v>OPEN</x:v>
      </x:c>
      <x:c r="F1773" t="str">
        <x:f>IF('Release Gates'!C1747="PLANNING","PASS",IF('Release Gates'!C1747="PHYSICAL","OPEN","BLOCKED"))</x:f>
        <x:v>OPEN</x:v>
      </x:c>
      <x:c r="G1773" t="str">
        <x:v>equals</x:v>
      </x:c>
      <x:c r="H1773" t="str">
        <x:f>IF(E1773=F1773,"PASS","FAIL")</x:f>
        <x:v>PASS</x:v>
      </x:c>
    </x:row>
    <x:row r="1774">
      <x:c r="B1774" t="str">
        <x:v>A-01742</x:v>
      </x:c>
      <x:c r="C1774" t="str">
        <x:v>GATE</x:v>
      </x:c>
      <x:c r="D1774" t="str">
        <x:v>release state mirrors governing ledger</x:v>
      </x:c>
      <x:c r="E1774" t="str">
        <x:f>'Release Gates'!I1748</x:f>
        <x:v>OPEN</x:v>
      </x:c>
      <x:c r="F1774" t="str">
        <x:f>IF('Release Gates'!C1748="PLANNING","PASS",IF('Release Gates'!C1748="PHYSICAL","OPEN","BLOCKED"))</x:f>
        <x:v>OPEN</x:v>
      </x:c>
      <x:c r="G1774" t="str">
        <x:v>equals</x:v>
      </x:c>
      <x:c r="H1774" t="str">
        <x:f>IF(E1774=F1774,"PASS","FAIL")</x:f>
        <x:v>PASS</x:v>
      </x:c>
    </x:row>
    <x:row r="1775">
      <x:c r="B1775" t="str">
        <x:v>A-01743</x:v>
      </x:c>
      <x:c r="C1775" t="str">
        <x:v>GATE</x:v>
      </x:c>
      <x:c r="D1775" t="str">
        <x:v>release state mirrors governing ledger</x:v>
      </x:c>
      <x:c r="E1775" t="str">
        <x:f>'Release Gates'!I1749</x:f>
        <x:v>OPEN</x:v>
      </x:c>
      <x:c r="F1775" t="str">
        <x:f>IF('Release Gates'!C1749="PLANNING","PASS",IF('Release Gates'!C1749="PHYSICAL","OPEN","BLOCKED"))</x:f>
        <x:v>OPEN</x:v>
      </x:c>
      <x:c r="G1775" t="str">
        <x:v>equals</x:v>
      </x:c>
      <x:c r="H1775" t="str">
        <x:f>IF(E1775=F1775,"PASS","FAIL")</x:f>
        <x:v>PASS</x:v>
      </x:c>
    </x:row>
    <x:row r="1776">
      <x:c r="B1776" t="str">
        <x:v>A-01744</x:v>
      </x:c>
      <x:c r="C1776" t="str">
        <x:v>GATE</x:v>
      </x:c>
      <x:c r="D1776" t="str">
        <x:v>release state mirrors governing ledger</x:v>
      </x:c>
      <x:c r="E1776" t="str">
        <x:f>'Release Gates'!I1750</x:f>
        <x:v>OPEN</x:v>
      </x:c>
      <x:c r="F1776" t="str">
        <x:f>IF('Release Gates'!C1750="PLANNING","PASS",IF('Release Gates'!C1750="PHYSICAL","OPEN","BLOCKED"))</x:f>
        <x:v>OPEN</x:v>
      </x:c>
      <x:c r="G1776" t="str">
        <x:v>equals</x:v>
      </x:c>
      <x:c r="H1776" t="str">
        <x:f>IF(E1776=F1776,"PASS","FAIL")</x:f>
        <x:v>PASS</x:v>
      </x:c>
    </x:row>
    <x:row r="1777">
      <x:c r="B1777" t="str">
        <x:v>A-01745</x:v>
      </x:c>
      <x:c r="C1777" t="str">
        <x:v>GATE</x:v>
      </x:c>
      <x:c r="D1777" t="str">
        <x:v>release state mirrors governing ledger</x:v>
      </x:c>
      <x:c r="E1777" t="str">
        <x:f>'Release Gates'!I1751</x:f>
        <x:v>OPEN</x:v>
      </x:c>
      <x:c r="F1777" t="str">
        <x:f>IF('Release Gates'!C1751="PLANNING","PASS",IF('Release Gates'!C1751="PHYSICAL","OPEN","BLOCKED"))</x:f>
        <x:v>OPEN</x:v>
      </x:c>
      <x:c r="G1777" t="str">
        <x:v>equals</x:v>
      </x:c>
      <x:c r="H1777" t="str">
        <x:f>IF(E1777=F1777,"PASS","FAIL")</x:f>
        <x:v>PASS</x:v>
      </x:c>
    </x:row>
    <x:row r="1778">
      <x:c r="B1778" t="str">
        <x:v>A-01746</x:v>
      </x:c>
      <x:c r="C1778" t="str">
        <x:v>GATE</x:v>
      </x:c>
      <x:c r="D1778" t="str">
        <x:v>release state mirrors governing ledger</x:v>
      </x:c>
      <x:c r="E1778" t="str">
        <x:f>'Release Gates'!I1752</x:f>
        <x:v>OPEN</x:v>
      </x:c>
      <x:c r="F1778" t="str">
        <x:f>IF('Release Gates'!C1752="PLANNING","PASS",IF('Release Gates'!C1752="PHYSICAL","OPEN","BLOCKED"))</x:f>
        <x:v>OPEN</x:v>
      </x:c>
      <x:c r="G1778" t="str">
        <x:v>equals</x:v>
      </x:c>
      <x:c r="H1778" t="str">
        <x:f>IF(E1778=F1778,"PASS","FAIL")</x:f>
        <x:v>PASS</x:v>
      </x:c>
    </x:row>
    <x:row r="1779">
      <x:c r="B1779" t="str">
        <x:v>A-01747</x:v>
      </x:c>
      <x:c r="C1779" t="str">
        <x:v>GATE</x:v>
      </x:c>
      <x:c r="D1779" t="str">
        <x:v>release state mirrors governing ledger</x:v>
      </x:c>
      <x:c r="E1779" t="str">
        <x:f>'Release Gates'!I1753</x:f>
        <x:v>OPEN</x:v>
      </x:c>
      <x:c r="F1779" t="str">
        <x:f>IF('Release Gates'!C1753="PLANNING","PASS",IF('Release Gates'!C1753="PHYSICAL","OPEN","BLOCKED"))</x:f>
        <x:v>OPEN</x:v>
      </x:c>
      <x:c r="G1779" t="str">
        <x:v>equals</x:v>
      </x:c>
      <x:c r="H1779" t="str">
        <x:f>IF(E1779=F1779,"PASS","FAIL")</x:f>
        <x:v>PASS</x:v>
      </x:c>
    </x:row>
    <x:row r="1780">
      <x:c r="B1780" t="str">
        <x:v>A-01748</x:v>
      </x:c>
      <x:c r="C1780" t="str">
        <x:v>GATE</x:v>
      </x:c>
      <x:c r="D1780" t="str">
        <x:v>release state mirrors governing ledger</x:v>
      </x:c>
      <x:c r="E1780" t="str">
        <x:f>'Release Gates'!I1754</x:f>
        <x:v>OPEN</x:v>
      </x:c>
      <x:c r="F1780" t="str">
        <x:f>IF('Release Gates'!C1754="PLANNING","PASS",IF('Release Gates'!C1754="PHYSICAL","OPEN","BLOCKED"))</x:f>
        <x:v>OPEN</x:v>
      </x:c>
      <x:c r="G1780" t="str">
        <x:v>equals</x:v>
      </x:c>
      <x:c r="H1780" t="str">
        <x:f>IF(E1780=F1780,"PASS","FAIL")</x:f>
        <x:v>PASS</x:v>
      </x:c>
    </x:row>
    <x:row r="1781">
      <x:c r="B1781" t="str">
        <x:v>A-01749</x:v>
      </x:c>
      <x:c r="C1781" t="str">
        <x:v>GATE</x:v>
      </x:c>
      <x:c r="D1781" t="str">
        <x:v>release state mirrors governing ledger</x:v>
      </x:c>
      <x:c r="E1781" t="str">
        <x:f>'Release Gates'!I1755</x:f>
        <x:v>OPEN</x:v>
      </x:c>
      <x:c r="F1781" t="str">
        <x:f>IF('Release Gates'!C1755="PLANNING","PASS",IF('Release Gates'!C1755="PHYSICAL","OPEN","BLOCKED"))</x:f>
        <x:v>OPEN</x:v>
      </x:c>
      <x:c r="G1781" t="str">
        <x:v>equals</x:v>
      </x:c>
      <x:c r="H1781" t="str">
        <x:f>IF(E1781=F1781,"PASS","FAIL")</x:f>
        <x:v>PASS</x:v>
      </x:c>
    </x:row>
    <x:row r="1782">
      <x:c r="B1782" t="str">
        <x:v>A-01750</x:v>
      </x:c>
      <x:c r="C1782" t="str">
        <x:v>GATE</x:v>
      </x:c>
      <x:c r="D1782" t="str">
        <x:v>release state mirrors governing ledger</x:v>
      </x:c>
      <x:c r="E1782" t="str">
        <x:f>'Release Gates'!I1756</x:f>
        <x:v>OPEN</x:v>
      </x:c>
      <x:c r="F1782" t="str">
        <x:f>IF('Release Gates'!C1756="PLANNING","PASS",IF('Release Gates'!C1756="PHYSICAL","OPEN","BLOCKED"))</x:f>
        <x:v>OPEN</x:v>
      </x:c>
      <x:c r="G1782" t="str">
        <x:v>equals</x:v>
      </x:c>
      <x:c r="H1782" t="str">
        <x:f>IF(E1782=F1782,"PASS","FAIL")</x:f>
        <x:v>PASS</x:v>
      </x:c>
    </x:row>
    <x:row r="1783">
      <x:c r="B1783" t="str">
        <x:v>A-01751</x:v>
      </x:c>
      <x:c r="C1783" t="str">
        <x:v>GATE</x:v>
      </x:c>
      <x:c r="D1783" t="str">
        <x:v>release state mirrors governing ledger</x:v>
      </x:c>
      <x:c r="E1783" t="str">
        <x:f>'Release Gates'!I1757</x:f>
        <x:v>OPEN</x:v>
      </x:c>
      <x:c r="F1783" t="str">
        <x:f>IF('Release Gates'!C1757="PLANNING","PASS",IF('Release Gates'!C1757="PHYSICAL","OPEN","BLOCKED"))</x:f>
        <x:v>OPEN</x:v>
      </x:c>
      <x:c r="G1783" t="str">
        <x:v>equals</x:v>
      </x:c>
      <x:c r="H1783" t="str">
        <x:f>IF(E1783=F1783,"PASS","FAIL")</x:f>
        <x:v>PASS</x:v>
      </x:c>
    </x:row>
    <x:row r="1784">
      <x:c r="B1784" t="str">
        <x:v>A-01752</x:v>
      </x:c>
      <x:c r="C1784" t="str">
        <x:v>GATE</x:v>
      </x:c>
      <x:c r="D1784" t="str">
        <x:v>release state mirrors governing ledger</x:v>
      </x:c>
      <x:c r="E1784" t="str">
        <x:f>'Release Gates'!I1758</x:f>
        <x:v>OPEN</x:v>
      </x:c>
      <x:c r="F1784" t="str">
        <x:f>IF('Release Gates'!C1758="PLANNING","PASS",IF('Release Gates'!C1758="PHYSICAL","OPEN","BLOCKED"))</x:f>
        <x:v>OPEN</x:v>
      </x:c>
      <x:c r="G1784" t="str">
        <x:v>equals</x:v>
      </x:c>
      <x:c r="H1784" t="str">
        <x:f>IF(E1784=F1784,"PASS","FAIL")</x:f>
        <x:v>PASS</x:v>
      </x:c>
    </x:row>
    <x:row r="1785">
      <x:c r="B1785" t="str">
        <x:v>A-01753</x:v>
      </x:c>
      <x:c r="C1785" t="str">
        <x:v>GATE</x:v>
      </x:c>
      <x:c r="D1785" t="str">
        <x:v>release state mirrors governing ledger</x:v>
      </x:c>
      <x:c r="E1785" t="str">
        <x:f>'Release Gates'!I1759</x:f>
        <x:v>OPEN</x:v>
      </x:c>
      <x:c r="F1785" t="str">
        <x:f>IF('Release Gates'!C1759="PLANNING","PASS",IF('Release Gates'!C1759="PHYSICAL","OPEN","BLOCKED"))</x:f>
        <x:v>OPEN</x:v>
      </x:c>
      <x:c r="G1785" t="str">
        <x:v>equals</x:v>
      </x:c>
      <x:c r="H1785" t="str">
        <x:f>IF(E1785=F1785,"PASS","FAIL")</x:f>
        <x:v>PASS</x:v>
      </x:c>
    </x:row>
    <x:row r="1786">
      <x:c r="B1786" t="str">
        <x:v>A-01754</x:v>
      </x:c>
      <x:c r="C1786" t="str">
        <x:v>GATE</x:v>
      </x:c>
      <x:c r="D1786" t="str">
        <x:v>release state mirrors governing ledger</x:v>
      </x:c>
      <x:c r="E1786" t="str">
        <x:f>'Release Gates'!I1760</x:f>
        <x:v>OPEN</x:v>
      </x:c>
      <x:c r="F1786" t="str">
        <x:f>IF('Release Gates'!C1760="PLANNING","PASS",IF('Release Gates'!C1760="PHYSICAL","OPEN","BLOCKED"))</x:f>
        <x:v>OPEN</x:v>
      </x:c>
      <x:c r="G1786" t="str">
        <x:v>equals</x:v>
      </x:c>
      <x:c r="H1786" t="str">
        <x:f>IF(E1786=F1786,"PASS","FAIL")</x:f>
        <x:v>PASS</x:v>
      </x:c>
    </x:row>
    <x:row r="1787">
      <x:c r="B1787" t="str">
        <x:v>A-01755</x:v>
      </x:c>
      <x:c r="C1787" t="str">
        <x:v>GATE</x:v>
      </x:c>
      <x:c r="D1787" t="str">
        <x:v>release state mirrors governing ledger</x:v>
      </x:c>
      <x:c r="E1787" t="str">
        <x:f>'Release Gates'!I1761</x:f>
        <x:v>OPEN</x:v>
      </x:c>
      <x:c r="F1787" t="str">
        <x:f>IF('Release Gates'!C1761="PLANNING","PASS",IF('Release Gates'!C1761="PHYSICAL","OPEN","BLOCKED"))</x:f>
        <x:v>OPEN</x:v>
      </x:c>
      <x:c r="G1787" t="str">
        <x:v>equals</x:v>
      </x:c>
      <x:c r="H1787" t="str">
        <x:f>IF(E1787=F1787,"PASS","FAIL")</x:f>
        <x:v>PASS</x:v>
      </x:c>
    </x:row>
    <x:row r="1788">
      <x:c r="B1788" t="str">
        <x:v>A-01756</x:v>
      </x:c>
      <x:c r="C1788" t="str">
        <x:v>GATE</x:v>
      </x:c>
      <x:c r="D1788" t="str">
        <x:v>release state mirrors governing ledger</x:v>
      </x:c>
      <x:c r="E1788" t="str">
        <x:f>'Release Gates'!I1762</x:f>
        <x:v>OPEN</x:v>
      </x:c>
      <x:c r="F1788" t="str">
        <x:f>IF('Release Gates'!C1762="PLANNING","PASS",IF('Release Gates'!C1762="PHYSICAL","OPEN","BLOCKED"))</x:f>
        <x:v>OPEN</x:v>
      </x:c>
      <x:c r="G1788" t="str">
        <x:v>equals</x:v>
      </x:c>
      <x:c r="H1788" t="str">
        <x:f>IF(E1788=F1788,"PASS","FAIL")</x:f>
        <x:v>PASS</x:v>
      </x:c>
    </x:row>
    <x:row r="1789">
      <x:c r="B1789" t="str">
        <x:v>A-01757</x:v>
      </x:c>
      <x:c r="C1789" t="str">
        <x:v>GATE</x:v>
      </x:c>
      <x:c r="D1789" t="str">
        <x:v>release state mirrors governing ledger</x:v>
      </x:c>
      <x:c r="E1789" t="str">
        <x:f>'Release Gates'!I1763</x:f>
        <x:v>OPEN</x:v>
      </x:c>
      <x:c r="F1789" t="str">
        <x:f>IF('Release Gates'!C1763="PLANNING","PASS",IF('Release Gates'!C1763="PHYSICAL","OPEN","BLOCKED"))</x:f>
        <x:v>OPEN</x:v>
      </x:c>
      <x:c r="G1789" t="str">
        <x:v>equals</x:v>
      </x:c>
      <x:c r="H1789" t="str">
        <x:f>IF(E1789=F1789,"PASS","FAIL")</x:f>
        <x:v>PASS</x:v>
      </x:c>
    </x:row>
    <x:row r="1790">
      <x:c r="B1790" t="str">
        <x:v>A-01758</x:v>
      </x:c>
      <x:c r="C1790" t="str">
        <x:v>GATE</x:v>
      </x:c>
      <x:c r="D1790" t="str">
        <x:v>release state mirrors governing ledger</x:v>
      </x:c>
      <x:c r="E1790" t="str">
        <x:f>'Release Gates'!I1764</x:f>
        <x:v>OPEN</x:v>
      </x:c>
      <x:c r="F1790" t="str">
        <x:f>IF('Release Gates'!C1764="PLANNING","PASS",IF('Release Gates'!C1764="PHYSICAL","OPEN","BLOCKED"))</x:f>
        <x:v>OPEN</x:v>
      </x:c>
      <x:c r="G1790" t="str">
        <x:v>equals</x:v>
      </x:c>
      <x:c r="H1790" t="str">
        <x:f>IF(E1790=F1790,"PASS","FAIL")</x:f>
        <x:v>PASS</x:v>
      </x:c>
    </x:row>
    <x:row r="1791">
      <x:c r="B1791" t="str">
        <x:v>A-01759</x:v>
      </x:c>
      <x:c r="C1791" t="str">
        <x:v>GATE</x:v>
      </x:c>
      <x:c r="D1791" t="str">
        <x:v>release state mirrors governing ledger</x:v>
      </x:c>
      <x:c r="E1791" t="str">
        <x:f>'Release Gates'!I1765</x:f>
        <x:v>OPEN</x:v>
      </x:c>
      <x:c r="F1791" t="str">
        <x:f>IF('Release Gates'!C1765="PLANNING","PASS",IF('Release Gates'!C1765="PHYSICAL","OPEN","BLOCKED"))</x:f>
        <x:v>OPEN</x:v>
      </x:c>
      <x:c r="G1791" t="str">
        <x:v>equals</x:v>
      </x:c>
      <x:c r="H1791" t="str">
        <x:f>IF(E1791=F1791,"PASS","FAIL")</x:f>
        <x:v>PASS</x:v>
      </x:c>
    </x:row>
    <x:row r="1792">
      <x:c r="B1792" t="str">
        <x:v>A-01760</x:v>
      </x:c>
      <x:c r="C1792" t="str">
        <x:v>GATE</x:v>
      </x:c>
      <x:c r="D1792" t="str">
        <x:v>release state mirrors governing ledger</x:v>
      </x:c>
      <x:c r="E1792" t="str">
        <x:f>'Release Gates'!I1766</x:f>
        <x:v>OPEN</x:v>
      </x:c>
      <x:c r="F1792" t="str">
        <x:f>IF('Release Gates'!C1766="PLANNING","PASS",IF('Release Gates'!C1766="PHYSICAL","OPEN","BLOCKED"))</x:f>
        <x:v>OPEN</x:v>
      </x:c>
      <x:c r="G1792" t="str">
        <x:v>equals</x:v>
      </x:c>
      <x:c r="H1792" t="str">
        <x:f>IF(E1792=F1792,"PASS","FAIL")</x:f>
        <x:v>PASS</x:v>
      </x:c>
    </x:row>
    <x:row r="1793">
      <x:c r="B1793" t="str">
        <x:v>A-01761</x:v>
      </x:c>
      <x:c r="C1793" t="str">
        <x:v>GATE</x:v>
      </x:c>
      <x:c r="D1793" t="str">
        <x:v>release state mirrors governing ledger</x:v>
      </x:c>
      <x:c r="E1793" t="str">
        <x:f>'Release Gates'!I1767</x:f>
        <x:v>OPEN</x:v>
      </x:c>
      <x:c r="F1793" t="str">
        <x:f>IF('Release Gates'!C1767="PLANNING","PASS",IF('Release Gates'!C1767="PHYSICAL","OPEN","BLOCKED"))</x:f>
        <x:v>OPEN</x:v>
      </x:c>
      <x:c r="G1793" t="str">
        <x:v>equals</x:v>
      </x:c>
      <x:c r="H1793" t="str">
        <x:f>IF(E1793=F1793,"PASS","FAIL")</x:f>
        <x:v>PASS</x:v>
      </x:c>
    </x:row>
    <x:row r="1794">
      <x:c r="B1794" t="str">
        <x:v>A-01762</x:v>
      </x:c>
      <x:c r="C1794" t="str">
        <x:v>GATE</x:v>
      </x:c>
      <x:c r="D1794" t="str">
        <x:v>release state mirrors governing ledger</x:v>
      </x:c>
      <x:c r="E1794" t="str">
        <x:f>'Release Gates'!I1768</x:f>
        <x:v>OPEN</x:v>
      </x:c>
      <x:c r="F1794" t="str">
        <x:f>IF('Release Gates'!C1768="PLANNING","PASS",IF('Release Gates'!C1768="PHYSICAL","OPEN","BLOCKED"))</x:f>
        <x:v>OPEN</x:v>
      </x:c>
      <x:c r="G1794" t="str">
        <x:v>equals</x:v>
      </x:c>
      <x:c r="H1794" t="str">
        <x:f>IF(E1794=F1794,"PASS","FAIL")</x:f>
        <x:v>PASS</x:v>
      </x:c>
    </x:row>
    <x:row r="1795">
      <x:c r="B1795" t="str">
        <x:v>A-01763</x:v>
      </x:c>
      <x:c r="C1795" t="str">
        <x:v>GATE</x:v>
      </x:c>
      <x:c r="D1795" t="str">
        <x:v>release state mirrors governing ledger</x:v>
      </x:c>
      <x:c r="E1795" t="str">
        <x:f>'Release Gates'!I1769</x:f>
        <x:v>OPEN</x:v>
      </x:c>
      <x:c r="F1795" t="str">
        <x:f>IF('Release Gates'!C1769="PLANNING","PASS",IF('Release Gates'!C1769="PHYSICAL","OPEN","BLOCKED"))</x:f>
        <x:v>OPEN</x:v>
      </x:c>
      <x:c r="G1795" t="str">
        <x:v>equals</x:v>
      </x:c>
      <x:c r="H1795" t="str">
        <x:f>IF(E1795=F1795,"PASS","FAIL")</x:f>
        <x:v>PASS</x:v>
      </x:c>
    </x:row>
    <x:row r="1796">
      <x:c r="B1796" t="str">
        <x:v>A-01764</x:v>
      </x:c>
      <x:c r="C1796" t="str">
        <x:v>GATE</x:v>
      </x:c>
      <x:c r="D1796" t="str">
        <x:v>release state mirrors governing ledger</x:v>
      </x:c>
      <x:c r="E1796" t="str">
        <x:f>'Release Gates'!I1770</x:f>
        <x:v>OPEN</x:v>
      </x:c>
      <x:c r="F1796" t="str">
        <x:f>IF('Release Gates'!C1770="PLANNING","PASS",IF('Release Gates'!C1770="PHYSICAL","OPEN","BLOCKED"))</x:f>
        <x:v>OPEN</x:v>
      </x:c>
      <x:c r="G1796" t="str">
        <x:v>equals</x:v>
      </x:c>
      <x:c r="H1796" t="str">
        <x:f>IF(E1796=F1796,"PASS","FAIL")</x:f>
        <x:v>PASS</x:v>
      </x:c>
    </x:row>
    <x:row r="1797">
      <x:c r="B1797" t="str">
        <x:v>A-01765</x:v>
      </x:c>
      <x:c r="C1797" t="str">
        <x:v>GATE</x:v>
      </x:c>
      <x:c r="D1797" t="str">
        <x:v>release state mirrors governing ledger</x:v>
      </x:c>
      <x:c r="E1797" t="str">
        <x:f>'Release Gates'!I1771</x:f>
        <x:v>OPEN</x:v>
      </x:c>
      <x:c r="F1797" t="str">
        <x:f>IF('Release Gates'!C1771="PLANNING","PASS",IF('Release Gates'!C1771="PHYSICAL","OPEN","BLOCKED"))</x:f>
        <x:v>OPEN</x:v>
      </x:c>
      <x:c r="G1797" t="str">
        <x:v>equals</x:v>
      </x:c>
      <x:c r="H1797" t="str">
        <x:f>IF(E1797=F1797,"PASS","FAIL")</x:f>
        <x:v>PASS</x:v>
      </x:c>
    </x:row>
    <x:row r="1798">
      <x:c r="B1798" t="str">
        <x:v>A-01766</x:v>
      </x:c>
      <x:c r="C1798" t="str">
        <x:v>GATE</x:v>
      </x:c>
      <x:c r="D1798" t="str">
        <x:v>release state mirrors governing ledger</x:v>
      </x:c>
      <x:c r="E1798" t="str">
        <x:f>'Release Gates'!I1772</x:f>
        <x:v>OPEN</x:v>
      </x:c>
      <x:c r="F1798" t="str">
        <x:f>IF('Release Gates'!C1772="PLANNING","PASS",IF('Release Gates'!C1772="PHYSICAL","OPEN","BLOCKED"))</x:f>
        <x:v>OPEN</x:v>
      </x:c>
      <x:c r="G1798" t="str">
        <x:v>equals</x:v>
      </x:c>
      <x:c r="H1798" t="str">
        <x:f>IF(E1798=F1798,"PASS","FAIL")</x:f>
        <x:v>PASS</x:v>
      </x:c>
    </x:row>
    <x:row r="1799">
      <x:c r="B1799" t="str">
        <x:v>A-01767</x:v>
      </x:c>
      <x:c r="C1799" t="str">
        <x:v>GATE</x:v>
      </x:c>
      <x:c r="D1799" t="str">
        <x:v>release state mirrors governing ledger</x:v>
      </x:c>
      <x:c r="E1799" t="str">
        <x:f>'Release Gates'!I1773</x:f>
        <x:v>OPEN</x:v>
      </x:c>
      <x:c r="F1799" t="str">
        <x:f>IF('Release Gates'!C1773="PLANNING","PASS",IF('Release Gates'!C1773="PHYSICAL","OPEN","BLOCKED"))</x:f>
        <x:v>OPEN</x:v>
      </x:c>
      <x:c r="G1799" t="str">
        <x:v>equals</x:v>
      </x:c>
      <x:c r="H1799" t="str">
        <x:f>IF(E1799=F1799,"PASS","FAIL")</x:f>
        <x:v>PASS</x:v>
      </x:c>
    </x:row>
    <x:row r="1800">
      <x:c r="B1800" t="str">
        <x:v>A-01768</x:v>
      </x:c>
      <x:c r="C1800" t="str">
        <x:v>GATE</x:v>
      </x:c>
      <x:c r="D1800" t="str">
        <x:v>release state mirrors governing ledger</x:v>
      </x:c>
      <x:c r="E1800" t="str">
        <x:f>'Release Gates'!I1774</x:f>
        <x:v>OPEN</x:v>
      </x:c>
      <x:c r="F1800" t="str">
        <x:f>IF('Release Gates'!C1774="PLANNING","PASS",IF('Release Gates'!C1774="PHYSICAL","OPEN","BLOCKED"))</x:f>
        <x:v>OPEN</x:v>
      </x:c>
      <x:c r="G1800" t="str">
        <x:v>equals</x:v>
      </x:c>
      <x:c r="H1800" t="str">
        <x:f>IF(E1800=F1800,"PASS","FAIL")</x:f>
        <x:v>PASS</x:v>
      </x:c>
    </x:row>
    <x:row r="1801">
      <x:c r="B1801" t="str">
        <x:v>A-01769</x:v>
      </x:c>
      <x:c r="C1801" t="str">
        <x:v>GATE</x:v>
      </x:c>
      <x:c r="D1801" t="str">
        <x:v>release state mirrors governing ledger</x:v>
      </x:c>
      <x:c r="E1801" t="str">
        <x:f>'Release Gates'!I1775</x:f>
        <x:v>OPEN</x:v>
      </x:c>
      <x:c r="F1801" t="str">
        <x:f>IF('Release Gates'!C1775="PLANNING","PASS",IF('Release Gates'!C1775="PHYSICAL","OPEN","BLOCKED"))</x:f>
        <x:v>OPEN</x:v>
      </x:c>
      <x:c r="G1801" t="str">
        <x:v>equals</x:v>
      </x:c>
      <x:c r="H1801" t="str">
        <x:f>IF(E1801=F1801,"PASS","FAIL")</x:f>
        <x:v>PASS</x:v>
      </x:c>
    </x:row>
    <x:row r="1802">
      <x:c r="B1802" t="str">
        <x:v>A-01770</x:v>
      </x:c>
      <x:c r="C1802" t="str">
        <x:v>GATE</x:v>
      </x:c>
      <x:c r="D1802" t="str">
        <x:v>release state mirrors governing ledger</x:v>
      </x:c>
      <x:c r="E1802" t="str">
        <x:f>'Release Gates'!I1776</x:f>
        <x:v>OPEN</x:v>
      </x:c>
      <x:c r="F1802" t="str">
        <x:f>IF('Release Gates'!C1776="PLANNING","PASS",IF('Release Gates'!C1776="PHYSICAL","OPEN","BLOCKED"))</x:f>
        <x:v>OPEN</x:v>
      </x:c>
      <x:c r="G1802" t="str">
        <x:v>equals</x:v>
      </x:c>
      <x:c r="H1802" t="str">
        <x:f>IF(E1802=F1802,"PASS","FAIL")</x:f>
        <x:v>PASS</x:v>
      </x:c>
    </x:row>
    <x:row r="1803">
      <x:c r="B1803" t="str">
        <x:v>A-01771</x:v>
      </x:c>
      <x:c r="C1803" t="str">
        <x:v>GATE</x:v>
      </x:c>
      <x:c r="D1803" t="str">
        <x:v>release state mirrors governing ledger</x:v>
      </x:c>
      <x:c r="E1803" t="str">
        <x:f>'Release Gates'!I1777</x:f>
        <x:v>OPEN</x:v>
      </x:c>
      <x:c r="F1803" t="str">
        <x:f>IF('Release Gates'!C1777="PLANNING","PASS",IF('Release Gates'!C1777="PHYSICAL","OPEN","BLOCKED"))</x:f>
        <x:v>OPEN</x:v>
      </x:c>
      <x:c r="G1803" t="str">
        <x:v>equals</x:v>
      </x:c>
      <x:c r="H1803" t="str">
        <x:f>IF(E1803=F1803,"PASS","FAIL")</x:f>
        <x:v>PASS</x:v>
      </x:c>
    </x:row>
    <x:row r="1804">
      <x:c r="B1804" t="str">
        <x:v>A-01772</x:v>
      </x:c>
      <x:c r="C1804" t="str">
        <x:v>GATE</x:v>
      </x:c>
      <x:c r="D1804" t="str">
        <x:v>release state mirrors governing ledger</x:v>
      </x:c>
      <x:c r="E1804" t="str">
        <x:f>'Release Gates'!I1778</x:f>
        <x:v>OPEN</x:v>
      </x:c>
      <x:c r="F1804" t="str">
        <x:f>IF('Release Gates'!C1778="PLANNING","PASS",IF('Release Gates'!C1778="PHYSICAL","OPEN","BLOCKED"))</x:f>
        <x:v>OPEN</x:v>
      </x:c>
      <x:c r="G1804" t="str">
        <x:v>equals</x:v>
      </x:c>
      <x:c r="H1804" t="str">
        <x:f>IF(E1804=F1804,"PASS","FAIL")</x:f>
        <x:v>PASS</x:v>
      </x:c>
    </x:row>
    <x:row r="1805">
      <x:c r="B1805" t="str">
        <x:v>A-01773</x:v>
      </x:c>
      <x:c r="C1805" t="str">
        <x:v>GATE</x:v>
      </x:c>
      <x:c r="D1805" t="str">
        <x:v>release state mirrors governing ledger</x:v>
      </x:c>
      <x:c r="E1805" t="str">
        <x:f>'Release Gates'!I1779</x:f>
        <x:v>OPEN</x:v>
      </x:c>
      <x:c r="F1805" t="str">
        <x:f>IF('Release Gates'!C1779="PLANNING","PASS",IF('Release Gates'!C1779="PHYSICAL","OPEN","BLOCKED"))</x:f>
        <x:v>OPEN</x:v>
      </x:c>
      <x:c r="G1805" t="str">
        <x:v>equals</x:v>
      </x:c>
      <x:c r="H1805" t="str">
        <x:f>IF(E1805=F1805,"PASS","FAIL")</x:f>
        <x:v>PASS</x:v>
      </x:c>
    </x:row>
    <x:row r="1806">
      <x:c r="B1806" t="str">
        <x:v>A-01774</x:v>
      </x:c>
      <x:c r="C1806" t="str">
        <x:v>GATE</x:v>
      </x:c>
      <x:c r="D1806" t="str">
        <x:v>release state mirrors governing ledger</x:v>
      </x:c>
      <x:c r="E1806" t="str">
        <x:f>'Release Gates'!I1780</x:f>
        <x:v>OPEN</x:v>
      </x:c>
      <x:c r="F1806" t="str">
        <x:f>IF('Release Gates'!C1780="PLANNING","PASS",IF('Release Gates'!C1780="PHYSICAL","OPEN","BLOCKED"))</x:f>
        <x:v>OPEN</x:v>
      </x:c>
      <x:c r="G1806" t="str">
        <x:v>equals</x:v>
      </x:c>
      <x:c r="H1806" t="str">
        <x:f>IF(E1806=F1806,"PASS","FAIL")</x:f>
        <x:v>PASS</x:v>
      </x:c>
    </x:row>
    <x:row r="1807">
      <x:c r="B1807" t="str">
        <x:v>A-01775</x:v>
      </x:c>
      <x:c r="C1807" t="str">
        <x:v>GATE</x:v>
      </x:c>
      <x:c r="D1807" t="str">
        <x:v>release state mirrors governing ledger</x:v>
      </x:c>
      <x:c r="E1807" t="str">
        <x:f>'Release Gates'!I1781</x:f>
        <x:v>OPEN</x:v>
      </x:c>
      <x:c r="F1807" t="str">
        <x:f>IF('Release Gates'!C1781="PLANNING","PASS",IF('Release Gates'!C1781="PHYSICAL","OPEN","BLOCKED"))</x:f>
        <x:v>OPEN</x:v>
      </x:c>
      <x:c r="G1807" t="str">
        <x:v>equals</x:v>
      </x:c>
      <x:c r="H1807" t="str">
        <x:f>IF(E1807=F1807,"PASS","FAIL")</x:f>
        <x:v>PASS</x:v>
      </x:c>
    </x:row>
    <x:row r="1808">
      <x:c r="B1808" t="str">
        <x:v>A-01776</x:v>
      </x:c>
      <x:c r="C1808" t="str">
        <x:v>GATE</x:v>
      </x:c>
      <x:c r="D1808" t="str">
        <x:v>release state mirrors governing ledger</x:v>
      </x:c>
      <x:c r="E1808" t="str">
        <x:f>'Release Gates'!I1782</x:f>
        <x:v>OPEN</x:v>
      </x:c>
      <x:c r="F1808" t="str">
        <x:f>IF('Release Gates'!C1782="PLANNING","PASS",IF('Release Gates'!C1782="PHYSICAL","OPEN","BLOCKED"))</x:f>
        <x:v>OPEN</x:v>
      </x:c>
      <x:c r="G1808" t="str">
        <x:v>equals</x:v>
      </x:c>
      <x:c r="H1808" t="str">
        <x:f>IF(E1808=F1808,"PASS","FAIL")</x:f>
        <x:v>PASS</x:v>
      </x:c>
    </x:row>
    <x:row r="1809">
      <x:c r="B1809" t="str">
        <x:v>A-01777</x:v>
      </x:c>
      <x:c r="C1809" t="str">
        <x:v>GATE</x:v>
      </x:c>
      <x:c r="D1809" t="str">
        <x:v>release state mirrors governing ledger</x:v>
      </x:c>
      <x:c r="E1809" t="str">
        <x:f>'Release Gates'!I1783</x:f>
        <x:v>OPEN</x:v>
      </x:c>
      <x:c r="F1809" t="str">
        <x:f>IF('Release Gates'!C1783="PLANNING","PASS",IF('Release Gates'!C1783="PHYSICAL","OPEN","BLOCKED"))</x:f>
        <x:v>OPEN</x:v>
      </x:c>
      <x:c r="G1809" t="str">
        <x:v>equals</x:v>
      </x:c>
      <x:c r="H1809" t="str">
        <x:f>IF(E1809=F1809,"PASS","FAIL")</x:f>
        <x:v>PASS</x:v>
      </x:c>
    </x:row>
    <x:row r="1810">
      <x:c r="B1810" t="str">
        <x:v>A-01778</x:v>
      </x:c>
      <x:c r="C1810" t="str">
        <x:v>GATE</x:v>
      </x:c>
      <x:c r="D1810" t="str">
        <x:v>release state mirrors governing ledger</x:v>
      </x:c>
      <x:c r="E1810" t="str">
        <x:f>'Release Gates'!I1784</x:f>
        <x:v>OPEN</x:v>
      </x:c>
      <x:c r="F1810" t="str">
        <x:f>IF('Release Gates'!C1784="PLANNING","PASS",IF('Release Gates'!C1784="PHYSICAL","OPEN","BLOCKED"))</x:f>
        <x:v>OPEN</x:v>
      </x:c>
      <x:c r="G1810" t="str">
        <x:v>equals</x:v>
      </x:c>
      <x:c r="H1810" t="str">
        <x:f>IF(E1810=F1810,"PASS","FAIL")</x:f>
        <x:v>PASS</x:v>
      </x:c>
    </x:row>
    <x:row r="1811">
      <x:c r="B1811" t="str">
        <x:v>A-01779</x:v>
      </x:c>
      <x:c r="C1811" t="str">
        <x:v>GATE</x:v>
      </x:c>
      <x:c r="D1811" t="str">
        <x:v>release state mirrors governing ledger</x:v>
      </x:c>
      <x:c r="E1811" t="str">
        <x:f>'Release Gates'!I1785</x:f>
        <x:v>OPEN</x:v>
      </x:c>
      <x:c r="F1811" t="str">
        <x:f>IF('Release Gates'!C1785="PLANNING","PASS",IF('Release Gates'!C1785="PHYSICAL","OPEN","BLOCKED"))</x:f>
        <x:v>OPEN</x:v>
      </x:c>
      <x:c r="G1811" t="str">
        <x:v>equals</x:v>
      </x:c>
      <x:c r="H1811" t="str">
        <x:f>IF(E1811=F1811,"PASS","FAIL")</x:f>
        <x:v>PASS</x:v>
      </x:c>
    </x:row>
    <x:row r="1812">
      <x:c r="B1812" t="str">
        <x:v>A-01780</x:v>
      </x:c>
      <x:c r="C1812" t="str">
        <x:v>GATE</x:v>
      </x:c>
      <x:c r="D1812" t="str">
        <x:v>release state mirrors governing ledger</x:v>
      </x:c>
      <x:c r="E1812" t="str">
        <x:f>'Release Gates'!I1786</x:f>
        <x:v>OPEN</x:v>
      </x:c>
      <x:c r="F1812" t="str">
        <x:f>IF('Release Gates'!C1786="PLANNING","PASS",IF('Release Gates'!C1786="PHYSICAL","OPEN","BLOCKED"))</x:f>
        <x:v>OPEN</x:v>
      </x:c>
      <x:c r="G1812" t="str">
        <x:v>equals</x:v>
      </x:c>
      <x:c r="H1812" t="str">
        <x:f>IF(E1812=F1812,"PASS","FAIL")</x:f>
        <x:v>PASS</x:v>
      </x:c>
    </x:row>
    <x:row r="1813">
      <x:c r="B1813" t="str">
        <x:v>A-01781</x:v>
      </x:c>
      <x:c r="C1813" t="str">
        <x:v>GATE</x:v>
      </x:c>
      <x:c r="D1813" t="str">
        <x:v>release state mirrors governing ledger</x:v>
      </x:c>
      <x:c r="E1813" t="str">
        <x:f>'Release Gates'!I1787</x:f>
        <x:v>OPEN</x:v>
      </x:c>
      <x:c r="F1813" t="str">
        <x:f>IF('Release Gates'!C1787="PLANNING","PASS",IF('Release Gates'!C1787="PHYSICAL","OPEN","BLOCKED"))</x:f>
        <x:v>OPEN</x:v>
      </x:c>
      <x:c r="G1813" t="str">
        <x:v>equals</x:v>
      </x:c>
      <x:c r="H1813" t="str">
        <x:f>IF(E1813=F1813,"PASS","FAIL")</x:f>
        <x:v>PASS</x:v>
      </x:c>
    </x:row>
    <x:row r="1814">
      <x:c r="B1814" t="str">
        <x:v>A-01782</x:v>
      </x:c>
      <x:c r="C1814" t="str">
        <x:v>GATE</x:v>
      </x:c>
      <x:c r="D1814" t="str">
        <x:v>release state mirrors governing ledger</x:v>
      </x:c>
      <x:c r="E1814" t="str">
        <x:f>'Release Gates'!I1788</x:f>
        <x:v>OPEN</x:v>
      </x:c>
      <x:c r="F1814" t="str">
        <x:f>IF('Release Gates'!C1788="PLANNING","PASS",IF('Release Gates'!C1788="PHYSICAL","OPEN","BLOCKED"))</x:f>
        <x:v>OPEN</x:v>
      </x:c>
      <x:c r="G1814" t="str">
        <x:v>equals</x:v>
      </x:c>
      <x:c r="H1814" t="str">
        <x:f>IF(E1814=F1814,"PASS","FAIL")</x:f>
        <x:v>PASS</x:v>
      </x:c>
    </x:row>
    <x:row r="1815">
      <x:c r="B1815" t="str">
        <x:v>A-01783</x:v>
      </x:c>
      <x:c r="C1815" t="str">
        <x:v>GATE</x:v>
      </x:c>
      <x:c r="D1815" t="str">
        <x:v>release state mirrors governing ledger</x:v>
      </x:c>
      <x:c r="E1815" t="str">
        <x:f>'Release Gates'!I1789</x:f>
        <x:v>OPEN</x:v>
      </x:c>
      <x:c r="F1815" t="str">
        <x:f>IF('Release Gates'!C1789="PLANNING","PASS",IF('Release Gates'!C1789="PHYSICAL","OPEN","BLOCKED"))</x:f>
        <x:v>OPEN</x:v>
      </x:c>
      <x:c r="G1815" t="str">
        <x:v>equals</x:v>
      </x:c>
      <x:c r="H1815" t="str">
        <x:f>IF(E1815=F1815,"PASS","FAIL")</x:f>
        <x:v>PASS</x:v>
      </x:c>
    </x:row>
    <x:row r="1816">
      <x:c r="B1816" t="str">
        <x:v>A-01784</x:v>
      </x:c>
      <x:c r="C1816" t="str">
        <x:v>GATE</x:v>
      </x:c>
      <x:c r="D1816" t="str">
        <x:v>release state mirrors governing ledger</x:v>
      </x:c>
      <x:c r="E1816" t="str">
        <x:f>'Release Gates'!I1790</x:f>
        <x:v>OPEN</x:v>
      </x:c>
      <x:c r="F1816" t="str">
        <x:f>IF('Release Gates'!C1790="PLANNING","PASS",IF('Release Gates'!C1790="PHYSICAL","OPEN","BLOCKED"))</x:f>
        <x:v>OPEN</x:v>
      </x:c>
      <x:c r="G1816" t="str">
        <x:v>equals</x:v>
      </x:c>
      <x:c r="H1816" t="str">
        <x:f>IF(E1816=F1816,"PASS","FAIL")</x:f>
        <x:v>PASS</x:v>
      </x:c>
    </x:row>
    <x:row r="1817">
      <x:c r="B1817" t="str">
        <x:v>A-01785</x:v>
      </x:c>
      <x:c r="C1817" t="str">
        <x:v>GATE</x:v>
      </x:c>
      <x:c r="D1817" t="str">
        <x:v>release state mirrors governing ledger</x:v>
      </x:c>
      <x:c r="E1817" t="str">
        <x:f>'Release Gates'!I1791</x:f>
        <x:v>OPEN</x:v>
      </x:c>
      <x:c r="F1817" t="str">
        <x:f>IF('Release Gates'!C1791="PLANNING","PASS",IF('Release Gates'!C1791="PHYSICAL","OPEN","BLOCKED"))</x:f>
        <x:v>OPEN</x:v>
      </x:c>
      <x:c r="G1817" t="str">
        <x:v>equals</x:v>
      </x:c>
      <x:c r="H1817" t="str">
        <x:f>IF(E1817=F1817,"PASS","FAIL")</x:f>
        <x:v>PASS</x:v>
      </x:c>
    </x:row>
    <x:row r="1818">
      <x:c r="B1818" t="str">
        <x:v>A-01786</x:v>
      </x:c>
      <x:c r="C1818" t="str">
        <x:v>GATE</x:v>
      </x:c>
      <x:c r="D1818" t="str">
        <x:v>release state mirrors governing ledger</x:v>
      </x:c>
      <x:c r="E1818" t="str">
        <x:f>'Release Gates'!I1792</x:f>
        <x:v>OPEN</x:v>
      </x:c>
      <x:c r="F1818" t="str">
        <x:f>IF('Release Gates'!C1792="PLANNING","PASS",IF('Release Gates'!C1792="PHYSICAL","OPEN","BLOCKED"))</x:f>
        <x:v>OPEN</x:v>
      </x:c>
      <x:c r="G1818" t="str">
        <x:v>equals</x:v>
      </x:c>
      <x:c r="H1818" t="str">
        <x:f>IF(E1818=F1818,"PASS","FAIL")</x:f>
        <x:v>PASS</x:v>
      </x:c>
    </x:row>
    <x:row r="1819">
      <x:c r="B1819" t="str">
        <x:v>A-01787</x:v>
      </x:c>
      <x:c r="C1819" t="str">
        <x:v>GATE</x:v>
      </x:c>
      <x:c r="D1819" t="str">
        <x:v>release state mirrors governing ledger</x:v>
      </x:c>
      <x:c r="E1819" t="str">
        <x:f>'Release Gates'!I1793</x:f>
        <x:v>OPEN</x:v>
      </x:c>
      <x:c r="F1819" t="str">
        <x:f>IF('Release Gates'!C1793="PLANNING","PASS",IF('Release Gates'!C1793="PHYSICAL","OPEN","BLOCKED"))</x:f>
        <x:v>OPEN</x:v>
      </x:c>
      <x:c r="G1819" t="str">
        <x:v>equals</x:v>
      </x:c>
      <x:c r="H1819" t="str">
        <x:f>IF(E1819=F1819,"PASS","FAIL")</x:f>
        <x:v>PASS</x:v>
      </x:c>
    </x:row>
    <x:row r="1820">
      <x:c r="B1820" t="str">
        <x:v>A-01788</x:v>
      </x:c>
      <x:c r="C1820" t="str">
        <x:v>GATE</x:v>
      </x:c>
      <x:c r="D1820" t="str">
        <x:v>release state mirrors governing ledger</x:v>
      </x:c>
      <x:c r="E1820" t="str">
        <x:f>'Release Gates'!I1794</x:f>
        <x:v>OPEN</x:v>
      </x:c>
      <x:c r="F1820" t="str">
        <x:f>IF('Release Gates'!C1794="PLANNING","PASS",IF('Release Gates'!C1794="PHYSICAL","OPEN","BLOCKED"))</x:f>
        <x:v>OPEN</x:v>
      </x:c>
      <x:c r="G1820" t="str">
        <x:v>equals</x:v>
      </x:c>
      <x:c r="H1820" t="str">
        <x:f>IF(E1820=F1820,"PASS","FAIL")</x:f>
        <x:v>PASS</x:v>
      </x:c>
    </x:row>
    <x:row r="1821">
      <x:c r="B1821" t="str">
        <x:v>A-01789</x:v>
      </x:c>
      <x:c r="C1821" t="str">
        <x:v>GATE</x:v>
      </x:c>
      <x:c r="D1821" t="str">
        <x:v>release state mirrors governing ledger</x:v>
      </x:c>
      <x:c r="E1821" t="str">
        <x:f>'Release Gates'!I1795</x:f>
        <x:v>OPEN</x:v>
      </x:c>
      <x:c r="F1821" t="str">
        <x:f>IF('Release Gates'!C1795="PLANNING","PASS",IF('Release Gates'!C1795="PHYSICAL","OPEN","BLOCKED"))</x:f>
        <x:v>OPEN</x:v>
      </x:c>
      <x:c r="G1821" t="str">
        <x:v>equals</x:v>
      </x:c>
      <x:c r="H1821" t="str">
        <x:f>IF(E1821=F1821,"PASS","FAIL")</x:f>
        <x:v>PASS</x:v>
      </x:c>
    </x:row>
    <x:row r="1822">
      <x:c r="B1822" t="str">
        <x:v>A-01790</x:v>
      </x:c>
      <x:c r="C1822" t="str">
        <x:v>GATE</x:v>
      </x:c>
      <x:c r="D1822" t="str">
        <x:v>release state mirrors governing ledger</x:v>
      </x:c>
      <x:c r="E1822" t="str">
        <x:f>'Release Gates'!I1796</x:f>
        <x:v>OPEN</x:v>
      </x:c>
      <x:c r="F1822" t="str">
        <x:f>IF('Release Gates'!C1796="PLANNING","PASS",IF('Release Gates'!C1796="PHYSICAL","OPEN","BLOCKED"))</x:f>
        <x:v>OPEN</x:v>
      </x:c>
      <x:c r="G1822" t="str">
        <x:v>equals</x:v>
      </x:c>
      <x:c r="H1822" t="str">
        <x:f>IF(E1822=F1822,"PASS","FAIL")</x:f>
        <x:v>PASS</x:v>
      </x:c>
    </x:row>
    <x:row r="1823">
      <x:c r="B1823" t="str">
        <x:v>A-01791</x:v>
      </x:c>
      <x:c r="C1823" t="str">
        <x:v>GATE</x:v>
      </x:c>
      <x:c r="D1823" t="str">
        <x:v>release state mirrors governing ledger</x:v>
      </x:c>
      <x:c r="E1823" t="str">
        <x:f>'Release Gates'!I1797</x:f>
        <x:v>OPEN</x:v>
      </x:c>
      <x:c r="F1823" t="str">
        <x:f>IF('Release Gates'!C1797="PLANNING","PASS",IF('Release Gates'!C1797="PHYSICAL","OPEN","BLOCKED"))</x:f>
        <x:v>OPEN</x:v>
      </x:c>
      <x:c r="G1823" t="str">
        <x:v>equals</x:v>
      </x:c>
      <x:c r="H1823" t="str">
        <x:f>IF(E1823=F1823,"PASS","FAIL")</x:f>
        <x:v>PASS</x:v>
      </x:c>
    </x:row>
    <x:row r="1824">
      <x:c r="B1824" t="str">
        <x:v>A-01792</x:v>
      </x:c>
      <x:c r="C1824" t="str">
        <x:v>GATE</x:v>
      </x:c>
      <x:c r="D1824" t="str">
        <x:v>release state mirrors governing ledger</x:v>
      </x:c>
      <x:c r="E1824" t="str">
        <x:f>'Release Gates'!I1798</x:f>
        <x:v>OPEN</x:v>
      </x:c>
      <x:c r="F1824" t="str">
        <x:f>IF('Release Gates'!C1798="PLANNING","PASS",IF('Release Gates'!C1798="PHYSICAL","OPEN","BLOCKED"))</x:f>
        <x:v>OPEN</x:v>
      </x:c>
      <x:c r="G1824" t="str">
        <x:v>equals</x:v>
      </x:c>
      <x:c r="H1824" t="str">
        <x:f>IF(E1824=F1824,"PASS","FAIL")</x:f>
        <x:v>PASS</x:v>
      </x:c>
    </x:row>
    <x:row r="1825">
      <x:c r="B1825" t="str">
        <x:v>A-01793</x:v>
      </x:c>
      <x:c r="C1825" t="str">
        <x:v>GATE</x:v>
      </x:c>
      <x:c r="D1825" t="str">
        <x:v>release state mirrors governing ledger</x:v>
      </x:c>
      <x:c r="E1825" t="str">
        <x:f>'Release Gates'!I1799</x:f>
        <x:v>OPEN</x:v>
      </x:c>
      <x:c r="F1825" t="str">
        <x:f>IF('Release Gates'!C1799="PLANNING","PASS",IF('Release Gates'!C1799="PHYSICAL","OPEN","BLOCKED"))</x:f>
        <x:v>OPEN</x:v>
      </x:c>
      <x:c r="G1825" t="str">
        <x:v>equals</x:v>
      </x:c>
      <x:c r="H1825" t="str">
        <x:f>IF(E1825=F1825,"PASS","FAIL")</x:f>
        <x:v>PASS</x:v>
      </x:c>
    </x:row>
    <x:row r="1826">
      <x:c r="B1826" t="str">
        <x:v>A-01794</x:v>
      </x:c>
      <x:c r="C1826" t="str">
        <x:v>GATE</x:v>
      </x:c>
      <x:c r="D1826" t="str">
        <x:v>release state mirrors governing ledger</x:v>
      </x:c>
      <x:c r="E1826" t="str">
        <x:f>'Release Gates'!I1800</x:f>
        <x:v>OPEN</x:v>
      </x:c>
      <x:c r="F1826" t="str">
        <x:f>IF('Release Gates'!C1800="PLANNING","PASS",IF('Release Gates'!C1800="PHYSICAL","OPEN","BLOCKED"))</x:f>
        <x:v>OPEN</x:v>
      </x:c>
      <x:c r="G1826" t="str">
        <x:v>equals</x:v>
      </x:c>
      <x:c r="H1826" t="str">
        <x:f>IF(E1826=F1826,"PASS","FAIL")</x:f>
        <x:v>PASS</x:v>
      </x:c>
    </x:row>
    <x:row r="1827">
      <x:c r="B1827" t="str">
        <x:v>A-01795</x:v>
      </x:c>
      <x:c r="C1827" t="str">
        <x:v>GATE</x:v>
      </x:c>
      <x:c r="D1827" t="str">
        <x:v>release state mirrors governing ledger</x:v>
      </x:c>
      <x:c r="E1827" t="str">
        <x:f>'Release Gates'!I1801</x:f>
        <x:v>OPEN</x:v>
      </x:c>
      <x:c r="F1827" t="str">
        <x:f>IF('Release Gates'!C1801="PLANNING","PASS",IF('Release Gates'!C1801="PHYSICAL","OPEN","BLOCKED"))</x:f>
        <x:v>OPEN</x:v>
      </x:c>
      <x:c r="G1827" t="str">
        <x:v>equals</x:v>
      </x:c>
      <x:c r="H1827" t="str">
        <x:f>IF(E1827=F1827,"PASS","FAIL")</x:f>
        <x:v>PASS</x:v>
      </x:c>
    </x:row>
    <x:row r="1828">
      <x:c r="B1828" t="str">
        <x:v>A-01796</x:v>
      </x:c>
      <x:c r="C1828" t="str">
        <x:v>GATE</x:v>
      </x:c>
      <x:c r="D1828" t="str">
        <x:v>release state mirrors governing ledger</x:v>
      </x:c>
      <x:c r="E1828" t="str">
        <x:f>'Release Gates'!I1802</x:f>
        <x:v>OPEN</x:v>
      </x:c>
      <x:c r="F1828" t="str">
        <x:f>IF('Release Gates'!C1802="PLANNING","PASS",IF('Release Gates'!C1802="PHYSICAL","OPEN","BLOCKED"))</x:f>
        <x:v>OPEN</x:v>
      </x:c>
      <x:c r="G1828" t="str">
        <x:v>equals</x:v>
      </x:c>
      <x:c r="H1828" t="str">
        <x:f>IF(E1828=F1828,"PASS","FAIL")</x:f>
        <x:v>PASS</x:v>
      </x:c>
    </x:row>
    <x:row r="1829">
      <x:c r="B1829" t="str">
        <x:v>A-01797</x:v>
      </x:c>
      <x:c r="C1829" t="str">
        <x:v>GATE</x:v>
      </x:c>
      <x:c r="D1829" t="str">
        <x:v>release state mirrors governing ledger</x:v>
      </x:c>
      <x:c r="E1829" t="str">
        <x:f>'Release Gates'!I1803</x:f>
        <x:v>OPEN</x:v>
      </x:c>
      <x:c r="F1829" t="str">
        <x:f>IF('Release Gates'!C1803="PLANNING","PASS",IF('Release Gates'!C1803="PHYSICAL","OPEN","BLOCKED"))</x:f>
        <x:v>OPEN</x:v>
      </x:c>
      <x:c r="G1829" t="str">
        <x:v>equals</x:v>
      </x:c>
      <x:c r="H1829" t="str">
        <x:f>IF(E1829=F1829,"PASS","FAIL")</x:f>
        <x:v>PASS</x:v>
      </x:c>
    </x:row>
    <x:row r="1830">
      <x:c r="B1830" t="str">
        <x:v>A-01798</x:v>
      </x:c>
      <x:c r="C1830" t="str">
        <x:v>GATE</x:v>
      </x:c>
      <x:c r="D1830" t="str">
        <x:v>release state mirrors governing ledger</x:v>
      </x:c>
      <x:c r="E1830" t="str">
        <x:f>'Release Gates'!I1804</x:f>
        <x:v>OPEN</x:v>
      </x:c>
      <x:c r="F1830" t="str">
        <x:f>IF('Release Gates'!C1804="PLANNING","PASS",IF('Release Gates'!C1804="PHYSICAL","OPEN","BLOCKED"))</x:f>
        <x:v>OPEN</x:v>
      </x:c>
      <x:c r="G1830" t="str">
        <x:v>equals</x:v>
      </x:c>
      <x:c r="H1830" t="str">
        <x:f>IF(E1830=F1830,"PASS","FAIL")</x:f>
        <x:v>PASS</x:v>
      </x:c>
    </x:row>
    <x:row r="1831">
      <x:c r="B1831" t="str">
        <x:v>A-01799</x:v>
      </x:c>
      <x:c r="C1831" t="str">
        <x:v>GATE</x:v>
      </x:c>
      <x:c r="D1831" t="str">
        <x:v>release state mirrors governing ledger</x:v>
      </x:c>
      <x:c r="E1831" t="str">
        <x:f>'Release Gates'!I1805</x:f>
        <x:v>OPEN</x:v>
      </x:c>
      <x:c r="F1831" t="str">
        <x:f>IF('Release Gates'!C1805="PLANNING","PASS",IF('Release Gates'!C1805="PHYSICAL","OPEN","BLOCKED"))</x:f>
        <x:v>OPEN</x:v>
      </x:c>
      <x:c r="G1831" t="str">
        <x:v>equals</x:v>
      </x:c>
      <x:c r="H1831" t="str">
        <x:f>IF(E1831=F1831,"PASS","FAIL")</x:f>
        <x:v>PASS</x:v>
      </x:c>
    </x:row>
    <x:row r="1832">
      <x:c r="B1832" t="str">
        <x:v>A-01800</x:v>
      </x:c>
      <x:c r="C1832" t="str">
        <x:v>GATE</x:v>
      </x:c>
      <x:c r="D1832" t="str">
        <x:v>release state mirrors governing ledger</x:v>
      </x:c>
      <x:c r="E1832" t="str">
        <x:f>'Release Gates'!I1806</x:f>
        <x:v>OPEN</x:v>
      </x:c>
      <x:c r="F1832" t="str">
        <x:f>IF('Release Gates'!C1806="PLANNING","PASS",IF('Release Gates'!C1806="PHYSICAL","OPEN","BLOCKED"))</x:f>
        <x:v>OPEN</x:v>
      </x:c>
      <x:c r="G1832" t="str">
        <x:v>equals</x:v>
      </x:c>
      <x:c r="H1832" t="str">
        <x:f>IF(E1832=F1832,"PASS","FAIL")</x:f>
        <x:v>PASS</x:v>
      </x:c>
    </x:row>
    <x:row r="1833">
      <x:c r="B1833" t="str">
        <x:v>A-01801</x:v>
      </x:c>
      <x:c r="C1833" t="str">
        <x:v>GATE</x:v>
      </x:c>
      <x:c r="D1833" t="str">
        <x:v>release state mirrors governing ledger</x:v>
      </x:c>
      <x:c r="E1833" t="str">
        <x:f>'Release Gates'!I1807</x:f>
        <x:v>OPEN</x:v>
      </x:c>
      <x:c r="F1833" t="str">
        <x:f>IF('Release Gates'!C1807="PLANNING","PASS",IF('Release Gates'!C1807="PHYSICAL","OPEN","BLOCKED"))</x:f>
        <x:v>OPEN</x:v>
      </x:c>
      <x:c r="G1833" t="str">
        <x:v>equals</x:v>
      </x:c>
      <x:c r="H1833" t="str">
        <x:f>IF(E1833=F1833,"PASS","FAIL")</x:f>
        <x:v>PASS</x:v>
      </x:c>
    </x:row>
    <x:row r="1834">
      <x:c r="B1834" t="str">
        <x:v>A-01802</x:v>
      </x:c>
      <x:c r="C1834" t="str">
        <x:v>GATE</x:v>
      </x:c>
      <x:c r="D1834" t="str">
        <x:v>release state mirrors governing ledger</x:v>
      </x:c>
      <x:c r="E1834" t="str">
        <x:f>'Release Gates'!I1808</x:f>
        <x:v>OPEN</x:v>
      </x:c>
      <x:c r="F1834" t="str">
        <x:f>IF('Release Gates'!C1808="PLANNING","PASS",IF('Release Gates'!C1808="PHYSICAL","OPEN","BLOCKED"))</x:f>
        <x:v>OPEN</x:v>
      </x:c>
      <x:c r="G1834" t="str">
        <x:v>equals</x:v>
      </x:c>
      <x:c r="H1834" t="str">
        <x:f>IF(E1834=F1834,"PASS","FAIL")</x:f>
        <x:v>PASS</x:v>
      </x:c>
    </x:row>
    <x:row r="1835">
      <x:c r="B1835" t="str">
        <x:v>A-01803</x:v>
      </x:c>
      <x:c r="C1835" t="str">
        <x:v>GATE</x:v>
      </x:c>
      <x:c r="D1835" t="str">
        <x:v>release state mirrors governing ledger</x:v>
      </x:c>
      <x:c r="E1835" t="str">
        <x:f>'Release Gates'!I1809</x:f>
        <x:v>OPEN</x:v>
      </x:c>
      <x:c r="F1835" t="str">
        <x:f>IF('Release Gates'!C1809="PLANNING","PASS",IF('Release Gates'!C1809="PHYSICAL","OPEN","BLOCKED"))</x:f>
        <x:v>OPEN</x:v>
      </x:c>
      <x:c r="G1835" t="str">
        <x:v>equals</x:v>
      </x:c>
      <x:c r="H1835" t="str">
        <x:f>IF(E1835=F1835,"PASS","FAIL")</x:f>
        <x:v>PASS</x:v>
      </x:c>
    </x:row>
    <x:row r="1836">
      <x:c r="B1836" t="str">
        <x:v>A-01804</x:v>
      </x:c>
      <x:c r="C1836" t="str">
        <x:v>GATE</x:v>
      </x:c>
      <x:c r="D1836" t="str">
        <x:v>release state mirrors governing ledger</x:v>
      </x:c>
      <x:c r="E1836" t="str">
        <x:f>'Release Gates'!I1810</x:f>
        <x:v>OPEN</x:v>
      </x:c>
      <x:c r="F1836" t="str">
        <x:f>IF('Release Gates'!C1810="PLANNING","PASS",IF('Release Gates'!C1810="PHYSICAL","OPEN","BLOCKED"))</x:f>
        <x:v>OPEN</x:v>
      </x:c>
      <x:c r="G1836" t="str">
        <x:v>equals</x:v>
      </x:c>
      <x:c r="H1836" t="str">
        <x:f>IF(E1836=F1836,"PASS","FAIL")</x:f>
        <x:v>PASS</x:v>
      </x:c>
    </x:row>
    <x:row r="1837">
      <x:c r="B1837" t="str">
        <x:v>A-01805</x:v>
      </x:c>
      <x:c r="C1837" t="str">
        <x:v>GATE</x:v>
      </x:c>
      <x:c r="D1837" t="str">
        <x:v>release state mirrors governing ledger</x:v>
      </x:c>
      <x:c r="E1837" t="str">
        <x:f>'Release Gates'!I1811</x:f>
        <x:v>OPEN</x:v>
      </x:c>
      <x:c r="F1837" t="str">
        <x:f>IF('Release Gates'!C1811="PLANNING","PASS",IF('Release Gates'!C1811="PHYSICAL","OPEN","BLOCKED"))</x:f>
        <x:v>OPEN</x:v>
      </x:c>
      <x:c r="G1837" t="str">
        <x:v>equals</x:v>
      </x:c>
      <x:c r="H1837" t="str">
        <x:f>IF(E1837=F1837,"PASS","FAIL")</x:f>
        <x:v>PASS</x:v>
      </x:c>
    </x:row>
    <x:row r="1838">
      <x:c r="B1838" t="str">
        <x:v>A-01806</x:v>
      </x:c>
      <x:c r="C1838" t="str">
        <x:v>GATE</x:v>
      </x:c>
      <x:c r="D1838" t="str">
        <x:v>release state mirrors governing ledger</x:v>
      </x:c>
      <x:c r="E1838" t="str">
        <x:f>'Release Gates'!I1812</x:f>
        <x:v>OPEN</x:v>
      </x:c>
      <x:c r="F1838" t="str">
        <x:f>IF('Release Gates'!C1812="PLANNING","PASS",IF('Release Gates'!C1812="PHYSICAL","OPEN","BLOCKED"))</x:f>
        <x:v>OPEN</x:v>
      </x:c>
      <x:c r="G1838" t="str">
        <x:v>equals</x:v>
      </x:c>
      <x:c r="H1838" t="str">
        <x:f>IF(E1838=F1838,"PASS","FAIL")</x:f>
        <x:v>PASS</x:v>
      </x:c>
    </x:row>
    <x:row r="1839">
      <x:c r="B1839" t="str">
        <x:v>A-01807</x:v>
      </x:c>
      <x:c r="C1839" t="str">
        <x:v>GATE</x:v>
      </x:c>
      <x:c r="D1839" t="str">
        <x:v>release state mirrors governing ledger</x:v>
      </x:c>
      <x:c r="E1839" t="str">
        <x:f>'Release Gates'!I1813</x:f>
        <x:v>OPEN</x:v>
      </x:c>
      <x:c r="F1839" t="str">
        <x:f>IF('Release Gates'!C1813="PLANNING","PASS",IF('Release Gates'!C1813="PHYSICAL","OPEN","BLOCKED"))</x:f>
        <x:v>OPEN</x:v>
      </x:c>
      <x:c r="G1839" t="str">
        <x:v>equals</x:v>
      </x:c>
      <x:c r="H1839" t="str">
        <x:f>IF(E1839=F1839,"PASS","FAIL")</x:f>
        <x:v>PASS</x:v>
      </x:c>
    </x:row>
    <x:row r="1840">
      <x:c r="B1840" t="str">
        <x:v>A-01808</x:v>
      </x:c>
      <x:c r="C1840" t="str">
        <x:v>GATE</x:v>
      </x:c>
      <x:c r="D1840" t="str">
        <x:v>release state mirrors governing ledger</x:v>
      </x:c>
      <x:c r="E1840" t="str">
        <x:f>'Release Gates'!I1814</x:f>
        <x:v>OPEN</x:v>
      </x:c>
      <x:c r="F1840" t="str">
        <x:f>IF('Release Gates'!C1814="PLANNING","PASS",IF('Release Gates'!C1814="PHYSICAL","OPEN","BLOCKED"))</x:f>
        <x:v>OPEN</x:v>
      </x:c>
      <x:c r="G1840" t="str">
        <x:v>equals</x:v>
      </x:c>
      <x:c r="H1840" t="str">
        <x:f>IF(E1840=F1840,"PASS","FAIL")</x:f>
        <x:v>PASS</x:v>
      </x:c>
    </x:row>
    <x:row r="1841">
      <x:c r="B1841" t="str">
        <x:v>A-01809</x:v>
      </x:c>
      <x:c r="C1841" t="str">
        <x:v>GATE</x:v>
      </x:c>
      <x:c r="D1841" t="str">
        <x:v>release state mirrors governing ledger</x:v>
      </x:c>
      <x:c r="E1841" t="str">
        <x:f>'Release Gates'!I1815</x:f>
        <x:v>OPEN</x:v>
      </x:c>
      <x:c r="F1841" t="str">
        <x:f>IF('Release Gates'!C1815="PLANNING","PASS",IF('Release Gates'!C1815="PHYSICAL","OPEN","BLOCKED"))</x:f>
        <x:v>OPEN</x:v>
      </x:c>
      <x:c r="G1841" t="str">
        <x:v>equals</x:v>
      </x:c>
      <x:c r="H1841" t="str">
        <x:f>IF(E1841=F1841,"PASS","FAIL")</x:f>
        <x:v>PASS</x:v>
      </x:c>
    </x:row>
    <x:row r="1842">
      <x:c r="B1842" t="str">
        <x:v>A-01810</x:v>
      </x:c>
      <x:c r="C1842" t="str">
        <x:v>GATE</x:v>
      </x:c>
      <x:c r="D1842" t="str">
        <x:v>release state mirrors governing ledger</x:v>
      </x:c>
      <x:c r="E1842" t="str">
        <x:f>'Release Gates'!I1816</x:f>
        <x:v>OPEN</x:v>
      </x:c>
      <x:c r="F1842" t="str">
        <x:f>IF('Release Gates'!C1816="PLANNING","PASS",IF('Release Gates'!C1816="PHYSICAL","OPEN","BLOCKED"))</x:f>
        <x:v>OPEN</x:v>
      </x:c>
      <x:c r="G1842" t="str">
        <x:v>equals</x:v>
      </x:c>
      <x:c r="H1842" t="str">
        <x:f>IF(E1842=F1842,"PASS","FAIL")</x:f>
        <x:v>PASS</x:v>
      </x:c>
    </x:row>
    <x:row r="1843">
      <x:c r="B1843" t="str">
        <x:v>A-01811</x:v>
      </x:c>
      <x:c r="C1843" t="str">
        <x:v>GATE</x:v>
      </x:c>
      <x:c r="D1843" t="str">
        <x:v>release state mirrors governing ledger</x:v>
      </x:c>
      <x:c r="E1843" t="str">
        <x:f>'Release Gates'!I1817</x:f>
        <x:v>OPEN</x:v>
      </x:c>
      <x:c r="F1843" t="str">
        <x:f>IF('Release Gates'!C1817="PLANNING","PASS",IF('Release Gates'!C1817="PHYSICAL","OPEN","BLOCKED"))</x:f>
        <x:v>OPEN</x:v>
      </x:c>
      <x:c r="G1843" t="str">
        <x:v>equals</x:v>
      </x:c>
      <x:c r="H1843" t="str">
        <x:f>IF(E1843=F1843,"PASS","FAIL")</x:f>
        <x:v>PASS</x:v>
      </x:c>
    </x:row>
    <x:row r="1844">
      <x:c r="B1844" t="str">
        <x:v>A-01812</x:v>
      </x:c>
      <x:c r="C1844" t="str">
        <x:v>GATE</x:v>
      </x:c>
      <x:c r="D1844" t="str">
        <x:v>release state mirrors governing ledger</x:v>
      </x:c>
      <x:c r="E1844" t="str">
        <x:f>'Release Gates'!I1818</x:f>
        <x:v>OPEN</x:v>
      </x:c>
      <x:c r="F1844" t="str">
        <x:f>IF('Release Gates'!C1818="PLANNING","PASS",IF('Release Gates'!C1818="PHYSICAL","OPEN","BLOCKED"))</x:f>
        <x:v>OPEN</x:v>
      </x:c>
      <x:c r="G1844" t="str">
        <x:v>equals</x:v>
      </x:c>
      <x:c r="H1844" t="str">
        <x:f>IF(E1844=F1844,"PASS","FAIL")</x:f>
        <x:v>PASS</x:v>
      </x:c>
    </x:row>
    <x:row r="1845">
      <x:c r="B1845" t="str">
        <x:v>A-01813</x:v>
      </x:c>
      <x:c r="C1845" t="str">
        <x:v>GATE</x:v>
      </x:c>
      <x:c r="D1845" t="str">
        <x:v>release state mirrors governing ledger</x:v>
      </x:c>
      <x:c r="E1845" t="str">
        <x:f>'Release Gates'!I1819</x:f>
        <x:v>OPEN</x:v>
      </x:c>
      <x:c r="F1845" t="str">
        <x:f>IF('Release Gates'!C1819="PLANNING","PASS",IF('Release Gates'!C1819="PHYSICAL","OPEN","BLOCKED"))</x:f>
        <x:v>OPEN</x:v>
      </x:c>
      <x:c r="G1845" t="str">
        <x:v>equals</x:v>
      </x:c>
      <x:c r="H1845" t="str">
        <x:f>IF(E1845=F1845,"PASS","FAIL")</x:f>
        <x:v>PASS</x:v>
      </x:c>
    </x:row>
    <x:row r="1846">
      <x:c r="B1846" t="str">
        <x:v>A-01814</x:v>
      </x:c>
      <x:c r="C1846" t="str">
        <x:v>GATE</x:v>
      </x:c>
      <x:c r="D1846" t="str">
        <x:v>release state mirrors governing ledger</x:v>
      </x:c>
      <x:c r="E1846" t="str">
        <x:f>'Release Gates'!I1820</x:f>
        <x:v>OPEN</x:v>
      </x:c>
      <x:c r="F1846" t="str">
        <x:f>IF('Release Gates'!C1820="PLANNING","PASS",IF('Release Gates'!C1820="PHYSICAL","OPEN","BLOCKED"))</x:f>
        <x:v>OPEN</x:v>
      </x:c>
      <x:c r="G1846" t="str">
        <x:v>equals</x:v>
      </x:c>
      <x:c r="H1846" t="str">
        <x:f>IF(E1846=F1846,"PASS","FAIL")</x:f>
        <x:v>PASS</x:v>
      </x:c>
    </x:row>
    <x:row r="1847">
      <x:c r="B1847" t="str">
        <x:v>A-01815</x:v>
      </x:c>
      <x:c r="C1847" t="str">
        <x:v>GATE</x:v>
      </x:c>
      <x:c r="D1847" t="str">
        <x:v>release state mirrors governing ledger</x:v>
      </x:c>
      <x:c r="E1847" t="str">
        <x:f>'Release Gates'!I1821</x:f>
        <x:v>OPEN</x:v>
      </x:c>
      <x:c r="F1847" t="str">
        <x:f>IF('Release Gates'!C1821="PLANNING","PASS",IF('Release Gates'!C1821="PHYSICAL","OPEN","BLOCKED"))</x:f>
        <x:v>OPEN</x:v>
      </x:c>
      <x:c r="G1847" t="str">
        <x:v>equals</x:v>
      </x:c>
      <x:c r="H1847" t="str">
        <x:f>IF(E1847=F1847,"PASS","FAIL")</x:f>
        <x:v>PASS</x:v>
      </x:c>
    </x:row>
    <x:row r="1848">
      <x:c r="B1848" t="str">
        <x:v>A-01816</x:v>
      </x:c>
      <x:c r="C1848" t="str">
        <x:v>GATE</x:v>
      </x:c>
      <x:c r="D1848" t="str">
        <x:v>release state mirrors governing ledger</x:v>
      </x:c>
      <x:c r="E1848" t="str">
        <x:f>'Release Gates'!I1822</x:f>
        <x:v>OPEN</x:v>
      </x:c>
      <x:c r="F1848" t="str">
        <x:f>IF('Release Gates'!C1822="PLANNING","PASS",IF('Release Gates'!C1822="PHYSICAL","OPEN","BLOCKED"))</x:f>
        <x:v>OPEN</x:v>
      </x:c>
      <x:c r="G1848" t="str">
        <x:v>equals</x:v>
      </x:c>
      <x:c r="H1848" t="str">
        <x:f>IF(E1848=F1848,"PASS","FAIL")</x:f>
        <x:v>PASS</x:v>
      </x:c>
    </x:row>
    <x:row r="1849">
      <x:c r="B1849" t="str">
        <x:v>A-01817</x:v>
      </x:c>
      <x:c r="C1849" t="str">
        <x:v>GATE</x:v>
      </x:c>
      <x:c r="D1849" t="str">
        <x:v>release state mirrors governing ledger</x:v>
      </x:c>
      <x:c r="E1849" t="str">
        <x:f>'Release Gates'!I1823</x:f>
        <x:v>OPEN</x:v>
      </x:c>
      <x:c r="F1849" t="str">
        <x:f>IF('Release Gates'!C1823="PLANNING","PASS",IF('Release Gates'!C1823="PHYSICAL","OPEN","BLOCKED"))</x:f>
        <x:v>OPEN</x:v>
      </x:c>
      <x:c r="G1849" t="str">
        <x:v>equals</x:v>
      </x:c>
      <x:c r="H1849" t="str">
        <x:f>IF(E1849=F1849,"PASS","FAIL")</x:f>
        <x:v>PASS</x:v>
      </x:c>
    </x:row>
    <x:row r="1850">
      <x:c r="B1850" t="str">
        <x:v>A-01818</x:v>
      </x:c>
      <x:c r="C1850" t="str">
        <x:v>GATE</x:v>
      </x:c>
      <x:c r="D1850" t="str">
        <x:v>release state mirrors governing ledger</x:v>
      </x:c>
      <x:c r="E1850" t="str">
        <x:f>'Release Gates'!I1824</x:f>
        <x:v>OPEN</x:v>
      </x:c>
      <x:c r="F1850" t="str">
        <x:f>IF('Release Gates'!C1824="PLANNING","PASS",IF('Release Gates'!C1824="PHYSICAL","OPEN","BLOCKED"))</x:f>
        <x:v>OPEN</x:v>
      </x:c>
      <x:c r="G1850" t="str">
        <x:v>equals</x:v>
      </x:c>
      <x:c r="H1850" t="str">
        <x:f>IF(E1850=F1850,"PASS","FAIL")</x:f>
        <x:v>PASS</x:v>
      </x:c>
    </x:row>
    <x:row r="1851">
      <x:c r="B1851" t="str">
        <x:v>A-01819</x:v>
      </x:c>
      <x:c r="C1851" t="str">
        <x:v>GATE</x:v>
      </x:c>
      <x:c r="D1851" t="str">
        <x:v>release state mirrors governing ledger</x:v>
      </x:c>
      <x:c r="E1851" t="str">
        <x:f>'Release Gates'!I1825</x:f>
        <x:v>OPEN</x:v>
      </x:c>
      <x:c r="F1851" t="str">
        <x:f>IF('Release Gates'!C1825="PLANNING","PASS",IF('Release Gates'!C1825="PHYSICAL","OPEN","BLOCKED"))</x:f>
        <x:v>OPEN</x:v>
      </x:c>
      <x:c r="G1851" t="str">
        <x:v>equals</x:v>
      </x:c>
      <x:c r="H1851" t="str">
        <x:f>IF(E1851=F1851,"PASS","FAIL")</x:f>
        <x:v>PASS</x:v>
      </x:c>
    </x:row>
    <x:row r="1852">
      <x:c r="B1852" t="str">
        <x:v>A-01820</x:v>
      </x:c>
      <x:c r="C1852" t="str">
        <x:v>GATE</x:v>
      </x:c>
      <x:c r="D1852" t="str">
        <x:v>release state mirrors governing ledger</x:v>
      </x:c>
      <x:c r="E1852" t="str">
        <x:f>'Release Gates'!I1826</x:f>
        <x:v>OPEN</x:v>
      </x:c>
      <x:c r="F1852" t="str">
        <x:f>IF('Release Gates'!C1826="PLANNING","PASS",IF('Release Gates'!C1826="PHYSICAL","OPEN","BLOCKED"))</x:f>
        <x:v>OPEN</x:v>
      </x:c>
      <x:c r="G1852" t="str">
        <x:v>equals</x:v>
      </x:c>
      <x:c r="H1852" t="str">
        <x:f>IF(E1852=F1852,"PASS","FAIL")</x:f>
        <x:v>PASS</x:v>
      </x:c>
    </x:row>
    <x:row r="1853">
      <x:c r="B1853" t="str">
        <x:v>A-01821</x:v>
      </x:c>
      <x:c r="C1853" t="str">
        <x:v>GATE</x:v>
      </x:c>
      <x:c r="D1853" t="str">
        <x:v>release state mirrors governing ledger</x:v>
      </x:c>
      <x:c r="E1853" t="str">
        <x:f>'Release Gates'!I1827</x:f>
        <x:v>OPEN</x:v>
      </x:c>
      <x:c r="F1853" t="str">
        <x:f>IF('Release Gates'!C1827="PLANNING","PASS",IF('Release Gates'!C1827="PHYSICAL","OPEN","BLOCKED"))</x:f>
        <x:v>OPEN</x:v>
      </x:c>
      <x:c r="G1853" t="str">
        <x:v>equals</x:v>
      </x:c>
      <x:c r="H1853" t="str">
        <x:f>IF(E1853=F1853,"PASS","FAIL")</x:f>
        <x:v>PASS</x:v>
      </x:c>
    </x:row>
    <x:row r="1854">
      <x:c r="B1854" t="str">
        <x:v>A-01822</x:v>
      </x:c>
      <x:c r="C1854" t="str">
        <x:v>GATE</x:v>
      </x:c>
      <x:c r="D1854" t="str">
        <x:v>release state mirrors governing ledger</x:v>
      </x:c>
      <x:c r="E1854" t="str">
        <x:f>'Release Gates'!I1828</x:f>
        <x:v>OPEN</x:v>
      </x:c>
      <x:c r="F1854" t="str">
        <x:f>IF('Release Gates'!C1828="PLANNING","PASS",IF('Release Gates'!C1828="PHYSICAL","OPEN","BLOCKED"))</x:f>
        <x:v>OPEN</x:v>
      </x:c>
      <x:c r="G1854" t="str">
        <x:v>equals</x:v>
      </x:c>
      <x:c r="H1854" t="str">
        <x:f>IF(E1854=F1854,"PASS","FAIL")</x:f>
        <x:v>PASS</x:v>
      </x:c>
    </x:row>
    <x:row r="1855">
      <x:c r="B1855" t="str">
        <x:v>A-01823</x:v>
      </x:c>
      <x:c r="C1855" t="str">
        <x:v>GATE</x:v>
      </x:c>
      <x:c r="D1855" t="str">
        <x:v>release state mirrors governing ledger</x:v>
      </x:c>
      <x:c r="E1855" t="str">
        <x:f>'Release Gates'!I1829</x:f>
        <x:v>OPEN</x:v>
      </x:c>
      <x:c r="F1855" t="str">
        <x:f>IF('Release Gates'!C1829="PLANNING","PASS",IF('Release Gates'!C1829="PHYSICAL","OPEN","BLOCKED"))</x:f>
        <x:v>OPEN</x:v>
      </x:c>
      <x:c r="G1855" t="str">
        <x:v>equals</x:v>
      </x:c>
      <x:c r="H1855" t="str">
        <x:f>IF(E1855=F1855,"PASS","FAIL")</x:f>
        <x:v>PASS</x:v>
      </x:c>
    </x:row>
    <x:row r="1856">
      <x:c r="B1856" t="str">
        <x:v>A-01824</x:v>
      </x:c>
      <x:c r="C1856" t="str">
        <x:v>GATE</x:v>
      </x:c>
      <x:c r="D1856" t="str">
        <x:v>release state mirrors governing ledger</x:v>
      </x:c>
      <x:c r="E1856" t="str">
        <x:f>'Release Gates'!I1830</x:f>
        <x:v>OPEN</x:v>
      </x:c>
      <x:c r="F1856" t="str">
        <x:f>IF('Release Gates'!C1830="PLANNING","PASS",IF('Release Gates'!C1830="PHYSICAL","OPEN","BLOCKED"))</x:f>
        <x:v>OPEN</x:v>
      </x:c>
      <x:c r="G1856" t="str">
        <x:v>equals</x:v>
      </x:c>
      <x:c r="H1856" t="str">
        <x:f>IF(E1856=F1856,"PASS","FAIL")</x:f>
        <x:v>PASS</x:v>
      </x:c>
    </x:row>
    <x:row r="1857">
      <x:c r="B1857" t="str">
        <x:v>A-01825</x:v>
      </x:c>
      <x:c r="C1857" t="str">
        <x:v>GATE</x:v>
      </x:c>
      <x:c r="D1857" t="str">
        <x:v>release state mirrors governing ledger</x:v>
      </x:c>
      <x:c r="E1857" t="str">
        <x:f>'Release Gates'!I1831</x:f>
        <x:v>OPEN</x:v>
      </x:c>
      <x:c r="F1857" t="str">
        <x:f>IF('Release Gates'!C1831="PLANNING","PASS",IF('Release Gates'!C1831="PHYSICAL","OPEN","BLOCKED"))</x:f>
        <x:v>OPEN</x:v>
      </x:c>
      <x:c r="G1857" t="str">
        <x:v>equals</x:v>
      </x:c>
      <x:c r="H1857" t="str">
        <x:f>IF(E1857=F1857,"PASS","FAIL")</x:f>
        <x:v>PASS</x:v>
      </x:c>
    </x:row>
    <x:row r="1858">
      <x:c r="B1858" t="str">
        <x:v>A-01826</x:v>
      </x:c>
      <x:c r="C1858" t="str">
        <x:v>GATE</x:v>
      </x:c>
      <x:c r="D1858" t="str">
        <x:v>release state mirrors governing ledger</x:v>
      </x:c>
      <x:c r="E1858" t="str">
        <x:f>'Release Gates'!I1832</x:f>
        <x:v>OPEN</x:v>
      </x:c>
      <x:c r="F1858" t="str">
        <x:f>IF('Release Gates'!C1832="PLANNING","PASS",IF('Release Gates'!C1832="PHYSICAL","OPEN","BLOCKED"))</x:f>
        <x:v>OPEN</x:v>
      </x:c>
      <x:c r="G1858" t="str">
        <x:v>equals</x:v>
      </x:c>
      <x:c r="H1858" t="str">
        <x:f>IF(E1858=F1858,"PASS","FAIL")</x:f>
        <x:v>PASS</x:v>
      </x:c>
    </x:row>
    <x:row r="1859">
      <x:c r="B1859" t="str">
        <x:v>A-01827</x:v>
      </x:c>
      <x:c r="C1859" t="str">
        <x:v>GATE</x:v>
      </x:c>
      <x:c r="D1859" t="str">
        <x:v>release state mirrors governing ledger</x:v>
      </x:c>
      <x:c r="E1859" t="str">
        <x:f>'Release Gates'!I1833</x:f>
        <x:v>OPEN</x:v>
      </x:c>
      <x:c r="F1859" t="str">
        <x:f>IF('Release Gates'!C1833="PLANNING","PASS",IF('Release Gates'!C1833="PHYSICAL","OPEN","BLOCKED"))</x:f>
        <x:v>OPEN</x:v>
      </x:c>
      <x:c r="G1859" t="str">
        <x:v>equals</x:v>
      </x:c>
      <x:c r="H1859" t="str">
        <x:f>IF(E1859=F1859,"PASS","FAIL")</x:f>
        <x:v>PASS</x:v>
      </x:c>
    </x:row>
    <x:row r="1860">
      <x:c r="B1860" t="str">
        <x:v>A-01828</x:v>
      </x:c>
      <x:c r="C1860" t="str">
        <x:v>GATE</x:v>
      </x:c>
      <x:c r="D1860" t="str">
        <x:v>release state mirrors governing ledger</x:v>
      </x:c>
      <x:c r="E1860" t="str">
        <x:f>'Release Gates'!I1834</x:f>
        <x:v>OPEN</x:v>
      </x:c>
      <x:c r="F1860" t="str">
        <x:f>IF('Release Gates'!C1834="PLANNING","PASS",IF('Release Gates'!C1834="PHYSICAL","OPEN","BLOCKED"))</x:f>
        <x:v>OPEN</x:v>
      </x:c>
      <x:c r="G1860" t="str">
        <x:v>equals</x:v>
      </x:c>
      <x:c r="H1860" t="str">
        <x:f>IF(E1860=F1860,"PASS","FAIL")</x:f>
        <x:v>PASS</x:v>
      </x:c>
    </x:row>
    <x:row r="1861">
      <x:c r="B1861" t="str">
        <x:v>A-01829</x:v>
      </x:c>
      <x:c r="C1861" t="str">
        <x:v>GATE</x:v>
      </x:c>
      <x:c r="D1861" t="str">
        <x:v>release state mirrors governing ledger</x:v>
      </x:c>
      <x:c r="E1861" t="str">
        <x:f>'Release Gates'!I1835</x:f>
        <x:v>OPEN</x:v>
      </x:c>
      <x:c r="F1861" t="str">
        <x:f>IF('Release Gates'!C1835="PLANNING","PASS",IF('Release Gates'!C1835="PHYSICAL","OPEN","BLOCKED"))</x:f>
        <x:v>OPEN</x:v>
      </x:c>
      <x:c r="G1861" t="str">
        <x:v>equals</x:v>
      </x:c>
      <x:c r="H1861" t="str">
        <x:f>IF(E1861=F1861,"PASS","FAIL")</x:f>
        <x:v>PASS</x:v>
      </x:c>
    </x:row>
    <x:row r="1862">
      <x:c r="B1862" t="str">
        <x:v>A-01830</x:v>
      </x:c>
      <x:c r="C1862" t="str">
        <x:v>GATE</x:v>
      </x:c>
      <x:c r="D1862" t="str">
        <x:v>release state mirrors governing ledger</x:v>
      </x:c>
      <x:c r="E1862" t="str">
        <x:f>'Release Gates'!I1836</x:f>
        <x:v>OPEN</x:v>
      </x:c>
      <x:c r="F1862" t="str">
        <x:f>IF('Release Gates'!C1836="PLANNING","PASS",IF('Release Gates'!C1836="PHYSICAL","OPEN","BLOCKED"))</x:f>
        <x:v>OPEN</x:v>
      </x:c>
      <x:c r="G1862" t="str">
        <x:v>equals</x:v>
      </x:c>
      <x:c r="H1862" t="str">
        <x:f>IF(E1862=F1862,"PASS","FAIL")</x:f>
        <x:v>PASS</x:v>
      </x:c>
    </x:row>
    <x:row r="1863">
      <x:c r="B1863" t="str">
        <x:v>A-01831</x:v>
      </x:c>
      <x:c r="C1863" t="str">
        <x:v>GATE</x:v>
      </x:c>
      <x:c r="D1863" t="str">
        <x:v>release state mirrors governing ledger</x:v>
      </x:c>
      <x:c r="E1863" t="str">
        <x:f>'Release Gates'!I1837</x:f>
        <x:v>OPEN</x:v>
      </x:c>
      <x:c r="F1863" t="str">
        <x:f>IF('Release Gates'!C1837="PLANNING","PASS",IF('Release Gates'!C1837="PHYSICAL","OPEN","BLOCKED"))</x:f>
        <x:v>OPEN</x:v>
      </x:c>
      <x:c r="G1863" t="str">
        <x:v>equals</x:v>
      </x:c>
      <x:c r="H1863" t="str">
        <x:f>IF(E1863=F1863,"PASS","FAIL")</x:f>
        <x:v>PASS</x:v>
      </x:c>
    </x:row>
    <x:row r="1864">
      <x:c r="B1864" t="str">
        <x:v>A-01832</x:v>
      </x:c>
      <x:c r="C1864" t="str">
        <x:v>GATE</x:v>
      </x:c>
      <x:c r="D1864" t="str">
        <x:v>release state mirrors governing ledger</x:v>
      </x:c>
      <x:c r="E1864" t="str">
        <x:f>'Release Gates'!I1838</x:f>
        <x:v>OPEN</x:v>
      </x:c>
      <x:c r="F1864" t="str">
        <x:f>IF('Release Gates'!C1838="PLANNING","PASS",IF('Release Gates'!C1838="PHYSICAL","OPEN","BLOCKED"))</x:f>
        <x:v>OPEN</x:v>
      </x:c>
      <x:c r="G1864" t="str">
        <x:v>equals</x:v>
      </x:c>
      <x:c r="H1864" t="str">
        <x:f>IF(E1864=F1864,"PASS","FAIL")</x:f>
        <x:v>PASS</x:v>
      </x:c>
    </x:row>
    <x:row r="1865">
      <x:c r="B1865" t="str">
        <x:v>A-01833</x:v>
      </x:c>
      <x:c r="C1865" t="str">
        <x:v>GATE</x:v>
      </x:c>
      <x:c r="D1865" t="str">
        <x:v>release state mirrors governing ledger</x:v>
      </x:c>
      <x:c r="E1865" t="str">
        <x:f>'Release Gates'!I1839</x:f>
        <x:v>OPEN</x:v>
      </x:c>
      <x:c r="F1865" t="str">
        <x:f>IF('Release Gates'!C1839="PLANNING","PASS",IF('Release Gates'!C1839="PHYSICAL","OPEN","BLOCKED"))</x:f>
        <x:v>OPEN</x:v>
      </x:c>
      <x:c r="G1865" t="str">
        <x:v>equals</x:v>
      </x:c>
      <x:c r="H1865" t="str">
        <x:f>IF(E1865=F1865,"PASS","FAIL")</x:f>
        <x:v>PASS</x:v>
      </x:c>
    </x:row>
    <x:row r="1866">
      <x:c r="B1866" t="str">
        <x:v>A-01834</x:v>
      </x:c>
      <x:c r="C1866" t="str">
        <x:v>GATE</x:v>
      </x:c>
      <x:c r="D1866" t="str">
        <x:v>release state mirrors governing ledger</x:v>
      </x:c>
      <x:c r="E1866" t="str">
        <x:f>'Release Gates'!I1840</x:f>
        <x:v>OPEN</x:v>
      </x:c>
      <x:c r="F1866" t="str">
        <x:f>IF('Release Gates'!C1840="PLANNING","PASS",IF('Release Gates'!C1840="PHYSICAL","OPEN","BLOCKED"))</x:f>
        <x:v>OPEN</x:v>
      </x:c>
      <x:c r="G1866" t="str">
        <x:v>equals</x:v>
      </x:c>
      <x:c r="H1866" t="str">
        <x:f>IF(E1866=F1866,"PASS","FAIL")</x:f>
        <x:v>PASS</x:v>
      </x:c>
    </x:row>
    <x:row r="1867">
      <x:c r="B1867" t="str">
        <x:v>A-01835</x:v>
      </x:c>
      <x:c r="C1867" t="str">
        <x:v>GATE</x:v>
      </x:c>
      <x:c r="D1867" t="str">
        <x:v>release state mirrors governing ledger</x:v>
      </x:c>
      <x:c r="E1867" t="str">
        <x:f>'Release Gates'!I1841</x:f>
        <x:v>OPEN</x:v>
      </x:c>
      <x:c r="F1867" t="str">
        <x:f>IF('Release Gates'!C1841="PLANNING","PASS",IF('Release Gates'!C1841="PHYSICAL","OPEN","BLOCKED"))</x:f>
        <x:v>OPEN</x:v>
      </x:c>
      <x:c r="G1867" t="str">
        <x:v>equals</x:v>
      </x:c>
      <x:c r="H1867" t="str">
        <x:f>IF(E1867=F1867,"PASS","FAIL")</x:f>
        <x:v>PASS</x:v>
      </x:c>
    </x:row>
    <x:row r="1868">
      <x:c r="B1868" t="str">
        <x:v>A-01836</x:v>
      </x:c>
      <x:c r="C1868" t="str">
        <x:v>GATE</x:v>
      </x:c>
      <x:c r="D1868" t="str">
        <x:v>release state mirrors governing ledger</x:v>
      </x:c>
      <x:c r="E1868" t="str">
        <x:f>'Release Gates'!I1842</x:f>
        <x:v>OPEN</x:v>
      </x:c>
      <x:c r="F1868" t="str">
        <x:f>IF('Release Gates'!C1842="PLANNING","PASS",IF('Release Gates'!C1842="PHYSICAL","OPEN","BLOCKED"))</x:f>
        <x:v>OPEN</x:v>
      </x:c>
      <x:c r="G1868" t="str">
        <x:v>equals</x:v>
      </x:c>
      <x:c r="H1868" t="str">
        <x:f>IF(E1868=F1868,"PASS","FAIL")</x:f>
        <x:v>PASS</x:v>
      </x:c>
    </x:row>
    <x:row r="1869">
      <x:c r="B1869" t="str">
        <x:v>A-01837</x:v>
      </x:c>
      <x:c r="C1869" t="str">
        <x:v>GATE</x:v>
      </x:c>
      <x:c r="D1869" t="str">
        <x:v>release state mirrors governing ledger</x:v>
      </x:c>
      <x:c r="E1869" t="str">
        <x:f>'Release Gates'!I1843</x:f>
        <x:v>OPEN</x:v>
      </x:c>
      <x:c r="F1869" t="str">
        <x:f>IF('Release Gates'!C1843="PLANNING","PASS",IF('Release Gates'!C1843="PHYSICAL","OPEN","BLOCKED"))</x:f>
        <x:v>OPEN</x:v>
      </x:c>
      <x:c r="G1869" t="str">
        <x:v>equals</x:v>
      </x:c>
      <x:c r="H1869" t="str">
        <x:f>IF(E1869=F1869,"PASS","FAIL")</x:f>
        <x:v>PASS</x:v>
      </x:c>
    </x:row>
    <x:row r="1870">
      <x:c r="B1870" t="str">
        <x:v>A-01838</x:v>
      </x:c>
      <x:c r="C1870" t="str">
        <x:v>GATE</x:v>
      </x:c>
      <x:c r="D1870" t="str">
        <x:v>release state mirrors governing ledger</x:v>
      </x:c>
      <x:c r="E1870" t="str">
        <x:f>'Release Gates'!I1844</x:f>
        <x:v>OPEN</x:v>
      </x:c>
      <x:c r="F1870" t="str">
        <x:f>IF('Release Gates'!C1844="PLANNING","PASS",IF('Release Gates'!C1844="PHYSICAL","OPEN","BLOCKED"))</x:f>
        <x:v>OPEN</x:v>
      </x:c>
      <x:c r="G1870" t="str">
        <x:v>equals</x:v>
      </x:c>
      <x:c r="H1870" t="str">
        <x:f>IF(E1870=F1870,"PASS","FAIL")</x:f>
        <x:v>PASS</x:v>
      </x:c>
    </x:row>
    <x:row r="1871">
      <x:c r="B1871" t="str">
        <x:v>A-01839</x:v>
      </x:c>
      <x:c r="C1871" t="str">
        <x:v>GATE</x:v>
      </x:c>
      <x:c r="D1871" t="str">
        <x:v>release state mirrors governing ledger</x:v>
      </x:c>
      <x:c r="E1871" t="str">
        <x:f>'Release Gates'!I1845</x:f>
        <x:v>OPEN</x:v>
      </x:c>
      <x:c r="F1871" t="str">
        <x:f>IF('Release Gates'!C1845="PLANNING","PASS",IF('Release Gates'!C1845="PHYSICAL","OPEN","BLOCKED"))</x:f>
        <x:v>OPEN</x:v>
      </x:c>
      <x:c r="G1871" t="str">
        <x:v>equals</x:v>
      </x:c>
      <x:c r="H1871" t="str">
        <x:f>IF(E1871=F1871,"PASS","FAIL")</x:f>
        <x:v>PASS</x:v>
      </x:c>
    </x:row>
    <x:row r="1872">
      <x:c r="B1872" t="str">
        <x:v>A-01840</x:v>
      </x:c>
      <x:c r="C1872" t="str">
        <x:v>GATE</x:v>
      </x:c>
      <x:c r="D1872" t="str">
        <x:v>release state mirrors governing ledger</x:v>
      </x:c>
      <x:c r="E1872" t="str">
        <x:f>'Release Gates'!I1846</x:f>
        <x:v>OPEN</x:v>
      </x:c>
      <x:c r="F1872" t="str">
        <x:f>IF('Release Gates'!C1846="PLANNING","PASS",IF('Release Gates'!C1846="PHYSICAL","OPEN","BLOCKED"))</x:f>
        <x:v>OPEN</x:v>
      </x:c>
      <x:c r="G1872" t="str">
        <x:v>equals</x:v>
      </x:c>
      <x:c r="H1872" t="str">
        <x:f>IF(E1872=F1872,"PASS","FAIL")</x:f>
        <x:v>PASS</x:v>
      </x:c>
    </x:row>
    <x:row r="1873">
      <x:c r="B1873" t="str">
        <x:v>A-01841</x:v>
      </x:c>
      <x:c r="C1873" t="str">
        <x:v>GATE</x:v>
      </x:c>
      <x:c r="D1873" t="str">
        <x:v>release state mirrors governing ledger</x:v>
      </x:c>
      <x:c r="E1873" t="str">
        <x:f>'Release Gates'!I1847</x:f>
        <x:v>OPEN</x:v>
      </x:c>
      <x:c r="F1873" t="str">
        <x:f>IF('Release Gates'!C1847="PLANNING","PASS",IF('Release Gates'!C1847="PHYSICAL","OPEN","BLOCKED"))</x:f>
        <x:v>OPEN</x:v>
      </x:c>
      <x:c r="G1873" t="str">
        <x:v>equals</x:v>
      </x:c>
      <x:c r="H1873" t="str">
        <x:f>IF(E1873=F1873,"PASS","FAIL")</x:f>
        <x:v>PASS</x:v>
      </x:c>
    </x:row>
    <x:row r="1874">
      <x:c r="B1874" t="str">
        <x:v>A-01842</x:v>
      </x:c>
      <x:c r="C1874" t="str">
        <x:v>GATE</x:v>
      </x:c>
      <x:c r="D1874" t="str">
        <x:v>release state mirrors governing ledger</x:v>
      </x:c>
      <x:c r="E1874" t="str">
        <x:f>'Release Gates'!I1848</x:f>
        <x:v>OPEN</x:v>
      </x:c>
      <x:c r="F1874" t="str">
        <x:f>IF('Release Gates'!C1848="PLANNING","PASS",IF('Release Gates'!C1848="PHYSICAL","OPEN","BLOCKED"))</x:f>
        <x:v>OPEN</x:v>
      </x:c>
      <x:c r="G1874" t="str">
        <x:v>equals</x:v>
      </x:c>
      <x:c r="H1874" t="str">
        <x:f>IF(E1874=F1874,"PASS","FAIL")</x:f>
        <x:v>PASS</x:v>
      </x:c>
    </x:row>
    <x:row r="1875">
      <x:c r="B1875" t="str">
        <x:v>A-01843</x:v>
      </x:c>
      <x:c r="C1875" t="str">
        <x:v>GATE</x:v>
      </x:c>
      <x:c r="D1875" t="str">
        <x:v>release state mirrors governing ledger</x:v>
      </x:c>
      <x:c r="E1875" t="str">
        <x:f>'Release Gates'!I1849</x:f>
        <x:v>OPEN</x:v>
      </x:c>
      <x:c r="F1875" t="str">
        <x:f>IF('Release Gates'!C1849="PLANNING","PASS",IF('Release Gates'!C1849="PHYSICAL","OPEN","BLOCKED"))</x:f>
        <x:v>OPEN</x:v>
      </x:c>
      <x:c r="G1875" t="str">
        <x:v>equals</x:v>
      </x:c>
      <x:c r="H1875" t="str">
        <x:f>IF(E1875=F1875,"PASS","FAIL")</x:f>
        <x:v>PASS</x:v>
      </x:c>
    </x:row>
    <x:row r="1876">
      <x:c r="B1876" t="str">
        <x:v>A-01844</x:v>
      </x:c>
      <x:c r="C1876" t="str">
        <x:v>GATE</x:v>
      </x:c>
      <x:c r="D1876" t="str">
        <x:v>release state mirrors governing ledger</x:v>
      </x:c>
      <x:c r="E1876" t="str">
        <x:f>'Release Gates'!I1850</x:f>
        <x:v>OPEN</x:v>
      </x:c>
      <x:c r="F1876" t="str">
        <x:f>IF('Release Gates'!C1850="PLANNING","PASS",IF('Release Gates'!C1850="PHYSICAL","OPEN","BLOCKED"))</x:f>
        <x:v>OPEN</x:v>
      </x:c>
      <x:c r="G1876" t="str">
        <x:v>equals</x:v>
      </x:c>
      <x:c r="H1876" t="str">
        <x:f>IF(E1876=F1876,"PASS","FAIL")</x:f>
        <x:v>PASS</x:v>
      </x:c>
    </x:row>
    <x:row r="1877">
      <x:c r="B1877" t="str">
        <x:v>A-01845</x:v>
      </x:c>
      <x:c r="C1877" t="str">
        <x:v>GATE</x:v>
      </x:c>
      <x:c r="D1877" t="str">
        <x:v>release state mirrors governing ledger</x:v>
      </x:c>
      <x:c r="E1877" t="str">
        <x:f>'Release Gates'!I1851</x:f>
        <x:v>OPEN</x:v>
      </x:c>
      <x:c r="F1877" t="str">
        <x:f>IF('Release Gates'!C1851="PLANNING","PASS",IF('Release Gates'!C1851="PHYSICAL","OPEN","BLOCKED"))</x:f>
        <x:v>OPEN</x:v>
      </x:c>
      <x:c r="G1877" t="str">
        <x:v>equals</x:v>
      </x:c>
      <x:c r="H1877" t="str">
        <x:f>IF(E1877=F1877,"PASS","FAIL")</x:f>
        <x:v>PASS</x:v>
      </x:c>
    </x:row>
    <x:row r="1878">
      <x:c r="B1878" t="str">
        <x:v>A-01846</x:v>
      </x:c>
      <x:c r="C1878" t="str">
        <x:v>GATE</x:v>
      </x:c>
      <x:c r="D1878" t="str">
        <x:v>release state mirrors governing ledger</x:v>
      </x:c>
      <x:c r="E1878" t="str">
        <x:f>'Release Gates'!I1852</x:f>
        <x:v>OPEN</x:v>
      </x:c>
      <x:c r="F1878" t="str">
        <x:f>IF('Release Gates'!C1852="PLANNING","PASS",IF('Release Gates'!C1852="PHYSICAL","OPEN","BLOCKED"))</x:f>
        <x:v>OPEN</x:v>
      </x:c>
      <x:c r="G1878" t="str">
        <x:v>equals</x:v>
      </x:c>
      <x:c r="H1878" t="str">
        <x:f>IF(E1878=F1878,"PASS","FAIL")</x:f>
        <x:v>PASS</x:v>
      </x:c>
    </x:row>
    <x:row r="1879">
      <x:c r="B1879" t="str">
        <x:v>A-01847</x:v>
      </x:c>
      <x:c r="C1879" t="str">
        <x:v>GATE</x:v>
      </x:c>
      <x:c r="D1879" t="str">
        <x:v>release state mirrors governing ledger</x:v>
      </x:c>
      <x:c r="E1879" t="str">
        <x:f>'Release Gates'!I1853</x:f>
        <x:v>OPEN</x:v>
      </x:c>
      <x:c r="F1879" t="str">
        <x:f>IF('Release Gates'!C1853="PLANNING","PASS",IF('Release Gates'!C1853="PHYSICAL","OPEN","BLOCKED"))</x:f>
        <x:v>OPEN</x:v>
      </x:c>
      <x:c r="G1879" t="str">
        <x:v>equals</x:v>
      </x:c>
      <x:c r="H1879" t="str">
        <x:f>IF(E1879=F1879,"PASS","FAIL")</x:f>
        <x:v>PASS</x:v>
      </x:c>
    </x:row>
    <x:row r="1880">
      <x:c r="B1880" t="str">
        <x:v>A-01848</x:v>
      </x:c>
      <x:c r="C1880" t="str">
        <x:v>GATE</x:v>
      </x:c>
      <x:c r="D1880" t="str">
        <x:v>release state mirrors governing ledger</x:v>
      </x:c>
      <x:c r="E1880" t="str">
        <x:f>'Release Gates'!I1854</x:f>
        <x:v>OPEN</x:v>
      </x:c>
      <x:c r="F1880" t="str">
        <x:f>IF('Release Gates'!C1854="PLANNING","PASS",IF('Release Gates'!C1854="PHYSICAL","OPEN","BLOCKED"))</x:f>
        <x:v>OPEN</x:v>
      </x:c>
      <x:c r="G1880" t="str">
        <x:v>equals</x:v>
      </x:c>
      <x:c r="H1880" t="str">
        <x:f>IF(E1880=F1880,"PASS","FAIL")</x:f>
        <x:v>PASS</x:v>
      </x:c>
    </x:row>
    <x:row r="1881">
      <x:c r="B1881" t="str">
        <x:v>A-01849</x:v>
      </x:c>
      <x:c r="C1881" t="str">
        <x:v>GATE</x:v>
      </x:c>
      <x:c r="D1881" t="str">
        <x:v>release state mirrors governing ledger</x:v>
      </x:c>
      <x:c r="E1881" t="str">
        <x:f>'Release Gates'!I1855</x:f>
        <x:v>OPEN</x:v>
      </x:c>
      <x:c r="F1881" t="str">
        <x:f>IF('Release Gates'!C1855="PLANNING","PASS",IF('Release Gates'!C1855="PHYSICAL","OPEN","BLOCKED"))</x:f>
        <x:v>OPEN</x:v>
      </x:c>
      <x:c r="G1881" t="str">
        <x:v>equals</x:v>
      </x:c>
      <x:c r="H1881" t="str">
        <x:f>IF(E1881=F1881,"PASS","FAIL")</x:f>
        <x:v>PASS</x:v>
      </x:c>
    </x:row>
    <x:row r="1882">
      <x:c r="B1882" t="str">
        <x:v>A-01850</x:v>
      </x:c>
      <x:c r="C1882" t="str">
        <x:v>GATE</x:v>
      </x:c>
      <x:c r="D1882" t="str">
        <x:v>release state mirrors governing ledger</x:v>
      </x:c>
      <x:c r="E1882" t="str">
        <x:f>'Release Gates'!I1856</x:f>
        <x:v>OPEN</x:v>
      </x:c>
      <x:c r="F1882" t="str">
        <x:f>IF('Release Gates'!C1856="PLANNING","PASS",IF('Release Gates'!C1856="PHYSICAL","OPEN","BLOCKED"))</x:f>
        <x:v>OPEN</x:v>
      </x:c>
      <x:c r="G1882" t="str">
        <x:v>equals</x:v>
      </x:c>
      <x:c r="H1882" t="str">
        <x:f>IF(E1882=F1882,"PASS","FAIL")</x:f>
        <x:v>PASS</x:v>
      </x:c>
    </x:row>
    <x:row r="1883">
      <x:c r="B1883" t="str">
        <x:v>A-01851</x:v>
      </x:c>
      <x:c r="C1883" t="str">
        <x:v>GATE</x:v>
      </x:c>
      <x:c r="D1883" t="str">
        <x:v>release state mirrors governing ledger</x:v>
      </x:c>
      <x:c r="E1883" t="str">
        <x:f>'Release Gates'!I1857</x:f>
        <x:v>OPEN</x:v>
      </x:c>
      <x:c r="F1883" t="str">
        <x:f>IF('Release Gates'!C1857="PLANNING","PASS",IF('Release Gates'!C1857="PHYSICAL","OPEN","BLOCKED"))</x:f>
        <x:v>OPEN</x:v>
      </x:c>
      <x:c r="G1883" t="str">
        <x:v>equals</x:v>
      </x:c>
      <x:c r="H1883" t="str">
        <x:f>IF(E1883=F1883,"PASS","FAIL")</x:f>
        <x:v>PASS</x:v>
      </x:c>
    </x:row>
    <x:row r="1884">
      <x:c r="B1884" t="str">
        <x:v>A-01852</x:v>
      </x:c>
      <x:c r="C1884" t="str">
        <x:v>GATE</x:v>
      </x:c>
      <x:c r="D1884" t="str">
        <x:v>release state mirrors governing ledger</x:v>
      </x:c>
      <x:c r="E1884" t="str">
        <x:f>'Release Gates'!I1858</x:f>
        <x:v>OPEN</x:v>
      </x:c>
      <x:c r="F1884" t="str">
        <x:f>IF('Release Gates'!C1858="PLANNING","PASS",IF('Release Gates'!C1858="PHYSICAL","OPEN","BLOCKED"))</x:f>
        <x:v>OPEN</x:v>
      </x:c>
      <x:c r="G1884" t="str">
        <x:v>equals</x:v>
      </x:c>
      <x:c r="H1884" t="str">
        <x:f>IF(E1884=F1884,"PASS","FAIL")</x:f>
        <x:v>PASS</x:v>
      </x:c>
    </x:row>
    <x:row r="1885">
      <x:c r="B1885" t="str">
        <x:v>A-01853</x:v>
      </x:c>
      <x:c r="C1885" t="str">
        <x:v>GATE</x:v>
      </x:c>
      <x:c r="D1885" t="str">
        <x:v>release state mirrors governing ledger</x:v>
      </x:c>
      <x:c r="E1885" t="str">
        <x:f>'Release Gates'!I1859</x:f>
        <x:v>OPEN</x:v>
      </x:c>
      <x:c r="F1885" t="str">
        <x:f>IF('Release Gates'!C1859="PLANNING","PASS",IF('Release Gates'!C1859="PHYSICAL","OPEN","BLOCKED"))</x:f>
        <x:v>OPEN</x:v>
      </x:c>
      <x:c r="G1885" t="str">
        <x:v>equals</x:v>
      </x:c>
      <x:c r="H1885" t="str">
        <x:f>IF(E1885=F1885,"PASS","FAIL")</x:f>
        <x:v>PASS</x:v>
      </x:c>
    </x:row>
    <x:row r="1886">
      <x:c r="B1886" t="str">
        <x:v>A-01854</x:v>
      </x:c>
      <x:c r="C1886" t="str">
        <x:v>GATE</x:v>
      </x:c>
      <x:c r="D1886" t="str">
        <x:v>release state mirrors governing ledger</x:v>
      </x:c>
      <x:c r="E1886" t="str">
        <x:f>'Release Gates'!I1860</x:f>
        <x:v>OPEN</x:v>
      </x:c>
      <x:c r="F1886" t="str">
        <x:f>IF('Release Gates'!C1860="PLANNING","PASS",IF('Release Gates'!C1860="PHYSICAL","OPEN","BLOCKED"))</x:f>
        <x:v>OPEN</x:v>
      </x:c>
      <x:c r="G1886" t="str">
        <x:v>equals</x:v>
      </x:c>
      <x:c r="H1886" t="str">
        <x:f>IF(E1886=F1886,"PASS","FAIL")</x:f>
        <x:v>PASS</x:v>
      </x:c>
    </x:row>
    <x:row r="1887">
      <x:c r="B1887" t="str">
        <x:v>A-01855</x:v>
      </x:c>
      <x:c r="C1887" t="str">
        <x:v>GATE</x:v>
      </x:c>
      <x:c r="D1887" t="str">
        <x:v>release state mirrors governing ledger</x:v>
      </x:c>
      <x:c r="E1887" t="str">
        <x:f>'Release Gates'!I1861</x:f>
        <x:v>OPEN</x:v>
      </x:c>
      <x:c r="F1887" t="str">
        <x:f>IF('Release Gates'!C1861="PLANNING","PASS",IF('Release Gates'!C1861="PHYSICAL","OPEN","BLOCKED"))</x:f>
        <x:v>OPEN</x:v>
      </x:c>
      <x:c r="G1887" t="str">
        <x:v>equals</x:v>
      </x:c>
      <x:c r="H1887" t="str">
        <x:f>IF(E1887=F1887,"PASS","FAIL")</x:f>
        <x:v>PASS</x:v>
      </x:c>
    </x:row>
    <x:row r="1888">
      <x:c r="B1888" t="str">
        <x:v>A-01856</x:v>
      </x:c>
      <x:c r="C1888" t="str">
        <x:v>GATE</x:v>
      </x:c>
      <x:c r="D1888" t="str">
        <x:v>release state mirrors governing ledger</x:v>
      </x:c>
      <x:c r="E1888" t="str">
        <x:f>'Release Gates'!I1862</x:f>
        <x:v>OPEN</x:v>
      </x:c>
      <x:c r="F1888" t="str">
        <x:f>IF('Release Gates'!C1862="PLANNING","PASS",IF('Release Gates'!C1862="PHYSICAL","OPEN","BLOCKED"))</x:f>
        <x:v>OPEN</x:v>
      </x:c>
      <x:c r="G1888" t="str">
        <x:v>equals</x:v>
      </x:c>
      <x:c r="H1888" t="str">
        <x:f>IF(E1888=F1888,"PASS","FAIL")</x:f>
        <x:v>PASS</x:v>
      </x:c>
    </x:row>
    <x:row r="1889">
      <x:c r="B1889" t="str">
        <x:v>A-01857</x:v>
      </x:c>
      <x:c r="C1889" t="str">
        <x:v>GATE</x:v>
      </x:c>
      <x:c r="D1889" t="str">
        <x:v>release state mirrors governing ledger</x:v>
      </x:c>
      <x:c r="E1889" t="str">
        <x:f>'Release Gates'!I1863</x:f>
        <x:v>OPEN</x:v>
      </x:c>
      <x:c r="F1889" t="str">
        <x:f>IF('Release Gates'!C1863="PLANNING","PASS",IF('Release Gates'!C1863="PHYSICAL","OPEN","BLOCKED"))</x:f>
        <x:v>OPEN</x:v>
      </x:c>
      <x:c r="G1889" t="str">
        <x:v>equals</x:v>
      </x:c>
      <x:c r="H1889" t="str">
        <x:f>IF(E1889=F1889,"PASS","FAIL")</x:f>
        <x:v>PASS</x:v>
      </x:c>
    </x:row>
    <x:row r="1890">
      <x:c r="B1890" t="str">
        <x:v>A-01858</x:v>
      </x:c>
      <x:c r="C1890" t="str">
        <x:v>GATE</x:v>
      </x:c>
      <x:c r="D1890" t="str">
        <x:v>release state mirrors governing ledger</x:v>
      </x:c>
      <x:c r="E1890" t="str">
        <x:f>'Release Gates'!I1864</x:f>
        <x:v>OPEN</x:v>
      </x:c>
      <x:c r="F1890" t="str">
        <x:f>IF('Release Gates'!C1864="PLANNING","PASS",IF('Release Gates'!C1864="PHYSICAL","OPEN","BLOCKED"))</x:f>
        <x:v>OPEN</x:v>
      </x:c>
      <x:c r="G1890" t="str">
        <x:v>equals</x:v>
      </x:c>
      <x:c r="H1890" t="str">
        <x:f>IF(E1890=F1890,"PASS","FAIL")</x:f>
        <x:v>PASS</x:v>
      </x:c>
    </x:row>
    <x:row r="1891">
      <x:c r="B1891" t="str">
        <x:v>A-01859</x:v>
      </x:c>
      <x:c r="C1891" t="str">
        <x:v>GATE</x:v>
      </x:c>
      <x:c r="D1891" t="str">
        <x:v>release state mirrors governing ledger</x:v>
      </x:c>
      <x:c r="E1891" t="str">
        <x:f>'Release Gates'!I1865</x:f>
        <x:v>OPEN</x:v>
      </x:c>
      <x:c r="F1891" t="str">
        <x:f>IF('Release Gates'!C1865="PLANNING","PASS",IF('Release Gates'!C1865="PHYSICAL","OPEN","BLOCKED"))</x:f>
        <x:v>OPEN</x:v>
      </x:c>
      <x:c r="G1891" t="str">
        <x:v>equals</x:v>
      </x:c>
      <x:c r="H1891" t="str">
        <x:f>IF(E1891=F1891,"PASS","FAIL")</x:f>
        <x:v>PASS</x:v>
      </x:c>
    </x:row>
    <x:row r="1892">
      <x:c r="B1892" t="str">
        <x:v>A-01860</x:v>
      </x:c>
      <x:c r="C1892" t="str">
        <x:v>GATE</x:v>
      </x:c>
      <x:c r="D1892" t="str">
        <x:v>release state mirrors governing ledger</x:v>
      </x:c>
      <x:c r="E1892" t="str">
        <x:f>'Release Gates'!I1866</x:f>
        <x:v>OPEN</x:v>
      </x:c>
      <x:c r="F1892" t="str">
        <x:f>IF('Release Gates'!C1866="PLANNING","PASS",IF('Release Gates'!C1866="PHYSICAL","OPEN","BLOCKED"))</x:f>
        <x:v>OPEN</x:v>
      </x:c>
      <x:c r="G1892" t="str">
        <x:v>equals</x:v>
      </x:c>
      <x:c r="H1892" t="str">
        <x:f>IF(E1892=F1892,"PASS","FAIL")</x:f>
        <x:v>PASS</x:v>
      </x:c>
    </x:row>
    <x:row r="1893">
      <x:c r="B1893" t="str">
        <x:v>A-01861</x:v>
      </x:c>
      <x:c r="C1893" t="str">
        <x:v>GATE</x:v>
      </x:c>
      <x:c r="D1893" t="str">
        <x:v>release state mirrors governing ledger</x:v>
      </x:c>
      <x:c r="E1893" t="str">
        <x:f>'Release Gates'!I1867</x:f>
        <x:v>OPEN</x:v>
      </x:c>
      <x:c r="F1893" t="str">
        <x:f>IF('Release Gates'!C1867="PLANNING","PASS",IF('Release Gates'!C1867="PHYSICAL","OPEN","BLOCKED"))</x:f>
        <x:v>OPEN</x:v>
      </x:c>
      <x:c r="G1893" t="str">
        <x:v>equals</x:v>
      </x:c>
      <x:c r="H1893" t="str">
        <x:f>IF(E1893=F1893,"PASS","FAIL")</x:f>
        <x:v>PASS</x:v>
      </x:c>
    </x:row>
    <x:row r="1894">
      <x:c r="B1894" t="str">
        <x:v>A-01862</x:v>
      </x:c>
      <x:c r="C1894" t="str">
        <x:v>GATE</x:v>
      </x:c>
      <x:c r="D1894" t="str">
        <x:v>release state mirrors governing ledger</x:v>
      </x:c>
      <x:c r="E1894" t="str">
        <x:f>'Release Gates'!I1868</x:f>
        <x:v>OPEN</x:v>
      </x:c>
      <x:c r="F1894" t="str">
        <x:f>IF('Release Gates'!C1868="PLANNING","PASS",IF('Release Gates'!C1868="PHYSICAL","OPEN","BLOCKED"))</x:f>
        <x:v>OPEN</x:v>
      </x:c>
      <x:c r="G1894" t="str">
        <x:v>equals</x:v>
      </x:c>
      <x:c r="H1894" t="str">
        <x:f>IF(E1894=F1894,"PASS","FAIL")</x:f>
        <x:v>PASS</x:v>
      </x:c>
    </x:row>
    <x:row r="1895">
      <x:c r="B1895" t="str">
        <x:v>A-01863</x:v>
      </x:c>
      <x:c r="C1895" t="str">
        <x:v>GATE</x:v>
      </x:c>
      <x:c r="D1895" t="str">
        <x:v>release state mirrors governing ledger</x:v>
      </x:c>
      <x:c r="E1895" t="str">
        <x:f>'Release Gates'!I1869</x:f>
        <x:v>OPEN</x:v>
      </x:c>
      <x:c r="F1895" t="str">
        <x:f>IF('Release Gates'!C1869="PLANNING","PASS",IF('Release Gates'!C1869="PHYSICAL","OPEN","BLOCKED"))</x:f>
        <x:v>OPEN</x:v>
      </x:c>
      <x:c r="G1895" t="str">
        <x:v>equals</x:v>
      </x:c>
      <x:c r="H1895" t="str">
        <x:f>IF(E1895=F1895,"PASS","FAIL")</x:f>
        <x:v>PASS</x:v>
      </x:c>
    </x:row>
    <x:row r="1896">
      <x:c r="B1896" t="str">
        <x:v>A-01864</x:v>
      </x:c>
      <x:c r="C1896" t="str">
        <x:v>GATE</x:v>
      </x:c>
      <x:c r="D1896" t="str">
        <x:v>release state mirrors governing ledger</x:v>
      </x:c>
      <x:c r="E1896" t="str">
        <x:f>'Release Gates'!I1870</x:f>
        <x:v>OPEN</x:v>
      </x:c>
      <x:c r="F1896" t="str">
        <x:f>IF('Release Gates'!C1870="PLANNING","PASS",IF('Release Gates'!C1870="PHYSICAL","OPEN","BLOCKED"))</x:f>
        <x:v>OPEN</x:v>
      </x:c>
      <x:c r="G1896" t="str">
        <x:v>equals</x:v>
      </x:c>
      <x:c r="H1896" t="str">
        <x:f>IF(E1896=F1896,"PASS","FAIL")</x:f>
        <x:v>PASS</x:v>
      </x:c>
    </x:row>
    <x:row r="1897">
      <x:c r="B1897" t="str">
        <x:v>A-01865</x:v>
      </x:c>
      <x:c r="C1897" t="str">
        <x:v>GATE</x:v>
      </x:c>
      <x:c r="D1897" t="str">
        <x:v>release state mirrors governing ledger</x:v>
      </x:c>
      <x:c r="E1897" t="str">
        <x:f>'Release Gates'!I1871</x:f>
        <x:v>OPEN</x:v>
      </x:c>
      <x:c r="F1897" t="str">
        <x:f>IF('Release Gates'!C1871="PLANNING","PASS",IF('Release Gates'!C1871="PHYSICAL","OPEN","BLOCKED"))</x:f>
        <x:v>OPEN</x:v>
      </x:c>
      <x:c r="G1897" t="str">
        <x:v>equals</x:v>
      </x:c>
      <x:c r="H1897" t="str">
        <x:f>IF(E1897=F1897,"PASS","FAIL")</x:f>
        <x:v>PASS</x:v>
      </x:c>
    </x:row>
    <x:row r="1898">
      <x:c r="B1898" t="str">
        <x:v>A-01866</x:v>
      </x:c>
      <x:c r="C1898" t="str">
        <x:v>GATE</x:v>
      </x:c>
      <x:c r="D1898" t="str">
        <x:v>release state mirrors governing ledger</x:v>
      </x:c>
      <x:c r="E1898" t="str">
        <x:f>'Release Gates'!I1872</x:f>
        <x:v>OPEN</x:v>
      </x:c>
      <x:c r="F1898" t="str">
        <x:f>IF('Release Gates'!C1872="PLANNING","PASS",IF('Release Gates'!C1872="PHYSICAL","OPEN","BLOCKED"))</x:f>
        <x:v>OPEN</x:v>
      </x:c>
      <x:c r="G1898" t="str">
        <x:v>equals</x:v>
      </x:c>
      <x:c r="H1898" t="str">
        <x:f>IF(E1898=F1898,"PASS","FAIL")</x:f>
        <x:v>PASS</x:v>
      </x:c>
    </x:row>
    <x:row r="1899">
      <x:c r="B1899" t="str">
        <x:v>A-01867</x:v>
      </x:c>
      <x:c r="C1899" t="str">
        <x:v>GATE</x:v>
      </x:c>
      <x:c r="D1899" t="str">
        <x:v>release state mirrors governing ledger</x:v>
      </x:c>
      <x:c r="E1899" t="str">
        <x:f>'Release Gates'!I1873</x:f>
        <x:v>OPEN</x:v>
      </x:c>
      <x:c r="F1899" t="str">
        <x:f>IF('Release Gates'!C1873="PLANNING","PASS",IF('Release Gates'!C1873="PHYSICAL","OPEN","BLOCKED"))</x:f>
        <x:v>OPEN</x:v>
      </x:c>
      <x:c r="G1899" t="str">
        <x:v>equals</x:v>
      </x:c>
      <x:c r="H1899" t="str">
        <x:f>IF(E1899=F1899,"PASS","FAIL")</x:f>
        <x:v>PASS</x:v>
      </x:c>
    </x:row>
    <x:row r="1900">
      <x:c r="B1900" t="str">
        <x:v>A-01868</x:v>
      </x:c>
      <x:c r="C1900" t="str">
        <x:v>GATE</x:v>
      </x:c>
      <x:c r="D1900" t="str">
        <x:v>release state mirrors governing ledger</x:v>
      </x:c>
      <x:c r="E1900" t="str">
        <x:f>'Release Gates'!I1874</x:f>
        <x:v>OPEN</x:v>
      </x:c>
      <x:c r="F1900" t="str">
        <x:f>IF('Release Gates'!C1874="PLANNING","PASS",IF('Release Gates'!C1874="PHYSICAL","OPEN","BLOCKED"))</x:f>
        <x:v>OPEN</x:v>
      </x:c>
      <x:c r="G1900" t="str">
        <x:v>equals</x:v>
      </x:c>
      <x:c r="H1900" t="str">
        <x:f>IF(E1900=F1900,"PASS","FAIL")</x:f>
        <x:v>PASS</x:v>
      </x:c>
    </x:row>
    <x:row r="1901">
      <x:c r="B1901" t="str">
        <x:v>A-01869</x:v>
      </x:c>
      <x:c r="C1901" t="str">
        <x:v>GATE</x:v>
      </x:c>
      <x:c r="D1901" t="str">
        <x:v>release state mirrors governing ledger</x:v>
      </x:c>
      <x:c r="E1901" t="str">
        <x:f>'Release Gates'!I1875</x:f>
        <x:v>OPEN</x:v>
      </x:c>
      <x:c r="F1901" t="str">
        <x:f>IF('Release Gates'!C1875="PLANNING","PASS",IF('Release Gates'!C1875="PHYSICAL","OPEN","BLOCKED"))</x:f>
        <x:v>OPEN</x:v>
      </x:c>
      <x:c r="G1901" t="str">
        <x:v>equals</x:v>
      </x:c>
      <x:c r="H1901" t="str">
        <x:f>IF(E1901=F1901,"PASS","FAIL")</x:f>
        <x:v>PASS</x:v>
      </x:c>
    </x:row>
    <x:row r="1902">
      <x:c r="B1902" t="str">
        <x:v>A-01870</x:v>
      </x:c>
      <x:c r="C1902" t="str">
        <x:v>GATE</x:v>
      </x:c>
      <x:c r="D1902" t="str">
        <x:v>release state mirrors governing ledger</x:v>
      </x:c>
      <x:c r="E1902" t="str">
        <x:f>'Release Gates'!I1876</x:f>
        <x:v>OPEN</x:v>
      </x:c>
      <x:c r="F1902" t="str">
        <x:f>IF('Release Gates'!C1876="PLANNING","PASS",IF('Release Gates'!C1876="PHYSICAL","OPEN","BLOCKED"))</x:f>
        <x:v>OPEN</x:v>
      </x:c>
      <x:c r="G1902" t="str">
        <x:v>equals</x:v>
      </x:c>
      <x:c r="H1902" t="str">
        <x:f>IF(E1902=F1902,"PASS","FAIL")</x:f>
        <x:v>PASS</x:v>
      </x:c>
    </x:row>
    <x:row r="1903">
      <x:c r="B1903" t="str">
        <x:v>A-01871</x:v>
      </x:c>
      <x:c r="C1903" t="str">
        <x:v>GATE</x:v>
      </x:c>
      <x:c r="D1903" t="str">
        <x:v>release state mirrors governing ledger</x:v>
      </x:c>
      <x:c r="E1903" t="str">
        <x:f>'Release Gates'!I1877</x:f>
        <x:v>OPEN</x:v>
      </x:c>
      <x:c r="F1903" t="str">
        <x:f>IF('Release Gates'!C1877="PLANNING","PASS",IF('Release Gates'!C1877="PHYSICAL","OPEN","BLOCKED"))</x:f>
        <x:v>OPEN</x:v>
      </x:c>
      <x:c r="G1903" t="str">
        <x:v>equals</x:v>
      </x:c>
      <x:c r="H1903" t="str">
        <x:f>IF(E1903=F1903,"PASS","FAIL")</x:f>
        <x:v>PASS</x:v>
      </x:c>
    </x:row>
    <x:row r="1904">
      <x:c r="B1904" t="str">
        <x:v>A-01872</x:v>
      </x:c>
      <x:c r="C1904" t="str">
        <x:v>GATE</x:v>
      </x:c>
      <x:c r="D1904" t="str">
        <x:v>release state mirrors governing ledger</x:v>
      </x:c>
      <x:c r="E1904" t="str">
        <x:f>'Release Gates'!I1878</x:f>
        <x:v>OPEN</x:v>
      </x:c>
      <x:c r="F1904" t="str">
        <x:f>IF('Release Gates'!C1878="PLANNING","PASS",IF('Release Gates'!C1878="PHYSICAL","OPEN","BLOCKED"))</x:f>
        <x:v>OPEN</x:v>
      </x:c>
      <x:c r="G1904" t="str">
        <x:v>equals</x:v>
      </x:c>
      <x:c r="H1904" t="str">
        <x:f>IF(E1904=F1904,"PASS","FAIL")</x:f>
        <x:v>PASS</x:v>
      </x:c>
    </x:row>
    <x:row r="1905">
      <x:c r="B1905" t="str">
        <x:v>A-01873</x:v>
      </x:c>
      <x:c r="C1905" t="str">
        <x:v>GATE</x:v>
      </x:c>
      <x:c r="D1905" t="str">
        <x:v>release state mirrors governing ledger</x:v>
      </x:c>
      <x:c r="E1905" t="str">
        <x:f>'Release Gates'!I1879</x:f>
        <x:v>OPEN</x:v>
      </x:c>
      <x:c r="F1905" t="str">
        <x:f>IF('Release Gates'!C1879="PLANNING","PASS",IF('Release Gates'!C1879="PHYSICAL","OPEN","BLOCKED"))</x:f>
        <x:v>OPEN</x:v>
      </x:c>
      <x:c r="G1905" t="str">
        <x:v>equals</x:v>
      </x:c>
      <x:c r="H1905" t="str">
        <x:f>IF(E1905=F1905,"PASS","FAIL")</x:f>
        <x:v>PASS</x:v>
      </x:c>
    </x:row>
    <x:row r="1906">
      <x:c r="B1906" t="str">
        <x:v>A-01874</x:v>
      </x:c>
      <x:c r="C1906" t="str">
        <x:v>GATE</x:v>
      </x:c>
      <x:c r="D1906" t="str">
        <x:v>release state mirrors governing ledger</x:v>
      </x:c>
      <x:c r="E1906" t="str">
        <x:f>'Release Gates'!I1880</x:f>
        <x:v>OPEN</x:v>
      </x:c>
      <x:c r="F1906" t="str">
        <x:f>IF('Release Gates'!C1880="PLANNING","PASS",IF('Release Gates'!C1880="PHYSICAL","OPEN","BLOCKED"))</x:f>
        <x:v>OPEN</x:v>
      </x:c>
      <x:c r="G1906" t="str">
        <x:v>equals</x:v>
      </x:c>
      <x:c r="H1906" t="str">
        <x:f>IF(E1906=F1906,"PASS","FAIL")</x:f>
        <x:v>PASS</x:v>
      </x:c>
    </x:row>
    <x:row r="1907">
      <x:c r="B1907" t="str">
        <x:v>A-01875</x:v>
      </x:c>
      <x:c r="C1907" t="str">
        <x:v>GATE</x:v>
      </x:c>
      <x:c r="D1907" t="str">
        <x:v>release state mirrors governing ledger</x:v>
      </x:c>
      <x:c r="E1907" t="str">
        <x:f>'Release Gates'!I1881</x:f>
        <x:v>OPEN</x:v>
      </x:c>
      <x:c r="F1907" t="str">
        <x:f>IF('Release Gates'!C1881="PLANNING","PASS",IF('Release Gates'!C1881="PHYSICAL","OPEN","BLOCKED"))</x:f>
        <x:v>OPEN</x:v>
      </x:c>
      <x:c r="G1907" t="str">
        <x:v>equals</x:v>
      </x:c>
      <x:c r="H1907" t="str">
        <x:f>IF(E1907=F1907,"PASS","FAIL")</x:f>
        <x:v>PASS</x:v>
      </x:c>
    </x:row>
    <x:row r="1908">
      <x:c r="B1908" t="str">
        <x:v>A-01876</x:v>
      </x:c>
      <x:c r="C1908" t="str">
        <x:v>GATE</x:v>
      </x:c>
      <x:c r="D1908" t="str">
        <x:v>release state mirrors governing ledger</x:v>
      </x:c>
      <x:c r="E1908" t="str">
        <x:f>'Release Gates'!I1882</x:f>
        <x:v>OPEN</x:v>
      </x:c>
      <x:c r="F1908" t="str">
        <x:f>IF('Release Gates'!C1882="PLANNING","PASS",IF('Release Gates'!C1882="PHYSICAL","OPEN","BLOCKED"))</x:f>
        <x:v>OPEN</x:v>
      </x:c>
      <x:c r="G1908" t="str">
        <x:v>equals</x:v>
      </x:c>
      <x:c r="H1908" t="str">
        <x:f>IF(E1908=F1908,"PASS","FAIL")</x:f>
        <x:v>PASS</x:v>
      </x:c>
    </x:row>
    <x:row r="1909">
      <x:c r="B1909" t="str">
        <x:v>A-01877</x:v>
      </x:c>
      <x:c r="C1909" t="str">
        <x:v>GATE</x:v>
      </x:c>
      <x:c r="D1909" t="str">
        <x:v>release state mirrors governing ledger</x:v>
      </x:c>
      <x:c r="E1909" t="str">
        <x:f>'Release Gates'!I1883</x:f>
        <x:v>OPEN</x:v>
      </x:c>
      <x:c r="F1909" t="str">
        <x:f>IF('Release Gates'!C1883="PLANNING","PASS",IF('Release Gates'!C1883="PHYSICAL","OPEN","BLOCKED"))</x:f>
        <x:v>OPEN</x:v>
      </x:c>
      <x:c r="G1909" t="str">
        <x:v>equals</x:v>
      </x:c>
      <x:c r="H1909" t="str">
        <x:f>IF(E1909=F1909,"PASS","FAIL")</x:f>
        <x:v>PASS</x:v>
      </x:c>
    </x:row>
    <x:row r="1910">
      <x:c r="B1910" t="str">
        <x:v>A-01878</x:v>
      </x:c>
      <x:c r="C1910" t="str">
        <x:v>GATE</x:v>
      </x:c>
      <x:c r="D1910" t="str">
        <x:v>release state mirrors governing ledger</x:v>
      </x:c>
      <x:c r="E1910" t="str">
        <x:f>'Release Gates'!I1884</x:f>
        <x:v>OPEN</x:v>
      </x:c>
      <x:c r="F1910" t="str">
        <x:f>IF('Release Gates'!C1884="PLANNING","PASS",IF('Release Gates'!C1884="PHYSICAL","OPEN","BLOCKED"))</x:f>
        <x:v>OPEN</x:v>
      </x:c>
      <x:c r="G1910" t="str">
        <x:v>equals</x:v>
      </x:c>
      <x:c r="H1910" t="str">
        <x:f>IF(E1910=F1910,"PASS","FAIL")</x:f>
        <x:v>PASS</x:v>
      </x:c>
    </x:row>
    <x:row r="1911">
      <x:c r="B1911" t="str">
        <x:v>A-01879</x:v>
      </x:c>
      <x:c r="C1911" t="str">
        <x:v>GATE</x:v>
      </x:c>
      <x:c r="D1911" t="str">
        <x:v>release state mirrors governing ledger</x:v>
      </x:c>
      <x:c r="E1911" t="str">
        <x:f>'Release Gates'!I1885</x:f>
        <x:v>OPEN</x:v>
      </x:c>
      <x:c r="F1911" t="str">
        <x:f>IF('Release Gates'!C1885="PLANNING","PASS",IF('Release Gates'!C1885="PHYSICAL","OPEN","BLOCKED"))</x:f>
        <x:v>OPEN</x:v>
      </x:c>
      <x:c r="G1911" t="str">
        <x:v>equals</x:v>
      </x:c>
      <x:c r="H1911" t="str">
        <x:f>IF(E1911=F1911,"PASS","FAIL")</x:f>
        <x:v>PASS</x:v>
      </x:c>
    </x:row>
    <x:row r="1912">
      <x:c r="B1912" t="str">
        <x:v>A-01880</x:v>
      </x:c>
      <x:c r="C1912" t="str">
        <x:v>GATE</x:v>
      </x:c>
      <x:c r="D1912" t="str">
        <x:v>release state mirrors governing ledger</x:v>
      </x:c>
      <x:c r="E1912" t="str">
        <x:f>'Release Gates'!I1886</x:f>
        <x:v>OPEN</x:v>
      </x:c>
      <x:c r="F1912" t="str">
        <x:f>IF('Release Gates'!C1886="PLANNING","PASS",IF('Release Gates'!C1886="PHYSICAL","OPEN","BLOCKED"))</x:f>
        <x:v>OPEN</x:v>
      </x:c>
      <x:c r="G1912" t="str">
        <x:v>equals</x:v>
      </x:c>
      <x:c r="H1912" t="str">
        <x:f>IF(E1912=F1912,"PASS","FAIL")</x:f>
        <x:v>PASS</x:v>
      </x:c>
    </x:row>
    <x:row r="1913">
      <x:c r="B1913" t="str">
        <x:v>A-01881</x:v>
      </x:c>
      <x:c r="C1913" t="str">
        <x:v>GATE</x:v>
      </x:c>
      <x:c r="D1913" t="str">
        <x:v>release state mirrors governing ledger</x:v>
      </x:c>
      <x:c r="E1913" t="str">
        <x:f>'Release Gates'!I1887</x:f>
        <x:v>OPEN</x:v>
      </x:c>
      <x:c r="F1913" t="str">
        <x:f>IF('Release Gates'!C1887="PLANNING","PASS",IF('Release Gates'!C1887="PHYSICAL","OPEN","BLOCKED"))</x:f>
        <x:v>OPEN</x:v>
      </x:c>
      <x:c r="G1913" t="str">
        <x:v>equals</x:v>
      </x:c>
      <x:c r="H1913" t="str">
        <x:f>IF(E1913=F1913,"PASS","FAIL")</x:f>
        <x:v>PASS</x:v>
      </x:c>
    </x:row>
    <x:row r="1914">
      <x:c r="B1914" t="str">
        <x:v>A-01882</x:v>
      </x:c>
      <x:c r="C1914" t="str">
        <x:v>GATE</x:v>
      </x:c>
      <x:c r="D1914" t="str">
        <x:v>release state mirrors governing ledger</x:v>
      </x:c>
      <x:c r="E1914" t="str">
        <x:f>'Release Gates'!I1888</x:f>
        <x:v>OPEN</x:v>
      </x:c>
      <x:c r="F1914" t="str">
        <x:f>IF('Release Gates'!C1888="PLANNING","PASS",IF('Release Gates'!C1888="PHYSICAL","OPEN","BLOCKED"))</x:f>
        <x:v>OPEN</x:v>
      </x:c>
      <x:c r="G1914" t="str">
        <x:v>equals</x:v>
      </x:c>
      <x:c r="H1914" t="str">
        <x:f>IF(E1914=F1914,"PASS","FAIL")</x:f>
        <x:v>PASS</x:v>
      </x:c>
    </x:row>
    <x:row r="1915">
      <x:c r="B1915" t="str">
        <x:v>A-01883</x:v>
      </x:c>
      <x:c r="C1915" t="str">
        <x:v>GATE</x:v>
      </x:c>
      <x:c r="D1915" t="str">
        <x:v>release state mirrors governing ledger</x:v>
      </x:c>
      <x:c r="E1915" t="str">
        <x:f>'Release Gates'!I1889</x:f>
        <x:v>OPEN</x:v>
      </x:c>
      <x:c r="F1915" t="str">
        <x:f>IF('Release Gates'!C1889="PLANNING","PASS",IF('Release Gates'!C1889="PHYSICAL","OPEN","BLOCKED"))</x:f>
        <x:v>OPEN</x:v>
      </x:c>
      <x:c r="G1915" t="str">
        <x:v>equals</x:v>
      </x:c>
      <x:c r="H1915" t="str">
        <x:f>IF(E1915=F1915,"PASS","FAIL")</x:f>
        <x:v>PASS</x:v>
      </x:c>
    </x:row>
    <x:row r="1916">
      <x:c r="B1916" t="str">
        <x:v>A-01884</x:v>
      </x:c>
      <x:c r="C1916" t="str">
        <x:v>GATE</x:v>
      </x:c>
      <x:c r="D1916" t="str">
        <x:v>release state mirrors governing ledger</x:v>
      </x:c>
      <x:c r="E1916" t="str">
        <x:f>'Release Gates'!I1890</x:f>
        <x:v>OPEN</x:v>
      </x:c>
      <x:c r="F1916" t="str">
        <x:f>IF('Release Gates'!C1890="PLANNING","PASS",IF('Release Gates'!C1890="PHYSICAL","OPEN","BLOCKED"))</x:f>
        <x:v>OPEN</x:v>
      </x:c>
      <x:c r="G1916" t="str">
        <x:v>equals</x:v>
      </x:c>
      <x:c r="H1916" t="str">
        <x:f>IF(E1916=F1916,"PASS","FAIL")</x:f>
        <x:v>PASS</x:v>
      </x:c>
    </x:row>
    <x:row r="1917">
      <x:c r="B1917" t="str">
        <x:v>A-01885</x:v>
      </x:c>
      <x:c r="C1917" t="str">
        <x:v>GATE</x:v>
      </x:c>
      <x:c r="D1917" t="str">
        <x:v>release state mirrors governing ledger</x:v>
      </x:c>
      <x:c r="E1917" t="str">
        <x:f>'Release Gates'!I1891</x:f>
        <x:v>OPEN</x:v>
      </x:c>
      <x:c r="F1917" t="str">
        <x:f>IF('Release Gates'!C1891="PLANNING","PASS",IF('Release Gates'!C1891="PHYSICAL","OPEN","BLOCKED"))</x:f>
        <x:v>OPEN</x:v>
      </x:c>
      <x:c r="G1917" t="str">
        <x:v>equals</x:v>
      </x:c>
      <x:c r="H1917" t="str">
        <x:f>IF(E1917=F1917,"PASS","FAIL")</x:f>
        <x:v>PASS</x:v>
      </x:c>
    </x:row>
    <x:row r="1918">
      <x:c r="B1918" t="str">
        <x:v>A-01886</x:v>
      </x:c>
      <x:c r="C1918" t="str">
        <x:v>GATE</x:v>
      </x:c>
      <x:c r="D1918" t="str">
        <x:v>release state mirrors governing ledger</x:v>
      </x:c>
      <x:c r="E1918" t="str">
        <x:f>'Release Gates'!I1892</x:f>
        <x:v>OPEN</x:v>
      </x:c>
      <x:c r="F1918" t="str">
        <x:f>IF('Release Gates'!C1892="PLANNING","PASS",IF('Release Gates'!C1892="PHYSICAL","OPEN","BLOCKED"))</x:f>
        <x:v>OPEN</x:v>
      </x:c>
      <x:c r="G1918" t="str">
        <x:v>equals</x:v>
      </x:c>
      <x:c r="H1918" t="str">
        <x:f>IF(E1918=F1918,"PASS","FAIL")</x:f>
        <x:v>PASS</x:v>
      </x:c>
    </x:row>
    <x:row r="1919">
      <x:c r="B1919" t="str">
        <x:v>A-01887</x:v>
      </x:c>
      <x:c r="C1919" t="str">
        <x:v>GATE</x:v>
      </x:c>
      <x:c r="D1919" t="str">
        <x:v>release state mirrors governing ledger</x:v>
      </x:c>
      <x:c r="E1919" t="str">
        <x:f>'Release Gates'!I1893</x:f>
        <x:v>OPEN</x:v>
      </x:c>
      <x:c r="F1919" t="str">
        <x:f>IF('Release Gates'!C1893="PLANNING","PASS",IF('Release Gates'!C1893="PHYSICAL","OPEN","BLOCKED"))</x:f>
        <x:v>OPEN</x:v>
      </x:c>
      <x:c r="G1919" t="str">
        <x:v>equals</x:v>
      </x:c>
      <x:c r="H1919" t="str">
        <x:f>IF(E1919=F1919,"PASS","FAIL")</x:f>
        <x:v>PASS</x:v>
      </x:c>
    </x:row>
    <x:row r="1920">
      <x:c r="B1920" t="str">
        <x:v>A-01888</x:v>
      </x:c>
      <x:c r="C1920" t="str">
        <x:v>GATE</x:v>
      </x:c>
      <x:c r="D1920" t="str">
        <x:v>release state mirrors governing ledger</x:v>
      </x:c>
      <x:c r="E1920" t="str">
        <x:f>'Release Gates'!I1894</x:f>
        <x:v>OPEN</x:v>
      </x:c>
      <x:c r="F1920" t="str">
        <x:f>IF('Release Gates'!C1894="PLANNING","PASS",IF('Release Gates'!C1894="PHYSICAL","OPEN","BLOCKED"))</x:f>
        <x:v>OPEN</x:v>
      </x:c>
      <x:c r="G1920" t="str">
        <x:v>equals</x:v>
      </x:c>
      <x:c r="H1920" t="str">
        <x:f>IF(E1920=F1920,"PASS","FAIL")</x:f>
        <x:v>PASS</x:v>
      </x:c>
    </x:row>
    <x:row r="1921">
      <x:c r="B1921" t="str">
        <x:v>A-01889</x:v>
      </x:c>
      <x:c r="C1921" t="str">
        <x:v>GATE</x:v>
      </x:c>
      <x:c r="D1921" t="str">
        <x:v>release state mirrors governing ledger</x:v>
      </x:c>
      <x:c r="E1921" t="str">
        <x:f>'Release Gates'!I1895</x:f>
        <x:v>OPEN</x:v>
      </x:c>
      <x:c r="F1921" t="str">
        <x:f>IF('Release Gates'!C1895="PLANNING","PASS",IF('Release Gates'!C1895="PHYSICAL","OPEN","BLOCKED"))</x:f>
        <x:v>OPEN</x:v>
      </x:c>
      <x:c r="G1921" t="str">
        <x:v>equals</x:v>
      </x:c>
      <x:c r="H1921" t="str">
        <x:f>IF(E1921=F1921,"PASS","FAIL")</x:f>
        <x:v>PASS</x:v>
      </x:c>
    </x:row>
    <x:row r="1922">
      <x:c r="B1922" t="str">
        <x:v>A-01890</x:v>
      </x:c>
      <x:c r="C1922" t="str">
        <x:v>GATE</x:v>
      </x:c>
      <x:c r="D1922" t="str">
        <x:v>release state mirrors governing ledger</x:v>
      </x:c>
      <x:c r="E1922" t="str">
        <x:f>'Release Gates'!I1896</x:f>
        <x:v>OPEN</x:v>
      </x:c>
      <x:c r="F1922" t="str">
        <x:f>IF('Release Gates'!C1896="PLANNING","PASS",IF('Release Gates'!C1896="PHYSICAL","OPEN","BLOCKED"))</x:f>
        <x:v>OPEN</x:v>
      </x:c>
      <x:c r="G1922" t="str">
        <x:v>equals</x:v>
      </x:c>
      <x:c r="H1922" t="str">
        <x:f>IF(E1922=F1922,"PASS","FAIL")</x:f>
        <x:v>PASS</x:v>
      </x:c>
    </x:row>
    <x:row r="1923">
      <x:c r="B1923" t="str">
        <x:v>A-01891</x:v>
      </x:c>
      <x:c r="C1923" t="str">
        <x:v>GATE</x:v>
      </x:c>
      <x:c r="D1923" t="str">
        <x:v>release state mirrors governing ledger</x:v>
      </x:c>
      <x:c r="E1923" t="str">
        <x:f>'Release Gates'!I1897</x:f>
        <x:v>OPEN</x:v>
      </x:c>
      <x:c r="F1923" t="str">
        <x:f>IF('Release Gates'!C1897="PLANNING","PASS",IF('Release Gates'!C1897="PHYSICAL","OPEN","BLOCKED"))</x:f>
        <x:v>OPEN</x:v>
      </x:c>
      <x:c r="G1923" t="str">
        <x:v>equals</x:v>
      </x:c>
      <x:c r="H1923" t="str">
        <x:f>IF(E1923=F1923,"PASS","FAIL")</x:f>
        <x:v>PASS</x:v>
      </x:c>
    </x:row>
    <x:row r="1924">
      <x:c r="B1924" t="str">
        <x:v>A-01892</x:v>
      </x:c>
      <x:c r="C1924" t="str">
        <x:v>GATE</x:v>
      </x:c>
      <x:c r="D1924" t="str">
        <x:v>release state mirrors governing ledger</x:v>
      </x:c>
      <x:c r="E1924" t="str">
        <x:f>'Release Gates'!I1898</x:f>
        <x:v>OPEN</x:v>
      </x:c>
      <x:c r="F1924" t="str">
        <x:f>IF('Release Gates'!C1898="PLANNING","PASS",IF('Release Gates'!C1898="PHYSICAL","OPEN","BLOCKED"))</x:f>
        <x:v>OPEN</x:v>
      </x:c>
      <x:c r="G1924" t="str">
        <x:v>equals</x:v>
      </x:c>
      <x:c r="H1924" t="str">
        <x:f>IF(E1924=F1924,"PASS","FAIL")</x:f>
        <x:v>PASS</x:v>
      </x:c>
    </x:row>
    <x:row r="1925">
      <x:c r="B1925" t="str">
        <x:v>A-01893</x:v>
      </x:c>
      <x:c r="C1925" t="str">
        <x:v>GATE</x:v>
      </x:c>
      <x:c r="D1925" t="str">
        <x:v>release state mirrors governing ledger</x:v>
      </x:c>
      <x:c r="E1925" t="str">
        <x:f>'Release Gates'!I1899</x:f>
        <x:v>OPEN</x:v>
      </x:c>
      <x:c r="F1925" t="str">
        <x:f>IF('Release Gates'!C1899="PLANNING","PASS",IF('Release Gates'!C1899="PHYSICAL","OPEN","BLOCKED"))</x:f>
        <x:v>OPEN</x:v>
      </x:c>
      <x:c r="G1925" t="str">
        <x:v>equals</x:v>
      </x:c>
      <x:c r="H1925" t="str">
        <x:f>IF(E1925=F1925,"PASS","FAIL")</x:f>
        <x:v>PASS</x:v>
      </x:c>
    </x:row>
    <x:row r="1926">
      <x:c r="B1926" t="str">
        <x:v>A-01894</x:v>
      </x:c>
      <x:c r="C1926" t="str">
        <x:v>GATE</x:v>
      </x:c>
      <x:c r="D1926" t="str">
        <x:v>release state mirrors governing ledger</x:v>
      </x:c>
      <x:c r="E1926" t="str">
        <x:f>'Release Gates'!I1900</x:f>
        <x:v>OPEN</x:v>
      </x:c>
      <x:c r="F1926" t="str">
        <x:f>IF('Release Gates'!C1900="PLANNING","PASS",IF('Release Gates'!C1900="PHYSICAL","OPEN","BLOCKED"))</x:f>
        <x:v>OPEN</x:v>
      </x:c>
      <x:c r="G1926" t="str">
        <x:v>equals</x:v>
      </x:c>
      <x:c r="H1926" t="str">
        <x:f>IF(E1926=F1926,"PASS","FAIL")</x:f>
        <x:v>PASS</x:v>
      </x:c>
    </x:row>
    <x:row r="1927">
      <x:c r="B1927" t="str">
        <x:v>A-01895</x:v>
      </x:c>
      <x:c r="C1927" t="str">
        <x:v>GATE</x:v>
      </x:c>
      <x:c r="D1927" t="str">
        <x:v>release state mirrors governing ledger</x:v>
      </x:c>
      <x:c r="E1927" t="str">
        <x:f>'Release Gates'!I1901</x:f>
        <x:v>OPEN</x:v>
      </x:c>
      <x:c r="F1927" t="str">
        <x:f>IF('Release Gates'!C1901="PLANNING","PASS",IF('Release Gates'!C1901="PHYSICAL","OPEN","BLOCKED"))</x:f>
        <x:v>OPEN</x:v>
      </x:c>
      <x:c r="G1927" t="str">
        <x:v>equals</x:v>
      </x:c>
      <x:c r="H1927" t="str">
        <x:f>IF(E1927=F1927,"PASS","FAIL")</x:f>
        <x:v>PASS</x:v>
      </x:c>
    </x:row>
    <x:row r="1928">
      <x:c r="B1928" t="str">
        <x:v>A-01896</x:v>
      </x:c>
      <x:c r="C1928" t="str">
        <x:v>GATE</x:v>
      </x:c>
      <x:c r="D1928" t="str">
        <x:v>release state mirrors governing ledger</x:v>
      </x:c>
      <x:c r="E1928" t="str">
        <x:f>'Release Gates'!I1902</x:f>
        <x:v>OPEN</x:v>
      </x:c>
      <x:c r="F1928" t="str">
        <x:f>IF('Release Gates'!C1902="PLANNING","PASS",IF('Release Gates'!C1902="PHYSICAL","OPEN","BLOCKED"))</x:f>
        <x:v>OPEN</x:v>
      </x:c>
      <x:c r="G1928" t="str">
        <x:v>equals</x:v>
      </x:c>
      <x:c r="H1928" t="str">
        <x:f>IF(E1928=F1928,"PASS","FAIL")</x:f>
        <x:v>PASS</x:v>
      </x:c>
    </x:row>
    <x:row r="1929">
      <x:c r="B1929" t="str">
        <x:v>A-01897</x:v>
      </x:c>
      <x:c r="C1929" t="str">
        <x:v>GATE</x:v>
      </x:c>
      <x:c r="D1929" t="str">
        <x:v>release state mirrors governing ledger</x:v>
      </x:c>
      <x:c r="E1929" t="str">
        <x:f>'Release Gates'!I1903</x:f>
        <x:v>OPEN</x:v>
      </x:c>
      <x:c r="F1929" t="str">
        <x:f>IF('Release Gates'!C1903="PLANNING","PASS",IF('Release Gates'!C1903="PHYSICAL","OPEN","BLOCKED"))</x:f>
        <x:v>OPEN</x:v>
      </x:c>
      <x:c r="G1929" t="str">
        <x:v>equals</x:v>
      </x:c>
      <x:c r="H1929" t="str">
        <x:f>IF(E1929=F1929,"PASS","FAIL")</x:f>
        <x:v>PASS</x:v>
      </x:c>
    </x:row>
    <x:row r="1930">
      <x:c r="B1930" t="str">
        <x:v>A-01898</x:v>
      </x:c>
      <x:c r="C1930" t="str">
        <x:v>GATE</x:v>
      </x:c>
      <x:c r="D1930" t="str">
        <x:v>release state mirrors governing ledger</x:v>
      </x:c>
      <x:c r="E1930" t="str">
        <x:f>'Release Gates'!I1904</x:f>
        <x:v>OPEN</x:v>
      </x:c>
      <x:c r="F1930" t="str">
        <x:f>IF('Release Gates'!C1904="PLANNING","PASS",IF('Release Gates'!C1904="PHYSICAL","OPEN","BLOCKED"))</x:f>
        <x:v>OPEN</x:v>
      </x:c>
      <x:c r="G1930" t="str">
        <x:v>equals</x:v>
      </x:c>
      <x:c r="H1930" t="str">
        <x:f>IF(E1930=F1930,"PASS","FAIL")</x:f>
        <x:v>PASS</x:v>
      </x:c>
    </x:row>
    <x:row r="1931">
      <x:c r="B1931" t="str">
        <x:v>A-01899</x:v>
      </x:c>
      <x:c r="C1931" t="str">
        <x:v>GATE</x:v>
      </x:c>
      <x:c r="D1931" t="str">
        <x:v>release state mirrors governing ledger</x:v>
      </x:c>
      <x:c r="E1931" t="str">
        <x:f>'Release Gates'!I1905</x:f>
        <x:v>OPEN</x:v>
      </x:c>
      <x:c r="F1931" t="str">
        <x:f>IF('Release Gates'!C1905="PLANNING","PASS",IF('Release Gates'!C1905="PHYSICAL","OPEN","BLOCKED"))</x:f>
        <x:v>OPEN</x:v>
      </x:c>
      <x:c r="G1931" t="str">
        <x:v>equals</x:v>
      </x:c>
      <x:c r="H1931" t="str">
        <x:f>IF(E1931=F1931,"PASS","FAIL")</x:f>
        <x:v>PASS</x:v>
      </x:c>
    </x:row>
    <x:row r="1932">
      <x:c r="B1932" t="str">
        <x:v>A-01900</x:v>
      </x:c>
      <x:c r="C1932" t="str">
        <x:v>GATE</x:v>
      </x:c>
      <x:c r="D1932" t="str">
        <x:v>release state mirrors governing ledger</x:v>
      </x:c>
      <x:c r="E1932" t="str">
        <x:f>'Release Gates'!I1906</x:f>
        <x:v>OPEN</x:v>
      </x:c>
      <x:c r="F1932" t="str">
        <x:f>IF('Release Gates'!C1906="PLANNING","PASS",IF('Release Gates'!C1906="PHYSICAL","OPEN","BLOCKED"))</x:f>
        <x:v>OPEN</x:v>
      </x:c>
      <x:c r="G1932" t="str">
        <x:v>equals</x:v>
      </x:c>
      <x:c r="H1932" t="str">
        <x:f>IF(E1932=F1932,"PASS","FAIL")</x:f>
        <x:v>PASS</x:v>
      </x:c>
    </x:row>
    <x:row r="1933">
      <x:c r="B1933" t="str">
        <x:v>A-01901</x:v>
      </x:c>
      <x:c r="C1933" t="str">
        <x:v>GATE</x:v>
      </x:c>
      <x:c r="D1933" t="str">
        <x:v>release state mirrors governing ledger</x:v>
      </x:c>
      <x:c r="E1933" t="str">
        <x:f>'Release Gates'!I1907</x:f>
        <x:v>OPEN</x:v>
      </x:c>
      <x:c r="F1933" t="str">
        <x:f>IF('Release Gates'!C1907="PLANNING","PASS",IF('Release Gates'!C1907="PHYSICAL","OPEN","BLOCKED"))</x:f>
        <x:v>OPEN</x:v>
      </x:c>
      <x:c r="G1933" t="str">
        <x:v>equals</x:v>
      </x:c>
      <x:c r="H1933" t="str">
        <x:f>IF(E1933=F1933,"PASS","FAIL")</x:f>
        <x:v>PASS</x:v>
      </x:c>
    </x:row>
    <x:row r="1934">
      <x:c r="B1934" t="str">
        <x:v>A-01902</x:v>
      </x:c>
      <x:c r="C1934" t="str">
        <x:v>GATE</x:v>
      </x:c>
      <x:c r="D1934" t="str">
        <x:v>release state mirrors governing ledger</x:v>
      </x:c>
      <x:c r="E1934" t="str">
        <x:f>'Release Gates'!I1908</x:f>
        <x:v>OPEN</x:v>
      </x:c>
      <x:c r="F1934" t="str">
        <x:f>IF('Release Gates'!C1908="PLANNING","PASS",IF('Release Gates'!C1908="PHYSICAL","OPEN","BLOCKED"))</x:f>
        <x:v>OPEN</x:v>
      </x:c>
      <x:c r="G1934" t="str">
        <x:v>equals</x:v>
      </x:c>
      <x:c r="H1934" t="str">
        <x:f>IF(E1934=F1934,"PASS","FAIL")</x:f>
        <x:v>PASS</x:v>
      </x:c>
    </x:row>
    <x:row r="1935">
      <x:c r="B1935" t="str">
        <x:v>A-01903</x:v>
      </x:c>
      <x:c r="C1935" t="str">
        <x:v>GATE</x:v>
      </x:c>
      <x:c r="D1935" t="str">
        <x:v>release state mirrors governing ledger</x:v>
      </x:c>
      <x:c r="E1935" t="str">
        <x:f>'Release Gates'!I1909</x:f>
        <x:v>OPEN</x:v>
      </x:c>
      <x:c r="F1935" t="str">
        <x:f>IF('Release Gates'!C1909="PLANNING","PASS",IF('Release Gates'!C1909="PHYSICAL","OPEN","BLOCKED"))</x:f>
        <x:v>OPEN</x:v>
      </x:c>
      <x:c r="G1935" t="str">
        <x:v>equals</x:v>
      </x:c>
      <x:c r="H1935" t="str">
        <x:f>IF(E1935=F1935,"PASS","FAIL")</x:f>
        <x:v>PASS</x:v>
      </x:c>
    </x:row>
    <x:row r="1936">
      <x:c r="B1936" t="str">
        <x:v>A-01904</x:v>
      </x:c>
      <x:c r="C1936" t="str">
        <x:v>GATE</x:v>
      </x:c>
      <x:c r="D1936" t="str">
        <x:v>release state mirrors governing ledger</x:v>
      </x:c>
      <x:c r="E1936" t="str">
        <x:f>'Release Gates'!I1910</x:f>
        <x:v>OPEN</x:v>
      </x:c>
      <x:c r="F1936" t="str">
        <x:f>IF('Release Gates'!C1910="PLANNING","PASS",IF('Release Gates'!C1910="PHYSICAL","OPEN","BLOCKED"))</x:f>
        <x:v>OPEN</x:v>
      </x:c>
      <x:c r="G1936" t="str">
        <x:v>equals</x:v>
      </x:c>
      <x:c r="H1936" t="str">
        <x:f>IF(E1936=F1936,"PASS","FAIL")</x:f>
        <x:v>PASS</x:v>
      </x:c>
    </x:row>
    <x:row r="1937">
      <x:c r="B1937" t="str">
        <x:v>A-01905</x:v>
      </x:c>
      <x:c r="C1937" t="str">
        <x:v>GATE</x:v>
      </x:c>
      <x:c r="D1937" t="str">
        <x:v>release state mirrors governing ledger</x:v>
      </x:c>
      <x:c r="E1937" t="str">
        <x:f>'Release Gates'!I1911</x:f>
        <x:v>OPEN</x:v>
      </x:c>
      <x:c r="F1937" t="str">
        <x:f>IF('Release Gates'!C1911="PLANNING","PASS",IF('Release Gates'!C1911="PHYSICAL","OPEN","BLOCKED"))</x:f>
        <x:v>OPEN</x:v>
      </x:c>
      <x:c r="G1937" t="str">
        <x:v>equals</x:v>
      </x:c>
      <x:c r="H1937" t="str">
        <x:f>IF(E1937=F1937,"PASS","FAIL")</x:f>
        <x:v>PASS</x:v>
      </x:c>
    </x:row>
    <x:row r="1938">
      <x:c r="B1938" t="str">
        <x:v>A-01906</x:v>
      </x:c>
      <x:c r="C1938" t="str">
        <x:v>GATE</x:v>
      </x:c>
      <x:c r="D1938" t="str">
        <x:v>release state mirrors governing ledger</x:v>
      </x:c>
      <x:c r="E1938" t="str">
        <x:f>'Release Gates'!I1912</x:f>
        <x:v>OPEN</x:v>
      </x:c>
      <x:c r="F1938" t="str">
        <x:f>IF('Release Gates'!C1912="PLANNING","PASS",IF('Release Gates'!C1912="PHYSICAL","OPEN","BLOCKED"))</x:f>
        <x:v>OPEN</x:v>
      </x:c>
      <x:c r="G1938" t="str">
        <x:v>equals</x:v>
      </x:c>
      <x:c r="H1938" t="str">
        <x:f>IF(E1938=F1938,"PASS","FAIL")</x:f>
        <x:v>PASS</x:v>
      </x:c>
    </x:row>
    <x:row r="1939">
      <x:c r="B1939" t="str">
        <x:v>A-01907</x:v>
      </x:c>
      <x:c r="C1939" t="str">
        <x:v>GATE</x:v>
      </x:c>
      <x:c r="D1939" t="str">
        <x:v>release state mirrors governing ledger</x:v>
      </x:c>
      <x:c r="E1939" t="str">
        <x:f>'Release Gates'!I1913</x:f>
        <x:v>OPEN</x:v>
      </x:c>
      <x:c r="F1939" t="str">
        <x:f>IF('Release Gates'!C1913="PLANNING","PASS",IF('Release Gates'!C1913="PHYSICAL","OPEN","BLOCKED"))</x:f>
        <x:v>OPEN</x:v>
      </x:c>
      <x:c r="G1939" t="str">
        <x:v>equals</x:v>
      </x:c>
      <x:c r="H1939" t="str">
        <x:f>IF(E1939=F1939,"PASS","FAIL")</x:f>
        <x:v>PASS</x:v>
      </x:c>
    </x:row>
    <x:row r="1940">
      <x:c r="B1940" t="str">
        <x:v>A-01908</x:v>
      </x:c>
      <x:c r="C1940" t="str">
        <x:v>GATE</x:v>
      </x:c>
      <x:c r="D1940" t="str">
        <x:v>release state mirrors governing ledger</x:v>
      </x:c>
      <x:c r="E1940" t="str">
        <x:f>'Release Gates'!I1914</x:f>
        <x:v>OPEN</x:v>
      </x:c>
      <x:c r="F1940" t="str">
        <x:f>IF('Release Gates'!C1914="PLANNING","PASS",IF('Release Gates'!C1914="PHYSICAL","OPEN","BLOCKED"))</x:f>
        <x:v>OPEN</x:v>
      </x:c>
      <x:c r="G1940" t="str">
        <x:v>equals</x:v>
      </x:c>
      <x:c r="H1940" t="str">
        <x:f>IF(E1940=F1940,"PASS","FAIL")</x:f>
        <x:v>PASS</x:v>
      </x:c>
    </x:row>
    <x:row r="1941">
      <x:c r="B1941" t="str">
        <x:v>A-01909</x:v>
      </x:c>
      <x:c r="C1941" t="str">
        <x:v>GATE</x:v>
      </x:c>
      <x:c r="D1941" t="str">
        <x:v>release state mirrors governing ledger</x:v>
      </x:c>
      <x:c r="E1941" t="str">
        <x:f>'Release Gates'!I1915</x:f>
        <x:v>OPEN</x:v>
      </x:c>
      <x:c r="F1941" t="str">
        <x:f>IF('Release Gates'!C1915="PLANNING","PASS",IF('Release Gates'!C1915="PHYSICAL","OPEN","BLOCKED"))</x:f>
        <x:v>OPEN</x:v>
      </x:c>
      <x:c r="G1941" t="str">
        <x:v>equals</x:v>
      </x:c>
      <x:c r="H1941" t="str">
        <x:f>IF(E1941=F1941,"PASS","FAIL")</x:f>
        <x:v>PASS</x:v>
      </x:c>
    </x:row>
    <x:row r="1942">
      <x:c r="B1942" t="str">
        <x:v>A-01910</x:v>
      </x:c>
      <x:c r="C1942" t="str">
        <x:v>GATE</x:v>
      </x:c>
      <x:c r="D1942" t="str">
        <x:v>release state mirrors governing ledger</x:v>
      </x:c>
      <x:c r="E1942" t="str">
        <x:f>'Release Gates'!I1916</x:f>
        <x:v>OPEN</x:v>
      </x:c>
      <x:c r="F1942" t="str">
        <x:f>IF('Release Gates'!C1916="PLANNING","PASS",IF('Release Gates'!C1916="PHYSICAL","OPEN","BLOCKED"))</x:f>
        <x:v>OPEN</x:v>
      </x:c>
      <x:c r="G1942" t="str">
        <x:v>equals</x:v>
      </x:c>
      <x:c r="H1942" t="str">
        <x:f>IF(E1942=F1942,"PASS","FAIL")</x:f>
        <x:v>PASS</x:v>
      </x:c>
    </x:row>
    <x:row r="1943">
      <x:c r="B1943" t="str">
        <x:v>A-01911</x:v>
      </x:c>
      <x:c r="C1943" t="str">
        <x:v>GATE</x:v>
      </x:c>
      <x:c r="D1943" t="str">
        <x:v>release state mirrors governing ledger</x:v>
      </x:c>
      <x:c r="E1943" t="str">
        <x:f>'Release Gates'!I1917</x:f>
        <x:v>OPEN</x:v>
      </x:c>
      <x:c r="F1943" t="str">
        <x:f>IF('Release Gates'!C1917="PLANNING","PASS",IF('Release Gates'!C1917="PHYSICAL","OPEN","BLOCKED"))</x:f>
        <x:v>OPEN</x:v>
      </x:c>
      <x:c r="G1943" t="str">
        <x:v>equals</x:v>
      </x:c>
      <x:c r="H1943" t="str">
        <x:f>IF(E1943=F1943,"PASS","FAIL")</x:f>
        <x:v>PASS</x:v>
      </x:c>
    </x:row>
    <x:row r="1944">
      <x:c r="B1944" t="str">
        <x:v>A-01912</x:v>
      </x:c>
      <x:c r="C1944" t="str">
        <x:v>GATE</x:v>
      </x:c>
      <x:c r="D1944" t="str">
        <x:v>release state mirrors governing ledger</x:v>
      </x:c>
      <x:c r="E1944" t="str">
        <x:f>'Release Gates'!I1918</x:f>
        <x:v>OPEN</x:v>
      </x:c>
      <x:c r="F1944" t="str">
        <x:f>IF('Release Gates'!C1918="PLANNING","PASS",IF('Release Gates'!C1918="PHYSICAL","OPEN","BLOCKED"))</x:f>
        <x:v>OPEN</x:v>
      </x:c>
      <x:c r="G1944" t="str">
        <x:v>equals</x:v>
      </x:c>
      <x:c r="H1944" t="str">
        <x:f>IF(E1944=F1944,"PASS","FAIL")</x:f>
        <x:v>PASS</x:v>
      </x:c>
    </x:row>
    <x:row r="1945">
      <x:c r="B1945" t="str">
        <x:v>A-01913</x:v>
      </x:c>
      <x:c r="C1945" t="str">
        <x:v>GATE</x:v>
      </x:c>
      <x:c r="D1945" t="str">
        <x:v>release state mirrors governing ledger</x:v>
      </x:c>
      <x:c r="E1945" t="str">
        <x:f>'Release Gates'!I1919</x:f>
        <x:v>OPEN</x:v>
      </x:c>
      <x:c r="F1945" t="str">
        <x:f>IF('Release Gates'!C1919="PLANNING","PASS",IF('Release Gates'!C1919="PHYSICAL","OPEN","BLOCKED"))</x:f>
        <x:v>OPEN</x:v>
      </x:c>
      <x:c r="G1945" t="str">
        <x:v>equals</x:v>
      </x:c>
      <x:c r="H1945" t="str">
        <x:f>IF(E1945=F1945,"PASS","FAIL")</x:f>
        <x:v>PASS</x:v>
      </x:c>
    </x:row>
    <x:row r="1946">
      <x:c r="B1946" t="str">
        <x:v>A-01914</x:v>
      </x:c>
      <x:c r="C1946" t="str">
        <x:v>GATE</x:v>
      </x:c>
      <x:c r="D1946" t="str">
        <x:v>release state mirrors governing ledger</x:v>
      </x:c>
      <x:c r="E1946" t="str">
        <x:f>'Release Gates'!I1920</x:f>
        <x:v>OPEN</x:v>
      </x:c>
      <x:c r="F1946" t="str">
        <x:f>IF('Release Gates'!C1920="PLANNING","PASS",IF('Release Gates'!C1920="PHYSICAL","OPEN","BLOCKED"))</x:f>
        <x:v>OPEN</x:v>
      </x:c>
      <x:c r="G1946" t="str">
        <x:v>equals</x:v>
      </x:c>
      <x:c r="H1946" t="str">
        <x:f>IF(E1946=F1946,"PASS","FAIL")</x:f>
        <x:v>PASS</x:v>
      </x:c>
    </x:row>
    <x:row r="1947">
      <x:c r="B1947" t="str">
        <x:v>A-01915</x:v>
      </x:c>
      <x:c r="C1947" t="str">
        <x:v>GATE</x:v>
      </x:c>
      <x:c r="D1947" t="str">
        <x:v>release state mirrors governing ledger</x:v>
      </x:c>
      <x:c r="E1947" t="str">
        <x:f>'Release Gates'!I1921</x:f>
        <x:v>OPEN</x:v>
      </x:c>
      <x:c r="F1947" t="str">
        <x:f>IF('Release Gates'!C1921="PLANNING","PASS",IF('Release Gates'!C1921="PHYSICAL","OPEN","BLOCKED"))</x:f>
        <x:v>OPEN</x:v>
      </x:c>
      <x:c r="G1947" t="str">
        <x:v>equals</x:v>
      </x:c>
      <x:c r="H1947" t="str">
        <x:f>IF(E1947=F1947,"PASS","FAIL")</x:f>
        <x:v>PASS</x:v>
      </x:c>
    </x:row>
    <x:row r="1948">
      <x:c r="B1948" t="str">
        <x:v>A-01916</x:v>
      </x:c>
      <x:c r="C1948" t="str">
        <x:v>GATE</x:v>
      </x:c>
      <x:c r="D1948" t="str">
        <x:v>release state mirrors governing ledger</x:v>
      </x:c>
      <x:c r="E1948" t="str">
        <x:f>'Release Gates'!I1922</x:f>
        <x:v>OPEN</x:v>
      </x:c>
      <x:c r="F1948" t="str">
        <x:f>IF('Release Gates'!C1922="PLANNING","PASS",IF('Release Gates'!C1922="PHYSICAL","OPEN","BLOCKED"))</x:f>
        <x:v>OPEN</x:v>
      </x:c>
      <x:c r="G1948" t="str">
        <x:v>equals</x:v>
      </x:c>
      <x:c r="H1948" t="str">
        <x:f>IF(E1948=F1948,"PASS","FAIL")</x:f>
        <x:v>PASS</x:v>
      </x:c>
    </x:row>
    <x:row r="1949">
      <x:c r="B1949" t="str">
        <x:v>A-01917</x:v>
      </x:c>
      <x:c r="C1949" t="str">
        <x:v>GATE</x:v>
      </x:c>
      <x:c r="D1949" t="str">
        <x:v>release state mirrors governing ledger</x:v>
      </x:c>
      <x:c r="E1949" t="str">
        <x:f>'Release Gates'!I1923</x:f>
        <x:v>OPEN</x:v>
      </x:c>
      <x:c r="F1949" t="str">
        <x:f>IF('Release Gates'!C1923="PLANNING","PASS",IF('Release Gates'!C1923="PHYSICAL","OPEN","BLOCKED"))</x:f>
        <x:v>OPEN</x:v>
      </x:c>
      <x:c r="G1949" t="str">
        <x:v>equals</x:v>
      </x:c>
      <x:c r="H1949" t="str">
        <x:f>IF(E1949=F1949,"PASS","FAIL")</x:f>
        <x:v>PASS</x:v>
      </x:c>
    </x:row>
    <x:row r="1950">
      <x:c r="B1950" t="str">
        <x:v>A-01918</x:v>
      </x:c>
      <x:c r="C1950" t="str">
        <x:v>GATE</x:v>
      </x:c>
      <x:c r="D1950" t="str">
        <x:v>release state mirrors governing ledger</x:v>
      </x:c>
      <x:c r="E1950" t="str">
        <x:f>'Release Gates'!I1924</x:f>
        <x:v>OPEN</x:v>
      </x:c>
      <x:c r="F1950" t="str">
        <x:f>IF('Release Gates'!C1924="PLANNING","PASS",IF('Release Gates'!C1924="PHYSICAL","OPEN","BLOCKED"))</x:f>
        <x:v>OPEN</x:v>
      </x:c>
      <x:c r="G1950" t="str">
        <x:v>equals</x:v>
      </x:c>
      <x:c r="H1950" t="str">
        <x:f>IF(E1950=F1950,"PASS","FAIL")</x:f>
        <x:v>PASS</x:v>
      </x:c>
    </x:row>
    <x:row r="1951">
      <x:c r="B1951" t="str">
        <x:v>A-01919</x:v>
      </x:c>
      <x:c r="C1951" t="str">
        <x:v>GATE</x:v>
      </x:c>
      <x:c r="D1951" t="str">
        <x:v>release state mirrors governing ledger</x:v>
      </x:c>
      <x:c r="E1951" t="str">
        <x:f>'Release Gates'!I1925</x:f>
        <x:v>OPEN</x:v>
      </x:c>
      <x:c r="F1951" t="str">
        <x:f>IF('Release Gates'!C1925="PLANNING","PASS",IF('Release Gates'!C1925="PHYSICAL","OPEN","BLOCKED"))</x:f>
        <x:v>OPEN</x:v>
      </x:c>
      <x:c r="G1951" t="str">
        <x:v>equals</x:v>
      </x:c>
      <x:c r="H1951" t="str">
        <x:f>IF(E1951=F1951,"PASS","FAIL")</x:f>
        <x:v>PASS</x:v>
      </x:c>
    </x:row>
    <x:row r="1952">
      <x:c r="B1952" t="str">
        <x:v>A-01920</x:v>
      </x:c>
      <x:c r="C1952" t="str">
        <x:v>GATE</x:v>
      </x:c>
      <x:c r="D1952" t="str">
        <x:v>release state mirrors governing ledger</x:v>
      </x:c>
      <x:c r="E1952" t="str">
        <x:f>'Release Gates'!I1926</x:f>
        <x:v>OPEN</x:v>
      </x:c>
      <x:c r="F1952" t="str">
        <x:f>IF('Release Gates'!C1926="PLANNING","PASS",IF('Release Gates'!C1926="PHYSICAL","OPEN","BLOCKED"))</x:f>
        <x:v>OPEN</x:v>
      </x:c>
      <x:c r="G1952" t="str">
        <x:v>equals</x:v>
      </x:c>
      <x:c r="H1952" t="str">
        <x:f>IF(E1952=F1952,"PASS","FAIL")</x:f>
        <x:v>PASS</x:v>
      </x:c>
    </x:row>
    <x:row r="1953">
      <x:c r="B1953" t="str">
        <x:v>A-01921</x:v>
      </x:c>
      <x:c r="C1953" t="str">
        <x:v>GATE</x:v>
      </x:c>
      <x:c r="D1953" t="str">
        <x:v>release state mirrors governing ledger</x:v>
      </x:c>
      <x:c r="E1953" t="str">
        <x:f>'Release Gates'!I1927</x:f>
        <x:v>OPEN</x:v>
      </x:c>
      <x:c r="F1953" t="str">
        <x:f>IF('Release Gates'!C1927="PLANNING","PASS",IF('Release Gates'!C1927="PHYSICAL","OPEN","BLOCKED"))</x:f>
        <x:v>OPEN</x:v>
      </x:c>
      <x:c r="G1953" t="str">
        <x:v>equals</x:v>
      </x:c>
      <x:c r="H1953" t="str">
        <x:f>IF(E1953=F1953,"PASS","FAIL")</x:f>
        <x:v>PASS</x:v>
      </x:c>
    </x:row>
    <x:row r="1954">
      <x:c r="B1954" t="str">
        <x:v>A-01922</x:v>
      </x:c>
      <x:c r="C1954" t="str">
        <x:v>GATE</x:v>
      </x:c>
      <x:c r="D1954" t="str">
        <x:v>release state mirrors governing ledger</x:v>
      </x:c>
      <x:c r="E1954" t="str">
        <x:f>'Release Gates'!I1928</x:f>
        <x:v>OPEN</x:v>
      </x:c>
      <x:c r="F1954" t="str">
        <x:f>IF('Release Gates'!C1928="PLANNING","PASS",IF('Release Gates'!C1928="PHYSICAL","OPEN","BLOCKED"))</x:f>
        <x:v>OPEN</x:v>
      </x:c>
      <x:c r="G1954" t="str">
        <x:v>equals</x:v>
      </x:c>
      <x:c r="H1954" t="str">
        <x:f>IF(E1954=F1954,"PASS","FAIL")</x:f>
        <x:v>PASS</x:v>
      </x:c>
    </x:row>
    <x:row r="1955">
      <x:c r="B1955" t="str">
        <x:v>A-01923</x:v>
      </x:c>
      <x:c r="C1955" t="str">
        <x:v>GATE</x:v>
      </x:c>
      <x:c r="D1955" t="str">
        <x:v>release state mirrors governing ledger</x:v>
      </x:c>
      <x:c r="E1955" t="str">
        <x:f>'Release Gates'!I1929</x:f>
        <x:v>OPEN</x:v>
      </x:c>
      <x:c r="F1955" t="str">
        <x:f>IF('Release Gates'!C1929="PLANNING","PASS",IF('Release Gates'!C1929="PHYSICAL","OPEN","BLOCKED"))</x:f>
        <x:v>OPEN</x:v>
      </x:c>
      <x:c r="G1955" t="str">
        <x:v>equals</x:v>
      </x:c>
      <x:c r="H1955" t="str">
        <x:f>IF(E1955=F1955,"PASS","FAIL")</x:f>
        <x:v>PASS</x:v>
      </x:c>
    </x:row>
    <x:row r="1956">
      <x:c r="B1956" t="str">
        <x:v>A-01924</x:v>
      </x:c>
      <x:c r="C1956" t="str">
        <x:v>GATE</x:v>
      </x:c>
      <x:c r="D1956" t="str">
        <x:v>release state mirrors governing ledger</x:v>
      </x:c>
      <x:c r="E1956" t="str">
        <x:f>'Release Gates'!I1930</x:f>
        <x:v>OPEN</x:v>
      </x:c>
      <x:c r="F1956" t="str">
        <x:f>IF('Release Gates'!C1930="PLANNING","PASS",IF('Release Gates'!C1930="PHYSICAL","OPEN","BLOCKED"))</x:f>
        <x:v>OPEN</x:v>
      </x:c>
      <x:c r="G1956" t="str">
        <x:v>equals</x:v>
      </x:c>
      <x:c r="H1956" t="str">
        <x:f>IF(E1956=F1956,"PASS","FAIL")</x:f>
        <x:v>PASS</x:v>
      </x:c>
    </x:row>
    <x:row r="1957">
      <x:c r="B1957" t="str">
        <x:v>A-01925</x:v>
      </x:c>
      <x:c r="C1957" t="str">
        <x:v>GATE</x:v>
      </x:c>
      <x:c r="D1957" t="str">
        <x:v>release state mirrors governing ledger</x:v>
      </x:c>
      <x:c r="E1957" t="str">
        <x:f>'Release Gates'!I1931</x:f>
        <x:v>OPEN</x:v>
      </x:c>
      <x:c r="F1957" t="str">
        <x:f>IF('Release Gates'!C1931="PLANNING","PASS",IF('Release Gates'!C1931="PHYSICAL","OPEN","BLOCKED"))</x:f>
        <x:v>OPEN</x:v>
      </x:c>
      <x:c r="G1957" t="str">
        <x:v>equals</x:v>
      </x:c>
      <x:c r="H1957" t="str">
        <x:f>IF(E1957=F1957,"PASS","FAIL")</x:f>
        <x:v>PASS</x:v>
      </x:c>
    </x:row>
    <x:row r="1958">
      <x:c r="B1958" t="str">
        <x:v>A-01926</x:v>
      </x:c>
      <x:c r="C1958" t="str">
        <x:v>GATE</x:v>
      </x:c>
      <x:c r="D1958" t="str">
        <x:v>release state mirrors governing ledger</x:v>
      </x:c>
      <x:c r="E1958" t="str">
        <x:f>'Release Gates'!I1932</x:f>
        <x:v>OPEN</x:v>
      </x:c>
      <x:c r="F1958" t="str">
        <x:f>IF('Release Gates'!C1932="PLANNING","PASS",IF('Release Gates'!C1932="PHYSICAL","OPEN","BLOCKED"))</x:f>
        <x:v>OPEN</x:v>
      </x:c>
      <x:c r="G1958" t="str">
        <x:v>equals</x:v>
      </x:c>
      <x:c r="H1958" t="str">
        <x:f>IF(E1958=F1958,"PASS","FAIL")</x:f>
        <x:v>PASS</x:v>
      </x:c>
    </x:row>
    <x:row r="1959">
      <x:c r="B1959" t="str">
        <x:v>A-01927</x:v>
      </x:c>
      <x:c r="C1959" t="str">
        <x:v>GATE</x:v>
      </x:c>
      <x:c r="D1959" t="str">
        <x:v>release state mirrors governing ledger</x:v>
      </x:c>
      <x:c r="E1959" t="str">
        <x:f>'Release Gates'!I1933</x:f>
        <x:v>OPEN</x:v>
      </x:c>
      <x:c r="F1959" t="str">
        <x:f>IF('Release Gates'!C1933="PLANNING","PASS",IF('Release Gates'!C1933="PHYSICAL","OPEN","BLOCKED"))</x:f>
        <x:v>OPEN</x:v>
      </x:c>
      <x:c r="G1959" t="str">
        <x:v>equals</x:v>
      </x:c>
      <x:c r="H1959" t="str">
        <x:f>IF(E1959=F1959,"PASS","FAIL")</x:f>
        <x:v>PASS</x:v>
      </x:c>
    </x:row>
    <x:row r="1960">
      <x:c r="B1960" t="str">
        <x:v>A-01928</x:v>
      </x:c>
      <x:c r="C1960" t="str">
        <x:v>GATE</x:v>
      </x:c>
      <x:c r="D1960" t="str">
        <x:v>release state mirrors governing ledger</x:v>
      </x:c>
      <x:c r="E1960" t="str">
        <x:f>'Release Gates'!I1934</x:f>
        <x:v>OPEN</x:v>
      </x:c>
      <x:c r="F1960" t="str">
        <x:f>IF('Release Gates'!C1934="PLANNING","PASS",IF('Release Gates'!C1934="PHYSICAL","OPEN","BLOCKED"))</x:f>
        <x:v>OPEN</x:v>
      </x:c>
      <x:c r="G1960" t="str">
        <x:v>equals</x:v>
      </x:c>
      <x:c r="H1960" t="str">
        <x:f>IF(E1960=F1960,"PASS","FAIL")</x:f>
        <x:v>PASS</x:v>
      </x:c>
    </x:row>
    <x:row r="1961">
      <x:c r="B1961" t="str">
        <x:v>A-01929</x:v>
      </x:c>
      <x:c r="C1961" t="str">
        <x:v>GATE</x:v>
      </x:c>
      <x:c r="D1961" t="str">
        <x:v>release state mirrors governing ledger</x:v>
      </x:c>
      <x:c r="E1961" t="str">
        <x:f>'Release Gates'!I1935</x:f>
        <x:v>OPEN</x:v>
      </x:c>
      <x:c r="F1961" t="str">
        <x:f>IF('Release Gates'!C1935="PLANNING","PASS",IF('Release Gates'!C1935="PHYSICAL","OPEN","BLOCKED"))</x:f>
        <x:v>OPEN</x:v>
      </x:c>
      <x:c r="G1961" t="str">
        <x:v>equals</x:v>
      </x:c>
      <x:c r="H1961" t="str">
        <x:f>IF(E1961=F1961,"PASS","FAIL")</x:f>
        <x:v>PASS</x:v>
      </x:c>
    </x:row>
    <x:row r="1962">
      <x:c r="B1962" t="str">
        <x:v>A-01930</x:v>
      </x:c>
      <x:c r="C1962" t="str">
        <x:v>GATE</x:v>
      </x:c>
      <x:c r="D1962" t="str">
        <x:v>release state mirrors governing ledger</x:v>
      </x:c>
      <x:c r="E1962" t="str">
        <x:f>'Release Gates'!I1936</x:f>
        <x:v>OPEN</x:v>
      </x:c>
      <x:c r="F1962" t="str">
        <x:f>IF('Release Gates'!C1936="PLANNING","PASS",IF('Release Gates'!C1936="PHYSICAL","OPEN","BLOCKED"))</x:f>
        <x:v>OPEN</x:v>
      </x:c>
      <x:c r="G1962" t="str">
        <x:v>equals</x:v>
      </x:c>
      <x:c r="H1962" t="str">
        <x:f>IF(E1962=F1962,"PASS","FAIL")</x:f>
        <x:v>PASS</x:v>
      </x:c>
    </x:row>
    <x:row r="1963">
      <x:c r="B1963" t="str">
        <x:v>A-01931</x:v>
      </x:c>
      <x:c r="C1963" t="str">
        <x:v>GATE</x:v>
      </x:c>
      <x:c r="D1963" t="str">
        <x:v>release state mirrors governing ledger</x:v>
      </x:c>
      <x:c r="E1963" t="str">
        <x:f>'Release Gates'!I1937</x:f>
        <x:v>OPEN</x:v>
      </x:c>
      <x:c r="F1963" t="str">
        <x:f>IF('Release Gates'!C1937="PLANNING","PASS",IF('Release Gates'!C1937="PHYSICAL","OPEN","BLOCKED"))</x:f>
        <x:v>OPEN</x:v>
      </x:c>
      <x:c r="G1963" t="str">
        <x:v>equals</x:v>
      </x:c>
      <x:c r="H1963" t="str">
        <x:f>IF(E1963=F1963,"PASS","FAIL")</x:f>
        <x:v>PASS</x:v>
      </x:c>
    </x:row>
    <x:row r="1964">
      <x:c r="B1964" t="str">
        <x:v>A-01932</x:v>
      </x:c>
      <x:c r="C1964" t="str">
        <x:v>GATE</x:v>
      </x:c>
      <x:c r="D1964" t="str">
        <x:v>release state mirrors governing ledger</x:v>
      </x:c>
      <x:c r="E1964" t="str">
        <x:f>'Release Gates'!I1938</x:f>
        <x:v>OPEN</x:v>
      </x:c>
      <x:c r="F1964" t="str">
        <x:f>IF('Release Gates'!C1938="PLANNING","PASS",IF('Release Gates'!C1938="PHYSICAL","OPEN","BLOCKED"))</x:f>
        <x:v>OPEN</x:v>
      </x:c>
      <x:c r="G1964" t="str">
        <x:v>equals</x:v>
      </x:c>
      <x:c r="H1964" t="str">
        <x:f>IF(E1964=F1964,"PASS","FAIL")</x:f>
        <x:v>PASS</x:v>
      </x:c>
    </x:row>
    <x:row r="1965">
      <x:c r="B1965" t="str">
        <x:v>A-01933</x:v>
      </x:c>
      <x:c r="C1965" t="str">
        <x:v>GATE</x:v>
      </x:c>
      <x:c r="D1965" t="str">
        <x:v>release state mirrors governing ledger</x:v>
      </x:c>
      <x:c r="E1965" t="str">
        <x:f>'Release Gates'!I1939</x:f>
        <x:v>OPEN</x:v>
      </x:c>
      <x:c r="F1965" t="str">
        <x:f>IF('Release Gates'!C1939="PLANNING","PASS",IF('Release Gates'!C1939="PHYSICAL","OPEN","BLOCKED"))</x:f>
        <x:v>OPEN</x:v>
      </x:c>
      <x:c r="G1965" t="str">
        <x:v>equals</x:v>
      </x:c>
      <x:c r="H1965" t="str">
        <x:f>IF(E1965=F1965,"PASS","FAIL")</x:f>
        <x:v>PASS</x:v>
      </x:c>
    </x:row>
    <x:row r="1966">
      <x:c r="B1966" t="str">
        <x:v>A-01934</x:v>
      </x:c>
      <x:c r="C1966" t="str">
        <x:v>GATE</x:v>
      </x:c>
      <x:c r="D1966" t="str">
        <x:v>release state mirrors governing ledger</x:v>
      </x:c>
      <x:c r="E1966" t="str">
        <x:f>'Release Gates'!I1940</x:f>
        <x:v>OPEN</x:v>
      </x:c>
      <x:c r="F1966" t="str">
        <x:f>IF('Release Gates'!C1940="PLANNING","PASS",IF('Release Gates'!C1940="PHYSICAL","OPEN","BLOCKED"))</x:f>
        <x:v>OPEN</x:v>
      </x:c>
      <x:c r="G1966" t="str">
        <x:v>equals</x:v>
      </x:c>
      <x:c r="H1966" t="str">
        <x:f>IF(E1966=F1966,"PASS","FAIL")</x:f>
        <x:v>PASS</x:v>
      </x:c>
    </x:row>
    <x:row r="1967">
      <x:c r="B1967" t="str">
        <x:v>A-01935</x:v>
      </x:c>
      <x:c r="C1967" t="str">
        <x:v>GATE</x:v>
      </x:c>
      <x:c r="D1967" t="str">
        <x:v>release state mirrors governing ledger</x:v>
      </x:c>
      <x:c r="E1967" t="str">
        <x:f>'Release Gates'!I1941</x:f>
        <x:v>OPEN</x:v>
      </x:c>
      <x:c r="F1967" t="str">
        <x:f>IF('Release Gates'!C1941="PLANNING","PASS",IF('Release Gates'!C1941="PHYSICAL","OPEN","BLOCKED"))</x:f>
        <x:v>OPEN</x:v>
      </x:c>
      <x:c r="G1967" t="str">
        <x:v>equals</x:v>
      </x:c>
      <x:c r="H1967" t="str">
        <x:f>IF(E1967=F1967,"PASS","FAIL")</x:f>
        <x:v>PASS</x:v>
      </x:c>
    </x:row>
    <x:row r="1968">
      <x:c r="B1968" t="str">
        <x:v>A-01936</x:v>
      </x:c>
      <x:c r="C1968" t="str">
        <x:v>GATE</x:v>
      </x:c>
      <x:c r="D1968" t="str">
        <x:v>release state mirrors governing ledger</x:v>
      </x:c>
      <x:c r="E1968" t="str">
        <x:f>'Release Gates'!I1942</x:f>
        <x:v>OPEN</x:v>
      </x:c>
      <x:c r="F1968" t="str">
        <x:f>IF('Release Gates'!C1942="PLANNING","PASS",IF('Release Gates'!C1942="PHYSICAL","OPEN","BLOCKED"))</x:f>
        <x:v>OPEN</x:v>
      </x:c>
      <x:c r="G1968" t="str">
        <x:v>equals</x:v>
      </x:c>
      <x:c r="H1968" t="str">
        <x:f>IF(E1968=F1968,"PASS","FAIL")</x:f>
        <x:v>PASS</x:v>
      </x:c>
    </x:row>
    <x:row r="1969">
      <x:c r="B1969" t="str">
        <x:v>A-01937</x:v>
      </x:c>
      <x:c r="C1969" t="str">
        <x:v>GATE</x:v>
      </x:c>
      <x:c r="D1969" t="str">
        <x:v>release state mirrors governing ledger</x:v>
      </x:c>
      <x:c r="E1969" t="str">
        <x:f>'Release Gates'!I1943</x:f>
        <x:v>OPEN</x:v>
      </x:c>
      <x:c r="F1969" t="str">
        <x:f>IF('Release Gates'!C1943="PLANNING","PASS",IF('Release Gates'!C1943="PHYSICAL","OPEN","BLOCKED"))</x:f>
        <x:v>OPEN</x:v>
      </x:c>
      <x:c r="G1969" t="str">
        <x:v>equals</x:v>
      </x:c>
      <x:c r="H1969" t="str">
        <x:f>IF(E1969=F1969,"PASS","FAIL")</x:f>
        <x:v>PASS</x:v>
      </x:c>
    </x:row>
    <x:row r="1970">
      <x:c r="B1970" t="str">
        <x:v>A-01938</x:v>
      </x:c>
      <x:c r="C1970" t="str">
        <x:v>GATE</x:v>
      </x:c>
      <x:c r="D1970" t="str">
        <x:v>release state mirrors governing ledger</x:v>
      </x:c>
      <x:c r="E1970" t="str">
        <x:f>'Release Gates'!I1944</x:f>
        <x:v>OPEN</x:v>
      </x:c>
      <x:c r="F1970" t="str">
        <x:f>IF('Release Gates'!C1944="PLANNING","PASS",IF('Release Gates'!C1944="PHYSICAL","OPEN","BLOCKED"))</x:f>
        <x:v>OPEN</x:v>
      </x:c>
      <x:c r="G1970" t="str">
        <x:v>equals</x:v>
      </x:c>
      <x:c r="H1970" t="str">
        <x:f>IF(E1970=F1970,"PASS","FAIL")</x:f>
        <x:v>PASS</x:v>
      </x:c>
    </x:row>
    <x:row r="1971">
      <x:c r="B1971" t="str">
        <x:v>A-01939</x:v>
      </x:c>
      <x:c r="C1971" t="str">
        <x:v>GATE</x:v>
      </x:c>
      <x:c r="D1971" t="str">
        <x:v>release state mirrors governing ledger</x:v>
      </x:c>
      <x:c r="E1971" t="str">
        <x:f>'Release Gates'!I1945</x:f>
        <x:v>OPEN</x:v>
      </x:c>
      <x:c r="F1971" t="str">
        <x:f>IF('Release Gates'!C1945="PLANNING","PASS",IF('Release Gates'!C1945="PHYSICAL","OPEN","BLOCKED"))</x:f>
        <x:v>OPEN</x:v>
      </x:c>
      <x:c r="G1971" t="str">
        <x:v>equals</x:v>
      </x:c>
      <x:c r="H1971" t="str">
        <x:f>IF(E1971=F1971,"PASS","FAIL")</x:f>
        <x:v>PASS</x:v>
      </x:c>
    </x:row>
    <x:row r="1972">
      <x:c r="B1972" t="str">
        <x:v>A-01940</x:v>
      </x:c>
      <x:c r="C1972" t="str">
        <x:v>GATE</x:v>
      </x:c>
      <x:c r="D1972" t="str">
        <x:v>release state mirrors governing ledger</x:v>
      </x:c>
      <x:c r="E1972" t="str">
        <x:f>'Release Gates'!I1946</x:f>
        <x:v>OPEN</x:v>
      </x:c>
      <x:c r="F1972" t="str">
        <x:f>IF('Release Gates'!C1946="PLANNING","PASS",IF('Release Gates'!C1946="PHYSICAL","OPEN","BLOCKED"))</x:f>
        <x:v>OPEN</x:v>
      </x:c>
      <x:c r="G1972" t="str">
        <x:v>equals</x:v>
      </x:c>
      <x:c r="H1972" t="str">
        <x:f>IF(E1972=F1972,"PASS","FAIL")</x:f>
        <x:v>PASS</x:v>
      </x:c>
    </x:row>
    <x:row r="1973">
      <x:c r="B1973" t="str">
        <x:v>A-01941</x:v>
      </x:c>
      <x:c r="C1973" t="str">
        <x:v>GATE</x:v>
      </x:c>
      <x:c r="D1973" t="str">
        <x:v>release state mirrors governing ledger</x:v>
      </x:c>
      <x:c r="E1973" t="str">
        <x:f>'Release Gates'!I1947</x:f>
        <x:v>OPEN</x:v>
      </x:c>
      <x:c r="F1973" t="str">
        <x:f>IF('Release Gates'!C1947="PLANNING","PASS",IF('Release Gates'!C1947="PHYSICAL","OPEN","BLOCKED"))</x:f>
        <x:v>OPEN</x:v>
      </x:c>
      <x:c r="G1973" t="str">
        <x:v>equals</x:v>
      </x:c>
      <x:c r="H1973" t="str">
        <x:f>IF(E1973=F1973,"PASS","FAIL")</x:f>
        <x:v>PASS</x:v>
      </x:c>
    </x:row>
    <x:row r="1974">
      <x:c r="B1974" t="str">
        <x:v>A-01942</x:v>
      </x:c>
      <x:c r="C1974" t="str">
        <x:v>GATE</x:v>
      </x:c>
      <x:c r="D1974" t="str">
        <x:v>release state mirrors governing ledger</x:v>
      </x:c>
      <x:c r="E1974" t="str">
        <x:f>'Release Gates'!I1948</x:f>
        <x:v>OPEN</x:v>
      </x:c>
      <x:c r="F1974" t="str">
        <x:f>IF('Release Gates'!C1948="PLANNING","PASS",IF('Release Gates'!C1948="PHYSICAL","OPEN","BLOCKED"))</x:f>
        <x:v>OPEN</x:v>
      </x:c>
      <x:c r="G1974" t="str">
        <x:v>equals</x:v>
      </x:c>
      <x:c r="H1974" t="str">
        <x:f>IF(E1974=F1974,"PASS","FAIL")</x:f>
        <x:v>PASS</x:v>
      </x:c>
    </x:row>
    <x:row r="1975">
      <x:c r="B1975" t="str">
        <x:v>A-01943</x:v>
      </x:c>
      <x:c r="C1975" t="str">
        <x:v>GATE</x:v>
      </x:c>
      <x:c r="D1975" t="str">
        <x:v>release state mirrors governing ledger</x:v>
      </x:c>
      <x:c r="E1975" t="str">
        <x:f>'Release Gates'!I1949</x:f>
        <x:v>OPEN</x:v>
      </x:c>
      <x:c r="F1975" t="str">
        <x:f>IF('Release Gates'!C1949="PLANNING","PASS",IF('Release Gates'!C1949="PHYSICAL","OPEN","BLOCKED"))</x:f>
        <x:v>OPEN</x:v>
      </x:c>
      <x:c r="G1975" t="str">
        <x:v>equals</x:v>
      </x:c>
      <x:c r="H1975" t="str">
        <x:f>IF(E1975=F1975,"PASS","FAIL")</x:f>
        <x:v>PASS</x:v>
      </x:c>
    </x:row>
    <x:row r="1976">
      <x:c r="B1976" t="str">
        <x:v>A-01944</x:v>
      </x:c>
      <x:c r="C1976" t="str">
        <x:v>GATE</x:v>
      </x:c>
      <x:c r="D1976" t="str">
        <x:v>release state mirrors governing ledger</x:v>
      </x:c>
      <x:c r="E1976" t="str">
        <x:f>'Release Gates'!I1950</x:f>
        <x:v>OPEN</x:v>
      </x:c>
      <x:c r="F1976" t="str">
        <x:f>IF('Release Gates'!C1950="PLANNING","PASS",IF('Release Gates'!C1950="PHYSICAL","OPEN","BLOCKED"))</x:f>
        <x:v>OPEN</x:v>
      </x:c>
      <x:c r="G1976" t="str">
        <x:v>equals</x:v>
      </x:c>
      <x:c r="H1976" t="str">
        <x:f>IF(E1976=F1976,"PASS","FAIL")</x:f>
        <x:v>PASS</x:v>
      </x:c>
    </x:row>
    <x:row r="1977">
      <x:c r="B1977" t="str">
        <x:v>A-01945</x:v>
      </x:c>
      <x:c r="C1977" t="str">
        <x:v>GATE</x:v>
      </x:c>
      <x:c r="D1977" t="str">
        <x:v>release state mirrors governing ledger</x:v>
      </x:c>
      <x:c r="E1977" t="str">
        <x:f>'Release Gates'!I1951</x:f>
        <x:v>OPEN</x:v>
      </x:c>
      <x:c r="F1977" t="str">
        <x:f>IF('Release Gates'!C1951="PLANNING","PASS",IF('Release Gates'!C1951="PHYSICAL","OPEN","BLOCKED"))</x:f>
        <x:v>OPEN</x:v>
      </x:c>
      <x:c r="G1977" t="str">
        <x:v>equals</x:v>
      </x:c>
      <x:c r="H1977" t="str">
        <x:f>IF(E1977=F1977,"PASS","FAIL")</x:f>
        <x:v>PASS</x:v>
      </x:c>
    </x:row>
    <x:row r="1978">
      <x:c r="B1978" t="str">
        <x:v>A-01946</x:v>
      </x:c>
      <x:c r="C1978" t="str">
        <x:v>GATE</x:v>
      </x:c>
      <x:c r="D1978" t="str">
        <x:v>release state mirrors governing ledger</x:v>
      </x:c>
      <x:c r="E1978" t="str">
        <x:f>'Release Gates'!I1952</x:f>
        <x:v>OPEN</x:v>
      </x:c>
      <x:c r="F1978" t="str">
        <x:f>IF('Release Gates'!C1952="PLANNING","PASS",IF('Release Gates'!C1952="PHYSICAL","OPEN","BLOCKED"))</x:f>
        <x:v>OPEN</x:v>
      </x:c>
      <x:c r="G1978" t="str">
        <x:v>equals</x:v>
      </x:c>
      <x:c r="H1978" t="str">
        <x:f>IF(E1978=F1978,"PASS","FAIL")</x:f>
        <x:v>PASS</x:v>
      </x:c>
    </x:row>
    <x:row r="1979">
      <x:c r="B1979" t="str">
        <x:v>A-01947</x:v>
      </x:c>
      <x:c r="C1979" t="str">
        <x:v>GATE</x:v>
      </x:c>
      <x:c r="D1979" t="str">
        <x:v>release state mirrors governing ledger</x:v>
      </x:c>
      <x:c r="E1979" t="str">
        <x:f>'Release Gates'!I1953</x:f>
        <x:v>OPEN</x:v>
      </x:c>
      <x:c r="F1979" t="str">
        <x:f>IF('Release Gates'!C1953="PLANNING","PASS",IF('Release Gates'!C1953="PHYSICAL","OPEN","BLOCKED"))</x:f>
        <x:v>OPEN</x:v>
      </x:c>
      <x:c r="G1979" t="str">
        <x:v>equals</x:v>
      </x:c>
      <x:c r="H1979" t="str">
        <x:f>IF(E1979=F1979,"PASS","FAIL")</x:f>
        <x:v>PASS</x:v>
      </x:c>
    </x:row>
    <x:row r="1980">
      <x:c r="B1980" t="str">
        <x:v>A-01948</x:v>
      </x:c>
      <x:c r="C1980" t="str">
        <x:v>GATE</x:v>
      </x:c>
      <x:c r="D1980" t="str">
        <x:v>release state mirrors governing ledger</x:v>
      </x:c>
      <x:c r="E1980" t="str">
        <x:f>'Release Gates'!I1954</x:f>
        <x:v>OPEN</x:v>
      </x:c>
      <x:c r="F1980" t="str">
        <x:f>IF('Release Gates'!C1954="PLANNING","PASS",IF('Release Gates'!C1954="PHYSICAL","OPEN","BLOCKED"))</x:f>
        <x:v>OPEN</x:v>
      </x:c>
      <x:c r="G1980" t="str">
        <x:v>equals</x:v>
      </x:c>
      <x:c r="H1980" t="str">
        <x:f>IF(E1980=F1980,"PASS","FAIL")</x:f>
        <x:v>PASS</x:v>
      </x:c>
    </x:row>
    <x:row r="1981">
      <x:c r="B1981" t="str">
        <x:v>A-01949</x:v>
      </x:c>
      <x:c r="C1981" t="str">
        <x:v>GATE</x:v>
      </x:c>
      <x:c r="D1981" t="str">
        <x:v>release state mirrors governing ledger</x:v>
      </x:c>
      <x:c r="E1981" t="str">
        <x:f>'Release Gates'!I1955</x:f>
        <x:v>OPEN</x:v>
      </x:c>
      <x:c r="F1981" t="str">
        <x:f>IF('Release Gates'!C1955="PLANNING","PASS",IF('Release Gates'!C1955="PHYSICAL","OPEN","BLOCKED"))</x:f>
        <x:v>OPEN</x:v>
      </x:c>
      <x:c r="G1981" t="str">
        <x:v>equals</x:v>
      </x:c>
      <x:c r="H1981" t="str">
        <x:f>IF(E1981=F1981,"PASS","FAIL")</x:f>
        <x:v>PASS</x:v>
      </x:c>
    </x:row>
    <x:row r="1982">
      <x:c r="B1982" t="str">
        <x:v>A-01950</x:v>
      </x:c>
      <x:c r="C1982" t="str">
        <x:v>GATE</x:v>
      </x:c>
      <x:c r="D1982" t="str">
        <x:v>release state mirrors governing ledger</x:v>
      </x:c>
      <x:c r="E1982" t="str">
        <x:f>'Release Gates'!I1956</x:f>
        <x:v>OPEN</x:v>
      </x:c>
      <x:c r="F1982" t="str">
        <x:f>IF('Release Gates'!C1956="PLANNING","PASS",IF('Release Gates'!C1956="PHYSICAL","OPEN","BLOCKED"))</x:f>
        <x:v>OPEN</x:v>
      </x:c>
      <x:c r="G1982" t="str">
        <x:v>equals</x:v>
      </x:c>
      <x:c r="H1982" t="str">
        <x:f>IF(E1982=F1982,"PASS","FAIL")</x:f>
        <x:v>PASS</x:v>
      </x:c>
    </x:row>
    <x:row r="1983">
      <x:c r="B1983" t="str">
        <x:v>A-01951</x:v>
      </x:c>
      <x:c r="C1983" t="str">
        <x:v>GATE</x:v>
      </x:c>
      <x:c r="D1983" t="str">
        <x:v>release state mirrors governing ledger</x:v>
      </x:c>
      <x:c r="E1983" t="str">
        <x:f>'Release Gates'!I1957</x:f>
        <x:v>OPEN</x:v>
      </x:c>
      <x:c r="F1983" t="str">
        <x:f>IF('Release Gates'!C1957="PLANNING","PASS",IF('Release Gates'!C1957="PHYSICAL","OPEN","BLOCKED"))</x:f>
        <x:v>OPEN</x:v>
      </x:c>
      <x:c r="G1983" t="str">
        <x:v>equals</x:v>
      </x:c>
      <x:c r="H1983" t="str">
        <x:f>IF(E1983=F1983,"PASS","FAIL")</x:f>
        <x:v>PASS</x:v>
      </x:c>
    </x:row>
    <x:row r="1984">
      <x:c r="B1984" t="str">
        <x:v>A-01952</x:v>
      </x:c>
      <x:c r="C1984" t="str">
        <x:v>GATE</x:v>
      </x:c>
      <x:c r="D1984" t="str">
        <x:v>release state mirrors governing ledger</x:v>
      </x:c>
      <x:c r="E1984" t="str">
        <x:f>'Release Gates'!I1958</x:f>
        <x:v>OPEN</x:v>
      </x:c>
      <x:c r="F1984" t="str">
        <x:f>IF('Release Gates'!C1958="PLANNING","PASS",IF('Release Gates'!C1958="PHYSICAL","OPEN","BLOCKED"))</x:f>
        <x:v>OPEN</x:v>
      </x:c>
      <x:c r="G1984" t="str">
        <x:v>equals</x:v>
      </x:c>
      <x:c r="H1984" t="str">
        <x:f>IF(E1984=F1984,"PASS","FAIL")</x:f>
        <x:v>PASS</x:v>
      </x:c>
    </x:row>
    <x:row r="1985">
      <x:c r="B1985" t="str">
        <x:v>A-01953</x:v>
      </x:c>
      <x:c r="C1985" t="str">
        <x:v>GATE</x:v>
      </x:c>
      <x:c r="D1985" t="str">
        <x:v>release state mirrors governing ledger</x:v>
      </x:c>
      <x:c r="E1985" t="str">
        <x:f>'Release Gates'!I1959</x:f>
        <x:v>OPEN</x:v>
      </x:c>
      <x:c r="F1985" t="str">
        <x:f>IF('Release Gates'!C1959="PLANNING","PASS",IF('Release Gates'!C1959="PHYSICAL","OPEN","BLOCKED"))</x:f>
        <x:v>OPEN</x:v>
      </x:c>
      <x:c r="G1985" t="str">
        <x:v>equals</x:v>
      </x:c>
      <x:c r="H1985" t="str">
        <x:f>IF(E1985=F1985,"PASS","FAIL")</x:f>
        <x:v>PASS</x:v>
      </x:c>
    </x:row>
    <x:row r="1986">
      <x:c r="B1986" t="str">
        <x:v>A-01954</x:v>
      </x:c>
      <x:c r="C1986" t="str">
        <x:v>GATE</x:v>
      </x:c>
      <x:c r="D1986" t="str">
        <x:v>release state mirrors governing ledger</x:v>
      </x:c>
      <x:c r="E1986" t="str">
        <x:f>'Release Gates'!I1960</x:f>
        <x:v>OPEN</x:v>
      </x:c>
      <x:c r="F1986" t="str">
        <x:f>IF('Release Gates'!C1960="PLANNING","PASS",IF('Release Gates'!C1960="PHYSICAL","OPEN","BLOCKED"))</x:f>
        <x:v>OPEN</x:v>
      </x:c>
      <x:c r="G1986" t="str">
        <x:v>equals</x:v>
      </x:c>
      <x:c r="H1986" t="str">
        <x:f>IF(E1986=F1986,"PASS","FAIL")</x:f>
        <x:v>PASS</x:v>
      </x:c>
    </x:row>
    <x:row r="1987">
      <x:c r="B1987" t="str">
        <x:v>A-01955</x:v>
      </x:c>
      <x:c r="C1987" t="str">
        <x:v>GATE</x:v>
      </x:c>
      <x:c r="D1987" t="str">
        <x:v>release state mirrors governing ledger</x:v>
      </x:c>
      <x:c r="E1987" t="str">
        <x:f>'Release Gates'!I1961</x:f>
        <x:v>OPEN</x:v>
      </x:c>
      <x:c r="F1987" t="str">
        <x:f>IF('Release Gates'!C1961="PLANNING","PASS",IF('Release Gates'!C1961="PHYSICAL","OPEN","BLOCKED"))</x:f>
        <x:v>OPEN</x:v>
      </x:c>
      <x:c r="G1987" t="str">
        <x:v>equals</x:v>
      </x:c>
      <x:c r="H1987" t="str">
        <x:f>IF(E1987=F1987,"PASS","FAIL")</x:f>
        <x:v>PASS</x:v>
      </x:c>
    </x:row>
    <x:row r="1988">
      <x:c r="B1988" t="str">
        <x:v>A-01956</x:v>
      </x:c>
      <x:c r="C1988" t="str">
        <x:v>GATE</x:v>
      </x:c>
      <x:c r="D1988" t="str">
        <x:v>release state mirrors governing ledger</x:v>
      </x:c>
      <x:c r="E1988" t="str">
        <x:f>'Release Gates'!I1962</x:f>
        <x:v>OPEN</x:v>
      </x:c>
      <x:c r="F1988" t="str">
        <x:f>IF('Release Gates'!C1962="PLANNING","PASS",IF('Release Gates'!C1962="PHYSICAL","OPEN","BLOCKED"))</x:f>
        <x:v>OPEN</x:v>
      </x:c>
      <x:c r="G1988" t="str">
        <x:v>equals</x:v>
      </x:c>
      <x:c r="H1988" t="str">
        <x:f>IF(E1988=F1988,"PASS","FAIL")</x:f>
        <x:v>PASS</x:v>
      </x:c>
    </x:row>
    <x:row r="1989">
      <x:c r="B1989" t="str">
        <x:v>A-01957</x:v>
      </x:c>
      <x:c r="C1989" t="str">
        <x:v>GATE</x:v>
      </x:c>
      <x:c r="D1989" t="str">
        <x:v>release state mirrors governing ledger</x:v>
      </x:c>
      <x:c r="E1989" t="str">
        <x:f>'Release Gates'!I1963</x:f>
        <x:v>OPEN</x:v>
      </x:c>
      <x:c r="F1989" t="str">
        <x:f>IF('Release Gates'!C1963="PLANNING","PASS",IF('Release Gates'!C1963="PHYSICAL","OPEN","BLOCKED"))</x:f>
        <x:v>OPEN</x:v>
      </x:c>
      <x:c r="G1989" t="str">
        <x:v>equals</x:v>
      </x:c>
      <x:c r="H1989" t="str">
        <x:f>IF(E1989=F1989,"PASS","FAIL")</x:f>
        <x:v>PASS</x:v>
      </x:c>
    </x:row>
    <x:row r="1990">
      <x:c r="B1990" t="str">
        <x:v>A-01958</x:v>
      </x:c>
      <x:c r="C1990" t="str">
        <x:v>GATE</x:v>
      </x:c>
      <x:c r="D1990" t="str">
        <x:v>release state mirrors governing ledger</x:v>
      </x:c>
      <x:c r="E1990" t="str">
        <x:f>'Release Gates'!I1964</x:f>
        <x:v>OPEN</x:v>
      </x:c>
      <x:c r="F1990" t="str">
        <x:f>IF('Release Gates'!C1964="PLANNING","PASS",IF('Release Gates'!C1964="PHYSICAL","OPEN","BLOCKED"))</x:f>
        <x:v>OPEN</x:v>
      </x:c>
      <x:c r="G1990" t="str">
        <x:v>equals</x:v>
      </x:c>
      <x:c r="H1990" t="str">
        <x:f>IF(E1990=F1990,"PASS","FAIL")</x:f>
        <x:v>PASS</x:v>
      </x:c>
    </x:row>
    <x:row r="1991">
      <x:c r="B1991" t="str">
        <x:v>A-01959</x:v>
      </x:c>
      <x:c r="C1991" t="str">
        <x:v>GATE</x:v>
      </x:c>
      <x:c r="D1991" t="str">
        <x:v>release state mirrors governing ledger</x:v>
      </x:c>
      <x:c r="E1991" t="str">
        <x:f>'Release Gates'!I1965</x:f>
        <x:v>OPEN</x:v>
      </x:c>
      <x:c r="F1991" t="str">
        <x:f>IF('Release Gates'!C1965="PLANNING","PASS",IF('Release Gates'!C1965="PHYSICAL","OPEN","BLOCKED"))</x:f>
        <x:v>OPEN</x:v>
      </x:c>
      <x:c r="G1991" t="str">
        <x:v>equals</x:v>
      </x:c>
      <x:c r="H1991" t="str">
        <x:f>IF(E1991=F1991,"PASS","FAIL")</x:f>
        <x:v>PASS</x:v>
      </x:c>
    </x:row>
    <x:row r="1992">
      <x:c r="B1992" t="str">
        <x:v>A-01960</x:v>
      </x:c>
      <x:c r="C1992" t="str">
        <x:v>GATE</x:v>
      </x:c>
      <x:c r="D1992" t="str">
        <x:v>release state mirrors governing ledger</x:v>
      </x:c>
      <x:c r="E1992" t="str">
        <x:f>'Release Gates'!I1966</x:f>
        <x:v>OPEN</x:v>
      </x:c>
      <x:c r="F1992" t="str">
        <x:f>IF('Release Gates'!C1966="PLANNING","PASS",IF('Release Gates'!C1966="PHYSICAL","OPEN","BLOCKED"))</x:f>
        <x:v>OPEN</x:v>
      </x:c>
      <x:c r="G1992" t="str">
        <x:v>equals</x:v>
      </x:c>
      <x:c r="H1992" t="str">
        <x:f>IF(E1992=F1992,"PASS","FAIL")</x:f>
        <x:v>PASS</x:v>
      </x:c>
    </x:row>
    <x:row r="1993">
      <x:c r="B1993" t="str">
        <x:v>A-01961</x:v>
      </x:c>
      <x:c r="C1993" t="str">
        <x:v>GATE</x:v>
      </x:c>
      <x:c r="D1993" t="str">
        <x:v>release state mirrors governing ledger</x:v>
      </x:c>
      <x:c r="E1993" t="str">
        <x:f>'Release Gates'!I1967</x:f>
        <x:v>OPEN</x:v>
      </x:c>
      <x:c r="F1993" t="str">
        <x:f>IF('Release Gates'!C1967="PLANNING","PASS",IF('Release Gates'!C1967="PHYSICAL","OPEN","BLOCKED"))</x:f>
        <x:v>OPEN</x:v>
      </x:c>
      <x:c r="G1993" t="str">
        <x:v>equals</x:v>
      </x:c>
      <x:c r="H1993" t="str">
        <x:f>IF(E1993=F1993,"PASS","FAIL")</x:f>
        <x:v>PASS</x:v>
      </x:c>
    </x:row>
    <x:row r="1994">
      <x:c r="B1994" t="str">
        <x:v>A-01962</x:v>
      </x:c>
      <x:c r="C1994" t="str">
        <x:v>GATE</x:v>
      </x:c>
      <x:c r="D1994" t="str">
        <x:v>release state mirrors governing ledger</x:v>
      </x:c>
      <x:c r="E1994" t="str">
        <x:f>'Release Gates'!I1968</x:f>
        <x:v>OPEN</x:v>
      </x:c>
      <x:c r="F1994" t="str">
        <x:f>IF('Release Gates'!C1968="PLANNING","PASS",IF('Release Gates'!C1968="PHYSICAL","OPEN","BLOCKED"))</x:f>
        <x:v>OPEN</x:v>
      </x:c>
      <x:c r="G1994" t="str">
        <x:v>equals</x:v>
      </x:c>
      <x:c r="H1994" t="str">
        <x:f>IF(E1994=F1994,"PASS","FAIL")</x:f>
        <x:v>PASS</x:v>
      </x:c>
    </x:row>
    <x:row r="1995">
      <x:c r="B1995" t="str">
        <x:v>A-01963</x:v>
      </x:c>
      <x:c r="C1995" t="str">
        <x:v>GATE</x:v>
      </x:c>
      <x:c r="D1995" t="str">
        <x:v>release state mirrors governing ledger</x:v>
      </x:c>
      <x:c r="E1995" t="str">
        <x:f>'Release Gates'!I1969</x:f>
        <x:v>OPEN</x:v>
      </x:c>
      <x:c r="F1995" t="str">
        <x:f>IF('Release Gates'!C1969="PLANNING","PASS",IF('Release Gates'!C1969="PHYSICAL","OPEN","BLOCKED"))</x:f>
        <x:v>OPEN</x:v>
      </x:c>
      <x:c r="G1995" t="str">
        <x:v>equals</x:v>
      </x:c>
      <x:c r="H1995" t="str">
        <x:f>IF(E1995=F1995,"PASS","FAIL")</x:f>
        <x:v>PASS</x:v>
      </x:c>
    </x:row>
    <x:row r="1996">
      <x:c r="B1996" t="str">
        <x:v>A-01964</x:v>
      </x:c>
      <x:c r="C1996" t="str">
        <x:v>GATE</x:v>
      </x:c>
      <x:c r="D1996" t="str">
        <x:v>release state mirrors governing ledger</x:v>
      </x:c>
      <x:c r="E1996" t="str">
        <x:f>'Release Gates'!I1970</x:f>
        <x:v>OPEN</x:v>
      </x:c>
      <x:c r="F1996" t="str">
        <x:f>IF('Release Gates'!C1970="PLANNING","PASS",IF('Release Gates'!C1970="PHYSICAL","OPEN","BLOCKED"))</x:f>
        <x:v>OPEN</x:v>
      </x:c>
      <x:c r="G1996" t="str">
        <x:v>equals</x:v>
      </x:c>
      <x:c r="H1996" t="str">
        <x:f>IF(E1996=F1996,"PASS","FAIL")</x:f>
        <x:v>PASS</x:v>
      </x:c>
    </x:row>
    <x:row r="1997">
      <x:c r="B1997" t="str">
        <x:v>A-01965</x:v>
      </x:c>
      <x:c r="C1997" t="str">
        <x:v>GATE</x:v>
      </x:c>
      <x:c r="D1997" t="str">
        <x:v>release state mirrors governing ledger</x:v>
      </x:c>
      <x:c r="E1997" t="str">
        <x:f>'Release Gates'!I1971</x:f>
        <x:v>OPEN</x:v>
      </x:c>
      <x:c r="F1997" t="str">
        <x:f>IF('Release Gates'!C1971="PLANNING","PASS",IF('Release Gates'!C1971="PHYSICAL","OPEN","BLOCKED"))</x:f>
        <x:v>OPEN</x:v>
      </x:c>
      <x:c r="G1997" t="str">
        <x:v>equals</x:v>
      </x:c>
      <x:c r="H1997" t="str">
        <x:f>IF(E1997=F1997,"PASS","FAIL")</x:f>
        <x:v>PASS</x:v>
      </x:c>
    </x:row>
    <x:row r="1998">
      <x:c r="B1998" t="str">
        <x:v>A-01966</x:v>
      </x:c>
      <x:c r="C1998" t="str">
        <x:v>GATE</x:v>
      </x:c>
      <x:c r="D1998" t="str">
        <x:v>release state mirrors governing ledger</x:v>
      </x:c>
      <x:c r="E1998" t="str">
        <x:f>'Release Gates'!I1972</x:f>
        <x:v>OPEN</x:v>
      </x:c>
      <x:c r="F1998" t="str">
        <x:f>IF('Release Gates'!C1972="PLANNING","PASS",IF('Release Gates'!C1972="PHYSICAL","OPEN","BLOCKED"))</x:f>
        <x:v>OPEN</x:v>
      </x:c>
      <x:c r="G1998" t="str">
        <x:v>equals</x:v>
      </x:c>
      <x:c r="H1998" t="str">
        <x:f>IF(E1998=F1998,"PASS","FAIL")</x:f>
        <x:v>PASS</x:v>
      </x:c>
    </x:row>
    <x:row r="1999">
      <x:c r="B1999" t="str">
        <x:v>A-01967</x:v>
      </x:c>
      <x:c r="C1999" t="str">
        <x:v>GATE</x:v>
      </x:c>
      <x:c r="D1999" t="str">
        <x:v>release state mirrors governing ledger</x:v>
      </x:c>
      <x:c r="E1999" t="str">
        <x:f>'Release Gates'!I1973</x:f>
        <x:v>OPEN</x:v>
      </x:c>
      <x:c r="F1999" t="str">
        <x:f>IF('Release Gates'!C1973="PLANNING","PASS",IF('Release Gates'!C1973="PHYSICAL","OPEN","BLOCKED"))</x:f>
        <x:v>OPEN</x:v>
      </x:c>
      <x:c r="G1999" t="str">
        <x:v>equals</x:v>
      </x:c>
      <x:c r="H1999" t="str">
        <x:f>IF(E1999=F1999,"PASS","FAIL")</x:f>
        <x:v>PASS</x:v>
      </x:c>
    </x:row>
    <x:row r="2000">
      <x:c r="B2000" t="str">
        <x:v>A-01968</x:v>
      </x:c>
      <x:c r="C2000" t="str">
        <x:v>GATE</x:v>
      </x:c>
      <x:c r="D2000" t="str">
        <x:v>release state mirrors governing ledger</x:v>
      </x:c>
      <x:c r="E2000" t="str">
        <x:f>'Release Gates'!I1974</x:f>
        <x:v>OPEN</x:v>
      </x:c>
      <x:c r="F2000" t="str">
        <x:f>IF('Release Gates'!C1974="PLANNING","PASS",IF('Release Gates'!C1974="PHYSICAL","OPEN","BLOCKED"))</x:f>
        <x:v>OPEN</x:v>
      </x:c>
      <x:c r="G2000" t="str">
        <x:v>equals</x:v>
      </x:c>
      <x:c r="H2000" t="str">
        <x:f>IF(E2000=F2000,"PASS","FAIL")</x:f>
        <x:v>PASS</x:v>
      </x:c>
    </x:row>
    <x:row r="2001">
      <x:c r="B2001" t="str">
        <x:v>A-01969</x:v>
      </x:c>
      <x:c r="C2001" t="str">
        <x:v>GATE</x:v>
      </x:c>
      <x:c r="D2001" t="str">
        <x:v>release state mirrors governing ledger</x:v>
      </x:c>
      <x:c r="E2001" t="str">
        <x:f>'Release Gates'!I1975</x:f>
        <x:v>OPEN</x:v>
      </x:c>
      <x:c r="F2001" t="str">
        <x:f>IF('Release Gates'!C1975="PLANNING","PASS",IF('Release Gates'!C1975="PHYSICAL","OPEN","BLOCKED"))</x:f>
        <x:v>OPEN</x:v>
      </x:c>
      <x:c r="G2001" t="str">
        <x:v>equals</x:v>
      </x:c>
      <x:c r="H2001" t="str">
        <x:f>IF(E2001=F2001,"PASS","FAIL")</x:f>
        <x:v>PASS</x:v>
      </x:c>
    </x:row>
    <x:row r="2002">
      <x:c r="B2002" t="str">
        <x:v>A-01970</x:v>
      </x:c>
      <x:c r="C2002" t="str">
        <x:v>GATE</x:v>
      </x:c>
      <x:c r="D2002" t="str">
        <x:v>release state mirrors governing ledger</x:v>
      </x:c>
      <x:c r="E2002" t="str">
        <x:f>'Release Gates'!I1976</x:f>
        <x:v>OPEN</x:v>
      </x:c>
      <x:c r="F2002" t="str">
        <x:f>IF('Release Gates'!C1976="PLANNING","PASS",IF('Release Gates'!C1976="PHYSICAL","OPEN","BLOCKED"))</x:f>
        <x:v>OPEN</x:v>
      </x:c>
      <x:c r="G2002" t="str">
        <x:v>equals</x:v>
      </x:c>
      <x:c r="H2002" t="str">
        <x:f>IF(E2002=F2002,"PASS","FAIL")</x:f>
        <x:v>PASS</x:v>
      </x:c>
    </x:row>
    <x:row r="2003">
      <x:c r="B2003" t="str">
        <x:v>A-01971</x:v>
      </x:c>
      <x:c r="C2003" t="str">
        <x:v>GATE</x:v>
      </x:c>
      <x:c r="D2003" t="str">
        <x:v>release state mirrors governing ledger</x:v>
      </x:c>
      <x:c r="E2003" t="str">
        <x:f>'Release Gates'!I1977</x:f>
        <x:v>OPEN</x:v>
      </x:c>
      <x:c r="F2003" t="str">
        <x:f>IF('Release Gates'!C1977="PLANNING","PASS",IF('Release Gates'!C1977="PHYSICAL","OPEN","BLOCKED"))</x:f>
        <x:v>OPEN</x:v>
      </x:c>
      <x:c r="G2003" t="str">
        <x:v>equals</x:v>
      </x:c>
      <x:c r="H2003" t="str">
        <x:f>IF(E2003=F2003,"PASS","FAIL")</x:f>
        <x:v>PASS</x:v>
      </x:c>
    </x:row>
    <x:row r="2004">
      <x:c r="B2004" t="str">
        <x:v>A-01972</x:v>
      </x:c>
      <x:c r="C2004" t="str">
        <x:v>GATE</x:v>
      </x:c>
      <x:c r="D2004" t="str">
        <x:v>release state mirrors governing ledger</x:v>
      </x:c>
      <x:c r="E2004" t="str">
        <x:f>'Release Gates'!I1978</x:f>
        <x:v>OPEN</x:v>
      </x:c>
      <x:c r="F2004" t="str">
        <x:f>IF('Release Gates'!C1978="PLANNING","PASS",IF('Release Gates'!C1978="PHYSICAL","OPEN","BLOCKED"))</x:f>
        <x:v>OPEN</x:v>
      </x:c>
      <x:c r="G2004" t="str">
        <x:v>equals</x:v>
      </x:c>
      <x:c r="H2004" t="str">
        <x:f>IF(E2004=F2004,"PASS","FAIL")</x:f>
        <x:v>PASS</x:v>
      </x:c>
    </x:row>
    <x:row r="2005">
      <x:c r="B2005" t="str">
        <x:v>A-01973</x:v>
      </x:c>
      <x:c r="C2005" t="str">
        <x:v>GATE</x:v>
      </x:c>
      <x:c r="D2005" t="str">
        <x:v>release state mirrors governing ledger</x:v>
      </x:c>
      <x:c r="E2005" t="str">
        <x:f>'Release Gates'!I1979</x:f>
        <x:v>OPEN</x:v>
      </x:c>
      <x:c r="F2005" t="str">
        <x:f>IF('Release Gates'!C1979="PLANNING","PASS",IF('Release Gates'!C1979="PHYSICAL","OPEN","BLOCKED"))</x:f>
        <x:v>OPEN</x:v>
      </x:c>
      <x:c r="G2005" t="str">
        <x:v>equals</x:v>
      </x:c>
      <x:c r="H2005" t="str">
        <x:f>IF(E2005=F2005,"PASS","FAIL")</x:f>
        <x:v>PASS</x:v>
      </x:c>
    </x:row>
    <x:row r="2006">
      <x:c r="B2006" t="str">
        <x:v>A-01974</x:v>
      </x:c>
      <x:c r="C2006" t="str">
        <x:v>GATE</x:v>
      </x:c>
      <x:c r="D2006" t="str">
        <x:v>release state mirrors governing ledger</x:v>
      </x:c>
      <x:c r="E2006" t="str">
        <x:f>'Release Gates'!I1980</x:f>
        <x:v>OPEN</x:v>
      </x:c>
      <x:c r="F2006" t="str">
        <x:f>IF('Release Gates'!C1980="PLANNING","PASS",IF('Release Gates'!C1980="PHYSICAL","OPEN","BLOCKED"))</x:f>
        <x:v>OPEN</x:v>
      </x:c>
      <x:c r="G2006" t="str">
        <x:v>equals</x:v>
      </x:c>
      <x:c r="H2006" t="str">
        <x:f>IF(E2006=F2006,"PASS","FAIL")</x:f>
        <x:v>PASS</x:v>
      </x:c>
    </x:row>
    <x:row r="2007">
      <x:c r="B2007" t="str">
        <x:v>A-01975</x:v>
      </x:c>
      <x:c r="C2007" t="str">
        <x:v>GATE</x:v>
      </x:c>
      <x:c r="D2007" t="str">
        <x:v>release state mirrors governing ledger</x:v>
      </x:c>
      <x:c r="E2007" t="str">
        <x:f>'Release Gates'!I1981</x:f>
        <x:v>OPEN</x:v>
      </x:c>
      <x:c r="F2007" t="str">
        <x:f>IF('Release Gates'!C1981="PLANNING","PASS",IF('Release Gates'!C1981="PHYSICAL","OPEN","BLOCKED"))</x:f>
        <x:v>OPEN</x:v>
      </x:c>
      <x:c r="G2007" t="str">
        <x:v>equals</x:v>
      </x:c>
      <x:c r="H2007" t="str">
        <x:f>IF(E2007=F2007,"PASS","FAIL")</x:f>
        <x:v>PASS</x:v>
      </x:c>
    </x:row>
    <x:row r="2008">
      <x:c r="B2008" t="str">
        <x:v>A-01976</x:v>
      </x:c>
      <x:c r="C2008" t="str">
        <x:v>GATE</x:v>
      </x:c>
      <x:c r="D2008" t="str">
        <x:v>release state mirrors governing ledger</x:v>
      </x:c>
      <x:c r="E2008" t="str">
        <x:f>'Release Gates'!I1982</x:f>
        <x:v>OPEN</x:v>
      </x:c>
      <x:c r="F2008" t="str">
        <x:f>IF('Release Gates'!C1982="PLANNING","PASS",IF('Release Gates'!C1982="PHYSICAL","OPEN","BLOCKED"))</x:f>
        <x:v>OPEN</x:v>
      </x:c>
      <x:c r="G2008" t="str">
        <x:v>equals</x:v>
      </x:c>
      <x:c r="H2008" t="str">
        <x:f>IF(E2008=F2008,"PASS","FAIL")</x:f>
        <x:v>PASS</x:v>
      </x:c>
    </x:row>
    <x:row r="2009">
      <x:c r="B2009" t="str">
        <x:v>A-01977</x:v>
      </x:c>
      <x:c r="C2009" t="str">
        <x:v>GATE</x:v>
      </x:c>
      <x:c r="D2009" t="str">
        <x:v>release state mirrors governing ledger</x:v>
      </x:c>
      <x:c r="E2009" t="str">
        <x:f>'Release Gates'!I1983</x:f>
        <x:v>OPEN</x:v>
      </x:c>
      <x:c r="F2009" t="str">
        <x:f>IF('Release Gates'!C1983="PLANNING","PASS",IF('Release Gates'!C1983="PHYSICAL","OPEN","BLOCKED"))</x:f>
        <x:v>OPEN</x:v>
      </x:c>
      <x:c r="G2009" t="str">
        <x:v>equals</x:v>
      </x:c>
      <x:c r="H2009" t="str">
        <x:f>IF(E2009=F2009,"PASS","FAIL")</x:f>
        <x:v>PASS</x:v>
      </x:c>
    </x:row>
    <x:row r="2010">
      <x:c r="B2010" t="str">
        <x:v>A-01978</x:v>
      </x:c>
      <x:c r="C2010" t="str">
        <x:v>GATE</x:v>
      </x:c>
      <x:c r="D2010" t="str">
        <x:v>release state mirrors governing ledger</x:v>
      </x:c>
      <x:c r="E2010" t="str">
        <x:f>'Release Gates'!I1984</x:f>
        <x:v>OPEN</x:v>
      </x:c>
      <x:c r="F2010" t="str">
        <x:f>IF('Release Gates'!C1984="PLANNING","PASS",IF('Release Gates'!C1984="PHYSICAL","OPEN","BLOCKED"))</x:f>
        <x:v>OPEN</x:v>
      </x:c>
      <x:c r="G2010" t="str">
        <x:v>equals</x:v>
      </x:c>
      <x:c r="H2010" t="str">
        <x:f>IF(E2010=F2010,"PASS","FAIL")</x:f>
        <x:v>PASS</x:v>
      </x:c>
    </x:row>
    <x:row r="2011">
      <x:c r="B2011" t="str">
        <x:v>A-01979</x:v>
      </x:c>
      <x:c r="C2011" t="str">
        <x:v>GATE</x:v>
      </x:c>
      <x:c r="D2011" t="str">
        <x:v>release state mirrors governing ledger</x:v>
      </x:c>
      <x:c r="E2011" t="str">
        <x:f>'Release Gates'!I1985</x:f>
        <x:v>OPEN</x:v>
      </x:c>
      <x:c r="F2011" t="str">
        <x:f>IF('Release Gates'!C1985="PLANNING","PASS",IF('Release Gates'!C1985="PHYSICAL","OPEN","BLOCKED"))</x:f>
        <x:v>OPEN</x:v>
      </x:c>
      <x:c r="G2011" t="str">
        <x:v>equals</x:v>
      </x:c>
      <x:c r="H2011" t="str">
        <x:f>IF(E2011=F2011,"PASS","FAIL")</x:f>
        <x:v>PASS</x:v>
      </x:c>
    </x:row>
    <x:row r="2012">
      <x:c r="B2012" t="str">
        <x:v>A-01980</x:v>
      </x:c>
      <x:c r="C2012" t="str">
        <x:v>GATE</x:v>
      </x:c>
      <x:c r="D2012" t="str">
        <x:v>release state mirrors governing ledger</x:v>
      </x:c>
      <x:c r="E2012" t="str">
        <x:f>'Release Gates'!I1986</x:f>
        <x:v>OPEN</x:v>
      </x:c>
      <x:c r="F2012" t="str">
        <x:f>IF('Release Gates'!C1986="PLANNING","PASS",IF('Release Gates'!C1986="PHYSICAL","OPEN","BLOCKED"))</x:f>
        <x:v>OPEN</x:v>
      </x:c>
      <x:c r="G2012" t="str">
        <x:v>equals</x:v>
      </x:c>
      <x:c r="H2012" t="str">
        <x:f>IF(E2012=F2012,"PASS","FAIL")</x:f>
        <x:v>PASS</x:v>
      </x:c>
    </x:row>
    <x:row r="2013">
      <x:c r="B2013" t="str">
        <x:v>A-01981</x:v>
      </x:c>
      <x:c r="C2013" t="str">
        <x:v>GATE</x:v>
      </x:c>
      <x:c r="D2013" t="str">
        <x:v>release state mirrors governing ledger</x:v>
      </x:c>
      <x:c r="E2013" t="str">
        <x:f>'Release Gates'!I1987</x:f>
        <x:v>OPEN</x:v>
      </x:c>
      <x:c r="F2013" t="str">
        <x:f>IF('Release Gates'!C1987="PLANNING","PASS",IF('Release Gates'!C1987="PHYSICAL","OPEN","BLOCKED"))</x:f>
        <x:v>OPEN</x:v>
      </x:c>
      <x:c r="G2013" t="str">
        <x:v>equals</x:v>
      </x:c>
      <x:c r="H2013" t="str">
        <x:f>IF(E2013=F2013,"PASS","FAIL")</x:f>
        <x:v>PASS</x:v>
      </x:c>
    </x:row>
    <x:row r="2014">
      <x:c r="B2014" t="str">
        <x:v>A-01982</x:v>
      </x:c>
      <x:c r="C2014" t="str">
        <x:v>GATE</x:v>
      </x:c>
      <x:c r="D2014" t="str">
        <x:v>release state mirrors governing ledger</x:v>
      </x:c>
      <x:c r="E2014" t="str">
        <x:f>'Release Gates'!I1988</x:f>
        <x:v>OPEN</x:v>
      </x:c>
      <x:c r="F2014" t="str">
        <x:f>IF('Release Gates'!C1988="PLANNING","PASS",IF('Release Gates'!C1988="PHYSICAL","OPEN","BLOCKED"))</x:f>
        <x:v>OPEN</x:v>
      </x:c>
      <x:c r="G2014" t="str">
        <x:v>equals</x:v>
      </x:c>
      <x:c r="H2014" t="str">
        <x:f>IF(E2014=F2014,"PASS","FAIL")</x:f>
        <x:v>PASS</x:v>
      </x:c>
    </x:row>
    <x:row r="2015">
      <x:c r="B2015" t="str">
        <x:v>A-01983</x:v>
      </x:c>
      <x:c r="C2015" t="str">
        <x:v>GATE</x:v>
      </x:c>
      <x:c r="D2015" t="str">
        <x:v>release state mirrors governing ledger</x:v>
      </x:c>
      <x:c r="E2015" t="str">
        <x:f>'Release Gates'!I1989</x:f>
        <x:v>OPEN</x:v>
      </x:c>
      <x:c r="F2015" t="str">
        <x:f>IF('Release Gates'!C1989="PLANNING","PASS",IF('Release Gates'!C1989="PHYSICAL","OPEN","BLOCKED"))</x:f>
        <x:v>OPEN</x:v>
      </x:c>
      <x:c r="G2015" t="str">
        <x:v>equals</x:v>
      </x:c>
      <x:c r="H2015" t="str">
        <x:f>IF(E2015=F2015,"PASS","FAIL")</x:f>
        <x:v>PASS</x:v>
      </x:c>
    </x:row>
    <x:row r="2016">
      <x:c r="B2016" t="str">
        <x:v>A-01984</x:v>
      </x:c>
      <x:c r="C2016" t="str">
        <x:v>GATE</x:v>
      </x:c>
      <x:c r="D2016" t="str">
        <x:v>release state mirrors governing ledger</x:v>
      </x:c>
      <x:c r="E2016" t="str">
        <x:f>'Release Gates'!I1990</x:f>
        <x:v>OPEN</x:v>
      </x:c>
      <x:c r="F2016" t="str">
        <x:f>IF('Release Gates'!C1990="PLANNING","PASS",IF('Release Gates'!C1990="PHYSICAL","OPEN","BLOCKED"))</x:f>
        <x:v>OPEN</x:v>
      </x:c>
      <x:c r="G2016" t="str">
        <x:v>equals</x:v>
      </x:c>
      <x:c r="H2016" t="str">
        <x:f>IF(E2016=F2016,"PASS","FAIL")</x:f>
        <x:v>PASS</x:v>
      </x:c>
    </x:row>
    <x:row r="2017">
      <x:c r="B2017" t="str">
        <x:v>A-01985</x:v>
      </x:c>
      <x:c r="C2017" t="str">
        <x:v>GATE</x:v>
      </x:c>
      <x:c r="D2017" t="str">
        <x:v>release state mirrors governing ledger</x:v>
      </x:c>
      <x:c r="E2017" t="str">
        <x:f>'Release Gates'!I1991</x:f>
        <x:v>OPEN</x:v>
      </x:c>
      <x:c r="F2017" t="str">
        <x:f>IF('Release Gates'!C1991="PLANNING","PASS",IF('Release Gates'!C1991="PHYSICAL","OPEN","BLOCKED"))</x:f>
        <x:v>OPEN</x:v>
      </x:c>
      <x:c r="G2017" t="str">
        <x:v>equals</x:v>
      </x:c>
      <x:c r="H2017" t="str">
        <x:f>IF(E2017=F2017,"PASS","FAIL")</x:f>
        <x:v>PASS</x:v>
      </x:c>
    </x:row>
    <x:row r="2018">
      <x:c r="B2018" t="str">
        <x:v>A-01986</x:v>
      </x:c>
      <x:c r="C2018" t="str">
        <x:v>GATE</x:v>
      </x:c>
      <x:c r="D2018" t="str">
        <x:v>release state mirrors governing ledger</x:v>
      </x:c>
      <x:c r="E2018" t="str">
        <x:f>'Release Gates'!I1992</x:f>
        <x:v>OPEN</x:v>
      </x:c>
      <x:c r="F2018" t="str">
        <x:f>IF('Release Gates'!C1992="PLANNING","PASS",IF('Release Gates'!C1992="PHYSICAL","OPEN","BLOCKED"))</x:f>
        <x:v>OPEN</x:v>
      </x:c>
      <x:c r="G2018" t="str">
        <x:v>equals</x:v>
      </x:c>
      <x:c r="H2018" t="str">
        <x:f>IF(E2018=F2018,"PASS","FAIL")</x:f>
        <x:v>PASS</x:v>
      </x:c>
    </x:row>
    <x:row r="2019">
      <x:c r="B2019" t="str">
        <x:v>A-01987</x:v>
      </x:c>
      <x:c r="C2019" t="str">
        <x:v>GATE</x:v>
      </x:c>
      <x:c r="D2019" t="str">
        <x:v>release state mirrors governing ledger</x:v>
      </x:c>
      <x:c r="E2019" t="str">
        <x:f>'Release Gates'!I1993</x:f>
        <x:v>OPEN</x:v>
      </x:c>
      <x:c r="F2019" t="str">
        <x:f>IF('Release Gates'!C1993="PLANNING","PASS",IF('Release Gates'!C1993="PHYSICAL","OPEN","BLOCKED"))</x:f>
        <x:v>OPEN</x:v>
      </x:c>
      <x:c r="G2019" t="str">
        <x:v>equals</x:v>
      </x:c>
      <x:c r="H2019" t="str">
        <x:f>IF(E2019=F2019,"PASS","FAIL")</x:f>
        <x:v>PASS</x:v>
      </x:c>
    </x:row>
    <x:row r="2020">
      <x:c r="B2020" t="str">
        <x:v>A-01988</x:v>
      </x:c>
      <x:c r="C2020" t="str">
        <x:v>GATE</x:v>
      </x:c>
      <x:c r="D2020" t="str">
        <x:v>release state mirrors governing ledger</x:v>
      </x:c>
      <x:c r="E2020" t="str">
        <x:f>'Release Gates'!I1994</x:f>
        <x:v>OPEN</x:v>
      </x:c>
      <x:c r="F2020" t="str">
        <x:f>IF('Release Gates'!C1994="PLANNING","PASS",IF('Release Gates'!C1994="PHYSICAL","OPEN","BLOCKED"))</x:f>
        <x:v>OPEN</x:v>
      </x:c>
      <x:c r="G2020" t="str">
        <x:v>equals</x:v>
      </x:c>
      <x:c r="H2020" t="str">
        <x:f>IF(E2020=F2020,"PASS","FAIL")</x:f>
        <x:v>PASS</x:v>
      </x:c>
    </x:row>
    <x:row r="2021">
      <x:c r="B2021" t="str">
        <x:v>A-01989</x:v>
      </x:c>
      <x:c r="C2021" t="str">
        <x:v>GATE</x:v>
      </x:c>
      <x:c r="D2021" t="str">
        <x:v>release state mirrors governing ledger</x:v>
      </x:c>
      <x:c r="E2021" t="str">
        <x:f>'Release Gates'!I1995</x:f>
        <x:v>OPEN</x:v>
      </x:c>
      <x:c r="F2021" t="str">
        <x:f>IF('Release Gates'!C1995="PLANNING","PASS",IF('Release Gates'!C1995="PHYSICAL","OPEN","BLOCKED"))</x:f>
        <x:v>OPEN</x:v>
      </x:c>
      <x:c r="G2021" t="str">
        <x:v>equals</x:v>
      </x:c>
      <x:c r="H2021" t="str">
        <x:f>IF(E2021=F2021,"PASS","FAIL")</x:f>
        <x:v>PASS</x:v>
      </x:c>
    </x:row>
    <x:row r="2022">
      <x:c r="B2022" t="str">
        <x:v>A-01990</x:v>
      </x:c>
      <x:c r="C2022" t="str">
        <x:v>GATE</x:v>
      </x:c>
      <x:c r="D2022" t="str">
        <x:v>release state mirrors governing ledger</x:v>
      </x:c>
      <x:c r="E2022" t="str">
        <x:f>'Release Gates'!I1996</x:f>
        <x:v>OPEN</x:v>
      </x:c>
      <x:c r="F2022" t="str">
        <x:f>IF('Release Gates'!C1996="PLANNING","PASS",IF('Release Gates'!C1996="PHYSICAL","OPEN","BLOCKED"))</x:f>
        <x:v>OPEN</x:v>
      </x:c>
      <x:c r="G2022" t="str">
        <x:v>equals</x:v>
      </x:c>
      <x:c r="H2022" t="str">
        <x:f>IF(E2022=F2022,"PASS","FAIL")</x:f>
        <x:v>PASS</x:v>
      </x:c>
    </x:row>
    <x:row r="2023">
      <x:c r="B2023" t="str">
        <x:v>A-01991</x:v>
      </x:c>
      <x:c r="C2023" t="str">
        <x:v>GATE</x:v>
      </x:c>
      <x:c r="D2023" t="str">
        <x:v>release state mirrors governing ledger</x:v>
      </x:c>
      <x:c r="E2023" t="str">
        <x:f>'Release Gates'!I1997</x:f>
        <x:v>OPEN</x:v>
      </x:c>
      <x:c r="F2023" t="str">
        <x:f>IF('Release Gates'!C1997="PLANNING","PASS",IF('Release Gates'!C1997="PHYSICAL","OPEN","BLOCKED"))</x:f>
        <x:v>OPEN</x:v>
      </x:c>
      <x:c r="G2023" t="str">
        <x:v>equals</x:v>
      </x:c>
      <x:c r="H2023" t="str">
        <x:f>IF(E2023=F2023,"PASS","FAIL")</x:f>
        <x:v>PASS</x:v>
      </x:c>
    </x:row>
    <x:row r="2024">
      <x:c r="B2024" t="str">
        <x:v>A-01992</x:v>
      </x:c>
      <x:c r="C2024" t="str">
        <x:v>GATE</x:v>
      </x:c>
      <x:c r="D2024" t="str">
        <x:v>release state mirrors governing ledger</x:v>
      </x:c>
      <x:c r="E2024" t="str">
        <x:f>'Release Gates'!I1998</x:f>
        <x:v>OPEN</x:v>
      </x:c>
      <x:c r="F2024" t="str">
        <x:f>IF('Release Gates'!C1998="PLANNING","PASS",IF('Release Gates'!C1998="PHYSICAL","OPEN","BLOCKED"))</x:f>
        <x:v>OPEN</x:v>
      </x:c>
      <x:c r="G2024" t="str">
        <x:v>equals</x:v>
      </x:c>
      <x:c r="H2024" t="str">
        <x:f>IF(E2024=F2024,"PASS","FAIL")</x:f>
        <x:v>PASS</x:v>
      </x:c>
    </x:row>
    <x:row r="2025">
      <x:c r="B2025" t="str">
        <x:v>A-01993</x:v>
      </x:c>
      <x:c r="C2025" t="str">
        <x:v>GATE</x:v>
      </x:c>
      <x:c r="D2025" t="str">
        <x:v>release state mirrors governing ledger</x:v>
      </x:c>
      <x:c r="E2025" t="str">
        <x:f>'Release Gates'!I1999</x:f>
        <x:v>OPEN</x:v>
      </x:c>
      <x:c r="F2025" t="str">
        <x:f>IF('Release Gates'!C1999="PLANNING","PASS",IF('Release Gates'!C1999="PHYSICAL","OPEN","BLOCKED"))</x:f>
        <x:v>OPEN</x:v>
      </x:c>
      <x:c r="G2025" t="str">
        <x:v>equals</x:v>
      </x:c>
      <x:c r="H2025" t="str">
        <x:f>IF(E2025=F2025,"PASS","FAIL")</x:f>
        <x:v>PASS</x:v>
      </x:c>
    </x:row>
    <x:row r="2026">
      <x:c r="B2026" t="str">
        <x:v>A-01994</x:v>
      </x:c>
      <x:c r="C2026" t="str">
        <x:v>GATE</x:v>
      </x:c>
      <x:c r="D2026" t="str">
        <x:v>release state mirrors governing ledger</x:v>
      </x:c>
      <x:c r="E2026" t="str">
        <x:f>'Release Gates'!I2000</x:f>
        <x:v>OPEN</x:v>
      </x:c>
      <x:c r="F2026" t="str">
        <x:f>IF('Release Gates'!C2000="PLANNING","PASS",IF('Release Gates'!C2000="PHYSICAL","OPEN","BLOCKED"))</x:f>
        <x:v>OPEN</x:v>
      </x:c>
      <x:c r="G2026" t="str">
        <x:v>equals</x:v>
      </x:c>
      <x:c r="H2026" t="str">
        <x:f>IF(E2026=F2026,"PASS","FAIL")</x:f>
        <x:v>PASS</x:v>
      </x:c>
    </x:row>
    <x:row r="2027">
      <x:c r="B2027" t="str">
        <x:v>A-01995</x:v>
      </x:c>
      <x:c r="C2027" t="str">
        <x:v>GATE</x:v>
      </x:c>
      <x:c r="D2027" t="str">
        <x:v>release state mirrors governing ledger</x:v>
      </x:c>
      <x:c r="E2027" t="str">
        <x:f>'Release Gates'!I2001</x:f>
        <x:v>OPEN</x:v>
      </x:c>
      <x:c r="F2027" t="str">
        <x:f>IF('Release Gates'!C2001="PLANNING","PASS",IF('Release Gates'!C2001="PHYSICAL","OPEN","BLOCKED"))</x:f>
        <x:v>OPEN</x:v>
      </x:c>
      <x:c r="G2027" t="str">
        <x:v>equals</x:v>
      </x:c>
      <x:c r="H2027" t="str">
        <x:f>IF(E2027=F2027,"PASS","FAIL")</x:f>
        <x:v>PASS</x:v>
      </x:c>
    </x:row>
    <x:row r="2028">
      <x:c r="B2028" t="str">
        <x:v>A-01996</x:v>
      </x:c>
      <x:c r="C2028" t="str">
        <x:v>GATE</x:v>
      </x:c>
      <x:c r="D2028" t="str">
        <x:v>release state mirrors governing ledger</x:v>
      </x:c>
      <x:c r="E2028" t="str">
        <x:f>'Release Gates'!I2002</x:f>
        <x:v>OPEN</x:v>
      </x:c>
      <x:c r="F2028" t="str">
        <x:f>IF('Release Gates'!C2002="PLANNING","PASS",IF('Release Gates'!C2002="PHYSICAL","OPEN","BLOCKED"))</x:f>
        <x:v>OPEN</x:v>
      </x:c>
      <x:c r="G2028" t="str">
        <x:v>equals</x:v>
      </x:c>
      <x:c r="H2028" t="str">
        <x:f>IF(E2028=F2028,"PASS","FAIL")</x:f>
        <x:v>PASS</x:v>
      </x:c>
    </x:row>
    <x:row r="2029">
      <x:c r="B2029" t="str">
        <x:v>A-01997</x:v>
      </x:c>
      <x:c r="C2029" t="str">
        <x:v>GATE</x:v>
      </x:c>
      <x:c r="D2029" t="str">
        <x:v>release state mirrors governing ledger</x:v>
      </x:c>
      <x:c r="E2029" t="str">
        <x:f>'Release Gates'!I2003</x:f>
        <x:v>OPEN</x:v>
      </x:c>
      <x:c r="F2029" t="str">
        <x:f>IF('Release Gates'!C2003="PLANNING","PASS",IF('Release Gates'!C2003="PHYSICAL","OPEN","BLOCKED"))</x:f>
        <x:v>OPEN</x:v>
      </x:c>
      <x:c r="G2029" t="str">
        <x:v>equals</x:v>
      </x:c>
      <x:c r="H2029" t="str">
        <x:f>IF(E2029=F2029,"PASS","FAIL")</x:f>
        <x:v>PASS</x:v>
      </x:c>
    </x:row>
    <x:row r="2030">
      <x:c r="B2030" t="str">
        <x:v>A-01998</x:v>
      </x:c>
      <x:c r="C2030" t="str">
        <x:v>GATE</x:v>
      </x:c>
      <x:c r="D2030" t="str">
        <x:v>release state mirrors governing ledger</x:v>
      </x:c>
      <x:c r="E2030" t="str">
        <x:f>'Release Gates'!I2004</x:f>
        <x:v>OPEN</x:v>
      </x:c>
      <x:c r="F2030" t="str">
        <x:f>IF('Release Gates'!C2004="PLANNING","PASS",IF('Release Gates'!C2004="PHYSICAL","OPEN","BLOCKED"))</x:f>
        <x:v>OPEN</x:v>
      </x:c>
      <x:c r="G2030" t="str">
        <x:v>equals</x:v>
      </x:c>
      <x:c r="H2030" t="str">
        <x:f>IF(E2030=F2030,"PASS","FAIL")</x:f>
        <x:v>PASS</x:v>
      </x:c>
    </x:row>
    <x:row r="2031">
      <x:c r="B2031" t="str">
        <x:v>A-01999</x:v>
      </x:c>
      <x:c r="C2031" t="str">
        <x:v>GATE</x:v>
      </x:c>
      <x:c r="D2031" t="str">
        <x:v>release state mirrors governing ledger</x:v>
      </x:c>
      <x:c r="E2031" t="str">
        <x:f>'Release Gates'!I2005</x:f>
        <x:v>OPEN</x:v>
      </x:c>
      <x:c r="F2031" t="str">
        <x:f>IF('Release Gates'!C2005="PLANNING","PASS",IF('Release Gates'!C2005="PHYSICAL","OPEN","BLOCKED"))</x:f>
        <x:v>OPEN</x:v>
      </x:c>
      <x:c r="G2031" t="str">
        <x:v>equals</x:v>
      </x:c>
      <x:c r="H2031" t="str">
        <x:f>IF(E2031=F2031,"PASS","FAIL")</x:f>
        <x:v>PASS</x:v>
      </x:c>
    </x:row>
    <x:row r="2032">
      <x:c r="B2032" t="str">
        <x:v>A-02000</x:v>
      </x:c>
      <x:c r="C2032" t="str">
        <x:v>GATE</x:v>
      </x:c>
      <x:c r="D2032" t="str">
        <x:v>release state mirrors governing ledger</x:v>
      </x:c>
      <x:c r="E2032" t="str">
        <x:f>'Release Gates'!I2006</x:f>
        <x:v>OPEN</x:v>
      </x:c>
      <x:c r="F2032" t="str">
        <x:f>IF('Release Gates'!C2006="PLANNING","PASS",IF('Release Gates'!C2006="PHYSICAL","OPEN","BLOCKED"))</x:f>
        <x:v>OPEN</x:v>
      </x:c>
      <x:c r="G2032" t="str">
        <x:v>equals</x:v>
      </x:c>
      <x:c r="H2032" t="str">
        <x:f>IF(E2032=F2032,"PASS","FAIL")</x:f>
        <x:v>PASS</x:v>
      </x:c>
    </x:row>
    <x:row r="2033">
      <x:c r="B2033" t="str">
        <x:v>A-02001</x:v>
      </x:c>
      <x:c r="C2033" t="str">
        <x:v>GATE</x:v>
      </x:c>
      <x:c r="D2033" t="str">
        <x:v>release state mirrors governing ledger</x:v>
      </x:c>
      <x:c r="E2033" t="str">
        <x:f>'Release Gates'!I2007</x:f>
        <x:v>OPEN</x:v>
      </x:c>
      <x:c r="F2033" t="str">
        <x:f>IF('Release Gates'!C2007="PLANNING","PASS",IF('Release Gates'!C2007="PHYSICAL","OPEN","BLOCKED"))</x:f>
        <x:v>OPEN</x:v>
      </x:c>
      <x:c r="G2033" t="str">
        <x:v>equals</x:v>
      </x:c>
      <x:c r="H2033" t="str">
        <x:f>IF(E2033=F2033,"PASS","FAIL")</x:f>
        <x:v>PASS</x:v>
      </x:c>
    </x:row>
    <x:row r="2034">
      <x:c r="B2034" t="str">
        <x:v>A-02002</x:v>
      </x:c>
      <x:c r="C2034" t="str">
        <x:v>GATE</x:v>
      </x:c>
      <x:c r="D2034" t="str">
        <x:v>release state mirrors governing ledger</x:v>
      </x:c>
      <x:c r="E2034" t="str">
        <x:f>'Release Gates'!I2008</x:f>
        <x:v>OPEN</x:v>
      </x:c>
      <x:c r="F2034" t="str">
        <x:f>IF('Release Gates'!C2008="PLANNING","PASS",IF('Release Gates'!C2008="PHYSICAL","OPEN","BLOCKED"))</x:f>
        <x:v>OPEN</x:v>
      </x:c>
      <x:c r="G2034" t="str">
        <x:v>equals</x:v>
      </x:c>
      <x:c r="H2034" t="str">
        <x:f>IF(E2034=F2034,"PASS","FAIL")</x:f>
        <x:v>PASS</x:v>
      </x:c>
    </x:row>
    <x:row r="2035">
      <x:c r="B2035" t="str">
        <x:v>A-02003</x:v>
      </x:c>
      <x:c r="C2035" t="str">
        <x:v>GATE</x:v>
      </x:c>
      <x:c r="D2035" t="str">
        <x:v>release state mirrors governing ledger</x:v>
      </x:c>
      <x:c r="E2035" t="str">
        <x:f>'Release Gates'!I2009</x:f>
        <x:v>OPEN</x:v>
      </x:c>
      <x:c r="F2035" t="str">
        <x:f>IF('Release Gates'!C2009="PLANNING","PASS",IF('Release Gates'!C2009="PHYSICAL","OPEN","BLOCKED"))</x:f>
        <x:v>OPEN</x:v>
      </x:c>
      <x:c r="G2035" t="str">
        <x:v>equals</x:v>
      </x:c>
      <x:c r="H2035" t="str">
        <x:f>IF(E2035=F2035,"PASS","FAIL")</x:f>
        <x:v>PASS</x:v>
      </x:c>
    </x:row>
    <x:row r="2036">
      <x:c r="B2036" t="str">
        <x:v>A-02004</x:v>
      </x:c>
      <x:c r="C2036" t="str">
        <x:v>GATE</x:v>
      </x:c>
      <x:c r="D2036" t="str">
        <x:v>release state mirrors governing ledger</x:v>
      </x:c>
      <x:c r="E2036" t="str">
        <x:f>'Release Gates'!I2010</x:f>
        <x:v>OPEN</x:v>
      </x:c>
      <x:c r="F2036" t="str">
        <x:f>IF('Release Gates'!C2010="PLANNING","PASS",IF('Release Gates'!C2010="PHYSICAL","OPEN","BLOCKED"))</x:f>
        <x:v>OPEN</x:v>
      </x:c>
      <x:c r="G2036" t="str">
        <x:v>equals</x:v>
      </x:c>
      <x:c r="H2036" t="str">
        <x:f>IF(E2036=F2036,"PASS","FAIL")</x:f>
        <x:v>PASS</x:v>
      </x:c>
    </x:row>
    <x:row r="2037">
      <x:c r="B2037" t="str">
        <x:v>A-02005</x:v>
      </x:c>
      <x:c r="C2037" t="str">
        <x:v>GATE</x:v>
      </x:c>
      <x:c r="D2037" t="str">
        <x:v>release state mirrors governing ledger</x:v>
      </x:c>
      <x:c r="E2037" t="str">
        <x:f>'Release Gates'!I2011</x:f>
        <x:v>OPEN</x:v>
      </x:c>
      <x:c r="F2037" t="str">
        <x:f>IF('Release Gates'!C2011="PLANNING","PASS",IF('Release Gates'!C2011="PHYSICAL","OPEN","BLOCKED"))</x:f>
        <x:v>OPEN</x:v>
      </x:c>
      <x:c r="G2037" t="str">
        <x:v>equals</x:v>
      </x:c>
      <x:c r="H2037" t="str">
        <x:f>IF(E2037=F2037,"PASS","FAIL")</x:f>
        <x:v>PASS</x:v>
      </x:c>
    </x:row>
    <x:row r="2038">
      <x:c r="B2038" t="str">
        <x:v>A-02006</x:v>
      </x:c>
      <x:c r="C2038" t="str">
        <x:v>GATE</x:v>
      </x:c>
      <x:c r="D2038" t="str">
        <x:v>release state mirrors governing ledger</x:v>
      </x:c>
      <x:c r="E2038" t="str">
        <x:f>'Release Gates'!I2012</x:f>
        <x:v>OPEN</x:v>
      </x:c>
      <x:c r="F2038" t="str">
        <x:f>IF('Release Gates'!C2012="PLANNING","PASS",IF('Release Gates'!C2012="PHYSICAL","OPEN","BLOCKED"))</x:f>
        <x:v>OPEN</x:v>
      </x:c>
      <x:c r="G2038" t="str">
        <x:v>equals</x:v>
      </x:c>
      <x:c r="H2038" t="str">
        <x:f>IF(E2038=F2038,"PASS","FAIL")</x:f>
        <x:v>PASS</x:v>
      </x:c>
    </x:row>
    <x:row r="2039">
      <x:c r="B2039" t="str">
        <x:v>A-02007</x:v>
      </x:c>
      <x:c r="C2039" t="str">
        <x:v>GATE</x:v>
      </x:c>
      <x:c r="D2039" t="str">
        <x:v>release state mirrors governing ledger</x:v>
      </x:c>
      <x:c r="E2039" t="str">
        <x:f>'Release Gates'!I2013</x:f>
        <x:v>OPEN</x:v>
      </x:c>
      <x:c r="F2039" t="str">
        <x:f>IF('Release Gates'!C2013="PLANNING","PASS",IF('Release Gates'!C2013="PHYSICAL","OPEN","BLOCKED"))</x:f>
        <x:v>OPEN</x:v>
      </x:c>
      <x:c r="G2039" t="str">
        <x:v>equals</x:v>
      </x:c>
      <x:c r="H2039" t="str">
        <x:f>IF(E2039=F2039,"PASS","FAIL")</x:f>
        <x:v>PASS</x:v>
      </x:c>
    </x:row>
    <x:row r="2040">
      <x:c r="B2040" t="str">
        <x:v>A-02008</x:v>
      </x:c>
      <x:c r="C2040" t="str">
        <x:v>GATE</x:v>
      </x:c>
      <x:c r="D2040" t="str">
        <x:v>release state mirrors governing ledger</x:v>
      </x:c>
      <x:c r="E2040" t="str">
        <x:f>'Release Gates'!I2014</x:f>
        <x:v>OPEN</x:v>
      </x:c>
      <x:c r="F2040" t="str">
        <x:f>IF('Release Gates'!C2014="PLANNING","PASS",IF('Release Gates'!C2014="PHYSICAL","OPEN","BLOCKED"))</x:f>
        <x:v>OPEN</x:v>
      </x:c>
      <x:c r="G2040" t="str">
        <x:v>equals</x:v>
      </x:c>
      <x:c r="H2040" t="str">
        <x:f>IF(E2040=F2040,"PASS","FAIL")</x:f>
        <x:v>PASS</x:v>
      </x:c>
    </x:row>
    <x:row r="2041">
      <x:c r="B2041" t="str">
        <x:v>A-02009</x:v>
      </x:c>
      <x:c r="C2041" t="str">
        <x:v>GATE</x:v>
      </x:c>
      <x:c r="D2041" t="str">
        <x:v>release state mirrors governing ledger</x:v>
      </x:c>
      <x:c r="E2041" t="str">
        <x:f>'Release Gates'!I2015</x:f>
        <x:v>OPEN</x:v>
      </x:c>
      <x:c r="F2041" t="str">
        <x:f>IF('Release Gates'!C2015="PLANNING","PASS",IF('Release Gates'!C2015="PHYSICAL","OPEN","BLOCKED"))</x:f>
        <x:v>OPEN</x:v>
      </x:c>
      <x:c r="G2041" t="str">
        <x:v>equals</x:v>
      </x:c>
      <x:c r="H2041" t="str">
        <x:f>IF(E2041=F2041,"PASS","FAIL")</x:f>
        <x:v>PASS</x:v>
      </x:c>
    </x:row>
    <x:row r="2042">
      <x:c r="B2042" t="str">
        <x:v>A-02010</x:v>
      </x:c>
      <x:c r="C2042" t="str">
        <x:v>GATE</x:v>
      </x:c>
      <x:c r="D2042" t="str">
        <x:v>release state mirrors governing ledger</x:v>
      </x:c>
      <x:c r="E2042" t="str">
        <x:f>'Release Gates'!I2016</x:f>
        <x:v>OPEN</x:v>
      </x:c>
      <x:c r="F2042" t="str">
        <x:f>IF('Release Gates'!C2016="PLANNING","PASS",IF('Release Gates'!C2016="PHYSICAL","OPEN","BLOCKED"))</x:f>
        <x:v>OPEN</x:v>
      </x:c>
      <x:c r="G2042" t="str">
        <x:v>equals</x:v>
      </x:c>
      <x:c r="H2042" t="str">
        <x:f>IF(E2042=F2042,"PASS","FAIL")</x:f>
        <x:v>PASS</x:v>
      </x:c>
    </x:row>
    <x:row r="2043">
      <x:c r="B2043" t="str">
        <x:v>A-02011</x:v>
      </x:c>
      <x:c r="C2043" t="str">
        <x:v>GATE</x:v>
      </x:c>
      <x:c r="D2043" t="str">
        <x:v>release state mirrors governing ledger</x:v>
      </x:c>
      <x:c r="E2043" t="str">
        <x:f>'Release Gates'!I2017</x:f>
        <x:v>OPEN</x:v>
      </x:c>
      <x:c r="F2043" t="str">
        <x:f>IF('Release Gates'!C2017="PLANNING","PASS",IF('Release Gates'!C2017="PHYSICAL","OPEN","BLOCKED"))</x:f>
        <x:v>OPEN</x:v>
      </x:c>
      <x:c r="G2043" t="str">
        <x:v>equals</x:v>
      </x:c>
      <x:c r="H2043" t="str">
        <x:f>IF(E2043=F2043,"PASS","FAIL")</x:f>
        <x:v>PASS</x:v>
      </x:c>
    </x:row>
    <x:row r="2044">
      <x:c r="B2044" t="str">
        <x:v>A-02012</x:v>
      </x:c>
      <x:c r="C2044" t="str">
        <x:v>GATE</x:v>
      </x:c>
      <x:c r="D2044" t="str">
        <x:v>release state mirrors governing ledger</x:v>
      </x:c>
      <x:c r="E2044" t="str">
        <x:f>'Release Gates'!I2018</x:f>
        <x:v>OPEN</x:v>
      </x:c>
      <x:c r="F2044" t="str">
        <x:f>IF('Release Gates'!C2018="PLANNING","PASS",IF('Release Gates'!C2018="PHYSICAL","OPEN","BLOCKED"))</x:f>
        <x:v>OPEN</x:v>
      </x:c>
      <x:c r="G2044" t="str">
        <x:v>equals</x:v>
      </x:c>
      <x:c r="H2044" t="str">
        <x:f>IF(E2044=F2044,"PASS","FAIL")</x:f>
        <x:v>PASS</x:v>
      </x:c>
    </x:row>
    <x:row r="2045">
      <x:c r="B2045" t="str">
        <x:v>A-02013</x:v>
      </x:c>
      <x:c r="C2045" t="str">
        <x:v>GATE</x:v>
      </x:c>
      <x:c r="D2045" t="str">
        <x:v>release state mirrors governing ledger</x:v>
      </x:c>
      <x:c r="E2045" t="str">
        <x:f>'Release Gates'!I2019</x:f>
        <x:v>OPEN</x:v>
      </x:c>
      <x:c r="F2045" t="str">
        <x:f>IF('Release Gates'!C2019="PLANNING","PASS",IF('Release Gates'!C2019="PHYSICAL","OPEN","BLOCKED"))</x:f>
        <x:v>OPEN</x:v>
      </x:c>
      <x:c r="G2045" t="str">
        <x:v>equals</x:v>
      </x:c>
      <x:c r="H2045" t="str">
        <x:f>IF(E2045=F2045,"PASS","FAIL")</x:f>
        <x:v>PASS</x:v>
      </x:c>
    </x:row>
    <x:row r="2046">
      <x:c r="B2046" t="str">
        <x:v>A-02014</x:v>
      </x:c>
      <x:c r="C2046" t="str">
        <x:v>GATE</x:v>
      </x:c>
      <x:c r="D2046" t="str">
        <x:v>release state mirrors governing ledger</x:v>
      </x:c>
      <x:c r="E2046" t="str">
        <x:f>'Release Gates'!I2020</x:f>
        <x:v>OPEN</x:v>
      </x:c>
      <x:c r="F2046" t="str">
        <x:f>IF('Release Gates'!C2020="PLANNING","PASS",IF('Release Gates'!C2020="PHYSICAL","OPEN","BLOCKED"))</x:f>
        <x:v>OPEN</x:v>
      </x:c>
      <x:c r="G2046" t="str">
        <x:v>equals</x:v>
      </x:c>
      <x:c r="H2046" t="str">
        <x:f>IF(E2046=F2046,"PASS","FAIL")</x:f>
        <x:v>PASS</x:v>
      </x:c>
    </x:row>
    <x:row r="2047">
      <x:c r="B2047" t="str">
        <x:v>A-02015</x:v>
      </x:c>
      <x:c r="C2047" t="str">
        <x:v>GATE</x:v>
      </x:c>
      <x:c r="D2047" t="str">
        <x:v>release state mirrors governing ledger</x:v>
      </x:c>
      <x:c r="E2047" t="str">
        <x:f>'Release Gates'!I2021</x:f>
        <x:v>OPEN</x:v>
      </x:c>
      <x:c r="F2047" t="str">
        <x:f>IF('Release Gates'!C2021="PLANNING","PASS",IF('Release Gates'!C2021="PHYSICAL","OPEN","BLOCKED"))</x:f>
        <x:v>OPEN</x:v>
      </x:c>
      <x:c r="G2047" t="str">
        <x:v>equals</x:v>
      </x:c>
      <x:c r="H2047" t="str">
        <x:f>IF(E2047=F2047,"PASS","FAIL")</x:f>
        <x:v>PASS</x:v>
      </x:c>
    </x:row>
    <x:row r="2048">
      <x:c r="B2048" t="str">
        <x:v>A-02016</x:v>
      </x:c>
      <x:c r="C2048" t="str">
        <x:v>GATE</x:v>
      </x:c>
      <x:c r="D2048" t="str">
        <x:v>release state mirrors governing ledger</x:v>
      </x:c>
      <x:c r="E2048" t="str">
        <x:f>'Release Gates'!I2022</x:f>
        <x:v>OPEN</x:v>
      </x:c>
      <x:c r="F2048" t="str">
        <x:f>IF('Release Gates'!C2022="PLANNING","PASS",IF('Release Gates'!C2022="PHYSICAL","OPEN","BLOCKED"))</x:f>
        <x:v>OPEN</x:v>
      </x:c>
      <x:c r="G2048" t="str">
        <x:v>equals</x:v>
      </x:c>
      <x:c r="H2048" t="str">
        <x:f>IF(E2048=F2048,"PASS","FAIL")</x:f>
        <x:v>PASS</x:v>
      </x:c>
    </x:row>
    <x:row r="2049">
      <x:c r="B2049" t="str">
        <x:v>A-02017</x:v>
      </x:c>
      <x:c r="C2049" t="str">
        <x:v>GATE</x:v>
      </x:c>
      <x:c r="D2049" t="str">
        <x:v>release state mirrors governing ledger</x:v>
      </x:c>
      <x:c r="E2049" t="str">
        <x:f>'Release Gates'!I2023</x:f>
        <x:v>OPEN</x:v>
      </x:c>
      <x:c r="F2049" t="str">
        <x:f>IF('Release Gates'!C2023="PLANNING","PASS",IF('Release Gates'!C2023="PHYSICAL","OPEN","BLOCKED"))</x:f>
        <x:v>OPEN</x:v>
      </x:c>
      <x:c r="G2049" t="str">
        <x:v>equals</x:v>
      </x:c>
      <x:c r="H2049" t="str">
        <x:f>IF(E2049=F2049,"PASS","FAIL")</x:f>
        <x:v>PASS</x:v>
      </x:c>
    </x:row>
    <x:row r="2050">
      <x:c r="B2050" t="str">
        <x:v>A-02018</x:v>
      </x:c>
      <x:c r="C2050" t="str">
        <x:v>GATE</x:v>
      </x:c>
      <x:c r="D2050" t="str">
        <x:v>release state mirrors governing ledger</x:v>
      </x:c>
      <x:c r="E2050" t="str">
        <x:f>'Release Gates'!I2024</x:f>
        <x:v>OPEN</x:v>
      </x:c>
      <x:c r="F2050" t="str">
        <x:f>IF('Release Gates'!C2024="PLANNING","PASS",IF('Release Gates'!C2024="PHYSICAL","OPEN","BLOCKED"))</x:f>
        <x:v>OPEN</x:v>
      </x:c>
      <x:c r="G2050" t="str">
        <x:v>equals</x:v>
      </x:c>
      <x:c r="H2050" t="str">
        <x:f>IF(E2050=F2050,"PASS","FAIL")</x:f>
        <x:v>PASS</x:v>
      </x:c>
    </x:row>
    <x:row r="2051">
      <x:c r="B2051" t="str">
        <x:v>A-02019</x:v>
      </x:c>
      <x:c r="C2051" t="str">
        <x:v>GATE</x:v>
      </x:c>
      <x:c r="D2051" t="str">
        <x:v>release state mirrors governing ledger</x:v>
      </x:c>
      <x:c r="E2051" t="str">
        <x:f>'Release Gates'!I2025</x:f>
        <x:v>OPEN</x:v>
      </x:c>
      <x:c r="F2051" t="str">
        <x:f>IF('Release Gates'!C2025="PLANNING","PASS",IF('Release Gates'!C2025="PHYSICAL","OPEN","BLOCKED"))</x:f>
        <x:v>OPEN</x:v>
      </x:c>
      <x:c r="G2051" t="str">
        <x:v>equals</x:v>
      </x:c>
      <x:c r="H2051" t="str">
        <x:f>IF(E2051=F2051,"PASS","FAIL")</x:f>
        <x:v>PASS</x:v>
      </x:c>
    </x:row>
    <x:row r="2052">
      <x:c r="B2052" t="str">
        <x:v>A-02020</x:v>
      </x:c>
      <x:c r="C2052" t="str">
        <x:v>GATE</x:v>
      </x:c>
      <x:c r="D2052" t="str">
        <x:v>release state mirrors governing ledger</x:v>
      </x:c>
      <x:c r="E2052" t="str">
        <x:f>'Release Gates'!I2026</x:f>
        <x:v>OPEN</x:v>
      </x:c>
      <x:c r="F2052" t="str">
        <x:f>IF('Release Gates'!C2026="PLANNING","PASS",IF('Release Gates'!C2026="PHYSICAL","OPEN","BLOCKED"))</x:f>
        <x:v>OPEN</x:v>
      </x:c>
      <x:c r="G2052" t="str">
        <x:v>equals</x:v>
      </x:c>
      <x:c r="H2052" t="str">
        <x:f>IF(E2052=F2052,"PASS","FAIL")</x:f>
        <x:v>PASS</x:v>
      </x:c>
    </x:row>
    <x:row r="2053">
      <x:c r="B2053" t="str">
        <x:v>A-02021</x:v>
      </x:c>
      <x:c r="C2053" t="str">
        <x:v>GATE</x:v>
      </x:c>
      <x:c r="D2053" t="str">
        <x:v>release state mirrors governing ledger</x:v>
      </x:c>
      <x:c r="E2053" t="str">
        <x:f>'Release Gates'!I2027</x:f>
        <x:v>OPEN</x:v>
      </x:c>
      <x:c r="F2053" t="str">
        <x:f>IF('Release Gates'!C2027="PLANNING","PASS",IF('Release Gates'!C2027="PHYSICAL","OPEN","BLOCKED"))</x:f>
        <x:v>OPEN</x:v>
      </x:c>
      <x:c r="G2053" t="str">
        <x:v>equals</x:v>
      </x:c>
      <x:c r="H2053" t="str">
        <x:f>IF(E2053=F2053,"PASS","FAIL")</x:f>
        <x:v>PASS</x:v>
      </x:c>
    </x:row>
    <x:row r="2054">
      <x:c r="B2054" t="str">
        <x:v>A-02022</x:v>
      </x:c>
      <x:c r="C2054" t="str">
        <x:v>GATE</x:v>
      </x:c>
      <x:c r="D2054" t="str">
        <x:v>release state mirrors governing ledger</x:v>
      </x:c>
      <x:c r="E2054" t="str">
        <x:f>'Release Gates'!I2028</x:f>
        <x:v>OPEN</x:v>
      </x:c>
      <x:c r="F2054" t="str">
        <x:f>IF('Release Gates'!C2028="PLANNING","PASS",IF('Release Gates'!C2028="PHYSICAL","OPEN","BLOCKED"))</x:f>
        <x:v>OPEN</x:v>
      </x:c>
      <x:c r="G2054" t="str">
        <x:v>equals</x:v>
      </x:c>
      <x:c r="H2054" t="str">
        <x:f>IF(E2054=F2054,"PASS","FAIL")</x:f>
        <x:v>PASS</x:v>
      </x:c>
    </x:row>
    <x:row r="2055">
      <x:c r="B2055" t="str">
        <x:v>A-02023</x:v>
      </x:c>
      <x:c r="C2055" t="str">
        <x:v>GATE</x:v>
      </x:c>
      <x:c r="D2055" t="str">
        <x:v>release state mirrors governing ledger</x:v>
      </x:c>
      <x:c r="E2055" t="str">
        <x:f>'Release Gates'!I2029</x:f>
        <x:v>OPEN</x:v>
      </x:c>
      <x:c r="F2055" t="str">
        <x:f>IF('Release Gates'!C2029="PLANNING","PASS",IF('Release Gates'!C2029="PHYSICAL","OPEN","BLOCKED"))</x:f>
        <x:v>OPEN</x:v>
      </x:c>
      <x:c r="G2055" t="str">
        <x:v>equals</x:v>
      </x:c>
      <x:c r="H2055" t="str">
        <x:f>IF(E2055=F2055,"PASS","FAIL")</x:f>
        <x:v>PASS</x:v>
      </x:c>
    </x:row>
    <x:row r="2056">
      <x:c r="B2056" t="str">
        <x:v>A-02024</x:v>
      </x:c>
      <x:c r="C2056" t="str">
        <x:v>GATE</x:v>
      </x:c>
      <x:c r="D2056" t="str">
        <x:v>release state mirrors governing ledger</x:v>
      </x:c>
      <x:c r="E2056" t="str">
        <x:f>'Release Gates'!I2030</x:f>
        <x:v>OPEN</x:v>
      </x:c>
      <x:c r="F2056" t="str">
        <x:f>IF('Release Gates'!C2030="PLANNING","PASS",IF('Release Gates'!C2030="PHYSICAL","OPEN","BLOCKED"))</x:f>
        <x:v>OPEN</x:v>
      </x:c>
      <x:c r="G2056" t="str">
        <x:v>equals</x:v>
      </x:c>
      <x:c r="H2056" t="str">
        <x:f>IF(E2056=F2056,"PASS","FAIL")</x:f>
        <x:v>PASS</x:v>
      </x:c>
    </x:row>
    <x:row r="2057">
      <x:c r="B2057" t="str">
        <x:v>A-02025</x:v>
      </x:c>
      <x:c r="C2057" t="str">
        <x:v>GATE</x:v>
      </x:c>
      <x:c r="D2057" t="str">
        <x:v>release state mirrors governing ledger</x:v>
      </x:c>
      <x:c r="E2057" t="str">
        <x:f>'Release Gates'!I2031</x:f>
        <x:v>OPEN</x:v>
      </x:c>
      <x:c r="F2057" t="str">
        <x:f>IF('Release Gates'!C2031="PLANNING","PASS",IF('Release Gates'!C2031="PHYSICAL","OPEN","BLOCKED"))</x:f>
        <x:v>OPEN</x:v>
      </x:c>
      <x:c r="G2057" t="str">
        <x:v>equals</x:v>
      </x:c>
      <x:c r="H2057" t="str">
        <x:f>IF(E2057=F2057,"PASS","FAIL")</x:f>
        <x:v>PASS</x:v>
      </x:c>
    </x:row>
    <x:row r="2058">
      <x:c r="B2058" t="str">
        <x:v>A-02026</x:v>
      </x:c>
      <x:c r="C2058" t="str">
        <x:v>GATE</x:v>
      </x:c>
      <x:c r="D2058" t="str">
        <x:v>release state mirrors governing ledger</x:v>
      </x:c>
      <x:c r="E2058" t="str">
        <x:f>'Release Gates'!I2032</x:f>
        <x:v>OPEN</x:v>
      </x:c>
      <x:c r="F2058" t="str">
        <x:f>IF('Release Gates'!C2032="PLANNING","PASS",IF('Release Gates'!C2032="PHYSICAL","OPEN","BLOCKED"))</x:f>
        <x:v>OPEN</x:v>
      </x:c>
      <x:c r="G2058" t="str">
        <x:v>equals</x:v>
      </x:c>
      <x:c r="H2058" t="str">
        <x:f>IF(E2058=F2058,"PASS","FAIL")</x:f>
        <x:v>PASS</x:v>
      </x:c>
    </x:row>
    <x:row r="2059">
      <x:c r="B2059" t="str">
        <x:v>A-02027</x:v>
      </x:c>
      <x:c r="C2059" t="str">
        <x:v>GATE</x:v>
      </x:c>
      <x:c r="D2059" t="str">
        <x:v>release state mirrors governing ledger</x:v>
      </x:c>
      <x:c r="E2059" t="str">
        <x:f>'Release Gates'!I2033</x:f>
        <x:v>OPEN</x:v>
      </x:c>
      <x:c r="F2059" t="str">
        <x:f>IF('Release Gates'!C2033="PLANNING","PASS",IF('Release Gates'!C2033="PHYSICAL","OPEN","BLOCKED"))</x:f>
        <x:v>OPEN</x:v>
      </x:c>
      <x:c r="G2059" t="str">
        <x:v>equals</x:v>
      </x:c>
      <x:c r="H2059" t="str">
        <x:f>IF(E2059=F2059,"PASS","FAIL")</x:f>
        <x:v>PASS</x:v>
      </x:c>
    </x:row>
    <x:row r="2060">
      <x:c r="B2060" t="str">
        <x:v>A-02028</x:v>
      </x:c>
      <x:c r="C2060" t="str">
        <x:v>GATE</x:v>
      </x:c>
      <x:c r="D2060" t="str">
        <x:v>release state mirrors governing ledger</x:v>
      </x:c>
      <x:c r="E2060" t="str">
        <x:f>'Release Gates'!I2034</x:f>
        <x:v>OPEN</x:v>
      </x:c>
      <x:c r="F2060" t="str">
        <x:f>IF('Release Gates'!C2034="PLANNING","PASS",IF('Release Gates'!C2034="PHYSICAL","OPEN","BLOCKED"))</x:f>
        <x:v>OPEN</x:v>
      </x:c>
      <x:c r="G2060" t="str">
        <x:v>equals</x:v>
      </x:c>
      <x:c r="H2060" t="str">
        <x:f>IF(E2060=F2060,"PASS","FAIL")</x:f>
        <x:v>PASS</x:v>
      </x:c>
    </x:row>
    <x:row r="2061">
      <x:c r="B2061" t="str">
        <x:v>A-02029</x:v>
      </x:c>
      <x:c r="C2061" t="str">
        <x:v>GATE</x:v>
      </x:c>
      <x:c r="D2061" t="str">
        <x:v>release state mirrors governing ledger</x:v>
      </x:c>
      <x:c r="E2061" t="str">
        <x:f>'Release Gates'!I2035</x:f>
        <x:v>OPEN</x:v>
      </x:c>
      <x:c r="F2061" t="str">
        <x:f>IF('Release Gates'!C2035="PLANNING","PASS",IF('Release Gates'!C2035="PHYSICAL","OPEN","BLOCKED"))</x:f>
        <x:v>OPEN</x:v>
      </x:c>
      <x:c r="G2061" t="str">
        <x:v>equals</x:v>
      </x:c>
      <x:c r="H2061" t="str">
        <x:f>IF(E2061=F2061,"PASS","FAIL")</x:f>
        <x:v>PASS</x:v>
      </x:c>
    </x:row>
    <x:row r="2062">
      <x:c r="B2062" t="str">
        <x:v>A-02030</x:v>
      </x:c>
      <x:c r="C2062" t="str">
        <x:v>GATE</x:v>
      </x:c>
      <x:c r="D2062" t="str">
        <x:v>release state mirrors governing ledger</x:v>
      </x:c>
      <x:c r="E2062" t="str">
        <x:f>'Release Gates'!I2036</x:f>
        <x:v>OPEN</x:v>
      </x:c>
      <x:c r="F2062" t="str">
        <x:f>IF('Release Gates'!C2036="PLANNING","PASS",IF('Release Gates'!C2036="PHYSICAL","OPEN","BLOCKED"))</x:f>
        <x:v>OPEN</x:v>
      </x:c>
      <x:c r="G2062" t="str">
        <x:v>equals</x:v>
      </x:c>
      <x:c r="H2062" t="str">
        <x:f>IF(E2062=F2062,"PASS","FAIL")</x:f>
        <x:v>PASS</x:v>
      </x:c>
    </x:row>
    <x:row r="2063">
      <x:c r="B2063" t="str">
        <x:v>A-02031</x:v>
      </x:c>
      <x:c r="C2063" t="str">
        <x:v>GATE</x:v>
      </x:c>
      <x:c r="D2063" t="str">
        <x:v>release state mirrors governing ledger</x:v>
      </x:c>
      <x:c r="E2063" t="str">
        <x:f>'Release Gates'!I2037</x:f>
        <x:v>OPEN</x:v>
      </x:c>
      <x:c r="F2063" t="str">
        <x:f>IF('Release Gates'!C2037="PLANNING","PASS",IF('Release Gates'!C2037="PHYSICAL","OPEN","BLOCKED"))</x:f>
        <x:v>OPEN</x:v>
      </x:c>
      <x:c r="G2063" t="str">
        <x:v>equals</x:v>
      </x:c>
      <x:c r="H2063" t="str">
        <x:f>IF(E2063=F2063,"PASS","FAIL")</x:f>
        <x:v>PASS</x:v>
      </x:c>
    </x:row>
    <x:row r="2064">
      <x:c r="B2064" t="str">
        <x:v>A-02032</x:v>
      </x:c>
      <x:c r="C2064" t="str">
        <x:v>GATE</x:v>
      </x:c>
      <x:c r="D2064" t="str">
        <x:v>release state mirrors governing ledger</x:v>
      </x:c>
      <x:c r="E2064" t="str">
        <x:f>'Release Gates'!I2038</x:f>
        <x:v>OPEN</x:v>
      </x:c>
      <x:c r="F2064" t="str">
        <x:f>IF('Release Gates'!C2038="PLANNING","PASS",IF('Release Gates'!C2038="PHYSICAL","OPEN","BLOCKED"))</x:f>
        <x:v>OPEN</x:v>
      </x:c>
      <x:c r="G2064" t="str">
        <x:v>equals</x:v>
      </x:c>
      <x:c r="H2064" t="str">
        <x:f>IF(E2064=F2064,"PASS","FAIL")</x:f>
        <x:v>PASS</x:v>
      </x:c>
    </x:row>
    <x:row r="2065">
      <x:c r="B2065" t="str">
        <x:v>A-02033</x:v>
      </x:c>
      <x:c r="C2065" t="str">
        <x:v>GATE</x:v>
      </x:c>
      <x:c r="D2065" t="str">
        <x:v>release state mirrors governing ledger</x:v>
      </x:c>
      <x:c r="E2065" t="str">
        <x:f>'Release Gates'!I2039</x:f>
        <x:v>OPEN</x:v>
      </x:c>
      <x:c r="F2065" t="str">
        <x:f>IF('Release Gates'!C2039="PLANNING","PASS",IF('Release Gates'!C2039="PHYSICAL","OPEN","BLOCKED"))</x:f>
        <x:v>OPEN</x:v>
      </x:c>
      <x:c r="G2065" t="str">
        <x:v>equals</x:v>
      </x:c>
      <x:c r="H2065" t="str">
        <x:f>IF(E2065=F2065,"PASS","FAIL")</x:f>
        <x:v>PASS</x:v>
      </x:c>
    </x:row>
    <x:row r="2066">
      <x:c r="B2066" t="str">
        <x:v>A-02034</x:v>
      </x:c>
      <x:c r="C2066" t="str">
        <x:v>GATE</x:v>
      </x:c>
      <x:c r="D2066" t="str">
        <x:v>release state mirrors governing ledger</x:v>
      </x:c>
      <x:c r="E2066" t="str">
        <x:f>'Release Gates'!I2040</x:f>
        <x:v>OPEN</x:v>
      </x:c>
      <x:c r="F2066" t="str">
        <x:f>IF('Release Gates'!C2040="PLANNING","PASS",IF('Release Gates'!C2040="PHYSICAL","OPEN","BLOCKED"))</x:f>
        <x:v>OPEN</x:v>
      </x:c>
      <x:c r="G2066" t="str">
        <x:v>equals</x:v>
      </x:c>
      <x:c r="H2066" t="str">
        <x:f>IF(E2066=F2066,"PASS","FAIL")</x:f>
        <x:v>PASS</x:v>
      </x:c>
    </x:row>
    <x:row r="2067">
      <x:c r="B2067" t="str">
        <x:v>A-02035</x:v>
      </x:c>
      <x:c r="C2067" t="str">
        <x:v>GATE</x:v>
      </x:c>
      <x:c r="D2067" t="str">
        <x:v>release state mirrors governing ledger</x:v>
      </x:c>
      <x:c r="E2067" t="str">
        <x:f>'Release Gates'!I2041</x:f>
        <x:v>OPEN</x:v>
      </x:c>
      <x:c r="F2067" t="str">
        <x:f>IF('Release Gates'!C2041="PLANNING","PASS",IF('Release Gates'!C2041="PHYSICAL","OPEN","BLOCKED"))</x:f>
        <x:v>OPEN</x:v>
      </x:c>
      <x:c r="G2067" t="str">
        <x:v>equals</x:v>
      </x:c>
      <x:c r="H2067" t="str">
        <x:f>IF(E2067=F2067,"PASS","FAIL")</x:f>
        <x:v>PASS</x:v>
      </x:c>
    </x:row>
    <x:row r="2068">
      <x:c r="B2068" t="str">
        <x:v>A-02036</x:v>
      </x:c>
      <x:c r="C2068" t="str">
        <x:v>GATE</x:v>
      </x:c>
      <x:c r="D2068" t="str">
        <x:v>release state mirrors governing ledger</x:v>
      </x:c>
      <x:c r="E2068" t="str">
        <x:f>'Release Gates'!I2042</x:f>
        <x:v>OPEN</x:v>
      </x:c>
      <x:c r="F2068" t="str">
        <x:f>IF('Release Gates'!C2042="PLANNING","PASS",IF('Release Gates'!C2042="PHYSICAL","OPEN","BLOCKED"))</x:f>
        <x:v>OPEN</x:v>
      </x:c>
      <x:c r="G2068" t="str">
        <x:v>equals</x:v>
      </x:c>
      <x:c r="H2068" t="str">
        <x:f>IF(E2068=F2068,"PASS","FAIL")</x:f>
        <x:v>PASS</x:v>
      </x:c>
    </x:row>
    <x:row r="2069">
      <x:c r="B2069" t="str">
        <x:v>A-02037</x:v>
      </x:c>
      <x:c r="C2069" t="str">
        <x:v>GATE</x:v>
      </x:c>
      <x:c r="D2069" t="str">
        <x:v>release state mirrors governing ledger</x:v>
      </x:c>
      <x:c r="E2069" t="str">
        <x:f>'Release Gates'!I2043</x:f>
        <x:v>OPEN</x:v>
      </x:c>
      <x:c r="F2069" t="str">
        <x:f>IF('Release Gates'!C2043="PLANNING","PASS",IF('Release Gates'!C2043="PHYSICAL","OPEN","BLOCKED"))</x:f>
        <x:v>OPEN</x:v>
      </x:c>
      <x:c r="G2069" t="str">
        <x:v>equals</x:v>
      </x:c>
      <x:c r="H2069" t="str">
        <x:f>IF(E2069=F2069,"PASS","FAIL")</x:f>
        <x:v>PASS</x:v>
      </x:c>
    </x:row>
    <x:row r="2070">
      <x:c r="B2070" t="str">
        <x:v>A-02038</x:v>
      </x:c>
      <x:c r="C2070" t="str">
        <x:v>GATE</x:v>
      </x:c>
      <x:c r="D2070" t="str">
        <x:v>release state mirrors governing ledger</x:v>
      </x:c>
      <x:c r="E2070" t="str">
        <x:f>'Release Gates'!I2044</x:f>
        <x:v>OPEN</x:v>
      </x:c>
      <x:c r="F2070" t="str">
        <x:f>IF('Release Gates'!C2044="PLANNING","PASS",IF('Release Gates'!C2044="PHYSICAL","OPEN","BLOCKED"))</x:f>
        <x:v>OPEN</x:v>
      </x:c>
      <x:c r="G2070" t="str">
        <x:v>equals</x:v>
      </x:c>
      <x:c r="H2070" t="str">
        <x:f>IF(E2070=F2070,"PASS","FAIL")</x:f>
        <x:v>PASS</x:v>
      </x:c>
    </x:row>
    <x:row r="2071">
      <x:c r="B2071" t="str">
        <x:v>A-02039</x:v>
      </x:c>
      <x:c r="C2071" t="str">
        <x:v>GATE</x:v>
      </x:c>
      <x:c r="D2071" t="str">
        <x:v>release state mirrors governing ledger</x:v>
      </x:c>
      <x:c r="E2071" t="str">
        <x:f>'Release Gates'!I2045</x:f>
        <x:v>OPEN</x:v>
      </x:c>
      <x:c r="F2071" t="str">
        <x:f>IF('Release Gates'!C2045="PLANNING","PASS",IF('Release Gates'!C2045="PHYSICAL","OPEN","BLOCKED"))</x:f>
        <x:v>OPEN</x:v>
      </x:c>
      <x:c r="G2071" t="str">
        <x:v>equals</x:v>
      </x:c>
      <x:c r="H2071" t="str">
        <x:f>IF(E2071=F2071,"PASS","FAIL")</x:f>
        <x:v>PASS</x:v>
      </x:c>
    </x:row>
    <x:row r="2072">
      <x:c r="B2072" t="str">
        <x:v>A-02040</x:v>
      </x:c>
      <x:c r="C2072" t="str">
        <x:v>GATE</x:v>
      </x:c>
      <x:c r="D2072" t="str">
        <x:v>release state mirrors governing ledger</x:v>
      </x:c>
      <x:c r="E2072" t="str">
        <x:f>'Release Gates'!I2046</x:f>
        <x:v>OPEN</x:v>
      </x:c>
      <x:c r="F2072" t="str">
        <x:f>IF('Release Gates'!C2046="PLANNING","PASS",IF('Release Gates'!C2046="PHYSICAL","OPEN","BLOCKED"))</x:f>
        <x:v>OPEN</x:v>
      </x:c>
      <x:c r="G2072" t="str">
        <x:v>equals</x:v>
      </x:c>
      <x:c r="H2072" t="str">
        <x:f>IF(E2072=F2072,"PASS","FAIL")</x:f>
        <x:v>PASS</x:v>
      </x:c>
    </x:row>
    <x:row r="2073">
      <x:c r="B2073" t="str">
        <x:v>A-02041</x:v>
      </x:c>
      <x:c r="C2073" t="str">
        <x:v>GATE</x:v>
      </x:c>
      <x:c r="D2073" t="str">
        <x:v>release state mirrors governing ledger</x:v>
      </x:c>
      <x:c r="E2073" t="str">
        <x:f>'Release Gates'!I2047</x:f>
        <x:v>OPEN</x:v>
      </x:c>
      <x:c r="F2073" t="str">
        <x:f>IF('Release Gates'!C2047="PLANNING","PASS",IF('Release Gates'!C2047="PHYSICAL","OPEN","BLOCKED"))</x:f>
        <x:v>OPEN</x:v>
      </x:c>
      <x:c r="G2073" t="str">
        <x:v>equals</x:v>
      </x:c>
      <x:c r="H2073" t="str">
        <x:f>IF(E2073=F2073,"PASS","FAIL")</x:f>
        <x:v>PASS</x:v>
      </x:c>
    </x:row>
    <x:row r="2074">
      <x:c r="B2074" t="str">
        <x:v>A-02042</x:v>
      </x:c>
      <x:c r="C2074" t="str">
        <x:v>GATE</x:v>
      </x:c>
      <x:c r="D2074" t="str">
        <x:v>release state mirrors governing ledger</x:v>
      </x:c>
      <x:c r="E2074" t="str">
        <x:f>'Release Gates'!I2048</x:f>
        <x:v>OPEN</x:v>
      </x:c>
      <x:c r="F2074" t="str">
        <x:f>IF('Release Gates'!C2048="PLANNING","PASS",IF('Release Gates'!C2048="PHYSICAL","OPEN","BLOCKED"))</x:f>
        <x:v>OPEN</x:v>
      </x:c>
      <x:c r="G2074" t="str">
        <x:v>equals</x:v>
      </x:c>
      <x:c r="H2074" t="str">
        <x:f>IF(E2074=F2074,"PASS","FAIL")</x:f>
        <x:v>PASS</x:v>
      </x:c>
    </x:row>
    <x:row r="2075">
      <x:c r="B2075" t="str">
        <x:v>A-02043</x:v>
      </x:c>
      <x:c r="C2075" t="str">
        <x:v>GATE</x:v>
      </x:c>
      <x:c r="D2075" t="str">
        <x:v>release state mirrors governing ledger</x:v>
      </x:c>
      <x:c r="E2075" t="str">
        <x:f>'Release Gates'!I2049</x:f>
        <x:v>OPEN</x:v>
      </x:c>
      <x:c r="F2075" t="str">
        <x:f>IF('Release Gates'!C2049="PLANNING","PASS",IF('Release Gates'!C2049="PHYSICAL","OPEN","BLOCKED"))</x:f>
        <x:v>OPEN</x:v>
      </x:c>
      <x:c r="G2075" t="str">
        <x:v>equals</x:v>
      </x:c>
      <x:c r="H2075" t="str">
        <x:f>IF(E2075=F2075,"PASS","FAIL")</x:f>
        <x:v>PASS</x:v>
      </x:c>
    </x:row>
    <x:row r="2076">
      <x:c r="B2076" t="str">
        <x:v>A-02044</x:v>
      </x:c>
      <x:c r="C2076" t="str">
        <x:v>GATE</x:v>
      </x:c>
      <x:c r="D2076" t="str">
        <x:v>release state mirrors governing ledger</x:v>
      </x:c>
      <x:c r="E2076" t="str">
        <x:f>'Release Gates'!I2050</x:f>
        <x:v>OPEN</x:v>
      </x:c>
      <x:c r="F2076" t="str">
        <x:f>IF('Release Gates'!C2050="PLANNING","PASS",IF('Release Gates'!C2050="PHYSICAL","OPEN","BLOCKED"))</x:f>
        <x:v>OPEN</x:v>
      </x:c>
      <x:c r="G2076" t="str">
        <x:v>equals</x:v>
      </x:c>
      <x:c r="H2076" t="str">
        <x:f>IF(E2076=F2076,"PASS","FAIL")</x:f>
        <x:v>PASS</x:v>
      </x:c>
    </x:row>
    <x:row r="2077">
      <x:c r="B2077" t="str">
        <x:v>A-02045</x:v>
      </x:c>
      <x:c r="C2077" t="str">
        <x:v>GATE</x:v>
      </x:c>
      <x:c r="D2077" t="str">
        <x:v>release state mirrors governing ledger</x:v>
      </x:c>
      <x:c r="E2077" t="str">
        <x:f>'Release Gates'!I2051</x:f>
        <x:v>OPEN</x:v>
      </x:c>
      <x:c r="F2077" t="str">
        <x:f>IF('Release Gates'!C2051="PLANNING","PASS",IF('Release Gates'!C2051="PHYSICAL","OPEN","BLOCKED"))</x:f>
        <x:v>OPEN</x:v>
      </x:c>
      <x:c r="G2077" t="str">
        <x:v>equals</x:v>
      </x:c>
      <x:c r="H2077" t="str">
        <x:f>IF(E2077=F2077,"PASS","FAIL")</x:f>
        <x:v>PASS</x:v>
      </x:c>
    </x:row>
    <x:row r="2078">
      <x:c r="B2078" t="str">
        <x:v>A-02046</x:v>
      </x:c>
      <x:c r="C2078" t="str">
        <x:v>GATE</x:v>
      </x:c>
      <x:c r="D2078" t="str">
        <x:v>release state mirrors governing ledger</x:v>
      </x:c>
      <x:c r="E2078" t="str">
        <x:f>'Release Gates'!I2052</x:f>
        <x:v>OPEN</x:v>
      </x:c>
      <x:c r="F2078" t="str">
        <x:f>IF('Release Gates'!C2052="PLANNING","PASS",IF('Release Gates'!C2052="PHYSICAL","OPEN","BLOCKED"))</x:f>
        <x:v>OPEN</x:v>
      </x:c>
      <x:c r="G2078" t="str">
        <x:v>equals</x:v>
      </x:c>
      <x:c r="H2078" t="str">
        <x:f>IF(E2078=F2078,"PASS","FAIL")</x:f>
        <x:v>PASS</x:v>
      </x:c>
    </x:row>
    <x:row r="2079">
      <x:c r="B2079" t="str">
        <x:v>A-02047</x:v>
      </x:c>
      <x:c r="C2079" t="str">
        <x:v>GATE</x:v>
      </x:c>
      <x:c r="D2079" t="str">
        <x:v>release state mirrors governing ledger</x:v>
      </x:c>
      <x:c r="E2079" t="str">
        <x:f>'Release Gates'!I2053</x:f>
        <x:v>OPEN</x:v>
      </x:c>
      <x:c r="F2079" t="str">
        <x:f>IF('Release Gates'!C2053="PLANNING","PASS",IF('Release Gates'!C2053="PHYSICAL","OPEN","BLOCKED"))</x:f>
        <x:v>OPEN</x:v>
      </x:c>
      <x:c r="G2079" t="str">
        <x:v>equals</x:v>
      </x:c>
      <x:c r="H2079" t="str">
        <x:f>IF(E2079=F2079,"PASS","FAIL")</x:f>
        <x:v>PASS</x:v>
      </x:c>
    </x:row>
    <x:row r="2080">
      <x:c r="B2080" t="str">
        <x:v>A-02048</x:v>
      </x:c>
      <x:c r="C2080" t="str">
        <x:v>GATE</x:v>
      </x:c>
      <x:c r="D2080" t="str">
        <x:v>release state mirrors governing ledger</x:v>
      </x:c>
      <x:c r="E2080" t="str">
        <x:f>'Release Gates'!I2054</x:f>
        <x:v>OPEN</x:v>
      </x:c>
      <x:c r="F2080" t="str">
        <x:f>IF('Release Gates'!C2054="PLANNING","PASS",IF('Release Gates'!C2054="PHYSICAL","OPEN","BLOCKED"))</x:f>
        <x:v>OPEN</x:v>
      </x:c>
      <x:c r="G2080" t="str">
        <x:v>equals</x:v>
      </x:c>
      <x:c r="H2080" t="str">
        <x:f>IF(E2080=F2080,"PASS","FAIL")</x:f>
        <x:v>PASS</x:v>
      </x:c>
    </x:row>
    <x:row r="2081">
      <x:c r="B2081" t="str">
        <x:v>A-02049</x:v>
      </x:c>
      <x:c r="C2081" t="str">
        <x:v>GATE</x:v>
      </x:c>
      <x:c r="D2081" t="str">
        <x:v>release state mirrors governing ledger</x:v>
      </x:c>
      <x:c r="E2081" t="str">
        <x:f>'Release Gates'!I2055</x:f>
        <x:v>OPEN</x:v>
      </x:c>
      <x:c r="F2081" t="str">
        <x:f>IF('Release Gates'!C2055="PLANNING","PASS",IF('Release Gates'!C2055="PHYSICAL","OPEN","BLOCKED"))</x:f>
        <x:v>OPEN</x:v>
      </x:c>
      <x:c r="G2081" t="str">
        <x:v>equals</x:v>
      </x:c>
      <x:c r="H2081" t="str">
        <x:f>IF(E2081=F2081,"PASS","FAIL")</x:f>
        <x:v>PASS</x:v>
      </x:c>
    </x:row>
    <x:row r="2082">
      <x:c r="B2082" t="str">
        <x:v>A-02050</x:v>
      </x:c>
      <x:c r="C2082" t="str">
        <x:v>GATE</x:v>
      </x:c>
      <x:c r="D2082" t="str">
        <x:v>release state mirrors governing ledger</x:v>
      </x:c>
      <x:c r="E2082" t="str">
        <x:f>'Release Gates'!I2056</x:f>
        <x:v>OPEN</x:v>
      </x:c>
      <x:c r="F2082" t="str">
        <x:f>IF('Release Gates'!C2056="PLANNING","PASS",IF('Release Gates'!C2056="PHYSICAL","OPEN","BLOCKED"))</x:f>
        <x:v>OPEN</x:v>
      </x:c>
      <x:c r="G2082" t="str">
        <x:v>equals</x:v>
      </x:c>
      <x:c r="H2082" t="str">
        <x:f>IF(E2082=F2082,"PASS","FAIL")</x:f>
        <x:v>PASS</x:v>
      </x:c>
    </x:row>
    <x:row r="2083">
      <x:c r="B2083" t="str">
        <x:v>A-02051</x:v>
      </x:c>
      <x:c r="C2083" t="str">
        <x:v>GATE</x:v>
      </x:c>
      <x:c r="D2083" t="str">
        <x:v>release state mirrors governing ledger</x:v>
      </x:c>
      <x:c r="E2083" t="str">
        <x:f>'Release Gates'!I2057</x:f>
        <x:v>OPEN</x:v>
      </x:c>
      <x:c r="F2083" t="str">
        <x:f>IF('Release Gates'!C2057="PLANNING","PASS",IF('Release Gates'!C2057="PHYSICAL","OPEN","BLOCKED"))</x:f>
        <x:v>OPEN</x:v>
      </x:c>
      <x:c r="G2083" t="str">
        <x:v>equals</x:v>
      </x:c>
      <x:c r="H2083" t="str">
        <x:f>IF(E2083=F2083,"PASS","FAIL")</x:f>
        <x:v>PASS</x:v>
      </x:c>
    </x:row>
    <x:row r="2084">
      <x:c r="B2084" t="str">
        <x:v>A-02052</x:v>
      </x:c>
      <x:c r="C2084" t="str">
        <x:v>GATE</x:v>
      </x:c>
      <x:c r="D2084" t="str">
        <x:v>release state mirrors governing ledger</x:v>
      </x:c>
      <x:c r="E2084" t="str">
        <x:f>'Release Gates'!I2058</x:f>
        <x:v>OPEN</x:v>
      </x:c>
      <x:c r="F2084" t="str">
        <x:f>IF('Release Gates'!C2058="PLANNING","PASS",IF('Release Gates'!C2058="PHYSICAL","OPEN","BLOCKED"))</x:f>
        <x:v>OPEN</x:v>
      </x:c>
      <x:c r="G2084" t="str">
        <x:v>equals</x:v>
      </x:c>
      <x:c r="H2084" t="str">
        <x:f>IF(E2084=F2084,"PASS","FAIL")</x:f>
        <x:v>PASS</x:v>
      </x:c>
    </x:row>
    <x:row r="2085">
      <x:c r="B2085" t="str">
        <x:v>A-02053</x:v>
      </x:c>
      <x:c r="C2085" t="str">
        <x:v>GATE</x:v>
      </x:c>
      <x:c r="D2085" t="str">
        <x:v>release state mirrors governing ledger</x:v>
      </x:c>
      <x:c r="E2085" t="str">
        <x:f>'Release Gates'!I2059</x:f>
        <x:v>OPEN</x:v>
      </x:c>
      <x:c r="F2085" t="str">
        <x:f>IF('Release Gates'!C2059="PLANNING","PASS",IF('Release Gates'!C2059="PHYSICAL","OPEN","BLOCKED"))</x:f>
        <x:v>OPEN</x:v>
      </x:c>
      <x:c r="G2085" t="str">
        <x:v>equals</x:v>
      </x:c>
      <x:c r="H2085" t="str">
        <x:f>IF(E2085=F2085,"PASS","FAIL")</x:f>
        <x:v>PASS</x:v>
      </x:c>
    </x:row>
    <x:row r="2086">
      <x:c r="B2086" t="str">
        <x:v>A-02054</x:v>
      </x:c>
      <x:c r="C2086" t="str">
        <x:v>GATE</x:v>
      </x:c>
      <x:c r="D2086" t="str">
        <x:v>release state mirrors governing ledger</x:v>
      </x:c>
      <x:c r="E2086" t="str">
        <x:f>'Release Gates'!I2060</x:f>
        <x:v>OPEN</x:v>
      </x:c>
      <x:c r="F2086" t="str">
        <x:f>IF('Release Gates'!C2060="PLANNING","PASS",IF('Release Gates'!C2060="PHYSICAL","OPEN","BLOCKED"))</x:f>
        <x:v>OPEN</x:v>
      </x:c>
      <x:c r="G2086" t="str">
        <x:v>equals</x:v>
      </x:c>
      <x:c r="H2086" t="str">
        <x:f>IF(E2086=F2086,"PASS","FAIL")</x:f>
        <x:v>PASS</x:v>
      </x:c>
    </x:row>
    <x:row r="2087">
      <x:c r="B2087" t="str">
        <x:v>A-02055</x:v>
      </x:c>
      <x:c r="C2087" t="str">
        <x:v>GATE</x:v>
      </x:c>
      <x:c r="D2087" t="str">
        <x:v>release state mirrors governing ledger</x:v>
      </x:c>
      <x:c r="E2087" t="str">
        <x:f>'Release Gates'!I2061</x:f>
        <x:v>OPEN</x:v>
      </x:c>
      <x:c r="F2087" t="str">
        <x:f>IF('Release Gates'!C2061="PLANNING","PASS",IF('Release Gates'!C2061="PHYSICAL","OPEN","BLOCKED"))</x:f>
        <x:v>OPEN</x:v>
      </x:c>
      <x:c r="G2087" t="str">
        <x:v>equals</x:v>
      </x:c>
      <x:c r="H2087" t="str">
        <x:f>IF(E2087=F2087,"PASS","FAIL")</x:f>
        <x:v>PASS</x:v>
      </x:c>
    </x:row>
    <x:row r="2088">
      <x:c r="B2088" t="str">
        <x:v>A-02056</x:v>
      </x:c>
      <x:c r="C2088" t="str">
        <x:v>GATE</x:v>
      </x:c>
      <x:c r="D2088" t="str">
        <x:v>release state mirrors governing ledger</x:v>
      </x:c>
      <x:c r="E2088" t="str">
        <x:f>'Release Gates'!I2062</x:f>
        <x:v>OPEN</x:v>
      </x:c>
      <x:c r="F2088" t="str">
        <x:f>IF('Release Gates'!C2062="PLANNING","PASS",IF('Release Gates'!C2062="PHYSICAL","OPEN","BLOCKED"))</x:f>
        <x:v>OPEN</x:v>
      </x:c>
      <x:c r="G2088" t="str">
        <x:v>equals</x:v>
      </x:c>
      <x:c r="H2088" t="str">
        <x:f>IF(E2088=F2088,"PASS","FAIL")</x:f>
        <x:v>PASS</x:v>
      </x:c>
    </x:row>
    <x:row r="2089">
      <x:c r="B2089" t="str">
        <x:v>A-02057</x:v>
      </x:c>
      <x:c r="C2089" t="str">
        <x:v>GATE</x:v>
      </x:c>
      <x:c r="D2089" t="str">
        <x:v>release state mirrors governing ledger</x:v>
      </x:c>
      <x:c r="E2089" t="str">
        <x:f>'Release Gates'!I2063</x:f>
        <x:v>OPEN</x:v>
      </x:c>
      <x:c r="F2089" t="str">
        <x:f>IF('Release Gates'!C2063="PLANNING","PASS",IF('Release Gates'!C2063="PHYSICAL","OPEN","BLOCKED"))</x:f>
        <x:v>OPEN</x:v>
      </x:c>
      <x:c r="G2089" t="str">
        <x:v>equals</x:v>
      </x:c>
      <x:c r="H2089" t="str">
        <x:f>IF(E2089=F2089,"PASS","FAIL")</x:f>
        <x:v>PASS</x:v>
      </x:c>
    </x:row>
    <x:row r="2090">
      <x:c r="B2090" t="str">
        <x:v>A-02058</x:v>
      </x:c>
      <x:c r="C2090" t="str">
        <x:v>GATE</x:v>
      </x:c>
      <x:c r="D2090" t="str">
        <x:v>release state mirrors governing ledger</x:v>
      </x:c>
      <x:c r="E2090" t="str">
        <x:f>'Release Gates'!I2064</x:f>
        <x:v>OPEN</x:v>
      </x:c>
      <x:c r="F2090" t="str">
        <x:f>IF('Release Gates'!C2064="PLANNING","PASS",IF('Release Gates'!C2064="PHYSICAL","OPEN","BLOCKED"))</x:f>
        <x:v>OPEN</x:v>
      </x:c>
      <x:c r="G2090" t="str">
        <x:v>equals</x:v>
      </x:c>
      <x:c r="H2090" t="str">
        <x:f>IF(E2090=F2090,"PASS","FAIL")</x:f>
        <x:v>PASS</x:v>
      </x:c>
    </x:row>
    <x:row r="2091">
      <x:c r="B2091" t="str">
        <x:v>A-02059</x:v>
      </x:c>
      <x:c r="C2091" t="str">
        <x:v>GATE</x:v>
      </x:c>
      <x:c r="D2091" t="str">
        <x:v>release state mirrors governing ledger</x:v>
      </x:c>
      <x:c r="E2091" t="str">
        <x:f>'Release Gates'!I2065</x:f>
        <x:v>OPEN</x:v>
      </x:c>
      <x:c r="F2091" t="str">
        <x:f>IF('Release Gates'!C2065="PLANNING","PASS",IF('Release Gates'!C2065="PHYSICAL","OPEN","BLOCKED"))</x:f>
        <x:v>OPEN</x:v>
      </x:c>
      <x:c r="G2091" t="str">
        <x:v>equals</x:v>
      </x:c>
      <x:c r="H2091" t="str">
        <x:f>IF(E2091=F2091,"PASS","FAIL")</x:f>
        <x:v>PASS</x:v>
      </x:c>
    </x:row>
    <x:row r="2092">
      <x:c r="B2092" t="str">
        <x:v>A-02060</x:v>
      </x:c>
      <x:c r="C2092" t="str">
        <x:v>GATE</x:v>
      </x:c>
      <x:c r="D2092" t="str">
        <x:v>release state mirrors governing ledger</x:v>
      </x:c>
      <x:c r="E2092" t="str">
        <x:f>'Release Gates'!I2066</x:f>
        <x:v>OPEN</x:v>
      </x:c>
      <x:c r="F2092" t="str">
        <x:f>IF('Release Gates'!C2066="PLANNING","PASS",IF('Release Gates'!C2066="PHYSICAL","OPEN","BLOCKED"))</x:f>
        <x:v>OPEN</x:v>
      </x:c>
      <x:c r="G2092" t="str">
        <x:v>equals</x:v>
      </x:c>
      <x:c r="H2092" t="str">
        <x:f>IF(E2092=F2092,"PASS","FAIL")</x:f>
        <x:v>PASS</x:v>
      </x:c>
    </x:row>
    <x:row r="2093">
      <x:c r="B2093" t="str">
        <x:v>A-02061</x:v>
      </x:c>
      <x:c r="C2093" t="str">
        <x:v>GATE</x:v>
      </x:c>
      <x:c r="D2093" t="str">
        <x:v>release state mirrors governing ledger</x:v>
      </x:c>
      <x:c r="E2093" t="str">
        <x:f>'Release Gates'!I2067</x:f>
        <x:v>OPEN</x:v>
      </x:c>
      <x:c r="F2093" t="str">
        <x:f>IF('Release Gates'!C2067="PLANNING","PASS",IF('Release Gates'!C2067="PHYSICAL","OPEN","BLOCKED"))</x:f>
        <x:v>OPEN</x:v>
      </x:c>
      <x:c r="G2093" t="str">
        <x:v>equals</x:v>
      </x:c>
      <x:c r="H2093" t="str">
        <x:f>IF(E2093=F2093,"PASS","FAIL")</x:f>
        <x:v>PASS</x:v>
      </x:c>
    </x:row>
    <x:row r="2094">
      <x:c r="B2094" t="str">
        <x:v>A-02062</x:v>
      </x:c>
      <x:c r="C2094" t="str">
        <x:v>GATE</x:v>
      </x:c>
      <x:c r="D2094" t="str">
        <x:v>release state mirrors governing ledger</x:v>
      </x:c>
      <x:c r="E2094" t="str">
        <x:f>'Release Gates'!I2068</x:f>
        <x:v>OPEN</x:v>
      </x:c>
      <x:c r="F2094" t="str">
        <x:f>IF('Release Gates'!C2068="PLANNING","PASS",IF('Release Gates'!C2068="PHYSICAL","OPEN","BLOCKED"))</x:f>
        <x:v>OPEN</x:v>
      </x:c>
      <x:c r="G2094" t="str">
        <x:v>equals</x:v>
      </x:c>
      <x:c r="H2094" t="str">
        <x:f>IF(E2094=F2094,"PASS","FAIL")</x:f>
        <x:v>PASS</x:v>
      </x:c>
    </x:row>
    <x:row r="2095">
      <x:c r="B2095" t="str">
        <x:v>A-02063</x:v>
      </x:c>
      <x:c r="C2095" t="str">
        <x:v>GATE</x:v>
      </x:c>
      <x:c r="D2095" t="str">
        <x:v>release state mirrors governing ledger</x:v>
      </x:c>
      <x:c r="E2095" t="str">
        <x:f>'Release Gates'!I2069</x:f>
        <x:v>OPEN</x:v>
      </x:c>
      <x:c r="F2095" t="str">
        <x:f>IF('Release Gates'!C2069="PLANNING","PASS",IF('Release Gates'!C2069="PHYSICAL","OPEN","BLOCKED"))</x:f>
        <x:v>OPEN</x:v>
      </x:c>
      <x:c r="G2095" t="str">
        <x:v>equals</x:v>
      </x:c>
      <x:c r="H2095" t="str">
        <x:f>IF(E2095=F2095,"PASS","FAIL")</x:f>
        <x:v>PASS</x:v>
      </x:c>
    </x:row>
    <x:row r="2096">
      <x:c r="B2096" t="str">
        <x:v>A-02064</x:v>
      </x:c>
      <x:c r="C2096" t="str">
        <x:v>GATE</x:v>
      </x:c>
      <x:c r="D2096" t="str">
        <x:v>release state mirrors governing ledger</x:v>
      </x:c>
      <x:c r="E2096" t="str">
        <x:f>'Release Gates'!I2070</x:f>
        <x:v>OPEN</x:v>
      </x:c>
      <x:c r="F2096" t="str">
        <x:f>IF('Release Gates'!C2070="PLANNING","PASS",IF('Release Gates'!C2070="PHYSICAL","OPEN","BLOCKED"))</x:f>
        <x:v>OPEN</x:v>
      </x:c>
      <x:c r="G2096" t="str">
        <x:v>equals</x:v>
      </x:c>
      <x:c r="H2096" t="str">
        <x:f>IF(E2096=F2096,"PASS","FAIL")</x:f>
        <x:v>PASS</x:v>
      </x:c>
    </x:row>
    <x:row r="2097">
      <x:c r="B2097" t="str">
        <x:v>A-02065</x:v>
      </x:c>
      <x:c r="C2097" t="str">
        <x:v>GATE</x:v>
      </x:c>
      <x:c r="D2097" t="str">
        <x:v>release state mirrors governing ledger</x:v>
      </x:c>
      <x:c r="E2097" t="str">
        <x:f>'Release Gates'!I2071</x:f>
        <x:v>OPEN</x:v>
      </x:c>
      <x:c r="F2097" t="str">
        <x:f>IF('Release Gates'!C2071="PLANNING","PASS",IF('Release Gates'!C2071="PHYSICAL","OPEN","BLOCKED"))</x:f>
        <x:v>OPEN</x:v>
      </x:c>
      <x:c r="G2097" t="str">
        <x:v>equals</x:v>
      </x:c>
      <x:c r="H2097" t="str">
        <x:f>IF(E2097=F2097,"PASS","FAIL")</x:f>
        <x:v>PASS</x:v>
      </x:c>
    </x:row>
    <x:row r="2098">
      <x:c r="B2098" t="str">
        <x:v>A-02066</x:v>
      </x:c>
      <x:c r="C2098" t="str">
        <x:v>GATE</x:v>
      </x:c>
      <x:c r="D2098" t="str">
        <x:v>release state mirrors governing ledger</x:v>
      </x:c>
      <x:c r="E2098" t="str">
        <x:f>'Release Gates'!I2072</x:f>
        <x:v>OPEN</x:v>
      </x:c>
      <x:c r="F2098" t="str">
        <x:f>IF('Release Gates'!C2072="PLANNING","PASS",IF('Release Gates'!C2072="PHYSICAL","OPEN","BLOCKED"))</x:f>
        <x:v>OPEN</x:v>
      </x:c>
      <x:c r="G2098" t="str">
        <x:v>equals</x:v>
      </x:c>
      <x:c r="H2098" t="str">
        <x:f>IF(E2098=F2098,"PASS","FAIL")</x:f>
        <x:v>PASS</x:v>
      </x:c>
    </x:row>
    <x:row r="2099">
      <x:c r="B2099" t="str">
        <x:v>A-02067</x:v>
      </x:c>
      <x:c r="C2099" t="str">
        <x:v>GATE</x:v>
      </x:c>
      <x:c r="D2099" t="str">
        <x:v>release state mirrors governing ledger</x:v>
      </x:c>
      <x:c r="E2099" t="str">
        <x:f>'Release Gates'!I2073</x:f>
        <x:v>OPEN</x:v>
      </x:c>
      <x:c r="F2099" t="str">
        <x:f>IF('Release Gates'!C2073="PLANNING","PASS",IF('Release Gates'!C2073="PHYSICAL","OPEN","BLOCKED"))</x:f>
        <x:v>OPEN</x:v>
      </x:c>
      <x:c r="G2099" t="str">
        <x:v>equals</x:v>
      </x:c>
      <x:c r="H2099" t="str">
        <x:f>IF(E2099=F2099,"PASS","FAIL")</x:f>
        <x:v>PASS</x:v>
      </x:c>
    </x:row>
    <x:row r="2100">
      <x:c r="B2100" t="str">
        <x:v>A-02068</x:v>
      </x:c>
      <x:c r="C2100" t="str">
        <x:v>GATE</x:v>
      </x:c>
      <x:c r="D2100" t="str">
        <x:v>release state mirrors governing ledger</x:v>
      </x:c>
      <x:c r="E2100" t="str">
        <x:f>'Release Gates'!I2074</x:f>
        <x:v>OPEN</x:v>
      </x:c>
      <x:c r="F2100" t="str">
        <x:f>IF('Release Gates'!C2074="PLANNING","PASS",IF('Release Gates'!C2074="PHYSICAL","OPEN","BLOCKED"))</x:f>
        <x:v>OPEN</x:v>
      </x:c>
      <x:c r="G2100" t="str">
        <x:v>equals</x:v>
      </x:c>
      <x:c r="H2100" t="str">
        <x:f>IF(E2100=F2100,"PASS","FAIL")</x:f>
        <x:v>PASS</x:v>
      </x:c>
    </x:row>
    <x:row r="2101">
      <x:c r="B2101" t="str">
        <x:v>A-02069</x:v>
      </x:c>
      <x:c r="C2101" t="str">
        <x:v>GATE</x:v>
      </x:c>
      <x:c r="D2101" t="str">
        <x:v>release state mirrors governing ledger</x:v>
      </x:c>
      <x:c r="E2101" t="str">
        <x:f>'Release Gates'!I2075</x:f>
        <x:v>OPEN</x:v>
      </x:c>
      <x:c r="F2101" t="str">
        <x:f>IF('Release Gates'!C2075="PLANNING","PASS",IF('Release Gates'!C2075="PHYSICAL","OPEN","BLOCKED"))</x:f>
        <x:v>OPEN</x:v>
      </x:c>
      <x:c r="G2101" t="str">
        <x:v>equals</x:v>
      </x:c>
      <x:c r="H2101" t="str">
        <x:f>IF(E2101=F2101,"PASS","FAIL")</x:f>
        <x:v>PASS</x:v>
      </x:c>
    </x:row>
    <x:row r="2102">
      <x:c r="B2102" t="str">
        <x:v>A-02070</x:v>
      </x:c>
      <x:c r="C2102" t="str">
        <x:v>GATE</x:v>
      </x:c>
      <x:c r="D2102" t="str">
        <x:v>release state mirrors governing ledger</x:v>
      </x:c>
      <x:c r="E2102" t="str">
        <x:f>'Release Gates'!I2076</x:f>
        <x:v>OPEN</x:v>
      </x:c>
      <x:c r="F2102" t="str">
        <x:f>IF('Release Gates'!C2076="PLANNING","PASS",IF('Release Gates'!C2076="PHYSICAL","OPEN","BLOCKED"))</x:f>
        <x:v>OPEN</x:v>
      </x:c>
      <x:c r="G2102" t="str">
        <x:v>equals</x:v>
      </x:c>
      <x:c r="H2102" t="str">
        <x:f>IF(E2102=F2102,"PASS","FAIL")</x:f>
        <x:v>PASS</x:v>
      </x:c>
    </x:row>
    <x:row r="2103">
      <x:c r="B2103" t="str">
        <x:v>A-02071</x:v>
      </x:c>
      <x:c r="C2103" t="str">
        <x:v>GATE</x:v>
      </x:c>
      <x:c r="D2103" t="str">
        <x:v>release state mirrors governing ledger</x:v>
      </x:c>
      <x:c r="E2103" t="str">
        <x:f>'Release Gates'!I2077</x:f>
        <x:v>OPEN</x:v>
      </x:c>
      <x:c r="F2103" t="str">
        <x:f>IF('Release Gates'!C2077="PLANNING","PASS",IF('Release Gates'!C2077="PHYSICAL","OPEN","BLOCKED"))</x:f>
        <x:v>OPEN</x:v>
      </x:c>
      <x:c r="G2103" t="str">
        <x:v>equals</x:v>
      </x:c>
      <x:c r="H2103" t="str">
        <x:f>IF(E2103=F2103,"PASS","FAIL")</x:f>
        <x:v>PASS</x:v>
      </x:c>
    </x:row>
    <x:row r="2104">
      <x:c r="B2104" t="str">
        <x:v>A-02072</x:v>
      </x:c>
      <x:c r="C2104" t="str">
        <x:v>GATE</x:v>
      </x:c>
      <x:c r="D2104" t="str">
        <x:v>release state mirrors governing ledger</x:v>
      </x:c>
      <x:c r="E2104" t="str">
        <x:f>'Release Gates'!I2078</x:f>
        <x:v>OPEN</x:v>
      </x:c>
      <x:c r="F2104" t="str">
        <x:f>IF('Release Gates'!C2078="PLANNING","PASS",IF('Release Gates'!C2078="PHYSICAL","OPEN","BLOCKED"))</x:f>
        <x:v>OPEN</x:v>
      </x:c>
      <x:c r="G2104" t="str">
        <x:v>equals</x:v>
      </x:c>
      <x:c r="H2104" t="str">
        <x:f>IF(E2104=F2104,"PASS","FAIL")</x:f>
        <x:v>PASS</x:v>
      </x:c>
    </x:row>
    <x:row r="2105">
      <x:c r="B2105" t="str">
        <x:v>A-02073</x:v>
      </x:c>
      <x:c r="C2105" t="str">
        <x:v>GATE</x:v>
      </x:c>
      <x:c r="D2105" t="str">
        <x:v>release state mirrors governing ledger</x:v>
      </x:c>
      <x:c r="E2105" t="str">
        <x:f>'Release Gates'!I2079</x:f>
        <x:v>OPEN</x:v>
      </x:c>
      <x:c r="F2105" t="str">
        <x:f>IF('Release Gates'!C2079="PLANNING","PASS",IF('Release Gates'!C2079="PHYSICAL","OPEN","BLOCKED"))</x:f>
        <x:v>OPEN</x:v>
      </x:c>
      <x:c r="G2105" t="str">
        <x:v>equals</x:v>
      </x:c>
      <x:c r="H2105" t="str">
        <x:f>IF(E2105=F2105,"PASS","FAIL")</x:f>
        <x:v>PASS</x:v>
      </x:c>
    </x:row>
    <x:row r="2106">
      <x:c r="B2106" t="str">
        <x:v>A-02074</x:v>
      </x:c>
      <x:c r="C2106" t="str">
        <x:v>GATE</x:v>
      </x:c>
      <x:c r="D2106" t="str">
        <x:v>release state mirrors governing ledger</x:v>
      </x:c>
      <x:c r="E2106" t="str">
        <x:f>'Release Gates'!I2080</x:f>
        <x:v>OPEN</x:v>
      </x:c>
      <x:c r="F2106" t="str">
        <x:f>IF('Release Gates'!C2080="PLANNING","PASS",IF('Release Gates'!C2080="PHYSICAL","OPEN","BLOCKED"))</x:f>
        <x:v>OPEN</x:v>
      </x:c>
      <x:c r="G2106" t="str">
        <x:v>equals</x:v>
      </x:c>
      <x:c r="H2106" t="str">
        <x:f>IF(E2106=F2106,"PASS","FAIL")</x:f>
        <x:v>PASS</x:v>
      </x:c>
    </x:row>
    <x:row r="2107">
      <x:c r="B2107" t="str">
        <x:v>A-02075</x:v>
      </x:c>
      <x:c r="C2107" t="str">
        <x:v>GATE</x:v>
      </x:c>
      <x:c r="D2107" t="str">
        <x:v>release state mirrors governing ledger</x:v>
      </x:c>
      <x:c r="E2107" t="str">
        <x:f>'Release Gates'!I2081</x:f>
        <x:v>OPEN</x:v>
      </x:c>
      <x:c r="F2107" t="str">
        <x:f>IF('Release Gates'!C2081="PLANNING","PASS",IF('Release Gates'!C2081="PHYSICAL","OPEN","BLOCKED"))</x:f>
        <x:v>OPEN</x:v>
      </x:c>
      <x:c r="G2107" t="str">
        <x:v>equals</x:v>
      </x:c>
      <x:c r="H2107" t="str">
        <x:f>IF(E2107=F2107,"PASS","FAIL")</x:f>
        <x:v>PASS</x:v>
      </x:c>
    </x:row>
    <x:row r="2108">
      <x:c r="B2108" t="str">
        <x:v>A-02076</x:v>
      </x:c>
      <x:c r="C2108" t="str">
        <x:v>GATE</x:v>
      </x:c>
      <x:c r="D2108" t="str">
        <x:v>release state mirrors governing ledger</x:v>
      </x:c>
      <x:c r="E2108" t="str">
        <x:f>'Release Gates'!I2082</x:f>
        <x:v>OPEN</x:v>
      </x:c>
      <x:c r="F2108" t="str">
        <x:f>IF('Release Gates'!C2082="PLANNING","PASS",IF('Release Gates'!C2082="PHYSICAL","OPEN","BLOCKED"))</x:f>
        <x:v>OPEN</x:v>
      </x:c>
      <x:c r="G2108" t="str">
        <x:v>equals</x:v>
      </x:c>
      <x:c r="H2108" t="str">
        <x:f>IF(E2108=F2108,"PASS","FAIL")</x:f>
        <x:v>PASS</x:v>
      </x:c>
    </x:row>
    <x:row r="2109">
      <x:c r="B2109" t="str">
        <x:v>A-02077</x:v>
      </x:c>
      <x:c r="C2109" t="str">
        <x:v>GATE</x:v>
      </x:c>
      <x:c r="D2109" t="str">
        <x:v>release state mirrors governing ledger</x:v>
      </x:c>
      <x:c r="E2109" t="str">
        <x:f>'Release Gates'!I2083</x:f>
        <x:v>OPEN</x:v>
      </x:c>
      <x:c r="F2109" t="str">
        <x:f>IF('Release Gates'!C2083="PLANNING","PASS",IF('Release Gates'!C2083="PHYSICAL","OPEN","BLOCKED"))</x:f>
        <x:v>OPEN</x:v>
      </x:c>
      <x:c r="G2109" t="str">
        <x:v>equals</x:v>
      </x:c>
      <x:c r="H2109" t="str">
        <x:f>IF(E2109=F2109,"PASS","FAIL")</x:f>
        <x:v>PASS</x:v>
      </x:c>
    </x:row>
    <x:row r="2110">
      <x:c r="B2110" t="str">
        <x:v>A-02078</x:v>
      </x:c>
      <x:c r="C2110" t="str">
        <x:v>GATE</x:v>
      </x:c>
      <x:c r="D2110" t="str">
        <x:v>release state mirrors governing ledger</x:v>
      </x:c>
      <x:c r="E2110" t="str">
        <x:f>'Release Gates'!I2084</x:f>
        <x:v>OPEN</x:v>
      </x:c>
      <x:c r="F2110" t="str">
        <x:f>IF('Release Gates'!C2084="PLANNING","PASS",IF('Release Gates'!C2084="PHYSICAL","OPEN","BLOCKED"))</x:f>
        <x:v>OPEN</x:v>
      </x:c>
      <x:c r="G2110" t="str">
        <x:v>equals</x:v>
      </x:c>
      <x:c r="H2110" t="str">
        <x:f>IF(E2110=F2110,"PASS","FAIL")</x:f>
        <x:v>PASS</x:v>
      </x:c>
    </x:row>
    <x:row r="2111">
      <x:c r="B2111" t="str">
        <x:v>A-02079</x:v>
      </x:c>
      <x:c r="C2111" t="str">
        <x:v>GATE</x:v>
      </x:c>
      <x:c r="D2111" t="str">
        <x:v>release state mirrors governing ledger</x:v>
      </x:c>
      <x:c r="E2111" t="str">
        <x:f>'Release Gates'!I2085</x:f>
        <x:v>OPEN</x:v>
      </x:c>
      <x:c r="F2111" t="str">
        <x:f>IF('Release Gates'!C2085="PLANNING","PASS",IF('Release Gates'!C2085="PHYSICAL","OPEN","BLOCKED"))</x:f>
        <x:v>OPEN</x:v>
      </x:c>
      <x:c r="G2111" t="str">
        <x:v>equals</x:v>
      </x:c>
      <x:c r="H2111" t="str">
        <x:f>IF(E2111=F2111,"PASS","FAIL")</x:f>
        <x:v>PASS</x:v>
      </x:c>
    </x:row>
    <x:row r="2112">
      <x:c r="B2112" t="str">
        <x:v>A-02080</x:v>
      </x:c>
      <x:c r="C2112" t="str">
        <x:v>GATE</x:v>
      </x:c>
      <x:c r="D2112" t="str">
        <x:v>release state mirrors governing ledger</x:v>
      </x:c>
      <x:c r="E2112" t="str">
        <x:f>'Release Gates'!I2086</x:f>
        <x:v>OPEN</x:v>
      </x:c>
      <x:c r="F2112" t="str">
        <x:f>IF('Release Gates'!C2086="PLANNING","PASS",IF('Release Gates'!C2086="PHYSICAL","OPEN","BLOCKED"))</x:f>
        <x:v>OPEN</x:v>
      </x:c>
      <x:c r="G2112" t="str">
        <x:v>equals</x:v>
      </x:c>
      <x:c r="H2112" t="str">
        <x:f>IF(E2112=F2112,"PASS","FAIL")</x:f>
        <x:v>PASS</x:v>
      </x:c>
    </x:row>
    <x:row r="2113">
      <x:c r="B2113" t="str">
        <x:v>A-02081</x:v>
      </x:c>
      <x:c r="C2113" t="str">
        <x:v>GATE</x:v>
      </x:c>
      <x:c r="D2113" t="str">
        <x:v>release state mirrors governing ledger</x:v>
      </x:c>
      <x:c r="E2113" t="str">
        <x:f>'Release Gates'!I2087</x:f>
        <x:v>OPEN</x:v>
      </x:c>
      <x:c r="F2113" t="str">
        <x:f>IF('Release Gates'!C2087="PLANNING","PASS",IF('Release Gates'!C2087="PHYSICAL","OPEN","BLOCKED"))</x:f>
        <x:v>OPEN</x:v>
      </x:c>
      <x:c r="G2113" t="str">
        <x:v>equals</x:v>
      </x:c>
      <x:c r="H2113" t="str">
        <x:f>IF(E2113=F2113,"PASS","FAIL")</x:f>
        <x:v>PASS</x:v>
      </x:c>
    </x:row>
    <x:row r="2114">
      <x:c r="B2114" t="str">
        <x:v>A-02082</x:v>
      </x:c>
      <x:c r="C2114" t="str">
        <x:v>GATE</x:v>
      </x:c>
      <x:c r="D2114" t="str">
        <x:v>release state mirrors governing ledger</x:v>
      </x:c>
      <x:c r="E2114" t="str">
        <x:f>'Release Gates'!I2088</x:f>
        <x:v>OPEN</x:v>
      </x:c>
      <x:c r="F2114" t="str">
        <x:f>IF('Release Gates'!C2088="PLANNING","PASS",IF('Release Gates'!C2088="PHYSICAL","OPEN","BLOCKED"))</x:f>
        <x:v>OPEN</x:v>
      </x:c>
      <x:c r="G2114" t="str">
        <x:v>equals</x:v>
      </x:c>
      <x:c r="H2114" t="str">
        <x:f>IF(E2114=F2114,"PASS","FAIL")</x:f>
        <x:v>PASS</x:v>
      </x:c>
    </x:row>
    <x:row r="2115">
      <x:c r="B2115" t="str">
        <x:v>A-02083</x:v>
      </x:c>
      <x:c r="C2115" t="str">
        <x:v>GATE</x:v>
      </x:c>
      <x:c r="D2115" t="str">
        <x:v>release state mirrors governing ledger</x:v>
      </x:c>
      <x:c r="E2115" t="str">
        <x:f>'Release Gates'!I2089</x:f>
        <x:v>OPEN</x:v>
      </x:c>
      <x:c r="F2115" t="str">
        <x:f>IF('Release Gates'!C2089="PLANNING","PASS",IF('Release Gates'!C2089="PHYSICAL","OPEN","BLOCKED"))</x:f>
        <x:v>OPEN</x:v>
      </x:c>
      <x:c r="G2115" t="str">
        <x:v>equals</x:v>
      </x:c>
      <x:c r="H2115" t="str">
        <x:f>IF(E2115=F2115,"PASS","FAIL")</x:f>
        <x:v>PASS</x:v>
      </x:c>
    </x:row>
    <x:row r="2116">
      <x:c r="B2116" t="str">
        <x:v>A-02084</x:v>
      </x:c>
      <x:c r="C2116" t="str">
        <x:v>GATE</x:v>
      </x:c>
      <x:c r="D2116" t="str">
        <x:v>release state mirrors governing ledger</x:v>
      </x:c>
      <x:c r="E2116" t="str">
        <x:f>'Release Gates'!I2090</x:f>
        <x:v>OPEN</x:v>
      </x:c>
      <x:c r="F2116" t="str">
        <x:f>IF('Release Gates'!C2090="PLANNING","PASS",IF('Release Gates'!C2090="PHYSICAL","OPEN","BLOCKED"))</x:f>
        <x:v>OPEN</x:v>
      </x:c>
      <x:c r="G2116" t="str">
        <x:v>equals</x:v>
      </x:c>
      <x:c r="H2116" t="str">
        <x:f>IF(E2116=F2116,"PASS","FAIL")</x:f>
        <x:v>PASS</x:v>
      </x:c>
    </x:row>
    <x:row r="2117">
      <x:c r="B2117" t="str">
        <x:v>A-02085</x:v>
      </x:c>
      <x:c r="C2117" t="str">
        <x:v>GATE</x:v>
      </x:c>
      <x:c r="D2117" t="str">
        <x:v>release state mirrors governing ledger</x:v>
      </x:c>
      <x:c r="E2117" t="str">
        <x:f>'Release Gates'!I2091</x:f>
        <x:v>OPEN</x:v>
      </x:c>
      <x:c r="F2117" t="str">
        <x:f>IF('Release Gates'!C2091="PLANNING","PASS",IF('Release Gates'!C2091="PHYSICAL","OPEN","BLOCKED"))</x:f>
        <x:v>OPEN</x:v>
      </x:c>
      <x:c r="G2117" t="str">
        <x:v>equals</x:v>
      </x:c>
      <x:c r="H2117" t="str">
        <x:f>IF(E2117=F2117,"PASS","FAIL")</x:f>
        <x:v>PASS</x:v>
      </x:c>
    </x:row>
    <x:row r="2118">
      <x:c r="B2118" t="str">
        <x:v>A-02086</x:v>
      </x:c>
      <x:c r="C2118" t="str">
        <x:v>GATE</x:v>
      </x:c>
      <x:c r="D2118" t="str">
        <x:v>release state mirrors governing ledger</x:v>
      </x:c>
      <x:c r="E2118" t="str">
        <x:f>'Release Gates'!I2092</x:f>
        <x:v>OPEN</x:v>
      </x:c>
      <x:c r="F2118" t="str">
        <x:f>IF('Release Gates'!C2092="PLANNING","PASS",IF('Release Gates'!C2092="PHYSICAL","OPEN","BLOCKED"))</x:f>
        <x:v>OPEN</x:v>
      </x:c>
      <x:c r="G2118" t="str">
        <x:v>equals</x:v>
      </x:c>
      <x:c r="H2118" t="str">
        <x:f>IF(E2118=F2118,"PASS","FAIL")</x:f>
        <x:v>PASS</x:v>
      </x:c>
    </x:row>
    <x:row r="2119">
      <x:c r="B2119" t="str">
        <x:v>A-02087</x:v>
      </x:c>
      <x:c r="C2119" t="str">
        <x:v>GATE</x:v>
      </x:c>
      <x:c r="D2119" t="str">
        <x:v>release state mirrors governing ledger</x:v>
      </x:c>
      <x:c r="E2119" t="str">
        <x:f>'Release Gates'!I2093</x:f>
        <x:v>OPEN</x:v>
      </x:c>
      <x:c r="F2119" t="str">
        <x:f>IF('Release Gates'!C2093="PLANNING","PASS",IF('Release Gates'!C2093="PHYSICAL","OPEN","BLOCKED"))</x:f>
        <x:v>OPEN</x:v>
      </x:c>
      <x:c r="G2119" t="str">
        <x:v>equals</x:v>
      </x:c>
      <x:c r="H2119" t="str">
        <x:f>IF(E2119=F2119,"PASS","FAIL")</x:f>
        <x:v>PASS</x:v>
      </x:c>
    </x:row>
    <x:row r="2120">
      <x:c r="B2120" t="str">
        <x:v>A-02088</x:v>
      </x:c>
      <x:c r="C2120" t="str">
        <x:v>GATE</x:v>
      </x:c>
      <x:c r="D2120" t="str">
        <x:v>release state mirrors governing ledger</x:v>
      </x:c>
      <x:c r="E2120" t="str">
        <x:f>'Release Gates'!I2094</x:f>
        <x:v>OPEN</x:v>
      </x:c>
      <x:c r="F2120" t="str">
        <x:f>IF('Release Gates'!C2094="PLANNING","PASS",IF('Release Gates'!C2094="PHYSICAL","OPEN","BLOCKED"))</x:f>
        <x:v>OPEN</x:v>
      </x:c>
      <x:c r="G2120" t="str">
        <x:v>equals</x:v>
      </x:c>
      <x:c r="H2120" t="str">
        <x:f>IF(E2120=F2120,"PASS","FAIL")</x:f>
        <x:v>PASS</x:v>
      </x:c>
    </x:row>
    <x:row r="2121">
      <x:c r="B2121" t="str">
        <x:v>A-02089</x:v>
      </x:c>
      <x:c r="C2121" t="str">
        <x:v>GATE</x:v>
      </x:c>
      <x:c r="D2121" t="str">
        <x:v>release state mirrors governing ledger</x:v>
      </x:c>
      <x:c r="E2121" t="str">
        <x:f>'Release Gates'!I2095</x:f>
        <x:v>OPEN</x:v>
      </x:c>
      <x:c r="F2121" t="str">
        <x:f>IF('Release Gates'!C2095="PLANNING","PASS",IF('Release Gates'!C2095="PHYSICAL","OPEN","BLOCKED"))</x:f>
        <x:v>OPEN</x:v>
      </x:c>
      <x:c r="G2121" t="str">
        <x:v>equals</x:v>
      </x:c>
      <x:c r="H2121" t="str">
        <x:f>IF(E2121=F2121,"PASS","FAIL")</x:f>
        <x:v>PASS</x:v>
      </x:c>
    </x:row>
    <x:row r="2122">
      <x:c r="B2122" t="str">
        <x:v>A-02090</x:v>
      </x:c>
      <x:c r="C2122" t="str">
        <x:v>GATE</x:v>
      </x:c>
      <x:c r="D2122" t="str">
        <x:v>release state mirrors governing ledger</x:v>
      </x:c>
      <x:c r="E2122" t="str">
        <x:f>'Release Gates'!I2096</x:f>
        <x:v>OPEN</x:v>
      </x:c>
      <x:c r="F2122" t="str">
        <x:f>IF('Release Gates'!C2096="PLANNING","PASS",IF('Release Gates'!C2096="PHYSICAL","OPEN","BLOCKED"))</x:f>
        <x:v>OPEN</x:v>
      </x:c>
      <x:c r="G2122" t="str">
        <x:v>equals</x:v>
      </x:c>
      <x:c r="H2122" t="str">
        <x:f>IF(E2122=F2122,"PASS","FAIL")</x:f>
        <x:v>PASS</x:v>
      </x:c>
    </x:row>
    <x:row r="2123">
      <x:c r="B2123" t="str">
        <x:v>A-02091</x:v>
      </x:c>
      <x:c r="C2123" t="str">
        <x:v>GATE</x:v>
      </x:c>
      <x:c r="D2123" t="str">
        <x:v>release state mirrors governing ledger</x:v>
      </x:c>
      <x:c r="E2123" t="str">
        <x:f>'Release Gates'!I2097</x:f>
        <x:v>OPEN</x:v>
      </x:c>
      <x:c r="F2123" t="str">
        <x:f>IF('Release Gates'!C2097="PLANNING","PASS",IF('Release Gates'!C2097="PHYSICAL","OPEN","BLOCKED"))</x:f>
        <x:v>OPEN</x:v>
      </x:c>
      <x:c r="G2123" t="str">
        <x:v>equals</x:v>
      </x:c>
      <x:c r="H2123" t="str">
        <x:f>IF(E2123=F2123,"PASS","FAIL")</x:f>
        <x:v>PASS</x:v>
      </x:c>
    </x:row>
    <x:row r="2124">
      <x:c r="B2124" t="str">
        <x:v>A-02092</x:v>
      </x:c>
      <x:c r="C2124" t="str">
        <x:v>GATE</x:v>
      </x:c>
      <x:c r="D2124" t="str">
        <x:v>release state mirrors governing ledger</x:v>
      </x:c>
      <x:c r="E2124" t="str">
        <x:f>'Release Gates'!I2098</x:f>
        <x:v>OPEN</x:v>
      </x:c>
      <x:c r="F2124" t="str">
        <x:f>IF('Release Gates'!C2098="PLANNING","PASS",IF('Release Gates'!C2098="PHYSICAL","OPEN","BLOCKED"))</x:f>
        <x:v>OPEN</x:v>
      </x:c>
      <x:c r="G2124" t="str">
        <x:v>equals</x:v>
      </x:c>
      <x:c r="H2124" t="str">
        <x:f>IF(E2124=F2124,"PASS","FAIL")</x:f>
        <x:v>PASS</x:v>
      </x:c>
    </x:row>
    <x:row r="2125">
      <x:c r="B2125" t="str">
        <x:v>A-02093</x:v>
      </x:c>
      <x:c r="C2125" t="str">
        <x:v>GATE</x:v>
      </x:c>
      <x:c r="D2125" t="str">
        <x:v>release state mirrors governing ledger</x:v>
      </x:c>
      <x:c r="E2125" t="str">
        <x:f>'Release Gates'!I2099</x:f>
        <x:v>OPEN</x:v>
      </x:c>
      <x:c r="F2125" t="str">
        <x:f>IF('Release Gates'!C2099="PLANNING","PASS",IF('Release Gates'!C2099="PHYSICAL","OPEN","BLOCKED"))</x:f>
        <x:v>OPEN</x:v>
      </x:c>
      <x:c r="G2125" t="str">
        <x:v>equals</x:v>
      </x:c>
      <x:c r="H2125" t="str">
        <x:f>IF(E2125=F2125,"PASS","FAIL")</x:f>
        <x:v>PASS</x:v>
      </x:c>
    </x:row>
    <x:row r="2126">
      <x:c r="B2126" t="str">
        <x:v>A-02094</x:v>
      </x:c>
      <x:c r="C2126" t="str">
        <x:v>GATE</x:v>
      </x:c>
      <x:c r="D2126" t="str">
        <x:v>release state mirrors governing ledger</x:v>
      </x:c>
      <x:c r="E2126" t="str">
        <x:f>'Release Gates'!I2100</x:f>
        <x:v>OPEN</x:v>
      </x:c>
      <x:c r="F2126" t="str">
        <x:f>IF('Release Gates'!C2100="PLANNING","PASS",IF('Release Gates'!C2100="PHYSICAL","OPEN","BLOCKED"))</x:f>
        <x:v>OPEN</x:v>
      </x:c>
      <x:c r="G2126" t="str">
        <x:v>equals</x:v>
      </x:c>
      <x:c r="H2126" t="str">
        <x:f>IF(E2126=F2126,"PASS","FAIL")</x:f>
        <x:v>PASS</x:v>
      </x:c>
    </x:row>
    <x:row r="2127">
      <x:c r="B2127" t="str">
        <x:v>A-02095</x:v>
      </x:c>
      <x:c r="C2127" t="str">
        <x:v>GATE</x:v>
      </x:c>
      <x:c r="D2127" t="str">
        <x:v>release state mirrors governing ledger</x:v>
      </x:c>
      <x:c r="E2127" t="str">
        <x:f>'Release Gates'!I2101</x:f>
        <x:v>OPEN</x:v>
      </x:c>
      <x:c r="F2127" t="str">
        <x:f>IF('Release Gates'!C2101="PLANNING","PASS",IF('Release Gates'!C2101="PHYSICAL","OPEN","BLOCKED"))</x:f>
        <x:v>OPEN</x:v>
      </x:c>
      <x:c r="G2127" t="str">
        <x:v>equals</x:v>
      </x:c>
      <x:c r="H2127" t="str">
        <x:f>IF(E2127=F2127,"PASS","FAIL")</x:f>
        <x:v>PASS</x:v>
      </x:c>
    </x:row>
    <x:row r="2128">
      <x:c r="B2128" t="str">
        <x:v>A-02096</x:v>
      </x:c>
      <x:c r="C2128" t="str">
        <x:v>GATE</x:v>
      </x:c>
      <x:c r="D2128" t="str">
        <x:v>release state mirrors governing ledger</x:v>
      </x:c>
      <x:c r="E2128" t="str">
        <x:f>'Release Gates'!I2102</x:f>
        <x:v>OPEN</x:v>
      </x:c>
      <x:c r="F2128" t="str">
        <x:f>IF('Release Gates'!C2102="PLANNING","PASS",IF('Release Gates'!C2102="PHYSICAL","OPEN","BLOCKED"))</x:f>
        <x:v>OPEN</x:v>
      </x:c>
      <x:c r="G2128" t="str">
        <x:v>equals</x:v>
      </x:c>
      <x:c r="H2128" t="str">
        <x:f>IF(E2128=F2128,"PASS","FAIL")</x:f>
        <x:v>PASS</x:v>
      </x:c>
    </x:row>
    <x:row r="2129">
      <x:c r="B2129" t="str">
        <x:v>A-02097</x:v>
      </x:c>
      <x:c r="C2129" t="str">
        <x:v>GATE</x:v>
      </x:c>
      <x:c r="D2129" t="str">
        <x:v>release state mirrors governing ledger</x:v>
      </x:c>
      <x:c r="E2129" t="str">
        <x:f>'Release Gates'!I2103</x:f>
        <x:v>OPEN</x:v>
      </x:c>
      <x:c r="F2129" t="str">
        <x:f>IF('Release Gates'!C2103="PLANNING","PASS",IF('Release Gates'!C2103="PHYSICAL","OPEN","BLOCKED"))</x:f>
        <x:v>OPEN</x:v>
      </x:c>
      <x:c r="G2129" t="str">
        <x:v>equals</x:v>
      </x:c>
      <x:c r="H2129" t="str">
        <x:f>IF(E2129=F2129,"PASS","FAIL")</x:f>
        <x:v>PASS</x:v>
      </x:c>
    </x:row>
    <x:row r="2130">
      <x:c r="B2130" t="str">
        <x:v>A-02098</x:v>
      </x:c>
      <x:c r="C2130" t="str">
        <x:v>GATE</x:v>
      </x:c>
      <x:c r="D2130" t="str">
        <x:v>release state mirrors governing ledger</x:v>
      </x:c>
      <x:c r="E2130" t="str">
        <x:f>'Release Gates'!I2104</x:f>
        <x:v>OPEN</x:v>
      </x:c>
      <x:c r="F2130" t="str">
        <x:f>IF('Release Gates'!C2104="PLANNING","PASS",IF('Release Gates'!C2104="PHYSICAL","OPEN","BLOCKED"))</x:f>
        <x:v>OPEN</x:v>
      </x:c>
      <x:c r="G2130" t="str">
        <x:v>equals</x:v>
      </x:c>
      <x:c r="H2130" t="str">
        <x:f>IF(E2130=F2130,"PASS","FAIL")</x:f>
        <x:v>PASS</x:v>
      </x:c>
    </x:row>
    <x:row r="2131">
      <x:c r="B2131" t="str">
        <x:v>A-02099</x:v>
      </x:c>
      <x:c r="C2131" t="str">
        <x:v>GATE</x:v>
      </x:c>
      <x:c r="D2131" t="str">
        <x:v>release state mirrors governing ledger</x:v>
      </x:c>
      <x:c r="E2131" t="str">
        <x:f>'Release Gates'!I2105</x:f>
        <x:v>OPEN</x:v>
      </x:c>
      <x:c r="F2131" t="str">
        <x:f>IF('Release Gates'!C2105="PLANNING","PASS",IF('Release Gates'!C2105="PHYSICAL","OPEN","BLOCKED"))</x:f>
        <x:v>OPEN</x:v>
      </x:c>
      <x:c r="G2131" t="str">
        <x:v>equals</x:v>
      </x:c>
      <x:c r="H2131" t="str">
        <x:f>IF(E2131=F2131,"PASS","FAIL")</x:f>
        <x:v>PASS</x:v>
      </x:c>
    </x:row>
    <x:row r="2132">
      <x:c r="B2132" t="str">
        <x:v>A-02100</x:v>
      </x:c>
      <x:c r="C2132" t="str">
        <x:v>GATE</x:v>
      </x:c>
      <x:c r="D2132" t="str">
        <x:v>release state mirrors governing ledger</x:v>
      </x:c>
      <x:c r="E2132" t="str">
        <x:f>'Release Gates'!I2106</x:f>
        <x:v>OPEN</x:v>
      </x:c>
      <x:c r="F2132" t="str">
        <x:f>IF('Release Gates'!C2106="PLANNING","PASS",IF('Release Gates'!C2106="PHYSICAL","OPEN","BLOCKED"))</x:f>
        <x:v>OPEN</x:v>
      </x:c>
      <x:c r="G2132" t="str">
        <x:v>equals</x:v>
      </x:c>
      <x:c r="H2132" t="str">
        <x:f>IF(E2132=F2132,"PASS","FAIL")</x:f>
        <x:v>PASS</x:v>
      </x:c>
    </x:row>
    <x:row r="2133">
      <x:c r="B2133" t="str">
        <x:v>A-02101</x:v>
      </x:c>
      <x:c r="C2133" t="str">
        <x:v>GATE</x:v>
      </x:c>
      <x:c r="D2133" t="str">
        <x:v>release state mirrors governing ledger</x:v>
      </x:c>
      <x:c r="E2133" t="str">
        <x:f>'Release Gates'!I2107</x:f>
        <x:v>OPEN</x:v>
      </x:c>
      <x:c r="F2133" t="str">
        <x:f>IF('Release Gates'!C2107="PLANNING","PASS",IF('Release Gates'!C2107="PHYSICAL","OPEN","BLOCKED"))</x:f>
        <x:v>OPEN</x:v>
      </x:c>
      <x:c r="G2133" t="str">
        <x:v>equals</x:v>
      </x:c>
      <x:c r="H2133" t="str">
        <x:f>IF(E2133=F2133,"PASS","FAIL")</x:f>
        <x:v>PASS</x:v>
      </x:c>
    </x:row>
    <x:row r="2134">
      <x:c r="B2134" t="str">
        <x:v>A-02102</x:v>
      </x:c>
      <x:c r="C2134" t="str">
        <x:v>GATE</x:v>
      </x:c>
      <x:c r="D2134" t="str">
        <x:v>release state mirrors governing ledger</x:v>
      </x:c>
      <x:c r="E2134" t="str">
        <x:f>'Release Gates'!I2108</x:f>
        <x:v>OPEN</x:v>
      </x:c>
      <x:c r="F2134" t="str">
        <x:f>IF('Release Gates'!C2108="PLANNING","PASS",IF('Release Gates'!C2108="PHYSICAL","OPEN","BLOCKED"))</x:f>
        <x:v>OPEN</x:v>
      </x:c>
      <x:c r="G2134" t="str">
        <x:v>equals</x:v>
      </x:c>
      <x:c r="H2134" t="str">
        <x:f>IF(E2134=F2134,"PASS","FAIL")</x:f>
        <x:v>PASS</x:v>
      </x:c>
    </x:row>
    <x:row r="2135">
      <x:c r="B2135" t="str">
        <x:v>A-02103</x:v>
      </x:c>
      <x:c r="C2135" t="str">
        <x:v>GATE</x:v>
      </x:c>
      <x:c r="D2135" t="str">
        <x:v>release state mirrors governing ledger</x:v>
      </x:c>
      <x:c r="E2135" t="str">
        <x:f>'Release Gates'!I2109</x:f>
        <x:v>OPEN</x:v>
      </x:c>
      <x:c r="F2135" t="str">
        <x:f>IF('Release Gates'!C2109="PLANNING","PASS",IF('Release Gates'!C2109="PHYSICAL","OPEN","BLOCKED"))</x:f>
        <x:v>OPEN</x:v>
      </x:c>
      <x:c r="G2135" t="str">
        <x:v>equals</x:v>
      </x:c>
      <x:c r="H2135" t="str">
        <x:f>IF(E2135=F2135,"PASS","FAIL")</x:f>
        <x:v>PASS</x:v>
      </x:c>
    </x:row>
    <x:row r="2136">
      <x:c r="B2136" t="str">
        <x:v>A-02104</x:v>
      </x:c>
      <x:c r="C2136" t="str">
        <x:v>GATE</x:v>
      </x:c>
      <x:c r="D2136" t="str">
        <x:v>release state mirrors governing ledger</x:v>
      </x:c>
      <x:c r="E2136" t="str">
        <x:f>'Release Gates'!I2110</x:f>
        <x:v>OPEN</x:v>
      </x:c>
      <x:c r="F2136" t="str">
        <x:f>IF('Release Gates'!C2110="PLANNING","PASS",IF('Release Gates'!C2110="PHYSICAL","OPEN","BLOCKED"))</x:f>
        <x:v>OPEN</x:v>
      </x:c>
      <x:c r="G2136" t="str">
        <x:v>equals</x:v>
      </x:c>
      <x:c r="H2136" t="str">
        <x:f>IF(E2136=F2136,"PASS","FAIL")</x:f>
        <x:v>PASS</x:v>
      </x:c>
    </x:row>
    <x:row r="2137">
      <x:c r="B2137" t="str">
        <x:v>A-02105</x:v>
      </x:c>
      <x:c r="C2137" t="str">
        <x:v>GATE</x:v>
      </x:c>
      <x:c r="D2137" t="str">
        <x:v>release state mirrors governing ledger</x:v>
      </x:c>
      <x:c r="E2137" t="str">
        <x:f>'Release Gates'!I2111</x:f>
        <x:v>OPEN</x:v>
      </x:c>
      <x:c r="F2137" t="str">
        <x:f>IF('Release Gates'!C2111="PLANNING","PASS",IF('Release Gates'!C2111="PHYSICAL","OPEN","BLOCKED"))</x:f>
        <x:v>OPEN</x:v>
      </x:c>
      <x:c r="G2137" t="str">
        <x:v>equals</x:v>
      </x:c>
      <x:c r="H2137" t="str">
        <x:f>IF(E2137=F2137,"PASS","FAIL")</x:f>
        <x:v>PASS</x:v>
      </x:c>
    </x:row>
    <x:row r="2138">
      <x:c r="B2138" t="str">
        <x:v>A-02106</x:v>
      </x:c>
      <x:c r="C2138" t="str">
        <x:v>GATE</x:v>
      </x:c>
      <x:c r="D2138" t="str">
        <x:v>release state mirrors governing ledger</x:v>
      </x:c>
      <x:c r="E2138" t="str">
        <x:f>'Release Gates'!I2112</x:f>
        <x:v>OPEN</x:v>
      </x:c>
      <x:c r="F2138" t="str">
        <x:f>IF('Release Gates'!C2112="PLANNING","PASS",IF('Release Gates'!C2112="PHYSICAL","OPEN","BLOCKED"))</x:f>
        <x:v>OPEN</x:v>
      </x:c>
      <x:c r="G2138" t="str">
        <x:v>equals</x:v>
      </x:c>
      <x:c r="H2138" t="str">
        <x:f>IF(E2138=F2138,"PASS","FAIL")</x:f>
        <x:v>PASS</x:v>
      </x:c>
    </x:row>
    <x:row r="2139">
      <x:c r="B2139" t="str">
        <x:v>A-02107</x:v>
      </x:c>
      <x:c r="C2139" t="str">
        <x:v>GATE</x:v>
      </x:c>
      <x:c r="D2139" t="str">
        <x:v>release state mirrors governing ledger</x:v>
      </x:c>
      <x:c r="E2139" t="str">
        <x:f>'Release Gates'!I2113</x:f>
        <x:v>OPEN</x:v>
      </x:c>
      <x:c r="F2139" t="str">
        <x:f>IF('Release Gates'!C2113="PLANNING","PASS",IF('Release Gates'!C2113="PHYSICAL","OPEN","BLOCKED"))</x:f>
        <x:v>OPEN</x:v>
      </x:c>
      <x:c r="G2139" t="str">
        <x:v>equals</x:v>
      </x:c>
      <x:c r="H2139" t="str">
        <x:f>IF(E2139=F2139,"PASS","FAIL")</x:f>
        <x:v>PASS</x:v>
      </x:c>
    </x:row>
    <x:row r="2140">
      <x:c r="B2140" t="str">
        <x:v>A-02108</x:v>
      </x:c>
      <x:c r="C2140" t="str">
        <x:v>GATE</x:v>
      </x:c>
      <x:c r="D2140" t="str">
        <x:v>release state mirrors governing ledger</x:v>
      </x:c>
      <x:c r="E2140" t="str">
        <x:f>'Release Gates'!I2114</x:f>
        <x:v>OPEN</x:v>
      </x:c>
      <x:c r="F2140" t="str">
        <x:f>IF('Release Gates'!C2114="PLANNING","PASS",IF('Release Gates'!C2114="PHYSICAL","OPEN","BLOCKED"))</x:f>
        <x:v>OPEN</x:v>
      </x:c>
      <x:c r="G2140" t="str">
        <x:v>equals</x:v>
      </x:c>
      <x:c r="H2140" t="str">
        <x:f>IF(E2140=F2140,"PASS","FAIL")</x:f>
        <x:v>PASS</x:v>
      </x:c>
    </x:row>
    <x:row r="2141">
      <x:c r="B2141" t="str">
        <x:v>A-02109</x:v>
      </x:c>
      <x:c r="C2141" t="str">
        <x:v>GATE</x:v>
      </x:c>
      <x:c r="D2141" t="str">
        <x:v>release state mirrors governing ledger</x:v>
      </x:c>
      <x:c r="E2141" t="str">
        <x:f>'Release Gates'!I2115</x:f>
        <x:v>OPEN</x:v>
      </x:c>
      <x:c r="F2141" t="str">
        <x:f>IF('Release Gates'!C2115="PLANNING","PASS",IF('Release Gates'!C2115="PHYSICAL","OPEN","BLOCKED"))</x:f>
        <x:v>OPEN</x:v>
      </x:c>
      <x:c r="G2141" t="str">
        <x:v>equals</x:v>
      </x:c>
      <x:c r="H2141" t="str">
        <x:f>IF(E2141=F2141,"PASS","FAIL")</x:f>
        <x:v>PASS</x:v>
      </x:c>
    </x:row>
    <x:row r="2142">
      <x:c r="B2142" t="str">
        <x:v>A-02110</x:v>
      </x:c>
      <x:c r="C2142" t="str">
        <x:v>GATE</x:v>
      </x:c>
      <x:c r="D2142" t="str">
        <x:v>release state mirrors governing ledger</x:v>
      </x:c>
      <x:c r="E2142" t="str">
        <x:f>'Release Gates'!I2116</x:f>
        <x:v>OPEN</x:v>
      </x:c>
      <x:c r="F2142" t="str">
        <x:f>IF('Release Gates'!C2116="PLANNING","PASS",IF('Release Gates'!C2116="PHYSICAL","OPEN","BLOCKED"))</x:f>
        <x:v>OPEN</x:v>
      </x:c>
      <x:c r="G2142" t="str">
        <x:v>equals</x:v>
      </x:c>
      <x:c r="H2142" t="str">
        <x:f>IF(E2142=F2142,"PASS","FAIL")</x:f>
        <x:v>PASS</x:v>
      </x:c>
    </x:row>
    <x:row r="2143">
      <x:c r="B2143" t="str">
        <x:v>A-02111</x:v>
      </x:c>
      <x:c r="C2143" t="str">
        <x:v>GATE</x:v>
      </x:c>
      <x:c r="D2143" t="str">
        <x:v>release state mirrors governing ledger</x:v>
      </x:c>
      <x:c r="E2143" t="str">
        <x:f>'Release Gates'!I2117</x:f>
        <x:v>OPEN</x:v>
      </x:c>
      <x:c r="F2143" t="str">
        <x:f>IF('Release Gates'!C2117="PLANNING","PASS",IF('Release Gates'!C2117="PHYSICAL","OPEN","BLOCKED"))</x:f>
        <x:v>OPEN</x:v>
      </x:c>
      <x:c r="G2143" t="str">
        <x:v>equals</x:v>
      </x:c>
      <x:c r="H2143" t="str">
        <x:f>IF(E2143=F2143,"PASS","FAIL")</x:f>
        <x:v>PASS</x:v>
      </x:c>
    </x:row>
    <x:row r="2144">
      <x:c r="B2144" t="str">
        <x:v>A-02112</x:v>
      </x:c>
      <x:c r="C2144" t="str">
        <x:v>GATE</x:v>
      </x:c>
      <x:c r="D2144" t="str">
        <x:v>release state mirrors governing ledger</x:v>
      </x:c>
      <x:c r="E2144" t="str">
        <x:f>'Release Gates'!I2118</x:f>
        <x:v>OPEN</x:v>
      </x:c>
      <x:c r="F2144" t="str">
        <x:f>IF('Release Gates'!C2118="PLANNING","PASS",IF('Release Gates'!C2118="PHYSICAL","OPEN","BLOCKED"))</x:f>
        <x:v>OPEN</x:v>
      </x:c>
      <x:c r="G2144" t="str">
        <x:v>equals</x:v>
      </x:c>
      <x:c r="H2144" t="str">
        <x:f>IF(E2144=F2144,"PASS","FAIL")</x:f>
        <x:v>PASS</x:v>
      </x:c>
    </x:row>
    <x:row r="2145">
      <x:c r="B2145" t="str">
        <x:v>A-02113</x:v>
      </x:c>
      <x:c r="C2145" t="str">
        <x:v>GATE</x:v>
      </x:c>
      <x:c r="D2145" t="str">
        <x:v>release state mirrors governing ledger</x:v>
      </x:c>
      <x:c r="E2145" t="str">
        <x:f>'Release Gates'!I2119</x:f>
        <x:v>OPEN</x:v>
      </x:c>
      <x:c r="F2145" t="str">
        <x:f>IF('Release Gates'!C2119="PLANNING","PASS",IF('Release Gates'!C2119="PHYSICAL","OPEN","BLOCKED"))</x:f>
        <x:v>OPEN</x:v>
      </x:c>
      <x:c r="G2145" t="str">
        <x:v>equals</x:v>
      </x:c>
      <x:c r="H2145" t="str">
        <x:f>IF(E2145=F2145,"PASS","FAIL")</x:f>
        <x:v>PASS</x:v>
      </x:c>
    </x:row>
    <x:row r="2146">
      <x:c r="B2146" t="str">
        <x:v>A-02114</x:v>
      </x:c>
      <x:c r="C2146" t="str">
        <x:v>GATE</x:v>
      </x:c>
      <x:c r="D2146" t="str">
        <x:v>release state mirrors governing ledger</x:v>
      </x:c>
      <x:c r="E2146" t="str">
        <x:f>'Release Gates'!I2120</x:f>
        <x:v>OPEN</x:v>
      </x:c>
      <x:c r="F2146" t="str">
        <x:f>IF('Release Gates'!C2120="PLANNING","PASS",IF('Release Gates'!C2120="PHYSICAL","OPEN","BLOCKED"))</x:f>
        <x:v>OPEN</x:v>
      </x:c>
      <x:c r="G2146" t="str">
        <x:v>equals</x:v>
      </x:c>
      <x:c r="H2146" t="str">
        <x:f>IF(E2146=F2146,"PASS","FAIL")</x:f>
        <x:v>PASS</x:v>
      </x:c>
    </x:row>
    <x:row r="2147">
      <x:c r="B2147" t="str">
        <x:v>A-02115</x:v>
      </x:c>
      <x:c r="C2147" t="str">
        <x:v>GATE</x:v>
      </x:c>
      <x:c r="D2147" t="str">
        <x:v>release state mirrors governing ledger</x:v>
      </x:c>
      <x:c r="E2147" t="str">
        <x:f>'Release Gates'!I2121</x:f>
        <x:v>OPEN</x:v>
      </x:c>
      <x:c r="F2147" t="str">
        <x:f>IF('Release Gates'!C2121="PLANNING","PASS",IF('Release Gates'!C2121="PHYSICAL","OPEN","BLOCKED"))</x:f>
        <x:v>OPEN</x:v>
      </x:c>
      <x:c r="G2147" t="str">
        <x:v>equals</x:v>
      </x:c>
      <x:c r="H2147" t="str">
        <x:f>IF(E2147=F2147,"PASS","FAIL")</x:f>
        <x:v>PASS</x:v>
      </x:c>
    </x:row>
    <x:row r="2148">
      <x:c r="B2148" t="str">
        <x:v>A-02116</x:v>
      </x:c>
      <x:c r="C2148" t="str">
        <x:v>GATE</x:v>
      </x:c>
      <x:c r="D2148" t="str">
        <x:v>release state mirrors governing ledger</x:v>
      </x:c>
      <x:c r="E2148" t="str">
        <x:f>'Release Gates'!I2122</x:f>
        <x:v>OPEN</x:v>
      </x:c>
      <x:c r="F2148" t="str">
        <x:f>IF('Release Gates'!C2122="PLANNING","PASS",IF('Release Gates'!C2122="PHYSICAL","OPEN","BLOCKED"))</x:f>
        <x:v>OPEN</x:v>
      </x:c>
      <x:c r="G2148" t="str">
        <x:v>equals</x:v>
      </x:c>
      <x:c r="H2148" t="str">
        <x:f>IF(E2148=F2148,"PASS","FAIL")</x:f>
        <x:v>PASS</x:v>
      </x:c>
    </x:row>
    <x:row r="2149">
      <x:c r="B2149" t="str">
        <x:v>A-02117</x:v>
      </x:c>
      <x:c r="C2149" t="str">
        <x:v>GATE</x:v>
      </x:c>
      <x:c r="D2149" t="str">
        <x:v>release state mirrors governing ledger</x:v>
      </x:c>
      <x:c r="E2149" t="str">
        <x:f>'Release Gates'!I2123</x:f>
        <x:v>OPEN</x:v>
      </x:c>
      <x:c r="F2149" t="str">
        <x:f>IF('Release Gates'!C2123="PLANNING","PASS",IF('Release Gates'!C2123="PHYSICAL","OPEN","BLOCKED"))</x:f>
        <x:v>OPEN</x:v>
      </x:c>
      <x:c r="G2149" t="str">
        <x:v>equals</x:v>
      </x:c>
      <x:c r="H2149" t="str">
        <x:f>IF(E2149=F2149,"PASS","FAIL")</x:f>
        <x:v>PASS</x:v>
      </x:c>
    </x:row>
    <x:row r="2150">
      <x:c r="B2150" t="str">
        <x:v>A-02118</x:v>
      </x:c>
      <x:c r="C2150" t="str">
        <x:v>GATE</x:v>
      </x:c>
      <x:c r="D2150" t="str">
        <x:v>release state mirrors governing ledger</x:v>
      </x:c>
      <x:c r="E2150" t="str">
        <x:f>'Release Gates'!I2124</x:f>
        <x:v>OPEN</x:v>
      </x:c>
      <x:c r="F2150" t="str">
        <x:f>IF('Release Gates'!C2124="PLANNING","PASS",IF('Release Gates'!C2124="PHYSICAL","OPEN","BLOCKED"))</x:f>
        <x:v>OPEN</x:v>
      </x:c>
      <x:c r="G2150" t="str">
        <x:v>equals</x:v>
      </x:c>
      <x:c r="H2150" t="str">
        <x:f>IF(E2150=F2150,"PASS","FAIL")</x:f>
        <x:v>PASS</x:v>
      </x:c>
    </x:row>
    <x:row r="2151">
      <x:c r="B2151" t="str">
        <x:v>A-02119</x:v>
      </x:c>
      <x:c r="C2151" t="str">
        <x:v>GATE</x:v>
      </x:c>
      <x:c r="D2151" t="str">
        <x:v>release state mirrors governing ledger</x:v>
      </x:c>
      <x:c r="E2151" t="str">
        <x:f>'Release Gates'!I2125</x:f>
        <x:v>OPEN</x:v>
      </x:c>
      <x:c r="F2151" t="str">
        <x:f>IF('Release Gates'!C2125="PLANNING","PASS",IF('Release Gates'!C2125="PHYSICAL","OPEN","BLOCKED"))</x:f>
        <x:v>OPEN</x:v>
      </x:c>
      <x:c r="G2151" t="str">
        <x:v>equals</x:v>
      </x:c>
      <x:c r="H2151" t="str">
        <x:f>IF(E2151=F2151,"PASS","FAIL")</x:f>
        <x:v>PASS</x:v>
      </x:c>
    </x:row>
    <x:row r="2152">
      <x:c r="B2152" t="str">
        <x:v>A-02120</x:v>
      </x:c>
      <x:c r="C2152" t="str">
        <x:v>GATE</x:v>
      </x:c>
      <x:c r="D2152" t="str">
        <x:v>release state mirrors governing ledger</x:v>
      </x:c>
      <x:c r="E2152" t="str">
        <x:f>'Release Gates'!I2126</x:f>
        <x:v>OPEN</x:v>
      </x:c>
      <x:c r="F2152" t="str">
        <x:f>IF('Release Gates'!C2126="PLANNING","PASS",IF('Release Gates'!C2126="PHYSICAL","OPEN","BLOCKED"))</x:f>
        <x:v>OPEN</x:v>
      </x:c>
      <x:c r="G2152" t="str">
        <x:v>equals</x:v>
      </x:c>
      <x:c r="H2152" t="str">
        <x:f>IF(E2152=F2152,"PASS","FAIL")</x:f>
        <x:v>PASS</x:v>
      </x:c>
    </x:row>
    <x:row r="2153">
      <x:c r="B2153" t="str">
        <x:v>A-02121</x:v>
      </x:c>
      <x:c r="C2153" t="str">
        <x:v>GATE</x:v>
      </x:c>
      <x:c r="D2153" t="str">
        <x:v>release state mirrors governing ledger</x:v>
      </x:c>
      <x:c r="E2153" t="str">
        <x:f>'Release Gates'!I2127</x:f>
        <x:v>OPEN</x:v>
      </x:c>
      <x:c r="F2153" t="str">
        <x:f>IF('Release Gates'!C2127="PLANNING","PASS",IF('Release Gates'!C2127="PHYSICAL","OPEN","BLOCKED"))</x:f>
        <x:v>OPEN</x:v>
      </x:c>
      <x:c r="G2153" t="str">
        <x:v>equals</x:v>
      </x:c>
      <x:c r="H2153" t="str">
        <x:f>IF(E2153=F2153,"PASS","FAIL")</x:f>
        <x:v>PASS</x:v>
      </x:c>
    </x:row>
    <x:row r="2154">
      <x:c r="B2154" t="str">
        <x:v>A-02122</x:v>
      </x:c>
      <x:c r="C2154" t="str">
        <x:v>GATE</x:v>
      </x:c>
      <x:c r="D2154" t="str">
        <x:v>release state mirrors governing ledger</x:v>
      </x:c>
      <x:c r="E2154" t="str">
        <x:f>'Release Gates'!I2128</x:f>
        <x:v>OPEN</x:v>
      </x:c>
      <x:c r="F2154" t="str">
        <x:f>IF('Release Gates'!C2128="PLANNING","PASS",IF('Release Gates'!C2128="PHYSICAL","OPEN","BLOCKED"))</x:f>
        <x:v>OPEN</x:v>
      </x:c>
      <x:c r="G2154" t="str">
        <x:v>equals</x:v>
      </x:c>
      <x:c r="H2154" t="str">
        <x:f>IF(E2154=F2154,"PASS","FAIL")</x:f>
        <x:v>PASS</x:v>
      </x:c>
    </x:row>
    <x:row r="2155">
      <x:c r="B2155" t="str">
        <x:v>A-02123</x:v>
      </x:c>
      <x:c r="C2155" t="str">
        <x:v>GATE</x:v>
      </x:c>
      <x:c r="D2155" t="str">
        <x:v>release state mirrors governing ledger</x:v>
      </x:c>
      <x:c r="E2155" t="str">
        <x:f>'Release Gates'!I2129</x:f>
        <x:v>OPEN</x:v>
      </x:c>
      <x:c r="F2155" t="str">
        <x:f>IF('Release Gates'!C2129="PLANNING","PASS",IF('Release Gates'!C2129="PHYSICAL","OPEN","BLOCKED"))</x:f>
        <x:v>OPEN</x:v>
      </x:c>
      <x:c r="G2155" t="str">
        <x:v>equals</x:v>
      </x:c>
      <x:c r="H2155" t="str">
        <x:f>IF(E2155=F2155,"PASS","FAIL")</x:f>
        <x:v>PASS</x:v>
      </x:c>
    </x:row>
    <x:row r="2156">
      <x:c r="B2156" t="str">
        <x:v>A-02124</x:v>
      </x:c>
      <x:c r="C2156" t="str">
        <x:v>GATE</x:v>
      </x:c>
      <x:c r="D2156" t="str">
        <x:v>release state mirrors governing ledger</x:v>
      </x:c>
      <x:c r="E2156" t="str">
        <x:f>'Release Gates'!I2130</x:f>
        <x:v>OPEN</x:v>
      </x:c>
      <x:c r="F2156" t="str">
        <x:f>IF('Release Gates'!C2130="PLANNING","PASS",IF('Release Gates'!C2130="PHYSICAL","OPEN","BLOCKED"))</x:f>
        <x:v>OPEN</x:v>
      </x:c>
      <x:c r="G2156" t="str">
        <x:v>equals</x:v>
      </x:c>
      <x:c r="H2156" t="str">
        <x:f>IF(E2156=F2156,"PASS","FAIL")</x:f>
        <x:v>PASS</x:v>
      </x:c>
    </x:row>
    <x:row r="2157">
      <x:c r="B2157" t="str">
        <x:v>A-02125</x:v>
      </x:c>
      <x:c r="C2157" t="str">
        <x:v>GATE</x:v>
      </x:c>
      <x:c r="D2157" t="str">
        <x:v>release state mirrors governing ledger</x:v>
      </x:c>
      <x:c r="E2157" t="str">
        <x:f>'Release Gates'!I2131</x:f>
        <x:v>OPEN</x:v>
      </x:c>
      <x:c r="F2157" t="str">
        <x:f>IF('Release Gates'!C2131="PLANNING","PASS",IF('Release Gates'!C2131="PHYSICAL","OPEN","BLOCKED"))</x:f>
        <x:v>OPEN</x:v>
      </x:c>
      <x:c r="G2157" t="str">
        <x:v>equals</x:v>
      </x:c>
      <x:c r="H2157" t="str">
        <x:f>IF(E2157=F2157,"PASS","FAIL")</x:f>
        <x:v>PASS</x:v>
      </x:c>
    </x:row>
    <x:row r="2158">
      <x:c r="B2158" t="str">
        <x:v>A-02126</x:v>
      </x:c>
      <x:c r="C2158" t="str">
        <x:v>GATE</x:v>
      </x:c>
      <x:c r="D2158" t="str">
        <x:v>release state mirrors governing ledger</x:v>
      </x:c>
      <x:c r="E2158" t="str">
        <x:f>'Release Gates'!I2132</x:f>
        <x:v>OPEN</x:v>
      </x:c>
      <x:c r="F2158" t="str">
        <x:f>IF('Release Gates'!C2132="PLANNING","PASS",IF('Release Gates'!C2132="PHYSICAL","OPEN","BLOCKED"))</x:f>
        <x:v>OPEN</x:v>
      </x:c>
      <x:c r="G2158" t="str">
        <x:v>equals</x:v>
      </x:c>
      <x:c r="H2158" t="str">
        <x:f>IF(E2158=F2158,"PASS","FAIL")</x:f>
        <x:v>PASS</x:v>
      </x:c>
    </x:row>
    <x:row r="2159">
      <x:c r="B2159" t="str">
        <x:v>A-02127</x:v>
      </x:c>
      <x:c r="C2159" t="str">
        <x:v>GATE</x:v>
      </x:c>
      <x:c r="D2159" t="str">
        <x:v>release state mirrors governing ledger</x:v>
      </x:c>
      <x:c r="E2159" t="str">
        <x:f>'Release Gates'!I2133</x:f>
        <x:v>OPEN</x:v>
      </x:c>
      <x:c r="F2159" t="str">
        <x:f>IF('Release Gates'!C2133="PLANNING","PASS",IF('Release Gates'!C2133="PHYSICAL","OPEN","BLOCKED"))</x:f>
        <x:v>OPEN</x:v>
      </x:c>
      <x:c r="G2159" t="str">
        <x:v>equals</x:v>
      </x:c>
      <x:c r="H2159" t="str">
        <x:f>IF(E2159=F2159,"PASS","FAIL")</x:f>
        <x:v>PASS</x:v>
      </x:c>
    </x:row>
    <x:row r="2160">
      <x:c r="B2160" t="str">
        <x:v>A-02128</x:v>
      </x:c>
      <x:c r="C2160" t="str">
        <x:v>GATE</x:v>
      </x:c>
      <x:c r="D2160" t="str">
        <x:v>release state mirrors governing ledger</x:v>
      </x:c>
      <x:c r="E2160" t="str">
        <x:f>'Release Gates'!I2134</x:f>
        <x:v>OPEN</x:v>
      </x:c>
      <x:c r="F2160" t="str">
        <x:f>IF('Release Gates'!C2134="PLANNING","PASS",IF('Release Gates'!C2134="PHYSICAL","OPEN","BLOCKED"))</x:f>
        <x:v>OPEN</x:v>
      </x:c>
      <x:c r="G2160" t="str">
        <x:v>equals</x:v>
      </x:c>
      <x:c r="H2160" t="str">
        <x:f>IF(E2160=F2160,"PASS","FAIL")</x:f>
        <x:v>PASS</x:v>
      </x:c>
    </x:row>
    <x:row r="2161">
      <x:c r="B2161" t="str">
        <x:v>A-02129</x:v>
      </x:c>
      <x:c r="C2161" t="str">
        <x:v>GATE</x:v>
      </x:c>
      <x:c r="D2161" t="str">
        <x:v>release state mirrors governing ledger</x:v>
      </x:c>
      <x:c r="E2161" t="str">
        <x:f>'Release Gates'!I2135</x:f>
        <x:v>OPEN</x:v>
      </x:c>
      <x:c r="F2161" t="str">
        <x:f>IF('Release Gates'!C2135="PLANNING","PASS",IF('Release Gates'!C2135="PHYSICAL","OPEN","BLOCKED"))</x:f>
        <x:v>OPEN</x:v>
      </x:c>
      <x:c r="G2161" t="str">
        <x:v>equals</x:v>
      </x:c>
      <x:c r="H2161" t="str">
        <x:f>IF(E2161=F2161,"PASS","FAIL")</x:f>
        <x:v>PASS</x:v>
      </x:c>
    </x:row>
    <x:row r="2162">
      <x:c r="B2162" t="str">
        <x:v>A-02130</x:v>
      </x:c>
      <x:c r="C2162" t="str">
        <x:v>GATE</x:v>
      </x:c>
      <x:c r="D2162" t="str">
        <x:v>release state mirrors governing ledger</x:v>
      </x:c>
      <x:c r="E2162" t="str">
        <x:f>'Release Gates'!I2136</x:f>
        <x:v>OPEN</x:v>
      </x:c>
      <x:c r="F2162" t="str">
        <x:f>IF('Release Gates'!C2136="PLANNING","PASS",IF('Release Gates'!C2136="PHYSICAL","OPEN","BLOCKED"))</x:f>
        <x:v>OPEN</x:v>
      </x:c>
      <x:c r="G2162" t="str">
        <x:v>equals</x:v>
      </x:c>
      <x:c r="H2162" t="str">
        <x:f>IF(E2162=F2162,"PASS","FAIL")</x:f>
        <x:v>PASS</x:v>
      </x:c>
    </x:row>
    <x:row r="2163">
      <x:c r="B2163" t="str">
        <x:v>A-02131</x:v>
      </x:c>
      <x:c r="C2163" t="str">
        <x:v>GATE</x:v>
      </x:c>
      <x:c r="D2163" t="str">
        <x:v>release state mirrors governing ledger</x:v>
      </x:c>
      <x:c r="E2163" t="str">
        <x:f>'Release Gates'!I2137</x:f>
        <x:v>OPEN</x:v>
      </x:c>
      <x:c r="F2163" t="str">
        <x:f>IF('Release Gates'!C2137="PLANNING","PASS",IF('Release Gates'!C2137="PHYSICAL","OPEN","BLOCKED"))</x:f>
        <x:v>OPEN</x:v>
      </x:c>
      <x:c r="G2163" t="str">
        <x:v>equals</x:v>
      </x:c>
      <x:c r="H2163" t="str">
        <x:f>IF(E2163=F2163,"PASS","FAIL")</x:f>
        <x:v>PASS</x:v>
      </x:c>
    </x:row>
    <x:row r="2164">
      <x:c r="B2164" t="str">
        <x:v>A-02132</x:v>
      </x:c>
      <x:c r="C2164" t="str">
        <x:v>GATE</x:v>
      </x:c>
      <x:c r="D2164" t="str">
        <x:v>release state mirrors governing ledger</x:v>
      </x:c>
      <x:c r="E2164" t="str">
        <x:f>'Release Gates'!I2138</x:f>
        <x:v>OPEN</x:v>
      </x:c>
      <x:c r="F2164" t="str">
        <x:f>IF('Release Gates'!C2138="PLANNING","PASS",IF('Release Gates'!C2138="PHYSICAL","OPEN","BLOCKED"))</x:f>
        <x:v>OPEN</x:v>
      </x:c>
      <x:c r="G2164" t="str">
        <x:v>equals</x:v>
      </x:c>
      <x:c r="H2164" t="str">
        <x:f>IF(E2164=F2164,"PASS","FAIL")</x:f>
        <x:v>PASS</x:v>
      </x:c>
    </x:row>
    <x:row r="2165">
      <x:c r="B2165" t="str">
        <x:v>A-02133</x:v>
      </x:c>
      <x:c r="C2165" t="str">
        <x:v>GATE</x:v>
      </x:c>
      <x:c r="D2165" t="str">
        <x:v>release state mirrors governing ledger</x:v>
      </x:c>
      <x:c r="E2165" t="str">
        <x:f>'Release Gates'!I2139</x:f>
        <x:v>OPEN</x:v>
      </x:c>
      <x:c r="F2165" t="str">
        <x:f>IF('Release Gates'!C2139="PLANNING","PASS",IF('Release Gates'!C2139="PHYSICAL","OPEN","BLOCKED"))</x:f>
        <x:v>OPEN</x:v>
      </x:c>
      <x:c r="G2165" t="str">
        <x:v>equals</x:v>
      </x:c>
      <x:c r="H2165" t="str">
        <x:f>IF(E2165=F2165,"PASS","FAIL")</x:f>
        <x:v>PASS</x:v>
      </x:c>
    </x:row>
    <x:row r="2166">
      <x:c r="B2166" t="str">
        <x:v>A-02134</x:v>
      </x:c>
      <x:c r="C2166" t="str">
        <x:v>GATE</x:v>
      </x:c>
      <x:c r="D2166" t="str">
        <x:v>release state mirrors governing ledger</x:v>
      </x:c>
      <x:c r="E2166" t="str">
        <x:f>'Release Gates'!I2140</x:f>
        <x:v>OPEN</x:v>
      </x:c>
      <x:c r="F2166" t="str">
        <x:f>IF('Release Gates'!C2140="PLANNING","PASS",IF('Release Gates'!C2140="PHYSICAL","OPEN","BLOCKED"))</x:f>
        <x:v>OPEN</x:v>
      </x:c>
      <x:c r="G2166" t="str">
        <x:v>equals</x:v>
      </x:c>
      <x:c r="H2166" t="str">
        <x:f>IF(E2166=F2166,"PASS","FAIL")</x:f>
        <x:v>PASS</x:v>
      </x:c>
    </x:row>
    <x:row r="2167">
      <x:c r="B2167" t="str">
        <x:v>A-02135</x:v>
      </x:c>
      <x:c r="C2167" t="str">
        <x:v>GATE</x:v>
      </x:c>
      <x:c r="D2167" t="str">
        <x:v>release state mirrors governing ledger</x:v>
      </x:c>
      <x:c r="E2167" t="str">
        <x:f>'Release Gates'!I2141</x:f>
        <x:v>OPEN</x:v>
      </x:c>
      <x:c r="F2167" t="str">
        <x:f>IF('Release Gates'!C2141="PLANNING","PASS",IF('Release Gates'!C2141="PHYSICAL","OPEN","BLOCKED"))</x:f>
        <x:v>OPEN</x:v>
      </x:c>
      <x:c r="G2167" t="str">
        <x:v>equals</x:v>
      </x:c>
      <x:c r="H2167" t="str">
        <x:f>IF(E2167=F2167,"PASS","FAIL")</x:f>
        <x:v>PASS</x:v>
      </x:c>
    </x:row>
    <x:row r="2168">
      <x:c r="B2168" t="str">
        <x:v>A-02136</x:v>
      </x:c>
      <x:c r="C2168" t="str">
        <x:v>GATE</x:v>
      </x:c>
      <x:c r="D2168" t="str">
        <x:v>release state mirrors governing ledger</x:v>
      </x:c>
      <x:c r="E2168" t="str">
        <x:f>'Release Gates'!I2142</x:f>
        <x:v>OPEN</x:v>
      </x:c>
      <x:c r="F2168" t="str">
        <x:f>IF('Release Gates'!C2142="PLANNING","PASS",IF('Release Gates'!C2142="PHYSICAL","OPEN","BLOCKED"))</x:f>
        <x:v>OPEN</x:v>
      </x:c>
      <x:c r="G2168" t="str">
        <x:v>equals</x:v>
      </x:c>
      <x:c r="H2168" t="str">
        <x:f>IF(E2168=F2168,"PASS","FAIL")</x:f>
        <x:v>PASS</x:v>
      </x:c>
    </x:row>
    <x:row r="2169">
      <x:c r="B2169" t="str">
        <x:v>A-02137</x:v>
      </x:c>
      <x:c r="C2169" t="str">
        <x:v>GATE</x:v>
      </x:c>
      <x:c r="D2169" t="str">
        <x:v>release state mirrors governing ledger</x:v>
      </x:c>
      <x:c r="E2169" t="str">
        <x:f>'Release Gates'!I2143</x:f>
        <x:v>OPEN</x:v>
      </x:c>
      <x:c r="F2169" t="str">
        <x:f>IF('Release Gates'!C2143="PLANNING","PASS",IF('Release Gates'!C2143="PHYSICAL","OPEN","BLOCKED"))</x:f>
        <x:v>OPEN</x:v>
      </x:c>
      <x:c r="G2169" t="str">
        <x:v>equals</x:v>
      </x:c>
      <x:c r="H2169" t="str">
        <x:f>IF(E2169=F2169,"PASS","FAIL")</x:f>
        <x:v>PASS</x:v>
      </x:c>
    </x:row>
    <x:row r="2170">
      <x:c r="B2170" t="str">
        <x:v>A-02138</x:v>
      </x:c>
      <x:c r="C2170" t="str">
        <x:v>GATE</x:v>
      </x:c>
      <x:c r="D2170" t="str">
        <x:v>release state mirrors governing ledger</x:v>
      </x:c>
      <x:c r="E2170" t="str">
        <x:f>'Release Gates'!I2144</x:f>
        <x:v>OPEN</x:v>
      </x:c>
      <x:c r="F2170" t="str">
        <x:f>IF('Release Gates'!C2144="PLANNING","PASS",IF('Release Gates'!C2144="PHYSICAL","OPEN","BLOCKED"))</x:f>
        <x:v>OPEN</x:v>
      </x:c>
      <x:c r="G2170" t="str">
        <x:v>equals</x:v>
      </x:c>
      <x:c r="H2170" t="str">
        <x:f>IF(E2170=F2170,"PASS","FAIL")</x:f>
        <x:v>PASS</x:v>
      </x:c>
    </x:row>
    <x:row r="2171">
      <x:c r="B2171" t="str">
        <x:v>A-02139</x:v>
      </x:c>
      <x:c r="C2171" t="str">
        <x:v>GATE</x:v>
      </x:c>
      <x:c r="D2171" t="str">
        <x:v>release state mirrors governing ledger</x:v>
      </x:c>
      <x:c r="E2171" t="str">
        <x:f>'Release Gates'!I2145</x:f>
        <x:v>OPEN</x:v>
      </x:c>
      <x:c r="F2171" t="str">
        <x:f>IF('Release Gates'!C2145="PLANNING","PASS",IF('Release Gates'!C2145="PHYSICAL","OPEN","BLOCKED"))</x:f>
        <x:v>OPEN</x:v>
      </x:c>
      <x:c r="G2171" t="str">
        <x:v>equals</x:v>
      </x:c>
      <x:c r="H2171" t="str">
        <x:f>IF(E2171=F2171,"PASS","FAIL")</x:f>
        <x:v>PASS</x:v>
      </x:c>
    </x:row>
    <x:row r="2172">
      <x:c r="B2172" t="str">
        <x:v>A-02140</x:v>
      </x:c>
      <x:c r="C2172" t="str">
        <x:v>GATE</x:v>
      </x:c>
      <x:c r="D2172" t="str">
        <x:v>release state mirrors governing ledger</x:v>
      </x:c>
      <x:c r="E2172" t="str">
        <x:f>'Release Gates'!I2146</x:f>
        <x:v>OPEN</x:v>
      </x:c>
      <x:c r="F2172" t="str">
        <x:f>IF('Release Gates'!C2146="PLANNING","PASS",IF('Release Gates'!C2146="PHYSICAL","OPEN","BLOCKED"))</x:f>
        <x:v>OPEN</x:v>
      </x:c>
      <x:c r="G2172" t="str">
        <x:v>equals</x:v>
      </x:c>
      <x:c r="H2172" t="str">
        <x:f>IF(E2172=F2172,"PASS","FAIL")</x:f>
        <x:v>PASS</x:v>
      </x:c>
    </x:row>
    <x:row r="2173">
      <x:c r="B2173" t="str">
        <x:v>A-02141</x:v>
      </x:c>
      <x:c r="C2173" t="str">
        <x:v>GATE</x:v>
      </x:c>
      <x:c r="D2173" t="str">
        <x:v>release state mirrors governing ledger</x:v>
      </x:c>
      <x:c r="E2173" t="str">
        <x:f>'Release Gates'!I2147</x:f>
        <x:v>OPEN</x:v>
      </x:c>
      <x:c r="F2173" t="str">
        <x:f>IF('Release Gates'!C2147="PLANNING","PASS",IF('Release Gates'!C2147="PHYSICAL","OPEN","BLOCKED"))</x:f>
        <x:v>OPEN</x:v>
      </x:c>
      <x:c r="G2173" t="str">
        <x:v>equals</x:v>
      </x:c>
      <x:c r="H2173" t="str">
        <x:f>IF(E2173=F2173,"PASS","FAIL")</x:f>
        <x:v>PASS</x:v>
      </x:c>
    </x:row>
    <x:row r="2174">
      <x:c r="B2174" t="str">
        <x:v>A-02142</x:v>
      </x:c>
      <x:c r="C2174" t="str">
        <x:v>GATE</x:v>
      </x:c>
      <x:c r="D2174" t="str">
        <x:v>release state mirrors governing ledger</x:v>
      </x:c>
      <x:c r="E2174" t="str">
        <x:f>'Release Gates'!I2148</x:f>
        <x:v>OPEN</x:v>
      </x:c>
      <x:c r="F2174" t="str">
        <x:f>IF('Release Gates'!C2148="PLANNING","PASS",IF('Release Gates'!C2148="PHYSICAL","OPEN","BLOCKED"))</x:f>
        <x:v>OPEN</x:v>
      </x:c>
      <x:c r="G2174" t="str">
        <x:v>equals</x:v>
      </x:c>
      <x:c r="H2174" t="str">
        <x:f>IF(E2174=F2174,"PASS","FAIL")</x:f>
        <x:v>PASS</x:v>
      </x:c>
    </x:row>
    <x:row r="2175">
      <x:c r="B2175" t="str">
        <x:v>A-02143</x:v>
      </x:c>
      <x:c r="C2175" t="str">
        <x:v>GATE</x:v>
      </x:c>
      <x:c r="D2175" t="str">
        <x:v>release state mirrors governing ledger</x:v>
      </x:c>
      <x:c r="E2175" t="str">
        <x:f>'Release Gates'!I2149</x:f>
        <x:v>OPEN</x:v>
      </x:c>
      <x:c r="F2175" t="str">
        <x:f>IF('Release Gates'!C2149="PLANNING","PASS",IF('Release Gates'!C2149="PHYSICAL","OPEN","BLOCKED"))</x:f>
        <x:v>OPEN</x:v>
      </x:c>
      <x:c r="G2175" t="str">
        <x:v>equals</x:v>
      </x:c>
      <x:c r="H2175" t="str">
        <x:f>IF(E2175=F2175,"PASS","FAIL")</x:f>
        <x:v>PASS</x:v>
      </x:c>
    </x:row>
    <x:row r="2176">
      <x:c r="B2176" t="str">
        <x:v>A-02144</x:v>
      </x:c>
      <x:c r="C2176" t="str">
        <x:v>GATE</x:v>
      </x:c>
      <x:c r="D2176" t="str">
        <x:v>release state mirrors governing ledger</x:v>
      </x:c>
      <x:c r="E2176" t="str">
        <x:f>'Release Gates'!I2150</x:f>
        <x:v>OPEN</x:v>
      </x:c>
      <x:c r="F2176" t="str">
        <x:f>IF('Release Gates'!C2150="PLANNING","PASS",IF('Release Gates'!C2150="PHYSICAL","OPEN","BLOCKED"))</x:f>
        <x:v>OPEN</x:v>
      </x:c>
      <x:c r="G2176" t="str">
        <x:v>equals</x:v>
      </x:c>
      <x:c r="H2176" t="str">
        <x:f>IF(E2176=F2176,"PASS","FAIL")</x:f>
        <x:v>PASS</x:v>
      </x:c>
    </x:row>
    <x:row r="2177">
      <x:c r="B2177" t="str">
        <x:v>A-02145</x:v>
      </x:c>
      <x:c r="C2177" t="str">
        <x:v>GATE</x:v>
      </x:c>
      <x:c r="D2177" t="str">
        <x:v>release state mirrors governing ledger</x:v>
      </x:c>
      <x:c r="E2177" t="str">
        <x:f>'Release Gates'!I2151</x:f>
        <x:v>OPEN</x:v>
      </x:c>
      <x:c r="F2177" t="str">
        <x:f>IF('Release Gates'!C2151="PLANNING","PASS",IF('Release Gates'!C2151="PHYSICAL","OPEN","BLOCKED"))</x:f>
        <x:v>OPEN</x:v>
      </x:c>
      <x:c r="G2177" t="str">
        <x:v>equals</x:v>
      </x:c>
      <x:c r="H2177" t="str">
        <x:f>IF(E2177=F2177,"PASS","FAIL")</x:f>
        <x:v>PASS</x:v>
      </x:c>
    </x:row>
    <x:row r="2178">
      <x:c r="B2178" t="str">
        <x:v>A-02146</x:v>
      </x:c>
      <x:c r="C2178" t="str">
        <x:v>GATE</x:v>
      </x:c>
      <x:c r="D2178" t="str">
        <x:v>release state mirrors governing ledger</x:v>
      </x:c>
      <x:c r="E2178" t="str">
        <x:f>'Release Gates'!I2152</x:f>
        <x:v>OPEN</x:v>
      </x:c>
      <x:c r="F2178" t="str">
        <x:f>IF('Release Gates'!C2152="PLANNING","PASS",IF('Release Gates'!C2152="PHYSICAL","OPEN","BLOCKED"))</x:f>
        <x:v>OPEN</x:v>
      </x:c>
      <x:c r="G2178" t="str">
        <x:v>equals</x:v>
      </x:c>
      <x:c r="H2178" t="str">
        <x:f>IF(E2178=F2178,"PASS","FAIL")</x:f>
        <x:v>PASS</x:v>
      </x:c>
    </x:row>
    <x:row r="2179">
      <x:c r="B2179" t="str">
        <x:v>A-02147</x:v>
      </x:c>
      <x:c r="C2179" t="str">
        <x:v>GATE</x:v>
      </x:c>
      <x:c r="D2179" t="str">
        <x:v>release state mirrors governing ledger</x:v>
      </x:c>
      <x:c r="E2179" t="str">
        <x:f>'Release Gates'!I2153</x:f>
        <x:v>OPEN</x:v>
      </x:c>
      <x:c r="F2179" t="str">
        <x:f>IF('Release Gates'!C2153="PLANNING","PASS",IF('Release Gates'!C2153="PHYSICAL","OPEN","BLOCKED"))</x:f>
        <x:v>OPEN</x:v>
      </x:c>
      <x:c r="G2179" t="str">
        <x:v>equals</x:v>
      </x:c>
      <x:c r="H2179" t="str">
        <x:f>IF(E2179=F2179,"PASS","FAIL")</x:f>
        <x:v>PASS</x:v>
      </x:c>
    </x:row>
    <x:row r="2180">
      <x:c r="B2180" t="str">
        <x:v>A-02148</x:v>
      </x:c>
      <x:c r="C2180" t="str">
        <x:v>GATE</x:v>
      </x:c>
      <x:c r="D2180" t="str">
        <x:v>release state mirrors governing ledger</x:v>
      </x:c>
      <x:c r="E2180" t="str">
        <x:f>'Release Gates'!I2154</x:f>
        <x:v>OPEN</x:v>
      </x:c>
      <x:c r="F2180" t="str">
        <x:f>IF('Release Gates'!C2154="PLANNING","PASS",IF('Release Gates'!C2154="PHYSICAL","OPEN","BLOCKED"))</x:f>
        <x:v>OPEN</x:v>
      </x:c>
      <x:c r="G2180" t="str">
        <x:v>equals</x:v>
      </x:c>
      <x:c r="H2180" t="str">
        <x:f>IF(E2180=F2180,"PASS","FAIL")</x:f>
        <x:v>PASS</x:v>
      </x:c>
    </x:row>
    <x:row r="2181">
      <x:c r="B2181" t="str">
        <x:v>A-02149</x:v>
      </x:c>
      <x:c r="C2181" t="str">
        <x:v>GATE</x:v>
      </x:c>
      <x:c r="D2181" t="str">
        <x:v>release state mirrors governing ledger</x:v>
      </x:c>
      <x:c r="E2181" t="str">
        <x:f>'Release Gates'!I2155</x:f>
        <x:v>OPEN</x:v>
      </x:c>
      <x:c r="F2181" t="str">
        <x:f>IF('Release Gates'!C2155="PLANNING","PASS",IF('Release Gates'!C2155="PHYSICAL","OPEN","BLOCKED"))</x:f>
        <x:v>OPEN</x:v>
      </x:c>
      <x:c r="G2181" t="str">
        <x:v>equals</x:v>
      </x:c>
      <x:c r="H2181" t="str">
        <x:f>IF(E2181=F2181,"PASS","FAIL")</x:f>
        <x:v>PASS</x:v>
      </x:c>
    </x:row>
    <x:row r="2182">
      <x:c r="B2182" t="str">
        <x:v>A-02150</x:v>
      </x:c>
      <x:c r="C2182" t="str">
        <x:v>GATE</x:v>
      </x:c>
      <x:c r="D2182" t="str">
        <x:v>release state mirrors governing ledger</x:v>
      </x:c>
      <x:c r="E2182" t="str">
        <x:f>'Release Gates'!I2156</x:f>
        <x:v>OPEN</x:v>
      </x:c>
      <x:c r="F2182" t="str">
        <x:f>IF('Release Gates'!C2156="PLANNING","PASS",IF('Release Gates'!C2156="PHYSICAL","OPEN","BLOCKED"))</x:f>
        <x:v>OPEN</x:v>
      </x:c>
      <x:c r="G2182" t="str">
        <x:v>equals</x:v>
      </x:c>
      <x:c r="H2182" t="str">
        <x:f>IF(E2182=F2182,"PASS","FAIL")</x:f>
        <x:v>PASS</x:v>
      </x:c>
    </x:row>
    <x:row r="2183">
      <x:c r="B2183" t="str">
        <x:v>A-02151</x:v>
      </x:c>
      <x:c r="C2183" t="str">
        <x:v>GATE</x:v>
      </x:c>
      <x:c r="D2183" t="str">
        <x:v>release state mirrors governing ledger</x:v>
      </x:c>
      <x:c r="E2183" t="str">
        <x:f>'Release Gates'!I2157</x:f>
        <x:v>OPEN</x:v>
      </x:c>
      <x:c r="F2183" t="str">
        <x:f>IF('Release Gates'!C2157="PLANNING","PASS",IF('Release Gates'!C2157="PHYSICAL","OPEN","BLOCKED"))</x:f>
        <x:v>OPEN</x:v>
      </x:c>
      <x:c r="G2183" t="str">
        <x:v>equals</x:v>
      </x:c>
      <x:c r="H2183" t="str">
        <x:f>IF(E2183=F2183,"PASS","FAIL")</x:f>
        <x:v>PASS</x:v>
      </x:c>
    </x:row>
    <x:row r="2184">
      <x:c r="B2184" t="str">
        <x:v>A-02152</x:v>
      </x:c>
      <x:c r="C2184" t="str">
        <x:v>GATE</x:v>
      </x:c>
      <x:c r="D2184" t="str">
        <x:v>release state mirrors governing ledger</x:v>
      </x:c>
      <x:c r="E2184" t="str">
        <x:f>'Release Gates'!I2158</x:f>
        <x:v>OPEN</x:v>
      </x:c>
      <x:c r="F2184" t="str">
        <x:f>IF('Release Gates'!C2158="PLANNING","PASS",IF('Release Gates'!C2158="PHYSICAL","OPEN","BLOCKED"))</x:f>
        <x:v>OPEN</x:v>
      </x:c>
      <x:c r="G2184" t="str">
        <x:v>equals</x:v>
      </x:c>
      <x:c r="H2184" t="str">
        <x:f>IF(E2184=F2184,"PASS","FAIL")</x:f>
        <x:v>PASS</x:v>
      </x:c>
    </x:row>
    <x:row r="2185">
      <x:c r="B2185" t="str">
        <x:v>A-02153</x:v>
      </x:c>
      <x:c r="C2185" t="str">
        <x:v>GATE</x:v>
      </x:c>
      <x:c r="D2185" t="str">
        <x:v>release state mirrors governing ledger</x:v>
      </x:c>
      <x:c r="E2185" t="str">
        <x:f>'Release Gates'!I2159</x:f>
        <x:v>OPEN</x:v>
      </x:c>
      <x:c r="F2185" t="str">
        <x:f>IF('Release Gates'!C2159="PLANNING","PASS",IF('Release Gates'!C2159="PHYSICAL","OPEN","BLOCKED"))</x:f>
        <x:v>OPEN</x:v>
      </x:c>
      <x:c r="G2185" t="str">
        <x:v>equals</x:v>
      </x:c>
      <x:c r="H2185" t="str">
        <x:f>IF(E2185=F2185,"PASS","FAIL")</x:f>
        <x:v>PASS</x:v>
      </x:c>
    </x:row>
    <x:row r="2186">
      <x:c r="B2186" t="str">
        <x:v>A-02154</x:v>
      </x:c>
      <x:c r="C2186" t="str">
        <x:v>GATE</x:v>
      </x:c>
      <x:c r="D2186" t="str">
        <x:v>release state mirrors governing ledger</x:v>
      </x:c>
      <x:c r="E2186" t="str">
        <x:f>'Release Gates'!I2160</x:f>
        <x:v>OPEN</x:v>
      </x:c>
      <x:c r="F2186" t="str">
        <x:f>IF('Release Gates'!C2160="PLANNING","PASS",IF('Release Gates'!C2160="PHYSICAL","OPEN","BLOCKED"))</x:f>
        <x:v>OPEN</x:v>
      </x:c>
      <x:c r="G2186" t="str">
        <x:v>equals</x:v>
      </x:c>
      <x:c r="H2186" t="str">
        <x:f>IF(E2186=F2186,"PASS","FAIL")</x:f>
        <x:v>PASS</x:v>
      </x:c>
    </x:row>
    <x:row r="2187">
      <x:c r="B2187" t="str">
        <x:v>A-02155</x:v>
      </x:c>
      <x:c r="C2187" t="str">
        <x:v>GATE</x:v>
      </x:c>
      <x:c r="D2187" t="str">
        <x:v>release state mirrors governing ledger</x:v>
      </x:c>
      <x:c r="E2187" t="str">
        <x:f>'Release Gates'!I2161</x:f>
        <x:v>OPEN</x:v>
      </x:c>
      <x:c r="F2187" t="str">
        <x:f>IF('Release Gates'!C2161="PLANNING","PASS",IF('Release Gates'!C2161="PHYSICAL","OPEN","BLOCKED"))</x:f>
        <x:v>OPEN</x:v>
      </x:c>
      <x:c r="G2187" t="str">
        <x:v>equals</x:v>
      </x:c>
      <x:c r="H2187" t="str">
        <x:f>IF(E2187=F2187,"PASS","FAIL")</x:f>
        <x:v>PASS</x:v>
      </x:c>
    </x:row>
    <x:row r="2188">
      <x:c r="B2188" t="str">
        <x:v>A-02156</x:v>
      </x:c>
      <x:c r="C2188" t="str">
        <x:v>GATE</x:v>
      </x:c>
      <x:c r="D2188" t="str">
        <x:v>release state mirrors governing ledger</x:v>
      </x:c>
      <x:c r="E2188" t="str">
        <x:f>'Release Gates'!I2162</x:f>
        <x:v>OPEN</x:v>
      </x:c>
      <x:c r="F2188" t="str">
        <x:f>IF('Release Gates'!C2162="PLANNING","PASS",IF('Release Gates'!C2162="PHYSICAL","OPEN","BLOCKED"))</x:f>
        <x:v>OPEN</x:v>
      </x:c>
      <x:c r="G2188" t="str">
        <x:v>equals</x:v>
      </x:c>
      <x:c r="H2188" t="str">
        <x:f>IF(E2188=F2188,"PASS","FAIL")</x:f>
        <x:v>PASS</x:v>
      </x:c>
    </x:row>
    <x:row r="2189">
      <x:c r="B2189" t="str">
        <x:v>A-02157</x:v>
      </x:c>
      <x:c r="C2189" t="str">
        <x:v>GATE</x:v>
      </x:c>
      <x:c r="D2189" t="str">
        <x:v>release state mirrors governing ledger</x:v>
      </x:c>
      <x:c r="E2189" t="str">
        <x:f>'Release Gates'!I2163</x:f>
        <x:v>OPEN</x:v>
      </x:c>
      <x:c r="F2189" t="str">
        <x:f>IF('Release Gates'!C2163="PLANNING","PASS",IF('Release Gates'!C2163="PHYSICAL","OPEN","BLOCKED"))</x:f>
        <x:v>OPEN</x:v>
      </x:c>
      <x:c r="G2189" t="str">
        <x:v>equals</x:v>
      </x:c>
      <x:c r="H2189" t="str">
        <x:f>IF(E2189=F2189,"PASS","FAIL")</x:f>
        <x:v>PASS</x:v>
      </x:c>
    </x:row>
    <x:row r="2190">
      <x:c r="B2190" t="str">
        <x:v>A-02158</x:v>
      </x:c>
      <x:c r="C2190" t="str">
        <x:v>GATE</x:v>
      </x:c>
      <x:c r="D2190" t="str">
        <x:v>release state mirrors governing ledger</x:v>
      </x:c>
      <x:c r="E2190" t="str">
        <x:f>'Release Gates'!I2164</x:f>
        <x:v>OPEN</x:v>
      </x:c>
      <x:c r="F2190" t="str">
        <x:f>IF('Release Gates'!C2164="PLANNING","PASS",IF('Release Gates'!C2164="PHYSICAL","OPEN","BLOCKED"))</x:f>
        <x:v>OPEN</x:v>
      </x:c>
      <x:c r="G2190" t="str">
        <x:v>equals</x:v>
      </x:c>
      <x:c r="H2190" t="str">
        <x:f>IF(E2190=F2190,"PASS","FAIL")</x:f>
        <x:v>PASS</x:v>
      </x:c>
    </x:row>
    <x:row r="2191">
      <x:c r="B2191" t="str">
        <x:v>A-02159</x:v>
      </x:c>
      <x:c r="C2191" t="str">
        <x:v>GATE</x:v>
      </x:c>
      <x:c r="D2191" t="str">
        <x:v>release state mirrors governing ledger</x:v>
      </x:c>
      <x:c r="E2191" t="str">
        <x:f>'Release Gates'!I2165</x:f>
        <x:v>OPEN</x:v>
      </x:c>
      <x:c r="F2191" t="str">
        <x:f>IF('Release Gates'!C2165="PLANNING","PASS",IF('Release Gates'!C2165="PHYSICAL","OPEN","BLOCKED"))</x:f>
        <x:v>OPEN</x:v>
      </x:c>
      <x:c r="G2191" t="str">
        <x:v>equals</x:v>
      </x:c>
      <x:c r="H2191" t="str">
        <x:f>IF(E2191=F2191,"PASS","FAIL")</x:f>
        <x:v>PASS</x:v>
      </x:c>
    </x:row>
    <x:row r="2192">
      <x:c r="B2192" t="str">
        <x:v>A-02160</x:v>
      </x:c>
      <x:c r="C2192" t="str">
        <x:v>GATE</x:v>
      </x:c>
      <x:c r="D2192" t="str">
        <x:v>release state mirrors governing ledger</x:v>
      </x:c>
      <x:c r="E2192" t="str">
        <x:f>'Release Gates'!I2166</x:f>
        <x:v>OPEN</x:v>
      </x:c>
      <x:c r="F2192" t="str">
        <x:f>IF('Release Gates'!C2166="PLANNING","PASS",IF('Release Gates'!C2166="PHYSICAL","OPEN","BLOCKED"))</x:f>
        <x:v>OPEN</x:v>
      </x:c>
      <x:c r="G2192" t="str">
        <x:v>equals</x:v>
      </x:c>
      <x:c r="H2192" t="str">
        <x:f>IF(E2192=F2192,"PASS","FAIL")</x:f>
        <x:v>PASS</x:v>
      </x:c>
    </x:row>
    <x:row r="2193">
      <x:c r="B2193" t="str">
        <x:v>A-02161</x:v>
      </x:c>
      <x:c r="C2193" t="str">
        <x:v>GATE</x:v>
      </x:c>
      <x:c r="D2193" t="str">
        <x:v>release state mirrors governing ledger</x:v>
      </x:c>
      <x:c r="E2193" t="str">
        <x:f>'Release Gates'!I2167</x:f>
        <x:v>OPEN</x:v>
      </x:c>
      <x:c r="F2193" t="str">
        <x:f>IF('Release Gates'!C2167="PLANNING","PASS",IF('Release Gates'!C2167="PHYSICAL","OPEN","BLOCKED"))</x:f>
        <x:v>OPEN</x:v>
      </x:c>
      <x:c r="G2193" t="str">
        <x:v>equals</x:v>
      </x:c>
      <x:c r="H2193" t="str">
        <x:f>IF(E2193=F2193,"PASS","FAIL")</x:f>
        <x:v>PASS</x:v>
      </x:c>
    </x:row>
    <x:row r="2194">
      <x:c r="B2194" t="str">
        <x:v>A-02162</x:v>
      </x:c>
      <x:c r="C2194" t="str">
        <x:v>GATE</x:v>
      </x:c>
      <x:c r="D2194" t="str">
        <x:v>release state mirrors governing ledger</x:v>
      </x:c>
      <x:c r="E2194" t="str">
        <x:f>'Release Gates'!I2168</x:f>
        <x:v>OPEN</x:v>
      </x:c>
      <x:c r="F2194" t="str">
        <x:f>IF('Release Gates'!C2168="PLANNING","PASS",IF('Release Gates'!C2168="PHYSICAL","OPEN","BLOCKED"))</x:f>
        <x:v>OPEN</x:v>
      </x:c>
      <x:c r="G2194" t="str">
        <x:v>equals</x:v>
      </x:c>
      <x:c r="H2194" t="str">
        <x:f>IF(E2194=F2194,"PASS","FAIL")</x:f>
        <x:v>PASS</x:v>
      </x:c>
    </x:row>
    <x:row r="2195">
      <x:c r="B2195" t="str">
        <x:v>A-02163</x:v>
      </x:c>
      <x:c r="C2195" t="str">
        <x:v>GATE</x:v>
      </x:c>
      <x:c r="D2195" t="str">
        <x:v>release state mirrors governing ledger</x:v>
      </x:c>
      <x:c r="E2195" t="str">
        <x:f>'Release Gates'!I2169</x:f>
        <x:v>OPEN</x:v>
      </x:c>
      <x:c r="F2195" t="str">
        <x:f>IF('Release Gates'!C2169="PLANNING","PASS",IF('Release Gates'!C2169="PHYSICAL","OPEN","BLOCKED"))</x:f>
        <x:v>OPEN</x:v>
      </x:c>
      <x:c r="G2195" t="str">
        <x:v>equals</x:v>
      </x:c>
      <x:c r="H2195" t="str">
        <x:f>IF(E2195=F2195,"PASS","FAIL")</x:f>
        <x:v>PASS</x:v>
      </x:c>
    </x:row>
    <x:row r="2196">
      <x:c r="B2196" t="str">
        <x:v>A-02164</x:v>
      </x:c>
      <x:c r="C2196" t="str">
        <x:v>GATE</x:v>
      </x:c>
      <x:c r="D2196" t="str">
        <x:v>release state mirrors governing ledger</x:v>
      </x:c>
      <x:c r="E2196" t="str">
        <x:f>'Release Gates'!I2170</x:f>
        <x:v>OPEN</x:v>
      </x:c>
      <x:c r="F2196" t="str">
        <x:f>IF('Release Gates'!C2170="PLANNING","PASS",IF('Release Gates'!C2170="PHYSICAL","OPEN","BLOCKED"))</x:f>
        <x:v>OPEN</x:v>
      </x:c>
      <x:c r="G2196" t="str">
        <x:v>equals</x:v>
      </x:c>
      <x:c r="H2196" t="str">
        <x:f>IF(E2196=F2196,"PASS","FAIL")</x:f>
        <x:v>PASS</x:v>
      </x:c>
    </x:row>
    <x:row r="2197">
      <x:c r="B2197" t="str">
        <x:v>A-02165</x:v>
      </x:c>
      <x:c r="C2197" t="str">
        <x:v>GATE</x:v>
      </x:c>
      <x:c r="D2197" t="str">
        <x:v>release state mirrors governing ledger</x:v>
      </x:c>
      <x:c r="E2197" t="str">
        <x:f>'Release Gates'!I2171</x:f>
        <x:v>OPEN</x:v>
      </x:c>
      <x:c r="F2197" t="str">
        <x:f>IF('Release Gates'!C2171="PLANNING","PASS",IF('Release Gates'!C2171="PHYSICAL","OPEN","BLOCKED"))</x:f>
        <x:v>OPEN</x:v>
      </x:c>
      <x:c r="G2197" t="str">
        <x:v>equals</x:v>
      </x:c>
      <x:c r="H2197" t="str">
        <x:f>IF(E2197=F2197,"PASS","FAIL")</x:f>
        <x:v>PASS</x:v>
      </x:c>
    </x:row>
    <x:row r="2198">
      <x:c r="B2198" t="str">
        <x:v>A-02166</x:v>
      </x:c>
      <x:c r="C2198" t="str">
        <x:v>GATE</x:v>
      </x:c>
      <x:c r="D2198" t="str">
        <x:v>release state mirrors governing ledger</x:v>
      </x:c>
      <x:c r="E2198" t="str">
        <x:f>'Release Gates'!I2172</x:f>
        <x:v>OPEN</x:v>
      </x:c>
      <x:c r="F2198" t="str">
        <x:f>IF('Release Gates'!C2172="PLANNING","PASS",IF('Release Gates'!C2172="PHYSICAL","OPEN","BLOCKED"))</x:f>
        <x:v>OPEN</x:v>
      </x:c>
      <x:c r="G2198" t="str">
        <x:v>equals</x:v>
      </x:c>
      <x:c r="H2198" t="str">
        <x:f>IF(E2198=F2198,"PASS","FAIL")</x:f>
        <x:v>PASS</x:v>
      </x:c>
    </x:row>
    <x:row r="2199">
      <x:c r="B2199" t="str">
        <x:v>A-02167</x:v>
      </x:c>
      <x:c r="C2199" t="str">
        <x:v>GATE</x:v>
      </x:c>
      <x:c r="D2199" t="str">
        <x:v>release state mirrors governing ledger</x:v>
      </x:c>
      <x:c r="E2199" t="str">
        <x:f>'Release Gates'!I2173</x:f>
        <x:v>OPEN</x:v>
      </x:c>
      <x:c r="F2199" t="str">
        <x:f>IF('Release Gates'!C2173="PLANNING","PASS",IF('Release Gates'!C2173="PHYSICAL","OPEN","BLOCKED"))</x:f>
        <x:v>OPEN</x:v>
      </x:c>
      <x:c r="G2199" t="str">
        <x:v>equals</x:v>
      </x:c>
      <x:c r="H2199" t="str">
        <x:f>IF(E2199=F2199,"PASS","FAIL")</x:f>
        <x:v>PASS</x:v>
      </x:c>
    </x:row>
    <x:row r="2200">
      <x:c r="B2200" t="str">
        <x:v>A-02168</x:v>
      </x:c>
      <x:c r="C2200" t="str">
        <x:v>GATE</x:v>
      </x:c>
      <x:c r="D2200" t="str">
        <x:v>release state mirrors governing ledger</x:v>
      </x:c>
      <x:c r="E2200" t="str">
        <x:f>'Release Gates'!I2174</x:f>
        <x:v>OPEN</x:v>
      </x:c>
      <x:c r="F2200" t="str">
        <x:f>IF('Release Gates'!C2174="PLANNING","PASS",IF('Release Gates'!C2174="PHYSICAL","OPEN","BLOCKED"))</x:f>
        <x:v>OPEN</x:v>
      </x:c>
      <x:c r="G2200" t="str">
        <x:v>equals</x:v>
      </x:c>
      <x:c r="H2200" t="str">
        <x:f>IF(E2200=F2200,"PASS","FAIL")</x:f>
        <x:v>PASS</x:v>
      </x:c>
    </x:row>
    <x:row r="2201">
      <x:c r="B2201" t="str">
        <x:v>A-02169</x:v>
      </x:c>
      <x:c r="C2201" t="str">
        <x:v>GATE</x:v>
      </x:c>
      <x:c r="D2201" t="str">
        <x:v>release state mirrors governing ledger</x:v>
      </x:c>
      <x:c r="E2201" t="str">
        <x:f>'Release Gates'!I2175</x:f>
        <x:v>OPEN</x:v>
      </x:c>
      <x:c r="F2201" t="str">
        <x:f>IF('Release Gates'!C2175="PLANNING","PASS",IF('Release Gates'!C2175="PHYSICAL","OPEN","BLOCKED"))</x:f>
        <x:v>OPEN</x:v>
      </x:c>
      <x:c r="G2201" t="str">
        <x:v>equals</x:v>
      </x:c>
      <x:c r="H2201" t="str">
        <x:f>IF(E2201=F2201,"PASS","FAIL")</x:f>
        <x:v>PASS</x:v>
      </x:c>
    </x:row>
    <x:row r="2202">
      <x:c r="B2202" t="str">
        <x:v>A-02170</x:v>
      </x:c>
      <x:c r="C2202" t="str">
        <x:v>GATE</x:v>
      </x:c>
      <x:c r="D2202" t="str">
        <x:v>release state mirrors governing ledger</x:v>
      </x:c>
      <x:c r="E2202" t="str">
        <x:f>'Release Gates'!I2176</x:f>
        <x:v>OPEN</x:v>
      </x:c>
      <x:c r="F2202" t="str">
        <x:f>IF('Release Gates'!C2176="PLANNING","PASS",IF('Release Gates'!C2176="PHYSICAL","OPEN","BLOCKED"))</x:f>
        <x:v>OPEN</x:v>
      </x:c>
      <x:c r="G2202" t="str">
        <x:v>equals</x:v>
      </x:c>
      <x:c r="H2202" t="str">
        <x:f>IF(E2202=F2202,"PASS","FAIL")</x:f>
        <x:v>PASS</x:v>
      </x:c>
    </x:row>
    <x:row r="2203">
      <x:c r="B2203" t="str">
        <x:v>A-02171</x:v>
      </x:c>
      <x:c r="C2203" t="str">
        <x:v>GATE</x:v>
      </x:c>
      <x:c r="D2203" t="str">
        <x:v>release state mirrors governing ledger</x:v>
      </x:c>
      <x:c r="E2203" t="str">
        <x:f>'Release Gates'!I2177</x:f>
        <x:v>OPEN</x:v>
      </x:c>
      <x:c r="F2203" t="str">
        <x:f>IF('Release Gates'!C2177="PLANNING","PASS",IF('Release Gates'!C2177="PHYSICAL","OPEN","BLOCKED"))</x:f>
        <x:v>OPEN</x:v>
      </x:c>
      <x:c r="G2203" t="str">
        <x:v>equals</x:v>
      </x:c>
      <x:c r="H2203" t="str">
        <x:f>IF(E2203=F2203,"PASS","FAIL")</x:f>
        <x:v>PASS</x:v>
      </x:c>
    </x:row>
    <x:row r="2204">
      <x:c r="B2204" t="str">
        <x:v>A-02172</x:v>
      </x:c>
      <x:c r="C2204" t="str">
        <x:v>GATE</x:v>
      </x:c>
      <x:c r="D2204" t="str">
        <x:v>release state mirrors governing ledger</x:v>
      </x:c>
      <x:c r="E2204" t="str">
        <x:f>'Release Gates'!I2178</x:f>
        <x:v>OPEN</x:v>
      </x:c>
      <x:c r="F2204" t="str">
        <x:f>IF('Release Gates'!C2178="PLANNING","PASS",IF('Release Gates'!C2178="PHYSICAL","OPEN","BLOCKED"))</x:f>
        <x:v>OPEN</x:v>
      </x:c>
      <x:c r="G2204" t="str">
        <x:v>equals</x:v>
      </x:c>
      <x:c r="H2204" t="str">
        <x:f>IF(E2204=F2204,"PASS","FAIL")</x:f>
        <x:v>PASS</x:v>
      </x:c>
    </x:row>
    <x:row r="2205">
      <x:c r="B2205" t="str">
        <x:v>A-02173</x:v>
      </x:c>
      <x:c r="C2205" t="str">
        <x:v>GATE</x:v>
      </x:c>
      <x:c r="D2205" t="str">
        <x:v>release state mirrors governing ledger</x:v>
      </x:c>
      <x:c r="E2205" t="str">
        <x:f>'Release Gates'!I2179</x:f>
        <x:v>OPEN</x:v>
      </x:c>
      <x:c r="F2205" t="str">
        <x:f>IF('Release Gates'!C2179="PLANNING","PASS",IF('Release Gates'!C2179="PHYSICAL","OPEN","BLOCKED"))</x:f>
        <x:v>OPEN</x:v>
      </x:c>
      <x:c r="G2205" t="str">
        <x:v>equals</x:v>
      </x:c>
      <x:c r="H2205" t="str">
        <x:f>IF(E2205=F2205,"PASS","FAIL")</x:f>
        <x:v>PASS</x:v>
      </x:c>
    </x:row>
    <x:row r="2206">
      <x:c r="B2206" t="str">
        <x:v>A-02174</x:v>
      </x:c>
      <x:c r="C2206" t="str">
        <x:v>GATE</x:v>
      </x:c>
      <x:c r="D2206" t="str">
        <x:v>release state mirrors governing ledger</x:v>
      </x:c>
      <x:c r="E2206" t="str">
        <x:f>'Release Gates'!I2180</x:f>
        <x:v>OPEN</x:v>
      </x:c>
      <x:c r="F2206" t="str">
        <x:f>IF('Release Gates'!C2180="PLANNING","PASS",IF('Release Gates'!C2180="PHYSICAL","OPEN","BLOCKED"))</x:f>
        <x:v>OPEN</x:v>
      </x:c>
      <x:c r="G2206" t="str">
        <x:v>equals</x:v>
      </x:c>
      <x:c r="H2206" t="str">
        <x:f>IF(E2206=F2206,"PASS","FAIL")</x:f>
        <x:v>PASS</x:v>
      </x:c>
    </x:row>
    <x:row r="2207">
      <x:c r="B2207" t="str">
        <x:v>A-02175</x:v>
      </x:c>
      <x:c r="C2207" t="str">
        <x:v>GATE</x:v>
      </x:c>
      <x:c r="D2207" t="str">
        <x:v>release state mirrors governing ledger</x:v>
      </x:c>
      <x:c r="E2207" t="str">
        <x:f>'Release Gates'!I2181</x:f>
        <x:v>OPEN</x:v>
      </x:c>
      <x:c r="F2207" t="str">
        <x:f>IF('Release Gates'!C2181="PLANNING","PASS",IF('Release Gates'!C2181="PHYSICAL","OPEN","BLOCKED"))</x:f>
        <x:v>OPEN</x:v>
      </x:c>
      <x:c r="G2207" t="str">
        <x:v>equals</x:v>
      </x:c>
      <x:c r="H2207" t="str">
        <x:f>IF(E2207=F2207,"PASS","FAIL")</x:f>
        <x:v>PASS</x:v>
      </x:c>
    </x:row>
    <x:row r="2208">
      <x:c r="B2208" t="str">
        <x:v>A-02176</x:v>
      </x:c>
      <x:c r="C2208" t="str">
        <x:v>GATE</x:v>
      </x:c>
      <x:c r="D2208" t="str">
        <x:v>release state mirrors governing ledger</x:v>
      </x:c>
      <x:c r="E2208" t="str">
        <x:f>'Release Gates'!I2182</x:f>
        <x:v>OPEN</x:v>
      </x:c>
      <x:c r="F2208" t="str">
        <x:f>IF('Release Gates'!C2182="PLANNING","PASS",IF('Release Gates'!C2182="PHYSICAL","OPEN","BLOCKED"))</x:f>
        <x:v>OPEN</x:v>
      </x:c>
      <x:c r="G2208" t="str">
        <x:v>equals</x:v>
      </x:c>
      <x:c r="H2208" t="str">
        <x:f>IF(E2208=F2208,"PASS","FAIL")</x:f>
        <x:v>PASS</x:v>
      </x:c>
    </x:row>
    <x:row r="2209">
      <x:c r="B2209" t="str">
        <x:v>A-02177</x:v>
      </x:c>
      <x:c r="C2209" t="str">
        <x:v>GATE</x:v>
      </x:c>
      <x:c r="D2209" t="str">
        <x:v>release state mirrors governing ledger</x:v>
      </x:c>
      <x:c r="E2209" t="str">
        <x:f>'Release Gates'!I2183</x:f>
        <x:v>OPEN</x:v>
      </x:c>
      <x:c r="F2209" t="str">
        <x:f>IF('Release Gates'!C2183="PLANNING","PASS",IF('Release Gates'!C2183="PHYSICAL","OPEN","BLOCKED"))</x:f>
        <x:v>OPEN</x:v>
      </x:c>
      <x:c r="G2209" t="str">
        <x:v>equals</x:v>
      </x:c>
      <x:c r="H2209" t="str">
        <x:f>IF(E2209=F2209,"PASS","FAIL")</x:f>
        <x:v>PASS</x:v>
      </x:c>
    </x:row>
    <x:row r="2210">
      <x:c r="B2210" t="str">
        <x:v>A-02178</x:v>
      </x:c>
      <x:c r="C2210" t="str">
        <x:v>GATE</x:v>
      </x:c>
      <x:c r="D2210" t="str">
        <x:v>release state mirrors governing ledger</x:v>
      </x:c>
      <x:c r="E2210" t="str">
        <x:f>'Release Gates'!I2184</x:f>
        <x:v>OPEN</x:v>
      </x:c>
      <x:c r="F2210" t="str">
        <x:f>IF('Release Gates'!C2184="PLANNING","PASS",IF('Release Gates'!C2184="PHYSICAL","OPEN","BLOCKED"))</x:f>
        <x:v>OPEN</x:v>
      </x:c>
      <x:c r="G2210" t="str">
        <x:v>equals</x:v>
      </x:c>
      <x:c r="H2210" t="str">
        <x:f>IF(E2210=F2210,"PASS","FAIL")</x:f>
        <x:v>PASS</x:v>
      </x:c>
    </x:row>
    <x:row r="2211">
      <x:c r="B2211" t="str">
        <x:v>A-02179</x:v>
      </x:c>
      <x:c r="C2211" t="str">
        <x:v>GATE</x:v>
      </x:c>
      <x:c r="D2211" t="str">
        <x:v>release state mirrors governing ledger</x:v>
      </x:c>
      <x:c r="E2211" t="str">
        <x:f>'Release Gates'!I2185</x:f>
        <x:v>OPEN</x:v>
      </x:c>
      <x:c r="F2211" t="str">
        <x:f>IF('Release Gates'!C2185="PLANNING","PASS",IF('Release Gates'!C2185="PHYSICAL","OPEN","BLOCKED"))</x:f>
        <x:v>OPEN</x:v>
      </x:c>
      <x:c r="G2211" t="str">
        <x:v>equals</x:v>
      </x:c>
      <x:c r="H2211" t="str">
        <x:f>IF(E2211=F2211,"PASS","FAIL")</x:f>
        <x:v>PASS</x:v>
      </x:c>
    </x:row>
    <x:row r="2212">
      <x:c r="B2212" t="str">
        <x:v>A-02180</x:v>
      </x:c>
      <x:c r="C2212" t="str">
        <x:v>GATE</x:v>
      </x:c>
      <x:c r="D2212" t="str">
        <x:v>release state mirrors governing ledger</x:v>
      </x:c>
      <x:c r="E2212" t="str">
        <x:f>'Release Gates'!I2186</x:f>
        <x:v>OPEN</x:v>
      </x:c>
      <x:c r="F2212" t="str">
        <x:f>IF('Release Gates'!C2186="PLANNING","PASS",IF('Release Gates'!C2186="PHYSICAL","OPEN","BLOCKED"))</x:f>
        <x:v>OPEN</x:v>
      </x:c>
      <x:c r="G2212" t="str">
        <x:v>equals</x:v>
      </x:c>
      <x:c r="H2212" t="str">
        <x:f>IF(E2212=F2212,"PASS","FAIL")</x:f>
        <x:v>PASS</x:v>
      </x:c>
    </x:row>
    <x:row r="2213">
      <x:c r="B2213" t="str">
        <x:v>A-02181</x:v>
      </x:c>
      <x:c r="C2213" t="str">
        <x:v>GATE</x:v>
      </x:c>
      <x:c r="D2213" t="str">
        <x:v>release state mirrors governing ledger</x:v>
      </x:c>
      <x:c r="E2213" t="str">
        <x:f>'Release Gates'!I2187</x:f>
        <x:v>OPEN</x:v>
      </x:c>
      <x:c r="F2213" t="str">
        <x:f>IF('Release Gates'!C2187="PLANNING","PASS",IF('Release Gates'!C2187="PHYSICAL","OPEN","BLOCKED"))</x:f>
        <x:v>OPEN</x:v>
      </x:c>
      <x:c r="G2213" t="str">
        <x:v>equals</x:v>
      </x:c>
      <x:c r="H2213" t="str">
        <x:f>IF(E2213=F2213,"PASS","FAIL")</x:f>
        <x:v>PASS</x:v>
      </x:c>
    </x:row>
    <x:row r="2214">
      <x:c r="B2214" t="str">
        <x:v>A-02182</x:v>
      </x:c>
      <x:c r="C2214" t="str">
        <x:v>GATE</x:v>
      </x:c>
      <x:c r="D2214" t="str">
        <x:v>release state mirrors governing ledger</x:v>
      </x:c>
      <x:c r="E2214" t="str">
        <x:f>'Release Gates'!I2188</x:f>
        <x:v>OPEN</x:v>
      </x:c>
      <x:c r="F2214" t="str">
        <x:f>IF('Release Gates'!C2188="PLANNING","PASS",IF('Release Gates'!C2188="PHYSICAL","OPEN","BLOCKED"))</x:f>
        <x:v>OPEN</x:v>
      </x:c>
      <x:c r="G2214" t="str">
        <x:v>equals</x:v>
      </x:c>
      <x:c r="H2214" t="str">
        <x:f>IF(E2214=F2214,"PASS","FAIL")</x:f>
        <x:v>PASS</x:v>
      </x:c>
    </x:row>
    <x:row r="2215">
      <x:c r="B2215" t="str">
        <x:v>A-02183</x:v>
      </x:c>
      <x:c r="C2215" t="str">
        <x:v>GATE</x:v>
      </x:c>
      <x:c r="D2215" t="str">
        <x:v>release state mirrors governing ledger</x:v>
      </x:c>
      <x:c r="E2215" t="str">
        <x:f>'Release Gates'!I2189</x:f>
        <x:v>OPEN</x:v>
      </x:c>
      <x:c r="F2215" t="str">
        <x:f>IF('Release Gates'!C2189="PLANNING","PASS",IF('Release Gates'!C2189="PHYSICAL","OPEN","BLOCKED"))</x:f>
        <x:v>OPEN</x:v>
      </x:c>
      <x:c r="G2215" t="str">
        <x:v>equals</x:v>
      </x:c>
      <x:c r="H2215" t="str">
        <x:f>IF(E2215=F2215,"PASS","FAIL")</x:f>
        <x:v>PASS</x:v>
      </x:c>
    </x:row>
    <x:row r="2216">
      <x:c r="B2216" t="str">
        <x:v>A-02184</x:v>
      </x:c>
      <x:c r="C2216" t="str">
        <x:v>GATE</x:v>
      </x:c>
      <x:c r="D2216" t="str">
        <x:v>release state mirrors governing ledger</x:v>
      </x:c>
      <x:c r="E2216" t="str">
        <x:f>'Release Gates'!I2190</x:f>
        <x:v>OPEN</x:v>
      </x:c>
      <x:c r="F2216" t="str">
        <x:f>IF('Release Gates'!C2190="PLANNING","PASS",IF('Release Gates'!C2190="PHYSICAL","OPEN","BLOCKED"))</x:f>
        <x:v>OPEN</x:v>
      </x:c>
      <x:c r="G2216" t="str">
        <x:v>equals</x:v>
      </x:c>
      <x:c r="H2216" t="str">
        <x:f>IF(E2216=F2216,"PASS","FAIL")</x:f>
        <x:v>PASS</x:v>
      </x:c>
    </x:row>
    <x:row r="2217">
      <x:c r="B2217" t="str">
        <x:v>A-02185</x:v>
      </x:c>
      <x:c r="C2217" t="str">
        <x:v>GATE</x:v>
      </x:c>
      <x:c r="D2217" t="str">
        <x:v>release state mirrors governing ledger</x:v>
      </x:c>
      <x:c r="E2217" t="str">
        <x:f>'Release Gates'!I2191</x:f>
        <x:v>OPEN</x:v>
      </x:c>
      <x:c r="F2217" t="str">
        <x:f>IF('Release Gates'!C2191="PLANNING","PASS",IF('Release Gates'!C2191="PHYSICAL","OPEN","BLOCKED"))</x:f>
        <x:v>OPEN</x:v>
      </x:c>
      <x:c r="G2217" t="str">
        <x:v>equals</x:v>
      </x:c>
      <x:c r="H2217" t="str">
        <x:f>IF(E2217=F2217,"PASS","FAIL")</x:f>
        <x:v>PASS</x:v>
      </x:c>
    </x:row>
    <x:row r="2218">
      <x:c r="B2218" t="str">
        <x:v>A-02186</x:v>
      </x:c>
      <x:c r="C2218" t="str">
        <x:v>GATE</x:v>
      </x:c>
      <x:c r="D2218" t="str">
        <x:v>release state mirrors governing ledger</x:v>
      </x:c>
      <x:c r="E2218" t="str">
        <x:f>'Release Gates'!I2192</x:f>
        <x:v>OPEN</x:v>
      </x:c>
      <x:c r="F2218" t="str">
        <x:f>IF('Release Gates'!C2192="PLANNING","PASS",IF('Release Gates'!C2192="PHYSICAL","OPEN","BLOCKED"))</x:f>
        <x:v>OPEN</x:v>
      </x:c>
      <x:c r="G2218" t="str">
        <x:v>equals</x:v>
      </x:c>
      <x:c r="H2218" t="str">
        <x:f>IF(E2218=F2218,"PASS","FAIL")</x:f>
        <x:v>PASS</x:v>
      </x:c>
    </x:row>
    <x:row r="2219">
      <x:c r="B2219" t="str">
        <x:v>A-02187</x:v>
      </x:c>
      <x:c r="C2219" t="str">
        <x:v>GATE</x:v>
      </x:c>
      <x:c r="D2219" t="str">
        <x:v>release state mirrors governing ledger</x:v>
      </x:c>
      <x:c r="E2219" t="str">
        <x:f>'Release Gates'!I2193</x:f>
        <x:v>BLOCKED</x:v>
      </x:c>
      <x:c r="F2219" t="str">
        <x:f>IF('Release Gates'!C2193="PLANNING","PASS",IF('Release Gates'!C2193="PHYSICAL","OPEN","BLOCKED"))</x:f>
        <x:v>BLOCKED</x:v>
      </x:c>
      <x:c r="G2219" t="str">
        <x:v>equals</x:v>
      </x:c>
      <x:c r="H2219" t="str">
        <x:f>IF(E2219=F2219,"PASS","FAIL")</x:f>
        <x:v>PASS</x:v>
      </x:c>
    </x:row>
    <x:row r="2220">
      <x:c r="B2220" t="str">
        <x:v>A-02188</x:v>
      </x:c>
      <x:c r="C2220" t="str">
        <x:v>GATE</x:v>
      </x:c>
      <x:c r="D2220" t="str">
        <x:v>release state mirrors governing ledger</x:v>
      </x:c>
      <x:c r="E2220" t="str">
        <x:f>'Release Gates'!I2194</x:f>
        <x:v>BLOCKED</x:v>
      </x:c>
      <x:c r="F2220" t="str">
        <x:f>IF('Release Gates'!C2194="PLANNING","PASS",IF('Release Gates'!C2194="PHYSICAL","OPEN","BLOCKED"))</x:f>
        <x:v>BLOCKED</x:v>
      </x:c>
      <x:c r="G2220" t="str">
        <x:v>equals</x:v>
      </x:c>
      <x:c r="H2220" t="str">
        <x:f>IF(E2220=F2220,"PASS","FAIL")</x:f>
        <x:v>PASS</x:v>
      </x:c>
    </x:row>
    <x:row r="2221">
      <x:c r="B2221" t="str">
        <x:v>A-02189</x:v>
      </x:c>
      <x:c r="C2221" t="str">
        <x:v>GATE</x:v>
      </x:c>
      <x:c r="D2221" t="str">
        <x:v>release state mirrors governing ledger</x:v>
      </x:c>
      <x:c r="E2221" t="str">
        <x:f>'Release Gates'!I2195</x:f>
        <x:v>BLOCKED</x:v>
      </x:c>
      <x:c r="F2221" t="str">
        <x:f>IF('Release Gates'!C2195="PLANNING","PASS",IF('Release Gates'!C2195="PHYSICAL","OPEN","BLOCKED"))</x:f>
        <x:v>BLOCKED</x:v>
      </x:c>
      <x:c r="G2221" t="str">
        <x:v>equals</x:v>
      </x:c>
      <x:c r="H2221" t="str">
        <x:f>IF(E2221=F2221,"PASS","FAIL")</x:f>
        <x:v>PASS</x:v>
      </x:c>
    </x:row>
    <x:row r="2222">
      <x:c r="B2222" t="str">
        <x:v>A-02190</x:v>
      </x:c>
      <x:c r="C2222" t="str">
        <x:v>GATE</x:v>
      </x:c>
      <x:c r="D2222" t="str">
        <x:v>release state mirrors governing ledger</x:v>
      </x:c>
      <x:c r="E2222" t="str">
        <x:f>'Release Gates'!I2196</x:f>
        <x:v>BLOCKED</x:v>
      </x:c>
      <x:c r="F2222" t="str">
        <x:f>IF('Release Gates'!C2196="PLANNING","PASS",IF('Release Gates'!C2196="PHYSICAL","OPEN","BLOCKED"))</x:f>
        <x:v>BLOCKED</x:v>
      </x:c>
      <x:c r="G2222" t="str">
        <x:v>equals</x:v>
      </x:c>
      <x:c r="H2222" t="str">
        <x:f>IF(E2222=F2222,"PASS","FAIL")</x:f>
        <x:v>PASS</x:v>
      </x:c>
    </x:row>
    <x:row r="2223">
      <x:c r="B2223" t="str">
        <x:v>A-02191</x:v>
      </x:c>
      <x:c r="C2223" t="str">
        <x:v>GATE</x:v>
      </x:c>
      <x:c r="D2223" t="str">
        <x:v>release state mirrors governing ledger</x:v>
      </x:c>
      <x:c r="E2223" t="str">
        <x:f>'Release Gates'!I2197</x:f>
        <x:v>BLOCKED</x:v>
      </x:c>
      <x:c r="F2223" t="str">
        <x:f>IF('Release Gates'!C2197="PLANNING","PASS",IF('Release Gates'!C2197="PHYSICAL","OPEN","BLOCKED"))</x:f>
        <x:v>BLOCKED</x:v>
      </x:c>
      <x:c r="G2223" t="str">
        <x:v>equals</x:v>
      </x:c>
      <x:c r="H2223" t="str">
        <x:f>IF(E2223=F2223,"PASS","FAIL")</x:f>
        <x:v>PASS</x:v>
      </x:c>
    </x:row>
    <x:row r="2224">
      <x:c r="B2224" t="str">
        <x:v>A-02192</x:v>
      </x:c>
      <x:c r="C2224" t="str">
        <x:v>GATE</x:v>
      </x:c>
      <x:c r="D2224" t="str">
        <x:v>release state mirrors governing ledger</x:v>
      </x:c>
      <x:c r="E2224" t="str">
        <x:f>'Release Gates'!I2198</x:f>
        <x:v>BLOCKED</x:v>
      </x:c>
      <x:c r="F2224" t="str">
        <x:f>IF('Release Gates'!C2198="PLANNING","PASS",IF('Release Gates'!C2198="PHYSICAL","OPEN","BLOCKED"))</x:f>
        <x:v>BLOCKED</x:v>
      </x:c>
      <x:c r="G2224" t="str">
        <x:v>equals</x:v>
      </x:c>
      <x:c r="H2224" t="str">
        <x:f>IF(E2224=F2224,"PASS","FAIL")</x:f>
        <x:v>PASS</x:v>
      </x:c>
    </x:row>
    <x:row r="2225">
      <x:c r="B2225" t="str">
        <x:v>A-02193</x:v>
      </x:c>
      <x:c r="C2225" t="str">
        <x:v>GATE</x:v>
      </x:c>
      <x:c r="D2225" t="str">
        <x:v>release state mirrors governing ledger</x:v>
      </x:c>
      <x:c r="E2225" t="str">
        <x:f>'Release Gates'!I2199</x:f>
        <x:v>BLOCKED</x:v>
      </x:c>
      <x:c r="F2225" t="str">
        <x:f>IF('Release Gates'!C2199="PLANNING","PASS",IF('Release Gates'!C2199="PHYSICAL","OPEN","BLOCKED"))</x:f>
        <x:v>BLOCKED</x:v>
      </x:c>
      <x:c r="G2225" t="str">
        <x:v>equals</x:v>
      </x:c>
      <x:c r="H2225" t="str">
        <x:f>IF(E2225=F2225,"PASS","FAIL")</x:f>
        <x:v>PASS</x:v>
      </x:c>
    </x:row>
    <x:row r="2226">
      <x:c r="B2226" t="str">
        <x:v>A-02194</x:v>
      </x:c>
      <x:c r="C2226" t="str">
        <x:v>GATE</x:v>
      </x:c>
      <x:c r="D2226" t="str">
        <x:v>release state mirrors governing ledger</x:v>
      </x:c>
      <x:c r="E2226" t="str">
        <x:f>'Release Gates'!I2200</x:f>
        <x:v>BLOCKED</x:v>
      </x:c>
      <x:c r="F2226" t="str">
        <x:f>IF('Release Gates'!C2200="PLANNING","PASS",IF('Release Gates'!C2200="PHYSICAL","OPEN","BLOCKED"))</x:f>
        <x:v>BLOCKED</x:v>
      </x:c>
      <x:c r="G2226" t="str">
        <x:v>equals</x:v>
      </x:c>
      <x:c r="H2226" t="str">
        <x:f>IF(E2226=F2226,"PASS","FAIL")</x:f>
        <x:v>PASS</x:v>
      </x:c>
    </x:row>
    <x:row r="2227">
      <x:c r="B2227" t="str">
        <x:v>A-02195</x:v>
      </x:c>
      <x:c r="C2227" t="str">
        <x:v>GATE</x:v>
      </x:c>
      <x:c r="D2227" t="str">
        <x:v>release state mirrors governing ledger</x:v>
      </x:c>
      <x:c r="E2227" t="str">
        <x:f>'Release Gates'!I2201</x:f>
        <x:v>BLOCKED</x:v>
      </x:c>
      <x:c r="F2227" t="str">
        <x:f>IF('Release Gates'!C2201="PLANNING","PASS",IF('Release Gates'!C2201="PHYSICAL","OPEN","BLOCKED"))</x:f>
        <x:v>BLOCKED</x:v>
      </x:c>
      <x:c r="G2227" t="str">
        <x:v>equals</x:v>
      </x:c>
      <x:c r="H2227" t="str">
        <x:f>IF(E2227=F2227,"PASS","FAIL")</x:f>
        <x:v>PASS</x:v>
      </x:c>
    </x:row>
  </x:sheetData>
  <x:conditionalFormatting sqref="H7:H2227">
    <x:cfRule type="containsText" dxfId="98" priority="1" operator="containsText" text="FAIL"/>
    <x:cfRule type="containsText" dxfId="99" priority="2" operator="containsText" text="INVALID"/>
    <x:cfRule type="containsText" dxfId="100" priority="3" operator="containsText" text="BLOCKED"/>
    <x:cfRule type="containsText" dxfId="101" priority="4" operator="containsText" text="OPEN"/>
    <x:cfRule type="containsText" dxfId="102" priority="5" operator="containsText" text="GAP"/>
    <x:cfRule type="containsText" dxfId="103" priority="6" operator="containsText" text="PASS"/>
    <x:cfRule type="containsText" dxfId="104" priority="7" operator="containsText" text="VALID"/>
  </x:conditionalFormatting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32" hidden="0" customWidth="1"/>
    <x:col min="4" max="4" width="34" hidden="0" customWidth="1"/>
    <x:col min="5" max="5" width="58" hidden="0" customWidth="1"/>
    <x:col min="6" max="6" width="14" hidden="0" customWidth="1"/>
    <x:col min="7" max="7" width="15" hidden="0" customWidth="1"/>
  </x:cols>
  <x:sheetData>
    <x:row r="2">
      <x:c r="B2" s="1" t="str">
        <x:v>Ten separated authorities</x:v>
      </x:c>
    </x:row>
    <x:row r="3">
      <x:c r="B3" s="2" t="str">
        <x:v>No candidate, facility integrator or workbook can self-release source operation.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Authority</x:v>
      </x:c>
      <x:c r="C6" s="7" t="str">
        <x:v>Decision</x:v>
      </x:c>
      <x:c r="D6" s="7" t="str">
        <x:v>Owner</x:v>
      </x:c>
      <x:c r="E6" s="7" t="str">
        <x:v>Scope</x:v>
      </x:c>
      <x:c r="F6" s="7" t="str">
        <x:v>Value</x:v>
      </x:c>
      <x:c r="G6" s="7" t="str">
        <x:v>State</x:v>
      </x:c>
    </x:row>
    <x:row r="7" ht="40" customHeight="1">
      <x:c r="B7" t="str">
        <x:v>AU-01</x:v>
      </x:c>
      <x:c r="C7" t="str">
        <x:v>execution design</x:v>
      </x:c>
      <x:c r="D7" t="str">
        <x:v>RFE design authority</x:v>
      </x:c>
      <x:c r="E7" s="12" t="str">
        <x:v>register, clock and planning law</x:v>
      </x:c>
      <x:c r="F7" t="n">
        <x:v>1</x:v>
      </x:c>
      <x:c r="G7" t="str">
        <x:v>ACTIVE</x:v>
      </x:c>
    </x:row>
    <x:row r="8" ht="40" customHeight="1">
      <x:c r="B8" t="str">
        <x:v>AU-02</x:v>
      </x:c>
      <x:c r="C8" t="str">
        <x:v>rig physical acceptance</x:v>
      </x:c>
      <x:c r="D8" t="str">
        <x:v>independent acceptance board</x:v>
      </x:c>
      <x:c r="E8" s="12" t="str">
        <x:v>all inherited RFP physical objects</x:v>
      </x:c>
      <x:c r="F8" t="n">
        <x:v>0</x:v>
      </x:c>
      <x:c r="G8" t="str">
        <x:v>OPEN</x:v>
      </x:c>
    </x:row>
    <x:row r="9" ht="40" customHeight="1">
      <x:c r="B9" t="str">
        <x:v>AU-03</x:v>
      </x:c>
      <x:c r="C9" t="str">
        <x:v>water and tracer</x:v>
      </x:c>
      <x:c r="D9" t="str">
        <x:v>hydraulic/environmental boards</x:v>
      </x:c>
      <x:c r="E9" s="12" t="str">
        <x:v>non-source wet execution</x:v>
      </x:c>
      <x:c r="F9" t="n">
        <x:v>0</x:v>
      </x:c>
      <x:c r="G9" t="str">
        <x:v>BLOCKED</x:v>
      </x:c>
    </x:row>
    <x:row r="10" ht="40" customHeight="1">
      <x:c r="B10" t="str">
        <x:v>AU-04</x:v>
      </x:c>
      <x:c r="C10" t="str">
        <x:v>surrogate execution</x:v>
      </x:c>
      <x:c r="D10" t="str">
        <x:v>source and safety boards</x:v>
      </x:c>
      <x:c r="E10" s="12" t="str">
        <x:v>safe surrogate events</x:v>
      </x:c>
      <x:c r="F10" t="n">
        <x:v>0</x:v>
      </x:c>
      <x:c r="G10" t="str">
        <x:v>BLOCKED</x:v>
      </x:c>
    </x:row>
    <x:row r="11" ht="40" customHeight="1">
      <x:c r="B11" t="str">
        <x:v>AU-05</x:v>
      </x:c>
      <x:c r="C11" t="str">
        <x:v>quarter source</x:v>
      </x:c>
      <x:c r="D11" t="str">
        <x:v>source-release board</x:v>
      </x:c>
      <x:c r="E11" s="12" t="str">
        <x:v>development and paired quarter source</x:v>
      </x:c>
      <x:c r="F11" t="n">
        <x:v>0</x:v>
      </x:c>
      <x:c r="G11" t="str">
        <x:v>BLOCKED</x:v>
      </x:c>
    </x:row>
    <x:row r="12" ht="40" customHeight="1">
      <x:c r="B12" t="str">
        <x:v>AU-06</x:v>
      </x:c>
      <x:c r="C12" t="str">
        <x:v>full-source fire</x:v>
      </x:c>
      <x:c r="D12" t="str">
        <x:v>source, fire and environmental boards</x:v>
      </x:c>
      <x:c r="E12" s="12" t="str">
        <x:v>full source, ignition and candidate water</x:v>
      </x:c>
      <x:c r="F12" t="n">
        <x:v>0</x:v>
      </x:c>
      <x:c r="G12" t="str">
        <x:v>BLOCKED</x:v>
      </x:c>
    </x:row>
    <x:row r="13" ht="40" customHeight="1">
      <x:c r="B13" t="str">
        <x:v>AU-07</x:v>
      </x:c>
      <x:c r="C13" t="str">
        <x:v>destructive execution</x:v>
      </x:c>
      <x:c r="D13" t="str">
        <x:v>destructive-test board</x:v>
      </x:c>
      <x:c r="E13" s="12" t="str">
        <x:v>controlled public safe-state failure</x:v>
      </x:c>
      <x:c r="F13" t="n">
        <x:v>0</x:v>
      </x:c>
      <x:c r="G13" t="str">
        <x:v>BLOCKED</x:v>
      </x:c>
    </x:row>
    <x:row r="14" ht="40" customHeight="1">
      <x:c r="B14" t="str">
        <x:v>AU-08</x:v>
      </x:c>
      <x:c r="C14" t="str">
        <x:v>candidate selection</x:v>
      </x:c>
      <x:c r="D14" t="str">
        <x:v>independent selection authority</x:v>
      </x:c>
      <x:c r="E14" s="12" t="str">
        <x:v>event, pair, root and candidate disposition</x:v>
      </x:c>
      <x:c r="F14" t="n">
        <x:v>0</x:v>
      </x:c>
      <x:c r="G14" t="str">
        <x:v>BLOCKED</x:v>
      </x:c>
    </x:row>
    <x:row r="15" ht="40" customHeight="1">
      <x:c r="B15" t="str">
        <x:v>AU-09</x:v>
      </x:c>
      <x:c r="C15" t="str">
        <x:v>production and form</x:v>
      </x:c>
      <x:c r="D15" t="str">
        <x:v>Department acquisition authority</x:v>
      </x:c>
      <x:c r="E15" s="12" t="str">
        <x:v>freeze, production and form</x:v>
      </x:c>
      <x:c r="F15" t="n">
        <x:v>0</x:v>
      </x:c>
      <x:c r="G15" t="str">
        <x:v>BLOCKED</x:v>
      </x:c>
    </x:row>
    <x:row r="16" ht="40" customHeight="1">
      <x:c r="B16" t="str">
        <x:v>AU-10</x:v>
      </x:c>
      <x:c r="C16" t="str">
        <x:v>exterior rendering</x:v>
      </x:c>
      <x:c r="D16" t="str">
        <x:v>research-program authority</x:v>
      </x:c>
      <x:c r="E16" s="12" t="str">
        <x:v>external form after physical learning</x:v>
      </x:c>
      <x:c r="F16" t="n">
        <x:v>0</x:v>
      </x:c>
      <x:c r="G16" t="str">
        <x:v>BLOCKED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5" hidden="0" customWidth="1"/>
    <x:col min="3" max="3" width="125" hidden="0" customWidth="1"/>
  </x:cols>
  <x:sheetData>
    <x:row r="2">
      <x:c r="B2" s="1" t="str">
        <x:v>Workbook use and authority</x:v>
      </x:c>
    </x:row>
    <x:row r="3">
      <x:c r="B3" s="2" t="str">
        <x:v>RFE-1 is an execution constitution and financial model; it does not execute a source event or select a candidate.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Topic</x:v>
      </x:c>
      <x:c r="C6" s="7" t="str">
        <x:v>Rule</x:v>
      </x:c>
    </x:row>
    <x:row r="7" ht="46" customHeight="1">
      <x:c r="B7" t="str">
        <x:v>Decision</x:v>
      </x:c>
      <x:c r="C7" s="12" t="str">
        <x:v>Execute Root A through one immutable 306-event register and one public clock while separating validity, candidate outcome, public protection and recovery.</x:v>
      </x:c>
    </x:row>
    <x:row r="8" ht="46" customHeight="1">
      <x:c r="B8" t="str">
        <x:v>Population</x:v>
      </x:c>
      <x:c r="C8" s="12" t="str">
        <x:v>60 safe development, 12 quarter-source development, 96 quarter paired, 96 full paired, 24 destructive, 12 reset and six cross-site events.</x:v>
      </x:c>
    </x:row>
    <x:row r="9" ht="46" customHeight="1">
      <x:c r="B9" t="str">
        <x:v>Correction</x:v>
      </x:c>
      <x:c r="C9" s="12" t="str">
        <x:v>Twelve quarter-source development anchors raise base source provision from the earlier 288-tonne event-only view to 294 tonnes.</x:v>
      </x:c>
    </x:row>
    <x:row r="10" ht="46" customHeight="1">
      <x:c r="B10" t="str">
        <x:v>Reserve</x:v>
      </x:c>
      <x:c r="C10" s="12" t="str">
        <x:v>Sixty-six tokens and 74 tonnes may replace invalid attempts only. Valid adverse outcomes remain.</x:v>
      </x:c>
    </x:row>
    <x:row r="11" ht="46" customHeight="1">
      <x:c r="B11" t="str">
        <x:v>Clock</x:v>
      </x:c>
      <x:c r="C11" s="12" t="str">
        <x:v>Twenty-four phases run from T-96-hour configuration freeze through day-seven validity and outcome disposition.</x:v>
      </x:c>
    </x:row>
    <x:row r="12" ht="46" customHeight="1">
      <x:c r="B12" t="str">
        <x:v>Ignition</x:v>
      </x:c>
      <x:c r="C12" s="12" t="str">
        <x:v>Fire methods receive a registered T+15-second ignition opportunity. No flame is an outcome when the opportunity itself is valid.</x:v>
      </x:c>
    </x:row>
    <x:row r="13" ht="46" customHeight="1">
      <x:c r="B13" t="str">
        <x:v>Water</x:v>
      </x:c>
      <x:c r="C13" s="12" t="str">
        <x:v>Candidate water is scored by gross use, recirculation, retention, heat and ancestry. Public casualty capture is adverse candidate evidence.</x:v>
      </x:c>
    </x:row>
    <x:row r="14" ht="46" customHeight="1">
      <x:c r="B14" t="str">
        <x:v>Safety</x:v>
      </x:c>
      <x:c r="C14" s="12" t="str">
        <x:v>Twenty abort channels, twelve scored interventions and ten ordered safe-state actions protect life, site, inventory and evidence.</x:v>
      </x:c>
    </x:row>
    <x:row r="15" ht="46" customHeight="1">
      <x:c r="B15" t="str">
        <x:v>Recovery</x:v>
      </x:c>
      <x:c r="C15" s="12" t="str">
        <x:v>Ten measured states end at restored serialized baseline. Time alone creates no right of entry or reset credit.</x:v>
      </x:c>
    </x:row>
    <x:row r="16" ht="46" customHeight="1">
      <x:c r="B16" t="str">
        <x:v>Evidence</x:v>
      </x:c>
      <x:c r="C16" s="12" t="str">
        <x:v>576 channels per rig, two native originals, 66 exact reserve attempts and twenty-percent forensic overhead require about 52.524 TB.</x:v>
      </x:c>
    </x:row>
    <x:row r="17" ht="46" customHeight="1">
      <x:c r="B17" t="str">
        <x:v>Capacity</x:v>
      </x:c>
      <x:c r="C17" s="12" t="str">
        <x:v>Base plus reserve requires 2,559 rig-days against about 5,085 available rig-days at the declared ready-rig fraction.</x:v>
      </x:c>
    </x:row>
    <x:row r="18" ht="46" customHeight="1">
      <x:c r="B18" t="str">
        <x:v>Institution</x:v>
      </x:c>
      <x:c r="C18" s="12" t="str">
        <x:v>584 public positions own campaign operations, source, fire/water science, evidence, rescue, robotics, environment and adjudication.</x:v>
      </x:c>
    </x:row>
    <x:row r="19" ht="46" customHeight="1">
      <x:c r="B19" t="str">
        <x:v>Finance</x:v>
      </x:c>
      <x:c r="C19" s="12" t="str">
        <x:v>USD 420 million capital, USD 228 million per year and USD 1.332 billion program-period exposure.</x:v>
      </x:c>
    </x:row>
    <x:row r="20" ht="46" customHeight="1">
      <x:c r="B20" t="str">
        <x:v>Authority</x:v>
      </x:c>
      <x:c r="C20" s="12" t="str">
        <x:v>Planning completeness grants no physical, source, selection, production or exterior-form authority.</x:v>
      </x:c>
    </x:row>
    <x:row r="21" ht="46" customHeight="1">
      <x:c r="B21" t="str">
        <x:v>Rendering</x:v>
      </x:c>
      <x:c r="C21" s="12" t="str">
        <x:v>No exterior rendering is authorized. Executed source, intervention and recovery evidence must first alter the design basis.</x:v>
      </x:c>
    </x:row>
    <x:row r="22" ht="46" customHeight="1">
      <x:c r="B22" t="str">
        <x:v>Sources</x:v>
      </x:c>
      <x:c r="C22" s="12" t="str">
        <x:v>Internal repository authority only: CISA-1, PTC-0, MCR-1, SBD-1, RFA-1, RFP-1 and RHM-1.</x:v>
      </x:c>
    </x:row>
  </x:sheetData>
  <x:pageMargins left="0.7" right="0.7" top="0.75" bottom="0.75" header="0.3" footer="0.3"/>
</x:worksheet>
</file>