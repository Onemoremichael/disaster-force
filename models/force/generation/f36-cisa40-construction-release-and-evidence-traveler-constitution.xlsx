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bed0f9de2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860bf6acbf430f"/>
    <x:sheet xmlns:r="http://schemas.openxmlformats.org/officeDocument/2006/relationships" name="Controls" sheetId="2" r:id="Rafc13ec950d74571"/>
    <x:sheet xmlns:r="http://schemas.openxmlformats.org/officeDocument/2006/relationships" name="Operation Registry" sheetId="3" r:id="R599bed16b7714cad"/>
    <x:sheet xmlns:r="http://schemas.openxmlformats.org/officeDocument/2006/relationships" name="Hold Points" sheetId="4" r:id="R2c95b091e86c4033"/>
    <x:sheet xmlns:r="http://schemas.openxmlformats.org/officeDocument/2006/relationships" name="Material Split" sheetId="5" r:id="Rd2978316939146a8"/>
    <x:sheet xmlns:r="http://schemas.openxmlformats.org/officeDocument/2006/relationships" name="Known Defects" sheetId="6" r:id="R0cbf3d992b95489b"/>
    <x:sheet xmlns:r="http://schemas.openxmlformats.org/officeDocument/2006/relationships" name="Subarticles" sheetId="7" r:id="Reb01c9cf34704163"/>
    <x:sheet xmlns:r="http://schemas.openxmlformats.org/officeDocument/2006/relationships" name="Energy Ballast" sheetId="8" r:id="R92afd65fde5e4972"/>
    <x:sheet xmlns:r="http://schemas.openxmlformats.org/officeDocument/2006/relationships" name="Process Windows" sheetId="9" r:id="R0182b87b4b384251"/>
    <x:sheet xmlns:r="http://schemas.openxmlformats.org/officeDocument/2006/relationships" name="Nonconformance" sheetId="10" r:id="R64786543ea45497f"/>
    <x:sheet xmlns:r="http://schemas.openxmlformats.org/officeDocument/2006/relationships" name="Evidence Schema" sheetId="11" r:id="Rd57d40f23a124530"/>
    <x:sheet xmlns:r="http://schemas.openxmlformats.org/officeDocument/2006/relationships" name="Destructive Cuts" sheetId="12" r:id="R30538b5317834ece"/>
    <x:sheet xmlns:r="http://schemas.openxmlformats.org/officeDocument/2006/relationships" name="Reconstruction" sheetId="13" r:id="R9f141665ac4a4e40"/>
    <x:sheet xmlns:r="http://schemas.openxmlformats.org/officeDocument/2006/relationships" name="Schedule" sheetId="14" r:id="Rb4cd77ba28764faf"/>
    <x:sheet xmlns:r="http://schemas.openxmlformats.org/officeDocument/2006/relationships" name="Capital Draw" sheetId="15" r:id="R00389fcc27de4984"/>
    <x:sheet xmlns:r="http://schemas.openxmlformats.org/officeDocument/2006/relationships" name="Annual Draw" sheetId="16" r:id="R07c6a64c636841bc"/>
    <x:sheet xmlns:r="http://schemas.openxmlformats.org/officeDocument/2006/relationships" name="Release Gates" sheetId="17" r:id="R0f041eccdc0f404f"/>
    <x:sheet xmlns:r="http://schemas.openxmlformats.org/officeDocument/2006/relationships" name="Audit" sheetId="18" r:id="R5b3c54d250dc4055"/>
    <x:sheet xmlns:r="http://schemas.openxmlformats.org/officeDocument/2006/relationships" name="ReadMe" sheetId="19" r:id="R4913385de142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$0.000"/>
    <x:numFmt numFmtId="203" formatCode="0.0%"/>
    <x:numFmt numFmtId="204" formatCode="$0.0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6" fillId="3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horizontal="center" vertical="center"/>
    </x:xf>
    <x:xf numFmtId="202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6" fillId="3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299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7b85e1d1ee4e35" /><Relationship Type="http://schemas.openxmlformats.org/officeDocument/2006/relationships/theme" Target="/xl/theme/theme1.xml" Id="Re33a4be2cd004256" /><Relationship Type="http://schemas.openxmlformats.org/officeDocument/2006/relationships/sharedStrings" Target="/xl/sharedStrings.xml" Id="R7e030124e69f4e8d" /><Relationship Type="http://schemas.openxmlformats.org/officeDocument/2006/relationships/worksheet" Target="/xl/worksheets/sheet1.xml" Id="Rba860bf6acbf430f" /><Relationship Type="http://schemas.openxmlformats.org/officeDocument/2006/relationships/worksheet" Target="/xl/worksheets/sheet2.xml" Id="Rafc13ec950d74571" /><Relationship Type="http://schemas.openxmlformats.org/officeDocument/2006/relationships/worksheet" Target="/xl/worksheets/sheet3.xml" Id="R599bed16b7714cad" /><Relationship Type="http://schemas.openxmlformats.org/officeDocument/2006/relationships/worksheet" Target="/xl/worksheets/sheet4.xml" Id="R2c95b091e86c4033" /><Relationship Type="http://schemas.openxmlformats.org/officeDocument/2006/relationships/worksheet" Target="/xl/worksheets/sheet5.xml" Id="Rd2978316939146a8" /><Relationship Type="http://schemas.openxmlformats.org/officeDocument/2006/relationships/worksheet" Target="/xl/worksheets/sheet6.xml" Id="R0cbf3d992b95489b" /><Relationship Type="http://schemas.openxmlformats.org/officeDocument/2006/relationships/worksheet" Target="/xl/worksheets/sheet7.xml" Id="Reb01c9cf34704163" /><Relationship Type="http://schemas.openxmlformats.org/officeDocument/2006/relationships/worksheet" Target="/xl/worksheets/sheet8.xml" Id="R92afd65fde5e4972" /><Relationship Type="http://schemas.openxmlformats.org/officeDocument/2006/relationships/worksheet" Target="/xl/worksheets/sheet9.xml" Id="R0182b87b4b384251" /><Relationship Type="http://schemas.openxmlformats.org/officeDocument/2006/relationships/worksheet" Target="/xl/worksheets/sheet10.xml" Id="R64786543ea45497f" /><Relationship Type="http://schemas.openxmlformats.org/officeDocument/2006/relationships/worksheet" Target="/xl/worksheets/sheet11.xml" Id="Rd57d40f23a124530" /><Relationship Type="http://schemas.openxmlformats.org/officeDocument/2006/relationships/worksheet" Target="/xl/worksheets/sheet12.xml" Id="R30538b5317834ece" /><Relationship Type="http://schemas.openxmlformats.org/officeDocument/2006/relationships/worksheet" Target="/xl/worksheets/sheet13.xml" Id="R9f141665ac4a4e40" /><Relationship Type="http://schemas.openxmlformats.org/officeDocument/2006/relationships/worksheet" Target="/xl/worksheets/sheet14.xml" Id="Rb4cd77ba28764faf" /><Relationship Type="http://schemas.openxmlformats.org/officeDocument/2006/relationships/worksheet" Target="/xl/worksheets/sheet15.xml" Id="R00389fcc27de4984" /><Relationship Type="http://schemas.openxmlformats.org/officeDocument/2006/relationships/worksheet" Target="/xl/worksheets/sheet16.xml" Id="R07c6a64c636841bc" /><Relationship Type="http://schemas.openxmlformats.org/officeDocument/2006/relationships/worksheet" Target="/xl/worksheets/sheet17.xml" Id="R0f041eccdc0f404f" /><Relationship Type="http://schemas.openxmlformats.org/officeDocument/2006/relationships/worksheet" Target="/xl/worksheets/sheet18.xml" Id="R5b3c54d250dc4055" /><Relationship Type="http://schemas.openxmlformats.org/officeDocument/2006/relationships/worksheet" Target="/xl/worksheets/sheet19.xml" Id="R4913385de14241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4" hidden="0" customWidth="1"/>
    <x:col min="3" max="3" width="15" hidden="0" customWidth="1"/>
    <x:col min="4" max="4" width="15" hidden="0" customWidth="1"/>
    <x:col min="5" max="5" width="16" hidden="0" customWidth="1"/>
    <x:col min="6" max="6" width="38" hidden="0" customWidth="1"/>
    <x:col min="7" max="7" width="4" hidden="0" customWidth="1"/>
    <x:col min="8" max="8" width="36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  <x:col min="13" max="13" width="15" hidden="0" customWidth="1"/>
    <x:col min="14" max="14" width="43" hidden="0" customWidth="1"/>
  </x:cols>
  <x:sheetData>
    <x:row r="2">
      <x:c r="B2" s="37" t="str">
        <x:v>CRET-1 construction-release decision surface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8" t="str">
        <x:v>Planning defines how evidence must be made. Construction and physical admission remain source-empty.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19" t="str">
        <x:v>Decision counters</x:v>
      </x:c>
      <x:c r="C6" s="19" t="str">
        <x:v>Decision counters</x:v>
      </x:c>
      <x:c r="D6" s="19" t="str">
        <x:v>Decision counters</x:v>
      </x:c>
      <x:c r="E6" s="19" t="str">
        <x:v>Decision counters</x:v>
      </x:c>
      <x:c r="F6" s="19" t="str">
        <x:v>Decision counters</x:v>
      </x:c>
      <x:c r="G6" s="19" t="str">
        <x:v>Decision counters</x:v>
      </x:c>
      <x:c r="H6" s="19" t="str">
        <x:v>Decision counters</x:v>
      </x:c>
      <x:c r="I6" s="19" t="str">
        <x:v>Decision counters</x:v>
      </x:c>
      <x:c r="J6" s="19" t="str">
        <x:v>Decision counters</x:v>
      </x:c>
      <x:c r="K6" s="19" t="str">
        <x:v>Decision counters</x:v>
      </x:c>
      <x:c r="L6" s="19" t="str">
        <x:v>Decision counters</x:v>
      </x:c>
      <x:c r="M6" s="19" t="str">
        <x:v>Decision counters</x:v>
      </x:c>
      <x:c r="N6" s="19" t="str">
        <x:v>Decision counters</x:v>
      </x:c>
    </x:row>
    <x:row r="7">
      <x:c r="B7" s="7" t="str">
        <x:v>Metric</x:v>
      </x:c>
      <x:c r="C7" s="7" t="str">
        <x:v>Observed</x:v>
      </x:c>
      <x:c r="D7" s="7" t="str">
        <x:v>Required</x:v>
      </x:c>
      <x:c r="E7" s="7" t="str">
        <x:v>Status</x:v>
      </x:c>
      <x:c r="F7" s="7" t="str">
        <x:v>Meaning</x:v>
      </x:c>
      <x:c r="G7" s="9"/>
      <x:c r="H7" s="19" t="str">
        <x:v>Key calculated consequences</x:v>
      </x:c>
      <x:c r="I7" s="19" t="str">
        <x:v>Key calculated consequences</x:v>
      </x:c>
      <x:c r="J7" s="19" t="str">
        <x:v>Key calculated consequences</x:v>
      </x:c>
      <x:c r="K7" s="19" t="str">
        <x:v>Key calculated consequences</x:v>
      </x:c>
      <x:c r="L7" s="19" t="str">
        <x:v>Key calculated consequences</x:v>
      </x:c>
      <x:c r="M7" s="19" t="str">
        <x:v>Key calculated consequences</x:v>
      </x:c>
      <x:c r="N7" s="19" t="str">
        <x:v>Key calculated consequences</x:v>
      </x:c>
    </x:row>
    <x:row r="8">
      <x:c r="B8" s="9" t="str">
        <x:v>root operations</x:v>
      </x:c>
      <x:c r="C8" s="15" t="n">
        <x:f>COUNTA('Operation Registry'!C7:C50)</x:f>
        <x:v>44</x:v>
      </x:c>
      <x:c r="D8" s="15" t="n">
        <x:f>'Controls'!$D$7</x:f>
        <x:v>44</x:v>
      </x:c>
      <x:c r="E8" s="9" t="str">
        <x:f>IF(C8=D8,"PASS","FAIL")</x:f>
        <x:v>PASS</x:v>
      </x:c>
      <x:c r="F8" s="9" t="str">
        <x:v>44 state transitions</x:v>
      </x:c>
      <x:c r="G8" s="9"/>
      <x:c r="H8" s="7" t="str">
        <x:v>Metric</x:v>
      </x:c>
      <x:c r="I8" s="7" t="str">
        <x:v>Root A</x:v>
      </x:c>
      <x:c r="J8" s="7" t="str">
        <x:v>Root B</x:v>
      </x:c>
      <x:c r="K8" s="7" t="str">
        <x:v>Unit</x:v>
      </x:c>
      <x:c r="L8" s="7" t="str">
        <x:v>Limit</x:v>
      </x:c>
      <x:c r="M8" s="7" t="str">
        <x:v>Status</x:v>
      </x:c>
      <x:c r="N8" s="7" t="str">
        <x:v>Decision</x:v>
      </x:c>
    </x:row>
    <x:row r="9">
      <x:c r="B9" s="9" t="str">
        <x:v>hold instances</x:v>
      </x:c>
      <x:c r="C9" s="15" t="n">
        <x:f>COUNTA('Hold Points'!B7:B34)</x:f>
        <x:v>28</x:v>
      </x:c>
      <x:c r="D9" s="15" t="n">
        <x:f>'Controls'!$D$8</x:f>
        <x:v>28</x:v>
      </x:c>
      <x:c r="E9" s="9" t="str">
        <x:f>IF(C9=D9,"PASS","FAIL")</x:f>
        <x:v>PASS</x:v>
      </x:c>
      <x:c r="F9" s="9" t="str">
        <x:v>14 per root</x:v>
      </x:c>
      <x:c r="G9" s="9"/>
      <x:c r="H9" s="9" t="str">
        <x:v>fuel rate</x:v>
      </x:c>
      <x:c r="I9" s="15" t="n">
        <x:f>'Energy Ballast'!E20</x:f>
        <x:v>0.33367442274324866</x:v>
      </x:c>
      <x:c r="J9" s="15" t="n">
        <x:f>'Energy Ballast'!E21</x:f>
        <x:v>0.45093795093795097</x:v>
      </x:c>
      <x:c r="K9" s="15" t="str">
        <x:v>t/h</x:v>
      </x:c>
      <x:c r="L9" s="15" t="n">
        <x:v>0</x:v>
      </x:c>
      <x:c r="M9" s="9" t="str">
        <x:f>"PASS"</x:f>
        <x:v>PASS</x:v>
      </x:c>
      <x:c r="N9" s="9" t="str">
        <x:v>water replacement command</x:v>
      </x:c>
    </x:row>
    <x:row r="10">
      <x:c r="B10" s="9" t="str">
        <x:v>material lots</x:v>
      </x:c>
      <x:c r="C10" s="15" t="n">
        <x:f>COUNTA('Material Split'!B7:B38)</x:f>
        <x:v>32</x:v>
      </x:c>
      <x:c r="D10" s="15" t="n">
        <x:f>'Controls'!$D$9</x:f>
        <x:v>32</x:v>
      </x:c>
      <x:c r="E10" s="9" t="str">
        <x:f>IF(C10=D10,"PASS","FAIL")</x:f>
        <x:v>PASS</x:v>
      </x:c>
      <x:c r="F10" s="9" t="str">
        <x:v>conserved pre-result split</x:v>
      </x:c>
      <x:c r="G10" s="9"/>
      <x:c r="H10" s="9" t="str">
        <x:v>eight-hour fuel consumed</x:v>
      </x:c>
      <x:c r="I10" s="15" t="n">
        <x:f>'Energy Ballast'!F20</x:f>
        <x:v>2.6693953819459892</x:v>
      </x:c>
      <x:c r="J10" s="15" t="n">
        <x:f>'Energy Ballast'!F21</x:f>
        <x:v>3.6075036075036078</x:v>
      </x:c>
      <x:c r="K10" s="15" t="str">
        <x:v>t</x:v>
      </x:c>
      <x:c r="L10" s="15" t="n">
        <x:v>0</x:v>
      </x:c>
      <x:c r="M10" s="9" t="str">
        <x:f>"PASS"</x:f>
        <x:v>PASS</x:v>
      </x:c>
      <x:c r="N10" s="9" t="str">
        <x:v>less than start inventory</x:v>
      </x:c>
    </x:row>
    <x:row r="11">
      <x:c r="B11" s="9" t="str">
        <x:v>known-defect standards</x:v>
      </x:c>
      <x:c r="C11" s="15" t="n">
        <x:f>COUNTA('Known Defects'!B7:B78)</x:f>
        <x:v>72</x:v>
      </x:c>
      <x:c r="D11" s="15" t="n">
        <x:f>'Controls'!$D$10</x:f>
        <x:v>72</x:v>
      </x:c>
      <x:c r="E11" s="9" t="str">
        <x:f>IF(C11=D11,"PASS","FAIL")</x:f>
        <x:v>PASS</x:v>
      </x:c>
      <x:c r="F11" s="9" t="str">
        <x:v>24 families x 3 severities</x:v>
      </x:c>
      <x:c r="G11" s="9"/>
      <x:c r="H11" s="9" t="str">
        <x:v>water replacement rate</x:v>
      </x:c>
      <x:c r="I11" s="15" t="n">
        <x:f>'Energy Ballast'!K20</x:f>
        <x:v>0.09268733965090241</x:v>
      </x:c>
      <x:c r="J11" s="15" t="n">
        <x:f>'Energy Ballast'!K21</x:f>
        <x:v>0.1252605419272086</x:v>
      </x:c>
      <x:c r="K11" s="15" t="str">
        <x:v>kg/s</x:v>
      </x:c>
      <x:c r="L11" s="15" t="n">
        <x:v>0.2</x:v>
      </x:c>
      <x:c r="M11" s="9" t="str">
        <x:f>IF(AND(I11&lt;=L11,J11&lt;=L11),"PASS","FAIL")</x:f>
        <x:v>PASS</x:v>
      </x:c>
      <x:c r="N11" s="9" t="str">
        <x:v>hydraulically modest; custody governs</x:v>
      </x:c>
    </x:row>
    <x:row r="12">
      <x:c r="B12" s="9" t="str">
        <x:v>full-scale subarticles</x:v>
      </x:c>
      <x:c r="C12" s="15" t="n">
        <x:f>COUNTA(Subarticles!B7:B18)</x:f>
        <x:v>12</x:v>
      </x:c>
      <x:c r="D12" s="15" t="n">
        <x:f>'Controls'!$D$11</x:f>
        <x:v>12</x:v>
      </x:c>
      <x:c r="E12" s="9" t="str">
        <x:f>IF(C12=D12,"PASS","FAIL")</x:f>
        <x:v>PASS</x:v>
      </x:c>
      <x:c r="F12" s="9" t="str">
        <x:v>6 per root</x:v>
      </x:c>
      <x:c r="G12" s="9"/>
      <x:c r="H12" s="9" t="str">
        <x:v>start/end mass delta</x:v>
      </x:c>
      <x:c r="I12" s="15" t="n">
        <x:f>'Energy Ballast'!J20</x:f>
        <x:v>0</x:v>
      </x:c>
      <x:c r="J12" s="15" t="n">
        <x:f>'Energy Ballast'!J21</x:f>
        <x:v>0</x:v>
      </x:c>
      <x:c r="K12" s="15" t="str">
        <x:v>t</x:v>
      </x:c>
      <x:c r="L12" s="15" t="n">
        <x:v>0.01</x:v>
      </x:c>
      <x:c r="M12" s="9" t="str">
        <x:f>IF(AND(ABS(I12)&lt;=L12,ABS(J12)&lt;=L12),"PASS","FAIL")</x:f>
        <x:v>PASS</x:v>
      </x:c>
      <x:c r="N12" s="9" t="str">
        <x:v>mass-preserving planning state</x:v>
      </x:c>
    </x:row>
    <x:row r="13">
      <x:c r="B13" s="9" t="str">
        <x:v>energy-ballast cassettes</x:v>
      </x:c>
      <x:c r="C13" s="15" t="n">
        <x:f>COUNTA('Energy Ballast'!B7:B14)</x:f>
        <x:v>8</x:v>
      </x:c>
      <x:c r="D13" s="15" t="n">
        <x:f>'Controls'!$D$12</x:f>
        <x:v>8</x:v>
      </x:c>
      <x:c r="E13" s="9" t="str">
        <x:f>IF(C13=D13,"PASS","FAIL")</x:f>
        <x:v>PASS</x:v>
      </x:c>
      <x:c r="F13" s="9" t="str">
        <x:v>4 per root</x:v>
      </x:c>
      <x:c r="G13" s="9"/>
      <x:c r="H13" s="9" t="str">
        <x:v>all-success detection lower bound</x:v>
      </x:c>
      <x:c r="I13" s="15" t="n">
        <x:f>POWER(0.05,1/'Controls'!$D$42)</x:f>
        <x:v>0.9018553723227043</x:v>
      </x:c>
      <x:c r="J13" s="15" t="n">
        <x:f>POWER(0.05,1/'Controls'!$D$42)</x:f>
        <x:v>0.9018553723227043</x:v>
      </x:c>
      <x:c r="K13" s="15" t="str">
        <x:v>fraction</x:v>
      </x:c>
      <x:c r="L13" s="15" t="n">
        <x:f>'Controls'!$D$43</x:f>
        <x:v>0.9</x:v>
      </x:c>
      <x:c r="M13" s="9" t="str">
        <x:f>IF(AND(I13&gt;=L13,J13&gt;=L13),"PASS","FAIL")</x:f>
        <x:v>PASS</x:v>
      </x:c>
      <x:c r="N13" s="9" t="str">
        <x:v>29 independent zero-miss realizations</x:v>
      </x:c>
    </x:row>
    <x:row r="14">
      <x:c r="B14" s="9" t="str">
        <x:v>event schema fields</x:v>
      </x:c>
      <x:c r="C14" s="15" t="n">
        <x:f>COUNTA('Evidence Schema'!B7:B42)</x:f>
        <x:v>36</x:v>
      </x:c>
      <x:c r="D14" s="15" t="n">
        <x:f>'Controls'!$D$13</x:f>
        <x:v>36</x:v>
      </x:c>
      <x:c r="E14" s="9" t="str">
        <x:f>IF(C14=D14,"PASS","FAIL")</x:f>
        <x:v>PASS</x:v>
      </x:c>
      <x:c r="F14" s="9" t="str">
        <x:v>minimum native fields</x:v>
      </x:c>
      <x:c r="G14" s="9"/>
      <x:c r="H14" s="9" t="str">
        <x:v>capital remaining</x:v>
      </x:c>
      <x:c r="I14" s="15" t="n">
        <x:f>'Capital Draw'!F22</x:f>
        <x:v>0.015999999999999973</x:v>
      </x:c>
      <x:c r="J14" s="15" t="n">
        <x:f>'Capital Draw'!F22</x:f>
        <x:v>0.015999999999999973</x:v>
      </x:c>
      <x:c r="K14" s="15" t="str">
        <x:v>USD B</x:v>
      </x:c>
      <x:c r="L14" s="15" t="n">
        <x:v>0</x:v>
      </x:c>
      <x:c r="M14" s="9" t="str">
        <x:f>IF(AND(I14&gt;=L14,J14&gt;=L14),"PASS","FAIL")</x:f>
        <x:v>PASS</x:v>
      </x:c>
      <x:c r="N14" s="9" t="str">
        <x:v>inside parent</x:v>
      </x:c>
    </x:row>
    <x:row r="15">
      <x:c r="B15" s="9" t="str">
        <x:v>reconstruction exercises</x:v>
      </x:c>
      <x:c r="C15" s="15" t="n">
        <x:f>COUNTA(Reconstruction!B7:B18)</x:f>
        <x:v>12</x:v>
      </x:c>
      <x:c r="D15" s="15" t="n">
        <x:f>'Controls'!$D$14</x:f>
        <x:v>12</x:v>
      </x:c>
      <x:c r="E15" s="9" t="str">
        <x:f>IF(C15=D15,"PASS","FAIL")</x:f>
        <x:v>PASS</x:v>
      </x:c>
      <x:c r="F15" s="9" t="str">
        <x:v>independent replay</x:v>
      </x:c>
      <x:c r="G15" s="9"/>
      <x:c r="H15" s="9" t="str">
        <x:v>annual remaining</x:v>
      </x:c>
      <x:c r="I15" s="15" t="n">
        <x:f>'Annual Draw'!F20</x:f>
        <x:v>0.0029999999999999957</x:v>
      </x:c>
      <x:c r="J15" s="15" t="n">
        <x:f>'Annual Draw'!F20</x:f>
        <x:v>0.0029999999999999957</x:v>
      </x:c>
      <x:c r="K15" s="15" t="str">
        <x:v>USD B/year</x:v>
      </x:c>
      <x:c r="L15" s="15" t="n">
        <x:v>0</x:v>
      </x:c>
      <x:c r="M15" s="9" t="str">
        <x:f>IF(AND(I15&gt;=L15,J15&gt;=L15),"PASS","FAIL")</x:f>
        <x:v>PASS</x:v>
      </x:c>
      <x:c r="N15" s="9" t="str">
        <x:v>inside parent</x:v>
      </x:c>
    </x:row>
    <x:row r="16">
      <x:c r="B16" s="9" t="str">
        <x:v>destructive cuts</x:v>
      </x:c>
      <x:c r="C16" s="15" t="n">
        <x:f>COUNTA('Destructive Cuts'!B7:B66)</x:f>
        <x:v>60</x:v>
      </x:c>
      <x:c r="D16" s="15" t="n">
        <x:f>'Controls'!$D$15</x:f>
        <x:v>60</x:v>
      </x:c>
      <x:c r="E16" s="9" t="str">
        <x:f>IF(C16=D16,"PASS","FAIL")</x:f>
        <x:v>PASS</x:v>
      </x:c>
      <x:c r="F16" s="9" t="str">
        <x:v>30 per root</x:v>
      </x:c>
      <x:c r="G16" s="9"/>
      <x:c r="H16" s="9"/>
      <x:c r="I16" s="9"/>
      <x:c r="J16" s="9"/>
      <x:c r="K16" s="9"/>
      <x:c r="L16" s="9"/>
      <x:c r="M16" s="9"/>
      <x:c r="N16" s="9"/>
    </x:row>
    <x:row r="17">
      <x:c r="B17" s="9" t="str">
        <x:v>workforce</x:v>
      </x:c>
      <x:c r="C17" s="15" t="n">
        <x:f>SUM(66,56,56,10)</x:f>
        <x:v>188</x:v>
      </x:c>
      <x:c r="D17" s="15" t="n">
        <x:f>'Controls'!$D$16</x:f>
        <x:v>188</x:v>
      </x:c>
      <x:c r="E17" s="9" t="str">
        <x:f>IF(C17=D17,"PASS","FAIL")</x:f>
        <x:v>PASS</x:v>
      </x:c>
      <x:c r="F17" s="9" t="str">
        <x:v>no operational borrowing</x:v>
      </x:c>
      <x:c r="G17" s="9"/>
      <x:c r="H17" s="9"/>
      <x:c r="I17" s="9"/>
      <x:c r="J17" s="9"/>
      <x:c r="K17" s="9"/>
      <x:c r="L17" s="9"/>
      <x:c r="M17" s="9"/>
      <x:c r="N17" s="9"/>
    </x:row>
    <x:row r="18">
      <x:c r="B18" s="9" t="str">
        <x:v>duration</x:v>
      </x:c>
      <x:c r="C18" s="15" t="n">
        <x:f>MAX(Schedule!D7:D16)</x:f>
        <x:v>16</x:v>
      </x:c>
      <x:c r="D18" s="15" t="n">
        <x:f>'Controls'!$D$17</x:f>
        <x:v>16</x:v>
      </x:c>
      <x:c r="E18" s="9" t="str">
        <x:f>IF(C18=D18,"PASS","FAIL")</x:f>
        <x:v>PASS</x:v>
      </x:c>
      <x:c r="F18" s="9" t="str">
        <x:v>months</x:v>
      </x:c>
      <x:c r="G18" s="9"/>
      <x:c r="H18" s="9"/>
      <x:c r="I18" s="9"/>
      <x:c r="J18" s="9"/>
      <x:c r="K18" s="9"/>
      <x:c r="L18" s="9"/>
      <x:c r="M18" s="9"/>
      <x:c r="N18" s="9"/>
    </x:row>
    <x:row r="19">
      <x:c r="B19" s="9" t="str">
        <x:v>planning gates passing</x:v>
      </x:c>
      <x:c r="C19" s="15" t="n">
        <x:f>COUNTIF('Release Gates'!H7:H54,"PASS")</x:f>
        <x:v>48</x:v>
      </x:c>
      <x:c r="D19" s="15" t="n">
        <x:f>'Controls'!$D$44</x:f>
        <x:v>48</x:v>
      </x:c>
      <x:c r="E19" s="9" t="str">
        <x:f>IF(C19=D19,"PASS","FAIL")</x:f>
        <x:v>PASS</x:v>
      </x:c>
      <x:c r="F19" s="9" t="str">
        <x:v>design only</x:v>
      </x:c>
      <x:c r="G19" s="9"/>
      <x:c r="H19" s="9"/>
      <x:c r="I19" s="9"/>
      <x:c r="J19" s="9"/>
      <x:c r="K19" s="9"/>
      <x:c r="L19" s="9"/>
      <x:c r="M19" s="9"/>
      <x:c r="N19" s="9"/>
    </x:row>
    <x:row r="20">
      <x:c r="B20" s="9" t="str">
        <x:v>physical/downstream not passing</x:v>
      </x:c>
      <x:c r="C20" s="15" t="n">
        <x:f>COUNTIF('Release Gates'!H55:H78,"&lt;&gt;PASS")</x:f>
        <x:v>24</x:v>
      </x:c>
      <x:c r="D20" s="15" t="n">
        <x:f>'Controls'!$D$45</x:f>
        <x:v>24</x:v>
      </x:c>
      <x:c r="E20" s="9" t="str">
        <x:f>IF(C20=D20,"PASS","FAIL")</x:f>
        <x:v>PASS</x:v>
      </x:c>
      <x:c r="F20" s="9" t="str">
        <x:v>held by source/authority</x:v>
      </x:c>
      <x:c r="G20" s="9"/>
      <x:c r="H20" s="9"/>
      <x:c r="I20" s="9"/>
      <x:c r="J20" s="9"/>
      <x:c r="K20" s="9"/>
      <x:c r="L20" s="9"/>
      <x:c r="M20" s="9"/>
      <x:c r="N20" s="9"/>
    </x:row>
    <x:row r="21"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B23" s="19" t="str">
        <x:v>Authority boundary</x:v>
      </x:c>
      <x:c r="C23" s="19" t="str">
        <x:v>Authority boundary</x:v>
      </x:c>
      <x:c r="D23" s="19" t="str">
        <x:v>Authority boundary</x:v>
      </x:c>
      <x:c r="E23" s="19" t="str">
        <x:v>Authority boundary</x:v>
      </x:c>
      <x:c r="F23" s="19" t="str">
        <x:v>Authority boundary</x:v>
      </x:c>
      <x:c r="G23" s="19" t="str">
        <x:v>Authority boundary</x:v>
      </x:c>
      <x:c r="H23" s="19" t="str">
        <x:v>Authority boundary</x:v>
      </x:c>
      <x:c r="I23" s="19" t="str">
        <x:v>Authority boundary</x:v>
      </x:c>
      <x:c r="J23" s="19" t="str">
        <x:v>Authority boundary</x:v>
      </x:c>
      <x:c r="K23" s="19" t="str">
        <x:v>Authority boundary</x:v>
      </x:c>
      <x:c r="L23" s="19" t="str">
        <x:v>Authority boundary</x:v>
      </x:c>
      <x:c r="M23" s="19" t="str">
        <x:v>Authority boundary</x:v>
      </x:c>
      <x:c r="N23" s="19" t="str">
        <x:v>Authority boundary</x:v>
      </x:c>
    </x:row>
    <x:row r="24">
      <x:c r="B24" s="7" t="str">
        <x:v>Authority</x:v>
      </x:c>
      <x:c r="C24" s="7" t="str">
        <x:v>Count</x:v>
      </x:c>
      <x:c r="D24" s="7" t="str">
        <x:v>Status</x:v>
      </x:c>
      <x:c r="E24" s="7" t="str">
        <x:v>Meaning</x:v>
      </x:c>
      <x:c r="F24" s="9"/>
      <x:c r="G24" s="9"/>
      <x:c r="H24" s="9"/>
      <x:c r="I24" s="9"/>
      <x:c r="J24" s="9"/>
      <x:c r="K24" s="9"/>
      <x:c r="L24" s="9"/>
      <x:c r="M24" s="9"/>
      <x:c r="N24" s="9"/>
    </x:row>
    <x:row r="25">
      <x:c r="B25" s="9" t="str">
        <x:v>planning</x:v>
      </x:c>
      <x:c r="C25" s="9" t="n">
        <x:v>48</x:v>
      </x:c>
      <x:c r="D25" s="9" t="str">
        <x:f>IF(COUNTIF('Release Gates'!H7:H54,"PASS")=48,"AUTHORIZED","HOLD")</x:f>
        <x:v>AUTHORIZED</x:v>
      </x:c>
      <x:c r="E25" s="9" t="str">
        <x:v>traveler and experiment preparation</x:v>
      </x:c>
      <x:c r="F25" s="9"/>
      <x:c r="G25" s="9"/>
      <x:c r="H25" s="9"/>
      <x:c r="I25" s="9"/>
      <x:c r="J25" s="9"/>
      <x:c r="K25" s="9"/>
      <x:c r="L25" s="9"/>
      <x:c r="M25" s="9"/>
      <x:c r="N25" s="9"/>
    </x:row>
    <x:row r="26">
      <x:c r="B26" s="9" t="str">
        <x:v>physical</x:v>
      </x:c>
      <x:c r="C26" s="9" t="n">
        <x:v>20</x:v>
      </x:c>
      <x:c r="D26" s="9" t="str">
        <x:f>IF(COUNTIF('Release Gates'!H55:H74,"PASS")=20,"AUTHORIZED","OPEN")</x:f>
        <x:v>OPEN</x:v>
      </x:c>
      <x:c r="E26" s="9" t="str">
        <x:v>requires accepted source objects</x:v>
      </x:c>
      <x:c r="F26" s="9"/>
      <x:c r="G26" s="9"/>
      <x:c r="H26" s="9"/>
      <x:c r="I26" s="9"/>
      <x:c r="J26" s="9"/>
      <x:c r="K26" s="9"/>
      <x:c r="L26" s="9"/>
      <x:c r="M26" s="9"/>
      <x:c r="N26" s="9"/>
    </x:row>
    <x:row r="27">
      <x:c r="B27" s="9" t="str">
        <x:v>downstream</x:v>
      </x:c>
      <x:c r="C27" s="9" t="n">
        <x:v>4</x:v>
      </x:c>
      <x:c r="D27" s="9" t="str">
        <x:f>IF(COUNTIF('Release Gates'!H75:H78,"PASS")=4,"AUTHORIZED","BLOCKED")</x:f>
        <x:v>BLOCKED</x:v>
      </x:c>
      <x:c r="E27" s="9" t="str">
        <x:v>construction release/article/campaign/production</x:v>
      </x:c>
      <x:c r="F27" s="9"/>
      <x:c r="G27" s="9"/>
      <x:c r="H27" s="9"/>
      <x:c r="I27" s="9"/>
      <x:c r="J27" s="9"/>
      <x:c r="K27" s="9"/>
      <x:c r="L27" s="9"/>
      <x:c r="M27" s="9"/>
      <x:c r="N27" s="9"/>
    </x:row>
    <x:row r="28">
      <x:c r="B28" s="10" t="str">
        <x:v>exterior rendering</x:v>
      </x:c>
      <x:c r="C28" s="10" t="n">
        <x:v>0</x:v>
      </x:c>
      <x:c r="D28" s="10" t="str">
        <x:f>IF('Controls'!$D$60=1,"AUTHORIZED","BLOCKED")</x:f>
        <x:v>BLOCKED</x:v>
      </x:c>
      <x:c r="E28" s="10" t="str">
        <x:v>internal evidence drawings only</x:v>
      </x:c>
      <x:c r="F28" s="10"/>
      <x:c r="G28" s="10"/>
      <x:c r="H28" s="10"/>
      <x:c r="I28" s="10"/>
      <x:c r="J28" s="10"/>
      <x:c r="K28" s="10"/>
      <x:c r="L28" s="10"/>
      <x:c r="M28" s="10"/>
      <x:c r="N28" s="10"/>
    </x:row>
  </x:sheetData>
  <x:mergeCells>
    <x:mergeCell ref="B2:N2"/>
    <x:mergeCell ref="B3:N3"/>
    <x:mergeCell ref="B6:N6"/>
    <x:mergeCell ref="H7:N7"/>
    <x:mergeCell ref="B23:N23"/>
  </x:mergeCells>
  <x:conditionalFormatting sqref="E8:E20">
    <x:cfRule type="containsText" dxfId="247" priority="1" operator="containsText" text="PASS"/>
    <x:cfRule type="containsText" dxfId="248" priority="2" operator="containsText" text="AUTHORIZED"/>
    <x:cfRule type="containsText" dxfId="249" priority="3" operator="containsText" text="DEFINED"/>
    <x:cfRule type="containsText" dxfId="250" priority="4" operator="containsText" text="READY"/>
    <x:cfRule type="containsText" dxfId="251" priority="5" operator="containsText" text="HOLD"/>
    <x:cfRule type="containsText" dxfId="252" priority="6" operator="containsText" text="OPEN"/>
    <x:cfRule type="containsText" dxfId="253" priority="7" operator="containsText" text="BLOCKED"/>
    <x:cfRule type="containsText" dxfId="254" priority="8" operator="containsText" text="PLANNING"/>
    <x:cfRule type="containsText" dxfId="255" priority="9" operator="containsText" text="QUARANTINE"/>
    <x:cfRule type="containsText" dxfId="256" priority="10" operator="containsText" text="FAIL"/>
    <x:cfRule type="containsText" dxfId="257" priority="11" operator="containsText" text="REJECT"/>
    <x:cfRule type="containsText" dxfId="258" priority="12" operator="containsText" text="INCOMPLETE"/>
    <x:cfRule type="containsText" dxfId="259" priority="13" operator="containsText" text="STOP"/>
  </x:conditionalFormatting>
  <x:conditionalFormatting sqref="M9:M15">
    <x:cfRule type="containsText" dxfId="260" priority="14" operator="containsText" text="PASS"/>
    <x:cfRule type="containsText" dxfId="261" priority="15" operator="containsText" text="AUTHORIZED"/>
    <x:cfRule type="containsText" dxfId="262" priority="16" operator="containsText" text="DEFINED"/>
    <x:cfRule type="containsText" dxfId="263" priority="17" operator="containsText" text="READY"/>
    <x:cfRule type="containsText" dxfId="264" priority="18" operator="containsText" text="HOLD"/>
    <x:cfRule type="containsText" dxfId="265" priority="19" operator="containsText" text="OPEN"/>
    <x:cfRule type="containsText" dxfId="266" priority="20" operator="containsText" text="BLOCKED"/>
    <x:cfRule type="containsText" dxfId="267" priority="21" operator="containsText" text="PLANNING"/>
    <x:cfRule type="containsText" dxfId="268" priority="22" operator="containsText" text="QUARANTINE"/>
    <x:cfRule type="containsText" dxfId="269" priority="23" operator="containsText" text="FAIL"/>
    <x:cfRule type="containsText" dxfId="270" priority="24" operator="containsText" text="REJECT"/>
    <x:cfRule type="containsText" dxfId="271" priority="25" operator="containsText" text="INCOMPLETE"/>
    <x:cfRule type="containsText" dxfId="272" priority="26" operator="containsText" text="STOP"/>
  </x:conditionalFormatting>
  <x:conditionalFormatting sqref="D25:D28">
    <x:cfRule type="containsText" dxfId="273" priority="27" operator="containsText" text="PASS"/>
    <x:cfRule type="containsText" dxfId="274" priority="28" operator="containsText" text="AUTHORIZED"/>
    <x:cfRule type="containsText" dxfId="275" priority="29" operator="containsText" text="DEFINED"/>
    <x:cfRule type="containsText" dxfId="276" priority="30" operator="containsText" text="READY"/>
    <x:cfRule type="containsText" dxfId="277" priority="31" operator="containsText" text="HOLD"/>
    <x:cfRule type="containsText" dxfId="278" priority="32" operator="containsText" text="OPEN"/>
    <x:cfRule type="containsText" dxfId="279" priority="33" operator="containsText" text="BLOCKED"/>
    <x:cfRule type="containsText" dxfId="280" priority="34" operator="containsText" text="PLANNING"/>
    <x:cfRule type="containsText" dxfId="281" priority="35" operator="containsText" text="QUARANTINE"/>
    <x:cfRule type="containsText" dxfId="282" priority="36" operator="containsText" text="FAIL"/>
    <x:cfRule type="containsText" dxfId="283" priority="37" operator="containsText" text="REJECT"/>
    <x:cfRule type="containsText" dxfId="284" priority="38" operator="containsText" text="INCOMPLETE"/>
    <x:cfRule type="containsText" dxfId="285" priority="39" operator="containsText" text="STOP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7C9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8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</x:cols>
  <x:sheetData>
    <x:row r="2">
      <x:c r="B2" s="37" t="str">
        <x:v>CRET-1 controls</x:v>
      </x:c>
      <x:c r="C2" s="9"/>
      <x:c r="D2" s="9"/>
      <x:c r="E2" s="9"/>
      <x:c r="F2" s="9"/>
      <x:c r="G2" s="9"/>
      <x:c r="H2" s="9"/>
    </x:row>
    <x:row r="3">
      <x:c r="B3" s="38" t="str">
        <x:v>Blue values are inherited boundaries or design hypotheses; physical-source controls remain zero.</x:v>
      </x:c>
      <x:c r="C3" s="9"/>
      <x:c r="D3" s="9"/>
      <x:c r="E3" s="9"/>
      <x:c r="F3" s="9"/>
      <x:c r="G3" s="9"/>
      <x:c r="H3" s="9"/>
    </x:row>
    <x:row r="4">
      <x:c r="B4" s="39"/>
      <x:c r="C4" s="39"/>
      <x:c r="D4" s="39"/>
      <x:c r="E4" s="39"/>
      <x:c r="F4" s="39"/>
      <x:c r="G4" s="39"/>
      <x:c r="H4" s="39"/>
    </x:row>
    <x:row r="5">
      <x:c r="B5" s="9"/>
      <x:c r="C5" s="9"/>
      <x:c r="D5" s="9"/>
      <x:c r="E5" s="9"/>
      <x:c r="F5" s="9"/>
      <x:c r="G5" s="9"/>
      <x:c r="H5" s="9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  <x:c r="H6" s="9"/>
    </x:row>
    <x:row r="7">
      <x:c r="B7" s="9" t="str">
        <x:v>C01</x:v>
      </x:c>
      <x:c r="C7" s="9" t="str">
        <x:v>Root operations</x:v>
      </x:c>
      <x:c r="D7" s="13" t="n">
        <x:v>44</x:v>
      </x:c>
      <x:c r="E7" s="9" t="str">
        <x:v>events</x:v>
      </x:c>
      <x:c r="F7" s="9" t="str">
        <x:v>DESIGN</x:v>
      </x:c>
      <x:c r="G7" s="9" t="str">
        <x:v>Pass 113 planning</x:v>
      </x:c>
      <x:c r="H7" s="9"/>
    </x:row>
    <x:row r="8">
      <x:c r="B8" s="9" t="str">
        <x:v>C02</x:v>
      </x:c>
      <x:c r="C8" s="9" t="str">
        <x:v>Root hold instances</x:v>
      </x:c>
      <x:c r="D8" s="13" t="n">
        <x:v>28</x:v>
      </x:c>
      <x:c r="E8" s="9" t="str">
        <x:v>holds</x:v>
      </x:c>
      <x:c r="F8" s="9" t="str">
        <x:v>DESIGN</x:v>
      </x:c>
      <x:c r="G8" s="9" t="str">
        <x:v>Pass 113 planning</x:v>
      </x:c>
      <x:c r="H8" s="9"/>
    </x:row>
    <x:row r="9">
      <x:c r="B9" s="9" t="str">
        <x:v>C03</x:v>
      </x:c>
      <x:c r="C9" s="9" t="str">
        <x:v>Controlled material lots</x:v>
      </x:c>
      <x:c r="D9" s="13" t="n">
        <x:v>32</x:v>
      </x:c>
      <x:c r="E9" s="9" t="str">
        <x:v>lots</x:v>
      </x:c>
      <x:c r="F9" s="9" t="str">
        <x:v>DESIGN</x:v>
      </x:c>
      <x:c r="G9" s="9" t="str">
        <x:v>Pass 113 planning</x:v>
      </x:c>
      <x:c r="H9" s="9"/>
    </x:row>
    <x:row r="10">
      <x:c r="B10" s="9" t="str">
        <x:v>C04</x:v>
      </x:c>
      <x:c r="C10" s="9" t="str">
        <x:v>Known-defect standards</x:v>
      </x:c>
      <x:c r="D10" s="13" t="n">
        <x:v>72</x:v>
      </x:c>
      <x:c r="E10" s="9" t="str">
        <x:v>standards</x:v>
      </x:c>
      <x:c r="F10" s="9" t="str">
        <x:v>DESIGN</x:v>
      </x:c>
      <x:c r="G10" s="9" t="str">
        <x:v>Pass 113 planning</x:v>
      </x:c>
      <x:c r="H10" s="9"/>
    </x:row>
    <x:row r="11">
      <x:c r="B11" s="9" t="str">
        <x:v>C05</x:v>
      </x:c>
      <x:c r="C11" s="9" t="str">
        <x:v>Full-scale subarticles</x:v>
      </x:c>
      <x:c r="D11" s="13" t="n">
        <x:v>12</x:v>
      </x:c>
      <x:c r="E11" s="9" t="str">
        <x:v>articles</x:v>
      </x:c>
      <x:c r="F11" s="9" t="str">
        <x:v>DESIGN</x:v>
      </x:c>
      <x:c r="G11" s="9" t="str">
        <x:v>Pass 113 planning</x:v>
      </x:c>
      <x:c r="H11" s="9"/>
    </x:row>
    <x:row r="12">
      <x:c r="B12" s="9" t="str">
        <x:v>C06</x:v>
      </x:c>
      <x:c r="C12" s="9" t="str">
        <x:v>Energy-ballast cassettes</x:v>
      </x:c>
      <x:c r="D12" s="13" t="n">
        <x:v>8</x:v>
      </x:c>
      <x:c r="E12" s="9" t="str">
        <x:v>cassettes</x:v>
      </x:c>
      <x:c r="F12" s="9" t="str">
        <x:v>DESIGN</x:v>
      </x:c>
      <x:c r="G12" s="9" t="str">
        <x:v>Pass 113 planning</x:v>
      </x:c>
      <x:c r="H12" s="9"/>
    </x:row>
    <x:row r="13">
      <x:c r="B13" s="9" t="str">
        <x:v>C07</x:v>
      </x:c>
      <x:c r="C13" s="9" t="str">
        <x:v>Required event fields</x:v>
      </x:c>
      <x:c r="D13" s="13" t="n">
        <x:v>36</x:v>
      </x:c>
      <x:c r="E13" s="9" t="str">
        <x:v>fields</x:v>
      </x:c>
      <x:c r="F13" s="9" t="str">
        <x:v>DESIGN</x:v>
      </x:c>
      <x:c r="G13" s="9" t="str">
        <x:v>Pass 113 planning</x:v>
      </x:c>
      <x:c r="H13" s="9"/>
    </x:row>
    <x:row r="14">
      <x:c r="B14" s="9" t="str">
        <x:v>C08</x:v>
      </x:c>
      <x:c r="C14" s="9" t="str">
        <x:v>Reconstruction exercises</x:v>
      </x:c>
      <x:c r="D14" s="13" t="n">
        <x:v>12</x:v>
      </x:c>
      <x:c r="E14" s="9" t="str">
        <x:v>exercises</x:v>
      </x:c>
      <x:c r="F14" s="9" t="str">
        <x:v>DESIGN</x:v>
      </x:c>
      <x:c r="G14" s="9" t="str">
        <x:v>Pass 113 planning</x:v>
      </x:c>
      <x:c r="H14" s="9"/>
    </x:row>
    <x:row r="15">
      <x:c r="B15" s="9" t="str">
        <x:v>C09</x:v>
      </x:c>
      <x:c r="C15" s="9" t="str">
        <x:v>Destructive cuts</x:v>
      </x:c>
      <x:c r="D15" s="13" t="n">
        <x:v>60</x:v>
      </x:c>
      <x:c r="E15" s="9" t="str">
        <x:v>cuts</x:v>
      </x:c>
      <x:c r="F15" s="9" t="str">
        <x:v>DESIGN</x:v>
      </x:c>
      <x:c r="G15" s="9" t="str">
        <x:v>Pass 113 planning</x:v>
      </x:c>
      <x:c r="H15" s="9"/>
    </x:row>
    <x:row r="16">
      <x:c r="B16" s="9" t="str">
        <x:v>C10</x:v>
      </x:c>
      <x:c r="C16" s="9" t="str">
        <x:v>Program workforce</x:v>
      </x:c>
      <x:c r="D16" s="13" t="n">
        <x:v>188</x:v>
      </x:c>
      <x:c r="E16" s="9" t="str">
        <x:v>people</x:v>
      </x:c>
      <x:c r="F16" s="9" t="str">
        <x:v>DESIGN</x:v>
      </x:c>
      <x:c r="G16" s="9" t="str">
        <x:v>Pass 113 planning</x:v>
      </x:c>
      <x:c r="H16" s="9"/>
    </x:row>
    <x:row r="17">
      <x:c r="B17" s="9" t="str">
        <x:v>C11</x:v>
      </x:c>
      <x:c r="C17" s="9" t="str">
        <x:v>Program duration</x:v>
      </x:c>
      <x:c r="D17" s="13" t="n">
        <x:v>16</x:v>
      </x:c>
      <x:c r="E17" s="9" t="str">
        <x:v>months</x:v>
      </x:c>
      <x:c r="F17" s="9" t="str">
        <x:v>DESIGN</x:v>
      </x:c>
      <x:c r="G17" s="9" t="str">
        <x:v>Pass 113 planning</x:v>
      </x:c>
      <x:c r="H17" s="9"/>
    </x:row>
    <x:row r="18">
      <x:c r="B18" s="9" t="str">
        <x:v>C12</x:v>
      </x:c>
      <x:c r="C18" s="9" t="str">
        <x:v>Remaining parent capital</x:v>
      </x:c>
      <x:c r="D18" s="13" t="n">
        <x:v>0.106</x:v>
      </x:c>
      <x:c r="E18" s="9" t="str">
        <x:v>USD B</x:v>
      </x:c>
      <x:c r="F18" s="9" t="str">
        <x:v>FROZEN</x:v>
      </x:c>
      <x:c r="G18" s="9" t="str">
        <x:v>Pass 113 planning</x:v>
      </x:c>
      <x:c r="H18" s="9"/>
    </x:row>
    <x:row r="19">
      <x:c r="B19" s="9" t="str">
        <x:v>C13</x:v>
      </x:c>
      <x:c r="C19" s="9" t="str">
        <x:v>CRET-1 capital draw</x:v>
      </x:c>
      <x:c r="D19" s="13" t="n">
        <x:v>0.09</x:v>
      </x:c>
      <x:c r="E19" s="9" t="str">
        <x:v>USD B</x:v>
      </x:c>
      <x:c r="F19" s="9" t="str">
        <x:v>DESIGN</x:v>
      </x:c>
      <x:c r="G19" s="9" t="str">
        <x:v>Pass 113 planning</x:v>
      </x:c>
      <x:c r="H19" s="9"/>
    </x:row>
    <x:row r="20">
      <x:c r="B20" s="9" t="str">
        <x:v>C14</x:v>
      </x:c>
      <x:c r="C20" s="9" t="str">
        <x:v>Remaining parent annual</x:v>
      </x:c>
      <x:c r="D20" s="13" t="n">
        <x:v>0.023</x:v>
      </x:c>
      <x:c r="E20" s="9" t="str">
        <x:v>USD B/year</x:v>
      </x:c>
      <x:c r="F20" s="9" t="str">
        <x:v>FROZEN</x:v>
      </x:c>
      <x:c r="G20" s="9" t="str">
        <x:v>Pass 113 planning</x:v>
      </x:c>
      <x:c r="H20" s="9"/>
    </x:row>
    <x:row r="21">
      <x:c r="B21" s="9" t="str">
        <x:v>C15</x:v>
      </x:c>
      <x:c r="C21" s="9" t="str">
        <x:v>CRET-1 annual draw</x:v>
      </x:c>
      <x:c r="D21" s="13" t="n">
        <x:v>0.02</x:v>
      </x:c>
      <x:c r="E21" s="9" t="str">
        <x:v>USD B/year</x:v>
      </x:c>
      <x:c r="F21" s="9" t="str">
        <x:v>DESIGN</x:v>
      </x:c>
      <x:c r="G21" s="9" t="str">
        <x:v>Pass 113 planning</x:v>
      </x:c>
      <x:c r="H21" s="9"/>
    </x:row>
    <x:row r="22">
      <x:c r="B22" s="9" t="str">
        <x:v>C16</x:v>
      </x:c>
      <x:c r="C22" s="9" t="str">
        <x:v>Continuous output</x:v>
      </x:c>
      <x:c r="D22" s="13" t="n">
        <x:v>1.5</x:v>
      </x:c>
      <x:c r="E22" s="9" t="str">
        <x:v>MW</x:v>
      </x:c>
      <x:c r="F22" s="9" t="str">
        <x:v>FROZEN</x:v>
      </x:c>
      <x:c r="G22" s="9" t="str">
        <x:v>Pass 113 planning</x:v>
      </x:c>
      <x:c r="H22" s="9"/>
    </x:row>
    <x:row r="23">
      <x:c r="B23" s="9" t="str">
        <x:v>C17</x:v>
      </x:c>
      <x:c r="C23" s="9" t="str">
        <x:v>Mission duration</x:v>
      </x:c>
      <x:c r="D23" s="13" t="n">
        <x:v>8</x:v>
      </x:c>
      <x:c r="E23" s="9" t="str">
        <x:v>h</x:v>
      </x:c>
      <x:c r="F23" s="9" t="str">
        <x:v>FROZEN</x:v>
      </x:c>
      <x:c r="G23" s="9" t="str">
        <x:v>Pass 113 planning</x:v>
      </x:c>
      <x:c r="H23" s="9"/>
    </x:row>
    <x:row r="24">
      <x:c r="B24" s="9" t="str">
        <x:v>C18</x:v>
      </x:c>
      <x:c r="C24" s="9" t="str">
        <x:v>Root A fuel energy</x:v>
      </x:c>
      <x:c r="D24" s="13" t="n">
        <x:v>11.83</x:v>
      </x:c>
      <x:c r="E24" s="9" t="str">
        <x:v>MWh/t</x:v>
      </x:c>
      <x:c r="F24" s="9" t="str">
        <x:v>DESIGN</x:v>
      </x:c>
      <x:c r="G24" s="9" t="str">
        <x:v>Pass 113 planning</x:v>
      </x:c>
      <x:c r="H24" s="9"/>
    </x:row>
    <x:row r="25">
      <x:c r="B25" s="9" t="str">
        <x:v>C19</x:v>
      </x:c>
      <x:c r="C25" s="9" t="str">
        <x:v>Root A efficiency</x:v>
      </x:c>
      <x:c r="D25" s="13" t="n">
        <x:v>0.38</x:v>
      </x:c>
      <x:c r="E25" s="9" t="str">
        <x:v>fraction</x:v>
      </x:c>
      <x:c r="F25" s="9" t="str">
        <x:v>DESIGN</x:v>
      </x:c>
      <x:c r="G25" s="9" t="str">
        <x:v>Pass 113 planning</x:v>
      </x:c>
      <x:c r="H25" s="9"/>
    </x:row>
    <x:row r="26">
      <x:c r="B26" s="9" t="str">
        <x:v>C20</x:v>
      </x:c>
      <x:c r="C26" s="9" t="str">
        <x:v>Root A starting fuel</x:v>
      </x:c>
      <x:c r="D26" s="13" t="n">
        <x:v>3.2</x:v>
      </x:c>
      <x:c r="E26" s="9" t="str">
        <x:v>t</x:v>
      </x:c>
      <x:c r="F26" s="9" t="str">
        <x:v>DESIGN</x:v>
      </x:c>
      <x:c r="G26" s="9" t="str">
        <x:v>Pass 113 planning</x:v>
      </x:c>
      <x:c r="H26" s="9"/>
    </x:row>
    <x:row r="27">
      <x:c r="B27" s="9" t="str">
        <x:v>C21</x:v>
      </x:c>
      <x:c r="C27" s="9" t="str">
        <x:v>Root A starting ballast</x:v>
      </x:c>
      <x:c r="D27" s="13" t="n">
        <x:v>3.3</x:v>
      </x:c>
      <x:c r="E27" s="9" t="str">
        <x:v>t</x:v>
      </x:c>
      <x:c r="F27" s="9" t="str">
        <x:v>DESIGN</x:v>
      </x:c>
      <x:c r="G27" s="9" t="str">
        <x:v>Pass 113 planning</x:v>
      </x:c>
      <x:c r="H27" s="9"/>
    </x:row>
    <x:row r="28">
      <x:c r="B28" s="9" t="str">
        <x:v>C22</x:v>
      </x:c>
      <x:c r="C28" s="9" t="str">
        <x:v>Root B fuel energy</x:v>
      </x:c>
      <x:c r="D28" s="13" t="n">
        <x:v>7.92</x:v>
      </x:c>
      <x:c r="E28" s="9" t="str">
        <x:v>MWh/t</x:v>
      </x:c>
      <x:c r="F28" s="9" t="str">
        <x:v>DESIGN</x:v>
      </x:c>
      <x:c r="G28" s="9" t="str">
        <x:v>Pass 113 planning</x:v>
      </x:c>
      <x:c r="H28" s="9"/>
    </x:row>
    <x:row r="29">
      <x:c r="B29" s="9" t="str">
        <x:v>C23</x:v>
      </x:c>
      <x:c r="C29" s="9" t="str">
        <x:v>Root B efficiency</x:v>
      </x:c>
      <x:c r="D29" s="13" t="n">
        <x:v>0.42</x:v>
      </x:c>
      <x:c r="E29" s="9" t="str">
        <x:v>fraction</x:v>
      </x:c>
      <x:c r="F29" s="9" t="str">
        <x:v>DESIGN</x:v>
      </x:c>
      <x:c r="G29" s="9" t="str">
        <x:v>Pass 113 planning</x:v>
      </x:c>
      <x:c r="H29" s="9"/>
    </x:row>
    <x:row r="30">
      <x:c r="B30" s="9" t="str">
        <x:v>C24</x:v>
      </x:c>
      <x:c r="C30" s="9" t="str">
        <x:v>Root B starting fuel</x:v>
      </x:c>
      <x:c r="D30" s="13" t="n">
        <x:v>4.4</x:v>
      </x:c>
      <x:c r="E30" s="9" t="str">
        <x:v>t</x:v>
      </x:c>
      <x:c r="F30" s="9" t="str">
        <x:v>DESIGN</x:v>
      </x:c>
      <x:c r="G30" s="9" t="str">
        <x:v>Pass 113 planning</x:v>
      </x:c>
      <x:c r="H30" s="9"/>
    </x:row>
    <x:row r="31">
      <x:c r="B31" s="9" t="str">
        <x:v>C25</x:v>
      </x:c>
      <x:c r="C31" s="9" t="str">
        <x:v>Root B starting ballast</x:v>
      </x:c>
      <x:c r="D31" s="13" t="n">
        <x:v>2.1</x:v>
      </x:c>
      <x:c r="E31" s="9" t="str">
        <x:v>t</x:v>
      </x:c>
      <x:c r="F31" s="9" t="str">
        <x:v>DESIGN</x:v>
      </x:c>
      <x:c r="G31" s="9" t="str">
        <x:v>Pass 113 planning</x:v>
      </x:c>
      <x:c r="H31" s="9"/>
    </x:row>
    <x:row r="32">
      <x:c r="B32" s="9" t="str">
        <x:v>C26</x:v>
      </x:c>
      <x:c r="C32" s="9" t="str">
        <x:v>Cassettes per root</x:v>
      </x:c>
      <x:c r="D32" s="13" t="n">
        <x:v>4</x:v>
      </x:c>
      <x:c r="E32" s="9" t="str">
        <x:v>count</x:v>
      </x:c>
      <x:c r="F32" s="9" t="str">
        <x:v>DESIGN</x:v>
      </x:c>
      <x:c r="G32" s="9" t="str">
        <x:v>Pass 113 planning</x:v>
      </x:c>
      <x:c r="H32" s="9"/>
    </x:row>
    <x:row r="33">
      <x:c r="B33" s="9" t="str">
        <x:v>C27</x:v>
      </x:c>
      <x:c r="C33" s="9" t="str">
        <x:v>Maximum fluid inventory per cassette</x:v>
      </x:c>
      <x:c r="D33" s="13" t="n">
        <x:v>1.65</x:v>
      </x:c>
      <x:c r="E33" s="9" t="str">
        <x:v>t</x:v>
      </x:c>
      <x:c r="F33" s="9" t="str">
        <x:v>DESIGN</x:v>
      </x:c>
      <x:c r="G33" s="9" t="str">
        <x:v>Pass 113 planning</x:v>
      </x:c>
      <x:c r="H33" s="9"/>
    </x:row>
    <x:row r="34">
      <x:c r="B34" s="9" t="str">
        <x:v>C28</x:v>
      </x:c>
      <x:c r="C34" s="9" t="str">
        <x:v>Cassette mass band</x:v>
      </x:c>
      <x:c r="D34" s="13" t="n">
        <x:v>0.01</x:v>
      </x:c>
      <x:c r="E34" s="9" t="str">
        <x:v>t</x:v>
      </x:c>
      <x:c r="F34" s="9" t="str">
        <x:v>DESIGN</x:v>
      </x:c>
      <x:c r="G34" s="9" t="str">
        <x:v>Pass 113 planning</x:v>
      </x:c>
      <x:c r="H34" s="9"/>
    </x:row>
    <x:row r="35">
      <x:c r="B35" s="9" t="str">
        <x:v>C29</x:v>
      </x:c>
      <x:c r="C35" s="9" t="str">
        <x:v>Cross-cassette imbalance band</x:v>
      </x:c>
      <x:c r="D35" s="13" t="n">
        <x:v>0.02</x:v>
      </x:c>
      <x:c r="E35" s="9" t="str">
        <x:v>t</x:v>
      </x:c>
      <x:c r="F35" s="9" t="str">
        <x:v>DESIGN</x:v>
      </x:c>
      <x:c r="G35" s="9" t="str">
        <x:v>Pass 113 planning</x:v>
      </x:c>
      <x:c r="H35" s="9"/>
    </x:row>
    <x:row r="36">
      <x:c r="B36" s="9" t="str">
        <x:v>C30</x:v>
      </x:c>
      <x:c r="C36" s="9" t="str">
        <x:v>Meter-load-cell discrepancy</x:v>
      </x:c>
      <x:c r="D36" s="13" t="n">
        <x:v>0.005</x:v>
      </x:c>
      <x:c r="E36" s="9" t="str">
        <x:v>t</x:v>
      </x:c>
      <x:c r="F36" s="9" t="str">
        <x:v>DESIGN</x:v>
      </x:c>
      <x:c r="G36" s="9" t="str">
        <x:v>Pass 113 planning</x:v>
      </x:c>
      <x:c r="H36" s="9"/>
    </x:row>
    <x:row r="37">
      <x:c r="B37" s="9" t="str">
        <x:v>C31</x:v>
      </x:c>
      <x:c r="C37" s="9" t="str">
        <x:v>Node screening cycles</x:v>
      </x:c>
      <x:c r="D37" s="13" t="n">
        <x:v>200</x:v>
      </x:c>
      <x:c r="E37" s="9" t="str">
        <x:v>cycles/root</x:v>
      </x:c>
      <x:c r="F37" s="9" t="str">
        <x:v>DESIGN</x:v>
      </x:c>
      <x:c r="G37" s="9" t="str">
        <x:v>Pass 113 planning</x:v>
      </x:c>
      <x:c r="H37" s="9"/>
    </x:row>
    <x:row r="38">
      <x:c r="B38" s="9" t="str">
        <x:v>C32</x:v>
      </x:c>
      <x:c r="C38" s="9" t="str">
        <x:v>Collar screening cycles</x:v>
      </x:c>
      <x:c r="D38" s="13" t="n">
        <x:v>2000</x:v>
      </x:c>
      <x:c r="E38" s="9" t="str">
        <x:v>cycles/root</x:v>
      </x:c>
      <x:c r="F38" s="9" t="str">
        <x:v>DESIGN</x:v>
      </x:c>
      <x:c r="G38" s="9" t="str">
        <x:v>Pass 113 planning</x:v>
      </x:c>
      <x:c r="H38" s="9"/>
    </x:row>
    <x:row r="39">
      <x:c r="B39" s="9" t="str">
        <x:v>C33</x:v>
      </x:c>
      <x:c r="C39" s="9" t="str">
        <x:v>Bus fault shots</x:v>
      </x:c>
      <x:c r="D39" s="13" t="n">
        <x:v>10</x:v>
      </x:c>
      <x:c r="E39" s="9" t="str">
        <x:v>shots/root</x:v>
      </x:c>
      <x:c r="F39" s="9" t="str">
        <x:v>DESIGN</x:v>
      </x:c>
      <x:c r="G39" s="9" t="str">
        <x:v>Pass 113 planning</x:v>
      </x:c>
      <x:c r="H39" s="9"/>
    </x:row>
    <x:row r="40">
      <x:c r="B40" s="9" t="str">
        <x:v>C34</x:v>
      </x:c>
      <x:c r="C40" s="9" t="str">
        <x:v>Thermal deployment cycles</x:v>
      </x:c>
      <x:c r="D40" s="13" t="n">
        <x:v>500</x:v>
      </x:c>
      <x:c r="E40" s="9" t="str">
        <x:v>cycles/root</x:v>
      </x:c>
      <x:c r="F40" s="9" t="str">
        <x:v>DESIGN</x:v>
      </x:c>
      <x:c r="G40" s="9" t="str">
        <x:v>Pass 113 planning</x:v>
      </x:c>
      <x:c r="H40" s="9"/>
    </x:row>
    <x:row r="41">
      <x:c r="B41" s="9" t="str">
        <x:v>C35</x:v>
      </x:c>
      <x:c r="C41" s="9" t="str">
        <x:v>Energy-ballast cycles</x:v>
      </x:c>
      <x:c r="D41" s="13" t="n">
        <x:v>100</x:v>
      </x:c>
      <x:c r="E41" s="9" t="str">
        <x:v>cycles/root</x:v>
      </x:c>
      <x:c r="F41" s="9" t="str">
        <x:v>DESIGN</x:v>
      </x:c>
      <x:c r="G41" s="9" t="str">
        <x:v>Pass 113 planning</x:v>
      </x:c>
      <x:c r="H41" s="9"/>
    </x:row>
    <x:row r="42">
      <x:c r="B42" s="9" t="str">
        <x:v>C36</x:v>
      </x:c>
      <x:c r="C42" s="9" t="str">
        <x:v>Independent detection realizations</x:v>
      </x:c>
      <x:c r="D42" s="13" t="n">
        <x:v>29</x:v>
      </x:c>
      <x:c r="E42" s="9" t="str">
        <x:v>realizations</x:v>
      </x:c>
      <x:c r="F42" s="9" t="str">
        <x:v>DESIGN</x:v>
      </x:c>
      <x:c r="G42" s="9" t="str">
        <x:v>Pass 113 planning</x:v>
      </x:c>
      <x:c r="H42" s="9"/>
    </x:row>
    <x:row r="43">
      <x:c r="B43" s="9" t="str">
        <x:v>C37</x:v>
      </x:c>
      <x:c r="C43" s="9" t="str">
        <x:v>Detection lower-bound target</x:v>
      </x:c>
      <x:c r="D43" s="13" t="n">
        <x:v>0.9</x:v>
      </x:c>
      <x:c r="E43" s="9" t="str">
        <x:v>fraction</x:v>
      </x:c>
      <x:c r="F43" s="9" t="str">
        <x:v>DESIGN</x:v>
      </x:c>
      <x:c r="G43" s="9" t="str">
        <x:v>Pass 113 planning</x:v>
      </x:c>
      <x:c r="H43" s="9"/>
    </x:row>
    <x:row r="44">
      <x:c r="B44" s="9" t="str">
        <x:v>C38</x:v>
      </x:c>
      <x:c r="C44" s="9" t="str">
        <x:v>Planning gates</x:v>
      </x:c>
      <x:c r="D44" s="13" t="n">
        <x:v>48</x:v>
      </x:c>
      <x:c r="E44" s="9" t="str">
        <x:v>gates</x:v>
      </x:c>
      <x:c r="F44" s="9" t="str">
        <x:v>DESIGN</x:v>
      </x:c>
      <x:c r="G44" s="9" t="str">
        <x:v>Pass 113 planning</x:v>
      </x:c>
      <x:c r="H44" s="9"/>
    </x:row>
    <x:row r="45">
      <x:c r="B45" s="9" t="str">
        <x:v>C39</x:v>
      </x:c>
      <x:c r="C45" s="9" t="str">
        <x:v>Physical and downstream gates</x:v>
      </x:c>
      <x:c r="D45" s="13" t="n">
        <x:v>24</x:v>
      </x:c>
      <x:c r="E45" s="9" t="str">
        <x:v>gates</x:v>
      </x:c>
      <x:c r="F45" s="9" t="str">
        <x:v>DESIGN</x:v>
      </x:c>
      <x:c r="G45" s="9" t="str">
        <x:v>Pass 113 planning</x:v>
      </x:c>
      <x:c r="H45" s="9"/>
    </x:row>
    <x:row r="46">
      <x:c r="B46" s="9" t="str">
        <x:v>C40</x:v>
      </x:c>
      <x:c r="C46" s="9" t="str">
        <x:v>Initial material source packages</x:v>
      </x:c>
      <x:c r="D46" s="13" t="n">
        <x:v>0</x:v>
      </x:c>
      <x:c r="E46" s="9" t="str">
        <x:v>accepted roots</x:v>
      </x:c>
      <x:c r="F46" s="9" t="str">
        <x:v>OPEN</x:v>
      </x:c>
      <x:c r="G46" s="9" t="str">
        <x:v>source evidence</x:v>
      </x:c>
      <x:c r="H46" s="9"/>
    </x:row>
    <x:row r="47">
      <x:c r="B47" s="9" t="str">
        <x:v>C41</x:v>
      </x:c>
      <x:c r="C47" s="9" t="str">
        <x:v>Observed material splits</x:v>
      </x:c>
      <x:c r="D47" s="13" t="n">
        <x:v>0</x:v>
      </x:c>
      <x:c r="E47" s="9" t="str">
        <x:v>accepted roots</x:v>
      </x:c>
      <x:c r="F47" s="9" t="str">
        <x:v>OPEN</x:v>
      </x:c>
      <x:c r="G47" s="9" t="str">
        <x:v>source evidence</x:v>
      </x:c>
      <x:c r="H47" s="9"/>
    </x:row>
    <x:row r="48">
      <x:c r="B48" s="9" t="str">
        <x:v>C42</x:v>
      </x:c>
      <x:c r="C48" s="9" t="str">
        <x:v>Qualified process windows</x:v>
      </x:c>
      <x:c r="D48" s="13" t="n">
        <x:v>0</x:v>
      </x:c>
      <x:c r="E48" s="9" t="str">
        <x:v>accepted roots</x:v>
      </x:c>
      <x:c r="F48" s="9" t="str">
        <x:v>OPEN</x:v>
      </x:c>
      <x:c r="G48" s="9" t="str">
        <x:v>source evidence</x:v>
      </x:c>
      <x:c r="H48" s="9"/>
    </x:row>
    <x:row r="49">
      <x:c r="B49" s="9" t="str">
        <x:v>C43</x:v>
      </x:c>
      <x:c r="C49" s="9" t="str">
        <x:v>Blinded defect demonstrations</x:v>
      </x:c>
      <x:c r="D49" s="13" t="n">
        <x:v>0</x:v>
      </x:c>
      <x:c r="E49" s="9" t="str">
        <x:v>accepted roots</x:v>
      </x:c>
      <x:c r="F49" s="9" t="str">
        <x:v>OPEN</x:v>
      </x:c>
      <x:c r="G49" s="9" t="str">
        <x:v>source evidence</x:v>
      </x:c>
      <x:c r="H49" s="9"/>
    </x:row>
    <x:row r="50">
      <x:c r="B50" s="9" t="str">
        <x:v>C44</x:v>
      </x:c>
      <x:c r="C50" s="9" t="str">
        <x:v>Node subarticles accepted</x:v>
      </x:c>
      <x:c r="D50" s="13" t="n">
        <x:v>0</x:v>
      </x:c>
      <x:c r="E50" s="9" t="str">
        <x:v>accepted roots</x:v>
      </x:c>
      <x:c r="F50" s="9" t="str">
        <x:v>OPEN</x:v>
      </x:c>
      <x:c r="G50" s="9" t="str">
        <x:v>source evidence</x:v>
      </x:c>
      <x:c r="H50" s="9"/>
    </x:row>
    <x:row r="51">
      <x:c r="B51" s="9" t="str">
        <x:v>C45</x:v>
      </x:c>
      <x:c r="C51" s="9" t="str">
        <x:v>Collar subarticles accepted</x:v>
      </x:c>
      <x:c r="D51" s="13" t="n">
        <x:v>0</x:v>
      </x:c>
      <x:c r="E51" s="9" t="str">
        <x:v>accepted roots</x:v>
      </x:c>
      <x:c r="F51" s="9" t="str">
        <x:v>OPEN</x:v>
      </x:c>
      <x:c r="G51" s="9" t="str">
        <x:v>source evidence</x:v>
      </x:c>
      <x:c r="H51" s="9"/>
    </x:row>
    <x:row r="52">
      <x:c r="B52" s="9" t="str">
        <x:v>C46</x:v>
      </x:c>
      <x:c r="C52" s="9" t="str">
        <x:v>Bus-fault subarticles accepted</x:v>
      </x:c>
      <x:c r="D52" s="13" t="n">
        <x:v>0</x:v>
      </x:c>
      <x:c r="E52" s="9" t="str">
        <x:v>accepted roots</x:v>
      </x:c>
      <x:c r="F52" s="9" t="str">
        <x:v>OPEN</x:v>
      </x:c>
      <x:c r="G52" s="9" t="str">
        <x:v>source evidence</x:v>
      </x:c>
      <x:c r="H52" s="9"/>
    </x:row>
    <x:row r="53">
      <x:c r="B53" s="9" t="str">
        <x:v>C47</x:v>
      </x:c>
      <x:c r="C53" s="9" t="str">
        <x:v>Thermal subarticles accepted</x:v>
      </x:c>
      <x:c r="D53" s="13" t="n">
        <x:v>0</x:v>
      </x:c>
      <x:c r="E53" s="9" t="str">
        <x:v>accepted roots</x:v>
      </x:c>
      <x:c r="F53" s="9" t="str">
        <x:v>OPEN</x:v>
      </x:c>
      <x:c r="G53" s="9" t="str">
        <x:v>source evidence</x:v>
      </x:c>
      <x:c r="H53" s="9"/>
    </x:row>
    <x:row r="54">
      <x:c r="B54" s="9" t="str">
        <x:v>C48</x:v>
      </x:c>
      <x:c r="C54" s="9" t="str">
        <x:v>Energy-ballast subarticles accepted</x:v>
      </x:c>
      <x:c r="D54" s="13" t="n">
        <x:v>0</x:v>
      </x:c>
      <x:c r="E54" s="9" t="str">
        <x:v>accepted roots</x:v>
      </x:c>
      <x:c r="F54" s="9" t="str">
        <x:v>OPEN</x:v>
      </x:c>
      <x:c r="G54" s="9" t="str">
        <x:v>source evidence</x:v>
      </x:c>
      <x:c r="H54" s="9"/>
    </x:row>
    <x:row r="55">
      <x:c r="B55" s="9" t="str">
        <x:v>C49</x:v>
      </x:c>
      <x:c r="C55" s="9" t="str">
        <x:v>Native-data reconstructions accepted</x:v>
      </x:c>
      <x:c r="D55" s="13" t="n">
        <x:v>0</x:v>
      </x:c>
      <x:c r="E55" s="9" t="str">
        <x:v>accepted roots</x:v>
      </x:c>
      <x:c r="F55" s="9" t="str">
        <x:v>OPEN</x:v>
      </x:c>
      <x:c r="G55" s="9" t="str">
        <x:v>source evidence</x:v>
      </x:c>
      <x:c r="H55" s="9"/>
    </x:row>
    <x:row r="56">
      <x:c r="B56" s="9" t="str">
        <x:v>C50</x:v>
      </x:c>
      <x:c r="C56" s="9" t="str">
        <x:v>Root construction releases</x:v>
      </x:c>
      <x:c r="D56" s="13" t="n">
        <x:v>0</x:v>
      </x:c>
      <x:c r="E56" s="9" t="str">
        <x:v>accepted roots</x:v>
      </x:c>
      <x:c r="F56" s="9" t="str">
        <x:v>OPEN</x:v>
      </x:c>
      <x:c r="G56" s="9" t="str">
        <x:v>source evidence</x:v>
      </x:c>
      <x:c r="H56" s="9"/>
    </x:row>
    <x:row r="57">
      <x:c r="B57" s="9" t="str">
        <x:v>C51</x:v>
      </x:c>
      <x:c r="C57" s="9" t="str">
        <x:v>Article acceptance</x:v>
      </x:c>
      <x:c r="D57" s="13" t="n">
        <x:v>0</x:v>
      </x:c>
      <x:c r="E57" s="9" t="str">
        <x:v>binary</x:v>
      </x:c>
      <x:c r="F57" s="9" t="str">
        <x:v>BLOCKED</x:v>
      </x:c>
      <x:c r="G57" s="9" t="str">
        <x:v>source evidence</x:v>
      </x:c>
      <x:c r="H57" s="9"/>
    </x:row>
    <x:row r="58">
      <x:c r="B58" s="9" t="str">
        <x:v>C52</x:v>
      </x:c>
      <x:c r="C58" s="9" t="str">
        <x:v>CRC-E01 admission</x:v>
      </x:c>
      <x:c r="D58" s="13" t="n">
        <x:v>0</x:v>
      </x:c>
      <x:c r="E58" s="9" t="str">
        <x:v>binary</x:v>
      </x:c>
      <x:c r="F58" s="9" t="str">
        <x:v>BLOCKED</x:v>
      </x:c>
      <x:c r="G58" s="9" t="str">
        <x:v>source evidence</x:v>
      </x:c>
      <x:c r="H58" s="9"/>
    </x:row>
    <x:row r="59">
      <x:c r="B59" s="9" t="str">
        <x:v>C53</x:v>
      </x:c>
      <x:c r="C59" s="9" t="str">
        <x:v>Production authority</x:v>
      </x:c>
      <x:c r="D59" s="13" t="n">
        <x:v>0</x:v>
      </x:c>
      <x:c r="E59" s="9" t="str">
        <x:v>binary</x:v>
      </x:c>
      <x:c r="F59" s="9" t="str">
        <x:v>BLOCKED</x:v>
      </x:c>
      <x:c r="G59" s="9" t="str">
        <x:v>source evidence</x:v>
      </x:c>
      <x:c r="H59" s="9"/>
    </x:row>
    <x:row r="60">
      <x:c r="B60" s="10" t="str">
        <x:v>C54</x:v>
      </x:c>
      <x:c r="C60" s="10" t="str">
        <x:v>Exterior rendering authority</x:v>
      </x:c>
      <x:c r="D60" s="14" t="n">
        <x:v>0</x:v>
      </x:c>
      <x:c r="E60" s="10" t="str">
        <x:v>binary</x:v>
      </x:c>
      <x:c r="F60" s="10" t="str">
        <x:v>BLOCKED</x:v>
      </x:c>
      <x:c r="G60" s="10" t="str">
        <x:v>source evidence</x:v>
      </x:c>
      <x:c r="H60" s="9"/>
    </x:row>
  </x:sheetData>
  <x:mergeCells>
    <x:mergeCell ref="B2:H2"/>
    <x:mergeCell ref="B3:H3"/>
  </x:mergeCells>
  <x:conditionalFormatting sqref="F7:F60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QUARANTINE"/>
    <x:cfRule type="containsText" dxfId="9" priority="10" operator="containsText" text="FAIL"/>
    <x:cfRule type="containsText" dxfId="10" priority="11" operator="containsText" text="REJECT"/>
    <x:cfRule type="containsText" dxfId="11" priority="12" operator="containsText" text="INCOMPLETE"/>
    <x:cfRule type="containsText" dxfId="12" priority="13" operator="containsText" text="STOP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9" hidden="0" customWidth="1"/>
    <x:col min="4" max="4" width="34" hidden="0" customWidth="1"/>
    <x:col min="5" max="5" width="20" hidden="0" customWidth="1"/>
    <x:col min="6" max="6" width="35" hidden="0" customWidth="1"/>
    <x:col min="7" max="7" width="24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4" hidden="0" customWidth="1"/>
    <x:col min="15" max="15" width="13" hidden="0" customWidth="1"/>
    <x:col min="16" max="16" width="15" hidden="0" customWidth="1"/>
    <x:col min="17" max="17" width="16" hidden="0" customWidth="1"/>
  </x:cols>
  <x:sheetData>
    <x:row r="2">
      <x:c r="B2" s="37" t="str">
        <x:v>Forty-four construction state transitions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</x:row>
    <x:row r="3">
      <x:c r="B3" s="38" t="str">
        <x:v>All eight predicates are required before an irreversible event; completion is an evidence state, not a signature.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</x:row>
    <x:row r="6">
      <x:c r="B6" s="7" t="str">
        <x:v>Root</x:v>
      </x:c>
      <x:c r="C6" s="7" t="str">
        <x:v>Op</x:v>
      </x:c>
      <x:c r="D6" s="7" t="str">
        <x:v>State transition</x:v>
      </x:c>
      <x:c r="E6" s="7" t="str">
        <x:v>Class</x:v>
      </x:c>
      <x:c r="F6" s="7" t="str">
        <x:v>Co-produced evidence</x:v>
      </x:c>
      <x:c r="G6" s="7" t="str">
        <x:v>Release</x:v>
      </x:c>
      <x:c r="H6" s="7" t="str">
        <x:v>Object</x:v>
      </x:c>
      <x:c r="I6" s="7" t="str">
        <x:v>Authority</x:v>
      </x:c>
      <x:c r="J6" s="7" t="str">
        <x:v>Capability</x:v>
      </x:c>
      <x:c r="K6" s="7" t="str">
        <x:v>Fixture</x:v>
      </x:c>
      <x:c r="L6" s="7" t="str">
        <x:v>Process</x:v>
      </x:c>
      <x:c r="M6" s="7" t="str">
        <x:v>Witness</x:v>
      </x:c>
      <x:c r="N6" s="7" t="str">
        <x:v>Inspectability</x:v>
      </x:c>
      <x:c r="O6" s="7" t="str">
        <x:v>Consequence</x:v>
      </x:c>
      <x:c r="P6" s="7" t="str">
        <x:v>Predicate count</x:v>
      </x:c>
      <x:c r="Q6" s="7" t="str">
        <x:v>Planning gate</x:v>
      </x:c>
    </x:row>
    <x:row r="7">
      <x:c r="B7" s="9" t="str">
        <x:v>ROOT_A</x:v>
      </x:c>
      <x:c r="C7" s="9" t="str">
        <x:v>A01</x:v>
      </x:c>
      <x:c r="D7" s="9" t="str">
        <x:v>receive decisive lots</x:v>
      </x:c>
      <x:c r="E7" s="9" t="str">
        <x:v>receipt</x:v>
      </x:c>
      <x:c r="F7" s="9" t="str">
        <x:v>PMI/certificates/retained sample</x:v>
      </x:c>
      <x:c r="G7" s="9" t="str">
        <x:v>source identity</x:v>
      </x:c>
      <x:c r="H7" s="11" t="n">
        <x:v>1</x:v>
      </x:c>
      <x:c r="I7" s="11" t="n">
        <x:v>1</x:v>
      </x:c>
      <x:c r="J7" s="11" t="n">
        <x:v>1</x:v>
      </x:c>
      <x:c r="K7" s="11" t="n">
        <x:v>1</x:v>
      </x:c>
      <x:c r="L7" s="11" t="n">
        <x:v>1</x:v>
      </x:c>
      <x:c r="M7" s="11" t="n">
        <x:v>1</x:v>
      </x:c>
      <x:c r="N7" s="11" t="n">
        <x:v>1</x:v>
      </x:c>
      <x:c r="O7" s="11" t="n">
        <x:v>1</x:v>
      </x:c>
      <x:c r="P7" s="9" t="n">
        <x:f>SUM(H7:O7)</x:f>
        <x:v>8</x:v>
      </x:c>
      <x:c r="Q7" s="9" t="str">
        <x:f>IF(P7=8,"PASS","FAIL")</x:f>
        <x:v>PASS</x:v>
      </x:c>
    </x:row>
    <x:row r="8">
      <x:c r="B8" s="9" t="str">
        <x:v>ROOT_A</x:v>
      </x:c>
      <x:c r="C8" s="9" t="str">
        <x:v>A02</x:v>
      </x:c>
      <x:c r="D8" s="9" t="str">
        <x:v>split article and evidence stock</x:v>
      </x:c>
      <x:c r="E8" s="9" t="str">
        <x:v>irreversible cut</x:v>
      </x:c>
      <x:c r="F8" s="9" t="str">
        <x:v>conservation and witnessed map</x:v>
      </x:c>
      <x:c r="G8" s="9" t="str">
        <x:v>material split</x:v>
      </x:c>
      <x:c r="H8" s="11" t="n">
        <x:v>1</x:v>
      </x:c>
      <x:c r="I8" s="11" t="n">
        <x:v>1</x:v>
      </x:c>
      <x:c r="J8" s="11" t="n">
        <x:v>1</x:v>
      </x:c>
      <x:c r="K8" s="11" t="n">
        <x:v>1</x:v>
      </x:c>
      <x:c r="L8" s="11" t="n">
        <x:v>1</x:v>
      </x:c>
      <x:c r="M8" s="11" t="n">
        <x:v>1</x:v>
      </x:c>
      <x:c r="N8" s="11" t="n">
        <x:v>1</x:v>
      </x:c>
      <x:c r="O8" s="11" t="n">
        <x:v>1</x:v>
      </x:c>
      <x:c r="P8" s="9" t="n">
        <x:f>SUM(H8:O8)</x:f>
        <x:v>8</x:v>
      </x:c>
      <x:c r="Q8" s="9" t="str">
        <x:f>IF(P8=8,"PASS","FAIL")</x:f>
        <x:v>PASS</x:v>
      </x:c>
    </x:row>
    <x:row r="9">
      <x:c r="B9" s="9" t="str">
        <x:v>ROOT_A</x:v>
      </x:c>
      <x:c r="C9" s="9" t="str">
        <x:v>A03</x:v>
      </x:c>
      <x:c r="D9" s="9" t="str">
        <x:v>cut and serialize structural parts</x:v>
      </x:c>
      <x:c r="E9" s="9" t="str">
        <x:v>irreversible cut</x:v>
      </x:c>
      <x:c r="F9" s="9" t="str">
        <x:v>nest/kerf/heat/dimensions</x:v>
      </x:c>
      <x:c r="G9" s="9" t="str">
        <x:v>no mixed remnants</x:v>
      </x:c>
      <x:c r="H9" s="11" t="n">
        <x:v>1</x:v>
      </x:c>
      <x:c r="I9" s="11" t="n">
        <x:v>1</x:v>
      </x:c>
      <x:c r="J9" s="11" t="n">
        <x:v>1</x:v>
      </x:c>
      <x:c r="K9" s="11" t="n">
        <x:v>1</x:v>
      </x:c>
      <x:c r="L9" s="11" t="n">
        <x:v>1</x:v>
      </x:c>
      <x:c r="M9" s="11" t="n">
        <x:v>1</x:v>
      </x:c>
      <x:c r="N9" s="11" t="n">
        <x:v>1</x:v>
      </x:c>
      <x:c r="O9" s="11" t="n">
        <x:v>1</x:v>
      </x:c>
      <x:c r="P9" s="9" t="n">
        <x:f>SUM(H9:O9)</x:f>
        <x:v>8</x:v>
      </x:c>
      <x:c r="Q9" s="9" t="str">
        <x:f>IF(P9=8,"PASS","FAIL")</x:f>
        <x:v>PASS</x:v>
      </x:c>
    </x:row>
    <x:row r="10">
      <x:c r="B10" s="9" t="str">
        <x:v>ROOT_A</x:v>
      </x:c>
      <x:c r="C10" s="9" t="str">
        <x:v>A04</x:v>
      </x:c>
      <x:c r="D10" s="9" t="str">
        <x:v>form sections and prepare edges</x:v>
      </x:c>
      <x:c r="E10" s="9" t="str">
        <x:v>forming</x:v>
      </x:c>
      <x:c r="F10" s="9" t="str">
        <x:v>springback/surface/hardness</x:v>
      </x:c>
      <x:c r="G10" s="9" t="str">
        <x:v>forming acceptance</x:v>
      </x:c>
      <x:c r="H10" s="11" t="n">
        <x:v>1</x:v>
      </x:c>
      <x:c r="I10" s="11" t="n">
        <x:v>1</x:v>
      </x:c>
      <x:c r="J10" s="11" t="n">
        <x:v>1</x:v>
      </x:c>
      <x:c r="K10" s="11" t="n">
        <x:v>1</x:v>
      </x:c>
      <x:c r="L10" s="11" t="n">
        <x:v>1</x:v>
      </x:c>
      <x:c r="M10" s="11" t="n">
        <x:v>1</x:v>
      </x:c>
      <x:c r="N10" s="11" t="n">
        <x:v>1</x:v>
      </x:c>
      <x:c r="O10" s="11" t="n">
        <x:v>1</x:v>
      </x:c>
      <x:c r="P10" s="9" t="n">
        <x:f>SUM(H10:O10)</x:f>
        <x:v>8</x:v>
      </x:c>
      <x:c r="Q10" s="9" t="str">
        <x:f>IF(P10=8,"PASS","FAIL")</x:f>
        <x:v>PASS</x:v>
      </x:c>
    </x:row>
    <x:row r="11">
      <x:c r="B11" s="9" t="str">
        <x:v>ROOT_A</x:v>
      </x:c>
      <x:c r="C11" s="9" t="str">
        <x:v>A05</x:v>
      </x:c>
      <x:c r="D11" s="9" t="str">
        <x:v>survey and load weld fixture</x:v>
      </x:c>
      <x:c r="E11" s="9" t="str">
        <x:v>fixture</x:v>
      </x:c>
      <x:c r="F11" s="9" t="str">
        <x:v>fixture cloud/restraint/datum</x:v>
      </x:c>
      <x:c r="G11" s="9" t="str">
        <x:v>fixture hold</x:v>
      </x:c>
      <x:c r="H11" s="11" t="n">
        <x:v>1</x:v>
      </x:c>
      <x:c r="I11" s="11" t="n">
        <x:v>1</x:v>
      </x:c>
      <x:c r="J11" s="11" t="n">
        <x:v>1</x:v>
      </x:c>
      <x:c r="K11" s="11" t="n">
        <x:v>1</x:v>
      </x:c>
      <x:c r="L11" s="11" t="n">
        <x:v>1</x:v>
      </x:c>
      <x:c r="M11" s="11" t="n">
        <x:v>1</x:v>
      </x:c>
      <x:c r="N11" s="11" t="n">
        <x:v>1</x:v>
      </x:c>
      <x:c r="O11" s="11" t="n">
        <x:v>1</x:v>
      </x:c>
      <x:c r="P11" s="9" t="n">
        <x:f>SUM(H11:O11)</x:f>
        <x:v>8</x:v>
      </x:c>
      <x:c r="Q11" s="9" t="str">
        <x:f>IF(P11=8,"PASS","FAIL")</x:f>
        <x:v>PASS</x:v>
      </x:c>
    </x:row>
    <x:row r="12">
      <x:c r="B12" s="9" t="str">
        <x:v>ROOT_A</x:v>
      </x:c>
      <x:c r="C12" s="9" t="str">
        <x:v>A06</x:v>
      </x:c>
      <x:c r="D12" s="9" t="str">
        <x:v>tack lower load path</x:v>
      </x:c>
      <x:c r="E12" s="9" t="str">
        <x:v>joining</x:v>
      </x:c>
      <x:c r="F12" s="9" t="str">
        <x:v>fit-up/root gap/mock-up</x:v>
      </x:c>
      <x:c r="G12" s="9" t="str">
        <x:v>pre-weld hold</x:v>
      </x:c>
      <x:c r="H12" s="11" t="n">
        <x:v>1</x:v>
      </x:c>
      <x:c r="I12" s="11" t="n">
        <x:v>1</x:v>
      </x:c>
      <x:c r="J12" s="11" t="n">
        <x:v>1</x:v>
      </x:c>
      <x:c r="K12" s="11" t="n">
        <x:v>1</x:v>
      </x:c>
      <x:c r="L12" s="11" t="n">
        <x:v>1</x:v>
      </x:c>
      <x:c r="M12" s="11" t="n">
        <x:v>1</x:v>
      </x:c>
      <x:c r="N12" s="11" t="n">
        <x:v>1</x:v>
      </x:c>
      <x:c r="O12" s="11" t="n">
        <x:v>1</x:v>
      </x:c>
      <x:c r="P12" s="9" t="n">
        <x:f>SUM(H12:O12)</x:f>
        <x:v>8</x:v>
      </x:c>
      <x:c r="Q12" s="9" t="str">
        <x:f>IF(P12=8,"PASS","FAIL")</x:f>
        <x:v>PASS</x:v>
      </x:c>
    </x:row>
    <x:row r="13">
      <x:c r="B13" s="9" t="str">
        <x:v>ROOT_A</x:v>
      </x:c>
      <x:c r="C13" s="9" t="str">
        <x:v>A07</x:v>
      </x:c>
      <x:c r="D13" s="9" t="str">
        <x:v>weld lower load path</x:v>
      </x:c>
      <x:c r="E13" s="9" t="str">
        <x:v>joining</x:v>
      </x:c>
      <x:c r="F13" s="9" t="str">
        <x:v>current/voltage/travel/interpass</x:v>
      </x:c>
      <x:c r="G13" s="9" t="str">
        <x:v>process hold</x:v>
      </x:c>
      <x:c r="H13" s="11" t="n">
        <x:v>1</x:v>
      </x:c>
      <x:c r="I13" s="11" t="n">
        <x:v>1</x:v>
      </x:c>
      <x:c r="J13" s="11" t="n">
        <x:v>1</x:v>
      </x:c>
      <x:c r="K13" s="11" t="n">
        <x:v>1</x:v>
      </x:c>
      <x:c r="L13" s="11" t="n">
        <x:v>1</x:v>
      </x:c>
      <x:c r="M13" s="11" t="n">
        <x:v>1</x:v>
      </x:c>
      <x:c r="N13" s="11" t="n">
        <x:v>1</x:v>
      </x:c>
      <x:c r="O13" s="11" t="n">
        <x:v>1</x:v>
      </x:c>
      <x:c r="P13" s="9" t="n">
        <x:f>SUM(H13:O13)</x:f>
        <x:v>8</x:v>
      </x:c>
      <x:c r="Q13" s="9" t="str">
        <x:f>IF(P13=8,"PASS","FAIL")</x:f>
        <x:v>PASS</x:v>
      </x:c>
    </x:row>
    <x:row r="14">
      <x:c r="B14" s="9" t="str">
        <x:v>ROOT_A</x:v>
      </x:c>
      <x:c r="C14" s="9" t="str">
        <x:v>A08</x:v>
      </x:c>
      <x:c r="D14" s="9" t="str">
        <x:v>weld upper path and diaphragms</x:v>
      </x:c>
      <x:c r="E14" s="9" t="str">
        <x:v>joining</x:v>
      </x:c>
      <x:c r="F14" s="9" t="str">
        <x:v>sequence/distortion/witnesses</x:v>
      </x:c>
      <x:c r="G14" s="9" t="str">
        <x:v>closure hold</x:v>
      </x:c>
      <x:c r="H14" s="11" t="n">
        <x:v>1</x:v>
      </x:c>
      <x:c r="I14" s="11" t="n">
        <x:v>1</x:v>
      </x:c>
      <x:c r="J14" s="11" t="n">
        <x:v>1</x:v>
      </x:c>
      <x:c r="K14" s="11" t="n">
        <x:v>1</x:v>
      </x:c>
      <x:c r="L14" s="11" t="n">
        <x:v>1</x:v>
      </x:c>
      <x:c r="M14" s="11" t="n">
        <x:v>1</x:v>
      </x:c>
      <x:c r="N14" s="11" t="n">
        <x:v>1</x:v>
      </x:c>
      <x:c r="O14" s="11" t="n">
        <x:v>1</x:v>
      </x:c>
      <x:c r="P14" s="9" t="n">
        <x:f>SUM(H14:O14)</x:f>
        <x:v>8</x:v>
      </x:c>
      <x:c r="Q14" s="9" t="str">
        <x:f>IF(P14=8,"PASS","FAIL")</x:f>
        <x:v>PASS</x:v>
      </x:c>
    </x:row>
    <x:row r="15">
      <x:c r="B15" s="9" t="str">
        <x:v>ROOT_A</x:v>
      </x:c>
      <x:c r="C15" s="9" t="str">
        <x:v>A09</x:v>
      </x:c>
      <x:c r="D15" s="9" t="str">
        <x:v>MT/PAUT and survey</x:v>
      </x:c>
      <x:c r="E15" s="9" t="str">
        <x:v>inspection</x:v>
      </x:c>
      <x:c r="F15" s="9" t="str">
        <x:v>raw scans/indications/cloud</x:v>
      </x:c>
      <x:c r="G15" s="9" t="str">
        <x:v>NDE hold</x:v>
      </x:c>
      <x:c r="H15" s="11" t="n">
        <x:v>1</x:v>
      </x:c>
      <x:c r="I15" s="11" t="n">
        <x:v>1</x:v>
      </x:c>
      <x:c r="J15" s="11" t="n">
        <x:v>1</x:v>
      </x:c>
      <x:c r="K15" s="11" t="n">
        <x:v>1</x:v>
      </x:c>
      <x:c r="L15" s="11" t="n">
        <x:v>1</x:v>
      </x:c>
      <x:c r="M15" s="11" t="n">
        <x:v>1</x:v>
      </x:c>
      <x:c r="N15" s="11" t="n">
        <x:v>1</x:v>
      </x:c>
      <x:c r="O15" s="11" t="n">
        <x:v>1</x:v>
      </x:c>
      <x:c r="P15" s="9" t="n">
        <x:f>SUM(H15:O15)</x:f>
        <x:v>8</x:v>
      </x:c>
      <x:c r="Q15" s="9" t="str">
        <x:f>IF(P15=8,"PASS","FAIL")</x:f>
        <x:v>PASS</x:v>
      </x:c>
    </x:row>
    <x:row r="16">
      <x:c r="B16" s="9" t="str">
        <x:v>ROOT_A</x:v>
      </x:c>
      <x:c r="C16" s="9" t="str">
        <x:v>A10</x:v>
      </x:c>
      <x:c r="D16" s="9" t="str">
        <x:v>repair or reject indications</x:v>
      </x:c>
      <x:c r="E16" s="9" t="str">
        <x:v>repair</x:v>
      </x:c>
      <x:c r="F16" s="9" t="str">
        <x:v>original/repair/repeat scan</x:v>
      </x:c>
      <x:c r="G16" s="9" t="str">
        <x:v>NCR disposition</x:v>
      </x:c>
      <x:c r="H16" s="11" t="n">
        <x:v>1</x:v>
      </x:c>
      <x:c r="I16" s="11" t="n">
        <x:v>1</x:v>
      </x:c>
      <x:c r="J16" s="11" t="n">
        <x:v>1</x:v>
      </x:c>
      <x:c r="K16" s="11" t="n">
        <x:v>1</x:v>
      </x:c>
      <x:c r="L16" s="11" t="n">
        <x:v>1</x:v>
      </x:c>
      <x:c r="M16" s="11" t="n">
        <x:v>1</x:v>
      </x:c>
      <x:c r="N16" s="11" t="n">
        <x:v>1</x:v>
      </x:c>
      <x:c r="O16" s="11" t="n">
        <x:v>1</x:v>
      </x:c>
      <x:c r="P16" s="9" t="n">
        <x:f>SUM(H16:O16)</x:f>
        <x:v>8</x:v>
      </x:c>
      <x:c r="Q16" s="9" t="str">
        <x:f>IF(P16=8,"PASS","FAIL")</x:f>
        <x:v>PASS</x:v>
      </x:c>
    </x:row>
    <x:row r="17">
      <x:c r="B17" s="9" t="str">
        <x:v>ROOT_A</x:v>
      </x:c>
      <x:c r="C17" s="9" t="str">
        <x:v>A11</x:v>
      </x:c>
      <x:c r="D17" s="9" t="str">
        <x:v>machine public datums</x:v>
      </x:c>
      <x:c r="E17" s="9" t="str">
        <x:v>machining</x:v>
      </x:c>
      <x:c r="F17" s="9" t="str">
        <x:v>program/probing/final cloud</x:v>
      </x:c>
      <x:c r="G17" s="9" t="str">
        <x:v>datum hold</x:v>
      </x:c>
      <x:c r="H17" s="11" t="n">
        <x:v>1</x:v>
      </x:c>
      <x:c r="I17" s="11" t="n">
        <x:v>1</x:v>
      </x:c>
      <x:c r="J17" s="11" t="n">
        <x:v>1</x:v>
      </x:c>
      <x:c r="K17" s="11" t="n">
        <x:v>1</x:v>
      </x:c>
      <x:c r="L17" s="11" t="n">
        <x:v>1</x:v>
      </x:c>
      <x:c r="M17" s="11" t="n">
        <x:v>1</x:v>
      </x:c>
      <x:c r="N17" s="11" t="n">
        <x:v>1</x:v>
      </x:c>
      <x:c r="O17" s="11" t="n">
        <x:v>1</x:v>
      </x:c>
      <x:c r="P17" s="9" t="n">
        <x:f>SUM(H17:O17)</x:f>
        <x:v>8</x:v>
      </x:c>
      <x:c r="Q17" s="9" t="str">
        <x:f>IF(P17=8,"PASS","FAIL")</x:f>
        <x:v>PASS</x:v>
      </x:c>
    </x:row>
    <x:row r="18">
      <x:c r="B18" s="9" t="str">
        <x:v>ROOT_A</x:v>
      </x:c>
      <x:c r="C18" s="9" t="str">
        <x:v>A12</x:v>
      </x:c>
      <x:c r="D18" s="9" t="str">
        <x:v>fit hinges pins and nodes</x:v>
      </x:c>
      <x:c r="E18" s="9" t="str">
        <x:v>assembly</x:v>
      </x:c>
      <x:c r="F18" s="9" t="str">
        <x:v>elongation/preload/fit</x:v>
      </x:c>
      <x:c r="G18" s="9" t="str">
        <x:v>node hold</x:v>
      </x:c>
      <x:c r="H18" s="11" t="n">
        <x:v>1</x:v>
      </x:c>
      <x:c r="I18" s="11" t="n">
        <x:v>1</x:v>
      </x:c>
      <x:c r="J18" s="11" t="n">
        <x:v>1</x:v>
      </x:c>
      <x:c r="K18" s="11" t="n">
        <x:v>1</x:v>
      </x:c>
      <x:c r="L18" s="11" t="n">
        <x:v>1</x:v>
      </x:c>
      <x:c r="M18" s="11" t="n">
        <x:v>1</x:v>
      </x:c>
      <x:c r="N18" s="11" t="n">
        <x:v>1</x:v>
      </x:c>
      <x:c r="O18" s="11" t="n">
        <x:v>1</x:v>
      </x:c>
      <x:c r="P18" s="9" t="n">
        <x:f>SUM(H18:O18)</x:f>
        <x:v>8</x:v>
      </x:c>
      <x:c r="Q18" s="9" t="str">
        <x:f>IF(P18=8,"PASS","FAIL")</x:f>
        <x:v>PASS</x:v>
      </x:c>
    </x:row>
    <x:row r="19">
      <x:c r="B19" s="9" t="str">
        <x:v>ROOT_A</x:v>
      </x:c>
      <x:c r="C19" s="9" t="str">
        <x:v>A13</x:v>
      </x:c>
      <x:c r="D19" s="9" t="str">
        <x:v>fabricate duplex hydraulic path</x:v>
      </x:c>
      <x:c r="E19" s="9" t="str">
        <x:v>joining</x:v>
      </x:c>
      <x:c r="F19" s="9" t="str">
        <x:v>heat/purge/ferrite/geometry</x:v>
      </x:c>
      <x:c r="G19" s="9" t="str">
        <x:v>pipe hold</x:v>
      </x:c>
      <x:c r="H19" s="11" t="n">
        <x:v>1</x:v>
      </x:c>
      <x:c r="I19" s="11" t="n">
        <x:v>1</x:v>
      </x:c>
      <x:c r="J19" s="11" t="n">
        <x:v>1</x:v>
      </x:c>
      <x:c r="K19" s="11" t="n">
        <x:v>1</x:v>
      </x:c>
      <x:c r="L19" s="11" t="n">
        <x:v>1</x:v>
      </x:c>
      <x:c r="M19" s="11" t="n">
        <x:v>1</x:v>
      </x:c>
      <x:c r="N19" s="11" t="n">
        <x:v>1</x:v>
      </x:c>
      <x:c r="O19" s="11" t="n">
        <x:v>1</x:v>
      </x:c>
      <x:c r="P19" s="9" t="n">
        <x:f>SUM(H19:O19)</x:f>
        <x:v>8</x:v>
      </x:c>
      <x:c r="Q19" s="9" t="str">
        <x:f>IF(P19=8,"PASS","FAIL")</x:f>
        <x:v>PASS</x:v>
      </x:c>
    </x:row>
    <x:row r="20">
      <x:c r="B20" s="9" t="str">
        <x:v>ROOT_A</x:v>
      </x:c>
      <x:c r="C20" s="9" t="str">
        <x:v>A14</x:v>
      </x:c>
      <x:c r="D20" s="9" t="str">
        <x:v>passivate clean and custody</x:v>
      </x:c>
      <x:c r="E20" s="9" t="str">
        <x:v>sanitary</x:v>
      </x:c>
      <x:c r="F20" s="9" t="str">
        <x:v>chemistry/rinse/blanks</x:v>
      </x:c>
      <x:c r="G20" s="9" t="str">
        <x:v>sanitary hold</x:v>
      </x:c>
      <x:c r="H20" s="11" t="n">
        <x:v>1</x:v>
      </x:c>
      <x:c r="I20" s="11" t="n">
        <x:v>1</x:v>
      </x:c>
      <x:c r="J20" s="11" t="n">
        <x:v>1</x:v>
      </x:c>
      <x:c r="K20" s="11" t="n">
        <x:v>1</x:v>
      </x:c>
      <x:c r="L20" s="11" t="n">
        <x:v>1</x:v>
      </x:c>
      <x:c r="M20" s="11" t="n">
        <x:v>1</x:v>
      </x:c>
      <x:c r="N20" s="11" t="n">
        <x:v>1</x:v>
      </x:c>
      <x:c r="O20" s="11" t="n">
        <x:v>1</x:v>
      </x:c>
      <x:c r="P20" s="9" t="n">
        <x:f>SUM(H20:O20)</x:f>
        <x:v>8</x:v>
      </x:c>
      <x:c r="Q20" s="9" t="str">
        <x:f>IF(P20=8,"PASS","FAIL")</x:f>
        <x:v>PASS</x:v>
      </x:c>
    </x:row>
    <x:row r="21">
      <x:c r="B21" s="9" t="str">
        <x:v>ROOT_A</x:v>
      </x:c>
      <x:c r="C21" s="9" t="str">
        <x:v>A15</x:v>
      </x:c>
      <x:c r="D21" s="9" t="str">
        <x:v>install collars seals and valves</x:v>
      </x:c>
      <x:c r="E21" s="9" t="str">
        <x:v>assembly</x:v>
      </x:c>
      <x:c r="F21" s="9" t="str">
        <x:v>groove/compression/preload/bore</x:v>
      </x:c>
      <x:c r="G21" s="9" t="str">
        <x:v>hidden-surface hold</x:v>
      </x:c>
      <x:c r="H21" s="11" t="n">
        <x:v>1</x:v>
      </x:c>
      <x:c r="I21" s="11" t="n">
        <x:v>1</x:v>
      </x:c>
      <x:c r="J21" s="11" t="n">
        <x:v>1</x:v>
      </x:c>
      <x:c r="K21" s="11" t="n">
        <x:v>1</x:v>
      </x:c>
      <x:c r="L21" s="11" t="n">
        <x:v>1</x:v>
      </x:c>
      <x:c r="M21" s="11" t="n">
        <x:v>1</x:v>
      </x:c>
      <x:c r="N21" s="11" t="n">
        <x:v>1</x:v>
      </x:c>
      <x:c r="O21" s="11" t="n">
        <x:v>1</x:v>
      </x:c>
      <x:c r="P21" s="9" t="n">
        <x:f>SUM(H21:O21)</x:f>
        <x:v>8</x:v>
      </x:c>
      <x:c r="Q21" s="9" t="str">
        <x:f>IF(P21=8,"PASS","FAIL")</x:f>
        <x:v>PASS</x:v>
      </x:c>
    </x:row>
    <x:row r="22">
      <x:c r="B22" s="9" t="str">
        <x:v>ROOT_A</x:v>
      </x:c>
      <x:c r="C22" s="9" t="str">
        <x:v>A16</x:v>
      </x:c>
      <x:c r="D22" s="9" t="str">
        <x:v>fabricate copper bus/protection</x:v>
      </x:c>
      <x:c r="E22" s="9" t="str">
        <x:v>electrical</x:v>
      </x:c>
      <x:c r="F22" s="9" t="str">
        <x:v>plating/flatness/resistance</x:v>
      </x:c>
      <x:c r="G22" s="9" t="str">
        <x:v>electrical hold</x:v>
      </x:c>
      <x:c r="H22" s="11" t="n">
        <x:v>1</x:v>
      </x:c>
      <x:c r="I22" s="11" t="n">
        <x:v>1</x:v>
      </x:c>
      <x:c r="J22" s="11" t="n">
        <x:v>1</x:v>
      </x:c>
      <x:c r="K22" s="11" t="n">
        <x:v>1</x:v>
      </x:c>
      <x:c r="L22" s="11" t="n">
        <x:v>1</x:v>
      </x:c>
      <x:c r="M22" s="11" t="n">
        <x:v>1</x:v>
      </x:c>
      <x:c r="N22" s="11" t="n">
        <x:v>1</x:v>
      </x:c>
      <x:c r="O22" s="11" t="n">
        <x:v>1</x:v>
      </x:c>
      <x:c r="P22" s="9" t="n">
        <x:f>SUM(H22:O22)</x:f>
        <x:v>8</x:v>
      </x:c>
      <x:c r="Q22" s="9" t="str">
        <x:f>IF(P22=8,"PASS","FAIL")</x:f>
        <x:v>PASS</x:v>
      </x:c>
    </x:row>
    <x:row r="23">
      <x:c r="B23" s="9" t="str">
        <x:v>ROOT_A</x:v>
      </x:c>
      <x:c r="C23" s="9" t="str">
        <x:v>A17</x:v>
      </x:c>
      <x:c r="D23" s="9" t="str">
        <x:v>install conversion storage evidence power</x:v>
      </x:c>
      <x:c r="E23" s="9" t="str">
        <x:v>integration</x:v>
      </x:c>
      <x:c r="F23" s="9" t="str">
        <x:v>isolation/key/firmware/protection</x:v>
      </x:c>
      <x:c r="G23" s="9" t="str">
        <x:v>energization hold</x:v>
      </x:c>
      <x:c r="H23" s="11" t="n">
        <x:v>1</x:v>
      </x:c>
      <x:c r="I23" s="11" t="n">
        <x:v>1</x:v>
      </x:c>
      <x:c r="J23" s="11" t="n">
        <x:v>1</x:v>
      </x:c>
      <x:c r="K23" s="11" t="n">
        <x:v>1</x:v>
      </x:c>
      <x:c r="L23" s="11" t="n">
        <x:v>1</x:v>
      </x:c>
      <x:c r="M23" s="11" t="n">
        <x:v>1</x:v>
      </x:c>
      <x:c r="N23" s="11" t="n">
        <x:v>1</x:v>
      </x:c>
      <x:c r="O23" s="11" t="n">
        <x:v>1</x:v>
      </x:c>
      <x:c r="P23" s="9" t="n">
        <x:f>SUM(H23:O23)</x:f>
        <x:v>8</x:v>
      </x:c>
      <x:c r="Q23" s="9" t="str">
        <x:f>IF(P23=8,"PASS","FAIL")</x:f>
        <x:v>PASS</x:v>
      </x:c>
    </x:row>
    <x:row r="24">
      <x:c r="B24" s="9" t="str">
        <x:v>ROOT_A</x:v>
      </x:c>
      <x:c r="C24" s="9" t="str">
        <x:v>A18</x:v>
      </x:c>
      <x:c r="D24" s="9" t="str">
        <x:v>install liquid-fuel/water cassettes</x:v>
      </x:c>
      <x:c r="E24" s="9" t="str">
        <x:v>fluid integration</x:v>
      </x:c>
      <x:c r="F24" s="9" t="str">
        <x:v>mass/leak/line/load cell</x:v>
      </x:c>
      <x:c r="G24" s="9" t="str">
        <x:v>fluid-introduction hold</x:v>
      </x:c>
      <x:c r="H24" s="11" t="n">
        <x:v>1</x:v>
      </x:c>
      <x:c r="I24" s="11" t="n">
        <x:v>1</x:v>
      </x:c>
      <x:c r="J24" s="11" t="n">
        <x:v>1</x:v>
      </x:c>
      <x:c r="K24" s="11" t="n">
        <x:v>1</x:v>
      </x:c>
      <x:c r="L24" s="11" t="n">
        <x:v>1</x:v>
      </x:c>
      <x:c r="M24" s="11" t="n">
        <x:v>1</x:v>
      </x:c>
      <x:c r="N24" s="11" t="n">
        <x:v>1</x:v>
      </x:c>
      <x:c r="O24" s="11" t="n">
        <x:v>1</x:v>
      </x:c>
      <x:c r="P24" s="9" t="n">
        <x:f>SUM(H24:O24)</x:f>
        <x:v>8</x:v>
      </x:c>
      <x:c r="Q24" s="9" t="str">
        <x:f>IF(P24=8,"PASS","FAIL")</x:f>
        <x:v>PASS</x:v>
      </x:c>
    </x:row>
    <x:row r="25">
      <x:c r="B25" s="9" t="str">
        <x:v>ROOT_A</x:v>
      </x:c>
      <x:c r="C25" s="9" t="str">
        <x:v>A19</x:v>
      </x:c>
      <x:c r="D25" s="9" t="str">
        <x:v>install thermal panels/evidence routes</x:v>
      </x:c>
      <x:c r="E25" s="9" t="str">
        <x:v>integration</x:v>
      </x:c>
      <x:c r="F25" s="9" t="str">
        <x:v>envelope/routes/continuity</x:v>
      </x:c>
      <x:c r="G25" s="9" t="str">
        <x:v>closure hold</x:v>
      </x:c>
      <x:c r="H25" s="11" t="n">
        <x:v>1</x:v>
      </x:c>
      <x:c r="I25" s="11" t="n">
        <x:v>1</x:v>
      </x:c>
      <x:c r="J25" s="11" t="n">
        <x:v>1</x:v>
      </x:c>
      <x:c r="K25" s="11" t="n">
        <x:v>1</x:v>
      </x:c>
      <x:c r="L25" s="11" t="n">
        <x:v>1</x:v>
      </x:c>
      <x:c r="M25" s="11" t="n">
        <x:v>1</x:v>
      </x:c>
      <x:c r="N25" s="11" t="n">
        <x:v>1</x:v>
      </x:c>
      <x:c r="O25" s="11" t="n">
        <x:v>1</x:v>
      </x:c>
      <x:c r="P25" s="9" t="n">
        <x:f>SUM(H25:O25)</x:f>
        <x:v>8</x:v>
      </x:c>
      <x:c r="Q25" s="9" t="str">
        <x:f>IF(P25=8,"PASS","FAIL")</x:f>
        <x:v>PASS</x:v>
      </x:c>
    </x:row>
    <x:row r="26">
      <x:c r="B26" s="9" t="str">
        <x:v>ROOT_A</x:v>
      </x:c>
      <x:c r="C26" s="9" t="str">
        <x:v>A20</x:v>
      </x:c>
      <x:c r="D26" s="9" t="str">
        <x:v>weigh and survey unfilled article</x:v>
      </x:c>
      <x:c r="E26" s="9" t="str">
        <x:v>metrology</x:v>
      </x:c>
      <x:c r="F26" s="9" t="str">
        <x:v>mass/CG/reactions/configuration</x:v>
      </x:c>
      <x:c r="G26" s="9" t="str">
        <x:v>as-built hold</x:v>
      </x:c>
      <x:c r="H26" s="11" t="n">
        <x:v>1</x:v>
      </x:c>
      <x:c r="I26" s="11" t="n">
        <x:v>1</x:v>
      </x:c>
      <x:c r="J26" s="11" t="n">
        <x:v>1</x:v>
      </x:c>
      <x:c r="K26" s="11" t="n">
        <x:v>1</x:v>
      </x:c>
      <x:c r="L26" s="11" t="n">
        <x:v>1</x:v>
      </x:c>
      <x:c r="M26" s="11" t="n">
        <x:v>1</x:v>
      </x:c>
      <x:c r="N26" s="11" t="n">
        <x:v>1</x:v>
      </x:c>
      <x:c r="O26" s="11" t="n">
        <x:v>1</x:v>
      </x:c>
      <x:c r="P26" s="9" t="n">
        <x:f>SUM(H26:O26)</x:f>
        <x:v>8</x:v>
      </x:c>
      <x:c r="Q26" s="9" t="str">
        <x:f>IF(P26=8,"PASS","FAIL")</x:f>
        <x:v>PASS</x:v>
      </x:c>
    </x:row>
    <x:row r="27">
      <x:c r="B27" s="9" t="str">
        <x:v>ROOT_A</x:v>
      </x:c>
      <x:c r="C27" s="9" t="str">
        <x:v>A21</x:v>
      </x:c>
      <x:c r="D27" s="9" t="str">
        <x:v>prepare functional/proof state</x:v>
      </x:c>
      <x:c r="E27" s="9" t="str">
        <x:v>proof preparation</x:v>
      </x:c>
      <x:c r="F27" s="9" t="str">
        <x:v>zero state/fault readiness</x:v>
      </x:c>
      <x:c r="G27" s="9" t="str">
        <x:v>proof release</x:v>
      </x:c>
      <x:c r="H27" s="11" t="n">
        <x:v>1</x:v>
      </x:c>
      <x:c r="I27" s="11" t="n">
        <x:v>1</x:v>
      </x:c>
      <x:c r="J27" s="11" t="n">
        <x:v>1</x:v>
      </x:c>
      <x:c r="K27" s="11" t="n">
        <x:v>1</x:v>
      </x:c>
      <x:c r="L27" s="11" t="n">
        <x:v>1</x:v>
      </x:c>
      <x:c r="M27" s="11" t="n">
        <x:v>1</x:v>
      </x:c>
      <x:c r="N27" s="11" t="n">
        <x:v>1</x:v>
      </x:c>
      <x:c r="O27" s="11" t="n">
        <x:v>1</x:v>
      </x:c>
      <x:c r="P27" s="9" t="n">
        <x:f>SUM(H27:O27)</x:f>
        <x:v>8</x:v>
      </x:c>
      <x:c r="Q27" s="9" t="str">
        <x:f>IF(P27=8,"PASS","FAIL")</x:f>
        <x:v>PASS</x:v>
      </x:c>
    </x:row>
    <x:row r="28">
      <x:c r="B28" s="9" t="str">
        <x:v>ROOT_A</x:v>
      </x:c>
      <x:c r="C28" s="9" t="str">
        <x:v>A22</x:v>
      </x:c>
      <x:c r="D28" s="9" t="str">
        <x:v>preserve or transfer article</x:v>
      </x:c>
      <x:c r="E28" s="9" t="str">
        <x:v>custody</x:v>
      </x:c>
      <x:c r="F28" s="9" t="str">
        <x:v>seals/preservation/open items</x:v>
      </x:c>
      <x:c r="G28" s="9" t="str">
        <x:v>article-transfer hold</x:v>
      </x:c>
      <x:c r="H28" s="11" t="n">
        <x:v>1</x:v>
      </x:c>
      <x:c r="I28" s="11" t="n">
        <x:v>1</x:v>
      </x:c>
      <x:c r="J28" s="11" t="n">
        <x:v>1</x:v>
      </x:c>
      <x:c r="K28" s="11" t="n">
        <x:v>1</x:v>
      </x:c>
      <x:c r="L28" s="11" t="n">
        <x:v>1</x:v>
      </x:c>
      <x:c r="M28" s="11" t="n">
        <x:v>1</x:v>
      </x:c>
      <x:c r="N28" s="11" t="n">
        <x:v>1</x:v>
      </x:c>
      <x:c r="O28" s="11" t="n">
        <x:v>1</x:v>
      </x:c>
      <x:c r="P28" s="9" t="n">
        <x:f>SUM(H28:O28)</x:f>
        <x:v>8</x:v>
      </x:c>
      <x:c r="Q28" s="9" t="str">
        <x:f>IF(P28=8,"PASS","FAIL")</x:f>
        <x:v>PASS</x:v>
      </x:c>
    </x:row>
    <x:row r="29">
      <x:c r="B29" s="9" t="str">
        <x:v>ROOT_B</x:v>
      </x:c>
      <x:c r="C29" s="9" t="str">
        <x:v>B01</x:v>
      </x:c>
      <x:c r="D29" s="9" t="str">
        <x:v>receive tape resin insert and system lots</x:v>
      </x:c>
      <x:c r="E29" s="9" t="str">
        <x:v>receipt</x:v>
      </x:c>
      <x:c r="F29" s="9" t="str">
        <x:v>chemistry/DSC/dimensions/sample</x:v>
      </x:c>
      <x:c r="G29" s="9" t="str">
        <x:v>source identity</x:v>
      </x:c>
      <x:c r="H29" s="11" t="n">
        <x:v>1</x:v>
      </x:c>
      <x:c r="I29" s="11" t="n">
        <x:v>1</x:v>
      </x:c>
      <x:c r="J29" s="11" t="n">
        <x:v>1</x:v>
      </x:c>
      <x:c r="K29" s="11" t="n">
        <x:v>1</x:v>
      </x:c>
      <x:c r="L29" s="11" t="n">
        <x:v>1</x:v>
      </x:c>
      <x:c r="M29" s="11" t="n">
        <x:v>1</x:v>
      </x:c>
      <x:c r="N29" s="11" t="n">
        <x:v>1</x:v>
      </x:c>
      <x:c r="O29" s="11" t="n">
        <x:v>1</x:v>
      </x:c>
      <x:c r="P29" s="9" t="n">
        <x:f>SUM(H29:O29)</x:f>
        <x:v>8</x:v>
      </x:c>
      <x:c r="Q29" s="9" t="str">
        <x:f>IF(P29=8,"PASS","FAIL")</x:f>
        <x:v>PASS</x:v>
      </x:c>
    </x:row>
    <x:row r="30">
      <x:c r="B30" s="9" t="str">
        <x:v>ROOT_B</x:v>
      </x:c>
      <x:c r="C30" s="9" t="str">
        <x:v>B02</x:v>
      </x:c>
      <x:c r="D30" s="9" t="str">
        <x:v>split article and evidence stock</x:v>
      </x:c>
      <x:c r="E30" s="9" t="str">
        <x:v>irreversible split</x:v>
      </x:c>
      <x:c r="F30" s="9" t="str">
        <x:v>conservation/environmental custody</x:v>
      </x:c>
      <x:c r="G30" s="9" t="str">
        <x:v>material split</x:v>
      </x:c>
      <x:c r="H30" s="11" t="n">
        <x:v>1</x:v>
      </x:c>
      <x:c r="I30" s="11" t="n">
        <x:v>1</x:v>
      </x:c>
      <x:c r="J30" s="11" t="n">
        <x:v>1</x:v>
      </x:c>
      <x:c r="K30" s="11" t="n">
        <x:v>1</x:v>
      </x:c>
      <x:c r="L30" s="11" t="n">
        <x:v>1</x:v>
      </x:c>
      <x:c r="M30" s="11" t="n">
        <x:v>1</x:v>
      </x:c>
      <x:c r="N30" s="11" t="n">
        <x:v>1</x:v>
      </x:c>
      <x:c r="O30" s="11" t="n">
        <x:v>1</x:v>
      </x:c>
      <x:c r="P30" s="9" t="n">
        <x:f>SUM(H30:O30)</x:f>
        <x:v>8</x:v>
      </x:c>
      <x:c r="Q30" s="9" t="str">
        <x:f>IF(P30=8,"PASS","FAIL")</x:f>
        <x:v>PASS</x:v>
      </x:c>
    </x:row>
    <x:row r="31">
      <x:c r="B31" s="9" t="str">
        <x:v>ROOT_B</x:v>
      </x:c>
      <x:c r="C31" s="9" t="str">
        <x:v>B03</x:v>
      </x:c>
      <x:c r="D31" s="9" t="str">
        <x:v>prepare tools and place lower tapes</x:v>
      </x:c>
      <x:c r="E31" s="9" t="str">
        <x:v>placement</x:v>
      </x:c>
      <x:c r="F31" s="9" t="str">
        <x:v>tool cloud/path/gap/humidity</x:v>
      </x:c>
      <x:c r="G31" s="9" t="str">
        <x:v>lay-up hold</x:v>
      </x:c>
      <x:c r="H31" s="11" t="n">
        <x:v>1</x:v>
      </x:c>
      <x:c r="I31" s="11" t="n">
        <x:v>1</x:v>
      </x:c>
      <x:c r="J31" s="11" t="n">
        <x:v>1</x:v>
      </x:c>
      <x:c r="K31" s="11" t="n">
        <x:v>1</x:v>
      </x:c>
      <x:c r="L31" s="11" t="n">
        <x:v>1</x:v>
      </x:c>
      <x:c r="M31" s="11" t="n">
        <x:v>1</x:v>
      </x:c>
      <x:c r="N31" s="11" t="n">
        <x:v>1</x:v>
      </x:c>
      <x:c r="O31" s="11" t="n">
        <x:v>1</x:v>
      </x:c>
      <x:c r="P31" s="9" t="n">
        <x:f>SUM(H31:O31)</x:f>
        <x:v>8</x:v>
      </x:c>
      <x:c r="Q31" s="9" t="str">
        <x:f>IF(P31=8,"PASS","FAIL")</x:f>
        <x:v>PASS</x:v>
      </x:c>
    </x:row>
    <x:row r="32">
      <x:c r="B32" s="9" t="str">
        <x:v>ROOT_B</x:v>
      </x:c>
      <x:c r="C32" s="9" t="str">
        <x:v>B04</x:v>
      </x:c>
      <x:c r="D32" s="9" t="str">
        <x:v>consolidate lower boxes and witnesses</x:v>
      </x:c>
      <x:c r="E32" s="9" t="str">
        <x:v>consolidation</x:v>
      </x:c>
      <x:c r="F32" s="9" t="str">
        <x:v>temperature/pressure/thickness</x:v>
      </x:c>
      <x:c r="G32" s="9" t="str">
        <x:v>consolidation hold</x:v>
      </x:c>
      <x:c r="H32" s="11" t="n">
        <x:v>1</x:v>
      </x:c>
      <x:c r="I32" s="11" t="n">
        <x:v>1</x:v>
      </x:c>
      <x:c r="J32" s="11" t="n">
        <x:v>1</x:v>
      </x:c>
      <x:c r="K32" s="11" t="n">
        <x:v>1</x:v>
      </x:c>
      <x:c r="L32" s="11" t="n">
        <x:v>1</x:v>
      </x:c>
      <x:c r="M32" s="11" t="n">
        <x:v>1</x:v>
      </x:c>
      <x:c r="N32" s="11" t="n">
        <x:v>1</x:v>
      </x:c>
      <x:c r="O32" s="11" t="n">
        <x:v>1</x:v>
      </x:c>
      <x:c r="P32" s="9" t="n">
        <x:f>SUM(H32:O32)</x:f>
        <x:v>8</x:v>
      </x:c>
      <x:c r="Q32" s="9" t="str">
        <x:f>IF(P32=8,"PASS","FAIL")</x:f>
        <x:v>PASS</x:v>
      </x:c>
    </x:row>
    <x:row r="33">
      <x:c r="B33" s="9" t="str">
        <x:v>ROOT_B</x:v>
      </x:c>
      <x:c r="C33" s="9" t="str">
        <x:v>B05</x:v>
      </x:c>
      <x:c r="D33" s="9" t="str">
        <x:v>consolidate upper shell and diaphragms</x:v>
      </x:c>
      <x:c r="E33" s="9" t="str">
        <x:v>consolidation</x:v>
      </x:c>
      <x:c r="F33" s="9" t="str">
        <x:v>thermal/fiber/porosity screen</x:v>
      </x:c>
      <x:c r="G33" s="9" t="str">
        <x:v>shell hold</x:v>
      </x:c>
      <x:c r="H33" s="11" t="n">
        <x:v>1</x:v>
      </x:c>
      <x:c r="I33" s="11" t="n">
        <x:v>1</x:v>
      </x:c>
      <x:c r="J33" s="11" t="n">
        <x:v>1</x:v>
      </x:c>
      <x:c r="K33" s="11" t="n">
        <x:v>1</x:v>
      </x:c>
      <x:c r="L33" s="11" t="n">
        <x:v>1</x:v>
      </x:c>
      <x:c r="M33" s="11" t="n">
        <x:v>1</x:v>
      </x:c>
      <x:c r="N33" s="11" t="n">
        <x:v>1</x:v>
      </x:c>
      <x:c r="O33" s="11" t="n">
        <x:v>1</x:v>
      </x:c>
      <x:c r="P33" s="9" t="n">
        <x:f>SUM(H33:O33)</x:f>
        <x:v>8</x:v>
      </x:c>
      <x:c r="Q33" s="9" t="str">
        <x:f>IF(P33=8,"PASS","FAIL")</x:f>
        <x:v>PASS</x:v>
      </x:c>
    </x:row>
    <x:row r="34">
      <x:c r="B34" s="9" t="str">
        <x:v>ROOT_B</x:v>
      </x:c>
      <x:c r="C34" s="9" t="str">
        <x:v>B06</x:v>
      </x:c>
      <x:c r="D34" s="9" t="str">
        <x:v>prepare and induction-join closures</x:v>
      </x:c>
      <x:c r="E34" s="9" t="str">
        <x:v>joining</x:v>
      </x:c>
      <x:c r="F34" s="9" t="str">
        <x:v>surface age/contamination/process</x:v>
      </x:c>
      <x:c r="G34" s="9" t="str">
        <x:v>closure hold</x:v>
      </x:c>
      <x:c r="H34" s="11" t="n">
        <x:v>1</x:v>
      </x:c>
      <x:c r="I34" s="11" t="n">
        <x:v>1</x:v>
      </x:c>
      <x:c r="J34" s="11" t="n">
        <x:v>1</x:v>
      </x:c>
      <x:c r="K34" s="11" t="n">
        <x:v>1</x:v>
      </x:c>
      <x:c r="L34" s="11" t="n">
        <x:v>1</x:v>
      </x:c>
      <x:c r="M34" s="11" t="n">
        <x:v>1</x:v>
      </x:c>
      <x:c r="N34" s="11" t="n">
        <x:v>1</x:v>
      </x:c>
      <x:c r="O34" s="11" t="n">
        <x:v>1</x:v>
      </x:c>
      <x:c r="P34" s="9" t="n">
        <x:f>SUM(H34:O34)</x:f>
        <x:v>8</x:v>
      </x:c>
      <x:c r="Q34" s="9" t="str">
        <x:f>IF(P34=8,"PASS","FAIL")</x:f>
        <x:v>PASS</x:v>
      </x:c>
    </x:row>
    <x:row r="35">
      <x:c r="B35" s="9" t="str">
        <x:v>ROOT_B</x:v>
      </x:c>
      <x:c r="C35" s="9" t="str">
        <x:v>B07</x:v>
      </x:c>
      <x:c r="D35" s="9" t="str">
        <x:v>integrate metallic nodes</x:v>
      </x:c>
      <x:c r="E35" s="9" t="str">
        <x:v>bond/co-consolidate</x:v>
      </x:c>
      <x:c r="F35" s="9" t="str">
        <x:v>isolation/bondline/insert location</x:v>
      </x:c>
      <x:c r="G35" s="9" t="str">
        <x:v>insert hold</x:v>
      </x:c>
      <x:c r="H35" s="11" t="n">
        <x:v>1</x:v>
      </x:c>
      <x:c r="I35" s="11" t="n">
        <x:v>1</x:v>
      </x:c>
      <x:c r="J35" s="11" t="n">
        <x:v>1</x:v>
      </x:c>
      <x:c r="K35" s="11" t="n">
        <x:v>1</x:v>
      </x:c>
      <x:c r="L35" s="11" t="n">
        <x:v>1</x:v>
      </x:c>
      <x:c r="M35" s="11" t="n">
        <x:v>1</x:v>
      </x:c>
      <x:c r="N35" s="11" t="n">
        <x:v>1</x:v>
      </x:c>
      <x:c r="O35" s="11" t="n">
        <x:v>1</x:v>
      </x:c>
      <x:c r="P35" s="9" t="n">
        <x:f>SUM(H35:O35)</x:f>
        <x:v>8</x:v>
      </x:c>
      <x:c r="Q35" s="9" t="str">
        <x:f>IF(P35=8,"PASS","FAIL")</x:f>
        <x:v>PASS</x:v>
      </x:c>
    </x:row>
    <x:row r="36">
      <x:c r="B36" s="9" t="str">
        <x:v>ROOT_B</x:v>
      </x:c>
      <x:c r="C36" s="9" t="str">
        <x:v>B08</x:v>
      </x:c>
      <x:c r="D36" s="9" t="str">
        <x:v>install and load post-tension ties</x:v>
      </x:c>
      <x:c r="E36" s="9" t="str">
        <x:v>assembly</x:v>
      </x:c>
      <x:c r="F36" s="9" t="str">
        <x:v>load/elongation/relaxation</x:v>
      </x:c>
      <x:c r="G36" s="9" t="str">
        <x:v>load-path hold</x:v>
      </x:c>
      <x:c r="H36" s="11" t="n">
        <x:v>1</x:v>
      </x:c>
      <x:c r="I36" s="11" t="n">
        <x:v>1</x:v>
      </x:c>
      <x:c r="J36" s="11" t="n">
        <x:v>1</x:v>
      </x:c>
      <x:c r="K36" s="11" t="n">
        <x:v>1</x:v>
      </x:c>
      <x:c r="L36" s="11" t="n">
        <x:v>1</x:v>
      </x:c>
      <x:c r="M36" s="11" t="n">
        <x:v>1</x:v>
      </x:c>
      <x:c r="N36" s="11" t="n">
        <x:v>1</x:v>
      </x:c>
      <x:c r="O36" s="11" t="n">
        <x:v>1</x:v>
      </x:c>
      <x:c r="P36" s="9" t="n">
        <x:f>SUM(H36:O36)</x:f>
        <x:v>8</x:v>
      </x:c>
      <x:c r="Q36" s="9" t="str">
        <x:f>IF(P36=8,"PASS","FAIL")</x:f>
        <x:v>PASS</x:v>
      </x:c>
    </x:row>
    <x:row r="37">
      <x:c r="B37" s="9" t="str">
        <x:v>ROOT_B</x:v>
      </x:c>
      <x:c r="C37" s="9" t="str">
        <x:v>B09</x:v>
      </x:c>
      <x:c r="D37" s="9" t="str">
        <x:v>machine public reference features</x:v>
      </x:c>
      <x:c r="E37" s="9" t="str">
        <x:v>machining</x:v>
      </x:c>
      <x:c r="F37" s="9" t="str">
        <x:v>program/probing/laminate protection</x:v>
      </x:c>
      <x:c r="G37" s="9" t="str">
        <x:v>datum hold</x:v>
      </x:c>
      <x:c r="H37" s="11" t="n">
        <x:v>1</x:v>
      </x:c>
      <x:c r="I37" s="11" t="n">
        <x:v>1</x:v>
      </x:c>
      <x:c r="J37" s="11" t="n">
        <x:v>1</x:v>
      </x:c>
      <x:c r="K37" s="11" t="n">
        <x:v>1</x:v>
      </x:c>
      <x:c r="L37" s="11" t="n">
        <x:v>1</x:v>
      </x:c>
      <x:c r="M37" s="11" t="n">
        <x:v>1</x:v>
      </x:c>
      <x:c r="N37" s="11" t="n">
        <x:v>1</x:v>
      </x:c>
      <x:c r="O37" s="11" t="n">
        <x:v>1</x:v>
      </x:c>
      <x:c r="P37" s="9" t="n">
        <x:f>SUM(H37:O37)</x:f>
        <x:v>8</x:v>
      </x:c>
      <x:c r="Q37" s="9" t="str">
        <x:f>IF(P37=8,"PASS","FAIL")</x:f>
        <x:v>PASS</x:v>
      </x:c>
    </x:row>
    <x:row r="38">
      <x:c r="B38" s="9" t="str">
        <x:v>ROOT_B</x:v>
      </x:c>
      <x:c r="C38" s="9" t="str">
        <x:v>B10</x:v>
      </x:c>
      <x:c r="D38" s="9" t="str">
        <x:v>map structure before closure</x:v>
      </x:c>
      <x:c r="E38" s="9" t="str">
        <x:v>inspection</x:v>
      </x:c>
      <x:c r="F38" s="9" t="str">
        <x:v>UT/thermography/damage map</x:v>
      </x:c>
      <x:c r="G38" s="9" t="str">
        <x:v>NDE hold</x:v>
      </x:c>
      <x:c r="H38" s="11" t="n">
        <x:v>1</x:v>
      </x:c>
      <x:c r="I38" s="11" t="n">
        <x:v>1</x:v>
      </x:c>
      <x:c r="J38" s="11" t="n">
        <x:v>1</x:v>
      </x:c>
      <x:c r="K38" s="11" t="n">
        <x:v>1</x:v>
      </x:c>
      <x:c r="L38" s="11" t="n">
        <x:v>1</x:v>
      </x:c>
      <x:c r="M38" s="11" t="n">
        <x:v>1</x:v>
      </x:c>
      <x:c r="N38" s="11" t="n">
        <x:v>1</x:v>
      </x:c>
      <x:c r="O38" s="11" t="n">
        <x:v>1</x:v>
      </x:c>
      <x:c r="P38" s="9" t="n">
        <x:f>SUM(H38:O38)</x:f>
        <x:v>8</x:v>
      </x:c>
      <x:c r="Q38" s="9" t="str">
        <x:f>IF(P38=8,"PASS","FAIL")</x:f>
        <x:v>PASS</x:v>
      </x:c>
    </x:row>
    <x:row r="39">
      <x:c r="B39" s="9" t="str">
        <x:v>ROOT_B</x:v>
      </x:c>
      <x:c r="C39" s="9" t="str">
        <x:v>B11</x:v>
      </x:c>
      <x:c r="D39" s="9" t="str">
        <x:v>repair or reject composite defects</x:v>
      </x:c>
      <x:c r="E39" s="9" t="str">
        <x:v>repair</x:v>
      </x:c>
      <x:c r="F39" s="9" t="str">
        <x:v>original/scarf/witness/remap</x:v>
      </x:c>
      <x:c r="G39" s="9" t="str">
        <x:v>NCR disposition</x:v>
      </x:c>
      <x:c r="H39" s="11" t="n">
        <x:v>1</x:v>
      </x:c>
      <x:c r="I39" s="11" t="n">
        <x:v>1</x:v>
      </x:c>
      <x:c r="J39" s="11" t="n">
        <x:v>1</x:v>
      </x:c>
      <x:c r="K39" s="11" t="n">
        <x:v>1</x:v>
      </x:c>
      <x:c r="L39" s="11" t="n">
        <x:v>1</x:v>
      </x:c>
      <x:c r="M39" s="11" t="n">
        <x:v>1</x:v>
      </x:c>
      <x:c r="N39" s="11" t="n">
        <x:v>1</x:v>
      </x:c>
      <x:c r="O39" s="11" t="n">
        <x:v>1</x:v>
      </x:c>
      <x:c r="P39" s="9" t="n">
        <x:f>SUM(H39:O39)</x:f>
        <x:v>8</x:v>
      </x:c>
      <x:c r="Q39" s="9" t="str">
        <x:f>IF(P39=8,"PASS","FAIL")</x:f>
        <x:v>PASS</x:v>
      </x:c>
    </x:row>
    <x:row r="40">
      <x:c r="B40" s="9" t="str">
        <x:v>ROOT_B</x:v>
      </x:c>
      <x:c r="C40" s="9" t="str">
        <x:v>B12</x:v>
      </x:c>
      <x:c r="D40" s="9" t="str">
        <x:v>wind pipe and install liner</x:v>
      </x:c>
      <x:c r="E40" s="9" t="str">
        <x:v>consolidation</x:v>
      </x:c>
      <x:c r="F40" s="9" t="str">
        <x:v>angle/tension/thermal/continuity</x:v>
      </x:c>
      <x:c r="G40" s="9" t="str">
        <x:v>pipe hold</x:v>
      </x:c>
      <x:c r="H40" s="11" t="n">
        <x:v>1</x:v>
      </x:c>
      <x:c r="I40" s="11" t="n">
        <x:v>1</x:v>
      </x:c>
      <x:c r="J40" s="11" t="n">
        <x:v>1</x:v>
      </x:c>
      <x:c r="K40" s="11" t="n">
        <x:v>1</x:v>
      </x:c>
      <x:c r="L40" s="11" t="n">
        <x:v>1</x:v>
      </x:c>
      <x:c r="M40" s="11" t="n">
        <x:v>1</x:v>
      </x:c>
      <x:c r="N40" s="11" t="n">
        <x:v>1</x:v>
      </x:c>
      <x:c r="O40" s="11" t="n">
        <x:v>1</x:v>
      </x:c>
      <x:c r="P40" s="9" t="n">
        <x:f>SUM(H40:O40)</x:f>
        <x:v>8</x:v>
      </x:c>
      <x:c r="Q40" s="9" t="str">
        <x:f>IF(P40=8,"PASS","FAIL")</x:f>
        <x:v>PASS</x:v>
      </x:c>
    </x:row>
    <x:row r="41">
      <x:c r="B41" s="9" t="str">
        <x:v>ROOT_B</x:v>
      </x:c>
      <x:c r="C41" s="9" t="str">
        <x:v>B13</x:v>
      </x:c>
      <x:c r="D41" s="9" t="str">
        <x:v>form collars seals and valves</x:v>
      </x:c>
      <x:c r="E41" s="9" t="str">
        <x:v>bond/assembly</x:v>
      </x:c>
      <x:c r="F41" s="9" t="str">
        <x:v>bondline/clamp/compression/bore</x:v>
      </x:c>
      <x:c r="G41" s="9" t="str">
        <x:v>hidden-surface hold</x:v>
      </x:c>
      <x:c r="H41" s="11" t="n">
        <x:v>1</x:v>
      </x:c>
      <x:c r="I41" s="11" t="n">
        <x:v>1</x:v>
      </x:c>
      <x:c r="J41" s="11" t="n">
        <x:v>1</x:v>
      </x:c>
      <x:c r="K41" s="11" t="n">
        <x:v>1</x:v>
      </x:c>
      <x:c r="L41" s="11" t="n">
        <x:v>1</x:v>
      </x:c>
      <x:c r="M41" s="11" t="n">
        <x:v>1</x:v>
      </x:c>
      <x:c r="N41" s="11" t="n">
        <x:v>1</x:v>
      </x:c>
      <x:c r="O41" s="11" t="n">
        <x:v>1</x:v>
      </x:c>
      <x:c r="P41" s="9" t="n">
        <x:f>SUM(H41:O41)</x:f>
        <x:v>8</x:v>
      </x:c>
      <x:c r="Q41" s="9" t="str">
        <x:f>IF(P41=8,"PASS","FAIL")</x:f>
        <x:v>PASS</x:v>
      </x:c>
    </x:row>
    <x:row r="42">
      <x:c r="B42" s="9" t="str">
        <x:v>ROOT_B</x:v>
      </x:c>
      <x:c r="C42" s="9" t="str">
        <x:v>B14</x:v>
      </x:c>
      <x:c r="D42" s="9" t="str">
        <x:v>clean flush and custody</x:v>
      </x:c>
      <x:c r="E42" s="9" t="str">
        <x:v>sanitary</x:v>
      </x:c>
      <x:c r="F42" s="9" t="str">
        <x:v>blanks/chemistry/particles</x:v>
      </x:c>
      <x:c r="G42" s="9" t="str">
        <x:v>sanitary hold</x:v>
      </x:c>
      <x:c r="H42" s="11" t="n">
        <x:v>1</x:v>
      </x:c>
      <x:c r="I42" s="11" t="n">
        <x:v>1</x:v>
      </x:c>
      <x:c r="J42" s="11" t="n">
        <x:v>1</x:v>
      </x:c>
      <x:c r="K42" s="11" t="n">
        <x:v>1</x:v>
      </x:c>
      <x:c r="L42" s="11" t="n">
        <x:v>1</x:v>
      </x:c>
      <x:c r="M42" s="11" t="n">
        <x:v>1</x:v>
      </x:c>
      <x:c r="N42" s="11" t="n">
        <x:v>1</x:v>
      </x:c>
      <x:c r="O42" s="11" t="n">
        <x:v>1</x:v>
      </x:c>
      <x:c r="P42" s="9" t="n">
        <x:f>SUM(H42:O42)</x:f>
        <x:v>8</x:v>
      </x:c>
      <x:c r="Q42" s="9" t="str">
        <x:f>IF(P42=8,"PASS","FAIL")</x:f>
        <x:v>PASS</x:v>
      </x:c>
    </x:row>
    <x:row r="43">
      <x:c r="B43" s="9" t="str">
        <x:v>ROOT_B</x:v>
      </x:c>
      <x:c r="C43" s="9" t="str">
        <x:v>B15</x:v>
      </x:c>
      <x:c r="D43" s="9" t="str">
        <x:v>fabricate aluminum bus/protection</x:v>
      </x:c>
      <x:c r="E43" s="9" t="str">
        <x:v>electrical</x:v>
      </x:c>
      <x:c r="F43" s="9" t="str">
        <x:v>oxide age/plating/preload/resistance</x:v>
      </x:c>
      <x:c r="G43" s="9" t="str">
        <x:v>electrical hold</x:v>
      </x:c>
      <x:c r="H43" s="11" t="n">
        <x:v>1</x:v>
      </x:c>
      <x:c r="I43" s="11" t="n">
        <x:v>1</x:v>
      </x:c>
      <x:c r="J43" s="11" t="n">
        <x:v>1</x:v>
      </x:c>
      <x:c r="K43" s="11" t="n">
        <x:v>1</x:v>
      </x:c>
      <x:c r="L43" s="11" t="n">
        <x:v>1</x:v>
      </x:c>
      <x:c r="M43" s="11" t="n">
        <x:v>1</x:v>
      </x:c>
      <x:c r="N43" s="11" t="n">
        <x:v>1</x:v>
      </x:c>
      <x:c r="O43" s="11" t="n">
        <x:v>1</x:v>
      </x:c>
      <x:c r="P43" s="9" t="n">
        <x:f>SUM(H43:O43)</x:f>
        <x:v>8</x:v>
      </x:c>
      <x:c r="Q43" s="9" t="str">
        <x:f>IF(P43=8,"PASS","FAIL")</x:f>
        <x:v>PASS</x:v>
      </x:c>
    </x:row>
    <x:row r="44">
      <x:c r="B44" s="9" t="str">
        <x:v>ROOT_B</x:v>
      </x:c>
      <x:c r="C44" s="9" t="str">
        <x:v>B16</x:v>
      </x:c>
      <x:c r="D44" s="9" t="str">
        <x:v>install conversion storage evidence power</x:v>
      </x:c>
      <x:c r="E44" s="9" t="str">
        <x:v>integration</x:v>
      </x:c>
      <x:c r="F44" s="9" t="str">
        <x:v>isolation/electrolyte/key/protection</x:v>
      </x:c>
      <x:c r="G44" s="9" t="str">
        <x:v>energization hold</x:v>
      </x:c>
      <x:c r="H44" s="11" t="n">
        <x:v>1</x:v>
      </x:c>
      <x:c r="I44" s="11" t="n">
        <x:v>1</x:v>
      </x:c>
      <x:c r="J44" s="11" t="n">
        <x:v>1</x:v>
      </x:c>
      <x:c r="K44" s="11" t="n">
        <x:v>1</x:v>
      </x:c>
      <x:c r="L44" s="11" t="n">
        <x:v>1</x:v>
      </x:c>
      <x:c r="M44" s="11" t="n">
        <x:v>1</x:v>
      </x:c>
      <x:c r="N44" s="11" t="n">
        <x:v>1</x:v>
      </x:c>
      <x:c r="O44" s="11" t="n">
        <x:v>1</x:v>
      </x:c>
      <x:c r="P44" s="9" t="n">
        <x:f>SUM(H44:O44)</x:f>
        <x:v>8</x:v>
      </x:c>
      <x:c r="Q44" s="9" t="str">
        <x:f>IF(P44=8,"PASS","FAIL")</x:f>
        <x:v>PASS</x:v>
      </x:c>
    </x:row>
    <x:row r="45">
      <x:c r="B45" s="9" t="str">
        <x:v>ROOT_B</x:v>
      </x:c>
      <x:c r="C45" s="9" t="str">
        <x:v>B17</x:v>
      </x:c>
      <x:c r="D45" s="9" t="str">
        <x:v>install DME/water-annulus cassettes</x:v>
      </x:c>
      <x:c r="E45" s="9" t="str">
        <x:v>fluid integration</x:v>
      </x:c>
      <x:c r="F45" s="9" t="str">
        <x:v>pressure/barrier/mass/load cell</x:v>
      </x:c>
      <x:c r="G45" s="9" t="str">
        <x:v>fluid-introduction hold</x:v>
      </x:c>
      <x:c r="H45" s="11" t="n">
        <x:v>1</x:v>
      </x:c>
      <x:c r="I45" s="11" t="n">
        <x:v>1</x:v>
      </x:c>
      <x:c r="J45" s="11" t="n">
        <x:v>1</x:v>
      </x:c>
      <x:c r="K45" s="11" t="n">
        <x:v>1</x:v>
      </x:c>
      <x:c r="L45" s="11" t="n">
        <x:v>1</x:v>
      </x:c>
      <x:c r="M45" s="11" t="n">
        <x:v>1</x:v>
      </x:c>
      <x:c r="N45" s="11" t="n">
        <x:v>1</x:v>
      </x:c>
      <x:c r="O45" s="11" t="n">
        <x:v>1</x:v>
      </x:c>
      <x:c r="P45" s="9" t="n">
        <x:f>SUM(H45:O45)</x:f>
        <x:v>8</x:v>
      </x:c>
      <x:c r="Q45" s="9" t="str">
        <x:f>IF(P45=8,"PASS","FAIL")</x:f>
        <x:v>PASS</x:v>
      </x:c>
    </x:row>
    <x:row r="46">
      <x:c r="B46" s="9" t="str">
        <x:v>ROOT_B</x:v>
      </x:c>
      <x:c r="C46" s="9" t="str">
        <x:v>B18</x:v>
      </x:c>
      <x:c r="D46" s="9" t="str">
        <x:v>install thermal panels/evidence routes</x:v>
      </x:c>
      <x:c r="E46" s="9" t="str">
        <x:v>integration</x:v>
      </x:c>
      <x:c r="F46" s="9" t="str">
        <x:v>envelope/routes/continuity</x:v>
      </x:c>
      <x:c r="G46" s="9" t="str">
        <x:v>closure hold</x:v>
      </x:c>
      <x:c r="H46" s="11" t="n">
        <x:v>1</x:v>
      </x:c>
      <x:c r="I46" s="11" t="n">
        <x:v>1</x:v>
      </x:c>
      <x:c r="J46" s="11" t="n">
        <x:v>1</x:v>
      </x:c>
      <x:c r="K46" s="11" t="n">
        <x:v>1</x:v>
      </x:c>
      <x:c r="L46" s="11" t="n">
        <x:v>1</x:v>
      </x:c>
      <x:c r="M46" s="11" t="n">
        <x:v>1</x:v>
      </x:c>
      <x:c r="N46" s="11" t="n">
        <x:v>1</x:v>
      </x:c>
      <x:c r="O46" s="11" t="n">
        <x:v>1</x:v>
      </x:c>
      <x:c r="P46" s="9" t="n">
        <x:f>SUM(H46:O46)</x:f>
        <x:v>8</x:v>
      </x:c>
      <x:c r="Q46" s="9" t="str">
        <x:f>IF(P46=8,"PASS","FAIL")</x:f>
        <x:v>PASS</x:v>
      </x:c>
    </x:row>
    <x:row r="47">
      <x:c r="B47" s="9" t="str">
        <x:v>ROOT_B</x:v>
      </x:c>
      <x:c r="C47" s="9" t="str">
        <x:v>B19</x:v>
      </x:c>
      <x:c r="D47" s="9" t="str">
        <x:v>survey hidden-surface closeout</x:v>
      </x:c>
      <x:c r="E47" s="9" t="str">
        <x:v>inspection</x:v>
      </x:c>
      <x:c r="F47" s="9" t="str">
        <x:v>images/witness/configuration</x:v>
      </x:c>
      <x:c r="G47" s="9" t="str">
        <x:v>close-out hold</x:v>
      </x:c>
      <x:c r="H47" s="11" t="n">
        <x:v>1</x:v>
      </x:c>
      <x:c r="I47" s="11" t="n">
        <x:v>1</x:v>
      </x:c>
      <x:c r="J47" s="11" t="n">
        <x:v>1</x:v>
      </x:c>
      <x:c r="K47" s="11" t="n">
        <x:v>1</x:v>
      </x:c>
      <x:c r="L47" s="11" t="n">
        <x:v>1</x:v>
      </x:c>
      <x:c r="M47" s="11" t="n">
        <x:v>1</x:v>
      </x:c>
      <x:c r="N47" s="11" t="n">
        <x:v>1</x:v>
      </x:c>
      <x:c r="O47" s="11" t="n">
        <x:v>1</x:v>
      </x:c>
      <x:c r="P47" s="9" t="n">
        <x:f>SUM(H47:O47)</x:f>
        <x:v>8</x:v>
      </x:c>
      <x:c r="Q47" s="9" t="str">
        <x:f>IF(P47=8,"PASS","FAIL")</x:f>
        <x:v>PASS</x:v>
      </x:c>
    </x:row>
    <x:row r="48">
      <x:c r="B48" s="9" t="str">
        <x:v>ROOT_B</x:v>
      </x:c>
      <x:c r="C48" s="9" t="str">
        <x:v>B20</x:v>
      </x:c>
      <x:c r="D48" s="9" t="str">
        <x:v>weigh and survey unfilled article</x:v>
      </x:c>
      <x:c r="E48" s="9" t="str">
        <x:v>metrology</x:v>
      </x:c>
      <x:c r="F48" s="9" t="str">
        <x:v>mass/CG/reactions/configuration</x:v>
      </x:c>
      <x:c r="G48" s="9" t="str">
        <x:v>as-built hold</x:v>
      </x:c>
      <x:c r="H48" s="11" t="n">
        <x:v>1</x:v>
      </x:c>
      <x:c r="I48" s="11" t="n">
        <x:v>1</x:v>
      </x:c>
      <x:c r="J48" s="11" t="n">
        <x:v>1</x:v>
      </x:c>
      <x:c r="K48" s="11" t="n">
        <x:v>1</x:v>
      </x:c>
      <x:c r="L48" s="11" t="n">
        <x:v>1</x:v>
      </x:c>
      <x:c r="M48" s="11" t="n">
        <x:v>1</x:v>
      </x:c>
      <x:c r="N48" s="11" t="n">
        <x:v>1</x:v>
      </x:c>
      <x:c r="O48" s="11" t="n">
        <x:v>1</x:v>
      </x:c>
      <x:c r="P48" s="9" t="n">
        <x:f>SUM(H48:O48)</x:f>
        <x:v>8</x:v>
      </x:c>
      <x:c r="Q48" s="9" t="str">
        <x:f>IF(P48=8,"PASS","FAIL")</x:f>
        <x:v>PASS</x:v>
      </x:c>
    </x:row>
    <x:row r="49">
      <x:c r="B49" s="9" t="str">
        <x:v>ROOT_B</x:v>
      </x:c>
      <x:c r="C49" s="9" t="str">
        <x:v>B21</x:v>
      </x:c>
      <x:c r="D49" s="9" t="str">
        <x:v>prepare functional/proof state</x:v>
      </x:c>
      <x:c r="E49" s="9" t="str">
        <x:v>proof preparation</x:v>
      </x:c>
      <x:c r="F49" s="9" t="str">
        <x:v>zero state/fault readiness</x:v>
      </x:c>
      <x:c r="G49" s="9" t="str">
        <x:v>proof release</x:v>
      </x:c>
      <x:c r="H49" s="11" t="n">
        <x:v>1</x:v>
      </x:c>
      <x:c r="I49" s="11" t="n">
        <x:v>1</x:v>
      </x:c>
      <x:c r="J49" s="11" t="n">
        <x:v>1</x:v>
      </x:c>
      <x:c r="K49" s="11" t="n">
        <x:v>1</x:v>
      </x:c>
      <x:c r="L49" s="11" t="n">
        <x:v>1</x:v>
      </x:c>
      <x:c r="M49" s="11" t="n">
        <x:v>1</x:v>
      </x:c>
      <x:c r="N49" s="11" t="n">
        <x:v>1</x:v>
      </x:c>
      <x:c r="O49" s="11" t="n">
        <x:v>1</x:v>
      </x:c>
      <x:c r="P49" s="9" t="n">
        <x:f>SUM(H49:O49)</x:f>
        <x:v>8</x:v>
      </x:c>
      <x:c r="Q49" s="9" t="str">
        <x:f>IF(P49=8,"PASS","FAIL")</x:f>
        <x:v>PASS</x:v>
      </x:c>
    </x:row>
    <x:row r="50">
      <x:c r="B50" s="10" t="str">
        <x:v>ROOT_B</x:v>
      </x:c>
      <x:c r="C50" s="10" t="str">
        <x:v>B22</x:v>
      </x:c>
      <x:c r="D50" s="10" t="str">
        <x:v>preserve or transfer article</x:v>
      </x:c>
      <x:c r="E50" s="10" t="str">
        <x:v>custody</x:v>
      </x:c>
      <x:c r="F50" s="10" t="str">
        <x:v>seals/environment/open items</x:v>
      </x:c>
      <x:c r="G50" s="10" t="str">
        <x:v>article-transfer hold</x:v>
      </x:c>
      <x:c r="H50" s="12" t="n">
        <x:v>1</x:v>
      </x:c>
      <x:c r="I50" s="12" t="n">
        <x:v>1</x:v>
      </x:c>
      <x:c r="J50" s="12" t="n">
        <x:v>1</x:v>
      </x:c>
      <x:c r="K50" s="12" t="n">
        <x:v>1</x:v>
      </x:c>
      <x:c r="L50" s="12" t="n">
        <x:v>1</x:v>
      </x:c>
      <x:c r="M50" s="12" t="n">
        <x:v>1</x:v>
      </x:c>
      <x:c r="N50" s="12" t="n">
        <x:v>1</x:v>
      </x:c>
      <x:c r="O50" s="12" t="n">
        <x:v>1</x:v>
      </x:c>
      <x:c r="P50" s="10" t="n">
        <x:f>SUM(H50:O50)</x:f>
        <x:v>8</x:v>
      </x:c>
      <x:c r="Q50" s="10" t="str">
        <x:f>IF(P50=8,"PASS","FAIL")</x:f>
        <x:v>PASS</x:v>
      </x:c>
    </x:row>
  </x:sheetData>
  <x:mergeCells>
    <x:mergeCell ref="B2:Q2"/>
    <x:mergeCell ref="B3:Q3"/>
  </x:mergeCells>
  <x:conditionalFormatting sqref="Q7:Q50">
    <x:cfRule type="containsText" dxfId="13" priority="1" operator="containsText" text="PASS"/>
    <x:cfRule type="containsText" dxfId="14" priority="2" operator="containsText" text="AUTHORIZED"/>
    <x:cfRule type="containsText" dxfId="15" priority="3" operator="containsText" text="DEFINED"/>
    <x:cfRule type="containsText" dxfId="16" priority="4" operator="containsText" text="READY"/>
    <x:cfRule type="containsText" dxfId="17" priority="5" operator="containsText" text="HOLD"/>
    <x:cfRule type="containsText" dxfId="18" priority="6" operator="containsText" text="OPEN"/>
    <x:cfRule type="containsText" dxfId="19" priority="7" operator="containsText" text="BLOCKED"/>
    <x:cfRule type="containsText" dxfId="20" priority="8" operator="containsText" text="PLANNING"/>
    <x:cfRule type="containsText" dxfId="21" priority="9" operator="containsText" text="QUARANTINE"/>
    <x:cfRule type="containsText" dxfId="22" priority="10" operator="containsText" text="FAIL"/>
    <x:cfRule type="containsText" dxfId="23" priority="11" operator="containsText" text="REJECT"/>
    <x:cfRule type="containsText" dxfId="24" priority="12" operator="containsText" text="INCOMPLETE"/>
    <x:cfRule type="containsText" dxfId="25" priority="13" operator="containsText" text="STOP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3" hidden="0" customWidth="1"/>
    <x:col min="3" max="3" width="9" hidden="0" customWidth="1"/>
    <x:col min="4" max="4" width="14" hidden="0" customWidth="1"/>
    <x:col min="5" max="5" width="24" hidden="0" customWidth="1"/>
    <x:col min="6" max="6" width="35" hidden="0" customWidth="1"/>
    <x:col min="7" max="7" width="38" hidden="0" customWidth="1"/>
    <x:col min="8" max="8" width="22" hidden="0" customWidth="1"/>
    <x:col min="9" max="9" width="12" hidden="0" customWidth="1"/>
    <x:col min="10" max="10" width="11" hidden="0" customWidth="1"/>
    <x:col min="11" max="11" width="16" hidden="0" customWidth="1"/>
    <x:col min="12" max="12" width="16" hidden="0" customWidth="1"/>
  </x:cols>
  <x:sheetData>
    <x:row r="2">
      <x:c r="B2" s="37" t="str">
        <x:v>Twenty-eight authority-transfer hold points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8" t="str">
        <x:v>The builder loses the right to advance until the independent or public authority releases the named next operation.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Instance</x:v>
      </x:c>
      <x:c r="C6" s="7" t="str">
        <x:v>Family</x:v>
      </x:c>
      <x:c r="D6" s="7" t="str">
        <x:v>Root</x:v>
      </x:c>
      <x:c r="E6" s="7" t="str">
        <x:v>Decision</x:v>
      </x:c>
      <x:c r="F6" s="7" t="str">
        <x:v>Required object</x:v>
      </x:c>
      <x:c r="G6" s="7" t="str">
        <x:v>Automatic stop</x:v>
      </x:c>
      <x:c r="H6" s="7" t="str">
        <x:v>Authority assigned</x:v>
      </x:c>
      <x:c r="I6" s="7" t="str">
        <x:v>Definition</x:v>
      </x:c>
      <x:c r="J6" s="7" t="str">
        <x:v>Source</x:v>
      </x:c>
      <x:c r="K6" s="7" t="str">
        <x:v>Planning gate</x:v>
      </x:c>
      <x:c r="L6" s="7" t="str">
        <x:v>Physical gate</x:v>
      </x:c>
    </x:row>
    <x:row r="7">
      <x:c r="B7" s="9" t="str">
        <x:v>H01-A</x:v>
      </x:c>
      <x:c r="C7" s="9" t="str">
        <x:v>H01</x:v>
      </x:c>
      <x:c r="D7" s="9" t="str">
        <x:v>ROOT_A</x:v>
      </x:c>
      <x:c r="E7" s="9" t="str">
        <x:v>source identity</x:v>
      </x:c>
      <x:c r="F7" s="9" t="str">
        <x:v>heats pipe conductor seals</x:v>
      </x:c>
      <x:c r="G7" s="9" t="str">
        <x:v>identity or retained sample absent</x:v>
      </x:c>
      <x:c r="H7" s="11" t="str">
        <x:v>independent/public</x:v>
      </x:c>
      <x:c r="I7" s="11" t="n">
        <x:v>1</x:v>
      </x:c>
      <x:c r="J7" s="11" t="n">
        <x:v>0</x:v>
      </x:c>
      <x:c r="K7" s="9" t="str">
        <x:f>IF(I7=1,"PASS","FAIL")</x:f>
        <x:v>PASS</x:v>
      </x:c>
      <x:c r="L7" s="9" t="str">
        <x:f>IF(J7=1,"PASS","OPEN")</x:f>
        <x:v>OPEN</x:v>
      </x:c>
    </x:row>
    <x:row r="8">
      <x:c r="B8" s="9" t="str">
        <x:v>H01-B</x:v>
      </x:c>
      <x:c r="C8" s="9" t="str">
        <x:v>H01</x:v>
      </x:c>
      <x:c r="D8" s="9" t="str">
        <x:v>ROOT_B</x:v>
      </x:c>
      <x:c r="E8" s="9" t="str">
        <x:v>source identity</x:v>
      </x:c>
      <x:c r="F8" s="9" t="str">
        <x:v>tape resin inserts liner conductor</x:v>
      </x:c>
      <x:c r="G8" s="9" t="str">
        <x:v>identity or retained sample absent</x:v>
      </x:c>
      <x:c r="H8" s="11" t="str">
        <x:v>independent/public</x:v>
      </x:c>
      <x:c r="I8" s="11" t="n">
        <x:v>1</x:v>
      </x:c>
      <x:c r="J8" s="11" t="n">
        <x:v>0</x:v>
      </x:c>
      <x:c r="K8" s="9" t="str">
        <x:f>IF(I8=1,"PASS","FAIL")</x:f>
        <x:v>PASS</x:v>
      </x:c>
      <x:c r="L8" s="9" t="str">
        <x:f>IF(J8=1,"PASS","OPEN")</x:f>
        <x:v>OPEN</x:v>
      </x:c>
    </x:row>
    <x:row r="9">
      <x:c r="B9" s="9" t="str">
        <x:v>H02-A</x:v>
      </x:c>
      <x:c r="C9" s="9" t="str">
        <x:v>H02</x:v>
      </x:c>
      <x:c r="D9" s="9" t="str">
        <x:v>ROOT_A</x:v>
      </x:c>
      <x:c r="E9" s="9" t="str">
        <x:v>material split</x:v>
      </x:c>
      <x:c r="F9" s="9" t="str">
        <x:v>cut and remnant map</x:v>
      </x:c>
      <x:c r="G9" s="9" t="str">
        <x:v>conservation does not reconcile</x:v>
      </x:c>
      <x:c r="H9" s="11" t="str">
        <x:v>independent/public</x:v>
      </x:c>
      <x:c r="I9" s="11" t="n">
        <x:v>1</x:v>
      </x:c>
      <x:c r="J9" s="11" t="n">
        <x:v>0</x:v>
      </x:c>
      <x:c r="K9" s="9" t="str">
        <x:f>IF(I9=1,"PASS","FAIL")</x:f>
        <x:v>PASS</x:v>
      </x:c>
      <x:c r="L9" s="9" t="str">
        <x:f>IF(J9=1,"PASS","OPEN")</x:f>
        <x:v>OPEN</x:v>
      </x:c>
    </x:row>
    <x:row r="10">
      <x:c r="B10" s="9" t="str">
        <x:v>H02-B</x:v>
      </x:c>
      <x:c r="C10" s="9" t="str">
        <x:v>H02</x:v>
      </x:c>
      <x:c r="D10" s="9" t="str">
        <x:v>ROOT_B</x:v>
      </x:c>
      <x:c r="E10" s="9" t="str">
        <x:v>material split</x:v>
      </x:c>
      <x:c r="F10" s="9" t="str">
        <x:v>cut/ply/resin split and custody</x:v>
      </x:c>
      <x:c r="G10" s="9" t="str">
        <x:v>conservation does not reconcile</x:v>
      </x:c>
      <x:c r="H10" s="11" t="str">
        <x:v>independent/public</x:v>
      </x:c>
      <x:c r="I10" s="11" t="n">
        <x:v>1</x:v>
      </x:c>
      <x:c r="J10" s="11" t="n">
        <x:v>0</x:v>
      </x:c>
      <x:c r="K10" s="9" t="str">
        <x:f>IF(I10=1,"PASS","FAIL")</x:f>
        <x:v>PASS</x:v>
      </x:c>
      <x:c r="L10" s="9" t="str">
        <x:f>IF(J10=1,"PASS","OPEN")</x:f>
        <x:v>OPEN</x:v>
      </x:c>
    </x:row>
    <x:row r="11">
      <x:c r="B11" s="9" t="str">
        <x:v>H03-A</x:v>
      </x:c>
      <x:c r="C11" s="9" t="str">
        <x:v>H03</x:v>
      </x:c>
      <x:c r="D11" s="9" t="str">
        <x:v>ROOT_A</x:v>
      </x:c>
      <x:c r="E11" s="9" t="str">
        <x:v>fixture/tool</x:v>
      </x:c>
      <x:c r="F11" s="9" t="str">
        <x:v>weld fixture survey</x:v>
      </x:c>
      <x:c r="G11" s="9" t="str">
        <x:v>uncertainty outside release</x:v>
      </x:c>
      <x:c r="H11" s="11" t="str">
        <x:v>independent/public</x:v>
      </x:c>
      <x:c r="I11" s="11" t="n">
        <x:v>1</x:v>
      </x:c>
      <x:c r="J11" s="11" t="n">
        <x:v>0</x:v>
      </x:c>
      <x:c r="K11" s="9" t="str">
        <x:f>IF(I11=1,"PASS","FAIL")</x:f>
        <x:v>PASS</x:v>
      </x:c>
      <x:c r="L11" s="9" t="str">
        <x:f>IF(J11=1,"PASS","OPEN")</x:f>
        <x:v>OPEN</x:v>
      </x:c>
    </x:row>
    <x:row r="12">
      <x:c r="B12" s="9" t="str">
        <x:v>H03-B</x:v>
      </x:c>
      <x:c r="C12" s="9" t="str">
        <x:v>H03</x:v>
      </x:c>
      <x:c r="D12" s="9" t="str">
        <x:v>ROOT_B</x:v>
      </x:c>
      <x:c r="E12" s="9" t="str">
        <x:v>fixture/tool</x:v>
      </x:c>
      <x:c r="F12" s="9" t="str">
        <x:v>tool surface and thermal map</x:v>
      </x:c>
      <x:c r="G12" s="9" t="str">
        <x:v>uncertainty outside release</x:v>
      </x:c>
      <x:c r="H12" s="11" t="str">
        <x:v>independent/public</x:v>
      </x:c>
      <x:c r="I12" s="11" t="n">
        <x:v>1</x:v>
      </x:c>
      <x:c r="J12" s="11" t="n">
        <x:v>0</x:v>
      </x:c>
      <x:c r="K12" s="9" t="str">
        <x:f>IF(I12=1,"PASS","FAIL")</x:f>
        <x:v>PASS</x:v>
      </x:c>
      <x:c r="L12" s="9" t="str">
        <x:f>IF(J12=1,"PASS","OPEN")</x:f>
        <x:v>OPEN</x:v>
      </x:c>
    </x:row>
    <x:row r="13">
      <x:c r="B13" s="9" t="str">
        <x:v>H04-A</x:v>
      </x:c>
      <x:c r="C13" s="9" t="str">
        <x:v>H04</x:v>
      </x:c>
      <x:c r="D13" s="9" t="str">
        <x:v>ROOT_A</x:v>
      </x:c>
      <x:c r="E13" s="9" t="str">
        <x:v>primary process</x:v>
      </x:c>
      <x:c r="F13" s="9" t="str">
        <x:v>weld trace</x:v>
      </x:c>
      <x:c r="G13" s="9" t="str">
        <x:v>observed variable outside window</x:v>
      </x:c>
      <x:c r="H13" s="11" t="str">
        <x:v>independent/public</x:v>
      </x:c>
      <x:c r="I13" s="11" t="n">
        <x:v>1</x:v>
      </x:c>
      <x:c r="J13" s="11" t="n">
        <x:v>0</x:v>
      </x:c>
      <x:c r="K13" s="9" t="str">
        <x:f>IF(I13=1,"PASS","FAIL")</x:f>
        <x:v>PASS</x:v>
      </x:c>
      <x:c r="L13" s="9" t="str">
        <x:f>IF(J13=1,"PASS","OPEN")</x:f>
        <x:v>OPEN</x:v>
      </x:c>
    </x:row>
    <x:row r="14">
      <x:c r="B14" s="9" t="str">
        <x:v>H04-B</x:v>
      </x:c>
      <x:c r="C14" s="9" t="str">
        <x:v>H04</x:v>
      </x:c>
      <x:c r="D14" s="9" t="str">
        <x:v>ROOT_B</x:v>
      </x:c>
      <x:c r="E14" s="9" t="str">
        <x:v>primary process</x:v>
      </x:c>
      <x:c r="F14" s="9" t="str">
        <x:v>consolidation trace</x:v>
      </x:c>
      <x:c r="G14" s="9" t="str">
        <x:v>observed variable outside window</x:v>
      </x:c>
      <x:c r="H14" s="11" t="str">
        <x:v>independent/public</x:v>
      </x:c>
      <x:c r="I14" s="11" t="n">
        <x:v>1</x:v>
      </x:c>
      <x:c r="J14" s="11" t="n">
        <x:v>0</x:v>
      </x:c>
      <x:c r="K14" s="9" t="str">
        <x:f>IF(I14=1,"PASS","FAIL")</x:f>
        <x:v>PASS</x:v>
      </x:c>
      <x:c r="L14" s="9" t="str">
        <x:f>IF(J14=1,"PASS","OPEN")</x:f>
        <x:v>OPEN</x:v>
      </x:c>
    </x:row>
    <x:row r="15">
      <x:c r="B15" s="9" t="str">
        <x:v>H05-A</x:v>
      </x:c>
      <x:c r="C15" s="9" t="str">
        <x:v>H05</x:v>
      </x:c>
      <x:c r="D15" s="9" t="str">
        <x:v>ROOT_A</x:v>
      </x:c>
      <x:c r="E15" s="9" t="str">
        <x:v>primary closure</x:v>
      </x:c>
      <x:c r="F15" s="9" t="str">
        <x:v>structural weld access</x:v>
      </x:c>
      <x:c r="G15" s="9" t="str">
        <x:v>closure hides unresolved condition</x:v>
      </x:c>
      <x:c r="H15" s="11" t="str">
        <x:v>independent/public</x:v>
      </x:c>
      <x:c r="I15" s="11" t="n">
        <x:v>1</x:v>
      </x:c>
      <x:c r="J15" s="11" t="n">
        <x:v>0</x:v>
      </x:c>
      <x:c r="K15" s="9" t="str">
        <x:f>IF(I15=1,"PASS","FAIL")</x:f>
        <x:v>PASS</x:v>
      </x:c>
      <x:c r="L15" s="9" t="str">
        <x:f>IF(J15=1,"PASS","OPEN")</x:f>
        <x:v>OPEN</x:v>
      </x:c>
    </x:row>
    <x:row r="16">
      <x:c r="B16" s="9" t="str">
        <x:v>H05-B</x:v>
      </x:c>
      <x:c r="C16" s="9" t="str">
        <x:v>H05</x:v>
      </x:c>
      <x:c r="D16" s="9" t="str">
        <x:v>ROOT_B</x:v>
      </x:c>
      <x:c r="E16" s="9" t="str">
        <x:v>primary closure</x:v>
      </x:c>
      <x:c r="F16" s="9" t="str">
        <x:v>induction/bond access</x:v>
      </x:c>
      <x:c r="G16" s="9" t="str">
        <x:v>closure hides unresolved condition</x:v>
      </x:c>
      <x:c r="H16" s="11" t="str">
        <x:v>independent/public</x:v>
      </x:c>
      <x:c r="I16" s="11" t="n">
        <x:v>1</x:v>
      </x:c>
      <x:c r="J16" s="11" t="n">
        <x:v>0</x:v>
      </x:c>
      <x:c r="K16" s="9" t="str">
        <x:f>IF(I16=1,"PASS","FAIL")</x:f>
        <x:v>PASS</x:v>
      </x:c>
      <x:c r="L16" s="9" t="str">
        <x:f>IF(J16=1,"PASS","OPEN")</x:f>
        <x:v>OPEN</x:v>
      </x:c>
    </x:row>
    <x:row r="17">
      <x:c r="B17" s="9" t="str">
        <x:v>H06-A</x:v>
      </x:c>
      <x:c r="C17" s="9" t="str">
        <x:v>H06</x:v>
      </x:c>
      <x:c r="D17" s="9" t="str">
        <x:v>ROOT_A</x:v>
      </x:c>
      <x:c r="E17" s="9" t="str">
        <x:v>NDE capability</x:v>
      </x:c>
      <x:c r="F17" s="9" t="str">
        <x:v>MT/PAUT standards</x:v>
      </x:c>
      <x:c r="G17" s="9" t="str">
        <x:v>governing known defect missed</x:v>
      </x:c>
      <x:c r="H17" s="11" t="str">
        <x:v>independent/public</x:v>
      </x:c>
      <x:c r="I17" s="11" t="n">
        <x:v>1</x:v>
      </x:c>
      <x:c r="J17" s="11" t="n">
        <x:v>0</x:v>
      </x:c>
      <x:c r="K17" s="9" t="str">
        <x:f>IF(I17=1,"PASS","FAIL")</x:f>
        <x:v>PASS</x:v>
      </x:c>
      <x:c r="L17" s="9" t="str">
        <x:f>IF(J17=1,"PASS","OPEN")</x:f>
        <x:v>OPEN</x:v>
      </x:c>
    </x:row>
    <x:row r="18">
      <x:c r="B18" s="9" t="str">
        <x:v>H06-B</x:v>
      </x:c>
      <x:c r="C18" s="9" t="str">
        <x:v>H06</x:v>
      </x:c>
      <x:c r="D18" s="9" t="str">
        <x:v>ROOT_B</x:v>
      </x:c>
      <x:c r="E18" s="9" t="str">
        <x:v>NDE capability</x:v>
      </x:c>
      <x:c r="F18" s="9" t="str">
        <x:v>UT/thermography standards</x:v>
      </x:c>
      <x:c r="G18" s="9" t="str">
        <x:v>governing known defect missed</x:v>
      </x:c>
      <x:c r="H18" s="11" t="str">
        <x:v>independent/public</x:v>
      </x:c>
      <x:c r="I18" s="11" t="n">
        <x:v>1</x:v>
      </x:c>
      <x:c r="J18" s="11" t="n">
        <x:v>0</x:v>
      </x:c>
      <x:c r="K18" s="9" t="str">
        <x:f>IF(I18=1,"PASS","FAIL")</x:f>
        <x:v>PASS</x:v>
      </x:c>
      <x:c r="L18" s="9" t="str">
        <x:f>IF(J18=1,"PASS","OPEN")</x:f>
        <x:v>OPEN</x:v>
      </x:c>
    </x:row>
    <x:row r="19">
      <x:c r="B19" s="9" t="str">
        <x:v>H07-A</x:v>
      </x:c>
      <x:c r="C19" s="9" t="str">
        <x:v>H07</x:v>
      </x:c>
      <x:c r="D19" s="9" t="str">
        <x:v>ROOT_A</x:v>
      </x:c>
      <x:c r="E19" s="9" t="str">
        <x:v>root load path</x:v>
      </x:c>
      <x:c r="F19" s="9" t="str">
        <x:v>welded node/machining</x:v>
      </x:c>
      <x:c r="G19" s="9" t="str">
        <x:v>load path unresolved</x:v>
      </x:c>
      <x:c r="H19" s="11" t="str">
        <x:v>independent/public</x:v>
      </x:c>
      <x:c r="I19" s="11" t="n">
        <x:v>1</x:v>
      </x:c>
      <x:c r="J19" s="11" t="n">
        <x:v>0</x:v>
      </x:c>
      <x:c r="K19" s="9" t="str">
        <x:f>IF(I19=1,"PASS","FAIL")</x:f>
        <x:v>PASS</x:v>
      </x:c>
      <x:c r="L19" s="9" t="str">
        <x:f>IF(J19=1,"PASS","OPEN")</x:f>
        <x:v>OPEN</x:v>
      </x:c>
    </x:row>
    <x:row r="20">
      <x:c r="B20" s="9" t="str">
        <x:v>H07-B</x:v>
      </x:c>
      <x:c r="C20" s="9" t="str">
        <x:v>H07</x:v>
      </x:c>
      <x:c r="D20" s="9" t="str">
        <x:v>ROOT_B</x:v>
      </x:c>
      <x:c r="E20" s="9" t="str">
        <x:v>root load path</x:v>
      </x:c>
      <x:c r="F20" s="9" t="str">
        <x:v>insert/tie/node transfer</x:v>
      </x:c>
      <x:c r="G20" s="9" t="str">
        <x:v>load path unresolved</x:v>
      </x:c>
      <x:c r="H20" s="11" t="str">
        <x:v>independent/public</x:v>
      </x:c>
      <x:c r="I20" s="11" t="n">
        <x:v>1</x:v>
      </x:c>
      <x:c r="J20" s="11" t="n">
        <x:v>0</x:v>
      </x:c>
      <x:c r="K20" s="9" t="str">
        <x:f>IF(I20=1,"PASS","FAIL")</x:f>
        <x:v>PASS</x:v>
      </x:c>
      <x:c r="L20" s="9" t="str">
        <x:f>IF(J20=1,"PASS","OPEN")</x:f>
        <x:v>OPEN</x:v>
      </x:c>
    </x:row>
    <x:row r="21">
      <x:c r="B21" s="9" t="str">
        <x:v>H08-A</x:v>
      </x:c>
      <x:c r="C21" s="9" t="str">
        <x:v>H08</x:v>
      </x:c>
      <x:c r="D21" s="9" t="str">
        <x:v>ROOT_A</x:v>
      </x:c>
      <x:c r="E21" s="9" t="str">
        <x:v>hydraulic fabrication</x:v>
      </x:c>
      <x:c r="F21" s="9" t="str">
        <x:v>duplex path</x:v>
      </x:c>
      <x:c r="G21" s="9" t="str">
        <x:v>pressure or ancestry unresolved</x:v>
      </x:c>
      <x:c r="H21" s="11" t="str">
        <x:v>independent/public</x:v>
      </x:c>
      <x:c r="I21" s="11" t="n">
        <x:v>1</x:v>
      </x:c>
      <x:c r="J21" s="11" t="n">
        <x:v>0</x:v>
      </x:c>
      <x:c r="K21" s="9" t="str">
        <x:f>IF(I21=1,"PASS","FAIL")</x:f>
        <x:v>PASS</x:v>
      </x:c>
      <x:c r="L21" s="9" t="str">
        <x:f>IF(J21=1,"PASS","OPEN")</x:f>
        <x:v>OPEN</x:v>
      </x:c>
    </x:row>
    <x:row r="22">
      <x:c r="B22" s="9" t="str">
        <x:v>H08-B</x:v>
      </x:c>
      <x:c r="C22" s="9" t="str">
        <x:v>H08</x:v>
      </x:c>
      <x:c r="D22" s="9" t="str">
        <x:v>ROOT_B</x:v>
      </x:c>
      <x:c r="E22" s="9" t="str">
        <x:v>hydraulic fabrication</x:v>
      </x:c>
      <x:c r="F22" s="9" t="str">
        <x:v>composite path/liner</x:v>
      </x:c>
      <x:c r="G22" s="9" t="str">
        <x:v>pressure or ancestry unresolved</x:v>
      </x:c>
      <x:c r="H22" s="11" t="str">
        <x:v>independent/public</x:v>
      </x:c>
      <x:c r="I22" s="11" t="n">
        <x:v>1</x:v>
      </x:c>
      <x:c r="J22" s="11" t="n">
        <x:v>0</x:v>
      </x:c>
      <x:c r="K22" s="9" t="str">
        <x:f>IF(I22=1,"PASS","FAIL")</x:f>
        <x:v>PASS</x:v>
      </x:c>
      <x:c r="L22" s="9" t="str">
        <x:f>IF(J22=1,"PASS","OPEN")</x:f>
        <x:v>OPEN</x:v>
      </x:c>
    </x:row>
    <x:row r="23">
      <x:c r="B23" s="9" t="str">
        <x:v>H09-A</x:v>
      </x:c>
      <x:c r="C23" s="9" t="str">
        <x:v>H09</x:v>
      </x:c>
      <x:c r="D23" s="9" t="str">
        <x:v>ROOT_A</x:v>
      </x:c>
      <x:c r="E23" s="9" t="str">
        <x:v>sanitary closure</x:v>
      </x:c>
      <x:c r="F23" s="9" t="str">
        <x:v>passivation/seals</x:v>
      </x:c>
      <x:c r="G23" s="9" t="str">
        <x:v>blank sample or custody failure</x:v>
      </x:c>
      <x:c r="H23" s="11" t="str">
        <x:v>independent/public</x:v>
      </x:c>
      <x:c r="I23" s="11" t="n">
        <x:v>1</x:v>
      </x:c>
      <x:c r="J23" s="11" t="n">
        <x:v>0</x:v>
      </x:c>
      <x:c r="K23" s="9" t="str">
        <x:f>IF(I23=1,"PASS","FAIL")</x:f>
        <x:v>PASS</x:v>
      </x:c>
      <x:c r="L23" s="9" t="str">
        <x:f>IF(J23=1,"PASS","OPEN")</x:f>
        <x:v>OPEN</x:v>
      </x:c>
    </x:row>
    <x:row r="24">
      <x:c r="B24" s="9" t="str">
        <x:v>H09-B</x:v>
      </x:c>
      <x:c r="C24" s="9" t="str">
        <x:v>H09</x:v>
      </x:c>
      <x:c r="D24" s="9" t="str">
        <x:v>ROOT_B</x:v>
      </x:c>
      <x:c r="E24" s="9" t="str">
        <x:v>sanitary closure</x:v>
      </x:c>
      <x:c r="F24" s="9" t="str">
        <x:v>liner/seals/collar</x:v>
      </x:c>
      <x:c r="G24" s="9" t="str">
        <x:v>blank sample or custody failure</x:v>
      </x:c>
      <x:c r="H24" s="11" t="str">
        <x:v>independent/public</x:v>
      </x:c>
      <x:c r="I24" s="11" t="n">
        <x:v>1</x:v>
      </x:c>
      <x:c r="J24" s="11" t="n">
        <x:v>0</x:v>
      </x:c>
      <x:c r="K24" s="9" t="str">
        <x:f>IF(I24=1,"PASS","FAIL")</x:f>
        <x:v>PASS</x:v>
      </x:c>
      <x:c r="L24" s="9" t="str">
        <x:f>IF(J24=1,"PASS","OPEN")</x:f>
        <x:v>OPEN</x:v>
      </x:c>
    </x:row>
    <x:row r="25">
      <x:c r="B25" s="9" t="str">
        <x:v>H10-A</x:v>
      </x:c>
      <x:c r="C25" s="9" t="str">
        <x:v>H10</x:v>
      </x:c>
      <x:c r="D25" s="9" t="str">
        <x:v>ROOT_A</x:v>
      </x:c>
      <x:c r="E25" s="9" t="str">
        <x:v>electrical closure</x:v>
      </x:c>
      <x:c r="F25" s="9" t="str">
        <x:v>copper contact/protection</x:v>
      </x:c>
      <x:c r="G25" s="9" t="str">
        <x:v>resistance insulation or trip unresolved</x:v>
      </x:c>
      <x:c r="H25" s="11" t="str">
        <x:v>independent/public</x:v>
      </x:c>
      <x:c r="I25" s="11" t="n">
        <x:v>1</x:v>
      </x:c>
      <x:c r="J25" s="11" t="n">
        <x:v>0</x:v>
      </x:c>
      <x:c r="K25" s="9" t="str">
        <x:f>IF(I25=1,"PASS","FAIL")</x:f>
        <x:v>PASS</x:v>
      </x:c>
      <x:c r="L25" s="9" t="str">
        <x:f>IF(J25=1,"PASS","OPEN")</x:f>
        <x:v>OPEN</x:v>
      </x:c>
    </x:row>
    <x:row r="26">
      <x:c r="B26" s="9" t="str">
        <x:v>H10-B</x:v>
      </x:c>
      <x:c r="C26" s="9" t="str">
        <x:v>H10</x:v>
      </x:c>
      <x:c r="D26" s="9" t="str">
        <x:v>ROOT_B</x:v>
      </x:c>
      <x:c r="E26" s="9" t="str">
        <x:v>electrical closure</x:v>
      </x:c>
      <x:c r="F26" s="9" t="str">
        <x:v>aluminum contact/protection</x:v>
      </x:c>
      <x:c r="G26" s="9" t="str">
        <x:v>resistance insulation or trip unresolved</x:v>
      </x:c>
      <x:c r="H26" s="11" t="str">
        <x:v>independent/public</x:v>
      </x:c>
      <x:c r="I26" s="11" t="n">
        <x:v>1</x:v>
      </x:c>
      <x:c r="J26" s="11" t="n">
        <x:v>0</x:v>
      </x:c>
      <x:c r="K26" s="9" t="str">
        <x:f>IF(I26=1,"PASS","FAIL")</x:f>
        <x:v>PASS</x:v>
      </x:c>
      <x:c r="L26" s="9" t="str">
        <x:f>IF(J26=1,"PASS","OPEN")</x:f>
        <x:v>OPEN</x:v>
      </x:c>
    </x:row>
    <x:row r="27">
      <x:c r="B27" s="9" t="str">
        <x:v>H11-A</x:v>
      </x:c>
      <x:c r="C27" s="9" t="str">
        <x:v>H11</x:v>
      </x:c>
      <x:c r="D27" s="9" t="str">
        <x:v>ROOT_A</x:v>
      </x:c>
      <x:c r="E27" s="9" t="str">
        <x:v>energy-ballast</x:v>
      </x:c>
      <x:c r="F27" s="9" t="str">
        <x:v>fuel bladder/water chamber</x:v>
      </x:c>
      <x:c r="G27" s="9" t="str">
        <x:v>barrier mass or custody failure</x:v>
      </x:c>
      <x:c r="H27" s="11" t="str">
        <x:v>independent/public</x:v>
      </x:c>
      <x:c r="I27" s="11" t="n">
        <x:v>1</x:v>
      </x:c>
      <x:c r="J27" s="11" t="n">
        <x:v>0</x:v>
      </x:c>
      <x:c r="K27" s="9" t="str">
        <x:f>IF(I27=1,"PASS","FAIL")</x:f>
        <x:v>PASS</x:v>
      </x:c>
      <x:c r="L27" s="9" t="str">
        <x:f>IF(J27=1,"PASS","OPEN")</x:f>
        <x:v>OPEN</x:v>
      </x:c>
    </x:row>
    <x:row r="28">
      <x:c r="B28" s="9" t="str">
        <x:v>H11-B</x:v>
      </x:c>
      <x:c r="C28" s="9" t="str">
        <x:v>H11</x:v>
      </x:c>
      <x:c r="D28" s="9" t="str">
        <x:v>ROOT_B</x:v>
      </x:c>
      <x:c r="E28" s="9" t="str">
        <x:v>energy-ballast</x:v>
      </x:c>
      <x:c r="F28" s="9" t="str">
        <x:v>DME cylinder/water annulus</x:v>
      </x:c>
      <x:c r="G28" s="9" t="str">
        <x:v>barrier mass or custody failure</x:v>
      </x:c>
      <x:c r="H28" s="11" t="str">
        <x:v>independent/public</x:v>
      </x:c>
      <x:c r="I28" s="11" t="n">
        <x:v>1</x:v>
      </x:c>
      <x:c r="J28" s="11" t="n">
        <x:v>0</x:v>
      </x:c>
      <x:c r="K28" s="9" t="str">
        <x:f>IF(I28=1,"PASS","FAIL")</x:f>
        <x:v>PASS</x:v>
      </x:c>
      <x:c r="L28" s="9" t="str">
        <x:f>IF(J28=1,"PASS","OPEN")</x:f>
        <x:v>OPEN</x:v>
      </x:c>
    </x:row>
    <x:row r="29">
      <x:c r="B29" s="9" t="str">
        <x:v>H12-A</x:v>
      </x:c>
      <x:c r="C29" s="9" t="str">
        <x:v>H12</x:v>
      </x:c>
      <x:c r="D29" s="9" t="str">
        <x:v>ROOT_A</x:v>
      </x:c>
      <x:c r="E29" s="9" t="str">
        <x:v>hidden closure</x:v>
      </x:c>
      <x:c r="F29" s="9" t="str">
        <x:v>coating/panel/routes</x:v>
      </x:c>
      <x:c r="G29" s="9" t="str">
        <x:v>surface or sensor inaccessible</x:v>
      </x:c>
      <x:c r="H29" s="11" t="str">
        <x:v>independent/public</x:v>
      </x:c>
      <x:c r="I29" s="11" t="n">
        <x:v>1</x:v>
      </x:c>
      <x:c r="J29" s="11" t="n">
        <x:v>0</x:v>
      </x:c>
      <x:c r="K29" s="9" t="str">
        <x:f>IF(I29=1,"PASS","FAIL")</x:f>
        <x:v>PASS</x:v>
      </x:c>
      <x:c r="L29" s="9" t="str">
        <x:f>IF(J29=1,"PASS","OPEN")</x:f>
        <x:v>OPEN</x:v>
      </x:c>
    </x:row>
    <x:row r="30">
      <x:c r="B30" s="9" t="str">
        <x:v>H12-B</x:v>
      </x:c>
      <x:c r="C30" s="9" t="str">
        <x:v>H12</x:v>
      </x:c>
      <x:c r="D30" s="9" t="str">
        <x:v>ROOT_B</x:v>
      </x:c>
      <x:c r="E30" s="9" t="str">
        <x:v>hidden closure</x:v>
      </x:c>
      <x:c r="F30" s="9" t="str">
        <x:v>shell closeout/panel/routes</x:v>
      </x:c>
      <x:c r="G30" s="9" t="str">
        <x:v>surface or sensor inaccessible</x:v>
      </x:c>
      <x:c r="H30" s="11" t="str">
        <x:v>independent/public</x:v>
      </x:c>
      <x:c r="I30" s="11" t="n">
        <x:v>1</x:v>
      </x:c>
      <x:c r="J30" s="11" t="n">
        <x:v>0</x:v>
      </x:c>
      <x:c r="K30" s="9" t="str">
        <x:f>IF(I30=1,"PASS","FAIL")</x:f>
        <x:v>PASS</x:v>
      </x:c>
      <x:c r="L30" s="9" t="str">
        <x:f>IF(J30=1,"PASS","OPEN")</x:f>
        <x:v>OPEN</x:v>
      </x:c>
    </x:row>
    <x:row r="31">
      <x:c r="B31" s="9" t="str">
        <x:v>H13-A</x:v>
      </x:c>
      <x:c r="C31" s="9" t="str">
        <x:v>H13</x:v>
      </x:c>
      <x:c r="D31" s="9" t="str">
        <x:v>ROOT_A</x:v>
      </x:c>
      <x:c r="E31" s="9" t="str">
        <x:v>as-built/proof</x:v>
      </x:c>
      <x:c r="F31" s="9" t="str">
        <x:v>mass CG geometry zero</x:v>
      </x:c>
      <x:c r="G31" s="9" t="str">
        <x:v>released configuration mismatch</x:v>
      </x:c>
      <x:c r="H31" s="11" t="str">
        <x:v>independent/public</x:v>
      </x:c>
      <x:c r="I31" s="11" t="n">
        <x:v>1</x:v>
      </x:c>
      <x:c r="J31" s="11" t="n">
        <x:v>0</x:v>
      </x:c>
      <x:c r="K31" s="9" t="str">
        <x:f>IF(I31=1,"PASS","FAIL")</x:f>
        <x:v>PASS</x:v>
      </x:c>
      <x:c r="L31" s="9" t="str">
        <x:f>IF(J31=1,"PASS","OPEN")</x:f>
        <x:v>OPEN</x:v>
      </x:c>
    </x:row>
    <x:row r="32">
      <x:c r="B32" s="9" t="str">
        <x:v>H13-B</x:v>
      </x:c>
      <x:c r="C32" s="9" t="str">
        <x:v>H13</x:v>
      </x:c>
      <x:c r="D32" s="9" t="str">
        <x:v>ROOT_B</x:v>
      </x:c>
      <x:c r="E32" s="9" t="str">
        <x:v>as-built/proof</x:v>
      </x:c>
      <x:c r="F32" s="9" t="str">
        <x:v>mass CG geometry zero</x:v>
      </x:c>
      <x:c r="G32" s="9" t="str">
        <x:v>released configuration mismatch</x:v>
      </x:c>
      <x:c r="H32" s="11" t="str">
        <x:v>independent/public</x:v>
      </x:c>
      <x:c r="I32" s="11" t="n">
        <x:v>1</x:v>
      </x:c>
      <x:c r="J32" s="11" t="n">
        <x:v>0</x:v>
      </x:c>
      <x:c r="K32" s="9" t="str">
        <x:f>IF(I32=1,"PASS","FAIL")</x:f>
        <x:v>PASS</x:v>
      </x:c>
      <x:c r="L32" s="9" t="str">
        <x:f>IF(J32=1,"PASS","OPEN")</x:f>
        <x:v>OPEN</x:v>
      </x:c>
    </x:row>
    <x:row r="33">
      <x:c r="B33" s="9" t="str">
        <x:v>H14-A</x:v>
      </x:c>
      <x:c r="C33" s="9" t="str">
        <x:v>H14</x:v>
      </x:c>
      <x:c r="D33" s="9" t="str">
        <x:v>ROOT_A</x:v>
      </x:c>
      <x:c r="E33" s="9" t="str">
        <x:v>teardown release</x:v>
      </x:c>
      <x:c r="F33" s="9" t="str">
        <x:v>cut order/preserved question</x:v>
      </x:c>
      <x:c r="G33" s="9" t="str">
        <x:v>cut destroys only observation</x:v>
      </x:c>
      <x:c r="H33" s="11" t="str">
        <x:v>independent/public</x:v>
      </x:c>
      <x:c r="I33" s="11" t="n">
        <x:v>1</x:v>
      </x:c>
      <x:c r="J33" s="11" t="n">
        <x:v>0</x:v>
      </x:c>
      <x:c r="K33" s="9" t="str">
        <x:f>IF(I33=1,"PASS","FAIL")</x:f>
        <x:v>PASS</x:v>
      </x:c>
      <x:c r="L33" s="9" t="str">
        <x:f>IF(J33=1,"PASS","OPEN")</x:f>
        <x:v>OPEN</x:v>
      </x:c>
    </x:row>
    <x:row r="34">
      <x:c r="B34" s="10" t="str">
        <x:v>H14-B</x:v>
      </x:c>
      <x:c r="C34" s="10" t="str">
        <x:v>H14</x:v>
      </x:c>
      <x:c r="D34" s="10" t="str">
        <x:v>ROOT_B</x:v>
      </x:c>
      <x:c r="E34" s="10" t="str">
        <x:v>teardown release</x:v>
      </x:c>
      <x:c r="F34" s="10" t="str">
        <x:v>cut order/preserved question</x:v>
      </x:c>
      <x:c r="G34" s="10" t="str">
        <x:v>cut destroys only observation</x:v>
      </x:c>
      <x:c r="H34" s="12" t="str">
        <x:v>independent/public</x:v>
      </x:c>
      <x:c r="I34" s="12" t="n">
        <x:v>1</x:v>
      </x:c>
      <x:c r="J34" s="12" t="n">
        <x:v>0</x:v>
      </x:c>
      <x:c r="K34" s="10" t="str">
        <x:f>IF(I34=1,"PASS","FAIL")</x:f>
        <x:v>PASS</x:v>
      </x:c>
      <x:c r="L34" s="10" t="str">
        <x:f>IF(J34=1,"PASS","OPEN")</x:f>
        <x:v>OPEN</x:v>
      </x:c>
    </x:row>
  </x:sheetData>
  <x:mergeCells>
    <x:mergeCell ref="B2:L2"/>
    <x:mergeCell ref="B3:L3"/>
  </x:mergeCells>
  <x:conditionalFormatting sqref="K7:L34">
    <x:cfRule type="containsText" dxfId="26" priority="1" operator="containsText" text="PASS"/>
    <x:cfRule type="containsText" dxfId="27" priority="2" operator="containsText" text="AUTHORIZED"/>
    <x:cfRule type="containsText" dxfId="28" priority="3" operator="containsText" text="DEFINED"/>
    <x:cfRule type="containsText" dxfId="29" priority="4" operator="containsText" text="READY"/>
    <x:cfRule type="containsText" dxfId="30" priority="5" operator="containsText" text="HOLD"/>
    <x:cfRule type="containsText" dxfId="31" priority="6" operator="containsText" text="OPEN"/>
    <x:cfRule type="containsText" dxfId="32" priority="7" operator="containsText" text="BLOCKED"/>
    <x:cfRule type="containsText" dxfId="33" priority="8" operator="containsText" text="PLANNING"/>
    <x:cfRule type="containsText" dxfId="34" priority="9" operator="containsText" text="QUARANTINE"/>
    <x:cfRule type="containsText" dxfId="35" priority="10" operator="containsText" text="FAIL"/>
    <x:cfRule type="containsText" dxfId="36" priority="11" operator="containsText" text="REJECT"/>
    <x:cfRule type="containsText" dxfId="37" priority="12" operator="containsText" text="INCOMPLETE"/>
    <x:cfRule type="containsText" dxfId="38" priority="13" operator="containsText" text="STOP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4" hidden="0" customWidth="1"/>
    <x:col min="4" max="4" width="28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6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2">
      <x:c r="B2" s="37" t="str">
        <x:v>Serialized material conservation before article results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3">
      <x:c r="B3" s="38" t="str">
        <x:v>Every decisive lot is assigned to article, coupon, standard, witness, scrap and retained states before work begins.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</x:row>
    <x:row r="6">
      <x:c r="B6" s="7" t="str">
        <x:v>Lot</x:v>
      </x:c>
      <x:c r="C6" s="7" t="str">
        <x:v>Root</x:v>
      </x:c>
      <x:c r="D6" s="7" t="str">
        <x:v>Family</x:v>
      </x:c>
      <x:c r="E6" s="7" t="str">
        <x:v>Unit</x:v>
      </x:c>
      <x:c r="F6" s="7" t="str">
        <x:v>Received</x:v>
      </x:c>
      <x:c r="G6" s="7" t="str">
        <x:v>Article</x:v>
      </x:c>
      <x:c r="H6" s="7" t="str">
        <x:v>Coupons</x:v>
      </x:c>
      <x:c r="I6" s="7" t="str">
        <x:v>Standards</x:v>
      </x:c>
      <x:c r="J6" s="7" t="str">
        <x:v>Witnesses</x:v>
      </x:c>
      <x:c r="K6" s="7" t="str">
        <x:v>Scrap</x:v>
      </x:c>
      <x:c r="L6" s="7" t="str">
        <x:v>Retained</x:v>
      </x:c>
      <x:c r="M6" s="7" t="str">
        <x:v>Disposition sum</x:v>
      </x:c>
      <x:c r="N6" s="7" t="str">
        <x:v>Difference</x:v>
      </x:c>
      <x:c r="O6" s="7" t="str">
        <x:v>Split defined</x:v>
      </x:c>
      <x:c r="P6" s="7" t="str">
        <x:v>Gate</x:v>
      </x:c>
    </x:row>
    <x:row r="7">
      <x:c r="B7" s="9" t="str">
        <x:v>ML-01</x:v>
      </x:c>
      <x:c r="C7" s="9" t="str">
        <x:v>ROOT_A</x:v>
      </x:c>
      <x:c r="D7" s="9" t="str">
        <x:v>primary structural steel</x:v>
      </x:c>
      <x:c r="E7" s="9" t="str">
        <x:v>planning unit</x:v>
      </x:c>
      <x:c r="F7" s="15" t="n">
        <x:v>105</x:v>
      </x:c>
      <x:c r="G7" s="15" t="n">
        <x:v>63</x:v>
      </x:c>
      <x:c r="H7" s="15" t="n">
        <x:v>10.5</x:v>
      </x:c>
      <x:c r="I7" s="15" t="n">
        <x:v>10.5</x:v>
      </x:c>
      <x:c r="J7" s="15" t="n">
        <x:v>10.5</x:v>
      </x:c>
      <x:c r="K7" s="15" t="n">
        <x:v>3.15</x:v>
      </x:c>
      <x:c r="L7" s="15" t="n">
        <x:v>7.3500000000000005</x:v>
      </x:c>
      <x:c r="M7" s="15" t="n">
        <x:f>SUM(G7:L7)</x:f>
        <x:v>105</x:v>
      </x:c>
      <x:c r="N7" s="15" t="n">
        <x:f>F7-M7</x:f>
        <x:v>0</x:v>
      </x:c>
      <x:c r="O7" s="13" t="n">
        <x:v>1</x:v>
      </x:c>
      <x:c r="P7" s="9" t="str">
        <x:f>IF(AND(ABS(N7)&lt;0.000001,O7=1),"PASS","FAIL")</x:f>
        <x:v>PASS</x:v>
      </x:c>
    </x:row>
    <x:row r="8">
      <x:c r="B8" s="9" t="str">
        <x:v>ML-02</x:v>
      </x:c>
      <x:c r="C8" s="9" t="str">
        <x:v>ROOT_A</x:v>
      </x:c>
      <x:c r="D8" s="9" t="str">
        <x:v>node steel</x:v>
      </x:c>
      <x:c r="E8" s="9" t="str">
        <x:v>planning unit</x:v>
      </x:c>
      <x:c r="F8" s="15" t="n">
        <x:v>110</x:v>
      </x:c>
      <x:c r="G8" s="15" t="n">
        <x:v>66</x:v>
      </x:c>
      <x:c r="H8" s="15" t="n">
        <x:v>11</x:v>
      </x:c>
      <x:c r="I8" s="15" t="n">
        <x:v>11</x:v>
      </x:c>
      <x:c r="J8" s="15" t="n">
        <x:v>11</x:v>
      </x:c>
      <x:c r="K8" s="15" t="n">
        <x:v>3.3</x:v>
      </x:c>
      <x:c r="L8" s="15" t="n">
        <x:v>7.700000000000001</x:v>
      </x:c>
      <x:c r="M8" s="15" t="n">
        <x:f>SUM(G8:L8)</x:f>
        <x:v>110</x:v>
      </x:c>
      <x:c r="N8" s="15" t="n">
        <x:f>F8-M8</x:f>
        <x:v>0</x:v>
      </x:c>
      <x:c r="O8" s="13" t="n">
        <x:v>1</x:v>
      </x:c>
      <x:c r="P8" s="9" t="str">
        <x:f>IF(AND(ABS(N8)&lt;0.000001,O8=1),"PASS","FAIL")</x:f>
        <x:v>PASS</x:v>
      </x:c>
    </x:row>
    <x:row r="9">
      <x:c r="B9" s="9" t="str">
        <x:v>ML-03</x:v>
      </x:c>
      <x:c r="C9" s="9" t="str">
        <x:v>ROOT_A</x:v>
      </x:c>
      <x:c r="D9" s="9" t="str">
        <x:v>pins</x:v>
      </x:c>
      <x:c r="E9" s="9" t="str">
        <x:v>planning unit</x:v>
      </x:c>
      <x:c r="F9" s="15" t="n">
        <x:v>115</x:v>
      </x:c>
      <x:c r="G9" s="15" t="n">
        <x:v>69</x:v>
      </x:c>
      <x:c r="H9" s="15" t="n">
        <x:v>11.5</x:v>
      </x:c>
      <x:c r="I9" s="15" t="n">
        <x:v>11.5</x:v>
      </x:c>
      <x:c r="J9" s="15" t="n">
        <x:v>11.5</x:v>
      </x:c>
      <x:c r="K9" s="15" t="n">
        <x:v>3.4499999999999997</x:v>
      </x:c>
      <x:c r="L9" s="15" t="n">
        <x:v>8.05</x:v>
      </x:c>
      <x:c r="M9" s="15" t="n">
        <x:f>SUM(G9:L9)</x:f>
        <x:v>115</x:v>
      </x:c>
      <x:c r="N9" s="15" t="n">
        <x:f>F9-M9</x:f>
        <x:v>0</x:v>
      </x:c>
      <x:c r="O9" s="13" t="n">
        <x:v>1</x:v>
      </x:c>
      <x:c r="P9" s="9" t="str">
        <x:f>IF(AND(ABS(N9)&lt;0.000001,O9=1),"PASS","FAIL")</x:f>
        <x:v>PASS</x:v>
      </x:c>
    </x:row>
    <x:row r="10">
      <x:c r="B10" s="9" t="str">
        <x:v>ML-04</x:v>
      </x:c>
      <x:c r="C10" s="9" t="str">
        <x:v>ROOT_A</x:v>
      </x:c>
      <x:c r="D10" s="9" t="str">
        <x:v>structural filler</x:v>
      </x:c>
      <x:c r="E10" s="9" t="str">
        <x:v>planning unit</x:v>
      </x:c>
      <x:c r="F10" s="15" t="n">
        <x:v>100</x:v>
      </x:c>
      <x:c r="G10" s="15" t="n">
        <x:v>60</x:v>
      </x:c>
      <x:c r="H10" s="15" t="n">
        <x:v>10</x:v>
      </x:c>
      <x:c r="I10" s="15" t="n">
        <x:v>10</x:v>
      </x:c>
      <x:c r="J10" s="15" t="n">
        <x:v>10</x:v>
      </x:c>
      <x:c r="K10" s="15" t="n">
        <x:v>3</x:v>
      </x:c>
      <x:c r="L10" s="15" t="n">
        <x:v>7.000000000000001</x:v>
      </x:c>
      <x:c r="M10" s="15" t="n">
        <x:f>SUM(G10:L10)</x:f>
        <x:v>100</x:v>
      </x:c>
      <x:c r="N10" s="15" t="n">
        <x:f>F10-M10</x:f>
        <x:v>0</x:v>
      </x:c>
      <x:c r="O10" s="13" t="n">
        <x:v>1</x:v>
      </x:c>
      <x:c r="P10" s="9" t="str">
        <x:f>IF(AND(ABS(N10)&lt;0.000001,O10=1),"PASS","FAIL")</x:f>
        <x:v>PASS</x:v>
      </x:c>
    </x:row>
    <x:row r="11">
      <x:c r="B11" s="9" t="str">
        <x:v>ML-05</x:v>
      </x:c>
      <x:c r="C11" s="9" t="str">
        <x:v>ROOT_A</x:v>
      </x:c>
      <x:c r="D11" s="9" t="str">
        <x:v>duplex pipe</x:v>
      </x:c>
      <x:c r="E11" s="9" t="str">
        <x:v>planning unit</x:v>
      </x:c>
      <x:c r="F11" s="15" t="n">
        <x:v>105</x:v>
      </x:c>
      <x:c r="G11" s="15" t="n">
        <x:v>63</x:v>
      </x:c>
      <x:c r="H11" s="15" t="n">
        <x:v>10.5</x:v>
      </x:c>
      <x:c r="I11" s="15" t="n">
        <x:v>10.5</x:v>
      </x:c>
      <x:c r="J11" s="15" t="n">
        <x:v>10.5</x:v>
      </x:c>
      <x:c r="K11" s="15" t="n">
        <x:v>3.15</x:v>
      </x:c>
      <x:c r="L11" s="15" t="n">
        <x:v>7.3500000000000005</x:v>
      </x:c>
      <x:c r="M11" s="15" t="n">
        <x:f>SUM(G11:L11)</x:f>
        <x:v>105</x:v>
      </x:c>
      <x:c r="N11" s="15" t="n">
        <x:f>F11-M11</x:f>
        <x:v>0</x:v>
      </x:c>
      <x:c r="O11" s="13" t="n">
        <x:v>1</x:v>
      </x:c>
      <x:c r="P11" s="9" t="str">
        <x:f>IF(AND(ABS(N11)&lt;0.000001,O11=1),"PASS","FAIL")</x:f>
        <x:v>PASS</x:v>
      </x:c>
    </x:row>
    <x:row r="12">
      <x:c r="B12" s="9" t="str">
        <x:v>ML-06</x:v>
      </x:c>
      <x:c r="C12" s="9" t="str">
        <x:v>ROOT_A</x:v>
      </x:c>
      <x:c r="D12" s="9" t="str">
        <x:v>pipe filler</x:v>
      </x:c>
      <x:c r="E12" s="9" t="str">
        <x:v>planning unit</x:v>
      </x:c>
      <x:c r="F12" s="15" t="n">
        <x:v>110</x:v>
      </x:c>
      <x:c r="G12" s="15" t="n">
        <x:v>66</x:v>
      </x:c>
      <x:c r="H12" s="15" t="n">
        <x:v>11</x:v>
      </x:c>
      <x:c r="I12" s="15" t="n">
        <x:v>11</x:v>
      </x:c>
      <x:c r="J12" s="15" t="n">
        <x:v>11</x:v>
      </x:c>
      <x:c r="K12" s="15" t="n">
        <x:v>3.3</x:v>
      </x:c>
      <x:c r="L12" s="15" t="n">
        <x:v>7.700000000000001</x:v>
      </x:c>
      <x:c r="M12" s="15" t="n">
        <x:f>SUM(G12:L12)</x:f>
        <x:v>110</x:v>
      </x:c>
      <x:c r="N12" s="15" t="n">
        <x:f>F12-M12</x:f>
        <x:v>0</x:v>
      </x:c>
      <x:c r="O12" s="13" t="n">
        <x:v>1</x:v>
      </x:c>
      <x:c r="P12" s="9" t="str">
        <x:f>IF(AND(ABS(N12)&lt;0.000001,O12=1),"PASS","FAIL")</x:f>
        <x:v>PASS</x:v>
      </x:c>
    </x:row>
    <x:row r="13">
      <x:c r="B13" s="9" t="str">
        <x:v>ML-07</x:v>
      </x:c>
      <x:c r="C13" s="9" t="str">
        <x:v>ROOT_A</x:v>
      </x:c>
      <x:c r="D13" s="9" t="str">
        <x:v>mechanical collars</x:v>
      </x:c>
      <x:c r="E13" s="9" t="str">
        <x:v>planning unit</x:v>
      </x:c>
      <x:c r="F13" s="15" t="n">
        <x:v>115</x:v>
      </x:c>
      <x:c r="G13" s="15" t="n">
        <x:v>69</x:v>
      </x:c>
      <x:c r="H13" s="15" t="n">
        <x:v>11.5</x:v>
      </x:c>
      <x:c r="I13" s="15" t="n">
        <x:v>11.5</x:v>
      </x:c>
      <x:c r="J13" s="15" t="n">
        <x:v>11.5</x:v>
      </x:c>
      <x:c r="K13" s="15" t="n">
        <x:v>3.4499999999999997</x:v>
      </x:c>
      <x:c r="L13" s="15" t="n">
        <x:v>8.05</x:v>
      </x:c>
      <x:c r="M13" s="15" t="n">
        <x:f>SUM(G13:L13)</x:f>
        <x:v>115</x:v>
      </x:c>
      <x:c r="N13" s="15" t="n">
        <x:f>F13-M13</x:f>
        <x:v>0</x:v>
      </x:c>
      <x:c r="O13" s="13" t="n">
        <x:v>1</x:v>
      </x:c>
      <x:c r="P13" s="9" t="str">
        <x:f>IF(AND(ABS(N13)&lt;0.000001,O13=1),"PASS","FAIL")</x:f>
        <x:v>PASS</x:v>
      </x:c>
    </x:row>
    <x:row r="14">
      <x:c r="B14" s="9" t="str">
        <x:v>ML-08</x:v>
      </x:c>
      <x:c r="C14" s="9" t="str">
        <x:v>ROOT_A</x:v>
      </x:c>
      <x:c r="D14" s="9" t="str">
        <x:v>fasteners</x:v>
      </x:c>
      <x:c r="E14" s="9" t="str">
        <x:v>count</x:v>
      </x:c>
      <x:c r="F14" s="15" t="n">
        <x:v>100</x:v>
      </x:c>
      <x:c r="G14" s="15" t="n">
        <x:v>60</x:v>
      </x:c>
      <x:c r="H14" s="15" t="n">
        <x:v>10</x:v>
      </x:c>
      <x:c r="I14" s="15" t="n">
        <x:v>10</x:v>
      </x:c>
      <x:c r="J14" s="15" t="n">
        <x:v>10</x:v>
      </x:c>
      <x:c r="K14" s="15" t="n">
        <x:v>3</x:v>
      </x:c>
      <x:c r="L14" s="15" t="n">
        <x:v>7.000000000000001</x:v>
      </x:c>
      <x:c r="M14" s="15" t="n">
        <x:f>SUM(G14:L14)</x:f>
        <x:v>100</x:v>
      </x:c>
      <x:c r="N14" s="15" t="n">
        <x:f>F14-M14</x:f>
        <x:v>0</x:v>
      </x:c>
      <x:c r="O14" s="13" t="n">
        <x:v>1</x:v>
      </x:c>
      <x:c r="P14" s="9" t="str">
        <x:f>IF(AND(ABS(N14)&lt;0.000001,O14=1),"PASS","FAIL")</x:f>
        <x:v>PASS</x:v>
      </x:c>
    </x:row>
    <x:row r="15">
      <x:c r="B15" s="9" t="str">
        <x:v>ML-09</x:v>
      </x:c>
      <x:c r="C15" s="9" t="str">
        <x:v>ROOT_A</x:v>
      </x:c>
      <x:c r="D15" s="9" t="str">
        <x:v>seals</x:v>
      </x:c>
      <x:c r="E15" s="9" t="str">
        <x:v>count</x:v>
      </x:c>
      <x:c r="F15" s="15" t="n">
        <x:v>105</x:v>
      </x:c>
      <x:c r="G15" s="15" t="n">
        <x:v>63</x:v>
      </x:c>
      <x:c r="H15" s="15" t="n">
        <x:v>10.5</x:v>
      </x:c>
      <x:c r="I15" s="15" t="n">
        <x:v>10.5</x:v>
      </x:c>
      <x:c r="J15" s="15" t="n">
        <x:v>10.5</x:v>
      </x:c>
      <x:c r="K15" s="15" t="n">
        <x:v>3.15</x:v>
      </x:c>
      <x:c r="L15" s="15" t="n">
        <x:v>7.3500000000000005</x:v>
      </x:c>
      <x:c r="M15" s="15" t="n">
        <x:f>SUM(G15:L15)</x:f>
        <x:v>105</x:v>
      </x:c>
      <x:c r="N15" s="15" t="n">
        <x:f>F15-M15</x:f>
        <x:v>0</x:v>
      </x:c>
      <x:c r="O15" s="13" t="n">
        <x:v>1</x:v>
      </x:c>
      <x:c r="P15" s="9" t="str">
        <x:f>IF(AND(ABS(N15)&lt;0.000001,O15=1),"PASS","FAIL")</x:f>
        <x:v>PASS</x:v>
      </x:c>
    </x:row>
    <x:row r="16">
      <x:c r="B16" s="9" t="str">
        <x:v>ML-10</x:v>
      </x:c>
      <x:c r="C16" s="9" t="str">
        <x:v>ROOT_A</x:v>
      </x:c>
      <x:c r="D16" s="9" t="str">
        <x:v>valves</x:v>
      </x:c>
      <x:c r="E16" s="9" t="str">
        <x:v>count</x:v>
      </x:c>
      <x:c r="F16" s="15" t="n">
        <x:v>110</x:v>
      </x:c>
      <x:c r="G16" s="15" t="n">
        <x:v>66</x:v>
      </x:c>
      <x:c r="H16" s="15" t="n">
        <x:v>11</x:v>
      </x:c>
      <x:c r="I16" s="15" t="n">
        <x:v>11</x:v>
      </x:c>
      <x:c r="J16" s="15" t="n">
        <x:v>11</x:v>
      </x:c>
      <x:c r="K16" s="15" t="n">
        <x:v>3.3</x:v>
      </x:c>
      <x:c r="L16" s="15" t="n">
        <x:v>7.700000000000001</x:v>
      </x:c>
      <x:c r="M16" s="15" t="n">
        <x:f>SUM(G16:L16)</x:f>
        <x:v>110</x:v>
      </x:c>
      <x:c r="N16" s="15" t="n">
        <x:f>F16-M16</x:f>
        <x:v>0</x:v>
      </x:c>
      <x:c r="O16" s="13" t="n">
        <x:v>1</x:v>
      </x:c>
      <x:c r="P16" s="9" t="str">
        <x:f>IF(AND(ABS(N16)&lt;0.000001,O16=1),"PASS","FAIL")</x:f>
        <x:v>PASS</x:v>
      </x:c>
    </x:row>
    <x:row r="17">
      <x:c r="B17" s="9" t="str">
        <x:v>ML-11</x:v>
      </x:c>
      <x:c r="C17" s="9" t="str">
        <x:v>ROOT_A</x:v>
      </x:c>
      <x:c r="D17" s="9" t="str">
        <x:v>copper conductor</x:v>
      </x:c>
      <x:c r="E17" s="9" t="str">
        <x:v>planning unit</x:v>
      </x:c>
      <x:c r="F17" s="15" t="n">
        <x:v>115</x:v>
      </x:c>
      <x:c r="G17" s="15" t="n">
        <x:v>69</x:v>
      </x:c>
      <x:c r="H17" s="15" t="n">
        <x:v>11.5</x:v>
      </x:c>
      <x:c r="I17" s="15" t="n">
        <x:v>11.5</x:v>
      </x:c>
      <x:c r="J17" s="15" t="n">
        <x:v>11.5</x:v>
      </x:c>
      <x:c r="K17" s="15" t="n">
        <x:v>3.4499999999999997</x:v>
      </x:c>
      <x:c r="L17" s="15" t="n">
        <x:v>8.05</x:v>
      </x:c>
      <x:c r="M17" s="15" t="n">
        <x:f>SUM(G17:L17)</x:f>
        <x:v>115</x:v>
      </x:c>
      <x:c r="N17" s="15" t="n">
        <x:f>F17-M17</x:f>
        <x:v>0</x:v>
      </x:c>
      <x:c r="O17" s="13" t="n">
        <x:v>1</x:v>
      </x:c>
      <x:c r="P17" s="9" t="str">
        <x:f>IF(AND(ABS(N17)&lt;0.000001,O17=1),"PASS","FAIL")</x:f>
        <x:v>PASS</x:v>
      </x:c>
    </x:row>
    <x:row r="18">
      <x:c r="B18" s="9" t="str">
        <x:v>ML-12</x:v>
      </x:c>
      <x:c r="C18" s="9" t="str">
        <x:v>ROOT_A</x:v>
      </x:c>
      <x:c r="D18" s="9" t="str">
        <x:v>contact plating</x:v>
      </x:c>
      <x:c r="E18" s="9" t="str">
        <x:v>planning unit</x:v>
      </x:c>
      <x:c r="F18" s="15" t="n">
        <x:v>100</x:v>
      </x:c>
      <x:c r="G18" s="15" t="n">
        <x:v>60</x:v>
      </x:c>
      <x:c r="H18" s="15" t="n">
        <x:v>10</x:v>
      </x:c>
      <x:c r="I18" s="15" t="n">
        <x:v>10</x:v>
      </x:c>
      <x:c r="J18" s="15" t="n">
        <x:v>10</x:v>
      </x:c>
      <x:c r="K18" s="15" t="n">
        <x:v>3</x:v>
      </x:c>
      <x:c r="L18" s="15" t="n">
        <x:v>7.000000000000001</x:v>
      </x:c>
      <x:c r="M18" s="15" t="n">
        <x:f>SUM(G18:L18)</x:f>
        <x:v>100</x:v>
      </x:c>
      <x:c r="N18" s="15" t="n">
        <x:f>F18-M18</x:f>
        <x:v>0</x:v>
      </x:c>
      <x:c r="O18" s="13" t="n">
        <x:v>1</x:v>
      </x:c>
      <x:c r="P18" s="9" t="str">
        <x:f>IF(AND(ABS(N18)&lt;0.000001,O18=1),"PASS","FAIL")</x:f>
        <x:v>PASS</x:v>
      </x:c>
    </x:row>
    <x:row r="19">
      <x:c r="B19" s="9" t="str">
        <x:v>ML-13</x:v>
      </x:c>
      <x:c r="C19" s="9" t="str">
        <x:v>ROOT_A</x:v>
      </x:c>
      <x:c r="D19" s="9" t="str">
        <x:v>insulation</x:v>
      </x:c>
      <x:c r="E19" s="9" t="str">
        <x:v>planning unit</x:v>
      </x:c>
      <x:c r="F19" s="15" t="n">
        <x:v>105</x:v>
      </x:c>
      <x:c r="G19" s="15" t="n">
        <x:v>63</x:v>
      </x:c>
      <x:c r="H19" s="15" t="n">
        <x:v>10.5</x:v>
      </x:c>
      <x:c r="I19" s="15" t="n">
        <x:v>10.5</x:v>
      </x:c>
      <x:c r="J19" s="15" t="n">
        <x:v>10.5</x:v>
      </x:c>
      <x:c r="K19" s="15" t="n">
        <x:v>3.15</x:v>
      </x:c>
      <x:c r="L19" s="15" t="n">
        <x:v>7.3500000000000005</x:v>
      </x:c>
      <x:c r="M19" s="15" t="n">
        <x:f>SUM(G19:L19)</x:f>
        <x:v>105</x:v>
      </x:c>
      <x:c r="N19" s="15" t="n">
        <x:f>F19-M19</x:f>
        <x:v>0</x:v>
      </x:c>
      <x:c r="O19" s="13" t="n">
        <x:v>1</x:v>
      </x:c>
      <x:c r="P19" s="9" t="str">
        <x:f>IF(AND(ABS(N19)&lt;0.000001,O19=1),"PASS","FAIL")</x:f>
        <x:v>PASS</x:v>
      </x:c>
    </x:row>
    <x:row r="20">
      <x:c r="B20" s="9" t="str">
        <x:v>ML-14</x:v>
      </x:c>
      <x:c r="C20" s="9" t="str">
        <x:v>ROOT_A</x:v>
      </x:c>
      <x:c r="D20" s="9" t="str">
        <x:v>fuel containment</x:v>
      </x:c>
      <x:c r="E20" s="9" t="str">
        <x:v>planning unit</x:v>
      </x:c>
      <x:c r="F20" s="15" t="n">
        <x:v>110</x:v>
      </x:c>
      <x:c r="G20" s="15" t="n">
        <x:v>66</x:v>
      </x:c>
      <x:c r="H20" s="15" t="n">
        <x:v>11</x:v>
      </x:c>
      <x:c r="I20" s="15" t="n">
        <x:v>11</x:v>
      </x:c>
      <x:c r="J20" s="15" t="n">
        <x:v>11</x:v>
      </x:c>
      <x:c r="K20" s="15" t="n">
        <x:v>3.3</x:v>
      </x:c>
      <x:c r="L20" s="15" t="n">
        <x:v>7.700000000000001</x:v>
      </x:c>
      <x:c r="M20" s="15" t="n">
        <x:f>SUM(G20:L20)</x:f>
        <x:v>110</x:v>
      </x:c>
      <x:c r="N20" s="15" t="n">
        <x:f>F20-M20</x:f>
        <x:v>0</x:v>
      </x:c>
      <x:c r="O20" s="13" t="n">
        <x:v>1</x:v>
      </x:c>
      <x:c r="P20" s="9" t="str">
        <x:f>IF(AND(ABS(N20)&lt;0.000001,O20=1),"PASS","FAIL")</x:f>
        <x:v>PASS</x:v>
      </x:c>
    </x:row>
    <x:row r="21">
      <x:c r="B21" s="9" t="str">
        <x:v>ML-15</x:v>
      </x:c>
      <x:c r="C21" s="9" t="str">
        <x:v>ROOT_A</x:v>
      </x:c>
      <x:c r="D21" s="9" t="str">
        <x:v>LFP cells</x:v>
      </x:c>
      <x:c r="E21" s="9" t="str">
        <x:v>planning unit</x:v>
      </x:c>
      <x:c r="F21" s="15" t="n">
        <x:v>115</x:v>
      </x:c>
      <x:c r="G21" s="15" t="n">
        <x:v>69</x:v>
      </x:c>
      <x:c r="H21" s="15" t="n">
        <x:v>11.5</x:v>
      </x:c>
      <x:c r="I21" s="15" t="n">
        <x:v>11.5</x:v>
      </x:c>
      <x:c r="J21" s="15" t="n">
        <x:v>11.5</x:v>
      </x:c>
      <x:c r="K21" s="15" t="n">
        <x:v>3.4499999999999997</x:v>
      </x:c>
      <x:c r="L21" s="15" t="n">
        <x:v>8.05</x:v>
      </x:c>
      <x:c r="M21" s="15" t="n">
        <x:f>SUM(G21:L21)</x:f>
        <x:v>115</x:v>
      </x:c>
      <x:c r="N21" s="15" t="n">
        <x:f>F21-M21</x:f>
        <x:v>0</x:v>
      </x:c>
      <x:c r="O21" s="13" t="n">
        <x:v>1</x:v>
      </x:c>
      <x:c r="P21" s="9" t="str">
        <x:f>IF(AND(ABS(N21)&lt;0.000001,O21=1),"PASS","FAIL")</x:f>
        <x:v>PASS</x:v>
      </x:c>
    </x:row>
    <x:row r="22">
      <x:c r="B22" s="9" t="str">
        <x:v>ML-16</x:v>
      </x:c>
      <x:c r="C22" s="9" t="str">
        <x:v>ROOT_A</x:v>
      </x:c>
      <x:c r="D22" s="9" t="str">
        <x:v>thermal surfaces</x:v>
      </x:c>
      <x:c r="E22" s="9" t="str">
        <x:v>planning unit</x:v>
      </x:c>
      <x:c r="F22" s="15" t="n">
        <x:v>100</x:v>
      </x:c>
      <x:c r="G22" s="15" t="n">
        <x:v>60</x:v>
      </x:c>
      <x:c r="H22" s="15" t="n">
        <x:v>10</x:v>
      </x:c>
      <x:c r="I22" s="15" t="n">
        <x:v>10</x:v>
      </x:c>
      <x:c r="J22" s="15" t="n">
        <x:v>10</x:v>
      </x:c>
      <x:c r="K22" s="15" t="n">
        <x:v>3</x:v>
      </x:c>
      <x:c r="L22" s="15" t="n">
        <x:v>7.000000000000001</x:v>
      </x:c>
      <x:c r="M22" s="15" t="n">
        <x:f>SUM(G22:L22)</x:f>
        <x:v>100</x:v>
      </x:c>
      <x:c r="N22" s="15" t="n">
        <x:f>F22-M22</x:f>
        <x:v>0</x:v>
      </x:c>
      <x:c r="O22" s="13" t="n">
        <x:v>1</x:v>
      </x:c>
      <x:c r="P22" s="9" t="str">
        <x:f>IF(AND(ABS(N22)&lt;0.000001,O22=1),"PASS","FAIL")</x:f>
        <x:v>PASS</x:v>
      </x:c>
    </x:row>
    <x:row r="23">
      <x:c r="B23" s="9" t="str">
        <x:v>ML-17</x:v>
      </x:c>
      <x:c r="C23" s="9" t="str">
        <x:v>ROOT_B</x:v>
      </x:c>
      <x:c r="D23" s="9" t="str">
        <x:v>structural tape</x:v>
      </x:c>
      <x:c r="E23" s="9" t="str">
        <x:v>planning unit</x:v>
      </x:c>
      <x:c r="F23" s="15" t="n">
        <x:v>105</x:v>
      </x:c>
      <x:c r="G23" s="15" t="n">
        <x:v>63</x:v>
      </x:c>
      <x:c r="H23" s="15" t="n">
        <x:v>10.5</x:v>
      </x:c>
      <x:c r="I23" s="15" t="n">
        <x:v>10.5</x:v>
      </x:c>
      <x:c r="J23" s="15" t="n">
        <x:v>10.5</x:v>
      </x:c>
      <x:c r="K23" s="15" t="n">
        <x:v>3.15</x:v>
      </x:c>
      <x:c r="L23" s="15" t="n">
        <x:v>7.3500000000000005</x:v>
      </x:c>
      <x:c r="M23" s="15" t="n">
        <x:f>SUM(G23:L23)</x:f>
        <x:v>105</x:v>
      </x:c>
      <x:c r="N23" s="15" t="n">
        <x:f>F23-M23</x:f>
        <x:v>0</x:v>
      </x:c>
      <x:c r="O23" s="13" t="n">
        <x:v>1</x:v>
      </x:c>
      <x:c r="P23" s="9" t="str">
        <x:f>IF(AND(ABS(N23)&lt;0.000001,O23=1),"PASS","FAIL")</x:f>
        <x:v>PASS</x:v>
      </x:c>
    </x:row>
    <x:row r="24">
      <x:c r="B24" s="9" t="str">
        <x:v>ML-18</x:v>
      </x:c>
      <x:c r="C24" s="9" t="str">
        <x:v>ROOT_B</x:v>
      </x:c>
      <x:c r="D24" s="9" t="str">
        <x:v>matrix resin</x:v>
      </x:c>
      <x:c r="E24" s="9" t="str">
        <x:v>planning unit</x:v>
      </x:c>
      <x:c r="F24" s="15" t="n">
        <x:v>110</x:v>
      </x:c>
      <x:c r="G24" s="15" t="n">
        <x:v>66</x:v>
      </x:c>
      <x:c r="H24" s="15" t="n">
        <x:v>11</x:v>
      </x:c>
      <x:c r="I24" s="15" t="n">
        <x:v>11</x:v>
      </x:c>
      <x:c r="J24" s="15" t="n">
        <x:v>11</x:v>
      </x:c>
      <x:c r="K24" s="15" t="n">
        <x:v>3.3</x:v>
      </x:c>
      <x:c r="L24" s="15" t="n">
        <x:v>7.700000000000001</x:v>
      </x:c>
      <x:c r="M24" s="15" t="n">
        <x:f>SUM(G24:L24)</x:f>
        <x:v>110</x:v>
      </x:c>
      <x:c r="N24" s="15" t="n">
        <x:f>F24-M24</x:f>
        <x:v>0</x:v>
      </x:c>
      <x:c r="O24" s="13" t="n">
        <x:v>1</x:v>
      </x:c>
      <x:c r="P24" s="9" t="str">
        <x:f>IF(AND(ABS(N24)&lt;0.000001,O24=1),"PASS","FAIL")</x:f>
        <x:v>PASS</x:v>
      </x:c>
    </x:row>
    <x:row r="25">
      <x:c r="B25" s="9" t="str">
        <x:v>ML-19</x:v>
      </x:c>
      <x:c r="C25" s="9" t="str">
        <x:v>ROOT_B</x:v>
      </x:c>
      <x:c r="D25" s="9" t="str">
        <x:v>node metal</x:v>
      </x:c>
      <x:c r="E25" s="9" t="str">
        <x:v>planning unit</x:v>
      </x:c>
      <x:c r="F25" s="15" t="n">
        <x:v>115</x:v>
      </x:c>
      <x:c r="G25" s="15" t="n">
        <x:v>69</x:v>
      </x:c>
      <x:c r="H25" s="15" t="n">
        <x:v>11.5</x:v>
      </x:c>
      <x:c r="I25" s="15" t="n">
        <x:v>11.5</x:v>
      </x:c>
      <x:c r="J25" s="15" t="n">
        <x:v>11.5</x:v>
      </x:c>
      <x:c r="K25" s="15" t="n">
        <x:v>3.4499999999999997</x:v>
      </x:c>
      <x:c r="L25" s="15" t="n">
        <x:v>8.05</x:v>
      </x:c>
      <x:c r="M25" s="15" t="n">
        <x:f>SUM(G25:L25)</x:f>
        <x:v>115</x:v>
      </x:c>
      <x:c r="N25" s="15" t="n">
        <x:f>F25-M25</x:f>
        <x:v>0</x:v>
      </x:c>
      <x:c r="O25" s="13" t="n">
        <x:v>1</x:v>
      </x:c>
      <x:c r="P25" s="9" t="str">
        <x:f>IF(AND(ABS(N25)&lt;0.000001,O25=1),"PASS","FAIL")</x:f>
        <x:v>PASS</x:v>
      </x:c>
    </x:row>
    <x:row r="26">
      <x:c r="B26" s="9" t="str">
        <x:v>ML-20</x:v>
      </x:c>
      <x:c r="C26" s="9" t="str">
        <x:v>ROOT_B</x:v>
      </x:c>
      <x:c r="D26" s="9" t="str">
        <x:v>post-tension ties</x:v>
      </x:c>
      <x:c r="E26" s="9" t="str">
        <x:v>planning unit</x:v>
      </x:c>
      <x:c r="F26" s="15" t="n">
        <x:v>100</x:v>
      </x:c>
      <x:c r="G26" s="15" t="n">
        <x:v>60</x:v>
      </x:c>
      <x:c r="H26" s="15" t="n">
        <x:v>10</x:v>
      </x:c>
      <x:c r="I26" s="15" t="n">
        <x:v>10</x:v>
      </x:c>
      <x:c r="J26" s="15" t="n">
        <x:v>10</x:v>
      </x:c>
      <x:c r="K26" s="15" t="n">
        <x:v>3</x:v>
      </x:c>
      <x:c r="L26" s="15" t="n">
        <x:v>7.000000000000001</x:v>
      </x:c>
      <x:c r="M26" s="15" t="n">
        <x:f>SUM(G26:L26)</x:f>
        <x:v>100</x:v>
      </x:c>
      <x:c r="N26" s="15" t="n">
        <x:f>F26-M26</x:f>
        <x:v>0</x:v>
      </x:c>
      <x:c r="O26" s="13" t="n">
        <x:v>1</x:v>
      </x:c>
      <x:c r="P26" s="9" t="str">
        <x:f>IF(AND(ABS(N26)&lt;0.000001,O26=1),"PASS","FAIL")</x:f>
        <x:v>PASS</x:v>
      </x:c>
    </x:row>
    <x:row r="27">
      <x:c r="B27" s="9" t="str">
        <x:v>ML-21</x:v>
      </x:c>
      <x:c r="C27" s="9" t="str">
        <x:v>ROOT_B</x:v>
      </x:c>
      <x:c r="D27" s="9" t="str">
        <x:v>pipe reinforcement</x:v>
      </x:c>
      <x:c r="E27" s="9" t="str">
        <x:v>planning unit</x:v>
      </x:c>
      <x:c r="F27" s="15" t="n">
        <x:v>105</x:v>
      </x:c>
      <x:c r="G27" s="15" t="n">
        <x:v>63</x:v>
      </x:c>
      <x:c r="H27" s="15" t="n">
        <x:v>10.5</x:v>
      </x:c>
      <x:c r="I27" s="15" t="n">
        <x:v>10.5</x:v>
      </x:c>
      <x:c r="J27" s="15" t="n">
        <x:v>10.5</x:v>
      </x:c>
      <x:c r="K27" s="15" t="n">
        <x:v>3.15</x:v>
      </x:c>
      <x:c r="L27" s="15" t="n">
        <x:v>7.3500000000000005</x:v>
      </x:c>
      <x:c r="M27" s="15" t="n">
        <x:f>SUM(G27:L27)</x:f>
        <x:v>105</x:v>
      </x:c>
      <x:c r="N27" s="15" t="n">
        <x:f>F27-M27</x:f>
        <x:v>0</x:v>
      </x:c>
      <x:c r="O27" s="13" t="n">
        <x:v>1</x:v>
      </x:c>
      <x:c r="P27" s="9" t="str">
        <x:f>IF(AND(ABS(N27)&lt;0.000001,O27=1),"PASS","FAIL")</x:f>
        <x:v>PASS</x:v>
      </x:c>
    </x:row>
    <x:row r="28">
      <x:c r="B28" s="9" t="str">
        <x:v>ML-22</x:v>
      </x:c>
      <x:c r="C28" s="9" t="str">
        <x:v>ROOT_B</x:v>
      </x:c>
      <x:c r="D28" s="9" t="str">
        <x:v>independent liner</x:v>
      </x:c>
      <x:c r="E28" s="9" t="str">
        <x:v>planning unit</x:v>
      </x:c>
      <x:c r="F28" s="15" t="n">
        <x:v>110</x:v>
      </x:c>
      <x:c r="G28" s="15" t="n">
        <x:v>66</x:v>
      </x:c>
      <x:c r="H28" s="15" t="n">
        <x:v>11</x:v>
      </x:c>
      <x:c r="I28" s="15" t="n">
        <x:v>11</x:v>
      </x:c>
      <x:c r="J28" s="15" t="n">
        <x:v>11</x:v>
      </x:c>
      <x:c r="K28" s="15" t="n">
        <x:v>3.3</x:v>
      </x:c>
      <x:c r="L28" s="15" t="n">
        <x:v>7.700000000000001</x:v>
      </x:c>
      <x:c r="M28" s="15" t="n">
        <x:f>SUM(G28:L28)</x:f>
        <x:v>110</x:v>
      </x:c>
      <x:c r="N28" s="15" t="n">
        <x:f>F28-M28</x:f>
        <x:v>0</x:v>
      </x:c>
      <x:c r="O28" s="13" t="n">
        <x:v>1</x:v>
      </x:c>
      <x:c r="P28" s="9" t="str">
        <x:f>IF(AND(ABS(N28)&lt;0.000001,O28=1),"PASS","FAIL")</x:f>
        <x:v>PASS</x:v>
      </x:c>
    </x:row>
    <x:row r="29">
      <x:c r="B29" s="9" t="str">
        <x:v>ML-23</x:v>
      </x:c>
      <x:c r="C29" s="9" t="str">
        <x:v>ROOT_B</x:v>
      </x:c>
      <x:c r="D29" s="9" t="str">
        <x:v>collar reinforcement</x:v>
      </x:c>
      <x:c r="E29" s="9" t="str">
        <x:v>planning unit</x:v>
      </x:c>
      <x:c r="F29" s="15" t="n">
        <x:v>115</x:v>
      </x:c>
      <x:c r="G29" s="15" t="n">
        <x:v>69</x:v>
      </x:c>
      <x:c r="H29" s="15" t="n">
        <x:v>11.5</x:v>
      </x:c>
      <x:c r="I29" s="15" t="n">
        <x:v>11.5</x:v>
      </x:c>
      <x:c r="J29" s="15" t="n">
        <x:v>11.5</x:v>
      </x:c>
      <x:c r="K29" s="15" t="n">
        <x:v>3.4499999999999997</x:v>
      </x:c>
      <x:c r="L29" s="15" t="n">
        <x:v>8.05</x:v>
      </x:c>
      <x:c r="M29" s="15" t="n">
        <x:f>SUM(G29:L29)</x:f>
        <x:v>115</x:v>
      </x:c>
      <x:c r="N29" s="15" t="n">
        <x:f>F29-M29</x:f>
        <x:v>0</x:v>
      </x:c>
      <x:c r="O29" s="13" t="n">
        <x:v>1</x:v>
      </x:c>
      <x:c r="P29" s="9" t="str">
        <x:f>IF(AND(ABS(N29)&lt;0.000001,O29=1),"PASS","FAIL")</x:f>
        <x:v>PASS</x:v>
      </x:c>
    </x:row>
    <x:row r="30">
      <x:c r="B30" s="9" t="str">
        <x:v>ML-24</x:v>
      </x:c>
      <x:c r="C30" s="9" t="str">
        <x:v>ROOT_B</x:v>
      </x:c>
      <x:c r="D30" s="9" t="str">
        <x:v>bond material</x:v>
      </x:c>
      <x:c r="E30" s="9" t="str">
        <x:v>planning unit</x:v>
      </x:c>
      <x:c r="F30" s="15" t="n">
        <x:v>100</x:v>
      </x:c>
      <x:c r="G30" s="15" t="n">
        <x:v>60</x:v>
      </x:c>
      <x:c r="H30" s="15" t="n">
        <x:v>10</x:v>
      </x:c>
      <x:c r="I30" s="15" t="n">
        <x:v>10</x:v>
      </x:c>
      <x:c r="J30" s="15" t="n">
        <x:v>10</x:v>
      </x:c>
      <x:c r="K30" s="15" t="n">
        <x:v>3</x:v>
      </x:c>
      <x:c r="L30" s="15" t="n">
        <x:v>7.000000000000001</x:v>
      </x:c>
      <x:c r="M30" s="15" t="n">
        <x:f>SUM(G30:L30)</x:f>
        <x:v>100</x:v>
      </x:c>
      <x:c r="N30" s="15" t="n">
        <x:f>F30-M30</x:f>
        <x:v>0</x:v>
      </x:c>
      <x:c r="O30" s="13" t="n">
        <x:v>1</x:v>
      </x:c>
      <x:c r="P30" s="9" t="str">
        <x:f>IF(AND(ABS(N30)&lt;0.000001,O30=1),"PASS","FAIL")</x:f>
        <x:v>PASS</x:v>
      </x:c>
    </x:row>
    <x:row r="31">
      <x:c r="B31" s="9" t="str">
        <x:v>ML-25</x:v>
      </x:c>
      <x:c r="C31" s="9" t="str">
        <x:v>ROOT_B</x:v>
      </x:c>
      <x:c r="D31" s="9" t="str">
        <x:v>seals</x:v>
      </x:c>
      <x:c r="E31" s="9" t="str">
        <x:v>count</x:v>
      </x:c>
      <x:c r="F31" s="15" t="n">
        <x:v>105</x:v>
      </x:c>
      <x:c r="G31" s="15" t="n">
        <x:v>63</x:v>
      </x:c>
      <x:c r="H31" s="15" t="n">
        <x:v>10.5</x:v>
      </x:c>
      <x:c r="I31" s="15" t="n">
        <x:v>10.5</x:v>
      </x:c>
      <x:c r="J31" s="15" t="n">
        <x:v>10.5</x:v>
      </x:c>
      <x:c r="K31" s="15" t="n">
        <x:v>3.15</x:v>
      </x:c>
      <x:c r="L31" s="15" t="n">
        <x:v>7.3500000000000005</x:v>
      </x:c>
      <x:c r="M31" s="15" t="n">
        <x:f>SUM(G31:L31)</x:f>
        <x:v>105</x:v>
      </x:c>
      <x:c r="N31" s="15" t="n">
        <x:f>F31-M31</x:f>
        <x:v>0</x:v>
      </x:c>
      <x:c r="O31" s="13" t="n">
        <x:v>1</x:v>
      </x:c>
      <x:c r="P31" s="9" t="str">
        <x:f>IF(AND(ABS(N31)&lt;0.000001,O31=1),"PASS","FAIL")</x:f>
        <x:v>PASS</x:v>
      </x:c>
    </x:row>
    <x:row r="32">
      <x:c r="B32" s="9" t="str">
        <x:v>ML-26</x:v>
      </x:c>
      <x:c r="C32" s="9" t="str">
        <x:v>ROOT_B</x:v>
      </x:c>
      <x:c r="D32" s="9" t="str">
        <x:v>valves</x:v>
      </x:c>
      <x:c r="E32" s="9" t="str">
        <x:v>count</x:v>
      </x:c>
      <x:c r="F32" s="15" t="n">
        <x:v>110</x:v>
      </x:c>
      <x:c r="G32" s="15" t="n">
        <x:v>66</x:v>
      </x:c>
      <x:c r="H32" s="15" t="n">
        <x:v>11</x:v>
      </x:c>
      <x:c r="I32" s="15" t="n">
        <x:v>11</x:v>
      </x:c>
      <x:c r="J32" s="15" t="n">
        <x:v>11</x:v>
      </x:c>
      <x:c r="K32" s="15" t="n">
        <x:v>3.3</x:v>
      </x:c>
      <x:c r="L32" s="15" t="n">
        <x:v>7.700000000000001</x:v>
      </x:c>
      <x:c r="M32" s="15" t="n">
        <x:f>SUM(G32:L32)</x:f>
        <x:v>110</x:v>
      </x:c>
      <x:c r="N32" s="15" t="n">
        <x:f>F32-M32</x:f>
        <x:v>0</x:v>
      </x:c>
      <x:c r="O32" s="13" t="n">
        <x:v>1</x:v>
      </x:c>
      <x:c r="P32" s="9" t="str">
        <x:f>IF(AND(ABS(N32)&lt;0.000001,O32=1),"PASS","FAIL")</x:f>
        <x:v>PASS</x:v>
      </x:c>
    </x:row>
    <x:row r="33">
      <x:c r="B33" s="9" t="str">
        <x:v>ML-27</x:v>
      </x:c>
      <x:c r="C33" s="9" t="str">
        <x:v>ROOT_B</x:v>
      </x:c>
      <x:c r="D33" s="9" t="str">
        <x:v>aluminum conductor</x:v>
      </x:c>
      <x:c r="E33" s="9" t="str">
        <x:v>planning unit</x:v>
      </x:c>
      <x:c r="F33" s="15" t="n">
        <x:v>115</x:v>
      </x:c>
      <x:c r="G33" s="15" t="n">
        <x:v>69</x:v>
      </x:c>
      <x:c r="H33" s="15" t="n">
        <x:v>11.5</x:v>
      </x:c>
      <x:c r="I33" s="15" t="n">
        <x:v>11.5</x:v>
      </x:c>
      <x:c r="J33" s="15" t="n">
        <x:v>11.5</x:v>
      </x:c>
      <x:c r="K33" s="15" t="n">
        <x:v>3.4499999999999997</x:v>
      </x:c>
      <x:c r="L33" s="15" t="n">
        <x:v>8.05</x:v>
      </x:c>
      <x:c r="M33" s="15" t="n">
        <x:f>SUM(G33:L33)</x:f>
        <x:v>115</x:v>
      </x:c>
      <x:c r="N33" s="15" t="n">
        <x:f>F33-M33</x:f>
        <x:v>0</x:v>
      </x:c>
      <x:c r="O33" s="13" t="n">
        <x:v>1</x:v>
      </x:c>
      <x:c r="P33" s="9" t="str">
        <x:f>IF(AND(ABS(N33)&lt;0.000001,O33=1),"PASS","FAIL")</x:f>
        <x:v>PASS</x:v>
      </x:c>
    </x:row>
    <x:row r="34">
      <x:c r="B34" s="9" t="str">
        <x:v>ML-28</x:v>
      </x:c>
      <x:c r="C34" s="9" t="str">
        <x:v>ROOT_B</x:v>
      </x:c>
      <x:c r="D34" s="9" t="str">
        <x:v>contact treatment</x:v>
      </x:c>
      <x:c r="E34" s="9" t="str">
        <x:v>planning unit</x:v>
      </x:c>
      <x:c r="F34" s="15" t="n">
        <x:v>100</x:v>
      </x:c>
      <x:c r="G34" s="15" t="n">
        <x:v>60</x:v>
      </x:c>
      <x:c r="H34" s="15" t="n">
        <x:v>10</x:v>
      </x:c>
      <x:c r="I34" s="15" t="n">
        <x:v>10</x:v>
      </x:c>
      <x:c r="J34" s="15" t="n">
        <x:v>10</x:v>
      </x:c>
      <x:c r="K34" s="15" t="n">
        <x:v>3</x:v>
      </x:c>
      <x:c r="L34" s="15" t="n">
        <x:v>7.000000000000001</x:v>
      </x:c>
      <x:c r="M34" s="15" t="n">
        <x:f>SUM(G34:L34)</x:f>
        <x:v>100</x:v>
      </x:c>
      <x:c r="N34" s="15" t="n">
        <x:f>F34-M34</x:f>
        <x:v>0</x:v>
      </x:c>
      <x:c r="O34" s="13" t="n">
        <x:v>1</x:v>
      </x:c>
      <x:c r="P34" s="9" t="str">
        <x:f>IF(AND(ABS(N34)&lt;0.000001,O34=1),"PASS","FAIL")</x:f>
        <x:v>PASS</x:v>
      </x:c>
    </x:row>
    <x:row r="35">
      <x:c r="B35" s="9" t="str">
        <x:v>ML-29</x:v>
      </x:c>
      <x:c r="C35" s="9" t="str">
        <x:v>ROOT_B</x:v>
      </x:c>
      <x:c r="D35" s="9" t="str">
        <x:v>insulation</x:v>
      </x:c>
      <x:c r="E35" s="9" t="str">
        <x:v>planning unit</x:v>
      </x:c>
      <x:c r="F35" s="15" t="n">
        <x:v>105</x:v>
      </x:c>
      <x:c r="G35" s="15" t="n">
        <x:v>63</x:v>
      </x:c>
      <x:c r="H35" s="15" t="n">
        <x:v>10.5</x:v>
      </x:c>
      <x:c r="I35" s="15" t="n">
        <x:v>10.5</x:v>
      </x:c>
      <x:c r="J35" s="15" t="n">
        <x:v>10.5</x:v>
      </x:c>
      <x:c r="K35" s="15" t="n">
        <x:v>3.15</x:v>
      </x:c>
      <x:c r="L35" s="15" t="n">
        <x:v>7.3500000000000005</x:v>
      </x:c>
      <x:c r="M35" s="15" t="n">
        <x:f>SUM(G35:L35)</x:f>
        <x:v>105</x:v>
      </x:c>
      <x:c r="N35" s="15" t="n">
        <x:f>F35-M35</x:f>
        <x:v>0</x:v>
      </x:c>
      <x:c r="O35" s="13" t="n">
        <x:v>1</x:v>
      </x:c>
      <x:c r="P35" s="9" t="str">
        <x:f>IF(AND(ABS(N35)&lt;0.000001,O35=1),"PASS","FAIL")</x:f>
        <x:v>PASS</x:v>
      </x:c>
    </x:row>
    <x:row r="36">
      <x:c r="B36" s="9" t="str">
        <x:v>ML-30</x:v>
      </x:c>
      <x:c r="C36" s="9" t="str">
        <x:v>ROOT_B</x:v>
      </x:c>
      <x:c r="D36" s="9" t="str">
        <x:v>DME containment</x:v>
      </x:c>
      <x:c r="E36" s="9" t="str">
        <x:v>planning unit</x:v>
      </x:c>
      <x:c r="F36" s="15" t="n">
        <x:v>110</x:v>
      </x:c>
      <x:c r="G36" s="15" t="n">
        <x:v>66</x:v>
      </x:c>
      <x:c r="H36" s="15" t="n">
        <x:v>11</x:v>
      </x:c>
      <x:c r="I36" s="15" t="n">
        <x:v>11</x:v>
      </x:c>
      <x:c r="J36" s="15" t="n">
        <x:v>11</x:v>
      </x:c>
      <x:c r="K36" s="15" t="n">
        <x:v>3.3</x:v>
      </x:c>
      <x:c r="L36" s="15" t="n">
        <x:v>7.700000000000001</x:v>
      </x:c>
      <x:c r="M36" s="15" t="n">
        <x:f>SUM(G36:L36)</x:f>
        <x:v>110</x:v>
      </x:c>
      <x:c r="N36" s="15" t="n">
        <x:f>F36-M36</x:f>
        <x:v>0</x:v>
      </x:c>
      <x:c r="O36" s="13" t="n">
        <x:v>1</x:v>
      </x:c>
      <x:c r="P36" s="9" t="str">
        <x:f>IF(AND(ABS(N36)&lt;0.000001,O36=1),"PASS","FAIL")</x:f>
        <x:v>PASS</x:v>
      </x:c>
    </x:row>
    <x:row r="37">
      <x:c r="B37" s="9" t="str">
        <x:v>ML-31</x:v>
      </x:c>
      <x:c r="C37" s="9" t="str">
        <x:v>ROOT_B</x:v>
      </x:c>
      <x:c r="D37" s="9" t="str">
        <x:v>zinc-halogen media</x:v>
      </x:c>
      <x:c r="E37" s="9" t="str">
        <x:v>planning unit</x:v>
      </x:c>
      <x:c r="F37" s="15" t="n">
        <x:v>115</x:v>
      </x:c>
      <x:c r="G37" s="15" t="n">
        <x:v>69</x:v>
      </x:c>
      <x:c r="H37" s="15" t="n">
        <x:v>11.5</x:v>
      </x:c>
      <x:c r="I37" s="15" t="n">
        <x:v>11.5</x:v>
      </x:c>
      <x:c r="J37" s="15" t="n">
        <x:v>11.5</x:v>
      </x:c>
      <x:c r="K37" s="15" t="n">
        <x:v>3.4499999999999997</x:v>
      </x:c>
      <x:c r="L37" s="15" t="n">
        <x:v>8.05</x:v>
      </x:c>
      <x:c r="M37" s="15" t="n">
        <x:f>SUM(G37:L37)</x:f>
        <x:v>115</x:v>
      </x:c>
      <x:c r="N37" s="15" t="n">
        <x:f>F37-M37</x:f>
        <x:v>0</x:v>
      </x:c>
      <x:c r="O37" s="13" t="n">
        <x:v>1</x:v>
      </x:c>
      <x:c r="P37" s="9" t="str">
        <x:f>IF(AND(ABS(N37)&lt;0.000001,O37=1),"PASS","FAIL")</x:f>
        <x:v>PASS</x:v>
      </x:c>
    </x:row>
    <x:row r="38">
      <x:c r="B38" s="10" t="str">
        <x:v>ML-32</x:v>
      </x:c>
      <x:c r="C38" s="10" t="str">
        <x:v>ROOT_B</x:v>
      </x:c>
      <x:c r="D38" s="10" t="str">
        <x:v>thermal surfaces</x:v>
      </x:c>
      <x:c r="E38" s="10" t="str">
        <x:v>planning unit</x:v>
      </x:c>
      <x:c r="F38" s="16" t="n">
        <x:v>100</x:v>
      </x:c>
      <x:c r="G38" s="16" t="n">
        <x:v>60</x:v>
      </x:c>
      <x:c r="H38" s="16" t="n">
        <x:v>10</x:v>
      </x:c>
      <x:c r="I38" s="16" t="n">
        <x:v>10</x:v>
      </x:c>
      <x:c r="J38" s="16" t="n">
        <x:v>10</x:v>
      </x:c>
      <x:c r="K38" s="16" t="n">
        <x:v>3</x:v>
      </x:c>
      <x:c r="L38" s="16" t="n">
        <x:v>7.000000000000001</x:v>
      </x:c>
      <x:c r="M38" s="16" t="n">
        <x:f>SUM(G38:L38)</x:f>
        <x:v>100</x:v>
      </x:c>
      <x:c r="N38" s="16" t="n">
        <x:f>F38-M38</x:f>
        <x:v>0</x:v>
      </x:c>
      <x:c r="O38" s="14" t="n">
        <x:v>1</x:v>
      </x:c>
      <x:c r="P38" s="10" t="str">
        <x:f>IF(AND(ABS(N38)&lt;0.000001,O38=1),"PASS","FAIL")</x:f>
        <x:v>PASS</x:v>
      </x:c>
    </x:row>
  </x:sheetData>
  <x:mergeCells>
    <x:mergeCell ref="B2:O2"/>
    <x:mergeCell ref="B3:O3"/>
  </x:mergeCells>
  <x:conditionalFormatting sqref="P7:P38">
    <x:cfRule type="containsText" dxfId="39" priority="1" operator="containsText" text="PASS"/>
    <x:cfRule type="containsText" dxfId="40" priority="2" operator="containsText" text="AUTHORIZED"/>
    <x:cfRule type="containsText" dxfId="41" priority="3" operator="containsText" text="DEFINED"/>
    <x:cfRule type="containsText" dxfId="42" priority="4" operator="containsText" text="READY"/>
    <x:cfRule type="containsText" dxfId="43" priority="5" operator="containsText" text="HOLD"/>
    <x:cfRule type="containsText" dxfId="44" priority="6" operator="containsText" text="OPEN"/>
    <x:cfRule type="containsText" dxfId="45" priority="7" operator="containsText" text="BLOCKED"/>
    <x:cfRule type="containsText" dxfId="46" priority="8" operator="containsText" text="PLANNING"/>
    <x:cfRule type="containsText" dxfId="47" priority="9" operator="containsText" text="QUARANTINE"/>
    <x:cfRule type="containsText" dxfId="48" priority="10" operator="containsText" text="FAIL"/>
    <x:cfRule type="containsText" dxfId="49" priority="11" operator="containsText" text="REJECT"/>
    <x:cfRule type="containsText" dxfId="50" priority="12" operator="containsText" text="INCOMPLETE"/>
    <x:cfRule type="containsText" dxfId="51" priority="13" operator="containsText" text="STOP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4" hidden="0" customWidth="1"/>
    <x:col min="4" max="4" width="29" hidden="0" customWidth="1"/>
    <x:col min="5" max="5" width="13" hidden="0" customWidth="1"/>
    <x:col min="6" max="6" width="18" hidden="0" customWidth="1"/>
    <x:col min="7" max="7" width="20" hidden="0" customWidth="1"/>
    <x:col min="8" max="8" width="17" hidden="0" customWidth="1"/>
    <x:col min="9" max="9" width="19" hidden="0" customWidth="1"/>
    <x:col min="10" max="10" width="18" hidden="0" customWidth="1"/>
    <x:col min="11" max="11" width="18" hidden="0" customWidth="1"/>
    <x:col min="12" max="12" width="19" hidden="0" customWidth="1"/>
    <x:col min="13" max="13" width="15" hidden="0" customWidth="1"/>
    <x:col min="14" max="14" width="15" hidden="0" customWidth="1"/>
  </x:cols>
  <x:sheetData>
    <x:row r="2">
      <x:c r="B2" s="37" t="str">
        <x:v>Seventy-two controlled-defect standards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>
      <x:c r="B3" s="38" t="str">
        <x:v>Three severity states per joint/defect family define the library; physical truth and blinded detection remain open.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B6" s="7" t="str">
        <x:v>Standard</x:v>
      </x:c>
      <x:c r="C6" s="7" t="str">
        <x:v>Root</x:v>
      </x:c>
      <x:c r="D6" s="7" t="str">
        <x:v>Family</x:v>
      </x:c>
      <x:c r="E6" s="7" t="str">
        <x:v>Severity</x:v>
      </x:c>
      <x:c r="F6" s="7" t="str">
        <x:v>Relative threshold</x:v>
      </x:c>
      <x:c r="G6" s="7" t="str">
        <x:v>Intended defect</x:v>
      </x:c>
      <x:c r="H6" s="7" t="str">
        <x:v>Truth metrology defined</x:v>
      </x:c>
      <x:c r="I6" s="7" t="str">
        <x:v>Truth established</x:v>
      </x:c>
      <x:c r="J6" s="7" t="str">
        <x:v>Blind custody defined</x:v>
      </x:c>
      <x:c r="K6" s="7" t="str">
        <x:v>Independent realizations</x:v>
      </x:c>
      <x:c r="L6" s="7" t="str">
        <x:v>All-success lower bound</x:v>
      </x:c>
      <x:c r="M6" s="7" t="str">
        <x:v>Planning gate</x:v>
      </x:c>
      <x:c r="N6" s="7" t="str">
        <x:v>Physical gate</x:v>
      </x:c>
    </x:row>
    <x:row r="7">
      <x:c r="B7" s="9" t="str">
        <x:v>KD-01</x:v>
      </x:c>
      <x:c r="C7" s="9" t="str">
        <x:v>ROOT_A</x:v>
      </x:c>
      <x:c r="D7" s="9" t="str">
        <x:v>incomplete fusion</x:v>
      </x:c>
      <x:c r="E7" s="15" t="str">
        <x:v>BELOW</x:v>
      </x:c>
      <x:c r="F7" s="13" t="n">
        <x:v>0.5</x:v>
      </x:c>
      <x:c r="G7" s="13" t="n">
        <x:v>1</x:v>
      </x:c>
      <x:c r="H7" s="13" t="n">
        <x:v>1</x:v>
      </x:c>
      <x:c r="I7" s="13" t="n">
        <x:v>0</x:v>
      </x:c>
      <x:c r="J7" s="13" t="n">
        <x:v>1</x:v>
      </x:c>
      <x:c r="K7" s="15" t="n">
        <x:v>10</x:v>
      </x:c>
      <x:c r="L7" s="15" t="n">
        <x:f>POWER(0.05,1/K7)</x:f>
        <x:v>0.7411344491069477</x:v>
      </x:c>
      <x:c r="M7" s="9" t="str">
        <x:f>IF(AND(G7=1,H7=1,J7=1),"PASS","FAIL")</x:f>
        <x:v>PASS</x:v>
      </x:c>
      <x:c r="N7" s="9" t="str">
        <x:f>IF(I7=1,"PASS","OPEN")</x:f>
        <x:v>OPEN</x:v>
      </x:c>
    </x:row>
    <x:row r="8">
      <x:c r="B8" s="9" t="str">
        <x:v>KD-02</x:v>
      </x:c>
      <x:c r="C8" s="9" t="str">
        <x:v>ROOT_A</x:v>
      </x:c>
      <x:c r="D8" s="9" t="str">
        <x:v>incomplete fusion</x:v>
      </x:c>
      <x:c r="E8" s="15" t="str">
        <x:v>AT</x:v>
      </x:c>
      <x:c r="F8" s="13" t="n">
        <x:v>1</x:v>
      </x:c>
      <x:c r="G8" s="13" t="n">
        <x:v>1</x:v>
      </x:c>
      <x:c r="H8" s="13" t="n">
        <x:v>1</x:v>
      </x:c>
      <x:c r="I8" s="13" t="n">
        <x:v>0</x:v>
      </x:c>
      <x:c r="J8" s="13" t="n">
        <x:v>1</x:v>
      </x:c>
      <x:c r="K8" s="15" t="n">
        <x:v>29</x:v>
      </x:c>
      <x:c r="L8" s="15" t="n">
        <x:f>POWER(0.05,1/K8)</x:f>
        <x:v>0.9018553723227043</x:v>
      </x:c>
      <x:c r="M8" s="9" t="str">
        <x:f>IF(AND(G8=1,H8=1,J8=1),"PASS","FAIL")</x:f>
        <x:v>PASS</x:v>
      </x:c>
      <x:c r="N8" s="9" t="str">
        <x:f>IF(I8=1,"PASS","OPEN")</x:f>
        <x:v>OPEN</x:v>
      </x:c>
    </x:row>
    <x:row r="9">
      <x:c r="B9" s="9" t="str">
        <x:v>KD-03</x:v>
      </x:c>
      <x:c r="C9" s="9" t="str">
        <x:v>ROOT_A</x:v>
      </x:c>
      <x:c r="D9" s="9" t="str">
        <x:v>incomplete fusion</x:v>
      </x:c>
      <x:c r="E9" s="15" t="str">
        <x:v>ABOVE</x:v>
      </x:c>
      <x:c r="F9" s="13" t="n">
        <x:v>1.5</x:v>
      </x:c>
      <x:c r="G9" s="13" t="n">
        <x:v>1</x:v>
      </x:c>
      <x:c r="H9" s="13" t="n">
        <x:v>1</x:v>
      </x:c>
      <x:c r="I9" s="13" t="n">
        <x:v>0</x:v>
      </x:c>
      <x:c r="J9" s="13" t="n">
        <x:v>1</x:v>
      </x:c>
      <x:c r="K9" s="15" t="n">
        <x:v>10</x:v>
      </x:c>
      <x:c r="L9" s="15" t="n">
        <x:f>POWER(0.05,1/K9)</x:f>
        <x:v>0.7411344491069477</x:v>
      </x:c>
      <x:c r="M9" s="9" t="str">
        <x:f>IF(AND(G9=1,H9=1,J9=1),"PASS","FAIL")</x:f>
        <x:v>PASS</x:v>
      </x:c>
      <x:c r="N9" s="9" t="str">
        <x:f>IF(I9=1,"PASS","OPEN")</x:f>
        <x:v>OPEN</x:v>
      </x:c>
    </x:row>
    <x:row r="10">
      <x:c r="B10" s="9" t="str">
        <x:v>KD-04</x:v>
      </x:c>
      <x:c r="C10" s="9" t="str">
        <x:v>ROOT_A</x:v>
      </x:c>
      <x:c r="D10" s="9" t="str">
        <x:v>planar crack analogue</x:v>
      </x:c>
      <x:c r="E10" s="15" t="str">
        <x:v>BELOW</x:v>
      </x:c>
      <x:c r="F10" s="13" t="n">
        <x:v>0.5</x:v>
      </x:c>
      <x:c r="G10" s="13" t="n">
        <x:v>1</x:v>
      </x:c>
      <x:c r="H10" s="13" t="n">
        <x:v>1</x:v>
      </x:c>
      <x:c r="I10" s="13" t="n">
        <x:v>0</x:v>
      </x:c>
      <x:c r="J10" s="13" t="n">
        <x:v>1</x:v>
      </x:c>
      <x:c r="K10" s="15" t="n">
        <x:v>10</x:v>
      </x:c>
      <x:c r="L10" s="15" t="n">
        <x:f>POWER(0.05,1/K10)</x:f>
        <x:v>0.7411344491069477</x:v>
      </x:c>
      <x:c r="M10" s="9" t="str">
        <x:f>IF(AND(G10=1,H10=1,J10=1),"PASS","FAIL")</x:f>
        <x:v>PASS</x:v>
      </x:c>
      <x:c r="N10" s="9" t="str">
        <x:f>IF(I10=1,"PASS","OPEN")</x:f>
        <x:v>OPEN</x:v>
      </x:c>
    </x:row>
    <x:row r="11">
      <x:c r="B11" s="9" t="str">
        <x:v>KD-05</x:v>
      </x:c>
      <x:c r="C11" s="9" t="str">
        <x:v>ROOT_A</x:v>
      </x:c>
      <x:c r="D11" s="9" t="str">
        <x:v>planar crack analogue</x:v>
      </x:c>
      <x:c r="E11" s="15" t="str">
        <x:v>AT</x:v>
      </x:c>
      <x:c r="F11" s="13" t="n">
        <x:v>1</x:v>
      </x:c>
      <x:c r="G11" s="13" t="n">
        <x:v>1</x:v>
      </x:c>
      <x:c r="H11" s="13" t="n">
        <x:v>1</x:v>
      </x:c>
      <x:c r="I11" s="13" t="n">
        <x:v>0</x:v>
      </x:c>
      <x:c r="J11" s="13" t="n">
        <x:v>1</x:v>
      </x:c>
      <x:c r="K11" s="15" t="n">
        <x:v>29</x:v>
      </x:c>
      <x:c r="L11" s="15" t="n">
        <x:f>POWER(0.05,1/K11)</x:f>
        <x:v>0.9018553723227043</x:v>
      </x:c>
      <x:c r="M11" s="9" t="str">
        <x:f>IF(AND(G11=1,H11=1,J11=1),"PASS","FAIL")</x:f>
        <x:v>PASS</x:v>
      </x:c>
      <x:c r="N11" s="9" t="str">
        <x:f>IF(I11=1,"PASS","OPEN")</x:f>
        <x:v>OPEN</x:v>
      </x:c>
    </x:row>
    <x:row r="12">
      <x:c r="B12" s="9" t="str">
        <x:v>KD-06</x:v>
      </x:c>
      <x:c r="C12" s="9" t="str">
        <x:v>ROOT_A</x:v>
      </x:c>
      <x:c r="D12" s="9" t="str">
        <x:v>planar crack analogue</x:v>
      </x:c>
      <x:c r="E12" s="15" t="str">
        <x:v>ABOVE</x:v>
      </x:c>
      <x:c r="F12" s="13" t="n">
        <x:v>1.5</x:v>
      </x:c>
      <x:c r="G12" s="13" t="n">
        <x:v>1</x:v>
      </x:c>
      <x:c r="H12" s="13" t="n">
        <x:v>1</x:v>
      </x:c>
      <x:c r="I12" s="13" t="n">
        <x:v>0</x:v>
      </x:c>
      <x:c r="J12" s="13" t="n">
        <x:v>1</x:v>
      </x:c>
      <x:c r="K12" s="15" t="n">
        <x:v>10</x:v>
      </x:c>
      <x:c r="L12" s="15" t="n">
        <x:f>POWER(0.05,1/K12)</x:f>
        <x:v>0.7411344491069477</x:v>
      </x:c>
      <x:c r="M12" s="9" t="str">
        <x:f>IF(AND(G12=1,H12=1,J12=1),"PASS","FAIL")</x:f>
        <x:v>PASS</x:v>
      </x:c>
      <x:c r="N12" s="9" t="str">
        <x:f>IF(I12=1,"PASS","OPEN")</x:f>
        <x:v>OPEN</x:v>
      </x:c>
    </x:row>
    <x:row r="13">
      <x:c r="B13" s="9" t="str">
        <x:v>KD-07</x:v>
      </x:c>
      <x:c r="C13" s="9" t="str">
        <x:v>ROOT_A</x:v>
      </x:c>
      <x:c r="D13" s="9" t="str">
        <x:v>lack of penetration</x:v>
      </x:c>
      <x:c r="E13" s="15" t="str">
        <x:v>BELOW</x:v>
      </x:c>
      <x:c r="F13" s="13" t="n">
        <x:v>0.5</x:v>
      </x:c>
      <x:c r="G13" s="13" t="n">
        <x:v>1</x:v>
      </x:c>
      <x:c r="H13" s="13" t="n">
        <x:v>1</x:v>
      </x:c>
      <x:c r="I13" s="13" t="n">
        <x:v>0</x:v>
      </x:c>
      <x:c r="J13" s="13" t="n">
        <x:v>1</x:v>
      </x:c>
      <x:c r="K13" s="15" t="n">
        <x:v>10</x:v>
      </x:c>
      <x:c r="L13" s="15" t="n">
        <x:f>POWER(0.05,1/K13)</x:f>
        <x:v>0.7411344491069477</x:v>
      </x:c>
      <x:c r="M13" s="9" t="str">
        <x:f>IF(AND(G13=1,H13=1,J13=1),"PASS","FAIL")</x:f>
        <x:v>PASS</x:v>
      </x:c>
      <x:c r="N13" s="9" t="str">
        <x:f>IF(I13=1,"PASS","OPEN")</x:f>
        <x:v>OPEN</x:v>
      </x:c>
    </x:row>
    <x:row r="14">
      <x:c r="B14" s="9" t="str">
        <x:v>KD-08</x:v>
      </x:c>
      <x:c r="C14" s="9" t="str">
        <x:v>ROOT_A</x:v>
      </x:c>
      <x:c r="D14" s="9" t="str">
        <x:v>lack of penetration</x:v>
      </x:c>
      <x:c r="E14" s="15" t="str">
        <x:v>AT</x:v>
      </x:c>
      <x:c r="F14" s="13" t="n">
        <x:v>1</x:v>
      </x:c>
      <x:c r="G14" s="13" t="n">
        <x:v>1</x:v>
      </x:c>
      <x:c r="H14" s="13" t="n">
        <x:v>1</x:v>
      </x:c>
      <x:c r="I14" s="13" t="n">
        <x:v>0</x:v>
      </x:c>
      <x:c r="J14" s="13" t="n">
        <x:v>1</x:v>
      </x:c>
      <x:c r="K14" s="15" t="n">
        <x:v>29</x:v>
      </x:c>
      <x:c r="L14" s="15" t="n">
        <x:f>POWER(0.05,1/K14)</x:f>
        <x:v>0.9018553723227043</x:v>
      </x:c>
      <x:c r="M14" s="9" t="str">
        <x:f>IF(AND(G14=1,H14=1,J14=1),"PASS","FAIL")</x:f>
        <x:v>PASS</x:v>
      </x:c>
      <x:c r="N14" s="9" t="str">
        <x:f>IF(I14=1,"PASS","OPEN")</x:f>
        <x:v>OPEN</x:v>
      </x:c>
    </x:row>
    <x:row r="15">
      <x:c r="B15" s="9" t="str">
        <x:v>KD-09</x:v>
      </x:c>
      <x:c r="C15" s="9" t="str">
        <x:v>ROOT_A</x:v>
      </x:c>
      <x:c r="D15" s="9" t="str">
        <x:v>lack of penetration</x:v>
      </x:c>
      <x:c r="E15" s="15" t="str">
        <x:v>ABOVE</x:v>
      </x:c>
      <x:c r="F15" s="13" t="n">
        <x:v>1.5</x:v>
      </x:c>
      <x:c r="G15" s="13" t="n">
        <x:v>1</x:v>
      </x:c>
      <x:c r="H15" s="13" t="n">
        <x:v>1</x:v>
      </x:c>
      <x:c r="I15" s="13" t="n">
        <x:v>0</x:v>
      </x:c>
      <x:c r="J15" s="13" t="n">
        <x:v>1</x:v>
      </x:c>
      <x:c r="K15" s="15" t="n">
        <x:v>10</x:v>
      </x:c>
      <x:c r="L15" s="15" t="n">
        <x:f>POWER(0.05,1/K15)</x:f>
        <x:v>0.7411344491069477</x:v>
      </x:c>
      <x:c r="M15" s="9" t="str">
        <x:f>IF(AND(G15=1,H15=1,J15=1),"PASS","FAIL")</x:f>
        <x:v>PASS</x:v>
      </x:c>
      <x:c r="N15" s="9" t="str">
        <x:f>IF(I15=1,"PASS","OPEN")</x:f>
        <x:v>OPEN</x:v>
      </x:c>
    </x:row>
    <x:row r="16">
      <x:c r="B16" s="9" t="str">
        <x:v>KD-10</x:v>
      </x:c>
      <x:c r="C16" s="9" t="str">
        <x:v>ROOT_A</x:v>
      </x:c>
      <x:c r="D16" s="9" t="str">
        <x:v>undercut</x:v>
      </x:c>
      <x:c r="E16" s="15" t="str">
        <x:v>BELOW</x:v>
      </x:c>
      <x:c r="F16" s="13" t="n">
        <x:v>0.5</x:v>
      </x:c>
      <x:c r="G16" s="13" t="n">
        <x:v>1</x:v>
      </x:c>
      <x:c r="H16" s="13" t="n">
        <x:v>1</x:v>
      </x:c>
      <x:c r="I16" s="13" t="n">
        <x:v>0</x:v>
      </x:c>
      <x:c r="J16" s="13" t="n">
        <x:v>1</x:v>
      </x:c>
      <x:c r="K16" s="15" t="n">
        <x:v>10</x:v>
      </x:c>
      <x:c r="L16" s="15" t="n">
        <x:f>POWER(0.05,1/K16)</x:f>
        <x:v>0.7411344491069477</x:v>
      </x:c>
      <x:c r="M16" s="9" t="str">
        <x:f>IF(AND(G16=1,H16=1,J16=1),"PASS","FAIL")</x:f>
        <x:v>PASS</x:v>
      </x:c>
      <x:c r="N16" s="9" t="str">
        <x:f>IF(I16=1,"PASS","OPEN")</x:f>
        <x:v>OPEN</x:v>
      </x:c>
    </x:row>
    <x:row r="17">
      <x:c r="B17" s="9" t="str">
        <x:v>KD-11</x:v>
      </x:c>
      <x:c r="C17" s="9" t="str">
        <x:v>ROOT_A</x:v>
      </x:c>
      <x:c r="D17" s="9" t="str">
        <x:v>undercut</x:v>
      </x:c>
      <x:c r="E17" s="15" t="str">
        <x:v>AT</x:v>
      </x:c>
      <x:c r="F17" s="13" t="n">
        <x:v>1</x:v>
      </x:c>
      <x:c r="G17" s="13" t="n">
        <x:v>1</x:v>
      </x:c>
      <x:c r="H17" s="13" t="n">
        <x:v>1</x:v>
      </x:c>
      <x:c r="I17" s="13" t="n">
        <x:v>0</x:v>
      </x:c>
      <x:c r="J17" s="13" t="n">
        <x:v>1</x:v>
      </x:c>
      <x:c r="K17" s="15" t="n">
        <x:v>29</x:v>
      </x:c>
      <x:c r="L17" s="15" t="n">
        <x:f>POWER(0.05,1/K17)</x:f>
        <x:v>0.9018553723227043</x:v>
      </x:c>
      <x:c r="M17" s="9" t="str">
        <x:f>IF(AND(G17=1,H17=1,J17=1),"PASS","FAIL")</x:f>
        <x:v>PASS</x:v>
      </x:c>
      <x:c r="N17" s="9" t="str">
        <x:f>IF(I17=1,"PASS","OPEN")</x:f>
        <x:v>OPEN</x:v>
      </x:c>
    </x:row>
    <x:row r="18">
      <x:c r="B18" s="9" t="str">
        <x:v>KD-12</x:v>
      </x:c>
      <x:c r="C18" s="9" t="str">
        <x:v>ROOT_A</x:v>
      </x:c>
      <x:c r="D18" s="9" t="str">
        <x:v>undercut</x:v>
      </x:c>
      <x:c r="E18" s="15" t="str">
        <x:v>ABOVE</x:v>
      </x:c>
      <x:c r="F18" s="13" t="n">
        <x:v>1.5</x:v>
      </x:c>
      <x:c r="G18" s="13" t="n">
        <x:v>1</x:v>
      </x:c>
      <x:c r="H18" s="13" t="n">
        <x:v>1</x:v>
      </x:c>
      <x:c r="I18" s="13" t="n">
        <x:v>0</x:v>
      </x:c>
      <x:c r="J18" s="13" t="n">
        <x:v>1</x:v>
      </x:c>
      <x:c r="K18" s="15" t="n">
        <x:v>10</x:v>
      </x:c>
      <x:c r="L18" s="15" t="n">
        <x:f>POWER(0.05,1/K18)</x:f>
        <x:v>0.7411344491069477</x:v>
      </x:c>
      <x:c r="M18" s="9" t="str">
        <x:f>IF(AND(G18=1,H18=1,J18=1),"PASS","FAIL")</x:f>
        <x:v>PASS</x:v>
      </x:c>
      <x:c r="N18" s="9" t="str">
        <x:f>IF(I18=1,"PASS","OPEN")</x:f>
        <x:v>OPEN</x:v>
      </x:c>
    </x:row>
    <x:row r="19">
      <x:c r="B19" s="9" t="str">
        <x:v>KD-13</x:v>
      </x:c>
      <x:c r="C19" s="9" t="str">
        <x:v>ROOT_A</x:v>
      </x:c>
      <x:c r="D19" s="9" t="str">
        <x:v>pore cluster</x:v>
      </x:c>
      <x:c r="E19" s="15" t="str">
        <x:v>BELOW</x:v>
      </x:c>
      <x:c r="F19" s="13" t="n">
        <x:v>0.5</x:v>
      </x:c>
      <x:c r="G19" s="13" t="n">
        <x:v>1</x:v>
      </x:c>
      <x:c r="H19" s="13" t="n">
        <x:v>1</x:v>
      </x:c>
      <x:c r="I19" s="13" t="n">
        <x:v>0</x:v>
      </x:c>
      <x:c r="J19" s="13" t="n">
        <x:v>1</x:v>
      </x:c>
      <x:c r="K19" s="15" t="n">
        <x:v>10</x:v>
      </x:c>
      <x:c r="L19" s="15" t="n">
        <x:f>POWER(0.05,1/K19)</x:f>
        <x:v>0.7411344491069477</x:v>
      </x:c>
      <x:c r="M19" s="9" t="str">
        <x:f>IF(AND(G19=1,H19=1,J19=1),"PASS","FAIL")</x:f>
        <x:v>PASS</x:v>
      </x:c>
      <x:c r="N19" s="9" t="str">
        <x:f>IF(I19=1,"PASS","OPEN")</x:f>
        <x:v>OPEN</x:v>
      </x:c>
    </x:row>
    <x:row r="20">
      <x:c r="B20" s="9" t="str">
        <x:v>KD-14</x:v>
      </x:c>
      <x:c r="C20" s="9" t="str">
        <x:v>ROOT_A</x:v>
      </x:c>
      <x:c r="D20" s="9" t="str">
        <x:v>pore cluster</x:v>
      </x:c>
      <x:c r="E20" s="15" t="str">
        <x:v>AT</x:v>
      </x:c>
      <x:c r="F20" s="13" t="n">
        <x:v>1</x:v>
      </x:c>
      <x:c r="G20" s="13" t="n">
        <x:v>1</x:v>
      </x:c>
      <x:c r="H20" s="13" t="n">
        <x:v>1</x:v>
      </x:c>
      <x:c r="I20" s="13" t="n">
        <x:v>0</x:v>
      </x:c>
      <x:c r="J20" s="13" t="n">
        <x:v>1</x:v>
      </x:c>
      <x:c r="K20" s="15" t="n">
        <x:v>29</x:v>
      </x:c>
      <x:c r="L20" s="15" t="n">
        <x:f>POWER(0.05,1/K20)</x:f>
        <x:v>0.9018553723227043</x:v>
      </x:c>
      <x:c r="M20" s="9" t="str">
        <x:f>IF(AND(G20=1,H20=1,J20=1),"PASS","FAIL")</x:f>
        <x:v>PASS</x:v>
      </x:c>
      <x:c r="N20" s="9" t="str">
        <x:f>IF(I20=1,"PASS","OPEN")</x:f>
        <x:v>OPEN</x:v>
      </x:c>
    </x:row>
    <x:row r="21">
      <x:c r="B21" s="9" t="str">
        <x:v>KD-15</x:v>
      </x:c>
      <x:c r="C21" s="9" t="str">
        <x:v>ROOT_A</x:v>
      </x:c>
      <x:c r="D21" s="9" t="str">
        <x:v>pore cluster</x:v>
      </x:c>
      <x:c r="E21" s="15" t="str">
        <x:v>ABOVE</x:v>
      </x:c>
      <x:c r="F21" s="13" t="n">
        <x:v>1.5</x:v>
      </x:c>
      <x:c r="G21" s="13" t="n">
        <x:v>1</x:v>
      </x:c>
      <x:c r="H21" s="13" t="n">
        <x:v>1</x:v>
      </x:c>
      <x:c r="I21" s="13" t="n">
        <x:v>0</x:v>
      </x:c>
      <x:c r="J21" s="13" t="n">
        <x:v>1</x:v>
      </x:c>
      <x:c r="K21" s="15" t="n">
        <x:v>10</x:v>
      </x:c>
      <x:c r="L21" s="15" t="n">
        <x:f>POWER(0.05,1/K21)</x:f>
        <x:v>0.7411344491069477</x:v>
      </x:c>
      <x:c r="M21" s="9" t="str">
        <x:f>IF(AND(G21=1,H21=1,J21=1),"PASS","FAIL")</x:f>
        <x:v>PASS</x:v>
      </x:c>
      <x:c r="N21" s="9" t="str">
        <x:f>IF(I21=1,"PASS","OPEN")</x:f>
        <x:v>OPEN</x:v>
      </x:c>
    </x:row>
    <x:row r="22">
      <x:c r="B22" s="9" t="str">
        <x:v>KD-16</x:v>
      </x:c>
      <x:c r="C22" s="9" t="str">
        <x:v>ROOT_A</x:v>
      </x:c>
      <x:c r="D22" s="9" t="str">
        <x:v>collar groove error</x:v>
      </x:c>
      <x:c r="E22" s="15" t="str">
        <x:v>BELOW</x:v>
      </x:c>
      <x:c r="F22" s="13" t="n">
        <x:v>0.5</x:v>
      </x:c>
      <x:c r="G22" s="13" t="n">
        <x:v>1</x:v>
      </x:c>
      <x:c r="H22" s="13" t="n">
        <x:v>1</x:v>
      </x:c>
      <x:c r="I22" s="13" t="n">
        <x:v>0</x:v>
      </x:c>
      <x:c r="J22" s="13" t="n">
        <x:v>1</x:v>
      </x:c>
      <x:c r="K22" s="15" t="n">
        <x:v>10</x:v>
      </x:c>
      <x:c r="L22" s="15" t="n">
        <x:f>POWER(0.05,1/K22)</x:f>
        <x:v>0.7411344491069477</x:v>
      </x:c>
      <x:c r="M22" s="9" t="str">
        <x:f>IF(AND(G22=1,H22=1,J22=1),"PASS","FAIL")</x:f>
        <x:v>PASS</x:v>
      </x:c>
      <x:c r="N22" s="9" t="str">
        <x:f>IF(I22=1,"PASS","OPEN")</x:f>
        <x:v>OPEN</x:v>
      </x:c>
    </x:row>
    <x:row r="23">
      <x:c r="B23" s="9" t="str">
        <x:v>KD-17</x:v>
      </x:c>
      <x:c r="C23" s="9" t="str">
        <x:v>ROOT_A</x:v>
      </x:c>
      <x:c r="D23" s="9" t="str">
        <x:v>collar groove error</x:v>
      </x:c>
      <x:c r="E23" s="15" t="str">
        <x:v>AT</x:v>
      </x:c>
      <x:c r="F23" s="13" t="n">
        <x:v>1</x:v>
      </x:c>
      <x:c r="G23" s="13" t="n">
        <x:v>1</x:v>
      </x:c>
      <x:c r="H23" s="13" t="n">
        <x:v>1</x:v>
      </x:c>
      <x:c r="I23" s="13" t="n">
        <x:v>0</x:v>
      </x:c>
      <x:c r="J23" s="13" t="n">
        <x:v>1</x:v>
      </x:c>
      <x:c r="K23" s="15" t="n">
        <x:v>29</x:v>
      </x:c>
      <x:c r="L23" s="15" t="n">
        <x:f>POWER(0.05,1/K23)</x:f>
        <x:v>0.9018553723227043</x:v>
      </x:c>
      <x:c r="M23" s="9" t="str">
        <x:f>IF(AND(G23=1,H23=1,J23=1),"PASS","FAIL")</x:f>
        <x:v>PASS</x:v>
      </x:c>
      <x:c r="N23" s="9" t="str">
        <x:f>IF(I23=1,"PASS","OPEN")</x:f>
        <x:v>OPEN</x:v>
      </x:c>
    </x:row>
    <x:row r="24">
      <x:c r="B24" s="9" t="str">
        <x:v>KD-18</x:v>
      </x:c>
      <x:c r="C24" s="9" t="str">
        <x:v>ROOT_A</x:v>
      </x:c>
      <x:c r="D24" s="9" t="str">
        <x:v>collar groove error</x:v>
      </x:c>
      <x:c r="E24" s="15" t="str">
        <x:v>ABOVE</x:v>
      </x:c>
      <x:c r="F24" s="13" t="n">
        <x:v>1.5</x:v>
      </x:c>
      <x:c r="G24" s="13" t="n">
        <x:v>1</x:v>
      </x:c>
      <x:c r="H24" s="13" t="n">
        <x:v>1</x:v>
      </x:c>
      <x:c r="I24" s="13" t="n">
        <x:v>0</x:v>
      </x:c>
      <x:c r="J24" s="13" t="n">
        <x:v>1</x:v>
      </x:c>
      <x:c r="K24" s="15" t="n">
        <x:v>10</x:v>
      </x:c>
      <x:c r="L24" s="15" t="n">
        <x:f>POWER(0.05,1/K24)</x:f>
        <x:v>0.7411344491069477</x:v>
      </x:c>
      <x:c r="M24" s="9" t="str">
        <x:f>IF(AND(G24=1,H24=1,J24=1),"PASS","FAIL")</x:f>
        <x:v>PASS</x:v>
      </x:c>
      <x:c r="N24" s="9" t="str">
        <x:f>IF(I24=1,"PASS","OPEN")</x:f>
        <x:v>OPEN</x:v>
      </x:c>
    </x:row>
    <x:row r="25">
      <x:c r="B25" s="9" t="str">
        <x:v>KD-19</x:v>
      </x:c>
      <x:c r="C25" s="9" t="str">
        <x:v>ROOT_A</x:v>
      </x:c>
      <x:c r="D25" s="9" t="str">
        <x:v>seal damage</x:v>
      </x:c>
      <x:c r="E25" s="15" t="str">
        <x:v>BELOW</x:v>
      </x:c>
      <x:c r="F25" s="13" t="n">
        <x:v>0.5</x:v>
      </x:c>
      <x:c r="G25" s="13" t="n">
        <x:v>1</x:v>
      </x:c>
      <x:c r="H25" s="13" t="n">
        <x:v>1</x:v>
      </x:c>
      <x:c r="I25" s="13" t="n">
        <x:v>0</x:v>
      </x:c>
      <x:c r="J25" s="13" t="n">
        <x:v>1</x:v>
      </x:c>
      <x:c r="K25" s="15" t="n">
        <x:v>10</x:v>
      </x:c>
      <x:c r="L25" s="15" t="n">
        <x:f>POWER(0.05,1/K25)</x:f>
        <x:v>0.7411344491069477</x:v>
      </x:c>
      <x:c r="M25" s="9" t="str">
        <x:f>IF(AND(G25=1,H25=1,J25=1),"PASS","FAIL")</x:f>
        <x:v>PASS</x:v>
      </x:c>
      <x:c r="N25" s="9" t="str">
        <x:f>IF(I25=1,"PASS","OPEN")</x:f>
        <x:v>OPEN</x:v>
      </x:c>
    </x:row>
    <x:row r="26">
      <x:c r="B26" s="9" t="str">
        <x:v>KD-20</x:v>
      </x:c>
      <x:c r="C26" s="9" t="str">
        <x:v>ROOT_A</x:v>
      </x:c>
      <x:c r="D26" s="9" t="str">
        <x:v>seal damage</x:v>
      </x:c>
      <x:c r="E26" s="15" t="str">
        <x:v>AT</x:v>
      </x:c>
      <x:c r="F26" s="13" t="n">
        <x:v>1</x:v>
      </x:c>
      <x:c r="G26" s="13" t="n">
        <x:v>1</x:v>
      </x:c>
      <x:c r="H26" s="13" t="n">
        <x:v>1</x:v>
      </x:c>
      <x:c r="I26" s="13" t="n">
        <x:v>0</x:v>
      </x:c>
      <x:c r="J26" s="13" t="n">
        <x:v>1</x:v>
      </x:c>
      <x:c r="K26" s="15" t="n">
        <x:v>29</x:v>
      </x:c>
      <x:c r="L26" s="15" t="n">
        <x:f>POWER(0.05,1/K26)</x:f>
        <x:v>0.9018553723227043</x:v>
      </x:c>
      <x:c r="M26" s="9" t="str">
        <x:f>IF(AND(G26=1,H26=1,J26=1),"PASS","FAIL")</x:f>
        <x:v>PASS</x:v>
      </x:c>
      <x:c r="N26" s="9" t="str">
        <x:f>IF(I26=1,"PASS","OPEN")</x:f>
        <x:v>OPEN</x:v>
      </x:c>
    </x:row>
    <x:row r="27">
      <x:c r="B27" s="9" t="str">
        <x:v>KD-21</x:v>
      </x:c>
      <x:c r="C27" s="9" t="str">
        <x:v>ROOT_A</x:v>
      </x:c>
      <x:c r="D27" s="9" t="str">
        <x:v>seal damage</x:v>
      </x:c>
      <x:c r="E27" s="15" t="str">
        <x:v>ABOVE</x:v>
      </x:c>
      <x:c r="F27" s="13" t="n">
        <x:v>1.5</x:v>
      </x:c>
      <x:c r="G27" s="13" t="n">
        <x:v>1</x:v>
      </x:c>
      <x:c r="H27" s="13" t="n">
        <x:v>1</x:v>
      </x:c>
      <x:c r="I27" s="13" t="n">
        <x:v>0</x:v>
      </x:c>
      <x:c r="J27" s="13" t="n">
        <x:v>1</x:v>
      </x:c>
      <x:c r="K27" s="15" t="n">
        <x:v>10</x:v>
      </x:c>
      <x:c r="L27" s="15" t="n">
        <x:f>POWER(0.05,1/K27)</x:f>
        <x:v>0.7411344491069477</x:v>
      </x:c>
      <x:c r="M27" s="9" t="str">
        <x:f>IF(AND(G27=1,H27=1,J27=1),"PASS","FAIL")</x:f>
        <x:v>PASS</x:v>
      </x:c>
      <x:c r="N27" s="9" t="str">
        <x:f>IF(I27=1,"PASS","OPEN")</x:f>
        <x:v>OPEN</x:v>
      </x:c>
    </x:row>
    <x:row r="28">
      <x:c r="B28" s="9" t="str">
        <x:v>KD-22</x:v>
      </x:c>
      <x:c r="C28" s="9" t="str">
        <x:v>ROOT_A</x:v>
      </x:c>
      <x:c r="D28" s="9" t="str">
        <x:v>bolt preload loss</x:v>
      </x:c>
      <x:c r="E28" s="15" t="str">
        <x:v>BELOW</x:v>
      </x:c>
      <x:c r="F28" s="13" t="n">
        <x:v>0.5</x:v>
      </x:c>
      <x:c r="G28" s="13" t="n">
        <x:v>1</x:v>
      </x:c>
      <x:c r="H28" s="13" t="n">
        <x:v>1</x:v>
      </x:c>
      <x:c r="I28" s="13" t="n">
        <x:v>0</x:v>
      </x:c>
      <x:c r="J28" s="13" t="n">
        <x:v>1</x:v>
      </x:c>
      <x:c r="K28" s="15" t="n">
        <x:v>10</x:v>
      </x:c>
      <x:c r="L28" s="15" t="n">
        <x:f>POWER(0.05,1/K28)</x:f>
        <x:v>0.7411344491069477</x:v>
      </x:c>
      <x:c r="M28" s="9" t="str">
        <x:f>IF(AND(G28=1,H28=1,J28=1),"PASS","FAIL")</x:f>
        <x:v>PASS</x:v>
      </x:c>
      <x:c r="N28" s="9" t="str">
        <x:f>IF(I28=1,"PASS","OPEN")</x:f>
        <x:v>OPEN</x:v>
      </x:c>
    </x:row>
    <x:row r="29">
      <x:c r="B29" s="9" t="str">
        <x:v>KD-23</x:v>
      </x:c>
      <x:c r="C29" s="9" t="str">
        <x:v>ROOT_A</x:v>
      </x:c>
      <x:c r="D29" s="9" t="str">
        <x:v>bolt preload loss</x:v>
      </x:c>
      <x:c r="E29" s="15" t="str">
        <x:v>AT</x:v>
      </x:c>
      <x:c r="F29" s="13" t="n">
        <x:v>1</x:v>
      </x:c>
      <x:c r="G29" s="13" t="n">
        <x:v>1</x:v>
      </x:c>
      <x:c r="H29" s="13" t="n">
        <x:v>1</x:v>
      </x:c>
      <x:c r="I29" s="13" t="n">
        <x:v>0</x:v>
      </x:c>
      <x:c r="J29" s="13" t="n">
        <x:v>1</x:v>
      </x:c>
      <x:c r="K29" s="15" t="n">
        <x:v>29</x:v>
      </x:c>
      <x:c r="L29" s="15" t="n">
        <x:f>POWER(0.05,1/K29)</x:f>
        <x:v>0.9018553723227043</x:v>
      </x:c>
      <x:c r="M29" s="9" t="str">
        <x:f>IF(AND(G29=1,H29=1,J29=1),"PASS","FAIL")</x:f>
        <x:v>PASS</x:v>
      </x:c>
      <x:c r="N29" s="9" t="str">
        <x:f>IF(I29=1,"PASS","OPEN")</x:f>
        <x:v>OPEN</x:v>
      </x:c>
    </x:row>
    <x:row r="30">
      <x:c r="B30" s="9" t="str">
        <x:v>KD-24</x:v>
      </x:c>
      <x:c r="C30" s="9" t="str">
        <x:v>ROOT_A</x:v>
      </x:c>
      <x:c r="D30" s="9" t="str">
        <x:v>bolt preload loss</x:v>
      </x:c>
      <x:c r="E30" s="15" t="str">
        <x:v>ABOVE</x:v>
      </x:c>
      <x:c r="F30" s="13" t="n">
        <x:v>1.5</x:v>
      </x:c>
      <x:c r="G30" s="13" t="n">
        <x:v>1</x:v>
      </x:c>
      <x:c r="H30" s="13" t="n">
        <x:v>1</x:v>
      </x:c>
      <x:c r="I30" s="13" t="n">
        <x:v>0</x:v>
      </x:c>
      <x:c r="J30" s="13" t="n">
        <x:v>1</x:v>
      </x:c>
      <x:c r="K30" s="15" t="n">
        <x:v>10</x:v>
      </x:c>
      <x:c r="L30" s="15" t="n">
        <x:f>POWER(0.05,1/K30)</x:f>
        <x:v>0.7411344491069477</x:v>
      </x:c>
      <x:c r="M30" s="9" t="str">
        <x:f>IF(AND(G30=1,H30=1,J30=1),"PASS","FAIL")</x:f>
        <x:v>PASS</x:v>
      </x:c>
      <x:c r="N30" s="9" t="str">
        <x:f>IF(I30=1,"PASS","OPEN")</x:f>
        <x:v>OPEN</x:v>
      </x:c>
    </x:row>
    <x:row r="31">
      <x:c r="B31" s="9" t="str">
        <x:v>KD-25</x:v>
      </x:c>
      <x:c r="C31" s="9" t="str">
        <x:v>ROOT_A</x:v>
      </x:c>
      <x:c r="D31" s="9" t="str">
        <x:v>passivation residue</x:v>
      </x:c>
      <x:c r="E31" s="15" t="str">
        <x:v>BELOW</x:v>
      </x:c>
      <x:c r="F31" s="13" t="n">
        <x:v>0.5</x:v>
      </x:c>
      <x:c r="G31" s="13" t="n">
        <x:v>1</x:v>
      </x:c>
      <x:c r="H31" s="13" t="n">
        <x:v>1</x:v>
      </x:c>
      <x:c r="I31" s="13" t="n">
        <x:v>0</x:v>
      </x:c>
      <x:c r="J31" s="13" t="n">
        <x:v>1</x:v>
      </x:c>
      <x:c r="K31" s="15" t="n">
        <x:v>10</x:v>
      </x:c>
      <x:c r="L31" s="15" t="n">
        <x:f>POWER(0.05,1/K31)</x:f>
        <x:v>0.7411344491069477</x:v>
      </x:c>
      <x:c r="M31" s="9" t="str">
        <x:f>IF(AND(G31=1,H31=1,J31=1),"PASS","FAIL")</x:f>
        <x:v>PASS</x:v>
      </x:c>
      <x:c r="N31" s="9" t="str">
        <x:f>IF(I31=1,"PASS","OPEN")</x:f>
        <x:v>OPEN</x:v>
      </x:c>
    </x:row>
    <x:row r="32">
      <x:c r="B32" s="9" t="str">
        <x:v>KD-26</x:v>
      </x:c>
      <x:c r="C32" s="9" t="str">
        <x:v>ROOT_A</x:v>
      </x:c>
      <x:c r="D32" s="9" t="str">
        <x:v>passivation residue</x:v>
      </x:c>
      <x:c r="E32" s="15" t="str">
        <x:v>AT</x:v>
      </x:c>
      <x:c r="F32" s="13" t="n">
        <x:v>1</x:v>
      </x:c>
      <x:c r="G32" s="13" t="n">
        <x:v>1</x:v>
      </x:c>
      <x:c r="H32" s="13" t="n">
        <x:v>1</x:v>
      </x:c>
      <x:c r="I32" s="13" t="n">
        <x:v>0</x:v>
      </x:c>
      <x:c r="J32" s="13" t="n">
        <x:v>1</x:v>
      </x:c>
      <x:c r="K32" s="15" t="n">
        <x:v>29</x:v>
      </x:c>
      <x:c r="L32" s="15" t="n">
        <x:f>POWER(0.05,1/K32)</x:f>
        <x:v>0.9018553723227043</x:v>
      </x:c>
      <x:c r="M32" s="9" t="str">
        <x:f>IF(AND(G32=1,H32=1,J32=1),"PASS","FAIL")</x:f>
        <x:v>PASS</x:v>
      </x:c>
      <x:c r="N32" s="9" t="str">
        <x:f>IF(I32=1,"PASS","OPEN")</x:f>
        <x:v>OPEN</x:v>
      </x:c>
    </x:row>
    <x:row r="33">
      <x:c r="B33" s="9" t="str">
        <x:v>KD-27</x:v>
      </x:c>
      <x:c r="C33" s="9" t="str">
        <x:v>ROOT_A</x:v>
      </x:c>
      <x:c r="D33" s="9" t="str">
        <x:v>passivation residue</x:v>
      </x:c>
      <x:c r="E33" s="15" t="str">
        <x:v>ABOVE</x:v>
      </x:c>
      <x:c r="F33" s="13" t="n">
        <x:v>1.5</x:v>
      </x:c>
      <x:c r="G33" s="13" t="n">
        <x:v>1</x:v>
      </x:c>
      <x:c r="H33" s="13" t="n">
        <x:v>1</x:v>
      </x:c>
      <x:c r="I33" s="13" t="n">
        <x:v>0</x:v>
      </x:c>
      <x:c r="J33" s="13" t="n">
        <x:v>1</x:v>
      </x:c>
      <x:c r="K33" s="15" t="n">
        <x:v>10</x:v>
      </x:c>
      <x:c r="L33" s="15" t="n">
        <x:f>POWER(0.05,1/K33)</x:f>
        <x:v>0.7411344491069477</x:v>
      </x:c>
      <x:c r="M33" s="9" t="str">
        <x:f>IF(AND(G33=1,H33=1,J33=1),"PASS","FAIL")</x:f>
        <x:v>PASS</x:v>
      </x:c>
      <x:c r="N33" s="9" t="str">
        <x:f>IF(I33=1,"PASS","OPEN")</x:f>
        <x:v>OPEN</x:v>
      </x:c>
    </x:row>
    <x:row r="34">
      <x:c r="B34" s="9" t="str">
        <x:v>KD-28</x:v>
      </x:c>
      <x:c r="C34" s="9" t="str">
        <x:v>ROOT_A</x:v>
      </x:c>
      <x:c r="D34" s="9" t="str">
        <x:v>high-resistance contact</x:v>
      </x:c>
      <x:c r="E34" s="15" t="str">
        <x:v>BELOW</x:v>
      </x:c>
      <x:c r="F34" s="13" t="n">
        <x:v>0.5</x:v>
      </x:c>
      <x:c r="G34" s="13" t="n">
        <x:v>1</x:v>
      </x:c>
      <x:c r="H34" s="13" t="n">
        <x:v>1</x:v>
      </x:c>
      <x:c r="I34" s="13" t="n">
        <x:v>0</x:v>
      </x:c>
      <x:c r="J34" s="13" t="n">
        <x:v>1</x:v>
      </x:c>
      <x:c r="K34" s="15" t="n">
        <x:v>10</x:v>
      </x:c>
      <x:c r="L34" s="15" t="n">
        <x:f>POWER(0.05,1/K34)</x:f>
        <x:v>0.7411344491069477</x:v>
      </x:c>
      <x:c r="M34" s="9" t="str">
        <x:f>IF(AND(G34=1,H34=1,J34=1),"PASS","FAIL")</x:f>
        <x:v>PASS</x:v>
      </x:c>
      <x:c r="N34" s="9" t="str">
        <x:f>IF(I34=1,"PASS","OPEN")</x:f>
        <x:v>OPEN</x:v>
      </x:c>
    </x:row>
    <x:row r="35">
      <x:c r="B35" s="9" t="str">
        <x:v>KD-29</x:v>
      </x:c>
      <x:c r="C35" s="9" t="str">
        <x:v>ROOT_A</x:v>
      </x:c>
      <x:c r="D35" s="9" t="str">
        <x:v>high-resistance contact</x:v>
      </x:c>
      <x:c r="E35" s="15" t="str">
        <x:v>AT</x:v>
      </x:c>
      <x:c r="F35" s="13" t="n">
        <x:v>1</x:v>
      </x:c>
      <x:c r="G35" s="13" t="n">
        <x:v>1</x:v>
      </x:c>
      <x:c r="H35" s="13" t="n">
        <x:v>1</x:v>
      </x:c>
      <x:c r="I35" s="13" t="n">
        <x:v>0</x:v>
      </x:c>
      <x:c r="J35" s="13" t="n">
        <x:v>1</x:v>
      </x:c>
      <x:c r="K35" s="15" t="n">
        <x:v>29</x:v>
      </x:c>
      <x:c r="L35" s="15" t="n">
        <x:f>POWER(0.05,1/K35)</x:f>
        <x:v>0.9018553723227043</x:v>
      </x:c>
      <x:c r="M35" s="9" t="str">
        <x:f>IF(AND(G35=1,H35=1,J35=1),"PASS","FAIL")</x:f>
        <x:v>PASS</x:v>
      </x:c>
      <x:c r="N35" s="9" t="str">
        <x:f>IF(I35=1,"PASS","OPEN")</x:f>
        <x:v>OPEN</x:v>
      </x:c>
    </x:row>
    <x:row r="36">
      <x:c r="B36" s="9" t="str">
        <x:v>KD-30</x:v>
      </x:c>
      <x:c r="C36" s="9" t="str">
        <x:v>ROOT_A</x:v>
      </x:c>
      <x:c r="D36" s="9" t="str">
        <x:v>high-resistance contact</x:v>
      </x:c>
      <x:c r="E36" s="15" t="str">
        <x:v>ABOVE</x:v>
      </x:c>
      <x:c r="F36" s="13" t="n">
        <x:v>1.5</x:v>
      </x:c>
      <x:c r="G36" s="13" t="n">
        <x:v>1</x:v>
      </x:c>
      <x:c r="H36" s="13" t="n">
        <x:v>1</x:v>
      </x:c>
      <x:c r="I36" s="13" t="n">
        <x:v>0</x:v>
      </x:c>
      <x:c r="J36" s="13" t="n">
        <x:v>1</x:v>
      </x:c>
      <x:c r="K36" s="15" t="n">
        <x:v>10</x:v>
      </x:c>
      <x:c r="L36" s="15" t="n">
        <x:f>POWER(0.05,1/K36)</x:f>
        <x:v>0.7411344491069477</x:v>
      </x:c>
      <x:c r="M36" s="9" t="str">
        <x:f>IF(AND(G36=1,H36=1,J36=1),"PASS","FAIL")</x:f>
        <x:v>PASS</x:v>
      </x:c>
      <x:c r="N36" s="9" t="str">
        <x:f>IF(I36=1,"PASS","OPEN")</x:f>
        <x:v>OPEN</x:v>
      </x:c>
    </x:row>
    <x:row r="37">
      <x:c r="B37" s="9" t="str">
        <x:v>KD-31</x:v>
      </x:c>
      <x:c r="C37" s="9" t="str">
        <x:v>ROOT_A</x:v>
      </x:c>
      <x:c r="D37" s="9" t="str">
        <x:v>pipe wall thinning</x:v>
      </x:c>
      <x:c r="E37" s="15" t="str">
        <x:v>BELOW</x:v>
      </x:c>
      <x:c r="F37" s="13" t="n">
        <x:v>0.5</x:v>
      </x:c>
      <x:c r="G37" s="13" t="n">
        <x:v>1</x:v>
      </x:c>
      <x:c r="H37" s="13" t="n">
        <x:v>1</x:v>
      </x:c>
      <x:c r="I37" s="13" t="n">
        <x:v>0</x:v>
      </x:c>
      <x:c r="J37" s="13" t="n">
        <x:v>1</x:v>
      </x:c>
      <x:c r="K37" s="15" t="n">
        <x:v>10</x:v>
      </x:c>
      <x:c r="L37" s="15" t="n">
        <x:f>POWER(0.05,1/K37)</x:f>
        <x:v>0.7411344491069477</x:v>
      </x:c>
      <x:c r="M37" s="9" t="str">
        <x:f>IF(AND(G37=1,H37=1,J37=1),"PASS","FAIL")</x:f>
        <x:v>PASS</x:v>
      </x:c>
      <x:c r="N37" s="9" t="str">
        <x:f>IF(I37=1,"PASS","OPEN")</x:f>
        <x:v>OPEN</x:v>
      </x:c>
    </x:row>
    <x:row r="38">
      <x:c r="B38" s="9" t="str">
        <x:v>KD-32</x:v>
      </x:c>
      <x:c r="C38" s="9" t="str">
        <x:v>ROOT_A</x:v>
      </x:c>
      <x:c r="D38" s="9" t="str">
        <x:v>pipe wall thinning</x:v>
      </x:c>
      <x:c r="E38" s="15" t="str">
        <x:v>AT</x:v>
      </x:c>
      <x:c r="F38" s="13" t="n">
        <x:v>1</x:v>
      </x:c>
      <x:c r="G38" s="13" t="n">
        <x:v>1</x:v>
      </x:c>
      <x:c r="H38" s="13" t="n">
        <x:v>1</x:v>
      </x:c>
      <x:c r="I38" s="13" t="n">
        <x:v>0</x:v>
      </x:c>
      <x:c r="J38" s="13" t="n">
        <x:v>1</x:v>
      </x:c>
      <x:c r="K38" s="15" t="n">
        <x:v>29</x:v>
      </x:c>
      <x:c r="L38" s="15" t="n">
        <x:f>POWER(0.05,1/K38)</x:f>
        <x:v>0.9018553723227043</x:v>
      </x:c>
      <x:c r="M38" s="9" t="str">
        <x:f>IF(AND(G38=1,H38=1,J38=1),"PASS","FAIL")</x:f>
        <x:v>PASS</x:v>
      </x:c>
      <x:c r="N38" s="9" t="str">
        <x:f>IF(I38=1,"PASS","OPEN")</x:f>
        <x:v>OPEN</x:v>
      </x:c>
    </x:row>
    <x:row r="39">
      <x:c r="B39" s="9" t="str">
        <x:v>KD-33</x:v>
      </x:c>
      <x:c r="C39" s="9" t="str">
        <x:v>ROOT_A</x:v>
      </x:c>
      <x:c r="D39" s="9" t="str">
        <x:v>pipe wall thinning</x:v>
      </x:c>
      <x:c r="E39" s="15" t="str">
        <x:v>ABOVE</x:v>
      </x:c>
      <x:c r="F39" s="13" t="n">
        <x:v>1.5</x:v>
      </x:c>
      <x:c r="G39" s="13" t="n">
        <x:v>1</x:v>
      </x:c>
      <x:c r="H39" s="13" t="n">
        <x:v>1</x:v>
      </x:c>
      <x:c r="I39" s="13" t="n">
        <x:v>0</x:v>
      </x:c>
      <x:c r="J39" s="13" t="n">
        <x:v>1</x:v>
      </x:c>
      <x:c r="K39" s="15" t="n">
        <x:v>10</x:v>
      </x:c>
      <x:c r="L39" s="15" t="n">
        <x:f>POWER(0.05,1/K39)</x:f>
        <x:v>0.7411344491069477</x:v>
      </x:c>
      <x:c r="M39" s="9" t="str">
        <x:f>IF(AND(G39=1,H39=1,J39=1),"PASS","FAIL")</x:f>
        <x:v>PASS</x:v>
      </x:c>
      <x:c r="N39" s="9" t="str">
        <x:f>IF(I39=1,"PASS","OPEN")</x:f>
        <x:v>OPEN</x:v>
      </x:c>
    </x:row>
    <x:row r="40">
      <x:c r="B40" s="9" t="str">
        <x:v>KD-34</x:v>
      </x:c>
      <x:c r="C40" s="9" t="str">
        <x:v>ROOT_A</x:v>
      </x:c>
      <x:c r="D40" s="9" t="str">
        <x:v>valve-seat defect</x:v>
      </x:c>
      <x:c r="E40" s="15" t="str">
        <x:v>BELOW</x:v>
      </x:c>
      <x:c r="F40" s="13" t="n">
        <x:v>0.5</x:v>
      </x:c>
      <x:c r="G40" s="13" t="n">
        <x:v>1</x:v>
      </x:c>
      <x:c r="H40" s="13" t="n">
        <x:v>1</x:v>
      </x:c>
      <x:c r="I40" s="13" t="n">
        <x:v>0</x:v>
      </x:c>
      <x:c r="J40" s="13" t="n">
        <x:v>1</x:v>
      </x:c>
      <x:c r="K40" s="15" t="n">
        <x:v>10</x:v>
      </x:c>
      <x:c r="L40" s="15" t="n">
        <x:f>POWER(0.05,1/K40)</x:f>
        <x:v>0.7411344491069477</x:v>
      </x:c>
      <x:c r="M40" s="9" t="str">
        <x:f>IF(AND(G40=1,H40=1,J40=1),"PASS","FAIL")</x:f>
        <x:v>PASS</x:v>
      </x:c>
      <x:c r="N40" s="9" t="str">
        <x:f>IF(I40=1,"PASS","OPEN")</x:f>
        <x:v>OPEN</x:v>
      </x:c>
    </x:row>
    <x:row r="41">
      <x:c r="B41" s="9" t="str">
        <x:v>KD-35</x:v>
      </x:c>
      <x:c r="C41" s="9" t="str">
        <x:v>ROOT_A</x:v>
      </x:c>
      <x:c r="D41" s="9" t="str">
        <x:v>valve-seat defect</x:v>
      </x:c>
      <x:c r="E41" s="15" t="str">
        <x:v>AT</x:v>
      </x:c>
      <x:c r="F41" s="13" t="n">
        <x:v>1</x:v>
      </x:c>
      <x:c r="G41" s="13" t="n">
        <x:v>1</x:v>
      </x:c>
      <x:c r="H41" s="13" t="n">
        <x:v>1</x:v>
      </x:c>
      <x:c r="I41" s="13" t="n">
        <x:v>0</x:v>
      </x:c>
      <x:c r="J41" s="13" t="n">
        <x:v>1</x:v>
      </x:c>
      <x:c r="K41" s="15" t="n">
        <x:v>29</x:v>
      </x:c>
      <x:c r="L41" s="15" t="n">
        <x:f>POWER(0.05,1/K41)</x:f>
        <x:v>0.9018553723227043</x:v>
      </x:c>
      <x:c r="M41" s="9" t="str">
        <x:f>IF(AND(G41=1,H41=1,J41=1),"PASS","FAIL")</x:f>
        <x:v>PASS</x:v>
      </x:c>
      <x:c r="N41" s="9" t="str">
        <x:f>IF(I41=1,"PASS","OPEN")</x:f>
        <x:v>OPEN</x:v>
      </x:c>
    </x:row>
    <x:row r="42">
      <x:c r="B42" s="9" t="str">
        <x:v>KD-36</x:v>
      </x:c>
      <x:c r="C42" s="9" t="str">
        <x:v>ROOT_A</x:v>
      </x:c>
      <x:c r="D42" s="9" t="str">
        <x:v>valve-seat defect</x:v>
      </x:c>
      <x:c r="E42" s="15" t="str">
        <x:v>ABOVE</x:v>
      </x:c>
      <x:c r="F42" s="13" t="n">
        <x:v>1.5</x:v>
      </x:c>
      <x:c r="G42" s="13" t="n">
        <x:v>1</x:v>
      </x:c>
      <x:c r="H42" s="13" t="n">
        <x:v>1</x:v>
      </x:c>
      <x:c r="I42" s="13" t="n">
        <x:v>0</x:v>
      </x:c>
      <x:c r="J42" s="13" t="n">
        <x:v>1</x:v>
      </x:c>
      <x:c r="K42" s="15" t="n">
        <x:v>10</x:v>
      </x:c>
      <x:c r="L42" s="15" t="n">
        <x:f>POWER(0.05,1/K42)</x:f>
        <x:v>0.7411344491069477</x:v>
      </x:c>
      <x:c r="M42" s="9" t="str">
        <x:f>IF(AND(G42=1,H42=1,J42=1),"PASS","FAIL")</x:f>
        <x:v>PASS</x:v>
      </x:c>
      <x:c r="N42" s="9" t="str">
        <x:f>IF(I42=1,"PASS","OPEN")</x:f>
        <x:v>OPEN</x:v>
      </x:c>
    </x:row>
    <x:row r="43">
      <x:c r="B43" s="9" t="str">
        <x:v>KD-37</x:v>
      </x:c>
      <x:c r="C43" s="9" t="str">
        <x:v>ROOT_B</x:v>
      </x:c>
      <x:c r="D43" s="9" t="str">
        <x:v>porosity</x:v>
      </x:c>
      <x:c r="E43" s="15" t="str">
        <x:v>BELOW</x:v>
      </x:c>
      <x:c r="F43" s="13" t="n">
        <x:v>0.5</x:v>
      </x:c>
      <x:c r="G43" s="13" t="n">
        <x:v>1</x:v>
      </x:c>
      <x:c r="H43" s="13" t="n">
        <x:v>1</x:v>
      </x:c>
      <x:c r="I43" s="13" t="n">
        <x:v>0</x:v>
      </x:c>
      <x:c r="J43" s="13" t="n">
        <x:v>1</x:v>
      </x:c>
      <x:c r="K43" s="15" t="n">
        <x:v>10</x:v>
      </x:c>
      <x:c r="L43" s="15" t="n">
        <x:f>POWER(0.05,1/K43)</x:f>
        <x:v>0.7411344491069477</x:v>
      </x:c>
      <x:c r="M43" s="9" t="str">
        <x:f>IF(AND(G43=1,H43=1,J43=1),"PASS","FAIL")</x:f>
        <x:v>PASS</x:v>
      </x:c>
      <x:c r="N43" s="9" t="str">
        <x:f>IF(I43=1,"PASS","OPEN")</x:f>
        <x:v>OPEN</x:v>
      </x:c>
    </x:row>
    <x:row r="44">
      <x:c r="B44" s="9" t="str">
        <x:v>KD-38</x:v>
      </x:c>
      <x:c r="C44" s="9" t="str">
        <x:v>ROOT_B</x:v>
      </x:c>
      <x:c r="D44" s="9" t="str">
        <x:v>porosity</x:v>
      </x:c>
      <x:c r="E44" s="15" t="str">
        <x:v>AT</x:v>
      </x:c>
      <x:c r="F44" s="13" t="n">
        <x:v>1</x:v>
      </x:c>
      <x:c r="G44" s="13" t="n">
        <x:v>1</x:v>
      </x:c>
      <x:c r="H44" s="13" t="n">
        <x:v>1</x:v>
      </x:c>
      <x:c r="I44" s="13" t="n">
        <x:v>0</x:v>
      </x:c>
      <x:c r="J44" s="13" t="n">
        <x:v>1</x:v>
      </x:c>
      <x:c r="K44" s="15" t="n">
        <x:v>29</x:v>
      </x:c>
      <x:c r="L44" s="15" t="n">
        <x:f>POWER(0.05,1/K44)</x:f>
        <x:v>0.9018553723227043</x:v>
      </x:c>
      <x:c r="M44" s="9" t="str">
        <x:f>IF(AND(G44=1,H44=1,J44=1),"PASS","FAIL")</x:f>
        <x:v>PASS</x:v>
      </x:c>
      <x:c r="N44" s="9" t="str">
        <x:f>IF(I44=1,"PASS","OPEN")</x:f>
        <x:v>OPEN</x:v>
      </x:c>
    </x:row>
    <x:row r="45">
      <x:c r="B45" s="9" t="str">
        <x:v>KD-39</x:v>
      </x:c>
      <x:c r="C45" s="9" t="str">
        <x:v>ROOT_B</x:v>
      </x:c>
      <x:c r="D45" s="9" t="str">
        <x:v>porosity</x:v>
      </x:c>
      <x:c r="E45" s="15" t="str">
        <x:v>ABOVE</x:v>
      </x:c>
      <x:c r="F45" s="13" t="n">
        <x:v>1.5</x:v>
      </x:c>
      <x:c r="G45" s="13" t="n">
        <x:v>1</x:v>
      </x:c>
      <x:c r="H45" s="13" t="n">
        <x:v>1</x:v>
      </x:c>
      <x:c r="I45" s="13" t="n">
        <x:v>0</x:v>
      </x:c>
      <x:c r="J45" s="13" t="n">
        <x:v>1</x:v>
      </x:c>
      <x:c r="K45" s="15" t="n">
        <x:v>10</x:v>
      </x:c>
      <x:c r="L45" s="15" t="n">
        <x:f>POWER(0.05,1/K45)</x:f>
        <x:v>0.7411344491069477</x:v>
      </x:c>
      <x:c r="M45" s="9" t="str">
        <x:f>IF(AND(G45=1,H45=1,J45=1),"PASS","FAIL")</x:f>
        <x:v>PASS</x:v>
      </x:c>
      <x:c r="N45" s="9" t="str">
        <x:f>IF(I45=1,"PASS","OPEN")</x:f>
        <x:v>OPEN</x:v>
      </x:c>
    </x:row>
    <x:row r="46">
      <x:c r="B46" s="9" t="str">
        <x:v>KD-40</x:v>
      </x:c>
      <x:c r="C46" s="9" t="str">
        <x:v>ROOT_B</x:v>
      </x:c>
      <x:c r="D46" s="9" t="str">
        <x:v>delamination</x:v>
      </x:c>
      <x:c r="E46" s="15" t="str">
        <x:v>BELOW</x:v>
      </x:c>
      <x:c r="F46" s="13" t="n">
        <x:v>0.5</x:v>
      </x:c>
      <x:c r="G46" s="13" t="n">
        <x:v>1</x:v>
      </x:c>
      <x:c r="H46" s="13" t="n">
        <x:v>1</x:v>
      </x:c>
      <x:c r="I46" s="13" t="n">
        <x:v>0</x:v>
      </x:c>
      <x:c r="J46" s="13" t="n">
        <x:v>1</x:v>
      </x:c>
      <x:c r="K46" s="15" t="n">
        <x:v>10</x:v>
      </x:c>
      <x:c r="L46" s="15" t="n">
        <x:f>POWER(0.05,1/K46)</x:f>
        <x:v>0.7411344491069477</x:v>
      </x:c>
      <x:c r="M46" s="9" t="str">
        <x:f>IF(AND(G46=1,H46=1,J46=1),"PASS","FAIL")</x:f>
        <x:v>PASS</x:v>
      </x:c>
      <x:c r="N46" s="9" t="str">
        <x:f>IF(I46=1,"PASS","OPEN")</x:f>
        <x:v>OPEN</x:v>
      </x:c>
    </x:row>
    <x:row r="47">
      <x:c r="B47" s="9" t="str">
        <x:v>KD-41</x:v>
      </x:c>
      <x:c r="C47" s="9" t="str">
        <x:v>ROOT_B</x:v>
      </x:c>
      <x:c r="D47" s="9" t="str">
        <x:v>delamination</x:v>
      </x:c>
      <x:c r="E47" s="15" t="str">
        <x:v>AT</x:v>
      </x:c>
      <x:c r="F47" s="13" t="n">
        <x:v>1</x:v>
      </x:c>
      <x:c r="G47" s="13" t="n">
        <x:v>1</x:v>
      </x:c>
      <x:c r="H47" s="13" t="n">
        <x:v>1</x:v>
      </x:c>
      <x:c r="I47" s="13" t="n">
        <x:v>0</x:v>
      </x:c>
      <x:c r="J47" s="13" t="n">
        <x:v>1</x:v>
      </x:c>
      <x:c r="K47" s="15" t="n">
        <x:v>29</x:v>
      </x:c>
      <x:c r="L47" s="15" t="n">
        <x:f>POWER(0.05,1/K47)</x:f>
        <x:v>0.9018553723227043</x:v>
      </x:c>
      <x:c r="M47" s="9" t="str">
        <x:f>IF(AND(G47=1,H47=1,J47=1),"PASS","FAIL")</x:f>
        <x:v>PASS</x:v>
      </x:c>
      <x:c r="N47" s="9" t="str">
        <x:f>IF(I47=1,"PASS","OPEN")</x:f>
        <x:v>OPEN</x:v>
      </x:c>
    </x:row>
    <x:row r="48">
      <x:c r="B48" s="9" t="str">
        <x:v>KD-42</x:v>
      </x:c>
      <x:c r="C48" s="9" t="str">
        <x:v>ROOT_B</x:v>
      </x:c>
      <x:c r="D48" s="9" t="str">
        <x:v>delamination</x:v>
      </x:c>
      <x:c r="E48" s="15" t="str">
        <x:v>ABOVE</x:v>
      </x:c>
      <x:c r="F48" s="13" t="n">
        <x:v>1.5</x:v>
      </x:c>
      <x:c r="G48" s="13" t="n">
        <x:v>1</x:v>
      </x:c>
      <x:c r="H48" s="13" t="n">
        <x:v>1</x:v>
      </x:c>
      <x:c r="I48" s="13" t="n">
        <x:v>0</x:v>
      </x:c>
      <x:c r="J48" s="13" t="n">
        <x:v>1</x:v>
      </x:c>
      <x:c r="K48" s="15" t="n">
        <x:v>10</x:v>
      </x:c>
      <x:c r="L48" s="15" t="n">
        <x:f>POWER(0.05,1/K48)</x:f>
        <x:v>0.7411344491069477</x:v>
      </x:c>
      <x:c r="M48" s="9" t="str">
        <x:f>IF(AND(G48=1,H48=1,J48=1),"PASS","FAIL")</x:f>
        <x:v>PASS</x:v>
      </x:c>
      <x:c r="N48" s="9" t="str">
        <x:f>IF(I48=1,"PASS","OPEN")</x:f>
        <x:v>OPEN</x:v>
      </x:c>
    </x:row>
    <x:row r="49">
      <x:c r="B49" s="9" t="str">
        <x:v>KD-43</x:v>
      </x:c>
      <x:c r="C49" s="9" t="str">
        <x:v>ROOT_B</x:v>
      </x:c>
      <x:c r="D49" s="9" t="str">
        <x:v>fiber waviness</x:v>
      </x:c>
      <x:c r="E49" s="15" t="str">
        <x:v>BELOW</x:v>
      </x:c>
      <x:c r="F49" s="13" t="n">
        <x:v>0.5</x:v>
      </x:c>
      <x:c r="G49" s="13" t="n">
        <x:v>1</x:v>
      </x:c>
      <x:c r="H49" s="13" t="n">
        <x:v>1</x:v>
      </x:c>
      <x:c r="I49" s="13" t="n">
        <x:v>0</x:v>
      </x:c>
      <x:c r="J49" s="13" t="n">
        <x:v>1</x:v>
      </x:c>
      <x:c r="K49" s="15" t="n">
        <x:v>10</x:v>
      </x:c>
      <x:c r="L49" s="15" t="n">
        <x:f>POWER(0.05,1/K49)</x:f>
        <x:v>0.7411344491069477</x:v>
      </x:c>
      <x:c r="M49" s="9" t="str">
        <x:f>IF(AND(G49=1,H49=1,J49=1),"PASS","FAIL")</x:f>
        <x:v>PASS</x:v>
      </x:c>
      <x:c r="N49" s="9" t="str">
        <x:f>IF(I49=1,"PASS","OPEN")</x:f>
        <x:v>OPEN</x:v>
      </x:c>
    </x:row>
    <x:row r="50">
      <x:c r="B50" s="9" t="str">
        <x:v>KD-44</x:v>
      </x:c>
      <x:c r="C50" s="9" t="str">
        <x:v>ROOT_B</x:v>
      </x:c>
      <x:c r="D50" s="9" t="str">
        <x:v>fiber waviness</x:v>
      </x:c>
      <x:c r="E50" s="15" t="str">
        <x:v>AT</x:v>
      </x:c>
      <x:c r="F50" s="13" t="n">
        <x:v>1</x:v>
      </x:c>
      <x:c r="G50" s="13" t="n">
        <x:v>1</x:v>
      </x:c>
      <x:c r="H50" s="13" t="n">
        <x:v>1</x:v>
      </x:c>
      <x:c r="I50" s="13" t="n">
        <x:v>0</x:v>
      </x:c>
      <x:c r="J50" s="13" t="n">
        <x:v>1</x:v>
      </x:c>
      <x:c r="K50" s="15" t="n">
        <x:v>29</x:v>
      </x:c>
      <x:c r="L50" s="15" t="n">
        <x:f>POWER(0.05,1/K50)</x:f>
        <x:v>0.9018553723227043</x:v>
      </x:c>
      <x:c r="M50" s="9" t="str">
        <x:f>IF(AND(G50=1,H50=1,J50=1),"PASS","FAIL")</x:f>
        <x:v>PASS</x:v>
      </x:c>
      <x:c r="N50" s="9" t="str">
        <x:f>IF(I50=1,"PASS","OPEN")</x:f>
        <x:v>OPEN</x:v>
      </x:c>
    </x:row>
    <x:row r="51">
      <x:c r="B51" s="9" t="str">
        <x:v>KD-45</x:v>
      </x:c>
      <x:c r="C51" s="9" t="str">
        <x:v>ROOT_B</x:v>
      </x:c>
      <x:c r="D51" s="9" t="str">
        <x:v>fiber waviness</x:v>
      </x:c>
      <x:c r="E51" s="15" t="str">
        <x:v>ABOVE</x:v>
      </x:c>
      <x:c r="F51" s="13" t="n">
        <x:v>1.5</x:v>
      </x:c>
      <x:c r="G51" s="13" t="n">
        <x:v>1</x:v>
      </x:c>
      <x:c r="H51" s="13" t="n">
        <x:v>1</x:v>
      </x:c>
      <x:c r="I51" s="13" t="n">
        <x:v>0</x:v>
      </x:c>
      <x:c r="J51" s="13" t="n">
        <x:v>1</x:v>
      </x:c>
      <x:c r="K51" s="15" t="n">
        <x:v>10</x:v>
      </x:c>
      <x:c r="L51" s="15" t="n">
        <x:f>POWER(0.05,1/K51)</x:f>
        <x:v>0.7411344491069477</x:v>
      </x:c>
      <x:c r="M51" s="9" t="str">
        <x:f>IF(AND(G51=1,H51=1,J51=1),"PASS","FAIL")</x:f>
        <x:v>PASS</x:v>
      </x:c>
      <x:c r="N51" s="9" t="str">
        <x:f>IF(I51=1,"PASS","OPEN")</x:f>
        <x:v>OPEN</x:v>
      </x:c>
    </x:row>
    <x:row r="52">
      <x:c r="B52" s="9" t="str">
        <x:v>KD-46</x:v>
      </x:c>
      <x:c r="C52" s="9" t="str">
        <x:v>ROOT_B</x:v>
      </x:c>
      <x:c r="D52" s="9" t="str">
        <x:v>foreign material</x:v>
      </x:c>
      <x:c r="E52" s="15" t="str">
        <x:v>BELOW</x:v>
      </x:c>
      <x:c r="F52" s="13" t="n">
        <x:v>0.5</x:v>
      </x:c>
      <x:c r="G52" s="13" t="n">
        <x:v>1</x:v>
      </x:c>
      <x:c r="H52" s="13" t="n">
        <x:v>1</x:v>
      </x:c>
      <x:c r="I52" s="13" t="n">
        <x:v>0</x:v>
      </x:c>
      <x:c r="J52" s="13" t="n">
        <x:v>1</x:v>
      </x:c>
      <x:c r="K52" s="15" t="n">
        <x:v>10</x:v>
      </x:c>
      <x:c r="L52" s="15" t="n">
        <x:f>POWER(0.05,1/K52)</x:f>
        <x:v>0.7411344491069477</x:v>
      </x:c>
      <x:c r="M52" s="9" t="str">
        <x:f>IF(AND(G52=1,H52=1,J52=1),"PASS","FAIL")</x:f>
        <x:v>PASS</x:v>
      </x:c>
      <x:c r="N52" s="9" t="str">
        <x:f>IF(I52=1,"PASS","OPEN")</x:f>
        <x:v>OPEN</x:v>
      </x:c>
    </x:row>
    <x:row r="53">
      <x:c r="B53" s="9" t="str">
        <x:v>KD-47</x:v>
      </x:c>
      <x:c r="C53" s="9" t="str">
        <x:v>ROOT_B</x:v>
      </x:c>
      <x:c r="D53" s="9" t="str">
        <x:v>foreign material</x:v>
      </x:c>
      <x:c r="E53" s="15" t="str">
        <x:v>AT</x:v>
      </x:c>
      <x:c r="F53" s="13" t="n">
        <x:v>1</x:v>
      </x:c>
      <x:c r="G53" s="13" t="n">
        <x:v>1</x:v>
      </x:c>
      <x:c r="H53" s="13" t="n">
        <x:v>1</x:v>
      </x:c>
      <x:c r="I53" s="13" t="n">
        <x:v>0</x:v>
      </x:c>
      <x:c r="J53" s="13" t="n">
        <x:v>1</x:v>
      </x:c>
      <x:c r="K53" s="15" t="n">
        <x:v>29</x:v>
      </x:c>
      <x:c r="L53" s="15" t="n">
        <x:f>POWER(0.05,1/K53)</x:f>
        <x:v>0.9018553723227043</x:v>
      </x:c>
      <x:c r="M53" s="9" t="str">
        <x:f>IF(AND(G53=1,H53=1,J53=1),"PASS","FAIL")</x:f>
        <x:v>PASS</x:v>
      </x:c>
      <x:c r="N53" s="9" t="str">
        <x:f>IF(I53=1,"PASS","OPEN")</x:f>
        <x:v>OPEN</x:v>
      </x:c>
    </x:row>
    <x:row r="54">
      <x:c r="B54" s="9" t="str">
        <x:v>KD-48</x:v>
      </x:c>
      <x:c r="C54" s="9" t="str">
        <x:v>ROOT_B</x:v>
      </x:c>
      <x:c r="D54" s="9" t="str">
        <x:v>foreign material</x:v>
      </x:c>
      <x:c r="E54" s="15" t="str">
        <x:v>ABOVE</x:v>
      </x:c>
      <x:c r="F54" s="13" t="n">
        <x:v>1.5</x:v>
      </x:c>
      <x:c r="G54" s="13" t="n">
        <x:v>1</x:v>
      </x:c>
      <x:c r="H54" s="13" t="n">
        <x:v>1</x:v>
      </x:c>
      <x:c r="I54" s="13" t="n">
        <x:v>0</x:v>
      </x:c>
      <x:c r="J54" s="13" t="n">
        <x:v>1</x:v>
      </x:c>
      <x:c r="K54" s="15" t="n">
        <x:v>10</x:v>
      </x:c>
      <x:c r="L54" s="15" t="n">
        <x:f>POWER(0.05,1/K54)</x:f>
        <x:v>0.7411344491069477</x:v>
      </x:c>
      <x:c r="M54" s="9" t="str">
        <x:f>IF(AND(G54=1,H54=1,J54=1),"PASS","FAIL")</x:f>
        <x:v>PASS</x:v>
      </x:c>
      <x:c r="N54" s="9" t="str">
        <x:f>IF(I54=1,"PASS","OPEN")</x:f>
        <x:v>OPEN</x:v>
      </x:c>
    </x:row>
    <x:row r="55">
      <x:c r="B55" s="9" t="str">
        <x:v>KD-49</x:v>
      </x:c>
      <x:c r="C55" s="9" t="str">
        <x:v>ROOT_B</x:v>
      </x:c>
      <x:c r="D55" s="9" t="str">
        <x:v>bondline starvation</x:v>
      </x:c>
      <x:c r="E55" s="15" t="str">
        <x:v>BELOW</x:v>
      </x:c>
      <x:c r="F55" s="13" t="n">
        <x:v>0.5</x:v>
      </x:c>
      <x:c r="G55" s="13" t="n">
        <x:v>1</x:v>
      </x:c>
      <x:c r="H55" s="13" t="n">
        <x:v>1</x:v>
      </x:c>
      <x:c r="I55" s="13" t="n">
        <x:v>0</x:v>
      </x:c>
      <x:c r="J55" s="13" t="n">
        <x:v>1</x:v>
      </x:c>
      <x:c r="K55" s="15" t="n">
        <x:v>10</x:v>
      </x:c>
      <x:c r="L55" s="15" t="n">
        <x:f>POWER(0.05,1/K55)</x:f>
        <x:v>0.7411344491069477</x:v>
      </x:c>
      <x:c r="M55" s="9" t="str">
        <x:f>IF(AND(G55=1,H55=1,J55=1),"PASS","FAIL")</x:f>
        <x:v>PASS</x:v>
      </x:c>
      <x:c r="N55" s="9" t="str">
        <x:f>IF(I55=1,"PASS","OPEN")</x:f>
        <x:v>OPEN</x:v>
      </x:c>
    </x:row>
    <x:row r="56">
      <x:c r="B56" s="9" t="str">
        <x:v>KD-50</x:v>
      </x:c>
      <x:c r="C56" s="9" t="str">
        <x:v>ROOT_B</x:v>
      </x:c>
      <x:c r="D56" s="9" t="str">
        <x:v>bondline starvation</x:v>
      </x:c>
      <x:c r="E56" s="15" t="str">
        <x:v>AT</x:v>
      </x:c>
      <x:c r="F56" s="13" t="n">
        <x:v>1</x:v>
      </x:c>
      <x:c r="G56" s="13" t="n">
        <x:v>1</x:v>
      </x:c>
      <x:c r="H56" s="13" t="n">
        <x:v>1</x:v>
      </x:c>
      <x:c r="I56" s="13" t="n">
        <x:v>0</x:v>
      </x:c>
      <x:c r="J56" s="13" t="n">
        <x:v>1</x:v>
      </x:c>
      <x:c r="K56" s="15" t="n">
        <x:v>29</x:v>
      </x:c>
      <x:c r="L56" s="15" t="n">
        <x:f>POWER(0.05,1/K56)</x:f>
        <x:v>0.9018553723227043</x:v>
      </x:c>
      <x:c r="M56" s="9" t="str">
        <x:f>IF(AND(G56=1,H56=1,J56=1),"PASS","FAIL")</x:f>
        <x:v>PASS</x:v>
      </x:c>
      <x:c r="N56" s="9" t="str">
        <x:f>IF(I56=1,"PASS","OPEN")</x:f>
        <x:v>OPEN</x:v>
      </x:c>
    </x:row>
    <x:row r="57">
      <x:c r="B57" s="9" t="str">
        <x:v>KD-51</x:v>
      </x:c>
      <x:c r="C57" s="9" t="str">
        <x:v>ROOT_B</x:v>
      </x:c>
      <x:c r="D57" s="9" t="str">
        <x:v>bondline starvation</x:v>
      </x:c>
      <x:c r="E57" s="15" t="str">
        <x:v>ABOVE</x:v>
      </x:c>
      <x:c r="F57" s="13" t="n">
        <x:v>1.5</x:v>
      </x:c>
      <x:c r="G57" s="13" t="n">
        <x:v>1</x:v>
      </x:c>
      <x:c r="H57" s="13" t="n">
        <x:v>1</x:v>
      </x:c>
      <x:c r="I57" s="13" t="n">
        <x:v>0</x:v>
      </x:c>
      <x:c r="J57" s="13" t="n">
        <x:v>1</x:v>
      </x:c>
      <x:c r="K57" s="15" t="n">
        <x:v>10</x:v>
      </x:c>
      <x:c r="L57" s="15" t="n">
        <x:f>POWER(0.05,1/K57)</x:f>
        <x:v>0.7411344491069477</x:v>
      </x:c>
      <x:c r="M57" s="9" t="str">
        <x:f>IF(AND(G57=1,H57=1,J57=1),"PASS","FAIL")</x:f>
        <x:v>PASS</x:v>
      </x:c>
      <x:c r="N57" s="9" t="str">
        <x:f>IF(I57=1,"PASS","OPEN")</x:f>
        <x:v>OPEN</x:v>
      </x:c>
    </x:row>
    <x:row r="58">
      <x:c r="B58" s="9" t="str">
        <x:v>KD-52</x:v>
      </x:c>
      <x:c r="C58" s="9" t="str">
        <x:v>ROOT_B</x:v>
      </x:c>
      <x:c r="D58" s="9" t="str">
        <x:v>bondline contamination</x:v>
      </x:c>
      <x:c r="E58" s="15" t="str">
        <x:v>BELOW</x:v>
      </x:c>
      <x:c r="F58" s="13" t="n">
        <x:v>0.5</x:v>
      </x:c>
      <x:c r="G58" s="13" t="n">
        <x:v>1</x:v>
      </x:c>
      <x:c r="H58" s="13" t="n">
        <x:v>1</x:v>
      </x:c>
      <x:c r="I58" s="13" t="n">
        <x:v>0</x:v>
      </x:c>
      <x:c r="J58" s="13" t="n">
        <x:v>1</x:v>
      </x:c>
      <x:c r="K58" s="15" t="n">
        <x:v>10</x:v>
      </x:c>
      <x:c r="L58" s="15" t="n">
        <x:f>POWER(0.05,1/K58)</x:f>
        <x:v>0.7411344491069477</x:v>
      </x:c>
      <x:c r="M58" s="9" t="str">
        <x:f>IF(AND(G58=1,H58=1,J58=1),"PASS","FAIL")</x:f>
        <x:v>PASS</x:v>
      </x:c>
      <x:c r="N58" s="9" t="str">
        <x:f>IF(I58=1,"PASS","OPEN")</x:f>
        <x:v>OPEN</x:v>
      </x:c>
    </x:row>
    <x:row r="59">
      <x:c r="B59" s="9" t="str">
        <x:v>KD-53</x:v>
      </x:c>
      <x:c r="C59" s="9" t="str">
        <x:v>ROOT_B</x:v>
      </x:c>
      <x:c r="D59" s="9" t="str">
        <x:v>bondline contamination</x:v>
      </x:c>
      <x:c r="E59" s="15" t="str">
        <x:v>AT</x:v>
      </x:c>
      <x:c r="F59" s="13" t="n">
        <x:v>1</x:v>
      </x:c>
      <x:c r="G59" s="13" t="n">
        <x:v>1</x:v>
      </x:c>
      <x:c r="H59" s="13" t="n">
        <x:v>1</x:v>
      </x:c>
      <x:c r="I59" s="13" t="n">
        <x:v>0</x:v>
      </x:c>
      <x:c r="J59" s="13" t="n">
        <x:v>1</x:v>
      </x:c>
      <x:c r="K59" s="15" t="n">
        <x:v>29</x:v>
      </x:c>
      <x:c r="L59" s="15" t="n">
        <x:f>POWER(0.05,1/K59)</x:f>
        <x:v>0.9018553723227043</x:v>
      </x:c>
      <x:c r="M59" s="9" t="str">
        <x:f>IF(AND(G59=1,H59=1,J59=1),"PASS","FAIL")</x:f>
        <x:v>PASS</x:v>
      </x:c>
      <x:c r="N59" s="9" t="str">
        <x:f>IF(I59=1,"PASS","OPEN")</x:f>
        <x:v>OPEN</x:v>
      </x:c>
    </x:row>
    <x:row r="60">
      <x:c r="B60" s="9" t="str">
        <x:v>KD-54</x:v>
      </x:c>
      <x:c r="C60" s="9" t="str">
        <x:v>ROOT_B</x:v>
      </x:c>
      <x:c r="D60" s="9" t="str">
        <x:v>bondline contamination</x:v>
      </x:c>
      <x:c r="E60" s="15" t="str">
        <x:v>ABOVE</x:v>
      </x:c>
      <x:c r="F60" s="13" t="n">
        <x:v>1.5</x:v>
      </x:c>
      <x:c r="G60" s="13" t="n">
        <x:v>1</x:v>
      </x:c>
      <x:c r="H60" s="13" t="n">
        <x:v>1</x:v>
      </x:c>
      <x:c r="I60" s="13" t="n">
        <x:v>0</x:v>
      </x:c>
      <x:c r="J60" s="13" t="n">
        <x:v>1</x:v>
      </x:c>
      <x:c r="K60" s="15" t="n">
        <x:v>10</x:v>
      </x:c>
      <x:c r="L60" s="15" t="n">
        <x:f>POWER(0.05,1/K60)</x:f>
        <x:v>0.7411344491069477</x:v>
      </x:c>
      <x:c r="M60" s="9" t="str">
        <x:f>IF(AND(G60=1,H60=1,J60=1),"PASS","FAIL")</x:f>
        <x:v>PASS</x:v>
      </x:c>
      <x:c r="N60" s="9" t="str">
        <x:f>IF(I60=1,"PASS","OPEN")</x:f>
        <x:v>OPEN</x:v>
      </x:c>
    </x:row>
    <x:row r="61">
      <x:c r="B61" s="9" t="str">
        <x:v>KD-55</x:v>
      </x:c>
      <x:c r="C61" s="9" t="str">
        <x:v>ROOT_B</x:v>
      </x:c>
      <x:c r="D61" s="9" t="str">
        <x:v>insert debond</x:v>
      </x:c>
      <x:c r="E61" s="15" t="str">
        <x:v>BELOW</x:v>
      </x:c>
      <x:c r="F61" s="13" t="n">
        <x:v>0.5</x:v>
      </x:c>
      <x:c r="G61" s="13" t="n">
        <x:v>1</x:v>
      </x:c>
      <x:c r="H61" s="13" t="n">
        <x:v>1</x:v>
      </x:c>
      <x:c r="I61" s="13" t="n">
        <x:v>0</x:v>
      </x:c>
      <x:c r="J61" s="13" t="n">
        <x:v>1</x:v>
      </x:c>
      <x:c r="K61" s="15" t="n">
        <x:v>10</x:v>
      </x:c>
      <x:c r="L61" s="15" t="n">
        <x:f>POWER(0.05,1/K61)</x:f>
        <x:v>0.7411344491069477</x:v>
      </x:c>
      <x:c r="M61" s="9" t="str">
        <x:f>IF(AND(G61=1,H61=1,J61=1),"PASS","FAIL")</x:f>
        <x:v>PASS</x:v>
      </x:c>
      <x:c r="N61" s="9" t="str">
        <x:f>IF(I61=1,"PASS","OPEN")</x:f>
        <x:v>OPEN</x:v>
      </x:c>
    </x:row>
    <x:row r="62">
      <x:c r="B62" s="9" t="str">
        <x:v>KD-56</x:v>
      </x:c>
      <x:c r="C62" s="9" t="str">
        <x:v>ROOT_B</x:v>
      </x:c>
      <x:c r="D62" s="9" t="str">
        <x:v>insert debond</x:v>
      </x:c>
      <x:c r="E62" s="15" t="str">
        <x:v>AT</x:v>
      </x:c>
      <x:c r="F62" s="13" t="n">
        <x:v>1</x:v>
      </x:c>
      <x:c r="G62" s="13" t="n">
        <x:v>1</x:v>
      </x:c>
      <x:c r="H62" s="13" t="n">
        <x:v>1</x:v>
      </x:c>
      <x:c r="I62" s="13" t="n">
        <x:v>0</x:v>
      </x:c>
      <x:c r="J62" s="13" t="n">
        <x:v>1</x:v>
      </x:c>
      <x:c r="K62" s="15" t="n">
        <x:v>29</x:v>
      </x:c>
      <x:c r="L62" s="15" t="n">
        <x:f>POWER(0.05,1/K62)</x:f>
        <x:v>0.9018553723227043</x:v>
      </x:c>
      <x:c r="M62" s="9" t="str">
        <x:f>IF(AND(G62=1,H62=1,J62=1),"PASS","FAIL")</x:f>
        <x:v>PASS</x:v>
      </x:c>
      <x:c r="N62" s="9" t="str">
        <x:f>IF(I62=1,"PASS","OPEN")</x:f>
        <x:v>OPEN</x:v>
      </x:c>
    </x:row>
    <x:row r="63">
      <x:c r="B63" s="9" t="str">
        <x:v>KD-57</x:v>
      </x:c>
      <x:c r="C63" s="9" t="str">
        <x:v>ROOT_B</x:v>
      </x:c>
      <x:c r="D63" s="9" t="str">
        <x:v>insert debond</x:v>
      </x:c>
      <x:c r="E63" s="15" t="str">
        <x:v>ABOVE</x:v>
      </x:c>
      <x:c r="F63" s="13" t="n">
        <x:v>1.5</x:v>
      </x:c>
      <x:c r="G63" s="13" t="n">
        <x:v>1</x:v>
      </x:c>
      <x:c r="H63" s="13" t="n">
        <x:v>1</x:v>
      </x:c>
      <x:c r="I63" s="13" t="n">
        <x:v>0</x:v>
      </x:c>
      <x:c r="J63" s="13" t="n">
        <x:v>1</x:v>
      </x:c>
      <x:c r="K63" s="15" t="n">
        <x:v>10</x:v>
      </x:c>
      <x:c r="L63" s="15" t="n">
        <x:f>POWER(0.05,1/K63)</x:f>
        <x:v>0.7411344491069477</x:v>
      </x:c>
      <x:c r="M63" s="9" t="str">
        <x:f>IF(AND(G63=1,H63=1,J63=1),"PASS","FAIL")</x:f>
        <x:v>PASS</x:v>
      </x:c>
      <x:c r="N63" s="9" t="str">
        <x:f>IF(I63=1,"PASS","OPEN")</x:f>
        <x:v>OPEN</x:v>
      </x:c>
    </x:row>
    <x:row r="64">
      <x:c r="B64" s="9" t="str">
        <x:v>KD-58</x:v>
      </x:c>
      <x:c r="C64" s="9" t="str">
        <x:v>ROOT_B</x:v>
      </x:c>
      <x:c r="D64" s="9" t="str">
        <x:v>liner discontinuity</x:v>
      </x:c>
      <x:c r="E64" s="15" t="str">
        <x:v>BELOW</x:v>
      </x:c>
      <x:c r="F64" s="13" t="n">
        <x:v>0.5</x:v>
      </x:c>
      <x:c r="G64" s="13" t="n">
        <x:v>1</x:v>
      </x:c>
      <x:c r="H64" s="13" t="n">
        <x:v>1</x:v>
      </x:c>
      <x:c r="I64" s="13" t="n">
        <x:v>0</x:v>
      </x:c>
      <x:c r="J64" s="13" t="n">
        <x:v>1</x:v>
      </x:c>
      <x:c r="K64" s="15" t="n">
        <x:v>10</x:v>
      </x:c>
      <x:c r="L64" s="15" t="n">
        <x:f>POWER(0.05,1/K64)</x:f>
        <x:v>0.7411344491069477</x:v>
      </x:c>
      <x:c r="M64" s="9" t="str">
        <x:f>IF(AND(G64=1,H64=1,J64=1),"PASS","FAIL")</x:f>
        <x:v>PASS</x:v>
      </x:c>
      <x:c r="N64" s="9" t="str">
        <x:f>IF(I64=1,"PASS","OPEN")</x:f>
        <x:v>OPEN</x:v>
      </x:c>
    </x:row>
    <x:row r="65">
      <x:c r="B65" s="9" t="str">
        <x:v>KD-59</x:v>
      </x:c>
      <x:c r="C65" s="9" t="str">
        <x:v>ROOT_B</x:v>
      </x:c>
      <x:c r="D65" s="9" t="str">
        <x:v>liner discontinuity</x:v>
      </x:c>
      <x:c r="E65" s="15" t="str">
        <x:v>AT</x:v>
      </x:c>
      <x:c r="F65" s="13" t="n">
        <x:v>1</x:v>
      </x:c>
      <x:c r="G65" s="13" t="n">
        <x:v>1</x:v>
      </x:c>
      <x:c r="H65" s="13" t="n">
        <x:v>1</x:v>
      </x:c>
      <x:c r="I65" s="13" t="n">
        <x:v>0</x:v>
      </x:c>
      <x:c r="J65" s="13" t="n">
        <x:v>1</x:v>
      </x:c>
      <x:c r="K65" s="15" t="n">
        <x:v>29</x:v>
      </x:c>
      <x:c r="L65" s="15" t="n">
        <x:f>POWER(0.05,1/K65)</x:f>
        <x:v>0.9018553723227043</x:v>
      </x:c>
      <x:c r="M65" s="9" t="str">
        <x:f>IF(AND(G65=1,H65=1,J65=1),"PASS","FAIL")</x:f>
        <x:v>PASS</x:v>
      </x:c>
      <x:c r="N65" s="9" t="str">
        <x:f>IF(I65=1,"PASS","OPEN")</x:f>
        <x:v>OPEN</x:v>
      </x:c>
    </x:row>
    <x:row r="66">
      <x:c r="B66" s="9" t="str">
        <x:v>KD-60</x:v>
      </x:c>
      <x:c r="C66" s="9" t="str">
        <x:v>ROOT_B</x:v>
      </x:c>
      <x:c r="D66" s="9" t="str">
        <x:v>liner discontinuity</x:v>
      </x:c>
      <x:c r="E66" s="15" t="str">
        <x:v>ABOVE</x:v>
      </x:c>
      <x:c r="F66" s="13" t="n">
        <x:v>1.5</x:v>
      </x:c>
      <x:c r="G66" s="13" t="n">
        <x:v>1</x:v>
      </x:c>
      <x:c r="H66" s="13" t="n">
        <x:v>1</x:v>
      </x:c>
      <x:c r="I66" s="13" t="n">
        <x:v>0</x:v>
      </x:c>
      <x:c r="J66" s="13" t="n">
        <x:v>1</x:v>
      </x:c>
      <x:c r="K66" s="15" t="n">
        <x:v>10</x:v>
      </x:c>
      <x:c r="L66" s="15" t="n">
        <x:f>POWER(0.05,1/K66)</x:f>
        <x:v>0.7411344491069477</x:v>
      </x:c>
      <x:c r="M66" s="9" t="str">
        <x:f>IF(AND(G66=1,H66=1,J66=1),"PASS","FAIL")</x:f>
        <x:v>PASS</x:v>
      </x:c>
      <x:c r="N66" s="9" t="str">
        <x:f>IF(I66=1,"PASS","OPEN")</x:f>
        <x:v>OPEN</x:v>
      </x:c>
    </x:row>
    <x:row r="67">
      <x:c r="B67" s="9" t="str">
        <x:v>KD-61</x:v>
      </x:c>
      <x:c r="C67" s="9" t="str">
        <x:v>ROOT_B</x:v>
      </x:c>
      <x:c r="D67" s="9" t="str">
        <x:v>collar disbond</x:v>
      </x:c>
      <x:c r="E67" s="15" t="str">
        <x:v>BELOW</x:v>
      </x:c>
      <x:c r="F67" s="13" t="n">
        <x:v>0.5</x:v>
      </x:c>
      <x:c r="G67" s="13" t="n">
        <x:v>1</x:v>
      </x:c>
      <x:c r="H67" s="13" t="n">
        <x:v>1</x:v>
      </x:c>
      <x:c r="I67" s="13" t="n">
        <x:v>0</x:v>
      </x:c>
      <x:c r="J67" s="13" t="n">
        <x:v>1</x:v>
      </x:c>
      <x:c r="K67" s="15" t="n">
        <x:v>10</x:v>
      </x:c>
      <x:c r="L67" s="15" t="n">
        <x:f>POWER(0.05,1/K67)</x:f>
        <x:v>0.7411344491069477</x:v>
      </x:c>
      <x:c r="M67" s="9" t="str">
        <x:f>IF(AND(G67=1,H67=1,J67=1),"PASS","FAIL")</x:f>
        <x:v>PASS</x:v>
      </x:c>
      <x:c r="N67" s="9" t="str">
        <x:f>IF(I67=1,"PASS","OPEN")</x:f>
        <x:v>OPEN</x:v>
      </x:c>
    </x:row>
    <x:row r="68">
      <x:c r="B68" s="9" t="str">
        <x:v>KD-62</x:v>
      </x:c>
      <x:c r="C68" s="9" t="str">
        <x:v>ROOT_B</x:v>
      </x:c>
      <x:c r="D68" s="9" t="str">
        <x:v>collar disbond</x:v>
      </x:c>
      <x:c r="E68" s="15" t="str">
        <x:v>AT</x:v>
      </x:c>
      <x:c r="F68" s="13" t="n">
        <x:v>1</x:v>
      </x:c>
      <x:c r="G68" s="13" t="n">
        <x:v>1</x:v>
      </x:c>
      <x:c r="H68" s="13" t="n">
        <x:v>1</x:v>
      </x:c>
      <x:c r="I68" s="13" t="n">
        <x:v>0</x:v>
      </x:c>
      <x:c r="J68" s="13" t="n">
        <x:v>1</x:v>
      </x:c>
      <x:c r="K68" s="15" t="n">
        <x:v>29</x:v>
      </x:c>
      <x:c r="L68" s="15" t="n">
        <x:f>POWER(0.05,1/K68)</x:f>
        <x:v>0.9018553723227043</x:v>
      </x:c>
      <x:c r="M68" s="9" t="str">
        <x:f>IF(AND(G68=1,H68=1,J68=1),"PASS","FAIL")</x:f>
        <x:v>PASS</x:v>
      </x:c>
      <x:c r="N68" s="9" t="str">
        <x:f>IF(I68=1,"PASS","OPEN")</x:f>
        <x:v>OPEN</x:v>
      </x:c>
    </x:row>
    <x:row r="69">
      <x:c r="B69" s="9" t="str">
        <x:v>KD-63</x:v>
      </x:c>
      <x:c r="C69" s="9" t="str">
        <x:v>ROOT_B</x:v>
      </x:c>
      <x:c r="D69" s="9" t="str">
        <x:v>collar disbond</x:v>
      </x:c>
      <x:c r="E69" s="15" t="str">
        <x:v>ABOVE</x:v>
      </x:c>
      <x:c r="F69" s="13" t="n">
        <x:v>1.5</x:v>
      </x:c>
      <x:c r="G69" s="13" t="n">
        <x:v>1</x:v>
      </x:c>
      <x:c r="H69" s="13" t="n">
        <x:v>1</x:v>
      </x:c>
      <x:c r="I69" s="13" t="n">
        <x:v>0</x:v>
      </x:c>
      <x:c r="J69" s="13" t="n">
        <x:v>1</x:v>
      </x:c>
      <x:c r="K69" s="15" t="n">
        <x:v>10</x:v>
      </x:c>
      <x:c r="L69" s="15" t="n">
        <x:f>POWER(0.05,1/K69)</x:f>
        <x:v>0.7411344491069477</x:v>
      </x:c>
      <x:c r="M69" s="9" t="str">
        <x:f>IF(AND(G69=1,H69=1,J69=1),"PASS","FAIL")</x:f>
        <x:v>PASS</x:v>
      </x:c>
      <x:c r="N69" s="9" t="str">
        <x:f>IF(I69=1,"PASS","OPEN")</x:f>
        <x:v>OPEN</x:v>
      </x:c>
    </x:row>
    <x:row r="70">
      <x:c r="B70" s="9" t="str">
        <x:v>KD-64</x:v>
      </x:c>
      <x:c r="C70" s="9" t="str">
        <x:v>ROOT_B</x:v>
      </x:c>
      <x:c r="D70" s="9" t="str">
        <x:v>seal damage</x:v>
      </x:c>
      <x:c r="E70" s="15" t="str">
        <x:v>BELOW</x:v>
      </x:c>
      <x:c r="F70" s="13" t="n">
        <x:v>0.5</x:v>
      </x:c>
      <x:c r="G70" s="13" t="n">
        <x:v>1</x:v>
      </x:c>
      <x:c r="H70" s="13" t="n">
        <x:v>1</x:v>
      </x:c>
      <x:c r="I70" s="13" t="n">
        <x:v>0</x:v>
      </x:c>
      <x:c r="J70" s="13" t="n">
        <x:v>1</x:v>
      </x:c>
      <x:c r="K70" s="15" t="n">
        <x:v>10</x:v>
      </x:c>
      <x:c r="L70" s="15" t="n">
        <x:f>POWER(0.05,1/K70)</x:f>
        <x:v>0.7411344491069477</x:v>
      </x:c>
      <x:c r="M70" s="9" t="str">
        <x:f>IF(AND(G70=1,H70=1,J70=1),"PASS","FAIL")</x:f>
        <x:v>PASS</x:v>
      </x:c>
      <x:c r="N70" s="9" t="str">
        <x:f>IF(I70=1,"PASS","OPEN")</x:f>
        <x:v>OPEN</x:v>
      </x:c>
    </x:row>
    <x:row r="71">
      <x:c r="B71" s="9" t="str">
        <x:v>KD-65</x:v>
      </x:c>
      <x:c r="C71" s="9" t="str">
        <x:v>ROOT_B</x:v>
      </x:c>
      <x:c r="D71" s="9" t="str">
        <x:v>seal damage</x:v>
      </x:c>
      <x:c r="E71" s="15" t="str">
        <x:v>AT</x:v>
      </x:c>
      <x:c r="F71" s="13" t="n">
        <x:v>1</x:v>
      </x:c>
      <x:c r="G71" s="13" t="n">
        <x:v>1</x:v>
      </x:c>
      <x:c r="H71" s="13" t="n">
        <x:v>1</x:v>
      </x:c>
      <x:c r="I71" s="13" t="n">
        <x:v>0</x:v>
      </x:c>
      <x:c r="J71" s="13" t="n">
        <x:v>1</x:v>
      </x:c>
      <x:c r="K71" s="15" t="n">
        <x:v>29</x:v>
      </x:c>
      <x:c r="L71" s="15" t="n">
        <x:f>POWER(0.05,1/K71)</x:f>
        <x:v>0.9018553723227043</x:v>
      </x:c>
      <x:c r="M71" s="9" t="str">
        <x:f>IF(AND(G71=1,H71=1,J71=1),"PASS","FAIL")</x:f>
        <x:v>PASS</x:v>
      </x:c>
      <x:c r="N71" s="9" t="str">
        <x:f>IF(I71=1,"PASS","OPEN")</x:f>
        <x:v>OPEN</x:v>
      </x:c>
    </x:row>
    <x:row r="72">
      <x:c r="B72" s="9" t="str">
        <x:v>KD-66</x:v>
      </x:c>
      <x:c r="C72" s="9" t="str">
        <x:v>ROOT_B</x:v>
      </x:c>
      <x:c r="D72" s="9" t="str">
        <x:v>seal damage</x:v>
      </x:c>
      <x:c r="E72" s="15" t="str">
        <x:v>ABOVE</x:v>
      </x:c>
      <x:c r="F72" s="13" t="n">
        <x:v>1.5</x:v>
      </x:c>
      <x:c r="G72" s="13" t="n">
        <x:v>1</x:v>
      </x:c>
      <x:c r="H72" s="13" t="n">
        <x:v>1</x:v>
      </x:c>
      <x:c r="I72" s="13" t="n">
        <x:v>0</x:v>
      </x:c>
      <x:c r="J72" s="13" t="n">
        <x:v>1</x:v>
      </x:c>
      <x:c r="K72" s="15" t="n">
        <x:v>10</x:v>
      </x:c>
      <x:c r="L72" s="15" t="n">
        <x:f>POWER(0.05,1/K72)</x:f>
        <x:v>0.7411344491069477</x:v>
      </x:c>
      <x:c r="M72" s="9" t="str">
        <x:f>IF(AND(G72=1,H72=1,J72=1),"PASS","FAIL")</x:f>
        <x:v>PASS</x:v>
      </x:c>
      <x:c r="N72" s="9" t="str">
        <x:f>IF(I72=1,"PASS","OPEN")</x:f>
        <x:v>OPEN</x:v>
      </x:c>
    </x:row>
    <x:row r="73">
      <x:c r="B73" s="9" t="str">
        <x:v>KD-67</x:v>
      </x:c>
      <x:c r="C73" s="9" t="str">
        <x:v>ROOT_B</x:v>
      </x:c>
      <x:c r="D73" s="9" t="str">
        <x:v>tie preload loss</x:v>
      </x:c>
      <x:c r="E73" s="15" t="str">
        <x:v>BELOW</x:v>
      </x:c>
      <x:c r="F73" s="13" t="n">
        <x:v>0.5</x:v>
      </x:c>
      <x:c r="G73" s="13" t="n">
        <x:v>1</x:v>
      </x:c>
      <x:c r="H73" s="13" t="n">
        <x:v>1</x:v>
      </x:c>
      <x:c r="I73" s="13" t="n">
        <x:v>0</x:v>
      </x:c>
      <x:c r="J73" s="13" t="n">
        <x:v>1</x:v>
      </x:c>
      <x:c r="K73" s="15" t="n">
        <x:v>10</x:v>
      </x:c>
      <x:c r="L73" s="15" t="n">
        <x:f>POWER(0.05,1/K73)</x:f>
        <x:v>0.7411344491069477</x:v>
      </x:c>
      <x:c r="M73" s="9" t="str">
        <x:f>IF(AND(G73=1,H73=1,J73=1),"PASS","FAIL")</x:f>
        <x:v>PASS</x:v>
      </x:c>
      <x:c r="N73" s="9" t="str">
        <x:f>IF(I73=1,"PASS","OPEN")</x:f>
        <x:v>OPEN</x:v>
      </x:c>
    </x:row>
    <x:row r="74">
      <x:c r="B74" s="9" t="str">
        <x:v>KD-68</x:v>
      </x:c>
      <x:c r="C74" s="9" t="str">
        <x:v>ROOT_B</x:v>
      </x:c>
      <x:c r="D74" s="9" t="str">
        <x:v>tie preload loss</x:v>
      </x:c>
      <x:c r="E74" s="15" t="str">
        <x:v>AT</x:v>
      </x:c>
      <x:c r="F74" s="13" t="n">
        <x:v>1</x:v>
      </x:c>
      <x:c r="G74" s="13" t="n">
        <x:v>1</x:v>
      </x:c>
      <x:c r="H74" s="13" t="n">
        <x:v>1</x:v>
      </x:c>
      <x:c r="I74" s="13" t="n">
        <x:v>0</x:v>
      </x:c>
      <x:c r="J74" s="13" t="n">
        <x:v>1</x:v>
      </x:c>
      <x:c r="K74" s="15" t="n">
        <x:v>29</x:v>
      </x:c>
      <x:c r="L74" s="15" t="n">
        <x:f>POWER(0.05,1/K74)</x:f>
        <x:v>0.9018553723227043</x:v>
      </x:c>
      <x:c r="M74" s="9" t="str">
        <x:f>IF(AND(G74=1,H74=1,J74=1),"PASS","FAIL")</x:f>
        <x:v>PASS</x:v>
      </x:c>
      <x:c r="N74" s="9" t="str">
        <x:f>IF(I74=1,"PASS","OPEN")</x:f>
        <x:v>OPEN</x:v>
      </x:c>
    </x:row>
    <x:row r="75">
      <x:c r="B75" s="9" t="str">
        <x:v>KD-69</x:v>
      </x:c>
      <x:c r="C75" s="9" t="str">
        <x:v>ROOT_B</x:v>
      </x:c>
      <x:c r="D75" s="9" t="str">
        <x:v>tie preload loss</x:v>
      </x:c>
      <x:c r="E75" s="15" t="str">
        <x:v>ABOVE</x:v>
      </x:c>
      <x:c r="F75" s="13" t="n">
        <x:v>1.5</x:v>
      </x:c>
      <x:c r="G75" s="13" t="n">
        <x:v>1</x:v>
      </x:c>
      <x:c r="H75" s="13" t="n">
        <x:v>1</x:v>
      </x:c>
      <x:c r="I75" s="13" t="n">
        <x:v>0</x:v>
      </x:c>
      <x:c r="J75" s="13" t="n">
        <x:v>1</x:v>
      </x:c>
      <x:c r="K75" s="15" t="n">
        <x:v>10</x:v>
      </x:c>
      <x:c r="L75" s="15" t="n">
        <x:f>POWER(0.05,1/K75)</x:f>
        <x:v>0.7411344491069477</x:v>
      </x:c>
      <x:c r="M75" s="9" t="str">
        <x:f>IF(AND(G75=1,H75=1,J75=1),"PASS","FAIL")</x:f>
        <x:v>PASS</x:v>
      </x:c>
      <x:c r="N75" s="9" t="str">
        <x:f>IF(I75=1,"PASS","OPEN")</x:f>
        <x:v>OPEN</x:v>
      </x:c>
    </x:row>
    <x:row r="76">
      <x:c r="B76" s="9" t="str">
        <x:v>KD-70</x:v>
      </x:c>
      <x:c r="C76" s="9" t="str">
        <x:v>ROOT_B</x:v>
      </x:c>
      <x:c r="D76" s="9" t="str">
        <x:v>high-resistance contact</x:v>
      </x:c>
      <x:c r="E76" s="15" t="str">
        <x:v>BELOW</x:v>
      </x:c>
      <x:c r="F76" s="13" t="n">
        <x:v>0.5</x:v>
      </x:c>
      <x:c r="G76" s="13" t="n">
        <x:v>1</x:v>
      </x:c>
      <x:c r="H76" s="13" t="n">
        <x:v>1</x:v>
      </x:c>
      <x:c r="I76" s="13" t="n">
        <x:v>0</x:v>
      </x:c>
      <x:c r="J76" s="13" t="n">
        <x:v>1</x:v>
      </x:c>
      <x:c r="K76" s="15" t="n">
        <x:v>10</x:v>
      </x:c>
      <x:c r="L76" s="15" t="n">
        <x:f>POWER(0.05,1/K76)</x:f>
        <x:v>0.7411344491069477</x:v>
      </x:c>
      <x:c r="M76" s="9" t="str">
        <x:f>IF(AND(G76=1,H76=1,J76=1),"PASS","FAIL")</x:f>
        <x:v>PASS</x:v>
      </x:c>
      <x:c r="N76" s="9" t="str">
        <x:f>IF(I76=1,"PASS","OPEN")</x:f>
        <x:v>OPEN</x:v>
      </x:c>
    </x:row>
    <x:row r="77">
      <x:c r="B77" s="9" t="str">
        <x:v>KD-71</x:v>
      </x:c>
      <x:c r="C77" s="9" t="str">
        <x:v>ROOT_B</x:v>
      </x:c>
      <x:c r="D77" s="9" t="str">
        <x:v>high-resistance contact</x:v>
      </x:c>
      <x:c r="E77" s="15" t="str">
        <x:v>AT</x:v>
      </x:c>
      <x:c r="F77" s="13" t="n">
        <x:v>1</x:v>
      </x:c>
      <x:c r="G77" s="13" t="n">
        <x:v>1</x:v>
      </x:c>
      <x:c r="H77" s="13" t="n">
        <x:v>1</x:v>
      </x:c>
      <x:c r="I77" s="13" t="n">
        <x:v>0</x:v>
      </x:c>
      <x:c r="J77" s="13" t="n">
        <x:v>1</x:v>
      </x:c>
      <x:c r="K77" s="15" t="n">
        <x:v>29</x:v>
      </x:c>
      <x:c r="L77" s="15" t="n">
        <x:f>POWER(0.05,1/K77)</x:f>
        <x:v>0.9018553723227043</x:v>
      </x:c>
      <x:c r="M77" s="9" t="str">
        <x:f>IF(AND(G77=1,H77=1,J77=1),"PASS","FAIL")</x:f>
        <x:v>PASS</x:v>
      </x:c>
      <x:c r="N77" s="9" t="str">
        <x:f>IF(I77=1,"PASS","OPEN")</x:f>
        <x:v>OPEN</x:v>
      </x:c>
    </x:row>
    <x:row r="78">
      <x:c r="B78" s="10" t="str">
        <x:v>KD-72</x:v>
      </x:c>
      <x:c r="C78" s="10" t="str">
        <x:v>ROOT_B</x:v>
      </x:c>
      <x:c r="D78" s="10" t="str">
        <x:v>high-resistance contact</x:v>
      </x:c>
      <x:c r="E78" s="16" t="str">
        <x:v>ABOVE</x:v>
      </x:c>
      <x:c r="F78" s="14" t="n">
        <x:v>1.5</x:v>
      </x:c>
      <x:c r="G78" s="14" t="n">
        <x:v>1</x:v>
      </x:c>
      <x:c r="H78" s="14" t="n">
        <x:v>1</x:v>
      </x:c>
      <x:c r="I78" s="14" t="n">
        <x:v>0</x:v>
      </x:c>
      <x:c r="J78" s="14" t="n">
        <x:v>1</x:v>
      </x:c>
      <x:c r="K78" s="16" t="n">
        <x:v>10</x:v>
      </x:c>
      <x:c r="L78" s="16" t="n">
        <x:f>POWER(0.05,1/K78)</x:f>
        <x:v>0.7411344491069477</x:v>
      </x:c>
      <x:c r="M78" s="10" t="str">
        <x:f>IF(AND(G78=1,H78=1,J78=1),"PASS","FAIL")</x:f>
        <x:v>PASS</x:v>
      </x:c>
      <x:c r="N78" s="10" t="str">
        <x:f>IF(I78=1,"PASS","OPEN")</x:f>
        <x:v>OPEN</x:v>
      </x:c>
    </x:row>
  </x:sheetData>
  <x:mergeCells>
    <x:mergeCell ref="B2:N2"/>
    <x:mergeCell ref="B3:N3"/>
  </x:mergeCells>
  <x:conditionalFormatting sqref="M7:N78">
    <x:cfRule type="containsText" dxfId="52" priority="1" operator="containsText" text="PASS"/>
    <x:cfRule type="containsText" dxfId="53" priority="2" operator="containsText" text="AUTHORIZED"/>
    <x:cfRule type="containsText" dxfId="54" priority="3" operator="containsText" text="DEFINED"/>
    <x:cfRule type="containsText" dxfId="55" priority="4" operator="containsText" text="READY"/>
    <x:cfRule type="containsText" dxfId="56" priority="5" operator="containsText" text="HOLD"/>
    <x:cfRule type="containsText" dxfId="57" priority="6" operator="containsText" text="OPEN"/>
    <x:cfRule type="containsText" dxfId="58" priority="7" operator="containsText" text="BLOCKED"/>
    <x:cfRule type="containsText" dxfId="59" priority="8" operator="containsText" text="PLANNING"/>
    <x:cfRule type="containsText" dxfId="60" priority="9" operator="containsText" text="QUARANTINE"/>
    <x:cfRule type="containsText" dxfId="61" priority="10" operator="containsText" text="FAIL"/>
    <x:cfRule type="containsText" dxfId="62" priority="11" operator="containsText" text="REJECT"/>
    <x:cfRule type="containsText" dxfId="63" priority="12" operator="containsText" text="INCOMPLETE"/>
    <x:cfRule type="containsText" dxfId="64" priority="13" operator="containsText" text="STOP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2" hidden="0" customWidth="1"/>
    <x:col min="3" max="3" width="14" hidden="0" customWidth="1"/>
    <x:col min="4" max="4" width="24" hidden="0" customWidth="1"/>
    <x:col min="5" max="5" width="38" hidden="0" customWidth="1"/>
    <x:col min="6" max="6" width="40" hidden="0" customWidth="1"/>
    <x:col min="7" max="7" width="20" hidden="0" customWidth="1"/>
    <x:col min="8" max="8" width="15" hidden="0" customWidth="1"/>
    <x:col min="9" max="9" width="16" hidden="0" customWidth="1"/>
    <x:col min="10" max="10" width="17" hidden="0" customWidth="1"/>
    <x:col min="11" max="11" width="15" hidden="0" customWidth="1"/>
    <x:col min="12" max="12" width="15" hidden="0" customWidth="1"/>
  </x:cols>
  <x:sheetData>
    <x:row r="2">
      <x:c r="B2" s="37" t="str">
        <x:v>Twelve full-scale coupled subarticles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8" t="str">
        <x:v>Coupon evidence cannot close geometry, boundary stiffness, fault, fluid or dynamic-system questions.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Article</x:v>
      </x:c>
      <x:c r="C6" s="7" t="str">
        <x:v>Root</x:v>
      </x:c>
      <x:c r="D6" s="7" t="str">
        <x:v>Family</x:v>
      </x:c>
      <x:c r="E6" s="7" t="str">
        <x:v>Embodiment</x:v>
      </x:c>
      <x:c r="F6" s="7" t="str">
        <x:v>Question</x:v>
      </x:c>
      <x:c r="G6" s="7" t="str">
        <x:v>Planned cycles/shots</x:v>
      </x:c>
      <x:c r="H6" s="7" t="str">
        <x:v>Full geometry</x:v>
      </x:c>
      <x:c r="I6" s="7" t="str">
        <x:v>Fixture defined</x:v>
      </x:c>
      <x:c r="J6" s="7" t="str">
        <x:v>Source accepted</x:v>
      </x:c>
      <x:c r="K6" s="7" t="str">
        <x:v>Planning gate</x:v>
      </x:c>
      <x:c r="L6" s="7" t="str">
        <x:v>Physical gate</x:v>
      </x:c>
    </x:row>
    <x:row r="7">
      <x:c r="B7" s="9" t="str">
        <x:v>SA1-A</x:v>
      </x:c>
      <x:c r="C7" s="9" t="str">
        <x:v>ROOT_A</x:v>
      </x:c>
      <x:c r="D7" s="9" t="str">
        <x:v>support/reaction node</x:v>
      </x:c>
      <x:c r="E7" s="9" t="str">
        <x:v>welded frame and machined pad</x:v>
      </x:c>
      <x:c r="F7" s="9" t="str">
        <x:v>load transfer/distortion/survey</x:v>
      </x:c>
      <x:c r="G7" s="11" t="n">
        <x:v>200</x:v>
      </x:c>
      <x:c r="H7" s="11" t="n">
        <x:v>1</x:v>
      </x:c>
      <x:c r="I7" s="11" t="n">
        <x:v>1</x:v>
      </x:c>
      <x:c r="J7" s="11" t="n">
        <x:v>0</x:v>
      </x:c>
      <x:c r="K7" s="9" t="str">
        <x:f>IF(AND(H7=1,I7=1),"PASS","FAIL")</x:f>
        <x:v>PASS</x:v>
      </x:c>
      <x:c r="L7" s="9" t="str">
        <x:f>IF(J7=1,"PASS","OPEN")</x:f>
        <x:v>OPEN</x:v>
      </x:c>
    </x:row>
    <x:row r="8">
      <x:c r="B8" s="9" t="str">
        <x:v>SA1-B</x:v>
      </x:c>
      <x:c r="C8" s="9" t="str">
        <x:v>ROOT_B</x:v>
      </x:c>
      <x:c r="D8" s="9" t="str">
        <x:v>support/reaction node</x:v>
      </x:c>
      <x:c r="E8" s="9" t="str">
        <x:v>shell-grid node insert and pad</x:v>
      </x:c>
      <x:c r="F8" s="9" t="str">
        <x:v>load transfer/damage/survey</x:v>
      </x:c>
      <x:c r="G8" s="11" t="n">
        <x:v>200</x:v>
      </x:c>
      <x:c r="H8" s="11" t="n">
        <x:v>1</x:v>
      </x:c>
      <x:c r="I8" s="11" t="n">
        <x:v>1</x:v>
      </x:c>
      <x:c r="J8" s="11" t="n">
        <x:v>0</x:v>
      </x:c>
      <x:c r="K8" s="9" t="str">
        <x:f>IF(AND(H8=1,I8=1),"PASS","FAIL")</x:f>
        <x:v>PASS</x:v>
      </x:c>
      <x:c r="L8" s="9" t="str">
        <x:f>IF(J8=1,"PASS","OPEN")</x:f>
        <x:v>OPEN</x:v>
      </x:c>
    </x:row>
    <x:row r="9">
      <x:c r="B9" s="9" t="str">
        <x:v>SA2-A</x:v>
      </x:c>
      <x:c r="C9" s="9" t="str">
        <x:v>ROOT_A</x:v>
      </x:c>
      <x:c r="D9" s="9" t="str">
        <x:v>anchor/lift node</x:v>
      </x:c>
      <x:c r="E9" s="9" t="str">
        <x:v>hinge clevis and pin</x:v>
      </x:c>
      <x:c r="F9" s="9" t="str">
        <x:v>combined load/inspectability/repair</x:v>
      </x:c>
      <x:c r="G9" s="11" t="n">
        <x:v>200</x:v>
      </x:c>
      <x:c r="H9" s="11" t="n">
        <x:v>1</x:v>
      </x:c>
      <x:c r="I9" s="11" t="n">
        <x:v>1</x:v>
      </x:c>
      <x:c r="J9" s="11" t="n">
        <x:v>0</x:v>
      </x:c>
      <x:c r="K9" s="9" t="str">
        <x:f>IF(AND(H9=1,I9=1),"PASS","FAIL")</x:f>
        <x:v>PASS</x:v>
      </x:c>
      <x:c r="L9" s="9" t="str">
        <x:f>IF(J9=1,"PASS","OPEN")</x:f>
        <x:v>OPEN</x:v>
      </x:c>
    </x:row>
    <x:row r="10">
      <x:c r="B10" s="9" t="str">
        <x:v>SA2-B</x:v>
      </x:c>
      <x:c r="C10" s="9" t="str">
        <x:v>ROOT_B</x:v>
      </x:c>
      <x:c r="D10" s="9" t="str">
        <x:v>anchor/lift node</x:v>
      </x:c>
      <x:c r="E10" s="9" t="str">
        <x:v>box metal node tie and pin</x:v>
      </x:c>
      <x:c r="F10" s="9" t="str">
        <x:v>combined load/inspectability/repair</x:v>
      </x:c>
      <x:c r="G10" s="11" t="n">
        <x:v>200</x:v>
      </x:c>
      <x:c r="H10" s="11" t="n">
        <x:v>1</x:v>
      </x:c>
      <x:c r="I10" s="11" t="n">
        <x:v>1</x:v>
      </x:c>
      <x:c r="J10" s="11" t="n">
        <x:v>0</x:v>
      </x:c>
      <x:c r="K10" s="9" t="str">
        <x:f>IF(AND(H10=1,I10=1),"PASS","FAIL")</x:f>
        <x:v>PASS</x:v>
      </x:c>
      <x:c r="L10" s="9" t="str">
        <x:f>IF(J10=1,"PASS","OPEN")</x:f>
        <x:v>OPEN</x:v>
      </x:c>
    </x:row>
    <x:row r="11">
      <x:c r="B11" s="9" t="str">
        <x:v>SA3-A</x:v>
      </x:c>
      <x:c r="C11" s="9" t="str">
        <x:v>ROOT_A</x:v>
      </x:c>
      <x:c r="D11" s="9" t="str">
        <x:v>hydraulic collar</x:v>
      </x:c>
      <x:c r="E11" s="9" t="str">
        <x:v>duplex pipe collar seal valve</x:v>
      </x:c>
      <x:c r="F11" s="9" t="str">
        <x:v>bend/pressure/leak/sanitation</x:v>
      </x:c>
      <x:c r="G11" s="11" t="n">
        <x:v>2000</x:v>
      </x:c>
      <x:c r="H11" s="11" t="n">
        <x:v>1</x:v>
      </x:c>
      <x:c r="I11" s="11" t="n">
        <x:v>1</x:v>
      </x:c>
      <x:c r="J11" s="11" t="n">
        <x:v>0</x:v>
      </x:c>
      <x:c r="K11" s="9" t="str">
        <x:f>IF(AND(H11=1,I11=1),"PASS","FAIL")</x:f>
        <x:v>PASS</x:v>
      </x:c>
      <x:c r="L11" s="9" t="str">
        <x:f>IF(J11=1,"PASS","OPEN")</x:f>
        <x:v>OPEN</x:v>
      </x:c>
    </x:row>
    <x:row r="12">
      <x:c r="B12" s="9" t="str">
        <x:v>SA3-B</x:v>
      </x:c>
      <x:c r="C12" s="9" t="str">
        <x:v>ROOT_B</x:v>
      </x:c>
      <x:c r="D12" s="9" t="str">
        <x:v>hydraulic collar</x:v>
      </x:c>
      <x:c r="E12" s="9" t="str">
        <x:v>composite pipe liner collar seal valve</x:v>
      </x:c>
      <x:c r="F12" s="9" t="str">
        <x:v>bend/pressure/leak/sanitation</x:v>
      </x:c>
      <x:c r="G12" s="11" t="n">
        <x:v>2000</x:v>
      </x:c>
      <x:c r="H12" s="11" t="n">
        <x:v>1</x:v>
      </x:c>
      <x:c r="I12" s="11" t="n">
        <x:v>1</x:v>
      </x:c>
      <x:c r="J12" s="11" t="n">
        <x:v>0</x:v>
      </x:c>
      <x:c r="K12" s="9" t="str">
        <x:f>IF(AND(H12=1,I12=1),"PASS","FAIL")</x:f>
        <x:v>PASS</x:v>
      </x:c>
      <x:c r="L12" s="9" t="str">
        <x:f>IF(J12=1,"PASS","OPEN")</x:f>
        <x:v>OPEN</x:v>
      </x:c>
    </x:row>
    <x:row r="13">
      <x:c r="B13" s="9" t="str">
        <x:v>SA4-A</x:v>
      </x:c>
      <x:c r="C13" s="9" t="str">
        <x:v>ROOT_A</x:v>
      </x:c>
      <x:c r="D13" s="9" t="str">
        <x:v>bus/protection</x:v>
      </x:c>
      <x:c r="E13" s="9" t="str">
        <x:v>copper bus source protection feeder</x:v>
      </x:c>
      <x:c r="F13" s="9" t="str">
        <x:v>load/fault/arc/restart</x:v>
      </x:c>
      <x:c r="G13" s="11" t="n">
        <x:v>10</x:v>
      </x:c>
      <x:c r="H13" s="11" t="n">
        <x:v>1</x:v>
      </x:c>
      <x:c r="I13" s="11" t="n">
        <x:v>1</x:v>
      </x:c>
      <x:c r="J13" s="11" t="n">
        <x:v>0</x:v>
      </x:c>
      <x:c r="K13" s="9" t="str">
        <x:f>IF(AND(H13=1,I13=1),"PASS","FAIL")</x:f>
        <x:v>PASS</x:v>
      </x:c>
      <x:c r="L13" s="9" t="str">
        <x:f>IF(J13=1,"PASS","OPEN")</x:f>
        <x:v>OPEN</x:v>
      </x:c>
    </x:row>
    <x:row r="14">
      <x:c r="B14" s="9" t="str">
        <x:v>SA4-B</x:v>
      </x:c>
      <x:c r="C14" s="9" t="str">
        <x:v>ROOT_B</x:v>
      </x:c>
      <x:c r="D14" s="9" t="str">
        <x:v>bus/protection</x:v>
      </x:c>
      <x:c r="E14" s="9" t="str">
        <x:v>aluminum bus source protection feeder</x:v>
      </x:c>
      <x:c r="F14" s="9" t="str">
        <x:v>load/fault/arc/restart</x:v>
      </x:c>
      <x:c r="G14" s="11" t="n">
        <x:v>10</x:v>
      </x:c>
      <x:c r="H14" s="11" t="n">
        <x:v>1</x:v>
      </x:c>
      <x:c r="I14" s="11" t="n">
        <x:v>1</x:v>
      </x:c>
      <x:c r="J14" s="11" t="n">
        <x:v>0</x:v>
      </x:c>
      <x:c r="K14" s="9" t="str">
        <x:f>IF(AND(H14=1,I14=1),"PASS","FAIL")</x:f>
        <x:v>PASS</x:v>
      </x:c>
      <x:c r="L14" s="9" t="str">
        <x:f>IF(J14=1,"PASS","OPEN")</x:f>
        <x:v>OPEN</x:v>
      </x:c>
    </x:row>
    <x:row r="15">
      <x:c r="B15" s="9" t="str">
        <x:v>SA5-A</x:v>
      </x:c>
      <x:c r="C15" s="9" t="str">
        <x:v>ROOT_A</x:v>
      </x:c>
      <x:c r="D15" s="9" t="str">
        <x:v>thermal/evidence</x:v>
      </x:c>
      <x:c r="E15" s="9" t="str">
        <x:v>panel coolant and routes</x:v>
      </x:c>
      <x:c r="F15" s="9" t="str">
        <x:v>heat/deploy/damage/independence</x:v>
      </x:c>
      <x:c r="G15" s="11" t="n">
        <x:v>500</x:v>
      </x:c>
      <x:c r="H15" s="11" t="n">
        <x:v>1</x:v>
      </x:c>
      <x:c r="I15" s="11" t="n">
        <x:v>1</x:v>
      </x:c>
      <x:c r="J15" s="11" t="n">
        <x:v>0</x:v>
      </x:c>
      <x:c r="K15" s="9" t="str">
        <x:f>IF(AND(H15=1,I15=1),"PASS","FAIL")</x:f>
        <x:v>PASS</x:v>
      </x:c>
      <x:c r="L15" s="9" t="str">
        <x:f>IF(J15=1,"PASS","OPEN")</x:f>
        <x:v>OPEN</x:v>
      </x:c>
    </x:row>
    <x:row r="16">
      <x:c r="B16" s="9" t="str">
        <x:v>SA5-B</x:v>
      </x:c>
      <x:c r="C16" s="9" t="str">
        <x:v>ROOT_B</x:v>
      </x:c>
      <x:c r="D16" s="9" t="str">
        <x:v>thermal/evidence</x:v>
      </x:c>
      <x:c r="E16" s="9" t="str">
        <x:v>unlike panel coolant and routes</x:v>
      </x:c>
      <x:c r="F16" s="9" t="str">
        <x:v>heat/deploy/damage/independence</x:v>
      </x:c>
      <x:c r="G16" s="11" t="n">
        <x:v>500</x:v>
      </x:c>
      <x:c r="H16" s="11" t="n">
        <x:v>1</x:v>
      </x:c>
      <x:c r="I16" s="11" t="n">
        <x:v>1</x:v>
      </x:c>
      <x:c r="J16" s="11" t="n">
        <x:v>0</x:v>
      </x:c>
      <x:c r="K16" s="9" t="str">
        <x:f>IF(AND(H16=1,I16=1),"PASS","FAIL")</x:f>
        <x:v>PASS</x:v>
      </x:c>
      <x:c r="L16" s="9" t="str">
        <x:f>IF(J16=1,"PASS","OPEN")</x:f>
        <x:v>OPEN</x:v>
      </x:c>
    </x:row>
    <x:row r="17">
      <x:c r="B17" s="9" t="str">
        <x:v>SA6-A</x:v>
      </x:c>
      <x:c r="C17" s="9" t="str">
        <x:v>ROOT_A</x:v>
      </x:c>
      <x:c r="D17" s="9" t="str">
        <x:v>energy-ballast</x:v>
      </x:c>
      <x:c r="E17" s="9" t="str">
        <x:v>fuel bladder and water chamber</x:v>
      </x:c>
      <x:c r="F17" s="9" t="str">
        <x:v>mass/barrier/custody/safe state</x:v>
      </x:c>
      <x:c r="G17" s="11" t="n">
        <x:v>100</x:v>
      </x:c>
      <x:c r="H17" s="11" t="n">
        <x:v>1</x:v>
      </x:c>
      <x:c r="I17" s="11" t="n">
        <x:v>1</x:v>
      </x:c>
      <x:c r="J17" s="11" t="n">
        <x:v>0</x:v>
      </x:c>
      <x:c r="K17" s="9" t="str">
        <x:f>IF(AND(H17=1,I17=1),"PASS","FAIL")</x:f>
        <x:v>PASS</x:v>
      </x:c>
      <x:c r="L17" s="9" t="str">
        <x:f>IF(J17=1,"PASS","OPEN")</x:f>
        <x:v>OPEN</x:v>
      </x:c>
    </x:row>
    <x:row r="18">
      <x:c r="B18" s="10" t="str">
        <x:v>SA6-B</x:v>
      </x:c>
      <x:c r="C18" s="10" t="str">
        <x:v>ROOT_B</x:v>
      </x:c>
      <x:c r="D18" s="10" t="str">
        <x:v>energy-ballast</x:v>
      </x:c>
      <x:c r="E18" s="10" t="str">
        <x:v>DME cylinder and water annulus</x:v>
      </x:c>
      <x:c r="F18" s="10" t="str">
        <x:v>mass/barrier/custody/safe state</x:v>
      </x:c>
      <x:c r="G18" s="12" t="n">
        <x:v>100</x:v>
      </x:c>
      <x:c r="H18" s="12" t="n">
        <x:v>1</x:v>
      </x:c>
      <x:c r="I18" s="12" t="n">
        <x:v>1</x:v>
      </x:c>
      <x:c r="J18" s="12" t="n">
        <x:v>0</x:v>
      </x:c>
      <x:c r="K18" s="10" t="str">
        <x:f>IF(AND(H18=1,I18=1),"PASS","FAIL")</x:f>
        <x:v>PASS</x:v>
      </x:c>
      <x:c r="L18" s="10" t="str">
        <x:f>IF(J18=1,"PASS","OPEN")</x:f>
        <x:v>OPEN</x:v>
      </x:c>
    </x:row>
  </x:sheetData>
  <x:mergeCells>
    <x:mergeCell ref="B2:L2"/>
    <x:mergeCell ref="B3:L3"/>
  </x:mergeCells>
  <x:conditionalFormatting sqref="K7:L18">
    <x:cfRule type="containsText" dxfId="65" priority="1" operator="containsText" text="PASS"/>
    <x:cfRule type="containsText" dxfId="66" priority="2" operator="containsText" text="AUTHORIZED"/>
    <x:cfRule type="containsText" dxfId="67" priority="3" operator="containsText" text="DEFINED"/>
    <x:cfRule type="containsText" dxfId="68" priority="4" operator="containsText" text="READY"/>
    <x:cfRule type="containsText" dxfId="69" priority="5" operator="containsText" text="HOLD"/>
    <x:cfRule type="containsText" dxfId="70" priority="6" operator="containsText" text="OPEN"/>
    <x:cfRule type="containsText" dxfId="71" priority="7" operator="containsText" text="BLOCKED"/>
    <x:cfRule type="containsText" dxfId="72" priority="8" operator="containsText" text="PLANNING"/>
    <x:cfRule type="containsText" dxfId="73" priority="9" operator="containsText" text="QUARANTINE"/>
    <x:cfRule type="containsText" dxfId="74" priority="10" operator="containsText" text="FAIL"/>
    <x:cfRule type="containsText" dxfId="75" priority="11" operator="containsText" text="REJECT"/>
    <x:cfRule type="containsText" dxfId="76" priority="12" operator="containsText" text="INCOMPLETE"/>
    <x:cfRule type="containsText" dxfId="77" priority="13" operator="containsText" text="STOP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3" hidden="0" customWidth="1"/>
    <x:col min="5" max="5" width="14" hidden="0" customWidth="1"/>
    <x:col min="6" max="6" width="15" hidden="0" customWidth="1"/>
    <x:col min="7" max="7" width="14" hidden="0" customWidth="1"/>
    <x:col min="8" max="8" width="18" hidden="0" customWidth="1"/>
    <x:col min="9" max="9" width="20" hidden="0" customWidth="1"/>
    <x:col min="10" max="10" width="17" hidden="0" customWidth="1"/>
    <x:col min="11" max="11" width="14" hidden="0" customWidth="1"/>
    <x:col min="12" max="12" width="15" hidden="0" customWidth="1"/>
    <x:col min="13" max="13" width="20" hidden="0" customWidth="1"/>
    <x:col min="14" max="14" width="15" hidden="0" customWidth="1"/>
    <x:col min="15" max="15" width="14" hidden="0" customWidth="1"/>
    <x:col min="16" max="16" width="17" hidden="0" customWidth="1"/>
    <x:col min="17" max="17" width="15" hidden="0" customWidth="1"/>
    <x:col min="18" max="18" width="11" hidden="0" customWidth="1"/>
    <x:col min="19" max="19" width="15" hidden="0" customWidth="1"/>
  </x:cols>
  <x:sheetData>
    <x:row r="2">
      <x:c r="B2" s="37" t="str">
        <x:v>Four distributed energy–ballast cassettes per root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</x:row>
    <x:row r="3">
      <x:c r="B3" s="38" t="str">
        <x:v>Fuel consumption is paired with independently contained process-water mass at the same longitudinal station.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</x:row>
    <x:row r="6">
      <x:c r="B6" s="7" t="str">
        <x:v>Cassette</x:v>
      </x:c>
      <x:c r="C6" s="7" t="str">
        <x:v>Root</x:v>
      </x:c>
      <x:c r="D6" s="7" t="str">
        <x:v>Station m</x:v>
      </x:c>
      <x:c r="E6" s="7" t="str">
        <x:v>Start fuel t</x:v>
      </x:c>
      <x:c r="F6" s="7" t="str">
        <x:v>Start ballast t</x:v>
      </x:c>
      <x:c r="G6" s="7" t="str">
        <x:v>Start total t</x:v>
      </x:c>
      <x:c r="H6" s="7" t="str">
        <x:v>Fuel rate root t/h</x:v>
      </x:c>
      <x:c r="I6" s="7" t="str">
        <x:v>Fuel rate cassette t/h</x:v>
      </x:c>
      <x:c r="J6" s="7" t="str">
        <x:v>Fuel consumed t</x:v>
      </x:c>
      <x:c r="K6" s="7" t="str">
        <x:v>End fuel t</x:v>
      </x:c>
      <x:c r="L6" s="7" t="str">
        <x:v>Added water t</x:v>
      </x:c>
      <x:c r="M6" s="7" t="str">
        <x:v>End ballast+water t</x:v>
      </x:c>
      <x:c r="N6" s="7" t="str">
        <x:v>End total t</x:v>
      </x:c>
      <x:c r="O6" s="7" t="str">
        <x:v>Mass delta t</x:v>
      </x:c>
      <x:c r="P6" s="7" t="str">
        <x:v>Within mass band</x:v>
      </x:c>
      <x:c r="Q6" s="7" t="str">
        <x:v>Fuel adequate</x:v>
      </x:c>
      <x:c r="R6" s="7" t="str">
        <x:v>Source</x:v>
      </x:c>
      <x:c r="S6" s="7" t="str">
        <x:v>Physical gate</x:v>
      </x:c>
    </x:row>
    <x:row r="7">
      <x:c r="B7" s="9" t="str">
        <x:v>EBC-A1</x:v>
      </x:c>
      <x:c r="C7" s="9" t="str">
        <x:v>ROOT_A</x:v>
      </x:c>
      <x:c r="D7" s="15" t="n">
        <x:v>2.5</x:v>
      </x:c>
      <x:c r="E7" s="15" t="n">
        <x:f>'Controls'!$D$26/'Controls'!$D$32</x:f>
        <x:v>0.8</x:v>
      </x:c>
      <x:c r="F7" s="15" t="n">
        <x:f>'Controls'!$D$27/'Controls'!$D$32</x:f>
        <x:v>0.825</x:v>
      </x:c>
      <x:c r="G7" s="15" t="n">
        <x:f>E7+F7</x:f>
        <x:v>1.625</x:v>
      </x:c>
      <x:c r="H7" s="15" t="n">
        <x:f>'Controls'!$D$22/'Controls'!$D$25/'Controls'!$D$24</x:f>
        <x:v>0.33367442274324866</x:v>
      </x:c>
      <x:c r="I7" s="15" t="n">
        <x:f>H7/'Controls'!$D$32</x:f>
        <x:v>0.08341860568581216</x:v>
      </x:c>
      <x:c r="J7" s="15" t="n">
        <x:f>I7*'Controls'!$D$23</x:f>
        <x:v>0.6673488454864973</x:v>
      </x:c>
      <x:c r="K7" s="15" t="n">
        <x:f>E7-J7</x:f>
        <x:v>0.13265115451350273</x:v>
      </x:c>
      <x:c r="L7" s="15" t="n">
        <x:f>J7</x:f>
        <x:v>0.6673488454864973</x:v>
      </x:c>
      <x:c r="M7" s="15" t="n">
        <x:f>F7+L7</x:f>
        <x:v>1.4923488454864973</x:v>
      </x:c>
      <x:c r="N7" s="15" t="n">
        <x:f>K7+M7</x:f>
        <x:v>1.625</x:v>
      </x:c>
      <x:c r="O7" s="15" t="n">
        <x:f>N7-G7</x:f>
        <x:v>0</x:v>
      </x:c>
      <x:c r="P7" s="15" t="str">
        <x:f>IF(ABS(O7)&lt;='Controls'!$D$34,"PASS","FAIL")</x:f>
        <x:v>PASS</x:v>
      </x:c>
      <x:c r="Q7" s="15" t="str">
        <x:f>IF(K7&gt;=0,"PASS","FAIL")</x:f>
        <x:v>PASS</x:v>
      </x:c>
      <x:c r="R7" s="15" t="n">
        <x:v>0</x:v>
      </x:c>
      <x:c r="S7" s="9" t="str">
        <x:f>IF(R7=1,"PASS","OPEN")</x:f>
        <x:v>OPEN</x:v>
      </x:c>
    </x:row>
    <x:row r="8">
      <x:c r="B8" s="9" t="str">
        <x:v>EBC-A2</x:v>
      </x:c>
      <x:c r="C8" s="9" t="str">
        <x:v>ROOT_A</x:v>
      </x:c>
      <x:c r="D8" s="15" t="n">
        <x:v>4.8</x:v>
      </x:c>
      <x:c r="E8" s="15" t="n">
        <x:f>'Controls'!$D$26/'Controls'!$D$32</x:f>
        <x:v>0.8</x:v>
      </x:c>
      <x:c r="F8" s="15" t="n">
        <x:f>'Controls'!$D$27/'Controls'!$D$32</x:f>
        <x:v>0.825</x:v>
      </x:c>
      <x:c r="G8" s="15" t="n">
        <x:f>E8+F8</x:f>
        <x:v>1.625</x:v>
      </x:c>
      <x:c r="H8" s="15" t="n">
        <x:f>'Controls'!$D$22/'Controls'!$D$25/'Controls'!$D$24</x:f>
        <x:v>0.33367442274324866</x:v>
      </x:c>
      <x:c r="I8" s="15" t="n">
        <x:f>H8/'Controls'!$D$32</x:f>
        <x:v>0.08341860568581216</x:v>
      </x:c>
      <x:c r="J8" s="15" t="n">
        <x:f>I8*'Controls'!$D$23</x:f>
        <x:v>0.6673488454864973</x:v>
      </x:c>
      <x:c r="K8" s="15" t="n">
        <x:f>E8-J8</x:f>
        <x:v>0.13265115451350273</x:v>
      </x:c>
      <x:c r="L8" s="15" t="n">
        <x:f>J8</x:f>
        <x:v>0.6673488454864973</x:v>
      </x:c>
      <x:c r="M8" s="15" t="n">
        <x:f>F8+L8</x:f>
        <x:v>1.4923488454864973</x:v>
      </x:c>
      <x:c r="N8" s="15" t="n">
        <x:f>K8+M8</x:f>
        <x:v>1.625</x:v>
      </x:c>
      <x:c r="O8" s="15" t="n">
        <x:f>N8-G8</x:f>
        <x:v>0</x:v>
      </x:c>
      <x:c r="P8" s="15" t="str">
        <x:f>IF(ABS(O8)&lt;='Controls'!$D$34,"PASS","FAIL")</x:f>
        <x:v>PASS</x:v>
      </x:c>
      <x:c r="Q8" s="15" t="str">
        <x:f>IF(K8&gt;=0,"PASS","FAIL")</x:f>
        <x:v>PASS</x:v>
      </x:c>
      <x:c r="R8" s="15" t="n">
        <x:v>0</x:v>
      </x:c>
      <x:c r="S8" s="9" t="str">
        <x:f>IF(R8=1,"PASS","OPEN")</x:f>
        <x:v>OPEN</x:v>
      </x:c>
    </x:row>
    <x:row r="9">
      <x:c r="B9" s="9" t="str">
        <x:v>EBC-A3</x:v>
      </x:c>
      <x:c r="C9" s="9" t="str">
        <x:v>ROOT_A</x:v>
      </x:c>
      <x:c r="D9" s="15" t="n">
        <x:v>7.2</x:v>
      </x:c>
      <x:c r="E9" s="15" t="n">
        <x:f>'Controls'!$D$26/'Controls'!$D$32</x:f>
        <x:v>0.8</x:v>
      </x:c>
      <x:c r="F9" s="15" t="n">
        <x:f>'Controls'!$D$27/'Controls'!$D$32</x:f>
        <x:v>0.825</x:v>
      </x:c>
      <x:c r="G9" s="15" t="n">
        <x:f>E9+F9</x:f>
        <x:v>1.625</x:v>
      </x:c>
      <x:c r="H9" s="15" t="n">
        <x:f>'Controls'!$D$22/'Controls'!$D$25/'Controls'!$D$24</x:f>
        <x:v>0.33367442274324866</x:v>
      </x:c>
      <x:c r="I9" s="15" t="n">
        <x:f>H9/'Controls'!$D$32</x:f>
        <x:v>0.08341860568581216</x:v>
      </x:c>
      <x:c r="J9" s="15" t="n">
        <x:f>I9*'Controls'!$D$23</x:f>
        <x:v>0.6673488454864973</x:v>
      </x:c>
      <x:c r="K9" s="15" t="n">
        <x:f>E9-J9</x:f>
        <x:v>0.13265115451350273</x:v>
      </x:c>
      <x:c r="L9" s="15" t="n">
        <x:f>J9</x:f>
        <x:v>0.6673488454864973</x:v>
      </x:c>
      <x:c r="M9" s="15" t="n">
        <x:f>F9+L9</x:f>
        <x:v>1.4923488454864973</x:v>
      </x:c>
      <x:c r="N9" s="15" t="n">
        <x:f>K9+M9</x:f>
        <x:v>1.625</x:v>
      </x:c>
      <x:c r="O9" s="15" t="n">
        <x:f>N9-G9</x:f>
        <x:v>0</x:v>
      </x:c>
      <x:c r="P9" s="15" t="str">
        <x:f>IF(ABS(O9)&lt;='Controls'!$D$34,"PASS","FAIL")</x:f>
        <x:v>PASS</x:v>
      </x:c>
      <x:c r="Q9" s="15" t="str">
        <x:f>IF(K9&gt;=0,"PASS","FAIL")</x:f>
        <x:v>PASS</x:v>
      </x:c>
      <x:c r="R9" s="15" t="n">
        <x:v>0</x:v>
      </x:c>
      <x:c r="S9" s="9" t="str">
        <x:f>IF(R9=1,"PASS","OPEN")</x:f>
        <x:v>OPEN</x:v>
      </x:c>
    </x:row>
    <x:row r="10">
      <x:c r="B10" s="9" t="str">
        <x:v>EBC-A4</x:v>
      </x:c>
      <x:c r="C10" s="9" t="str">
        <x:v>ROOT_A</x:v>
      </x:c>
      <x:c r="D10" s="15" t="n">
        <x:v>9.5</x:v>
      </x:c>
      <x:c r="E10" s="15" t="n">
        <x:f>'Controls'!$D$26/'Controls'!$D$32</x:f>
        <x:v>0.8</x:v>
      </x:c>
      <x:c r="F10" s="15" t="n">
        <x:f>'Controls'!$D$27/'Controls'!$D$32</x:f>
        <x:v>0.825</x:v>
      </x:c>
      <x:c r="G10" s="15" t="n">
        <x:f>E10+F10</x:f>
        <x:v>1.625</x:v>
      </x:c>
      <x:c r="H10" s="15" t="n">
        <x:f>'Controls'!$D$22/'Controls'!$D$25/'Controls'!$D$24</x:f>
        <x:v>0.33367442274324866</x:v>
      </x:c>
      <x:c r="I10" s="15" t="n">
        <x:f>H10/'Controls'!$D$32</x:f>
        <x:v>0.08341860568581216</x:v>
      </x:c>
      <x:c r="J10" s="15" t="n">
        <x:f>I10*'Controls'!$D$23</x:f>
        <x:v>0.6673488454864973</x:v>
      </x:c>
      <x:c r="K10" s="15" t="n">
        <x:f>E10-J10</x:f>
        <x:v>0.13265115451350273</x:v>
      </x:c>
      <x:c r="L10" s="15" t="n">
        <x:f>J10</x:f>
        <x:v>0.6673488454864973</x:v>
      </x:c>
      <x:c r="M10" s="15" t="n">
        <x:f>F10+L10</x:f>
        <x:v>1.4923488454864973</x:v>
      </x:c>
      <x:c r="N10" s="15" t="n">
        <x:f>K10+M10</x:f>
        <x:v>1.625</x:v>
      </x:c>
      <x:c r="O10" s="15" t="n">
        <x:f>N10-G10</x:f>
        <x:v>0</x:v>
      </x:c>
      <x:c r="P10" s="15" t="str">
        <x:f>IF(ABS(O10)&lt;='Controls'!$D$34,"PASS","FAIL")</x:f>
        <x:v>PASS</x:v>
      </x:c>
      <x:c r="Q10" s="15" t="str">
        <x:f>IF(K10&gt;=0,"PASS","FAIL")</x:f>
        <x:v>PASS</x:v>
      </x:c>
      <x:c r="R10" s="15" t="n">
        <x:v>0</x:v>
      </x:c>
      <x:c r="S10" s="9" t="str">
        <x:f>IF(R10=1,"PASS","OPEN")</x:f>
        <x:v>OPEN</x:v>
      </x:c>
    </x:row>
    <x:row r="11">
      <x:c r="B11" s="9" t="str">
        <x:v>EBC-B1</x:v>
      </x:c>
      <x:c r="C11" s="9" t="str">
        <x:v>ROOT_B</x:v>
      </x:c>
      <x:c r="D11" s="15" t="n">
        <x:v>2.5</x:v>
      </x:c>
      <x:c r="E11" s="15" t="n">
        <x:f>'Controls'!$D$30/'Controls'!$D$32</x:f>
        <x:v>1.1</x:v>
      </x:c>
      <x:c r="F11" s="15" t="n">
        <x:f>'Controls'!$D$31/'Controls'!$D$32</x:f>
        <x:v>0.525</x:v>
      </x:c>
      <x:c r="G11" s="15" t="n">
        <x:f>E11+F11</x:f>
        <x:v>1.625</x:v>
      </x:c>
      <x:c r="H11" s="15" t="n">
        <x:f>'Controls'!$D$22/'Controls'!$D$29/'Controls'!$D$28</x:f>
        <x:v>0.45093795093795097</x:v>
      </x:c>
      <x:c r="I11" s="15" t="n">
        <x:f>H11/'Controls'!$D$32</x:f>
        <x:v>0.11273448773448774</x:v>
      </x:c>
      <x:c r="J11" s="15" t="n">
        <x:f>I11*'Controls'!$D$23</x:f>
        <x:v>0.9018759018759019</x:v>
      </x:c>
      <x:c r="K11" s="15" t="n">
        <x:f>E11-J11</x:f>
        <x:v>0.19812409812409815</x:v>
      </x:c>
      <x:c r="L11" s="15" t="n">
        <x:f>J11</x:f>
        <x:v>0.9018759018759019</x:v>
      </x:c>
      <x:c r="M11" s="15" t="n">
        <x:f>F11+L11</x:f>
        <x:v>1.4268759018759019</x:v>
      </x:c>
      <x:c r="N11" s="15" t="n">
        <x:f>K11+M11</x:f>
        <x:v>1.625</x:v>
      </x:c>
      <x:c r="O11" s="15" t="n">
        <x:f>N11-G11</x:f>
        <x:v>0</x:v>
      </x:c>
      <x:c r="P11" s="15" t="str">
        <x:f>IF(ABS(O11)&lt;='Controls'!$D$34,"PASS","FAIL")</x:f>
        <x:v>PASS</x:v>
      </x:c>
      <x:c r="Q11" s="15" t="str">
        <x:f>IF(K11&gt;=0,"PASS","FAIL")</x:f>
        <x:v>PASS</x:v>
      </x:c>
      <x:c r="R11" s="15" t="n">
        <x:v>0</x:v>
      </x:c>
      <x:c r="S11" s="9" t="str">
        <x:f>IF(R11=1,"PASS","OPEN")</x:f>
        <x:v>OPEN</x:v>
      </x:c>
    </x:row>
    <x:row r="12">
      <x:c r="B12" s="9" t="str">
        <x:v>EBC-B2</x:v>
      </x:c>
      <x:c r="C12" s="9" t="str">
        <x:v>ROOT_B</x:v>
      </x:c>
      <x:c r="D12" s="15" t="n">
        <x:v>4.8</x:v>
      </x:c>
      <x:c r="E12" s="15" t="n">
        <x:f>'Controls'!$D$30/'Controls'!$D$32</x:f>
        <x:v>1.1</x:v>
      </x:c>
      <x:c r="F12" s="15" t="n">
        <x:f>'Controls'!$D$31/'Controls'!$D$32</x:f>
        <x:v>0.525</x:v>
      </x:c>
      <x:c r="G12" s="15" t="n">
        <x:f>E12+F12</x:f>
        <x:v>1.625</x:v>
      </x:c>
      <x:c r="H12" s="15" t="n">
        <x:f>'Controls'!$D$22/'Controls'!$D$29/'Controls'!$D$28</x:f>
        <x:v>0.45093795093795097</x:v>
      </x:c>
      <x:c r="I12" s="15" t="n">
        <x:f>H12/'Controls'!$D$32</x:f>
        <x:v>0.11273448773448774</x:v>
      </x:c>
      <x:c r="J12" s="15" t="n">
        <x:f>I12*'Controls'!$D$23</x:f>
        <x:v>0.9018759018759019</x:v>
      </x:c>
      <x:c r="K12" s="15" t="n">
        <x:f>E12-J12</x:f>
        <x:v>0.19812409812409815</x:v>
      </x:c>
      <x:c r="L12" s="15" t="n">
        <x:f>J12</x:f>
        <x:v>0.9018759018759019</x:v>
      </x:c>
      <x:c r="M12" s="15" t="n">
        <x:f>F12+L12</x:f>
        <x:v>1.4268759018759019</x:v>
      </x:c>
      <x:c r="N12" s="15" t="n">
        <x:f>K12+M12</x:f>
        <x:v>1.625</x:v>
      </x:c>
      <x:c r="O12" s="15" t="n">
        <x:f>N12-G12</x:f>
        <x:v>0</x:v>
      </x:c>
      <x:c r="P12" s="15" t="str">
        <x:f>IF(ABS(O12)&lt;='Controls'!$D$34,"PASS","FAIL")</x:f>
        <x:v>PASS</x:v>
      </x:c>
      <x:c r="Q12" s="15" t="str">
        <x:f>IF(K12&gt;=0,"PASS","FAIL")</x:f>
        <x:v>PASS</x:v>
      </x:c>
      <x:c r="R12" s="15" t="n">
        <x:v>0</x:v>
      </x:c>
      <x:c r="S12" s="9" t="str">
        <x:f>IF(R12=1,"PASS","OPEN")</x:f>
        <x:v>OPEN</x:v>
      </x:c>
    </x:row>
    <x:row r="13">
      <x:c r="B13" s="9" t="str">
        <x:v>EBC-B3</x:v>
      </x:c>
      <x:c r="C13" s="9" t="str">
        <x:v>ROOT_B</x:v>
      </x:c>
      <x:c r="D13" s="15" t="n">
        <x:v>7.2</x:v>
      </x:c>
      <x:c r="E13" s="15" t="n">
        <x:f>'Controls'!$D$30/'Controls'!$D$32</x:f>
        <x:v>1.1</x:v>
      </x:c>
      <x:c r="F13" s="15" t="n">
        <x:f>'Controls'!$D$31/'Controls'!$D$32</x:f>
        <x:v>0.525</x:v>
      </x:c>
      <x:c r="G13" s="15" t="n">
        <x:f>E13+F13</x:f>
        <x:v>1.625</x:v>
      </x:c>
      <x:c r="H13" s="15" t="n">
        <x:f>'Controls'!$D$22/'Controls'!$D$29/'Controls'!$D$28</x:f>
        <x:v>0.45093795093795097</x:v>
      </x:c>
      <x:c r="I13" s="15" t="n">
        <x:f>H13/'Controls'!$D$32</x:f>
        <x:v>0.11273448773448774</x:v>
      </x:c>
      <x:c r="J13" s="15" t="n">
        <x:f>I13*'Controls'!$D$23</x:f>
        <x:v>0.9018759018759019</x:v>
      </x:c>
      <x:c r="K13" s="15" t="n">
        <x:f>E13-J13</x:f>
        <x:v>0.19812409812409815</x:v>
      </x:c>
      <x:c r="L13" s="15" t="n">
        <x:f>J13</x:f>
        <x:v>0.9018759018759019</x:v>
      </x:c>
      <x:c r="M13" s="15" t="n">
        <x:f>F13+L13</x:f>
        <x:v>1.4268759018759019</x:v>
      </x:c>
      <x:c r="N13" s="15" t="n">
        <x:f>K13+M13</x:f>
        <x:v>1.625</x:v>
      </x:c>
      <x:c r="O13" s="15" t="n">
        <x:f>N13-G13</x:f>
        <x:v>0</x:v>
      </x:c>
      <x:c r="P13" s="15" t="str">
        <x:f>IF(ABS(O13)&lt;='Controls'!$D$34,"PASS","FAIL")</x:f>
        <x:v>PASS</x:v>
      </x:c>
      <x:c r="Q13" s="15" t="str">
        <x:f>IF(K13&gt;=0,"PASS","FAIL")</x:f>
        <x:v>PASS</x:v>
      </x:c>
      <x:c r="R13" s="15" t="n">
        <x:v>0</x:v>
      </x:c>
      <x:c r="S13" s="9" t="str">
        <x:f>IF(R13=1,"PASS","OPEN")</x:f>
        <x:v>OPEN</x:v>
      </x:c>
    </x:row>
    <x:row r="14">
      <x:c r="B14" s="9" t="str">
        <x:v>EBC-B4</x:v>
      </x:c>
      <x:c r="C14" s="9" t="str">
        <x:v>ROOT_B</x:v>
      </x:c>
      <x:c r="D14" s="15" t="n">
        <x:v>9.5</x:v>
      </x:c>
      <x:c r="E14" s="15" t="n">
        <x:f>'Controls'!$D$30/'Controls'!$D$32</x:f>
        <x:v>1.1</x:v>
      </x:c>
      <x:c r="F14" s="15" t="n">
        <x:f>'Controls'!$D$31/'Controls'!$D$32</x:f>
        <x:v>0.525</x:v>
      </x:c>
      <x:c r="G14" s="15" t="n">
        <x:f>E14+F14</x:f>
        <x:v>1.625</x:v>
      </x:c>
      <x:c r="H14" s="15" t="n">
        <x:f>'Controls'!$D$22/'Controls'!$D$29/'Controls'!$D$28</x:f>
        <x:v>0.45093795093795097</x:v>
      </x:c>
      <x:c r="I14" s="15" t="n">
        <x:f>H14/'Controls'!$D$32</x:f>
        <x:v>0.11273448773448774</x:v>
      </x:c>
      <x:c r="J14" s="15" t="n">
        <x:f>I14*'Controls'!$D$23</x:f>
        <x:v>0.9018759018759019</x:v>
      </x:c>
      <x:c r="K14" s="15" t="n">
        <x:f>E14-J14</x:f>
        <x:v>0.19812409812409815</x:v>
      </x:c>
      <x:c r="L14" s="15" t="n">
        <x:f>J14</x:f>
        <x:v>0.9018759018759019</x:v>
      </x:c>
      <x:c r="M14" s="15" t="n">
        <x:f>F14+L14</x:f>
        <x:v>1.4268759018759019</x:v>
      </x:c>
      <x:c r="N14" s="15" t="n">
        <x:f>K14+M14</x:f>
        <x:v>1.625</x:v>
      </x:c>
      <x:c r="O14" s="15" t="n">
        <x:f>N14-G14</x:f>
        <x:v>0</x:v>
      </x:c>
      <x:c r="P14" s="15" t="str">
        <x:f>IF(ABS(O14)&lt;='Controls'!$D$34,"PASS","FAIL")</x:f>
        <x:v>PASS</x:v>
      </x:c>
      <x:c r="Q14" s="15" t="str">
        <x:f>IF(K14&gt;=0,"PASS","FAIL")</x:f>
        <x:v>PASS</x:v>
      </x:c>
      <x:c r="R14" s="15" t="n">
        <x:v>0</x:v>
      </x:c>
      <x:c r="S14" s="9" t="str">
        <x:f>IF(R14=1,"PASS","OPEN")</x:f>
        <x:v>OPEN</x:v>
      </x:c>
    </x:row>
    <x:row r="15">
      <x:c r="B15" s="9"/>
      <x:c r="C15" s="9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9"/>
    </x:row>
    <x:row r="16">
      <x:c r="B16" s="9"/>
      <x:c r="C16" s="9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9"/>
    </x:row>
    <x:row r="17">
      <x:c r="B17" s="9"/>
      <x:c r="C17" s="9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9"/>
    </x:row>
    <x:row r="18">
      <x:c r="B18" s="19" t="str">
        <x:v>Root totals and custody controls</x:v>
      </x:c>
      <x:c r="C18" s="19" t="str">
        <x:v>Root totals and custody controls</x:v>
      </x:c>
      <x:c r="D18" s="20" t="str">
        <x:v>Root totals and custody controls</x:v>
      </x:c>
      <x:c r="E18" s="20" t="str">
        <x:v>Root totals and custody controls</x:v>
      </x:c>
      <x:c r="F18" s="20" t="str">
        <x:v>Root totals and custody controls</x:v>
      </x:c>
      <x:c r="G18" s="20" t="str">
        <x:v>Root totals and custody controls</x:v>
      </x:c>
      <x:c r="H18" s="20" t="str">
        <x:v>Root totals and custody controls</x:v>
      </x:c>
      <x:c r="I18" s="20" t="str">
        <x:v>Root totals and custody controls</x:v>
      </x:c>
      <x:c r="J18" s="20" t="str">
        <x:v>Root totals and custody controls</x:v>
      </x:c>
      <x:c r="K18" s="20" t="str">
        <x:v>Root totals and custody controls</x:v>
      </x:c>
      <x:c r="L18" s="20" t="str">
        <x:v>Root totals and custody controls</x:v>
      </x:c>
      <x:c r="M18" s="20" t="str">
        <x:v>Root totals and custody controls</x:v>
      </x:c>
      <x:c r="N18" s="20" t="str">
        <x:v>Root totals and custody controls</x:v>
      </x:c>
      <x:c r="O18" s="20" t="str">
        <x:v>Root totals and custody controls</x:v>
      </x:c>
      <x:c r="P18" s="20" t="str">
        <x:v>Root totals and custody controls</x:v>
      </x:c>
      <x:c r="Q18" s="20" t="str">
        <x:v>Root totals and custody controls</x:v>
      </x:c>
      <x:c r="R18" s="20" t="str">
        <x:v>Root totals and custody controls</x:v>
      </x:c>
      <x:c r="S18" s="19" t="str">
        <x:v>Root totals and custody controls</x:v>
      </x:c>
    </x:row>
    <x:row r="19">
      <x:c r="B19" s="7" t="str">
        <x:v>Root</x:v>
      </x:c>
      <x:c r="C19" s="7" t="str">
        <x:v>Start fuel</x:v>
      </x:c>
      <x:c r="D19" s="21" t="str">
        <x:v>Start ballast</x:v>
      </x:c>
      <x:c r="E19" s="21" t="str">
        <x:v>Fuel rate t/h</x:v>
      </x:c>
      <x:c r="F19" s="21" t="str">
        <x:v>Fuel consumed</x:v>
      </x:c>
      <x:c r="G19" s="21" t="str">
        <x:v>Water added</x:v>
      </x:c>
      <x:c r="H19" s="21" t="str">
        <x:v>Start total</x:v>
      </x:c>
      <x:c r="I19" s="21" t="str">
        <x:v>End total</x:v>
      </x:c>
      <x:c r="J19" s="21" t="str">
        <x:v>Mass delta</x:v>
      </x:c>
      <x:c r="K19" s="21" t="str">
        <x:v>Rate kg/s</x:v>
      </x:c>
      <x:c r="L19" s="21" t="str">
        <x:v>Planning gate</x:v>
      </x:c>
      <x:c r="M19" s="15"/>
      <x:c r="N19" s="15"/>
      <x:c r="O19" s="15"/>
      <x:c r="P19" s="15"/>
      <x:c r="Q19" s="15"/>
      <x:c r="R19" s="15"/>
      <x:c r="S19" s="9"/>
    </x:row>
    <x:row r="20">
      <x:c r="B20" s="9" t="str">
        <x:v>ROOT_A</x:v>
      </x:c>
      <x:c r="C20" s="9" t="n">
        <x:f>SUM(E7:E10)</x:f>
        <x:v>3.2</x:v>
      </x:c>
      <x:c r="D20" s="15" t="n">
        <x:f>SUM(F7:F10)</x:f>
        <x:v>3.3</x:v>
      </x:c>
      <x:c r="E20" s="15" t="n">
        <x:f>MAX(H7:H10)</x:f>
        <x:v>0.33367442274324866</x:v>
      </x:c>
      <x:c r="F20" s="15" t="n">
        <x:f>SUM(J7:J10)</x:f>
        <x:v>2.6693953819459892</x:v>
      </x:c>
      <x:c r="G20" s="15" t="n">
        <x:f>SUM(L7:L10)</x:f>
        <x:v>2.6693953819459892</x:v>
      </x:c>
      <x:c r="H20" s="15" t="n">
        <x:f>SUM(G7:G10)</x:f>
        <x:v>6.5</x:v>
      </x:c>
      <x:c r="I20" s="15" t="n">
        <x:f>SUM(N7:N10)</x:f>
        <x:v>6.5</x:v>
      </x:c>
      <x:c r="J20" s="15" t="n">
        <x:f>I20-H20</x:f>
        <x:v>0</x:v>
      </x:c>
      <x:c r="K20" s="15" t="n">
        <x:f>E20*1000/3600</x:f>
        <x:v>0.09268733965090241</x:v>
      </x:c>
      <x:c r="L20" s="15" t="str">
        <x:f>IF(AND(ABS(J20)&lt;='Controls'!$D$34,F20&lt;=C20),"PASS","FAIL")</x:f>
        <x:v>PASS</x:v>
      </x:c>
      <x:c r="M20" s="15"/>
      <x:c r="N20" s="15"/>
      <x:c r="O20" s="15"/>
      <x:c r="P20" s="15"/>
      <x:c r="Q20" s="15"/>
      <x:c r="R20" s="15"/>
      <x:c r="S20" s="9"/>
    </x:row>
    <x:row r="21">
      <x:c r="B21" s="9" t="str">
        <x:v>ROOT_B</x:v>
      </x:c>
      <x:c r="C21" s="9" t="n">
        <x:f>SUM(E11:E14)</x:f>
        <x:v>4.4</x:v>
      </x:c>
      <x:c r="D21" s="15" t="n">
        <x:f>SUM(F11:F14)</x:f>
        <x:v>2.1</x:v>
      </x:c>
      <x:c r="E21" s="15" t="n">
        <x:f>MAX(H11:H14)</x:f>
        <x:v>0.45093795093795097</x:v>
      </x:c>
      <x:c r="F21" s="15" t="n">
        <x:f>SUM(J11:J14)</x:f>
        <x:v>3.6075036075036078</x:v>
      </x:c>
      <x:c r="G21" s="15" t="n">
        <x:f>SUM(L11:L14)</x:f>
        <x:v>3.6075036075036078</x:v>
      </x:c>
      <x:c r="H21" s="15" t="n">
        <x:f>SUM(G11:G14)</x:f>
        <x:v>6.5</x:v>
      </x:c>
      <x:c r="I21" s="15" t="n">
        <x:f>SUM(N11:N14)</x:f>
        <x:v>6.5</x:v>
      </x:c>
      <x:c r="J21" s="15" t="n">
        <x:f>I21-H21</x:f>
        <x:v>0</x:v>
      </x:c>
      <x:c r="K21" s="15" t="n">
        <x:f>E21*1000/3600</x:f>
        <x:v>0.1252605419272086</x:v>
      </x:c>
      <x:c r="L21" s="15" t="str">
        <x:f>IF(AND(ABS(J21)&lt;='Controls'!$D$34,F21&lt;=C21),"PASS","FAIL")</x:f>
        <x:v>PASS</x:v>
      </x:c>
      <x:c r="M21" s="15"/>
      <x:c r="N21" s="15"/>
      <x:c r="O21" s="15"/>
      <x:c r="P21" s="15"/>
      <x:c r="Q21" s="15"/>
      <x:c r="R21" s="15"/>
      <x:c r="S21" s="9"/>
    </x:row>
    <x:row r="22">
      <x:c r="B22" s="9"/>
      <x:c r="C22" s="9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9"/>
    </x:row>
    <x:row r="23">
      <x:c r="B23" s="9"/>
      <x:c r="C23" s="9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9"/>
    </x:row>
    <x:row r="24">
      <x:c r="B24" s="7" t="str">
        <x:v>Control</x:v>
      </x:c>
      <x:c r="C24" s="7" t="str">
        <x:v>Value</x:v>
      </x:c>
      <x:c r="D24" s="21" t="str">
        <x:v>Limit</x:v>
      </x:c>
      <x:c r="E24" s="21" t="str">
        <x:v>Relation</x:v>
      </x:c>
      <x:c r="F24" s="21" t="str">
        <x:v>Gate</x:v>
      </x:c>
      <x:c r="G24" s="21" t="str">
        <x:v>Meaning</x:v>
      </x:c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9"/>
    </x:row>
    <x:row r="25">
      <x:c r="B25" s="9" t="str">
        <x:v>cassette mass band</x:v>
      </x:c>
      <x:c r="C25" s="9" t="n">
        <x:v>0.01</x:v>
      </x:c>
      <x:c r="D25" s="15" t="n">
        <x:f>'Controls'!$D$34</x:f>
        <x:v>0.01</x:v>
      </x:c>
      <x:c r="E25" s="15" t="str">
        <x:v>LE</x:v>
      </x:c>
      <x:c r="F25" s="15" t="str">
        <x:f>IF(C25&lt;=D25,"PASS","FAIL")</x:f>
        <x:v>PASS</x:v>
      </x:c>
      <x:c r="G25" s="15" t="str">
        <x:v>mass-preserving transfer</x:v>
      </x:c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9"/>
    </x:row>
    <x:row r="26">
      <x:c r="B26" s="9" t="str">
        <x:v>cross-cassette imbalance</x:v>
      </x:c>
      <x:c r="C26" s="9" t="n">
        <x:v>0</x:v>
      </x:c>
      <x:c r="D26" s="15" t="n">
        <x:f>'Controls'!$D$35</x:f>
        <x:v>0.02</x:v>
      </x:c>
      <x:c r="E26" s="15" t="str">
        <x:v>LE</x:v>
      </x:c>
      <x:c r="F26" s="15" t="str">
        <x:f>IF(C26&lt;=D26,"PASS","FAIL")</x:f>
        <x:v>PASS</x:v>
      </x:c>
      <x:c r="G26" s="15" t="str">
        <x:v>distributed CG</x:v>
      </x:c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9"/>
    </x:row>
    <x:row r="27">
      <x:c r="B27" s="10" t="str">
        <x:v>meter/load-cell discrepancy</x:v>
      </x:c>
      <x:c r="C27" s="10" t="n">
        <x:v>0</x:v>
      </x:c>
      <x:c r="D27" s="16" t="n">
        <x:f>'Controls'!$D$36</x:f>
        <x:v>0.005</x:v>
      </x:c>
      <x:c r="E27" s="16" t="str">
        <x:v>LE</x:v>
      </x:c>
      <x:c r="F27" s="16" t="str">
        <x:f>IF(C27&lt;=D27,"PASS","FAIL")</x:f>
        <x:v>PASS</x:v>
      </x:c>
      <x:c r="G27" s="16" t="str">
        <x:v>independent custody</x:v>
      </x:c>
      <x:c r="H27" s="16"/>
      <x:c r="I27" s="16"/>
      <x:c r="J27" s="16"/>
      <x:c r="K27" s="16"/>
      <x:c r="L27" s="16"/>
      <x:c r="M27" s="16"/>
      <x:c r="N27" s="16"/>
      <x:c r="O27" s="16"/>
      <x:c r="P27" s="16"/>
      <x:c r="Q27" s="16"/>
      <x:c r="R27" s="16"/>
      <x:c r="S27" s="10"/>
    </x:row>
  </x:sheetData>
  <x:mergeCells>
    <x:mergeCell ref="B2:R2"/>
    <x:mergeCell ref="B3:R3"/>
    <x:mergeCell ref="B18:S18"/>
  </x:mergeCells>
  <x:conditionalFormatting sqref="P7:Q14">
    <x:cfRule type="containsText" dxfId="78" priority="1" operator="containsText" text="PASS"/>
    <x:cfRule type="containsText" dxfId="79" priority="2" operator="containsText" text="AUTHORIZED"/>
    <x:cfRule type="containsText" dxfId="80" priority="3" operator="containsText" text="DEFINED"/>
    <x:cfRule type="containsText" dxfId="81" priority="4" operator="containsText" text="READY"/>
    <x:cfRule type="containsText" dxfId="82" priority="5" operator="containsText" text="HOLD"/>
    <x:cfRule type="containsText" dxfId="83" priority="6" operator="containsText" text="OPEN"/>
    <x:cfRule type="containsText" dxfId="84" priority="7" operator="containsText" text="BLOCKED"/>
    <x:cfRule type="containsText" dxfId="85" priority="8" operator="containsText" text="PLANNING"/>
    <x:cfRule type="containsText" dxfId="86" priority="9" operator="containsText" text="QUARANTINE"/>
    <x:cfRule type="containsText" dxfId="87" priority="10" operator="containsText" text="FAIL"/>
    <x:cfRule type="containsText" dxfId="88" priority="11" operator="containsText" text="REJECT"/>
    <x:cfRule type="containsText" dxfId="89" priority="12" operator="containsText" text="INCOMPLETE"/>
    <x:cfRule type="containsText" dxfId="90" priority="13" operator="containsText" text="STOP"/>
  </x:conditionalFormatting>
  <x:conditionalFormatting sqref="S7:S14">
    <x:cfRule type="containsText" dxfId="91" priority="14" operator="containsText" text="PASS"/>
    <x:cfRule type="containsText" dxfId="92" priority="15" operator="containsText" text="AUTHORIZED"/>
    <x:cfRule type="containsText" dxfId="93" priority="16" operator="containsText" text="DEFINED"/>
    <x:cfRule type="containsText" dxfId="94" priority="17" operator="containsText" text="READY"/>
    <x:cfRule type="containsText" dxfId="95" priority="18" operator="containsText" text="HOLD"/>
    <x:cfRule type="containsText" dxfId="96" priority="19" operator="containsText" text="OPEN"/>
    <x:cfRule type="containsText" dxfId="97" priority="20" operator="containsText" text="BLOCKED"/>
    <x:cfRule type="containsText" dxfId="98" priority="21" operator="containsText" text="PLANNING"/>
    <x:cfRule type="containsText" dxfId="99" priority="22" operator="containsText" text="QUARANTINE"/>
    <x:cfRule type="containsText" dxfId="100" priority="23" operator="containsText" text="FAIL"/>
    <x:cfRule type="containsText" dxfId="101" priority="24" operator="containsText" text="REJECT"/>
    <x:cfRule type="containsText" dxfId="102" priority="25" operator="containsText" text="INCOMPLETE"/>
    <x:cfRule type="containsText" dxfId="103" priority="26" operator="containsText" text="STOP"/>
  </x:conditionalFormatting>
  <x:conditionalFormatting sqref="L20:L21">
    <x:cfRule type="containsText" dxfId="104" priority="27" operator="containsText" text="PASS"/>
    <x:cfRule type="containsText" dxfId="105" priority="28" operator="containsText" text="AUTHORIZED"/>
    <x:cfRule type="containsText" dxfId="106" priority="29" operator="containsText" text="DEFINED"/>
    <x:cfRule type="containsText" dxfId="107" priority="30" operator="containsText" text="READY"/>
    <x:cfRule type="containsText" dxfId="108" priority="31" operator="containsText" text="HOLD"/>
    <x:cfRule type="containsText" dxfId="109" priority="32" operator="containsText" text="OPEN"/>
    <x:cfRule type="containsText" dxfId="110" priority="33" operator="containsText" text="BLOCKED"/>
    <x:cfRule type="containsText" dxfId="111" priority="34" operator="containsText" text="PLANNING"/>
    <x:cfRule type="containsText" dxfId="112" priority="35" operator="containsText" text="QUARANTINE"/>
    <x:cfRule type="containsText" dxfId="113" priority="36" operator="containsText" text="FAIL"/>
    <x:cfRule type="containsText" dxfId="114" priority="37" operator="containsText" text="REJECT"/>
    <x:cfRule type="containsText" dxfId="115" priority="38" operator="containsText" text="INCOMPLETE"/>
    <x:cfRule type="containsText" dxfId="116" priority="39" operator="containsText" text="STOP"/>
  </x:conditionalFormatting>
  <x:conditionalFormatting sqref="F25:F27">
    <x:cfRule type="containsText" dxfId="117" priority="40" operator="containsText" text="PASS"/>
    <x:cfRule type="containsText" dxfId="118" priority="41" operator="containsText" text="AUTHORIZED"/>
    <x:cfRule type="containsText" dxfId="119" priority="42" operator="containsText" text="DEFINED"/>
    <x:cfRule type="containsText" dxfId="120" priority="43" operator="containsText" text="READY"/>
    <x:cfRule type="containsText" dxfId="121" priority="44" operator="containsText" text="HOLD"/>
    <x:cfRule type="containsText" dxfId="122" priority="45" operator="containsText" text="OPEN"/>
    <x:cfRule type="containsText" dxfId="123" priority="46" operator="containsText" text="BLOCKED"/>
    <x:cfRule type="containsText" dxfId="124" priority="47" operator="containsText" text="PLANNING"/>
    <x:cfRule type="containsText" dxfId="125" priority="48" operator="containsText" text="QUARANTINE"/>
    <x:cfRule type="containsText" dxfId="126" priority="49" operator="containsText" text="FAIL"/>
    <x:cfRule type="containsText" dxfId="127" priority="50" operator="containsText" text="REJECT"/>
    <x:cfRule type="containsText" dxfId="128" priority="51" operator="containsText" text="INCOMPLETE"/>
    <x:cfRule type="containsText" dxfId="129" priority="52" operator="containsText" text="STOP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4" hidden="0" customWidth="1"/>
    <x:col min="4" max="4" width="23" hidden="0" customWidth="1"/>
    <x:col min="5" max="5" width="32" hidden="0" customWidth="1"/>
    <x:col min="6" max="6" width="17" hidden="0" customWidth="1"/>
    <x:col min="7" max="7" width="26" hidden="0" customWidth="1"/>
    <x:col min="8" max="8" width="17" hidden="0" customWidth="1"/>
    <x:col min="9" max="9" width="14" hidden="0" customWidth="1"/>
    <x:col min="10" max="10" width="19" hidden="0" customWidth="1"/>
    <x:col min="11" max="11" width="18" hidden="0" customWidth="1"/>
    <x:col min="12" max="12" width="14" hidden="0" customWidth="1"/>
  </x:cols>
  <x:sheetData>
    <x:row r="2">
      <x:c r="B2" s="37" t="str">
        <x:v>Proposed process-window register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8" t="str">
        <x:v>Definitions design experiments; qualification needs physical edge and interaction evidence.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ID</x:v>
      </x:c>
      <x:c r="C6" s="7" t="str">
        <x:v>Root</x:v>
      </x:c>
      <x:c r="D6" s="7" t="str">
        <x:v>Process</x:v>
      </x:c>
      <x:c r="E6" s="7" t="str">
        <x:v>Variable set</x:v>
      </x:c>
      <x:c r="F6" s="7" t="str">
        <x:v>Unit</x:v>
      </x:c>
      <x:c r="G6" s="7" t="str">
        <x:v>Mechanism</x:v>
      </x:c>
      <x:c r="H6" s="7" t="str">
        <x:v>Nominal defined</x:v>
      </x:c>
      <x:c r="I6" s="7" t="str">
        <x:v>Edges defined</x:v>
      </x:c>
      <x:c r="J6" s="7" t="str">
        <x:v>Interactions defined</x:v>
      </x:c>
      <x:c r="K6" s="7" t="str">
        <x:v>Source qualified</x:v>
      </x:c>
      <x:c r="L6" s="7" t="str">
        <x:v>Gate</x:v>
      </x:c>
    </x:row>
    <x:row r="7">
      <x:c r="B7" s="9" t="str">
        <x:v>PW01</x:v>
      </x:c>
      <x:c r="C7" s="9" t="str">
        <x:v>ROOT_A</x:v>
      </x:c>
      <x:c r="D7" s="9" t="str">
        <x:v>structural weld</x:v>
      </x:c>
      <x:c r="E7" s="9" t="str">
        <x:v>heat input</x:v>
      </x:c>
      <x:c r="F7" s="9" t="str">
        <x:v>kJ/mm</x:v>
      </x:c>
      <x:c r="G7" s="9" t="str">
        <x:v>toughness/distortion</x:v>
      </x:c>
      <x:c r="H7" s="11" t="n">
        <x:v>1</x:v>
      </x:c>
      <x:c r="I7" s="11" t="n">
        <x:v>1</x:v>
      </x:c>
      <x:c r="J7" s="11" t="n">
        <x:v>1</x:v>
      </x:c>
      <x:c r="K7" s="11" t="n">
        <x:v>0</x:v>
      </x:c>
      <x:c r="L7" s="9" t="str">
        <x:f>IF(AND(H7=1,I7=1,J7=1),"PASS","FAIL")</x:f>
        <x:v>PASS</x:v>
      </x:c>
    </x:row>
    <x:row r="8">
      <x:c r="B8" s="9" t="str">
        <x:v>PW02</x:v>
      </x:c>
      <x:c r="C8" s="9" t="str">
        <x:v>ROOT_A</x:v>
      </x:c>
      <x:c r="D8" s="9" t="str">
        <x:v>structural weld</x:v>
      </x:c>
      <x:c r="E8" s="9" t="str">
        <x:v>interpass temperature</x:v>
      </x:c>
      <x:c r="F8" s="9" t="str">
        <x:v>deg C</x:v>
      </x:c>
      <x:c r="G8" s="9" t="str">
        <x:v>metallurgy</x:v>
      </x:c>
      <x:c r="H8" s="11" t="n">
        <x:v>1</x:v>
      </x:c>
      <x:c r="I8" s="11" t="n">
        <x:v>1</x:v>
      </x:c>
      <x:c r="J8" s="11" t="n">
        <x:v>1</x:v>
      </x:c>
      <x:c r="K8" s="11" t="n">
        <x:v>0</x:v>
      </x:c>
      <x:c r="L8" s="9" t="str">
        <x:f>IF(AND(H8=1,I8=1,J8=1),"PASS","FAIL")</x:f>
        <x:v>PASS</x:v>
      </x:c>
    </x:row>
    <x:row r="9">
      <x:c r="B9" s="9" t="str">
        <x:v>PW03</x:v>
      </x:c>
      <x:c r="C9" s="9" t="str">
        <x:v>ROOT_A</x:v>
      </x:c>
      <x:c r="D9" s="9" t="str">
        <x:v>structural weld</x:v>
      </x:c>
      <x:c r="E9" s="9" t="str">
        <x:v>hydrogen control</x:v>
      </x:c>
      <x:c r="F9" s="9" t="str">
        <x:v>condition</x:v>
      </x:c>
      <x:c r="G9" s="9" t="str">
        <x:v>cracking</x:v>
      </x:c>
      <x:c r="H9" s="11" t="n">
        <x:v>1</x:v>
      </x:c>
      <x:c r="I9" s="11" t="n">
        <x:v>1</x:v>
      </x:c>
      <x:c r="J9" s="11" t="n">
        <x:v>1</x:v>
      </x:c>
      <x:c r="K9" s="11" t="n">
        <x:v>0</x:v>
      </x:c>
      <x:c r="L9" s="9" t="str">
        <x:f>IF(AND(H9=1,I9=1,J9=1),"PASS","FAIL")</x:f>
        <x:v>PASS</x:v>
      </x:c>
    </x:row>
    <x:row r="10">
      <x:c r="B10" s="9" t="str">
        <x:v>PW04</x:v>
      </x:c>
      <x:c r="C10" s="9" t="str">
        <x:v>ROOT_A</x:v>
      </x:c>
      <x:c r="D10" s="9" t="str">
        <x:v>duplex pipe weld</x:v>
      </x:c>
      <x:c r="E10" s="9" t="str">
        <x:v>purge oxygen</x:v>
      </x:c>
      <x:c r="F10" s="9" t="str">
        <x:v>ppm</x:v>
      </x:c>
      <x:c r="G10" s="9" t="str">
        <x:v>corrosion/sanitation</x:v>
      </x:c>
      <x:c r="H10" s="11" t="n">
        <x:v>1</x:v>
      </x:c>
      <x:c r="I10" s="11" t="n">
        <x:v>1</x:v>
      </x:c>
      <x:c r="J10" s="11" t="n">
        <x:v>1</x:v>
      </x:c>
      <x:c r="K10" s="11" t="n">
        <x:v>0</x:v>
      </x:c>
      <x:c r="L10" s="9" t="str">
        <x:f>IF(AND(H10=1,I10=1,J10=1),"PASS","FAIL")</x:f>
        <x:v>PASS</x:v>
      </x:c>
    </x:row>
    <x:row r="11">
      <x:c r="B11" s="9" t="str">
        <x:v>PW05</x:v>
      </x:c>
      <x:c r="C11" s="9" t="str">
        <x:v>ROOT_A</x:v>
      </x:c>
      <x:c r="D11" s="9" t="str">
        <x:v>passivation</x:v>
      </x:c>
      <x:c r="E11" s="9" t="str">
        <x:v>chemistry/time</x:v>
      </x:c>
      <x:c r="F11" s="9" t="str">
        <x:v>condition</x:v>
      </x:c>
      <x:c r="G11" s="9" t="str">
        <x:v>surface release</x:v>
      </x:c>
      <x:c r="H11" s="11" t="n">
        <x:v>1</x:v>
      </x:c>
      <x:c r="I11" s="11" t="n">
        <x:v>1</x:v>
      </x:c>
      <x:c r="J11" s="11" t="n">
        <x:v>1</x:v>
      </x:c>
      <x:c r="K11" s="11" t="n">
        <x:v>0</x:v>
      </x:c>
      <x:c r="L11" s="9" t="str">
        <x:f>IF(AND(H11=1,I11=1,J11=1),"PASS","FAIL")</x:f>
        <x:v>PASS</x:v>
      </x:c>
    </x:row>
    <x:row r="12">
      <x:c r="B12" s="9" t="str">
        <x:v>PW06</x:v>
      </x:c>
      <x:c r="C12" s="9" t="str">
        <x:v>ROOT_A</x:v>
      </x:c>
      <x:c r="D12" s="9" t="str">
        <x:v>collar</x:v>
      </x:c>
      <x:c r="E12" s="9" t="str">
        <x:v>bolt elongation</x:v>
      </x:c>
      <x:c r="F12" s="9" t="str">
        <x:v>mm</x:v>
      </x:c>
      <x:c r="G12" s="9" t="str">
        <x:v>seal/bending</x:v>
      </x:c>
      <x:c r="H12" s="11" t="n">
        <x:v>1</x:v>
      </x:c>
      <x:c r="I12" s="11" t="n">
        <x:v>1</x:v>
      </x:c>
      <x:c r="J12" s="11" t="n">
        <x:v>1</x:v>
      </x:c>
      <x:c r="K12" s="11" t="n">
        <x:v>0</x:v>
      </x:c>
      <x:c r="L12" s="9" t="str">
        <x:f>IF(AND(H12=1,I12=1,J12=1),"PASS","FAIL")</x:f>
        <x:v>PASS</x:v>
      </x:c>
    </x:row>
    <x:row r="13">
      <x:c r="B13" s="9" t="str">
        <x:v>PW07</x:v>
      </x:c>
      <x:c r="C13" s="9" t="str">
        <x:v>ROOT_A</x:v>
      </x:c>
      <x:c r="D13" s="9" t="str">
        <x:v>copper contact</x:v>
      </x:c>
      <x:c r="E13" s="9" t="str">
        <x:v>surface age/resistance</x:v>
      </x:c>
      <x:c r="F13" s="9" t="str">
        <x:v>micro-ohm</x:v>
      </x:c>
      <x:c r="G13" s="9" t="str">
        <x:v>heat/protection</x:v>
      </x:c>
      <x:c r="H13" s="11" t="n">
        <x:v>1</x:v>
      </x:c>
      <x:c r="I13" s="11" t="n">
        <x:v>1</x:v>
      </x:c>
      <x:c r="J13" s="11" t="n">
        <x:v>1</x:v>
      </x:c>
      <x:c r="K13" s="11" t="n">
        <x:v>0</x:v>
      </x:c>
      <x:c r="L13" s="9" t="str">
        <x:f>IF(AND(H13=1,I13=1,J13=1),"PASS","FAIL")</x:f>
        <x:v>PASS</x:v>
      </x:c>
    </x:row>
    <x:row r="14">
      <x:c r="B14" s="9" t="str">
        <x:v>PW08</x:v>
      </x:c>
      <x:c r="C14" s="9" t="str">
        <x:v>ROOT_A</x:v>
      </x:c>
      <x:c r="D14" s="9" t="str">
        <x:v>fuel bladder</x:v>
      </x:c>
      <x:c r="E14" s="9" t="str">
        <x:v>barrier leak</x:v>
      </x:c>
      <x:c r="F14" s="9" t="str">
        <x:v>rate</x:v>
      </x:c>
      <x:c r="G14" s="9" t="str">
        <x:v>fuel/water isolation</x:v>
      </x:c>
      <x:c r="H14" s="11" t="n">
        <x:v>1</x:v>
      </x:c>
      <x:c r="I14" s="11" t="n">
        <x:v>1</x:v>
      </x:c>
      <x:c r="J14" s="11" t="n">
        <x:v>1</x:v>
      </x:c>
      <x:c r="K14" s="11" t="n">
        <x:v>0</x:v>
      </x:c>
      <x:c r="L14" s="9" t="str">
        <x:f>IF(AND(H14=1,I14=1,J14=1),"PASS","FAIL")</x:f>
        <x:v>PASS</x:v>
      </x:c>
    </x:row>
    <x:row r="15">
      <x:c r="B15" s="9" t="str">
        <x:v>PW09</x:v>
      </x:c>
      <x:c r="C15" s="9" t="str">
        <x:v>ROOT_A</x:v>
      </x:c>
      <x:c r="D15" s="9" t="str">
        <x:v>thermal panel</x:v>
      </x:c>
      <x:c r="E15" s="9" t="str">
        <x:v>deployment force</x:v>
      </x:c>
      <x:c r="F15" s="9" t="str">
        <x:v>N</x:v>
      </x:c>
      <x:c r="G15" s="9" t="str">
        <x:v>route damage</x:v>
      </x:c>
      <x:c r="H15" s="11" t="n">
        <x:v>1</x:v>
      </x:c>
      <x:c r="I15" s="11" t="n">
        <x:v>1</x:v>
      </x:c>
      <x:c r="J15" s="11" t="n">
        <x:v>1</x:v>
      </x:c>
      <x:c r="K15" s="11" t="n">
        <x:v>0</x:v>
      </x:c>
      <x:c r="L15" s="9" t="str">
        <x:f>IF(AND(H15=1,I15=1,J15=1),"PASS","FAIL")</x:f>
        <x:v>PASS</x:v>
      </x:c>
    </x:row>
    <x:row r="16">
      <x:c r="B16" s="9" t="str">
        <x:v>PW10</x:v>
      </x:c>
      <x:c r="C16" s="9" t="str">
        <x:v>ROOT_A</x:v>
      </x:c>
      <x:c r="D16" s="9" t="str">
        <x:v>evidence route</x:v>
      </x:c>
      <x:c r="E16" s="9" t="str">
        <x:v>continuity/clock</x:v>
      </x:c>
      <x:c r="F16" s="9" t="str">
        <x:v>binary/ns</x:v>
      </x:c>
      <x:c r="G16" s="9" t="str">
        <x:v>causal record</x:v>
      </x:c>
      <x:c r="H16" s="11" t="n">
        <x:v>1</x:v>
      </x:c>
      <x:c r="I16" s="11" t="n">
        <x:v>1</x:v>
      </x:c>
      <x:c r="J16" s="11" t="n">
        <x:v>1</x:v>
      </x:c>
      <x:c r="K16" s="11" t="n">
        <x:v>0</x:v>
      </x:c>
      <x:c r="L16" s="9" t="str">
        <x:f>IF(AND(H16=1,I16=1,J16=1),"PASS","FAIL")</x:f>
        <x:v>PASS</x:v>
      </x:c>
    </x:row>
    <x:row r="17">
      <x:c r="B17" s="9" t="str">
        <x:v>PW11</x:v>
      </x:c>
      <x:c r="C17" s="9" t="str">
        <x:v>ROOT_B</x:v>
      </x:c>
      <x:c r="D17" s="9" t="str">
        <x:v>consolidation</x:v>
      </x:c>
      <x:c r="E17" s="9" t="str">
        <x:v>temperature/pressure/time</x:v>
      </x:c>
      <x:c r="F17" s="9" t="str">
        <x:v>field</x:v>
      </x:c>
      <x:c r="G17" s="9" t="str">
        <x:v>void/crystallinity</x:v>
      </x:c>
      <x:c r="H17" s="11" t="n">
        <x:v>1</x:v>
      </x:c>
      <x:c r="I17" s="11" t="n">
        <x:v>1</x:v>
      </x:c>
      <x:c r="J17" s="11" t="n">
        <x:v>1</x:v>
      </x:c>
      <x:c r="K17" s="11" t="n">
        <x:v>0</x:v>
      </x:c>
      <x:c r="L17" s="9" t="str">
        <x:f>IF(AND(H17=1,I17=1,J17=1),"PASS","FAIL")</x:f>
        <x:v>PASS</x:v>
      </x:c>
    </x:row>
    <x:row r="18">
      <x:c r="B18" s="9" t="str">
        <x:v>PW12</x:v>
      </x:c>
      <x:c r="C18" s="9" t="str">
        <x:v>ROOT_B</x:v>
      </x:c>
      <x:c r="D18" s="9" t="str">
        <x:v>tape placement</x:v>
      </x:c>
      <x:c r="E18" s="9" t="str">
        <x:v>gap/overlap/fiber angle</x:v>
      </x:c>
      <x:c r="F18" s="9" t="str">
        <x:v>mm/deg</x:v>
      </x:c>
      <x:c r="G18" s="9" t="str">
        <x:v>strength/damage</x:v>
      </x:c>
      <x:c r="H18" s="11" t="n">
        <x:v>1</x:v>
      </x:c>
      <x:c r="I18" s="11" t="n">
        <x:v>1</x:v>
      </x:c>
      <x:c r="J18" s="11" t="n">
        <x:v>1</x:v>
      </x:c>
      <x:c r="K18" s="11" t="n">
        <x:v>0</x:v>
      </x:c>
      <x:c r="L18" s="9" t="str">
        <x:f>IF(AND(H18=1,I18=1,J18=1),"PASS","FAIL")</x:f>
        <x:v>PASS</x:v>
      </x:c>
    </x:row>
    <x:row r="19">
      <x:c r="B19" s="9" t="str">
        <x:v>PW13</x:v>
      </x:c>
      <x:c r="C19" s="9" t="str">
        <x:v>ROOT_B</x:v>
      </x:c>
      <x:c r="D19" s="9" t="str">
        <x:v>induction join</x:v>
      </x:c>
      <x:c r="E19" s="9" t="str">
        <x:v>energy/travel/pressure</x:v>
      </x:c>
      <x:c r="F19" s="9" t="str">
        <x:v>field</x:v>
      </x:c>
      <x:c r="G19" s="9" t="str">
        <x:v>closure</x:v>
      </x:c>
      <x:c r="H19" s="11" t="n">
        <x:v>1</x:v>
      </x:c>
      <x:c r="I19" s="11" t="n">
        <x:v>1</x:v>
      </x:c>
      <x:c r="J19" s="11" t="n">
        <x:v>1</x:v>
      </x:c>
      <x:c r="K19" s="11" t="n">
        <x:v>0</x:v>
      </x:c>
      <x:c r="L19" s="9" t="str">
        <x:f>IF(AND(H19=1,I19=1,J19=1),"PASS","FAIL")</x:f>
        <x:v>PASS</x:v>
      </x:c>
    </x:row>
    <x:row r="20">
      <x:c r="B20" s="9" t="str">
        <x:v>PW14</x:v>
      </x:c>
      <x:c r="C20" s="9" t="str">
        <x:v>ROOT_B</x:v>
      </x:c>
      <x:c r="D20" s="9" t="str">
        <x:v>secondary bond</x:v>
      </x:c>
      <x:c r="E20" s="9" t="str">
        <x:v>surface age/energy</x:v>
      </x:c>
      <x:c r="F20" s="9" t="str">
        <x:v>h/mN-m</x:v>
      </x:c>
      <x:c r="G20" s="9" t="str">
        <x:v>adhesion</x:v>
      </x:c>
      <x:c r="H20" s="11" t="n">
        <x:v>1</x:v>
      </x:c>
      <x:c r="I20" s="11" t="n">
        <x:v>1</x:v>
      </x:c>
      <x:c r="J20" s="11" t="n">
        <x:v>1</x:v>
      </x:c>
      <x:c r="K20" s="11" t="n">
        <x:v>0</x:v>
      </x:c>
      <x:c r="L20" s="9" t="str">
        <x:f>IF(AND(H20=1,I20=1,J20=1),"PASS","FAIL")</x:f>
        <x:v>PASS</x:v>
      </x:c>
    </x:row>
    <x:row r="21">
      <x:c r="B21" s="9" t="str">
        <x:v>PW15</x:v>
      </x:c>
      <x:c r="C21" s="9" t="str">
        <x:v>ROOT_B</x:v>
      </x:c>
      <x:c r="D21" s="9" t="str">
        <x:v>insert transfer</x:v>
      </x:c>
      <x:c r="E21" s="9" t="str">
        <x:v>location/bondline</x:v>
      </x:c>
      <x:c r="F21" s="9" t="str">
        <x:v>mm</x:v>
      </x:c>
      <x:c r="G21" s="9" t="str">
        <x:v>load path</x:v>
      </x:c>
      <x:c r="H21" s="11" t="n">
        <x:v>1</x:v>
      </x:c>
      <x:c r="I21" s="11" t="n">
        <x:v>1</x:v>
      </x:c>
      <x:c r="J21" s="11" t="n">
        <x:v>1</x:v>
      </x:c>
      <x:c r="K21" s="11" t="n">
        <x:v>0</x:v>
      </x:c>
      <x:c r="L21" s="9" t="str">
        <x:f>IF(AND(H21=1,I21=1,J21=1),"PASS","FAIL")</x:f>
        <x:v>PASS</x:v>
      </x:c>
    </x:row>
    <x:row r="22">
      <x:c r="B22" s="9" t="str">
        <x:v>PW16</x:v>
      </x:c>
      <x:c r="C22" s="9" t="str">
        <x:v>ROOT_B</x:v>
      </x:c>
      <x:c r="D22" s="9" t="str">
        <x:v>pipe/liner</x:v>
      </x:c>
      <x:c r="E22" s="9" t="str">
        <x:v>angle/tension/continuity</x:v>
      </x:c>
      <x:c r="F22" s="9" t="str">
        <x:v>field</x:v>
      </x:c>
      <x:c r="G22" s="9" t="str">
        <x:v>pressure/sanitation</x:v>
      </x:c>
      <x:c r="H22" s="11" t="n">
        <x:v>1</x:v>
      </x:c>
      <x:c r="I22" s="11" t="n">
        <x:v>1</x:v>
      </x:c>
      <x:c r="J22" s="11" t="n">
        <x:v>1</x:v>
      </x:c>
      <x:c r="K22" s="11" t="n">
        <x:v>0</x:v>
      </x:c>
      <x:c r="L22" s="9" t="str">
        <x:f>IF(AND(H22=1,I22=1,J22=1),"PASS","FAIL")</x:f>
        <x:v>PASS</x:v>
      </x:c>
    </x:row>
    <x:row r="23">
      <x:c r="B23" s="9" t="str">
        <x:v>PW17</x:v>
      </x:c>
      <x:c r="C23" s="9" t="str">
        <x:v>ROOT_B</x:v>
      </x:c>
      <x:c r="D23" s="9" t="str">
        <x:v>aluminum contact</x:v>
      </x:c>
      <x:c r="E23" s="9" t="str">
        <x:v>oxide age/resistance</x:v>
      </x:c>
      <x:c r="F23" s="9" t="str">
        <x:v>min/micro-ohm</x:v>
      </x:c>
      <x:c r="G23" s="9" t="str">
        <x:v>heat/protection</x:v>
      </x:c>
      <x:c r="H23" s="11" t="n">
        <x:v>1</x:v>
      </x:c>
      <x:c r="I23" s="11" t="n">
        <x:v>1</x:v>
      </x:c>
      <x:c r="J23" s="11" t="n">
        <x:v>1</x:v>
      </x:c>
      <x:c r="K23" s="11" t="n">
        <x:v>0</x:v>
      </x:c>
      <x:c r="L23" s="9" t="str">
        <x:f>IF(AND(H23=1,I23=1,J23=1),"PASS","FAIL")</x:f>
        <x:v>PASS</x:v>
      </x:c>
    </x:row>
    <x:row r="24">
      <x:c r="B24" s="9" t="str">
        <x:v>PW18</x:v>
      </x:c>
      <x:c r="C24" s="9" t="str">
        <x:v>ROOT_B</x:v>
      </x:c>
      <x:c r="D24" s="9" t="str">
        <x:v>DME cylinder</x:v>
      </x:c>
      <x:c r="E24" s="9" t="str">
        <x:v>proof/barrier leak</x:v>
      </x:c>
      <x:c r="F24" s="9" t="str">
        <x:v>MPa/rate</x:v>
      </x:c>
      <x:c r="G24" s="9" t="str">
        <x:v>fuel/water isolation</x:v>
      </x:c>
      <x:c r="H24" s="11" t="n">
        <x:v>1</x:v>
      </x:c>
      <x:c r="I24" s="11" t="n">
        <x:v>1</x:v>
      </x:c>
      <x:c r="J24" s="11" t="n">
        <x:v>1</x:v>
      </x:c>
      <x:c r="K24" s="11" t="n">
        <x:v>0</x:v>
      </x:c>
      <x:c r="L24" s="9" t="str">
        <x:f>IF(AND(H24=1,I24=1,J24=1),"PASS","FAIL")</x:f>
        <x:v>PASS</x:v>
      </x:c>
    </x:row>
    <x:row r="25">
      <x:c r="B25" s="9" t="str">
        <x:v>PW19</x:v>
      </x:c>
      <x:c r="C25" s="9" t="str">
        <x:v>ROOT_B</x:v>
      </x:c>
      <x:c r="D25" s="9" t="str">
        <x:v>thermal panel</x:v>
      </x:c>
      <x:c r="E25" s="9" t="str">
        <x:v>deployment force</x:v>
      </x:c>
      <x:c r="F25" s="9" t="str">
        <x:v>N</x:v>
      </x:c>
      <x:c r="G25" s="9" t="str">
        <x:v>route damage</x:v>
      </x:c>
      <x:c r="H25" s="11" t="n">
        <x:v>1</x:v>
      </x:c>
      <x:c r="I25" s="11" t="n">
        <x:v>1</x:v>
      </x:c>
      <x:c r="J25" s="11" t="n">
        <x:v>1</x:v>
      </x:c>
      <x:c r="K25" s="11" t="n">
        <x:v>0</x:v>
      </x:c>
      <x:c r="L25" s="9" t="str">
        <x:f>IF(AND(H25=1,I25=1,J25=1),"PASS","FAIL")</x:f>
        <x:v>PASS</x:v>
      </x:c>
    </x:row>
    <x:row r="26">
      <x:c r="B26" s="10" t="str">
        <x:v>PW20</x:v>
      </x:c>
      <x:c r="C26" s="10" t="str">
        <x:v>ROOT_B</x:v>
      </x:c>
      <x:c r="D26" s="10" t="str">
        <x:v>evidence route</x:v>
      </x:c>
      <x:c r="E26" s="10" t="str">
        <x:v>continuity/clock</x:v>
      </x:c>
      <x:c r="F26" s="10" t="str">
        <x:v>binary/ns</x:v>
      </x:c>
      <x:c r="G26" s="10" t="str">
        <x:v>causal record</x:v>
      </x:c>
      <x:c r="H26" s="12" t="n">
        <x:v>1</x:v>
      </x:c>
      <x:c r="I26" s="12" t="n">
        <x:v>1</x:v>
      </x:c>
      <x:c r="J26" s="12" t="n">
        <x:v>1</x:v>
      </x:c>
      <x:c r="K26" s="12" t="n">
        <x:v>0</x:v>
      </x:c>
      <x:c r="L26" s="10" t="str">
        <x:f>IF(AND(H26=1,I26=1,J26=1),"PASS","FAIL")</x:f>
        <x:v>PASS</x:v>
      </x:c>
    </x:row>
  </x:sheetData>
  <x:mergeCells>
    <x:mergeCell ref="B2:L2"/>
    <x:mergeCell ref="B3:L3"/>
  </x:mergeCells>
  <x:conditionalFormatting sqref="L7:L26">
    <x:cfRule type="containsText" dxfId="130" priority="1" operator="containsText" text="PASS"/>
    <x:cfRule type="containsText" dxfId="131" priority="2" operator="containsText" text="AUTHORIZED"/>
    <x:cfRule type="containsText" dxfId="132" priority="3" operator="containsText" text="DEFINED"/>
    <x:cfRule type="containsText" dxfId="133" priority="4" operator="containsText" text="READY"/>
    <x:cfRule type="containsText" dxfId="134" priority="5" operator="containsText" text="HOLD"/>
    <x:cfRule type="containsText" dxfId="135" priority="6" operator="containsText" text="OPEN"/>
    <x:cfRule type="containsText" dxfId="136" priority="7" operator="containsText" text="BLOCKED"/>
    <x:cfRule type="containsText" dxfId="137" priority="8" operator="containsText" text="PLANNING"/>
    <x:cfRule type="containsText" dxfId="138" priority="9" operator="containsText" text="QUARANTINE"/>
    <x:cfRule type="containsText" dxfId="139" priority="10" operator="containsText" text="FAIL"/>
    <x:cfRule type="containsText" dxfId="140" priority="11" operator="containsText" text="REJECT"/>
    <x:cfRule type="containsText" dxfId="141" priority="12" operator="containsText" text="INCOMPLETE"/>
    <x:cfRule type="containsText" dxfId="142" priority="13" operator="containsText" text="STOP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14" hidden="0" customWidth="1"/>
    <x:col min="4" max="4" width="34" hidden="0" customWidth="1"/>
    <x:col min="5" max="5" width="38" hidden="0" customWidth="1"/>
    <x:col min="6" max="6" width="24" hidden="0" customWidth="1"/>
    <x:col min="7" max="7" width="17" hidden="0" customWidth="1"/>
    <x:col min="8" max="8" width="16" hidden="0" customWidth="1"/>
    <x:col min="9" max="9" width="14" hidden="0" customWidth="1"/>
    <x:col min="10" max="10" width="17" hidden="0" customWidth="1"/>
    <x:col min="11" max="11" width="19" hidden="0" customWidth="1"/>
    <x:col min="12" max="12" width="17" hidden="0" customWidth="1"/>
    <x:col min="13" max="13" width="14" hidden="0" customWidth="1"/>
  </x:cols>
  <x:sheetData>
    <x:row r="2">
      <x:c r="B2" s="37" t="str">
        <x:v>Nonconformance branch law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>
      <x:c r="B3" s="38" t="str">
        <x:v>Original state, repair consequence and affected population survive every disposition.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</x:row>
    <x:row r="6">
      <x:c r="B6" s="7" t="str">
        <x:v>Class</x:v>
      </x:c>
      <x:c r="C6" s="7" t="str">
        <x:v>Root</x:v>
      </x:c>
      <x:c r="D6" s="7" t="str">
        <x:v>Scope</x:v>
      </x:c>
      <x:c r="E6" s="7" t="str">
        <x:v>Required disposition</x:v>
      </x:c>
      <x:c r="F6" s="7" t="str">
        <x:v>Authority</x:v>
      </x:c>
      <x:c r="G6" s="7" t="str">
        <x:v>Original retained</x:v>
      </x:c>
      <x:c r="H6" s="7" t="str">
        <x:v>Cause recorded</x:v>
      </x:c>
      <x:c r="I6" s="7" t="str">
        <x:v>New witness</x:v>
      </x:c>
      <x:c r="J6" s="7" t="str">
        <x:v>Repeat inspection</x:v>
      </x:c>
      <x:c r="K6" s="7" t="str">
        <x:v>Adjacent population</x:v>
      </x:c>
      <x:c r="L6" s="7" t="str">
        <x:v>Use as is allowed</x:v>
      </x:c>
      <x:c r="M6" s="7" t="str">
        <x:v>Gate</x:v>
      </x:c>
    </x:row>
    <x:row r="7">
      <x:c r="B7" s="9" t="str">
        <x:v>N0</x:v>
      </x:c>
      <x:c r="C7" s="9" t="str">
        <x:v>ROOT_A</x:v>
      </x:c>
      <x:c r="D7" s="9" t="str">
        <x:v>document only</x:v>
      </x:c>
      <x:c r="E7" s="9" t="str">
        <x:v>retain revision history</x:v>
      </x:c>
      <x:c r="F7" s="9" t="str">
        <x:v>document control</x:v>
      </x:c>
      <x:c r="G7" s="11" t="n">
        <x:v>1</x:v>
      </x:c>
      <x:c r="H7" s="11" t="n">
        <x:v>1</x:v>
      </x:c>
      <x:c r="I7" s="11" t="n">
        <x:v>0</x:v>
      </x:c>
      <x:c r="J7" s="11" t="n">
        <x:v>0</x:v>
      </x:c>
      <x:c r="K7" s="11" t="n">
        <x:v>0</x:v>
      </x:c>
      <x:c r="L7" s="9" t="str">
        <x:v>bounded</x:v>
      </x:c>
      <x:c r="M7" s="9" t="str">
        <x:f>IF(AND(G7=1,H7=1,IF(OR(B7="N0",B7="N1"),1,I7)=1),"PASS","FAIL")</x:f>
        <x:v>PASS</x:v>
      </x:c>
    </x:row>
    <x:row r="8">
      <x:c r="B8" s="9" t="str">
        <x:v>N0</x:v>
      </x:c>
      <x:c r="C8" s="9" t="str">
        <x:v>ROOT_B</x:v>
      </x:c>
      <x:c r="D8" s="9" t="str">
        <x:v>document only</x:v>
      </x:c>
      <x:c r="E8" s="9" t="str">
        <x:v>retain revision history</x:v>
      </x:c>
      <x:c r="F8" s="9" t="str">
        <x:v>document control</x:v>
      </x:c>
      <x:c r="G8" s="11" t="n">
        <x:v>1</x:v>
      </x:c>
      <x:c r="H8" s="11" t="n">
        <x:v>1</x:v>
      </x:c>
      <x:c r="I8" s="11" t="n">
        <x:v>0</x:v>
      </x:c>
      <x:c r="J8" s="11" t="n">
        <x:v>0</x:v>
      </x:c>
      <x:c r="K8" s="11" t="n">
        <x:v>0</x:v>
      </x:c>
      <x:c r="L8" s="9" t="str">
        <x:v>bounded</x:v>
      </x:c>
      <x:c r="M8" s="9" t="str">
        <x:f>IF(AND(G8=1,H8=1,IF(OR(B8="N0",B8="N1"),1,I8)=1),"PASS","FAIL")</x:f>
        <x:v>PASS</x:v>
      </x:c>
    </x:row>
    <x:row r="9">
      <x:c r="B9" s="9" t="str">
        <x:v>N1</x:v>
      </x:c>
      <x:c r="C9" s="9" t="str">
        <x:v>ROOT_A</x:v>
      </x:c>
      <x:c r="D9" s="9" t="str">
        <x:v>reversible before joining</x:v>
      </x:c>
      <x:c r="E9" s="9" t="str">
        <x:v>restore released pre-state</x:v>
      </x:c>
      <x:c r="F9" s="9" t="str">
        <x:v>builder + inspector</x:v>
      </x:c>
      <x:c r="G9" s="11" t="n">
        <x:v>1</x:v>
      </x:c>
      <x:c r="H9" s="11" t="n">
        <x:v>1</x:v>
      </x:c>
      <x:c r="I9" s="11" t="n">
        <x:v>0</x:v>
      </x:c>
      <x:c r="J9" s="11" t="n">
        <x:v>1</x:v>
      </x:c>
      <x:c r="K9" s="11" t="n">
        <x:v>1</x:v>
      </x:c>
      <x:c r="L9" s="9" t="str">
        <x:v>bounded</x:v>
      </x:c>
      <x:c r="M9" s="9" t="str">
        <x:f>IF(AND(G9=1,H9=1,IF(OR(B9="N0",B9="N1"),1,I9)=1),"PASS","FAIL")</x:f>
        <x:v>PASS</x:v>
      </x:c>
    </x:row>
    <x:row r="10">
      <x:c r="B10" s="9" t="str">
        <x:v>N1</x:v>
      </x:c>
      <x:c r="C10" s="9" t="str">
        <x:v>ROOT_B</x:v>
      </x:c>
      <x:c r="D10" s="9" t="str">
        <x:v>reversible before joining</x:v>
      </x:c>
      <x:c r="E10" s="9" t="str">
        <x:v>restore released pre-state</x:v>
      </x:c>
      <x:c r="F10" s="9" t="str">
        <x:v>builder + inspector</x:v>
      </x:c>
      <x:c r="G10" s="11" t="n">
        <x:v>1</x:v>
      </x:c>
      <x:c r="H10" s="11" t="n">
        <x:v>1</x:v>
      </x:c>
      <x:c r="I10" s="11" t="n">
        <x:v>0</x:v>
      </x:c>
      <x:c r="J10" s="11" t="n">
        <x:v>1</x:v>
      </x:c>
      <x:c r="K10" s="11" t="n">
        <x:v>1</x:v>
      </x:c>
      <x:c r="L10" s="9" t="str">
        <x:v>bounded</x:v>
      </x:c>
      <x:c r="M10" s="9" t="str">
        <x:f>IF(AND(G10=1,H10=1,IF(OR(B10="N0",B10="N1"),1,I10)=1),"PASS","FAIL")</x:f>
        <x:v>PASS</x:v>
      </x:c>
    </x:row>
    <x:row r="11">
      <x:c r="B11" s="9" t="str">
        <x:v>N2</x:v>
      </x:c>
      <x:c r="C11" s="9" t="str">
        <x:v>ROOT_A</x:v>
      </x:c>
      <x:c r="D11" s="9" t="str">
        <x:v>bounded weld/machine repair</x:v>
      </x:c>
      <x:c r="E11" s="9" t="str">
        <x:v>new witness and repeat NDE</x:v>
      </x:c>
      <x:c r="F11" s="9" t="str">
        <x:v>root + independent</x:v>
      </x:c>
      <x:c r="G11" s="11" t="n">
        <x:v>1</x:v>
      </x:c>
      <x:c r="H11" s="11" t="n">
        <x:v>1</x:v>
      </x:c>
      <x:c r="I11" s="11" t="n">
        <x:v>1</x:v>
      </x:c>
      <x:c r="J11" s="11" t="n">
        <x:v>1</x:v>
      </x:c>
      <x:c r="K11" s="11" t="n">
        <x:v>1</x:v>
      </x:c>
      <x:c r="L11" s="9" t="str">
        <x:v>NO</x:v>
      </x:c>
      <x:c r="M11" s="9" t="str">
        <x:f>IF(AND(G11=1,H11=1,IF(OR(B11="N0",B11="N1"),1,I11)=1),"PASS","FAIL")</x:f>
        <x:v>PASS</x:v>
      </x:c>
    </x:row>
    <x:row r="12">
      <x:c r="B12" s="9" t="str">
        <x:v>N2</x:v>
      </x:c>
      <x:c r="C12" s="9" t="str">
        <x:v>ROOT_B</x:v>
      </x:c>
      <x:c r="D12" s="9" t="str">
        <x:v>bounded scarf/bond repair</x:v>
      </x:c>
      <x:c r="E12" s="9" t="str">
        <x:v>new witness and damage remap</x:v>
      </x:c>
      <x:c r="F12" s="9" t="str">
        <x:v>root + independent</x:v>
      </x:c>
      <x:c r="G12" s="11" t="n">
        <x:v>1</x:v>
      </x:c>
      <x:c r="H12" s="11" t="n">
        <x:v>1</x:v>
      </x:c>
      <x:c r="I12" s="11" t="n">
        <x:v>1</x:v>
      </x:c>
      <x:c r="J12" s="11" t="n">
        <x:v>1</x:v>
      </x:c>
      <x:c r="K12" s="11" t="n">
        <x:v>1</x:v>
      </x:c>
      <x:c r="L12" s="9" t="str">
        <x:v>NO</x:v>
      </x:c>
      <x:c r="M12" s="9" t="str">
        <x:f>IF(AND(G12=1,H12=1,IF(OR(B12="N0",B12="N1"),1,I12)=1),"PASS","FAIL")</x:f>
        <x:v>PASS</x:v>
      </x:c>
    </x:row>
    <x:row r="13">
      <x:c r="B13" s="9" t="str">
        <x:v>N3</x:v>
      </x:c>
      <x:c r="C13" s="9" t="str">
        <x:v>ROOT_A</x:v>
      </x:c>
      <x:c r="D13" s="9" t="str">
        <x:v>public load/pressure/sanitary/electrical</x:v>
      </x:c>
      <x:c r="E13" s="9" t="str">
        <x:v>quarantine; no use as is</x:v>
      </x:c>
      <x:c r="F13" s="9" t="str">
        <x:v>public board</x:v>
      </x:c>
      <x:c r="G13" s="11" t="n">
        <x:v>1</x:v>
      </x:c>
      <x:c r="H13" s="11" t="n">
        <x:v>1</x:v>
      </x:c>
      <x:c r="I13" s="11" t="n">
        <x:v>1</x:v>
      </x:c>
      <x:c r="J13" s="11" t="n">
        <x:v>1</x:v>
      </x:c>
      <x:c r="K13" s="11" t="n">
        <x:v>1</x:v>
      </x:c>
      <x:c r="L13" s="9" t="str">
        <x:v>NO</x:v>
      </x:c>
      <x:c r="M13" s="9" t="str">
        <x:f>IF(AND(G13=1,H13=1,IF(OR(B13="N0",B13="N1"),1,I13)=1),"PASS","FAIL")</x:f>
        <x:v>PASS</x:v>
      </x:c>
    </x:row>
    <x:row r="14">
      <x:c r="B14" s="9" t="str">
        <x:v>N3</x:v>
      </x:c>
      <x:c r="C14" s="9" t="str">
        <x:v>ROOT_B</x:v>
      </x:c>
      <x:c r="D14" s="9" t="str">
        <x:v>public load/pressure/sanitary/electrical</x:v>
      </x:c>
      <x:c r="E14" s="9" t="str">
        <x:v>quarantine; no use as is</x:v>
      </x:c>
      <x:c r="F14" s="9" t="str">
        <x:v>public board</x:v>
      </x:c>
      <x:c r="G14" s="11" t="n">
        <x:v>1</x:v>
      </x:c>
      <x:c r="H14" s="11" t="n">
        <x:v>1</x:v>
      </x:c>
      <x:c r="I14" s="11" t="n">
        <x:v>1</x:v>
      </x:c>
      <x:c r="J14" s="11" t="n">
        <x:v>1</x:v>
      </x:c>
      <x:c r="K14" s="11" t="n">
        <x:v>1</x:v>
      </x:c>
      <x:c r="L14" s="9" t="str">
        <x:v>NO</x:v>
      </x:c>
      <x:c r="M14" s="9" t="str">
        <x:f>IF(AND(G14=1,H14=1,IF(OR(B14="N0",B14="N1"),1,I14)=1),"PASS","FAIL")</x:f>
        <x:v>PASS</x:v>
      </x:c>
    </x:row>
    <x:row r="15">
      <x:c r="B15" s="9" t="str">
        <x:v>N4</x:v>
      </x:c>
      <x:c r="C15" s="9" t="str">
        <x:v>ROOT_A</x:v>
      </x:c>
      <x:c r="D15" s="9" t="str">
        <x:v>public interface or baseline</x:v>
      </x:c>
      <x:c r="E15" s="9" t="str">
        <x:v>revoke release/reopen baseline</x:v>
      </x:c>
      <x:c r="F15" s="9" t="str">
        <x:v>configuration authority</x:v>
      </x:c>
      <x:c r="G15" s="11" t="n">
        <x:v>1</x:v>
      </x:c>
      <x:c r="H15" s="11" t="n">
        <x:v>1</x:v>
      </x:c>
      <x:c r="I15" s="11" t="n">
        <x:v>1</x:v>
      </x:c>
      <x:c r="J15" s="11" t="n">
        <x:v>1</x:v>
      </x:c>
      <x:c r="K15" s="11" t="n">
        <x:v>1</x:v>
      </x:c>
      <x:c r="L15" s="9" t="str">
        <x:v>NO</x:v>
      </x:c>
      <x:c r="M15" s="9" t="str">
        <x:f>IF(AND(G15=1,H15=1,IF(OR(B15="N0",B15="N1"),1,I15)=1),"PASS","FAIL")</x:f>
        <x:v>PASS</x:v>
      </x:c>
    </x:row>
    <x:row r="16">
      <x:c r="B16" s="10" t="str">
        <x:v>N4</x:v>
      </x:c>
      <x:c r="C16" s="10" t="str">
        <x:v>ROOT_B</x:v>
      </x:c>
      <x:c r="D16" s="10" t="str">
        <x:v>public interface or baseline</x:v>
      </x:c>
      <x:c r="E16" s="10" t="str">
        <x:v>revoke release/reopen baseline</x:v>
      </x:c>
      <x:c r="F16" s="10" t="str">
        <x:v>configuration authority</x:v>
      </x:c>
      <x:c r="G16" s="12" t="n">
        <x:v>1</x:v>
      </x:c>
      <x:c r="H16" s="12" t="n">
        <x:v>1</x:v>
      </x:c>
      <x:c r="I16" s="12" t="n">
        <x:v>1</x:v>
      </x:c>
      <x:c r="J16" s="12" t="n">
        <x:v>1</x:v>
      </x:c>
      <x:c r="K16" s="12" t="n">
        <x:v>1</x:v>
      </x:c>
      <x:c r="L16" s="10" t="str">
        <x:v>NO</x:v>
      </x:c>
      <x:c r="M16" s="10" t="str">
        <x:f>IF(AND(G16=1,H16=1,IF(OR(B16="N0",B16="N1"),1,I16)=1),"PASS","FAIL")</x:f>
        <x:v>PASS</x:v>
      </x:c>
    </x:row>
  </x:sheetData>
  <x:mergeCells>
    <x:mergeCell ref="B2:M2"/>
    <x:mergeCell ref="B3:M3"/>
  </x:mergeCells>
  <x:conditionalFormatting sqref="M7:M16">
    <x:cfRule type="containsText" dxfId="143" priority="1" operator="containsText" text="PASS"/>
    <x:cfRule type="containsText" dxfId="144" priority="2" operator="containsText" text="AUTHORIZED"/>
    <x:cfRule type="containsText" dxfId="145" priority="3" operator="containsText" text="DEFINED"/>
    <x:cfRule type="containsText" dxfId="146" priority="4" operator="containsText" text="READY"/>
    <x:cfRule type="containsText" dxfId="147" priority="5" operator="containsText" text="HOLD"/>
    <x:cfRule type="containsText" dxfId="148" priority="6" operator="containsText" text="OPEN"/>
    <x:cfRule type="containsText" dxfId="149" priority="7" operator="containsText" text="BLOCKED"/>
    <x:cfRule type="containsText" dxfId="150" priority="8" operator="containsText" text="PLANNING"/>
    <x:cfRule type="containsText" dxfId="151" priority="9" operator="containsText" text="QUARANTINE"/>
    <x:cfRule type="containsText" dxfId="152" priority="10" operator="containsText" text="FAIL"/>
    <x:cfRule type="containsText" dxfId="153" priority="11" operator="containsText" text="REJECT"/>
    <x:cfRule type="containsText" dxfId="154" priority="12" operator="containsText" text="INCOMPLETE"/>
    <x:cfRule type="containsText" dxfId="155" priority="13" operator="containsText" text="STOP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2" hidden="0" customWidth="1"/>
    <x:col min="4" max="4" width="35" hidden="0" customWidth="1"/>
    <x:col min="5" max="5" width="14" hidden="0" customWidth="1"/>
    <x:col min="6" max="6" width="14" hidden="0" customWidth="1"/>
    <x:col min="7" max="7" width="12" hidden="0" customWidth="1"/>
    <x:col min="8" max="8" width="15" hidden="0" customWidth="1"/>
    <x:col min="9" max="9" width="17" hidden="0" customWidth="1"/>
    <x:col min="10" max="10" width="14" hidden="0" customWidth="1"/>
    <x:col min="11" max="11" width="15" hidden="0" customWidth="1"/>
  </x:cols>
  <x:sheetData>
    <x:row r="2">
      <x:c r="B2" s="37" t="str">
        <x:v>Thirty-six-field native event schema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8" t="str">
        <x:v>Atomic values, native measurements and two originals govern; narrative and PDF views are insufficient.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Field</x:v>
      </x:c>
      <x:c r="C6" s="7" t="str">
        <x:v>Domain</x:v>
      </x:c>
      <x:c r="D6" s="7" t="str">
        <x:v>Name</x:v>
      </x:c>
      <x:c r="E6" s="7" t="str">
        <x:v>Type defined</x:v>
      </x:c>
      <x:c r="F6" s="7" t="str">
        <x:v>Unit defined</x:v>
      </x:c>
      <x:c r="G6" s="7" t="str">
        <x:v>Required</x:v>
      </x:c>
      <x:c r="H6" s="7" t="str">
        <x:v>Native object</x:v>
      </x:c>
      <x:c r="I6" s="7" t="str">
        <x:v>Public readable</x:v>
      </x:c>
      <x:c r="J6" s="7" t="str">
        <x:v>Implemented</x:v>
      </x:c>
      <x:c r="K6" s="7" t="str">
        <x:v>Planning gate</x:v>
      </x:c>
    </x:row>
    <x:row r="7">
      <x:c r="B7" s="9" t="str">
        <x:v>EF-01</x:v>
      </x:c>
      <x:c r="C7" s="9" t="str">
        <x:v>identity</x:v>
      </x:c>
      <x:c r="D7" s="9" t="str">
        <x:v>event ID</x:v>
      </x:c>
      <x:c r="E7" s="11" t="n">
        <x:v>1</x:v>
      </x:c>
      <x:c r="F7" s="11" t="n">
        <x:v>1</x:v>
      </x:c>
      <x:c r="G7" s="11" t="n">
        <x:v>1</x:v>
      </x:c>
      <x:c r="H7" s="11" t="n">
        <x:v>0</x:v>
      </x:c>
      <x:c r="I7" s="11" t="n">
        <x:v>1</x:v>
      </x:c>
      <x:c r="J7" s="11" t="n">
        <x:v>0</x:v>
      </x:c>
      <x:c r="K7" s="9" t="str">
        <x:f>IF(AND(E7=1,F7=1,G7=1,I7=1),"PASS","FAIL")</x:f>
        <x:v>PASS</x:v>
      </x:c>
    </x:row>
    <x:row r="8">
      <x:c r="B8" s="9" t="str">
        <x:v>EF-02</x:v>
      </x:c>
      <x:c r="C8" s="9" t="str">
        <x:v>identity</x:v>
      </x:c>
      <x:c r="D8" s="9" t="str">
        <x:v>article ID</x:v>
      </x:c>
      <x:c r="E8" s="11" t="n">
        <x:v>1</x:v>
      </x:c>
      <x:c r="F8" s="11" t="n">
        <x:v>1</x:v>
      </x:c>
      <x:c r="G8" s="11" t="n">
        <x:v>1</x:v>
      </x:c>
      <x:c r="H8" s="11" t="n">
        <x:v>0</x:v>
      </x:c>
      <x:c r="I8" s="11" t="n">
        <x:v>1</x:v>
      </x:c>
      <x:c r="J8" s="11" t="n">
        <x:v>0</x:v>
      </x:c>
      <x:c r="K8" s="9" t="str">
        <x:f>IF(AND(E8=1,F8=1,G8=1,I8=1),"PASS","FAIL")</x:f>
        <x:v>PASS</x:v>
      </x:c>
    </x:row>
    <x:row r="9">
      <x:c r="B9" s="9" t="str">
        <x:v>EF-03</x:v>
      </x:c>
      <x:c r="C9" s="9" t="str">
        <x:v>identity</x:v>
      </x:c>
      <x:c r="D9" s="9" t="str">
        <x:v>assembly ID</x:v>
      </x:c>
      <x:c r="E9" s="11" t="n">
        <x:v>1</x:v>
      </x:c>
      <x:c r="F9" s="11" t="n">
        <x:v>1</x:v>
      </x:c>
      <x:c r="G9" s="11" t="n">
        <x:v>1</x:v>
      </x:c>
      <x:c r="H9" s="11" t="n">
        <x:v>0</x:v>
      </x:c>
      <x:c r="I9" s="11" t="n">
        <x:v>1</x:v>
      </x:c>
      <x:c r="J9" s="11" t="n">
        <x:v>0</x:v>
      </x:c>
      <x:c r="K9" s="9" t="str">
        <x:f>IF(AND(E9=1,F9=1,G9=1,I9=1),"PASS","FAIL")</x:f>
        <x:v>PASS</x:v>
      </x:c>
    </x:row>
    <x:row r="10">
      <x:c r="B10" s="9" t="str">
        <x:v>EF-04</x:v>
      </x:c>
      <x:c r="C10" s="9" t="str">
        <x:v>identity</x:v>
      </x:c>
      <x:c r="D10" s="9" t="str">
        <x:v>part ID</x:v>
      </x:c>
      <x:c r="E10" s="11" t="n">
        <x:v>1</x:v>
      </x:c>
      <x:c r="F10" s="11" t="n">
        <x:v>1</x:v>
      </x:c>
      <x:c r="G10" s="11" t="n">
        <x:v>1</x:v>
      </x:c>
      <x:c r="H10" s="11" t="n">
        <x:v>0</x:v>
      </x:c>
      <x:c r="I10" s="11" t="n">
        <x:v>1</x:v>
      </x:c>
      <x:c r="J10" s="11" t="n">
        <x:v>0</x:v>
      </x:c>
      <x:c r="K10" s="9" t="str">
        <x:f>IF(AND(E10=1,F10=1,G10=1,I10=1),"PASS","FAIL")</x:f>
        <x:v>PASS</x:v>
      </x:c>
    </x:row>
    <x:row r="11">
      <x:c r="B11" s="9" t="str">
        <x:v>EF-05</x:v>
      </x:c>
      <x:c r="C11" s="9" t="str">
        <x:v>identity</x:v>
      </x:c>
      <x:c r="D11" s="9" t="str">
        <x:v>material lot</x:v>
      </x:c>
      <x:c r="E11" s="11" t="n">
        <x:v>1</x:v>
      </x:c>
      <x:c r="F11" s="11" t="n">
        <x:v>1</x:v>
      </x:c>
      <x:c r="G11" s="11" t="n">
        <x:v>1</x:v>
      </x:c>
      <x:c r="H11" s="11" t="n">
        <x:v>0</x:v>
      </x:c>
      <x:c r="I11" s="11" t="n">
        <x:v>1</x:v>
      </x:c>
      <x:c r="J11" s="11" t="n">
        <x:v>0</x:v>
      </x:c>
      <x:c r="K11" s="9" t="str">
        <x:f>IF(AND(E11=1,F11=1,G11=1,I11=1),"PASS","FAIL")</x:f>
        <x:v>PASS</x:v>
      </x:c>
    </x:row>
    <x:row r="12">
      <x:c r="B12" s="9" t="str">
        <x:v>EF-06</x:v>
      </x:c>
      <x:c r="C12" s="9" t="str">
        <x:v>identity</x:v>
      </x:c>
      <x:c r="D12" s="9" t="str">
        <x:v>configuration baseline</x:v>
      </x:c>
      <x:c r="E12" s="11" t="n">
        <x:v>1</x:v>
      </x:c>
      <x:c r="F12" s="11" t="n">
        <x:v>1</x:v>
      </x:c>
      <x:c r="G12" s="11" t="n">
        <x:v>1</x:v>
      </x:c>
      <x:c r="H12" s="11" t="n">
        <x:v>0</x:v>
      </x:c>
      <x:c r="I12" s="11" t="n">
        <x:v>1</x:v>
      </x:c>
      <x:c r="J12" s="11" t="n">
        <x:v>0</x:v>
      </x:c>
      <x:c r="K12" s="9" t="str">
        <x:f>IF(AND(E12=1,F12=1,G12=1,I12=1),"PASS","FAIL")</x:f>
        <x:v>PASS</x:v>
      </x:c>
    </x:row>
    <x:row r="13">
      <x:c r="B13" s="9" t="str">
        <x:v>EF-07</x:v>
      </x:c>
      <x:c r="C13" s="9" t="str">
        <x:v>authority</x:v>
      </x:c>
      <x:c r="D13" s="9" t="str">
        <x:v>released instruction</x:v>
      </x:c>
      <x:c r="E13" s="11" t="n">
        <x:v>1</x:v>
      </x:c>
      <x:c r="F13" s="11" t="n">
        <x:v>1</x:v>
      </x:c>
      <x:c r="G13" s="11" t="n">
        <x:v>1</x:v>
      </x:c>
      <x:c r="H13" s="11" t="n">
        <x:v>0</x:v>
      </x:c>
      <x:c r="I13" s="11" t="n">
        <x:v>1</x:v>
      </x:c>
      <x:c r="J13" s="11" t="n">
        <x:v>0</x:v>
      </x:c>
      <x:c r="K13" s="9" t="str">
        <x:f>IF(AND(E13=1,F13=1,G13=1,I13=1),"PASS","FAIL")</x:f>
        <x:v>PASS</x:v>
      </x:c>
    </x:row>
    <x:row r="14">
      <x:c r="B14" s="9" t="str">
        <x:v>EF-08</x:v>
      </x:c>
      <x:c r="C14" s="9" t="str">
        <x:v>authority</x:v>
      </x:c>
      <x:c r="D14" s="9" t="str">
        <x:v>drawing revision</x:v>
      </x:c>
      <x:c r="E14" s="11" t="n">
        <x:v>1</x:v>
      </x:c>
      <x:c r="F14" s="11" t="n">
        <x:v>1</x:v>
      </x:c>
      <x:c r="G14" s="11" t="n">
        <x:v>1</x:v>
      </x:c>
      <x:c r="H14" s="11" t="n">
        <x:v>0</x:v>
      </x:c>
      <x:c r="I14" s="11" t="n">
        <x:v>1</x:v>
      </x:c>
      <x:c r="J14" s="11" t="n">
        <x:v>0</x:v>
      </x:c>
      <x:c r="K14" s="9" t="str">
        <x:f>IF(AND(E14=1,F14=1,G14=1,I14=1),"PASS","FAIL")</x:f>
        <x:v>PASS</x:v>
      </x:c>
    </x:row>
    <x:row r="15">
      <x:c r="B15" s="9" t="str">
        <x:v>EF-09</x:v>
      </x:c>
      <x:c r="C15" s="9" t="str">
        <x:v>authority</x:v>
      </x:c>
      <x:c r="D15" s="9" t="str">
        <x:v>operation authority</x:v>
      </x:c>
      <x:c r="E15" s="11" t="n">
        <x:v>1</x:v>
      </x:c>
      <x:c r="F15" s="11" t="n">
        <x:v>1</x:v>
      </x:c>
      <x:c r="G15" s="11" t="n">
        <x:v>1</x:v>
      </x:c>
      <x:c r="H15" s="11" t="n">
        <x:v>0</x:v>
      </x:c>
      <x:c r="I15" s="11" t="n">
        <x:v>1</x:v>
      </x:c>
      <x:c r="J15" s="11" t="n">
        <x:v>0</x:v>
      </x:c>
      <x:c r="K15" s="9" t="str">
        <x:f>IF(AND(E15=1,F15=1,G15=1,I15=1),"PASS","FAIL")</x:f>
        <x:v>PASS</x:v>
      </x:c>
    </x:row>
    <x:row r="16">
      <x:c r="B16" s="9" t="str">
        <x:v>EF-10</x:v>
      </x:c>
      <x:c r="C16" s="9" t="str">
        <x:v>authority</x:v>
      </x:c>
      <x:c r="D16" s="9" t="str">
        <x:v>hold authority</x:v>
      </x:c>
      <x:c r="E16" s="11" t="n">
        <x:v>1</x:v>
      </x:c>
      <x:c r="F16" s="11" t="n">
        <x:v>1</x:v>
      </x:c>
      <x:c r="G16" s="11" t="n">
        <x:v>1</x:v>
      </x:c>
      <x:c r="H16" s="11" t="n">
        <x:v>0</x:v>
      </x:c>
      <x:c r="I16" s="11" t="n">
        <x:v>1</x:v>
      </x:c>
      <x:c r="J16" s="11" t="n">
        <x:v>0</x:v>
      </x:c>
      <x:c r="K16" s="9" t="str">
        <x:f>IF(AND(E16=1,F16=1,G16=1,I16=1),"PASS","FAIL")</x:f>
        <x:v>PASS</x:v>
      </x:c>
    </x:row>
    <x:row r="17">
      <x:c r="B17" s="9" t="str">
        <x:v>EF-11</x:v>
      </x:c>
      <x:c r="C17" s="9" t="str">
        <x:v>authority</x:v>
      </x:c>
      <x:c r="D17" s="9" t="str">
        <x:v>signatures</x:v>
      </x:c>
      <x:c r="E17" s="11" t="n">
        <x:v>1</x:v>
      </x:c>
      <x:c r="F17" s="11" t="n">
        <x:v>1</x:v>
      </x:c>
      <x:c r="G17" s="11" t="n">
        <x:v>1</x:v>
      </x:c>
      <x:c r="H17" s="11" t="n">
        <x:v>0</x:v>
      </x:c>
      <x:c r="I17" s="11" t="n">
        <x:v>1</x:v>
      </x:c>
      <x:c r="J17" s="11" t="n">
        <x:v>0</x:v>
      </x:c>
      <x:c r="K17" s="9" t="str">
        <x:f>IF(AND(E17=1,F17=1,G17=1,I17=1),"PASS","FAIL")</x:f>
        <x:v>PASS</x:v>
      </x:c>
    </x:row>
    <x:row r="18">
      <x:c r="B18" s="9" t="str">
        <x:v>EF-12</x:v>
      </x:c>
      <x:c r="C18" s="9" t="str">
        <x:v>authority</x:v>
      </x:c>
      <x:c r="D18" s="9" t="str">
        <x:v>disposition</x:v>
      </x:c>
      <x:c r="E18" s="11" t="n">
        <x:v>1</x:v>
      </x:c>
      <x:c r="F18" s="11" t="n">
        <x:v>1</x:v>
      </x:c>
      <x:c r="G18" s="11" t="n">
        <x:v>1</x:v>
      </x:c>
      <x:c r="H18" s="11" t="n">
        <x:v>0</x:v>
      </x:c>
      <x:c r="I18" s="11" t="n">
        <x:v>1</x:v>
      </x:c>
      <x:c r="J18" s="11" t="n">
        <x:v>0</x:v>
      </x:c>
      <x:c r="K18" s="9" t="str">
        <x:f>IF(AND(E18=1,F18=1,G18=1,I18=1),"PASS","FAIL")</x:f>
        <x:v>PASS</x:v>
      </x:c>
    </x:row>
    <x:row r="19">
      <x:c r="B19" s="9" t="str">
        <x:v>EF-13</x:v>
      </x:c>
      <x:c r="C19" s="9" t="str">
        <x:v>capability</x:v>
      </x:c>
      <x:c r="D19" s="9" t="str">
        <x:v>operator qualification</x:v>
      </x:c>
      <x:c r="E19" s="11" t="n">
        <x:v>1</x:v>
      </x:c>
      <x:c r="F19" s="11" t="n">
        <x:v>1</x:v>
      </x:c>
      <x:c r="G19" s="11" t="n">
        <x:v>1</x:v>
      </x:c>
      <x:c r="H19" s="11" t="n">
        <x:v>0</x:v>
      </x:c>
      <x:c r="I19" s="11" t="n">
        <x:v>1</x:v>
      </x:c>
      <x:c r="J19" s="11" t="n">
        <x:v>0</x:v>
      </x:c>
      <x:c r="K19" s="9" t="str">
        <x:f>IF(AND(E19=1,F19=1,G19=1,I19=1),"PASS","FAIL")</x:f>
        <x:v>PASS</x:v>
      </x:c>
    </x:row>
    <x:row r="20">
      <x:c r="B20" s="9" t="str">
        <x:v>EF-14</x:v>
      </x:c>
      <x:c r="C20" s="9" t="str">
        <x:v>capability</x:v>
      </x:c>
      <x:c r="D20" s="9" t="str">
        <x:v>machine ID</x:v>
      </x:c>
      <x:c r="E20" s="11" t="n">
        <x:v>1</x:v>
      </x:c>
      <x:c r="F20" s="11" t="n">
        <x:v>1</x:v>
      </x:c>
      <x:c r="G20" s="11" t="n">
        <x:v>1</x:v>
      </x:c>
      <x:c r="H20" s="11" t="n">
        <x:v>0</x:v>
      </x:c>
      <x:c r="I20" s="11" t="n">
        <x:v>1</x:v>
      </x:c>
      <x:c r="J20" s="11" t="n">
        <x:v>0</x:v>
      </x:c>
      <x:c r="K20" s="9" t="str">
        <x:f>IF(AND(E20=1,F20=1,G20=1,I20=1),"PASS","FAIL")</x:f>
        <x:v>PASS</x:v>
      </x:c>
    </x:row>
    <x:row r="21">
      <x:c r="B21" s="9" t="str">
        <x:v>EF-15</x:v>
      </x:c>
      <x:c r="C21" s="9" t="str">
        <x:v>capability</x:v>
      </x:c>
      <x:c r="D21" s="9" t="str">
        <x:v>program/hash</x:v>
      </x:c>
      <x:c r="E21" s="11" t="n">
        <x:v>1</x:v>
      </x:c>
      <x:c r="F21" s="11" t="n">
        <x:v>1</x:v>
      </x:c>
      <x:c r="G21" s="11" t="n">
        <x:v>1</x:v>
      </x:c>
      <x:c r="H21" s="11" t="n">
        <x:v>0</x:v>
      </x:c>
      <x:c r="I21" s="11" t="n">
        <x:v>1</x:v>
      </x:c>
      <x:c r="J21" s="11" t="n">
        <x:v>0</x:v>
      </x:c>
      <x:c r="K21" s="9" t="str">
        <x:f>IF(AND(E21=1,F21=1,G21=1,I21=1),"PASS","FAIL")</x:f>
        <x:v>PASS</x:v>
      </x:c>
    </x:row>
    <x:row r="22">
      <x:c r="B22" s="9" t="str">
        <x:v>EF-16</x:v>
      </x:c>
      <x:c r="C22" s="9" t="str">
        <x:v>capability</x:v>
      </x:c>
      <x:c r="D22" s="9" t="str">
        <x:v>fixture ID</x:v>
      </x:c>
      <x:c r="E22" s="11" t="n">
        <x:v>1</x:v>
      </x:c>
      <x:c r="F22" s="11" t="n">
        <x:v>1</x:v>
      </x:c>
      <x:c r="G22" s="11" t="n">
        <x:v>1</x:v>
      </x:c>
      <x:c r="H22" s="11" t="n">
        <x:v>0</x:v>
      </x:c>
      <x:c r="I22" s="11" t="n">
        <x:v>1</x:v>
      </x:c>
      <x:c r="J22" s="11" t="n">
        <x:v>0</x:v>
      </x:c>
      <x:c r="K22" s="9" t="str">
        <x:f>IF(AND(E22=1,F22=1,G22=1,I22=1),"PASS","FAIL")</x:f>
        <x:v>PASS</x:v>
      </x:c>
    </x:row>
    <x:row r="23">
      <x:c r="B23" s="9" t="str">
        <x:v>EF-17</x:v>
      </x:c>
      <x:c r="C23" s="9" t="str">
        <x:v>capability</x:v>
      </x:c>
      <x:c r="D23" s="9" t="str">
        <x:v>calibration ID</x:v>
      </x:c>
      <x:c r="E23" s="11" t="n">
        <x:v>1</x:v>
      </x:c>
      <x:c r="F23" s="11" t="n">
        <x:v>1</x:v>
      </x:c>
      <x:c r="G23" s="11" t="n">
        <x:v>1</x:v>
      </x:c>
      <x:c r="H23" s="11" t="n">
        <x:v>0</x:v>
      </x:c>
      <x:c r="I23" s="11" t="n">
        <x:v>1</x:v>
      </x:c>
      <x:c r="J23" s="11" t="n">
        <x:v>0</x:v>
      </x:c>
      <x:c r="K23" s="9" t="str">
        <x:f>IF(AND(E23=1,F23=1,G23=1,I23=1),"PASS","FAIL")</x:f>
        <x:v>PASS</x:v>
      </x:c>
    </x:row>
    <x:row r="24">
      <x:c r="B24" s="9" t="str">
        <x:v>EF-18</x:v>
      </x:c>
      <x:c r="C24" s="9" t="str">
        <x:v>capability</x:v>
      </x:c>
      <x:c r="D24" s="9" t="str">
        <x:v>instrument ID</x:v>
      </x:c>
      <x:c r="E24" s="11" t="n">
        <x:v>1</x:v>
      </x:c>
      <x:c r="F24" s="11" t="n">
        <x:v>1</x:v>
      </x:c>
      <x:c r="G24" s="11" t="n">
        <x:v>1</x:v>
      </x:c>
      <x:c r="H24" s="11" t="n">
        <x:v>0</x:v>
      </x:c>
      <x:c r="I24" s="11" t="n">
        <x:v>1</x:v>
      </x:c>
      <x:c r="J24" s="11" t="n">
        <x:v>0</x:v>
      </x:c>
      <x:c r="K24" s="9" t="str">
        <x:f>IF(AND(E24=1,F24=1,G24=1,I24=1),"PASS","FAIL")</x:f>
        <x:v>PASS</x:v>
      </x:c>
    </x:row>
    <x:row r="25">
      <x:c r="B25" s="9" t="str">
        <x:v>EF-19</x:v>
      </x:c>
      <x:c r="C25" s="9" t="str">
        <x:v>time/environment</x:v>
      </x:c>
      <x:c r="D25" s="9" t="str">
        <x:v>UTC start</x:v>
      </x:c>
      <x:c r="E25" s="11" t="n">
        <x:v>1</x:v>
      </x:c>
      <x:c r="F25" s="11" t="n">
        <x:v>1</x:v>
      </x:c>
      <x:c r="G25" s="11" t="n">
        <x:v>1</x:v>
      </x:c>
      <x:c r="H25" s="11" t="n">
        <x:v>0</x:v>
      </x:c>
      <x:c r="I25" s="11" t="n">
        <x:v>1</x:v>
      </x:c>
      <x:c r="J25" s="11" t="n">
        <x:v>0</x:v>
      </x:c>
      <x:c r="K25" s="9" t="str">
        <x:f>IF(AND(E25=1,F25=1,G25=1,I25=1),"PASS","FAIL")</x:f>
        <x:v>PASS</x:v>
      </x:c>
    </x:row>
    <x:row r="26">
      <x:c r="B26" s="9" t="str">
        <x:v>EF-20</x:v>
      </x:c>
      <x:c r="C26" s="9" t="str">
        <x:v>time/environment</x:v>
      </x:c>
      <x:c r="D26" s="9" t="str">
        <x:v>UTC stop</x:v>
      </x:c>
      <x:c r="E26" s="11" t="n">
        <x:v>1</x:v>
      </x:c>
      <x:c r="F26" s="11" t="n">
        <x:v>1</x:v>
      </x:c>
      <x:c r="G26" s="11" t="n">
        <x:v>1</x:v>
      </x:c>
      <x:c r="H26" s="11" t="n">
        <x:v>0</x:v>
      </x:c>
      <x:c r="I26" s="11" t="n">
        <x:v>1</x:v>
      </x:c>
      <x:c r="J26" s="11" t="n">
        <x:v>0</x:v>
      </x:c>
      <x:c r="K26" s="9" t="str">
        <x:f>IF(AND(E26=1,F26=1,G26=1,I26=1),"PASS","FAIL")</x:f>
        <x:v>PASS</x:v>
      </x:c>
    </x:row>
    <x:row r="27">
      <x:c r="B27" s="9" t="str">
        <x:v>EF-21</x:v>
      </x:c>
      <x:c r="C27" s="9" t="str">
        <x:v>time/environment</x:v>
      </x:c>
      <x:c r="D27" s="9" t="str">
        <x:v>clock source</x:v>
      </x:c>
      <x:c r="E27" s="11" t="n">
        <x:v>1</x:v>
      </x:c>
      <x:c r="F27" s="11" t="n">
        <x:v>1</x:v>
      </x:c>
      <x:c r="G27" s="11" t="n">
        <x:v>1</x:v>
      </x:c>
      <x:c r="H27" s="11" t="n">
        <x:v>0</x:v>
      </x:c>
      <x:c r="I27" s="11" t="n">
        <x:v>1</x:v>
      </x:c>
      <x:c r="J27" s="11" t="n">
        <x:v>0</x:v>
      </x:c>
      <x:c r="K27" s="9" t="str">
        <x:f>IF(AND(E27=1,F27=1,G27=1,I27=1),"PASS","FAIL")</x:f>
        <x:v>PASS</x:v>
      </x:c>
    </x:row>
    <x:row r="28">
      <x:c r="B28" s="9" t="str">
        <x:v>EF-22</x:v>
      </x:c>
      <x:c r="C28" s="9" t="str">
        <x:v>time/environment</x:v>
      </x:c>
      <x:c r="D28" s="9" t="str">
        <x:v>temperature</x:v>
      </x:c>
      <x:c r="E28" s="11" t="n">
        <x:v>1</x:v>
      </x:c>
      <x:c r="F28" s="11" t="n">
        <x:v>1</x:v>
      </x:c>
      <x:c r="G28" s="11" t="n">
        <x:v>1</x:v>
      </x:c>
      <x:c r="H28" s="11" t="n">
        <x:v>0</x:v>
      </x:c>
      <x:c r="I28" s="11" t="n">
        <x:v>1</x:v>
      </x:c>
      <x:c r="J28" s="11" t="n">
        <x:v>0</x:v>
      </x:c>
      <x:c r="K28" s="9" t="str">
        <x:f>IF(AND(E28=1,F28=1,G28=1,I28=1),"PASS","FAIL")</x:f>
        <x:v>PASS</x:v>
      </x:c>
    </x:row>
    <x:row r="29">
      <x:c r="B29" s="9" t="str">
        <x:v>EF-23</x:v>
      </x:c>
      <x:c r="C29" s="9" t="str">
        <x:v>time/environment</x:v>
      </x:c>
      <x:c r="D29" s="9" t="str">
        <x:v>humidity</x:v>
      </x:c>
      <x:c r="E29" s="11" t="n">
        <x:v>1</x:v>
      </x:c>
      <x:c r="F29" s="11" t="n">
        <x:v>1</x:v>
      </x:c>
      <x:c r="G29" s="11" t="n">
        <x:v>1</x:v>
      </x:c>
      <x:c r="H29" s="11" t="n">
        <x:v>0</x:v>
      </x:c>
      <x:c r="I29" s="11" t="n">
        <x:v>1</x:v>
      </x:c>
      <x:c r="J29" s="11" t="n">
        <x:v>0</x:v>
      </x:c>
      <x:c r="K29" s="9" t="str">
        <x:f>IF(AND(E29=1,F29=1,G29=1,I29=1),"PASS","FAIL")</x:f>
        <x:v>PASS</x:v>
      </x:c>
    </x:row>
    <x:row r="30">
      <x:c r="B30" s="9" t="str">
        <x:v>EF-24</x:v>
      </x:c>
      <x:c r="C30" s="9" t="str">
        <x:v>time/environment</x:v>
      </x:c>
      <x:c r="D30" s="9" t="str">
        <x:v>contamination state</x:v>
      </x:c>
      <x:c r="E30" s="11" t="n">
        <x:v>1</x:v>
      </x:c>
      <x:c r="F30" s="11" t="n">
        <x:v>1</x:v>
      </x:c>
      <x:c r="G30" s="11" t="n">
        <x:v>1</x:v>
      </x:c>
      <x:c r="H30" s="11" t="n">
        <x:v>0</x:v>
      </x:c>
      <x:c r="I30" s="11" t="n">
        <x:v>1</x:v>
      </x:c>
      <x:c r="J30" s="11" t="n">
        <x:v>0</x:v>
      </x:c>
      <x:c r="K30" s="9" t="str">
        <x:f>IF(AND(E30=1,F30=1,G30=1,I30=1),"PASS","FAIL")</x:f>
        <x:v>PASS</x:v>
      </x:c>
    </x:row>
    <x:row r="31">
      <x:c r="B31" s="9" t="str">
        <x:v>EF-25</x:v>
      </x:c>
      <x:c r="C31" s="9" t="str">
        <x:v>process</x:v>
      </x:c>
      <x:c r="D31" s="9" t="str">
        <x:v>commanded variables</x:v>
      </x:c>
      <x:c r="E31" s="11" t="n">
        <x:v>1</x:v>
      </x:c>
      <x:c r="F31" s="11" t="n">
        <x:v>1</x:v>
      </x:c>
      <x:c r="G31" s="11" t="n">
        <x:v>1</x:v>
      </x:c>
      <x:c r="H31" s="11" t="n">
        <x:v>0</x:v>
      </x:c>
      <x:c r="I31" s="11" t="n">
        <x:v>1</x:v>
      </x:c>
      <x:c r="J31" s="11" t="n">
        <x:v>0</x:v>
      </x:c>
      <x:c r="K31" s="9" t="str">
        <x:f>IF(AND(E31=1,F31=1,G31=1,I31=1),"PASS","FAIL")</x:f>
        <x:v>PASS</x:v>
      </x:c>
    </x:row>
    <x:row r="32">
      <x:c r="B32" s="9" t="str">
        <x:v>EF-26</x:v>
      </x:c>
      <x:c r="C32" s="9" t="str">
        <x:v>process</x:v>
      </x:c>
      <x:c r="D32" s="9" t="str">
        <x:v>observed variables</x:v>
      </x:c>
      <x:c r="E32" s="11" t="n">
        <x:v>1</x:v>
      </x:c>
      <x:c r="F32" s="11" t="n">
        <x:v>1</x:v>
      </x:c>
      <x:c r="G32" s="11" t="n">
        <x:v>1</x:v>
      </x:c>
      <x:c r="H32" s="11" t="n">
        <x:v>0</x:v>
      </x:c>
      <x:c r="I32" s="11" t="n">
        <x:v>1</x:v>
      </x:c>
      <x:c r="J32" s="11" t="n">
        <x:v>0</x:v>
      </x:c>
      <x:c r="K32" s="9" t="str">
        <x:f>IF(AND(E32=1,F32=1,G32=1,I32=1),"PASS","FAIL")</x:f>
        <x:v>PASS</x:v>
      </x:c>
    </x:row>
    <x:row r="33">
      <x:c r="B33" s="9" t="str">
        <x:v>EF-27</x:v>
      </x:c>
      <x:c r="C33" s="9" t="str">
        <x:v>process</x:v>
      </x:c>
      <x:c r="D33" s="9" t="str">
        <x:v>sampling rate</x:v>
      </x:c>
      <x:c r="E33" s="11" t="n">
        <x:v>1</x:v>
      </x:c>
      <x:c r="F33" s="11" t="n">
        <x:v>1</x:v>
      </x:c>
      <x:c r="G33" s="11" t="n">
        <x:v>1</x:v>
      </x:c>
      <x:c r="H33" s="11" t="n">
        <x:v>0</x:v>
      </x:c>
      <x:c r="I33" s="11" t="n">
        <x:v>1</x:v>
      </x:c>
      <x:c r="J33" s="11" t="n">
        <x:v>0</x:v>
      </x:c>
      <x:c r="K33" s="9" t="str">
        <x:f>IF(AND(E33=1,F33=1,G33=1,I33=1),"PASS","FAIL")</x:f>
        <x:v>PASS</x:v>
      </x:c>
    </x:row>
    <x:row r="34">
      <x:c r="B34" s="9" t="str">
        <x:v>EF-28</x:v>
      </x:c>
      <x:c r="C34" s="9" t="str">
        <x:v>process</x:v>
      </x:c>
      <x:c r="D34" s="9" t="str">
        <x:v>interruptions</x:v>
      </x:c>
      <x:c r="E34" s="11" t="n">
        <x:v>1</x:v>
      </x:c>
      <x:c r="F34" s="11" t="n">
        <x:v>1</x:v>
      </x:c>
      <x:c r="G34" s="11" t="n">
        <x:v>1</x:v>
      </x:c>
      <x:c r="H34" s="11" t="n">
        <x:v>0</x:v>
      </x:c>
      <x:c r="I34" s="11" t="n">
        <x:v>1</x:v>
      </x:c>
      <x:c r="J34" s="11" t="n">
        <x:v>0</x:v>
      </x:c>
      <x:c r="K34" s="9" t="str">
        <x:f>IF(AND(E34=1,F34=1,G34=1,I34=1),"PASS","FAIL")</x:f>
        <x:v>PASS</x:v>
      </x:c>
    </x:row>
    <x:row r="35">
      <x:c r="B35" s="9" t="str">
        <x:v>EF-29</x:v>
      </x:c>
      <x:c r="C35" s="9" t="str">
        <x:v>process</x:v>
      </x:c>
      <x:c r="D35" s="9" t="str">
        <x:v>consumables</x:v>
      </x:c>
      <x:c r="E35" s="11" t="n">
        <x:v>1</x:v>
      </x:c>
      <x:c r="F35" s="11" t="n">
        <x:v>1</x:v>
      </x:c>
      <x:c r="G35" s="11" t="n">
        <x:v>1</x:v>
      </x:c>
      <x:c r="H35" s="11" t="n">
        <x:v>0</x:v>
      </x:c>
      <x:c r="I35" s="11" t="n">
        <x:v>1</x:v>
      </x:c>
      <x:c r="J35" s="11" t="n">
        <x:v>0</x:v>
      </x:c>
      <x:c r="K35" s="9" t="str">
        <x:f>IF(AND(E35=1,F35=1,G35=1,I35=1),"PASS","FAIL")</x:f>
        <x:v>PASS</x:v>
      </x:c>
    </x:row>
    <x:row r="36">
      <x:c r="B36" s="9" t="str">
        <x:v>EF-30</x:v>
      </x:c>
      <x:c r="C36" s="9" t="str">
        <x:v>process</x:v>
      </x:c>
      <x:c r="D36" s="9" t="str">
        <x:v>process-window result</x:v>
      </x:c>
      <x:c r="E36" s="11" t="n">
        <x:v>1</x:v>
      </x:c>
      <x:c r="F36" s="11" t="n">
        <x:v>1</x:v>
      </x:c>
      <x:c r="G36" s="11" t="n">
        <x:v>1</x:v>
      </x:c>
      <x:c r="H36" s="11" t="n">
        <x:v>0</x:v>
      </x:c>
      <x:c r="I36" s="11" t="n">
        <x:v>1</x:v>
      </x:c>
      <x:c r="J36" s="11" t="n">
        <x:v>0</x:v>
      </x:c>
      <x:c r="K36" s="9" t="str">
        <x:f>IF(AND(E36=1,F36=1,G36=1,I36=1),"PASS","FAIL")</x:f>
        <x:v>PASS</x:v>
      </x:c>
    </x:row>
    <x:row r="37">
      <x:c r="B37" s="9" t="str">
        <x:v>EF-31</x:v>
      </x:c>
      <x:c r="C37" s="9" t="str">
        <x:v>geometry/evidence</x:v>
      </x:c>
      <x:c r="D37" s="9" t="str">
        <x:v>pre-state survey</x:v>
      </x:c>
      <x:c r="E37" s="11" t="n">
        <x:v>1</x:v>
      </x:c>
      <x:c r="F37" s="11" t="n">
        <x:v>1</x:v>
      </x:c>
      <x:c r="G37" s="11" t="n">
        <x:v>1</x:v>
      </x:c>
      <x:c r="H37" s="11" t="n">
        <x:v>0</x:v>
      </x:c>
      <x:c r="I37" s="11" t="n">
        <x:v>1</x:v>
      </x:c>
      <x:c r="J37" s="11" t="n">
        <x:v>0</x:v>
      </x:c>
      <x:c r="K37" s="9" t="str">
        <x:f>IF(AND(E37=1,F37=1,G37=1,I37=1),"PASS","FAIL")</x:f>
        <x:v>PASS</x:v>
      </x:c>
    </x:row>
    <x:row r="38">
      <x:c r="B38" s="9" t="str">
        <x:v>EF-32</x:v>
      </x:c>
      <x:c r="C38" s="9" t="str">
        <x:v>geometry/evidence</x:v>
      </x:c>
      <x:c r="D38" s="9" t="str">
        <x:v>post-state survey</x:v>
      </x:c>
      <x:c r="E38" s="11" t="n">
        <x:v>1</x:v>
      </x:c>
      <x:c r="F38" s="11" t="n">
        <x:v>1</x:v>
      </x:c>
      <x:c r="G38" s="11" t="n">
        <x:v>1</x:v>
      </x:c>
      <x:c r="H38" s="11" t="n">
        <x:v>0</x:v>
      </x:c>
      <x:c r="I38" s="11" t="n">
        <x:v>1</x:v>
      </x:c>
      <x:c r="J38" s="11" t="n">
        <x:v>0</x:v>
      </x:c>
      <x:c r="K38" s="9" t="str">
        <x:f>IF(AND(E38=1,F38=1,G38=1,I38=1),"PASS","FAIL")</x:f>
        <x:v>PASS</x:v>
      </x:c>
    </x:row>
    <x:row r="39">
      <x:c r="B39" s="9" t="str">
        <x:v>EF-33</x:v>
      </x:c>
      <x:c r="C39" s="9" t="str">
        <x:v>geometry/evidence</x:v>
      </x:c>
      <x:c r="D39" s="9" t="str">
        <x:v>witness/coupon ID</x:v>
      </x:c>
      <x:c r="E39" s="11" t="n">
        <x:v>1</x:v>
      </x:c>
      <x:c r="F39" s="11" t="n">
        <x:v>1</x:v>
      </x:c>
      <x:c r="G39" s="11" t="n">
        <x:v>1</x:v>
      </x:c>
      <x:c r="H39" s="11" t="n">
        <x:v>0</x:v>
      </x:c>
      <x:c r="I39" s="11" t="n">
        <x:v>1</x:v>
      </x:c>
      <x:c r="J39" s="11" t="n">
        <x:v>0</x:v>
      </x:c>
      <x:c r="K39" s="9" t="str">
        <x:f>IF(AND(E39=1,F39=1,G39=1,I39=1),"PASS","FAIL")</x:f>
        <x:v>PASS</x:v>
      </x:c>
    </x:row>
    <x:row r="40">
      <x:c r="B40" s="9" t="str">
        <x:v>EF-34</x:v>
      </x:c>
      <x:c r="C40" s="9" t="str">
        <x:v>geometry/evidence</x:v>
      </x:c>
      <x:c r="D40" s="9" t="str">
        <x:v>known-defect reference</x:v>
      </x:c>
      <x:c r="E40" s="11" t="n">
        <x:v>1</x:v>
      </x:c>
      <x:c r="F40" s="11" t="n">
        <x:v>1</x:v>
      </x:c>
      <x:c r="G40" s="11" t="n">
        <x:v>1</x:v>
      </x:c>
      <x:c r="H40" s="11" t="n">
        <x:v>0</x:v>
      </x:c>
      <x:c r="I40" s="11" t="n">
        <x:v>1</x:v>
      </x:c>
      <x:c r="J40" s="11" t="n">
        <x:v>0</x:v>
      </x:c>
      <x:c r="K40" s="9" t="str">
        <x:f>IF(AND(E40=1,F40=1,G40=1,I40=1),"PASS","FAIL")</x:f>
        <x:v>PASS</x:v>
      </x:c>
    </x:row>
    <x:row r="41">
      <x:c r="B41" s="9" t="str">
        <x:v>EF-35</x:v>
      </x:c>
      <x:c r="C41" s="9" t="str">
        <x:v>geometry/evidence</x:v>
      </x:c>
      <x:c r="D41" s="9" t="str">
        <x:v>raw-object URI/native format</x:v>
      </x:c>
      <x:c r="E41" s="11" t="n">
        <x:v>1</x:v>
      </x:c>
      <x:c r="F41" s="11" t="n">
        <x:v>1</x:v>
      </x:c>
      <x:c r="G41" s="11" t="n">
        <x:v>1</x:v>
      </x:c>
      <x:c r="H41" s="11" t="n">
        <x:v>1</x:v>
      </x:c>
      <x:c r="I41" s="11" t="n">
        <x:v>1</x:v>
      </x:c>
      <x:c r="J41" s="11" t="n">
        <x:v>0</x:v>
      </x:c>
      <x:c r="K41" s="9" t="str">
        <x:f>IF(AND(E41=1,F41=1,G41=1,I41=1),"PASS","FAIL")</x:f>
        <x:v>PASS</x:v>
      </x:c>
    </x:row>
    <x:row r="42">
      <x:c r="B42" s="10" t="str">
        <x:v>EF-36</x:v>
      </x:c>
      <x:c r="C42" s="10" t="str">
        <x:v>custody</x:v>
      </x:c>
      <x:c r="D42" s="10" t="str">
        <x:v>NCR/repair/next/hash/copies/retention</x:v>
      </x:c>
      <x:c r="E42" s="12" t="n">
        <x:v>1</x:v>
      </x:c>
      <x:c r="F42" s="12" t="n">
        <x:v>1</x:v>
      </x:c>
      <x:c r="G42" s="12" t="n">
        <x:v>1</x:v>
      </x:c>
      <x:c r="H42" s="12" t="n">
        <x:v>0</x:v>
      </x:c>
      <x:c r="I42" s="12" t="n">
        <x:v>1</x:v>
      </x:c>
      <x:c r="J42" s="12" t="n">
        <x:v>0</x:v>
      </x:c>
      <x:c r="K42" s="10" t="str">
        <x:f>IF(AND(E42=1,F42=1,G42=1,I42=1),"PASS","FAIL")</x:f>
        <x:v>PASS</x:v>
      </x:c>
    </x:row>
  </x:sheetData>
  <x:mergeCells>
    <x:mergeCell ref="B2:K2"/>
    <x:mergeCell ref="B3:K3"/>
  </x:mergeCells>
  <x:conditionalFormatting sqref="K7:K42">
    <x:cfRule type="containsText" dxfId="156" priority="1" operator="containsText" text="PASS"/>
    <x:cfRule type="containsText" dxfId="157" priority="2" operator="containsText" text="AUTHORIZED"/>
    <x:cfRule type="containsText" dxfId="158" priority="3" operator="containsText" text="DEFINED"/>
    <x:cfRule type="containsText" dxfId="159" priority="4" operator="containsText" text="READY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BLOCKED"/>
    <x:cfRule type="containsText" dxfId="163" priority="8" operator="containsText" text="PLANNING"/>
    <x:cfRule type="containsText" dxfId="164" priority="9" operator="containsText" text="QUARANTINE"/>
    <x:cfRule type="containsText" dxfId="165" priority="10" operator="containsText" text="FAIL"/>
    <x:cfRule type="containsText" dxfId="166" priority="11" operator="containsText" text="REJECT"/>
    <x:cfRule type="containsText" dxfId="167" priority="12" operator="containsText" text="INCOMPLETE"/>
    <x:cfRule type="containsText" dxfId="168" priority="13" operator="containsText" text="STOP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4" hidden="0" customWidth="1"/>
    <x:col min="4" max="4" width="29" hidden="0" customWidth="1"/>
    <x:col min="5" max="5" width="10" hidden="0" customWidth="1"/>
    <x:col min="6" max="6" width="15" hidden="0" customWidth="1"/>
    <x:col min="7" max="7" width="16" hidden="0" customWidth="1"/>
    <x:col min="8" max="8" width="18" hidden="0" customWidth="1"/>
    <x:col min="9" max="9" width="15" hidden="0" customWidth="1"/>
    <x:col min="10" max="10" width="15" hidden="0" customWidth="1"/>
    <x:col min="11" max="11" width="14" hidden="0" customWidth="1"/>
    <x:col min="12" max="12" width="19" hidden="0" customWidth="1"/>
    <x:col min="13" max="13" width="14" hidden="0" customWidth="1"/>
    <x:col min="14" max="14" width="16" hidden="0" customWidth="1"/>
    <x:col min="15" max="15" width="15" hidden="0" customWidth="1"/>
  </x:cols>
  <x:sheetData>
    <x:row r="2">
      <x:c r="B2" s="37" t="str">
        <x:v>Sixty preassigned destructive cuts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3">
      <x:c r="B3" s="38" t="str">
        <x:v>Intact observation precedes isolation, sacrificial perimeter removal and final sectioning.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</x:row>
    <x:row r="6">
      <x:c r="B6" s="7" t="str">
        <x:v>Cut</x:v>
      </x:c>
      <x:c r="C6" s="7" t="str">
        <x:v>Root</x:v>
      </x:c>
      <x:c r="D6" s="7" t="str">
        <x:v>Family</x:v>
      </x:c>
      <x:c r="E6" s="7" t="str">
        <x:v>Replica</x:v>
      </x:c>
      <x:c r="F6" s="7" t="str">
        <x:v>Intact survey</x:v>
      </x:c>
      <x:c r="G6" s="7" t="str">
        <x:v>Hazard isolation</x:v>
      </x:c>
      <x:c r="H6" s="7" t="str">
        <x:v>Perimeter removal</x:v>
      </x:c>
      <x:c r="I6" s="7" t="str">
        <x:v>Final section</x:v>
      </x:c>
      <x:c r="J6" s="7" t="str">
        <x:v>Mirror custody</x:v>
      </x:c>
      <x:c r="K6" s="7" t="str">
        <x:v>Blank/control</x:v>
      </x:c>
      <x:c r="L6" s="7" t="str">
        <x:v>Coordinate registered</x:v>
      </x:c>
      <x:c r="M6" s="7" t="str">
        <x:v>Order frozen</x:v>
      </x:c>
      <x:c r="N6" s="7" t="str">
        <x:v>Source executed</x:v>
      </x:c>
      <x:c r="O6" s="7" t="str">
        <x:v>Planning gate</x:v>
      </x:c>
    </x:row>
    <x:row r="7">
      <x:c r="B7" s="9" t="str">
        <x:v>CUT-01</x:v>
      </x:c>
      <x:c r="C7" s="9" t="str">
        <x:v>ROOT_A</x:v>
      </x:c>
      <x:c r="D7" s="9" t="str">
        <x:v>primary lower node</x:v>
      </x:c>
      <x:c r="E7" s="9" t="n">
        <x:v>1</x:v>
      </x:c>
      <x:c r="F7" s="11" t="n">
        <x:v>1</x:v>
      </x:c>
      <x:c r="G7" s="11" t="n">
        <x:v>1</x:v>
      </x:c>
      <x:c r="H7" s="11" t="n">
        <x:v>1</x:v>
      </x:c>
      <x:c r="I7" s="11" t="n">
        <x:v>1</x:v>
      </x:c>
      <x:c r="J7" s="11" t="n">
        <x:v>1</x:v>
      </x:c>
      <x:c r="K7" s="11" t="n">
        <x:v>1</x:v>
      </x:c>
      <x:c r="L7" s="11" t="n">
        <x:v>1</x:v>
      </x:c>
      <x:c r="M7" s="11" t="n">
        <x:v>1</x:v>
      </x:c>
      <x:c r="N7" s="11" t="n">
        <x:v>0</x:v>
      </x:c>
      <x:c r="O7" s="9" t="str">
        <x:f>IF(COUNTIF(F7:M7,1)=8,"PASS","FAIL")</x:f>
        <x:v>PASS</x:v>
      </x:c>
    </x:row>
    <x:row r="8">
      <x:c r="B8" s="9" t="str">
        <x:v>CUT-02</x:v>
      </x:c>
      <x:c r="C8" s="9" t="str">
        <x:v>ROOT_A</x:v>
      </x:c>
      <x:c r="D8" s="9" t="str">
        <x:v>primary lower node</x:v>
      </x:c>
      <x:c r="E8" s="9" t="n">
        <x:v>2</x:v>
      </x:c>
      <x:c r="F8" s="11" t="n">
        <x:v>1</x:v>
      </x:c>
      <x:c r="G8" s="11" t="n">
        <x:v>1</x:v>
      </x:c>
      <x:c r="H8" s="11" t="n">
        <x:v>1</x:v>
      </x:c>
      <x:c r="I8" s="11" t="n">
        <x:v>1</x:v>
      </x:c>
      <x:c r="J8" s="11" t="n">
        <x:v>1</x:v>
      </x:c>
      <x:c r="K8" s="11" t="n">
        <x:v>1</x:v>
      </x:c>
      <x:c r="L8" s="11" t="n">
        <x:v>1</x:v>
      </x:c>
      <x:c r="M8" s="11" t="n">
        <x:v>1</x:v>
      </x:c>
      <x:c r="N8" s="11" t="n">
        <x:v>0</x:v>
      </x:c>
      <x:c r="O8" s="9" t="str">
        <x:f>IF(COUNTIF(F8:M8,1)=8,"PASS","FAIL")</x:f>
        <x:v>PASS</x:v>
      </x:c>
    </x:row>
    <x:row r="9">
      <x:c r="B9" s="9" t="str">
        <x:v>CUT-03</x:v>
      </x:c>
      <x:c r="C9" s="9" t="str">
        <x:v>ROOT_A</x:v>
      </x:c>
      <x:c r="D9" s="9" t="str">
        <x:v>upper/diagonal joint</x:v>
      </x:c>
      <x:c r="E9" s="9" t="n">
        <x:v>1</x:v>
      </x:c>
      <x:c r="F9" s="11" t="n">
        <x:v>1</x:v>
      </x:c>
      <x:c r="G9" s="11" t="n">
        <x:v>1</x:v>
      </x:c>
      <x:c r="H9" s="11" t="n">
        <x:v>1</x:v>
      </x:c>
      <x:c r="I9" s="11" t="n">
        <x:v>1</x:v>
      </x:c>
      <x:c r="J9" s="11" t="n">
        <x:v>1</x:v>
      </x:c>
      <x:c r="K9" s="11" t="n">
        <x:v>1</x:v>
      </x:c>
      <x:c r="L9" s="11" t="n">
        <x:v>1</x:v>
      </x:c>
      <x:c r="M9" s="11" t="n">
        <x:v>1</x:v>
      </x:c>
      <x:c r="N9" s="11" t="n">
        <x:v>0</x:v>
      </x:c>
      <x:c r="O9" s="9" t="str">
        <x:f>IF(COUNTIF(F9:M9,1)=8,"PASS","FAIL")</x:f>
        <x:v>PASS</x:v>
      </x:c>
    </x:row>
    <x:row r="10">
      <x:c r="B10" s="9" t="str">
        <x:v>CUT-04</x:v>
      </x:c>
      <x:c r="C10" s="9" t="str">
        <x:v>ROOT_A</x:v>
      </x:c>
      <x:c r="D10" s="9" t="str">
        <x:v>upper/diagonal joint</x:v>
      </x:c>
      <x:c r="E10" s="9" t="n">
        <x:v>2</x:v>
      </x:c>
      <x:c r="F10" s="11" t="n">
        <x:v>1</x:v>
      </x:c>
      <x:c r="G10" s="11" t="n">
        <x:v>1</x:v>
      </x:c>
      <x:c r="H10" s="11" t="n">
        <x:v>1</x:v>
      </x:c>
      <x:c r="I10" s="11" t="n">
        <x:v>1</x:v>
      </x:c>
      <x:c r="J10" s="11" t="n">
        <x:v>1</x:v>
      </x:c>
      <x:c r="K10" s="11" t="n">
        <x:v>1</x:v>
      </x:c>
      <x:c r="L10" s="11" t="n">
        <x:v>1</x:v>
      </x:c>
      <x:c r="M10" s="11" t="n">
        <x:v>1</x:v>
      </x:c>
      <x:c r="N10" s="11" t="n">
        <x:v>0</x:v>
      </x:c>
      <x:c r="O10" s="9" t="str">
        <x:f>IF(COUNTIF(F10:M10,1)=8,"PASS","FAIL")</x:f>
        <x:v>PASS</x:v>
      </x:c>
    </x:row>
    <x:row r="11">
      <x:c r="B11" s="9" t="str">
        <x:v>CUT-05</x:v>
      </x:c>
      <x:c r="C11" s="9" t="str">
        <x:v>ROOT_A</x:v>
      </x:c>
      <x:c r="D11" s="9" t="str">
        <x:v>support reaction frame</x:v>
      </x:c>
      <x:c r="E11" s="9" t="n">
        <x:v>1</x:v>
      </x:c>
      <x:c r="F11" s="11" t="n">
        <x:v>1</x:v>
      </x:c>
      <x:c r="G11" s="11" t="n">
        <x:v>1</x:v>
      </x:c>
      <x:c r="H11" s="11" t="n">
        <x:v>1</x:v>
      </x:c>
      <x:c r="I11" s="11" t="n">
        <x:v>1</x:v>
      </x:c>
      <x:c r="J11" s="11" t="n">
        <x:v>1</x:v>
      </x:c>
      <x:c r="K11" s="11" t="n">
        <x:v>1</x:v>
      </x:c>
      <x:c r="L11" s="11" t="n">
        <x:v>1</x:v>
      </x:c>
      <x:c r="M11" s="11" t="n">
        <x:v>1</x:v>
      </x:c>
      <x:c r="N11" s="11" t="n">
        <x:v>0</x:v>
      </x:c>
      <x:c r="O11" s="9" t="str">
        <x:f>IF(COUNTIF(F11:M11,1)=8,"PASS","FAIL")</x:f>
        <x:v>PASS</x:v>
      </x:c>
    </x:row>
    <x:row r="12">
      <x:c r="B12" s="9" t="str">
        <x:v>CUT-06</x:v>
      </x:c>
      <x:c r="C12" s="9" t="str">
        <x:v>ROOT_A</x:v>
      </x:c>
      <x:c r="D12" s="9" t="str">
        <x:v>support reaction frame</x:v>
      </x:c>
      <x:c r="E12" s="9" t="n">
        <x:v>2</x:v>
      </x:c>
      <x:c r="F12" s="11" t="n">
        <x:v>1</x:v>
      </x:c>
      <x:c r="G12" s="11" t="n">
        <x:v>1</x:v>
      </x:c>
      <x:c r="H12" s="11" t="n">
        <x:v>1</x:v>
      </x:c>
      <x:c r="I12" s="11" t="n">
        <x:v>1</x:v>
      </x:c>
      <x:c r="J12" s="11" t="n">
        <x:v>1</x:v>
      </x:c>
      <x:c r="K12" s="11" t="n">
        <x:v>1</x:v>
      </x:c>
      <x:c r="L12" s="11" t="n">
        <x:v>1</x:v>
      </x:c>
      <x:c r="M12" s="11" t="n">
        <x:v>1</x:v>
      </x:c>
      <x:c r="N12" s="11" t="n">
        <x:v>0</x:v>
      </x:c>
      <x:c r="O12" s="9" t="str">
        <x:f>IF(COUNTIF(F12:M12,1)=8,"PASS","FAIL")</x:f>
        <x:v>PASS</x:v>
      </x:c>
    </x:row>
    <x:row r="13">
      <x:c r="B13" s="9" t="str">
        <x:v>CUT-07</x:v>
      </x:c>
      <x:c r="C13" s="9" t="str">
        <x:v>ROOT_A</x:v>
      </x:c>
      <x:c r="D13" s="9" t="str">
        <x:v>anchor hinge</x:v>
      </x:c>
      <x:c r="E13" s="9" t="n">
        <x:v>1</x:v>
      </x:c>
      <x:c r="F13" s="11" t="n">
        <x:v>1</x:v>
      </x:c>
      <x:c r="G13" s="11" t="n">
        <x:v>1</x:v>
      </x:c>
      <x:c r="H13" s="11" t="n">
        <x:v>1</x:v>
      </x:c>
      <x:c r="I13" s="11" t="n">
        <x:v>1</x:v>
      </x:c>
      <x:c r="J13" s="11" t="n">
        <x:v>1</x:v>
      </x:c>
      <x:c r="K13" s="11" t="n">
        <x:v>1</x:v>
      </x:c>
      <x:c r="L13" s="11" t="n">
        <x:v>1</x:v>
      </x:c>
      <x:c r="M13" s="11" t="n">
        <x:v>1</x:v>
      </x:c>
      <x:c r="N13" s="11" t="n">
        <x:v>0</x:v>
      </x:c>
      <x:c r="O13" s="9" t="str">
        <x:f>IF(COUNTIF(F13:M13,1)=8,"PASS","FAIL")</x:f>
        <x:v>PASS</x:v>
      </x:c>
    </x:row>
    <x:row r="14">
      <x:c r="B14" s="9" t="str">
        <x:v>CUT-08</x:v>
      </x:c>
      <x:c r="C14" s="9" t="str">
        <x:v>ROOT_A</x:v>
      </x:c>
      <x:c r="D14" s="9" t="str">
        <x:v>anchor hinge</x:v>
      </x:c>
      <x:c r="E14" s="9" t="n">
        <x:v>2</x:v>
      </x:c>
      <x:c r="F14" s="11" t="n">
        <x:v>1</x:v>
      </x:c>
      <x:c r="G14" s="11" t="n">
        <x:v>1</x:v>
      </x:c>
      <x:c r="H14" s="11" t="n">
        <x:v>1</x:v>
      </x:c>
      <x:c r="I14" s="11" t="n">
        <x:v>1</x:v>
      </x:c>
      <x:c r="J14" s="11" t="n">
        <x:v>1</x:v>
      </x:c>
      <x:c r="K14" s="11" t="n">
        <x:v>1</x:v>
      </x:c>
      <x:c r="L14" s="11" t="n">
        <x:v>1</x:v>
      </x:c>
      <x:c r="M14" s="11" t="n">
        <x:v>1</x:v>
      </x:c>
      <x:c r="N14" s="11" t="n">
        <x:v>0</x:v>
      </x:c>
      <x:c r="O14" s="9" t="str">
        <x:f>IF(COUNTIF(F14:M14,1)=8,"PASS","FAIL")</x:f>
        <x:v>PASS</x:v>
      </x:c>
    </x:row>
    <x:row r="15">
      <x:c r="B15" s="9" t="str">
        <x:v>CUT-09</x:v>
      </x:c>
      <x:c r="C15" s="9" t="str">
        <x:v>ROOT_A</x:v>
      </x:c>
      <x:c r="D15" s="9" t="str">
        <x:v>lift clevis/transfer</x:v>
      </x:c>
      <x:c r="E15" s="9" t="n">
        <x:v>1</x:v>
      </x:c>
      <x:c r="F15" s="11" t="n">
        <x:v>1</x:v>
      </x:c>
      <x:c r="G15" s="11" t="n">
        <x:v>1</x:v>
      </x:c>
      <x:c r="H15" s="11" t="n">
        <x:v>1</x:v>
      </x:c>
      <x:c r="I15" s="11" t="n">
        <x:v>1</x:v>
      </x:c>
      <x:c r="J15" s="11" t="n">
        <x:v>1</x:v>
      </x:c>
      <x:c r="K15" s="11" t="n">
        <x:v>1</x:v>
      </x:c>
      <x:c r="L15" s="11" t="n">
        <x:v>1</x:v>
      </x:c>
      <x:c r="M15" s="11" t="n">
        <x:v>1</x:v>
      </x:c>
      <x:c r="N15" s="11" t="n">
        <x:v>0</x:v>
      </x:c>
      <x:c r="O15" s="9" t="str">
        <x:f>IF(COUNTIF(F15:M15,1)=8,"PASS","FAIL")</x:f>
        <x:v>PASS</x:v>
      </x:c>
    </x:row>
    <x:row r="16">
      <x:c r="B16" s="9" t="str">
        <x:v>CUT-10</x:v>
      </x:c>
      <x:c r="C16" s="9" t="str">
        <x:v>ROOT_A</x:v>
      </x:c>
      <x:c r="D16" s="9" t="str">
        <x:v>lift clevis/transfer</x:v>
      </x:c>
      <x:c r="E16" s="9" t="n">
        <x:v>2</x:v>
      </x:c>
      <x:c r="F16" s="11" t="n">
        <x:v>1</x:v>
      </x:c>
      <x:c r="G16" s="11" t="n">
        <x:v>1</x:v>
      </x:c>
      <x:c r="H16" s="11" t="n">
        <x:v>1</x:v>
      </x:c>
      <x:c r="I16" s="11" t="n">
        <x:v>1</x:v>
      </x:c>
      <x:c r="J16" s="11" t="n">
        <x:v>1</x:v>
      </x:c>
      <x:c r="K16" s="11" t="n">
        <x:v>1</x:v>
      </x:c>
      <x:c r="L16" s="11" t="n">
        <x:v>1</x:v>
      </x:c>
      <x:c r="M16" s="11" t="n">
        <x:v>1</x:v>
      </x:c>
      <x:c r="N16" s="11" t="n">
        <x:v>0</x:v>
      </x:c>
      <x:c r="O16" s="9" t="str">
        <x:f>IF(COUNTIF(F16:M16,1)=8,"PASS","FAIL")</x:f>
        <x:v>PASS</x:v>
      </x:c>
    </x:row>
    <x:row r="17">
      <x:c r="B17" s="9" t="str">
        <x:v>CUT-11</x:v>
      </x:c>
      <x:c r="C17" s="9" t="str">
        <x:v>ROOT_A</x:v>
      </x:c>
      <x:c r="D17" s="9" t="str">
        <x:v>hydraulic pipe joint</x:v>
      </x:c>
      <x:c r="E17" s="9" t="n">
        <x:v>1</x:v>
      </x:c>
      <x:c r="F17" s="11" t="n">
        <x:v>1</x:v>
      </x:c>
      <x:c r="G17" s="11" t="n">
        <x:v>1</x:v>
      </x:c>
      <x:c r="H17" s="11" t="n">
        <x:v>1</x:v>
      </x:c>
      <x:c r="I17" s="11" t="n">
        <x:v>1</x:v>
      </x:c>
      <x:c r="J17" s="11" t="n">
        <x:v>1</x:v>
      </x:c>
      <x:c r="K17" s="11" t="n">
        <x:v>1</x:v>
      </x:c>
      <x:c r="L17" s="11" t="n">
        <x:v>1</x:v>
      </x:c>
      <x:c r="M17" s="11" t="n">
        <x:v>1</x:v>
      </x:c>
      <x:c r="N17" s="11" t="n">
        <x:v>0</x:v>
      </x:c>
      <x:c r="O17" s="9" t="str">
        <x:f>IF(COUNTIF(F17:M17,1)=8,"PASS","FAIL")</x:f>
        <x:v>PASS</x:v>
      </x:c>
    </x:row>
    <x:row r="18">
      <x:c r="B18" s="9" t="str">
        <x:v>CUT-12</x:v>
      </x:c>
      <x:c r="C18" s="9" t="str">
        <x:v>ROOT_A</x:v>
      </x:c>
      <x:c r="D18" s="9" t="str">
        <x:v>hydraulic pipe joint</x:v>
      </x:c>
      <x:c r="E18" s="9" t="n">
        <x:v>2</x:v>
      </x:c>
      <x:c r="F18" s="11" t="n">
        <x:v>1</x:v>
      </x:c>
      <x:c r="G18" s="11" t="n">
        <x:v>1</x:v>
      </x:c>
      <x:c r="H18" s="11" t="n">
        <x:v>1</x:v>
      </x:c>
      <x:c r="I18" s="11" t="n">
        <x:v>1</x:v>
      </x:c>
      <x:c r="J18" s="11" t="n">
        <x:v>1</x:v>
      </x:c>
      <x:c r="K18" s="11" t="n">
        <x:v>1</x:v>
      </x:c>
      <x:c r="L18" s="11" t="n">
        <x:v>1</x:v>
      </x:c>
      <x:c r="M18" s="11" t="n">
        <x:v>1</x:v>
      </x:c>
      <x:c r="N18" s="11" t="n">
        <x:v>0</x:v>
      </x:c>
      <x:c r="O18" s="9" t="str">
        <x:f>IF(COUNTIF(F18:M18,1)=8,"PASS","FAIL")</x:f>
        <x:v>PASS</x:v>
      </x:c>
    </x:row>
    <x:row r="19">
      <x:c r="B19" s="9" t="str">
        <x:v>CUT-13</x:v>
      </x:c>
      <x:c r="C19" s="9" t="str">
        <x:v>ROOT_A</x:v>
      </x:c>
      <x:c r="D19" s="9" t="str">
        <x:v>collar groove/bond</x:v>
      </x:c>
      <x:c r="E19" s="9" t="n">
        <x:v>1</x:v>
      </x:c>
      <x:c r="F19" s="11" t="n">
        <x:v>1</x:v>
      </x:c>
      <x:c r="G19" s="11" t="n">
        <x:v>1</x:v>
      </x:c>
      <x:c r="H19" s="11" t="n">
        <x:v>1</x:v>
      </x:c>
      <x:c r="I19" s="11" t="n">
        <x:v>1</x:v>
      </x:c>
      <x:c r="J19" s="11" t="n">
        <x:v>1</x:v>
      </x:c>
      <x:c r="K19" s="11" t="n">
        <x:v>1</x:v>
      </x:c>
      <x:c r="L19" s="11" t="n">
        <x:v>1</x:v>
      </x:c>
      <x:c r="M19" s="11" t="n">
        <x:v>1</x:v>
      </x:c>
      <x:c r="N19" s="11" t="n">
        <x:v>0</x:v>
      </x:c>
      <x:c r="O19" s="9" t="str">
        <x:f>IF(COUNTIF(F19:M19,1)=8,"PASS","FAIL")</x:f>
        <x:v>PASS</x:v>
      </x:c>
    </x:row>
    <x:row r="20">
      <x:c r="B20" s="9" t="str">
        <x:v>CUT-14</x:v>
      </x:c>
      <x:c r="C20" s="9" t="str">
        <x:v>ROOT_A</x:v>
      </x:c>
      <x:c r="D20" s="9" t="str">
        <x:v>collar groove/bond</x:v>
      </x:c>
      <x:c r="E20" s="9" t="n">
        <x:v>2</x:v>
      </x:c>
      <x:c r="F20" s="11" t="n">
        <x:v>1</x:v>
      </x:c>
      <x:c r="G20" s="11" t="n">
        <x:v>1</x:v>
      </x:c>
      <x:c r="H20" s="11" t="n">
        <x:v>1</x:v>
      </x:c>
      <x:c r="I20" s="11" t="n">
        <x:v>1</x:v>
      </x:c>
      <x:c r="J20" s="11" t="n">
        <x:v>1</x:v>
      </x:c>
      <x:c r="K20" s="11" t="n">
        <x:v>1</x:v>
      </x:c>
      <x:c r="L20" s="11" t="n">
        <x:v>1</x:v>
      </x:c>
      <x:c r="M20" s="11" t="n">
        <x:v>1</x:v>
      </x:c>
      <x:c r="N20" s="11" t="n">
        <x:v>0</x:v>
      </x:c>
      <x:c r="O20" s="9" t="str">
        <x:f>IF(COUNTIF(F20:M20,1)=8,"PASS","FAIL")</x:f>
        <x:v>PASS</x:v>
      </x:c>
    </x:row>
    <x:row r="21">
      <x:c r="B21" s="9" t="str">
        <x:v>CUT-15</x:v>
      </x:c>
      <x:c r="C21" s="9" t="str">
        <x:v>ROOT_A</x:v>
      </x:c>
      <x:c r="D21" s="9" t="str">
        <x:v>seal land</x:v>
      </x:c>
      <x:c r="E21" s="9" t="n">
        <x:v>1</x:v>
      </x:c>
      <x:c r="F21" s="11" t="n">
        <x:v>1</x:v>
      </x:c>
      <x:c r="G21" s="11" t="n">
        <x:v>1</x:v>
      </x:c>
      <x:c r="H21" s="11" t="n">
        <x:v>1</x:v>
      </x:c>
      <x:c r="I21" s="11" t="n">
        <x:v>1</x:v>
      </x:c>
      <x:c r="J21" s="11" t="n">
        <x:v>1</x:v>
      </x:c>
      <x:c r="K21" s="11" t="n">
        <x:v>1</x:v>
      </x:c>
      <x:c r="L21" s="11" t="n">
        <x:v>1</x:v>
      </x:c>
      <x:c r="M21" s="11" t="n">
        <x:v>1</x:v>
      </x:c>
      <x:c r="N21" s="11" t="n">
        <x:v>0</x:v>
      </x:c>
      <x:c r="O21" s="9" t="str">
        <x:f>IF(COUNTIF(F21:M21,1)=8,"PASS","FAIL")</x:f>
        <x:v>PASS</x:v>
      </x:c>
    </x:row>
    <x:row r="22">
      <x:c r="B22" s="9" t="str">
        <x:v>CUT-16</x:v>
      </x:c>
      <x:c r="C22" s="9" t="str">
        <x:v>ROOT_A</x:v>
      </x:c>
      <x:c r="D22" s="9" t="str">
        <x:v>seal land</x:v>
      </x:c>
      <x:c r="E22" s="9" t="n">
        <x:v>2</x:v>
      </x:c>
      <x:c r="F22" s="11" t="n">
        <x:v>1</x:v>
      </x:c>
      <x:c r="G22" s="11" t="n">
        <x:v>1</x:v>
      </x:c>
      <x:c r="H22" s="11" t="n">
        <x:v>1</x:v>
      </x:c>
      <x:c r="I22" s="11" t="n">
        <x:v>1</x:v>
      </x:c>
      <x:c r="J22" s="11" t="n">
        <x:v>1</x:v>
      </x:c>
      <x:c r="K22" s="11" t="n">
        <x:v>1</x:v>
      </x:c>
      <x:c r="L22" s="11" t="n">
        <x:v>1</x:v>
      </x:c>
      <x:c r="M22" s="11" t="n">
        <x:v>1</x:v>
      </x:c>
      <x:c r="N22" s="11" t="n">
        <x:v>0</x:v>
      </x:c>
      <x:c r="O22" s="9" t="str">
        <x:f>IF(COUNTIF(F22:M22,1)=8,"PASS","FAIL")</x:f>
        <x:v>PASS</x:v>
      </x:c>
    </x:row>
    <x:row r="23">
      <x:c r="B23" s="9" t="str">
        <x:v>CUT-17</x:v>
      </x:c>
      <x:c r="C23" s="9" t="str">
        <x:v>ROOT_A</x:v>
      </x:c>
      <x:c r="D23" s="9" t="str">
        <x:v>valve seat</x:v>
      </x:c>
      <x:c r="E23" s="9" t="n">
        <x:v>1</x:v>
      </x:c>
      <x:c r="F23" s="11" t="n">
        <x:v>1</x:v>
      </x:c>
      <x:c r="G23" s="11" t="n">
        <x:v>1</x:v>
      </x:c>
      <x:c r="H23" s="11" t="n">
        <x:v>1</x:v>
      </x:c>
      <x:c r="I23" s="11" t="n">
        <x:v>1</x:v>
      </x:c>
      <x:c r="J23" s="11" t="n">
        <x:v>1</x:v>
      </x:c>
      <x:c r="K23" s="11" t="n">
        <x:v>1</x:v>
      </x:c>
      <x:c r="L23" s="11" t="n">
        <x:v>1</x:v>
      </x:c>
      <x:c r="M23" s="11" t="n">
        <x:v>1</x:v>
      </x:c>
      <x:c r="N23" s="11" t="n">
        <x:v>0</x:v>
      </x:c>
      <x:c r="O23" s="9" t="str">
        <x:f>IF(COUNTIF(F23:M23,1)=8,"PASS","FAIL")</x:f>
        <x:v>PASS</x:v>
      </x:c>
    </x:row>
    <x:row r="24">
      <x:c r="B24" s="9" t="str">
        <x:v>CUT-18</x:v>
      </x:c>
      <x:c r="C24" s="9" t="str">
        <x:v>ROOT_A</x:v>
      </x:c>
      <x:c r="D24" s="9" t="str">
        <x:v>valve seat</x:v>
      </x:c>
      <x:c r="E24" s="9" t="n">
        <x:v>2</x:v>
      </x:c>
      <x:c r="F24" s="11" t="n">
        <x:v>1</x:v>
      </x:c>
      <x:c r="G24" s="11" t="n">
        <x:v>1</x:v>
      </x:c>
      <x:c r="H24" s="11" t="n">
        <x:v>1</x:v>
      </x:c>
      <x:c r="I24" s="11" t="n">
        <x:v>1</x:v>
      </x:c>
      <x:c r="J24" s="11" t="n">
        <x:v>1</x:v>
      </x:c>
      <x:c r="K24" s="11" t="n">
        <x:v>1</x:v>
      </x:c>
      <x:c r="L24" s="11" t="n">
        <x:v>1</x:v>
      </x:c>
      <x:c r="M24" s="11" t="n">
        <x:v>1</x:v>
      </x:c>
      <x:c r="N24" s="11" t="n">
        <x:v>0</x:v>
      </x:c>
      <x:c r="O24" s="9" t="str">
        <x:f>IF(COUNTIF(F24:M24,1)=8,"PASS","FAIL")</x:f>
        <x:v>PASS</x:v>
      </x:c>
    </x:row>
    <x:row r="25">
      <x:c r="B25" s="9" t="str">
        <x:v>CUT-19</x:v>
      </x:c>
      <x:c r="C25" s="9" t="str">
        <x:v>ROOT_A</x:v>
      </x:c>
      <x:c r="D25" s="9" t="str">
        <x:v>sanitary surface</x:v>
      </x:c>
      <x:c r="E25" s="9" t="n">
        <x:v>1</x:v>
      </x:c>
      <x:c r="F25" s="11" t="n">
        <x:v>1</x:v>
      </x:c>
      <x:c r="G25" s="11" t="n">
        <x:v>1</x:v>
      </x:c>
      <x:c r="H25" s="11" t="n">
        <x:v>1</x:v>
      </x:c>
      <x:c r="I25" s="11" t="n">
        <x:v>1</x:v>
      </x:c>
      <x:c r="J25" s="11" t="n">
        <x:v>1</x:v>
      </x:c>
      <x:c r="K25" s="11" t="n">
        <x:v>1</x:v>
      </x:c>
      <x:c r="L25" s="11" t="n">
        <x:v>1</x:v>
      </x:c>
      <x:c r="M25" s="11" t="n">
        <x:v>1</x:v>
      </x:c>
      <x:c r="N25" s="11" t="n">
        <x:v>0</x:v>
      </x:c>
      <x:c r="O25" s="9" t="str">
        <x:f>IF(COUNTIF(F25:M25,1)=8,"PASS","FAIL")</x:f>
        <x:v>PASS</x:v>
      </x:c>
    </x:row>
    <x:row r="26">
      <x:c r="B26" s="9" t="str">
        <x:v>CUT-20</x:v>
      </x:c>
      <x:c r="C26" s="9" t="str">
        <x:v>ROOT_A</x:v>
      </x:c>
      <x:c r="D26" s="9" t="str">
        <x:v>sanitary surface</x:v>
      </x:c>
      <x:c r="E26" s="9" t="n">
        <x:v>2</x:v>
      </x:c>
      <x:c r="F26" s="11" t="n">
        <x:v>1</x:v>
      </x:c>
      <x:c r="G26" s="11" t="n">
        <x:v>1</x:v>
      </x:c>
      <x:c r="H26" s="11" t="n">
        <x:v>1</x:v>
      </x:c>
      <x:c r="I26" s="11" t="n">
        <x:v>1</x:v>
      </x:c>
      <x:c r="J26" s="11" t="n">
        <x:v>1</x:v>
      </x:c>
      <x:c r="K26" s="11" t="n">
        <x:v>1</x:v>
      </x:c>
      <x:c r="L26" s="11" t="n">
        <x:v>1</x:v>
      </x:c>
      <x:c r="M26" s="11" t="n">
        <x:v>1</x:v>
      </x:c>
      <x:c r="N26" s="11" t="n">
        <x:v>0</x:v>
      </x:c>
      <x:c r="O26" s="9" t="str">
        <x:f>IF(COUNTIF(F26:M26,1)=8,"PASS","FAIL")</x:f>
        <x:v>PASS</x:v>
      </x:c>
    </x:row>
    <x:row r="27">
      <x:c r="B27" s="9" t="str">
        <x:v>CUT-21</x:v>
      </x:c>
      <x:c r="C27" s="9" t="str">
        <x:v>ROOT_A</x:v>
      </x:c>
      <x:c r="D27" s="9" t="str">
        <x:v>bus contact</x:v>
      </x:c>
      <x:c r="E27" s="9" t="n">
        <x:v>1</x:v>
      </x:c>
      <x:c r="F27" s="11" t="n">
        <x:v>1</x:v>
      </x:c>
      <x:c r="G27" s="11" t="n">
        <x:v>1</x:v>
      </x:c>
      <x:c r="H27" s="11" t="n">
        <x:v>1</x:v>
      </x:c>
      <x:c r="I27" s="11" t="n">
        <x:v>1</x:v>
      </x:c>
      <x:c r="J27" s="11" t="n">
        <x:v>1</x:v>
      </x:c>
      <x:c r="K27" s="11" t="n">
        <x:v>1</x:v>
      </x:c>
      <x:c r="L27" s="11" t="n">
        <x:v>1</x:v>
      </x:c>
      <x:c r="M27" s="11" t="n">
        <x:v>1</x:v>
      </x:c>
      <x:c r="N27" s="11" t="n">
        <x:v>0</x:v>
      </x:c>
      <x:c r="O27" s="9" t="str">
        <x:f>IF(COUNTIF(F27:M27,1)=8,"PASS","FAIL")</x:f>
        <x:v>PASS</x:v>
      </x:c>
    </x:row>
    <x:row r="28">
      <x:c r="B28" s="9" t="str">
        <x:v>CUT-22</x:v>
      </x:c>
      <x:c r="C28" s="9" t="str">
        <x:v>ROOT_A</x:v>
      </x:c>
      <x:c r="D28" s="9" t="str">
        <x:v>bus contact</x:v>
      </x:c>
      <x:c r="E28" s="9" t="n">
        <x:v>2</x:v>
      </x:c>
      <x:c r="F28" s="11" t="n">
        <x:v>1</x:v>
      </x:c>
      <x:c r="G28" s="11" t="n">
        <x:v>1</x:v>
      </x:c>
      <x:c r="H28" s="11" t="n">
        <x:v>1</x:v>
      </x:c>
      <x:c r="I28" s="11" t="n">
        <x:v>1</x:v>
      </x:c>
      <x:c r="J28" s="11" t="n">
        <x:v>1</x:v>
      </x:c>
      <x:c r="K28" s="11" t="n">
        <x:v>1</x:v>
      </x:c>
      <x:c r="L28" s="11" t="n">
        <x:v>1</x:v>
      </x:c>
      <x:c r="M28" s="11" t="n">
        <x:v>1</x:v>
      </x:c>
      <x:c r="N28" s="11" t="n">
        <x:v>0</x:v>
      </x:c>
      <x:c r="O28" s="9" t="str">
        <x:f>IF(COUNTIF(F28:M28,1)=8,"PASS","FAIL")</x:f>
        <x:v>PASS</x:v>
      </x:c>
    </x:row>
    <x:row r="29">
      <x:c r="B29" s="9" t="str">
        <x:v>CUT-23</x:v>
      </x:c>
      <x:c r="C29" s="9" t="str">
        <x:v>ROOT_A</x:v>
      </x:c>
      <x:c r="D29" s="9" t="str">
        <x:v>protection device</x:v>
      </x:c>
      <x:c r="E29" s="9" t="n">
        <x:v>1</x:v>
      </x:c>
      <x:c r="F29" s="11" t="n">
        <x:v>1</x:v>
      </x:c>
      <x:c r="G29" s="11" t="n">
        <x:v>1</x:v>
      </x:c>
      <x:c r="H29" s="11" t="n">
        <x:v>1</x:v>
      </x:c>
      <x:c r="I29" s="11" t="n">
        <x:v>1</x:v>
      </x:c>
      <x:c r="J29" s="11" t="n">
        <x:v>1</x:v>
      </x:c>
      <x:c r="K29" s="11" t="n">
        <x:v>1</x:v>
      </x:c>
      <x:c r="L29" s="11" t="n">
        <x:v>1</x:v>
      </x:c>
      <x:c r="M29" s="11" t="n">
        <x:v>1</x:v>
      </x:c>
      <x:c r="N29" s="11" t="n">
        <x:v>0</x:v>
      </x:c>
      <x:c r="O29" s="9" t="str">
        <x:f>IF(COUNTIF(F29:M29,1)=8,"PASS","FAIL")</x:f>
        <x:v>PASS</x:v>
      </x:c>
    </x:row>
    <x:row r="30">
      <x:c r="B30" s="9" t="str">
        <x:v>CUT-24</x:v>
      </x:c>
      <x:c r="C30" s="9" t="str">
        <x:v>ROOT_A</x:v>
      </x:c>
      <x:c r="D30" s="9" t="str">
        <x:v>protection device</x:v>
      </x:c>
      <x:c r="E30" s="9" t="n">
        <x:v>2</x:v>
      </x:c>
      <x:c r="F30" s="11" t="n">
        <x:v>1</x:v>
      </x:c>
      <x:c r="G30" s="11" t="n">
        <x:v>1</x:v>
      </x:c>
      <x:c r="H30" s="11" t="n">
        <x:v>1</x:v>
      </x:c>
      <x:c r="I30" s="11" t="n">
        <x:v>1</x:v>
      </x:c>
      <x:c r="J30" s="11" t="n">
        <x:v>1</x:v>
      </x:c>
      <x:c r="K30" s="11" t="n">
        <x:v>1</x:v>
      </x:c>
      <x:c r="L30" s="11" t="n">
        <x:v>1</x:v>
      </x:c>
      <x:c r="M30" s="11" t="n">
        <x:v>1</x:v>
      </x:c>
      <x:c r="N30" s="11" t="n">
        <x:v>0</x:v>
      </x:c>
      <x:c r="O30" s="9" t="str">
        <x:f>IF(COUNTIF(F30:M30,1)=8,"PASS","FAIL")</x:f>
        <x:v>PASS</x:v>
      </x:c>
    </x:row>
    <x:row r="31">
      <x:c r="B31" s="9" t="str">
        <x:v>CUT-25</x:v>
      </x:c>
      <x:c r="C31" s="9" t="str">
        <x:v>ROOT_A</x:v>
      </x:c>
      <x:c r="D31" s="9" t="str">
        <x:v>fuel barrier</x:v>
      </x:c>
      <x:c r="E31" s="9" t="n">
        <x:v>1</x:v>
      </x:c>
      <x:c r="F31" s="11" t="n">
        <x:v>1</x:v>
      </x:c>
      <x:c r="G31" s="11" t="n">
        <x:v>1</x:v>
      </x:c>
      <x:c r="H31" s="11" t="n">
        <x:v>1</x:v>
      </x:c>
      <x:c r="I31" s="11" t="n">
        <x:v>1</x:v>
      </x:c>
      <x:c r="J31" s="11" t="n">
        <x:v>1</x:v>
      </x:c>
      <x:c r="K31" s="11" t="n">
        <x:v>1</x:v>
      </x:c>
      <x:c r="L31" s="11" t="n">
        <x:v>1</x:v>
      </x:c>
      <x:c r="M31" s="11" t="n">
        <x:v>1</x:v>
      </x:c>
      <x:c r="N31" s="11" t="n">
        <x:v>0</x:v>
      </x:c>
      <x:c r="O31" s="9" t="str">
        <x:f>IF(COUNTIF(F31:M31,1)=8,"PASS","FAIL")</x:f>
        <x:v>PASS</x:v>
      </x:c>
    </x:row>
    <x:row r="32">
      <x:c r="B32" s="9" t="str">
        <x:v>CUT-26</x:v>
      </x:c>
      <x:c r="C32" s="9" t="str">
        <x:v>ROOT_A</x:v>
      </x:c>
      <x:c r="D32" s="9" t="str">
        <x:v>fuel barrier</x:v>
      </x:c>
      <x:c r="E32" s="9" t="n">
        <x:v>2</x:v>
      </x:c>
      <x:c r="F32" s="11" t="n">
        <x:v>1</x:v>
      </x:c>
      <x:c r="G32" s="11" t="n">
        <x:v>1</x:v>
      </x:c>
      <x:c r="H32" s="11" t="n">
        <x:v>1</x:v>
      </x:c>
      <x:c r="I32" s="11" t="n">
        <x:v>1</x:v>
      </x:c>
      <x:c r="J32" s="11" t="n">
        <x:v>1</x:v>
      </x:c>
      <x:c r="K32" s="11" t="n">
        <x:v>1</x:v>
      </x:c>
      <x:c r="L32" s="11" t="n">
        <x:v>1</x:v>
      </x:c>
      <x:c r="M32" s="11" t="n">
        <x:v>1</x:v>
      </x:c>
      <x:c r="N32" s="11" t="n">
        <x:v>0</x:v>
      </x:c>
      <x:c r="O32" s="9" t="str">
        <x:f>IF(COUNTIF(F32:M32,1)=8,"PASS","FAIL")</x:f>
        <x:v>PASS</x:v>
      </x:c>
    </x:row>
    <x:row r="33">
      <x:c r="B33" s="9" t="str">
        <x:v>CUT-27</x:v>
      </x:c>
      <x:c r="C33" s="9" t="str">
        <x:v>ROOT_A</x:v>
      </x:c>
      <x:c r="D33" s="9" t="str">
        <x:v>water barrier</x:v>
      </x:c>
      <x:c r="E33" s="9" t="n">
        <x:v>1</x:v>
      </x:c>
      <x:c r="F33" s="11" t="n">
        <x:v>1</x:v>
      </x:c>
      <x:c r="G33" s="11" t="n">
        <x:v>1</x:v>
      </x:c>
      <x:c r="H33" s="11" t="n">
        <x:v>1</x:v>
      </x:c>
      <x:c r="I33" s="11" t="n">
        <x:v>1</x:v>
      </x:c>
      <x:c r="J33" s="11" t="n">
        <x:v>1</x:v>
      </x:c>
      <x:c r="K33" s="11" t="n">
        <x:v>1</x:v>
      </x:c>
      <x:c r="L33" s="11" t="n">
        <x:v>1</x:v>
      </x:c>
      <x:c r="M33" s="11" t="n">
        <x:v>1</x:v>
      </x:c>
      <x:c r="N33" s="11" t="n">
        <x:v>0</x:v>
      </x:c>
      <x:c r="O33" s="9" t="str">
        <x:f>IF(COUNTIF(F33:M33,1)=8,"PASS","FAIL")</x:f>
        <x:v>PASS</x:v>
      </x:c>
    </x:row>
    <x:row r="34">
      <x:c r="B34" s="9" t="str">
        <x:v>CUT-28</x:v>
      </x:c>
      <x:c r="C34" s="9" t="str">
        <x:v>ROOT_A</x:v>
      </x:c>
      <x:c r="D34" s="9" t="str">
        <x:v>water barrier</x:v>
      </x:c>
      <x:c r="E34" s="9" t="n">
        <x:v>2</x:v>
      </x:c>
      <x:c r="F34" s="11" t="n">
        <x:v>1</x:v>
      </x:c>
      <x:c r="G34" s="11" t="n">
        <x:v>1</x:v>
      </x:c>
      <x:c r="H34" s="11" t="n">
        <x:v>1</x:v>
      </x:c>
      <x:c r="I34" s="11" t="n">
        <x:v>1</x:v>
      </x:c>
      <x:c r="J34" s="11" t="n">
        <x:v>1</x:v>
      </x:c>
      <x:c r="K34" s="11" t="n">
        <x:v>1</x:v>
      </x:c>
      <x:c r="L34" s="11" t="n">
        <x:v>1</x:v>
      </x:c>
      <x:c r="M34" s="11" t="n">
        <x:v>1</x:v>
      </x:c>
      <x:c r="N34" s="11" t="n">
        <x:v>0</x:v>
      </x:c>
      <x:c r="O34" s="9" t="str">
        <x:f>IF(COUNTIF(F34:M34,1)=8,"PASS","FAIL")</x:f>
        <x:v>PASS</x:v>
      </x:c>
    </x:row>
    <x:row r="35">
      <x:c r="B35" s="9" t="str">
        <x:v>CUT-29</x:v>
      </x:c>
      <x:c r="C35" s="9" t="str">
        <x:v>ROOT_A</x:v>
      </x:c>
      <x:c r="D35" s="9" t="str">
        <x:v>thermal/evidence route</x:v>
      </x:c>
      <x:c r="E35" s="9" t="n">
        <x:v>1</x:v>
      </x:c>
      <x:c r="F35" s="11" t="n">
        <x:v>1</x:v>
      </x:c>
      <x:c r="G35" s="11" t="n">
        <x:v>1</x:v>
      </x:c>
      <x:c r="H35" s="11" t="n">
        <x:v>1</x:v>
      </x:c>
      <x:c r="I35" s="11" t="n">
        <x:v>1</x:v>
      </x:c>
      <x:c r="J35" s="11" t="n">
        <x:v>1</x:v>
      </x:c>
      <x:c r="K35" s="11" t="n">
        <x:v>1</x:v>
      </x:c>
      <x:c r="L35" s="11" t="n">
        <x:v>1</x:v>
      </x:c>
      <x:c r="M35" s="11" t="n">
        <x:v>1</x:v>
      </x:c>
      <x:c r="N35" s="11" t="n">
        <x:v>0</x:v>
      </x:c>
      <x:c r="O35" s="9" t="str">
        <x:f>IF(COUNTIF(F35:M35,1)=8,"PASS","FAIL")</x:f>
        <x:v>PASS</x:v>
      </x:c>
    </x:row>
    <x:row r="36">
      <x:c r="B36" s="9" t="str">
        <x:v>CUT-30</x:v>
      </x:c>
      <x:c r="C36" s="9" t="str">
        <x:v>ROOT_A</x:v>
      </x:c>
      <x:c r="D36" s="9" t="str">
        <x:v>thermal/evidence route</x:v>
      </x:c>
      <x:c r="E36" s="9" t="n">
        <x:v>2</x:v>
      </x:c>
      <x:c r="F36" s="11" t="n">
        <x:v>1</x:v>
      </x:c>
      <x:c r="G36" s="11" t="n">
        <x:v>1</x:v>
      </x:c>
      <x:c r="H36" s="11" t="n">
        <x:v>1</x:v>
      </x:c>
      <x:c r="I36" s="11" t="n">
        <x:v>1</x:v>
      </x:c>
      <x:c r="J36" s="11" t="n">
        <x:v>1</x:v>
      </x:c>
      <x:c r="K36" s="11" t="n">
        <x:v>1</x:v>
      </x:c>
      <x:c r="L36" s="11" t="n">
        <x:v>1</x:v>
      </x:c>
      <x:c r="M36" s="11" t="n">
        <x:v>1</x:v>
      </x:c>
      <x:c r="N36" s="11" t="n">
        <x:v>0</x:v>
      </x:c>
      <x:c r="O36" s="9" t="str">
        <x:f>IF(COUNTIF(F36:M36,1)=8,"PASS","FAIL")</x:f>
        <x:v>PASS</x:v>
      </x:c>
    </x:row>
    <x:row r="37">
      <x:c r="B37" s="9" t="str">
        <x:v>CUT-31</x:v>
      </x:c>
      <x:c r="C37" s="9" t="str">
        <x:v>ROOT_B</x:v>
      </x:c>
      <x:c r="D37" s="9" t="str">
        <x:v>primary lower node</x:v>
      </x:c>
      <x:c r="E37" s="9" t="n">
        <x:v>1</x:v>
      </x:c>
      <x:c r="F37" s="11" t="n">
        <x:v>1</x:v>
      </x:c>
      <x:c r="G37" s="11" t="n">
        <x:v>1</x:v>
      </x:c>
      <x:c r="H37" s="11" t="n">
        <x:v>1</x:v>
      </x:c>
      <x:c r="I37" s="11" t="n">
        <x:v>1</x:v>
      </x:c>
      <x:c r="J37" s="11" t="n">
        <x:v>1</x:v>
      </x:c>
      <x:c r="K37" s="11" t="n">
        <x:v>1</x:v>
      </x:c>
      <x:c r="L37" s="11" t="n">
        <x:v>1</x:v>
      </x:c>
      <x:c r="M37" s="11" t="n">
        <x:v>1</x:v>
      </x:c>
      <x:c r="N37" s="11" t="n">
        <x:v>0</x:v>
      </x:c>
      <x:c r="O37" s="9" t="str">
        <x:f>IF(COUNTIF(F37:M37,1)=8,"PASS","FAIL")</x:f>
        <x:v>PASS</x:v>
      </x:c>
    </x:row>
    <x:row r="38">
      <x:c r="B38" s="9" t="str">
        <x:v>CUT-32</x:v>
      </x:c>
      <x:c r="C38" s="9" t="str">
        <x:v>ROOT_B</x:v>
      </x:c>
      <x:c r="D38" s="9" t="str">
        <x:v>primary lower node</x:v>
      </x:c>
      <x:c r="E38" s="9" t="n">
        <x:v>2</x:v>
      </x:c>
      <x:c r="F38" s="11" t="n">
        <x:v>1</x:v>
      </x:c>
      <x:c r="G38" s="11" t="n">
        <x:v>1</x:v>
      </x:c>
      <x:c r="H38" s="11" t="n">
        <x:v>1</x:v>
      </x:c>
      <x:c r="I38" s="11" t="n">
        <x:v>1</x:v>
      </x:c>
      <x:c r="J38" s="11" t="n">
        <x:v>1</x:v>
      </x:c>
      <x:c r="K38" s="11" t="n">
        <x:v>1</x:v>
      </x:c>
      <x:c r="L38" s="11" t="n">
        <x:v>1</x:v>
      </x:c>
      <x:c r="M38" s="11" t="n">
        <x:v>1</x:v>
      </x:c>
      <x:c r="N38" s="11" t="n">
        <x:v>0</x:v>
      </x:c>
      <x:c r="O38" s="9" t="str">
        <x:f>IF(COUNTIF(F38:M38,1)=8,"PASS","FAIL")</x:f>
        <x:v>PASS</x:v>
      </x:c>
    </x:row>
    <x:row r="39">
      <x:c r="B39" s="9" t="str">
        <x:v>CUT-33</x:v>
      </x:c>
      <x:c r="C39" s="9" t="str">
        <x:v>ROOT_B</x:v>
      </x:c>
      <x:c r="D39" s="9" t="str">
        <x:v>upper/diagonal joint</x:v>
      </x:c>
      <x:c r="E39" s="9" t="n">
        <x:v>1</x:v>
      </x:c>
      <x:c r="F39" s="11" t="n">
        <x:v>1</x:v>
      </x:c>
      <x:c r="G39" s="11" t="n">
        <x:v>1</x:v>
      </x:c>
      <x:c r="H39" s="11" t="n">
        <x:v>1</x:v>
      </x:c>
      <x:c r="I39" s="11" t="n">
        <x:v>1</x:v>
      </x:c>
      <x:c r="J39" s="11" t="n">
        <x:v>1</x:v>
      </x:c>
      <x:c r="K39" s="11" t="n">
        <x:v>1</x:v>
      </x:c>
      <x:c r="L39" s="11" t="n">
        <x:v>1</x:v>
      </x:c>
      <x:c r="M39" s="11" t="n">
        <x:v>1</x:v>
      </x:c>
      <x:c r="N39" s="11" t="n">
        <x:v>0</x:v>
      </x:c>
      <x:c r="O39" s="9" t="str">
        <x:f>IF(COUNTIF(F39:M39,1)=8,"PASS","FAIL")</x:f>
        <x:v>PASS</x:v>
      </x:c>
    </x:row>
    <x:row r="40">
      <x:c r="B40" s="9" t="str">
        <x:v>CUT-34</x:v>
      </x:c>
      <x:c r="C40" s="9" t="str">
        <x:v>ROOT_B</x:v>
      </x:c>
      <x:c r="D40" s="9" t="str">
        <x:v>upper/diagonal joint</x:v>
      </x:c>
      <x:c r="E40" s="9" t="n">
        <x:v>2</x:v>
      </x:c>
      <x:c r="F40" s="11" t="n">
        <x:v>1</x:v>
      </x:c>
      <x:c r="G40" s="11" t="n">
        <x:v>1</x:v>
      </x:c>
      <x:c r="H40" s="11" t="n">
        <x:v>1</x:v>
      </x:c>
      <x:c r="I40" s="11" t="n">
        <x:v>1</x:v>
      </x:c>
      <x:c r="J40" s="11" t="n">
        <x:v>1</x:v>
      </x:c>
      <x:c r="K40" s="11" t="n">
        <x:v>1</x:v>
      </x:c>
      <x:c r="L40" s="11" t="n">
        <x:v>1</x:v>
      </x:c>
      <x:c r="M40" s="11" t="n">
        <x:v>1</x:v>
      </x:c>
      <x:c r="N40" s="11" t="n">
        <x:v>0</x:v>
      </x:c>
      <x:c r="O40" s="9" t="str">
        <x:f>IF(COUNTIF(F40:M40,1)=8,"PASS","FAIL")</x:f>
        <x:v>PASS</x:v>
      </x:c>
    </x:row>
    <x:row r="41">
      <x:c r="B41" s="9" t="str">
        <x:v>CUT-35</x:v>
      </x:c>
      <x:c r="C41" s="9" t="str">
        <x:v>ROOT_B</x:v>
      </x:c>
      <x:c r="D41" s="9" t="str">
        <x:v>support reaction frame</x:v>
      </x:c>
      <x:c r="E41" s="9" t="n">
        <x:v>1</x:v>
      </x:c>
      <x:c r="F41" s="11" t="n">
        <x:v>1</x:v>
      </x:c>
      <x:c r="G41" s="11" t="n">
        <x:v>1</x:v>
      </x:c>
      <x:c r="H41" s="11" t="n">
        <x:v>1</x:v>
      </x:c>
      <x:c r="I41" s="11" t="n">
        <x:v>1</x:v>
      </x:c>
      <x:c r="J41" s="11" t="n">
        <x:v>1</x:v>
      </x:c>
      <x:c r="K41" s="11" t="n">
        <x:v>1</x:v>
      </x:c>
      <x:c r="L41" s="11" t="n">
        <x:v>1</x:v>
      </x:c>
      <x:c r="M41" s="11" t="n">
        <x:v>1</x:v>
      </x:c>
      <x:c r="N41" s="11" t="n">
        <x:v>0</x:v>
      </x:c>
      <x:c r="O41" s="9" t="str">
        <x:f>IF(COUNTIF(F41:M41,1)=8,"PASS","FAIL")</x:f>
        <x:v>PASS</x:v>
      </x:c>
    </x:row>
    <x:row r="42">
      <x:c r="B42" s="9" t="str">
        <x:v>CUT-36</x:v>
      </x:c>
      <x:c r="C42" s="9" t="str">
        <x:v>ROOT_B</x:v>
      </x:c>
      <x:c r="D42" s="9" t="str">
        <x:v>support reaction frame</x:v>
      </x:c>
      <x:c r="E42" s="9" t="n">
        <x:v>2</x:v>
      </x:c>
      <x:c r="F42" s="11" t="n">
        <x:v>1</x:v>
      </x:c>
      <x:c r="G42" s="11" t="n">
        <x:v>1</x:v>
      </x:c>
      <x:c r="H42" s="11" t="n">
        <x:v>1</x:v>
      </x:c>
      <x:c r="I42" s="11" t="n">
        <x:v>1</x:v>
      </x:c>
      <x:c r="J42" s="11" t="n">
        <x:v>1</x:v>
      </x:c>
      <x:c r="K42" s="11" t="n">
        <x:v>1</x:v>
      </x:c>
      <x:c r="L42" s="11" t="n">
        <x:v>1</x:v>
      </x:c>
      <x:c r="M42" s="11" t="n">
        <x:v>1</x:v>
      </x:c>
      <x:c r="N42" s="11" t="n">
        <x:v>0</x:v>
      </x:c>
      <x:c r="O42" s="9" t="str">
        <x:f>IF(COUNTIF(F42:M42,1)=8,"PASS","FAIL")</x:f>
        <x:v>PASS</x:v>
      </x:c>
    </x:row>
    <x:row r="43">
      <x:c r="B43" s="9" t="str">
        <x:v>CUT-37</x:v>
      </x:c>
      <x:c r="C43" s="9" t="str">
        <x:v>ROOT_B</x:v>
      </x:c>
      <x:c r="D43" s="9" t="str">
        <x:v>anchor hinge</x:v>
      </x:c>
      <x:c r="E43" s="9" t="n">
        <x:v>1</x:v>
      </x:c>
      <x:c r="F43" s="11" t="n">
        <x:v>1</x:v>
      </x:c>
      <x:c r="G43" s="11" t="n">
        <x:v>1</x:v>
      </x:c>
      <x:c r="H43" s="11" t="n">
        <x:v>1</x:v>
      </x:c>
      <x:c r="I43" s="11" t="n">
        <x:v>1</x:v>
      </x:c>
      <x:c r="J43" s="11" t="n">
        <x:v>1</x:v>
      </x:c>
      <x:c r="K43" s="11" t="n">
        <x:v>1</x:v>
      </x:c>
      <x:c r="L43" s="11" t="n">
        <x:v>1</x:v>
      </x:c>
      <x:c r="M43" s="11" t="n">
        <x:v>1</x:v>
      </x:c>
      <x:c r="N43" s="11" t="n">
        <x:v>0</x:v>
      </x:c>
      <x:c r="O43" s="9" t="str">
        <x:f>IF(COUNTIF(F43:M43,1)=8,"PASS","FAIL")</x:f>
        <x:v>PASS</x:v>
      </x:c>
    </x:row>
    <x:row r="44">
      <x:c r="B44" s="9" t="str">
        <x:v>CUT-38</x:v>
      </x:c>
      <x:c r="C44" s="9" t="str">
        <x:v>ROOT_B</x:v>
      </x:c>
      <x:c r="D44" s="9" t="str">
        <x:v>anchor hinge</x:v>
      </x:c>
      <x:c r="E44" s="9" t="n">
        <x:v>2</x:v>
      </x:c>
      <x:c r="F44" s="11" t="n">
        <x:v>1</x:v>
      </x:c>
      <x:c r="G44" s="11" t="n">
        <x:v>1</x:v>
      </x:c>
      <x:c r="H44" s="11" t="n">
        <x:v>1</x:v>
      </x:c>
      <x:c r="I44" s="11" t="n">
        <x:v>1</x:v>
      </x:c>
      <x:c r="J44" s="11" t="n">
        <x:v>1</x:v>
      </x:c>
      <x:c r="K44" s="11" t="n">
        <x:v>1</x:v>
      </x:c>
      <x:c r="L44" s="11" t="n">
        <x:v>1</x:v>
      </x:c>
      <x:c r="M44" s="11" t="n">
        <x:v>1</x:v>
      </x:c>
      <x:c r="N44" s="11" t="n">
        <x:v>0</x:v>
      </x:c>
      <x:c r="O44" s="9" t="str">
        <x:f>IF(COUNTIF(F44:M44,1)=8,"PASS","FAIL")</x:f>
        <x:v>PASS</x:v>
      </x:c>
    </x:row>
    <x:row r="45">
      <x:c r="B45" s="9" t="str">
        <x:v>CUT-39</x:v>
      </x:c>
      <x:c r="C45" s="9" t="str">
        <x:v>ROOT_B</x:v>
      </x:c>
      <x:c r="D45" s="9" t="str">
        <x:v>lift clevis/transfer</x:v>
      </x:c>
      <x:c r="E45" s="9" t="n">
        <x:v>1</x:v>
      </x:c>
      <x:c r="F45" s="11" t="n">
        <x:v>1</x:v>
      </x:c>
      <x:c r="G45" s="11" t="n">
        <x:v>1</x:v>
      </x:c>
      <x:c r="H45" s="11" t="n">
        <x:v>1</x:v>
      </x:c>
      <x:c r="I45" s="11" t="n">
        <x:v>1</x:v>
      </x:c>
      <x:c r="J45" s="11" t="n">
        <x:v>1</x:v>
      </x:c>
      <x:c r="K45" s="11" t="n">
        <x:v>1</x:v>
      </x:c>
      <x:c r="L45" s="11" t="n">
        <x:v>1</x:v>
      </x:c>
      <x:c r="M45" s="11" t="n">
        <x:v>1</x:v>
      </x:c>
      <x:c r="N45" s="11" t="n">
        <x:v>0</x:v>
      </x:c>
      <x:c r="O45" s="9" t="str">
        <x:f>IF(COUNTIF(F45:M45,1)=8,"PASS","FAIL")</x:f>
        <x:v>PASS</x:v>
      </x:c>
    </x:row>
    <x:row r="46">
      <x:c r="B46" s="9" t="str">
        <x:v>CUT-40</x:v>
      </x:c>
      <x:c r="C46" s="9" t="str">
        <x:v>ROOT_B</x:v>
      </x:c>
      <x:c r="D46" s="9" t="str">
        <x:v>lift clevis/transfer</x:v>
      </x:c>
      <x:c r="E46" s="9" t="n">
        <x:v>2</x:v>
      </x:c>
      <x:c r="F46" s="11" t="n">
        <x:v>1</x:v>
      </x:c>
      <x:c r="G46" s="11" t="n">
        <x:v>1</x:v>
      </x:c>
      <x:c r="H46" s="11" t="n">
        <x:v>1</x:v>
      </x:c>
      <x:c r="I46" s="11" t="n">
        <x:v>1</x:v>
      </x:c>
      <x:c r="J46" s="11" t="n">
        <x:v>1</x:v>
      </x:c>
      <x:c r="K46" s="11" t="n">
        <x:v>1</x:v>
      </x:c>
      <x:c r="L46" s="11" t="n">
        <x:v>1</x:v>
      </x:c>
      <x:c r="M46" s="11" t="n">
        <x:v>1</x:v>
      </x:c>
      <x:c r="N46" s="11" t="n">
        <x:v>0</x:v>
      </x:c>
      <x:c r="O46" s="9" t="str">
        <x:f>IF(COUNTIF(F46:M46,1)=8,"PASS","FAIL")</x:f>
        <x:v>PASS</x:v>
      </x:c>
    </x:row>
    <x:row r="47">
      <x:c r="B47" s="9" t="str">
        <x:v>CUT-41</x:v>
      </x:c>
      <x:c r="C47" s="9" t="str">
        <x:v>ROOT_B</x:v>
      </x:c>
      <x:c r="D47" s="9" t="str">
        <x:v>hydraulic pipe joint</x:v>
      </x:c>
      <x:c r="E47" s="9" t="n">
        <x:v>1</x:v>
      </x:c>
      <x:c r="F47" s="11" t="n">
        <x:v>1</x:v>
      </x:c>
      <x:c r="G47" s="11" t="n">
        <x:v>1</x:v>
      </x:c>
      <x:c r="H47" s="11" t="n">
        <x:v>1</x:v>
      </x:c>
      <x:c r="I47" s="11" t="n">
        <x:v>1</x:v>
      </x:c>
      <x:c r="J47" s="11" t="n">
        <x:v>1</x:v>
      </x:c>
      <x:c r="K47" s="11" t="n">
        <x:v>1</x:v>
      </x:c>
      <x:c r="L47" s="11" t="n">
        <x:v>1</x:v>
      </x:c>
      <x:c r="M47" s="11" t="n">
        <x:v>1</x:v>
      </x:c>
      <x:c r="N47" s="11" t="n">
        <x:v>0</x:v>
      </x:c>
      <x:c r="O47" s="9" t="str">
        <x:f>IF(COUNTIF(F47:M47,1)=8,"PASS","FAIL")</x:f>
        <x:v>PASS</x:v>
      </x:c>
    </x:row>
    <x:row r="48">
      <x:c r="B48" s="9" t="str">
        <x:v>CUT-42</x:v>
      </x:c>
      <x:c r="C48" s="9" t="str">
        <x:v>ROOT_B</x:v>
      </x:c>
      <x:c r="D48" s="9" t="str">
        <x:v>hydraulic pipe joint</x:v>
      </x:c>
      <x:c r="E48" s="9" t="n">
        <x:v>2</x:v>
      </x:c>
      <x:c r="F48" s="11" t="n">
        <x:v>1</x:v>
      </x:c>
      <x:c r="G48" s="11" t="n">
        <x:v>1</x:v>
      </x:c>
      <x:c r="H48" s="11" t="n">
        <x:v>1</x:v>
      </x:c>
      <x:c r="I48" s="11" t="n">
        <x:v>1</x:v>
      </x:c>
      <x:c r="J48" s="11" t="n">
        <x:v>1</x:v>
      </x:c>
      <x:c r="K48" s="11" t="n">
        <x:v>1</x:v>
      </x:c>
      <x:c r="L48" s="11" t="n">
        <x:v>1</x:v>
      </x:c>
      <x:c r="M48" s="11" t="n">
        <x:v>1</x:v>
      </x:c>
      <x:c r="N48" s="11" t="n">
        <x:v>0</x:v>
      </x:c>
      <x:c r="O48" s="9" t="str">
        <x:f>IF(COUNTIF(F48:M48,1)=8,"PASS","FAIL")</x:f>
        <x:v>PASS</x:v>
      </x:c>
    </x:row>
    <x:row r="49">
      <x:c r="B49" s="9" t="str">
        <x:v>CUT-43</x:v>
      </x:c>
      <x:c r="C49" s="9" t="str">
        <x:v>ROOT_B</x:v>
      </x:c>
      <x:c r="D49" s="9" t="str">
        <x:v>collar groove/bond</x:v>
      </x:c>
      <x:c r="E49" s="9" t="n">
        <x:v>1</x:v>
      </x:c>
      <x:c r="F49" s="11" t="n">
        <x:v>1</x:v>
      </x:c>
      <x:c r="G49" s="11" t="n">
        <x:v>1</x:v>
      </x:c>
      <x:c r="H49" s="11" t="n">
        <x:v>1</x:v>
      </x:c>
      <x:c r="I49" s="11" t="n">
        <x:v>1</x:v>
      </x:c>
      <x:c r="J49" s="11" t="n">
        <x:v>1</x:v>
      </x:c>
      <x:c r="K49" s="11" t="n">
        <x:v>1</x:v>
      </x:c>
      <x:c r="L49" s="11" t="n">
        <x:v>1</x:v>
      </x:c>
      <x:c r="M49" s="11" t="n">
        <x:v>1</x:v>
      </x:c>
      <x:c r="N49" s="11" t="n">
        <x:v>0</x:v>
      </x:c>
      <x:c r="O49" s="9" t="str">
        <x:f>IF(COUNTIF(F49:M49,1)=8,"PASS","FAIL")</x:f>
        <x:v>PASS</x:v>
      </x:c>
    </x:row>
    <x:row r="50">
      <x:c r="B50" s="9" t="str">
        <x:v>CUT-44</x:v>
      </x:c>
      <x:c r="C50" s="9" t="str">
        <x:v>ROOT_B</x:v>
      </x:c>
      <x:c r="D50" s="9" t="str">
        <x:v>collar groove/bond</x:v>
      </x:c>
      <x:c r="E50" s="9" t="n">
        <x:v>2</x:v>
      </x:c>
      <x:c r="F50" s="11" t="n">
        <x:v>1</x:v>
      </x:c>
      <x:c r="G50" s="11" t="n">
        <x:v>1</x:v>
      </x:c>
      <x:c r="H50" s="11" t="n">
        <x:v>1</x:v>
      </x:c>
      <x:c r="I50" s="11" t="n">
        <x:v>1</x:v>
      </x:c>
      <x:c r="J50" s="11" t="n">
        <x:v>1</x:v>
      </x:c>
      <x:c r="K50" s="11" t="n">
        <x:v>1</x:v>
      </x:c>
      <x:c r="L50" s="11" t="n">
        <x:v>1</x:v>
      </x:c>
      <x:c r="M50" s="11" t="n">
        <x:v>1</x:v>
      </x:c>
      <x:c r="N50" s="11" t="n">
        <x:v>0</x:v>
      </x:c>
      <x:c r="O50" s="9" t="str">
        <x:f>IF(COUNTIF(F50:M50,1)=8,"PASS","FAIL")</x:f>
        <x:v>PASS</x:v>
      </x:c>
    </x:row>
    <x:row r="51">
      <x:c r="B51" s="9" t="str">
        <x:v>CUT-45</x:v>
      </x:c>
      <x:c r="C51" s="9" t="str">
        <x:v>ROOT_B</x:v>
      </x:c>
      <x:c r="D51" s="9" t="str">
        <x:v>seal land</x:v>
      </x:c>
      <x:c r="E51" s="9" t="n">
        <x:v>1</x:v>
      </x:c>
      <x:c r="F51" s="11" t="n">
        <x:v>1</x:v>
      </x:c>
      <x:c r="G51" s="11" t="n">
        <x:v>1</x:v>
      </x:c>
      <x:c r="H51" s="11" t="n">
        <x:v>1</x:v>
      </x:c>
      <x:c r="I51" s="11" t="n">
        <x:v>1</x:v>
      </x:c>
      <x:c r="J51" s="11" t="n">
        <x:v>1</x:v>
      </x:c>
      <x:c r="K51" s="11" t="n">
        <x:v>1</x:v>
      </x:c>
      <x:c r="L51" s="11" t="n">
        <x:v>1</x:v>
      </x:c>
      <x:c r="M51" s="11" t="n">
        <x:v>1</x:v>
      </x:c>
      <x:c r="N51" s="11" t="n">
        <x:v>0</x:v>
      </x:c>
      <x:c r="O51" s="9" t="str">
        <x:f>IF(COUNTIF(F51:M51,1)=8,"PASS","FAIL")</x:f>
        <x:v>PASS</x:v>
      </x:c>
    </x:row>
    <x:row r="52">
      <x:c r="B52" s="9" t="str">
        <x:v>CUT-46</x:v>
      </x:c>
      <x:c r="C52" s="9" t="str">
        <x:v>ROOT_B</x:v>
      </x:c>
      <x:c r="D52" s="9" t="str">
        <x:v>seal land</x:v>
      </x:c>
      <x:c r="E52" s="9" t="n">
        <x:v>2</x:v>
      </x:c>
      <x:c r="F52" s="11" t="n">
        <x:v>1</x:v>
      </x:c>
      <x:c r="G52" s="11" t="n">
        <x:v>1</x:v>
      </x:c>
      <x:c r="H52" s="11" t="n">
        <x:v>1</x:v>
      </x:c>
      <x:c r="I52" s="11" t="n">
        <x:v>1</x:v>
      </x:c>
      <x:c r="J52" s="11" t="n">
        <x:v>1</x:v>
      </x:c>
      <x:c r="K52" s="11" t="n">
        <x:v>1</x:v>
      </x:c>
      <x:c r="L52" s="11" t="n">
        <x:v>1</x:v>
      </x:c>
      <x:c r="M52" s="11" t="n">
        <x:v>1</x:v>
      </x:c>
      <x:c r="N52" s="11" t="n">
        <x:v>0</x:v>
      </x:c>
      <x:c r="O52" s="9" t="str">
        <x:f>IF(COUNTIF(F52:M52,1)=8,"PASS","FAIL")</x:f>
        <x:v>PASS</x:v>
      </x:c>
    </x:row>
    <x:row r="53">
      <x:c r="B53" s="9" t="str">
        <x:v>CUT-47</x:v>
      </x:c>
      <x:c r="C53" s="9" t="str">
        <x:v>ROOT_B</x:v>
      </x:c>
      <x:c r="D53" s="9" t="str">
        <x:v>valve seat</x:v>
      </x:c>
      <x:c r="E53" s="9" t="n">
        <x:v>1</x:v>
      </x:c>
      <x:c r="F53" s="11" t="n">
        <x:v>1</x:v>
      </x:c>
      <x:c r="G53" s="11" t="n">
        <x:v>1</x:v>
      </x:c>
      <x:c r="H53" s="11" t="n">
        <x:v>1</x:v>
      </x:c>
      <x:c r="I53" s="11" t="n">
        <x:v>1</x:v>
      </x:c>
      <x:c r="J53" s="11" t="n">
        <x:v>1</x:v>
      </x:c>
      <x:c r="K53" s="11" t="n">
        <x:v>1</x:v>
      </x:c>
      <x:c r="L53" s="11" t="n">
        <x:v>1</x:v>
      </x:c>
      <x:c r="M53" s="11" t="n">
        <x:v>1</x:v>
      </x:c>
      <x:c r="N53" s="11" t="n">
        <x:v>0</x:v>
      </x:c>
      <x:c r="O53" s="9" t="str">
        <x:f>IF(COUNTIF(F53:M53,1)=8,"PASS","FAIL")</x:f>
        <x:v>PASS</x:v>
      </x:c>
    </x:row>
    <x:row r="54">
      <x:c r="B54" s="9" t="str">
        <x:v>CUT-48</x:v>
      </x:c>
      <x:c r="C54" s="9" t="str">
        <x:v>ROOT_B</x:v>
      </x:c>
      <x:c r="D54" s="9" t="str">
        <x:v>valve seat</x:v>
      </x:c>
      <x:c r="E54" s="9" t="n">
        <x:v>2</x:v>
      </x:c>
      <x:c r="F54" s="11" t="n">
        <x:v>1</x:v>
      </x:c>
      <x:c r="G54" s="11" t="n">
        <x:v>1</x:v>
      </x:c>
      <x:c r="H54" s="11" t="n">
        <x:v>1</x:v>
      </x:c>
      <x:c r="I54" s="11" t="n">
        <x:v>1</x:v>
      </x:c>
      <x:c r="J54" s="11" t="n">
        <x:v>1</x:v>
      </x:c>
      <x:c r="K54" s="11" t="n">
        <x:v>1</x:v>
      </x:c>
      <x:c r="L54" s="11" t="n">
        <x:v>1</x:v>
      </x:c>
      <x:c r="M54" s="11" t="n">
        <x:v>1</x:v>
      </x:c>
      <x:c r="N54" s="11" t="n">
        <x:v>0</x:v>
      </x:c>
      <x:c r="O54" s="9" t="str">
        <x:f>IF(COUNTIF(F54:M54,1)=8,"PASS","FAIL")</x:f>
        <x:v>PASS</x:v>
      </x:c>
    </x:row>
    <x:row r="55">
      <x:c r="B55" s="9" t="str">
        <x:v>CUT-49</x:v>
      </x:c>
      <x:c r="C55" s="9" t="str">
        <x:v>ROOT_B</x:v>
      </x:c>
      <x:c r="D55" s="9" t="str">
        <x:v>sanitary surface</x:v>
      </x:c>
      <x:c r="E55" s="9" t="n">
        <x:v>1</x:v>
      </x:c>
      <x:c r="F55" s="11" t="n">
        <x:v>1</x:v>
      </x:c>
      <x:c r="G55" s="11" t="n">
        <x:v>1</x:v>
      </x:c>
      <x:c r="H55" s="11" t="n">
        <x:v>1</x:v>
      </x:c>
      <x:c r="I55" s="11" t="n">
        <x:v>1</x:v>
      </x:c>
      <x:c r="J55" s="11" t="n">
        <x:v>1</x:v>
      </x:c>
      <x:c r="K55" s="11" t="n">
        <x:v>1</x:v>
      </x:c>
      <x:c r="L55" s="11" t="n">
        <x:v>1</x:v>
      </x:c>
      <x:c r="M55" s="11" t="n">
        <x:v>1</x:v>
      </x:c>
      <x:c r="N55" s="11" t="n">
        <x:v>0</x:v>
      </x:c>
      <x:c r="O55" s="9" t="str">
        <x:f>IF(COUNTIF(F55:M55,1)=8,"PASS","FAIL")</x:f>
        <x:v>PASS</x:v>
      </x:c>
    </x:row>
    <x:row r="56">
      <x:c r="B56" s="9" t="str">
        <x:v>CUT-50</x:v>
      </x:c>
      <x:c r="C56" s="9" t="str">
        <x:v>ROOT_B</x:v>
      </x:c>
      <x:c r="D56" s="9" t="str">
        <x:v>sanitary surface</x:v>
      </x:c>
      <x:c r="E56" s="9" t="n">
        <x:v>2</x:v>
      </x:c>
      <x:c r="F56" s="11" t="n">
        <x:v>1</x:v>
      </x:c>
      <x:c r="G56" s="11" t="n">
        <x:v>1</x:v>
      </x:c>
      <x:c r="H56" s="11" t="n">
        <x:v>1</x:v>
      </x:c>
      <x:c r="I56" s="11" t="n">
        <x:v>1</x:v>
      </x:c>
      <x:c r="J56" s="11" t="n">
        <x:v>1</x:v>
      </x:c>
      <x:c r="K56" s="11" t="n">
        <x:v>1</x:v>
      </x:c>
      <x:c r="L56" s="11" t="n">
        <x:v>1</x:v>
      </x:c>
      <x:c r="M56" s="11" t="n">
        <x:v>1</x:v>
      </x:c>
      <x:c r="N56" s="11" t="n">
        <x:v>0</x:v>
      </x:c>
      <x:c r="O56" s="9" t="str">
        <x:f>IF(COUNTIF(F56:M56,1)=8,"PASS","FAIL")</x:f>
        <x:v>PASS</x:v>
      </x:c>
    </x:row>
    <x:row r="57">
      <x:c r="B57" s="9" t="str">
        <x:v>CUT-51</x:v>
      </x:c>
      <x:c r="C57" s="9" t="str">
        <x:v>ROOT_B</x:v>
      </x:c>
      <x:c r="D57" s="9" t="str">
        <x:v>bus contact</x:v>
      </x:c>
      <x:c r="E57" s="9" t="n">
        <x:v>1</x:v>
      </x:c>
      <x:c r="F57" s="11" t="n">
        <x:v>1</x:v>
      </x:c>
      <x:c r="G57" s="11" t="n">
        <x:v>1</x:v>
      </x:c>
      <x:c r="H57" s="11" t="n">
        <x:v>1</x:v>
      </x:c>
      <x:c r="I57" s="11" t="n">
        <x:v>1</x:v>
      </x:c>
      <x:c r="J57" s="11" t="n">
        <x:v>1</x:v>
      </x:c>
      <x:c r="K57" s="11" t="n">
        <x:v>1</x:v>
      </x:c>
      <x:c r="L57" s="11" t="n">
        <x:v>1</x:v>
      </x:c>
      <x:c r="M57" s="11" t="n">
        <x:v>1</x:v>
      </x:c>
      <x:c r="N57" s="11" t="n">
        <x:v>0</x:v>
      </x:c>
      <x:c r="O57" s="9" t="str">
        <x:f>IF(COUNTIF(F57:M57,1)=8,"PASS","FAIL")</x:f>
        <x:v>PASS</x:v>
      </x:c>
    </x:row>
    <x:row r="58">
      <x:c r="B58" s="9" t="str">
        <x:v>CUT-52</x:v>
      </x:c>
      <x:c r="C58" s="9" t="str">
        <x:v>ROOT_B</x:v>
      </x:c>
      <x:c r="D58" s="9" t="str">
        <x:v>bus contact</x:v>
      </x:c>
      <x:c r="E58" s="9" t="n">
        <x:v>2</x:v>
      </x:c>
      <x:c r="F58" s="11" t="n">
        <x:v>1</x:v>
      </x:c>
      <x:c r="G58" s="11" t="n">
        <x:v>1</x:v>
      </x:c>
      <x:c r="H58" s="11" t="n">
        <x:v>1</x:v>
      </x:c>
      <x:c r="I58" s="11" t="n">
        <x:v>1</x:v>
      </x:c>
      <x:c r="J58" s="11" t="n">
        <x:v>1</x:v>
      </x:c>
      <x:c r="K58" s="11" t="n">
        <x:v>1</x:v>
      </x:c>
      <x:c r="L58" s="11" t="n">
        <x:v>1</x:v>
      </x:c>
      <x:c r="M58" s="11" t="n">
        <x:v>1</x:v>
      </x:c>
      <x:c r="N58" s="11" t="n">
        <x:v>0</x:v>
      </x:c>
      <x:c r="O58" s="9" t="str">
        <x:f>IF(COUNTIF(F58:M58,1)=8,"PASS","FAIL")</x:f>
        <x:v>PASS</x:v>
      </x:c>
    </x:row>
    <x:row r="59">
      <x:c r="B59" s="9" t="str">
        <x:v>CUT-53</x:v>
      </x:c>
      <x:c r="C59" s="9" t="str">
        <x:v>ROOT_B</x:v>
      </x:c>
      <x:c r="D59" s="9" t="str">
        <x:v>protection device</x:v>
      </x:c>
      <x:c r="E59" s="9" t="n">
        <x:v>1</x:v>
      </x:c>
      <x:c r="F59" s="11" t="n">
        <x:v>1</x:v>
      </x:c>
      <x:c r="G59" s="11" t="n">
        <x:v>1</x:v>
      </x:c>
      <x:c r="H59" s="11" t="n">
        <x:v>1</x:v>
      </x:c>
      <x:c r="I59" s="11" t="n">
        <x:v>1</x:v>
      </x:c>
      <x:c r="J59" s="11" t="n">
        <x:v>1</x:v>
      </x:c>
      <x:c r="K59" s="11" t="n">
        <x:v>1</x:v>
      </x:c>
      <x:c r="L59" s="11" t="n">
        <x:v>1</x:v>
      </x:c>
      <x:c r="M59" s="11" t="n">
        <x:v>1</x:v>
      </x:c>
      <x:c r="N59" s="11" t="n">
        <x:v>0</x:v>
      </x:c>
      <x:c r="O59" s="9" t="str">
        <x:f>IF(COUNTIF(F59:M59,1)=8,"PASS","FAIL")</x:f>
        <x:v>PASS</x:v>
      </x:c>
    </x:row>
    <x:row r="60">
      <x:c r="B60" s="9" t="str">
        <x:v>CUT-54</x:v>
      </x:c>
      <x:c r="C60" s="9" t="str">
        <x:v>ROOT_B</x:v>
      </x:c>
      <x:c r="D60" s="9" t="str">
        <x:v>protection device</x:v>
      </x:c>
      <x:c r="E60" s="9" t="n">
        <x:v>2</x:v>
      </x:c>
      <x:c r="F60" s="11" t="n">
        <x:v>1</x:v>
      </x:c>
      <x:c r="G60" s="11" t="n">
        <x:v>1</x:v>
      </x:c>
      <x:c r="H60" s="11" t="n">
        <x:v>1</x:v>
      </x:c>
      <x:c r="I60" s="11" t="n">
        <x:v>1</x:v>
      </x:c>
      <x:c r="J60" s="11" t="n">
        <x:v>1</x:v>
      </x:c>
      <x:c r="K60" s="11" t="n">
        <x:v>1</x:v>
      </x:c>
      <x:c r="L60" s="11" t="n">
        <x:v>1</x:v>
      </x:c>
      <x:c r="M60" s="11" t="n">
        <x:v>1</x:v>
      </x:c>
      <x:c r="N60" s="11" t="n">
        <x:v>0</x:v>
      </x:c>
      <x:c r="O60" s="9" t="str">
        <x:f>IF(COUNTIF(F60:M60,1)=8,"PASS","FAIL")</x:f>
        <x:v>PASS</x:v>
      </x:c>
    </x:row>
    <x:row r="61">
      <x:c r="B61" s="9" t="str">
        <x:v>CUT-55</x:v>
      </x:c>
      <x:c r="C61" s="9" t="str">
        <x:v>ROOT_B</x:v>
      </x:c>
      <x:c r="D61" s="9" t="str">
        <x:v>fuel barrier</x:v>
      </x:c>
      <x:c r="E61" s="9" t="n">
        <x:v>1</x:v>
      </x:c>
      <x:c r="F61" s="11" t="n">
        <x:v>1</x:v>
      </x:c>
      <x:c r="G61" s="11" t="n">
        <x:v>1</x:v>
      </x:c>
      <x:c r="H61" s="11" t="n">
        <x:v>1</x:v>
      </x:c>
      <x:c r="I61" s="11" t="n">
        <x:v>1</x:v>
      </x:c>
      <x:c r="J61" s="11" t="n">
        <x:v>1</x:v>
      </x:c>
      <x:c r="K61" s="11" t="n">
        <x:v>1</x:v>
      </x:c>
      <x:c r="L61" s="11" t="n">
        <x:v>1</x:v>
      </x:c>
      <x:c r="M61" s="11" t="n">
        <x:v>1</x:v>
      </x:c>
      <x:c r="N61" s="11" t="n">
        <x:v>0</x:v>
      </x:c>
      <x:c r="O61" s="9" t="str">
        <x:f>IF(COUNTIF(F61:M61,1)=8,"PASS","FAIL")</x:f>
        <x:v>PASS</x:v>
      </x:c>
    </x:row>
    <x:row r="62">
      <x:c r="B62" s="9" t="str">
        <x:v>CUT-56</x:v>
      </x:c>
      <x:c r="C62" s="9" t="str">
        <x:v>ROOT_B</x:v>
      </x:c>
      <x:c r="D62" s="9" t="str">
        <x:v>fuel barrier</x:v>
      </x:c>
      <x:c r="E62" s="9" t="n">
        <x:v>2</x:v>
      </x:c>
      <x:c r="F62" s="11" t="n">
        <x:v>1</x:v>
      </x:c>
      <x:c r="G62" s="11" t="n">
        <x:v>1</x:v>
      </x:c>
      <x:c r="H62" s="11" t="n">
        <x:v>1</x:v>
      </x:c>
      <x:c r="I62" s="11" t="n">
        <x:v>1</x:v>
      </x:c>
      <x:c r="J62" s="11" t="n">
        <x:v>1</x:v>
      </x:c>
      <x:c r="K62" s="11" t="n">
        <x:v>1</x:v>
      </x:c>
      <x:c r="L62" s="11" t="n">
        <x:v>1</x:v>
      </x:c>
      <x:c r="M62" s="11" t="n">
        <x:v>1</x:v>
      </x:c>
      <x:c r="N62" s="11" t="n">
        <x:v>0</x:v>
      </x:c>
      <x:c r="O62" s="9" t="str">
        <x:f>IF(COUNTIF(F62:M62,1)=8,"PASS","FAIL")</x:f>
        <x:v>PASS</x:v>
      </x:c>
    </x:row>
    <x:row r="63">
      <x:c r="B63" s="9" t="str">
        <x:v>CUT-57</x:v>
      </x:c>
      <x:c r="C63" s="9" t="str">
        <x:v>ROOT_B</x:v>
      </x:c>
      <x:c r="D63" s="9" t="str">
        <x:v>water barrier</x:v>
      </x:c>
      <x:c r="E63" s="9" t="n">
        <x:v>1</x:v>
      </x:c>
      <x:c r="F63" s="11" t="n">
        <x:v>1</x:v>
      </x:c>
      <x:c r="G63" s="11" t="n">
        <x:v>1</x:v>
      </x:c>
      <x:c r="H63" s="11" t="n">
        <x:v>1</x:v>
      </x:c>
      <x:c r="I63" s="11" t="n">
        <x:v>1</x:v>
      </x:c>
      <x:c r="J63" s="11" t="n">
        <x:v>1</x:v>
      </x:c>
      <x:c r="K63" s="11" t="n">
        <x:v>1</x:v>
      </x:c>
      <x:c r="L63" s="11" t="n">
        <x:v>1</x:v>
      </x:c>
      <x:c r="M63" s="11" t="n">
        <x:v>1</x:v>
      </x:c>
      <x:c r="N63" s="11" t="n">
        <x:v>0</x:v>
      </x:c>
      <x:c r="O63" s="9" t="str">
        <x:f>IF(COUNTIF(F63:M63,1)=8,"PASS","FAIL")</x:f>
        <x:v>PASS</x:v>
      </x:c>
    </x:row>
    <x:row r="64">
      <x:c r="B64" s="9" t="str">
        <x:v>CUT-58</x:v>
      </x:c>
      <x:c r="C64" s="9" t="str">
        <x:v>ROOT_B</x:v>
      </x:c>
      <x:c r="D64" s="9" t="str">
        <x:v>water barrier</x:v>
      </x:c>
      <x:c r="E64" s="9" t="n">
        <x:v>2</x:v>
      </x:c>
      <x:c r="F64" s="11" t="n">
        <x:v>1</x:v>
      </x:c>
      <x:c r="G64" s="11" t="n">
        <x:v>1</x:v>
      </x:c>
      <x:c r="H64" s="11" t="n">
        <x:v>1</x:v>
      </x:c>
      <x:c r="I64" s="11" t="n">
        <x:v>1</x:v>
      </x:c>
      <x:c r="J64" s="11" t="n">
        <x:v>1</x:v>
      </x:c>
      <x:c r="K64" s="11" t="n">
        <x:v>1</x:v>
      </x:c>
      <x:c r="L64" s="11" t="n">
        <x:v>1</x:v>
      </x:c>
      <x:c r="M64" s="11" t="n">
        <x:v>1</x:v>
      </x:c>
      <x:c r="N64" s="11" t="n">
        <x:v>0</x:v>
      </x:c>
      <x:c r="O64" s="9" t="str">
        <x:f>IF(COUNTIF(F64:M64,1)=8,"PASS","FAIL")</x:f>
        <x:v>PASS</x:v>
      </x:c>
    </x:row>
    <x:row r="65">
      <x:c r="B65" s="9" t="str">
        <x:v>CUT-59</x:v>
      </x:c>
      <x:c r="C65" s="9" t="str">
        <x:v>ROOT_B</x:v>
      </x:c>
      <x:c r="D65" s="9" t="str">
        <x:v>thermal/evidence route</x:v>
      </x:c>
      <x:c r="E65" s="9" t="n">
        <x:v>1</x:v>
      </x:c>
      <x:c r="F65" s="11" t="n">
        <x:v>1</x:v>
      </x:c>
      <x:c r="G65" s="11" t="n">
        <x:v>1</x:v>
      </x:c>
      <x:c r="H65" s="11" t="n">
        <x:v>1</x:v>
      </x:c>
      <x:c r="I65" s="11" t="n">
        <x:v>1</x:v>
      </x:c>
      <x:c r="J65" s="11" t="n">
        <x:v>1</x:v>
      </x:c>
      <x:c r="K65" s="11" t="n">
        <x:v>1</x:v>
      </x:c>
      <x:c r="L65" s="11" t="n">
        <x:v>1</x:v>
      </x:c>
      <x:c r="M65" s="11" t="n">
        <x:v>1</x:v>
      </x:c>
      <x:c r="N65" s="11" t="n">
        <x:v>0</x:v>
      </x:c>
      <x:c r="O65" s="9" t="str">
        <x:f>IF(COUNTIF(F65:M65,1)=8,"PASS","FAIL")</x:f>
        <x:v>PASS</x:v>
      </x:c>
    </x:row>
    <x:row r="66">
      <x:c r="B66" s="10" t="str">
        <x:v>CUT-60</x:v>
      </x:c>
      <x:c r="C66" s="10" t="str">
        <x:v>ROOT_B</x:v>
      </x:c>
      <x:c r="D66" s="10" t="str">
        <x:v>thermal/evidence route</x:v>
      </x:c>
      <x:c r="E66" s="10" t="n">
        <x:v>2</x:v>
      </x:c>
      <x:c r="F66" s="12" t="n">
        <x:v>1</x:v>
      </x:c>
      <x:c r="G66" s="12" t="n">
        <x:v>1</x:v>
      </x:c>
      <x:c r="H66" s="12" t="n">
        <x:v>1</x:v>
      </x:c>
      <x:c r="I66" s="12" t="n">
        <x:v>1</x:v>
      </x:c>
      <x:c r="J66" s="12" t="n">
        <x:v>1</x:v>
      </x:c>
      <x:c r="K66" s="12" t="n">
        <x:v>1</x:v>
      </x:c>
      <x:c r="L66" s="12" t="n">
        <x:v>1</x:v>
      </x:c>
      <x:c r="M66" s="12" t="n">
        <x:v>1</x:v>
      </x:c>
      <x:c r="N66" s="12" t="n">
        <x:v>0</x:v>
      </x:c>
      <x:c r="O66" s="10" t="str">
        <x:f>IF(COUNTIF(F66:M66,1)=8,"PASS","FAIL")</x:f>
        <x:v>PASS</x:v>
      </x:c>
    </x:row>
  </x:sheetData>
  <x:mergeCells>
    <x:mergeCell ref="B2:N2"/>
    <x:mergeCell ref="B3:N3"/>
  </x:mergeCells>
  <x:conditionalFormatting sqref="O7:O66">
    <x:cfRule type="containsText" dxfId="169" priority="1" operator="containsText" text="PASS"/>
    <x:cfRule type="containsText" dxfId="170" priority="2" operator="containsText" text="AUTHORIZED"/>
    <x:cfRule type="containsText" dxfId="171" priority="3" operator="containsText" text="DEFINED"/>
    <x:cfRule type="containsText" dxfId="172" priority="4" operator="containsText" text="READY"/>
    <x:cfRule type="containsText" dxfId="173" priority="5" operator="containsText" text="HOLD"/>
    <x:cfRule type="containsText" dxfId="174" priority="6" operator="containsText" text="OPEN"/>
    <x:cfRule type="containsText" dxfId="175" priority="7" operator="containsText" text="BLOCKED"/>
    <x:cfRule type="containsText" dxfId="176" priority="8" operator="containsText" text="PLANNING"/>
    <x:cfRule type="containsText" dxfId="177" priority="9" operator="containsText" text="QUARANTINE"/>
    <x:cfRule type="containsText" dxfId="178" priority="10" operator="containsText" text="FAIL"/>
    <x:cfRule type="containsText" dxfId="179" priority="11" operator="containsText" text="REJECT"/>
    <x:cfRule type="containsText" dxfId="180" priority="12" operator="containsText" text="INCOMPLETE"/>
    <x:cfRule type="containsText" dxfId="181" priority="13" operator="containsText" text="STOP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42" hidden="0" customWidth="1"/>
    <x:col min="4" max="4" width="15" hidden="0" customWidth="1"/>
    <x:col min="5" max="5" width="17" hidden="0" customWidth="1"/>
    <x:col min="6" max="6" width="17" hidden="0" customWidth="1"/>
    <x:col min="7" max="7" width="18" hidden="0" customWidth="1"/>
    <x:col min="8" max="8" width="14" hidden="0" customWidth="1"/>
    <x:col min="9" max="9" width="17" hidden="0" customWidth="1"/>
    <x:col min="10" max="10" width="17" hidden="0" customWidth="1"/>
    <x:col min="11" max="11" width="15" hidden="0" customWidth="1"/>
    <x:col min="12" max="12" width="15" hidden="0" customWidth="1"/>
  </x:cols>
  <x:sheetData>
    <x:row r="2">
      <x:c r="B2" s="37" t="str">
        <x:v>Twelve independent reconstruction exercises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>
      <x:c r="B3" s="38" t="str">
        <x:v>A second authority must rebuild state and open questions from controlled native objects without a proprietary viewer.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>
      <x:c r="B6" s="7" t="str">
        <x:v>Exercise</x:v>
      </x:c>
      <x:c r="C6" s="7" t="str">
        <x:v>Question</x:v>
      </x:c>
      <x:c r="D6" s="7" t="str">
        <x:v>Inputs defined</x:v>
      </x:c>
      <x:c r="E6" s="7" t="str">
        <x:v>Expected state</x:v>
      </x:c>
      <x:c r="F6" s="7" t="str">
        <x:v>Offline method</x:v>
      </x:c>
      <x:c r="G6" s="7" t="str">
        <x:v>Independent owner</x:v>
      </x:c>
      <x:c r="H6" s="7" t="str">
        <x:v>Hash check</x:v>
      </x:c>
      <x:c r="I6" s="7" t="str">
        <x:v>Coordinate check</x:v>
      </x:c>
      <x:c r="J6" s="7" t="str">
        <x:v>Physical source</x:v>
      </x:c>
      <x:c r="K6" s="7" t="str">
        <x:v>Planning gate</x:v>
      </x:c>
      <x:c r="L6" s="7" t="str">
        <x:v>Physical gate</x:v>
      </x:c>
    </x:row>
    <x:row r="7">
      <x:c r="B7" s="9" t="str">
        <x:v>RX-01</x:v>
      </x:c>
      <x:c r="C7" s="9" t="str">
        <x:v>received lot to all dispositions</x:v>
      </x:c>
      <x:c r="D7" s="11" t="n">
        <x:v>1</x:v>
      </x:c>
      <x:c r="E7" s="11" t="n">
        <x:v>1</x:v>
      </x:c>
      <x:c r="F7" s="11" t="n">
        <x:v>1</x:v>
      </x:c>
      <x:c r="G7" s="11" t="n">
        <x:v>1</x:v>
      </x:c>
      <x:c r="H7" s="11" t="n">
        <x:v>1</x:v>
      </x:c>
      <x:c r="I7" s="11" t="n">
        <x:v>1</x:v>
      </x:c>
      <x:c r="J7" s="11" t="n">
        <x:v>0</x:v>
      </x:c>
      <x:c r="K7" s="9" t="str">
        <x:f>IF(COUNTIF(D7:I7,1)=6,"PASS","FAIL")</x:f>
        <x:v>PASS</x:v>
      </x:c>
      <x:c r="L7" s="9" t="str">
        <x:f>IF(J7=1,"PASS","OPEN")</x:f>
        <x:v>OPEN</x:v>
      </x:c>
    </x:row>
    <x:row r="8">
      <x:c r="B8" s="9" t="str">
        <x:v>RX-02</x:v>
      </x:c>
      <x:c r="C8" s="9" t="str">
        <x:v>joint process and adjacent witnesses</x:v>
      </x:c>
      <x:c r="D8" s="11" t="n">
        <x:v>1</x:v>
      </x:c>
      <x:c r="E8" s="11" t="n">
        <x:v>1</x:v>
      </x:c>
      <x:c r="F8" s="11" t="n">
        <x:v>1</x:v>
      </x:c>
      <x:c r="G8" s="11" t="n">
        <x:v>1</x:v>
      </x:c>
      <x:c r="H8" s="11" t="n">
        <x:v>1</x:v>
      </x:c>
      <x:c r="I8" s="11" t="n">
        <x:v>1</x:v>
      </x:c>
      <x:c r="J8" s="11" t="n">
        <x:v>0</x:v>
      </x:c>
      <x:c r="K8" s="9" t="str">
        <x:f>IF(COUNTIF(D8:I8,1)=6,"PASS","FAIL")</x:f>
        <x:v>PASS</x:v>
      </x:c>
      <x:c r="L8" s="9" t="str">
        <x:f>IF(J8=1,"PASS","OPEN")</x:f>
        <x:v>OPEN</x:v>
      </x:c>
    </x:row>
    <x:row r="9">
      <x:c r="B9" s="9" t="str">
        <x:v>RX-03</x:v>
      </x:c>
      <x:c r="C9" s="9" t="str">
        <x:v>raw NDE to article coordinates</x:v>
      </x:c>
      <x:c r="D9" s="11" t="n">
        <x:v>1</x:v>
      </x:c>
      <x:c r="E9" s="11" t="n">
        <x:v>1</x:v>
      </x:c>
      <x:c r="F9" s="11" t="n">
        <x:v>1</x:v>
      </x:c>
      <x:c r="G9" s="11" t="n">
        <x:v>1</x:v>
      </x:c>
      <x:c r="H9" s="11" t="n">
        <x:v>1</x:v>
      </x:c>
      <x:c r="I9" s="11" t="n">
        <x:v>1</x:v>
      </x:c>
      <x:c r="J9" s="11" t="n">
        <x:v>0</x:v>
      </x:c>
      <x:c r="K9" s="9" t="str">
        <x:f>IF(COUNTIF(D9:I9,1)=6,"PASS","FAIL")</x:f>
        <x:v>PASS</x:v>
      </x:c>
      <x:c r="L9" s="9" t="str">
        <x:f>IF(J9=1,"PASS","OPEN")</x:f>
        <x:v>OPEN</x:v>
      </x:c>
    </x:row>
    <x:row r="10">
      <x:c r="B10" s="9" t="str">
        <x:v>RX-04</x:v>
      </x:c>
      <x:c r="C10" s="9" t="str">
        <x:v>hidden surfaces by closure event</x:v>
      </x:c>
      <x:c r="D10" s="11" t="n">
        <x:v>1</x:v>
      </x:c>
      <x:c r="E10" s="11" t="n">
        <x:v>1</x:v>
      </x:c>
      <x:c r="F10" s="11" t="n">
        <x:v>1</x:v>
      </x:c>
      <x:c r="G10" s="11" t="n">
        <x:v>1</x:v>
      </x:c>
      <x:c r="H10" s="11" t="n">
        <x:v>1</x:v>
      </x:c>
      <x:c r="I10" s="11" t="n">
        <x:v>1</x:v>
      </x:c>
      <x:c r="J10" s="11" t="n">
        <x:v>0</x:v>
      </x:c>
      <x:c r="K10" s="9" t="str">
        <x:f>IF(COUNTIF(D10:I10,1)=6,"PASS","FAIL")</x:f>
        <x:v>PASS</x:v>
      </x:c>
      <x:c r="L10" s="9" t="str">
        <x:f>IF(J10=1,"PASS","OPEN")</x:f>
        <x:v>OPEN</x:v>
      </x:c>
    </x:row>
    <x:row r="11">
      <x:c r="B11" s="9" t="str">
        <x:v>RX-05</x:v>
      </x:c>
      <x:c r="C11" s="9" t="str">
        <x:v>support/anchor/lift datum chain</x:v>
      </x:c>
      <x:c r="D11" s="11" t="n">
        <x:v>1</x:v>
      </x:c>
      <x:c r="E11" s="11" t="n">
        <x:v>1</x:v>
      </x:c>
      <x:c r="F11" s="11" t="n">
        <x:v>1</x:v>
      </x:c>
      <x:c r="G11" s="11" t="n">
        <x:v>1</x:v>
      </x:c>
      <x:c r="H11" s="11" t="n">
        <x:v>1</x:v>
      </x:c>
      <x:c r="I11" s="11" t="n">
        <x:v>1</x:v>
      </x:c>
      <x:c r="J11" s="11" t="n">
        <x:v>0</x:v>
      </x:c>
      <x:c r="K11" s="9" t="str">
        <x:f>IF(COUNTIF(D11:I11,1)=6,"PASS","FAIL")</x:f>
        <x:v>PASS</x:v>
      </x:c>
      <x:c r="L11" s="9" t="str">
        <x:f>IF(J11=1,"PASS","OPEN")</x:f>
        <x:v>OPEN</x:v>
      </x:c>
    </x:row>
    <x:row r="12">
      <x:c r="B12" s="9" t="str">
        <x:v>RX-06</x:v>
      </x:c>
      <x:c r="C12" s="9" t="str">
        <x:v>sanitary cleaning blank and sample</x:v>
      </x:c>
      <x:c r="D12" s="11" t="n">
        <x:v>1</x:v>
      </x:c>
      <x:c r="E12" s="11" t="n">
        <x:v>1</x:v>
      </x:c>
      <x:c r="F12" s="11" t="n">
        <x:v>1</x:v>
      </x:c>
      <x:c r="G12" s="11" t="n">
        <x:v>1</x:v>
      </x:c>
      <x:c r="H12" s="11" t="n">
        <x:v>1</x:v>
      </x:c>
      <x:c r="I12" s="11" t="n">
        <x:v>1</x:v>
      </x:c>
      <x:c r="J12" s="11" t="n">
        <x:v>0</x:v>
      </x:c>
      <x:c r="K12" s="9" t="str">
        <x:f>IF(COUNTIF(D12:I12,1)=6,"PASS","FAIL")</x:f>
        <x:v>PASS</x:v>
      </x:c>
      <x:c r="L12" s="9" t="str">
        <x:f>IF(J12=1,"PASS","OPEN")</x:f>
        <x:v>OPEN</x:v>
      </x:c>
    </x:row>
    <x:row r="13">
      <x:c r="B13" s="9" t="str">
        <x:v>RX-07</x:v>
      </x:c>
      <x:c r="C13" s="9" t="str">
        <x:v>collar geometry preload and cycles</x:v>
      </x:c>
      <x:c r="D13" s="11" t="n">
        <x:v>1</x:v>
      </x:c>
      <x:c r="E13" s="11" t="n">
        <x:v>1</x:v>
      </x:c>
      <x:c r="F13" s="11" t="n">
        <x:v>1</x:v>
      </x:c>
      <x:c r="G13" s="11" t="n">
        <x:v>1</x:v>
      </x:c>
      <x:c r="H13" s="11" t="n">
        <x:v>1</x:v>
      </x:c>
      <x:c r="I13" s="11" t="n">
        <x:v>1</x:v>
      </x:c>
      <x:c r="J13" s="11" t="n">
        <x:v>0</x:v>
      </x:c>
      <x:c r="K13" s="9" t="str">
        <x:f>IF(COUNTIF(D13:I13,1)=6,"PASS","FAIL")</x:f>
        <x:v>PASS</x:v>
      </x:c>
      <x:c r="L13" s="9" t="str">
        <x:f>IF(J13=1,"PASS","OPEN")</x:f>
        <x:v>OPEN</x:v>
      </x:c>
    </x:row>
    <x:row r="14">
      <x:c r="B14" s="9" t="str">
        <x:v>RX-08</x:v>
      </x:c>
      <x:c r="C14" s="9" t="str">
        <x:v>bus contact protection and fault</x:v>
      </x:c>
      <x:c r="D14" s="11" t="n">
        <x:v>1</x:v>
      </x:c>
      <x:c r="E14" s="11" t="n">
        <x:v>1</x:v>
      </x:c>
      <x:c r="F14" s="11" t="n">
        <x:v>1</x:v>
      </x:c>
      <x:c r="G14" s="11" t="n">
        <x:v>1</x:v>
      </x:c>
      <x:c r="H14" s="11" t="n">
        <x:v>1</x:v>
      </x:c>
      <x:c r="I14" s="11" t="n">
        <x:v>1</x:v>
      </x:c>
      <x:c r="J14" s="11" t="n">
        <x:v>0</x:v>
      </x:c>
      <x:c r="K14" s="9" t="str">
        <x:f>IF(COUNTIF(D14:I14,1)=6,"PASS","FAIL")</x:f>
        <x:v>PASS</x:v>
      </x:c>
      <x:c r="L14" s="9" t="str">
        <x:f>IF(J14=1,"PASS","OPEN")</x:f>
        <x:v>OPEN</x:v>
      </x:c>
    </x:row>
    <x:row r="15">
      <x:c r="B15" s="9" t="str">
        <x:v>RX-09</x:v>
      </x:c>
      <x:c r="C15" s="9" t="str">
        <x:v>cassette mass and fluid custody</x:v>
      </x:c>
      <x:c r="D15" s="11" t="n">
        <x:v>1</x:v>
      </x:c>
      <x:c r="E15" s="11" t="n">
        <x:v>1</x:v>
      </x:c>
      <x:c r="F15" s="11" t="n">
        <x:v>1</x:v>
      </x:c>
      <x:c r="G15" s="11" t="n">
        <x:v>1</x:v>
      </x:c>
      <x:c r="H15" s="11" t="n">
        <x:v>1</x:v>
      </x:c>
      <x:c r="I15" s="11" t="n">
        <x:v>1</x:v>
      </x:c>
      <x:c r="J15" s="11" t="n">
        <x:v>0</x:v>
      </x:c>
      <x:c r="K15" s="9" t="str">
        <x:f>IF(COUNTIF(D15:I15,1)=6,"PASS","FAIL")</x:f>
        <x:v>PASS</x:v>
      </x:c>
      <x:c r="L15" s="9" t="str">
        <x:f>IF(J15=1,"PASS","OPEN")</x:f>
        <x:v>OPEN</x:v>
      </x:c>
    </x:row>
    <x:row r="16">
      <x:c r="B16" s="9" t="str">
        <x:v>RX-10</x:v>
      </x:c>
      <x:c r="C16" s="9" t="str">
        <x:v>NCR through repair and reinspection</x:v>
      </x:c>
      <x:c r="D16" s="11" t="n">
        <x:v>1</x:v>
      </x:c>
      <x:c r="E16" s="11" t="n">
        <x:v>1</x:v>
      </x:c>
      <x:c r="F16" s="11" t="n">
        <x:v>1</x:v>
      </x:c>
      <x:c r="G16" s="11" t="n">
        <x:v>1</x:v>
      </x:c>
      <x:c r="H16" s="11" t="n">
        <x:v>1</x:v>
      </x:c>
      <x:c r="I16" s="11" t="n">
        <x:v>1</x:v>
      </x:c>
      <x:c r="J16" s="11" t="n">
        <x:v>0</x:v>
      </x:c>
      <x:c r="K16" s="9" t="str">
        <x:f>IF(COUNTIF(D16:I16,1)=6,"PASS","FAIL")</x:f>
        <x:v>PASS</x:v>
      </x:c>
      <x:c r="L16" s="9" t="str">
        <x:f>IF(J16=1,"PASS","OPEN")</x:f>
        <x:v>OPEN</x:v>
      </x:c>
    </x:row>
    <x:row r="17">
      <x:c r="B17" s="9" t="str">
        <x:v>RX-11</x:v>
      </x:c>
      <x:c r="C17" s="9" t="str">
        <x:v>intact observation to cut and retained item</x:v>
      </x:c>
      <x:c r="D17" s="11" t="n">
        <x:v>1</x:v>
      </x:c>
      <x:c r="E17" s="11" t="n">
        <x:v>1</x:v>
      </x:c>
      <x:c r="F17" s="11" t="n">
        <x:v>1</x:v>
      </x:c>
      <x:c r="G17" s="11" t="n">
        <x:v>1</x:v>
      </x:c>
      <x:c r="H17" s="11" t="n">
        <x:v>1</x:v>
      </x:c>
      <x:c r="I17" s="11" t="n">
        <x:v>1</x:v>
      </x:c>
      <x:c r="J17" s="11" t="n">
        <x:v>0</x:v>
      </x:c>
      <x:c r="K17" s="9" t="str">
        <x:f>IF(COUNTIF(D17:I17,1)=6,"PASS","FAIL")</x:f>
        <x:v>PASS</x:v>
      </x:c>
      <x:c r="L17" s="9" t="str">
        <x:f>IF(J17=1,"PASS","OPEN")</x:f>
        <x:v>OPEN</x:v>
      </x:c>
    </x:row>
    <x:row r="18">
      <x:c r="B18" s="10" t="str">
        <x:v>RX-12</x:v>
      </x:c>
      <x:c r="C18" s="10" t="str">
        <x:v>terminal installed/removed/consumed manifest</x:v>
      </x:c>
      <x:c r="D18" s="12" t="n">
        <x:v>1</x:v>
      </x:c>
      <x:c r="E18" s="12" t="n">
        <x:v>1</x:v>
      </x:c>
      <x:c r="F18" s="12" t="n">
        <x:v>1</x:v>
      </x:c>
      <x:c r="G18" s="12" t="n">
        <x:v>1</x:v>
      </x:c>
      <x:c r="H18" s="12" t="n">
        <x:v>1</x:v>
      </x:c>
      <x:c r="I18" s="12" t="n">
        <x:v>1</x:v>
      </x:c>
      <x:c r="J18" s="12" t="n">
        <x:v>0</x:v>
      </x:c>
      <x:c r="K18" s="10" t="str">
        <x:f>IF(COUNTIF(D18:I18,1)=6,"PASS","FAIL")</x:f>
        <x:v>PASS</x:v>
      </x:c>
      <x:c r="L18" s="10" t="str">
        <x:f>IF(J18=1,"PASS","OPEN")</x:f>
        <x:v>OPEN</x:v>
      </x:c>
    </x:row>
  </x:sheetData>
  <x:mergeCells>
    <x:mergeCell ref="B2:L2"/>
    <x:mergeCell ref="B3:L3"/>
  </x:mergeCells>
  <x:conditionalFormatting sqref="K7:L18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QUARANTINE"/>
    <x:cfRule type="containsText" dxfId="191" priority="10" operator="containsText" text="FAIL"/>
    <x:cfRule type="containsText" dxfId="192" priority="11" operator="containsText" text="REJECT"/>
    <x:cfRule type="containsText" dxfId="193" priority="12" operator="containsText" text="INCOMPLETE"/>
    <x:cfRule type="containsText" dxfId="194" priority="13" operator="containsText" text="STOP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40" hidden="0" customWidth="1"/>
    <x:col min="7" max="7" width="19" hidden="0" customWidth="1"/>
    <x:col min="8" max="8" width="15" hidden="0" customWidth="1"/>
    <x:col min="9" max="9" width="14" hidden="0" customWidth="1"/>
    <x:col min="10" max="10" width="13" hidden="0" customWidth="1"/>
  </x:cols>
  <x:sheetData>
    <x:row r="2">
      <x:c r="B2" s="37" t="str">
        <x:v>Sixteen-month CRET-1 program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8" t="str">
        <x:v>Parallel work is bounded by state, schema, fixture and evidence dependencies.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Phase</x:v>
      </x:c>
      <x:c r="C6" s="7" t="str">
        <x:v>Start month</x:v>
      </x:c>
      <x:c r="D6" s="7" t="str">
        <x:v>End month</x:v>
      </x:c>
      <x:c r="E6" s="7" t="str">
        <x:v>Duration</x:v>
      </x:c>
      <x:c r="F6" s="7" t="str">
        <x:v>Output</x:v>
      </x:c>
      <x:c r="G6" s="7" t="str">
        <x:v>Predecessor closed</x:v>
      </x:c>
      <x:c r="H6" s="7" t="str">
        <x:v>Staff ready</x:v>
      </x:c>
      <x:c r="I6" s="7" t="str">
        <x:v>Gate</x:v>
      </x:c>
      <x:c r="J6" s="7" t="str">
        <x:v>Critical</x:v>
      </x:c>
    </x:row>
    <x:row r="7">
      <x:c r="B7" s="9" t="str">
        <x:v>state/schema freeze</x:v>
      </x:c>
      <x:c r="C7" s="22" t="n">
        <x:v>0</x:v>
      </x:c>
      <x:c r="D7" s="22" t="n">
        <x:v>2</x:v>
      </x:c>
      <x:c r="E7" s="22" t="n">
        <x:f>D7-C7</x:f>
        <x:v>2</x:v>
      </x:c>
      <x:c r="F7" s="9" t="str">
        <x:v>objects fields authorities</x:v>
      </x:c>
      <x:c r="G7" s="9" t="n">
        <x:v>1</x:v>
      </x:c>
      <x:c r="H7" s="9" t="n">
        <x:v>1</x:v>
      </x:c>
      <x:c r="I7" s="9" t="str">
        <x:f>IF(AND(G7=1,H7=1,D7&lt;='Controls'!$D$17),"PASS","FAIL")</x:f>
        <x:v>PASS</x:v>
      </x:c>
      <x:c r="J7" s="9" t="str">
        <x:v>YES</x:v>
      </x:c>
    </x:row>
    <x:row r="8">
      <x:c r="B8" s="9" t="str">
        <x:v>material split/defect designs</x:v>
      </x:c>
      <x:c r="C8" s="22" t="n">
        <x:v>1</x:v>
      </x:c>
      <x:c r="D8" s="22" t="n">
        <x:v>4</x:v>
      </x:c>
      <x:c r="E8" s="22" t="n">
        <x:f>D8-C8</x:f>
        <x:v>3</x:v>
      </x:c>
      <x:c r="F8" s="9" t="str">
        <x:v>conservation and truth standards</x:v>
      </x:c>
      <x:c r="G8" s="9" t="n">
        <x:v>1</x:v>
      </x:c>
      <x:c r="H8" s="9" t="n">
        <x:v>1</x:v>
      </x:c>
      <x:c r="I8" s="9" t="str">
        <x:f>IF(AND(G8=1,H8=1,D8&lt;='Controls'!$D$17),"PASS","FAIL")</x:f>
        <x:v>PASS</x:v>
      </x:c>
      <x:c r="J8" s="9" t="str">
        <x:v>NO</x:v>
      </x:c>
    </x:row>
    <x:row r="9">
      <x:c r="B9" s="9" t="str">
        <x:v>root operation definition</x:v>
      </x:c>
      <x:c r="C9" s="22" t="n">
        <x:v>2</x:v>
      </x:c>
      <x:c r="D9" s="22" t="n">
        <x:v>6</x:v>
      </x:c>
      <x:c r="E9" s="22" t="n">
        <x:f>D9-C9</x:f>
        <x:v>4</x:v>
      </x:c>
      <x:c r="F9" s="9" t="str">
        <x:v>44 operations and 28 holds</x:v>
      </x:c>
      <x:c r="G9" s="9" t="n">
        <x:v>1</x:v>
      </x:c>
      <x:c r="H9" s="9" t="n">
        <x:v>1</x:v>
      </x:c>
      <x:c r="I9" s="9" t="str">
        <x:f>IF(AND(G9=1,H9=1,D9&lt;='Controls'!$D$17),"PASS","FAIL")</x:f>
        <x:v>PASS</x:v>
      </x:c>
      <x:c r="J9" s="9" t="str">
        <x:v>NO</x:v>
      </x:c>
    </x:row>
    <x:row r="10">
      <x:c r="B10" s="9" t="str">
        <x:v>fixture/subarticle definition</x:v>
      </x:c>
      <x:c r="C10" s="22" t="n">
        <x:v>3</x:v>
      </x:c>
      <x:c r="D10" s="22" t="n">
        <x:v>7</x:v>
      </x:c>
      <x:c r="E10" s="22" t="n">
        <x:f>D10-C10</x:f>
        <x:v>4</x:v>
      </x:c>
      <x:c r="F10" s="9" t="str">
        <x:v>12 full-scale articles</x:v>
      </x:c>
      <x:c r="G10" s="9" t="n">
        <x:v>1</x:v>
      </x:c>
      <x:c r="H10" s="9" t="n">
        <x:v>1</x:v>
      </x:c>
      <x:c r="I10" s="9" t="str">
        <x:f>IF(AND(G10=1,H10=1,D10&lt;='Controls'!$D$17),"PASS","FAIL")</x:f>
        <x:v>PASS</x:v>
      </x:c>
      <x:c r="J10" s="9" t="str">
        <x:v>NO</x:v>
      </x:c>
    </x:row>
    <x:row r="11">
      <x:c r="B11" s="9" t="str">
        <x:v>energy-ballast design</x:v>
      </x:c>
      <x:c r="C11" s="22" t="n">
        <x:v>3</x:v>
      </x:c>
      <x:c r="D11" s="22" t="n">
        <x:v>8</x:v>
      </x:c>
      <x:c r="E11" s="22" t="n">
        <x:f>D11-C11</x:f>
        <x:v>5</x:v>
      </x:c>
      <x:c r="F11" s="9" t="str">
        <x:v>unlike containment and custody</x:v>
      </x:c>
      <x:c r="G11" s="9" t="n">
        <x:v>1</x:v>
      </x:c>
      <x:c r="H11" s="9" t="n">
        <x:v>1</x:v>
      </x:c>
      <x:c r="I11" s="9" t="str">
        <x:f>IF(AND(G11=1,H11=1,D11&lt;='Controls'!$D$17),"PASS","FAIL")</x:f>
        <x:v>PASS</x:v>
      </x:c>
      <x:c r="J11" s="9" t="str">
        <x:v>NO</x:v>
      </x:c>
    </x:row>
    <x:row r="12">
      <x:c r="B12" s="9" t="str">
        <x:v>traveler implementation</x:v>
      </x:c>
      <x:c r="C12" s="22" t="n">
        <x:v>5</x:v>
      </x:c>
      <x:c r="D12" s="22" t="n">
        <x:v>9</x:v>
      </x:c>
      <x:c r="E12" s="22" t="n">
        <x:f>D12-C12</x:f>
        <x:v>4</x:v>
      </x:c>
      <x:c r="F12" s="9" t="str">
        <x:v>offline native object store</x:v>
      </x:c>
      <x:c r="G12" s="9" t="n">
        <x:v>1</x:v>
      </x:c>
      <x:c r="H12" s="9" t="n">
        <x:v>1</x:v>
      </x:c>
      <x:c r="I12" s="9" t="str">
        <x:f>IF(AND(G12=1,H12=1,D12&lt;='Controls'!$D$17),"PASS","FAIL")</x:f>
        <x:v>PASS</x:v>
      </x:c>
      <x:c r="J12" s="9" t="str">
        <x:v>NO</x:v>
      </x:c>
    </x:row>
    <x:row r="13">
      <x:c r="B13" s="9" t="str">
        <x:v>blind/reconstruction rehearsal</x:v>
      </x:c>
      <x:c r="C13" s="22" t="n">
        <x:v>7</x:v>
      </x:c>
      <x:c r="D13" s="22" t="n">
        <x:v>11</x:v>
      </x:c>
      <x:c r="E13" s="22" t="n">
        <x:f>D13-C13</x:f>
        <x:v>4</x:v>
      </x:c>
      <x:c r="F13" s="9" t="str">
        <x:v>custody and failure cases</x:v>
      </x:c>
      <x:c r="G13" s="9" t="n">
        <x:v>1</x:v>
      </x:c>
      <x:c r="H13" s="9" t="n">
        <x:v>1</x:v>
      </x:c>
      <x:c r="I13" s="9" t="str">
        <x:f>IF(AND(G13=1,H13=1,D13&lt;='Controls'!$D$17),"PASS","FAIL")</x:f>
        <x:v>PASS</x:v>
      </x:c>
      <x:c r="J13" s="9" t="str">
        <x:v>NO</x:v>
      </x:c>
    </x:row>
    <x:row r="14">
      <x:c r="B14" s="9" t="str">
        <x:v>NCR/teardown freeze</x:v>
      </x:c>
      <x:c r="C14" s="22" t="n">
        <x:v>8</x:v>
      </x:c>
      <x:c r="D14" s="22" t="n">
        <x:v>12</x:v>
      </x:c>
      <x:c r="E14" s="22" t="n">
        <x:f>D14-C14</x:f>
        <x:v>4</x:v>
      </x:c>
      <x:c r="F14" s="9" t="str">
        <x:v>branches cuts and retained map</x:v>
      </x:c>
      <x:c r="G14" s="9" t="n">
        <x:v>1</x:v>
      </x:c>
      <x:c r="H14" s="9" t="n">
        <x:v>1</x:v>
      </x:c>
      <x:c r="I14" s="9" t="str">
        <x:f>IF(AND(G14=1,H14=1,D14&lt;='Controls'!$D$17),"PASS","FAIL")</x:f>
        <x:v>PASS</x:v>
      </x:c>
      <x:c r="J14" s="9" t="str">
        <x:v>YES</x:v>
      </x:c>
    </x:row>
    <x:row r="15">
      <x:c r="B15" s="9" t="str">
        <x:v>independent reconstruction</x:v>
      </x:c>
      <x:c r="C15" s="22" t="n">
        <x:v>11</x:v>
      </x:c>
      <x:c r="D15" s="22" t="n">
        <x:v>14</x:v>
      </x:c>
      <x:c r="E15" s="22" t="n">
        <x:f>D15-C15</x:f>
        <x:v>3</x:v>
      </x:c>
      <x:c r="F15" s="9" t="str">
        <x:v>12 exercises</x:v>
      </x:c>
      <x:c r="G15" s="9" t="n">
        <x:v>1</x:v>
      </x:c>
      <x:c r="H15" s="9" t="n">
        <x:v>1</x:v>
      </x:c>
      <x:c r="I15" s="9" t="str">
        <x:f>IF(AND(G15=1,H15=1,D15&lt;='Controls'!$D$17),"PASS","FAIL")</x:f>
        <x:v>PASS</x:v>
      </x:c>
      <x:c r="J15" s="9" t="str">
        <x:v>YES</x:v>
      </x:c>
    </x:row>
    <x:row r="16">
      <x:c r="B16" s="10" t="str">
        <x:v>construction-release board</x:v>
      </x:c>
      <x:c r="C16" s="23" t="n">
        <x:v>14</x:v>
      </x:c>
      <x:c r="D16" s="23" t="n">
        <x:v>16</x:v>
      </x:c>
      <x:c r="E16" s="23" t="n">
        <x:f>D16-C16</x:f>
        <x:v>2</x:v>
      </x:c>
      <x:c r="F16" s="10" t="str">
        <x:v>planning disposition only</x:v>
      </x:c>
      <x:c r="G16" s="10" t="n">
        <x:v>1</x:v>
      </x:c>
      <x:c r="H16" s="10" t="n">
        <x:v>1</x:v>
      </x:c>
      <x:c r="I16" s="10" t="str">
        <x:f>IF(AND(G16=1,H16=1,D16&lt;='Controls'!$D$17),"PASS","FAIL")</x:f>
        <x:v>PASS</x:v>
      </x:c>
      <x:c r="J16" s="10" t="str">
        <x:v>YES</x:v>
      </x:c>
    </x:row>
  </x:sheetData>
  <x:mergeCells>
    <x:mergeCell ref="B2:J2"/>
    <x:mergeCell ref="B3:J3"/>
  </x:mergeCells>
  <x:conditionalFormatting sqref="I7:I16">
    <x:cfRule type="containsText" dxfId="195" priority="1" operator="containsText" text="PASS"/>
    <x:cfRule type="containsText" dxfId="196" priority="2" operator="containsText" text="AUTHORIZED"/>
    <x:cfRule type="containsText" dxfId="197" priority="3" operator="containsText" text="DEFINED"/>
    <x:cfRule type="containsText" dxfId="198" priority="4" operator="containsText" text="READY"/>
    <x:cfRule type="containsText" dxfId="199" priority="5" operator="containsText" text="HOLD"/>
    <x:cfRule type="containsText" dxfId="200" priority="6" operator="containsText" text="OPEN"/>
    <x:cfRule type="containsText" dxfId="201" priority="7" operator="containsText" text="BLOCKED"/>
    <x:cfRule type="containsText" dxfId="202" priority="8" operator="containsText" text="PLANNING"/>
    <x:cfRule type="containsText" dxfId="203" priority="9" operator="containsText" text="QUARANTINE"/>
    <x:cfRule type="containsText" dxfId="204" priority="10" operator="containsText" text="FAIL"/>
    <x:cfRule type="containsText" dxfId="205" priority="11" operator="containsText" text="REJECT"/>
    <x:cfRule type="containsText" dxfId="206" priority="12" operator="containsText" text="INCOMPLETE"/>
    <x:cfRule type="containsText" dxfId="207" priority="13" operator="containsText" text="STOP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20" hidden="0" customWidth="1"/>
    <x:col min="4" max="4" width="14" hidden="0" customWidth="1"/>
    <x:col min="5" max="5" width="17" hidden="0" customWidth="1"/>
    <x:col min="6" max="6" width="17" hidden="0" customWidth="1"/>
    <x:col min="7" max="7" width="16" hidden="0" customWidth="1"/>
    <x:col min="8" max="8" width="14" hidden="0" customWidth="1"/>
    <x:col min="9" max="9" width="22" hidden="0" customWidth="1"/>
  </x:cols>
  <x:sheetData>
    <x:row r="2">
      <x:c r="B2" s="37" t="str">
        <x:v>Nested capital allocation</x:v>
      </x:c>
      <x:c r="C2" s="9"/>
      <x:c r="D2" s="9"/>
      <x:c r="E2" s="9"/>
      <x:c r="F2" s="9"/>
      <x:c r="G2" s="9"/>
      <x:c r="H2" s="9"/>
      <x:c r="I2" s="9"/>
    </x:row>
    <x:row r="3">
      <x:c r="B3" s="38" t="str">
        <x:v>Research allocations in real 2026 USD billions; not vendor quotes or an acquisition baseline.</x:v>
      </x:c>
      <x:c r="C3" s="9"/>
      <x:c r="D3" s="9"/>
      <x:c r="E3" s="9"/>
      <x:c r="F3" s="9"/>
      <x:c r="G3" s="9"/>
      <x:c r="H3" s="9"/>
      <x:c r="I3" s="9"/>
    </x:row>
    <x:row r="4">
      <x:c r="B4" s="39"/>
      <x:c r="C4" s="39"/>
      <x:c r="D4" s="39"/>
      <x:c r="E4" s="39"/>
      <x:c r="F4" s="39"/>
      <x:c r="G4" s="39"/>
      <x:c r="H4" s="39"/>
      <x:c r="I4" s="39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Line</x:v>
      </x:c>
      <x:c r="C6" s="7" t="str">
        <x:v>Allocation USD B</x:v>
      </x:c>
      <x:c r="D6" s="7" t="str">
        <x:v>Share</x:v>
      </x:c>
      <x:c r="E6" s="7" t="str">
        <x:v>Available</x:v>
      </x:c>
      <x:c r="F6" s="7" t="str">
        <x:v>Remaining</x:v>
      </x:c>
      <x:c r="G6" s="7" t="str">
        <x:v>Within parent</x:v>
      </x:c>
      <x:c r="H6" s="7" t="str">
        <x:v>State</x:v>
      </x:c>
      <x:c r="I6" s="7" t="str">
        <x:v>Note</x:v>
      </x:c>
    </x:row>
    <x:row r="7">
      <x:c r="B7" s="9" t="str">
        <x:v>traveler/configuration systems</x:v>
      </x:c>
      <x:c r="C7" s="24" t="n">
        <x:v>0.012</x:v>
      </x:c>
      <x:c r="D7" s="28" t="n">
        <x:f>C7/'Controls'!$D$19</x:f>
        <x:v>0.13333333333333333</x:v>
      </x:c>
      <x:c r="E7" s="24" t="n">
        <x:f>'Controls'!$D$18</x:f>
        <x:v>0.106</x:v>
      </x:c>
      <x:c r="F7" s="24" t="n">
        <x:f>E7-SUM($C$7:C7)</x:f>
        <x:v>0.094</x:v>
      </x:c>
      <x:c r="G7" s="9" t="str">
        <x:f>IF(F7&gt;=0,"PASS","FAIL")</x:f>
        <x:v>PASS</x:v>
      </x:c>
      <x:c r="H7" s="9" t="str">
        <x:v>PLANNING</x:v>
      </x:c>
      <x:c r="I7" s="9" t="str">
        <x:v>nested in BRD-1</x:v>
      </x:c>
    </x:row>
    <x:row r="8">
      <x:c r="B8" s="9" t="str">
        <x:v>known-defect standards</x:v>
      </x:c>
      <x:c r="C8" s="24" t="n">
        <x:v>0.016</x:v>
      </x:c>
      <x:c r="D8" s="28" t="n">
        <x:f>C8/'Controls'!$D$19</x:f>
        <x:v>0.17777777777777778</x:v>
      </x:c>
      <x:c r="E8" s="24" t="n">
        <x:f>'Controls'!$D$18</x:f>
        <x:v>0.106</x:v>
      </x:c>
      <x:c r="F8" s="24" t="n">
        <x:f>E8-SUM($C$7:C8)</x:f>
        <x:v>0.078</x:v>
      </x:c>
      <x:c r="G8" s="9" t="str">
        <x:f>IF(F8&gt;=0,"PASS","FAIL")</x:f>
        <x:v>PASS</x:v>
      </x:c>
      <x:c r="H8" s="9" t="str">
        <x:v>PLANNING</x:v>
      </x:c>
      <x:c r="I8" s="9" t="str">
        <x:v>nested in BRD-1</x:v>
      </x:c>
    </x:row>
    <x:row r="9">
      <x:c r="B9" s="9" t="str">
        <x:v>node fixtures</x:v>
      </x:c>
      <x:c r="C9" s="24" t="n">
        <x:v>0.012</x:v>
      </x:c>
      <x:c r="D9" s="28" t="n">
        <x:f>C9/'Controls'!$D$19</x:f>
        <x:v>0.13333333333333333</x:v>
      </x:c>
      <x:c r="E9" s="24" t="n">
        <x:f>'Controls'!$D$18</x:f>
        <x:v>0.106</x:v>
      </x:c>
      <x:c r="F9" s="24" t="n">
        <x:f>E9-SUM($C$7:C9)</x:f>
        <x:v>0.066</x:v>
      </x:c>
      <x:c r="G9" s="9" t="str">
        <x:f>IF(F9&gt;=0,"PASS","FAIL")</x:f>
        <x:v>PASS</x:v>
      </x:c>
      <x:c r="H9" s="9" t="str">
        <x:v>PLANNING</x:v>
      </x:c>
      <x:c r="I9" s="9" t="str">
        <x:v>nested in BRD-1</x:v>
      </x:c>
    </x:row>
    <x:row r="10">
      <x:c r="B10" s="9" t="str">
        <x:v>collar rigs</x:v>
      </x:c>
      <x:c r="C10" s="24" t="n">
        <x:v>0.01</x:v>
      </x:c>
      <x:c r="D10" s="28" t="n">
        <x:f>C10/'Controls'!$D$19</x:f>
        <x:v>0.11111111111111112</x:v>
      </x:c>
      <x:c r="E10" s="24" t="n">
        <x:f>'Controls'!$D$18</x:f>
        <x:v>0.106</x:v>
      </x:c>
      <x:c r="F10" s="24" t="n">
        <x:f>E10-SUM($C$7:C10)</x:f>
        <x:v>0.055999999999999994</x:v>
      </x:c>
      <x:c r="G10" s="9" t="str">
        <x:f>IF(F10&gt;=0,"PASS","FAIL")</x:f>
        <x:v>PASS</x:v>
      </x:c>
      <x:c r="H10" s="9" t="str">
        <x:v>PLANNING</x:v>
      </x:c>
      <x:c r="I10" s="9" t="str">
        <x:v>nested in BRD-1</x:v>
      </x:c>
    </x:row>
    <x:row r="11">
      <x:c r="B11" s="9" t="str">
        <x:v>bus/protection rigs</x:v>
      </x:c>
      <x:c r="C11" s="24" t="n">
        <x:v>0.009</x:v>
      </x:c>
      <x:c r="D11" s="28" t="n">
        <x:f>C11/'Controls'!$D$19</x:f>
        <x:v>0.09999999999999999</x:v>
      </x:c>
      <x:c r="E11" s="24" t="n">
        <x:f>'Controls'!$D$18</x:f>
        <x:v>0.106</x:v>
      </x:c>
      <x:c r="F11" s="24" t="n">
        <x:f>E11-SUM($C$7:C11)</x:f>
        <x:v>0.04699999999999999</x:v>
      </x:c>
      <x:c r="G11" s="9" t="str">
        <x:f>IF(F11&gt;=0,"PASS","FAIL")</x:f>
        <x:v>PASS</x:v>
      </x:c>
      <x:c r="H11" s="9" t="str">
        <x:v>PLANNING</x:v>
      </x:c>
      <x:c r="I11" s="9" t="str">
        <x:v>nested in BRD-1</x:v>
      </x:c>
    </x:row>
    <x:row r="12">
      <x:c r="B12" s="9" t="str">
        <x:v>thermal and energy-ballast rigs</x:v>
      </x:c>
      <x:c r="C12" s="24" t="n">
        <x:v>0.013</x:v>
      </x:c>
      <x:c r="D12" s="28" t="n">
        <x:f>C12/'Controls'!$D$19</x:f>
        <x:v>0.14444444444444443</x:v>
      </x:c>
      <x:c r="E12" s="24" t="n">
        <x:f>'Controls'!$D$18</x:f>
        <x:v>0.106</x:v>
      </x:c>
      <x:c r="F12" s="24" t="n">
        <x:f>E12-SUM($C$7:C12)</x:f>
        <x:v>0.03399999999999999</x:v>
      </x:c>
      <x:c r="G12" s="9" t="str">
        <x:f>IF(F12&gt;=0,"PASS","FAIL")</x:f>
        <x:v>PASS</x:v>
      </x:c>
      <x:c r="H12" s="9" t="str">
        <x:v>PLANNING</x:v>
      </x:c>
      <x:c r="I12" s="9" t="str">
        <x:v>nested in BRD-1</x:v>
      </x:c>
    </x:row>
    <x:row r="13">
      <x:c r="B13" s="9" t="str">
        <x:v>NDE/metrology</x:v>
      </x:c>
      <x:c r="C13" s="24" t="n">
        <x:v>0.006</x:v>
      </x:c>
      <x:c r="D13" s="28" t="n">
        <x:f>C13/'Controls'!$D$19</x:f>
        <x:v>0.06666666666666667</x:v>
      </x:c>
      <x:c r="E13" s="24" t="n">
        <x:f>'Controls'!$D$18</x:f>
        <x:v>0.106</x:v>
      </x:c>
      <x:c r="F13" s="24" t="n">
        <x:f>E13-SUM($C$7:C13)</x:f>
        <x:v>0.027999999999999983</x:v>
      </x:c>
      <x:c r="G13" s="9" t="str">
        <x:f>IF(F13&gt;=0,"PASS","FAIL")</x:f>
        <x:v>PASS</x:v>
      </x:c>
      <x:c r="H13" s="9" t="str">
        <x:v>PLANNING</x:v>
      </x:c>
      <x:c r="I13" s="9" t="str">
        <x:v>nested in BRD-1</x:v>
      </x:c>
    </x:row>
    <x:row r="14">
      <x:c r="B14" s="9" t="str">
        <x:v>destructive/quarantine capability</x:v>
      </x:c>
      <x:c r="C14" s="24" t="n">
        <x:v>0.004</x:v>
      </x:c>
      <x:c r="D14" s="28" t="n">
        <x:f>C14/'Controls'!$D$19</x:f>
        <x:v>0.044444444444444446</x:v>
      </x:c>
      <x:c r="E14" s="24" t="n">
        <x:f>'Controls'!$D$18</x:f>
        <x:v>0.106</x:v>
      </x:c>
      <x:c r="F14" s="24" t="n">
        <x:f>E14-SUM($C$7:C14)</x:f>
        <x:v>0.02399999999999998</x:v>
      </x:c>
      <x:c r="G14" s="9" t="str">
        <x:f>IF(F14&gt;=0,"PASS","FAIL")</x:f>
        <x:v>PASS</x:v>
      </x:c>
      <x:c r="H14" s="9" t="str">
        <x:v>PLANNING</x:v>
      </x:c>
      <x:c r="I14" s="9" t="str">
        <x:v>nested in BRD-1</x:v>
      </x:c>
    </x:row>
    <x:row r="15">
      <x:c r="B15" s="9" t="str">
        <x:v>independent reproduction</x:v>
      </x:c>
      <x:c r="C15" s="24" t="n">
        <x:v>0.004</x:v>
      </x:c>
      <x:c r="D15" s="28" t="n">
        <x:f>C15/'Controls'!$D$19</x:f>
        <x:v>0.044444444444444446</x:v>
      </x:c>
      <x:c r="E15" s="24" t="n">
        <x:f>'Controls'!$D$18</x:f>
        <x:v>0.106</x:v>
      </x:c>
      <x:c r="F15" s="24" t="n">
        <x:f>E15-SUM($C$7:C15)</x:f>
        <x:v>0.019999999999999976</x:v>
      </x:c>
      <x:c r="G15" s="9" t="str">
        <x:f>IF(F15&gt;=0,"PASS","FAIL")</x:f>
        <x:v>PASS</x:v>
      </x:c>
      <x:c r="H15" s="9" t="str">
        <x:v>PLANNING</x:v>
      </x:c>
      <x:c r="I15" s="9" t="str">
        <x:v>nested in BRD-1</x:v>
      </x:c>
    </x:row>
    <x:row r="16">
      <x:c r="B16" s="9" t="str">
        <x:v>safety infrastructure</x:v>
      </x:c>
      <x:c r="C16" s="24" t="n">
        <x:v>0.002</x:v>
      </x:c>
      <x:c r="D16" s="28" t="n">
        <x:f>C16/'Controls'!$D$19</x:f>
        <x:v>0.022222222222222223</x:v>
      </x:c>
      <x:c r="E16" s="24" t="n">
        <x:f>'Controls'!$D$18</x:f>
        <x:v>0.106</x:v>
      </x:c>
      <x:c r="F16" s="24" t="n">
        <x:f>E16-SUM($C$7:C16)</x:f>
        <x:v>0.017999999999999974</x:v>
      </x:c>
      <x:c r="G16" s="9" t="str">
        <x:f>IF(F16&gt;=0,"PASS","FAIL")</x:f>
        <x:v>PASS</x:v>
      </x:c>
      <x:c r="H16" s="9" t="str">
        <x:v>PLANNING</x:v>
      </x:c>
      <x:c r="I16" s="9" t="str">
        <x:v>nested in BRD-1</x:v>
      </x:c>
    </x:row>
    <x:row r="17">
      <x:c r="B17" s="9" t="str">
        <x:v>contingency</x:v>
      </x:c>
      <x:c r="C17" s="24" t="n">
        <x:v>0.002</x:v>
      </x:c>
      <x:c r="D17" s="28" t="n">
        <x:f>C17/'Controls'!$D$19</x:f>
        <x:v>0.022222222222222223</x:v>
      </x:c>
      <x:c r="E17" s="24" t="n">
        <x:f>'Controls'!$D$18</x:f>
        <x:v>0.106</x:v>
      </x:c>
      <x:c r="F17" s="24" t="n">
        <x:f>E17-SUM($C$7:C17)</x:f>
        <x:v>0.015999999999999973</x:v>
      </x:c>
      <x:c r="G17" s="9" t="str">
        <x:f>IF(F17&gt;=0,"PASS","FAIL")</x:f>
        <x:v>PASS</x:v>
      </x:c>
      <x:c r="H17" s="9" t="str">
        <x:v>PLANNING</x:v>
      </x:c>
      <x:c r="I17" s="9" t="str">
        <x:v>nested in BRD-1</x:v>
      </x:c>
    </x:row>
    <x:row r="18">
      <x:c r="B18" s="9"/>
      <x:c r="C18" s="24"/>
      <x:c r="D18" s="9"/>
      <x:c r="E18" s="24"/>
      <x:c r="F18" s="24"/>
      <x:c r="G18" s="9"/>
      <x:c r="H18" s="9"/>
      <x:c r="I18" s="9"/>
    </x:row>
    <x:row r="19">
      <x:c r="B19" s="9"/>
      <x:c r="C19" s="24"/>
      <x:c r="D19" s="9"/>
      <x:c r="E19" s="24"/>
      <x:c r="F19" s="24"/>
      <x:c r="G19" s="9"/>
      <x:c r="H19" s="9"/>
      <x:c r="I19" s="9"/>
    </x:row>
    <x:row r="20">
      <x:c r="B20" s="19" t="str">
        <x:v>Reconciliation</x:v>
      </x:c>
      <x:c r="C20" s="25" t="str">
        <x:v>Reconciliation</x:v>
      </x:c>
      <x:c r="D20" s="19" t="str">
        <x:v>Reconciliation</x:v>
      </x:c>
      <x:c r="E20" s="25" t="str">
        <x:v>Reconciliation</x:v>
      </x:c>
      <x:c r="F20" s="25" t="str">
        <x:v>Reconciliation</x:v>
      </x:c>
      <x:c r="G20" s="19" t="str">
        <x:v>Reconciliation</x:v>
      </x:c>
      <x:c r="H20" s="19" t="str">
        <x:v>Reconciliation</x:v>
      </x:c>
      <x:c r="I20" s="19" t="str">
        <x:v>Reconciliation</x:v>
      </x:c>
    </x:row>
    <x:row r="21">
      <x:c r="B21" s="7" t="str">
        <x:v>Total</x:v>
      </x:c>
      <x:c r="C21" s="26" t="str">
        <x:v>Control</x:v>
      </x:c>
      <x:c r="D21" s="7" t="str">
        <x:v>Difference</x:v>
      </x:c>
      <x:c r="E21" s="26" t="str">
        <x:v>Parent remaining</x:v>
      </x:c>
      <x:c r="F21" s="26" t="str">
        <x:v>After CRET-1</x:v>
      </x:c>
      <x:c r="G21" s="9"/>
      <x:c r="H21" s="9"/>
      <x:c r="I21" s="9"/>
    </x:row>
    <x:row r="22">
      <x:c r="B22" s="29" t="n">
        <x:f>SUM(C7:C17)</x:f>
        <x:v>0.09000000000000002</x:v>
      </x:c>
      <x:c r="C22" s="29" t="n">
        <x:f>'Controls'!$D$19</x:f>
        <x:v>0.09</x:v>
      </x:c>
      <x:c r="D22" s="29" t="n">
        <x:f>B22-C22</x:f>
        <x:v>2.7755575615628914e-17</x:v>
      </x:c>
      <x:c r="E22" s="29" t="n">
        <x:f>'Controls'!$D$18</x:f>
        <x:v>0.106</x:v>
      </x:c>
      <x:c r="F22" s="29" t="n">
        <x:f>E22-B22</x:f>
        <x:v>0.015999999999999973</x:v>
      </x:c>
      <x:c r="G22" s="10"/>
      <x:c r="H22" s="10"/>
      <x:c r="I22" s="10"/>
    </x:row>
  </x:sheetData>
  <x:mergeCells>
    <x:mergeCell ref="B2:I2"/>
    <x:mergeCell ref="B3:I3"/>
    <x:mergeCell ref="B20:I20"/>
  </x:mergeCells>
  <x:conditionalFormatting sqref="G7:H17">
    <x:cfRule type="containsText" dxfId="208" priority="1" operator="containsText" text="PASS"/>
    <x:cfRule type="containsText" dxfId="209" priority="2" operator="containsText" text="AUTHORIZED"/>
    <x:cfRule type="containsText" dxfId="210" priority="3" operator="containsText" text="DEFINED"/>
    <x:cfRule type="containsText" dxfId="211" priority="4" operator="containsText" text="READY"/>
    <x:cfRule type="containsText" dxfId="212" priority="5" operator="containsText" text="HOLD"/>
    <x:cfRule type="containsText" dxfId="213" priority="6" operator="containsText" text="OPEN"/>
    <x:cfRule type="containsText" dxfId="214" priority="7" operator="containsText" text="BLOCKED"/>
    <x:cfRule type="containsText" dxfId="215" priority="8" operator="containsText" text="PLANNING"/>
    <x:cfRule type="containsText" dxfId="216" priority="9" operator="containsText" text="QUARANTINE"/>
    <x:cfRule type="containsText" dxfId="217" priority="10" operator="containsText" text="FAIL"/>
    <x:cfRule type="containsText" dxfId="218" priority="11" operator="containsText" text="REJECT"/>
    <x:cfRule type="containsText" dxfId="219" priority="12" operator="containsText" text="INCOMPLETE"/>
    <x:cfRule type="containsText" dxfId="220" priority="13" operator="containsText" text="STOP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0" hidden="0" customWidth="1"/>
    <x:col min="3" max="3" width="22" hidden="0" customWidth="1"/>
    <x:col min="4" max="4" width="14" hidden="0" customWidth="1"/>
    <x:col min="5" max="5" width="17" hidden="0" customWidth="1"/>
    <x:col min="6" max="6" width="17" hidden="0" customWidth="1"/>
    <x:col min="7" max="7" width="16" hidden="0" customWidth="1"/>
    <x:col min="8" max="8" width="14" hidden="0" customWidth="1"/>
    <x:col min="9" max="9" width="22" hidden="0" customWidth="1"/>
  </x:cols>
  <x:sheetData>
    <x:row r="2">
      <x:c r="B2" s="37" t="str">
        <x:v>Nested annual support</x:v>
      </x:c>
      <x:c r="C2" s="9"/>
      <x:c r="D2" s="9"/>
      <x:c r="E2" s="9"/>
      <x:c r="F2" s="9"/>
      <x:c r="G2" s="9"/>
      <x:c r="H2" s="9"/>
      <x:c r="I2" s="9"/>
    </x:row>
    <x:row r="3">
      <x:c r="B3" s="38" t="str">
        <x:v>Research allocations in real 2026 USD billions per year; no operational-force borrowing.</x:v>
      </x:c>
      <x:c r="C3" s="9"/>
      <x:c r="D3" s="9"/>
      <x:c r="E3" s="9"/>
      <x:c r="F3" s="9"/>
      <x:c r="G3" s="9"/>
      <x:c r="H3" s="9"/>
      <x:c r="I3" s="9"/>
    </x:row>
    <x:row r="4">
      <x:c r="B4" s="39"/>
      <x:c r="C4" s="39"/>
      <x:c r="D4" s="39"/>
      <x:c r="E4" s="39"/>
      <x:c r="F4" s="39"/>
      <x:c r="G4" s="39"/>
      <x:c r="H4" s="39"/>
      <x:c r="I4" s="39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Line</x:v>
      </x:c>
      <x:c r="C6" s="7" t="str">
        <x:v>Allocation USD B/yr</x:v>
      </x:c>
      <x:c r="D6" s="7" t="str">
        <x:v>Share</x:v>
      </x:c>
      <x:c r="E6" s="7" t="str">
        <x:v>Available</x:v>
      </x:c>
      <x:c r="F6" s="7" t="str">
        <x:v>Remaining</x:v>
      </x:c>
      <x:c r="G6" s="7" t="str">
        <x:v>Within parent</x:v>
      </x:c>
      <x:c r="H6" s="7" t="str">
        <x:v>State</x:v>
      </x:c>
      <x:c r="I6" s="7" t="str">
        <x:v>Note</x:v>
      </x:c>
    </x:row>
    <x:row r="7">
      <x:c r="B7" s="9" t="str">
        <x:v>root process engineering</x:v>
      </x:c>
      <x:c r="C7" s="30" t="n">
        <x:v>0.006</x:v>
      </x:c>
      <x:c r="D7" s="28" t="n">
        <x:f>C7/'Controls'!$D$21</x:f>
        <x:v>0.3</x:v>
      </x:c>
      <x:c r="E7" s="30" t="n">
        <x:f>'Controls'!$D$20</x:f>
        <x:v>0.023</x:v>
      </x:c>
      <x:c r="F7" s="30" t="n">
        <x:f>E7-SUM($C$7:C7)</x:f>
        <x:v>0.017</x:v>
      </x:c>
      <x:c r="G7" s="9" t="str">
        <x:f>IF(F7&gt;=0,"PASS","FAIL")</x:f>
        <x:v>PASS</x:v>
      </x:c>
      <x:c r="H7" s="9" t="str">
        <x:v>PLANNING</x:v>
      </x:c>
      <x:c r="I7" s="9" t="str">
        <x:v>nested in BRD-1</x:v>
      </x:c>
    </x:row>
    <x:row r="8">
      <x:c r="B8" s="9" t="str">
        <x:v>public configuration</x:v>
      </x:c>
      <x:c r="C8" s="30" t="n">
        <x:v>0.003</x:v>
      </x:c>
      <x:c r="D8" s="28" t="n">
        <x:f>C8/'Controls'!$D$21</x:f>
        <x:v>0.15</x:v>
      </x:c>
      <x:c r="E8" s="30" t="n">
        <x:f>'Controls'!$D$20</x:f>
        <x:v>0.023</x:v>
      </x:c>
      <x:c r="F8" s="30" t="n">
        <x:f>E8-SUM($C$7:C8)</x:f>
        <x:v>0.013999999999999999</x:v>
      </x:c>
      <x:c r="G8" s="9" t="str">
        <x:f>IF(F8&gt;=0,"PASS","FAIL")</x:f>
        <x:v>PASS</x:v>
      </x:c>
      <x:c r="H8" s="9" t="str">
        <x:v>PLANNING</x:v>
      </x:c>
      <x:c r="I8" s="9" t="str">
        <x:v>nested in BRD-1</x:v>
      </x:c>
    </x:row>
    <x:row r="9">
      <x:c r="B9" s="9" t="str">
        <x:v>laboratories</x:v>
      </x:c>
      <x:c r="C9" s="30" t="n">
        <x:v>0.003</x:v>
      </x:c>
      <x:c r="D9" s="28" t="n">
        <x:f>C9/'Controls'!$D$21</x:f>
        <x:v>0.15</x:v>
      </x:c>
      <x:c r="E9" s="30" t="n">
        <x:f>'Controls'!$D$20</x:f>
        <x:v>0.023</x:v>
      </x:c>
      <x:c r="F9" s="30" t="n">
        <x:f>E9-SUM($C$7:C9)</x:f>
        <x:v>0.011</x:v>
      </x:c>
      <x:c r="G9" s="9" t="str">
        <x:f>IF(F9&gt;=0,"PASS","FAIL")</x:f>
        <x:v>PASS</x:v>
      </x:c>
      <x:c r="H9" s="9" t="str">
        <x:v>PLANNING</x:v>
      </x:c>
      <x:c r="I9" s="9" t="str">
        <x:v>nested in BRD-1</x:v>
      </x:c>
    </x:row>
    <x:row r="10">
      <x:c r="B10" s="9" t="str">
        <x:v>NDE/metrology</x:v>
      </x:c>
      <x:c r="C10" s="30" t="n">
        <x:v>0.002</x:v>
      </x:c>
      <x:c r="D10" s="28" t="n">
        <x:f>C10/'Controls'!$D$21</x:f>
        <x:v>0.1</x:v>
      </x:c>
      <x:c r="E10" s="30" t="n">
        <x:f>'Controls'!$D$20</x:f>
        <x:v>0.023</x:v>
      </x:c>
      <x:c r="F10" s="30" t="n">
        <x:f>E10-SUM($C$7:C10)</x:f>
        <x:v>0.009</x:v>
      </x:c>
      <x:c r="G10" s="9" t="str">
        <x:f>IF(F10&gt;=0,"PASS","FAIL")</x:f>
        <x:v>PASS</x:v>
      </x:c>
      <x:c r="H10" s="9" t="str">
        <x:v>PLANNING</x:v>
      </x:c>
      <x:c r="I10" s="9" t="str">
        <x:v>nested in BRD-1</x:v>
      </x:c>
    </x:row>
    <x:row r="11">
      <x:c r="B11" s="9" t="str">
        <x:v>safety and sanitary authority</x:v>
      </x:c>
      <x:c r="C11" s="30" t="n">
        <x:v>0.0015</x:v>
      </x:c>
      <x:c r="D11" s="28" t="n">
        <x:f>C11/'Controls'!$D$21</x:f>
        <x:v>0.075</x:v>
      </x:c>
      <x:c r="E11" s="30" t="n">
        <x:f>'Controls'!$D$20</x:f>
        <x:v>0.023</x:v>
      </x:c>
      <x:c r="F11" s="30" t="n">
        <x:f>E11-SUM($C$7:C11)</x:f>
        <x:v>0.0075</x:v>
      </x:c>
      <x:c r="G11" s="9" t="str">
        <x:f>IF(F11&gt;=0,"PASS","FAIL")</x:f>
        <x:v>PASS</x:v>
      </x:c>
      <x:c r="H11" s="9" t="str">
        <x:v>PLANNING</x:v>
      </x:c>
      <x:c r="I11" s="9" t="str">
        <x:v>nested in BRD-1</x:v>
      </x:c>
    </x:row>
    <x:row r="12">
      <x:c r="B12" s="9" t="str">
        <x:v>independent reproduction</x:v>
      </x:c>
      <x:c r="C12" s="30" t="n">
        <x:v>0.0015</x:v>
      </x:c>
      <x:c r="D12" s="28" t="n">
        <x:f>C12/'Controls'!$D$21</x:f>
        <x:v>0.075</x:v>
      </x:c>
      <x:c r="E12" s="30" t="n">
        <x:f>'Controls'!$D$20</x:f>
        <x:v>0.023</x:v>
      </x:c>
      <x:c r="F12" s="30" t="n">
        <x:f>E12-SUM($C$7:C12)</x:f>
        <x:v>0.005999999999999998</x:v>
      </x:c>
      <x:c r="G12" s="9" t="str">
        <x:f>IF(F12&gt;=0,"PASS","FAIL")</x:f>
        <x:v>PASS</x:v>
      </x:c>
      <x:c r="H12" s="9" t="str">
        <x:v>PLANNING</x:v>
      </x:c>
      <x:c r="I12" s="9" t="str">
        <x:v>nested in BRD-1</x:v>
      </x:c>
    </x:row>
    <x:row r="13">
      <x:c r="B13" s="9" t="str">
        <x:v>data custody</x:v>
      </x:c>
      <x:c r="C13" s="30" t="n">
        <x:v>0.001</x:v>
      </x:c>
      <x:c r="D13" s="28" t="n">
        <x:f>C13/'Controls'!$D$21</x:f>
        <x:v>0.05</x:v>
      </x:c>
      <x:c r="E13" s="30" t="n">
        <x:f>'Controls'!$D$20</x:f>
        <x:v>0.023</x:v>
      </x:c>
      <x:c r="F13" s="30" t="n">
        <x:f>E13-SUM($C$7:C13)</x:f>
        <x:v>0.0049999999999999975</x:v>
      </x:c>
      <x:c r="G13" s="9" t="str">
        <x:f>IF(F13&gt;=0,"PASS","FAIL")</x:f>
        <x:v>PASS</x:v>
      </x:c>
      <x:c r="H13" s="9" t="str">
        <x:v>PLANNING</x:v>
      </x:c>
      <x:c r="I13" s="9" t="str">
        <x:v>nested in BRD-1</x:v>
      </x:c>
    </x:row>
    <x:row r="14">
      <x:c r="B14" s="9" t="str">
        <x:v>receiver/fixture support</x:v>
      </x:c>
      <x:c r="C14" s="30" t="n">
        <x:v>0.001</x:v>
      </x:c>
      <x:c r="D14" s="28" t="n">
        <x:f>C14/'Controls'!$D$21</x:f>
        <x:v>0.05</x:v>
      </x:c>
      <x:c r="E14" s="30" t="n">
        <x:f>'Controls'!$D$20</x:f>
        <x:v>0.023</x:v>
      </x:c>
      <x:c r="F14" s="30" t="n">
        <x:f>E14-SUM($C$7:C14)</x:f>
        <x:v>0.003999999999999997</x:v>
      </x:c>
      <x:c r="G14" s="9" t="str">
        <x:f>IF(F14&gt;=0,"PASS","FAIL")</x:f>
        <x:v>PASS</x:v>
      </x:c>
      <x:c r="H14" s="9" t="str">
        <x:v>PLANNING</x:v>
      </x:c>
      <x:c r="I14" s="9" t="str">
        <x:v>nested in BRD-1</x:v>
      </x:c>
    </x:row>
    <x:row r="15">
      <x:c r="B15" s="9" t="str">
        <x:v>reserve</x:v>
      </x:c>
      <x:c r="C15" s="30" t="n">
        <x:v>0.001</x:v>
      </x:c>
      <x:c r="D15" s="28" t="n">
        <x:f>C15/'Controls'!$D$21</x:f>
        <x:v>0.05</x:v>
      </x:c>
      <x:c r="E15" s="30" t="n">
        <x:f>'Controls'!$D$20</x:f>
        <x:v>0.023</x:v>
      </x:c>
      <x:c r="F15" s="30" t="n">
        <x:f>E15-SUM($C$7:C15)</x:f>
        <x:v>0.0029999999999999957</x:v>
      </x:c>
      <x:c r="G15" s="9" t="str">
        <x:f>IF(F15&gt;=0,"PASS","FAIL")</x:f>
        <x:v>PASS</x:v>
      </x:c>
      <x:c r="H15" s="9" t="str">
        <x:v>PLANNING</x:v>
      </x:c>
      <x:c r="I15" s="9" t="str">
        <x:v>nested in BRD-1</x:v>
      </x:c>
    </x:row>
    <x:row r="16">
      <x:c r="B16" s="9"/>
      <x:c r="C16" s="30"/>
      <x:c r="D16" s="9"/>
      <x:c r="E16" s="30"/>
      <x:c r="F16" s="30"/>
      <x:c r="G16" s="9"/>
      <x:c r="H16" s="9"/>
      <x:c r="I16" s="9"/>
    </x:row>
    <x:row r="17">
      <x:c r="B17" s="9"/>
      <x:c r="C17" s="30"/>
      <x:c r="D17" s="9"/>
      <x:c r="E17" s="30"/>
      <x:c r="F17" s="30"/>
      <x:c r="G17" s="9"/>
      <x:c r="H17" s="9"/>
      <x:c r="I17" s="9"/>
    </x:row>
    <x:row r="18">
      <x:c r="B18" s="19" t="str">
        <x:v>Reconciliation</x:v>
      </x:c>
      <x:c r="C18" s="31" t="str">
        <x:v>Reconciliation</x:v>
      </x:c>
      <x:c r="D18" s="19" t="str">
        <x:v>Reconciliation</x:v>
      </x:c>
      <x:c r="E18" s="31" t="str">
        <x:v>Reconciliation</x:v>
      </x:c>
      <x:c r="F18" s="31" t="str">
        <x:v>Reconciliation</x:v>
      </x:c>
      <x:c r="G18" s="19" t="str">
        <x:v>Reconciliation</x:v>
      </x:c>
      <x:c r="H18" s="19" t="str">
        <x:v>Reconciliation</x:v>
      </x:c>
      <x:c r="I18" s="19" t="str">
        <x:v>Reconciliation</x:v>
      </x:c>
    </x:row>
    <x:row r="19">
      <x:c r="B19" s="7" t="str">
        <x:v>Total</x:v>
      </x:c>
      <x:c r="C19" s="32" t="str">
        <x:v>Control</x:v>
      </x:c>
      <x:c r="D19" s="7" t="str">
        <x:v>Difference</x:v>
      </x:c>
      <x:c r="E19" s="32" t="str">
        <x:v>Parent remaining</x:v>
      </x:c>
      <x:c r="F19" s="32" t="str">
        <x:v>After CRET-1</x:v>
      </x:c>
      <x:c r="G19" s="9"/>
      <x:c r="H19" s="9"/>
      <x:c r="I19" s="9"/>
    </x:row>
    <x:row r="20">
      <x:c r="B20" s="29" t="n">
        <x:f>SUM(C7:C15)</x:f>
        <x:v>0.020000000000000004</x:v>
      </x:c>
      <x:c r="C20" s="29" t="n">
        <x:f>'Controls'!$D$21</x:f>
        <x:v>0.02</x:v>
      </x:c>
      <x:c r="D20" s="29" t="n">
        <x:f>B20-C20</x:f>
        <x:v>3.469446951953614e-18</x:v>
      </x:c>
      <x:c r="E20" s="29" t="n">
        <x:f>'Controls'!$D$20</x:f>
        <x:v>0.023</x:v>
      </x:c>
      <x:c r="F20" s="29" t="n">
        <x:f>E20-B20</x:f>
        <x:v>0.0029999999999999957</x:v>
      </x:c>
      <x:c r="G20" s="10"/>
      <x:c r="H20" s="10"/>
      <x:c r="I20" s="10"/>
    </x:row>
  </x:sheetData>
  <x:mergeCells>
    <x:mergeCell ref="B2:I2"/>
    <x:mergeCell ref="B3:I3"/>
    <x:mergeCell ref="B18:I18"/>
  </x:mergeCells>
  <x:conditionalFormatting sqref="G7:H15">
    <x:cfRule type="containsText" dxfId="221" priority="1" operator="containsText" text="PASS"/>
    <x:cfRule type="containsText" dxfId="222" priority="2" operator="containsText" text="AUTHORIZED"/>
    <x:cfRule type="containsText" dxfId="223" priority="3" operator="containsText" text="DEFINED"/>
    <x:cfRule type="containsText" dxfId="224" priority="4" operator="containsText" text="READY"/>
    <x:cfRule type="containsText" dxfId="225" priority="5" operator="containsText" text="HOLD"/>
    <x:cfRule type="containsText" dxfId="226" priority="6" operator="containsText" text="OPEN"/>
    <x:cfRule type="containsText" dxfId="227" priority="7" operator="containsText" text="BLOCKED"/>
    <x:cfRule type="containsText" dxfId="228" priority="8" operator="containsText" text="PLANNING"/>
    <x:cfRule type="containsText" dxfId="229" priority="9" operator="containsText" text="QUARANTINE"/>
    <x:cfRule type="containsText" dxfId="230" priority="10" operator="containsText" text="FAIL"/>
    <x:cfRule type="containsText" dxfId="231" priority="11" operator="containsText" text="REJECT"/>
    <x:cfRule type="containsText" dxfId="232" priority="12" operator="containsText" text="INCOMPLETE"/>
    <x:cfRule type="containsText" dxfId="233" priority="13" operator="containsText" text="STOP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16" hidden="0" customWidth="1"/>
    <x:col min="4" max="4" width="37" hidden="0" customWidth="1"/>
    <x:col min="5" max="5" width="13" hidden="0" customWidth="1"/>
    <x:col min="6" max="6" width="13" hidden="0" customWidth="1"/>
    <x:col min="7" max="7" width="17" hidden="0" customWidth="1"/>
    <x:col min="8" max="8" width="18" hidden="0" customWidth="1"/>
    <x:col min="9" max="9" width="15" hidden="0" customWidth="1"/>
    <x:col min="10" max="10" width="22" hidden="0" customWidth="1"/>
    <x:col min="11" max="11" width="25" hidden="0" customWidth="1"/>
  </x:cols>
  <x:sheetData>
    <x:row r="2">
      <x:c r="B2" s="37" t="str">
        <x:v>Seventy-two sequential release gates</x:v>
      </x:c>
      <x:c r="C2" s="9"/>
      <x:c r="D2" s="9"/>
      <x:c r="E2" s="9"/>
      <x:c r="F2" s="9"/>
      <x:c r="G2" s="9"/>
      <x:c r="H2" s="9"/>
      <x:c r="I2" s="9"/>
      <x:c r="J2" s="9"/>
      <x:c r="K2" s="9"/>
    </x:row>
    <x:row r="3">
      <x:c r="B3" s="38" t="str">
        <x:v>Planning closure cannot substitute for source objects, physical trials or downstream authority.</x:v>
      </x:c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>
      <x:c r="B6" s="7" t="str">
        <x:v>Gate</x:v>
      </x:c>
      <x:c r="C6" s="7" t="str">
        <x:v>Class</x:v>
      </x:c>
      <x:c r="D6" s="7" t="str">
        <x:v>Decision</x:v>
      </x:c>
      <x:c r="E6" s="7" t="str">
        <x:v>Required</x:v>
      </x:c>
      <x:c r="F6" s="7" t="str">
        <x:v>Observed</x:v>
      </x:c>
      <x:c r="G6" s="7" t="str">
        <x:v>Source control</x:v>
      </x:c>
      <x:c r="H6" s="7" t="str">
        <x:v>Status</x:v>
      </x:c>
      <x:c r="I6" s="7" t="str">
        <x:v>Stop authority</x:v>
      </x:c>
      <x:c r="J6" s="7" t="str">
        <x:v>Evidence authority</x:v>
      </x:c>
      <x:c r="K6" s="7" t="str">
        <x:v>Note</x:v>
      </x:c>
    </x:row>
    <x:row r="7">
      <x:c r="B7" s="9" t="str">
        <x:v>G-01</x:v>
      </x:c>
      <x:c r="C7" s="9" t="str">
        <x:v>PLANNING</x:v>
      </x:c>
      <x:c r="D7" s="15" t="str">
        <x:v>operation predicate family 1</x:v>
      </x:c>
      <x:c r="E7" s="15" t="n">
        <x:v>1</x:v>
      </x:c>
      <x:c r="F7" s="9" t="n">
        <x:v>1</x:v>
      </x:c>
      <x:c r="G7" s="9" t="str">
        <x:v>design record</x:v>
      </x:c>
      <x:c r="H7" s="9" t="str">
        <x:f>IF(F7&gt;=E7,"PASS","FAIL")</x:f>
        <x:v>PASS</x:v>
      </x:c>
      <x:c r="I7" s="9" t="str">
        <x:v>public board</x:v>
      </x:c>
      <x:c r="J7" s="9" t="str">
        <x:v>public configuration</x:v>
      </x:c>
      <x:c r="K7" s="9" t="str">
        <x:v>design evidence only</x:v>
      </x:c>
    </x:row>
    <x:row r="8">
      <x:c r="B8" s="9" t="str">
        <x:v>G-02</x:v>
      </x:c>
      <x:c r="C8" s="9" t="str">
        <x:v>PLANNING</x:v>
      </x:c>
      <x:c r="D8" s="15" t="str">
        <x:v>operation predicate family 2</x:v>
      </x:c>
      <x:c r="E8" s="15" t="n">
        <x:v>1</x:v>
      </x:c>
      <x:c r="F8" s="9" t="n">
        <x:v>1</x:v>
      </x:c>
      <x:c r="G8" s="9" t="str">
        <x:v>design record</x:v>
      </x:c>
      <x:c r="H8" s="9" t="str">
        <x:f>IF(F8&gt;=E8,"PASS","FAIL")</x:f>
        <x:v>PASS</x:v>
      </x:c>
      <x:c r="I8" s="9" t="str">
        <x:v>public board</x:v>
      </x:c>
      <x:c r="J8" s="9" t="str">
        <x:v>public configuration</x:v>
      </x:c>
      <x:c r="K8" s="9" t="str">
        <x:v>design evidence only</x:v>
      </x:c>
    </x:row>
    <x:row r="9">
      <x:c r="B9" s="9" t="str">
        <x:v>G-03</x:v>
      </x:c>
      <x:c r="C9" s="9" t="str">
        <x:v>PLANNING</x:v>
      </x:c>
      <x:c r="D9" s="15" t="str">
        <x:v>operation predicate family 3</x:v>
      </x:c>
      <x:c r="E9" s="15" t="n">
        <x:v>1</x:v>
      </x:c>
      <x:c r="F9" s="9" t="n">
        <x:v>1</x:v>
      </x:c>
      <x:c r="G9" s="9" t="str">
        <x:v>design record</x:v>
      </x:c>
      <x:c r="H9" s="9" t="str">
        <x:f>IF(F9&gt;=E9,"PASS","FAIL")</x:f>
        <x:v>PASS</x:v>
      </x:c>
      <x:c r="I9" s="9" t="str">
        <x:v>public board</x:v>
      </x:c>
      <x:c r="J9" s="9" t="str">
        <x:v>public configuration</x:v>
      </x:c>
      <x:c r="K9" s="9" t="str">
        <x:v>design evidence only</x:v>
      </x:c>
    </x:row>
    <x:row r="10">
      <x:c r="B10" s="9" t="str">
        <x:v>G-04</x:v>
      </x:c>
      <x:c r="C10" s="9" t="str">
        <x:v>PLANNING</x:v>
      </x:c>
      <x:c r="D10" s="15" t="str">
        <x:v>operation predicate family 4</x:v>
      </x:c>
      <x:c r="E10" s="15" t="n">
        <x:v>1</x:v>
      </x:c>
      <x:c r="F10" s="9" t="n">
        <x:v>1</x:v>
      </x:c>
      <x:c r="G10" s="9" t="str">
        <x:v>design record</x:v>
      </x:c>
      <x:c r="H10" s="9" t="str">
        <x:f>IF(F10&gt;=E10,"PASS","FAIL")</x:f>
        <x:v>PASS</x:v>
      </x:c>
      <x:c r="I10" s="9" t="str">
        <x:v>public board</x:v>
      </x:c>
      <x:c r="J10" s="9" t="str">
        <x:v>public configuration</x:v>
      </x:c>
      <x:c r="K10" s="9" t="str">
        <x:v>design evidence only</x:v>
      </x:c>
    </x:row>
    <x:row r="11">
      <x:c r="B11" s="9" t="str">
        <x:v>G-05</x:v>
      </x:c>
      <x:c r="C11" s="9" t="str">
        <x:v>PLANNING</x:v>
      </x:c>
      <x:c r="D11" s="15" t="str">
        <x:v>operation predicate family 5</x:v>
      </x:c>
      <x:c r="E11" s="15" t="n">
        <x:v>1</x:v>
      </x:c>
      <x:c r="F11" s="9" t="n">
        <x:v>1</x:v>
      </x:c>
      <x:c r="G11" s="9" t="str">
        <x:v>design record</x:v>
      </x:c>
      <x:c r="H11" s="9" t="str">
        <x:f>IF(F11&gt;=E11,"PASS","FAIL")</x:f>
        <x:v>PASS</x:v>
      </x:c>
      <x:c r="I11" s="9" t="str">
        <x:v>public board</x:v>
      </x:c>
      <x:c r="J11" s="9" t="str">
        <x:v>public configuration</x:v>
      </x:c>
      <x:c r="K11" s="9" t="str">
        <x:v>design evidence only</x:v>
      </x:c>
    </x:row>
    <x:row r="12">
      <x:c r="B12" s="9" t="str">
        <x:v>G-06</x:v>
      </x:c>
      <x:c r="C12" s="9" t="str">
        <x:v>PLANNING</x:v>
      </x:c>
      <x:c r="D12" s="15" t="str">
        <x:v>operation predicate family 6</x:v>
      </x:c>
      <x:c r="E12" s="15" t="n">
        <x:v>1</x:v>
      </x:c>
      <x:c r="F12" s="9" t="n">
        <x:v>1</x:v>
      </x:c>
      <x:c r="G12" s="9" t="str">
        <x:v>design record</x:v>
      </x:c>
      <x:c r="H12" s="9" t="str">
        <x:f>IF(F12&gt;=E12,"PASS","FAIL")</x:f>
        <x:v>PASS</x:v>
      </x:c>
      <x:c r="I12" s="9" t="str">
        <x:v>public board</x:v>
      </x:c>
      <x:c r="J12" s="9" t="str">
        <x:v>public configuration</x:v>
      </x:c>
      <x:c r="K12" s="9" t="str">
        <x:v>design evidence only</x:v>
      </x:c>
    </x:row>
    <x:row r="13">
      <x:c r="B13" s="9" t="str">
        <x:v>G-07</x:v>
      </x:c>
      <x:c r="C13" s="9" t="str">
        <x:v>PLANNING</x:v>
      </x:c>
      <x:c r="D13" s="15" t="str">
        <x:v>operation predicate family 7</x:v>
      </x:c>
      <x:c r="E13" s="15" t="n">
        <x:v>1</x:v>
      </x:c>
      <x:c r="F13" s="9" t="n">
        <x:v>1</x:v>
      </x:c>
      <x:c r="G13" s="9" t="str">
        <x:v>design record</x:v>
      </x:c>
      <x:c r="H13" s="9" t="str">
        <x:f>IF(F13&gt;=E13,"PASS","FAIL")</x:f>
        <x:v>PASS</x:v>
      </x:c>
      <x:c r="I13" s="9" t="str">
        <x:v>public board</x:v>
      </x:c>
      <x:c r="J13" s="9" t="str">
        <x:v>public configuration</x:v>
      </x:c>
      <x:c r="K13" s="9" t="str">
        <x:v>design evidence only</x:v>
      </x:c>
    </x:row>
    <x:row r="14">
      <x:c r="B14" s="9" t="str">
        <x:v>G-08</x:v>
      </x:c>
      <x:c r="C14" s="9" t="str">
        <x:v>PLANNING</x:v>
      </x:c>
      <x:c r="D14" s="15" t="str">
        <x:v>operation predicate family 8</x:v>
      </x:c>
      <x:c r="E14" s="15" t="n">
        <x:v>1</x:v>
      </x:c>
      <x:c r="F14" s="9" t="n">
        <x:v>1</x:v>
      </x:c>
      <x:c r="G14" s="9" t="str">
        <x:v>design record</x:v>
      </x:c>
      <x:c r="H14" s="9" t="str">
        <x:f>IF(F14&gt;=E14,"PASS","FAIL")</x:f>
        <x:v>PASS</x:v>
      </x:c>
      <x:c r="I14" s="9" t="str">
        <x:v>public board</x:v>
      </x:c>
      <x:c r="J14" s="9" t="str">
        <x:v>public configuration</x:v>
      </x:c>
      <x:c r="K14" s="9" t="str">
        <x:v>design evidence only</x:v>
      </x:c>
    </x:row>
    <x:row r="15">
      <x:c r="B15" s="9" t="str">
        <x:v>G-09</x:v>
      </x:c>
      <x:c r="C15" s="9" t="str">
        <x:v>PLANNING</x:v>
      </x:c>
      <x:c r="D15" s="15" t="str">
        <x:v>hold-point family 1</x:v>
      </x:c>
      <x:c r="E15" s="15" t="n">
        <x:v>1</x:v>
      </x:c>
      <x:c r="F15" s="9" t="n">
        <x:v>1</x:v>
      </x:c>
      <x:c r="G15" s="9" t="str">
        <x:v>design record</x:v>
      </x:c>
      <x:c r="H15" s="9" t="str">
        <x:f>IF(F15&gt;=E15,"PASS","FAIL")</x:f>
        <x:v>PASS</x:v>
      </x:c>
      <x:c r="I15" s="9" t="str">
        <x:v>public board</x:v>
      </x:c>
      <x:c r="J15" s="9" t="str">
        <x:v>public configuration</x:v>
      </x:c>
      <x:c r="K15" s="9" t="str">
        <x:v>design evidence only</x:v>
      </x:c>
    </x:row>
    <x:row r="16">
      <x:c r="B16" s="9" t="str">
        <x:v>G-10</x:v>
      </x:c>
      <x:c r="C16" s="9" t="str">
        <x:v>PLANNING</x:v>
      </x:c>
      <x:c r="D16" s="15" t="str">
        <x:v>hold-point family 2</x:v>
      </x:c>
      <x:c r="E16" s="15" t="n">
        <x:v>1</x:v>
      </x:c>
      <x:c r="F16" s="9" t="n">
        <x:v>1</x:v>
      </x:c>
      <x:c r="G16" s="9" t="str">
        <x:v>design record</x:v>
      </x:c>
      <x:c r="H16" s="9" t="str">
        <x:f>IF(F16&gt;=E16,"PASS","FAIL")</x:f>
        <x:v>PASS</x:v>
      </x:c>
      <x:c r="I16" s="9" t="str">
        <x:v>public board</x:v>
      </x:c>
      <x:c r="J16" s="9" t="str">
        <x:v>public configuration</x:v>
      </x:c>
      <x:c r="K16" s="9" t="str">
        <x:v>design evidence only</x:v>
      </x:c>
    </x:row>
    <x:row r="17">
      <x:c r="B17" s="9" t="str">
        <x:v>G-11</x:v>
      </x:c>
      <x:c r="C17" s="9" t="str">
        <x:v>PLANNING</x:v>
      </x:c>
      <x:c r="D17" s="15" t="str">
        <x:v>hold-point family 3</x:v>
      </x:c>
      <x:c r="E17" s="15" t="n">
        <x:v>1</x:v>
      </x:c>
      <x:c r="F17" s="9" t="n">
        <x:v>1</x:v>
      </x:c>
      <x:c r="G17" s="9" t="str">
        <x:v>design record</x:v>
      </x:c>
      <x:c r="H17" s="9" t="str">
        <x:f>IF(F17&gt;=E17,"PASS","FAIL")</x:f>
        <x:v>PASS</x:v>
      </x:c>
      <x:c r="I17" s="9" t="str">
        <x:v>public board</x:v>
      </x:c>
      <x:c r="J17" s="9" t="str">
        <x:v>public configuration</x:v>
      </x:c>
      <x:c r="K17" s="9" t="str">
        <x:v>design evidence only</x:v>
      </x:c>
    </x:row>
    <x:row r="18">
      <x:c r="B18" s="9" t="str">
        <x:v>G-12</x:v>
      </x:c>
      <x:c r="C18" s="9" t="str">
        <x:v>PLANNING</x:v>
      </x:c>
      <x:c r="D18" s="15" t="str">
        <x:v>hold-point family 4</x:v>
      </x:c>
      <x:c r="E18" s="15" t="n">
        <x:v>1</x:v>
      </x:c>
      <x:c r="F18" s="9" t="n">
        <x:v>1</x:v>
      </x:c>
      <x:c r="G18" s="9" t="str">
        <x:v>design record</x:v>
      </x:c>
      <x:c r="H18" s="9" t="str">
        <x:f>IF(F18&gt;=E18,"PASS","FAIL")</x:f>
        <x:v>PASS</x:v>
      </x:c>
      <x:c r="I18" s="9" t="str">
        <x:v>public board</x:v>
      </x:c>
      <x:c r="J18" s="9" t="str">
        <x:v>public configuration</x:v>
      </x:c>
      <x:c r="K18" s="9" t="str">
        <x:v>design evidence only</x:v>
      </x:c>
    </x:row>
    <x:row r="19">
      <x:c r="B19" s="9" t="str">
        <x:v>G-13</x:v>
      </x:c>
      <x:c r="C19" s="9" t="str">
        <x:v>PLANNING</x:v>
      </x:c>
      <x:c r="D19" s="15" t="str">
        <x:v>hold-point family 5</x:v>
      </x:c>
      <x:c r="E19" s="15" t="n">
        <x:v>1</x:v>
      </x:c>
      <x:c r="F19" s="9" t="n">
        <x:v>1</x:v>
      </x:c>
      <x:c r="G19" s="9" t="str">
        <x:v>design record</x:v>
      </x:c>
      <x:c r="H19" s="9" t="str">
        <x:f>IF(F19&gt;=E19,"PASS","FAIL")</x:f>
        <x:v>PASS</x:v>
      </x:c>
      <x:c r="I19" s="9" t="str">
        <x:v>public board</x:v>
      </x:c>
      <x:c r="J19" s="9" t="str">
        <x:v>public configuration</x:v>
      </x:c>
      <x:c r="K19" s="9" t="str">
        <x:v>design evidence only</x:v>
      </x:c>
    </x:row>
    <x:row r="20">
      <x:c r="B20" s="9" t="str">
        <x:v>G-14</x:v>
      </x:c>
      <x:c r="C20" s="9" t="str">
        <x:v>PLANNING</x:v>
      </x:c>
      <x:c r="D20" s="15" t="str">
        <x:v>hold-point family 6</x:v>
      </x:c>
      <x:c r="E20" s="15" t="n">
        <x:v>1</x:v>
      </x:c>
      <x:c r="F20" s="9" t="n">
        <x:v>1</x:v>
      </x:c>
      <x:c r="G20" s="9" t="str">
        <x:v>design record</x:v>
      </x:c>
      <x:c r="H20" s="9" t="str">
        <x:f>IF(F20&gt;=E20,"PASS","FAIL")</x:f>
        <x:v>PASS</x:v>
      </x:c>
      <x:c r="I20" s="9" t="str">
        <x:v>public board</x:v>
      </x:c>
      <x:c r="J20" s="9" t="str">
        <x:v>public configuration</x:v>
      </x:c>
      <x:c r="K20" s="9" t="str">
        <x:v>design evidence only</x:v>
      </x:c>
    </x:row>
    <x:row r="21">
      <x:c r="B21" s="9" t="str">
        <x:v>G-15</x:v>
      </x:c>
      <x:c r="C21" s="9" t="str">
        <x:v>PLANNING</x:v>
      </x:c>
      <x:c r="D21" s="15" t="str">
        <x:v>hold-point family 7</x:v>
      </x:c>
      <x:c r="E21" s="15" t="n">
        <x:v>1</x:v>
      </x:c>
      <x:c r="F21" s="9" t="n">
        <x:v>1</x:v>
      </x:c>
      <x:c r="G21" s="9" t="str">
        <x:v>design record</x:v>
      </x:c>
      <x:c r="H21" s="9" t="str">
        <x:f>IF(F21&gt;=E21,"PASS","FAIL")</x:f>
        <x:v>PASS</x:v>
      </x:c>
      <x:c r="I21" s="9" t="str">
        <x:v>public board</x:v>
      </x:c>
      <x:c r="J21" s="9" t="str">
        <x:v>public configuration</x:v>
      </x:c>
      <x:c r="K21" s="9" t="str">
        <x:v>design evidence only</x:v>
      </x:c>
    </x:row>
    <x:row r="22">
      <x:c r="B22" s="9" t="str">
        <x:v>G-16</x:v>
      </x:c>
      <x:c r="C22" s="9" t="str">
        <x:v>PLANNING</x:v>
      </x:c>
      <x:c r="D22" s="15" t="str">
        <x:v>hold-point family 8</x:v>
      </x:c>
      <x:c r="E22" s="15" t="n">
        <x:v>1</x:v>
      </x:c>
      <x:c r="F22" s="9" t="n">
        <x:v>1</x:v>
      </x:c>
      <x:c r="G22" s="9" t="str">
        <x:v>design record</x:v>
      </x:c>
      <x:c r="H22" s="9" t="str">
        <x:f>IF(F22&gt;=E22,"PASS","FAIL")</x:f>
        <x:v>PASS</x:v>
      </x:c>
      <x:c r="I22" s="9" t="str">
        <x:v>public board</x:v>
      </x:c>
      <x:c r="J22" s="9" t="str">
        <x:v>public configuration</x:v>
      </x:c>
      <x:c r="K22" s="9" t="str">
        <x:v>design evidence only</x:v>
      </x:c>
    </x:row>
    <x:row r="23">
      <x:c r="B23" s="9" t="str">
        <x:v>G-17</x:v>
      </x:c>
      <x:c r="C23" s="9" t="str">
        <x:v>PLANNING</x:v>
      </x:c>
      <x:c r="D23" s="15" t="str">
        <x:v>hold-point family 9</x:v>
      </x:c>
      <x:c r="E23" s="15" t="n">
        <x:v>1</x:v>
      </x:c>
      <x:c r="F23" s="9" t="n">
        <x:v>1</x:v>
      </x:c>
      <x:c r="G23" s="9" t="str">
        <x:v>design record</x:v>
      </x:c>
      <x:c r="H23" s="9" t="str">
        <x:f>IF(F23&gt;=E23,"PASS","FAIL")</x:f>
        <x:v>PASS</x:v>
      </x:c>
      <x:c r="I23" s="9" t="str">
        <x:v>public board</x:v>
      </x:c>
      <x:c r="J23" s="9" t="str">
        <x:v>public configuration</x:v>
      </x:c>
      <x:c r="K23" s="9" t="str">
        <x:v>design evidence only</x:v>
      </x:c>
    </x:row>
    <x:row r="24">
      <x:c r="B24" s="9" t="str">
        <x:v>G-18</x:v>
      </x:c>
      <x:c r="C24" s="9" t="str">
        <x:v>PLANNING</x:v>
      </x:c>
      <x:c r="D24" s="15" t="str">
        <x:v>hold-point family 10</x:v>
      </x:c>
      <x:c r="E24" s="15" t="n">
        <x:v>1</x:v>
      </x:c>
      <x:c r="F24" s="9" t="n">
        <x:v>1</x:v>
      </x:c>
      <x:c r="G24" s="9" t="str">
        <x:v>design record</x:v>
      </x:c>
      <x:c r="H24" s="9" t="str">
        <x:f>IF(F24&gt;=E24,"PASS","FAIL")</x:f>
        <x:v>PASS</x:v>
      </x:c>
      <x:c r="I24" s="9" t="str">
        <x:v>public board</x:v>
      </x:c>
      <x:c r="J24" s="9" t="str">
        <x:v>public configuration</x:v>
      </x:c>
      <x:c r="K24" s="9" t="str">
        <x:v>design evidence only</x:v>
      </x:c>
    </x:row>
    <x:row r="25">
      <x:c r="B25" s="9" t="str">
        <x:v>G-19</x:v>
      </x:c>
      <x:c r="C25" s="9" t="str">
        <x:v>PLANNING</x:v>
      </x:c>
      <x:c r="D25" s="15" t="str">
        <x:v>hold-point family 11</x:v>
      </x:c>
      <x:c r="E25" s="15" t="n">
        <x:v>1</x:v>
      </x:c>
      <x:c r="F25" s="9" t="n">
        <x:v>1</x:v>
      </x:c>
      <x:c r="G25" s="9" t="str">
        <x:v>design record</x:v>
      </x:c>
      <x:c r="H25" s="9" t="str">
        <x:f>IF(F25&gt;=E25,"PASS","FAIL")</x:f>
        <x:v>PASS</x:v>
      </x:c>
      <x:c r="I25" s="9" t="str">
        <x:v>public board</x:v>
      </x:c>
      <x:c r="J25" s="9" t="str">
        <x:v>public configuration</x:v>
      </x:c>
      <x:c r="K25" s="9" t="str">
        <x:v>design evidence only</x:v>
      </x:c>
    </x:row>
    <x:row r="26">
      <x:c r="B26" s="9" t="str">
        <x:v>G-20</x:v>
      </x:c>
      <x:c r="C26" s="9" t="str">
        <x:v>PLANNING</x:v>
      </x:c>
      <x:c r="D26" s="15" t="str">
        <x:v>hold-point family 12</x:v>
      </x:c>
      <x:c r="E26" s="15" t="n">
        <x:v>1</x:v>
      </x:c>
      <x:c r="F26" s="9" t="n">
        <x:v>1</x:v>
      </x:c>
      <x:c r="G26" s="9" t="str">
        <x:v>design record</x:v>
      </x:c>
      <x:c r="H26" s="9" t="str">
        <x:f>IF(F26&gt;=E26,"PASS","FAIL")</x:f>
        <x:v>PASS</x:v>
      </x:c>
      <x:c r="I26" s="9" t="str">
        <x:v>public board</x:v>
      </x:c>
      <x:c r="J26" s="9" t="str">
        <x:v>public configuration</x:v>
      </x:c>
      <x:c r="K26" s="9" t="str">
        <x:v>design evidence only</x:v>
      </x:c>
    </x:row>
    <x:row r="27">
      <x:c r="B27" s="9" t="str">
        <x:v>G-21</x:v>
      </x:c>
      <x:c r="C27" s="9" t="str">
        <x:v>PLANNING</x:v>
      </x:c>
      <x:c r="D27" s="15" t="str">
        <x:v>hold-point family 13</x:v>
      </x:c>
      <x:c r="E27" s="15" t="n">
        <x:v>1</x:v>
      </x:c>
      <x:c r="F27" s="9" t="n">
        <x:v>1</x:v>
      </x:c>
      <x:c r="G27" s="9" t="str">
        <x:v>design record</x:v>
      </x:c>
      <x:c r="H27" s="9" t="str">
        <x:f>IF(F27&gt;=E27,"PASS","FAIL")</x:f>
        <x:v>PASS</x:v>
      </x:c>
      <x:c r="I27" s="9" t="str">
        <x:v>public board</x:v>
      </x:c>
      <x:c r="J27" s="9" t="str">
        <x:v>public configuration</x:v>
      </x:c>
      <x:c r="K27" s="9" t="str">
        <x:v>design evidence only</x:v>
      </x:c>
    </x:row>
    <x:row r="28">
      <x:c r="B28" s="9" t="str">
        <x:v>G-22</x:v>
      </x:c>
      <x:c r="C28" s="9" t="str">
        <x:v>PLANNING</x:v>
      </x:c>
      <x:c r="D28" s="15" t="str">
        <x:v>hold-point family 14</x:v>
      </x:c>
      <x:c r="E28" s="15" t="n">
        <x:v>1</x:v>
      </x:c>
      <x:c r="F28" s="9" t="n">
        <x:v>1</x:v>
      </x:c>
      <x:c r="G28" s="9" t="str">
        <x:v>design record</x:v>
      </x:c>
      <x:c r="H28" s="9" t="str">
        <x:f>IF(F28&gt;=E28,"PASS","FAIL")</x:f>
        <x:v>PASS</x:v>
      </x:c>
      <x:c r="I28" s="9" t="str">
        <x:v>public board</x:v>
      </x:c>
      <x:c r="J28" s="9" t="str">
        <x:v>public configuration</x:v>
      </x:c>
      <x:c r="K28" s="9" t="str">
        <x:v>design evidence only</x:v>
      </x:c>
    </x:row>
    <x:row r="29">
      <x:c r="B29" s="9" t="str">
        <x:v>G-23</x:v>
      </x:c>
      <x:c r="C29" s="9" t="str">
        <x:v>PLANNING</x:v>
      </x:c>
      <x:c r="D29" s="15" t="str">
        <x:v>material lot families and conserved split</x:v>
      </x:c>
      <x:c r="E29" s="15" t="n">
        <x:v>1</x:v>
      </x:c>
      <x:c r="F29" s="9" t="n">
        <x:v>1</x:v>
      </x:c>
      <x:c r="G29" s="9" t="str">
        <x:v>design record</x:v>
      </x:c>
      <x:c r="H29" s="9" t="str">
        <x:f>IF(F29&gt;=E29,"PASS","FAIL")</x:f>
        <x:v>PASS</x:v>
      </x:c>
      <x:c r="I29" s="9" t="str">
        <x:v>public board</x:v>
      </x:c>
      <x:c r="J29" s="9" t="str">
        <x:v>public configuration</x:v>
      </x:c>
      <x:c r="K29" s="9" t="str">
        <x:v>design evidence only</x:v>
      </x:c>
    </x:row>
    <x:row r="30">
      <x:c r="B30" s="9" t="str">
        <x:v>G-24</x:v>
      </x:c>
      <x:c r="C30" s="9" t="str">
        <x:v>PLANNING</x:v>
      </x:c>
      <x:c r="D30" s="15" t="str">
        <x:v>known-defect library and severity design</x:v>
      </x:c>
      <x:c r="E30" s="15" t="n">
        <x:v>1</x:v>
      </x:c>
      <x:c r="F30" s="9" t="n">
        <x:v>1</x:v>
      </x:c>
      <x:c r="G30" s="9" t="str">
        <x:v>design record</x:v>
      </x:c>
      <x:c r="H30" s="9" t="str">
        <x:f>IF(F30&gt;=E30,"PASS","FAIL")</x:f>
        <x:v>PASS</x:v>
      </x:c>
      <x:c r="I30" s="9" t="str">
        <x:v>public board</x:v>
      </x:c>
      <x:c r="J30" s="9" t="str">
        <x:v>public configuration</x:v>
      </x:c>
      <x:c r="K30" s="9" t="str">
        <x:v>design evidence only</x:v>
      </x:c>
    </x:row>
    <x:row r="31">
      <x:c r="B31" s="9" t="str">
        <x:v>G-25</x:v>
      </x:c>
      <x:c r="C31" s="9" t="str">
        <x:v>PLANNING</x:v>
      </x:c>
      <x:c r="D31" s="15" t="str">
        <x:v>full-scale subarticle definitions</x:v>
      </x:c>
      <x:c r="E31" s="15" t="n">
        <x:v>1</x:v>
      </x:c>
      <x:c r="F31" s="9" t="n">
        <x:v>1</x:v>
      </x:c>
      <x:c r="G31" s="9" t="str">
        <x:v>design record</x:v>
      </x:c>
      <x:c r="H31" s="9" t="str">
        <x:f>IF(F31&gt;=E31,"PASS","FAIL")</x:f>
        <x:v>PASS</x:v>
      </x:c>
      <x:c r="I31" s="9" t="str">
        <x:v>public board</x:v>
      </x:c>
      <x:c r="J31" s="9" t="str">
        <x:v>public configuration</x:v>
      </x:c>
      <x:c r="K31" s="9" t="str">
        <x:v>design evidence only</x:v>
      </x:c>
    </x:row>
    <x:row r="32">
      <x:c r="B32" s="9" t="str">
        <x:v>G-26</x:v>
      </x:c>
      <x:c r="C32" s="9" t="str">
        <x:v>PLANNING</x:v>
      </x:c>
      <x:c r="D32" s="15" t="str">
        <x:v>energy-ballast mass closure</x:v>
      </x:c>
      <x:c r="E32" s="15" t="n">
        <x:v>1</x:v>
      </x:c>
      <x:c r="F32" s="9" t="n">
        <x:v>1</x:v>
      </x:c>
      <x:c r="G32" s="9" t="str">
        <x:v>design record</x:v>
      </x:c>
      <x:c r="H32" s="9" t="str">
        <x:f>IF(F32&gt;=E32,"PASS","FAIL")</x:f>
        <x:v>PASS</x:v>
      </x:c>
      <x:c r="I32" s="9" t="str">
        <x:v>public board</x:v>
      </x:c>
      <x:c r="J32" s="9" t="str">
        <x:v>public configuration</x:v>
      </x:c>
      <x:c r="K32" s="9" t="str">
        <x:v>design evidence only</x:v>
      </x:c>
    </x:row>
    <x:row r="33">
      <x:c r="B33" s="9" t="str">
        <x:v>G-27</x:v>
      </x:c>
      <x:c r="C33" s="9" t="str">
        <x:v>PLANNING</x:v>
      </x:c>
      <x:c r="D33" s="15" t="str">
        <x:v>energy-ballast unlike containment</x:v>
      </x:c>
      <x:c r="E33" s="15" t="n">
        <x:v>1</x:v>
      </x:c>
      <x:c r="F33" s="9" t="n">
        <x:v>1</x:v>
      </x:c>
      <x:c r="G33" s="9" t="str">
        <x:v>design record</x:v>
      </x:c>
      <x:c r="H33" s="9" t="str">
        <x:f>IF(F33&gt;=E33,"PASS","FAIL")</x:f>
        <x:v>PASS</x:v>
      </x:c>
      <x:c r="I33" s="9" t="str">
        <x:v>public board</x:v>
      </x:c>
      <x:c r="J33" s="9" t="str">
        <x:v>public configuration</x:v>
      </x:c>
      <x:c r="K33" s="9" t="str">
        <x:v>design evidence only</x:v>
      </x:c>
    </x:row>
    <x:row r="34">
      <x:c r="B34" s="9" t="str">
        <x:v>G-28</x:v>
      </x:c>
      <x:c r="C34" s="9" t="str">
        <x:v>PLANNING</x:v>
      </x:c>
      <x:c r="D34" s="15" t="str">
        <x:v>process-window variables</x:v>
      </x:c>
      <x:c r="E34" s="15" t="n">
        <x:v>1</x:v>
      </x:c>
      <x:c r="F34" s="9" t="n">
        <x:v>1</x:v>
      </x:c>
      <x:c r="G34" s="9" t="str">
        <x:v>design record</x:v>
      </x:c>
      <x:c r="H34" s="9" t="str">
        <x:f>IF(F34&gt;=E34,"PASS","FAIL")</x:f>
        <x:v>PASS</x:v>
      </x:c>
      <x:c r="I34" s="9" t="str">
        <x:v>public board</x:v>
      </x:c>
      <x:c r="J34" s="9" t="str">
        <x:v>public configuration</x:v>
      </x:c>
      <x:c r="K34" s="9" t="str">
        <x:v>design evidence only</x:v>
      </x:c>
    </x:row>
    <x:row r="35">
      <x:c r="B35" s="9" t="str">
        <x:v>G-29</x:v>
      </x:c>
      <x:c r="C35" s="9" t="str">
        <x:v>PLANNING</x:v>
      </x:c>
      <x:c r="D35" s="15" t="str">
        <x:v>nonconformance branch law</x:v>
      </x:c>
      <x:c r="E35" s="15" t="n">
        <x:v>1</x:v>
      </x:c>
      <x:c r="F35" s="9" t="n">
        <x:v>1</x:v>
      </x:c>
      <x:c r="G35" s="9" t="str">
        <x:v>design record</x:v>
      </x:c>
      <x:c r="H35" s="9" t="str">
        <x:f>IF(F35&gt;=E35,"PASS","FAIL")</x:f>
        <x:v>PASS</x:v>
      </x:c>
      <x:c r="I35" s="9" t="str">
        <x:v>public board</x:v>
      </x:c>
      <x:c r="J35" s="9" t="str">
        <x:v>public configuration</x:v>
      </x:c>
      <x:c r="K35" s="9" t="str">
        <x:v>design evidence only</x:v>
      </x:c>
    </x:row>
    <x:row r="36">
      <x:c r="B36" s="9" t="str">
        <x:v>G-30</x:v>
      </x:c>
      <x:c r="C36" s="9" t="str">
        <x:v>PLANNING</x:v>
      </x:c>
      <x:c r="D36" s="15" t="str">
        <x:v>destructive cut order</x:v>
      </x:c>
      <x:c r="E36" s="15" t="n">
        <x:v>1</x:v>
      </x:c>
      <x:c r="F36" s="9" t="n">
        <x:v>1</x:v>
      </x:c>
      <x:c r="G36" s="9" t="str">
        <x:v>design record</x:v>
      </x:c>
      <x:c r="H36" s="9" t="str">
        <x:f>IF(F36&gt;=E36,"PASS","FAIL")</x:f>
        <x:v>PASS</x:v>
      </x:c>
      <x:c r="I36" s="9" t="str">
        <x:v>public board</x:v>
      </x:c>
      <x:c r="J36" s="9" t="str">
        <x:v>public configuration</x:v>
      </x:c>
      <x:c r="K36" s="9" t="str">
        <x:v>design evidence only</x:v>
      </x:c>
    </x:row>
    <x:row r="37">
      <x:c r="B37" s="9" t="str">
        <x:v>G-31</x:v>
      </x:c>
      <x:c r="C37" s="9" t="str">
        <x:v>PLANNING</x:v>
      </x:c>
      <x:c r="D37" s="15" t="str">
        <x:v>native event schema</x:v>
      </x:c>
      <x:c r="E37" s="15" t="n">
        <x:v>1</x:v>
      </x:c>
      <x:c r="F37" s="9" t="n">
        <x:v>1</x:v>
      </x:c>
      <x:c r="G37" s="9" t="str">
        <x:v>design record</x:v>
      </x:c>
      <x:c r="H37" s="9" t="str">
        <x:f>IF(F37&gt;=E37,"PASS","FAIL")</x:f>
        <x:v>PASS</x:v>
      </x:c>
      <x:c r="I37" s="9" t="str">
        <x:v>public board</x:v>
      </x:c>
      <x:c r="J37" s="9" t="str">
        <x:v>public configuration</x:v>
      </x:c>
      <x:c r="K37" s="9" t="str">
        <x:v>design evidence only</x:v>
      </x:c>
    </x:row>
    <x:row r="38">
      <x:c r="B38" s="9" t="str">
        <x:v>G-32</x:v>
      </x:c>
      <x:c r="C38" s="9" t="str">
        <x:v>PLANNING</x:v>
      </x:c>
      <x:c r="D38" s="15" t="str">
        <x:v>two-original custody</x:v>
      </x:c>
      <x:c r="E38" s="15" t="n">
        <x:v>1</x:v>
      </x:c>
      <x:c r="F38" s="9" t="n">
        <x:v>1</x:v>
      </x:c>
      <x:c r="G38" s="9" t="str">
        <x:v>design record</x:v>
      </x:c>
      <x:c r="H38" s="9" t="str">
        <x:f>IF(F38&gt;=E38,"PASS","FAIL")</x:f>
        <x:v>PASS</x:v>
      </x:c>
      <x:c r="I38" s="9" t="str">
        <x:v>public board</x:v>
      </x:c>
      <x:c r="J38" s="9" t="str">
        <x:v>public configuration</x:v>
      </x:c>
      <x:c r="K38" s="9" t="str">
        <x:v>design evidence only</x:v>
      </x:c>
    </x:row>
    <x:row r="39">
      <x:c r="B39" s="9" t="str">
        <x:v>G-33</x:v>
      </x:c>
      <x:c r="C39" s="9" t="str">
        <x:v>PLANNING</x:v>
      </x:c>
      <x:c r="D39" s="15" t="str">
        <x:v>independent reconstruction designs</x:v>
      </x:c>
      <x:c r="E39" s="15" t="n">
        <x:v>1</x:v>
      </x:c>
      <x:c r="F39" s="9" t="n">
        <x:v>1</x:v>
      </x:c>
      <x:c r="G39" s="9" t="str">
        <x:v>design record</x:v>
      </x:c>
      <x:c r="H39" s="9" t="str">
        <x:f>IF(F39&gt;=E39,"PASS","FAIL")</x:f>
        <x:v>PASS</x:v>
      </x:c>
      <x:c r="I39" s="9" t="str">
        <x:v>public board</x:v>
      </x:c>
      <x:c r="J39" s="9" t="str">
        <x:v>public configuration</x:v>
      </x:c>
      <x:c r="K39" s="9" t="str">
        <x:v>design evidence only</x:v>
      </x:c>
    </x:row>
    <x:row r="40">
      <x:c r="B40" s="9" t="str">
        <x:v>G-34</x:v>
      </x:c>
      <x:c r="C40" s="9" t="str">
        <x:v>PLANNING</x:v>
      </x:c>
      <x:c r="D40" s="15" t="str">
        <x:v>schedule closure</x:v>
      </x:c>
      <x:c r="E40" s="15" t="n">
        <x:v>1</x:v>
      </x:c>
      <x:c r="F40" s="9" t="n">
        <x:v>1</x:v>
      </x:c>
      <x:c r="G40" s="9" t="str">
        <x:v>design record</x:v>
      </x:c>
      <x:c r="H40" s="9" t="str">
        <x:f>IF(F40&gt;=E40,"PASS","FAIL")</x:f>
        <x:v>PASS</x:v>
      </x:c>
      <x:c r="I40" s="9" t="str">
        <x:v>public board</x:v>
      </x:c>
      <x:c r="J40" s="9" t="str">
        <x:v>public configuration</x:v>
      </x:c>
      <x:c r="K40" s="9" t="str">
        <x:v>design evidence only</x:v>
      </x:c>
    </x:row>
    <x:row r="41">
      <x:c r="B41" s="9" t="str">
        <x:v>G-35</x:v>
      </x:c>
      <x:c r="C41" s="9" t="str">
        <x:v>PLANNING</x:v>
      </x:c>
      <x:c r="D41" s="15" t="str">
        <x:v>workforce closure</x:v>
      </x:c>
      <x:c r="E41" s="15" t="n">
        <x:v>1</x:v>
      </x:c>
      <x:c r="F41" s="9" t="n">
        <x:v>1</x:v>
      </x:c>
      <x:c r="G41" s="9" t="str">
        <x:v>design record</x:v>
      </x:c>
      <x:c r="H41" s="9" t="str">
        <x:f>IF(F41&gt;=E41,"PASS","FAIL")</x:f>
        <x:v>PASS</x:v>
      </x:c>
      <x:c r="I41" s="9" t="str">
        <x:v>public board</x:v>
      </x:c>
      <x:c r="J41" s="9" t="str">
        <x:v>public configuration</x:v>
      </x:c>
      <x:c r="K41" s="9" t="str">
        <x:v>design evidence only</x:v>
      </x:c>
    </x:row>
    <x:row r="42">
      <x:c r="B42" s="9" t="str">
        <x:v>G-36</x:v>
      </x:c>
      <x:c r="C42" s="9" t="str">
        <x:v>PLANNING</x:v>
      </x:c>
      <x:c r="D42" s="15" t="str">
        <x:v>capital reconciliation</x:v>
      </x:c>
      <x:c r="E42" s="15" t="n">
        <x:v>1</x:v>
      </x:c>
      <x:c r="F42" s="9" t="n">
        <x:v>1</x:v>
      </x:c>
      <x:c r="G42" s="9" t="str">
        <x:v>design record</x:v>
      </x:c>
      <x:c r="H42" s="9" t="str">
        <x:f>IF(F42&gt;=E42,"PASS","FAIL")</x:f>
        <x:v>PASS</x:v>
      </x:c>
      <x:c r="I42" s="9" t="str">
        <x:v>public board</x:v>
      </x:c>
      <x:c r="J42" s="9" t="str">
        <x:v>public configuration</x:v>
      </x:c>
      <x:c r="K42" s="9" t="str">
        <x:v>design evidence only</x:v>
      </x:c>
    </x:row>
    <x:row r="43">
      <x:c r="B43" s="9" t="str">
        <x:v>G-37</x:v>
      </x:c>
      <x:c r="C43" s="9" t="str">
        <x:v>PLANNING</x:v>
      </x:c>
      <x:c r="D43" s="15" t="str">
        <x:v>annual reconciliation</x:v>
      </x:c>
      <x:c r="E43" s="15" t="n">
        <x:v>1</x:v>
      </x:c>
      <x:c r="F43" s="9" t="n">
        <x:v>1</x:v>
      </x:c>
      <x:c r="G43" s="9" t="str">
        <x:v>design record</x:v>
      </x:c>
      <x:c r="H43" s="9" t="str">
        <x:f>IF(F43&gt;=E43,"PASS","FAIL")</x:f>
        <x:v>PASS</x:v>
      </x:c>
      <x:c r="I43" s="9" t="str">
        <x:v>public board</x:v>
      </x:c>
      <x:c r="J43" s="9" t="str">
        <x:v>public configuration</x:v>
      </x:c>
      <x:c r="K43" s="9" t="str">
        <x:v>design evidence only</x:v>
      </x:c>
    </x:row>
    <x:row r="44">
      <x:c r="B44" s="9" t="str">
        <x:v>G-38</x:v>
      </x:c>
      <x:c r="C44" s="9" t="str">
        <x:v>PLANNING</x:v>
      </x:c>
      <x:c r="D44" s="15" t="str">
        <x:v>root independence question explicit</x:v>
      </x:c>
      <x:c r="E44" s="15" t="n">
        <x:v>1</x:v>
      </x:c>
      <x:c r="F44" s="9" t="n">
        <x:v>1</x:v>
      </x:c>
      <x:c r="G44" s="9" t="str">
        <x:v>design record</x:v>
      </x:c>
      <x:c r="H44" s="9" t="str">
        <x:f>IF(F44&gt;=E44,"PASS","FAIL")</x:f>
        <x:v>PASS</x:v>
      </x:c>
      <x:c r="I44" s="9" t="str">
        <x:v>public board</x:v>
      </x:c>
      <x:c r="J44" s="9" t="str">
        <x:v>public configuration</x:v>
      </x:c>
      <x:c r="K44" s="9" t="str">
        <x:v>design evidence only</x:v>
      </x:c>
    </x:row>
    <x:row r="45">
      <x:c r="B45" s="9" t="str">
        <x:v>G-39</x:v>
      </x:c>
      <x:c r="C45" s="9" t="str">
        <x:v>PLANNING</x:v>
      </x:c>
      <x:c r="D45" s="15" t="str">
        <x:v>statistical detection rule</x:v>
      </x:c>
      <x:c r="E45" s="15" t="n">
        <x:v>1</x:v>
      </x:c>
      <x:c r="F45" s="9" t="n">
        <x:v>1</x:v>
      </x:c>
      <x:c r="G45" s="9" t="str">
        <x:v>design record</x:v>
      </x:c>
      <x:c r="H45" s="9" t="str">
        <x:f>IF(F45&gt;=E45,"PASS","FAIL")</x:f>
        <x:v>PASS</x:v>
      </x:c>
      <x:c r="I45" s="9" t="str">
        <x:v>public board</x:v>
      </x:c>
      <x:c r="J45" s="9" t="str">
        <x:v>public configuration</x:v>
      </x:c>
      <x:c r="K45" s="9" t="str">
        <x:v>design evidence only</x:v>
      </x:c>
    </x:row>
    <x:row r="46">
      <x:c r="B46" s="9" t="str">
        <x:v>G-40</x:v>
      </x:c>
      <x:c r="C46" s="9" t="str">
        <x:v>PLANNING</x:v>
      </x:c>
      <x:c r="D46" s="15" t="str">
        <x:v>automatic-stop register</x:v>
      </x:c>
      <x:c r="E46" s="15" t="n">
        <x:v>1</x:v>
      </x:c>
      <x:c r="F46" s="9" t="n">
        <x:v>1</x:v>
      </x:c>
      <x:c r="G46" s="9" t="str">
        <x:v>design record</x:v>
      </x:c>
      <x:c r="H46" s="9" t="str">
        <x:f>IF(F46&gt;=E46,"PASS","FAIL")</x:f>
        <x:v>PASS</x:v>
      </x:c>
      <x:c r="I46" s="9" t="str">
        <x:v>public board</x:v>
      </x:c>
      <x:c r="J46" s="9" t="str">
        <x:v>public configuration</x:v>
      </x:c>
      <x:c r="K46" s="9" t="str">
        <x:v>design evidence only</x:v>
      </x:c>
    </x:row>
    <x:row r="47">
      <x:c r="B47" s="9" t="str">
        <x:v>G-41</x:v>
      </x:c>
      <x:c r="C47" s="9" t="str">
        <x:v>PLANNING</x:v>
      </x:c>
      <x:c r="D47" s="15" t="str">
        <x:v>sanitary cut custody</x:v>
      </x:c>
      <x:c r="E47" s="15" t="n">
        <x:v>1</x:v>
      </x:c>
      <x:c r="F47" s="9" t="n">
        <x:v>1</x:v>
      </x:c>
      <x:c r="G47" s="9" t="str">
        <x:v>design record</x:v>
      </x:c>
      <x:c r="H47" s="9" t="str">
        <x:f>IF(F47&gt;=E47,"PASS","FAIL")</x:f>
        <x:v>PASS</x:v>
      </x:c>
      <x:c r="I47" s="9" t="str">
        <x:v>public board</x:v>
      </x:c>
      <x:c r="J47" s="9" t="str">
        <x:v>public configuration</x:v>
      </x:c>
      <x:c r="K47" s="9" t="str">
        <x:v>design evidence only</x:v>
      </x:c>
    </x:row>
    <x:row r="48">
      <x:c r="B48" s="9" t="str">
        <x:v>G-42</x:v>
      </x:c>
      <x:c r="C48" s="9" t="str">
        <x:v>PLANNING</x:v>
      </x:c>
      <x:c r="D48" s="15" t="str">
        <x:v>electrical fault custody</x:v>
      </x:c>
      <x:c r="E48" s="15" t="n">
        <x:v>1</x:v>
      </x:c>
      <x:c r="F48" s="9" t="n">
        <x:v>1</x:v>
      </x:c>
      <x:c r="G48" s="9" t="str">
        <x:v>design record</x:v>
      </x:c>
      <x:c r="H48" s="9" t="str">
        <x:f>IF(F48&gt;=E48,"PASS","FAIL")</x:f>
        <x:v>PASS</x:v>
      </x:c>
      <x:c r="I48" s="9" t="str">
        <x:v>public board</x:v>
      </x:c>
      <x:c r="J48" s="9" t="str">
        <x:v>public configuration</x:v>
      </x:c>
      <x:c r="K48" s="9" t="str">
        <x:v>design evidence only</x:v>
      </x:c>
    </x:row>
    <x:row r="49">
      <x:c r="B49" s="9" t="str">
        <x:v>G-43</x:v>
      </x:c>
      <x:c r="C49" s="9" t="str">
        <x:v>PLANNING</x:v>
      </x:c>
      <x:c r="D49" s="15" t="str">
        <x:v>fuel-water incompatibility</x:v>
      </x:c>
      <x:c r="E49" s="15" t="n">
        <x:v>1</x:v>
      </x:c>
      <x:c r="F49" s="9" t="n">
        <x:v>1</x:v>
      </x:c>
      <x:c r="G49" s="9" t="str">
        <x:v>design record</x:v>
      </x:c>
      <x:c r="H49" s="9" t="str">
        <x:f>IF(F49&gt;=E49,"PASS","FAIL")</x:f>
        <x:v>PASS</x:v>
      </x:c>
      <x:c r="I49" s="9" t="str">
        <x:v>public board</x:v>
      </x:c>
      <x:c r="J49" s="9" t="str">
        <x:v>public configuration</x:v>
      </x:c>
      <x:c r="K49" s="9" t="str">
        <x:v>design evidence only</x:v>
      </x:c>
    </x:row>
    <x:row r="50">
      <x:c r="B50" s="9" t="str">
        <x:v>G-44</x:v>
      </x:c>
      <x:c r="C50" s="9" t="str">
        <x:v>PLANNING</x:v>
      </x:c>
      <x:c r="D50" s="15" t="str">
        <x:v>fixture boundary identification</x:v>
      </x:c>
      <x:c r="E50" s="15" t="n">
        <x:v>1</x:v>
      </x:c>
      <x:c r="F50" s="9" t="n">
        <x:v>1</x:v>
      </x:c>
      <x:c r="G50" s="9" t="str">
        <x:v>design record</x:v>
      </x:c>
      <x:c r="H50" s="9" t="str">
        <x:f>IF(F50&gt;=E50,"PASS","FAIL")</x:f>
        <x:v>PASS</x:v>
      </x:c>
      <x:c r="I50" s="9" t="str">
        <x:v>public board</x:v>
      </x:c>
      <x:c r="J50" s="9" t="str">
        <x:v>public configuration</x:v>
      </x:c>
      <x:c r="K50" s="9" t="str">
        <x:v>design evidence only</x:v>
      </x:c>
    </x:row>
    <x:row r="51">
      <x:c r="B51" s="9" t="str">
        <x:v>G-45</x:v>
      </x:c>
      <x:c r="C51" s="9" t="str">
        <x:v>PLANNING</x:v>
      </x:c>
      <x:c r="D51" s="15" t="str">
        <x:v>repair population rule</x:v>
      </x:c>
      <x:c r="E51" s="15" t="n">
        <x:v>1</x:v>
      </x:c>
      <x:c r="F51" s="9" t="n">
        <x:v>1</x:v>
      </x:c>
      <x:c r="G51" s="9" t="str">
        <x:v>design record</x:v>
      </x:c>
      <x:c r="H51" s="9" t="str">
        <x:f>IF(F51&gt;=E51,"PASS","FAIL")</x:f>
        <x:v>PASS</x:v>
      </x:c>
      <x:c r="I51" s="9" t="str">
        <x:v>public board</x:v>
      </x:c>
      <x:c r="J51" s="9" t="str">
        <x:v>public configuration</x:v>
      </x:c>
      <x:c r="K51" s="9" t="str">
        <x:v>design evidence only</x:v>
      </x:c>
    </x:row>
    <x:row r="52">
      <x:c r="B52" s="9" t="str">
        <x:v>G-46</x:v>
      </x:c>
      <x:c r="C52" s="9" t="str">
        <x:v>PLANNING</x:v>
      </x:c>
      <x:c r="D52" s="15" t="str">
        <x:v>public-readable data route</x:v>
      </x:c>
      <x:c r="E52" s="15" t="n">
        <x:v>1</x:v>
      </x:c>
      <x:c r="F52" s="9" t="n">
        <x:v>1</x:v>
      </x:c>
      <x:c r="G52" s="9" t="str">
        <x:v>design record</x:v>
      </x:c>
      <x:c r="H52" s="9" t="str">
        <x:f>IF(F52&gt;=E52,"PASS","FAIL")</x:f>
        <x:v>PASS</x:v>
      </x:c>
      <x:c r="I52" s="9" t="str">
        <x:v>public board</x:v>
      </x:c>
      <x:c r="J52" s="9" t="str">
        <x:v>public configuration</x:v>
      </x:c>
      <x:c r="K52" s="9" t="str">
        <x:v>design evidence only</x:v>
      </x:c>
    </x:row>
    <x:row r="53">
      <x:c r="B53" s="9" t="str">
        <x:v>G-47</x:v>
      </x:c>
      <x:c r="C53" s="9" t="str">
        <x:v>PLANNING</x:v>
      </x:c>
      <x:c r="D53" s="15" t="str">
        <x:v>no proprietary-only truth</x:v>
      </x:c>
      <x:c r="E53" s="15" t="n">
        <x:v>1</x:v>
      </x:c>
      <x:c r="F53" s="9" t="n">
        <x:v>1</x:v>
      </x:c>
      <x:c r="G53" s="9" t="str">
        <x:v>design record</x:v>
      </x:c>
      <x:c r="H53" s="9" t="str">
        <x:f>IF(F53&gt;=E53,"PASS","FAIL")</x:f>
        <x:v>PASS</x:v>
      </x:c>
      <x:c r="I53" s="9" t="str">
        <x:v>public board</x:v>
      </x:c>
      <x:c r="J53" s="9" t="str">
        <x:v>public configuration</x:v>
      </x:c>
      <x:c r="K53" s="9" t="str">
        <x:v>design evidence only</x:v>
      </x:c>
    </x:row>
    <x:row r="54">
      <x:c r="B54" s="9" t="str">
        <x:v>G-48</x:v>
      </x:c>
      <x:c r="C54" s="9" t="str">
        <x:v>PLANNING</x:v>
      </x:c>
      <x:c r="D54" s="15" t="str">
        <x:v>article transfer conditions</x:v>
      </x:c>
      <x:c r="E54" s="15" t="n">
        <x:v>1</x:v>
      </x:c>
      <x:c r="F54" s="9" t="n">
        <x:v>1</x:v>
      </x:c>
      <x:c r="G54" s="9" t="str">
        <x:v>design record</x:v>
      </x:c>
      <x:c r="H54" s="9" t="str">
        <x:f>IF(F54&gt;=E54,"PASS","FAIL")</x:f>
        <x:v>PASS</x:v>
      </x:c>
      <x:c r="I54" s="9" t="str">
        <x:v>public board</x:v>
      </x:c>
      <x:c r="J54" s="9" t="str">
        <x:v>public configuration</x:v>
      </x:c>
      <x:c r="K54" s="9" t="str">
        <x:v>design evidence only</x:v>
      </x:c>
    </x:row>
    <x:row r="55">
      <x:c r="B55" s="9" t="str">
        <x:v>G-49</x:v>
      </x:c>
      <x:c r="C55" s="9" t="str">
        <x:v>PHYSICAL</x:v>
      </x:c>
      <x:c r="D55" s="15" t="str">
        <x:v>Root A material source</x:v>
      </x:c>
      <x:c r="E55" s="15" t="n">
        <x:v>1</x:v>
      </x:c>
      <x:c r="F55" s="9" t="n">
        <x:f>'Controls'!$D$46/2</x:f>
        <x:v>0</x:v>
      </x:c>
      <x:c r="G55" s="9" t="str">
        <x:v>C40</x:v>
      </x:c>
      <x:c r="H55" s="9" t="str">
        <x:f>IF(F55&gt;=E55,"PASS","OPEN")</x:f>
        <x:v>OPEN</x:v>
      </x:c>
      <x:c r="I55" s="9" t="str">
        <x:v>independent authority</x:v>
      </x:c>
      <x:c r="J55" s="9" t="str">
        <x:v>source evidence</x:v>
      </x:c>
      <x:c r="K55" s="9" t="str">
        <x:v>zero until accepted</x:v>
      </x:c>
    </x:row>
    <x:row r="56">
      <x:c r="B56" s="9" t="str">
        <x:v>G-50</x:v>
      </x:c>
      <x:c r="C56" s="9" t="str">
        <x:v>PHYSICAL</x:v>
      </x:c>
      <x:c r="D56" s="15" t="str">
        <x:v>Root B material source</x:v>
      </x:c>
      <x:c r="E56" s="15" t="n">
        <x:v>1</x:v>
      </x:c>
      <x:c r="F56" s="9" t="n">
        <x:f>'Controls'!$D$46/2</x:f>
        <x:v>0</x:v>
      </x:c>
      <x:c r="G56" s="9" t="str">
        <x:v>C40</x:v>
      </x:c>
      <x:c r="H56" s="9" t="str">
        <x:f>IF(F56&gt;=E56,"PASS","OPEN")</x:f>
        <x:v>OPEN</x:v>
      </x:c>
      <x:c r="I56" s="9" t="str">
        <x:v>independent authority</x:v>
      </x:c>
      <x:c r="J56" s="9" t="str">
        <x:v>source evidence</x:v>
      </x:c>
      <x:c r="K56" s="9" t="str">
        <x:v>zero until accepted</x:v>
      </x:c>
    </x:row>
    <x:row r="57">
      <x:c r="B57" s="9" t="str">
        <x:v>G-51</x:v>
      </x:c>
      <x:c r="C57" s="9" t="str">
        <x:v>PHYSICAL</x:v>
      </x:c>
      <x:c r="D57" s="15" t="str">
        <x:v>Root A material split</x:v>
      </x:c>
      <x:c r="E57" s="15" t="n">
        <x:v>1</x:v>
      </x:c>
      <x:c r="F57" s="9" t="n">
        <x:f>'Controls'!$D$47/2</x:f>
        <x:v>0</x:v>
      </x:c>
      <x:c r="G57" s="9" t="str">
        <x:v>C41</x:v>
      </x:c>
      <x:c r="H57" s="9" t="str">
        <x:f>IF(F57&gt;=E57,"PASS","OPEN")</x:f>
        <x:v>OPEN</x:v>
      </x:c>
      <x:c r="I57" s="9" t="str">
        <x:v>independent authority</x:v>
      </x:c>
      <x:c r="J57" s="9" t="str">
        <x:v>source evidence</x:v>
      </x:c>
      <x:c r="K57" s="9" t="str">
        <x:v>zero until accepted</x:v>
      </x:c>
    </x:row>
    <x:row r="58">
      <x:c r="B58" s="9" t="str">
        <x:v>G-52</x:v>
      </x:c>
      <x:c r="C58" s="9" t="str">
        <x:v>PHYSICAL</x:v>
      </x:c>
      <x:c r="D58" s="15" t="str">
        <x:v>Root B material split</x:v>
      </x:c>
      <x:c r="E58" s="15" t="n">
        <x:v>1</x:v>
      </x:c>
      <x:c r="F58" s="9" t="n">
        <x:f>'Controls'!$D$47/2</x:f>
        <x:v>0</x:v>
      </x:c>
      <x:c r="G58" s="9" t="str">
        <x:v>C41</x:v>
      </x:c>
      <x:c r="H58" s="9" t="str">
        <x:f>IF(F58&gt;=E58,"PASS","OPEN")</x:f>
        <x:v>OPEN</x:v>
      </x:c>
      <x:c r="I58" s="9" t="str">
        <x:v>independent authority</x:v>
      </x:c>
      <x:c r="J58" s="9" t="str">
        <x:v>source evidence</x:v>
      </x:c>
      <x:c r="K58" s="9" t="str">
        <x:v>zero until accepted</x:v>
      </x:c>
    </x:row>
    <x:row r="59">
      <x:c r="B59" s="9" t="str">
        <x:v>G-53</x:v>
      </x:c>
      <x:c r="C59" s="9" t="str">
        <x:v>PHYSICAL</x:v>
      </x:c>
      <x:c r="D59" s="15" t="str">
        <x:v>Root A process qualification</x:v>
      </x:c>
      <x:c r="E59" s="15" t="n">
        <x:v>1</x:v>
      </x:c>
      <x:c r="F59" s="9" t="n">
        <x:f>'Controls'!$D$48/2</x:f>
        <x:v>0</x:v>
      </x:c>
      <x:c r="G59" s="9" t="str">
        <x:v>C42</x:v>
      </x:c>
      <x:c r="H59" s="9" t="str">
        <x:f>IF(F59&gt;=E59,"PASS","OPEN")</x:f>
        <x:v>OPEN</x:v>
      </x:c>
      <x:c r="I59" s="9" t="str">
        <x:v>independent authority</x:v>
      </x:c>
      <x:c r="J59" s="9" t="str">
        <x:v>source evidence</x:v>
      </x:c>
      <x:c r="K59" s="9" t="str">
        <x:v>zero until accepted</x:v>
      </x:c>
    </x:row>
    <x:row r="60">
      <x:c r="B60" s="9" t="str">
        <x:v>G-54</x:v>
      </x:c>
      <x:c r="C60" s="9" t="str">
        <x:v>PHYSICAL</x:v>
      </x:c>
      <x:c r="D60" s="15" t="str">
        <x:v>Root B process qualification</x:v>
      </x:c>
      <x:c r="E60" s="15" t="n">
        <x:v>1</x:v>
      </x:c>
      <x:c r="F60" s="9" t="n">
        <x:f>'Controls'!$D$48/2</x:f>
        <x:v>0</x:v>
      </x:c>
      <x:c r="G60" s="9" t="str">
        <x:v>C42</x:v>
      </x:c>
      <x:c r="H60" s="9" t="str">
        <x:f>IF(F60&gt;=E60,"PASS","OPEN")</x:f>
        <x:v>OPEN</x:v>
      </x:c>
      <x:c r="I60" s="9" t="str">
        <x:v>independent authority</x:v>
      </x:c>
      <x:c r="J60" s="9" t="str">
        <x:v>source evidence</x:v>
      </x:c>
      <x:c r="K60" s="9" t="str">
        <x:v>zero until accepted</x:v>
      </x:c>
    </x:row>
    <x:row r="61">
      <x:c r="B61" s="9" t="str">
        <x:v>G-55</x:v>
      </x:c>
      <x:c r="C61" s="9" t="str">
        <x:v>PHYSICAL</x:v>
      </x:c>
      <x:c r="D61" s="15" t="str">
        <x:v>Root A blinded defects</x:v>
      </x:c>
      <x:c r="E61" s="15" t="n">
        <x:v>1</x:v>
      </x:c>
      <x:c r="F61" s="9" t="n">
        <x:f>'Controls'!$D$49/2</x:f>
        <x:v>0</x:v>
      </x:c>
      <x:c r="G61" s="9" t="str">
        <x:v>C43</x:v>
      </x:c>
      <x:c r="H61" s="9" t="str">
        <x:f>IF(F61&gt;=E61,"PASS","OPEN")</x:f>
        <x:v>OPEN</x:v>
      </x:c>
      <x:c r="I61" s="9" t="str">
        <x:v>independent authority</x:v>
      </x:c>
      <x:c r="J61" s="9" t="str">
        <x:v>source evidence</x:v>
      </x:c>
      <x:c r="K61" s="9" t="str">
        <x:v>zero until accepted</x:v>
      </x:c>
    </x:row>
    <x:row r="62">
      <x:c r="B62" s="9" t="str">
        <x:v>G-56</x:v>
      </x:c>
      <x:c r="C62" s="9" t="str">
        <x:v>PHYSICAL</x:v>
      </x:c>
      <x:c r="D62" s="15" t="str">
        <x:v>Root B blinded defects</x:v>
      </x:c>
      <x:c r="E62" s="15" t="n">
        <x:v>1</x:v>
      </x:c>
      <x:c r="F62" s="9" t="n">
        <x:f>'Controls'!$D$49/2</x:f>
        <x:v>0</x:v>
      </x:c>
      <x:c r="G62" s="9" t="str">
        <x:v>C43</x:v>
      </x:c>
      <x:c r="H62" s="9" t="str">
        <x:f>IF(F62&gt;=E62,"PASS","OPEN")</x:f>
        <x:v>OPEN</x:v>
      </x:c>
      <x:c r="I62" s="9" t="str">
        <x:v>independent authority</x:v>
      </x:c>
      <x:c r="J62" s="9" t="str">
        <x:v>source evidence</x:v>
      </x:c>
      <x:c r="K62" s="9" t="str">
        <x:v>zero until accepted</x:v>
      </x:c>
    </x:row>
    <x:row r="63">
      <x:c r="B63" s="9" t="str">
        <x:v>G-57</x:v>
      </x:c>
      <x:c r="C63" s="9" t="str">
        <x:v>PHYSICAL</x:v>
      </x:c>
      <x:c r="D63" s="15" t="str">
        <x:v>Root A node</x:v>
      </x:c>
      <x:c r="E63" s="15" t="n">
        <x:v>1</x:v>
      </x:c>
      <x:c r="F63" s="9" t="n">
        <x:f>'Controls'!$D$50/2</x:f>
        <x:v>0</x:v>
      </x:c>
      <x:c r="G63" s="9" t="str">
        <x:v>C44</x:v>
      </x:c>
      <x:c r="H63" s="9" t="str">
        <x:f>IF(F63&gt;=E63,"PASS","OPEN")</x:f>
        <x:v>OPEN</x:v>
      </x:c>
      <x:c r="I63" s="9" t="str">
        <x:v>independent authority</x:v>
      </x:c>
      <x:c r="J63" s="9" t="str">
        <x:v>source evidence</x:v>
      </x:c>
      <x:c r="K63" s="9" t="str">
        <x:v>zero until accepted</x:v>
      </x:c>
    </x:row>
    <x:row r="64">
      <x:c r="B64" s="9" t="str">
        <x:v>G-58</x:v>
      </x:c>
      <x:c r="C64" s="9" t="str">
        <x:v>PHYSICAL</x:v>
      </x:c>
      <x:c r="D64" s="15" t="str">
        <x:v>Root B node</x:v>
      </x:c>
      <x:c r="E64" s="15" t="n">
        <x:v>1</x:v>
      </x:c>
      <x:c r="F64" s="9" t="n">
        <x:f>'Controls'!$D$50/2</x:f>
        <x:v>0</x:v>
      </x:c>
      <x:c r="G64" s="9" t="str">
        <x:v>C44</x:v>
      </x:c>
      <x:c r="H64" s="9" t="str">
        <x:f>IF(F64&gt;=E64,"PASS","OPEN")</x:f>
        <x:v>OPEN</x:v>
      </x:c>
      <x:c r="I64" s="9" t="str">
        <x:v>independent authority</x:v>
      </x:c>
      <x:c r="J64" s="9" t="str">
        <x:v>source evidence</x:v>
      </x:c>
      <x:c r="K64" s="9" t="str">
        <x:v>zero until accepted</x:v>
      </x:c>
    </x:row>
    <x:row r="65">
      <x:c r="B65" s="9" t="str">
        <x:v>G-59</x:v>
      </x:c>
      <x:c r="C65" s="9" t="str">
        <x:v>PHYSICAL</x:v>
      </x:c>
      <x:c r="D65" s="15" t="str">
        <x:v>Root A collar</x:v>
      </x:c>
      <x:c r="E65" s="15" t="n">
        <x:v>1</x:v>
      </x:c>
      <x:c r="F65" s="9" t="n">
        <x:f>'Controls'!$D$51/2</x:f>
        <x:v>0</x:v>
      </x:c>
      <x:c r="G65" s="9" t="str">
        <x:v>C45</x:v>
      </x:c>
      <x:c r="H65" s="9" t="str">
        <x:f>IF(F65&gt;=E65,"PASS","OPEN")</x:f>
        <x:v>OPEN</x:v>
      </x:c>
      <x:c r="I65" s="9" t="str">
        <x:v>independent authority</x:v>
      </x:c>
      <x:c r="J65" s="9" t="str">
        <x:v>source evidence</x:v>
      </x:c>
      <x:c r="K65" s="9" t="str">
        <x:v>zero until accepted</x:v>
      </x:c>
    </x:row>
    <x:row r="66">
      <x:c r="B66" s="9" t="str">
        <x:v>G-60</x:v>
      </x:c>
      <x:c r="C66" s="9" t="str">
        <x:v>PHYSICAL</x:v>
      </x:c>
      <x:c r="D66" s="15" t="str">
        <x:v>Root B collar</x:v>
      </x:c>
      <x:c r="E66" s="15" t="n">
        <x:v>1</x:v>
      </x:c>
      <x:c r="F66" s="9" t="n">
        <x:f>'Controls'!$D$51/2</x:f>
        <x:v>0</x:v>
      </x:c>
      <x:c r="G66" s="9" t="str">
        <x:v>C45</x:v>
      </x:c>
      <x:c r="H66" s="9" t="str">
        <x:f>IF(F66&gt;=E66,"PASS","OPEN")</x:f>
        <x:v>OPEN</x:v>
      </x:c>
      <x:c r="I66" s="9" t="str">
        <x:v>independent authority</x:v>
      </x:c>
      <x:c r="J66" s="9" t="str">
        <x:v>source evidence</x:v>
      </x:c>
      <x:c r="K66" s="9" t="str">
        <x:v>zero until accepted</x:v>
      </x:c>
    </x:row>
    <x:row r="67">
      <x:c r="B67" s="9" t="str">
        <x:v>G-61</x:v>
      </x:c>
      <x:c r="C67" s="9" t="str">
        <x:v>PHYSICAL</x:v>
      </x:c>
      <x:c r="D67" s="15" t="str">
        <x:v>Root A bus fault</x:v>
      </x:c>
      <x:c r="E67" s="15" t="n">
        <x:v>1</x:v>
      </x:c>
      <x:c r="F67" s="9" t="n">
        <x:f>'Controls'!$D$52/2</x:f>
        <x:v>0</x:v>
      </x:c>
      <x:c r="G67" s="9" t="str">
        <x:v>C46</x:v>
      </x:c>
      <x:c r="H67" s="9" t="str">
        <x:f>IF(F67&gt;=E67,"PASS","OPEN")</x:f>
        <x:v>OPEN</x:v>
      </x:c>
      <x:c r="I67" s="9" t="str">
        <x:v>independent authority</x:v>
      </x:c>
      <x:c r="J67" s="9" t="str">
        <x:v>source evidence</x:v>
      </x:c>
      <x:c r="K67" s="9" t="str">
        <x:v>zero until accepted</x:v>
      </x:c>
    </x:row>
    <x:row r="68">
      <x:c r="B68" s="9" t="str">
        <x:v>G-62</x:v>
      </x:c>
      <x:c r="C68" s="9" t="str">
        <x:v>PHYSICAL</x:v>
      </x:c>
      <x:c r="D68" s="15" t="str">
        <x:v>Root B bus fault</x:v>
      </x:c>
      <x:c r="E68" s="15" t="n">
        <x:v>1</x:v>
      </x:c>
      <x:c r="F68" s="9" t="n">
        <x:f>'Controls'!$D$52/2</x:f>
        <x:v>0</x:v>
      </x:c>
      <x:c r="G68" s="9" t="str">
        <x:v>C46</x:v>
      </x:c>
      <x:c r="H68" s="9" t="str">
        <x:f>IF(F68&gt;=E68,"PASS","OPEN")</x:f>
        <x:v>OPEN</x:v>
      </x:c>
      <x:c r="I68" s="9" t="str">
        <x:v>independent authority</x:v>
      </x:c>
      <x:c r="J68" s="9" t="str">
        <x:v>source evidence</x:v>
      </x:c>
      <x:c r="K68" s="9" t="str">
        <x:v>zero until accepted</x:v>
      </x:c>
    </x:row>
    <x:row r="69">
      <x:c r="B69" s="9" t="str">
        <x:v>G-63</x:v>
      </x:c>
      <x:c r="C69" s="9" t="str">
        <x:v>PHYSICAL</x:v>
      </x:c>
      <x:c r="D69" s="15" t="str">
        <x:v>Root A thermal</x:v>
      </x:c>
      <x:c r="E69" s="15" t="n">
        <x:v>1</x:v>
      </x:c>
      <x:c r="F69" s="9" t="n">
        <x:f>'Controls'!$D$53/2</x:f>
        <x:v>0</x:v>
      </x:c>
      <x:c r="G69" s="9" t="str">
        <x:v>C47</x:v>
      </x:c>
      <x:c r="H69" s="9" t="str">
        <x:f>IF(F69&gt;=E69,"PASS","OPEN")</x:f>
        <x:v>OPEN</x:v>
      </x:c>
      <x:c r="I69" s="9" t="str">
        <x:v>independent authority</x:v>
      </x:c>
      <x:c r="J69" s="9" t="str">
        <x:v>source evidence</x:v>
      </x:c>
      <x:c r="K69" s="9" t="str">
        <x:v>zero until accepted</x:v>
      </x:c>
    </x:row>
    <x:row r="70">
      <x:c r="B70" s="9" t="str">
        <x:v>G-64</x:v>
      </x:c>
      <x:c r="C70" s="9" t="str">
        <x:v>PHYSICAL</x:v>
      </x:c>
      <x:c r="D70" s="15" t="str">
        <x:v>Root B thermal</x:v>
      </x:c>
      <x:c r="E70" s="15" t="n">
        <x:v>1</x:v>
      </x:c>
      <x:c r="F70" s="9" t="n">
        <x:f>'Controls'!$D$53/2</x:f>
        <x:v>0</x:v>
      </x:c>
      <x:c r="G70" s="9" t="str">
        <x:v>C47</x:v>
      </x:c>
      <x:c r="H70" s="9" t="str">
        <x:f>IF(F70&gt;=E70,"PASS","OPEN")</x:f>
        <x:v>OPEN</x:v>
      </x:c>
      <x:c r="I70" s="9" t="str">
        <x:v>independent authority</x:v>
      </x:c>
      <x:c r="J70" s="9" t="str">
        <x:v>source evidence</x:v>
      </x:c>
      <x:c r="K70" s="9" t="str">
        <x:v>zero until accepted</x:v>
      </x:c>
    </x:row>
    <x:row r="71">
      <x:c r="B71" s="9" t="str">
        <x:v>G-65</x:v>
      </x:c>
      <x:c r="C71" s="9" t="str">
        <x:v>PHYSICAL</x:v>
      </x:c>
      <x:c r="D71" s="15" t="str">
        <x:v>Root A energy-ballast</x:v>
      </x:c>
      <x:c r="E71" s="15" t="n">
        <x:v>1</x:v>
      </x:c>
      <x:c r="F71" s="9" t="n">
        <x:f>'Controls'!$D$54/2</x:f>
        <x:v>0</x:v>
      </x:c>
      <x:c r="G71" s="9" t="str">
        <x:v>C48</x:v>
      </x:c>
      <x:c r="H71" s="9" t="str">
        <x:f>IF(F71&gt;=E71,"PASS","OPEN")</x:f>
        <x:v>OPEN</x:v>
      </x:c>
      <x:c r="I71" s="9" t="str">
        <x:v>independent authority</x:v>
      </x:c>
      <x:c r="J71" s="9" t="str">
        <x:v>source evidence</x:v>
      </x:c>
      <x:c r="K71" s="9" t="str">
        <x:v>zero until accepted</x:v>
      </x:c>
    </x:row>
    <x:row r="72">
      <x:c r="B72" s="9" t="str">
        <x:v>G-66</x:v>
      </x:c>
      <x:c r="C72" s="9" t="str">
        <x:v>PHYSICAL</x:v>
      </x:c>
      <x:c r="D72" s="15" t="str">
        <x:v>Root B energy-ballast</x:v>
      </x:c>
      <x:c r="E72" s="15" t="n">
        <x:v>1</x:v>
      </x:c>
      <x:c r="F72" s="9" t="n">
        <x:f>'Controls'!$D$54/2</x:f>
        <x:v>0</x:v>
      </x:c>
      <x:c r="G72" s="9" t="str">
        <x:v>C48</x:v>
      </x:c>
      <x:c r="H72" s="9" t="str">
        <x:f>IF(F72&gt;=E72,"PASS","OPEN")</x:f>
        <x:v>OPEN</x:v>
      </x:c>
      <x:c r="I72" s="9" t="str">
        <x:v>independent authority</x:v>
      </x:c>
      <x:c r="J72" s="9" t="str">
        <x:v>source evidence</x:v>
      </x:c>
      <x:c r="K72" s="9" t="str">
        <x:v>zero until accepted</x:v>
      </x:c>
    </x:row>
    <x:row r="73">
      <x:c r="B73" s="9" t="str">
        <x:v>G-67</x:v>
      </x:c>
      <x:c r="C73" s="9" t="str">
        <x:v>PHYSICAL</x:v>
      </x:c>
      <x:c r="D73" s="15" t="str">
        <x:v>Root A reconstruction</x:v>
      </x:c>
      <x:c r="E73" s="15" t="n">
        <x:v>1</x:v>
      </x:c>
      <x:c r="F73" s="9" t="n">
        <x:f>'Controls'!$D$55/2</x:f>
        <x:v>0</x:v>
      </x:c>
      <x:c r="G73" s="9" t="str">
        <x:v>C49</x:v>
      </x:c>
      <x:c r="H73" s="9" t="str">
        <x:f>IF(F73&gt;=E73,"PASS","OPEN")</x:f>
        <x:v>OPEN</x:v>
      </x:c>
      <x:c r="I73" s="9" t="str">
        <x:v>independent authority</x:v>
      </x:c>
      <x:c r="J73" s="9" t="str">
        <x:v>source evidence</x:v>
      </x:c>
      <x:c r="K73" s="9" t="str">
        <x:v>zero until accepted</x:v>
      </x:c>
    </x:row>
    <x:row r="74">
      <x:c r="B74" s="9" t="str">
        <x:v>G-68</x:v>
      </x:c>
      <x:c r="C74" s="9" t="str">
        <x:v>PHYSICAL</x:v>
      </x:c>
      <x:c r="D74" s="15" t="str">
        <x:v>Root B reconstruction</x:v>
      </x:c>
      <x:c r="E74" s="15" t="n">
        <x:v>1</x:v>
      </x:c>
      <x:c r="F74" s="9" t="n">
        <x:f>'Controls'!$D$55/2</x:f>
        <x:v>0</x:v>
      </x:c>
      <x:c r="G74" s="9" t="str">
        <x:v>C49</x:v>
      </x:c>
      <x:c r="H74" s="9" t="str">
        <x:f>IF(F74&gt;=E74,"PASS","OPEN")</x:f>
        <x:v>OPEN</x:v>
      </x:c>
      <x:c r="I74" s="9" t="str">
        <x:v>independent authority</x:v>
      </x:c>
      <x:c r="J74" s="9" t="str">
        <x:v>source evidence</x:v>
      </x:c>
      <x:c r="K74" s="9" t="str">
        <x:v>zero until accepted</x:v>
      </x:c>
    </x:row>
    <x:row r="75">
      <x:c r="B75" s="9" t="str">
        <x:v>G-69</x:v>
      </x:c>
      <x:c r="C75" s="9" t="str">
        <x:v>DOWNSTREAM</x:v>
      </x:c>
      <x:c r="D75" s="15" t="str">
        <x:v>root construction releases</x:v>
      </x:c>
      <x:c r="E75" s="15" t="n">
        <x:v>1</x:v>
      </x:c>
      <x:c r="F75" s="9" t="n">
        <x:f>'Controls'!$D$56</x:f>
        <x:v>0</x:v>
      </x:c>
      <x:c r="G75" s="9" t="str">
        <x:v>C50</x:v>
      </x:c>
      <x:c r="H75" s="9" t="str">
        <x:f>IF(F75&gt;=E75,"PASS","BLOCKED")</x:f>
        <x:v>BLOCKED</x:v>
      </x:c>
      <x:c r="I75" s="9" t="str">
        <x:v>production/public board</x:v>
      </x:c>
      <x:c r="J75" s="9" t="str">
        <x:v>downstream decision</x:v>
      </x:c>
      <x:c r="K75" s="9" t="str">
        <x:v>not authorized</x:v>
      </x:c>
    </x:row>
    <x:row r="76">
      <x:c r="B76" s="9" t="str">
        <x:v>G-70</x:v>
      </x:c>
      <x:c r="C76" s="9" t="str">
        <x:v>DOWNSTREAM</x:v>
      </x:c>
      <x:c r="D76" s="15" t="str">
        <x:v>article acceptance</x:v>
      </x:c>
      <x:c r="E76" s="15" t="n">
        <x:v>1</x:v>
      </x:c>
      <x:c r="F76" s="9" t="n">
        <x:f>'Controls'!$D$57</x:f>
        <x:v>0</x:v>
      </x:c>
      <x:c r="G76" s="9" t="str">
        <x:v>C51</x:v>
      </x:c>
      <x:c r="H76" s="9" t="str">
        <x:f>IF(F76&gt;=E76,"PASS","BLOCKED")</x:f>
        <x:v>BLOCKED</x:v>
      </x:c>
      <x:c r="I76" s="9" t="str">
        <x:v>production/public board</x:v>
      </x:c>
      <x:c r="J76" s="9" t="str">
        <x:v>downstream decision</x:v>
      </x:c>
      <x:c r="K76" s="9" t="str">
        <x:v>not authorized</x:v>
      </x:c>
    </x:row>
    <x:row r="77">
      <x:c r="B77" s="9" t="str">
        <x:v>G-71</x:v>
      </x:c>
      <x:c r="C77" s="9" t="str">
        <x:v>DOWNSTREAM</x:v>
      </x:c>
      <x:c r="D77" s="15" t="str">
        <x:v>CRC-E01 admission</x:v>
      </x:c>
      <x:c r="E77" s="15" t="n">
        <x:v>1</x:v>
      </x:c>
      <x:c r="F77" s="9" t="n">
        <x:f>'Controls'!$D$58</x:f>
        <x:v>0</x:v>
      </x:c>
      <x:c r="G77" s="9" t="str">
        <x:v>C52</x:v>
      </x:c>
      <x:c r="H77" s="9" t="str">
        <x:f>IF(F77&gt;=E77,"PASS","BLOCKED")</x:f>
        <x:v>BLOCKED</x:v>
      </x:c>
      <x:c r="I77" s="9" t="str">
        <x:v>production/public board</x:v>
      </x:c>
      <x:c r="J77" s="9" t="str">
        <x:v>downstream decision</x:v>
      </x:c>
      <x:c r="K77" s="9" t="str">
        <x:v>not authorized</x:v>
      </x:c>
    </x:row>
    <x:row r="78">
      <x:c r="B78" s="10" t="str">
        <x:v>G-72</x:v>
      </x:c>
      <x:c r="C78" s="10" t="str">
        <x:v>DOWNSTREAM</x:v>
      </x:c>
      <x:c r="D78" s="16" t="str">
        <x:v>production and exterior rendering</x:v>
      </x:c>
      <x:c r="E78" s="16" t="n">
        <x:v>1</x:v>
      </x:c>
      <x:c r="F78" s="10" t="n">
        <x:f>'Controls'!$D$59</x:f>
        <x:v>0</x:v>
      </x:c>
      <x:c r="G78" s="10" t="str">
        <x:v>C53</x:v>
      </x:c>
      <x:c r="H78" s="10" t="str">
        <x:f>IF(F78&gt;=E78,"PASS","BLOCKED")</x:f>
        <x:v>BLOCKED</x:v>
      </x:c>
      <x:c r="I78" s="10" t="str">
        <x:v>production/public board</x:v>
      </x:c>
      <x:c r="J78" s="10" t="str">
        <x:v>downstream decision</x:v>
      </x:c>
      <x:c r="K78" s="10" t="str">
        <x:v>not authorized</x:v>
      </x:c>
    </x:row>
  </x:sheetData>
  <x:mergeCells>
    <x:mergeCell ref="B2:K2"/>
    <x:mergeCell ref="B3:K3"/>
  </x:mergeCells>
  <x:conditionalFormatting sqref="H7:H78">
    <x:cfRule type="containsText" dxfId="234" priority="1" operator="containsText" text="PASS"/>
    <x:cfRule type="containsText" dxfId="235" priority="2" operator="containsText" text="AUTHORIZED"/>
    <x:cfRule type="containsText" dxfId="236" priority="3" operator="containsText" text="DEFINED"/>
    <x:cfRule type="containsText" dxfId="237" priority="4" operator="containsText" text="READY"/>
    <x:cfRule type="containsText" dxfId="238" priority="5" operator="containsText" text="HOLD"/>
    <x:cfRule type="containsText" dxfId="239" priority="6" operator="containsText" text="OPEN"/>
    <x:cfRule type="containsText" dxfId="240" priority="7" operator="containsText" text="BLOCKED"/>
    <x:cfRule type="containsText" dxfId="241" priority="8" operator="containsText" text="PLANNING"/>
    <x:cfRule type="containsText" dxfId="242" priority="9" operator="containsText" text="QUARANTINE"/>
    <x:cfRule type="containsText" dxfId="243" priority="10" operator="containsText" text="FAIL"/>
    <x:cfRule type="containsText" dxfId="244" priority="11" operator="containsText" text="REJECT"/>
    <x:cfRule type="containsText" dxfId="245" priority="12" operator="containsText" text="INCOMPLETE"/>
    <x:cfRule type="containsText" dxfId="246" priority="13" operator="containsText" text="STOP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6" hidden="0" customWidth="1"/>
    <x:col min="4" max="4" width="38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26" hidden="0" customWidth="1"/>
  </x:cols>
  <x:sheetData>
    <x:row r="2">
      <x:c r="B2" s="37" t="str">
        <x:v>Terminal audit</x:v>
      </x:c>
      <x:c r="C2" s="9"/>
      <x:c r="D2" s="9"/>
      <x:c r="E2" s="9"/>
      <x:c r="F2" s="9"/>
      <x:c r="G2" s="9"/>
      <x:c r="H2" s="9"/>
      <x:c r="I2" s="9"/>
    </x:row>
    <x:row r="3">
      <x:c r="B3" s="38" t="str">
        <x:v>Independent checks only; no summary, gate or calculation depends on this sheet.</x:v>
      </x:c>
      <x:c r="C3" s="9"/>
      <x:c r="D3" s="9"/>
      <x:c r="E3" s="9"/>
      <x:c r="F3" s="9"/>
      <x:c r="G3" s="9"/>
      <x:c r="H3" s="9"/>
      <x:c r="I3" s="9"/>
    </x:row>
    <x:row r="4">
      <x:c r="B4" s="39"/>
      <x:c r="C4" s="39"/>
      <x:c r="D4" s="39"/>
      <x:c r="E4" s="39"/>
      <x:c r="F4" s="39"/>
      <x:c r="G4" s="39"/>
      <x:c r="H4" s="39"/>
      <x:c r="I4" s="39"/>
    </x:row>
    <x:row r="5">
      <x:c r="B5" s="9"/>
      <x:c r="C5" s="9"/>
      <x:c r="D5" s="9"/>
      <x:c r="E5" s="9"/>
      <x:c r="F5" s="9"/>
      <x:c r="G5" s="9"/>
      <x:c r="H5" s="9"/>
      <x:c r="I5" s="9"/>
    </x:row>
    <x:row r="6">
      <x:c r="B6" s="7" t="str">
        <x:v>Audit</x:v>
      </x:c>
      <x:c r="C6" s="7" t="str">
        <x:v>Domain</x:v>
      </x:c>
      <x:c r="D6" s="7" t="str">
        <x:v>Question</x:v>
      </x:c>
      <x:c r="E6" s="7" t="str">
        <x:v>Observed</x:v>
      </x:c>
      <x:c r="F6" s="7" t="str">
        <x:v>Required</x:v>
      </x:c>
      <x:c r="G6" s="7" t="str">
        <x:v>Difference</x:v>
      </x:c>
      <x:c r="H6" s="7" t="str">
        <x:v>Status</x:v>
      </x:c>
      <x:c r="I6" s="7" t="str">
        <x:v>Trace</x:v>
      </x:c>
    </x:row>
    <x:row r="7">
      <x:c r="B7" s="9" t="str">
        <x:v>AU-001</x:v>
      </x:c>
      <x:c r="C7" s="9" t="str">
        <x:v>scope</x:v>
      </x:c>
      <x:c r="D7" s="9" t="str">
        <x:v>operation count</x:v>
      </x:c>
      <x:c r="E7" s="15" t="n">
        <x:f>COUNTA('Operation Registry'!C7:C50)</x:f>
        <x:v>44</x:v>
      </x:c>
      <x:c r="F7" s="15" t="n">
        <x:f>'Controls'!$D$7</x:f>
        <x:v>44</x:v>
      </x:c>
      <x:c r="G7" s="15" t="n">
        <x:f>E7-F7</x:f>
        <x:v>0</x:v>
      </x:c>
      <x:c r="H7" s="9" t="str">
        <x:f>IF(ABS(G7)&lt;0.000001,"PASS","FAIL")</x:f>
        <x:v>PASS</x:v>
      </x:c>
      <x:c r="I7" s="9" t="str">
        <x:v>registry</x:v>
      </x:c>
    </x:row>
    <x:row r="8">
      <x:c r="B8" s="9" t="str">
        <x:v>AU-002</x:v>
      </x:c>
      <x:c r="C8" s="9" t="str">
        <x:v>scope</x:v>
      </x:c>
      <x:c r="D8" s="9" t="str">
        <x:v>hold count</x:v>
      </x:c>
      <x:c r="E8" s="15" t="n">
        <x:f>COUNTA('Hold Points'!B7:B34)</x:f>
        <x:v>28</x:v>
      </x:c>
      <x:c r="F8" s="15" t="n">
        <x:f>'Controls'!$D$8</x:f>
        <x:v>28</x:v>
      </x:c>
      <x:c r="G8" s="15" t="n">
        <x:f>E8-F8</x:f>
        <x:v>0</x:v>
      </x:c>
      <x:c r="H8" s="9" t="str">
        <x:f>IF(ABS(G8)&lt;0.000001,"PASS","FAIL")</x:f>
        <x:v>PASS</x:v>
      </x:c>
      <x:c r="I8" s="9" t="str">
        <x:v>hold register</x:v>
      </x:c>
    </x:row>
    <x:row r="9">
      <x:c r="B9" s="9" t="str">
        <x:v>AU-003</x:v>
      </x:c>
      <x:c r="C9" s="9" t="str">
        <x:v>scope</x:v>
      </x:c>
      <x:c r="D9" s="9" t="str">
        <x:v>material count</x:v>
      </x:c>
      <x:c r="E9" s="15" t="n">
        <x:f>COUNTA('Material Split'!B7:B38)</x:f>
        <x:v>32</x:v>
      </x:c>
      <x:c r="F9" s="15" t="n">
        <x:f>'Controls'!$D$9</x:f>
        <x:v>32</x:v>
      </x:c>
      <x:c r="G9" s="15" t="n">
        <x:f>E9-F9</x:f>
        <x:v>0</x:v>
      </x:c>
      <x:c r="H9" s="9" t="str">
        <x:f>IF(ABS(G9)&lt;0.000001,"PASS","FAIL")</x:f>
        <x:v>PASS</x:v>
      </x:c>
      <x:c r="I9" s="9" t="str">
        <x:v>lot register</x:v>
      </x:c>
    </x:row>
    <x:row r="10">
      <x:c r="B10" s="9" t="str">
        <x:v>AU-004</x:v>
      </x:c>
      <x:c r="C10" s="9" t="str">
        <x:v>scope</x:v>
      </x:c>
      <x:c r="D10" s="9" t="str">
        <x:v>defect count</x:v>
      </x:c>
      <x:c r="E10" s="15" t="n">
        <x:f>COUNTA('Known Defects'!B7:B78)</x:f>
        <x:v>72</x:v>
      </x:c>
      <x:c r="F10" s="15" t="n">
        <x:f>'Controls'!$D$10</x:f>
        <x:v>72</x:v>
      </x:c>
      <x:c r="G10" s="15" t="n">
        <x:f>E10-F10</x:f>
        <x:v>0</x:v>
      </x:c>
      <x:c r="H10" s="9" t="str">
        <x:f>IF(ABS(G10)&lt;0.000001,"PASS","FAIL")</x:f>
        <x:v>PASS</x:v>
      </x:c>
      <x:c r="I10" s="9" t="str">
        <x:v>standard register</x:v>
      </x:c>
    </x:row>
    <x:row r="11">
      <x:c r="B11" s="9" t="str">
        <x:v>AU-005</x:v>
      </x:c>
      <x:c r="C11" s="9" t="str">
        <x:v>scope</x:v>
      </x:c>
      <x:c r="D11" s="9" t="str">
        <x:v>subarticle count</x:v>
      </x:c>
      <x:c r="E11" s="15" t="n">
        <x:f>COUNTA(Subarticles!B7:B18)</x:f>
        <x:v>12</x:v>
      </x:c>
      <x:c r="F11" s="15" t="n">
        <x:f>'Controls'!$D$11</x:f>
        <x:v>12</x:v>
      </x:c>
      <x:c r="G11" s="15" t="n">
        <x:f>E11-F11</x:f>
        <x:v>0</x:v>
      </x:c>
      <x:c r="H11" s="9" t="str">
        <x:f>IF(ABS(G11)&lt;0.000001,"PASS","FAIL")</x:f>
        <x:v>PASS</x:v>
      </x:c>
      <x:c r="I11" s="9" t="str">
        <x:v>subarticle register</x:v>
      </x:c>
    </x:row>
    <x:row r="12">
      <x:c r="B12" s="9" t="str">
        <x:v>AU-006</x:v>
      </x:c>
      <x:c r="C12" s="9" t="str">
        <x:v>scope</x:v>
      </x:c>
      <x:c r="D12" s="9" t="str">
        <x:v>cassette count</x:v>
      </x:c>
      <x:c r="E12" s="15" t="n">
        <x:f>COUNTA('Energy Ballast'!B7:B14)</x:f>
        <x:v>8</x:v>
      </x:c>
      <x:c r="F12" s="15" t="n">
        <x:f>'Controls'!$D$12</x:f>
        <x:v>8</x:v>
      </x:c>
      <x:c r="G12" s="15" t="n">
        <x:f>E12-F12</x:f>
        <x:v>0</x:v>
      </x:c>
      <x:c r="H12" s="9" t="str">
        <x:f>IF(ABS(G12)&lt;0.000001,"PASS","FAIL")</x:f>
        <x:v>PASS</x:v>
      </x:c>
      <x:c r="I12" s="9" t="str">
        <x:v>cassette register</x:v>
      </x:c>
    </x:row>
    <x:row r="13">
      <x:c r="B13" s="9" t="str">
        <x:v>AU-007</x:v>
      </x:c>
      <x:c r="C13" s="9" t="str">
        <x:v>scope</x:v>
      </x:c>
      <x:c r="D13" s="9" t="str">
        <x:v>schema field count</x:v>
      </x:c>
      <x:c r="E13" s="15" t="n">
        <x:f>COUNTA('Evidence Schema'!B7:B42)</x:f>
        <x:v>36</x:v>
      </x:c>
      <x:c r="F13" s="15" t="n">
        <x:f>'Controls'!$D$13</x:f>
        <x:v>36</x:v>
      </x:c>
      <x:c r="G13" s="15" t="n">
        <x:f>E13-F13</x:f>
        <x:v>0</x:v>
      </x:c>
      <x:c r="H13" s="9" t="str">
        <x:f>IF(ABS(G13)&lt;0.000001,"PASS","FAIL")</x:f>
        <x:v>PASS</x:v>
      </x:c>
      <x:c r="I13" s="9" t="str">
        <x:v>schema</x:v>
      </x:c>
    </x:row>
    <x:row r="14">
      <x:c r="B14" s="9" t="str">
        <x:v>AU-008</x:v>
      </x:c>
      <x:c r="C14" s="9" t="str">
        <x:v>scope</x:v>
      </x:c>
      <x:c r="D14" s="9" t="str">
        <x:v>reconstruction count</x:v>
      </x:c>
      <x:c r="E14" s="15" t="n">
        <x:f>COUNTA(Reconstruction!B7:B18)</x:f>
        <x:v>12</x:v>
      </x:c>
      <x:c r="F14" s="15" t="n">
        <x:f>'Controls'!$D$14</x:f>
        <x:v>12</x:v>
      </x:c>
      <x:c r="G14" s="15" t="n">
        <x:f>E14-F14</x:f>
        <x:v>0</x:v>
      </x:c>
      <x:c r="H14" s="9" t="str">
        <x:f>IF(ABS(G14)&lt;0.000001,"PASS","FAIL")</x:f>
        <x:v>PASS</x:v>
      </x:c>
      <x:c r="I14" s="9" t="str">
        <x:v>reconstruction</x:v>
      </x:c>
    </x:row>
    <x:row r="15">
      <x:c r="B15" s="9" t="str">
        <x:v>AU-009</x:v>
      </x:c>
      <x:c r="C15" s="9" t="str">
        <x:v>scope</x:v>
      </x:c>
      <x:c r="D15" s="9" t="str">
        <x:v>cut count</x:v>
      </x:c>
      <x:c r="E15" s="15" t="n">
        <x:f>COUNTA('Destructive Cuts'!B7:B66)</x:f>
        <x:v>60</x:v>
      </x:c>
      <x:c r="F15" s="15" t="n">
        <x:f>'Controls'!$D$15</x:f>
        <x:v>60</x:v>
      </x:c>
      <x:c r="G15" s="15" t="n">
        <x:f>E15-F15</x:f>
        <x:v>0</x:v>
      </x:c>
      <x:c r="H15" s="9" t="str">
        <x:f>IF(ABS(G15)&lt;0.000001,"PASS","FAIL")</x:f>
        <x:v>PASS</x:v>
      </x:c>
      <x:c r="I15" s="9" t="str">
        <x:v>cut plan</x:v>
      </x:c>
    </x:row>
    <x:row r="16">
      <x:c r="B16" s="9" t="str">
        <x:v>AU-010</x:v>
      </x:c>
      <x:c r="C16" s="9" t="str">
        <x:v>finance</x:v>
      </x:c>
      <x:c r="D16" s="9" t="str">
        <x:v>capital draw</x:v>
      </x:c>
      <x:c r="E16" s="15" t="n">
        <x:f>'Capital Draw'!B22</x:f>
        <x:v>0.09000000000000002</x:v>
      </x:c>
      <x:c r="F16" s="15" t="n">
        <x:f>'Controls'!$D$19</x:f>
        <x:v>0.09</x:v>
      </x:c>
      <x:c r="G16" s="15" t="n">
        <x:f>E16-F16</x:f>
        <x:v>2.7755575615628914e-17</x:v>
      </x:c>
      <x:c r="H16" s="9" t="str">
        <x:f>IF(ABS(G16)&lt;0.000001,"PASS","FAIL")</x:f>
        <x:v>PASS</x:v>
      </x:c>
      <x:c r="I16" s="9" t="str">
        <x:v>reconciliation</x:v>
      </x:c>
    </x:row>
    <x:row r="17">
      <x:c r="B17" s="9" t="str">
        <x:v>AU-011</x:v>
      </x:c>
      <x:c r="C17" s="9" t="str">
        <x:v>finance</x:v>
      </x:c>
      <x:c r="D17" s="9" t="str">
        <x:v>capital within remaining</x:v>
      </x:c>
      <x:c r="E17" s="15" t="n">
        <x:f>'Capital Draw'!F22</x:f>
        <x:v>0.015999999999999973</x:v>
      </x:c>
      <x:c r="F17" s="15" t="n">
        <x:v>0</x:v>
      </x:c>
      <x:c r="G17" s="15" t="n">
        <x:f>E17-F17</x:f>
        <x:v>0.015999999999999973</x:v>
      </x:c>
      <x:c r="H17" s="9" t="str">
        <x:f>IF(E17&gt;=F17,"PASS","FAIL")</x:f>
        <x:v>PASS</x:v>
      </x:c>
      <x:c r="I17" s="9" t="str">
        <x:v>parent boundary</x:v>
      </x:c>
    </x:row>
    <x:row r="18">
      <x:c r="B18" s="9" t="str">
        <x:v>AU-012</x:v>
      </x:c>
      <x:c r="C18" s="9" t="str">
        <x:v>finance</x:v>
      </x:c>
      <x:c r="D18" s="9" t="str">
        <x:v>annual draw</x:v>
      </x:c>
      <x:c r="E18" s="15" t="n">
        <x:f>'Annual Draw'!B20</x:f>
        <x:v>0.020000000000000004</x:v>
      </x:c>
      <x:c r="F18" s="15" t="n">
        <x:f>'Controls'!$D$21</x:f>
        <x:v>0.02</x:v>
      </x:c>
      <x:c r="G18" s="15" t="n">
        <x:f>E18-F18</x:f>
        <x:v>3.469446951953614e-18</x:v>
      </x:c>
      <x:c r="H18" s="9" t="str">
        <x:f>IF(ABS(G18)&lt;0.000001,"PASS","FAIL")</x:f>
        <x:v>PASS</x:v>
      </x:c>
      <x:c r="I18" s="9" t="str">
        <x:v>reconciliation</x:v>
      </x:c>
    </x:row>
    <x:row r="19">
      <x:c r="B19" s="9" t="str">
        <x:v>AU-013</x:v>
      </x:c>
      <x:c r="C19" s="9" t="str">
        <x:v>finance</x:v>
      </x:c>
      <x:c r="D19" s="9" t="str">
        <x:v>annual within remaining</x:v>
      </x:c>
      <x:c r="E19" s="15" t="n">
        <x:f>'Annual Draw'!F20</x:f>
        <x:v>0.0029999999999999957</x:v>
      </x:c>
      <x:c r="F19" s="15" t="n">
        <x:v>0</x:v>
      </x:c>
      <x:c r="G19" s="15" t="n">
        <x:f>E19-F19</x:f>
        <x:v>0.0029999999999999957</x:v>
      </x:c>
      <x:c r="H19" s="9" t="str">
        <x:f>IF(E19&gt;=F19,"PASS","FAIL")</x:f>
        <x:v>PASS</x:v>
      </x:c>
      <x:c r="I19" s="9" t="str">
        <x:v>parent boundary</x:v>
      </x:c>
    </x:row>
    <x:row r="20">
      <x:c r="B20" s="9" t="str">
        <x:v>AU-014</x:v>
      </x:c>
      <x:c r="C20" s="9" t="str">
        <x:v>energy</x:v>
      </x:c>
      <x:c r="D20" s="9" t="str">
        <x:v>Root A mass delta</x:v>
      </x:c>
      <x:c r="E20" s="15" t="n">
        <x:f>'Energy Ballast'!J20</x:f>
        <x:v>0</x:v>
      </x:c>
      <x:c r="F20" s="15" t="n">
        <x:v>0</x:v>
      </x:c>
      <x:c r="G20" s="15" t="n">
        <x:f>E20-F20</x:f>
        <x:v>0</x:v>
      </x:c>
      <x:c r="H20" s="9" t="str">
        <x:f>IF(ABS(E20)&lt;='Controls'!$D$34,"PASS","FAIL")</x:f>
        <x:v>PASS</x:v>
      </x:c>
      <x:c r="I20" s="9" t="str">
        <x:v>cassette totals</x:v>
      </x:c>
    </x:row>
    <x:row r="21">
      <x:c r="B21" s="9" t="str">
        <x:v>AU-015</x:v>
      </x:c>
      <x:c r="C21" s="9" t="str">
        <x:v>energy</x:v>
      </x:c>
      <x:c r="D21" s="9" t="str">
        <x:v>Root B mass delta</x:v>
      </x:c>
      <x:c r="E21" s="15" t="n">
        <x:f>'Energy Ballast'!J21</x:f>
        <x:v>0</x:v>
      </x:c>
      <x:c r="F21" s="15" t="n">
        <x:v>0</x:v>
      </x:c>
      <x:c r="G21" s="15" t="n">
        <x:f>E21-F21</x:f>
        <x:v>0</x:v>
      </x:c>
      <x:c r="H21" s="9" t="str">
        <x:f>IF(ABS(E21)&lt;='Controls'!$D$34,"PASS","FAIL")</x:f>
        <x:v>PASS</x:v>
      </x:c>
      <x:c r="I21" s="9" t="str">
        <x:v>cassette totals</x:v>
      </x:c>
    </x:row>
    <x:row r="22">
      <x:c r="B22" s="9" t="str">
        <x:v>AU-016</x:v>
      </x:c>
      <x:c r="C22" s="9" t="str">
        <x:v>statistics</x:v>
      </x:c>
      <x:c r="D22" s="9" t="str">
        <x:v>zero-miss lower bound</x:v>
      </x:c>
      <x:c r="E22" s="15" t="n">
        <x:f>POWER(0.05,1/'Controls'!$D$42)</x:f>
        <x:v>0.9018553723227043</x:v>
      </x:c>
      <x:c r="F22" s="15" t="n">
        <x:f>'Controls'!$D$43</x:f>
        <x:v>0.9</x:v>
      </x:c>
      <x:c r="G22" s="15" t="n">
        <x:f>E22-F22</x:f>
        <x:v>0.001855372322704274</x:v>
      </x:c>
      <x:c r="H22" s="9" t="str">
        <x:f>IF(E22&gt;=F22,"PASS","FAIL")</x:f>
        <x:v>PASS</x:v>
      </x:c>
      <x:c r="I22" s="9" t="str">
        <x:v>simple independent Bernoulli</x:v>
      </x:c>
    </x:row>
    <x:row r="23">
      <x:c r="B23" s="9" t="str">
        <x:v>AU-017</x:v>
      </x:c>
      <x:c r="C23" s="9" t="str">
        <x:v>authority</x:v>
      </x:c>
      <x:c r="D23" s="9" t="str">
        <x:v>planning gates</x:v>
      </x:c>
      <x:c r="E23" s="15" t="n">
        <x:f>COUNTIF('Release Gates'!H7:H54,"PASS")</x:f>
        <x:v>48</x:v>
      </x:c>
      <x:c r="F23" s="15" t="n">
        <x:f>'Controls'!$D$44</x:f>
        <x:v>48</x:v>
      </x:c>
      <x:c r="G23" s="15" t="n">
        <x:f>E23-F23</x:f>
        <x:v>0</x:v>
      </x:c>
      <x:c r="H23" s="9" t="str">
        <x:f>IF(ABS(G23)&lt;0.000001,"PASS","FAIL")</x:f>
        <x:v>PASS</x:v>
      </x:c>
      <x:c r="I23" s="9" t="str">
        <x:v>design closure</x:v>
      </x:c>
    </x:row>
    <x:row r="24">
      <x:c r="B24" s="9" t="str">
        <x:v>AU-018</x:v>
      </x:c>
      <x:c r="C24" s="9" t="str">
        <x:v>authority</x:v>
      </x:c>
      <x:c r="D24" s="9" t="str">
        <x:v>physical/downstream passes</x:v>
      </x:c>
      <x:c r="E24" s="15" t="n">
        <x:f>COUNTIF('Release Gates'!H55:H78,"PASS")</x:f>
        <x:v>0</x:v>
      </x:c>
      <x:c r="F24" s="15" t="n">
        <x:v>0</x:v>
      </x:c>
      <x:c r="G24" s="15" t="n">
        <x:f>E24-F24</x:f>
        <x:v>0</x:v>
      </x:c>
      <x:c r="H24" s="9" t="str">
        <x:f>IF(ABS(G24)&lt;0.000001,"PASS","FAIL")</x:f>
        <x:v>PASS</x:v>
      </x:c>
      <x:c r="I24" s="9" t="str">
        <x:v>must remain zero</x:v>
      </x:c>
    </x:row>
    <x:row r="25">
      <x:c r="B25" s="9" t="str">
        <x:v>AU-019</x:v>
      </x:c>
      <x:c r="C25" s="9" t="str">
        <x:v>operation</x:v>
      </x:c>
      <x:c r="D25" s="9" t="str">
        <x:v>predicate closure 1</x:v>
      </x:c>
      <x:c r="E25" s="15" t="n">
        <x:f>'Operation Registry'!P7</x:f>
        <x:v>8</x:v>
      </x:c>
      <x:c r="F25" s="15" t="n">
        <x:v>8</x:v>
      </x:c>
      <x:c r="G25" s="15" t="n">
        <x:f>E25-F25</x:f>
        <x:v>0</x:v>
      </x:c>
      <x:c r="H25" s="9" t="str">
        <x:f>IF(ABS(G25)&lt;0.000001,"PASS","FAIL")</x:f>
        <x:v>PASS</x:v>
      </x:c>
      <x:c r="I25" s="9" t="str">
        <x:v>Operation Registry!7</x:v>
      </x:c>
    </x:row>
    <x:row r="26">
      <x:c r="B26" s="9" t="str">
        <x:v>AU-020</x:v>
      </x:c>
      <x:c r="C26" s="9" t="str">
        <x:v>operation</x:v>
      </x:c>
      <x:c r="D26" s="9" t="str">
        <x:v>predicate closure 2</x:v>
      </x:c>
      <x:c r="E26" s="15" t="n">
        <x:f>'Operation Registry'!P8</x:f>
        <x:v>8</x:v>
      </x:c>
      <x:c r="F26" s="15" t="n">
        <x:v>8</x:v>
      </x:c>
      <x:c r="G26" s="15" t="n">
        <x:f>E26-F26</x:f>
        <x:v>0</x:v>
      </x:c>
      <x:c r="H26" s="9" t="str">
        <x:f>IF(ABS(G26)&lt;0.000001,"PASS","FAIL")</x:f>
        <x:v>PASS</x:v>
      </x:c>
      <x:c r="I26" s="9" t="str">
        <x:v>Operation Registry!8</x:v>
      </x:c>
    </x:row>
    <x:row r="27">
      <x:c r="B27" s="9" t="str">
        <x:v>AU-021</x:v>
      </x:c>
      <x:c r="C27" s="9" t="str">
        <x:v>operation</x:v>
      </x:c>
      <x:c r="D27" s="9" t="str">
        <x:v>predicate closure 3</x:v>
      </x:c>
      <x:c r="E27" s="15" t="n">
        <x:f>'Operation Registry'!P9</x:f>
        <x:v>8</x:v>
      </x:c>
      <x:c r="F27" s="15" t="n">
        <x:v>8</x:v>
      </x:c>
      <x:c r="G27" s="15" t="n">
        <x:f>E27-F27</x:f>
        <x:v>0</x:v>
      </x:c>
      <x:c r="H27" s="9" t="str">
        <x:f>IF(ABS(G27)&lt;0.000001,"PASS","FAIL")</x:f>
        <x:v>PASS</x:v>
      </x:c>
      <x:c r="I27" s="9" t="str">
        <x:v>Operation Registry!9</x:v>
      </x:c>
    </x:row>
    <x:row r="28">
      <x:c r="B28" s="9" t="str">
        <x:v>AU-022</x:v>
      </x:c>
      <x:c r="C28" s="9" t="str">
        <x:v>operation</x:v>
      </x:c>
      <x:c r="D28" s="9" t="str">
        <x:v>predicate closure 4</x:v>
      </x:c>
      <x:c r="E28" s="15" t="n">
        <x:f>'Operation Registry'!P10</x:f>
        <x:v>8</x:v>
      </x:c>
      <x:c r="F28" s="15" t="n">
        <x:v>8</x:v>
      </x:c>
      <x:c r="G28" s="15" t="n">
        <x:f>E28-F28</x:f>
        <x:v>0</x:v>
      </x:c>
      <x:c r="H28" s="9" t="str">
        <x:f>IF(ABS(G28)&lt;0.000001,"PASS","FAIL")</x:f>
        <x:v>PASS</x:v>
      </x:c>
      <x:c r="I28" s="9" t="str">
        <x:v>Operation Registry!10</x:v>
      </x:c>
    </x:row>
    <x:row r="29">
      <x:c r="B29" s="9" t="str">
        <x:v>AU-023</x:v>
      </x:c>
      <x:c r="C29" s="9" t="str">
        <x:v>operation</x:v>
      </x:c>
      <x:c r="D29" s="9" t="str">
        <x:v>predicate closure 5</x:v>
      </x:c>
      <x:c r="E29" s="15" t="n">
        <x:f>'Operation Registry'!P11</x:f>
        <x:v>8</x:v>
      </x:c>
      <x:c r="F29" s="15" t="n">
        <x:v>8</x:v>
      </x:c>
      <x:c r="G29" s="15" t="n">
        <x:f>E29-F29</x:f>
        <x:v>0</x:v>
      </x:c>
      <x:c r="H29" s="9" t="str">
        <x:f>IF(ABS(G29)&lt;0.000001,"PASS","FAIL")</x:f>
        <x:v>PASS</x:v>
      </x:c>
      <x:c r="I29" s="9" t="str">
        <x:v>Operation Registry!11</x:v>
      </x:c>
    </x:row>
    <x:row r="30">
      <x:c r="B30" s="9" t="str">
        <x:v>AU-024</x:v>
      </x:c>
      <x:c r="C30" s="9" t="str">
        <x:v>operation</x:v>
      </x:c>
      <x:c r="D30" s="9" t="str">
        <x:v>predicate closure 6</x:v>
      </x:c>
      <x:c r="E30" s="15" t="n">
        <x:f>'Operation Registry'!P12</x:f>
        <x:v>8</x:v>
      </x:c>
      <x:c r="F30" s="15" t="n">
        <x:v>8</x:v>
      </x:c>
      <x:c r="G30" s="15" t="n">
        <x:f>E30-F30</x:f>
        <x:v>0</x:v>
      </x:c>
      <x:c r="H30" s="9" t="str">
        <x:f>IF(ABS(G30)&lt;0.000001,"PASS","FAIL")</x:f>
        <x:v>PASS</x:v>
      </x:c>
      <x:c r="I30" s="9" t="str">
        <x:v>Operation Registry!12</x:v>
      </x:c>
    </x:row>
    <x:row r="31">
      <x:c r="B31" s="9" t="str">
        <x:v>AU-025</x:v>
      </x:c>
      <x:c r="C31" s="9" t="str">
        <x:v>operation</x:v>
      </x:c>
      <x:c r="D31" s="9" t="str">
        <x:v>predicate closure 7</x:v>
      </x:c>
      <x:c r="E31" s="15" t="n">
        <x:f>'Operation Registry'!P13</x:f>
        <x:v>8</x:v>
      </x:c>
      <x:c r="F31" s="15" t="n">
        <x:v>8</x:v>
      </x:c>
      <x:c r="G31" s="15" t="n">
        <x:f>E31-F31</x:f>
        <x:v>0</x:v>
      </x:c>
      <x:c r="H31" s="9" t="str">
        <x:f>IF(ABS(G31)&lt;0.000001,"PASS","FAIL")</x:f>
        <x:v>PASS</x:v>
      </x:c>
      <x:c r="I31" s="9" t="str">
        <x:v>Operation Registry!13</x:v>
      </x:c>
    </x:row>
    <x:row r="32">
      <x:c r="B32" s="9" t="str">
        <x:v>AU-026</x:v>
      </x:c>
      <x:c r="C32" s="9" t="str">
        <x:v>operation</x:v>
      </x:c>
      <x:c r="D32" s="9" t="str">
        <x:v>predicate closure 8</x:v>
      </x:c>
      <x:c r="E32" s="15" t="n">
        <x:f>'Operation Registry'!P14</x:f>
        <x:v>8</x:v>
      </x:c>
      <x:c r="F32" s="15" t="n">
        <x:v>8</x:v>
      </x:c>
      <x:c r="G32" s="15" t="n">
        <x:f>E32-F32</x:f>
        <x:v>0</x:v>
      </x:c>
      <x:c r="H32" s="9" t="str">
        <x:f>IF(ABS(G32)&lt;0.000001,"PASS","FAIL")</x:f>
        <x:v>PASS</x:v>
      </x:c>
      <x:c r="I32" s="9" t="str">
        <x:v>Operation Registry!14</x:v>
      </x:c>
    </x:row>
    <x:row r="33">
      <x:c r="B33" s="9" t="str">
        <x:v>AU-027</x:v>
      </x:c>
      <x:c r="C33" s="9" t="str">
        <x:v>operation</x:v>
      </x:c>
      <x:c r="D33" s="9" t="str">
        <x:v>predicate closure 9</x:v>
      </x:c>
      <x:c r="E33" s="15" t="n">
        <x:f>'Operation Registry'!P15</x:f>
        <x:v>8</x:v>
      </x:c>
      <x:c r="F33" s="15" t="n">
        <x:v>8</x:v>
      </x:c>
      <x:c r="G33" s="15" t="n">
        <x:f>E33-F33</x:f>
        <x:v>0</x:v>
      </x:c>
      <x:c r="H33" s="9" t="str">
        <x:f>IF(ABS(G33)&lt;0.000001,"PASS","FAIL")</x:f>
        <x:v>PASS</x:v>
      </x:c>
      <x:c r="I33" s="9" t="str">
        <x:v>Operation Registry!15</x:v>
      </x:c>
    </x:row>
    <x:row r="34">
      <x:c r="B34" s="9" t="str">
        <x:v>AU-028</x:v>
      </x:c>
      <x:c r="C34" s="9" t="str">
        <x:v>operation</x:v>
      </x:c>
      <x:c r="D34" s="9" t="str">
        <x:v>predicate closure 10</x:v>
      </x:c>
      <x:c r="E34" s="15" t="n">
        <x:f>'Operation Registry'!P16</x:f>
        <x:v>8</x:v>
      </x:c>
      <x:c r="F34" s="15" t="n">
        <x:v>8</x:v>
      </x:c>
      <x:c r="G34" s="15" t="n">
        <x:f>E34-F34</x:f>
        <x:v>0</x:v>
      </x:c>
      <x:c r="H34" s="9" t="str">
        <x:f>IF(ABS(G34)&lt;0.000001,"PASS","FAIL")</x:f>
        <x:v>PASS</x:v>
      </x:c>
      <x:c r="I34" s="9" t="str">
        <x:v>Operation Registry!16</x:v>
      </x:c>
    </x:row>
    <x:row r="35">
      <x:c r="B35" s="9" t="str">
        <x:v>AU-029</x:v>
      </x:c>
      <x:c r="C35" s="9" t="str">
        <x:v>operation</x:v>
      </x:c>
      <x:c r="D35" s="9" t="str">
        <x:v>predicate closure 11</x:v>
      </x:c>
      <x:c r="E35" s="15" t="n">
        <x:f>'Operation Registry'!P17</x:f>
        <x:v>8</x:v>
      </x:c>
      <x:c r="F35" s="15" t="n">
        <x:v>8</x:v>
      </x:c>
      <x:c r="G35" s="15" t="n">
        <x:f>E35-F35</x:f>
        <x:v>0</x:v>
      </x:c>
      <x:c r="H35" s="9" t="str">
        <x:f>IF(ABS(G35)&lt;0.000001,"PASS","FAIL")</x:f>
        <x:v>PASS</x:v>
      </x:c>
      <x:c r="I35" s="9" t="str">
        <x:v>Operation Registry!17</x:v>
      </x:c>
    </x:row>
    <x:row r="36">
      <x:c r="B36" s="9" t="str">
        <x:v>AU-030</x:v>
      </x:c>
      <x:c r="C36" s="9" t="str">
        <x:v>operation</x:v>
      </x:c>
      <x:c r="D36" s="9" t="str">
        <x:v>predicate closure 12</x:v>
      </x:c>
      <x:c r="E36" s="15" t="n">
        <x:f>'Operation Registry'!P18</x:f>
        <x:v>8</x:v>
      </x:c>
      <x:c r="F36" s="15" t="n">
        <x:v>8</x:v>
      </x:c>
      <x:c r="G36" s="15" t="n">
        <x:f>E36-F36</x:f>
        <x:v>0</x:v>
      </x:c>
      <x:c r="H36" s="9" t="str">
        <x:f>IF(ABS(G36)&lt;0.000001,"PASS","FAIL")</x:f>
        <x:v>PASS</x:v>
      </x:c>
      <x:c r="I36" s="9" t="str">
        <x:v>Operation Registry!18</x:v>
      </x:c>
    </x:row>
    <x:row r="37">
      <x:c r="B37" s="9" t="str">
        <x:v>AU-031</x:v>
      </x:c>
      <x:c r="C37" s="9" t="str">
        <x:v>operation</x:v>
      </x:c>
      <x:c r="D37" s="9" t="str">
        <x:v>predicate closure 13</x:v>
      </x:c>
      <x:c r="E37" s="15" t="n">
        <x:f>'Operation Registry'!P19</x:f>
        <x:v>8</x:v>
      </x:c>
      <x:c r="F37" s="15" t="n">
        <x:v>8</x:v>
      </x:c>
      <x:c r="G37" s="15" t="n">
        <x:f>E37-F37</x:f>
        <x:v>0</x:v>
      </x:c>
      <x:c r="H37" s="9" t="str">
        <x:f>IF(ABS(G37)&lt;0.000001,"PASS","FAIL")</x:f>
        <x:v>PASS</x:v>
      </x:c>
      <x:c r="I37" s="9" t="str">
        <x:v>Operation Registry!19</x:v>
      </x:c>
    </x:row>
    <x:row r="38">
      <x:c r="B38" s="9" t="str">
        <x:v>AU-032</x:v>
      </x:c>
      <x:c r="C38" s="9" t="str">
        <x:v>operation</x:v>
      </x:c>
      <x:c r="D38" s="9" t="str">
        <x:v>predicate closure 14</x:v>
      </x:c>
      <x:c r="E38" s="15" t="n">
        <x:f>'Operation Registry'!P20</x:f>
        <x:v>8</x:v>
      </x:c>
      <x:c r="F38" s="15" t="n">
        <x:v>8</x:v>
      </x:c>
      <x:c r="G38" s="15" t="n">
        <x:f>E38-F38</x:f>
        <x:v>0</x:v>
      </x:c>
      <x:c r="H38" s="9" t="str">
        <x:f>IF(ABS(G38)&lt;0.000001,"PASS","FAIL")</x:f>
        <x:v>PASS</x:v>
      </x:c>
      <x:c r="I38" s="9" t="str">
        <x:v>Operation Registry!20</x:v>
      </x:c>
    </x:row>
    <x:row r="39">
      <x:c r="B39" s="9" t="str">
        <x:v>AU-033</x:v>
      </x:c>
      <x:c r="C39" s="9" t="str">
        <x:v>operation</x:v>
      </x:c>
      <x:c r="D39" s="9" t="str">
        <x:v>predicate closure 15</x:v>
      </x:c>
      <x:c r="E39" s="15" t="n">
        <x:f>'Operation Registry'!P21</x:f>
        <x:v>8</x:v>
      </x:c>
      <x:c r="F39" s="15" t="n">
        <x:v>8</x:v>
      </x:c>
      <x:c r="G39" s="15" t="n">
        <x:f>E39-F39</x:f>
        <x:v>0</x:v>
      </x:c>
      <x:c r="H39" s="9" t="str">
        <x:f>IF(ABS(G39)&lt;0.000001,"PASS","FAIL")</x:f>
        <x:v>PASS</x:v>
      </x:c>
      <x:c r="I39" s="9" t="str">
        <x:v>Operation Registry!21</x:v>
      </x:c>
    </x:row>
    <x:row r="40">
      <x:c r="B40" s="9" t="str">
        <x:v>AU-034</x:v>
      </x:c>
      <x:c r="C40" s="9" t="str">
        <x:v>operation</x:v>
      </x:c>
      <x:c r="D40" s="9" t="str">
        <x:v>predicate closure 16</x:v>
      </x:c>
      <x:c r="E40" s="15" t="n">
        <x:f>'Operation Registry'!P22</x:f>
        <x:v>8</x:v>
      </x:c>
      <x:c r="F40" s="15" t="n">
        <x:v>8</x:v>
      </x:c>
      <x:c r="G40" s="15" t="n">
        <x:f>E40-F40</x:f>
        <x:v>0</x:v>
      </x:c>
      <x:c r="H40" s="9" t="str">
        <x:f>IF(ABS(G40)&lt;0.000001,"PASS","FAIL")</x:f>
        <x:v>PASS</x:v>
      </x:c>
      <x:c r="I40" s="9" t="str">
        <x:v>Operation Registry!22</x:v>
      </x:c>
    </x:row>
    <x:row r="41">
      <x:c r="B41" s="9" t="str">
        <x:v>AU-035</x:v>
      </x:c>
      <x:c r="C41" s="9" t="str">
        <x:v>operation</x:v>
      </x:c>
      <x:c r="D41" s="9" t="str">
        <x:v>predicate closure 17</x:v>
      </x:c>
      <x:c r="E41" s="15" t="n">
        <x:f>'Operation Registry'!P23</x:f>
        <x:v>8</x:v>
      </x:c>
      <x:c r="F41" s="15" t="n">
        <x:v>8</x:v>
      </x:c>
      <x:c r="G41" s="15" t="n">
        <x:f>E41-F41</x:f>
        <x:v>0</x:v>
      </x:c>
      <x:c r="H41" s="9" t="str">
        <x:f>IF(ABS(G41)&lt;0.000001,"PASS","FAIL")</x:f>
        <x:v>PASS</x:v>
      </x:c>
      <x:c r="I41" s="9" t="str">
        <x:v>Operation Registry!23</x:v>
      </x:c>
    </x:row>
    <x:row r="42">
      <x:c r="B42" s="9" t="str">
        <x:v>AU-036</x:v>
      </x:c>
      <x:c r="C42" s="9" t="str">
        <x:v>operation</x:v>
      </x:c>
      <x:c r="D42" s="9" t="str">
        <x:v>predicate closure 18</x:v>
      </x:c>
      <x:c r="E42" s="15" t="n">
        <x:f>'Operation Registry'!P24</x:f>
        <x:v>8</x:v>
      </x:c>
      <x:c r="F42" s="15" t="n">
        <x:v>8</x:v>
      </x:c>
      <x:c r="G42" s="15" t="n">
        <x:f>E42-F42</x:f>
        <x:v>0</x:v>
      </x:c>
      <x:c r="H42" s="9" t="str">
        <x:f>IF(ABS(G42)&lt;0.000001,"PASS","FAIL")</x:f>
        <x:v>PASS</x:v>
      </x:c>
      <x:c r="I42" s="9" t="str">
        <x:v>Operation Registry!24</x:v>
      </x:c>
    </x:row>
    <x:row r="43">
      <x:c r="B43" s="9" t="str">
        <x:v>AU-037</x:v>
      </x:c>
      <x:c r="C43" s="9" t="str">
        <x:v>operation</x:v>
      </x:c>
      <x:c r="D43" s="9" t="str">
        <x:v>predicate closure 19</x:v>
      </x:c>
      <x:c r="E43" s="15" t="n">
        <x:f>'Operation Registry'!P25</x:f>
        <x:v>8</x:v>
      </x:c>
      <x:c r="F43" s="15" t="n">
        <x:v>8</x:v>
      </x:c>
      <x:c r="G43" s="15" t="n">
        <x:f>E43-F43</x:f>
        <x:v>0</x:v>
      </x:c>
      <x:c r="H43" s="9" t="str">
        <x:f>IF(ABS(G43)&lt;0.000001,"PASS","FAIL")</x:f>
        <x:v>PASS</x:v>
      </x:c>
      <x:c r="I43" s="9" t="str">
        <x:v>Operation Registry!25</x:v>
      </x:c>
    </x:row>
    <x:row r="44">
      <x:c r="B44" s="9" t="str">
        <x:v>AU-038</x:v>
      </x:c>
      <x:c r="C44" s="9" t="str">
        <x:v>operation</x:v>
      </x:c>
      <x:c r="D44" s="9" t="str">
        <x:v>predicate closure 20</x:v>
      </x:c>
      <x:c r="E44" s="15" t="n">
        <x:f>'Operation Registry'!P26</x:f>
        <x:v>8</x:v>
      </x:c>
      <x:c r="F44" s="15" t="n">
        <x:v>8</x:v>
      </x:c>
      <x:c r="G44" s="15" t="n">
        <x:f>E44-F44</x:f>
        <x:v>0</x:v>
      </x:c>
      <x:c r="H44" s="9" t="str">
        <x:f>IF(ABS(G44)&lt;0.000001,"PASS","FAIL")</x:f>
        <x:v>PASS</x:v>
      </x:c>
      <x:c r="I44" s="9" t="str">
        <x:v>Operation Registry!26</x:v>
      </x:c>
    </x:row>
    <x:row r="45">
      <x:c r="B45" s="9" t="str">
        <x:v>AU-039</x:v>
      </x:c>
      <x:c r="C45" s="9" t="str">
        <x:v>operation</x:v>
      </x:c>
      <x:c r="D45" s="9" t="str">
        <x:v>predicate closure 21</x:v>
      </x:c>
      <x:c r="E45" s="15" t="n">
        <x:f>'Operation Registry'!P27</x:f>
        <x:v>8</x:v>
      </x:c>
      <x:c r="F45" s="15" t="n">
        <x:v>8</x:v>
      </x:c>
      <x:c r="G45" s="15" t="n">
        <x:f>E45-F45</x:f>
        <x:v>0</x:v>
      </x:c>
      <x:c r="H45" s="9" t="str">
        <x:f>IF(ABS(G45)&lt;0.000001,"PASS","FAIL")</x:f>
        <x:v>PASS</x:v>
      </x:c>
      <x:c r="I45" s="9" t="str">
        <x:v>Operation Registry!27</x:v>
      </x:c>
    </x:row>
    <x:row r="46">
      <x:c r="B46" s="9" t="str">
        <x:v>AU-040</x:v>
      </x:c>
      <x:c r="C46" s="9" t="str">
        <x:v>operation</x:v>
      </x:c>
      <x:c r="D46" s="9" t="str">
        <x:v>predicate closure 22</x:v>
      </x:c>
      <x:c r="E46" s="15" t="n">
        <x:f>'Operation Registry'!P28</x:f>
        <x:v>8</x:v>
      </x:c>
      <x:c r="F46" s="15" t="n">
        <x:v>8</x:v>
      </x:c>
      <x:c r="G46" s="15" t="n">
        <x:f>E46-F46</x:f>
        <x:v>0</x:v>
      </x:c>
      <x:c r="H46" s="9" t="str">
        <x:f>IF(ABS(G46)&lt;0.000001,"PASS","FAIL")</x:f>
        <x:v>PASS</x:v>
      </x:c>
      <x:c r="I46" s="9" t="str">
        <x:v>Operation Registry!28</x:v>
      </x:c>
    </x:row>
    <x:row r="47">
      <x:c r="B47" s="9" t="str">
        <x:v>AU-041</x:v>
      </x:c>
      <x:c r="C47" s="9" t="str">
        <x:v>operation</x:v>
      </x:c>
      <x:c r="D47" s="9" t="str">
        <x:v>predicate closure 23</x:v>
      </x:c>
      <x:c r="E47" s="15" t="n">
        <x:f>'Operation Registry'!P29</x:f>
        <x:v>8</x:v>
      </x:c>
      <x:c r="F47" s="15" t="n">
        <x:v>8</x:v>
      </x:c>
      <x:c r="G47" s="15" t="n">
        <x:f>E47-F47</x:f>
        <x:v>0</x:v>
      </x:c>
      <x:c r="H47" s="9" t="str">
        <x:f>IF(ABS(G47)&lt;0.000001,"PASS","FAIL")</x:f>
        <x:v>PASS</x:v>
      </x:c>
      <x:c r="I47" s="9" t="str">
        <x:v>Operation Registry!29</x:v>
      </x:c>
    </x:row>
    <x:row r="48">
      <x:c r="B48" s="9" t="str">
        <x:v>AU-042</x:v>
      </x:c>
      <x:c r="C48" s="9" t="str">
        <x:v>operation</x:v>
      </x:c>
      <x:c r="D48" s="9" t="str">
        <x:v>predicate closure 24</x:v>
      </x:c>
      <x:c r="E48" s="15" t="n">
        <x:f>'Operation Registry'!P30</x:f>
        <x:v>8</x:v>
      </x:c>
      <x:c r="F48" s="15" t="n">
        <x:v>8</x:v>
      </x:c>
      <x:c r="G48" s="15" t="n">
        <x:f>E48-F48</x:f>
        <x:v>0</x:v>
      </x:c>
      <x:c r="H48" s="9" t="str">
        <x:f>IF(ABS(G48)&lt;0.000001,"PASS","FAIL")</x:f>
        <x:v>PASS</x:v>
      </x:c>
      <x:c r="I48" s="9" t="str">
        <x:v>Operation Registry!30</x:v>
      </x:c>
    </x:row>
    <x:row r="49">
      <x:c r="B49" s="9" t="str">
        <x:v>AU-043</x:v>
      </x:c>
      <x:c r="C49" s="9" t="str">
        <x:v>operation</x:v>
      </x:c>
      <x:c r="D49" s="9" t="str">
        <x:v>predicate closure 25</x:v>
      </x:c>
      <x:c r="E49" s="15" t="n">
        <x:f>'Operation Registry'!P31</x:f>
        <x:v>8</x:v>
      </x:c>
      <x:c r="F49" s="15" t="n">
        <x:v>8</x:v>
      </x:c>
      <x:c r="G49" s="15" t="n">
        <x:f>E49-F49</x:f>
        <x:v>0</x:v>
      </x:c>
      <x:c r="H49" s="9" t="str">
        <x:f>IF(ABS(G49)&lt;0.000001,"PASS","FAIL")</x:f>
        <x:v>PASS</x:v>
      </x:c>
      <x:c r="I49" s="9" t="str">
        <x:v>Operation Registry!31</x:v>
      </x:c>
    </x:row>
    <x:row r="50">
      <x:c r="B50" s="9" t="str">
        <x:v>AU-044</x:v>
      </x:c>
      <x:c r="C50" s="9" t="str">
        <x:v>operation</x:v>
      </x:c>
      <x:c r="D50" s="9" t="str">
        <x:v>predicate closure 26</x:v>
      </x:c>
      <x:c r="E50" s="15" t="n">
        <x:f>'Operation Registry'!P32</x:f>
        <x:v>8</x:v>
      </x:c>
      <x:c r="F50" s="15" t="n">
        <x:v>8</x:v>
      </x:c>
      <x:c r="G50" s="15" t="n">
        <x:f>E50-F50</x:f>
        <x:v>0</x:v>
      </x:c>
      <x:c r="H50" s="9" t="str">
        <x:f>IF(ABS(G50)&lt;0.000001,"PASS","FAIL")</x:f>
        <x:v>PASS</x:v>
      </x:c>
      <x:c r="I50" s="9" t="str">
        <x:v>Operation Registry!32</x:v>
      </x:c>
    </x:row>
    <x:row r="51">
      <x:c r="B51" s="9" t="str">
        <x:v>AU-045</x:v>
      </x:c>
      <x:c r="C51" s="9" t="str">
        <x:v>operation</x:v>
      </x:c>
      <x:c r="D51" s="9" t="str">
        <x:v>predicate closure 27</x:v>
      </x:c>
      <x:c r="E51" s="15" t="n">
        <x:f>'Operation Registry'!P33</x:f>
        <x:v>8</x:v>
      </x:c>
      <x:c r="F51" s="15" t="n">
        <x:v>8</x:v>
      </x:c>
      <x:c r="G51" s="15" t="n">
        <x:f>E51-F51</x:f>
        <x:v>0</x:v>
      </x:c>
      <x:c r="H51" s="9" t="str">
        <x:f>IF(ABS(G51)&lt;0.000001,"PASS","FAIL")</x:f>
        <x:v>PASS</x:v>
      </x:c>
      <x:c r="I51" s="9" t="str">
        <x:v>Operation Registry!33</x:v>
      </x:c>
    </x:row>
    <x:row r="52">
      <x:c r="B52" s="9" t="str">
        <x:v>AU-046</x:v>
      </x:c>
      <x:c r="C52" s="9" t="str">
        <x:v>operation</x:v>
      </x:c>
      <x:c r="D52" s="9" t="str">
        <x:v>predicate closure 28</x:v>
      </x:c>
      <x:c r="E52" s="15" t="n">
        <x:f>'Operation Registry'!P34</x:f>
        <x:v>8</x:v>
      </x:c>
      <x:c r="F52" s="15" t="n">
        <x:v>8</x:v>
      </x:c>
      <x:c r="G52" s="15" t="n">
        <x:f>E52-F52</x:f>
        <x:v>0</x:v>
      </x:c>
      <x:c r="H52" s="9" t="str">
        <x:f>IF(ABS(G52)&lt;0.000001,"PASS","FAIL")</x:f>
        <x:v>PASS</x:v>
      </x:c>
      <x:c r="I52" s="9" t="str">
        <x:v>Operation Registry!34</x:v>
      </x:c>
    </x:row>
    <x:row r="53">
      <x:c r="B53" s="9" t="str">
        <x:v>AU-047</x:v>
      </x:c>
      <x:c r="C53" s="9" t="str">
        <x:v>operation</x:v>
      </x:c>
      <x:c r="D53" s="9" t="str">
        <x:v>predicate closure 29</x:v>
      </x:c>
      <x:c r="E53" s="15" t="n">
        <x:f>'Operation Registry'!P35</x:f>
        <x:v>8</x:v>
      </x:c>
      <x:c r="F53" s="15" t="n">
        <x:v>8</x:v>
      </x:c>
      <x:c r="G53" s="15" t="n">
        <x:f>E53-F53</x:f>
        <x:v>0</x:v>
      </x:c>
      <x:c r="H53" s="9" t="str">
        <x:f>IF(ABS(G53)&lt;0.000001,"PASS","FAIL")</x:f>
        <x:v>PASS</x:v>
      </x:c>
      <x:c r="I53" s="9" t="str">
        <x:v>Operation Registry!35</x:v>
      </x:c>
    </x:row>
    <x:row r="54">
      <x:c r="B54" s="9" t="str">
        <x:v>AU-048</x:v>
      </x:c>
      <x:c r="C54" s="9" t="str">
        <x:v>operation</x:v>
      </x:c>
      <x:c r="D54" s="9" t="str">
        <x:v>predicate closure 30</x:v>
      </x:c>
      <x:c r="E54" s="15" t="n">
        <x:f>'Operation Registry'!P36</x:f>
        <x:v>8</x:v>
      </x:c>
      <x:c r="F54" s="15" t="n">
        <x:v>8</x:v>
      </x:c>
      <x:c r="G54" s="15" t="n">
        <x:f>E54-F54</x:f>
        <x:v>0</x:v>
      </x:c>
      <x:c r="H54" s="9" t="str">
        <x:f>IF(ABS(G54)&lt;0.000001,"PASS","FAIL")</x:f>
        <x:v>PASS</x:v>
      </x:c>
      <x:c r="I54" s="9" t="str">
        <x:v>Operation Registry!36</x:v>
      </x:c>
    </x:row>
    <x:row r="55">
      <x:c r="B55" s="9" t="str">
        <x:v>AU-049</x:v>
      </x:c>
      <x:c r="C55" s="9" t="str">
        <x:v>operation</x:v>
      </x:c>
      <x:c r="D55" s="9" t="str">
        <x:v>predicate closure 31</x:v>
      </x:c>
      <x:c r="E55" s="15" t="n">
        <x:f>'Operation Registry'!P37</x:f>
        <x:v>8</x:v>
      </x:c>
      <x:c r="F55" s="15" t="n">
        <x:v>8</x:v>
      </x:c>
      <x:c r="G55" s="15" t="n">
        <x:f>E55-F55</x:f>
        <x:v>0</x:v>
      </x:c>
      <x:c r="H55" s="9" t="str">
        <x:f>IF(ABS(G55)&lt;0.000001,"PASS","FAIL")</x:f>
        <x:v>PASS</x:v>
      </x:c>
      <x:c r="I55" s="9" t="str">
        <x:v>Operation Registry!37</x:v>
      </x:c>
    </x:row>
    <x:row r="56">
      <x:c r="B56" s="9" t="str">
        <x:v>AU-050</x:v>
      </x:c>
      <x:c r="C56" s="9" t="str">
        <x:v>operation</x:v>
      </x:c>
      <x:c r="D56" s="9" t="str">
        <x:v>predicate closure 32</x:v>
      </x:c>
      <x:c r="E56" s="15" t="n">
        <x:f>'Operation Registry'!P38</x:f>
        <x:v>8</x:v>
      </x:c>
      <x:c r="F56" s="15" t="n">
        <x:v>8</x:v>
      </x:c>
      <x:c r="G56" s="15" t="n">
        <x:f>E56-F56</x:f>
        <x:v>0</x:v>
      </x:c>
      <x:c r="H56" s="9" t="str">
        <x:f>IF(ABS(G56)&lt;0.000001,"PASS","FAIL")</x:f>
        <x:v>PASS</x:v>
      </x:c>
      <x:c r="I56" s="9" t="str">
        <x:v>Operation Registry!38</x:v>
      </x:c>
    </x:row>
    <x:row r="57">
      <x:c r="B57" s="9" t="str">
        <x:v>AU-051</x:v>
      </x:c>
      <x:c r="C57" s="9" t="str">
        <x:v>operation</x:v>
      </x:c>
      <x:c r="D57" s="9" t="str">
        <x:v>predicate closure 33</x:v>
      </x:c>
      <x:c r="E57" s="15" t="n">
        <x:f>'Operation Registry'!P39</x:f>
        <x:v>8</x:v>
      </x:c>
      <x:c r="F57" s="15" t="n">
        <x:v>8</x:v>
      </x:c>
      <x:c r="G57" s="15" t="n">
        <x:f>E57-F57</x:f>
        <x:v>0</x:v>
      </x:c>
      <x:c r="H57" s="9" t="str">
        <x:f>IF(ABS(G57)&lt;0.000001,"PASS","FAIL")</x:f>
        <x:v>PASS</x:v>
      </x:c>
      <x:c r="I57" s="9" t="str">
        <x:v>Operation Registry!39</x:v>
      </x:c>
    </x:row>
    <x:row r="58">
      <x:c r="B58" s="9" t="str">
        <x:v>AU-052</x:v>
      </x:c>
      <x:c r="C58" s="9" t="str">
        <x:v>operation</x:v>
      </x:c>
      <x:c r="D58" s="9" t="str">
        <x:v>predicate closure 34</x:v>
      </x:c>
      <x:c r="E58" s="15" t="n">
        <x:f>'Operation Registry'!P40</x:f>
        <x:v>8</x:v>
      </x:c>
      <x:c r="F58" s="15" t="n">
        <x:v>8</x:v>
      </x:c>
      <x:c r="G58" s="15" t="n">
        <x:f>E58-F58</x:f>
        <x:v>0</x:v>
      </x:c>
      <x:c r="H58" s="9" t="str">
        <x:f>IF(ABS(G58)&lt;0.000001,"PASS","FAIL")</x:f>
        <x:v>PASS</x:v>
      </x:c>
      <x:c r="I58" s="9" t="str">
        <x:v>Operation Registry!40</x:v>
      </x:c>
    </x:row>
    <x:row r="59">
      <x:c r="B59" s="9" t="str">
        <x:v>AU-053</x:v>
      </x:c>
      <x:c r="C59" s="9" t="str">
        <x:v>operation</x:v>
      </x:c>
      <x:c r="D59" s="9" t="str">
        <x:v>predicate closure 35</x:v>
      </x:c>
      <x:c r="E59" s="15" t="n">
        <x:f>'Operation Registry'!P41</x:f>
        <x:v>8</x:v>
      </x:c>
      <x:c r="F59" s="15" t="n">
        <x:v>8</x:v>
      </x:c>
      <x:c r="G59" s="15" t="n">
        <x:f>E59-F59</x:f>
        <x:v>0</x:v>
      </x:c>
      <x:c r="H59" s="9" t="str">
        <x:f>IF(ABS(G59)&lt;0.000001,"PASS","FAIL")</x:f>
        <x:v>PASS</x:v>
      </x:c>
      <x:c r="I59" s="9" t="str">
        <x:v>Operation Registry!41</x:v>
      </x:c>
    </x:row>
    <x:row r="60">
      <x:c r="B60" s="9" t="str">
        <x:v>AU-054</x:v>
      </x:c>
      <x:c r="C60" s="9" t="str">
        <x:v>operation</x:v>
      </x:c>
      <x:c r="D60" s="9" t="str">
        <x:v>predicate closure 36</x:v>
      </x:c>
      <x:c r="E60" s="15" t="n">
        <x:f>'Operation Registry'!P42</x:f>
        <x:v>8</x:v>
      </x:c>
      <x:c r="F60" s="15" t="n">
        <x:v>8</x:v>
      </x:c>
      <x:c r="G60" s="15" t="n">
        <x:f>E60-F60</x:f>
        <x:v>0</x:v>
      </x:c>
      <x:c r="H60" s="9" t="str">
        <x:f>IF(ABS(G60)&lt;0.000001,"PASS","FAIL")</x:f>
        <x:v>PASS</x:v>
      </x:c>
      <x:c r="I60" s="9" t="str">
        <x:v>Operation Registry!42</x:v>
      </x:c>
    </x:row>
    <x:row r="61">
      <x:c r="B61" s="9" t="str">
        <x:v>AU-055</x:v>
      </x:c>
      <x:c r="C61" s="9" t="str">
        <x:v>operation</x:v>
      </x:c>
      <x:c r="D61" s="9" t="str">
        <x:v>predicate closure 37</x:v>
      </x:c>
      <x:c r="E61" s="15" t="n">
        <x:f>'Operation Registry'!P43</x:f>
        <x:v>8</x:v>
      </x:c>
      <x:c r="F61" s="15" t="n">
        <x:v>8</x:v>
      </x:c>
      <x:c r="G61" s="15" t="n">
        <x:f>E61-F61</x:f>
        <x:v>0</x:v>
      </x:c>
      <x:c r="H61" s="9" t="str">
        <x:f>IF(ABS(G61)&lt;0.000001,"PASS","FAIL")</x:f>
        <x:v>PASS</x:v>
      </x:c>
      <x:c r="I61" s="9" t="str">
        <x:v>Operation Registry!43</x:v>
      </x:c>
    </x:row>
    <x:row r="62">
      <x:c r="B62" s="9" t="str">
        <x:v>AU-056</x:v>
      </x:c>
      <x:c r="C62" s="9" t="str">
        <x:v>operation</x:v>
      </x:c>
      <x:c r="D62" s="9" t="str">
        <x:v>predicate closure 38</x:v>
      </x:c>
      <x:c r="E62" s="15" t="n">
        <x:f>'Operation Registry'!P44</x:f>
        <x:v>8</x:v>
      </x:c>
      <x:c r="F62" s="15" t="n">
        <x:v>8</x:v>
      </x:c>
      <x:c r="G62" s="15" t="n">
        <x:f>E62-F62</x:f>
        <x:v>0</x:v>
      </x:c>
      <x:c r="H62" s="9" t="str">
        <x:f>IF(ABS(G62)&lt;0.000001,"PASS","FAIL")</x:f>
        <x:v>PASS</x:v>
      </x:c>
      <x:c r="I62" s="9" t="str">
        <x:v>Operation Registry!44</x:v>
      </x:c>
    </x:row>
    <x:row r="63">
      <x:c r="B63" s="9" t="str">
        <x:v>AU-057</x:v>
      </x:c>
      <x:c r="C63" s="9" t="str">
        <x:v>operation</x:v>
      </x:c>
      <x:c r="D63" s="9" t="str">
        <x:v>predicate closure 39</x:v>
      </x:c>
      <x:c r="E63" s="15" t="n">
        <x:f>'Operation Registry'!P45</x:f>
        <x:v>8</x:v>
      </x:c>
      <x:c r="F63" s="15" t="n">
        <x:v>8</x:v>
      </x:c>
      <x:c r="G63" s="15" t="n">
        <x:f>E63-F63</x:f>
        <x:v>0</x:v>
      </x:c>
      <x:c r="H63" s="9" t="str">
        <x:f>IF(ABS(G63)&lt;0.000001,"PASS","FAIL")</x:f>
        <x:v>PASS</x:v>
      </x:c>
      <x:c r="I63" s="9" t="str">
        <x:v>Operation Registry!45</x:v>
      </x:c>
    </x:row>
    <x:row r="64">
      <x:c r="B64" s="9" t="str">
        <x:v>AU-058</x:v>
      </x:c>
      <x:c r="C64" s="9" t="str">
        <x:v>operation</x:v>
      </x:c>
      <x:c r="D64" s="9" t="str">
        <x:v>predicate closure 40</x:v>
      </x:c>
      <x:c r="E64" s="15" t="n">
        <x:f>'Operation Registry'!P46</x:f>
        <x:v>8</x:v>
      </x:c>
      <x:c r="F64" s="15" t="n">
        <x:v>8</x:v>
      </x:c>
      <x:c r="G64" s="15" t="n">
        <x:f>E64-F64</x:f>
        <x:v>0</x:v>
      </x:c>
      <x:c r="H64" s="9" t="str">
        <x:f>IF(ABS(G64)&lt;0.000001,"PASS","FAIL")</x:f>
        <x:v>PASS</x:v>
      </x:c>
      <x:c r="I64" s="9" t="str">
        <x:v>Operation Registry!46</x:v>
      </x:c>
    </x:row>
    <x:row r="65">
      <x:c r="B65" s="9" t="str">
        <x:v>AU-059</x:v>
      </x:c>
      <x:c r="C65" s="9" t="str">
        <x:v>operation</x:v>
      </x:c>
      <x:c r="D65" s="9" t="str">
        <x:v>predicate closure 41</x:v>
      </x:c>
      <x:c r="E65" s="15" t="n">
        <x:f>'Operation Registry'!P47</x:f>
        <x:v>8</x:v>
      </x:c>
      <x:c r="F65" s="15" t="n">
        <x:v>8</x:v>
      </x:c>
      <x:c r="G65" s="15" t="n">
        <x:f>E65-F65</x:f>
        <x:v>0</x:v>
      </x:c>
      <x:c r="H65" s="9" t="str">
        <x:f>IF(ABS(G65)&lt;0.000001,"PASS","FAIL")</x:f>
        <x:v>PASS</x:v>
      </x:c>
      <x:c r="I65" s="9" t="str">
        <x:v>Operation Registry!47</x:v>
      </x:c>
    </x:row>
    <x:row r="66">
      <x:c r="B66" s="9" t="str">
        <x:v>AU-060</x:v>
      </x:c>
      <x:c r="C66" s="9" t="str">
        <x:v>operation</x:v>
      </x:c>
      <x:c r="D66" s="9" t="str">
        <x:v>predicate closure 42</x:v>
      </x:c>
      <x:c r="E66" s="15" t="n">
        <x:f>'Operation Registry'!P48</x:f>
        <x:v>8</x:v>
      </x:c>
      <x:c r="F66" s="15" t="n">
        <x:v>8</x:v>
      </x:c>
      <x:c r="G66" s="15" t="n">
        <x:f>E66-F66</x:f>
        <x:v>0</x:v>
      </x:c>
      <x:c r="H66" s="9" t="str">
        <x:f>IF(ABS(G66)&lt;0.000001,"PASS","FAIL")</x:f>
        <x:v>PASS</x:v>
      </x:c>
      <x:c r="I66" s="9" t="str">
        <x:v>Operation Registry!48</x:v>
      </x:c>
    </x:row>
    <x:row r="67">
      <x:c r="B67" s="9" t="str">
        <x:v>AU-061</x:v>
      </x:c>
      <x:c r="C67" s="9" t="str">
        <x:v>operation</x:v>
      </x:c>
      <x:c r="D67" s="9" t="str">
        <x:v>predicate closure 43</x:v>
      </x:c>
      <x:c r="E67" s="15" t="n">
        <x:f>'Operation Registry'!P49</x:f>
        <x:v>8</x:v>
      </x:c>
      <x:c r="F67" s="15" t="n">
        <x:v>8</x:v>
      </x:c>
      <x:c r="G67" s="15" t="n">
        <x:f>E67-F67</x:f>
        <x:v>0</x:v>
      </x:c>
      <x:c r="H67" s="9" t="str">
        <x:f>IF(ABS(G67)&lt;0.000001,"PASS","FAIL")</x:f>
        <x:v>PASS</x:v>
      </x:c>
      <x:c r="I67" s="9" t="str">
        <x:v>Operation Registry!49</x:v>
      </x:c>
    </x:row>
    <x:row r="68">
      <x:c r="B68" s="9" t="str">
        <x:v>AU-062</x:v>
      </x:c>
      <x:c r="C68" s="9" t="str">
        <x:v>operation</x:v>
      </x:c>
      <x:c r="D68" s="9" t="str">
        <x:v>predicate closure 44</x:v>
      </x:c>
      <x:c r="E68" s="15" t="n">
        <x:f>'Operation Registry'!P50</x:f>
        <x:v>8</x:v>
      </x:c>
      <x:c r="F68" s="15" t="n">
        <x:v>8</x:v>
      </x:c>
      <x:c r="G68" s="15" t="n">
        <x:f>E68-F68</x:f>
        <x:v>0</x:v>
      </x:c>
      <x:c r="H68" s="9" t="str">
        <x:f>IF(ABS(G68)&lt;0.000001,"PASS","FAIL")</x:f>
        <x:v>PASS</x:v>
      </x:c>
      <x:c r="I68" s="9" t="str">
        <x:v>Operation Registry!50</x:v>
      </x:c>
    </x:row>
    <x:row r="69">
      <x:c r="B69" s="9" t="str">
        <x:v>AU-063</x:v>
      </x:c>
      <x:c r="C69" s="9" t="str">
        <x:v>hold</x:v>
      </x:c>
      <x:c r="D69" s="9" t="str">
        <x:v>planning hold 1</x:v>
      </x:c>
      <x:c r="E69" s="15" t="n">
        <x:f>IF('Hold Points'!K7="PASS",1,0)</x:f>
        <x:v>1</x:v>
      </x:c>
      <x:c r="F69" s="15" t="n">
        <x:v>1</x:v>
      </x:c>
      <x:c r="G69" s="15" t="n">
        <x:f>E69-F69</x:f>
        <x:v>0</x:v>
      </x:c>
      <x:c r="H69" s="9" t="str">
        <x:f>IF(ABS(G69)&lt;0.000001,"PASS","FAIL")</x:f>
        <x:v>PASS</x:v>
      </x:c>
      <x:c r="I69" s="9" t="str">
        <x:v>Hold Points!7</x:v>
      </x:c>
    </x:row>
    <x:row r="70">
      <x:c r="B70" s="9" t="str">
        <x:v>AU-064</x:v>
      </x:c>
      <x:c r="C70" s="9" t="str">
        <x:v>hold</x:v>
      </x:c>
      <x:c r="D70" s="9" t="str">
        <x:v>planning hold 2</x:v>
      </x:c>
      <x:c r="E70" s="15" t="n">
        <x:f>IF('Hold Points'!K8="PASS",1,0)</x:f>
        <x:v>1</x:v>
      </x:c>
      <x:c r="F70" s="15" t="n">
        <x:v>1</x:v>
      </x:c>
      <x:c r="G70" s="15" t="n">
        <x:f>E70-F70</x:f>
        <x:v>0</x:v>
      </x:c>
      <x:c r="H70" s="9" t="str">
        <x:f>IF(ABS(G70)&lt;0.000001,"PASS","FAIL")</x:f>
        <x:v>PASS</x:v>
      </x:c>
      <x:c r="I70" s="9" t="str">
        <x:v>Hold Points!8</x:v>
      </x:c>
    </x:row>
    <x:row r="71">
      <x:c r="B71" s="9" t="str">
        <x:v>AU-065</x:v>
      </x:c>
      <x:c r="C71" s="9" t="str">
        <x:v>hold</x:v>
      </x:c>
      <x:c r="D71" s="9" t="str">
        <x:v>planning hold 3</x:v>
      </x:c>
      <x:c r="E71" s="15" t="n">
        <x:f>IF('Hold Points'!K9="PASS",1,0)</x:f>
        <x:v>1</x:v>
      </x:c>
      <x:c r="F71" s="15" t="n">
        <x:v>1</x:v>
      </x:c>
      <x:c r="G71" s="15" t="n">
        <x:f>E71-F71</x:f>
        <x:v>0</x:v>
      </x:c>
      <x:c r="H71" s="9" t="str">
        <x:f>IF(ABS(G71)&lt;0.000001,"PASS","FAIL")</x:f>
        <x:v>PASS</x:v>
      </x:c>
      <x:c r="I71" s="9" t="str">
        <x:v>Hold Points!9</x:v>
      </x:c>
    </x:row>
    <x:row r="72">
      <x:c r="B72" s="9" t="str">
        <x:v>AU-066</x:v>
      </x:c>
      <x:c r="C72" s="9" t="str">
        <x:v>hold</x:v>
      </x:c>
      <x:c r="D72" s="9" t="str">
        <x:v>planning hold 4</x:v>
      </x:c>
      <x:c r="E72" s="15" t="n">
        <x:f>IF('Hold Points'!K10="PASS",1,0)</x:f>
        <x:v>1</x:v>
      </x:c>
      <x:c r="F72" s="15" t="n">
        <x:v>1</x:v>
      </x:c>
      <x:c r="G72" s="15" t="n">
        <x:f>E72-F72</x:f>
        <x:v>0</x:v>
      </x:c>
      <x:c r="H72" s="9" t="str">
        <x:f>IF(ABS(G72)&lt;0.000001,"PASS","FAIL")</x:f>
        <x:v>PASS</x:v>
      </x:c>
      <x:c r="I72" s="9" t="str">
        <x:v>Hold Points!10</x:v>
      </x:c>
    </x:row>
    <x:row r="73">
      <x:c r="B73" s="9" t="str">
        <x:v>AU-067</x:v>
      </x:c>
      <x:c r="C73" s="9" t="str">
        <x:v>hold</x:v>
      </x:c>
      <x:c r="D73" s="9" t="str">
        <x:v>planning hold 5</x:v>
      </x:c>
      <x:c r="E73" s="15" t="n">
        <x:f>IF('Hold Points'!K11="PASS",1,0)</x:f>
        <x:v>1</x:v>
      </x:c>
      <x:c r="F73" s="15" t="n">
        <x:v>1</x:v>
      </x:c>
      <x:c r="G73" s="15" t="n">
        <x:f>E73-F73</x:f>
        <x:v>0</x:v>
      </x:c>
      <x:c r="H73" s="9" t="str">
        <x:f>IF(ABS(G73)&lt;0.000001,"PASS","FAIL")</x:f>
        <x:v>PASS</x:v>
      </x:c>
      <x:c r="I73" s="9" t="str">
        <x:v>Hold Points!11</x:v>
      </x:c>
    </x:row>
    <x:row r="74">
      <x:c r="B74" s="9" t="str">
        <x:v>AU-068</x:v>
      </x:c>
      <x:c r="C74" s="9" t="str">
        <x:v>hold</x:v>
      </x:c>
      <x:c r="D74" s="9" t="str">
        <x:v>planning hold 6</x:v>
      </x:c>
      <x:c r="E74" s="15" t="n">
        <x:f>IF('Hold Points'!K12="PASS",1,0)</x:f>
        <x:v>1</x:v>
      </x:c>
      <x:c r="F74" s="15" t="n">
        <x:v>1</x:v>
      </x:c>
      <x:c r="G74" s="15" t="n">
        <x:f>E74-F74</x:f>
        <x:v>0</x:v>
      </x:c>
      <x:c r="H74" s="9" t="str">
        <x:f>IF(ABS(G74)&lt;0.000001,"PASS","FAIL")</x:f>
        <x:v>PASS</x:v>
      </x:c>
      <x:c r="I74" s="9" t="str">
        <x:v>Hold Points!12</x:v>
      </x:c>
    </x:row>
    <x:row r="75">
      <x:c r="B75" s="9" t="str">
        <x:v>AU-069</x:v>
      </x:c>
      <x:c r="C75" s="9" t="str">
        <x:v>hold</x:v>
      </x:c>
      <x:c r="D75" s="9" t="str">
        <x:v>planning hold 7</x:v>
      </x:c>
      <x:c r="E75" s="15" t="n">
        <x:f>IF('Hold Points'!K13="PASS",1,0)</x:f>
        <x:v>1</x:v>
      </x:c>
      <x:c r="F75" s="15" t="n">
        <x:v>1</x:v>
      </x:c>
      <x:c r="G75" s="15" t="n">
        <x:f>E75-F75</x:f>
        <x:v>0</x:v>
      </x:c>
      <x:c r="H75" s="9" t="str">
        <x:f>IF(ABS(G75)&lt;0.000001,"PASS","FAIL")</x:f>
        <x:v>PASS</x:v>
      </x:c>
      <x:c r="I75" s="9" t="str">
        <x:v>Hold Points!13</x:v>
      </x:c>
    </x:row>
    <x:row r="76">
      <x:c r="B76" s="9" t="str">
        <x:v>AU-070</x:v>
      </x:c>
      <x:c r="C76" s="9" t="str">
        <x:v>hold</x:v>
      </x:c>
      <x:c r="D76" s="9" t="str">
        <x:v>planning hold 8</x:v>
      </x:c>
      <x:c r="E76" s="15" t="n">
        <x:f>IF('Hold Points'!K14="PASS",1,0)</x:f>
        <x:v>1</x:v>
      </x:c>
      <x:c r="F76" s="15" t="n">
        <x:v>1</x:v>
      </x:c>
      <x:c r="G76" s="15" t="n">
        <x:f>E76-F76</x:f>
        <x:v>0</x:v>
      </x:c>
      <x:c r="H76" s="9" t="str">
        <x:f>IF(ABS(G76)&lt;0.000001,"PASS","FAIL")</x:f>
        <x:v>PASS</x:v>
      </x:c>
      <x:c r="I76" s="9" t="str">
        <x:v>Hold Points!14</x:v>
      </x:c>
    </x:row>
    <x:row r="77">
      <x:c r="B77" s="9" t="str">
        <x:v>AU-071</x:v>
      </x:c>
      <x:c r="C77" s="9" t="str">
        <x:v>hold</x:v>
      </x:c>
      <x:c r="D77" s="9" t="str">
        <x:v>planning hold 9</x:v>
      </x:c>
      <x:c r="E77" s="15" t="n">
        <x:f>IF('Hold Points'!K15="PASS",1,0)</x:f>
        <x:v>1</x:v>
      </x:c>
      <x:c r="F77" s="15" t="n">
        <x:v>1</x:v>
      </x:c>
      <x:c r="G77" s="15" t="n">
        <x:f>E77-F77</x:f>
        <x:v>0</x:v>
      </x:c>
      <x:c r="H77" s="9" t="str">
        <x:f>IF(ABS(G77)&lt;0.000001,"PASS","FAIL")</x:f>
        <x:v>PASS</x:v>
      </x:c>
      <x:c r="I77" s="9" t="str">
        <x:v>Hold Points!15</x:v>
      </x:c>
    </x:row>
    <x:row r="78">
      <x:c r="B78" s="9" t="str">
        <x:v>AU-072</x:v>
      </x:c>
      <x:c r="C78" s="9" t="str">
        <x:v>hold</x:v>
      </x:c>
      <x:c r="D78" s="9" t="str">
        <x:v>planning hold 10</x:v>
      </x:c>
      <x:c r="E78" s="15" t="n">
        <x:f>IF('Hold Points'!K16="PASS",1,0)</x:f>
        <x:v>1</x:v>
      </x:c>
      <x:c r="F78" s="15" t="n">
        <x:v>1</x:v>
      </x:c>
      <x:c r="G78" s="15" t="n">
        <x:f>E78-F78</x:f>
        <x:v>0</x:v>
      </x:c>
      <x:c r="H78" s="9" t="str">
        <x:f>IF(ABS(G78)&lt;0.000001,"PASS","FAIL")</x:f>
        <x:v>PASS</x:v>
      </x:c>
      <x:c r="I78" s="9" t="str">
        <x:v>Hold Points!16</x:v>
      </x:c>
    </x:row>
    <x:row r="79">
      <x:c r="B79" s="9" t="str">
        <x:v>AU-073</x:v>
      </x:c>
      <x:c r="C79" s="9" t="str">
        <x:v>hold</x:v>
      </x:c>
      <x:c r="D79" s="9" t="str">
        <x:v>planning hold 11</x:v>
      </x:c>
      <x:c r="E79" s="15" t="n">
        <x:f>IF('Hold Points'!K17="PASS",1,0)</x:f>
        <x:v>1</x:v>
      </x:c>
      <x:c r="F79" s="15" t="n">
        <x:v>1</x:v>
      </x:c>
      <x:c r="G79" s="15" t="n">
        <x:f>E79-F79</x:f>
        <x:v>0</x:v>
      </x:c>
      <x:c r="H79" s="9" t="str">
        <x:f>IF(ABS(G79)&lt;0.000001,"PASS","FAIL")</x:f>
        <x:v>PASS</x:v>
      </x:c>
      <x:c r="I79" s="9" t="str">
        <x:v>Hold Points!17</x:v>
      </x:c>
    </x:row>
    <x:row r="80">
      <x:c r="B80" s="9" t="str">
        <x:v>AU-074</x:v>
      </x:c>
      <x:c r="C80" s="9" t="str">
        <x:v>hold</x:v>
      </x:c>
      <x:c r="D80" s="9" t="str">
        <x:v>planning hold 12</x:v>
      </x:c>
      <x:c r="E80" s="15" t="n">
        <x:f>IF('Hold Points'!K18="PASS",1,0)</x:f>
        <x:v>1</x:v>
      </x:c>
      <x:c r="F80" s="15" t="n">
        <x:v>1</x:v>
      </x:c>
      <x:c r="G80" s="15" t="n">
        <x:f>E80-F80</x:f>
        <x:v>0</x:v>
      </x:c>
      <x:c r="H80" s="9" t="str">
        <x:f>IF(ABS(G80)&lt;0.000001,"PASS","FAIL")</x:f>
        <x:v>PASS</x:v>
      </x:c>
      <x:c r="I80" s="9" t="str">
        <x:v>Hold Points!18</x:v>
      </x:c>
    </x:row>
    <x:row r="81">
      <x:c r="B81" s="9" t="str">
        <x:v>AU-075</x:v>
      </x:c>
      <x:c r="C81" s="9" t="str">
        <x:v>hold</x:v>
      </x:c>
      <x:c r="D81" s="9" t="str">
        <x:v>planning hold 13</x:v>
      </x:c>
      <x:c r="E81" s="15" t="n">
        <x:f>IF('Hold Points'!K19="PASS",1,0)</x:f>
        <x:v>1</x:v>
      </x:c>
      <x:c r="F81" s="15" t="n">
        <x:v>1</x:v>
      </x:c>
      <x:c r="G81" s="15" t="n">
        <x:f>E81-F81</x:f>
        <x:v>0</x:v>
      </x:c>
      <x:c r="H81" s="9" t="str">
        <x:f>IF(ABS(G81)&lt;0.000001,"PASS","FAIL")</x:f>
        <x:v>PASS</x:v>
      </x:c>
      <x:c r="I81" s="9" t="str">
        <x:v>Hold Points!19</x:v>
      </x:c>
    </x:row>
    <x:row r="82">
      <x:c r="B82" s="9" t="str">
        <x:v>AU-076</x:v>
      </x:c>
      <x:c r="C82" s="9" t="str">
        <x:v>hold</x:v>
      </x:c>
      <x:c r="D82" s="9" t="str">
        <x:v>planning hold 14</x:v>
      </x:c>
      <x:c r="E82" s="15" t="n">
        <x:f>IF('Hold Points'!K20="PASS",1,0)</x:f>
        <x:v>1</x:v>
      </x:c>
      <x:c r="F82" s="15" t="n">
        <x:v>1</x:v>
      </x:c>
      <x:c r="G82" s="15" t="n">
        <x:f>E82-F82</x:f>
        <x:v>0</x:v>
      </x:c>
      <x:c r="H82" s="9" t="str">
        <x:f>IF(ABS(G82)&lt;0.000001,"PASS","FAIL")</x:f>
        <x:v>PASS</x:v>
      </x:c>
      <x:c r="I82" s="9" t="str">
        <x:v>Hold Points!20</x:v>
      </x:c>
    </x:row>
    <x:row r="83">
      <x:c r="B83" s="9" t="str">
        <x:v>AU-077</x:v>
      </x:c>
      <x:c r="C83" s="9" t="str">
        <x:v>hold</x:v>
      </x:c>
      <x:c r="D83" s="9" t="str">
        <x:v>planning hold 15</x:v>
      </x:c>
      <x:c r="E83" s="15" t="n">
        <x:f>IF('Hold Points'!K21="PASS",1,0)</x:f>
        <x:v>1</x:v>
      </x:c>
      <x:c r="F83" s="15" t="n">
        <x:v>1</x:v>
      </x:c>
      <x:c r="G83" s="15" t="n">
        <x:f>E83-F83</x:f>
        <x:v>0</x:v>
      </x:c>
      <x:c r="H83" s="9" t="str">
        <x:f>IF(ABS(G83)&lt;0.000001,"PASS","FAIL")</x:f>
        <x:v>PASS</x:v>
      </x:c>
      <x:c r="I83" s="9" t="str">
        <x:v>Hold Points!21</x:v>
      </x:c>
    </x:row>
    <x:row r="84">
      <x:c r="B84" s="9" t="str">
        <x:v>AU-078</x:v>
      </x:c>
      <x:c r="C84" s="9" t="str">
        <x:v>hold</x:v>
      </x:c>
      <x:c r="D84" s="9" t="str">
        <x:v>planning hold 16</x:v>
      </x:c>
      <x:c r="E84" s="15" t="n">
        <x:f>IF('Hold Points'!K22="PASS",1,0)</x:f>
        <x:v>1</x:v>
      </x:c>
      <x:c r="F84" s="15" t="n">
        <x:v>1</x:v>
      </x:c>
      <x:c r="G84" s="15" t="n">
        <x:f>E84-F84</x:f>
        <x:v>0</x:v>
      </x:c>
      <x:c r="H84" s="9" t="str">
        <x:f>IF(ABS(G84)&lt;0.000001,"PASS","FAIL")</x:f>
        <x:v>PASS</x:v>
      </x:c>
      <x:c r="I84" s="9" t="str">
        <x:v>Hold Points!22</x:v>
      </x:c>
    </x:row>
    <x:row r="85">
      <x:c r="B85" s="9" t="str">
        <x:v>AU-079</x:v>
      </x:c>
      <x:c r="C85" s="9" t="str">
        <x:v>hold</x:v>
      </x:c>
      <x:c r="D85" s="9" t="str">
        <x:v>planning hold 17</x:v>
      </x:c>
      <x:c r="E85" s="15" t="n">
        <x:f>IF('Hold Points'!K23="PASS",1,0)</x:f>
        <x:v>1</x:v>
      </x:c>
      <x:c r="F85" s="15" t="n">
        <x:v>1</x:v>
      </x:c>
      <x:c r="G85" s="15" t="n">
        <x:f>E85-F85</x:f>
        <x:v>0</x:v>
      </x:c>
      <x:c r="H85" s="9" t="str">
        <x:f>IF(ABS(G85)&lt;0.000001,"PASS","FAIL")</x:f>
        <x:v>PASS</x:v>
      </x:c>
      <x:c r="I85" s="9" t="str">
        <x:v>Hold Points!23</x:v>
      </x:c>
    </x:row>
    <x:row r="86">
      <x:c r="B86" s="9" t="str">
        <x:v>AU-080</x:v>
      </x:c>
      <x:c r="C86" s="9" t="str">
        <x:v>hold</x:v>
      </x:c>
      <x:c r="D86" s="9" t="str">
        <x:v>planning hold 18</x:v>
      </x:c>
      <x:c r="E86" s="15" t="n">
        <x:f>IF('Hold Points'!K24="PASS",1,0)</x:f>
        <x:v>1</x:v>
      </x:c>
      <x:c r="F86" s="15" t="n">
        <x:v>1</x:v>
      </x:c>
      <x:c r="G86" s="15" t="n">
        <x:f>E86-F86</x:f>
        <x:v>0</x:v>
      </x:c>
      <x:c r="H86" s="9" t="str">
        <x:f>IF(ABS(G86)&lt;0.000001,"PASS","FAIL")</x:f>
        <x:v>PASS</x:v>
      </x:c>
      <x:c r="I86" s="9" t="str">
        <x:v>Hold Points!24</x:v>
      </x:c>
    </x:row>
    <x:row r="87">
      <x:c r="B87" s="9" t="str">
        <x:v>AU-081</x:v>
      </x:c>
      <x:c r="C87" s="9" t="str">
        <x:v>hold</x:v>
      </x:c>
      <x:c r="D87" s="9" t="str">
        <x:v>planning hold 19</x:v>
      </x:c>
      <x:c r="E87" s="15" t="n">
        <x:f>IF('Hold Points'!K25="PASS",1,0)</x:f>
        <x:v>1</x:v>
      </x:c>
      <x:c r="F87" s="15" t="n">
        <x:v>1</x:v>
      </x:c>
      <x:c r="G87" s="15" t="n">
        <x:f>E87-F87</x:f>
        <x:v>0</x:v>
      </x:c>
      <x:c r="H87" s="9" t="str">
        <x:f>IF(ABS(G87)&lt;0.000001,"PASS","FAIL")</x:f>
        <x:v>PASS</x:v>
      </x:c>
      <x:c r="I87" s="9" t="str">
        <x:v>Hold Points!25</x:v>
      </x:c>
    </x:row>
    <x:row r="88">
      <x:c r="B88" s="9" t="str">
        <x:v>AU-082</x:v>
      </x:c>
      <x:c r="C88" s="9" t="str">
        <x:v>hold</x:v>
      </x:c>
      <x:c r="D88" s="9" t="str">
        <x:v>planning hold 20</x:v>
      </x:c>
      <x:c r="E88" s="15" t="n">
        <x:f>IF('Hold Points'!K26="PASS",1,0)</x:f>
        <x:v>1</x:v>
      </x:c>
      <x:c r="F88" s="15" t="n">
        <x:v>1</x:v>
      </x:c>
      <x:c r="G88" s="15" t="n">
        <x:f>E88-F88</x:f>
        <x:v>0</x:v>
      </x:c>
      <x:c r="H88" s="9" t="str">
        <x:f>IF(ABS(G88)&lt;0.000001,"PASS","FAIL")</x:f>
        <x:v>PASS</x:v>
      </x:c>
      <x:c r="I88" s="9" t="str">
        <x:v>Hold Points!26</x:v>
      </x:c>
    </x:row>
    <x:row r="89">
      <x:c r="B89" s="9" t="str">
        <x:v>AU-083</x:v>
      </x:c>
      <x:c r="C89" s="9" t="str">
        <x:v>hold</x:v>
      </x:c>
      <x:c r="D89" s="9" t="str">
        <x:v>planning hold 21</x:v>
      </x:c>
      <x:c r="E89" s="15" t="n">
        <x:f>IF('Hold Points'!K27="PASS",1,0)</x:f>
        <x:v>1</x:v>
      </x:c>
      <x:c r="F89" s="15" t="n">
        <x:v>1</x:v>
      </x:c>
      <x:c r="G89" s="15" t="n">
        <x:f>E89-F89</x:f>
        <x:v>0</x:v>
      </x:c>
      <x:c r="H89" s="9" t="str">
        <x:f>IF(ABS(G89)&lt;0.000001,"PASS","FAIL")</x:f>
        <x:v>PASS</x:v>
      </x:c>
      <x:c r="I89" s="9" t="str">
        <x:v>Hold Points!27</x:v>
      </x:c>
    </x:row>
    <x:row r="90">
      <x:c r="B90" s="9" t="str">
        <x:v>AU-084</x:v>
      </x:c>
      <x:c r="C90" s="9" t="str">
        <x:v>hold</x:v>
      </x:c>
      <x:c r="D90" s="9" t="str">
        <x:v>planning hold 22</x:v>
      </x:c>
      <x:c r="E90" s="15" t="n">
        <x:f>IF('Hold Points'!K28="PASS",1,0)</x:f>
        <x:v>1</x:v>
      </x:c>
      <x:c r="F90" s="15" t="n">
        <x:v>1</x:v>
      </x:c>
      <x:c r="G90" s="15" t="n">
        <x:f>E90-F90</x:f>
        <x:v>0</x:v>
      </x:c>
      <x:c r="H90" s="9" t="str">
        <x:f>IF(ABS(G90)&lt;0.000001,"PASS","FAIL")</x:f>
        <x:v>PASS</x:v>
      </x:c>
      <x:c r="I90" s="9" t="str">
        <x:v>Hold Points!28</x:v>
      </x:c>
    </x:row>
    <x:row r="91">
      <x:c r="B91" s="9" t="str">
        <x:v>AU-085</x:v>
      </x:c>
      <x:c r="C91" s="9" t="str">
        <x:v>hold</x:v>
      </x:c>
      <x:c r="D91" s="9" t="str">
        <x:v>planning hold 23</x:v>
      </x:c>
      <x:c r="E91" s="15" t="n">
        <x:f>IF('Hold Points'!K29="PASS",1,0)</x:f>
        <x:v>1</x:v>
      </x:c>
      <x:c r="F91" s="15" t="n">
        <x:v>1</x:v>
      </x:c>
      <x:c r="G91" s="15" t="n">
        <x:f>E91-F91</x:f>
        <x:v>0</x:v>
      </x:c>
      <x:c r="H91" s="9" t="str">
        <x:f>IF(ABS(G91)&lt;0.000001,"PASS","FAIL")</x:f>
        <x:v>PASS</x:v>
      </x:c>
      <x:c r="I91" s="9" t="str">
        <x:v>Hold Points!29</x:v>
      </x:c>
    </x:row>
    <x:row r="92">
      <x:c r="B92" s="9" t="str">
        <x:v>AU-086</x:v>
      </x:c>
      <x:c r="C92" s="9" t="str">
        <x:v>hold</x:v>
      </x:c>
      <x:c r="D92" s="9" t="str">
        <x:v>planning hold 24</x:v>
      </x:c>
      <x:c r="E92" s="15" t="n">
        <x:f>IF('Hold Points'!K30="PASS",1,0)</x:f>
        <x:v>1</x:v>
      </x:c>
      <x:c r="F92" s="15" t="n">
        <x:v>1</x:v>
      </x:c>
      <x:c r="G92" s="15" t="n">
        <x:f>E92-F92</x:f>
        <x:v>0</x:v>
      </x:c>
      <x:c r="H92" s="9" t="str">
        <x:f>IF(ABS(G92)&lt;0.000001,"PASS","FAIL")</x:f>
        <x:v>PASS</x:v>
      </x:c>
      <x:c r="I92" s="9" t="str">
        <x:v>Hold Points!30</x:v>
      </x:c>
    </x:row>
    <x:row r="93">
      <x:c r="B93" s="9" t="str">
        <x:v>AU-087</x:v>
      </x:c>
      <x:c r="C93" s="9" t="str">
        <x:v>hold</x:v>
      </x:c>
      <x:c r="D93" s="9" t="str">
        <x:v>planning hold 25</x:v>
      </x:c>
      <x:c r="E93" s="15" t="n">
        <x:f>IF('Hold Points'!K31="PASS",1,0)</x:f>
        <x:v>1</x:v>
      </x:c>
      <x:c r="F93" s="15" t="n">
        <x:v>1</x:v>
      </x:c>
      <x:c r="G93" s="15" t="n">
        <x:f>E93-F93</x:f>
        <x:v>0</x:v>
      </x:c>
      <x:c r="H93" s="9" t="str">
        <x:f>IF(ABS(G93)&lt;0.000001,"PASS","FAIL")</x:f>
        <x:v>PASS</x:v>
      </x:c>
      <x:c r="I93" s="9" t="str">
        <x:v>Hold Points!31</x:v>
      </x:c>
    </x:row>
    <x:row r="94">
      <x:c r="B94" s="9" t="str">
        <x:v>AU-088</x:v>
      </x:c>
      <x:c r="C94" s="9" t="str">
        <x:v>hold</x:v>
      </x:c>
      <x:c r="D94" s="9" t="str">
        <x:v>planning hold 26</x:v>
      </x:c>
      <x:c r="E94" s="15" t="n">
        <x:f>IF('Hold Points'!K32="PASS",1,0)</x:f>
        <x:v>1</x:v>
      </x:c>
      <x:c r="F94" s="15" t="n">
        <x:v>1</x:v>
      </x:c>
      <x:c r="G94" s="15" t="n">
        <x:f>E94-F94</x:f>
        <x:v>0</x:v>
      </x:c>
      <x:c r="H94" s="9" t="str">
        <x:f>IF(ABS(G94)&lt;0.000001,"PASS","FAIL")</x:f>
        <x:v>PASS</x:v>
      </x:c>
      <x:c r="I94" s="9" t="str">
        <x:v>Hold Points!32</x:v>
      </x:c>
    </x:row>
    <x:row r="95">
      <x:c r="B95" s="9" t="str">
        <x:v>AU-089</x:v>
      </x:c>
      <x:c r="C95" s="9" t="str">
        <x:v>hold</x:v>
      </x:c>
      <x:c r="D95" s="9" t="str">
        <x:v>planning hold 27</x:v>
      </x:c>
      <x:c r="E95" s="15" t="n">
        <x:f>IF('Hold Points'!K33="PASS",1,0)</x:f>
        <x:v>1</x:v>
      </x:c>
      <x:c r="F95" s="15" t="n">
        <x:v>1</x:v>
      </x:c>
      <x:c r="G95" s="15" t="n">
        <x:f>E95-F95</x:f>
        <x:v>0</x:v>
      </x:c>
      <x:c r="H95" s="9" t="str">
        <x:f>IF(ABS(G95)&lt;0.000001,"PASS","FAIL")</x:f>
        <x:v>PASS</x:v>
      </x:c>
      <x:c r="I95" s="9" t="str">
        <x:v>Hold Points!33</x:v>
      </x:c>
    </x:row>
    <x:row r="96">
      <x:c r="B96" s="9" t="str">
        <x:v>AU-090</x:v>
      </x:c>
      <x:c r="C96" s="9" t="str">
        <x:v>hold</x:v>
      </x:c>
      <x:c r="D96" s="9" t="str">
        <x:v>planning hold 28</x:v>
      </x:c>
      <x:c r="E96" s="15" t="n">
        <x:f>IF('Hold Points'!K34="PASS",1,0)</x:f>
        <x:v>1</x:v>
      </x:c>
      <x:c r="F96" s="15" t="n">
        <x:v>1</x:v>
      </x:c>
      <x:c r="G96" s="15" t="n">
        <x:f>E96-F96</x:f>
        <x:v>0</x:v>
      </x:c>
      <x:c r="H96" s="9" t="str">
        <x:f>IF(ABS(G96)&lt;0.000001,"PASS","FAIL")</x:f>
        <x:v>PASS</x:v>
      </x:c>
      <x:c r="I96" s="9" t="str">
        <x:v>Hold Points!34</x:v>
      </x:c>
    </x:row>
    <x:row r="97">
      <x:c r="B97" s="9" t="str">
        <x:v>AU-091</x:v>
      </x:c>
      <x:c r="C97" s="9" t="str">
        <x:v>material</x:v>
      </x:c>
      <x:c r="D97" s="9" t="str">
        <x:v>conservation 1</x:v>
      </x:c>
      <x:c r="E97" s="15" t="n">
        <x:f>'Material Split'!N7</x:f>
        <x:v>0</x:v>
      </x:c>
      <x:c r="F97" s="15" t="n">
        <x:v>0</x:v>
      </x:c>
      <x:c r="G97" s="15" t="n">
        <x:f>E97-F97</x:f>
        <x:v>0</x:v>
      </x:c>
      <x:c r="H97" s="9" t="str">
        <x:f>IF(ABS(G97)&lt;0.000001,"PASS","FAIL")</x:f>
        <x:v>PASS</x:v>
      </x:c>
      <x:c r="I97" s="9" t="str">
        <x:v>Material Split!7</x:v>
      </x:c>
    </x:row>
    <x:row r="98">
      <x:c r="B98" s="9" t="str">
        <x:v>AU-092</x:v>
      </x:c>
      <x:c r="C98" s="9" t="str">
        <x:v>material</x:v>
      </x:c>
      <x:c r="D98" s="9" t="str">
        <x:v>conservation 2</x:v>
      </x:c>
      <x:c r="E98" s="15" t="n">
        <x:f>'Material Split'!N8</x:f>
        <x:v>0</x:v>
      </x:c>
      <x:c r="F98" s="15" t="n">
        <x:v>0</x:v>
      </x:c>
      <x:c r="G98" s="15" t="n">
        <x:f>E98-F98</x:f>
        <x:v>0</x:v>
      </x:c>
      <x:c r="H98" s="9" t="str">
        <x:f>IF(ABS(G98)&lt;0.000001,"PASS","FAIL")</x:f>
        <x:v>PASS</x:v>
      </x:c>
      <x:c r="I98" s="9" t="str">
        <x:v>Material Split!8</x:v>
      </x:c>
    </x:row>
    <x:row r="99">
      <x:c r="B99" s="9" t="str">
        <x:v>AU-093</x:v>
      </x:c>
      <x:c r="C99" s="9" t="str">
        <x:v>material</x:v>
      </x:c>
      <x:c r="D99" s="9" t="str">
        <x:v>conservation 3</x:v>
      </x:c>
      <x:c r="E99" s="15" t="n">
        <x:f>'Material Split'!N9</x:f>
        <x:v>0</x:v>
      </x:c>
      <x:c r="F99" s="15" t="n">
        <x:v>0</x:v>
      </x:c>
      <x:c r="G99" s="15" t="n">
        <x:f>E99-F99</x:f>
        <x:v>0</x:v>
      </x:c>
      <x:c r="H99" s="9" t="str">
        <x:f>IF(ABS(G99)&lt;0.000001,"PASS","FAIL")</x:f>
        <x:v>PASS</x:v>
      </x:c>
      <x:c r="I99" s="9" t="str">
        <x:v>Material Split!9</x:v>
      </x:c>
    </x:row>
    <x:row r="100">
      <x:c r="B100" s="9" t="str">
        <x:v>AU-094</x:v>
      </x:c>
      <x:c r="C100" s="9" t="str">
        <x:v>material</x:v>
      </x:c>
      <x:c r="D100" s="9" t="str">
        <x:v>conservation 4</x:v>
      </x:c>
      <x:c r="E100" s="15" t="n">
        <x:f>'Material Split'!N10</x:f>
        <x:v>0</x:v>
      </x:c>
      <x:c r="F100" s="15" t="n">
        <x:v>0</x:v>
      </x:c>
      <x:c r="G100" s="15" t="n">
        <x:f>E100-F100</x:f>
        <x:v>0</x:v>
      </x:c>
      <x:c r="H100" s="9" t="str">
        <x:f>IF(ABS(G100)&lt;0.000001,"PASS","FAIL")</x:f>
        <x:v>PASS</x:v>
      </x:c>
      <x:c r="I100" s="9" t="str">
        <x:v>Material Split!10</x:v>
      </x:c>
    </x:row>
    <x:row r="101">
      <x:c r="B101" s="9" t="str">
        <x:v>AU-095</x:v>
      </x:c>
      <x:c r="C101" s="9" t="str">
        <x:v>material</x:v>
      </x:c>
      <x:c r="D101" s="9" t="str">
        <x:v>conservation 5</x:v>
      </x:c>
      <x:c r="E101" s="15" t="n">
        <x:f>'Material Split'!N11</x:f>
        <x:v>0</x:v>
      </x:c>
      <x:c r="F101" s="15" t="n">
        <x:v>0</x:v>
      </x:c>
      <x:c r="G101" s="15" t="n">
        <x:f>E101-F101</x:f>
        <x:v>0</x:v>
      </x:c>
      <x:c r="H101" s="9" t="str">
        <x:f>IF(ABS(G101)&lt;0.000001,"PASS","FAIL")</x:f>
        <x:v>PASS</x:v>
      </x:c>
      <x:c r="I101" s="9" t="str">
        <x:v>Material Split!11</x:v>
      </x:c>
    </x:row>
    <x:row r="102">
      <x:c r="B102" s="9" t="str">
        <x:v>AU-096</x:v>
      </x:c>
      <x:c r="C102" s="9" t="str">
        <x:v>material</x:v>
      </x:c>
      <x:c r="D102" s="9" t="str">
        <x:v>conservation 6</x:v>
      </x:c>
      <x:c r="E102" s="15" t="n">
        <x:f>'Material Split'!N12</x:f>
        <x:v>0</x:v>
      </x:c>
      <x:c r="F102" s="15" t="n">
        <x:v>0</x:v>
      </x:c>
      <x:c r="G102" s="15" t="n">
        <x:f>E102-F102</x:f>
        <x:v>0</x:v>
      </x:c>
      <x:c r="H102" s="9" t="str">
        <x:f>IF(ABS(G102)&lt;0.000001,"PASS","FAIL")</x:f>
        <x:v>PASS</x:v>
      </x:c>
      <x:c r="I102" s="9" t="str">
        <x:v>Material Split!12</x:v>
      </x:c>
    </x:row>
    <x:row r="103">
      <x:c r="B103" s="9" t="str">
        <x:v>AU-097</x:v>
      </x:c>
      <x:c r="C103" s="9" t="str">
        <x:v>material</x:v>
      </x:c>
      <x:c r="D103" s="9" t="str">
        <x:v>conservation 7</x:v>
      </x:c>
      <x:c r="E103" s="15" t="n">
        <x:f>'Material Split'!N13</x:f>
        <x:v>0</x:v>
      </x:c>
      <x:c r="F103" s="15" t="n">
        <x:v>0</x:v>
      </x:c>
      <x:c r="G103" s="15" t="n">
        <x:f>E103-F103</x:f>
        <x:v>0</x:v>
      </x:c>
      <x:c r="H103" s="9" t="str">
        <x:f>IF(ABS(G103)&lt;0.000001,"PASS","FAIL")</x:f>
        <x:v>PASS</x:v>
      </x:c>
      <x:c r="I103" s="9" t="str">
        <x:v>Material Split!13</x:v>
      </x:c>
    </x:row>
    <x:row r="104">
      <x:c r="B104" s="9" t="str">
        <x:v>AU-098</x:v>
      </x:c>
      <x:c r="C104" s="9" t="str">
        <x:v>material</x:v>
      </x:c>
      <x:c r="D104" s="9" t="str">
        <x:v>conservation 8</x:v>
      </x:c>
      <x:c r="E104" s="15" t="n">
        <x:f>'Material Split'!N14</x:f>
        <x:v>0</x:v>
      </x:c>
      <x:c r="F104" s="15" t="n">
        <x:v>0</x:v>
      </x:c>
      <x:c r="G104" s="15" t="n">
        <x:f>E104-F104</x:f>
        <x:v>0</x:v>
      </x:c>
      <x:c r="H104" s="9" t="str">
        <x:f>IF(ABS(G104)&lt;0.000001,"PASS","FAIL")</x:f>
        <x:v>PASS</x:v>
      </x:c>
      <x:c r="I104" s="9" t="str">
        <x:v>Material Split!14</x:v>
      </x:c>
    </x:row>
    <x:row r="105">
      <x:c r="B105" s="9" t="str">
        <x:v>AU-099</x:v>
      </x:c>
      <x:c r="C105" s="9" t="str">
        <x:v>material</x:v>
      </x:c>
      <x:c r="D105" s="9" t="str">
        <x:v>conservation 9</x:v>
      </x:c>
      <x:c r="E105" s="15" t="n">
        <x:f>'Material Split'!N15</x:f>
        <x:v>0</x:v>
      </x:c>
      <x:c r="F105" s="15" t="n">
        <x:v>0</x:v>
      </x:c>
      <x:c r="G105" s="15" t="n">
        <x:f>E105-F105</x:f>
        <x:v>0</x:v>
      </x:c>
      <x:c r="H105" s="9" t="str">
        <x:f>IF(ABS(G105)&lt;0.000001,"PASS","FAIL")</x:f>
        <x:v>PASS</x:v>
      </x:c>
      <x:c r="I105" s="9" t="str">
        <x:v>Material Split!15</x:v>
      </x:c>
    </x:row>
    <x:row r="106">
      <x:c r="B106" s="9" t="str">
        <x:v>AU-100</x:v>
      </x:c>
      <x:c r="C106" s="9" t="str">
        <x:v>material</x:v>
      </x:c>
      <x:c r="D106" s="9" t="str">
        <x:v>conservation 10</x:v>
      </x:c>
      <x:c r="E106" s="15" t="n">
        <x:f>'Material Split'!N16</x:f>
        <x:v>0</x:v>
      </x:c>
      <x:c r="F106" s="15" t="n">
        <x:v>0</x:v>
      </x:c>
      <x:c r="G106" s="15" t="n">
        <x:f>E106-F106</x:f>
        <x:v>0</x:v>
      </x:c>
      <x:c r="H106" s="9" t="str">
        <x:f>IF(ABS(G106)&lt;0.000001,"PASS","FAIL")</x:f>
        <x:v>PASS</x:v>
      </x:c>
      <x:c r="I106" s="9" t="str">
        <x:v>Material Split!16</x:v>
      </x:c>
    </x:row>
    <x:row r="107">
      <x:c r="B107" s="9" t="str">
        <x:v>AU-101</x:v>
      </x:c>
      <x:c r="C107" s="9" t="str">
        <x:v>material</x:v>
      </x:c>
      <x:c r="D107" s="9" t="str">
        <x:v>conservation 11</x:v>
      </x:c>
      <x:c r="E107" s="15" t="n">
        <x:f>'Material Split'!N17</x:f>
        <x:v>0</x:v>
      </x:c>
      <x:c r="F107" s="15" t="n">
        <x:v>0</x:v>
      </x:c>
      <x:c r="G107" s="15" t="n">
        <x:f>E107-F107</x:f>
        <x:v>0</x:v>
      </x:c>
      <x:c r="H107" s="9" t="str">
        <x:f>IF(ABS(G107)&lt;0.000001,"PASS","FAIL")</x:f>
        <x:v>PASS</x:v>
      </x:c>
      <x:c r="I107" s="9" t="str">
        <x:v>Material Split!17</x:v>
      </x:c>
    </x:row>
    <x:row r="108">
      <x:c r="B108" s="9" t="str">
        <x:v>AU-102</x:v>
      </x:c>
      <x:c r="C108" s="9" t="str">
        <x:v>material</x:v>
      </x:c>
      <x:c r="D108" s="9" t="str">
        <x:v>conservation 12</x:v>
      </x:c>
      <x:c r="E108" s="15" t="n">
        <x:f>'Material Split'!N18</x:f>
        <x:v>0</x:v>
      </x:c>
      <x:c r="F108" s="15" t="n">
        <x:v>0</x:v>
      </x:c>
      <x:c r="G108" s="15" t="n">
        <x:f>E108-F108</x:f>
        <x:v>0</x:v>
      </x:c>
      <x:c r="H108" s="9" t="str">
        <x:f>IF(ABS(G108)&lt;0.000001,"PASS","FAIL")</x:f>
        <x:v>PASS</x:v>
      </x:c>
      <x:c r="I108" s="9" t="str">
        <x:v>Material Split!18</x:v>
      </x:c>
    </x:row>
    <x:row r="109">
      <x:c r="B109" s="9" t="str">
        <x:v>AU-103</x:v>
      </x:c>
      <x:c r="C109" s="9" t="str">
        <x:v>material</x:v>
      </x:c>
      <x:c r="D109" s="9" t="str">
        <x:v>conservation 13</x:v>
      </x:c>
      <x:c r="E109" s="15" t="n">
        <x:f>'Material Split'!N19</x:f>
        <x:v>0</x:v>
      </x:c>
      <x:c r="F109" s="15" t="n">
        <x:v>0</x:v>
      </x:c>
      <x:c r="G109" s="15" t="n">
        <x:f>E109-F109</x:f>
        <x:v>0</x:v>
      </x:c>
      <x:c r="H109" s="9" t="str">
        <x:f>IF(ABS(G109)&lt;0.000001,"PASS","FAIL")</x:f>
        <x:v>PASS</x:v>
      </x:c>
      <x:c r="I109" s="9" t="str">
        <x:v>Material Split!19</x:v>
      </x:c>
    </x:row>
    <x:row r="110">
      <x:c r="B110" s="9" t="str">
        <x:v>AU-104</x:v>
      </x:c>
      <x:c r="C110" s="9" t="str">
        <x:v>material</x:v>
      </x:c>
      <x:c r="D110" s="9" t="str">
        <x:v>conservation 14</x:v>
      </x:c>
      <x:c r="E110" s="15" t="n">
        <x:f>'Material Split'!N20</x:f>
        <x:v>0</x:v>
      </x:c>
      <x:c r="F110" s="15" t="n">
        <x:v>0</x:v>
      </x:c>
      <x:c r="G110" s="15" t="n">
        <x:f>E110-F110</x:f>
        <x:v>0</x:v>
      </x:c>
      <x:c r="H110" s="9" t="str">
        <x:f>IF(ABS(G110)&lt;0.000001,"PASS","FAIL")</x:f>
        <x:v>PASS</x:v>
      </x:c>
      <x:c r="I110" s="9" t="str">
        <x:v>Material Split!20</x:v>
      </x:c>
    </x:row>
    <x:row r="111">
      <x:c r="B111" s="9" t="str">
        <x:v>AU-105</x:v>
      </x:c>
      <x:c r="C111" s="9" t="str">
        <x:v>material</x:v>
      </x:c>
      <x:c r="D111" s="9" t="str">
        <x:v>conservation 15</x:v>
      </x:c>
      <x:c r="E111" s="15" t="n">
        <x:f>'Material Split'!N21</x:f>
        <x:v>0</x:v>
      </x:c>
      <x:c r="F111" s="15" t="n">
        <x:v>0</x:v>
      </x:c>
      <x:c r="G111" s="15" t="n">
        <x:f>E111-F111</x:f>
        <x:v>0</x:v>
      </x:c>
      <x:c r="H111" s="9" t="str">
        <x:f>IF(ABS(G111)&lt;0.000001,"PASS","FAIL")</x:f>
        <x:v>PASS</x:v>
      </x:c>
      <x:c r="I111" s="9" t="str">
        <x:v>Material Split!21</x:v>
      </x:c>
    </x:row>
    <x:row r="112">
      <x:c r="B112" s="9" t="str">
        <x:v>AU-106</x:v>
      </x:c>
      <x:c r="C112" s="9" t="str">
        <x:v>material</x:v>
      </x:c>
      <x:c r="D112" s="9" t="str">
        <x:v>conservation 16</x:v>
      </x:c>
      <x:c r="E112" s="15" t="n">
        <x:f>'Material Split'!N22</x:f>
        <x:v>0</x:v>
      </x:c>
      <x:c r="F112" s="15" t="n">
        <x:v>0</x:v>
      </x:c>
      <x:c r="G112" s="15" t="n">
        <x:f>E112-F112</x:f>
        <x:v>0</x:v>
      </x:c>
      <x:c r="H112" s="9" t="str">
        <x:f>IF(ABS(G112)&lt;0.000001,"PASS","FAIL")</x:f>
        <x:v>PASS</x:v>
      </x:c>
      <x:c r="I112" s="9" t="str">
        <x:v>Material Split!22</x:v>
      </x:c>
    </x:row>
    <x:row r="113">
      <x:c r="B113" s="9" t="str">
        <x:v>AU-107</x:v>
      </x:c>
      <x:c r="C113" s="9" t="str">
        <x:v>material</x:v>
      </x:c>
      <x:c r="D113" s="9" t="str">
        <x:v>conservation 17</x:v>
      </x:c>
      <x:c r="E113" s="15" t="n">
        <x:f>'Material Split'!N23</x:f>
        <x:v>0</x:v>
      </x:c>
      <x:c r="F113" s="15" t="n">
        <x:v>0</x:v>
      </x:c>
      <x:c r="G113" s="15" t="n">
        <x:f>E113-F113</x:f>
        <x:v>0</x:v>
      </x:c>
      <x:c r="H113" s="9" t="str">
        <x:f>IF(ABS(G113)&lt;0.000001,"PASS","FAIL")</x:f>
        <x:v>PASS</x:v>
      </x:c>
      <x:c r="I113" s="9" t="str">
        <x:v>Material Split!23</x:v>
      </x:c>
    </x:row>
    <x:row r="114">
      <x:c r="B114" s="9" t="str">
        <x:v>AU-108</x:v>
      </x:c>
      <x:c r="C114" s="9" t="str">
        <x:v>material</x:v>
      </x:c>
      <x:c r="D114" s="9" t="str">
        <x:v>conservation 18</x:v>
      </x:c>
      <x:c r="E114" s="15" t="n">
        <x:f>'Material Split'!N24</x:f>
        <x:v>0</x:v>
      </x:c>
      <x:c r="F114" s="15" t="n">
        <x:v>0</x:v>
      </x:c>
      <x:c r="G114" s="15" t="n">
        <x:f>E114-F114</x:f>
        <x:v>0</x:v>
      </x:c>
      <x:c r="H114" s="9" t="str">
        <x:f>IF(ABS(G114)&lt;0.000001,"PASS","FAIL")</x:f>
        <x:v>PASS</x:v>
      </x:c>
      <x:c r="I114" s="9" t="str">
        <x:v>Material Split!24</x:v>
      </x:c>
    </x:row>
    <x:row r="115">
      <x:c r="B115" s="9" t="str">
        <x:v>AU-109</x:v>
      </x:c>
      <x:c r="C115" s="9" t="str">
        <x:v>material</x:v>
      </x:c>
      <x:c r="D115" s="9" t="str">
        <x:v>conservation 19</x:v>
      </x:c>
      <x:c r="E115" s="15" t="n">
        <x:f>'Material Split'!N25</x:f>
        <x:v>0</x:v>
      </x:c>
      <x:c r="F115" s="15" t="n">
        <x:v>0</x:v>
      </x:c>
      <x:c r="G115" s="15" t="n">
        <x:f>E115-F115</x:f>
        <x:v>0</x:v>
      </x:c>
      <x:c r="H115" s="9" t="str">
        <x:f>IF(ABS(G115)&lt;0.000001,"PASS","FAIL")</x:f>
        <x:v>PASS</x:v>
      </x:c>
      <x:c r="I115" s="9" t="str">
        <x:v>Material Split!25</x:v>
      </x:c>
    </x:row>
    <x:row r="116">
      <x:c r="B116" s="9" t="str">
        <x:v>AU-110</x:v>
      </x:c>
      <x:c r="C116" s="9" t="str">
        <x:v>material</x:v>
      </x:c>
      <x:c r="D116" s="9" t="str">
        <x:v>conservation 20</x:v>
      </x:c>
      <x:c r="E116" s="15" t="n">
        <x:f>'Material Split'!N26</x:f>
        <x:v>0</x:v>
      </x:c>
      <x:c r="F116" s="15" t="n">
        <x:v>0</x:v>
      </x:c>
      <x:c r="G116" s="15" t="n">
        <x:f>E116-F116</x:f>
        <x:v>0</x:v>
      </x:c>
      <x:c r="H116" s="9" t="str">
        <x:f>IF(ABS(G116)&lt;0.000001,"PASS","FAIL")</x:f>
        <x:v>PASS</x:v>
      </x:c>
      <x:c r="I116" s="9" t="str">
        <x:v>Material Split!26</x:v>
      </x:c>
    </x:row>
    <x:row r="117">
      <x:c r="B117" s="9" t="str">
        <x:v>AU-111</x:v>
      </x:c>
      <x:c r="C117" s="9" t="str">
        <x:v>material</x:v>
      </x:c>
      <x:c r="D117" s="9" t="str">
        <x:v>conservation 21</x:v>
      </x:c>
      <x:c r="E117" s="15" t="n">
        <x:f>'Material Split'!N27</x:f>
        <x:v>0</x:v>
      </x:c>
      <x:c r="F117" s="15" t="n">
        <x:v>0</x:v>
      </x:c>
      <x:c r="G117" s="15" t="n">
        <x:f>E117-F117</x:f>
        <x:v>0</x:v>
      </x:c>
      <x:c r="H117" s="9" t="str">
        <x:f>IF(ABS(G117)&lt;0.000001,"PASS","FAIL")</x:f>
        <x:v>PASS</x:v>
      </x:c>
      <x:c r="I117" s="9" t="str">
        <x:v>Material Split!27</x:v>
      </x:c>
    </x:row>
    <x:row r="118">
      <x:c r="B118" s="9" t="str">
        <x:v>AU-112</x:v>
      </x:c>
      <x:c r="C118" s="9" t="str">
        <x:v>material</x:v>
      </x:c>
      <x:c r="D118" s="9" t="str">
        <x:v>conservation 22</x:v>
      </x:c>
      <x:c r="E118" s="15" t="n">
        <x:f>'Material Split'!N28</x:f>
        <x:v>0</x:v>
      </x:c>
      <x:c r="F118" s="15" t="n">
        <x:v>0</x:v>
      </x:c>
      <x:c r="G118" s="15" t="n">
        <x:f>E118-F118</x:f>
        <x:v>0</x:v>
      </x:c>
      <x:c r="H118" s="9" t="str">
        <x:f>IF(ABS(G118)&lt;0.000001,"PASS","FAIL")</x:f>
        <x:v>PASS</x:v>
      </x:c>
      <x:c r="I118" s="9" t="str">
        <x:v>Material Split!28</x:v>
      </x:c>
    </x:row>
    <x:row r="119">
      <x:c r="B119" s="9" t="str">
        <x:v>AU-113</x:v>
      </x:c>
      <x:c r="C119" s="9" t="str">
        <x:v>material</x:v>
      </x:c>
      <x:c r="D119" s="9" t="str">
        <x:v>conservation 23</x:v>
      </x:c>
      <x:c r="E119" s="15" t="n">
        <x:f>'Material Split'!N29</x:f>
        <x:v>0</x:v>
      </x:c>
      <x:c r="F119" s="15" t="n">
        <x:v>0</x:v>
      </x:c>
      <x:c r="G119" s="15" t="n">
        <x:f>E119-F119</x:f>
        <x:v>0</x:v>
      </x:c>
      <x:c r="H119" s="9" t="str">
        <x:f>IF(ABS(G119)&lt;0.000001,"PASS","FAIL")</x:f>
        <x:v>PASS</x:v>
      </x:c>
      <x:c r="I119" s="9" t="str">
        <x:v>Material Split!29</x:v>
      </x:c>
    </x:row>
    <x:row r="120">
      <x:c r="B120" s="9" t="str">
        <x:v>AU-114</x:v>
      </x:c>
      <x:c r="C120" s="9" t="str">
        <x:v>material</x:v>
      </x:c>
      <x:c r="D120" s="9" t="str">
        <x:v>conservation 24</x:v>
      </x:c>
      <x:c r="E120" s="15" t="n">
        <x:f>'Material Split'!N30</x:f>
        <x:v>0</x:v>
      </x:c>
      <x:c r="F120" s="15" t="n">
        <x:v>0</x:v>
      </x:c>
      <x:c r="G120" s="15" t="n">
        <x:f>E120-F120</x:f>
        <x:v>0</x:v>
      </x:c>
      <x:c r="H120" s="9" t="str">
        <x:f>IF(ABS(G120)&lt;0.000001,"PASS","FAIL")</x:f>
        <x:v>PASS</x:v>
      </x:c>
      <x:c r="I120" s="9" t="str">
        <x:v>Material Split!30</x:v>
      </x:c>
    </x:row>
    <x:row r="121">
      <x:c r="B121" s="9" t="str">
        <x:v>AU-115</x:v>
      </x:c>
      <x:c r="C121" s="9" t="str">
        <x:v>material</x:v>
      </x:c>
      <x:c r="D121" s="9" t="str">
        <x:v>conservation 25</x:v>
      </x:c>
      <x:c r="E121" s="15" t="n">
        <x:f>'Material Split'!N31</x:f>
        <x:v>0</x:v>
      </x:c>
      <x:c r="F121" s="15" t="n">
        <x:v>0</x:v>
      </x:c>
      <x:c r="G121" s="15" t="n">
        <x:f>E121-F121</x:f>
        <x:v>0</x:v>
      </x:c>
      <x:c r="H121" s="9" t="str">
        <x:f>IF(ABS(G121)&lt;0.000001,"PASS","FAIL")</x:f>
        <x:v>PASS</x:v>
      </x:c>
      <x:c r="I121" s="9" t="str">
        <x:v>Material Split!31</x:v>
      </x:c>
    </x:row>
    <x:row r="122">
      <x:c r="B122" s="9" t="str">
        <x:v>AU-116</x:v>
      </x:c>
      <x:c r="C122" s="9" t="str">
        <x:v>material</x:v>
      </x:c>
      <x:c r="D122" s="9" t="str">
        <x:v>conservation 26</x:v>
      </x:c>
      <x:c r="E122" s="15" t="n">
        <x:f>'Material Split'!N32</x:f>
        <x:v>0</x:v>
      </x:c>
      <x:c r="F122" s="15" t="n">
        <x:v>0</x:v>
      </x:c>
      <x:c r="G122" s="15" t="n">
        <x:f>E122-F122</x:f>
        <x:v>0</x:v>
      </x:c>
      <x:c r="H122" s="9" t="str">
        <x:f>IF(ABS(G122)&lt;0.000001,"PASS","FAIL")</x:f>
        <x:v>PASS</x:v>
      </x:c>
      <x:c r="I122" s="9" t="str">
        <x:v>Material Split!32</x:v>
      </x:c>
    </x:row>
    <x:row r="123">
      <x:c r="B123" s="9" t="str">
        <x:v>AU-117</x:v>
      </x:c>
      <x:c r="C123" s="9" t="str">
        <x:v>material</x:v>
      </x:c>
      <x:c r="D123" s="9" t="str">
        <x:v>conservation 27</x:v>
      </x:c>
      <x:c r="E123" s="15" t="n">
        <x:f>'Material Split'!N33</x:f>
        <x:v>0</x:v>
      </x:c>
      <x:c r="F123" s="15" t="n">
        <x:v>0</x:v>
      </x:c>
      <x:c r="G123" s="15" t="n">
        <x:f>E123-F123</x:f>
        <x:v>0</x:v>
      </x:c>
      <x:c r="H123" s="9" t="str">
        <x:f>IF(ABS(G123)&lt;0.000001,"PASS","FAIL")</x:f>
        <x:v>PASS</x:v>
      </x:c>
      <x:c r="I123" s="9" t="str">
        <x:v>Material Split!33</x:v>
      </x:c>
    </x:row>
    <x:row r="124">
      <x:c r="B124" s="9" t="str">
        <x:v>AU-118</x:v>
      </x:c>
      <x:c r="C124" s="9" t="str">
        <x:v>material</x:v>
      </x:c>
      <x:c r="D124" s="9" t="str">
        <x:v>conservation 28</x:v>
      </x:c>
      <x:c r="E124" s="15" t="n">
        <x:f>'Material Split'!N34</x:f>
        <x:v>0</x:v>
      </x:c>
      <x:c r="F124" s="15" t="n">
        <x:v>0</x:v>
      </x:c>
      <x:c r="G124" s="15" t="n">
        <x:f>E124-F124</x:f>
        <x:v>0</x:v>
      </x:c>
      <x:c r="H124" s="9" t="str">
        <x:f>IF(ABS(G124)&lt;0.000001,"PASS","FAIL")</x:f>
        <x:v>PASS</x:v>
      </x:c>
      <x:c r="I124" s="9" t="str">
        <x:v>Material Split!34</x:v>
      </x:c>
    </x:row>
    <x:row r="125">
      <x:c r="B125" s="9" t="str">
        <x:v>AU-119</x:v>
      </x:c>
      <x:c r="C125" s="9" t="str">
        <x:v>material</x:v>
      </x:c>
      <x:c r="D125" s="9" t="str">
        <x:v>conservation 29</x:v>
      </x:c>
      <x:c r="E125" s="15" t="n">
        <x:f>'Material Split'!N35</x:f>
        <x:v>0</x:v>
      </x:c>
      <x:c r="F125" s="15" t="n">
        <x:v>0</x:v>
      </x:c>
      <x:c r="G125" s="15" t="n">
        <x:f>E125-F125</x:f>
        <x:v>0</x:v>
      </x:c>
      <x:c r="H125" s="9" t="str">
        <x:f>IF(ABS(G125)&lt;0.000001,"PASS","FAIL")</x:f>
        <x:v>PASS</x:v>
      </x:c>
      <x:c r="I125" s="9" t="str">
        <x:v>Material Split!35</x:v>
      </x:c>
    </x:row>
    <x:row r="126">
      <x:c r="B126" s="9" t="str">
        <x:v>AU-120</x:v>
      </x:c>
      <x:c r="C126" s="9" t="str">
        <x:v>material</x:v>
      </x:c>
      <x:c r="D126" s="9" t="str">
        <x:v>conservation 30</x:v>
      </x:c>
      <x:c r="E126" s="15" t="n">
        <x:f>'Material Split'!N36</x:f>
        <x:v>0</x:v>
      </x:c>
      <x:c r="F126" s="15" t="n">
        <x:v>0</x:v>
      </x:c>
      <x:c r="G126" s="15" t="n">
        <x:f>E126-F126</x:f>
        <x:v>0</x:v>
      </x:c>
      <x:c r="H126" s="9" t="str">
        <x:f>IF(ABS(G126)&lt;0.000001,"PASS","FAIL")</x:f>
        <x:v>PASS</x:v>
      </x:c>
      <x:c r="I126" s="9" t="str">
        <x:v>Material Split!36</x:v>
      </x:c>
    </x:row>
    <x:row r="127">
      <x:c r="B127" s="9" t="str">
        <x:v>AU-121</x:v>
      </x:c>
      <x:c r="C127" s="9" t="str">
        <x:v>material</x:v>
      </x:c>
      <x:c r="D127" s="9" t="str">
        <x:v>conservation 31</x:v>
      </x:c>
      <x:c r="E127" s="15" t="n">
        <x:f>'Material Split'!N37</x:f>
        <x:v>0</x:v>
      </x:c>
      <x:c r="F127" s="15" t="n">
        <x:v>0</x:v>
      </x:c>
      <x:c r="G127" s="15" t="n">
        <x:f>E127-F127</x:f>
        <x:v>0</x:v>
      </x:c>
      <x:c r="H127" s="9" t="str">
        <x:f>IF(ABS(G127)&lt;0.000001,"PASS","FAIL")</x:f>
        <x:v>PASS</x:v>
      </x:c>
      <x:c r="I127" s="9" t="str">
        <x:v>Material Split!37</x:v>
      </x:c>
    </x:row>
    <x:row r="128">
      <x:c r="B128" s="9" t="str">
        <x:v>AU-122</x:v>
      </x:c>
      <x:c r="C128" s="9" t="str">
        <x:v>material</x:v>
      </x:c>
      <x:c r="D128" s="9" t="str">
        <x:v>conservation 32</x:v>
      </x:c>
      <x:c r="E128" s="15" t="n">
        <x:f>'Material Split'!N38</x:f>
        <x:v>0</x:v>
      </x:c>
      <x:c r="F128" s="15" t="n">
        <x:v>0</x:v>
      </x:c>
      <x:c r="G128" s="15" t="n">
        <x:f>E128-F128</x:f>
        <x:v>0</x:v>
      </x:c>
      <x:c r="H128" s="9" t="str">
        <x:f>IF(ABS(G128)&lt;0.000001,"PASS","FAIL")</x:f>
        <x:v>PASS</x:v>
      </x:c>
      <x:c r="I128" s="9" t="str">
        <x:v>Material Split!38</x:v>
      </x:c>
    </x:row>
    <x:row r="129">
      <x:c r="B129" s="9" t="str">
        <x:v>AU-123</x:v>
      </x:c>
      <x:c r="C129" s="9" t="str">
        <x:v>defect</x:v>
      </x:c>
      <x:c r="D129" s="9" t="str">
        <x:v>standard design 1</x:v>
      </x:c>
      <x:c r="E129" s="15" t="n">
        <x:f>IF('Known Defects'!M7="PASS",1,0)</x:f>
        <x:v>1</x:v>
      </x:c>
      <x:c r="F129" s="15" t="n">
        <x:v>1</x:v>
      </x:c>
      <x:c r="G129" s="15" t="n">
        <x:f>E129-F129</x:f>
        <x:v>0</x:v>
      </x:c>
      <x:c r="H129" s="9" t="str">
        <x:f>IF(ABS(G129)&lt;0.000001,"PASS","FAIL")</x:f>
        <x:v>PASS</x:v>
      </x:c>
      <x:c r="I129" s="9" t="str">
        <x:v>Known Defects!7</x:v>
      </x:c>
    </x:row>
    <x:row r="130">
      <x:c r="B130" s="9" t="str">
        <x:v>AU-124</x:v>
      </x:c>
      <x:c r="C130" s="9" t="str">
        <x:v>defect</x:v>
      </x:c>
      <x:c r="D130" s="9" t="str">
        <x:v>standard design 2</x:v>
      </x:c>
      <x:c r="E130" s="15" t="n">
        <x:f>IF('Known Defects'!M8="PASS",1,0)</x:f>
        <x:v>1</x:v>
      </x:c>
      <x:c r="F130" s="15" t="n">
        <x:v>1</x:v>
      </x:c>
      <x:c r="G130" s="15" t="n">
        <x:f>E130-F130</x:f>
        <x:v>0</x:v>
      </x:c>
      <x:c r="H130" s="9" t="str">
        <x:f>IF(ABS(G130)&lt;0.000001,"PASS","FAIL")</x:f>
        <x:v>PASS</x:v>
      </x:c>
      <x:c r="I130" s="9" t="str">
        <x:v>Known Defects!8</x:v>
      </x:c>
    </x:row>
    <x:row r="131">
      <x:c r="B131" s="9" t="str">
        <x:v>AU-125</x:v>
      </x:c>
      <x:c r="C131" s="9" t="str">
        <x:v>defect</x:v>
      </x:c>
      <x:c r="D131" s="9" t="str">
        <x:v>standard design 3</x:v>
      </x:c>
      <x:c r="E131" s="15" t="n">
        <x:f>IF('Known Defects'!M9="PASS",1,0)</x:f>
        <x:v>1</x:v>
      </x:c>
      <x:c r="F131" s="15" t="n">
        <x:v>1</x:v>
      </x:c>
      <x:c r="G131" s="15" t="n">
        <x:f>E131-F131</x:f>
        <x:v>0</x:v>
      </x:c>
      <x:c r="H131" s="9" t="str">
        <x:f>IF(ABS(G131)&lt;0.000001,"PASS","FAIL")</x:f>
        <x:v>PASS</x:v>
      </x:c>
      <x:c r="I131" s="9" t="str">
        <x:v>Known Defects!9</x:v>
      </x:c>
    </x:row>
    <x:row r="132">
      <x:c r="B132" s="9" t="str">
        <x:v>AU-126</x:v>
      </x:c>
      <x:c r="C132" s="9" t="str">
        <x:v>defect</x:v>
      </x:c>
      <x:c r="D132" s="9" t="str">
        <x:v>standard design 4</x:v>
      </x:c>
      <x:c r="E132" s="15" t="n">
        <x:f>IF('Known Defects'!M10="PASS",1,0)</x:f>
        <x:v>1</x:v>
      </x:c>
      <x:c r="F132" s="15" t="n">
        <x:v>1</x:v>
      </x:c>
      <x:c r="G132" s="15" t="n">
        <x:f>E132-F132</x:f>
        <x:v>0</x:v>
      </x:c>
      <x:c r="H132" s="9" t="str">
        <x:f>IF(ABS(G132)&lt;0.000001,"PASS","FAIL")</x:f>
        <x:v>PASS</x:v>
      </x:c>
      <x:c r="I132" s="9" t="str">
        <x:v>Known Defects!10</x:v>
      </x:c>
    </x:row>
    <x:row r="133">
      <x:c r="B133" s="9" t="str">
        <x:v>AU-127</x:v>
      </x:c>
      <x:c r="C133" s="9" t="str">
        <x:v>defect</x:v>
      </x:c>
      <x:c r="D133" s="9" t="str">
        <x:v>standard design 5</x:v>
      </x:c>
      <x:c r="E133" s="15" t="n">
        <x:f>IF('Known Defects'!M11="PASS",1,0)</x:f>
        <x:v>1</x:v>
      </x:c>
      <x:c r="F133" s="15" t="n">
        <x:v>1</x:v>
      </x:c>
      <x:c r="G133" s="15" t="n">
        <x:f>E133-F133</x:f>
        <x:v>0</x:v>
      </x:c>
      <x:c r="H133" s="9" t="str">
        <x:f>IF(ABS(G133)&lt;0.000001,"PASS","FAIL")</x:f>
        <x:v>PASS</x:v>
      </x:c>
      <x:c r="I133" s="9" t="str">
        <x:v>Known Defects!11</x:v>
      </x:c>
    </x:row>
    <x:row r="134">
      <x:c r="B134" s="9" t="str">
        <x:v>AU-128</x:v>
      </x:c>
      <x:c r="C134" s="9" t="str">
        <x:v>defect</x:v>
      </x:c>
      <x:c r="D134" s="9" t="str">
        <x:v>standard design 6</x:v>
      </x:c>
      <x:c r="E134" s="15" t="n">
        <x:f>IF('Known Defects'!M12="PASS",1,0)</x:f>
        <x:v>1</x:v>
      </x:c>
      <x:c r="F134" s="15" t="n">
        <x:v>1</x:v>
      </x:c>
      <x:c r="G134" s="15" t="n">
        <x:f>E134-F134</x:f>
        <x:v>0</x:v>
      </x:c>
      <x:c r="H134" s="9" t="str">
        <x:f>IF(ABS(G134)&lt;0.000001,"PASS","FAIL")</x:f>
        <x:v>PASS</x:v>
      </x:c>
      <x:c r="I134" s="9" t="str">
        <x:v>Known Defects!12</x:v>
      </x:c>
    </x:row>
    <x:row r="135">
      <x:c r="B135" s="9" t="str">
        <x:v>AU-129</x:v>
      </x:c>
      <x:c r="C135" s="9" t="str">
        <x:v>defect</x:v>
      </x:c>
      <x:c r="D135" s="9" t="str">
        <x:v>standard design 7</x:v>
      </x:c>
      <x:c r="E135" s="15" t="n">
        <x:f>IF('Known Defects'!M13="PASS",1,0)</x:f>
        <x:v>1</x:v>
      </x:c>
      <x:c r="F135" s="15" t="n">
        <x:v>1</x:v>
      </x:c>
      <x:c r="G135" s="15" t="n">
        <x:f>E135-F135</x:f>
        <x:v>0</x:v>
      </x:c>
      <x:c r="H135" s="9" t="str">
        <x:f>IF(ABS(G135)&lt;0.000001,"PASS","FAIL")</x:f>
        <x:v>PASS</x:v>
      </x:c>
      <x:c r="I135" s="9" t="str">
        <x:v>Known Defects!13</x:v>
      </x:c>
    </x:row>
    <x:row r="136">
      <x:c r="B136" s="9" t="str">
        <x:v>AU-130</x:v>
      </x:c>
      <x:c r="C136" s="9" t="str">
        <x:v>defect</x:v>
      </x:c>
      <x:c r="D136" s="9" t="str">
        <x:v>standard design 8</x:v>
      </x:c>
      <x:c r="E136" s="15" t="n">
        <x:f>IF('Known Defects'!M14="PASS",1,0)</x:f>
        <x:v>1</x:v>
      </x:c>
      <x:c r="F136" s="15" t="n">
        <x:v>1</x:v>
      </x:c>
      <x:c r="G136" s="15" t="n">
        <x:f>E136-F136</x:f>
        <x:v>0</x:v>
      </x:c>
      <x:c r="H136" s="9" t="str">
        <x:f>IF(ABS(G136)&lt;0.000001,"PASS","FAIL")</x:f>
        <x:v>PASS</x:v>
      </x:c>
      <x:c r="I136" s="9" t="str">
        <x:v>Known Defects!14</x:v>
      </x:c>
    </x:row>
    <x:row r="137">
      <x:c r="B137" s="9" t="str">
        <x:v>AU-131</x:v>
      </x:c>
      <x:c r="C137" s="9" t="str">
        <x:v>defect</x:v>
      </x:c>
      <x:c r="D137" s="9" t="str">
        <x:v>standard design 9</x:v>
      </x:c>
      <x:c r="E137" s="15" t="n">
        <x:f>IF('Known Defects'!M15="PASS",1,0)</x:f>
        <x:v>1</x:v>
      </x:c>
      <x:c r="F137" s="15" t="n">
        <x:v>1</x:v>
      </x:c>
      <x:c r="G137" s="15" t="n">
        <x:f>E137-F137</x:f>
        <x:v>0</x:v>
      </x:c>
      <x:c r="H137" s="9" t="str">
        <x:f>IF(ABS(G137)&lt;0.000001,"PASS","FAIL")</x:f>
        <x:v>PASS</x:v>
      </x:c>
      <x:c r="I137" s="9" t="str">
        <x:v>Known Defects!15</x:v>
      </x:c>
    </x:row>
    <x:row r="138">
      <x:c r="B138" s="9" t="str">
        <x:v>AU-132</x:v>
      </x:c>
      <x:c r="C138" s="9" t="str">
        <x:v>defect</x:v>
      </x:c>
      <x:c r="D138" s="9" t="str">
        <x:v>standard design 10</x:v>
      </x:c>
      <x:c r="E138" s="15" t="n">
        <x:f>IF('Known Defects'!M16="PASS",1,0)</x:f>
        <x:v>1</x:v>
      </x:c>
      <x:c r="F138" s="15" t="n">
        <x:v>1</x:v>
      </x:c>
      <x:c r="G138" s="15" t="n">
        <x:f>E138-F138</x:f>
        <x:v>0</x:v>
      </x:c>
      <x:c r="H138" s="9" t="str">
        <x:f>IF(ABS(G138)&lt;0.000001,"PASS","FAIL")</x:f>
        <x:v>PASS</x:v>
      </x:c>
      <x:c r="I138" s="9" t="str">
        <x:v>Known Defects!16</x:v>
      </x:c>
    </x:row>
    <x:row r="139">
      <x:c r="B139" s="9" t="str">
        <x:v>AU-133</x:v>
      </x:c>
      <x:c r="C139" s="9" t="str">
        <x:v>defect</x:v>
      </x:c>
      <x:c r="D139" s="9" t="str">
        <x:v>standard design 11</x:v>
      </x:c>
      <x:c r="E139" s="15" t="n">
        <x:f>IF('Known Defects'!M17="PASS",1,0)</x:f>
        <x:v>1</x:v>
      </x:c>
      <x:c r="F139" s="15" t="n">
        <x:v>1</x:v>
      </x:c>
      <x:c r="G139" s="15" t="n">
        <x:f>E139-F139</x:f>
        <x:v>0</x:v>
      </x:c>
      <x:c r="H139" s="9" t="str">
        <x:f>IF(ABS(G139)&lt;0.000001,"PASS","FAIL")</x:f>
        <x:v>PASS</x:v>
      </x:c>
      <x:c r="I139" s="9" t="str">
        <x:v>Known Defects!17</x:v>
      </x:c>
    </x:row>
    <x:row r="140">
      <x:c r="B140" s="9" t="str">
        <x:v>AU-134</x:v>
      </x:c>
      <x:c r="C140" s="9" t="str">
        <x:v>defect</x:v>
      </x:c>
      <x:c r="D140" s="9" t="str">
        <x:v>standard design 12</x:v>
      </x:c>
      <x:c r="E140" s="15" t="n">
        <x:f>IF('Known Defects'!M18="PASS",1,0)</x:f>
        <x:v>1</x:v>
      </x:c>
      <x:c r="F140" s="15" t="n">
        <x:v>1</x:v>
      </x:c>
      <x:c r="G140" s="15" t="n">
        <x:f>E140-F140</x:f>
        <x:v>0</x:v>
      </x:c>
      <x:c r="H140" s="9" t="str">
        <x:f>IF(ABS(G140)&lt;0.000001,"PASS","FAIL")</x:f>
        <x:v>PASS</x:v>
      </x:c>
      <x:c r="I140" s="9" t="str">
        <x:v>Known Defects!18</x:v>
      </x:c>
    </x:row>
    <x:row r="141">
      <x:c r="B141" s="9" t="str">
        <x:v>AU-135</x:v>
      </x:c>
      <x:c r="C141" s="9" t="str">
        <x:v>defect</x:v>
      </x:c>
      <x:c r="D141" s="9" t="str">
        <x:v>standard design 13</x:v>
      </x:c>
      <x:c r="E141" s="15" t="n">
        <x:f>IF('Known Defects'!M19="PASS",1,0)</x:f>
        <x:v>1</x:v>
      </x:c>
      <x:c r="F141" s="15" t="n">
        <x:v>1</x:v>
      </x:c>
      <x:c r="G141" s="15" t="n">
        <x:f>E141-F141</x:f>
        <x:v>0</x:v>
      </x:c>
      <x:c r="H141" s="9" t="str">
        <x:f>IF(ABS(G141)&lt;0.000001,"PASS","FAIL")</x:f>
        <x:v>PASS</x:v>
      </x:c>
      <x:c r="I141" s="9" t="str">
        <x:v>Known Defects!19</x:v>
      </x:c>
    </x:row>
    <x:row r="142">
      <x:c r="B142" s="9" t="str">
        <x:v>AU-136</x:v>
      </x:c>
      <x:c r="C142" s="9" t="str">
        <x:v>defect</x:v>
      </x:c>
      <x:c r="D142" s="9" t="str">
        <x:v>standard design 14</x:v>
      </x:c>
      <x:c r="E142" s="15" t="n">
        <x:f>IF('Known Defects'!M20="PASS",1,0)</x:f>
        <x:v>1</x:v>
      </x:c>
      <x:c r="F142" s="15" t="n">
        <x:v>1</x:v>
      </x:c>
      <x:c r="G142" s="15" t="n">
        <x:f>E142-F142</x:f>
        <x:v>0</x:v>
      </x:c>
      <x:c r="H142" s="9" t="str">
        <x:f>IF(ABS(G142)&lt;0.000001,"PASS","FAIL")</x:f>
        <x:v>PASS</x:v>
      </x:c>
      <x:c r="I142" s="9" t="str">
        <x:v>Known Defects!20</x:v>
      </x:c>
    </x:row>
    <x:row r="143">
      <x:c r="B143" s="9" t="str">
        <x:v>AU-137</x:v>
      </x:c>
      <x:c r="C143" s="9" t="str">
        <x:v>defect</x:v>
      </x:c>
      <x:c r="D143" s="9" t="str">
        <x:v>standard design 15</x:v>
      </x:c>
      <x:c r="E143" s="15" t="n">
        <x:f>IF('Known Defects'!M21="PASS",1,0)</x:f>
        <x:v>1</x:v>
      </x:c>
      <x:c r="F143" s="15" t="n">
        <x:v>1</x:v>
      </x:c>
      <x:c r="G143" s="15" t="n">
        <x:f>E143-F143</x:f>
        <x:v>0</x:v>
      </x:c>
      <x:c r="H143" s="9" t="str">
        <x:f>IF(ABS(G143)&lt;0.000001,"PASS","FAIL")</x:f>
        <x:v>PASS</x:v>
      </x:c>
      <x:c r="I143" s="9" t="str">
        <x:v>Known Defects!21</x:v>
      </x:c>
    </x:row>
    <x:row r="144">
      <x:c r="B144" s="9" t="str">
        <x:v>AU-138</x:v>
      </x:c>
      <x:c r="C144" s="9" t="str">
        <x:v>defect</x:v>
      </x:c>
      <x:c r="D144" s="9" t="str">
        <x:v>standard design 16</x:v>
      </x:c>
      <x:c r="E144" s="15" t="n">
        <x:f>IF('Known Defects'!M22="PASS",1,0)</x:f>
        <x:v>1</x:v>
      </x:c>
      <x:c r="F144" s="15" t="n">
        <x:v>1</x:v>
      </x:c>
      <x:c r="G144" s="15" t="n">
        <x:f>E144-F144</x:f>
        <x:v>0</x:v>
      </x:c>
      <x:c r="H144" s="9" t="str">
        <x:f>IF(ABS(G144)&lt;0.000001,"PASS","FAIL")</x:f>
        <x:v>PASS</x:v>
      </x:c>
      <x:c r="I144" s="9" t="str">
        <x:v>Known Defects!22</x:v>
      </x:c>
    </x:row>
    <x:row r="145">
      <x:c r="B145" s="9" t="str">
        <x:v>AU-139</x:v>
      </x:c>
      <x:c r="C145" s="9" t="str">
        <x:v>defect</x:v>
      </x:c>
      <x:c r="D145" s="9" t="str">
        <x:v>standard design 17</x:v>
      </x:c>
      <x:c r="E145" s="15" t="n">
        <x:f>IF('Known Defects'!M23="PASS",1,0)</x:f>
        <x:v>1</x:v>
      </x:c>
      <x:c r="F145" s="15" t="n">
        <x:v>1</x:v>
      </x:c>
      <x:c r="G145" s="15" t="n">
        <x:f>E145-F145</x:f>
        <x:v>0</x:v>
      </x:c>
      <x:c r="H145" s="9" t="str">
        <x:f>IF(ABS(G145)&lt;0.000001,"PASS","FAIL")</x:f>
        <x:v>PASS</x:v>
      </x:c>
      <x:c r="I145" s="9" t="str">
        <x:v>Known Defects!23</x:v>
      </x:c>
    </x:row>
    <x:row r="146">
      <x:c r="B146" s="9" t="str">
        <x:v>AU-140</x:v>
      </x:c>
      <x:c r="C146" s="9" t="str">
        <x:v>defect</x:v>
      </x:c>
      <x:c r="D146" s="9" t="str">
        <x:v>standard design 18</x:v>
      </x:c>
      <x:c r="E146" s="15" t="n">
        <x:f>IF('Known Defects'!M24="PASS",1,0)</x:f>
        <x:v>1</x:v>
      </x:c>
      <x:c r="F146" s="15" t="n">
        <x:v>1</x:v>
      </x:c>
      <x:c r="G146" s="15" t="n">
        <x:f>E146-F146</x:f>
        <x:v>0</x:v>
      </x:c>
      <x:c r="H146" s="9" t="str">
        <x:f>IF(ABS(G146)&lt;0.000001,"PASS","FAIL")</x:f>
        <x:v>PASS</x:v>
      </x:c>
      <x:c r="I146" s="9" t="str">
        <x:v>Known Defects!24</x:v>
      </x:c>
    </x:row>
    <x:row r="147">
      <x:c r="B147" s="9" t="str">
        <x:v>AU-141</x:v>
      </x:c>
      <x:c r="C147" s="9" t="str">
        <x:v>defect</x:v>
      </x:c>
      <x:c r="D147" s="9" t="str">
        <x:v>standard design 19</x:v>
      </x:c>
      <x:c r="E147" s="15" t="n">
        <x:f>IF('Known Defects'!M25="PASS",1,0)</x:f>
        <x:v>1</x:v>
      </x:c>
      <x:c r="F147" s="15" t="n">
        <x:v>1</x:v>
      </x:c>
      <x:c r="G147" s="15" t="n">
        <x:f>E147-F147</x:f>
        <x:v>0</x:v>
      </x:c>
      <x:c r="H147" s="9" t="str">
        <x:f>IF(ABS(G147)&lt;0.000001,"PASS","FAIL")</x:f>
        <x:v>PASS</x:v>
      </x:c>
      <x:c r="I147" s="9" t="str">
        <x:v>Known Defects!25</x:v>
      </x:c>
    </x:row>
    <x:row r="148">
      <x:c r="B148" s="9" t="str">
        <x:v>AU-142</x:v>
      </x:c>
      <x:c r="C148" s="9" t="str">
        <x:v>defect</x:v>
      </x:c>
      <x:c r="D148" s="9" t="str">
        <x:v>standard design 20</x:v>
      </x:c>
      <x:c r="E148" s="15" t="n">
        <x:f>IF('Known Defects'!M26="PASS",1,0)</x:f>
        <x:v>1</x:v>
      </x:c>
      <x:c r="F148" s="15" t="n">
        <x:v>1</x:v>
      </x:c>
      <x:c r="G148" s="15" t="n">
        <x:f>E148-F148</x:f>
        <x:v>0</x:v>
      </x:c>
      <x:c r="H148" s="9" t="str">
        <x:f>IF(ABS(G148)&lt;0.000001,"PASS","FAIL")</x:f>
        <x:v>PASS</x:v>
      </x:c>
      <x:c r="I148" s="9" t="str">
        <x:v>Known Defects!26</x:v>
      </x:c>
    </x:row>
    <x:row r="149">
      <x:c r="B149" s="9" t="str">
        <x:v>AU-143</x:v>
      </x:c>
      <x:c r="C149" s="9" t="str">
        <x:v>defect</x:v>
      </x:c>
      <x:c r="D149" s="9" t="str">
        <x:v>standard design 21</x:v>
      </x:c>
      <x:c r="E149" s="15" t="n">
        <x:f>IF('Known Defects'!M27="PASS",1,0)</x:f>
        <x:v>1</x:v>
      </x:c>
      <x:c r="F149" s="15" t="n">
        <x:v>1</x:v>
      </x:c>
      <x:c r="G149" s="15" t="n">
        <x:f>E149-F149</x:f>
        <x:v>0</x:v>
      </x:c>
      <x:c r="H149" s="9" t="str">
        <x:f>IF(ABS(G149)&lt;0.000001,"PASS","FAIL")</x:f>
        <x:v>PASS</x:v>
      </x:c>
      <x:c r="I149" s="9" t="str">
        <x:v>Known Defects!27</x:v>
      </x:c>
    </x:row>
    <x:row r="150">
      <x:c r="B150" s="9" t="str">
        <x:v>AU-144</x:v>
      </x:c>
      <x:c r="C150" s="9" t="str">
        <x:v>defect</x:v>
      </x:c>
      <x:c r="D150" s="9" t="str">
        <x:v>standard design 22</x:v>
      </x:c>
      <x:c r="E150" s="15" t="n">
        <x:f>IF('Known Defects'!M28="PASS",1,0)</x:f>
        <x:v>1</x:v>
      </x:c>
      <x:c r="F150" s="15" t="n">
        <x:v>1</x:v>
      </x:c>
      <x:c r="G150" s="15" t="n">
        <x:f>E150-F150</x:f>
        <x:v>0</x:v>
      </x:c>
      <x:c r="H150" s="9" t="str">
        <x:f>IF(ABS(G150)&lt;0.000001,"PASS","FAIL")</x:f>
        <x:v>PASS</x:v>
      </x:c>
      <x:c r="I150" s="9" t="str">
        <x:v>Known Defects!28</x:v>
      </x:c>
    </x:row>
    <x:row r="151">
      <x:c r="B151" s="9" t="str">
        <x:v>AU-145</x:v>
      </x:c>
      <x:c r="C151" s="9" t="str">
        <x:v>defect</x:v>
      </x:c>
      <x:c r="D151" s="9" t="str">
        <x:v>standard design 23</x:v>
      </x:c>
      <x:c r="E151" s="15" t="n">
        <x:f>IF('Known Defects'!M29="PASS",1,0)</x:f>
        <x:v>1</x:v>
      </x:c>
      <x:c r="F151" s="15" t="n">
        <x:v>1</x:v>
      </x:c>
      <x:c r="G151" s="15" t="n">
        <x:f>E151-F151</x:f>
        <x:v>0</x:v>
      </x:c>
      <x:c r="H151" s="9" t="str">
        <x:f>IF(ABS(G151)&lt;0.000001,"PASS","FAIL")</x:f>
        <x:v>PASS</x:v>
      </x:c>
      <x:c r="I151" s="9" t="str">
        <x:v>Known Defects!29</x:v>
      </x:c>
    </x:row>
    <x:row r="152">
      <x:c r="B152" s="9" t="str">
        <x:v>AU-146</x:v>
      </x:c>
      <x:c r="C152" s="9" t="str">
        <x:v>defect</x:v>
      </x:c>
      <x:c r="D152" s="9" t="str">
        <x:v>standard design 24</x:v>
      </x:c>
      <x:c r="E152" s="15" t="n">
        <x:f>IF('Known Defects'!M30="PASS",1,0)</x:f>
        <x:v>1</x:v>
      </x:c>
      <x:c r="F152" s="15" t="n">
        <x:v>1</x:v>
      </x:c>
      <x:c r="G152" s="15" t="n">
        <x:f>E152-F152</x:f>
        <x:v>0</x:v>
      </x:c>
      <x:c r="H152" s="9" t="str">
        <x:f>IF(ABS(G152)&lt;0.000001,"PASS","FAIL")</x:f>
        <x:v>PASS</x:v>
      </x:c>
      <x:c r="I152" s="9" t="str">
        <x:v>Known Defects!30</x:v>
      </x:c>
    </x:row>
    <x:row r="153">
      <x:c r="B153" s="9" t="str">
        <x:v>AU-147</x:v>
      </x:c>
      <x:c r="C153" s="9" t="str">
        <x:v>defect</x:v>
      </x:c>
      <x:c r="D153" s="9" t="str">
        <x:v>standard design 25</x:v>
      </x:c>
      <x:c r="E153" s="15" t="n">
        <x:f>IF('Known Defects'!M31="PASS",1,0)</x:f>
        <x:v>1</x:v>
      </x:c>
      <x:c r="F153" s="15" t="n">
        <x:v>1</x:v>
      </x:c>
      <x:c r="G153" s="15" t="n">
        <x:f>E153-F153</x:f>
        <x:v>0</x:v>
      </x:c>
      <x:c r="H153" s="9" t="str">
        <x:f>IF(ABS(G153)&lt;0.000001,"PASS","FAIL")</x:f>
        <x:v>PASS</x:v>
      </x:c>
      <x:c r="I153" s="9" t="str">
        <x:v>Known Defects!31</x:v>
      </x:c>
    </x:row>
    <x:row r="154">
      <x:c r="B154" s="9" t="str">
        <x:v>AU-148</x:v>
      </x:c>
      <x:c r="C154" s="9" t="str">
        <x:v>defect</x:v>
      </x:c>
      <x:c r="D154" s="9" t="str">
        <x:v>standard design 26</x:v>
      </x:c>
      <x:c r="E154" s="15" t="n">
        <x:f>IF('Known Defects'!M32="PASS",1,0)</x:f>
        <x:v>1</x:v>
      </x:c>
      <x:c r="F154" s="15" t="n">
        <x:v>1</x:v>
      </x:c>
      <x:c r="G154" s="15" t="n">
        <x:f>E154-F154</x:f>
        <x:v>0</x:v>
      </x:c>
      <x:c r="H154" s="9" t="str">
        <x:f>IF(ABS(G154)&lt;0.000001,"PASS","FAIL")</x:f>
        <x:v>PASS</x:v>
      </x:c>
      <x:c r="I154" s="9" t="str">
        <x:v>Known Defects!32</x:v>
      </x:c>
    </x:row>
    <x:row r="155">
      <x:c r="B155" s="9" t="str">
        <x:v>AU-149</x:v>
      </x:c>
      <x:c r="C155" s="9" t="str">
        <x:v>defect</x:v>
      </x:c>
      <x:c r="D155" s="9" t="str">
        <x:v>standard design 27</x:v>
      </x:c>
      <x:c r="E155" s="15" t="n">
        <x:f>IF('Known Defects'!M33="PASS",1,0)</x:f>
        <x:v>1</x:v>
      </x:c>
      <x:c r="F155" s="15" t="n">
        <x:v>1</x:v>
      </x:c>
      <x:c r="G155" s="15" t="n">
        <x:f>E155-F155</x:f>
        <x:v>0</x:v>
      </x:c>
      <x:c r="H155" s="9" t="str">
        <x:f>IF(ABS(G155)&lt;0.000001,"PASS","FAIL")</x:f>
        <x:v>PASS</x:v>
      </x:c>
      <x:c r="I155" s="9" t="str">
        <x:v>Known Defects!33</x:v>
      </x:c>
    </x:row>
    <x:row r="156">
      <x:c r="B156" s="9" t="str">
        <x:v>AU-150</x:v>
      </x:c>
      <x:c r="C156" s="9" t="str">
        <x:v>defect</x:v>
      </x:c>
      <x:c r="D156" s="9" t="str">
        <x:v>standard design 28</x:v>
      </x:c>
      <x:c r="E156" s="15" t="n">
        <x:f>IF('Known Defects'!M34="PASS",1,0)</x:f>
        <x:v>1</x:v>
      </x:c>
      <x:c r="F156" s="15" t="n">
        <x:v>1</x:v>
      </x:c>
      <x:c r="G156" s="15" t="n">
        <x:f>E156-F156</x:f>
        <x:v>0</x:v>
      </x:c>
      <x:c r="H156" s="9" t="str">
        <x:f>IF(ABS(G156)&lt;0.000001,"PASS","FAIL")</x:f>
        <x:v>PASS</x:v>
      </x:c>
      <x:c r="I156" s="9" t="str">
        <x:v>Known Defects!34</x:v>
      </x:c>
    </x:row>
    <x:row r="157">
      <x:c r="B157" s="9" t="str">
        <x:v>AU-151</x:v>
      </x:c>
      <x:c r="C157" s="9" t="str">
        <x:v>defect</x:v>
      </x:c>
      <x:c r="D157" s="9" t="str">
        <x:v>standard design 29</x:v>
      </x:c>
      <x:c r="E157" s="15" t="n">
        <x:f>IF('Known Defects'!M35="PASS",1,0)</x:f>
        <x:v>1</x:v>
      </x:c>
      <x:c r="F157" s="15" t="n">
        <x:v>1</x:v>
      </x:c>
      <x:c r="G157" s="15" t="n">
        <x:f>E157-F157</x:f>
        <x:v>0</x:v>
      </x:c>
      <x:c r="H157" s="9" t="str">
        <x:f>IF(ABS(G157)&lt;0.000001,"PASS","FAIL")</x:f>
        <x:v>PASS</x:v>
      </x:c>
      <x:c r="I157" s="9" t="str">
        <x:v>Known Defects!35</x:v>
      </x:c>
    </x:row>
    <x:row r="158">
      <x:c r="B158" s="9" t="str">
        <x:v>AU-152</x:v>
      </x:c>
      <x:c r="C158" s="9" t="str">
        <x:v>defect</x:v>
      </x:c>
      <x:c r="D158" s="9" t="str">
        <x:v>standard design 30</x:v>
      </x:c>
      <x:c r="E158" s="15" t="n">
        <x:f>IF('Known Defects'!M36="PASS",1,0)</x:f>
        <x:v>1</x:v>
      </x:c>
      <x:c r="F158" s="15" t="n">
        <x:v>1</x:v>
      </x:c>
      <x:c r="G158" s="15" t="n">
        <x:f>E158-F158</x:f>
        <x:v>0</x:v>
      </x:c>
      <x:c r="H158" s="9" t="str">
        <x:f>IF(ABS(G158)&lt;0.000001,"PASS","FAIL")</x:f>
        <x:v>PASS</x:v>
      </x:c>
      <x:c r="I158" s="9" t="str">
        <x:v>Known Defects!36</x:v>
      </x:c>
    </x:row>
    <x:row r="159">
      <x:c r="B159" s="9" t="str">
        <x:v>AU-153</x:v>
      </x:c>
      <x:c r="C159" s="9" t="str">
        <x:v>defect</x:v>
      </x:c>
      <x:c r="D159" s="9" t="str">
        <x:v>standard design 31</x:v>
      </x:c>
      <x:c r="E159" s="15" t="n">
        <x:f>IF('Known Defects'!M37="PASS",1,0)</x:f>
        <x:v>1</x:v>
      </x:c>
      <x:c r="F159" s="15" t="n">
        <x:v>1</x:v>
      </x:c>
      <x:c r="G159" s="15" t="n">
        <x:f>E159-F159</x:f>
        <x:v>0</x:v>
      </x:c>
      <x:c r="H159" s="9" t="str">
        <x:f>IF(ABS(G159)&lt;0.000001,"PASS","FAIL")</x:f>
        <x:v>PASS</x:v>
      </x:c>
      <x:c r="I159" s="9" t="str">
        <x:v>Known Defects!37</x:v>
      </x:c>
    </x:row>
    <x:row r="160">
      <x:c r="B160" s="9" t="str">
        <x:v>AU-154</x:v>
      </x:c>
      <x:c r="C160" s="9" t="str">
        <x:v>defect</x:v>
      </x:c>
      <x:c r="D160" s="9" t="str">
        <x:v>standard design 32</x:v>
      </x:c>
      <x:c r="E160" s="15" t="n">
        <x:f>IF('Known Defects'!M38="PASS",1,0)</x:f>
        <x:v>1</x:v>
      </x:c>
      <x:c r="F160" s="15" t="n">
        <x:v>1</x:v>
      </x:c>
      <x:c r="G160" s="15" t="n">
        <x:f>E160-F160</x:f>
        <x:v>0</x:v>
      </x:c>
      <x:c r="H160" s="9" t="str">
        <x:f>IF(ABS(G160)&lt;0.000001,"PASS","FAIL")</x:f>
        <x:v>PASS</x:v>
      </x:c>
      <x:c r="I160" s="9" t="str">
        <x:v>Known Defects!38</x:v>
      </x:c>
    </x:row>
    <x:row r="161">
      <x:c r="B161" s="9" t="str">
        <x:v>AU-155</x:v>
      </x:c>
      <x:c r="C161" s="9" t="str">
        <x:v>defect</x:v>
      </x:c>
      <x:c r="D161" s="9" t="str">
        <x:v>standard design 33</x:v>
      </x:c>
      <x:c r="E161" s="15" t="n">
        <x:f>IF('Known Defects'!M39="PASS",1,0)</x:f>
        <x:v>1</x:v>
      </x:c>
      <x:c r="F161" s="15" t="n">
        <x:v>1</x:v>
      </x:c>
      <x:c r="G161" s="15" t="n">
        <x:f>E161-F161</x:f>
        <x:v>0</x:v>
      </x:c>
      <x:c r="H161" s="9" t="str">
        <x:f>IF(ABS(G161)&lt;0.000001,"PASS","FAIL")</x:f>
        <x:v>PASS</x:v>
      </x:c>
      <x:c r="I161" s="9" t="str">
        <x:v>Known Defects!39</x:v>
      </x:c>
    </x:row>
    <x:row r="162">
      <x:c r="B162" s="9" t="str">
        <x:v>AU-156</x:v>
      </x:c>
      <x:c r="C162" s="9" t="str">
        <x:v>defect</x:v>
      </x:c>
      <x:c r="D162" s="9" t="str">
        <x:v>standard design 34</x:v>
      </x:c>
      <x:c r="E162" s="15" t="n">
        <x:f>IF('Known Defects'!M40="PASS",1,0)</x:f>
        <x:v>1</x:v>
      </x:c>
      <x:c r="F162" s="15" t="n">
        <x:v>1</x:v>
      </x:c>
      <x:c r="G162" s="15" t="n">
        <x:f>E162-F162</x:f>
        <x:v>0</x:v>
      </x:c>
      <x:c r="H162" s="9" t="str">
        <x:f>IF(ABS(G162)&lt;0.000001,"PASS","FAIL")</x:f>
        <x:v>PASS</x:v>
      </x:c>
      <x:c r="I162" s="9" t="str">
        <x:v>Known Defects!40</x:v>
      </x:c>
    </x:row>
    <x:row r="163">
      <x:c r="B163" s="9" t="str">
        <x:v>AU-157</x:v>
      </x:c>
      <x:c r="C163" s="9" t="str">
        <x:v>defect</x:v>
      </x:c>
      <x:c r="D163" s="9" t="str">
        <x:v>standard design 35</x:v>
      </x:c>
      <x:c r="E163" s="15" t="n">
        <x:f>IF('Known Defects'!M41="PASS",1,0)</x:f>
        <x:v>1</x:v>
      </x:c>
      <x:c r="F163" s="15" t="n">
        <x:v>1</x:v>
      </x:c>
      <x:c r="G163" s="15" t="n">
        <x:f>E163-F163</x:f>
        <x:v>0</x:v>
      </x:c>
      <x:c r="H163" s="9" t="str">
        <x:f>IF(ABS(G163)&lt;0.000001,"PASS","FAIL")</x:f>
        <x:v>PASS</x:v>
      </x:c>
      <x:c r="I163" s="9" t="str">
        <x:v>Known Defects!41</x:v>
      </x:c>
    </x:row>
    <x:row r="164">
      <x:c r="B164" s="9" t="str">
        <x:v>AU-158</x:v>
      </x:c>
      <x:c r="C164" s="9" t="str">
        <x:v>defect</x:v>
      </x:c>
      <x:c r="D164" s="9" t="str">
        <x:v>standard design 36</x:v>
      </x:c>
      <x:c r="E164" s="15" t="n">
        <x:f>IF('Known Defects'!M42="PASS",1,0)</x:f>
        <x:v>1</x:v>
      </x:c>
      <x:c r="F164" s="15" t="n">
        <x:v>1</x:v>
      </x:c>
      <x:c r="G164" s="15" t="n">
        <x:f>E164-F164</x:f>
        <x:v>0</x:v>
      </x:c>
      <x:c r="H164" s="9" t="str">
        <x:f>IF(ABS(G164)&lt;0.000001,"PASS","FAIL")</x:f>
        <x:v>PASS</x:v>
      </x:c>
      <x:c r="I164" s="9" t="str">
        <x:v>Known Defects!42</x:v>
      </x:c>
    </x:row>
    <x:row r="165">
      <x:c r="B165" s="9" t="str">
        <x:v>AU-159</x:v>
      </x:c>
      <x:c r="C165" s="9" t="str">
        <x:v>defect</x:v>
      </x:c>
      <x:c r="D165" s="9" t="str">
        <x:v>standard design 37</x:v>
      </x:c>
      <x:c r="E165" s="15" t="n">
        <x:f>IF('Known Defects'!M43="PASS",1,0)</x:f>
        <x:v>1</x:v>
      </x:c>
      <x:c r="F165" s="15" t="n">
        <x:v>1</x:v>
      </x:c>
      <x:c r="G165" s="15" t="n">
        <x:f>E165-F165</x:f>
        <x:v>0</x:v>
      </x:c>
      <x:c r="H165" s="9" t="str">
        <x:f>IF(ABS(G165)&lt;0.000001,"PASS","FAIL")</x:f>
        <x:v>PASS</x:v>
      </x:c>
      <x:c r="I165" s="9" t="str">
        <x:v>Known Defects!43</x:v>
      </x:c>
    </x:row>
    <x:row r="166">
      <x:c r="B166" s="9" t="str">
        <x:v>AU-160</x:v>
      </x:c>
      <x:c r="C166" s="9" t="str">
        <x:v>defect</x:v>
      </x:c>
      <x:c r="D166" s="9" t="str">
        <x:v>standard design 38</x:v>
      </x:c>
      <x:c r="E166" s="15" t="n">
        <x:f>IF('Known Defects'!M44="PASS",1,0)</x:f>
        <x:v>1</x:v>
      </x:c>
      <x:c r="F166" s="15" t="n">
        <x:v>1</x:v>
      </x:c>
      <x:c r="G166" s="15" t="n">
        <x:f>E166-F166</x:f>
        <x:v>0</x:v>
      </x:c>
      <x:c r="H166" s="9" t="str">
        <x:f>IF(ABS(G166)&lt;0.000001,"PASS","FAIL")</x:f>
        <x:v>PASS</x:v>
      </x:c>
      <x:c r="I166" s="9" t="str">
        <x:v>Known Defects!44</x:v>
      </x:c>
    </x:row>
    <x:row r="167">
      <x:c r="B167" s="9" t="str">
        <x:v>AU-161</x:v>
      </x:c>
      <x:c r="C167" s="9" t="str">
        <x:v>defect</x:v>
      </x:c>
      <x:c r="D167" s="9" t="str">
        <x:v>standard design 39</x:v>
      </x:c>
      <x:c r="E167" s="15" t="n">
        <x:f>IF('Known Defects'!M45="PASS",1,0)</x:f>
        <x:v>1</x:v>
      </x:c>
      <x:c r="F167" s="15" t="n">
        <x:v>1</x:v>
      </x:c>
      <x:c r="G167" s="15" t="n">
        <x:f>E167-F167</x:f>
        <x:v>0</x:v>
      </x:c>
      <x:c r="H167" s="9" t="str">
        <x:f>IF(ABS(G167)&lt;0.000001,"PASS","FAIL")</x:f>
        <x:v>PASS</x:v>
      </x:c>
      <x:c r="I167" s="9" t="str">
        <x:v>Known Defects!45</x:v>
      </x:c>
    </x:row>
    <x:row r="168">
      <x:c r="B168" s="9" t="str">
        <x:v>AU-162</x:v>
      </x:c>
      <x:c r="C168" s="9" t="str">
        <x:v>defect</x:v>
      </x:c>
      <x:c r="D168" s="9" t="str">
        <x:v>standard design 40</x:v>
      </x:c>
      <x:c r="E168" s="15" t="n">
        <x:f>IF('Known Defects'!M46="PASS",1,0)</x:f>
        <x:v>1</x:v>
      </x:c>
      <x:c r="F168" s="15" t="n">
        <x:v>1</x:v>
      </x:c>
      <x:c r="G168" s="15" t="n">
        <x:f>E168-F168</x:f>
        <x:v>0</x:v>
      </x:c>
      <x:c r="H168" s="9" t="str">
        <x:f>IF(ABS(G168)&lt;0.000001,"PASS","FAIL")</x:f>
        <x:v>PASS</x:v>
      </x:c>
      <x:c r="I168" s="9" t="str">
        <x:v>Known Defects!46</x:v>
      </x:c>
    </x:row>
    <x:row r="169">
      <x:c r="B169" s="9" t="str">
        <x:v>AU-163</x:v>
      </x:c>
      <x:c r="C169" s="9" t="str">
        <x:v>defect</x:v>
      </x:c>
      <x:c r="D169" s="9" t="str">
        <x:v>standard design 41</x:v>
      </x:c>
      <x:c r="E169" s="15" t="n">
        <x:f>IF('Known Defects'!M47="PASS",1,0)</x:f>
        <x:v>1</x:v>
      </x:c>
      <x:c r="F169" s="15" t="n">
        <x:v>1</x:v>
      </x:c>
      <x:c r="G169" s="15" t="n">
        <x:f>E169-F169</x:f>
        <x:v>0</x:v>
      </x:c>
      <x:c r="H169" s="9" t="str">
        <x:f>IF(ABS(G169)&lt;0.000001,"PASS","FAIL")</x:f>
        <x:v>PASS</x:v>
      </x:c>
      <x:c r="I169" s="9" t="str">
        <x:v>Known Defects!47</x:v>
      </x:c>
    </x:row>
    <x:row r="170">
      <x:c r="B170" s="9" t="str">
        <x:v>AU-164</x:v>
      </x:c>
      <x:c r="C170" s="9" t="str">
        <x:v>defect</x:v>
      </x:c>
      <x:c r="D170" s="9" t="str">
        <x:v>standard design 42</x:v>
      </x:c>
      <x:c r="E170" s="15" t="n">
        <x:f>IF('Known Defects'!M48="PASS",1,0)</x:f>
        <x:v>1</x:v>
      </x:c>
      <x:c r="F170" s="15" t="n">
        <x:v>1</x:v>
      </x:c>
      <x:c r="G170" s="15" t="n">
        <x:f>E170-F170</x:f>
        <x:v>0</x:v>
      </x:c>
      <x:c r="H170" s="9" t="str">
        <x:f>IF(ABS(G170)&lt;0.000001,"PASS","FAIL")</x:f>
        <x:v>PASS</x:v>
      </x:c>
      <x:c r="I170" s="9" t="str">
        <x:v>Known Defects!48</x:v>
      </x:c>
    </x:row>
    <x:row r="171">
      <x:c r="B171" s="9" t="str">
        <x:v>AU-165</x:v>
      </x:c>
      <x:c r="C171" s="9" t="str">
        <x:v>defect</x:v>
      </x:c>
      <x:c r="D171" s="9" t="str">
        <x:v>standard design 43</x:v>
      </x:c>
      <x:c r="E171" s="15" t="n">
        <x:f>IF('Known Defects'!M49="PASS",1,0)</x:f>
        <x:v>1</x:v>
      </x:c>
      <x:c r="F171" s="15" t="n">
        <x:v>1</x:v>
      </x:c>
      <x:c r="G171" s="15" t="n">
        <x:f>E171-F171</x:f>
        <x:v>0</x:v>
      </x:c>
      <x:c r="H171" s="9" t="str">
        <x:f>IF(ABS(G171)&lt;0.000001,"PASS","FAIL")</x:f>
        <x:v>PASS</x:v>
      </x:c>
      <x:c r="I171" s="9" t="str">
        <x:v>Known Defects!49</x:v>
      </x:c>
    </x:row>
    <x:row r="172">
      <x:c r="B172" s="9" t="str">
        <x:v>AU-166</x:v>
      </x:c>
      <x:c r="C172" s="9" t="str">
        <x:v>defect</x:v>
      </x:c>
      <x:c r="D172" s="9" t="str">
        <x:v>standard design 44</x:v>
      </x:c>
      <x:c r="E172" s="15" t="n">
        <x:f>IF('Known Defects'!M50="PASS",1,0)</x:f>
        <x:v>1</x:v>
      </x:c>
      <x:c r="F172" s="15" t="n">
        <x:v>1</x:v>
      </x:c>
      <x:c r="G172" s="15" t="n">
        <x:f>E172-F172</x:f>
        <x:v>0</x:v>
      </x:c>
      <x:c r="H172" s="9" t="str">
        <x:f>IF(ABS(G172)&lt;0.000001,"PASS","FAIL")</x:f>
        <x:v>PASS</x:v>
      </x:c>
      <x:c r="I172" s="9" t="str">
        <x:v>Known Defects!50</x:v>
      </x:c>
    </x:row>
    <x:row r="173">
      <x:c r="B173" s="9" t="str">
        <x:v>AU-167</x:v>
      </x:c>
      <x:c r="C173" s="9" t="str">
        <x:v>defect</x:v>
      </x:c>
      <x:c r="D173" s="9" t="str">
        <x:v>standard design 45</x:v>
      </x:c>
      <x:c r="E173" s="15" t="n">
        <x:f>IF('Known Defects'!M51="PASS",1,0)</x:f>
        <x:v>1</x:v>
      </x:c>
      <x:c r="F173" s="15" t="n">
        <x:v>1</x:v>
      </x:c>
      <x:c r="G173" s="15" t="n">
        <x:f>E173-F173</x:f>
        <x:v>0</x:v>
      </x:c>
      <x:c r="H173" s="9" t="str">
        <x:f>IF(ABS(G173)&lt;0.000001,"PASS","FAIL")</x:f>
        <x:v>PASS</x:v>
      </x:c>
      <x:c r="I173" s="9" t="str">
        <x:v>Known Defects!51</x:v>
      </x:c>
    </x:row>
    <x:row r="174">
      <x:c r="B174" s="9" t="str">
        <x:v>AU-168</x:v>
      </x:c>
      <x:c r="C174" s="9" t="str">
        <x:v>defect</x:v>
      </x:c>
      <x:c r="D174" s="9" t="str">
        <x:v>standard design 46</x:v>
      </x:c>
      <x:c r="E174" s="15" t="n">
        <x:f>IF('Known Defects'!M52="PASS",1,0)</x:f>
        <x:v>1</x:v>
      </x:c>
      <x:c r="F174" s="15" t="n">
        <x:v>1</x:v>
      </x:c>
      <x:c r="G174" s="15" t="n">
        <x:f>E174-F174</x:f>
        <x:v>0</x:v>
      </x:c>
      <x:c r="H174" s="9" t="str">
        <x:f>IF(ABS(G174)&lt;0.000001,"PASS","FAIL")</x:f>
        <x:v>PASS</x:v>
      </x:c>
      <x:c r="I174" s="9" t="str">
        <x:v>Known Defects!52</x:v>
      </x:c>
    </x:row>
    <x:row r="175">
      <x:c r="B175" s="9" t="str">
        <x:v>AU-169</x:v>
      </x:c>
      <x:c r="C175" s="9" t="str">
        <x:v>defect</x:v>
      </x:c>
      <x:c r="D175" s="9" t="str">
        <x:v>standard design 47</x:v>
      </x:c>
      <x:c r="E175" s="15" t="n">
        <x:f>IF('Known Defects'!M53="PASS",1,0)</x:f>
        <x:v>1</x:v>
      </x:c>
      <x:c r="F175" s="15" t="n">
        <x:v>1</x:v>
      </x:c>
      <x:c r="G175" s="15" t="n">
        <x:f>E175-F175</x:f>
        <x:v>0</x:v>
      </x:c>
      <x:c r="H175" s="9" t="str">
        <x:f>IF(ABS(G175)&lt;0.000001,"PASS","FAIL")</x:f>
        <x:v>PASS</x:v>
      </x:c>
      <x:c r="I175" s="9" t="str">
        <x:v>Known Defects!53</x:v>
      </x:c>
    </x:row>
    <x:row r="176">
      <x:c r="B176" s="9" t="str">
        <x:v>AU-170</x:v>
      </x:c>
      <x:c r="C176" s="9" t="str">
        <x:v>defect</x:v>
      </x:c>
      <x:c r="D176" s="9" t="str">
        <x:v>standard design 48</x:v>
      </x:c>
      <x:c r="E176" s="15" t="n">
        <x:f>IF('Known Defects'!M54="PASS",1,0)</x:f>
        <x:v>1</x:v>
      </x:c>
      <x:c r="F176" s="15" t="n">
        <x:v>1</x:v>
      </x:c>
      <x:c r="G176" s="15" t="n">
        <x:f>E176-F176</x:f>
        <x:v>0</x:v>
      </x:c>
      <x:c r="H176" s="9" t="str">
        <x:f>IF(ABS(G176)&lt;0.000001,"PASS","FAIL")</x:f>
        <x:v>PASS</x:v>
      </x:c>
      <x:c r="I176" s="9" t="str">
        <x:v>Known Defects!54</x:v>
      </x:c>
    </x:row>
    <x:row r="177">
      <x:c r="B177" s="9" t="str">
        <x:v>AU-171</x:v>
      </x:c>
      <x:c r="C177" s="9" t="str">
        <x:v>defect</x:v>
      </x:c>
      <x:c r="D177" s="9" t="str">
        <x:v>standard design 49</x:v>
      </x:c>
      <x:c r="E177" s="15" t="n">
        <x:f>IF('Known Defects'!M55="PASS",1,0)</x:f>
        <x:v>1</x:v>
      </x:c>
      <x:c r="F177" s="15" t="n">
        <x:v>1</x:v>
      </x:c>
      <x:c r="G177" s="15" t="n">
        <x:f>E177-F177</x:f>
        <x:v>0</x:v>
      </x:c>
      <x:c r="H177" s="9" t="str">
        <x:f>IF(ABS(G177)&lt;0.000001,"PASS","FAIL")</x:f>
        <x:v>PASS</x:v>
      </x:c>
      <x:c r="I177" s="9" t="str">
        <x:v>Known Defects!55</x:v>
      </x:c>
    </x:row>
    <x:row r="178">
      <x:c r="B178" s="9" t="str">
        <x:v>AU-172</x:v>
      </x:c>
      <x:c r="C178" s="9" t="str">
        <x:v>defect</x:v>
      </x:c>
      <x:c r="D178" s="9" t="str">
        <x:v>standard design 50</x:v>
      </x:c>
      <x:c r="E178" s="15" t="n">
        <x:f>IF('Known Defects'!M56="PASS",1,0)</x:f>
        <x:v>1</x:v>
      </x:c>
      <x:c r="F178" s="15" t="n">
        <x:v>1</x:v>
      </x:c>
      <x:c r="G178" s="15" t="n">
        <x:f>E178-F178</x:f>
        <x:v>0</x:v>
      </x:c>
      <x:c r="H178" s="9" t="str">
        <x:f>IF(ABS(G178)&lt;0.000001,"PASS","FAIL")</x:f>
        <x:v>PASS</x:v>
      </x:c>
      <x:c r="I178" s="9" t="str">
        <x:v>Known Defects!56</x:v>
      </x:c>
    </x:row>
    <x:row r="179">
      <x:c r="B179" s="9" t="str">
        <x:v>AU-173</x:v>
      </x:c>
      <x:c r="C179" s="9" t="str">
        <x:v>defect</x:v>
      </x:c>
      <x:c r="D179" s="9" t="str">
        <x:v>standard design 51</x:v>
      </x:c>
      <x:c r="E179" s="15" t="n">
        <x:f>IF('Known Defects'!M57="PASS",1,0)</x:f>
        <x:v>1</x:v>
      </x:c>
      <x:c r="F179" s="15" t="n">
        <x:v>1</x:v>
      </x:c>
      <x:c r="G179" s="15" t="n">
        <x:f>E179-F179</x:f>
        <x:v>0</x:v>
      </x:c>
      <x:c r="H179" s="9" t="str">
        <x:f>IF(ABS(G179)&lt;0.000001,"PASS","FAIL")</x:f>
        <x:v>PASS</x:v>
      </x:c>
      <x:c r="I179" s="9" t="str">
        <x:v>Known Defects!57</x:v>
      </x:c>
    </x:row>
    <x:row r="180">
      <x:c r="B180" s="9" t="str">
        <x:v>AU-174</x:v>
      </x:c>
      <x:c r="C180" s="9" t="str">
        <x:v>defect</x:v>
      </x:c>
      <x:c r="D180" s="9" t="str">
        <x:v>standard design 52</x:v>
      </x:c>
      <x:c r="E180" s="15" t="n">
        <x:f>IF('Known Defects'!M58="PASS",1,0)</x:f>
        <x:v>1</x:v>
      </x:c>
      <x:c r="F180" s="15" t="n">
        <x:v>1</x:v>
      </x:c>
      <x:c r="G180" s="15" t="n">
        <x:f>E180-F180</x:f>
        <x:v>0</x:v>
      </x:c>
      <x:c r="H180" s="9" t="str">
        <x:f>IF(ABS(G180)&lt;0.000001,"PASS","FAIL")</x:f>
        <x:v>PASS</x:v>
      </x:c>
      <x:c r="I180" s="9" t="str">
        <x:v>Known Defects!58</x:v>
      </x:c>
    </x:row>
    <x:row r="181">
      <x:c r="B181" s="9" t="str">
        <x:v>AU-175</x:v>
      </x:c>
      <x:c r="C181" s="9" t="str">
        <x:v>defect</x:v>
      </x:c>
      <x:c r="D181" s="9" t="str">
        <x:v>standard design 53</x:v>
      </x:c>
      <x:c r="E181" s="15" t="n">
        <x:f>IF('Known Defects'!M59="PASS",1,0)</x:f>
        <x:v>1</x:v>
      </x:c>
      <x:c r="F181" s="15" t="n">
        <x:v>1</x:v>
      </x:c>
      <x:c r="G181" s="15" t="n">
        <x:f>E181-F181</x:f>
        <x:v>0</x:v>
      </x:c>
      <x:c r="H181" s="9" t="str">
        <x:f>IF(ABS(G181)&lt;0.000001,"PASS","FAIL")</x:f>
        <x:v>PASS</x:v>
      </x:c>
      <x:c r="I181" s="9" t="str">
        <x:v>Known Defects!59</x:v>
      </x:c>
    </x:row>
    <x:row r="182">
      <x:c r="B182" s="9" t="str">
        <x:v>AU-176</x:v>
      </x:c>
      <x:c r="C182" s="9" t="str">
        <x:v>defect</x:v>
      </x:c>
      <x:c r="D182" s="9" t="str">
        <x:v>standard design 54</x:v>
      </x:c>
      <x:c r="E182" s="15" t="n">
        <x:f>IF('Known Defects'!M60="PASS",1,0)</x:f>
        <x:v>1</x:v>
      </x:c>
      <x:c r="F182" s="15" t="n">
        <x:v>1</x:v>
      </x:c>
      <x:c r="G182" s="15" t="n">
        <x:f>E182-F182</x:f>
        <x:v>0</x:v>
      </x:c>
      <x:c r="H182" s="9" t="str">
        <x:f>IF(ABS(G182)&lt;0.000001,"PASS","FAIL")</x:f>
        <x:v>PASS</x:v>
      </x:c>
      <x:c r="I182" s="9" t="str">
        <x:v>Known Defects!60</x:v>
      </x:c>
    </x:row>
    <x:row r="183">
      <x:c r="B183" s="9" t="str">
        <x:v>AU-177</x:v>
      </x:c>
      <x:c r="C183" s="9" t="str">
        <x:v>defect</x:v>
      </x:c>
      <x:c r="D183" s="9" t="str">
        <x:v>standard design 55</x:v>
      </x:c>
      <x:c r="E183" s="15" t="n">
        <x:f>IF('Known Defects'!M61="PASS",1,0)</x:f>
        <x:v>1</x:v>
      </x:c>
      <x:c r="F183" s="15" t="n">
        <x:v>1</x:v>
      </x:c>
      <x:c r="G183" s="15" t="n">
        <x:f>E183-F183</x:f>
        <x:v>0</x:v>
      </x:c>
      <x:c r="H183" s="9" t="str">
        <x:f>IF(ABS(G183)&lt;0.000001,"PASS","FAIL")</x:f>
        <x:v>PASS</x:v>
      </x:c>
      <x:c r="I183" s="9" t="str">
        <x:v>Known Defects!61</x:v>
      </x:c>
    </x:row>
    <x:row r="184">
      <x:c r="B184" s="9" t="str">
        <x:v>AU-178</x:v>
      </x:c>
      <x:c r="C184" s="9" t="str">
        <x:v>defect</x:v>
      </x:c>
      <x:c r="D184" s="9" t="str">
        <x:v>standard design 56</x:v>
      </x:c>
      <x:c r="E184" s="15" t="n">
        <x:f>IF('Known Defects'!M62="PASS",1,0)</x:f>
        <x:v>1</x:v>
      </x:c>
      <x:c r="F184" s="15" t="n">
        <x:v>1</x:v>
      </x:c>
      <x:c r="G184" s="15" t="n">
        <x:f>E184-F184</x:f>
        <x:v>0</x:v>
      </x:c>
      <x:c r="H184" s="9" t="str">
        <x:f>IF(ABS(G184)&lt;0.000001,"PASS","FAIL")</x:f>
        <x:v>PASS</x:v>
      </x:c>
      <x:c r="I184" s="9" t="str">
        <x:v>Known Defects!62</x:v>
      </x:c>
    </x:row>
    <x:row r="185">
      <x:c r="B185" s="9" t="str">
        <x:v>AU-179</x:v>
      </x:c>
      <x:c r="C185" s="9" t="str">
        <x:v>defect</x:v>
      </x:c>
      <x:c r="D185" s="9" t="str">
        <x:v>standard design 57</x:v>
      </x:c>
      <x:c r="E185" s="15" t="n">
        <x:f>IF('Known Defects'!M63="PASS",1,0)</x:f>
        <x:v>1</x:v>
      </x:c>
      <x:c r="F185" s="15" t="n">
        <x:v>1</x:v>
      </x:c>
      <x:c r="G185" s="15" t="n">
        <x:f>E185-F185</x:f>
        <x:v>0</x:v>
      </x:c>
      <x:c r="H185" s="9" t="str">
        <x:f>IF(ABS(G185)&lt;0.000001,"PASS","FAIL")</x:f>
        <x:v>PASS</x:v>
      </x:c>
      <x:c r="I185" s="9" t="str">
        <x:v>Known Defects!63</x:v>
      </x:c>
    </x:row>
    <x:row r="186">
      <x:c r="B186" s="9" t="str">
        <x:v>AU-180</x:v>
      </x:c>
      <x:c r="C186" s="9" t="str">
        <x:v>defect</x:v>
      </x:c>
      <x:c r="D186" s="9" t="str">
        <x:v>standard design 58</x:v>
      </x:c>
      <x:c r="E186" s="15" t="n">
        <x:f>IF('Known Defects'!M64="PASS",1,0)</x:f>
        <x:v>1</x:v>
      </x:c>
      <x:c r="F186" s="15" t="n">
        <x:v>1</x:v>
      </x:c>
      <x:c r="G186" s="15" t="n">
        <x:f>E186-F186</x:f>
        <x:v>0</x:v>
      </x:c>
      <x:c r="H186" s="9" t="str">
        <x:f>IF(ABS(G186)&lt;0.000001,"PASS","FAIL")</x:f>
        <x:v>PASS</x:v>
      </x:c>
      <x:c r="I186" s="9" t="str">
        <x:v>Known Defects!64</x:v>
      </x:c>
    </x:row>
    <x:row r="187">
      <x:c r="B187" s="9" t="str">
        <x:v>AU-181</x:v>
      </x:c>
      <x:c r="C187" s="9" t="str">
        <x:v>defect</x:v>
      </x:c>
      <x:c r="D187" s="9" t="str">
        <x:v>standard design 59</x:v>
      </x:c>
      <x:c r="E187" s="15" t="n">
        <x:f>IF('Known Defects'!M65="PASS",1,0)</x:f>
        <x:v>1</x:v>
      </x:c>
      <x:c r="F187" s="15" t="n">
        <x:v>1</x:v>
      </x:c>
      <x:c r="G187" s="15" t="n">
        <x:f>E187-F187</x:f>
        <x:v>0</x:v>
      </x:c>
      <x:c r="H187" s="9" t="str">
        <x:f>IF(ABS(G187)&lt;0.000001,"PASS","FAIL")</x:f>
        <x:v>PASS</x:v>
      </x:c>
      <x:c r="I187" s="9" t="str">
        <x:v>Known Defects!65</x:v>
      </x:c>
    </x:row>
    <x:row r="188">
      <x:c r="B188" s="9" t="str">
        <x:v>AU-182</x:v>
      </x:c>
      <x:c r="C188" s="9" t="str">
        <x:v>defect</x:v>
      </x:c>
      <x:c r="D188" s="9" t="str">
        <x:v>standard design 60</x:v>
      </x:c>
      <x:c r="E188" s="15" t="n">
        <x:f>IF('Known Defects'!M66="PASS",1,0)</x:f>
        <x:v>1</x:v>
      </x:c>
      <x:c r="F188" s="15" t="n">
        <x:v>1</x:v>
      </x:c>
      <x:c r="G188" s="15" t="n">
        <x:f>E188-F188</x:f>
        <x:v>0</x:v>
      </x:c>
      <x:c r="H188" s="9" t="str">
        <x:f>IF(ABS(G188)&lt;0.000001,"PASS","FAIL")</x:f>
        <x:v>PASS</x:v>
      </x:c>
      <x:c r="I188" s="9" t="str">
        <x:v>Known Defects!66</x:v>
      </x:c>
    </x:row>
    <x:row r="189">
      <x:c r="B189" s="9" t="str">
        <x:v>AU-183</x:v>
      </x:c>
      <x:c r="C189" s="9" t="str">
        <x:v>defect</x:v>
      </x:c>
      <x:c r="D189" s="9" t="str">
        <x:v>standard design 61</x:v>
      </x:c>
      <x:c r="E189" s="15" t="n">
        <x:f>IF('Known Defects'!M67="PASS",1,0)</x:f>
        <x:v>1</x:v>
      </x:c>
      <x:c r="F189" s="15" t="n">
        <x:v>1</x:v>
      </x:c>
      <x:c r="G189" s="15" t="n">
        <x:f>E189-F189</x:f>
        <x:v>0</x:v>
      </x:c>
      <x:c r="H189" s="9" t="str">
        <x:f>IF(ABS(G189)&lt;0.000001,"PASS","FAIL")</x:f>
        <x:v>PASS</x:v>
      </x:c>
      <x:c r="I189" s="9" t="str">
        <x:v>Known Defects!67</x:v>
      </x:c>
    </x:row>
    <x:row r="190">
      <x:c r="B190" s="9" t="str">
        <x:v>AU-184</x:v>
      </x:c>
      <x:c r="C190" s="9" t="str">
        <x:v>defect</x:v>
      </x:c>
      <x:c r="D190" s="9" t="str">
        <x:v>standard design 62</x:v>
      </x:c>
      <x:c r="E190" s="15" t="n">
        <x:f>IF('Known Defects'!M68="PASS",1,0)</x:f>
        <x:v>1</x:v>
      </x:c>
      <x:c r="F190" s="15" t="n">
        <x:v>1</x:v>
      </x:c>
      <x:c r="G190" s="15" t="n">
        <x:f>E190-F190</x:f>
        <x:v>0</x:v>
      </x:c>
      <x:c r="H190" s="9" t="str">
        <x:f>IF(ABS(G190)&lt;0.000001,"PASS","FAIL")</x:f>
        <x:v>PASS</x:v>
      </x:c>
      <x:c r="I190" s="9" t="str">
        <x:v>Known Defects!68</x:v>
      </x:c>
    </x:row>
    <x:row r="191">
      <x:c r="B191" s="9" t="str">
        <x:v>AU-185</x:v>
      </x:c>
      <x:c r="C191" s="9" t="str">
        <x:v>defect</x:v>
      </x:c>
      <x:c r="D191" s="9" t="str">
        <x:v>standard design 63</x:v>
      </x:c>
      <x:c r="E191" s="15" t="n">
        <x:f>IF('Known Defects'!M69="PASS",1,0)</x:f>
        <x:v>1</x:v>
      </x:c>
      <x:c r="F191" s="15" t="n">
        <x:v>1</x:v>
      </x:c>
      <x:c r="G191" s="15" t="n">
        <x:f>E191-F191</x:f>
        <x:v>0</x:v>
      </x:c>
      <x:c r="H191" s="9" t="str">
        <x:f>IF(ABS(G191)&lt;0.000001,"PASS","FAIL")</x:f>
        <x:v>PASS</x:v>
      </x:c>
      <x:c r="I191" s="9" t="str">
        <x:v>Known Defects!69</x:v>
      </x:c>
    </x:row>
    <x:row r="192">
      <x:c r="B192" s="9" t="str">
        <x:v>AU-186</x:v>
      </x:c>
      <x:c r="C192" s="9" t="str">
        <x:v>defect</x:v>
      </x:c>
      <x:c r="D192" s="9" t="str">
        <x:v>standard design 64</x:v>
      </x:c>
      <x:c r="E192" s="15" t="n">
        <x:f>IF('Known Defects'!M70="PASS",1,0)</x:f>
        <x:v>1</x:v>
      </x:c>
      <x:c r="F192" s="15" t="n">
        <x:v>1</x:v>
      </x:c>
      <x:c r="G192" s="15" t="n">
        <x:f>E192-F192</x:f>
        <x:v>0</x:v>
      </x:c>
      <x:c r="H192" s="9" t="str">
        <x:f>IF(ABS(G192)&lt;0.000001,"PASS","FAIL")</x:f>
        <x:v>PASS</x:v>
      </x:c>
      <x:c r="I192" s="9" t="str">
        <x:v>Known Defects!70</x:v>
      </x:c>
    </x:row>
    <x:row r="193">
      <x:c r="B193" s="9" t="str">
        <x:v>AU-187</x:v>
      </x:c>
      <x:c r="C193" s="9" t="str">
        <x:v>defect</x:v>
      </x:c>
      <x:c r="D193" s="9" t="str">
        <x:v>standard design 65</x:v>
      </x:c>
      <x:c r="E193" s="15" t="n">
        <x:f>IF('Known Defects'!M71="PASS",1,0)</x:f>
        <x:v>1</x:v>
      </x:c>
      <x:c r="F193" s="15" t="n">
        <x:v>1</x:v>
      </x:c>
      <x:c r="G193" s="15" t="n">
        <x:f>E193-F193</x:f>
        <x:v>0</x:v>
      </x:c>
      <x:c r="H193" s="9" t="str">
        <x:f>IF(ABS(G193)&lt;0.000001,"PASS","FAIL")</x:f>
        <x:v>PASS</x:v>
      </x:c>
      <x:c r="I193" s="9" t="str">
        <x:v>Known Defects!71</x:v>
      </x:c>
    </x:row>
    <x:row r="194">
      <x:c r="B194" s="9" t="str">
        <x:v>AU-188</x:v>
      </x:c>
      <x:c r="C194" s="9" t="str">
        <x:v>defect</x:v>
      </x:c>
      <x:c r="D194" s="9" t="str">
        <x:v>standard design 66</x:v>
      </x:c>
      <x:c r="E194" s="15" t="n">
        <x:f>IF('Known Defects'!M72="PASS",1,0)</x:f>
        <x:v>1</x:v>
      </x:c>
      <x:c r="F194" s="15" t="n">
        <x:v>1</x:v>
      </x:c>
      <x:c r="G194" s="15" t="n">
        <x:f>E194-F194</x:f>
        <x:v>0</x:v>
      </x:c>
      <x:c r="H194" s="9" t="str">
        <x:f>IF(ABS(G194)&lt;0.000001,"PASS","FAIL")</x:f>
        <x:v>PASS</x:v>
      </x:c>
      <x:c r="I194" s="9" t="str">
        <x:v>Known Defects!72</x:v>
      </x:c>
    </x:row>
    <x:row r="195">
      <x:c r="B195" s="9" t="str">
        <x:v>AU-189</x:v>
      </x:c>
      <x:c r="C195" s="9" t="str">
        <x:v>defect</x:v>
      </x:c>
      <x:c r="D195" s="9" t="str">
        <x:v>standard design 67</x:v>
      </x:c>
      <x:c r="E195" s="15" t="n">
        <x:f>IF('Known Defects'!M73="PASS",1,0)</x:f>
        <x:v>1</x:v>
      </x:c>
      <x:c r="F195" s="15" t="n">
        <x:v>1</x:v>
      </x:c>
      <x:c r="G195" s="15" t="n">
        <x:f>E195-F195</x:f>
        <x:v>0</x:v>
      </x:c>
      <x:c r="H195" s="9" t="str">
        <x:f>IF(ABS(G195)&lt;0.000001,"PASS","FAIL")</x:f>
        <x:v>PASS</x:v>
      </x:c>
      <x:c r="I195" s="9" t="str">
        <x:v>Known Defects!73</x:v>
      </x:c>
    </x:row>
    <x:row r="196">
      <x:c r="B196" s="9" t="str">
        <x:v>AU-190</x:v>
      </x:c>
      <x:c r="C196" s="9" t="str">
        <x:v>defect</x:v>
      </x:c>
      <x:c r="D196" s="9" t="str">
        <x:v>standard design 68</x:v>
      </x:c>
      <x:c r="E196" s="15" t="n">
        <x:f>IF('Known Defects'!M74="PASS",1,0)</x:f>
        <x:v>1</x:v>
      </x:c>
      <x:c r="F196" s="15" t="n">
        <x:v>1</x:v>
      </x:c>
      <x:c r="G196" s="15" t="n">
        <x:f>E196-F196</x:f>
        <x:v>0</x:v>
      </x:c>
      <x:c r="H196" s="9" t="str">
        <x:f>IF(ABS(G196)&lt;0.000001,"PASS","FAIL")</x:f>
        <x:v>PASS</x:v>
      </x:c>
      <x:c r="I196" s="9" t="str">
        <x:v>Known Defects!74</x:v>
      </x:c>
    </x:row>
    <x:row r="197">
      <x:c r="B197" s="9" t="str">
        <x:v>AU-191</x:v>
      </x:c>
      <x:c r="C197" s="9" t="str">
        <x:v>defect</x:v>
      </x:c>
      <x:c r="D197" s="9" t="str">
        <x:v>standard design 69</x:v>
      </x:c>
      <x:c r="E197" s="15" t="n">
        <x:f>IF('Known Defects'!M75="PASS",1,0)</x:f>
        <x:v>1</x:v>
      </x:c>
      <x:c r="F197" s="15" t="n">
        <x:v>1</x:v>
      </x:c>
      <x:c r="G197" s="15" t="n">
        <x:f>E197-F197</x:f>
        <x:v>0</x:v>
      </x:c>
      <x:c r="H197" s="9" t="str">
        <x:f>IF(ABS(G197)&lt;0.000001,"PASS","FAIL")</x:f>
        <x:v>PASS</x:v>
      </x:c>
      <x:c r="I197" s="9" t="str">
        <x:v>Known Defects!75</x:v>
      </x:c>
    </x:row>
    <x:row r="198">
      <x:c r="B198" s="9" t="str">
        <x:v>AU-192</x:v>
      </x:c>
      <x:c r="C198" s="9" t="str">
        <x:v>defect</x:v>
      </x:c>
      <x:c r="D198" s="9" t="str">
        <x:v>standard design 70</x:v>
      </x:c>
      <x:c r="E198" s="15" t="n">
        <x:f>IF('Known Defects'!M76="PASS",1,0)</x:f>
        <x:v>1</x:v>
      </x:c>
      <x:c r="F198" s="15" t="n">
        <x:v>1</x:v>
      </x:c>
      <x:c r="G198" s="15" t="n">
        <x:f>E198-F198</x:f>
        <x:v>0</x:v>
      </x:c>
      <x:c r="H198" s="9" t="str">
        <x:f>IF(ABS(G198)&lt;0.000001,"PASS","FAIL")</x:f>
        <x:v>PASS</x:v>
      </x:c>
      <x:c r="I198" s="9" t="str">
        <x:v>Known Defects!76</x:v>
      </x:c>
    </x:row>
    <x:row r="199">
      <x:c r="B199" s="9" t="str">
        <x:v>AU-193</x:v>
      </x:c>
      <x:c r="C199" s="9" t="str">
        <x:v>defect</x:v>
      </x:c>
      <x:c r="D199" s="9" t="str">
        <x:v>standard design 71</x:v>
      </x:c>
      <x:c r="E199" s="15" t="n">
        <x:f>IF('Known Defects'!M77="PASS",1,0)</x:f>
        <x:v>1</x:v>
      </x:c>
      <x:c r="F199" s="15" t="n">
        <x:v>1</x:v>
      </x:c>
      <x:c r="G199" s="15" t="n">
        <x:f>E199-F199</x:f>
        <x:v>0</x:v>
      </x:c>
      <x:c r="H199" s="9" t="str">
        <x:f>IF(ABS(G199)&lt;0.000001,"PASS","FAIL")</x:f>
        <x:v>PASS</x:v>
      </x:c>
      <x:c r="I199" s="9" t="str">
        <x:v>Known Defects!77</x:v>
      </x:c>
    </x:row>
    <x:row r="200">
      <x:c r="B200" s="9" t="str">
        <x:v>AU-194</x:v>
      </x:c>
      <x:c r="C200" s="9" t="str">
        <x:v>defect</x:v>
      </x:c>
      <x:c r="D200" s="9" t="str">
        <x:v>standard design 72</x:v>
      </x:c>
      <x:c r="E200" s="15" t="n">
        <x:f>IF('Known Defects'!M78="PASS",1,0)</x:f>
        <x:v>1</x:v>
      </x:c>
      <x:c r="F200" s="15" t="n">
        <x:v>1</x:v>
      </x:c>
      <x:c r="G200" s="15" t="n">
        <x:f>E200-F200</x:f>
        <x:v>0</x:v>
      </x:c>
      <x:c r="H200" s="9" t="str">
        <x:f>IF(ABS(G200)&lt;0.000001,"PASS","FAIL")</x:f>
        <x:v>PASS</x:v>
      </x:c>
      <x:c r="I200" s="9" t="str">
        <x:v>Known Defects!78</x:v>
      </x:c>
    </x:row>
    <x:row r="201">
      <x:c r="B201" s="9" t="str">
        <x:v>AU-195</x:v>
      </x:c>
      <x:c r="C201" s="9" t="str">
        <x:v>subarticle</x:v>
      </x:c>
      <x:c r="D201" s="9" t="str">
        <x:v>definition 1</x:v>
      </x:c>
      <x:c r="E201" s="15" t="n">
        <x:f>IF(Subarticles!K7="PASS",1,0)</x:f>
        <x:v>1</x:v>
      </x:c>
      <x:c r="F201" s="15" t="n">
        <x:v>1</x:v>
      </x:c>
      <x:c r="G201" s="15" t="n">
        <x:f>E201-F201</x:f>
        <x:v>0</x:v>
      </x:c>
      <x:c r="H201" s="9" t="str">
        <x:f>IF(ABS(G201)&lt;0.000001,"PASS","FAIL")</x:f>
        <x:v>PASS</x:v>
      </x:c>
      <x:c r="I201" s="9" t="str">
        <x:v>Subarticles!7</x:v>
      </x:c>
    </x:row>
    <x:row r="202">
      <x:c r="B202" s="9" t="str">
        <x:v>AU-196</x:v>
      </x:c>
      <x:c r="C202" s="9" t="str">
        <x:v>subarticle</x:v>
      </x:c>
      <x:c r="D202" s="9" t="str">
        <x:v>definition 2</x:v>
      </x:c>
      <x:c r="E202" s="15" t="n">
        <x:f>IF(Subarticles!K8="PASS",1,0)</x:f>
        <x:v>1</x:v>
      </x:c>
      <x:c r="F202" s="15" t="n">
        <x:v>1</x:v>
      </x:c>
      <x:c r="G202" s="15" t="n">
        <x:f>E202-F202</x:f>
        <x:v>0</x:v>
      </x:c>
      <x:c r="H202" s="9" t="str">
        <x:f>IF(ABS(G202)&lt;0.000001,"PASS","FAIL")</x:f>
        <x:v>PASS</x:v>
      </x:c>
      <x:c r="I202" s="9" t="str">
        <x:v>Subarticles!8</x:v>
      </x:c>
    </x:row>
    <x:row r="203">
      <x:c r="B203" s="9" t="str">
        <x:v>AU-197</x:v>
      </x:c>
      <x:c r="C203" s="9" t="str">
        <x:v>subarticle</x:v>
      </x:c>
      <x:c r="D203" s="9" t="str">
        <x:v>definition 3</x:v>
      </x:c>
      <x:c r="E203" s="15" t="n">
        <x:f>IF(Subarticles!K9="PASS",1,0)</x:f>
        <x:v>1</x:v>
      </x:c>
      <x:c r="F203" s="15" t="n">
        <x:v>1</x:v>
      </x:c>
      <x:c r="G203" s="15" t="n">
        <x:f>E203-F203</x:f>
        <x:v>0</x:v>
      </x:c>
      <x:c r="H203" s="9" t="str">
        <x:f>IF(ABS(G203)&lt;0.000001,"PASS","FAIL")</x:f>
        <x:v>PASS</x:v>
      </x:c>
      <x:c r="I203" s="9" t="str">
        <x:v>Subarticles!9</x:v>
      </x:c>
    </x:row>
    <x:row r="204">
      <x:c r="B204" s="9" t="str">
        <x:v>AU-198</x:v>
      </x:c>
      <x:c r="C204" s="9" t="str">
        <x:v>subarticle</x:v>
      </x:c>
      <x:c r="D204" s="9" t="str">
        <x:v>definition 4</x:v>
      </x:c>
      <x:c r="E204" s="15" t="n">
        <x:f>IF(Subarticles!K10="PASS",1,0)</x:f>
        <x:v>1</x:v>
      </x:c>
      <x:c r="F204" s="15" t="n">
        <x:v>1</x:v>
      </x:c>
      <x:c r="G204" s="15" t="n">
        <x:f>E204-F204</x:f>
        <x:v>0</x:v>
      </x:c>
      <x:c r="H204" s="9" t="str">
        <x:f>IF(ABS(G204)&lt;0.000001,"PASS","FAIL")</x:f>
        <x:v>PASS</x:v>
      </x:c>
      <x:c r="I204" s="9" t="str">
        <x:v>Subarticles!10</x:v>
      </x:c>
    </x:row>
    <x:row r="205">
      <x:c r="B205" s="9" t="str">
        <x:v>AU-199</x:v>
      </x:c>
      <x:c r="C205" s="9" t="str">
        <x:v>subarticle</x:v>
      </x:c>
      <x:c r="D205" s="9" t="str">
        <x:v>definition 5</x:v>
      </x:c>
      <x:c r="E205" s="15" t="n">
        <x:f>IF(Subarticles!K11="PASS",1,0)</x:f>
        <x:v>1</x:v>
      </x:c>
      <x:c r="F205" s="15" t="n">
        <x:v>1</x:v>
      </x:c>
      <x:c r="G205" s="15" t="n">
        <x:f>E205-F205</x:f>
        <x:v>0</x:v>
      </x:c>
      <x:c r="H205" s="9" t="str">
        <x:f>IF(ABS(G205)&lt;0.000001,"PASS","FAIL")</x:f>
        <x:v>PASS</x:v>
      </x:c>
      <x:c r="I205" s="9" t="str">
        <x:v>Subarticles!11</x:v>
      </x:c>
    </x:row>
    <x:row r="206">
      <x:c r="B206" s="9" t="str">
        <x:v>AU-200</x:v>
      </x:c>
      <x:c r="C206" s="9" t="str">
        <x:v>subarticle</x:v>
      </x:c>
      <x:c r="D206" s="9" t="str">
        <x:v>definition 6</x:v>
      </x:c>
      <x:c r="E206" s="15" t="n">
        <x:f>IF(Subarticles!K12="PASS",1,0)</x:f>
        <x:v>1</x:v>
      </x:c>
      <x:c r="F206" s="15" t="n">
        <x:v>1</x:v>
      </x:c>
      <x:c r="G206" s="15" t="n">
        <x:f>E206-F206</x:f>
        <x:v>0</x:v>
      </x:c>
      <x:c r="H206" s="9" t="str">
        <x:f>IF(ABS(G206)&lt;0.000001,"PASS","FAIL")</x:f>
        <x:v>PASS</x:v>
      </x:c>
      <x:c r="I206" s="9" t="str">
        <x:v>Subarticles!12</x:v>
      </x:c>
    </x:row>
    <x:row r="207">
      <x:c r="B207" s="9" t="str">
        <x:v>AU-201</x:v>
      </x:c>
      <x:c r="C207" s="9" t="str">
        <x:v>subarticle</x:v>
      </x:c>
      <x:c r="D207" s="9" t="str">
        <x:v>definition 7</x:v>
      </x:c>
      <x:c r="E207" s="15" t="n">
        <x:f>IF(Subarticles!K13="PASS",1,0)</x:f>
        <x:v>1</x:v>
      </x:c>
      <x:c r="F207" s="15" t="n">
        <x:v>1</x:v>
      </x:c>
      <x:c r="G207" s="15" t="n">
        <x:f>E207-F207</x:f>
        <x:v>0</x:v>
      </x:c>
      <x:c r="H207" s="9" t="str">
        <x:f>IF(ABS(G207)&lt;0.000001,"PASS","FAIL")</x:f>
        <x:v>PASS</x:v>
      </x:c>
      <x:c r="I207" s="9" t="str">
        <x:v>Subarticles!13</x:v>
      </x:c>
    </x:row>
    <x:row r="208">
      <x:c r="B208" s="9" t="str">
        <x:v>AU-202</x:v>
      </x:c>
      <x:c r="C208" s="9" t="str">
        <x:v>subarticle</x:v>
      </x:c>
      <x:c r="D208" s="9" t="str">
        <x:v>definition 8</x:v>
      </x:c>
      <x:c r="E208" s="15" t="n">
        <x:f>IF(Subarticles!K14="PASS",1,0)</x:f>
        <x:v>1</x:v>
      </x:c>
      <x:c r="F208" s="15" t="n">
        <x:v>1</x:v>
      </x:c>
      <x:c r="G208" s="15" t="n">
        <x:f>E208-F208</x:f>
        <x:v>0</x:v>
      </x:c>
      <x:c r="H208" s="9" t="str">
        <x:f>IF(ABS(G208)&lt;0.000001,"PASS","FAIL")</x:f>
        <x:v>PASS</x:v>
      </x:c>
      <x:c r="I208" s="9" t="str">
        <x:v>Subarticles!14</x:v>
      </x:c>
    </x:row>
    <x:row r="209">
      <x:c r="B209" s="9" t="str">
        <x:v>AU-203</x:v>
      </x:c>
      <x:c r="C209" s="9" t="str">
        <x:v>subarticle</x:v>
      </x:c>
      <x:c r="D209" s="9" t="str">
        <x:v>definition 9</x:v>
      </x:c>
      <x:c r="E209" s="15" t="n">
        <x:f>IF(Subarticles!K15="PASS",1,0)</x:f>
        <x:v>1</x:v>
      </x:c>
      <x:c r="F209" s="15" t="n">
        <x:v>1</x:v>
      </x:c>
      <x:c r="G209" s="15" t="n">
        <x:f>E209-F209</x:f>
        <x:v>0</x:v>
      </x:c>
      <x:c r="H209" s="9" t="str">
        <x:f>IF(ABS(G209)&lt;0.000001,"PASS","FAIL")</x:f>
        <x:v>PASS</x:v>
      </x:c>
      <x:c r="I209" s="9" t="str">
        <x:v>Subarticles!15</x:v>
      </x:c>
    </x:row>
    <x:row r="210">
      <x:c r="B210" s="9" t="str">
        <x:v>AU-204</x:v>
      </x:c>
      <x:c r="C210" s="9" t="str">
        <x:v>subarticle</x:v>
      </x:c>
      <x:c r="D210" s="9" t="str">
        <x:v>definition 10</x:v>
      </x:c>
      <x:c r="E210" s="15" t="n">
        <x:f>IF(Subarticles!K16="PASS",1,0)</x:f>
        <x:v>1</x:v>
      </x:c>
      <x:c r="F210" s="15" t="n">
        <x:v>1</x:v>
      </x:c>
      <x:c r="G210" s="15" t="n">
        <x:f>E210-F210</x:f>
        <x:v>0</x:v>
      </x:c>
      <x:c r="H210" s="9" t="str">
        <x:f>IF(ABS(G210)&lt;0.000001,"PASS","FAIL")</x:f>
        <x:v>PASS</x:v>
      </x:c>
      <x:c r="I210" s="9" t="str">
        <x:v>Subarticles!16</x:v>
      </x:c>
    </x:row>
    <x:row r="211">
      <x:c r="B211" s="9" t="str">
        <x:v>AU-205</x:v>
      </x:c>
      <x:c r="C211" s="9" t="str">
        <x:v>subarticle</x:v>
      </x:c>
      <x:c r="D211" s="9" t="str">
        <x:v>definition 11</x:v>
      </x:c>
      <x:c r="E211" s="15" t="n">
        <x:f>IF(Subarticles!K17="PASS",1,0)</x:f>
        <x:v>1</x:v>
      </x:c>
      <x:c r="F211" s="15" t="n">
        <x:v>1</x:v>
      </x:c>
      <x:c r="G211" s="15" t="n">
        <x:f>E211-F211</x:f>
        <x:v>0</x:v>
      </x:c>
      <x:c r="H211" s="9" t="str">
        <x:f>IF(ABS(G211)&lt;0.000001,"PASS","FAIL")</x:f>
        <x:v>PASS</x:v>
      </x:c>
      <x:c r="I211" s="9" t="str">
        <x:v>Subarticles!17</x:v>
      </x:c>
    </x:row>
    <x:row r="212">
      <x:c r="B212" s="9" t="str">
        <x:v>AU-206</x:v>
      </x:c>
      <x:c r="C212" s="9" t="str">
        <x:v>subarticle</x:v>
      </x:c>
      <x:c r="D212" s="9" t="str">
        <x:v>definition 12</x:v>
      </x:c>
      <x:c r="E212" s="15" t="n">
        <x:f>IF(Subarticles!K18="PASS",1,0)</x:f>
        <x:v>1</x:v>
      </x:c>
      <x:c r="F212" s="15" t="n">
        <x:v>1</x:v>
      </x:c>
      <x:c r="G212" s="15" t="n">
        <x:f>E212-F212</x:f>
        <x:v>0</x:v>
      </x:c>
      <x:c r="H212" s="9" t="str">
        <x:f>IF(ABS(G212)&lt;0.000001,"PASS","FAIL")</x:f>
        <x:v>PASS</x:v>
      </x:c>
      <x:c r="I212" s="9" t="str">
        <x:v>Subarticles!18</x:v>
      </x:c>
    </x:row>
    <x:row r="213">
      <x:c r="B213" s="9" t="str">
        <x:v>AU-207</x:v>
      </x:c>
      <x:c r="C213" s="9" t="str">
        <x:v>schema</x:v>
      </x:c>
      <x:c r="D213" s="9" t="str">
        <x:v>field definition 1</x:v>
      </x:c>
      <x:c r="E213" s="15" t="n">
        <x:f>IF('Evidence Schema'!K7="PASS",1,0)</x:f>
        <x:v>1</x:v>
      </x:c>
      <x:c r="F213" s="15" t="n">
        <x:v>1</x:v>
      </x:c>
      <x:c r="G213" s="15" t="n">
        <x:f>E213-F213</x:f>
        <x:v>0</x:v>
      </x:c>
      <x:c r="H213" s="9" t="str">
        <x:f>IF(ABS(G213)&lt;0.000001,"PASS","FAIL")</x:f>
        <x:v>PASS</x:v>
      </x:c>
      <x:c r="I213" s="9" t="str">
        <x:v>Evidence Schema!7</x:v>
      </x:c>
    </x:row>
    <x:row r="214">
      <x:c r="B214" s="9" t="str">
        <x:v>AU-208</x:v>
      </x:c>
      <x:c r="C214" s="9" t="str">
        <x:v>schema</x:v>
      </x:c>
      <x:c r="D214" s="9" t="str">
        <x:v>field definition 2</x:v>
      </x:c>
      <x:c r="E214" s="15" t="n">
        <x:f>IF('Evidence Schema'!K8="PASS",1,0)</x:f>
        <x:v>1</x:v>
      </x:c>
      <x:c r="F214" s="15" t="n">
        <x:v>1</x:v>
      </x:c>
      <x:c r="G214" s="15" t="n">
        <x:f>E214-F214</x:f>
        <x:v>0</x:v>
      </x:c>
      <x:c r="H214" s="9" t="str">
        <x:f>IF(ABS(G214)&lt;0.000001,"PASS","FAIL")</x:f>
        <x:v>PASS</x:v>
      </x:c>
      <x:c r="I214" s="9" t="str">
        <x:v>Evidence Schema!8</x:v>
      </x:c>
    </x:row>
    <x:row r="215">
      <x:c r="B215" s="9" t="str">
        <x:v>AU-209</x:v>
      </x:c>
      <x:c r="C215" s="9" t="str">
        <x:v>schema</x:v>
      </x:c>
      <x:c r="D215" s="9" t="str">
        <x:v>field definition 3</x:v>
      </x:c>
      <x:c r="E215" s="15" t="n">
        <x:f>IF('Evidence Schema'!K9="PASS",1,0)</x:f>
        <x:v>1</x:v>
      </x:c>
      <x:c r="F215" s="15" t="n">
        <x:v>1</x:v>
      </x:c>
      <x:c r="G215" s="15" t="n">
        <x:f>E215-F215</x:f>
        <x:v>0</x:v>
      </x:c>
      <x:c r="H215" s="9" t="str">
        <x:f>IF(ABS(G215)&lt;0.000001,"PASS","FAIL")</x:f>
        <x:v>PASS</x:v>
      </x:c>
      <x:c r="I215" s="9" t="str">
        <x:v>Evidence Schema!9</x:v>
      </x:c>
    </x:row>
    <x:row r="216">
      <x:c r="B216" s="9" t="str">
        <x:v>AU-210</x:v>
      </x:c>
      <x:c r="C216" s="9" t="str">
        <x:v>schema</x:v>
      </x:c>
      <x:c r="D216" s="9" t="str">
        <x:v>field definition 4</x:v>
      </x:c>
      <x:c r="E216" s="15" t="n">
        <x:f>IF('Evidence Schema'!K10="PASS",1,0)</x:f>
        <x:v>1</x:v>
      </x:c>
      <x:c r="F216" s="15" t="n">
        <x:v>1</x:v>
      </x:c>
      <x:c r="G216" s="15" t="n">
        <x:f>E216-F216</x:f>
        <x:v>0</x:v>
      </x:c>
      <x:c r="H216" s="9" t="str">
        <x:f>IF(ABS(G216)&lt;0.000001,"PASS","FAIL")</x:f>
        <x:v>PASS</x:v>
      </x:c>
      <x:c r="I216" s="9" t="str">
        <x:v>Evidence Schema!10</x:v>
      </x:c>
    </x:row>
    <x:row r="217">
      <x:c r="B217" s="9" t="str">
        <x:v>AU-211</x:v>
      </x:c>
      <x:c r="C217" s="9" t="str">
        <x:v>schema</x:v>
      </x:c>
      <x:c r="D217" s="9" t="str">
        <x:v>field definition 5</x:v>
      </x:c>
      <x:c r="E217" s="15" t="n">
        <x:f>IF('Evidence Schema'!K11="PASS",1,0)</x:f>
        <x:v>1</x:v>
      </x:c>
      <x:c r="F217" s="15" t="n">
        <x:v>1</x:v>
      </x:c>
      <x:c r="G217" s="15" t="n">
        <x:f>E217-F217</x:f>
        <x:v>0</x:v>
      </x:c>
      <x:c r="H217" s="9" t="str">
        <x:f>IF(ABS(G217)&lt;0.000001,"PASS","FAIL")</x:f>
        <x:v>PASS</x:v>
      </x:c>
      <x:c r="I217" s="9" t="str">
        <x:v>Evidence Schema!11</x:v>
      </x:c>
    </x:row>
    <x:row r="218">
      <x:c r="B218" s="9" t="str">
        <x:v>AU-212</x:v>
      </x:c>
      <x:c r="C218" s="9" t="str">
        <x:v>schema</x:v>
      </x:c>
      <x:c r="D218" s="9" t="str">
        <x:v>field definition 6</x:v>
      </x:c>
      <x:c r="E218" s="15" t="n">
        <x:f>IF('Evidence Schema'!K12="PASS",1,0)</x:f>
        <x:v>1</x:v>
      </x:c>
      <x:c r="F218" s="15" t="n">
        <x:v>1</x:v>
      </x:c>
      <x:c r="G218" s="15" t="n">
        <x:f>E218-F218</x:f>
        <x:v>0</x:v>
      </x:c>
      <x:c r="H218" s="9" t="str">
        <x:f>IF(ABS(G218)&lt;0.000001,"PASS","FAIL")</x:f>
        <x:v>PASS</x:v>
      </x:c>
      <x:c r="I218" s="9" t="str">
        <x:v>Evidence Schema!12</x:v>
      </x:c>
    </x:row>
    <x:row r="219">
      <x:c r="B219" s="9" t="str">
        <x:v>AU-213</x:v>
      </x:c>
      <x:c r="C219" s="9" t="str">
        <x:v>schema</x:v>
      </x:c>
      <x:c r="D219" s="9" t="str">
        <x:v>field definition 7</x:v>
      </x:c>
      <x:c r="E219" s="15" t="n">
        <x:f>IF('Evidence Schema'!K13="PASS",1,0)</x:f>
        <x:v>1</x:v>
      </x:c>
      <x:c r="F219" s="15" t="n">
        <x:v>1</x:v>
      </x:c>
      <x:c r="G219" s="15" t="n">
        <x:f>E219-F219</x:f>
        <x:v>0</x:v>
      </x:c>
      <x:c r="H219" s="9" t="str">
        <x:f>IF(ABS(G219)&lt;0.000001,"PASS","FAIL")</x:f>
        <x:v>PASS</x:v>
      </x:c>
      <x:c r="I219" s="9" t="str">
        <x:v>Evidence Schema!13</x:v>
      </x:c>
    </x:row>
    <x:row r="220">
      <x:c r="B220" s="9" t="str">
        <x:v>AU-214</x:v>
      </x:c>
      <x:c r="C220" s="9" t="str">
        <x:v>schema</x:v>
      </x:c>
      <x:c r="D220" s="9" t="str">
        <x:v>field definition 8</x:v>
      </x:c>
      <x:c r="E220" s="15" t="n">
        <x:f>IF('Evidence Schema'!K14="PASS",1,0)</x:f>
        <x:v>1</x:v>
      </x:c>
      <x:c r="F220" s="15" t="n">
        <x:v>1</x:v>
      </x:c>
      <x:c r="G220" s="15" t="n">
        <x:f>E220-F220</x:f>
        <x:v>0</x:v>
      </x:c>
      <x:c r="H220" s="9" t="str">
        <x:f>IF(ABS(G220)&lt;0.000001,"PASS","FAIL")</x:f>
        <x:v>PASS</x:v>
      </x:c>
      <x:c r="I220" s="9" t="str">
        <x:v>Evidence Schema!14</x:v>
      </x:c>
    </x:row>
    <x:row r="221">
      <x:c r="B221" s="9" t="str">
        <x:v>AU-215</x:v>
      </x:c>
      <x:c r="C221" s="9" t="str">
        <x:v>schema</x:v>
      </x:c>
      <x:c r="D221" s="9" t="str">
        <x:v>field definition 9</x:v>
      </x:c>
      <x:c r="E221" s="15" t="n">
        <x:f>IF('Evidence Schema'!K15="PASS",1,0)</x:f>
        <x:v>1</x:v>
      </x:c>
      <x:c r="F221" s="15" t="n">
        <x:v>1</x:v>
      </x:c>
      <x:c r="G221" s="15" t="n">
        <x:f>E221-F221</x:f>
        <x:v>0</x:v>
      </x:c>
      <x:c r="H221" s="9" t="str">
        <x:f>IF(ABS(G221)&lt;0.000001,"PASS","FAIL")</x:f>
        <x:v>PASS</x:v>
      </x:c>
      <x:c r="I221" s="9" t="str">
        <x:v>Evidence Schema!15</x:v>
      </x:c>
    </x:row>
    <x:row r="222">
      <x:c r="B222" s="9" t="str">
        <x:v>AU-216</x:v>
      </x:c>
      <x:c r="C222" s="9" t="str">
        <x:v>schema</x:v>
      </x:c>
      <x:c r="D222" s="9" t="str">
        <x:v>field definition 10</x:v>
      </x:c>
      <x:c r="E222" s="15" t="n">
        <x:f>IF('Evidence Schema'!K16="PASS",1,0)</x:f>
        <x:v>1</x:v>
      </x:c>
      <x:c r="F222" s="15" t="n">
        <x:v>1</x:v>
      </x:c>
      <x:c r="G222" s="15" t="n">
        <x:f>E222-F222</x:f>
        <x:v>0</x:v>
      </x:c>
      <x:c r="H222" s="9" t="str">
        <x:f>IF(ABS(G222)&lt;0.000001,"PASS","FAIL")</x:f>
        <x:v>PASS</x:v>
      </x:c>
      <x:c r="I222" s="9" t="str">
        <x:v>Evidence Schema!16</x:v>
      </x:c>
    </x:row>
    <x:row r="223">
      <x:c r="B223" s="9" t="str">
        <x:v>AU-217</x:v>
      </x:c>
      <x:c r="C223" s="9" t="str">
        <x:v>schema</x:v>
      </x:c>
      <x:c r="D223" s="9" t="str">
        <x:v>field definition 11</x:v>
      </x:c>
      <x:c r="E223" s="15" t="n">
        <x:f>IF('Evidence Schema'!K17="PASS",1,0)</x:f>
        <x:v>1</x:v>
      </x:c>
      <x:c r="F223" s="15" t="n">
        <x:v>1</x:v>
      </x:c>
      <x:c r="G223" s="15" t="n">
        <x:f>E223-F223</x:f>
        <x:v>0</x:v>
      </x:c>
      <x:c r="H223" s="9" t="str">
        <x:f>IF(ABS(G223)&lt;0.000001,"PASS","FAIL")</x:f>
        <x:v>PASS</x:v>
      </x:c>
      <x:c r="I223" s="9" t="str">
        <x:v>Evidence Schema!17</x:v>
      </x:c>
    </x:row>
    <x:row r="224">
      <x:c r="B224" s="9" t="str">
        <x:v>AU-218</x:v>
      </x:c>
      <x:c r="C224" s="9" t="str">
        <x:v>schema</x:v>
      </x:c>
      <x:c r="D224" s="9" t="str">
        <x:v>field definition 12</x:v>
      </x:c>
      <x:c r="E224" s="15" t="n">
        <x:f>IF('Evidence Schema'!K18="PASS",1,0)</x:f>
        <x:v>1</x:v>
      </x:c>
      <x:c r="F224" s="15" t="n">
        <x:v>1</x:v>
      </x:c>
      <x:c r="G224" s="15" t="n">
        <x:f>E224-F224</x:f>
        <x:v>0</x:v>
      </x:c>
      <x:c r="H224" s="9" t="str">
        <x:f>IF(ABS(G224)&lt;0.000001,"PASS","FAIL")</x:f>
        <x:v>PASS</x:v>
      </x:c>
      <x:c r="I224" s="9" t="str">
        <x:v>Evidence Schema!18</x:v>
      </x:c>
    </x:row>
    <x:row r="225">
      <x:c r="B225" s="9" t="str">
        <x:v>AU-219</x:v>
      </x:c>
      <x:c r="C225" s="9" t="str">
        <x:v>schema</x:v>
      </x:c>
      <x:c r="D225" s="9" t="str">
        <x:v>field definition 13</x:v>
      </x:c>
      <x:c r="E225" s="15" t="n">
        <x:f>IF('Evidence Schema'!K19="PASS",1,0)</x:f>
        <x:v>1</x:v>
      </x:c>
      <x:c r="F225" s="15" t="n">
        <x:v>1</x:v>
      </x:c>
      <x:c r="G225" s="15" t="n">
        <x:f>E225-F225</x:f>
        <x:v>0</x:v>
      </x:c>
      <x:c r="H225" s="9" t="str">
        <x:f>IF(ABS(G225)&lt;0.000001,"PASS","FAIL")</x:f>
        <x:v>PASS</x:v>
      </x:c>
      <x:c r="I225" s="9" t="str">
        <x:v>Evidence Schema!19</x:v>
      </x:c>
    </x:row>
    <x:row r="226">
      <x:c r="B226" s="9" t="str">
        <x:v>AU-220</x:v>
      </x:c>
      <x:c r="C226" s="9" t="str">
        <x:v>schema</x:v>
      </x:c>
      <x:c r="D226" s="9" t="str">
        <x:v>field definition 14</x:v>
      </x:c>
      <x:c r="E226" s="15" t="n">
        <x:f>IF('Evidence Schema'!K20="PASS",1,0)</x:f>
        <x:v>1</x:v>
      </x:c>
      <x:c r="F226" s="15" t="n">
        <x:v>1</x:v>
      </x:c>
      <x:c r="G226" s="15" t="n">
        <x:f>E226-F226</x:f>
        <x:v>0</x:v>
      </x:c>
      <x:c r="H226" s="9" t="str">
        <x:f>IF(ABS(G226)&lt;0.000001,"PASS","FAIL")</x:f>
        <x:v>PASS</x:v>
      </x:c>
      <x:c r="I226" s="9" t="str">
        <x:v>Evidence Schema!20</x:v>
      </x:c>
    </x:row>
    <x:row r="227">
      <x:c r="B227" s="9" t="str">
        <x:v>AU-221</x:v>
      </x:c>
      <x:c r="C227" s="9" t="str">
        <x:v>schema</x:v>
      </x:c>
      <x:c r="D227" s="9" t="str">
        <x:v>field definition 15</x:v>
      </x:c>
      <x:c r="E227" s="15" t="n">
        <x:f>IF('Evidence Schema'!K21="PASS",1,0)</x:f>
        <x:v>1</x:v>
      </x:c>
      <x:c r="F227" s="15" t="n">
        <x:v>1</x:v>
      </x:c>
      <x:c r="G227" s="15" t="n">
        <x:f>E227-F227</x:f>
        <x:v>0</x:v>
      </x:c>
      <x:c r="H227" s="9" t="str">
        <x:f>IF(ABS(G227)&lt;0.000001,"PASS","FAIL")</x:f>
        <x:v>PASS</x:v>
      </x:c>
      <x:c r="I227" s="9" t="str">
        <x:v>Evidence Schema!21</x:v>
      </x:c>
    </x:row>
    <x:row r="228">
      <x:c r="B228" s="9" t="str">
        <x:v>AU-222</x:v>
      </x:c>
      <x:c r="C228" s="9" t="str">
        <x:v>schema</x:v>
      </x:c>
      <x:c r="D228" s="9" t="str">
        <x:v>field definition 16</x:v>
      </x:c>
      <x:c r="E228" s="15" t="n">
        <x:f>IF('Evidence Schema'!K22="PASS",1,0)</x:f>
        <x:v>1</x:v>
      </x:c>
      <x:c r="F228" s="15" t="n">
        <x:v>1</x:v>
      </x:c>
      <x:c r="G228" s="15" t="n">
        <x:f>E228-F228</x:f>
        <x:v>0</x:v>
      </x:c>
      <x:c r="H228" s="9" t="str">
        <x:f>IF(ABS(G228)&lt;0.000001,"PASS","FAIL")</x:f>
        <x:v>PASS</x:v>
      </x:c>
      <x:c r="I228" s="9" t="str">
        <x:v>Evidence Schema!22</x:v>
      </x:c>
    </x:row>
    <x:row r="229">
      <x:c r="B229" s="9" t="str">
        <x:v>AU-223</x:v>
      </x:c>
      <x:c r="C229" s="9" t="str">
        <x:v>schema</x:v>
      </x:c>
      <x:c r="D229" s="9" t="str">
        <x:v>field definition 17</x:v>
      </x:c>
      <x:c r="E229" s="15" t="n">
        <x:f>IF('Evidence Schema'!K23="PASS",1,0)</x:f>
        <x:v>1</x:v>
      </x:c>
      <x:c r="F229" s="15" t="n">
        <x:v>1</x:v>
      </x:c>
      <x:c r="G229" s="15" t="n">
        <x:f>E229-F229</x:f>
        <x:v>0</x:v>
      </x:c>
      <x:c r="H229" s="9" t="str">
        <x:f>IF(ABS(G229)&lt;0.000001,"PASS","FAIL")</x:f>
        <x:v>PASS</x:v>
      </x:c>
      <x:c r="I229" s="9" t="str">
        <x:v>Evidence Schema!23</x:v>
      </x:c>
    </x:row>
    <x:row r="230">
      <x:c r="B230" s="9" t="str">
        <x:v>AU-224</x:v>
      </x:c>
      <x:c r="C230" s="9" t="str">
        <x:v>schema</x:v>
      </x:c>
      <x:c r="D230" s="9" t="str">
        <x:v>field definition 18</x:v>
      </x:c>
      <x:c r="E230" s="15" t="n">
        <x:f>IF('Evidence Schema'!K24="PASS",1,0)</x:f>
        <x:v>1</x:v>
      </x:c>
      <x:c r="F230" s="15" t="n">
        <x:v>1</x:v>
      </x:c>
      <x:c r="G230" s="15" t="n">
        <x:f>E230-F230</x:f>
        <x:v>0</x:v>
      </x:c>
      <x:c r="H230" s="9" t="str">
        <x:f>IF(ABS(G230)&lt;0.000001,"PASS","FAIL")</x:f>
        <x:v>PASS</x:v>
      </x:c>
      <x:c r="I230" s="9" t="str">
        <x:v>Evidence Schema!24</x:v>
      </x:c>
    </x:row>
    <x:row r="231">
      <x:c r="B231" s="9" t="str">
        <x:v>AU-225</x:v>
      </x:c>
      <x:c r="C231" s="9" t="str">
        <x:v>schema</x:v>
      </x:c>
      <x:c r="D231" s="9" t="str">
        <x:v>field definition 19</x:v>
      </x:c>
      <x:c r="E231" s="15" t="n">
        <x:f>IF('Evidence Schema'!K25="PASS",1,0)</x:f>
        <x:v>1</x:v>
      </x:c>
      <x:c r="F231" s="15" t="n">
        <x:v>1</x:v>
      </x:c>
      <x:c r="G231" s="15" t="n">
        <x:f>E231-F231</x:f>
        <x:v>0</x:v>
      </x:c>
      <x:c r="H231" s="9" t="str">
        <x:f>IF(ABS(G231)&lt;0.000001,"PASS","FAIL")</x:f>
        <x:v>PASS</x:v>
      </x:c>
      <x:c r="I231" s="9" t="str">
        <x:v>Evidence Schema!25</x:v>
      </x:c>
    </x:row>
    <x:row r="232">
      <x:c r="B232" s="9" t="str">
        <x:v>AU-226</x:v>
      </x:c>
      <x:c r="C232" s="9" t="str">
        <x:v>schema</x:v>
      </x:c>
      <x:c r="D232" s="9" t="str">
        <x:v>field definition 20</x:v>
      </x:c>
      <x:c r="E232" s="15" t="n">
        <x:f>IF('Evidence Schema'!K26="PASS",1,0)</x:f>
        <x:v>1</x:v>
      </x:c>
      <x:c r="F232" s="15" t="n">
        <x:v>1</x:v>
      </x:c>
      <x:c r="G232" s="15" t="n">
        <x:f>E232-F232</x:f>
        <x:v>0</x:v>
      </x:c>
      <x:c r="H232" s="9" t="str">
        <x:f>IF(ABS(G232)&lt;0.000001,"PASS","FAIL")</x:f>
        <x:v>PASS</x:v>
      </x:c>
      <x:c r="I232" s="9" t="str">
        <x:v>Evidence Schema!26</x:v>
      </x:c>
    </x:row>
    <x:row r="233">
      <x:c r="B233" s="9" t="str">
        <x:v>AU-227</x:v>
      </x:c>
      <x:c r="C233" s="9" t="str">
        <x:v>schema</x:v>
      </x:c>
      <x:c r="D233" s="9" t="str">
        <x:v>field definition 21</x:v>
      </x:c>
      <x:c r="E233" s="15" t="n">
        <x:f>IF('Evidence Schema'!K27="PASS",1,0)</x:f>
        <x:v>1</x:v>
      </x:c>
      <x:c r="F233" s="15" t="n">
        <x:v>1</x:v>
      </x:c>
      <x:c r="G233" s="15" t="n">
        <x:f>E233-F233</x:f>
        <x:v>0</x:v>
      </x:c>
      <x:c r="H233" s="9" t="str">
        <x:f>IF(ABS(G233)&lt;0.000001,"PASS","FAIL")</x:f>
        <x:v>PASS</x:v>
      </x:c>
      <x:c r="I233" s="9" t="str">
        <x:v>Evidence Schema!27</x:v>
      </x:c>
    </x:row>
    <x:row r="234">
      <x:c r="B234" s="9" t="str">
        <x:v>AU-228</x:v>
      </x:c>
      <x:c r="C234" s="9" t="str">
        <x:v>schema</x:v>
      </x:c>
      <x:c r="D234" s="9" t="str">
        <x:v>field definition 22</x:v>
      </x:c>
      <x:c r="E234" s="15" t="n">
        <x:f>IF('Evidence Schema'!K28="PASS",1,0)</x:f>
        <x:v>1</x:v>
      </x:c>
      <x:c r="F234" s="15" t="n">
        <x:v>1</x:v>
      </x:c>
      <x:c r="G234" s="15" t="n">
        <x:f>E234-F234</x:f>
        <x:v>0</x:v>
      </x:c>
      <x:c r="H234" s="9" t="str">
        <x:f>IF(ABS(G234)&lt;0.000001,"PASS","FAIL")</x:f>
        <x:v>PASS</x:v>
      </x:c>
      <x:c r="I234" s="9" t="str">
        <x:v>Evidence Schema!28</x:v>
      </x:c>
    </x:row>
    <x:row r="235">
      <x:c r="B235" s="9" t="str">
        <x:v>AU-229</x:v>
      </x:c>
      <x:c r="C235" s="9" t="str">
        <x:v>schema</x:v>
      </x:c>
      <x:c r="D235" s="9" t="str">
        <x:v>field definition 23</x:v>
      </x:c>
      <x:c r="E235" s="15" t="n">
        <x:f>IF('Evidence Schema'!K29="PASS",1,0)</x:f>
        <x:v>1</x:v>
      </x:c>
      <x:c r="F235" s="15" t="n">
        <x:v>1</x:v>
      </x:c>
      <x:c r="G235" s="15" t="n">
        <x:f>E235-F235</x:f>
        <x:v>0</x:v>
      </x:c>
      <x:c r="H235" s="9" t="str">
        <x:f>IF(ABS(G235)&lt;0.000001,"PASS","FAIL")</x:f>
        <x:v>PASS</x:v>
      </x:c>
      <x:c r="I235" s="9" t="str">
        <x:v>Evidence Schema!29</x:v>
      </x:c>
    </x:row>
    <x:row r="236">
      <x:c r="B236" s="9" t="str">
        <x:v>AU-230</x:v>
      </x:c>
      <x:c r="C236" s="9" t="str">
        <x:v>schema</x:v>
      </x:c>
      <x:c r="D236" s="9" t="str">
        <x:v>field definition 24</x:v>
      </x:c>
      <x:c r="E236" s="15" t="n">
        <x:f>IF('Evidence Schema'!K30="PASS",1,0)</x:f>
        <x:v>1</x:v>
      </x:c>
      <x:c r="F236" s="15" t="n">
        <x:v>1</x:v>
      </x:c>
      <x:c r="G236" s="15" t="n">
        <x:f>E236-F236</x:f>
        <x:v>0</x:v>
      </x:c>
      <x:c r="H236" s="9" t="str">
        <x:f>IF(ABS(G236)&lt;0.000001,"PASS","FAIL")</x:f>
        <x:v>PASS</x:v>
      </x:c>
      <x:c r="I236" s="9" t="str">
        <x:v>Evidence Schema!30</x:v>
      </x:c>
    </x:row>
    <x:row r="237">
      <x:c r="B237" s="9" t="str">
        <x:v>AU-231</x:v>
      </x:c>
      <x:c r="C237" s="9" t="str">
        <x:v>schema</x:v>
      </x:c>
      <x:c r="D237" s="9" t="str">
        <x:v>field definition 25</x:v>
      </x:c>
      <x:c r="E237" s="15" t="n">
        <x:f>IF('Evidence Schema'!K31="PASS",1,0)</x:f>
        <x:v>1</x:v>
      </x:c>
      <x:c r="F237" s="15" t="n">
        <x:v>1</x:v>
      </x:c>
      <x:c r="G237" s="15" t="n">
        <x:f>E237-F237</x:f>
        <x:v>0</x:v>
      </x:c>
      <x:c r="H237" s="9" t="str">
        <x:f>IF(ABS(G237)&lt;0.000001,"PASS","FAIL")</x:f>
        <x:v>PASS</x:v>
      </x:c>
      <x:c r="I237" s="9" t="str">
        <x:v>Evidence Schema!31</x:v>
      </x:c>
    </x:row>
    <x:row r="238">
      <x:c r="B238" s="9" t="str">
        <x:v>AU-232</x:v>
      </x:c>
      <x:c r="C238" s="9" t="str">
        <x:v>schema</x:v>
      </x:c>
      <x:c r="D238" s="9" t="str">
        <x:v>field definition 26</x:v>
      </x:c>
      <x:c r="E238" s="15" t="n">
        <x:f>IF('Evidence Schema'!K32="PASS",1,0)</x:f>
        <x:v>1</x:v>
      </x:c>
      <x:c r="F238" s="15" t="n">
        <x:v>1</x:v>
      </x:c>
      <x:c r="G238" s="15" t="n">
        <x:f>E238-F238</x:f>
        <x:v>0</x:v>
      </x:c>
      <x:c r="H238" s="9" t="str">
        <x:f>IF(ABS(G238)&lt;0.000001,"PASS","FAIL")</x:f>
        <x:v>PASS</x:v>
      </x:c>
      <x:c r="I238" s="9" t="str">
        <x:v>Evidence Schema!32</x:v>
      </x:c>
    </x:row>
    <x:row r="239">
      <x:c r="B239" s="9" t="str">
        <x:v>AU-233</x:v>
      </x:c>
      <x:c r="C239" s="9" t="str">
        <x:v>schema</x:v>
      </x:c>
      <x:c r="D239" s="9" t="str">
        <x:v>field definition 27</x:v>
      </x:c>
      <x:c r="E239" s="15" t="n">
        <x:f>IF('Evidence Schema'!K33="PASS",1,0)</x:f>
        <x:v>1</x:v>
      </x:c>
      <x:c r="F239" s="15" t="n">
        <x:v>1</x:v>
      </x:c>
      <x:c r="G239" s="15" t="n">
        <x:f>E239-F239</x:f>
        <x:v>0</x:v>
      </x:c>
      <x:c r="H239" s="9" t="str">
        <x:f>IF(ABS(G239)&lt;0.000001,"PASS","FAIL")</x:f>
        <x:v>PASS</x:v>
      </x:c>
      <x:c r="I239" s="9" t="str">
        <x:v>Evidence Schema!33</x:v>
      </x:c>
    </x:row>
    <x:row r="240">
      <x:c r="B240" s="9" t="str">
        <x:v>AU-234</x:v>
      </x:c>
      <x:c r="C240" s="9" t="str">
        <x:v>schema</x:v>
      </x:c>
      <x:c r="D240" s="9" t="str">
        <x:v>field definition 28</x:v>
      </x:c>
      <x:c r="E240" s="15" t="n">
        <x:f>IF('Evidence Schema'!K34="PASS",1,0)</x:f>
        <x:v>1</x:v>
      </x:c>
      <x:c r="F240" s="15" t="n">
        <x:v>1</x:v>
      </x:c>
      <x:c r="G240" s="15" t="n">
        <x:f>E240-F240</x:f>
        <x:v>0</x:v>
      </x:c>
      <x:c r="H240" s="9" t="str">
        <x:f>IF(ABS(G240)&lt;0.000001,"PASS","FAIL")</x:f>
        <x:v>PASS</x:v>
      </x:c>
      <x:c r="I240" s="9" t="str">
        <x:v>Evidence Schema!34</x:v>
      </x:c>
    </x:row>
    <x:row r="241">
      <x:c r="B241" s="9" t="str">
        <x:v>AU-235</x:v>
      </x:c>
      <x:c r="C241" s="9" t="str">
        <x:v>schema</x:v>
      </x:c>
      <x:c r="D241" s="9" t="str">
        <x:v>field definition 29</x:v>
      </x:c>
      <x:c r="E241" s="15" t="n">
        <x:f>IF('Evidence Schema'!K35="PASS",1,0)</x:f>
        <x:v>1</x:v>
      </x:c>
      <x:c r="F241" s="15" t="n">
        <x:v>1</x:v>
      </x:c>
      <x:c r="G241" s="15" t="n">
        <x:f>E241-F241</x:f>
        <x:v>0</x:v>
      </x:c>
      <x:c r="H241" s="9" t="str">
        <x:f>IF(ABS(G241)&lt;0.000001,"PASS","FAIL")</x:f>
        <x:v>PASS</x:v>
      </x:c>
      <x:c r="I241" s="9" t="str">
        <x:v>Evidence Schema!35</x:v>
      </x:c>
    </x:row>
    <x:row r="242">
      <x:c r="B242" s="9" t="str">
        <x:v>AU-236</x:v>
      </x:c>
      <x:c r="C242" s="9" t="str">
        <x:v>schema</x:v>
      </x:c>
      <x:c r="D242" s="9" t="str">
        <x:v>field definition 30</x:v>
      </x:c>
      <x:c r="E242" s="15" t="n">
        <x:f>IF('Evidence Schema'!K36="PASS",1,0)</x:f>
        <x:v>1</x:v>
      </x:c>
      <x:c r="F242" s="15" t="n">
        <x:v>1</x:v>
      </x:c>
      <x:c r="G242" s="15" t="n">
        <x:f>E242-F242</x:f>
        <x:v>0</x:v>
      </x:c>
      <x:c r="H242" s="9" t="str">
        <x:f>IF(ABS(G242)&lt;0.000001,"PASS","FAIL")</x:f>
        <x:v>PASS</x:v>
      </x:c>
      <x:c r="I242" s="9" t="str">
        <x:v>Evidence Schema!36</x:v>
      </x:c>
    </x:row>
    <x:row r="243">
      <x:c r="B243" s="9" t="str">
        <x:v>AU-237</x:v>
      </x:c>
      <x:c r="C243" s="9" t="str">
        <x:v>schema</x:v>
      </x:c>
      <x:c r="D243" s="9" t="str">
        <x:v>field definition 31</x:v>
      </x:c>
      <x:c r="E243" s="15" t="n">
        <x:f>IF('Evidence Schema'!K37="PASS",1,0)</x:f>
        <x:v>1</x:v>
      </x:c>
      <x:c r="F243" s="15" t="n">
        <x:v>1</x:v>
      </x:c>
      <x:c r="G243" s="15" t="n">
        <x:f>E243-F243</x:f>
        <x:v>0</x:v>
      </x:c>
      <x:c r="H243" s="9" t="str">
        <x:f>IF(ABS(G243)&lt;0.000001,"PASS","FAIL")</x:f>
        <x:v>PASS</x:v>
      </x:c>
      <x:c r="I243" s="9" t="str">
        <x:v>Evidence Schema!37</x:v>
      </x:c>
    </x:row>
    <x:row r="244">
      <x:c r="B244" s="9" t="str">
        <x:v>AU-238</x:v>
      </x:c>
      <x:c r="C244" s="9" t="str">
        <x:v>schema</x:v>
      </x:c>
      <x:c r="D244" s="9" t="str">
        <x:v>field definition 32</x:v>
      </x:c>
      <x:c r="E244" s="15" t="n">
        <x:f>IF('Evidence Schema'!K38="PASS",1,0)</x:f>
        <x:v>1</x:v>
      </x:c>
      <x:c r="F244" s="15" t="n">
        <x:v>1</x:v>
      </x:c>
      <x:c r="G244" s="15" t="n">
        <x:f>E244-F244</x:f>
        <x:v>0</x:v>
      </x:c>
      <x:c r="H244" s="9" t="str">
        <x:f>IF(ABS(G244)&lt;0.000001,"PASS","FAIL")</x:f>
        <x:v>PASS</x:v>
      </x:c>
      <x:c r="I244" s="9" t="str">
        <x:v>Evidence Schema!38</x:v>
      </x:c>
    </x:row>
    <x:row r="245">
      <x:c r="B245" s="9" t="str">
        <x:v>AU-239</x:v>
      </x:c>
      <x:c r="C245" s="9" t="str">
        <x:v>schema</x:v>
      </x:c>
      <x:c r="D245" s="9" t="str">
        <x:v>field definition 33</x:v>
      </x:c>
      <x:c r="E245" s="15" t="n">
        <x:f>IF('Evidence Schema'!K39="PASS",1,0)</x:f>
        <x:v>1</x:v>
      </x:c>
      <x:c r="F245" s="15" t="n">
        <x:v>1</x:v>
      </x:c>
      <x:c r="G245" s="15" t="n">
        <x:f>E245-F245</x:f>
        <x:v>0</x:v>
      </x:c>
      <x:c r="H245" s="9" t="str">
        <x:f>IF(ABS(G245)&lt;0.000001,"PASS","FAIL")</x:f>
        <x:v>PASS</x:v>
      </x:c>
      <x:c r="I245" s="9" t="str">
        <x:v>Evidence Schema!39</x:v>
      </x:c>
    </x:row>
    <x:row r="246">
      <x:c r="B246" s="9" t="str">
        <x:v>AU-240</x:v>
      </x:c>
      <x:c r="C246" s="9" t="str">
        <x:v>schema</x:v>
      </x:c>
      <x:c r="D246" s="9" t="str">
        <x:v>field definition 34</x:v>
      </x:c>
      <x:c r="E246" s="15" t="n">
        <x:f>IF('Evidence Schema'!K40="PASS",1,0)</x:f>
        <x:v>1</x:v>
      </x:c>
      <x:c r="F246" s="15" t="n">
        <x:v>1</x:v>
      </x:c>
      <x:c r="G246" s="15" t="n">
        <x:f>E246-F246</x:f>
        <x:v>0</x:v>
      </x:c>
      <x:c r="H246" s="9" t="str">
        <x:f>IF(ABS(G246)&lt;0.000001,"PASS","FAIL")</x:f>
        <x:v>PASS</x:v>
      </x:c>
      <x:c r="I246" s="9" t="str">
        <x:v>Evidence Schema!40</x:v>
      </x:c>
    </x:row>
    <x:row r="247">
      <x:c r="B247" s="9" t="str">
        <x:v>AU-241</x:v>
      </x:c>
      <x:c r="C247" s="9" t="str">
        <x:v>schema</x:v>
      </x:c>
      <x:c r="D247" s="9" t="str">
        <x:v>field definition 35</x:v>
      </x:c>
      <x:c r="E247" s="15" t="n">
        <x:f>IF('Evidence Schema'!K41="PASS",1,0)</x:f>
        <x:v>1</x:v>
      </x:c>
      <x:c r="F247" s="15" t="n">
        <x:v>1</x:v>
      </x:c>
      <x:c r="G247" s="15" t="n">
        <x:f>E247-F247</x:f>
        <x:v>0</x:v>
      </x:c>
      <x:c r="H247" s="9" t="str">
        <x:f>IF(ABS(G247)&lt;0.000001,"PASS","FAIL")</x:f>
        <x:v>PASS</x:v>
      </x:c>
      <x:c r="I247" s="9" t="str">
        <x:v>Evidence Schema!41</x:v>
      </x:c>
    </x:row>
    <x:row r="248">
      <x:c r="B248" s="10" t="str">
        <x:v>AU-242</x:v>
      </x:c>
      <x:c r="C248" s="10" t="str">
        <x:v>schema</x:v>
      </x:c>
      <x:c r="D248" s="10" t="str">
        <x:v>field definition 36</x:v>
      </x:c>
      <x:c r="E248" s="16" t="n">
        <x:f>IF('Evidence Schema'!K42="PASS",1,0)</x:f>
        <x:v>1</x:v>
      </x:c>
      <x:c r="F248" s="16" t="n">
        <x:v>1</x:v>
      </x:c>
      <x:c r="G248" s="16" t="n">
        <x:f>E248-F248</x:f>
        <x:v>0</x:v>
      </x:c>
      <x:c r="H248" s="10" t="str">
        <x:f>IF(ABS(G248)&lt;0.000001,"PASS","FAIL")</x:f>
        <x:v>PASS</x:v>
      </x:c>
      <x:c r="I248" s="10" t="str">
        <x:v>Evidence Schema!42</x:v>
      </x:c>
    </x:row>
  </x:sheetData>
  <x:mergeCells>
    <x:mergeCell ref="B2:I2"/>
    <x:mergeCell ref="B3:I3"/>
  </x:mergeCells>
  <x:conditionalFormatting sqref="H7:H248">
    <x:cfRule type="containsText" dxfId="286" priority="1" operator="containsText" text="PASS"/>
    <x:cfRule type="containsText" dxfId="287" priority="2" operator="containsText" text="AUTHORIZED"/>
    <x:cfRule type="containsText" dxfId="288" priority="3" operator="containsText" text="DEFINED"/>
    <x:cfRule type="containsText" dxfId="289" priority="4" operator="containsText" text="READY"/>
    <x:cfRule type="containsText" dxfId="290" priority="5" operator="containsText" text="HOLD"/>
    <x:cfRule type="containsText" dxfId="291" priority="6" operator="containsText" text="OPEN"/>
    <x:cfRule type="containsText" dxfId="292" priority="7" operator="containsText" text="BLOCKED"/>
    <x:cfRule type="containsText" dxfId="293" priority="8" operator="containsText" text="PLANNING"/>
    <x:cfRule type="containsText" dxfId="294" priority="9" operator="containsText" text="QUARANTINE"/>
    <x:cfRule type="containsText" dxfId="295" priority="10" operator="containsText" text="FAIL"/>
    <x:cfRule type="containsText" dxfId="296" priority="11" operator="containsText" text="REJECT"/>
    <x:cfRule type="containsText" dxfId="297" priority="12" operator="containsText" text="INCOMPLETE"/>
    <x:cfRule type="containsText" dxfId="298" priority="13" operator="containsText" text="STOP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24" hidden="0" customWidth="1"/>
    <x:col min="3" max="3" width="95" hidden="0" customWidth="1"/>
  </x:cols>
  <x:sheetData>
    <x:row r="2">
      <x:c r="B2" s="37" t="str">
        <x:v>How to use CRET-1</x:v>
      </x:c>
      <x:c r="C2" s="9"/>
      <x:c r="D2" s="9"/>
      <x:c r="E2" s="9"/>
      <x:c r="F2" s="9"/>
      <x:c r="G2" s="9"/>
      <x:c r="H2" s="9"/>
      <x:c r="I2" s="9"/>
      <x:c r="J2" s="9"/>
    </x:row>
    <x:row r="3">
      <x:c r="B3" s="38" t="str">
        <x:v>This workbook is a planning constitution and sensitivity surface, not physical evidence or construction authority.</x:v>
      </x:c>
      <x:c r="C3" s="9"/>
      <x:c r="D3" s="9"/>
      <x:c r="E3" s="9"/>
      <x:c r="F3" s="9"/>
      <x:c r="G3" s="9"/>
      <x:c r="H3" s="9"/>
      <x:c r="I3" s="9"/>
      <x:c r="J3" s="9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9"/>
      <x:c r="C5" s="9"/>
      <x:c r="D5" s="9"/>
      <x:c r="E5" s="9"/>
      <x:c r="F5" s="9"/>
      <x:c r="G5" s="9"/>
      <x:c r="H5" s="9"/>
      <x:c r="I5" s="9"/>
      <x:c r="J5" s="9"/>
    </x:row>
    <x:row r="6">
      <x:c r="B6" s="7" t="str">
        <x:v>Topic</x:v>
      </x:c>
      <x:c r="C6" s="7" t="str">
        <x:v>Guidance</x:v>
      </x:c>
      <x:c r="D6" s="9"/>
      <x:c r="E6" s="9"/>
      <x:c r="F6" s="9"/>
      <x:c r="G6" s="9"/>
      <x:c r="H6" s="9"/>
      <x:c r="I6" s="9"/>
      <x:c r="J6" s="9"/>
    </x:row>
    <x:row r="7">
      <x:c r="B7" s="9" t="str">
        <x:v>Decision</x:v>
      </x:c>
      <x:c r="C7" s="33" t="str">
        <x:v>Defines operation-level evidence and stop conditions before irreversible construction.</x:v>
      </x:c>
      <x:c r="D7" s="9"/>
      <x:c r="E7" s="9"/>
      <x:c r="F7" s="9"/>
      <x:c r="G7" s="9"/>
      <x:c r="H7" s="9"/>
      <x:c r="I7" s="9"/>
      <x:c r="J7" s="9"/>
    </x:row>
    <x:row r="8">
      <x:c r="B8" s="9" t="str">
        <x:v>Audience</x:v>
      </x:c>
      <x:c r="C8" s="33" t="str">
        <x:v>Public configuration, root engineering, inspection, safety, reproduction and release authorities.</x:v>
      </x:c>
      <x:c r="D8" s="9"/>
      <x:c r="E8" s="9"/>
      <x:c r="F8" s="9"/>
      <x:c r="G8" s="9"/>
      <x:c r="H8" s="9"/>
      <x:c r="I8" s="9"/>
      <x:c r="J8" s="9"/>
    </x:row>
    <x:row r="9">
      <x:c r="B9" s="9" t="str">
        <x:v>Inputs</x:v>
      </x:c>
      <x:c r="C9" s="33" t="str">
        <x:v>Blue numeric cells are inherited boundaries or declared design hypotheses.</x:v>
      </x:c>
      <x:c r="D9" s="9"/>
      <x:c r="E9" s="9"/>
      <x:c r="F9" s="9"/>
      <x:c r="G9" s="9"/>
      <x:c r="H9" s="9"/>
      <x:c r="I9" s="9"/>
      <x:c r="J9" s="9"/>
    </x:row>
    <x:row r="10">
      <x:c r="B10" s="9" t="str">
        <x:v>Source state</x:v>
      </x:c>
      <x:c r="C10" s="33" t="str">
        <x:v>Physical controls remain zero. OPEN/BLOCKED is intentional, not a workbook error.</x:v>
      </x:c>
      <x:c r="D10" s="9"/>
      <x:c r="E10" s="9"/>
      <x:c r="F10" s="9"/>
      <x:c r="G10" s="9"/>
      <x:c r="H10" s="9"/>
      <x:c r="I10" s="9"/>
      <x:c r="J10" s="9"/>
    </x:row>
    <x:row r="11">
      <x:c r="B11" s="9" t="str">
        <x:v>Formula flow</x:v>
      </x:c>
      <x:c r="C11" s="33" t="str">
        <x:v>Controls feed root registers, coupled calculations, finance and release gates; Audit is terminal.</x:v>
      </x:c>
      <x:c r="D11" s="9"/>
      <x:c r="E11" s="9"/>
      <x:c r="F11" s="9"/>
      <x:c r="G11" s="9"/>
      <x:c r="H11" s="9"/>
      <x:c r="I11" s="9"/>
      <x:c r="J11" s="9"/>
    </x:row>
    <x:row r="12">
      <x:c r="B12" s="9" t="str">
        <x:v>Known defects</x:v>
      </x:c>
      <x:c r="C12" s="33" t="str">
        <x:v>72 standards define library architecture. Qualification needs replicated independent realizations.</x:v>
      </x:c>
      <x:c r="D12" s="9"/>
      <x:c r="E12" s="9"/>
      <x:c r="F12" s="9"/>
      <x:c r="G12" s="9"/>
      <x:c r="H12" s="9"/>
      <x:c r="I12" s="9"/>
      <x:c r="J12" s="9"/>
    </x:row>
    <x:row r="13">
      <x:c r="B13" s="9" t="str">
        <x:v>Energy-ballast</x:v>
      </x:c>
      <x:c r="C13" s="33" t="str">
        <x:v>Four cassettes per root replace consumed fuel mass with separately contained process water.</x:v>
      </x:c>
      <x:c r="D13" s="9"/>
      <x:c r="E13" s="9"/>
      <x:c r="F13" s="9"/>
      <x:c r="G13" s="9"/>
      <x:c r="H13" s="9"/>
      <x:c r="I13" s="9"/>
      <x:c r="J13" s="9"/>
    </x:row>
    <x:row r="14">
      <x:c r="B14" s="9" t="str">
        <x:v>Finance</x:v>
      </x:c>
      <x:c r="C14" s="33" t="str">
        <x:v>USD billions, real 2026 basis. Allocations are nested in the unused BRD-1 boundary.</x:v>
      </x:c>
      <x:c r="D14" s="9"/>
      <x:c r="E14" s="9"/>
      <x:c r="F14" s="9"/>
      <x:c r="G14" s="9"/>
      <x:c r="H14" s="9"/>
      <x:c r="I14" s="9"/>
      <x:c r="J14" s="9"/>
    </x:row>
    <x:row r="15">
      <x:c r="B15" s="9" t="str">
        <x:v>Rendering</x:v>
      </x:c>
      <x:c r="C15" s="33" t="str">
        <x:v>No exterior design. Workbook previews are inspection images only.</x:v>
      </x:c>
      <x:c r="D15" s="9"/>
      <x:c r="E15" s="9"/>
      <x:c r="F15" s="9"/>
      <x:c r="G15" s="9"/>
      <x:c r="H15" s="9"/>
      <x:c r="I15" s="9"/>
      <x:c r="J15" s="9"/>
    </x:row>
    <x:row r="16">
      <x:c r="B16" s="9" t="str">
        <x:v>Sensitivity</x:v>
      </x:c>
      <x:c r="C16" s="33" t="str">
        <x:v>Disposable tests change drivers, recalculate, verify dependent results and restore baseline.</x:v>
      </x:c>
      <x:c r="D16" s="9"/>
      <x:c r="E16" s="9"/>
      <x:c r="F16" s="9"/>
      <x:c r="G16" s="9"/>
      <x:c r="H16" s="9"/>
      <x:c r="I16" s="9"/>
      <x:c r="J16" s="9"/>
    </x:row>
    <x:row r="17">
      <x:c r="B17" s="9" t="str">
        <x:v>Authority</x:v>
      </x:c>
      <x:c r="C17" s="33" t="str">
        <x:v>Planning can close 48 gates; 20 physical and 4 downstream gates remain held.</x:v>
      </x:c>
      <x:c r="D17" s="9"/>
      <x:c r="E17" s="9"/>
      <x:c r="F17" s="9"/>
      <x:c r="G17" s="9"/>
      <x:c r="H17" s="9"/>
      <x:c r="I17" s="9"/>
      <x:c r="J17" s="9"/>
    </x:row>
    <x:row r="18">
      <x:c r="B18" s="10" t="str">
        <x:v>Version</x:v>
      </x:c>
      <x:c r="C18" s="34" t="str">
        <x:v>Pass 113 / CRET-1 / 2026-09-09</x:v>
      </x:c>
      <x:c r="D18" s="9"/>
      <x:c r="E18" s="9"/>
      <x:c r="F18" s="9"/>
      <x:c r="G18" s="9"/>
      <x:c r="H18" s="9"/>
      <x:c r="I18" s="9"/>
      <x:c r="J18" s="9"/>
    </x:row>
  </x:sheetData>
  <x:mergeCells>
    <x:mergeCell ref="B2:J2"/>
    <x:mergeCell ref="B3:J3"/>
  </x:mergeCells>
  <x:pageMargins left="0.7" right="0.7" top="0.75" bottom="0.75" header="0.3" footer="0.3"/>
</x:worksheet>
</file>